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97E7A01-C9AB-4555-9A47-A7E9C9CD61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6_20260613-081752 26" sheetId="2" r:id="rId1"/>
    <sheet name="Лист1" sheetId="1" r:id="rId2"/>
  </sheets>
  <definedNames>
    <definedName name="_xlnm._FilterDatabase" localSheetId="0" hidden="1">'events_ru_86_20260613-081752 26'!$C$1:$C$1284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860547-54DA-4C94-9F13-D3D95174A863}" keepAlive="1" name="Запрос — events_ru_86_20260613-081752 266" description="Соединение с запросом &quot;events_ru_86_20260613-081752 266&quot; в книге." type="5" refreshedVersion="0" background="1">
    <dbPr connection="Provider=Microsoft.Mashup.OleDb.1;Data Source=$Workbook$;Location=&quot;events_ru_86_20260613-081752 266&quot;;Extended Properties=&quot;&quot;" command="SELECT * FROM [events_ru_86_20260613-081752 266]"/>
  </connection>
</connections>
</file>

<file path=xl/sharedStrings.xml><?xml version="1.0" encoding="utf-8"?>
<sst xmlns="http://schemas.openxmlformats.org/spreadsheetml/2006/main" count="5947" uniqueCount="104">
  <si>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</si>
  <si>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</si>
  <si>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</si>
  <si>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</si>
  <si>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</si>
  <si>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</si>
  <si>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</si>
  <si>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</si>
  <si>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</si>
  <si>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</si>
  <si>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</si>
  <si>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</si>
  <si>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</si>
  <si>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</si>
  <si>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</si>
  <si>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</si>
  <si>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</si>
  <si>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</si>
  <si>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</si>
  <si>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</si>
  <si>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</si>
  <si>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</si>
  <si>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</si>
  <si>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Самосвал перегружен - NR</t>
  </si>
  <si>
    <t>Не доступно</t>
  </si>
  <si>
    <t>Log+</t>
  </si>
  <si>
    <t>Retard</t>
  </si>
  <si>
    <t>Null</t>
  </si>
  <si>
    <t>Ready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</si>
  <si>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</si>
  <si>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</si>
  <si>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</si>
  <si>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Propel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</si>
  <si>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</si>
  <si>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</si>
  <si>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</si>
  <si>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</si>
  <si>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</si>
  <si>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</si>
  <si>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</si>
  <si>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Отказ GDPS1 [FM589]</t>
  </si>
  <si>
    <t>Инв1 Выкл</t>
  </si>
  <si>
    <t>Низкое напряжение АКБ</t>
  </si>
  <si>
    <t>Низкий заряд АКБ 24В КС - ДВС остановлен</t>
  </si>
  <si>
    <t>Предел скорости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</si>
  <si>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</si>
  <si>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</si>
  <si>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</si>
  <si>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ARst</t>
  </si>
  <si>
    <t xml:space="preserve">Log </t>
  </si>
  <si>
    <t>Reset All Faults</t>
  </si>
  <si>
    <t>Zero</t>
  </si>
  <si>
    <t>TMC1 Чоппер 2 ИНВ (NR)</t>
  </si>
  <si>
    <t>TMC1 Чоппер 1 ИНВ (NR)</t>
  </si>
  <si>
    <t>Вход в безопасный режим файловой системы - Ключ или CPS</t>
  </si>
  <si>
    <t>WRst</t>
  </si>
  <si>
    <t>Самопроизвольный останов ДВС</t>
  </si>
  <si>
    <t>Unrequested Engine Speed Drop - While Stopped</t>
  </si>
  <si>
    <t>Нет питания</t>
  </si>
  <si>
    <t>Вход в безопасный режим файловой системы - Запуск двигателя</t>
  </si>
  <si>
    <t>Рабочий тормоз на ходу</t>
  </si>
  <si>
    <t>Рабочие тормоза использованы на ходу</t>
  </si>
  <si>
    <t>Ошибка сети CAN (CAN1)</t>
  </si>
  <si>
    <t>Потеря связи - сеть CAN двигателя</t>
  </si>
  <si>
    <t>Нет Самонагрузки, Предел скорости (нижний)</t>
  </si>
  <si>
    <t>Получено предупреждение ДВС</t>
  </si>
  <si>
    <t>Запрет тяги</t>
  </si>
  <si>
    <t>Низкая мощность</t>
  </si>
  <si>
    <t>Регулировка мощности в отрицательной зоне</t>
  </si>
  <si>
    <t>Сравнение CMD скорости вращения ДВС</t>
  </si>
  <si>
    <t>ОБ/МИН не соответствуют команде</t>
  </si>
  <si>
    <t>Давление охл воздуха мотор-колеса вне пределов</t>
  </si>
  <si>
    <t>Высокое показание датчика при выключенном ДВС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</si>
  <si>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</si>
  <si>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</si>
  <si>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</si>
  <si>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Превышении скорости</t>
  </si>
  <si>
    <t>Управление скоростью - превышение</t>
  </si>
  <si>
    <t>Rest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</si>
  <si>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</si>
  <si>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</si>
  <si>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</si>
  <si>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Команда сохранения данных PTU</t>
  </si>
  <si>
    <t>Инициированное водителем сохранение данных</t>
  </si>
  <si>
    <t xml:space="preserve">TMC1 ИНВ Фаза A+/фаза A- </t>
  </si>
  <si>
    <t>Отказ, насыщение IGBT фаза A-</t>
  </si>
  <si>
    <t>TMC1 Фаза А- ИНВ</t>
  </si>
  <si>
    <t>Модуль фазы А- не выключился</t>
  </si>
  <si>
    <t>TMC1 Фаза А- ИНВ (NR)</t>
  </si>
  <si>
    <t>Фаза A- не выкл. при напряжении включения/пост. тока</t>
  </si>
  <si>
    <t>Модули фаз A+ и A- вкл.</t>
  </si>
  <si>
    <t>Ошибка ЗПТ</t>
  </si>
  <si>
    <t>КЗ ЗПТ или отказ цепи возбуждения от АКБ</t>
  </si>
  <si>
    <t>Отказ педали ретардера</t>
  </si>
  <si>
    <t>Слишком низкое напряжение</t>
  </si>
  <si>
    <t>Слишком высокое напряжение</t>
  </si>
  <si>
    <t>Установка часов реального времени</t>
  </si>
  <si>
    <t>через WebPTU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</si>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</sst>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5860-EFF6-4909-9EAF-E53490D7DBD4}">
  <dimension ref="A1:J1284"/>
  <sheetViews>
    <sheetView tabSelected="1" workbookViewId="0">
      <selection activeCell="F6" sqref="F6"/>
    </sheetView>
  </sheetViews>
  <sheetFormatPr defaultRowHeight="15" x14ac:dyDescent="0.25"/>
  <cols>
    <col min="1" max="1" width="16" bestFit="1" customWidth="1"/>
    <col min="5" max="5" width="31.7109375" customWidth="1"/>
    <col min="6" max="6" width="65.85546875" customWidth="1"/>
    <col min="7" max="7" width="22" bestFit="1" customWidth="1"/>
    <col min="8" max="8" width="28.42578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86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"2026-06-13 08:17:52.266"</f>
        <v>2026-06-13 08:17:52.266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"2026-06-12 12:16:06.883"</f>
        <v>2026-06-12 12:16:06.883</v>
      </c>
      <c r="H10" t="s">
        <v>21</v>
      </c>
    </row>
    <row r="11" spans="1:10" x14ac:dyDescent="0.25">
      <c r="A11" s="1"/>
      <c r="B11" t="s">
        <v>22</v>
      </c>
      <c r="C11">
        <v>635</v>
      </c>
      <c r="D11">
        <v>1</v>
      </c>
      <c r="E11" t="s">
        <v>23</v>
      </c>
      <c r="F11" t="s">
        <v>24</v>
      </c>
      <c r="G11" t="str">
        <f>"2026-06-12 08:04:51.677"</f>
        <v>2026-06-12 08:04:51.677</v>
      </c>
      <c r="H11" t="s">
        <v>21</v>
      </c>
    </row>
    <row r="12" spans="1:10" x14ac:dyDescent="0.25">
      <c r="A12" s="1"/>
      <c r="B12" t="s">
        <v>25</v>
      </c>
      <c r="C12">
        <v>635</v>
      </c>
      <c r="D12">
        <v>1</v>
      </c>
      <c r="E12" t="s">
        <v>23</v>
      </c>
      <c r="F12" t="s">
        <v>24</v>
      </c>
      <c r="G12" t="str">
        <f>"2026-06-12 08:02:00.177"</f>
        <v>2026-06-12 08:02:00.177</v>
      </c>
      <c r="H12" t="s">
        <v>21</v>
      </c>
      <c r="I12">
        <v>0.89</v>
      </c>
      <c r="J12" t="s">
        <v>26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"2026-06-11 13:30:51.886"</f>
        <v>2026-06-11 13:30:51.886</v>
      </c>
      <c r="H13" t="s">
        <v>21</v>
      </c>
      <c r="I13">
        <v>0</v>
      </c>
      <c r="J13" t="s">
        <v>27</v>
      </c>
    </row>
    <row r="14" spans="1:10" x14ac:dyDescent="0.25">
      <c r="A14" s="1"/>
      <c r="B14" t="s">
        <v>22</v>
      </c>
      <c r="C14">
        <v>635</v>
      </c>
      <c r="D14">
        <v>1</v>
      </c>
      <c r="E14" t="s">
        <v>23</v>
      </c>
      <c r="F14" t="s">
        <v>24</v>
      </c>
      <c r="G14" t="str">
        <f>"2026-06-10 18:40:51.357"</f>
        <v>2026-06-10 18:40:51.357</v>
      </c>
      <c r="H14" t="s">
        <v>21</v>
      </c>
    </row>
    <row r="15" spans="1:10" x14ac:dyDescent="0.25">
      <c r="A15" s="1"/>
      <c r="B15" t="s">
        <v>25</v>
      </c>
      <c r="C15">
        <v>635</v>
      </c>
      <c r="D15">
        <v>1</v>
      </c>
      <c r="E15" t="s">
        <v>23</v>
      </c>
      <c r="F15" t="s">
        <v>24</v>
      </c>
      <c r="G15" t="str">
        <f>"2026-06-10 18:38:33.357"</f>
        <v>2026-06-10 18:38:33.357</v>
      </c>
      <c r="H15" t="s">
        <v>21</v>
      </c>
      <c r="I15">
        <v>-0.09</v>
      </c>
      <c r="J15" t="s">
        <v>28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"2026-06-10 14:10:22.069"</f>
        <v>2026-06-10 14:10:22.069</v>
      </c>
      <c r="H16" t="s">
        <v>21</v>
      </c>
      <c r="I16">
        <v>0</v>
      </c>
      <c r="J16" t="s">
        <v>27</v>
      </c>
    </row>
    <row r="17" spans="1:10" x14ac:dyDescent="0.25">
      <c r="A17" s="1"/>
      <c r="B17" t="s">
        <v>22</v>
      </c>
      <c r="C17">
        <v>635</v>
      </c>
      <c r="D17">
        <v>1</v>
      </c>
      <c r="E17" t="s">
        <v>23</v>
      </c>
      <c r="F17" t="s">
        <v>24</v>
      </c>
      <c r="G17" t="str">
        <f>"2026-06-09 15:23:21.018"</f>
        <v>2026-06-09 15:23:21.018</v>
      </c>
      <c r="H17" t="s">
        <v>21</v>
      </c>
    </row>
    <row r="18" spans="1:10" x14ac:dyDescent="0.25">
      <c r="A18" s="1"/>
      <c r="B18" t="s">
        <v>25</v>
      </c>
      <c r="C18">
        <v>635</v>
      </c>
      <c r="D18">
        <v>1</v>
      </c>
      <c r="E18" t="s">
        <v>23</v>
      </c>
      <c r="F18" t="s">
        <v>24</v>
      </c>
      <c r="G18" t="str">
        <f>"2026-06-09 15:19:12.518"</f>
        <v>2026-06-09 15:19:12.518</v>
      </c>
      <c r="H18" t="s">
        <v>21</v>
      </c>
      <c r="I18">
        <v>0</v>
      </c>
      <c r="J18" t="s">
        <v>28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"2026-06-08 13:32:42.866"</f>
        <v>2026-06-08 13:32:42.866</v>
      </c>
      <c r="H19" t="s">
        <v>21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"2026-06-08 13:00:33.876"</f>
        <v>2026-06-08 13:00:33.876</v>
      </c>
      <c r="H20" t="s">
        <v>21</v>
      </c>
      <c r="I20">
        <v>0</v>
      </c>
      <c r="J20" t="s">
        <v>27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"2026-06-08 03:34:11.040"</f>
        <v>2026-06-08 03:34:11.040</v>
      </c>
      <c r="H21" t="s">
        <v>21</v>
      </c>
      <c r="I21">
        <v>0</v>
      </c>
      <c r="J21" t="s">
        <v>27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"2026-06-07 13:59:27.877"</f>
        <v>2026-06-07 13:59:27.877</v>
      </c>
      <c r="H22" t="s">
        <v>21</v>
      </c>
      <c r="I22">
        <v>0</v>
      </c>
      <c r="J22" t="s">
        <v>27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"2026-06-06 13:59:38.872"</f>
        <v>2026-06-06 13:59:38.872</v>
      </c>
      <c r="H23" t="s">
        <v>21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"2026-06-06 13:21:34.880"</f>
        <v>2026-06-06 13:21:34.880</v>
      </c>
      <c r="H24" t="s">
        <v>21</v>
      </c>
      <c r="I24">
        <v>0</v>
      </c>
      <c r="J24" t="s">
        <v>27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"2026-06-06 03:33:58.868"</f>
        <v>2026-06-06 03:33:58.868</v>
      </c>
      <c r="H25" t="s">
        <v>21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"2026-06-06 03:29:45.911"</f>
        <v>2026-06-06 03:29:45.911</v>
      </c>
      <c r="H26" t="s">
        <v>21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"2026-06-05 12:15:22.870"</f>
        <v>2026-06-05 12:15:22.870</v>
      </c>
      <c r="H27" t="s">
        <v>21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"2026-06-05 09:45:22.911"</f>
        <v>2026-06-05 09:45:22.911</v>
      </c>
      <c r="H28" t="s">
        <v>21</v>
      </c>
      <c r="I28">
        <v>0</v>
      </c>
      <c r="J28" t="s">
        <v>27</v>
      </c>
    </row>
    <row r="29" spans="1:10" x14ac:dyDescent="0.25">
      <c r="A29" s="1">
        <v>9</v>
      </c>
      <c r="B29" t="s">
        <v>19</v>
      </c>
      <c r="C29">
        <v>706</v>
      </c>
      <c r="D29">
        <v>4</v>
      </c>
      <c r="E29" t="s">
        <v>29</v>
      </c>
      <c r="F29" t="s">
        <v>30</v>
      </c>
      <c r="G29" t="str">
        <f>"2026-06-04 22:44:24.749"</f>
        <v>2026-06-04 22:44:24.749</v>
      </c>
      <c r="H29" t="s">
        <v>21</v>
      </c>
      <c r="I29">
        <v>0</v>
      </c>
      <c r="J29" t="s">
        <v>31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"2026-06-04 22:35:46.919"</f>
        <v>2026-06-04 22:35:46.919</v>
      </c>
      <c r="H30" t="s">
        <v>21</v>
      </c>
      <c r="I30">
        <v>0</v>
      </c>
      <c r="J30" t="s">
        <v>27</v>
      </c>
    </row>
    <row r="31" spans="1:10" x14ac:dyDescent="0.25">
      <c r="A31" s="1">
        <v>1</v>
      </c>
      <c r="B31" t="s">
        <v>22</v>
      </c>
      <c r="C31">
        <v>635</v>
      </c>
      <c r="D31">
        <v>1</v>
      </c>
      <c r="E31" t="s">
        <v>23</v>
      </c>
      <c r="F31" t="s">
        <v>24</v>
      </c>
      <c r="G31" t="str">
        <f>"2026-06-04 16:03:59.650"</f>
        <v>2026-06-04 16:03:59.650</v>
      </c>
      <c r="H31" t="s">
        <v>21</v>
      </c>
    </row>
    <row r="32" spans="1:10" x14ac:dyDescent="0.25">
      <c r="A32" s="1">
        <v>2</v>
      </c>
      <c r="B32" t="s">
        <v>25</v>
      </c>
      <c r="C32">
        <v>635</v>
      </c>
      <c r="D32">
        <v>1</v>
      </c>
      <c r="E32" t="s">
        <v>23</v>
      </c>
      <c r="F32" t="s">
        <v>24</v>
      </c>
      <c r="G32" t="str">
        <f>"2026-06-04 16:00:34.650"</f>
        <v>2026-06-04 16:00:34.650</v>
      </c>
      <c r="H32" t="s">
        <v>21</v>
      </c>
      <c r="I32">
        <v>2.89</v>
      </c>
      <c r="J32" t="s">
        <v>32</v>
      </c>
    </row>
    <row r="33" spans="1:10" x14ac:dyDescent="0.25">
      <c r="A33" s="1">
        <v>3</v>
      </c>
      <c r="B33" t="s">
        <v>19</v>
      </c>
      <c r="C33">
        <v>706</v>
      </c>
      <c r="D33">
        <v>4</v>
      </c>
      <c r="E33" t="s">
        <v>29</v>
      </c>
      <c r="F33" t="s">
        <v>30</v>
      </c>
      <c r="G33" t="str">
        <f>"2026-06-04 15:05:32.499"</f>
        <v>2026-06-04 15:05:32.499</v>
      </c>
      <c r="H33" t="s">
        <v>21</v>
      </c>
      <c r="I33">
        <v>21.9</v>
      </c>
      <c r="J33" t="s">
        <v>26</v>
      </c>
    </row>
    <row r="34" spans="1:10" x14ac:dyDescent="0.25">
      <c r="A34" s="1">
        <v>4</v>
      </c>
      <c r="B34" t="s">
        <v>22</v>
      </c>
      <c r="C34">
        <v>250</v>
      </c>
      <c r="D34">
        <v>7</v>
      </c>
      <c r="E34" t="s">
        <v>33</v>
      </c>
      <c r="F34" t="s">
        <v>34</v>
      </c>
      <c r="G34" t="str">
        <f>"2026-06-04 14:11:16.050"</f>
        <v>2026-06-04 14:11:16.050</v>
      </c>
      <c r="H34" t="s">
        <v>21</v>
      </c>
    </row>
    <row r="35" spans="1:10" x14ac:dyDescent="0.25">
      <c r="A35" s="1">
        <v>5</v>
      </c>
      <c r="B35" t="s">
        <v>22</v>
      </c>
      <c r="C35">
        <v>248</v>
      </c>
      <c r="D35">
        <v>7</v>
      </c>
      <c r="E35" t="s">
        <v>35</v>
      </c>
      <c r="F35" t="s">
        <v>36</v>
      </c>
      <c r="G35" t="str">
        <f>"2026-06-04 14:11:03.450"</f>
        <v>2026-06-04 14:11:03.450</v>
      </c>
      <c r="H35" t="s">
        <v>21</v>
      </c>
    </row>
    <row r="36" spans="1:10" x14ac:dyDescent="0.25">
      <c r="A36" s="1">
        <v>6</v>
      </c>
      <c r="B36" t="s">
        <v>22</v>
      </c>
      <c r="C36">
        <v>207</v>
      </c>
      <c r="D36">
        <v>2</v>
      </c>
      <c r="E36" t="s">
        <v>37</v>
      </c>
      <c r="F36" t="s">
        <v>38</v>
      </c>
      <c r="G36" t="str">
        <f>"2026-06-04 14:10:54.450"</f>
        <v>2026-06-04 14:10:54.450</v>
      </c>
      <c r="H36" t="s">
        <v>39</v>
      </c>
    </row>
    <row r="37" spans="1:10" x14ac:dyDescent="0.25">
      <c r="A37" s="1">
        <v>7</v>
      </c>
      <c r="B37" t="s">
        <v>22</v>
      </c>
      <c r="C37">
        <v>107</v>
      </c>
      <c r="D37">
        <v>2</v>
      </c>
      <c r="E37" t="s">
        <v>40</v>
      </c>
      <c r="F37" t="s">
        <v>38</v>
      </c>
      <c r="G37" t="str">
        <f>"2026-06-04 14:10:46.050"</f>
        <v>2026-06-04 14:10:46.050</v>
      </c>
      <c r="H37" t="s">
        <v>41</v>
      </c>
    </row>
    <row r="38" spans="1:10" x14ac:dyDescent="0.25">
      <c r="A38" s="1">
        <v>8</v>
      </c>
      <c r="B38" t="s">
        <v>22</v>
      </c>
      <c r="C38">
        <v>43</v>
      </c>
      <c r="D38">
        <v>2</v>
      </c>
      <c r="E38" t="s">
        <v>42</v>
      </c>
      <c r="F38" t="s">
        <v>43</v>
      </c>
      <c r="G38" t="str">
        <f>"2026-06-04 14:09:34.011"</f>
        <v>2026-06-04 14:09:34.011</v>
      </c>
      <c r="H38" t="s">
        <v>44</v>
      </c>
    </row>
    <row r="39" spans="1:10" x14ac:dyDescent="0.25">
      <c r="A39" s="1">
        <v>9</v>
      </c>
      <c r="B39" t="s">
        <v>22</v>
      </c>
      <c r="C39">
        <v>4</v>
      </c>
      <c r="D39">
        <v>1</v>
      </c>
      <c r="E39" t="s">
        <v>45</v>
      </c>
      <c r="F39" t="s">
        <v>46</v>
      </c>
      <c r="G39" t="str">
        <f>"2026-06-04 14:09:29.028"</f>
        <v>2026-06-04 14:09:29.028</v>
      </c>
      <c r="H39" t="s">
        <v>47</v>
      </c>
    </row>
    <row r="40" spans="1:10" x14ac:dyDescent="0.25">
      <c r="A40" s="1">
        <v>0</v>
      </c>
      <c r="B40" t="s">
        <v>25</v>
      </c>
      <c r="C40">
        <v>4</v>
      </c>
      <c r="D40">
        <v>1</v>
      </c>
      <c r="E40" t="s">
        <v>45</v>
      </c>
      <c r="F40" t="s">
        <v>46</v>
      </c>
      <c r="G40" t="str">
        <f>"2026-06-04 14:09:24.009"</f>
        <v>2026-06-04 14:09:24.009</v>
      </c>
      <c r="H40" t="s">
        <v>47</v>
      </c>
      <c r="I40">
        <v>0</v>
      </c>
      <c r="J40" t="s">
        <v>31</v>
      </c>
    </row>
    <row r="41" spans="1:10" x14ac:dyDescent="0.25">
      <c r="A41" s="1">
        <v>1</v>
      </c>
      <c r="B41" t="s">
        <v>25</v>
      </c>
      <c r="C41">
        <v>248</v>
      </c>
      <c r="D41">
        <v>7</v>
      </c>
      <c r="E41" t="s">
        <v>35</v>
      </c>
      <c r="F41" t="s">
        <v>36</v>
      </c>
      <c r="G41" t="str">
        <f>"2026-06-04 14:07:47.584"</f>
        <v>2026-06-04 14:07:47.584</v>
      </c>
      <c r="H41" t="s">
        <v>21</v>
      </c>
      <c r="I41">
        <v>0</v>
      </c>
      <c r="J41" t="s">
        <v>31</v>
      </c>
    </row>
    <row r="42" spans="1:10" x14ac:dyDescent="0.25">
      <c r="A42" s="1">
        <v>2</v>
      </c>
      <c r="B42" t="s">
        <v>48</v>
      </c>
      <c r="C42">
        <v>248</v>
      </c>
      <c r="D42">
        <v>7</v>
      </c>
      <c r="E42" t="s">
        <v>35</v>
      </c>
      <c r="F42" t="s">
        <v>36</v>
      </c>
      <c r="G42" t="str">
        <f>"2026-06-04 14:07:46.279"</f>
        <v>2026-06-04 14:07:46.279</v>
      </c>
      <c r="H42" t="s">
        <v>21</v>
      </c>
    </row>
    <row r="43" spans="1:10" x14ac:dyDescent="0.25">
      <c r="A43" s="1">
        <v>3</v>
      </c>
      <c r="B43" t="s">
        <v>25</v>
      </c>
      <c r="C43">
        <v>250</v>
      </c>
      <c r="D43">
        <v>7</v>
      </c>
      <c r="E43" t="s">
        <v>33</v>
      </c>
      <c r="F43" t="s">
        <v>34</v>
      </c>
      <c r="G43" t="str">
        <f>"2026-06-04 14:07:45.904"</f>
        <v>2026-06-04 14:07:45.904</v>
      </c>
      <c r="H43" t="s">
        <v>21</v>
      </c>
      <c r="I43">
        <v>0</v>
      </c>
      <c r="J43" t="s">
        <v>31</v>
      </c>
    </row>
    <row r="44" spans="1:10" x14ac:dyDescent="0.25">
      <c r="A44" s="1">
        <v>4</v>
      </c>
      <c r="B44" t="s">
        <v>48</v>
      </c>
      <c r="C44">
        <v>250</v>
      </c>
      <c r="D44">
        <v>7</v>
      </c>
      <c r="E44" t="s">
        <v>33</v>
      </c>
      <c r="F44" t="s">
        <v>34</v>
      </c>
      <c r="G44" t="str">
        <f>"2026-06-04 14:07:45.479"</f>
        <v>2026-06-04 14:07:45.479</v>
      </c>
      <c r="H44" t="s">
        <v>21</v>
      </c>
    </row>
    <row r="45" spans="1:10" x14ac:dyDescent="0.25">
      <c r="A45" s="1">
        <v>5</v>
      </c>
      <c r="B45" t="s">
        <v>49</v>
      </c>
      <c r="C45">
        <v>248</v>
      </c>
      <c r="D45">
        <v>7</v>
      </c>
      <c r="E45" t="s">
        <v>35</v>
      </c>
      <c r="F45" t="s">
        <v>36</v>
      </c>
      <c r="G45" t="str">
        <f>"2026-06-04 14:07:41.224"</f>
        <v>2026-06-04 14:07:41.224</v>
      </c>
      <c r="H45" t="s">
        <v>21</v>
      </c>
      <c r="I45">
        <v>0</v>
      </c>
      <c r="J45" t="s">
        <v>31</v>
      </c>
    </row>
    <row r="46" spans="1:10" x14ac:dyDescent="0.25">
      <c r="A46" s="1">
        <v>6</v>
      </c>
      <c r="B46" t="s">
        <v>49</v>
      </c>
      <c r="C46">
        <v>250</v>
      </c>
      <c r="D46">
        <v>7</v>
      </c>
      <c r="E46" t="s">
        <v>33</v>
      </c>
      <c r="F46" t="s">
        <v>34</v>
      </c>
      <c r="G46" t="str">
        <f>"2026-06-04 14:07:40.464"</f>
        <v>2026-06-04 14:07:40.464</v>
      </c>
      <c r="H46" t="s">
        <v>21</v>
      </c>
      <c r="I46">
        <v>0</v>
      </c>
      <c r="J46" t="s">
        <v>31</v>
      </c>
    </row>
    <row r="47" spans="1:10" x14ac:dyDescent="0.25">
      <c r="A47" s="1">
        <v>7</v>
      </c>
      <c r="B47" t="s">
        <v>25</v>
      </c>
      <c r="C47">
        <v>207</v>
      </c>
      <c r="D47">
        <v>2</v>
      </c>
      <c r="E47" t="s">
        <v>37</v>
      </c>
      <c r="F47" t="s">
        <v>38</v>
      </c>
      <c r="G47" t="str">
        <f>"2026-06-04 14:07:39.824"</f>
        <v>2026-06-04 14:07:39.824</v>
      </c>
      <c r="H47" t="s">
        <v>39</v>
      </c>
      <c r="I47">
        <v>0</v>
      </c>
      <c r="J47" t="s">
        <v>31</v>
      </c>
    </row>
    <row r="48" spans="1:10" x14ac:dyDescent="0.25">
      <c r="A48" s="1">
        <v>8</v>
      </c>
      <c r="B48" t="s">
        <v>25</v>
      </c>
      <c r="C48">
        <v>107</v>
      </c>
      <c r="D48">
        <v>2</v>
      </c>
      <c r="E48" t="s">
        <v>40</v>
      </c>
      <c r="F48" t="s">
        <v>38</v>
      </c>
      <c r="G48" t="str">
        <f>"2026-06-04 14:07:39.224"</f>
        <v>2026-06-04 14:07:39.224</v>
      </c>
      <c r="H48" t="s">
        <v>41</v>
      </c>
      <c r="I48">
        <v>0</v>
      </c>
      <c r="J48" t="s">
        <v>31</v>
      </c>
    </row>
    <row r="49" spans="1:10" x14ac:dyDescent="0.25">
      <c r="A49" s="1">
        <v>1</v>
      </c>
      <c r="B49" t="s">
        <v>25</v>
      </c>
      <c r="C49">
        <v>43</v>
      </c>
      <c r="D49">
        <v>2</v>
      </c>
      <c r="E49" t="s">
        <v>42</v>
      </c>
      <c r="F49" t="s">
        <v>43</v>
      </c>
      <c r="G49" t="str">
        <f>"2026-06-04 14:07:39.110"</f>
        <v>2026-06-04 14:07:39.110</v>
      </c>
      <c r="H49" t="s">
        <v>44</v>
      </c>
      <c r="I49">
        <v>0</v>
      </c>
      <c r="J49" t="s">
        <v>31</v>
      </c>
    </row>
    <row r="50" spans="1:10" x14ac:dyDescent="0.25">
      <c r="A50" s="1">
        <v>2</v>
      </c>
      <c r="B50" t="s">
        <v>19</v>
      </c>
      <c r="C50">
        <v>782</v>
      </c>
      <c r="D50">
        <v>7</v>
      </c>
      <c r="E50" t="s">
        <v>50</v>
      </c>
      <c r="F50" t="s">
        <v>51</v>
      </c>
      <c r="G50" t="str">
        <f>"2026-06-04 14:07:39.070"</f>
        <v>2026-06-04 14:07:39.070</v>
      </c>
      <c r="H50" t="s">
        <v>21</v>
      </c>
      <c r="I50">
        <v>0</v>
      </c>
      <c r="J50" t="s">
        <v>31</v>
      </c>
    </row>
    <row r="51" spans="1:10" x14ac:dyDescent="0.25">
      <c r="A51" s="1">
        <v>5</v>
      </c>
      <c r="B51" t="s">
        <v>22</v>
      </c>
      <c r="C51">
        <v>250</v>
      </c>
      <c r="D51">
        <v>7</v>
      </c>
      <c r="E51" t="s">
        <v>33</v>
      </c>
      <c r="F51" t="s">
        <v>34</v>
      </c>
      <c r="G51" t="str">
        <f>"2026-06-04 14:07:39.061"</f>
        <v>2026-06-04 14:07:39.061</v>
      </c>
      <c r="H51" t="s">
        <v>21</v>
      </c>
    </row>
    <row r="52" spans="1:10" x14ac:dyDescent="0.25">
      <c r="A52" s="1">
        <v>6</v>
      </c>
      <c r="B52" t="s">
        <v>22</v>
      </c>
      <c r="C52">
        <v>248</v>
      </c>
      <c r="D52">
        <v>7</v>
      </c>
      <c r="E52" t="s">
        <v>35</v>
      </c>
      <c r="F52" t="s">
        <v>36</v>
      </c>
      <c r="G52" t="str">
        <f>"2026-06-04 14:07:39.059"</f>
        <v>2026-06-04 14:07:39.059</v>
      </c>
      <c r="H52" t="s">
        <v>21</v>
      </c>
    </row>
    <row r="53" spans="1:10" x14ac:dyDescent="0.25">
      <c r="A53" s="1">
        <v>7</v>
      </c>
      <c r="B53" t="s">
        <v>22</v>
      </c>
      <c r="C53">
        <v>207</v>
      </c>
      <c r="D53">
        <v>2</v>
      </c>
      <c r="E53" t="s">
        <v>37</v>
      </c>
      <c r="F53" t="s">
        <v>38</v>
      </c>
      <c r="G53" t="str">
        <f>"2026-06-04 14:07:39.056"</f>
        <v>2026-06-04 14:07:39.056</v>
      </c>
      <c r="H53" t="s">
        <v>39</v>
      </c>
    </row>
    <row r="54" spans="1:10" x14ac:dyDescent="0.25">
      <c r="A54" s="1">
        <v>8</v>
      </c>
      <c r="B54" t="s">
        <v>22</v>
      </c>
      <c r="C54">
        <v>107</v>
      </c>
      <c r="D54">
        <v>2</v>
      </c>
      <c r="E54" t="s">
        <v>40</v>
      </c>
      <c r="F54" t="s">
        <v>38</v>
      </c>
      <c r="G54" t="str">
        <f>"2026-06-04 14:07:39.053"</f>
        <v>2026-06-04 14:07:39.053</v>
      </c>
      <c r="H54" t="s">
        <v>41</v>
      </c>
    </row>
    <row r="55" spans="1:10" x14ac:dyDescent="0.25">
      <c r="A55" s="1">
        <v>9</v>
      </c>
      <c r="B55" t="s">
        <v>22</v>
      </c>
      <c r="C55">
        <v>43</v>
      </c>
      <c r="D55">
        <v>2</v>
      </c>
      <c r="E55" t="s">
        <v>42</v>
      </c>
      <c r="F55" t="s">
        <v>43</v>
      </c>
      <c r="G55" t="str">
        <f>"2026-06-04 14:07:39.051"</f>
        <v>2026-06-04 14:07:39.051</v>
      </c>
      <c r="H55" t="s">
        <v>44</v>
      </c>
    </row>
    <row r="56" spans="1:10" x14ac:dyDescent="0.25">
      <c r="A56" s="1">
        <v>0</v>
      </c>
      <c r="B56" t="s">
        <v>19</v>
      </c>
      <c r="C56">
        <v>782</v>
      </c>
      <c r="D56">
        <v>7</v>
      </c>
      <c r="E56" t="s">
        <v>50</v>
      </c>
      <c r="F56" t="s">
        <v>51</v>
      </c>
      <c r="G56" t="str">
        <f>"2026-06-04 14:07:39.050"</f>
        <v>2026-06-04 14:07:39.050</v>
      </c>
      <c r="H56" t="s">
        <v>21</v>
      </c>
      <c r="I56">
        <v>0</v>
      </c>
      <c r="J56" t="s">
        <v>31</v>
      </c>
    </row>
    <row r="57" spans="1:10" x14ac:dyDescent="0.25">
      <c r="A57" s="1">
        <v>1</v>
      </c>
      <c r="B57" t="s">
        <v>25</v>
      </c>
      <c r="C57">
        <v>248</v>
      </c>
      <c r="D57">
        <v>7</v>
      </c>
      <c r="E57" t="s">
        <v>35</v>
      </c>
      <c r="F57" t="s">
        <v>36</v>
      </c>
      <c r="G57" t="str">
        <f>"2026-06-04 14:07:34.604"</f>
        <v>2026-06-04 14:07:34.604</v>
      </c>
      <c r="H57" t="s">
        <v>21</v>
      </c>
      <c r="I57">
        <v>0</v>
      </c>
      <c r="J57" t="s">
        <v>31</v>
      </c>
    </row>
    <row r="58" spans="1:10" x14ac:dyDescent="0.25">
      <c r="A58" s="1">
        <v>2</v>
      </c>
      <c r="B58" t="s">
        <v>48</v>
      </c>
      <c r="C58">
        <v>248</v>
      </c>
      <c r="D58">
        <v>7</v>
      </c>
      <c r="E58" t="s">
        <v>35</v>
      </c>
      <c r="F58" t="s">
        <v>36</v>
      </c>
      <c r="G58" t="str">
        <f>"2026-06-04 14:07:34.279"</f>
        <v>2026-06-04 14:07:34.279</v>
      </c>
      <c r="H58" t="s">
        <v>21</v>
      </c>
    </row>
    <row r="59" spans="1:10" x14ac:dyDescent="0.25">
      <c r="A59" s="1">
        <v>3</v>
      </c>
      <c r="B59" t="s">
        <v>49</v>
      </c>
      <c r="C59">
        <v>248</v>
      </c>
      <c r="D59">
        <v>7</v>
      </c>
      <c r="E59" t="s">
        <v>35</v>
      </c>
      <c r="F59" t="s">
        <v>36</v>
      </c>
      <c r="G59" t="str">
        <f>"2026-06-04 14:07:29.224"</f>
        <v>2026-06-04 14:07:29.224</v>
      </c>
      <c r="H59" t="s">
        <v>21</v>
      </c>
      <c r="I59">
        <v>0</v>
      </c>
      <c r="J59" t="s">
        <v>31</v>
      </c>
    </row>
    <row r="60" spans="1:10" x14ac:dyDescent="0.25">
      <c r="A60" s="1">
        <v>4</v>
      </c>
      <c r="B60" t="s">
        <v>22</v>
      </c>
      <c r="C60">
        <v>248</v>
      </c>
      <c r="D60">
        <v>7</v>
      </c>
      <c r="E60" t="s">
        <v>35</v>
      </c>
      <c r="F60" t="s">
        <v>36</v>
      </c>
      <c r="G60" t="str">
        <f>"2026-06-04 14:07:28.050"</f>
        <v>2026-06-04 14:07:28.050</v>
      </c>
      <c r="H60" t="s">
        <v>21</v>
      </c>
    </row>
    <row r="61" spans="1:10" x14ac:dyDescent="0.25">
      <c r="A61" s="1">
        <v>5</v>
      </c>
      <c r="B61" t="s">
        <v>25</v>
      </c>
      <c r="C61">
        <v>248</v>
      </c>
      <c r="D61">
        <v>7</v>
      </c>
      <c r="E61" t="s">
        <v>35</v>
      </c>
      <c r="F61" t="s">
        <v>36</v>
      </c>
      <c r="G61" t="str">
        <f>"2026-06-04 14:07:24.904"</f>
        <v>2026-06-04 14:07:24.904</v>
      </c>
      <c r="H61" t="s">
        <v>21</v>
      </c>
      <c r="I61">
        <v>0</v>
      </c>
      <c r="J61" t="s">
        <v>31</v>
      </c>
    </row>
    <row r="62" spans="1:10" x14ac:dyDescent="0.25">
      <c r="A62" s="1">
        <v>8</v>
      </c>
      <c r="B62" t="s">
        <v>48</v>
      </c>
      <c r="C62">
        <v>248</v>
      </c>
      <c r="D62">
        <v>7</v>
      </c>
      <c r="E62" t="s">
        <v>35</v>
      </c>
      <c r="F62" t="s">
        <v>36</v>
      </c>
      <c r="G62" t="str">
        <f>"2026-06-04 14:07:24.479"</f>
        <v>2026-06-04 14:07:24.479</v>
      </c>
      <c r="H62" t="s">
        <v>21</v>
      </c>
    </row>
    <row r="63" spans="1:10" x14ac:dyDescent="0.25">
      <c r="A63" s="1">
        <v>9</v>
      </c>
      <c r="B63" t="s">
        <v>49</v>
      </c>
      <c r="C63">
        <v>248</v>
      </c>
      <c r="D63">
        <v>7</v>
      </c>
      <c r="E63" t="s">
        <v>35</v>
      </c>
      <c r="F63" t="s">
        <v>36</v>
      </c>
      <c r="G63" t="str">
        <f>"2026-06-04 14:07:19.424"</f>
        <v>2026-06-04 14:07:19.424</v>
      </c>
      <c r="H63" t="s">
        <v>21</v>
      </c>
      <c r="I63">
        <v>0</v>
      </c>
      <c r="J63" t="s">
        <v>31</v>
      </c>
    </row>
    <row r="64" spans="1:10" x14ac:dyDescent="0.25">
      <c r="A64" s="1">
        <v>0</v>
      </c>
      <c r="B64" t="s">
        <v>22</v>
      </c>
      <c r="C64">
        <v>248</v>
      </c>
      <c r="D64">
        <v>7</v>
      </c>
      <c r="E64" t="s">
        <v>35</v>
      </c>
      <c r="F64" t="s">
        <v>36</v>
      </c>
      <c r="G64" t="str">
        <f>"2026-06-04 14:07:18.450"</f>
        <v>2026-06-04 14:07:18.450</v>
      </c>
      <c r="H64" t="s">
        <v>21</v>
      </c>
    </row>
    <row r="65" spans="1:10" x14ac:dyDescent="0.25">
      <c r="A65" s="1">
        <v>1</v>
      </c>
      <c r="B65" t="s">
        <v>25</v>
      </c>
      <c r="C65">
        <v>248</v>
      </c>
      <c r="D65">
        <v>7</v>
      </c>
      <c r="E65" t="s">
        <v>35</v>
      </c>
      <c r="F65" t="s">
        <v>36</v>
      </c>
      <c r="G65" t="str">
        <f>"2026-06-04 14:07:17.304"</f>
        <v>2026-06-04 14:07:17.304</v>
      </c>
      <c r="H65" t="s">
        <v>21</v>
      </c>
      <c r="I65">
        <v>0</v>
      </c>
      <c r="J65" t="s">
        <v>31</v>
      </c>
    </row>
    <row r="66" spans="1:10" x14ac:dyDescent="0.25">
      <c r="A66" s="1">
        <v>2</v>
      </c>
      <c r="B66" t="s">
        <v>25</v>
      </c>
      <c r="C66">
        <v>250</v>
      </c>
      <c r="D66">
        <v>7</v>
      </c>
      <c r="E66" t="s">
        <v>33</v>
      </c>
      <c r="F66" t="s">
        <v>34</v>
      </c>
      <c r="G66" t="str">
        <f>"2026-06-04 14:07:16.844"</f>
        <v>2026-06-04 14:07:16.844</v>
      </c>
      <c r="H66" t="s">
        <v>21</v>
      </c>
      <c r="I66">
        <v>0</v>
      </c>
      <c r="J66" t="s">
        <v>31</v>
      </c>
    </row>
    <row r="67" spans="1:10" x14ac:dyDescent="0.25">
      <c r="A67" s="1">
        <v>3</v>
      </c>
      <c r="B67" t="s">
        <v>48</v>
      </c>
      <c r="C67">
        <v>250</v>
      </c>
      <c r="D67">
        <v>7</v>
      </c>
      <c r="E67" t="s">
        <v>33</v>
      </c>
      <c r="F67" t="s">
        <v>34</v>
      </c>
      <c r="G67" t="str">
        <f>"2026-06-04 14:07:16.779"</f>
        <v>2026-06-04 14:07:16.779</v>
      </c>
      <c r="H67" t="s">
        <v>21</v>
      </c>
    </row>
    <row r="68" spans="1:10" x14ac:dyDescent="0.25">
      <c r="A68" s="1">
        <v>4</v>
      </c>
      <c r="B68" t="s">
        <v>48</v>
      </c>
      <c r="C68">
        <v>248</v>
      </c>
      <c r="D68">
        <v>7</v>
      </c>
      <c r="E68" t="s">
        <v>35</v>
      </c>
      <c r="F68" t="s">
        <v>36</v>
      </c>
      <c r="G68" t="str">
        <f>"2026-06-04 14:07:16.679"</f>
        <v>2026-06-04 14:07:16.679</v>
      </c>
      <c r="H68" t="s">
        <v>21</v>
      </c>
    </row>
    <row r="69" spans="1:10" x14ac:dyDescent="0.25">
      <c r="A69" s="1">
        <v>5</v>
      </c>
      <c r="B69" t="s">
        <v>25</v>
      </c>
      <c r="C69">
        <v>207</v>
      </c>
      <c r="D69">
        <v>2</v>
      </c>
      <c r="E69" t="s">
        <v>37</v>
      </c>
      <c r="F69" t="s">
        <v>38</v>
      </c>
      <c r="G69" t="str">
        <f>"2026-06-04 14:07:12.704"</f>
        <v>2026-06-04 14:07:12.704</v>
      </c>
      <c r="H69" t="s">
        <v>39</v>
      </c>
      <c r="I69">
        <v>0</v>
      </c>
      <c r="J69" t="s">
        <v>31</v>
      </c>
    </row>
    <row r="70" spans="1:10" x14ac:dyDescent="0.25">
      <c r="A70" s="1">
        <v>6</v>
      </c>
      <c r="B70" t="s">
        <v>25</v>
      </c>
      <c r="C70">
        <v>107</v>
      </c>
      <c r="D70">
        <v>2</v>
      </c>
      <c r="E70" t="s">
        <v>40</v>
      </c>
      <c r="F70" t="s">
        <v>38</v>
      </c>
      <c r="G70" t="str">
        <f>"2026-06-04 14:07:11.824"</f>
        <v>2026-06-04 14:07:11.824</v>
      </c>
      <c r="H70" t="s">
        <v>41</v>
      </c>
      <c r="I70">
        <v>0</v>
      </c>
      <c r="J70" t="s">
        <v>31</v>
      </c>
    </row>
    <row r="71" spans="1:10" x14ac:dyDescent="0.25">
      <c r="A71" s="1">
        <v>7</v>
      </c>
      <c r="B71" t="s">
        <v>49</v>
      </c>
      <c r="C71">
        <v>248</v>
      </c>
      <c r="D71">
        <v>7</v>
      </c>
      <c r="E71" t="s">
        <v>35</v>
      </c>
      <c r="F71" t="s">
        <v>36</v>
      </c>
      <c r="G71" t="str">
        <f>"2026-06-04 14:07:11.629"</f>
        <v>2026-06-04 14:07:11.629</v>
      </c>
      <c r="H71" t="s">
        <v>21</v>
      </c>
      <c r="I71">
        <v>0</v>
      </c>
      <c r="J71" t="s">
        <v>31</v>
      </c>
    </row>
    <row r="72" spans="1:10" x14ac:dyDescent="0.25">
      <c r="A72" s="1">
        <v>8</v>
      </c>
      <c r="B72" t="s">
        <v>49</v>
      </c>
      <c r="C72">
        <v>250</v>
      </c>
      <c r="D72">
        <v>7</v>
      </c>
      <c r="E72" t="s">
        <v>33</v>
      </c>
      <c r="F72" t="s">
        <v>34</v>
      </c>
      <c r="G72" t="str">
        <f>"2026-06-04 14:07:11.624"</f>
        <v>2026-06-04 14:07:11.624</v>
      </c>
      <c r="H72" t="s">
        <v>21</v>
      </c>
      <c r="I72">
        <v>0</v>
      </c>
      <c r="J72" t="s">
        <v>31</v>
      </c>
    </row>
    <row r="73" spans="1:10" x14ac:dyDescent="0.25">
      <c r="A73" s="1">
        <v>9</v>
      </c>
      <c r="B73" t="s">
        <v>25</v>
      </c>
      <c r="C73">
        <v>43</v>
      </c>
      <c r="D73">
        <v>2</v>
      </c>
      <c r="E73" t="s">
        <v>42</v>
      </c>
      <c r="F73" t="s">
        <v>43</v>
      </c>
      <c r="G73" t="str">
        <f>"2026-06-04 14:07:11.510"</f>
        <v>2026-06-04 14:07:11.510</v>
      </c>
      <c r="H73" t="s">
        <v>44</v>
      </c>
      <c r="I73">
        <v>0</v>
      </c>
      <c r="J73" t="s">
        <v>31</v>
      </c>
    </row>
    <row r="74" spans="1:10" x14ac:dyDescent="0.25">
      <c r="A74" s="1">
        <v>0</v>
      </c>
      <c r="B74" t="s">
        <v>19</v>
      </c>
      <c r="C74">
        <v>782</v>
      </c>
      <c r="D74">
        <v>7</v>
      </c>
      <c r="E74" t="s">
        <v>50</v>
      </c>
      <c r="F74" t="s">
        <v>51</v>
      </c>
      <c r="G74" t="str">
        <f>"2026-06-04 14:07:11.473"</f>
        <v>2026-06-04 14:07:11.473</v>
      </c>
      <c r="H74" t="s">
        <v>21</v>
      </c>
      <c r="I74">
        <v>0</v>
      </c>
      <c r="J74" t="s">
        <v>31</v>
      </c>
    </row>
    <row r="75" spans="1:10" x14ac:dyDescent="0.25">
      <c r="A75" s="1">
        <v>3</v>
      </c>
      <c r="B75" t="s">
        <v>22</v>
      </c>
      <c r="C75">
        <v>250</v>
      </c>
      <c r="D75">
        <v>7</v>
      </c>
      <c r="E75" t="s">
        <v>33</v>
      </c>
      <c r="F75" t="s">
        <v>34</v>
      </c>
      <c r="G75" t="str">
        <f>"2026-06-04 14:07:11.465"</f>
        <v>2026-06-04 14:07:11.465</v>
      </c>
      <c r="H75" t="s">
        <v>21</v>
      </c>
    </row>
    <row r="76" spans="1:10" x14ac:dyDescent="0.25">
      <c r="A76" s="1">
        <v>4</v>
      </c>
      <c r="B76" t="s">
        <v>22</v>
      </c>
      <c r="C76">
        <v>248</v>
      </c>
      <c r="D76">
        <v>7</v>
      </c>
      <c r="E76" t="s">
        <v>35</v>
      </c>
      <c r="F76" t="s">
        <v>36</v>
      </c>
      <c r="G76" t="str">
        <f>"2026-06-04 14:07:11.462"</f>
        <v>2026-06-04 14:07:11.462</v>
      </c>
      <c r="H76" t="s">
        <v>21</v>
      </c>
    </row>
    <row r="77" spans="1:10" x14ac:dyDescent="0.25">
      <c r="A77" s="1">
        <v>5</v>
      </c>
      <c r="B77" t="s">
        <v>22</v>
      </c>
      <c r="C77">
        <v>207</v>
      </c>
      <c r="D77">
        <v>2</v>
      </c>
      <c r="E77" t="s">
        <v>37</v>
      </c>
      <c r="F77" t="s">
        <v>38</v>
      </c>
      <c r="G77" t="str">
        <f>"2026-06-04 14:07:11.459"</f>
        <v>2026-06-04 14:07:11.459</v>
      </c>
      <c r="H77" t="s">
        <v>39</v>
      </c>
    </row>
    <row r="78" spans="1:10" x14ac:dyDescent="0.25">
      <c r="A78" s="1">
        <v>6</v>
      </c>
      <c r="B78" t="s">
        <v>22</v>
      </c>
      <c r="C78">
        <v>150</v>
      </c>
      <c r="D78">
        <v>7</v>
      </c>
      <c r="E78" t="s">
        <v>52</v>
      </c>
      <c r="F78" t="s">
        <v>34</v>
      </c>
      <c r="G78" t="str">
        <f>"2026-06-04 14:07:11.456"</f>
        <v>2026-06-04 14:07:11.456</v>
      </c>
      <c r="H78" t="s">
        <v>21</v>
      </c>
    </row>
    <row r="79" spans="1:10" x14ac:dyDescent="0.25">
      <c r="A79" s="1">
        <v>7</v>
      </c>
      <c r="B79" t="s">
        <v>22</v>
      </c>
      <c r="C79">
        <v>107</v>
      </c>
      <c r="D79">
        <v>2</v>
      </c>
      <c r="E79" t="s">
        <v>40</v>
      </c>
      <c r="F79" t="s">
        <v>38</v>
      </c>
      <c r="G79" t="str">
        <f>"2026-06-04 14:07:11.454"</f>
        <v>2026-06-04 14:07:11.454</v>
      </c>
      <c r="H79" t="s">
        <v>41</v>
      </c>
    </row>
    <row r="80" spans="1:10" x14ac:dyDescent="0.25">
      <c r="A80" s="1">
        <v>8</v>
      </c>
      <c r="B80" t="s">
        <v>22</v>
      </c>
      <c r="C80">
        <v>43</v>
      </c>
      <c r="D80">
        <v>2</v>
      </c>
      <c r="E80" t="s">
        <v>42</v>
      </c>
      <c r="F80" t="s">
        <v>43</v>
      </c>
      <c r="G80" t="str">
        <f>"2026-06-04 14:07:11.452"</f>
        <v>2026-06-04 14:07:11.452</v>
      </c>
      <c r="H80" t="s">
        <v>44</v>
      </c>
    </row>
    <row r="81" spans="1:10" x14ac:dyDescent="0.25">
      <c r="A81" s="1">
        <v>9</v>
      </c>
      <c r="B81" t="s">
        <v>19</v>
      </c>
      <c r="C81">
        <v>782</v>
      </c>
      <c r="D81">
        <v>7</v>
      </c>
      <c r="E81" t="s">
        <v>50</v>
      </c>
      <c r="F81" t="s">
        <v>51</v>
      </c>
      <c r="G81" t="str">
        <f>"2026-06-04 14:07:11.450"</f>
        <v>2026-06-04 14:07:11.450</v>
      </c>
      <c r="H81" t="s">
        <v>21</v>
      </c>
      <c r="I81">
        <v>0</v>
      </c>
      <c r="J81" t="s">
        <v>31</v>
      </c>
    </row>
    <row r="82" spans="1:10" x14ac:dyDescent="0.25">
      <c r="A82" s="1">
        <v>0</v>
      </c>
      <c r="B82" t="s">
        <v>25</v>
      </c>
      <c r="C82">
        <v>43</v>
      </c>
      <c r="D82">
        <v>2</v>
      </c>
      <c r="E82" t="s">
        <v>42</v>
      </c>
      <c r="F82" t="s">
        <v>43</v>
      </c>
      <c r="G82" t="str">
        <f>"2026-06-04 14:06:44.711"</f>
        <v>2026-06-04 14:06:44.711</v>
      </c>
      <c r="H82" t="s">
        <v>44</v>
      </c>
      <c r="I82">
        <v>0</v>
      </c>
      <c r="J82" t="s">
        <v>31</v>
      </c>
    </row>
    <row r="83" spans="1:10" x14ac:dyDescent="0.25">
      <c r="A83" s="1">
        <v>1</v>
      </c>
      <c r="B83" t="s">
        <v>25</v>
      </c>
      <c r="C83">
        <v>248</v>
      </c>
      <c r="D83">
        <v>7</v>
      </c>
      <c r="E83" t="s">
        <v>35</v>
      </c>
      <c r="F83" t="s">
        <v>36</v>
      </c>
      <c r="G83" t="str">
        <f>"2026-06-04 14:06:39.184"</f>
        <v>2026-06-04 14:06:39.184</v>
      </c>
      <c r="H83" t="s">
        <v>21</v>
      </c>
      <c r="I83">
        <v>0</v>
      </c>
      <c r="J83" t="s">
        <v>31</v>
      </c>
    </row>
    <row r="84" spans="1:10" x14ac:dyDescent="0.25">
      <c r="A84" s="1">
        <v>2</v>
      </c>
      <c r="B84" t="s">
        <v>25</v>
      </c>
      <c r="C84">
        <v>250</v>
      </c>
      <c r="D84">
        <v>7</v>
      </c>
      <c r="E84" t="s">
        <v>33</v>
      </c>
      <c r="F84" t="s">
        <v>34</v>
      </c>
      <c r="G84" t="str">
        <f>"2026-06-04 14:06:38.964"</f>
        <v>2026-06-04 14:06:38.964</v>
      </c>
      <c r="H84" t="s">
        <v>21</v>
      </c>
      <c r="I84">
        <v>0</v>
      </c>
      <c r="J84" t="s">
        <v>31</v>
      </c>
    </row>
    <row r="85" spans="1:10" x14ac:dyDescent="0.25">
      <c r="A85" s="1">
        <v>3</v>
      </c>
      <c r="B85" t="s">
        <v>48</v>
      </c>
      <c r="C85">
        <v>250</v>
      </c>
      <c r="D85">
        <v>7</v>
      </c>
      <c r="E85" t="s">
        <v>33</v>
      </c>
      <c r="F85" t="s">
        <v>34</v>
      </c>
      <c r="G85" t="str">
        <f>"2026-06-04 14:06:38.879"</f>
        <v>2026-06-04 14:06:38.879</v>
      </c>
      <c r="H85" t="s">
        <v>21</v>
      </c>
    </row>
    <row r="86" spans="1:10" x14ac:dyDescent="0.25">
      <c r="A86" s="1">
        <v>4</v>
      </c>
      <c r="B86" t="s">
        <v>48</v>
      </c>
      <c r="C86">
        <v>248</v>
      </c>
      <c r="D86">
        <v>7</v>
      </c>
      <c r="E86" t="s">
        <v>35</v>
      </c>
      <c r="F86" t="s">
        <v>36</v>
      </c>
      <c r="G86" t="str">
        <f>"2026-06-04 14:06:38.779"</f>
        <v>2026-06-04 14:06:38.779</v>
      </c>
      <c r="H86" t="s">
        <v>21</v>
      </c>
    </row>
    <row r="87" spans="1:10" x14ac:dyDescent="0.25">
      <c r="A87" s="1">
        <v>5</v>
      </c>
      <c r="B87" t="s">
        <v>25</v>
      </c>
      <c r="C87">
        <v>150</v>
      </c>
      <c r="D87">
        <v>7</v>
      </c>
      <c r="E87" t="s">
        <v>52</v>
      </c>
      <c r="F87" t="s">
        <v>34</v>
      </c>
      <c r="G87" t="str">
        <f>"2026-06-04 14:06:36.444"</f>
        <v>2026-06-04 14:06:36.444</v>
      </c>
      <c r="H87" t="s">
        <v>21</v>
      </c>
      <c r="I87">
        <v>0</v>
      </c>
      <c r="J87" t="s">
        <v>31</v>
      </c>
    </row>
    <row r="88" spans="1:10" x14ac:dyDescent="0.25">
      <c r="A88" s="1">
        <v>6</v>
      </c>
      <c r="B88" t="s">
        <v>48</v>
      </c>
      <c r="C88">
        <v>150</v>
      </c>
      <c r="D88">
        <v>7</v>
      </c>
      <c r="E88" t="s">
        <v>52</v>
      </c>
      <c r="F88" t="s">
        <v>34</v>
      </c>
      <c r="G88" t="str">
        <f>"2026-06-04 14:06:36.379"</f>
        <v>2026-06-04 14:06:36.379</v>
      </c>
      <c r="H88" t="s">
        <v>21</v>
      </c>
    </row>
    <row r="89" spans="1:10" x14ac:dyDescent="0.25">
      <c r="A89" s="1">
        <v>7</v>
      </c>
      <c r="B89" t="s">
        <v>48</v>
      </c>
      <c r="C89">
        <v>148</v>
      </c>
      <c r="D89">
        <v>7</v>
      </c>
      <c r="E89" t="s">
        <v>53</v>
      </c>
      <c r="F89" t="s">
        <v>36</v>
      </c>
      <c r="G89" t="str">
        <f>"2026-06-04 14:06:36.279"</f>
        <v>2026-06-04 14:06:36.279</v>
      </c>
      <c r="H89" t="s">
        <v>21</v>
      </c>
    </row>
    <row r="90" spans="1:10" x14ac:dyDescent="0.25">
      <c r="A90" s="1">
        <v>8</v>
      </c>
      <c r="B90" t="s">
        <v>49</v>
      </c>
      <c r="C90">
        <v>250</v>
      </c>
      <c r="D90">
        <v>7</v>
      </c>
      <c r="E90" t="s">
        <v>33</v>
      </c>
      <c r="F90" t="s">
        <v>34</v>
      </c>
      <c r="G90" t="str">
        <f>"2026-06-04 14:06:33.766"</f>
        <v>2026-06-04 14:06:33.766</v>
      </c>
      <c r="H90" t="s">
        <v>21</v>
      </c>
      <c r="I90">
        <v>0</v>
      </c>
      <c r="J90" t="s">
        <v>31</v>
      </c>
    </row>
    <row r="91" spans="1:10" x14ac:dyDescent="0.25">
      <c r="A91" s="1">
        <v>9</v>
      </c>
      <c r="B91" t="s">
        <v>49</v>
      </c>
      <c r="C91">
        <v>248</v>
      </c>
      <c r="D91">
        <v>7</v>
      </c>
      <c r="E91" t="s">
        <v>35</v>
      </c>
      <c r="F91" t="s">
        <v>36</v>
      </c>
      <c r="G91" t="str">
        <f>"2026-06-04 14:06:33.764"</f>
        <v>2026-06-04 14:06:33.764</v>
      </c>
      <c r="H91" t="s">
        <v>21</v>
      </c>
      <c r="I91">
        <v>0</v>
      </c>
      <c r="J91" t="s">
        <v>31</v>
      </c>
    </row>
    <row r="92" spans="1:10" x14ac:dyDescent="0.25">
      <c r="A92" s="1">
        <v>0</v>
      </c>
      <c r="B92" t="s">
        <v>25</v>
      </c>
      <c r="C92">
        <v>107</v>
      </c>
      <c r="D92">
        <v>2</v>
      </c>
      <c r="E92" t="s">
        <v>40</v>
      </c>
      <c r="F92" t="s">
        <v>38</v>
      </c>
      <c r="G92" t="str">
        <f>"2026-06-04 14:06:32.464"</f>
        <v>2026-06-04 14:06:32.464</v>
      </c>
      <c r="H92" t="s">
        <v>41</v>
      </c>
      <c r="I92">
        <v>0</v>
      </c>
      <c r="J92" t="s">
        <v>31</v>
      </c>
    </row>
    <row r="93" spans="1:10" x14ac:dyDescent="0.25">
      <c r="A93" s="1">
        <v>1</v>
      </c>
      <c r="B93" t="s">
        <v>25</v>
      </c>
      <c r="C93">
        <v>207</v>
      </c>
      <c r="D93">
        <v>2</v>
      </c>
      <c r="E93" t="s">
        <v>37</v>
      </c>
      <c r="F93" t="s">
        <v>38</v>
      </c>
      <c r="G93" t="str">
        <f>"2026-06-04 14:06:32.184"</f>
        <v>2026-06-04 14:06:32.184</v>
      </c>
      <c r="H93" t="s">
        <v>39</v>
      </c>
      <c r="I93">
        <v>0</v>
      </c>
      <c r="J93" t="s">
        <v>31</v>
      </c>
    </row>
    <row r="94" spans="1:10" x14ac:dyDescent="0.25">
      <c r="A94" s="1">
        <v>2</v>
      </c>
      <c r="B94" t="s">
        <v>49</v>
      </c>
      <c r="C94">
        <v>150</v>
      </c>
      <c r="D94">
        <v>7</v>
      </c>
      <c r="E94" t="s">
        <v>52</v>
      </c>
      <c r="F94" t="s">
        <v>34</v>
      </c>
      <c r="G94" t="str">
        <f>"2026-06-04 14:06:31.265"</f>
        <v>2026-06-04 14:06:31.265</v>
      </c>
      <c r="H94" t="s">
        <v>21</v>
      </c>
      <c r="I94">
        <v>0</v>
      </c>
      <c r="J94" t="s">
        <v>31</v>
      </c>
    </row>
    <row r="95" spans="1:10" x14ac:dyDescent="0.25">
      <c r="A95" s="1">
        <v>3</v>
      </c>
      <c r="B95" t="s">
        <v>49</v>
      </c>
      <c r="C95">
        <v>148</v>
      </c>
      <c r="D95">
        <v>7</v>
      </c>
      <c r="E95" t="s">
        <v>53</v>
      </c>
      <c r="F95" t="s">
        <v>36</v>
      </c>
      <c r="G95" t="str">
        <f>"2026-06-04 14:06:31.264"</f>
        <v>2026-06-04 14:06:31.264</v>
      </c>
      <c r="H95" t="s">
        <v>21</v>
      </c>
      <c r="I95">
        <v>0</v>
      </c>
      <c r="J95" t="s">
        <v>31</v>
      </c>
    </row>
    <row r="96" spans="1:10" x14ac:dyDescent="0.25">
      <c r="A96" s="1">
        <v>4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"2026-06-04 14:06:26.879"</f>
        <v>2026-06-04 14:06:26.879</v>
      </c>
      <c r="H96" t="s">
        <v>21</v>
      </c>
      <c r="I96">
        <v>0</v>
      </c>
      <c r="J96" t="s">
        <v>27</v>
      </c>
    </row>
    <row r="97" spans="1:10" x14ac:dyDescent="0.25">
      <c r="A97" s="1">
        <v>5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"2026-06-03 22:54:43.844"</f>
        <v>2026-06-03 22:54:43.844</v>
      </c>
      <c r="H97" t="s">
        <v>21</v>
      </c>
    </row>
    <row r="98" spans="1:10" x14ac:dyDescent="0.25">
      <c r="A98" s="1">
        <v>6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"2026-06-03 21:01:19.845"</f>
        <v>2026-06-03 21:01:19.845</v>
      </c>
      <c r="H98" t="s">
        <v>21</v>
      </c>
    </row>
    <row r="99" spans="1:10" x14ac:dyDescent="0.25">
      <c r="A99" s="1">
        <v>7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"2026-06-03 15:31:57.861"</f>
        <v>2026-06-03 15:31:57.861</v>
      </c>
      <c r="H99" t="s">
        <v>21</v>
      </c>
      <c r="I99">
        <v>0</v>
      </c>
      <c r="J99" t="s">
        <v>27</v>
      </c>
    </row>
    <row r="100" spans="1:10" x14ac:dyDescent="0.25">
      <c r="A100" s="1">
        <v>8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"2026-06-03 15:16:55.851"</f>
        <v>2026-06-03 15:16:55.851</v>
      </c>
      <c r="H100" t="s">
        <v>21</v>
      </c>
    </row>
    <row r="101" spans="1:10" x14ac:dyDescent="0.25">
      <c r="A101" s="1">
        <v>9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"2026-06-03 15:07:04.838"</f>
        <v>2026-06-03 15:07:04.838</v>
      </c>
      <c r="H101" t="s">
        <v>21</v>
      </c>
    </row>
    <row r="102" spans="1:10" x14ac:dyDescent="0.25">
      <c r="A102" s="1">
        <v>0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"2026-06-03 13:57:48.885"</f>
        <v>2026-06-03 13:57:48.885</v>
      </c>
      <c r="H102" t="s">
        <v>21</v>
      </c>
    </row>
    <row r="103" spans="1:10" x14ac:dyDescent="0.25">
      <c r="A103" s="1">
        <v>2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"2026-06-02 13:51:42.871"</f>
        <v>2026-06-02 13:51:42.871</v>
      </c>
      <c r="H103" t="s">
        <v>21</v>
      </c>
    </row>
    <row r="104" spans="1:10" x14ac:dyDescent="0.25">
      <c r="A104" s="1">
        <v>3</v>
      </c>
      <c r="B104" t="s">
        <v>19</v>
      </c>
      <c r="C104">
        <v>706</v>
      </c>
      <c r="D104">
        <v>4</v>
      </c>
      <c r="E104" t="s">
        <v>29</v>
      </c>
      <c r="F104" t="s">
        <v>30</v>
      </c>
      <c r="G104" t="str">
        <f>"2026-06-01 20:17:36.259"</f>
        <v>2026-06-01 20:17:36.259</v>
      </c>
      <c r="H104" t="s">
        <v>21</v>
      </c>
      <c r="I104">
        <v>0</v>
      </c>
      <c r="J104" t="s">
        <v>31</v>
      </c>
    </row>
    <row r="105" spans="1:10" x14ac:dyDescent="0.25">
      <c r="A105" s="1">
        <v>4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"2026-06-01 20:17:16.839"</f>
        <v>2026-06-01 20:17:16.839</v>
      </c>
      <c r="H105" t="s">
        <v>21</v>
      </c>
    </row>
    <row r="106" spans="1:10" x14ac:dyDescent="0.25">
      <c r="A106" s="1">
        <v>5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"2026-06-01 18:21:53.849"</f>
        <v>2026-06-01 18:21:53.849</v>
      </c>
      <c r="H106" t="s">
        <v>21</v>
      </c>
    </row>
    <row r="107" spans="1:10" x14ac:dyDescent="0.25">
      <c r="A107" s="1">
        <v>6</v>
      </c>
      <c r="B107" t="s">
        <v>19</v>
      </c>
      <c r="C107">
        <v>706</v>
      </c>
      <c r="D107">
        <v>4</v>
      </c>
      <c r="E107" t="s">
        <v>29</v>
      </c>
      <c r="F107" t="s">
        <v>30</v>
      </c>
      <c r="G107" t="str">
        <f>"2026-06-01 18:15:02.873"</f>
        <v>2026-06-01 18:15:02.873</v>
      </c>
      <c r="H107" t="s">
        <v>21</v>
      </c>
      <c r="I107">
        <v>0</v>
      </c>
      <c r="J107" t="s">
        <v>31</v>
      </c>
    </row>
    <row r="108" spans="1:10" x14ac:dyDescent="0.25">
      <c r="A108" s="1">
        <v>7</v>
      </c>
      <c r="B108" t="s">
        <v>19</v>
      </c>
      <c r="C108">
        <v>706</v>
      </c>
      <c r="D108">
        <v>3</v>
      </c>
      <c r="E108" t="s">
        <v>29</v>
      </c>
      <c r="F108" t="s">
        <v>54</v>
      </c>
      <c r="G108" t="str">
        <f>"2026-06-01 18:14:33.223"</f>
        <v>2026-06-01 18:14:33.223</v>
      </c>
      <c r="H108" t="s">
        <v>21</v>
      </c>
      <c r="I108">
        <v>0</v>
      </c>
      <c r="J108" t="s">
        <v>31</v>
      </c>
    </row>
    <row r="109" spans="1:10" x14ac:dyDescent="0.25">
      <c r="A109" s="1">
        <v>8</v>
      </c>
      <c r="B109" t="s">
        <v>19</v>
      </c>
      <c r="C109">
        <v>706</v>
      </c>
      <c r="D109">
        <v>3</v>
      </c>
      <c r="E109" t="s">
        <v>29</v>
      </c>
      <c r="F109" t="s">
        <v>54</v>
      </c>
      <c r="G109" t="str">
        <f>"2026-06-01 18:13:47.633"</f>
        <v>2026-06-01 18:13:47.633</v>
      </c>
      <c r="H109" t="s">
        <v>21</v>
      </c>
      <c r="I109">
        <v>0</v>
      </c>
      <c r="J109" t="s">
        <v>28</v>
      </c>
    </row>
    <row r="110" spans="1:10" x14ac:dyDescent="0.25">
      <c r="A110" s="1">
        <v>9</v>
      </c>
      <c r="B110" t="s">
        <v>55</v>
      </c>
      <c r="C110">
        <v>47</v>
      </c>
      <c r="D110">
        <v>2</v>
      </c>
      <c r="E110" t="s">
        <v>56</v>
      </c>
      <c r="F110" t="s">
        <v>57</v>
      </c>
      <c r="G110" t="str">
        <f>"2026-06-01 18:09:19.223"</f>
        <v>2026-06-01 18:09:19.223</v>
      </c>
      <c r="H110" t="s">
        <v>58</v>
      </c>
    </row>
    <row r="111" spans="1:10" x14ac:dyDescent="0.25">
      <c r="A111" s="1">
        <v>10</v>
      </c>
      <c r="B111" t="s">
        <v>19</v>
      </c>
      <c r="C111">
        <v>706</v>
      </c>
      <c r="D111">
        <v>2</v>
      </c>
      <c r="E111" t="s">
        <v>29</v>
      </c>
      <c r="F111" t="s">
        <v>59</v>
      </c>
      <c r="G111" t="str">
        <f>"2026-06-01 18:09:17.173"</f>
        <v>2026-06-01 18:09:17.173</v>
      </c>
      <c r="H111" t="s">
        <v>21</v>
      </c>
      <c r="I111">
        <v>0</v>
      </c>
      <c r="J111" t="s">
        <v>31</v>
      </c>
    </row>
    <row r="112" spans="1:10" x14ac:dyDescent="0.25">
      <c r="A112" s="1">
        <v>11</v>
      </c>
      <c r="B112" t="s">
        <v>49</v>
      </c>
      <c r="C112">
        <v>47</v>
      </c>
      <c r="D112">
        <v>2</v>
      </c>
      <c r="E112" t="s">
        <v>56</v>
      </c>
      <c r="F112" t="s">
        <v>57</v>
      </c>
      <c r="G112" t="str">
        <f>"2026-06-01 18:08:23.323"</f>
        <v>2026-06-01 18:08:23.323</v>
      </c>
      <c r="H112" t="s">
        <v>58</v>
      </c>
      <c r="I112">
        <v>0</v>
      </c>
      <c r="J112" t="s">
        <v>28</v>
      </c>
    </row>
    <row r="113" spans="1:10" x14ac:dyDescent="0.25">
      <c r="A113" s="1">
        <v>12</v>
      </c>
      <c r="B113" t="s">
        <v>55</v>
      </c>
      <c r="C113">
        <v>47</v>
      </c>
      <c r="D113">
        <v>2</v>
      </c>
      <c r="E113" t="s">
        <v>56</v>
      </c>
      <c r="F113" t="s">
        <v>57</v>
      </c>
      <c r="G113" t="str">
        <f>"2026-06-01 18:00:07.523"</f>
        <v>2026-06-01 18:00:07.523</v>
      </c>
      <c r="H113" t="s">
        <v>58</v>
      </c>
    </row>
    <row r="114" spans="1:10" x14ac:dyDescent="0.25">
      <c r="A114" s="1">
        <v>13</v>
      </c>
      <c r="B114" t="s">
        <v>19</v>
      </c>
      <c r="C114">
        <v>706</v>
      </c>
      <c r="D114">
        <v>4</v>
      </c>
      <c r="E114" t="s">
        <v>29</v>
      </c>
      <c r="F114" t="s">
        <v>30</v>
      </c>
      <c r="G114" t="str">
        <f>"2026-06-01 18:00:05.633"</f>
        <v>2026-06-01 18:00:05.633</v>
      </c>
      <c r="H114" t="s">
        <v>21</v>
      </c>
      <c r="I114">
        <v>0</v>
      </c>
      <c r="J114" t="s">
        <v>31</v>
      </c>
    </row>
    <row r="115" spans="1:10" x14ac:dyDescent="0.25">
      <c r="A115" s="1">
        <v>14</v>
      </c>
      <c r="B115" t="s">
        <v>49</v>
      </c>
      <c r="C115">
        <v>47</v>
      </c>
      <c r="D115">
        <v>2</v>
      </c>
      <c r="E115" t="s">
        <v>56</v>
      </c>
      <c r="F115" t="s">
        <v>57</v>
      </c>
      <c r="G115" t="str">
        <f>"2026-06-01 17:40:40.023"</f>
        <v>2026-06-01 17:40:40.023</v>
      </c>
      <c r="H115" t="s">
        <v>58</v>
      </c>
      <c r="I115">
        <v>0</v>
      </c>
      <c r="J115" t="s">
        <v>28</v>
      </c>
    </row>
    <row r="116" spans="1:10" x14ac:dyDescent="0.25">
      <c r="A116" s="1">
        <v>15</v>
      </c>
      <c r="B116" t="s">
        <v>55</v>
      </c>
      <c r="C116">
        <v>47</v>
      </c>
      <c r="D116">
        <v>2</v>
      </c>
      <c r="E116" t="s">
        <v>56</v>
      </c>
      <c r="F116" t="s">
        <v>57</v>
      </c>
      <c r="G116" t="str">
        <f>"2026-06-01 17:30:18.623"</f>
        <v>2026-06-01 17:30:18.623</v>
      </c>
      <c r="H116" t="s">
        <v>58</v>
      </c>
    </row>
    <row r="117" spans="1:10" x14ac:dyDescent="0.25">
      <c r="A117" s="1">
        <v>16</v>
      </c>
      <c r="B117" t="s">
        <v>19</v>
      </c>
      <c r="C117">
        <v>706</v>
      </c>
      <c r="D117">
        <v>4</v>
      </c>
      <c r="E117" t="s">
        <v>29</v>
      </c>
      <c r="F117" t="s">
        <v>30</v>
      </c>
      <c r="G117" t="str">
        <f>"2026-06-01 17:30:14.703"</f>
        <v>2026-06-01 17:30:14.703</v>
      </c>
      <c r="H117" t="s">
        <v>21</v>
      </c>
      <c r="I117">
        <v>0</v>
      </c>
      <c r="J117" t="s">
        <v>31</v>
      </c>
    </row>
    <row r="118" spans="1:10" x14ac:dyDescent="0.25">
      <c r="A118" s="1">
        <v>17</v>
      </c>
      <c r="B118" t="s">
        <v>49</v>
      </c>
      <c r="C118">
        <v>47</v>
      </c>
      <c r="D118">
        <v>2</v>
      </c>
      <c r="E118" t="s">
        <v>56</v>
      </c>
      <c r="F118" t="s">
        <v>57</v>
      </c>
      <c r="G118" t="str">
        <f>"2026-06-01 17:18:44.223"</f>
        <v>2026-06-01 17:18:44.223</v>
      </c>
      <c r="H118" t="s">
        <v>58</v>
      </c>
      <c r="I118">
        <v>0</v>
      </c>
      <c r="J118" t="s">
        <v>28</v>
      </c>
    </row>
    <row r="119" spans="1:10" x14ac:dyDescent="0.25">
      <c r="A119" s="1">
        <v>18</v>
      </c>
      <c r="B119" t="s">
        <v>19</v>
      </c>
      <c r="C119">
        <v>706</v>
      </c>
      <c r="D119">
        <v>2</v>
      </c>
      <c r="E119" t="s">
        <v>29</v>
      </c>
      <c r="F119" t="s">
        <v>59</v>
      </c>
      <c r="G119" t="str">
        <f>"2026-06-01 17:16:53.673"</f>
        <v>2026-06-01 17:16:53.673</v>
      </c>
      <c r="H119" t="s">
        <v>21</v>
      </c>
      <c r="I119">
        <v>0</v>
      </c>
      <c r="J119" t="s">
        <v>31</v>
      </c>
    </row>
    <row r="120" spans="1:10" x14ac:dyDescent="0.25">
      <c r="A120" s="1">
        <v>20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"2026-06-01 17:05:36.863"</f>
        <v>2026-06-01 17:05:36.863</v>
      </c>
      <c r="H120" t="s">
        <v>21</v>
      </c>
      <c r="I120">
        <v>0</v>
      </c>
      <c r="J120" t="s">
        <v>27</v>
      </c>
    </row>
    <row r="121" spans="1:10" x14ac:dyDescent="0.25">
      <c r="A121" s="1">
        <v>22</v>
      </c>
      <c r="B121" t="s">
        <v>49</v>
      </c>
      <c r="C121">
        <v>47</v>
      </c>
      <c r="D121">
        <v>2</v>
      </c>
      <c r="E121" t="s">
        <v>56</v>
      </c>
      <c r="F121" t="s">
        <v>57</v>
      </c>
      <c r="G121" t="str">
        <f>"2026-06-01 15:58:04.007"</f>
        <v>2026-06-01 15:58:04.007</v>
      </c>
      <c r="H121" t="s">
        <v>58</v>
      </c>
      <c r="I121">
        <v>0</v>
      </c>
      <c r="J121" t="s">
        <v>28</v>
      </c>
    </row>
    <row r="122" spans="1:10" x14ac:dyDescent="0.25">
      <c r="A122" s="1">
        <v>23</v>
      </c>
      <c r="B122" t="s">
        <v>22</v>
      </c>
      <c r="C122">
        <v>635</v>
      </c>
      <c r="D122">
        <v>1</v>
      </c>
      <c r="E122" t="s">
        <v>23</v>
      </c>
      <c r="F122" t="s">
        <v>24</v>
      </c>
      <c r="G122" t="str">
        <f>"2026-06-01 14:50:35.854"</f>
        <v>2026-06-01 14:50:35.854</v>
      </c>
      <c r="H122" t="s">
        <v>21</v>
      </c>
    </row>
    <row r="123" spans="1:10" x14ac:dyDescent="0.25">
      <c r="A123" s="1">
        <v>24</v>
      </c>
      <c r="B123" t="s">
        <v>25</v>
      </c>
      <c r="C123">
        <v>635</v>
      </c>
      <c r="D123">
        <v>1</v>
      </c>
      <c r="E123" t="s">
        <v>23</v>
      </c>
      <c r="F123" t="s">
        <v>24</v>
      </c>
      <c r="G123" t="str">
        <f>"2026-06-01 14:47:34.854"</f>
        <v>2026-06-01 14:47:34.854</v>
      </c>
      <c r="H123" t="s">
        <v>21</v>
      </c>
      <c r="I123">
        <v>1.26</v>
      </c>
      <c r="J123" t="s">
        <v>32</v>
      </c>
    </row>
    <row r="124" spans="1:10" x14ac:dyDescent="0.25">
      <c r="A124" s="1">
        <v>26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"2026-06-01 13:50:45.867"</f>
        <v>2026-06-01 13:50:45.867</v>
      </c>
      <c r="H124" t="s">
        <v>21</v>
      </c>
    </row>
    <row r="125" spans="1:10" x14ac:dyDescent="0.25">
      <c r="A125" s="1">
        <v>29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"2026-05-31 13:38:20.884"</f>
        <v>2026-05-31 13:38:20.884</v>
      </c>
      <c r="H125" t="s">
        <v>21</v>
      </c>
      <c r="I125">
        <v>0</v>
      </c>
      <c r="J125" t="s">
        <v>27</v>
      </c>
    </row>
    <row r="126" spans="1:10" x14ac:dyDescent="0.25">
      <c r="A126" s="1">
        <v>31</v>
      </c>
      <c r="B126" t="s">
        <v>49</v>
      </c>
      <c r="C126">
        <v>47</v>
      </c>
      <c r="D126">
        <v>2</v>
      </c>
      <c r="E126" t="s">
        <v>56</v>
      </c>
      <c r="F126" t="s">
        <v>57</v>
      </c>
      <c r="G126" t="str">
        <f>"2026-05-31 12:40:45.990"</f>
        <v>2026-05-31 12:40:45.990</v>
      </c>
      <c r="H126" t="s">
        <v>58</v>
      </c>
      <c r="I126">
        <v>0</v>
      </c>
      <c r="J126" t="s">
        <v>28</v>
      </c>
    </row>
    <row r="127" spans="1:10" x14ac:dyDescent="0.25">
      <c r="A127" s="1">
        <v>32</v>
      </c>
      <c r="B127" t="s">
        <v>22</v>
      </c>
      <c r="C127">
        <v>635</v>
      </c>
      <c r="D127">
        <v>1</v>
      </c>
      <c r="E127" t="s">
        <v>23</v>
      </c>
      <c r="F127" t="s">
        <v>24</v>
      </c>
      <c r="G127" t="str">
        <f>"2026-05-31 02:57:27.377"</f>
        <v>2026-05-31 02:57:27.377</v>
      </c>
      <c r="H127" t="s">
        <v>21</v>
      </c>
    </row>
    <row r="128" spans="1:10" x14ac:dyDescent="0.25">
      <c r="A128" s="1">
        <v>33</v>
      </c>
      <c r="B128" t="s">
        <v>25</v>
      </c>
      <c r="C128">
        <v>635</v>
      </c>
      <c r="D128">
        <v>1</v>
      </c>
      <c r="E128" t="s">
        <v>23</v>
      </c>
      <c r="F128" t="s">
        <v>24</v>
      </c>
      <c r="G128" t="str">
        <f>"2026-05-31 02:53:12.877"</f>
        <v>2026-05-31 02:53:12.877</v>
      </c>
      <c r="H128" t="s">
        <v>21</v>
      </c>
      <c r="I128">
        <v>0.68</v>
      </c>
      <c r="J128" t="s">
        <v>32</v>
      </c>
    </row>
    <row r="129" spans="1:10" x14ac:dyDescent="0.25">
      <c r="A129" s="1">
        <v>34</v>
      </c>
      <c r="B129" t="s">
        <v>19</v>
      </c>
      <c r="C129">
        <v>706</v>
      </c>
      <c r="D129">
        <v>2</v>
      </c>
      <c r="E129" t="s">
        <v>29</v>
      </c>
      <c r="F129" t="s">
        <v>59</v>
      </c>
      <c r="G129" t="str">
        <f>"2026-05-30 13:44:51.166"</f>
        <v>2026-05-30 13:44:51.166</v>
      </c>
      <c r="H129" t="s">
        <v>21</v>
      </c>
      <c r="I129">
        <v>0</v>
      </c>
      <c r="J129" t="s">
        <v>31</v>
      </c>
    </row>
    <row r="130" spans="1:10" x14ac:dyDescent="0.25">
      <c r="A130" s="1">
        <v>35</v>
      </c>
      <c r="B130" t="s">
        <v>22</v>
      </c>
      <c r="C130">
        <v>635</v>
      </c>
      <c r="D130">
        <v>1</v>
      </c>
      <c r="E130" t="s">
        <v>23</v>
      </c>
      <c r="F130" t="s">
        <v>24</v>
      </c>
      <c r="G130" t="str">
        <f>"2026-05-29 18:53:11.077"</f>
        <v>2026-05-29 18:53:11.077</v>
      </c>
      <c r="H130" t="s">
        <v>21</v>
      </c>
    </row>
    <row r="131" spans="1:10" x14ac:dyDescent="0.25">
      <c r="A131" s="1">
        <v>36</v>
      </c>
      <c r="B131" t="s">
        <v>25</v>
      </c>
      <c r="C131">
        <v>635</v>
      </c>
      <c r="D131">
        <v>1</v>
      </c>
      <c r="E131" t="s">
        <v>23</v>
      </c>
      <c r="F131" t="s">
        <v>24</v>
      </c>
      <c r="G131" t="str">
        <f>"2026-05-29 18:48:24.178"</f>
        <v>2026-05-29 18:48:24.178</v>
      </c>
      <c r="H131" t="s">
        <v>21</v>
      </c>
      <c r="I131">
        <v>-0.14000000000000001</v>
      </c>
      <c r="J131" t="s">
        <v>32</v>
      </c>
    </row>
    <row r="132" spans="1:10" x14ac:dyDescent="0.25">
      <c r="A132" s="1">
        <v>38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"2026-05-29 12:34:39.846"</f>
        <v>2026-05-29 12:34:39.846</v>
      </c>
      <c r="H132" t="s">
        <v>21</v>
      </c>
      <c r="I132">
        <v>0</v>
      </c>
      <c r="J132" t="s">
        <v>27</v>
      </c>
    </row>
    <row r="133" spans="1:10" x14ac:dyDescent="0.25">
      <c r="A133" s="1">
        <v>41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"2026-05-29 07:48:08.869"</f>
        <v>2026-05-29 07:48:08.869</v>
      </c>
      <c r="H133" t="s">
        <v>21</v>
      </c>
    </row>
    <row r="134" spans="1:10" x14ac:dyDescent="0.25">
      <c r="A134" s="1">
        <v>43</v>
      </c>
      <c r="B134" t="s">
        <v>49</v>
      </c>
      <c r="C134">
        <v>47</v>
      </c>
      <c r="D134">
        <v>2</v>
      </c>
      <c r="E134" t="s">
        <v>56</v>
      </c>
      <c r="F134" t="s">
        <v>57</v>
      </c>
      <c r="G134" t="str">
        <f>"2026-05-29 07:39:19.686"</f>
        <v>2026-05-29 07:39:19.686</v>
      </c>
      <c r="H134" t="s">
        <v>58</v>
      </c>
      <c r="I134">
        <v>0</v>
      </c>
      <c r="J134" t="s">
        <v>28</v>
      </c>
    </row>
    <row r="135" spans="1:10" x14ac:dyDescent="0.25">
      <c r="A135" s="1">
        <v>44</v>
      </c>
      <c r="B135" t="s">
        <v>19</v>
      </c>
      <c r="C135">
        <v>706</v>
      </c>
      <c r="D135">
        <v>2</v>
      </c>
      <c r="E135" t="s">
        <v>29</v>
      </c>
      <c r="F135" t="s">
        <v>59</v>
      </c>
      <c r="G135" t="str">
        <f>"2026-05-29 01:39:34.485"</f>
        <v>2026-05-29 01:39:34.485</v>
      </c>
      <c r="H135" t="s">
        <v>21</v>
      </c>
      <c r="I135">
        <v>0</v>
      </c>
      <c r="J135" t="s">
        <v>31</v>
      </c>
    </row>
    <row r="136" spans="1:10" x14ac:dyDescent="0.25">
      <c r="A136" s="1">
        <v>46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"2026-05-29 01:38:58.035"</f>
        <v>2026-05-29 01:38:58.035</v>
      </c>
      <c r="H136" t="s">
        <v>21</v>
      </c>
    </row>
    <row r="137" spans="1:10" x14ac:dyDescent="0.25">
      <c r="A137" s="1">
        <v>49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"2026-05-28 13:24:04.839"</f>
        <v>2026-05-28 13:24:04.839</v>
      </c>
      <c r="H137" t="s">
        <v>21</v>
      </c>
    </row>
    <row r="138" spans="1:10" x14ac:dyDescent="0.25">
      <c r="A138" s="1">
        <v>51</v>
      </c>
      <c r="B138" t="s">
        <v>19</v>
      </c>
      <c r="C138">
        <v>706</v>
      </c>
      <c r="D138">
        <v>2</v>
      </c>
      <c r="E138" t="s">
        <v>29</v>
      </c>
      <c r="F138" t="s">
        <v>59</v>
      </c>
      <c r="G138" t="str">
        <f>"2026-05-28 13:04:59.305"</f>
        <v>2026-05-28 13:04:59.305</v>
      </c>
      <c r="H138" t="s">
        <v>21</v>
      </c>
      <c r="I138">
        <v>0</v>
      </c>
      <c r="J138" t="s">
        <v>31</v>
      </c>
    </row>
    <row r="139" spans="1:10" x14ac:dyDescent="0.25">
      <c r="A139" s="1">
        <v>53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"2026-05-27 12:42:51.845"</f>
        <v>2026-05-27 12:42:51.845</v>
      </c>
      <c r="H139" t="s">
        <v>21</v>
      </c>
      <c r="I139">
        <v>0</v>
      </c>
      <c r="J139" t="s">
        <v>27</v>
      </c>
    </row>
    <row r="140" spans="1:10" x14ac:dyDescent="0.25">
      <c r="A140" s="1">
        <v>56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"2026-05-26 13:50:23.833"</f>
        <v>2026-05-26 13:50:23.833</v>
      </c>
      <c r="H140" t="s">
        <v>21</v>
      </c>
      <c r="I140">
        <v>0</v>
      </c>
      <c r="J140" t="s">
        <v>27</v>
      </c>
    </row>
    <row r="141" spans="1:10" x14ac:dyDescent="0.25">
      <c r="A141" s="1">
        <v>58</v>
      </c>
      <c r="B141" t="s">
        <v>49</v>
      </c>
      <c r="C141">
        <v>47</v>
      </c>
      <c r="D141">
        <v>2</v>
      </c>
      <c r="E141" t="s">
        <v>56</v>
      </c>
      <c r="F141" t="s">
        <v>57</v>
      </c>
      <c r="G141" t="str">
        <f>"2026-05-26 12:54:49.868"</f>
        <v>2026-05-26 12:54:49.868</v>
      </c>
      <c r="H141" t="s">
        <v>58</v>
      </c>
      <c r="I141">
        <v>0</v>
      </c>
      <c r="J141" t="s">
        <v>28</v>
      </c>
    </row>
    <row r="142" spans="1:10" x14ac:dyDescent="0.25">
      <c r="A142" s="1">
        <v>60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"2026-05-24 13:32:22.815"</f>
        <v>2026-05-24 13:32:22.815</v>
      </c>
      <c r="H142" t="s">
        <v>21</v>
      </c>
    </row>
    <row r="143" spans="1:10" x14ac:dyDescent="0.25">
      <c r="A143" s="1">
        <v>62</v>
      </c>
      <c r="B143" t="s">
        <v>49</v>
      </c>
      <c r="C143">
        <v>47</v>
      </c>
      <c r="D143">
        <v>2</v>
      </c>
      <c r="E143" t="s">
        <v>56</v>
      </c>
      <c r="F143" t="s">
        <v>57</v>
      </c>
      <c r="G143" t="str">
        <f>"2026-05-24 12:54:35.769"</f>
        <v>2026-05-24 12:54:35.769</v>
      </c>
      <c r="H143" t="s">
        <v>58</v>
      </c>
      <c r="I143">
        <v>0</v>
      </c>
      <c r="J143" t="s">
        <v>28</v>
      </c>
    </row>
    <row r="144" spans="1:10" x14ac:dyDescent="0.25">
      <c r="A144" s="1">
        <v>64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"2026-05-24 12:51:00.827"</f>
        <v>2026-05-24 12:51:00.827</v>
      </c>
      <c r="H144" t="s">
        <v>21</v>
      </c>
      <c r="I144">
        <v>0</v>
      </c>
      <c r="J144" t="s">
        <v>27</v>
      </c>
    </row>
    <row r="145" spans="1:10" x14ac:dyDescent="0.25">
      <c r="A145" s="1">
        <v>66</v>
      </c>
      <c r="B145" t="s">
        <v>49</v>
      </c>
      <c r="C145">
        <v>47</v>
      </c>
      <c r="D145">
        <v>2</v>
      </c>
      <c r="E145" t="s">
        <v>56</v>
      </c>
      <c r="F145" t="s">
        <v>57</v>
      </c>
      <c r="G145" t="str">
        <f>"2026-05-24 12:16:40.762"</f>
        <v>2026-05-24 12:16:40.762</v>
      </c>
      <c r="H145" t="s">
        <v>58</v>
      </c>
      <c r="I145">
        <v>-0.08</v>
      </c>
      <c r="J145" t="s">
        <v>28</v>
      </c>
    </row>
    <row r="146" spans="1:10" x14ac:dyDescent="0.25">
      <c r="A146" s="1">
        <v>68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"2026-05-23 13:40:51.821"</f>
        <v>2026-05-23 13:40:51.821</v>
      </c>
      <c r="H146" t="s">
        <v>21</v>
      </c>
      <c r="I146">
        <v>0</v>
      </c>
      <c r="J146" t="s">
        <v>27</v>
      </c>
    </row>
    <row r="147" spans="1:10" x14ac:dyDescent="0.25">
      <c r="A147" s="1">
        <v>71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"2026-05-21 22:54:29.820"</f>
        <v>2026-05-21 22:54:29.820</v>
      </c>
      <c r="H147" t="s">
        <v>21</v>
      </c>
    </row>
    <row r="148" spans="1:10" x14ac:dyDescent="0.25">
      <c r="A148" s="1">
        <v>73</v>
      </c>
      <c r="B148" t="s">
        <v>49</v>
      </c>
      <c r="C148">
        <v>47</v>
      </c>
      <c r="D148">
        <v>2</v>
      </c>
      <c r="E148" t="s">
        <v>56</v>
      </c>
      <c r="F148" t="s">
        <v>57</v>
      </c>
      <c r="G148" t="str">
        <f>"2026-05-21 22:42:33.282"</f>
        <v>2026-05-21 22:42:33.282</v>
      </c>
      <c r="H148" t="s">
        <v>58</v>
      </c>
      <c r="I148">
        <v>0</v>
      </c>
      <c r="J148" t="s">
        <v>28</v>
      </c>
    </row>
    <row r="149" spans="1:10" x14ac:dyDescent="0.25">
      <c r="A149" s="1">
        <v>75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"2026-05-21 22:41:46.922"</f>
        <v>2026-05-21 22:41:46.922</v>
      </c>
      <c r="H149" t="s">
        <v>21</v>
      </c>
    </row>
    <row r="150" spans="1:10" x14ac:dyDescent="0.25">
      <c r="A150" s="1">
        <v>77</v>
      </c>
      <c r="B150" t="s">
        <v>19</v>
      </c>
      <c r="C150">
        <v>706</v>
      </c>
      <c r="D150">
        <v>4</v>
      </c>
      <c r="E150" t="s">
        <v>29</v>
      </c>
      <c r="F150" t="s">
        <v>30</v>
      </c>
      <c r="G150" t="str">
        <f>"2026-05-21 22:28:34.498"</f>
        <v>2026-05-21 22:28:34.498</v>
      </c>
      <c r="H150" t="s">
        <v>21</v>
      </c>
      <c r="I150">
        <v>0</v>
      </c>
      <c r="J150" t="s">
        <v>31</v>
      </c>
    </row>
    <row r="151" spans="1:10" x14ac:dyDescent="0.25">
      <c r="A151" s="1">
        <v>78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"2026-05-21 21:57:18.828"</f>
        <v>2026-05-21 21:57:18.828</v>
      </c>
      <c r="H151" t="s">
        <v>21</v>
      </c>
    </row>
    <row r="152" spans="1:10" x14ac:dyDescent="0.25">
      <c r="A152" s="1">
        <v>80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"2026-05-21 21:30:53.053"</f>
        <v>2026-05-21 21:30:53.053</v>
      </c>
      <c r="H152" t="s">
        <v>21</v>
      </c>
    </row>
    <row r="153" spans="1:10" x14ac:dyDescent="0.25">
      <c r="A153" s="1">
        <v>83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"2026-05-21 20:48:57.812"</f>
        <v>2026-05-21 20:48:57.812</v>
      </c>
      <c r="H153" t="s">
        <v>21</v>
      </c>
    </row>
    <row r="154" spans="1:10" x14ac:dyDescent="0.25">
      <c r="A154" s="1">
        <v>85</v>
      </c>
      <c r="B154" t="s">
        <v>49</v>
      </c>
      <c r="C154">
        <v>47</v>
      </c>
      <c r="D154">
        <v>2</v>
      </c>
      <c r="E154" t="s">
        <v>56</v>
      </c>
      <c r="F154" t="s">
        <v>57</v>
      </c>
      <c r="G154" t="str">
        <f>"2026-05-21 16:58:30.056"</f>
        <v>2026-05-21 16:58:30.056</v>
      </c>
      <c r="H154" t="s">
        <v>58</v>
      </c>
      <c r="I154">
        <v>0</v>
      </c>
      <c r="J154" t="s">
        <v>28</v>
      </c>
    </row>
    <row r="155" spans="1:10" x14ac:dyDescent="0.25">
      <c r="A155" s="1">
        <v>86</v>
      </c>
      <c r="B155" t="s">
        <v>19</v>
      </c>
      <c r="C155">
        <v>706</v>
      </c>
      <c r="D155">
        <v>4</v>
      </c>
      <c r="E155" t="s">
        <v>29</v>
      </c>
      <c r="F155" t="s">
        <v>30</v>
      </c>
      <c r="G155" t="str">
        <f>"2026-05-21 16:56:30.176"</f>
        <v>2026-05-21 16:56:30.176</v>
      </c>
      <c r="H155" t="s">
        <v>21</v>
      </c>
      <c r="I155">
        <v>0</v>
      </c>
      <c r="J155" t="s">
        <v>31</v>
      </c>
    </row>
    <row r="156" spans="1:10" x14ac:dyDescent="0.25">
      <c r="A156" s="1">
        <v>88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"2026-05-21 16:56:06.806"</f>
        <v>2026-05-21 16:56:06.806</v>
      </c>
      <c r="H156" t="s">
        <v>21</v>
      </c>
      <c r="I156">
        <v>0</v>
      </c>
      <c r="J156" t="s">
        <v>27</v>
      </c>
    </row>
    <row r="157" spans="1:10" x14ac:dyDescent="0.25">
      <c r="A157" s="1">
        <v>91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"2026-05-21 15:53:19.827"</f>
        <v>2026-05-21 15:53:19.827</v>
      </c>
      <c r="H157" t="s">
        <v>21</v>
      </c>
      <c r="I157">
        <v>0</v>
      </c>
      <c r="J157" t="s">
        <v>27</v>
      </c>
    </row>
    <row r="158" spans="1:10" x14ac:dyDescent="0.25">
      <c r="A158" s="1">
        <v>94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"2026-05-21 15:35:28.813"</f>
        <v>2026-05-21 15:35:28.813</v>
      </c>
      <c r="H158" t="s">
        <v>21</v>
      </c>
    </row>
    <row r="159" spans="1:10" x14ac:dyDescent="0.25">
      <c r="A159" s="1">
        <v>96</v>
      </c>
      <c r="B159" t="s">
        <v>49</v>
      </c>
      <c r="C159">
        <v>47</v>
      </c>
      <c r="D159">
        <v>2</v>
      </c>
      <c r="E159" t="s">
        <v>56</v>
      </c>
      <c r="F159" t="s">
        <v>57</v>
      </c>
      <c r="G159" t="str">
        <f>"2026-05-21 15:26:55.363"</f>
        <v>2026-05-21 15:26:55.363</v>
      </c>
      <c r="H159" t="s">
        <v>58</v>
      </c>
      <c r="I159">
        <v>0</v>
      </c>
      <c r="J159" t="s">
        <v>28</v>
      </c>
    </row>
    <row r="160" spans="1:10" x14ac:dyDescent="0.25">
      <c r="A160" s="1">
        <v>98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"2026-05-21 15:05:30.823"</f>
        <v>2026-05-21 15:05:30.823</v>
      </c>
      <c r="H160" t="s">
        <v>21</v>
      </c>
      <c r="I160">
        <v>0</v>
      </c>
      <c r="J160" t="s">
        <v>27</v>
      </c>
    </row>
    <row r="161" spans="1:10" x14ac:dyDescent="0.25">
      <c r="A161" s="1">
        <v>0</v>
      </c>
      <c r="B161" t="s">
        <v>49</v>
      </c>
      <c r="C161">
        <v>47</v>
      </c>
      <c r="D161">
        <v>2</v>
      </c>
      <c r="E161" t="s">
        <v>56</v>
      </c>
      <c r="F161" t="s">
        <v>57</v>
      </c>
      <c r="G161" t="str">
        <f>"2026-05-21 14:58:20.262"</f>
        <v>2026-05-21 14:58:20.262</v>
      </c>
      <c r="H161" t="s">
        <v>58</v>
      </c>
      <c r="I161">
        <v>0</v>
      </c>
      <c r="J161" t="s">
        <v>31</v>
      </c>
    </row>
    <row r="162" spans="1:10" x14ac:dyDescent="0.25">
      <c r="A162" s="1">
        <v>1</v>
      </c>
      <c r="B162" t="s">
        <v>55</v>
      </c>
      <c r="C162">
        <v>47</v>
      </c>
      <c r="D162">
        <v>2</v>
      </c>
      <c r="E162" t="s">
        <v>56</v>
      </c>
      <c r="F162" t="s">
        <v>57</v>
      </c>
      <c r="G162" t="str">
        <f>"2026-05-21 13:50:16.362"</f>
        <v>2026-05-21 13:50:16.362</v>
      </c>
      <c r="H162" t="s">
        <v>58</v>
      </c>
    </row>
    <row r="163" spans="1:10" x14ac:dyDescent="0.25">
      <c r="A163" s="1">
        <v>2</v>
      </c>
      <c r="B163" t="s">
        <v>19</v>
      </c>
      <c r="C163">
        <v>706</v>
      </c>
      <c r="D163">
        <v>4</v>
      </c>
      <c r="E163" t="s">
        <v>29</v>
      </c>
      <c r="F163" t="s">
        <v>30</v>
      </c>
      <c r="G163" t="str">
        <f>"2026-05-21 13:50:12.891"</f>
        <v>2026-05-21 13:50:12.891</v>
      </c>
      <c r="H163" t="s">
        <v>21</v>
      </c>
      <c r="I163">
        <v>0</v>
      </c>
      <c r="J163" t="s">
        <v>31</v>
      </c>
    </row>
    <row r="164" spans="1:10" x14ac:dyDescent="0.25">
      <c r="A164" s="1">
        <v>3</v>
      </c>
      <c r="B164" t="s">
        <v>49</v>
      </c>
      <c r="C164">
        <v>47</v>
      </c>
      <c r="D164">
        <v>2</v>
      </c>
      <c r="E164" t="s">
        <v>56</v>
      </c>
      <c r="F164" t="s">
        <v>57</v>
      </c>
      <c r="G164" t="str">
        <f>"2026-05-21 12:57:52.662"</f>
        <v>2026-05-21 12:57:52.662</v>
      </c>
      <c r="H164" t="s">
        <v>58</v>
      </c>
      <c r="I164">
        <v>0</v>
      </c>
      <c r="J164" t="s">
        <v>28</v>
      </c>
    </row>
    <row r="165" spans="1:10" x14ac:dyDescent="0.25">
      <c r="A165" s="1">
        <v>5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"2026-05-20 08:27:12.801"</f>
        <v>2026-05-20 08:27:12.801</v>
      </c>
      <c r="H165" t="s">
        <v>21</v>
      </c>
    </row>
    <row r="166" spans="1:10" x14ac:dyDescent="0.25">
      <c r="A166" s="1">
        <v>7</v>
      </c>
      <c r="B166" t="s">
        <v>49</v>
      </c>
      <c r="C166">
        <v>47</v>
      </c>
      <c r="D166">
        <v>2</v>
      </c>
      <c r="E166" t="s">
        <v>56</v>
      </c>
      <c r="F166" t="s">
        <v>57</v>
      </c>
      <c r="G166" t="str">
        <f>"2026-05-20 08:22:04.098"</f>
        <v>2026-05-20 08:22:04.098</v>
      </c>
      <c r="H166" t="s">
        <v>58</v>
      </c>
      <c r="I166">
        <v>0</v>
      </c>
      <c r="J166" t="s">
        <v>28</v>
      </c>
    </row>
    <row r="167" spans="1:10" x14ac:dyDescent="0.25">
      <c r="A167" s="1">
        <v>8</v>
      </c>
      <c r="B167" t="s">
        <v>22</v>
      </c>
      <c r="C167">
        <v>635</v>
      </c>
      <c r="D167">
        <v>1</v>
      </c>
      <c r="E167" t="s">
        <v>23</v>
      </c>
      <c r="F167" t="s">
        <v>24</v>
      </c>
      <c r="G167" t="str">
        <f>"2026-05-20 07:22:44.898"</f>
        <v>2026-05-20 07:22:44.898</v>
      </c>
      <c r="H167" t="s">
        <v>21</v>
      </c>
    </row>
    <row r="168" spans="1:10" x14ac:dyDescent="0.25">
      <c r="A168" s="1">
        <v>9</v>
      </c>
      <c r="B168" t="s">
        <v>25</v>
      </c>
      <c r="C168">
        <v>635</v>
      </c>
      <c r="D168">
        <v>1</v>
      </c>
      <c r="E168" t="s">
        <v>23</v>
      </c>
      <c r="F168" t="s">
        <v>24</v>
      </c>
      <c r="G168" t="str">
        <f>"2026-05-20 07:16:41.898"</f>
        <v>2026-05-20 07:16:41.898</v>
      </c>
      <c r="H168" t="s">
        <v>21</v>
      </c>
      <c r="I168">
        <v>0.06</v>
      </c>
      <c r="J168" t="s">
        <v>28</v>
      </c>
    </row>
    <row r="169" spans="1:10" x14ac:dyDescent="0.25">
      <c r="A169" s="1">
        <v>10</v>
      </c>
      <c r="B169" t="s">
        <v>55</v>
      </c>
      <c r="C169">
        <v>47</v>
      </c>
      <c r="D169">
        <v>2</v>
      </c>
      <c r="E169" t="s">
        <v>56</v>
      </c>
      <c r="F169" t="s">
        <v>57</v>
      </c>
      <c r="G169" t="str">
        <f>"2026-05-19 14:02:27.298"</f>
        <v>2026-05-19 14:02:27.298</v>
      </c>
      <c r="H169" t="s">
        <v>58</v>
      </c>
    </row>
    <row r="170" spans="1:10" x14ac:dyDescent="0.25">
      <c r="A170" s="1">
        <v>11</v>
      </c>
      <c r="B170" t="s">
        <v>19</v>
      </c>
      <c r="C170">
        <v>706</v>
      </c>
      <c r="D170">
        <v>4</v>
      </c>
      <c r="E170" t="s">
        <v>29</v>
      </c>
      <c r="F170" t="s">
        <v>30</v>
      </c>
      <c r="G170" t="str">
        <f>"2026-05-19 14:02:23.518"</f>
        <v>2026-05-19 14:02:23.518</v>
      </c>
      <c r="H170" t="s">
        <v>21</v>
      </c>
      <c r="I170">
        <v>0</v>
      </c>
      <c r="J170" t="s">
        <v>31</v>
      </c>
    </row>
    <row r="171" spans="1:10" x14ac:dyDescent="0.25">
      <c r="A171" s="1">
        <v>12</v>
      </c>
      <c r="B171" t="s">
        <v>49</v>
      </c>
      <c r="C171">
        <v>47</v>
      </c>
      <c r="D171">
        <v>2</v>
      </c>
      <c r="E171" t="s">
        <v>56</v>
      </c>
      <c r="F171" t="s">
        <v>57</v>
      </c>
      <c r="G171" t="str">
        <f>"2026-05-19 13:06:21.998"</f>
        <v>2026-05-19 13:06:21.998</v>
      </c>
      <c r="H171" t="s">
        <v>58</v>
      </c>
      <c r="I171">
        <v>0</v>
      </c>
      <c r="J171" t="s">
        <v>28</v>
      </c>
    </row>
    <row r="172" spans="1:10" s="3" customFormat="1" x14ac:dyDescent="0.25">
      <c r="A172" s="2">
        <v>13</v>
      </c>
      <c r="B172" s="3" t="s">
        <v>22</v>
      </c>
      <c r="C172" s="3">
        <v>647</v>
      </c>
      <c r="D172" s="3">
        <v>1</v>
      </c>
      <c r="E172" s="3" t="s">
        <v>60</v>
      </c>
      <c r="F172" s="3" t="s">
        <v>61</v>
      </c>
      <c r="G172" s="3" t="str">
        <f>"2026-05-19 09:54:02.499"</f>
        <v>2026-05-19 09:54:02.499</v>
      </c>
      <c r="H172" s="3" t="s">
        <v>21</v>
      </c>
    </row>
    <row r="173" spans="1:10" s="3" customFormat="1" x14ac:dyDescent="0.25">
      <c r="A173" s="2">
        <v>14</v>
      </c>
      <c r="B173" s="3" t="s">
        <v>25</v>
      </c>
      <c r="C173" s="3">
        <v>647</v>
      </c>
      <c r="D173" s="3">
        <v>1</v>
      </c>
      <c r="E173" s="3" t="s">
        <v>60</v>
      </c>
      <c r="F173" s="3" t="s">
        <v>61</v>
      </c>
      <c r="G173" s="3" t="str">
        <f>"2026-05-19 09:53:59.199"</f>
        <v>2026-05-19 09:53:59.199</v>
      </c>
      <c r="H173" s="3" t="s">
        <v>21</v>
      </c>
      <c r="I173" s="3">
        <v>8.6</v>
      </c>
      <c r="J173" s="3" t="s">
        <v>28</v>
      </c>
    </row>
    <row r="174" spans="1:10" x14ac:dyDescent="0.25">
      <c r="A174" s="1">
        <v>16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"2026-05-19 06:07:16.838"</f>
        <v>2026-05-19 06:07:16.838</v>
      </c>
      <c r="H174" t="s">
        <v>21</v>
      </c>
      <c r="I174">
        <v>0</v>
      </c>
      <c r="J174" t="s">
        <v>27</v>
      </c>
    </row>
    <row r="175" spans="1:10" x14ac:dyDescent="0.25">
      <c r="A175" s="1">
        <v>18</v>
      </c>
      <c r="B175" t="s">
        <v>22</v>
      </c>
      <c r="C175">
        <v>49</v>
      </c>
      <c r="D175">
        <v>1</v>
      </c>
      <c r="E175" t="s">
        <v>62</v>
      </c>
      <c r="F175" t="s">
        <v>63</v>
      </c>
      <c r="G175" t="str">
        <f>"2026-05-18 13:55:16.642"</f>
        <v>2026-05-18 13:55:16.642</v>
      </c>
      <c r="H175" t="s">
        <v>64</v>
      </c>
    </row>
    <row r="176" spans="1:10" x14ac:dyDescent="0.25">
      <c r="A176" s="1">
        <v>20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"2026-05-18 13:54:46.881"</f>
        <v>2026-05-18 13:54:46.881</v>
      </c>
      <c r="H176" t="s">
        <v>21</v>
      </c>
    </row>
    <row r="177" spans="1:10" x14ac:dyDescent="0.25">
      <c r="A177" s="1">
        <v>21</v>
      </c>
      <c r="B177" t="s">
        <v>25</v>
      </c>
      <c r="C177">
        <v>49</v>
      </c>
      <c r="D177">
        <v>1</v>
      </c>
      <c r="E177" t="s">
        <v>62</v>
      </c>
      <c r="F177" t="s">
        <v>63</v>
      </c>
      <c r="G177" t="str">
        <f>"2026-05-18 13:30:44.007"</f>
        <v>2026-05-18 13:30:44.007</v>
      </c>
      <c r="H177" t="s">
        <v>64</v>
      </c>
      <c r="I177">
        <v>0</v>
      </c>
      <c r="J177" t="s">
        <v>31</v>
      </c>
    </row>
    <row r="178" spans="1:10" x14ac:dyDescent="0.25">
      <c r="A178" s="1">
        <v>23</v>
      </c>
      <c r="B178" t="s">
        <v>49</v>
      </c>
      <c r="C178">
        <v>47</v>
      </c>
      <c r="D178">
        <v>2</v>
      </c>
      <c r="E178" t="s">
        <v>56</v>
      </c>
      <c r="F178" t="s">
        <v>57</v>
      </c>
      <c r="G178" t="str">
        <f>"2026-05-18 13:29:35.106"</f>
        <v>2026-05-18 13:29:35.106</v>
      </c>
      <c r="H178" t="s">
        <v>58</v>
      </c>
      <c r="I178">
        <v>0</v>
      </c>
      <c r="J178" t="s">
        <v>28</v>
      </c>
    </row>
    <row r="179" spans="1:10" x14ac:dyDescent="0.25">
      <c r="A179" s="1">
        <v>25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"2026-05-17 12:49:19.937"</f>
        <v>2026-05-17 12:49:19.937</v>
      </c>
      <c r="H179" t="s">
        <v>21</v>
      </c>
      <c r="I179">
        <v>0</v>
      </c>
      <c r="J179" t="s">
        <v>27</v>
      </c>
    </row>
    <row r="180" spans="1:10" x14ac:dyDescent="0.25">
      <c r="A180" s="1">
        <v>28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"2026-05-17 08:05:51.797"</f>
        <v>2026-05-17 08:05:51.797</v>
      </c>
      <c r="H180" t="s">
        <v>21</v>
      </c>
      <c r="I180">
        <v>0</v>
      </c>
      <c r="J180" t="s">
        <v>27</v>
      </c>
    </row>
    <row r="181" spans="1:10" x14ac:dyDescent="0.25">
      <c r="A181" s="1">
        <v>31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"2026-05-17 07:58:18.933"</f>
        <v>2026-05-17 07:58:18.933</v>
      </c>
      <c r="H181" t="s">
        <v>21</v>
      </c>
    </row>
    <row r="182" spans="1:10" x14ac:dyDescent="0.25">
      <c r="A182" s="1">
        <v>33</v>
      </c>
      <c r="B182" t="s">
        <v>49</v>
      </c>
      <c r="C182">
        <v>47</v>
      </c>
      <c r="D182">
        <v>2</v>
      </c>
      <c r="E182" t="s">
        <v>56</v>
      </c>
      <c r="F182" t="s">
        <v>57</v>
      </c>
      <c r="G182" t="str">
        <f>"2026-05-17 07:47:39.392"</f>
        <v>2026-05-17 07:47:39.392</v>
      </c>
      <c r="H182" t="s">
        <v>58</v>
      </c>
      <c r="I182">
        <v>0</v>
      </c>
      <c r="J182" t="s">
        <v>28</v>
      </c>
    </row>
    <row r="183" spans="1:10" x14ac:dyDescent="0.25">
      <c r="A183" s="1">
        <v>34</v>
      </c>
      <c r="B183" t="s">
        <v>19</v>
      </c>
      <c r="C183">
        <v>706</v>
      </c>
      <c r="D183">
        <v>4</v>
      </c>
      <c r="E183" t="s">
        <v>29</v>
      </c>
      <c r="F183" t="s">
        <v>30</v>
      </c>
      <c r="G183" t="str">
        <f>"2026-05-16 14:05:07.646"</f>
        <v>2026-05-16 14:05:07.646</v>
      </c>
      <c r="H183" t="s">
        <v>21</v>
      </c>
      <c r="I183">
        <v>0</v>
      </c>
      <c r="J183" t="s">
        <v>31</v>
      </c>
    </row>
    <row r="184" spans="1:10" x14ac:dyDescent="0.25">
      <c r="A184" s="1">
        <v>36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"2026-05-16 13:52:53.796"</f>
        <v>2026-05-16 13:52:53.796</v>
      </c>
      <c r="H184" t="s">
        <v>21</v>
      </c>
      <c r="I184">
        <v>0</v>
      </c>
      <c r="J184" t="s">
        <v>27</v>
      </c>
    </row>
    <row r="185" spans="1:10" x14ac:dyDescent="0.25">
      <c r="A185" s="1">
        <v>38</v>
      </c>
      <c r="B185" t="s">
        <v>22</v>
      </c>
      <c r="C185">
        <v>49</v>
      </c>
      <c r="D185">
        <v>1</v>
      </c>
      <c r="E185" t="s">
        <v>62</v>
      </c>
      <c r="F185" t="s">
        <v>63</v>
      </c>
      <c r="G185" t="str">
        <f>"2026-05-16 13:39:57.975"</f>
        <v>2026-05-16 13:39:57.975</v>
      </c>
      <c r="H185" t="s">
        <v>64</v>
      </c>
    </row>
    <row r="186" spans="1:10" x14ac:dyDescent="0.25">
      <c r="A186" s="1">
        <v>40</v>
      </c>
      <c r="B186" t="s">
        <v>25</v>
      </c>
      <c r="C186">
        <v>49</v>
      </c>
      <c r="D186">
        <v>1</v>
      </c>
      <c r="E186" t="s">
        <v>62</v>
      </c>
      <c r="F186" t="s">
        <v>63</v>
      </c>
      <c r="G186" t="str">
        <f>"2026-05-16 12:59:35.975"</f>
        <v>2026-05-16 12:59:35.975</v>
      </c>
      <c r="H186" t="s">
        <v>64</v>
      </c>
      <c r="I186">
        <v>0</v>
      </c>
      <c r="J186" t="s">
        <v>31</v>
      </c>
    </row>
    <row r="187" spans="1:10" x14ac:dyDescent="0.25">
      <c r="A187" s="1">
        <v>42</v>
      </c>
      <c r="B187" t="s">
        <v>55</v>
      </c>
      <c r="C187">
        <v>47</v>
      </c>
      <c r="D187">
        <v>2</v>
      </c>
      <c r="E187" t="s">
        <v>56</v>
      </c>
      <c r="F187" t="s">
        <v>57</v>
      </c>
      <c r="G187" t="str">
        <f>"2026-05-15 14:33:33.574"</f>
        <v>2026-05-15 14:33:33.574</v>
      </c>
      <c r="H187" t="s">
        <v>58</v>
      </c>
    </row>
    <row r="188" spans="1:10" x14ac:dyDescent="0.25">
      <c r="A188" s="1">
        <v>43</v>
      </c>
      <c r="B188" t="s">
        <v>19</v>
      </c>
      <c r="C188">
        <v>706</v>
      </c>
      <c r="D188">
        <v>4</v>
      </c>
      <c r="E188" t="s">
        <v>29</v>
      </c>
      <c r="F188" t="s">
        <v>30</v>
      </c>
      <c r="G188" t="str">
        <f>"2026-05-15 14:33:29.792"</f>
        <v>2026-05-15 14:33:29.792</v>
      </c>
      <c r="H188" t="s">
        <v>21</v>
      </c>
      <c r="I188">
        <v>0</v>
      </c>
      <c r="J188" t="s">
        <v>31</v>
      </c>
    </row>
    <row r="189" spans="1:10" x14ac:dyDescent="0.25">
      <c r="A189" s="1">
        <v>44</v>
      </c>
      <c r="B189" t="s">
        <v>49</v>
      </c>
      <c r="C189">
        <v>47</v>
      </c>
      <c r="D189">
        <v>2</v>
      </c>
      <c r="E189" t="s">
        <v>56</v>
      </c>
      <c r="F189" t="s">
        <v>57</v>
      </c>
      <c r="G189" t="str">
        <f>"2026-05-15 14:23:08.374"</f>
        <v>2026-05-15 14:23:08.374</v>
      </c>
      <c r="H189" t="s">
        <v>58</v>
      </c>
      <c r="I189">
        <v>0</v>
      </c>
      <c r="J189" t="s">
        <v>28</v>
      </c>
    </row>
    <row r="190" spans="1:10" x14ac:dyDescent="0.25">
      <c r="A190" s="1">
        <v>46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"2026-05-13 17:13:25.802"</f>
        <v>2026-05-13 17:13:25.802</v>
      </c>
      <c r="H190" t="s">
        <v>21</v>
      </c>
    </row>
    <row r="191" spans="1:10" x14ac:dyDescent="0.25">
      <c r="A191" s="1">
        <v>48</v>
      </c>
      <c r="B191" t="s">
        <v>49</v>
      </c>
      <c r="C191">
        <v>47</v>
      </c>
      <c r="D191">
        <v>2</v>
      </c>
      <c r="E191" t="s">
        <v>56</v>
      </c>
      <c r="F191" t="s">
        <v>57</v>
      </c>
      <c r="G191" t="str">
        <f>"2026-05-13 15:38:51.865"</f>
        <v>2026-05-13 15:38:51.865</v>
      </c>
      <c r="H191" t="s">
        <v>58</v>
      </c>
      <c r="I191">
        <v>0</v>
      </c>
      <c r="J191" t="s">
        <v>28</v>
      </c>
    </row>
    <row r="192" spans="1:10" x14ac:dyDescent="0.25">
      <c r="A192" s="1">
        <v>49</v>
      </c>
      <c r="B192" t="s">
        <v>55</v>
      </c>
      <c r="C192">
        <v>47</v>
      </c>
      <c r="D192">
        <v>2</v>
      </c>
      <c r="E192" t="s">
        <v>56</v>
      </c>
      <c r="F192" t="s">
        <v>57</v>
      </c>
      <c r="G192" t="str">
        <f>"2026-05-13 13:32:07.565"</f>
        <v>2026-05-13 13:32:07.565</v>
      </c>
      <c r="H192" t="s">
        <v>58</v>
      </c>
    </row>
    <row r="193" spans="1:10" x14ac:dyDescent="0.25">
      <c r="A193" s="1">
        <v>50</v>
      </c>
      <c r="B193" t="s">
        <v>19</v>
      </c>
      <c r="C193">
        <v>706</v>
      </c>
      <c r="D193">
        <v>2</v>
      </c>
      <c r="E193" t="s">
        <v>29</v>
      </c>
      <c r="F193" t="s">
        <v>59</v>
      </c>
      <c r="G193" t="str">
        <f>"2026-05-13 13:32:04.005"</f>
        <v>2026-05-13 13:32:04.005</v>
      </c>
      <c r="H193" t="s">
        <v>21</v>
      </c>
      <c r="I193">
        <v>0</v>
      </c>
      <c r="J193" t="s">
        <v>31</v>
      </c>
    </row>
    <row r="194" spans="1:10" x14ac:dyDescent="0.25">
      <c r="A194" s="1">
        <v>51</v>
      </c>
      <c r="B194" t="s">
        <v>22</v>
      </c>
      <c r="C194">
        <v>49</v>
      </c>
      <c r="D194">
        <v>1</v>
      </c>
      <c r="E194" t="s">
        <v>62</v>
      </c>
      <c r="F194" t="s">
        <v>63</v>
      </c>
      <c r="G194" t="str">
        <f>"2026-05-13 13:08:48.166"</f>
        <v>2026-05-13 13:08:48.166</v>
      </c>
      <c r="H194" t="s">
        <v>64</v>
      </c>
    </row>
    <row r="195" spans="1:10" x14ac:dyDescent="0.25">
      <c r="A195" s="1">
        <v>53</v>
      </c>
      <c r="B195" t="s">
        <v>25</v>
      </c>
      <c r="C195">
        <v>49</v>
      </c>
      <c r="D195">
        <v>1</v>
      </c>
      <c r="E195" t="s">
        <v>62</v>
      </c>
      <c r="F195" t="s">
        <v>63</v>
      </c>
      <c r="G195" t="str">
        <f>"2026-05-13 12:42:37.766"</f>
        <v>2026-05-13 12:42:37.766</v>
      </c>
      <c r="H195" t="s">
        <v>64</v>
      </c>
      <c r="I195">
        <v>0</v>
      </c>
      <c r="J195" t="s">
        <v>31</v>
      </c>
    </row>
    <row r="196" spans="1:10" x14ac:dyDescent="0.25">
      <c r="A196" s="1">
        <v>55</v>
      </c>
      <c r="B196" t="s">
        <v>49</v>
      </c>
      <c r="C196">
        <v>47</v>
      </c>
      <c r="D196">
        <v>2</v>
      </c>
      <c r="E196" t="s">
        <v>56</v>
      </c>
      <c r="F196" t="s">
        <v>57</v>
      </c>
      <c r="G196" t="str">
        <f>"2026-05-13 12:41:28.965"</f>
        <v>2026-05-13 12:41:28.965</v>
      </c>
      <c r="H196" t="s">
        <v>58</v>
      </c>
      <c r="I196">
        <v>0</v>
      </c>
      <c r="J196" t="s">
        <v>28</v>
      </c>
    </row>
    <row r="197" spans="1:10" x14ac:dyDescent="0.25">
      <c r="A197" s="1">
        <v>56</v>
      </c>
      <c r="B197" t="s">
        <v>19</v>
      </c>
      <c r="C197">
        <v>706</v>
      </c>
      <c r="D197">
        <v>4</v>
      </c>
      <c r="E197" t="s">
        <v>29</v>
      </c>
      <c r="F197" t="s">
        <v>30</v>
      </c>
      <c r="G197" t="str">
        <f>"2026-05-12 13:49:48.855"</f>
        <v>2026-05-12 13:49:48.855</v>
      </c>
      <c r="H197" t="s">
        <v>21</v>
      </c>
      <c r="I197">
        <v>0</v>
      </c>
      <c r="J197" t="s">
        <v>31</v>
      </c>
    </row>
    <row r="198" spans="1:10" x14ac:dyDescent="0.25">
      <c r="A198" s="1">
        <v>57</v>
      </c>
      <c r="B198" t="s">
        <v>22</v>
      </c>
      <c r="C198">
        <v>49</v>
      </c>
      <c r="D198">
        <v>1</v>
      </c>
      <c r="E198" t="s">
        <v>62</v>
      </c>
      <c r="F198" t="s">
        <v>63</v>
      </c>
      <c r="G198" t="str">
        <f>"2026-05-12 13:27:55.066"</f>
        <v>2026-05-12 13:27:55.066</v>
      </c>
      <c r="H198" t="s">
        <v>64</v>
      </c>
    </row>
    <row r="199" spans="1:10" x14ac:dyDescent="0.25">
      <c r="A199" s="1">
        <v>59</v>
      </c>
      <c r="B199" t="s">
        <v>25</v>
      </c>
      <c r="C199">
        <v>49</v>
      </c>
      <c r="D199">
        <v>1</v>
      </c>
      <c r="E199" t="s">
        <v>62</v>
      </c>
      <c r="F199" t="s">
        <v>63</v>
      </c>
      <c r="G199" t="str">
        <f>"2026-05-12 13:22:15.966"</f>
        <v>2026-05-12 13:22:15.966</v>
      </c>
      <c r="H199" t="s">
        <v>64</v>
      </c>
      <c r="I199">
        <v>0</v>
      </c>
      <c r="J199" t="s">
        <v>31</v>
      </c>
    </row>
    <row r="200" spans="1:10" x14ac:dyDescent="0.25">
      <c r="A200" s="1">
        <v>61</v>
      </c>
      <c r="B200" t="s">
        <v>55</v>
      </c>
      <c r="C200">
        <v>47</v>
      </c>
      <c r="D200">
        <v>2</v>
      </c>
      <c r="E200" t="s">
        <v>56</v>
      </c>
      <c r="F200" t="s">
        <v>57</v>
      </c>
      <c r="G200" t="str">
        <f>"2026-05-11 08:20:46.665"</f>
        <v>2026-05-11 08:20:46.665</v>
      </c>
      <c r="H200" t="s">
        <v>58</v>
      </c>
    </row>
    <row r="201" spans="1:10" x14ac:dyDescent="0.25">
      <c r="A201" s="1">
        <v>62</v>
      </c>
      <c r="B201" t="s">
        <v>19</v>
      </c>
      <c r="C201">
        <v>706</v>
      </c>
      <c r="D201">
        <v>4</v>
      </c>
      <c r="E201" t="s">
        <v>29</v>
      </c>
      <c r="F201" t="s">
        <v>30</v>
      </c>
      <c r="G201" t="str">
        <f>"2026-05-11 08:20:44.495"</f>
        <v>2026-05-11 08:20:44.495</v>
      </c>
      <c r="H201" t="s">
        <v>21</v>
      </c>
      <c r="I201">
        <v>0</v>
      </c>
      <c r="J201" t="s">
        <v>31</v>
      </c>
    </row>
    <row r="202" spans="1:10" x14ac:dyDescent="0.25">
      <c r="A202" s="1">
        <v>63</v>
      </c>
      <c r="B202" t="s">
        <v>22</v>
      </c>
      <c r="C202">
        <v>49</v>
      </c>
      <c r="D202">
        <v>1</v>
      </c>
      <c r="E202" t="s">
        <v>62</v>
      </c>
      <c r="F202" t="s">
        <v>63</v>
      </c>
      <c r="G202" t="str">
        <f>"2026-05-11 08:19:01.465"</f>
        <v>2026-05-11 08:19:01.465</v>
      </c>
      <c r="H202" t="s">
        <v>64</v>
      </c>
    </row>
    <row r="203" spans="1:10" x14ac:dyDescent="0.25">
      <c r="A203" s="1">
        <v>65</v>
      </c>
      <c r="B203" t="s">
        <v>25</v>
      </c>
      <c r="C203">
        <v>49</v>
      </c>
      <c r="D203">
        <v>1</v>
      </c>
      <c r="E203" t="s">
        <v>62</v>
      </c>
      <c r="F203" t="s">
        <v>63</v>
      </c>
      <c r="G203" t="str">
        <f>"2026-05-11 08:02:50.566"</f>
        <v>2026-05-11 08:02:50.566</v>
      </c>
      <c r="H203" t="s">
        <v>64</v>
      </c>
      <c r="I203">
        <v>0</v>
      </c>
      <c r="J203" t="s">
        <v>31</v>
      </c>
    </row>
    <row r="204" spans="1:10" x14ac:dyDescent="0.25">
      <c r="A204" s="1">
        <v>67</v>
      </c>
      <c r="B204" t="s">
        <v>49</v>
      </c>
      <c r="C204">
        <v>47</v>
      </c>
      <c r="D204">
        <v>2</v>
      </c>
      <c r="E204" t="s">
        <v>56</v>
      </c>
      <c r="F204" t="s">
        <v>57</v>
      </c>
      <c r="G204" t="str">
        <f>"2026-05-11 08:01:41.765"</f>
        <v>2026-05-11 08:01:41.765</v>
      </c>
      <c r="H204" t="s">
        <v>58</v>
      </c>
      <c r="I204">
        <v>0</v>
      </c>
      <c r="J204" t="s">
        <v>28</v>
      </c>
    </row>
    <row r="205" spans="1:10" x14ac:dyDescent="0.25">
      <c r="A205" s="1">
        <v>69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"2026-05-11 05:49:11.785"</f>
        <v>2026-05-11 05:49:11.785</v>
      </c>
      <c r="H205" t="s">
        <v>21</v>
      </c>
    </row>
    <row r="206" spans="1:10" x14ac:dyDescent="0.25">
      <c r="A206" s="1">
        <v>71</v>
      </c>
      <c r="B206" t="s">
        <v>49</v>
      </c>
      <c r="C206">
        <v>47</v>
      </c>
      <c r="D206">
        <v>2</v>
      </c>
      <c r="E206" t="s">
        <v>56</v>
      </c>
      <c r="F206" t="s">
        <v>57</v>
      </c>
      <c r="G206" t="str">
        <f>"2026-05-11 02:24:20.372"</f>
        <v>2026-05-11 02:24:20.372</v>
      </c>
      <c r="H206" t="s">
        <v>58</v>
      </c>
      <c r="I206">
        <v>0</v>
      </c>
      <c r="J206" t="s">
        <v>28</v>
      </c>
    </row>
    <row r="207" spans="1:10" x14ac:dyDescent="0.25">
      <c r="A207" s="1">
        <v>73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"2026-05-11 02:19:59.792"</f>
        <v>2026-05-11 02:19:59.792</v>
      </c>
      <c r="H207" t="s">
        <v>21</v>
      </c>
      <c r="I207">
        <v>0</v>
      </c>
      <c r="J207" t="s">
        <v>27</v>
      </c>
    </row>
    <row r="208" spans="1:10" x14ac:dyDescent="0.25">
      <c r="A208" s="1">
        <v>75</v>
      </c>
      <c r="B208" t="s">
        <v>49</v>
      </c>
      <c r="C208">
        <v>47</v>
      </c>
      <c r="D208">
        <v>2</v>
      </c>
      <c r="E208" t="s">
        <v>56</v>
      </c>
      <c r="F208" t="s">
        <v>57</v>
      </c>
      <c r="G208" t="str">
        <f>"2026-05-11 00:32:50.100"</f>
        <v>2026-05-11 00:32:50.100</v>
      </c>
      <c r="H208" t="s">
        <v>58</v>
      </c>
      <c r="I208">
        <v>0</v>
      </c>
      <c r="J208" t="s">
        <v>28</v>
      </c>
    </row>
    <row r="209" spans="1:10" x14ac:dyDescent="0.25">
      <c r="A209" s="1">
        <v>77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"2026-05-10 23:28:48.800"</f>
        <v>2026-05-10 23:28:48.800</v>
      </c>
      <c r="H209" t="s">
        <v>21</v>
      </c>
      <c r="I209">
        <v>0</v>
      </c>
      <c r="J209" t="s">
        <v>27</v>
      </c>
    </row>
    <row r="210" spans="1:10" x14ac:dyDescent="0.25">
      <c r="A210" s="1">
        <v>79</v>
      </c>
      <c r="B210" t="s">
        <v>19</v>
      </c>
      <c r="C210">
        <v>706</v>
      </c>
      <c r="D210">
        <v>2</v>
      </c>
      <c r="E210" t="s">
        <v>29</v>
      </c>
      <c r="F210" t="s">
        <v>59</v>
      </c>
      <c r="G210" t="str">
        <f>"2026-05-10 23:08:56.410"</f>
        <v>2026-05-10 23:08:56.410</v>
      </c>
      <c r="H210" t="s">
        <v>21</v>
      </c>
      <c r="I210">
        <v>0</v>
      </c>
      <c r="J210" t="s">
        <v>31</v>
      </c>
    </row>
    <row r="211" spans="1:10" x14ac:dyDescent="0.25">
      <c r="A211" s="1">
        <v>81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"2026-05-10 23:01:55.790"</f>
        <v>2026-05-10 23:01:55.790</v>
      </c>
      <c r="H211" t="s">
        <v>21</v>
      </c>
      <c r="I211">
        <v>0</v>
      </c>
      <c r="J211" t="s">
        <v>27</v>
      </c>
    </row>
    <row r="212" spans="1:10" x14ac:dyDescent="0.25">
      <c r="A212" s="1">
        <v>83</v>
      </c>
      <c r="B212" t="s">
        <v>55</v>
      </c>
      <c r="C212">
        <v>47</v>
      </c>
      <c r="D212">
        <v>2</v>
      </c>
      <c r="E212" t="s">
        <v>56</v>
      </c>
      <c r="F212" t="s">
        <v>57</v>
      </c>
      <c r="G212" t="str">
        <f>"2026-05-10 16:17:03.172"</f>
        <v>2026-05-10 16:17:03.172</v>
      </c>
      <c r="H212" t="s">
        <v>58</v>
      </c>
    </row>
    <row r="213" spans="1:10" x14ac:dyDescent="0.25">
      <c r="A213" s="1">
        <v>84</v>
      </c>
      <c r="B213" t="s">
        <v>19</v>
      </c>
      <c r="C213">
        <v>706</v>
      </c>
      <c r="D213">
        <v>4</v>
      </c>
      <c r="E213" t="s">
        <v>29</v>
      </c>
      <c r="F213" t="s">
        <v>30</v>
      </c>
      <c r="G213" t="str">
        <f>"2026-05-10 16:17:00.208"</f>
        <v>2026-05-10 16:17:00.208</v>
      </c>
      <c r="H213" t="s">
        <v>21</v>
      </c>
      <c r="I213">
        <v>0</v>
      </c>
      <c r="J213" t="s">
        <v>31</v>
      </c>
    </row>
    <row r="214" spans="1:10" x14ac:dyDescent="0.25">
      <c r="A214" s="1">
        <v>85</v>
      </c>
      <c r="B214" t="s">
        <v>22</v>
      </c>
      <c r="C214">
        <v>49</v>
      </c>
      <c r="D214">
        <v>1</v>
      </c>
      <c r="E214" t="s">
        <v>62</v>
      </c>
      <c r="F214" t="s">
        <v>63</v>
      </c>
      <c r="G214" t="str">
        <f>"2026-05-10 16:16:51.472"</f>
        <v>2026-05-10 16:16:51.472</v>
      </c>
      <c r="H214" t="s">
        <v>64</v>
      </c>
    </row>
    <row r="215" spans="1:10" x14ac:dyDescent="0.25">
      <c r="A215" s="1">
        <v>87</v>
      </c>
      <c r="B215" t="s">
        <v>25</v>
      </c>
      <c r="C215">
        <v>49</v>
      </c>
      <c r="D215">
        <v>1</v>
      </c>
      <c r="E215" t="s">
        <v>62</v>
      </c>
      <c r="F215" t="s">
        <v>63</v>
      </c>
      <c r="G215" t="str">
        <f>"2026-05-10 15:46:43.172"</f>
        <v>2026-05-10 15:46:43.172</v>
      </c>
      <c r="H215" t="s">
        <v>64</v>
      </c>
      <c r="I215">
        <v>0</v>
      </c>
      <c r="J215" t="s">
        <v>31</v>
      </c>
    </row>
    <row r="216" spans="1:10" x14ac:dyDescent="0.25">
      <c r="A216" s="1">
        <v>89</v>
      </c>
      <c r="B216" t="s">
        <v>49</v>
      </c>
      <c r="C216">
        <v>47</v>
      </c>
      <c r="D216">
        <v>2</v>
      </c>
      <c r="E216" t="s">
        <v>56</v>
      </c>
      <c r="F216" t="s">
        <v>57</v>
      </c>
      <c r="G216" t="str">
        <f>"2026-05-10 15:45:34.472"</f>
        <v>2026-05-10 15:45:34.472</v>
      </c>
      <c r="H216" t="s">
        <v>58</v>
      </c>
      <c r="I216">
        <v>0</v>
      </c>
      <c r="J216" t="s">
        <v>28</v>
      </c>
    </row>
    <row r="217" spans="1:10" x14ac:dyDescent="0.25">
      <c r="A217" s="1">
        <v>90</v>
      </c>
      <c r="B217" t="s">
        <v>22</v>
      </c>
      <c r="C217">
        <v>49</v>
      </c>
      <c r="D217">
        <v>1</v>
      </c>
      <c r="E217" t="s">
        <v>62</v>
      </c>
      <c r="F217" t="s">
        <v>63</v>
      </c>
      <c r="G217" t="str">
        <f>"2026-05-10 08:13:54.572"</f>
        <v>2026-05-10 08:13:54.572</v>
      </c>
      <c r="H217" t="s">
        <v>64</v>
      </c>
    </row>
    <row r="218" spans="1:10" x14ac:dyDescent="0.25">
      <c r="A218" s="1">
        <v>91</v>
      </c>
      <c r="B218" t="s">
        <v>19</v>
      </c>
      <c r="C218">
        <v>706</v>
      </c>
      <c r="D218">
        <v>2</v>
      </c>
      <c r="E218" t="s">
        <v>29</v>
      </c>
      <c r="F218" t="s">
        <v>59</v>
      </c>
      <c r="G218" t="str">
        <f>"2026-05-10 08:13:49.078"</f>
        <v>2026-05-10 08:13:49.078</v>
      </c>
      <c r="H218" t="s">
        <v>21</v>
      </c>
      <c r="I218">
        <v>0</v>
      </c>
      <c r="J218" t="s">
        <v>31</v>
      </c>
    </row>
    <row r="219" spans="1:10" x14ac:dyDescent="0.25">
      <c r="A219" s="1">
        <v>93</v>
      </c>
      <c r="B219" t="s">
        <v>25</v>
      </c>
      <c r="C219">
        <v>49</v>
      </c>
      <c r="D219">
        <v>1</v>
      </c>
      <c r="E219" t="s">
        <v>62</v>
      </c>
      <c r="F219" t="s">
        <v>63</v>
      </c>
      <c r="G219" t="str">
        <f>"2026-05-10 07:45:55.672"</f>
        <v>2026-05-10 07:45:55.672</v>
      </c>
      <c r="H219" t="s">
        <v>64</v>
      </c>
      <c r="I219">
        <v>0</v>
      </c>
      <c r="J219" t="s">
        <v>31</v>
      </c>
    </row>
    <row r="220" spans="1:10" x14ac:dyDescent="0.25">
      <c r="A220" s="1">
        <v>95</v>
      </c>
      <c r="B220" t="s">
        <v>22</v>
      </c>
      <c r="C220">
        <v>49</v>
      </c>
      <c r="D220">
        <v>1</v>
      </c>
      <c r="E220" t="s">
        <v>62</v>
      </c>
      <c r="F220" t="s">
        <v>63</v>
      </c>
      <c r="G220" t="str">
        <f>"2026-05-09 13:42:03.672"</f>
        <v>2026-05-09 13:42:03.672</v>
      </c>
      <c r="H220" t="s">
        <v>64</v>
      </c>
    </row>
    <row r="221" spans="1:10" x14ac:dyDescent="0.25">
      <c r="A221" s="1">
        <v>96</v>
      </c>
      <c r="B221" t="s">
        <v>55</v>
      </c>
      <c r="C221">
        <v>47</v>
      </c>
      <c r="D221">
        <v>2</v>
      </c>
      <c r="E221" t="s">
        <v>56</v>
      </c>
      <c r="F221" t="s">
        <v>57</v>
      </c>
      <c r="G221" t="str">
        <f>"2026-05-09 13:42:00.572"</f>
        <v>2026-05-09 13:42:00.572</v>
      </c>
      <c r="H221" t="s">
        <v>58</v>
      </c>
    </row>
    <row r="222" spans="1:10" x14ac:dyDescent="0.25">
      <c r="A222" s="1">
        <v>97</v>
      </c>
      <c r="B222" t="s">
        <v>19</v>
      </c>
      <c r="C222">
        <v>706</v>
      </c>
      <c r="D222">
        <v>4</v>
      </c>
      <c r="E222" t="s">
        <v>29</v>
      </c>
      <c r="F222" t="s">
        <v>30</v>
      </c>
      <c r="G222" t="str">
        <f>"2026-05-09 13:41:57.388"</f>
        <v>2026-05-09 13:41:57.388</v>
      </c>
      <c r="H222" t="s">
        <v>21</v>
      </c>
      <c r="I222">
        <v>0</v>
      </c>
      <c r="J222" t="s">
        <v>31</v>
      </c>
    </row>
    <row r="223" spans="1:10" x14ac:dyDescent="0.25">
      <c r="A223" s="1">
        <v>99</v>
      </c>
      <c r="B223" t="s">
        <v>25</v>
      </c>
      <c r="C223">
        <v>49</v>
      </c>
      <c r="D223">
        <v>1</v>
      </c>
      <c r="E223" t="s">
        <v>62</v>
      </c>
      <c r="F223" t="s">
        <v>63</v>
      </c>
      <c r="G223" t="str">
        <f>"2026-05-09 13:16:10.972"</f>
        <v>2026-05-09 13:16:10.972</v>
      </c>
      <c r="H223" t="s">
        <v>64</v>
      </c>
      <c r="I223">
        <v>0</v>
      </c>
      <c r="J223" t="s">
        <v>31</v>
      </c>
    </row>
    <row r="224" spans="1:10" x14ac:dyDescent="0.25">
      <c r="A224" s="1">
        <v>1</v>
      </c>
      <c r="B224" t="s">
        <v>49</v>
      </c>
      <c r="C224">
        <v>47</v>
      </c>
      <c r="D224">
        <v>2</v>
      </c>
      <c r="E224" t="s">
        <v>56</v>
      </c>
      <c r="F224" t="s">
        <v>57</v>
      </c>
      <c r="G224" t="str">
        <f>"2026-05-09 13:15:02.372"</f>
        <v>2026-05-09 13:15:02.372</v>
      </c>
      <c r="H224" t="s">
        <v>58</v>
      </c>
      <c r="I224">
        <v>0</v>
      </c>
      <c r="J224" t="s">
        <v>28</v>
      </c>
    </row>
    <row r="225" spans="1:10" x14ac:dyDescent="0.25">
      <c r="A225" s="1">
        <v>2</v>
      </c>
      <c r="B225" t="s">
        <v>22</v>
      </c>
      <c r="C225">
        <v>49</v>
      </c>
      <c r="D225">
        <v>1</v>
      </c>
      <c r="E225" t="s">
        <v>62</v>
      </c>
      <c r="F225" t="s">
        <v>63</v>
      </c>
      <c r="G225" t="str">
        <f>"2026-05-08 15:39:31.072"</f>
        <v>2026-05-08 15:39:31.072</v>
      </c>
      <c r="H225" t="s">
        <v>64</v>
      </c>
    </row>
    <row r="226" spans="1:10" x14ac:dyDescent="0.25">
      <c r="A226" s="1">
        <v>3</v>
      </c>
      <c r="B226" t="s">
        <v>55</v>
      </c>
      <c r="C226">
        <v>47</v>
      </c>
      <c r="D226">
        <v>2</v>
      </c>
      <c r="E226" t="s">
        <v>56</v>
      </c>
      <c r="F226" t="s">
        <v>57</v>
      </c>
      <c r="G226" t="str">
        <f>"2026-05-08 15:39:26.272"</f>
        <v>2026-05-08 15:39:26.272</v>
      </c>
      <c r="H226" t="s">
        <v>58</v>
      </c>
    </row>
    <row r="227" spans="1:10" x14ac:dyDescent="0.25">
      <c r="A227" s="1">
        <v>4</v>
      </c>
      <c r="B227" t="s">
        <v>19</v>
      </c>
      <c r="C227">
        <v>706</v>
      </c>
      <c r="D227">
        <v>2</v>
      </c>
      <c r="E227" t="s">
        <v>29</v>
      </c>
      <c r="F227" t="s">
        <v>59</v>
      </c>
      <c r="G227" t="str">
        <f>"2026-05-08 15:39:24.178"</f>
        <v>2026-05-08 15:39:24.178</v>
      </c>
      <c r="H227" t="s">
        <v>21</v>
      </c>
      <c r="I227">
        <v>0</v>
      </c>
      <c r="J227" t="s">
        <v>31</v>
      </c>
    </row>
    <row r="228" spans="1:10" x14ac:dyDescent="0.25">
      <c r="A228" s="1">
        <v>6</v>
      </c>
      <c r="B228" t="s">
        <v>25</v>
      </c>
      <c r="C228">
        <v>49</v>
      </c>
      <c r="D228">
        <v>1</v>
      </c>
      <c r="E228" t="s">
        <v>62</v>
      </c>
      <c r="F228" t="s">
        <v>63</v>
      </c>
      <c r="G228" t="str">
        <f>"2026-05-08 15:24:55.572"</f>
        <v>2026-05-08 15:24:55.572</v>
      </c>
      <c r="H228" t="s">
        <v>64</v>
      </c>
      <c r="I228">
        <v>0</v>
      </c>
      <c r="J228" t="s">
        <v>31</v>
      </c>
    </row>
    <row r="229" spans="1:10" x14ac:dyDescent="0.25">
      <c r="A229" s="1">
        <v>8</v>
      </c>
      <c r="B229" t="s">
        <v>49</v>
      </c>
      <c r="C229">
        <v>47</v>
      </c>
      <c r="D229">
        <v>2</v>
      </c>
      <c r="E229" t="s">
        <v>56</v>
      </c>
      <c r="F229" t="s">
        <v>57</v>
      </c>
      <c r="G229" t="str">
        <f>"2026-05-08 15:23:46.372"</f>
        <v>2026-05-08 15:23:46.372</v>
      </c>
      <c r="H229" t="s">
        <v>58</v>
      </c>
      <c r="I229">
        <v>0</v>
      </c>
      <c r="J229" t="s">
        <v>28</v>
      </c>
    </row>
    <row r="230" spans="1:10" x14ac:dyDescent="0.25">
      <c r="A230" s="1">
        <v>9</v>
      </c>
      <c r="B230" t="s">
        <v>22</v>
      </c>
      <c r="C230">
        <v>49</v>
      </c>
      <c r="D230">
        <v>1</v>
      </c>
      <c r="E230" t="s">
        <v>62</v>
      </c>
      <c r="F230" t="s">
        <v>63</v>
      </c>
      <c r="G230" t="str">
        <f>"2026-05-08 13:30:39.172"</f>
        <v>2026-05-08 13:30:39.172</v>
      </c>
      <c r="H230" t="s">
        <v>64</v>
      </c>
    </row>
    <row r="231" spans="1:10" x14ac:dyDescent="0.25">
      <c r="A231" s="1">
        <v>10</v>
      </c>
      <c r="B231" t="s">
        <v>19</v>
      </c>
      <c r="C231">
        <v>706</v>
      </c>
      <c r="D231">
        <v>2</v>
      </c>
      <c r="E231" t="s">
        <v>29</v>
      </c>
      <c r="F231" t="s">
        <v>59</v>
      </c>
      <c r="G231" t="str">
        <f>"2026-05-08 13:30:31.878"</f>
        <v>2026-05-08 13:30:31.878</v>
      </c>
      <c r="H231" t="s">
        <v>21</v>
      </c>
      <c r="I231">
        <v>0</v>
      </c>
      <c r="J231" t="s">
        <v>31</v>
      </c>
    </row>
    <row r="232" spans="1:10" x14ac:dyDescent="0.25">
      <c r="A232" s="1">
        <v>12</v>
      </c>
      <c r="B232" t="s">
        <v>25</v>
      </c>
      <c r="C232">
        <v>49</v>
      </c>
      <c r="D232">
        <v>1</v>
      </c>
      <c r="E232" t="s">
        <v>62</v>
      </c>
      <c r="F232" t="s">
        <v>63</v>
      </c>
      <c r="G232" t="str">
        <f>"2026-05-08 13:18:19.572"</f>
        <v>2026-05-08 13:18:19.572</v>
      </c>
      <c r="H232" t="s">
        <v>64</v>
      </c>
      <c r="I232">
        <v>0</v>
      </c>
      <c r="J232" t="s">
        <v>31</v>
      </c>
    </row>
    <row r="233" spans="1:10" x14ac:dyDescent="0.25">
      <c r="A233" s="1">
        <v>14</v>
      </c>
      <c r="B233" t="s">
        <v>22</v>
      </c>
      <c r="C233">
        <v>49</v>
      </c>
      <c r="D233">
        <v>1</v>
      </c>
      <c r="E233" t="s">
        <v>62</v>
      </c>
      <c r="F233" t="s">
        <v>63</v>
      </c>
      <c r="G233" t="str">
        <f>"2026-05-07 13:56:36.672"</f>
        <v>2026-05-07 13:56:36.672</v>
      </c>
      <c r="H233" t="s">
        <v>64</v>
      </c>
    </row>
    <row r="234" spans="1:10" x14ac:dyDescent="0.25">
      <c r="A234" s="1">
        <v>15</v>
      </c>
      <c r="B234" t="s">
        <v>55</v>
      </c>
      <c r="C234">
        <v>47</v>
      </c>
      <c r="D234">
        <v>2</v>
      </c>
      <c r="E234" t="s">
        <v>56</v>
      </c>
      <c r="F234" t="s">
        <v>57</v>
      </c>
      <c r="G234" t="str">
        <f>"2026-05-07 13:56:36.272"</f>
        <v>2026-05-07 13:56:36.272</v>
      </c>
      <c r="H234" t="s">
        <v>58</v>
      </c>
    </row>
    <row r="235" spans="1:10" x14ac:dyDescent="0.25">
      <c r="A235" s="1">
        <v>16</v>
      </c>
      <c r="B235" t="s">
        <v>19</v>
      </c>
      <c r="C235">
        <v>706</v>
      </c>
      <c r="D235">
        <v>4</v>
      </c>
      <c r="E235" t="s">
        <v>29</v>
      </c>
      <c r="F235" t="s">
        <v>30</v>
      </c>
      <c r="G235" t="str">
        <f>"2026-05-07 13:56:32.578"</f>
        <v>2026-05-07 13:56:32.578</v>
      </c>
      <c r="H235" t="s">
        <v>21</v>
      </c>
      <c r="I235">
        <v>0</v>
      </c>
      <c r="J235" t="s">
        <v>31</v>
      </c>
    </row>
    <row r="236" spans="1:10" x14ac:dyDescent="0.25">
      <c r="A236" s="1">
        <v>18</v>
      </c>
      <c r="B236" t="s">
        <v>25</v>
      </c>
      <c r="C236">
        <v>49</v>
      </c>
      <c r="D236">
        <v>1</v>
      </c>
      <c r="E236" t="s">
        <v>62</v>
      </c>
      <c r="F236" t="s">
        <v>63</v>
      </c>
      <c r="G236" t="str">
        <f>"2026-05-07 13:32:12.872"</f>
        <v>2026-05-07 13:32:12.872</v>
      </c>
      <c r="H236" t="s">
        <v>64</v>
      </c>
      <c r="I236">
        <v>0</v>
      </c>
      <c r="J236" t="s">
        <v>31</v>
      </c>
    </row>
    <row r="237" spans="1:10" x14ac:dyDescent="0.25">
      <c r="A237" s="1">
        <v>20</v>
      </c>
      <c r="B237" t="s">
        <v>49</v>
      </c>
      <c r="C237">
        <v>47</v>
      </c>
      <c r="D237">
        <v>2</v>
      </c>
      <c r="E237" t="s">
        <v>56</v>
      </c>
      <c r="F237" t="s">
        <v>57</v>
      </c>
      <c r="G237" t="str">
        <f>"2026-05-07 13:31:04.072"</f>
        <v>2026-05-07 13:31:04.072</v>
      </c>
      <c r="H237" t="s">
        <v>58</v>
      </c>
      <c r="I237">
        <v>0</v>
      </c>
      <c r="J237" t="s">
        <v>28</v>
      </c>
    </row>
    <row r="238" spans="1:10" x14ac:dyDescent="0.25">
      <c r="A238" s="1">
        <v>21</v>
      </c>
      <c r="B238" t="s">
        <v>22</v>
      </c>
      <c r="C238">
        <v>49</v>
      </c>
      <c r="D238">
        <v>1</v>
      </c>
      <c r="E238" t="s">
        <v>62</v>
      </c>
      <c r="F238" t="s">
        <v>63</v>
      </c>
      <c r="G238" t="str">
        <f>"2026-05-07 08:26:09.172"</f>
        <v>2026-05-07 08:26:09.172</v>
      </c>
      <c r="H238" t="s">
        <v>64</v>
      </c>
    </row>
    <row r="239" spans="1:10" x14ac:dyDescent="0.25">
      <c r="A239" s="1">
        <v>22</v>
      </c>
      <c r="B239" t="s">
        <v>55</v>
      </c>
      <c r="C239">
        <v>47</v>
      </c>
      <c r="D239">
        <v>2</v>
      </c>
      <c r="E239" t="s">
        <v>56</v>
      </c>
      <c r="F239" t="s">
        <v>57</v>
      </c>
      <c r="G239" t="str">
        <f>"2026-05-07 08:26:04.272"</f>
        <v>2026-05-07 08:26:04.272</v>
      </c>
      <c r="H239" t="s">
        <v>58</v>
      </c>
    </row>
    <row r="240" spans="1:10" x14ac:dyDescent="0.25">
      <c r="A240" s="1">
        <v>23</v>
      </c>
      <c r="B240" t="s">
        <v>19</v>
      </c>
      <c r="C240">
        <v>706</v>
      </c>
      <c r="D240">
        <v>4</v>
      </c>
      <c r="E240" t="s">
        <v>29</v>
      </c>
      <c r="F240" t="s">
        <v>30</v>
      </c>
      <c r="G240" t="str">
        <f>"2026-05-07 08:26:02.268"</f>
        <v>2026-05-07 08:26:02.268</v>
      </c>
      <c r="H240" t="s">
        <v>21</v>
      </c>
      <c r="I240">
        <v>0</v>
      </c>
      <c r="J240" t="s">
        <v>31</v>
      </c>
    </row>
    <row r="241" spans="1:10" x14ac:dyDescent="0.25">
      <c r="A241" s="1">
        <v>25</v>
      </c>
      <c r="B241" t="s">
        <v>25</v>
      </c>
      <c r="C241">
        <v>49</v>
      </c>
      <c r="D241">
        <v>1</v>
      </c>
      <c r="E241" t="s">
        <v>62</v>
      </c>
      <c r="F241" t="s">
        <v>63</v>
      </c>
      <c r="G241" t="str">
        <f>"2026-05-07 08:16:40.272"</f>
        <v>2026-05-07 08:16:40.272</v>
      </c>
      <c r="H241" t="s">
        <v>64</v>
      </c>
      <c r="I241">
        <v>0</v>
      </c>
      <c r="J241" t="s">
        <v>31</v>
      </c>
    </row>
    <row r="242" spans="1:10" x14ac:dyDescent="0.25">
      <c r="A242" s="1">
        <v>27</v>
      </c>
      <c r="B242" t="s">
        <v>49</v>
      </c>
      <c r="C242">
        <v>47</v>
      </c>
      <c r="D242">
        <v>2</v>
      </c>
      <c r="E242" t="s">
        <v>56</v>
      </c>
      <c r="F242" t="s">
        <v>57</v>
      </c>
      <c r="G242" t="str">
        <f>"2026-05-07 08:15:31.072"</f>
        <v>2026-05-07 08:15:31.072</v>
      </c>
      <c r="H242" t="s">
        <v>58</v>
      </c>
      <c r="I242">
        <v>0</v>
      </c>
      <c r="J242" t="s">
        <v>28</v>
      </c>
    </row>
    <row r="243" spans="1:10" x14ac:dyDescent="0.25">
      <c r="A243" s="1">
        <v>28</v>
      </c>
      <c r="B243" t="s">
        <v>55</v>
      </c>
      <c r="C243">
        <v>47</v>
      </c>
      <c r="D243">
        <v>2</v>
      </c>
      <c r="E243" t="s">
        <v>56</v>
      </c>
      <c r="F243" t="s">
        <v>57</v>
      </c>
      <c r="G243" t="str">
        <f>"2026-05-06 13:04:21.472"</f>
        <v>2026-05-06 13:04:21.472</v>
      </c>
      <c r="H243" t="s">
        <v>58</v>
      </c>
    </row>
    <row r="244" spans="1:10" x14ac:dyDescent="0.25">
      <c r="A244" s="1">
        <v>29</v>
      </c>
      <c r="B244" t="s">
        <v>22</v>
      </c>
      <c r="C244">
        <v>49</v>
      </c>
      <c r="D244">
        <v>1</v>
      </c>
      <c r="E244" t="s">
        <v>62</v>
      </c>
      <c r="F244" t="s">
        <v>63</v>
      </c>
      <c r="G244" t="str">
        <f>"2026-05-06 13:04:18.372"</f>
        <v>2026-05-06 13:04:18.372</v>
      </c>
      <c r="H244" t="s">
        <v>64</v>
      </c>
    </row>
    <row r="245" spans="1:10" x14ac:dyDescent="0.25">
      <c r="A245" s="1">
        <v>30</v>
      </c>
      <c r="B245" t="s">
        <v>19</v>
      </c>
      <c r="C245">
        <v>706</v>
      </c>
      <c r="D245">
        <v>2</v>
      </c>
      <c r="E245" t="s">
        <v>29</v>
      </c>
      <c r="F245" t="s">
        <v>59</v>
      </c>
      <c r="G245" t="str">
        <f>"2026-05-06 13:04:17.878"</f>
        <v>2026-05-06 13:04:17.878</v>
      </c>
      <c r="H245" t="s">
        <v>21</v>
      </c>
      <c r="I245">
        <v>0</v>
      </c>
      <c r="J245" t="s">
        <v>31</v>
      </c>
    </row>
    <row r="246" spans="1:10" x14ac:dyDescent="0.25">
      <c r="A246" s="1">
        <v>32</v>
      </c>
      <c r="B246" t="s">
        <v>25</v>
      </c>
      <c r="C246">
        <v>49</v>
      </c>
      <c r="D246">
        <v>1</v>
      </c>
      <c r="E246" t="s">
        <v>62</v>
      </c>
      <c r="F246" t="s">
        <v>63</v>
      </c>
      <c r="G246" t="str">
        <f>"2026-05-06 12:29:51.772"</f>
        <v>2026-05-06 12:29:51.772</v>
      </c>
      <c r="H246" t="s">
        <v>64</v>
      </c>
      <c r="I246">
        <v>0</v>
      </c>
      <c r="J246" t="s">
        <v>31</v>
      </c>
    </row>
    <row r="247" spans="1:10" x14ac:dyDescent="0.25">
      <c r="A247" s="1">
        <v>34</v>
      </c>
      <c r="B247" t="s">
        <v>49</v>
      </c>
      <c r="C247">
        <v>47</v>
      </c>
      <c r="D247">
        <v>2</v>
      </c>
      <c r="E247" t="s">
        <v>56</v>
      </c>
      <c r="F247" t="s">
        <v>57</v>
      </c>
      <c r="G247" t="str">
        <f>"2026-05-06 12:28:42.972"</f>
        <v>2026-05-06 12:28:42.972</v>
      </c>
      <c r="H247" t="s">
        <v>58</v>
      </c>
      <c r="I247">
        <v>0</v>
      </c>
      <c r="J247" t="s">
        <v>28</v>
      </c>
    </row>
    <row r="248" spans="1:10" x14ac:dyDescent="0.25">
      <c r="A248" s="1">
        <v>35</v>
      </c>
      <c r="B248" t="s">
        <v>19</v>
      </c>
      <c r="C248">
        <v>706</v>
      </c>
      <c r="D248">
        <v>4</v>
      </c>
      <c r="E248" t="s">
        <v>29</v>
      </c>
      <c r="F248" t="s">
        <v>30</v>
      </c>
      <c r="G248" t="str">
        <f>"2026-05-06 10:04:55.468"</f>
        <v>2026-05-06 10:04:55.468</v>
      </c>
      <c r="H248" t="s">
        <v>21</v>
      </c>
      <c r="I248">
        <v>0</v>
      </c>
      <c r="J248" t="s">
        <v>31</v>
      </c>
    </row>
    <row r="249" spans="1:10" x14ac:dyDescent="0.25">
      <c r="A249" s="1">
        <v>36</v>
      </c>
      <c r="B249" t="s">
        <v>22</v>
      </c>
      <c r="C249">
        <v>49</v>
      </c>
      <c r="D249">
        <v>1</v>
      </c>
      <c r="E249" t="s">
        <v>62</v>
      </c>
      <c r="F249" t="s">
        <v>63</v>
      </c>
      <c r="G249" t="str">
        <f>"2026-05-06 10:04:51.272"</f>
        <v>2026-05-06 10:04:51.272</v>
      </c>
      <c r="H249" t="s">
        <v>64</v>
      </c>
    </row>
    <row r="250" spans="1:10" x14ac:dyDescent="0.25">
      <c r="A250" s="1">
        <v>38</v>
      </c>
      <c r="B250" t="s">
        <v>25</v>
      </c>
      <c r="C250">
        <v>49</v>
      </c>
      <c r="D250">
        <v>1</v>
      </c>
      <c r="E250" t="s">
        <v>62</v>
      </c>
      <c r="F250" t="s">
        <v>63</v>
      </c>
      <c r="G250" t="str">
        <f>"2026-05-06 09:54:43.272"</f>
        <v>2026-05-06 09:54:43.272</v>
      </c>
      <c r="H250" t="s">
        <v>64</v>
      </c>
      <c r="I250">
        <v>0</v>
      </c>
      <c r="J250" t="s">
        <v>31</v>
      </c>
    </row>
    <row r="251" spans="1:10" x14ac:dyDescent="0.25">
      <c r="A251" s="1">
        <v>40</v>
      </c>
      <c r="B251" t="s">
        <v>22</v>
      </c>
      <c r="C251">
        <v>49</v>
      </c>
      <c r="D251">
        <v>1</v>
      </c>
      <c r="E251" t="s">
        <v>62</v>
      </c>
      <c r="F251" t="s">
        <v>63</v>
      </c>
      <c r="G251" t="str">
        <f>"2026-05-05 13:16:28.672"</f>
        <v>2026-05-05 13:16:28.672</v>
      </c>
      <c r="H251" t="s">
        <v>64</v>
      </c>
    </row>
    <row r="252" spans="1:10" x14ac:dyDescent="0.25">
      <c r="A252" s="1">
        <v>41</v>
      </c>
      <c r="B252" t="s">
        <v>55</v>
      </c>
      <c r="C252">
        <v>47</v>
      </c>
      <c r="D252">
        <v>2</v>
      </c>
      <c r="E252" t="s">
        <v>56</v>
      </c>
      <c r="F252" t="s">
        <v>57</v>
      </c>
      <c r="G252" t="str">
        <f>"2026-05-05 13:16:25.772"</f>
        <v>2026-05-05 13:16:25.772</v>
      </c>
      <c r="H252" t="s">
        <v>58</v>
      </c>
    </row>
    <row r="253" spans="1:10" x14ac:dyDescent="0.25">
      <c r="A253" s="1">
        <v>42</v>
      </c>
      <c r="B253" t="s">
        <v>19</v>
      </c>
      <c r="C253">
        <v>706</v>
      </c>
      <c r="D253">
        <v>4</v>
      </c>
      <c r="E253" t="s">
        <v>29</v>
      </c>
      <c r="F253" t="s">
        <v>30</v>
      </c>
      <c r="G253" t="str">
        <f>"2026-05-05 13:16:23.628"</f>
        <v>2026-05-05 13:16:23.628</v>
      </c>
      <c r="H253" t="s">
        <v>21</v>
      </c>
      <c r="I253">
        <v>0</v>
      </c>
      <c r="J253" t="s">
        <v>31</v>
      </c>
    </row>
    <row r="254" spans="1:10" x14ac:dyDescent="0.25">
      <c r="A254" s="1">
        <v>44</v>
      </c>
      <c r="B254" t="s">
        <v>25</v>
      </c>
      <c r="C254">
        <v>49</v>
      </c>
      <c r="D254">
        <v>1</v>
      </c>
      <c r="E254" t="s">
        <v>62</v>
      </c>
      <c r="F254" t="s">
        <v>63</v>
      </c>
      <c r="G254" t="str">
        <f>"2026-05-05 13:05:41.772"</f>
        <v>2026-05-05 13:05:41.772</v>
      </c>
      <c r="H254" t="s">
        <v>64</v>
      </c>
      <c r="I254">
        <v>0</v>
      </c>
      <c r="J254" t="s">
        <v>31</v>
      </c>
    </row>
    <row r="255" spans="1:10" x14ac:dyDescent="0.25">
      <c r="A255" s="1">
        <v>46</v>
      </c>
      <c r="B255" t="s">
        <v>49</v>
      </c>
      <c r="C255">
        <v>47</v>
      </c>
      <c r="D255">
        <v>2</v>
      </c>
      <c r="E255" t="s">
        <v>56</v>
      </c>
      <c r="F255" t="s">
        <v>57</v>
      </c>
      <c r="G255" t="str">
        <f>"2026-05-05 13:04:32.372"</f>
        <v>2026-05-05 13:04:32.372</v>
      </c>
      <c r="H255" t="s">
        <v>58</v>
      </c>
      <c r="I255">
        <v>0</v>
      </c>
      <c r="J255" t="s">
        <v>28</v>
      </c>
    </row>
    <row r="256" spans="1:10" s="3" customFormat="1" x14ac:dyDescent="0.25">
      <c r="A256" s="2">
        <v>47</v>
      </c>
      <c r="B256" s="3" t="s">
        <v>22</v>
      </c>
      <c r="C256" s="3">
        <v>647</v>
      </c>
      <c r="D256" s="3">
        <v>1</v>
      </c>
      <c r="E256" s="3" t="s">
        <v>60</v>
      </c>
      <c r="F256" s="3" t="s">
        <v>61</v>
      </c>
      <c r="G256" s="3" t="str">
        <f>"2026-05-05 06:10:20.852"</f>
        <v>2026-05-05 06:10:20.852</v>
      </c>
      <c r="H256" s="3" t="s">
        <v>21</v>
      </c>
    </row>
    <row r="257" spans="1:10" s="3" customFormat="1" x14ac:dyDescent="0.25">
      <c r="A257" s="2">
        <v>48</v>
      </c>
      <c r="B257" s="3" t="s">
        <v>25</v>
      </c>
      <c r="C257" s="3">
        <v>647</v>
      </c>
      <c r="D257" s="3">
        <v>1</v>
      </c>
      <c r="E257" s="3" t="s">
        <v>60</v>
      </c>
      <c r="F257" s="3" t="s">
        <v>61</v>
      </c>
      <c r="G257" s="3" t="str">
        <f>"2026-05-05 06:10:17.752"</f>
        <v>2026-05-05 06:10:17.752</v>
      </c>
      <c r="H257" s="3" t="s">
        <v>21</v>
      </c>
      <c r="I257" s="3">
        <v>15.89</v>
      </c>
      <c r="J257" s="3" t="s">
        <v>26</v>
      </c>
    </row>
    <row r="258" spans="1:10" x14ac:dyDescent="0.25">
      <c r="A258" s="1">
        <v>50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"2026-05-05 03:15:32.748"</f>
        <v>2026-05-05 03:15:32.748</v>
      </c>
      <c r="H258" t="s">
        <v>21</v>
      </c>
    </row>
    <row r="259" spans="1:10" x14ac:dyDescent="0.25">
      <c r="A259" s="1">
        <v>52</v>
      </c>
      <c r="B259" t="s">
        <v>19</v>
      </c>
      <c r="C259">
        <v>706</v>
      </c>
      <c r="D259">
        <v>4</v>
      </c>
      <c r="E259" t="s">
        <v>29</v>
      </c>
      <c r="F259" t="s">
        <v>30</v>
      </c>
      <c r="G259" t="str">
        <f>"2026-05-04 11:56:50.984"</f>
        <v>2026-05-04 11:56:50.984</v>
      </c>
      <c r="H259" t="s">
        <v>21</v>
      </c>
      <c r="I259">
        <v>0</v>
      </c>
      <c r="J259" t="s">
        <v>31</v>
      </c>
    </row>
    <row r="260" spans="1:10" x14ac:dyDescent="0.25">
      <c r="A260" s="1">
        <v>53</v>
      </c>
      <c r="B260" t="s">
        <v>22</v>
      </c>
      <c r="C260">
        <v>49</v>
      </c>
      <c r="D260">
        <v>1</v>
      </c>
      <c r="E260" t="s">
        <v>62</v>
      </c>
      <c r="F260" t="s">
        <v>63</v>
      </c>
      <c r="G260" t="str">
        <f>"2026-05-04 11:55:43.557"</f>
        <v>2026-05-04 11:55:43.557</v>
      </c>
      <c r="H260" t="s">
        <v>64</v>
      </c>
    </row>
    <row r="261" spans="1:10" x14ac:dyDescent="0.25">
      <c r="A261" s="1">
        <v>55</v>
      </c>
      <c r="B261" t="s">
        <v>25</v>
      </c>
      <c r="C261">
        <v>49</v>
      </c>
      <c r="D261">
        <v>1</v>
      </c>
      <c r="E261" t="s">
        <v>62</v>
      </c>
      <c r="F261" t="s">
        <v>63</v>
      </c>
      <c r="G261" t="str">
        <f>"2026-05-04 11:48:22.357"</f>
        <v>2026-05-04 11:48:22.357</v>
      </c>
      <c r="H261" t="s">
        <v>64</v>
      </c>
      <c r="I261">
        <v>0</v>
      </c>
      <c r="J261" t="s">
        <v>31</v>
      </c>
    </row>
    <row r="262" spans="1:10" x14ac:dyDescent="0.25">
      <c r="A262" s="1">
        <v>57</v>
      </c>
      <c r="B262" t="s">
        <v>22</v>
      </c>
      <c r="C262">
        <v>49</v>
      </c>
      <c r="D262">
        <v>1</v>
      </c>
      <c r="E262" t="s">
        <v>62</v>
      </c>
      <c r="F262" t="s">
        <v>63</v>
      </c>
      <c r="G262" t="str">
        <f>"2026-05-03 14:04:05.957"</f>
        <v>2026-05-03 14:04:05.957</v>
      </c>
      <c r="H262" t="s">
        <v>64</v>
      </c>
    </row>
    <row r="263" spans="1:10" x14ac:dyDescent="0.25">
      <c r="A263" s="1">
        <v>58</v>
      </c>
      <c r="B263" t="s">
        <v>55</v>
      </c>
      <c r="C263">
        <v>47</v>
      </c>
      <c r="D263">
        <v>2</v>
      </c>
      <c r="E263" t="s">
        <v>56</v>
      </c>
      <c r="F263" t="s">
        <v>57</v>
      </c>
      <c r="G263" t="str">
        <f>"2026-05-03 14:04:01.856"</f>
        <v>2026-05-03 14:04:01.856</v>
      </c>
      <c r="H263" t="s">
        <v>58</v>
      </c>
    </row>
    <row r="264" spans="1:10" x14ac:dyDescent="0.25">
      <c r="A264" s="1">
        <v>59</v>
      </c>
      <c r="B264" t="s">
        <v>19</v>
      </c>
      <c r="C264">
        <v>706</v>
      </c>
      <c r="D264">
        <v>2</v>
      </c>
      <c r="E264" t="s">
        <v>29</v>
      </c>
      <c r="F264" t="s">
        <v>59</v>
      </c>
      <c r="G264" t="str">
        <f>"2026-05-03 14:03:59.714"</f>
        <v>2026-05-03 14:03:59.714</v>
      </c>
      <c r="H264" t="s">
        <v>21</v>
      </c>
      <c r="I264">
        <v>0</v>
      </c>
      <c r="J264" t="s">
        <v>31</v>
      </c>
    </row>
    <row r="265" spans="1:10" x14ac:dyDescent="0.25">
      <c r="A265" s="1">
        <v>61</v>
      </c>
      <c r="B265" t="s">
        <v>25</v>
      </c>
      <c r="C265">
        <v>49</v>
      </c>
      <c r="D265">
        <v>1</v>
      </c>
      <c r="E265" t="s">
        <v>62</v>
      </c>
      <c r="F265" t="s">
        <v>63</v>
      </c>
      <c r="G265" t="str">
        <f>"2026-05-03 13:40:58.657"</f>
        <v>2026-05-03 13:40:58.657</v>
      </c>
      <c r="H265" t="s">
        <v>64</v>
      </c>
      <c r="I265">
        <v>0</v>
      </c>
      <c r="J265" t="s">
        <v>31</v>
      </c>
    </row>
    <row r="266" spans="1:10" x14ac:dyDescent="0.25">
      <c r="A266" s="1">
        <v>63</v>
      </c>
      <c r="B266" t="s">
        <v>49</v>
      </c>
      <c r="C266">
        <v>47</v>
      </c>
      <c r="D266">
        <v>2</v>
      </c>
      <c r="E266" t="s">
        <v>56</v>
      </c>
      <c r="F266" t="s">
        <v>57</v>
      </c>
      <c r="G266" t="str">
        <f>"2026-05-03 13:39:49.156"</f>
        <v>2026-05-03 13:39:49.156</v>
      </c>
      <c r="H266" t="s">
        <v>58</v>
      </c>
      <c r="I266">
        <v>0</v>
      </c>
      <c r="J266" t="s">
        <v>28</v>
      </c>
    </row>
    <row r="267" spans="1:10" s="3" customFormat="1" x14ac:dyDescent="0.25">
      <c r="A267" s="2">
        <v>64</v>
      </c>
      <c r="B267" s="3" t="s">
        <v>22</v>
      </c>
      <c r="C267" s="3">
        <v>647</v>
      </c>
      <c r="D267" s="3">
        <v>1</v>
      </c>
      <c r="E267" s="3" t="s">
        <v>60</v>
      </c>
      <c r="F267" s="3" t="s">
        <v>61</v>
      </c>
      <c r="G267" s="3" t="str">
        <f>"2026-05-02 10:53:53.357"</f>
        <v>2026-05-02 10:53:53.357</v>
      </c>
      <c r="H267" s="3" t="s">
        <v>21</v>
      </c>
    </row>
    <row r="268" spans="1:10" s="3" customFormat="1" x14ac:dyDescent="0.25">
      <c r="A268" s="2">
        <v>65</v>
      </c>
      <c r="B268" s="3" t="s">
        <v>25</v>
      </c>
      <c r="C268" s="3">
        <v>647</v>
      </c>
      <c r="D268" s="3">
        <v>1</v>
      </c>
      <c r="E268" s="3" t="s">
        <v>60</v>
      </c>
      <c r="F268" s="3" t="s">
        <v>61</v>
      </c>
      <c r="G268" s="3" t="str">
        <f>"2026-05-02 10:53:51.257"</f>
        <v>2026-05-02 10:53:51.257</v>
      </c>
      <c r="H268" s="3" t="s">
        <v>21</v>
      </c>
      <c r="I268" s="3">
        <v>12.28</v>
      </c>
      <c r="J268" s="3" t="s">
        <v>26</v>
      </c>
    </row>
    <row r="269" spans="1:10" x14ac:dyDescent="0.25">
      <c r="A269" s="1">
        <v>66</v>
      </c>
      <c r="B269" t="s">
        <v>22</v>
      </c>
      <c r="C269">
        <v>635</v>
      </c>
      <c r="D269">
        <v>1</v>
      </c>
      <c r="E269" t="s">
        <v>23</v>
      </c>
      <c r="F269" t="s">
        <v>24</v>
      </c>
      <c r="G269" t="str">
        <f>"2026-05-02 09:35:36.256"</f>
        <v>2026-05-02 09:35:36.256</v>
      </c>
      <c r="H269" t="s">
        <v>21</v>
      </c>
    </row>
    <row r="270" spans="1:10" x14ac:dyDescent="0.25">
      <c r="A270" s="1">
        <v>67</v>
      </c>
      <c r="B270" t="s">
        <v>25</v>
      </c>
      <c r="C270">
        <v>635</v>
      </c>
      <c r="D270">
        <v>1</v>
      </c>
      <c r="E270" t="s">
        <v>23</v>
      </c>
      <c r="F270" t="s">
        <v>24</v>
      </c>
      <c r="G270" t="str">
        <f>"2026-05-02 09:32:37.356"</f>
        <v>2026-05-02 09:32:37.356</v>
      </c>
      <c r="H270" t="s">
        <v>21</v>
      </c>
      <c r="I270">
        <v>4.7699999999999996</v>
      </c>
      <c r="J270" t="s">
        <v>32</v>
      </c>
    </row>
    <row r="271" spans="1:10" x14ac:dyDescent="0.25">
      <c r="A271" s="1">
        <v>68</v>
      </c>
      <c r="B271" t="s">
        <v>19</v>
      </c>
      <c r="C271">
        <v>706</v>
      </c>
      <c r="D271">
        <v>4</v>
      </c>
      <c r="E271" t="s">
        <v>29</v>
      </c>
      <c r="F271" t="s">
        <v>30</v>
      </c>
      <c r="G271" t="str">
        <f>"2026-05-01 13:44:24.514"</f>
        <v>2026-05-01 13:44:24.514</v>
      </c>
      <c r="H271" t="s">
        <v>21</v>
      </c>
      <c r="I271">
        <v>0</v>
      </c>
      <c r="J271" t="s">
        <v>31</v>
      </c>
    </row>
    <row r="272" spans="1:10" x14ac:dyDescent="0.25">
      <c r="A272" s="1">
        <v>69</v>
      </c>
      <c r="B272" t="s">
        <v>22</v>
      </c>
      <c r="C272">
        <v>49</v>
      </c>
      <c r="D272">
        <v>1</v>
      </c>
      <c r="E272" t="s">
        <v>62</v>
      </c>
      <c r="F272" t="s">
        <v>63</v>
      </c>
      <c r="G272" t="str">
        <f>"2026-05-01 13:38:58.057"</f>
        <v>2026-05-01 13:38:58.057</v>
      </c>
      <c r="H272" t="s">
        <v>64</v>
      </c>
    </row>
    <row r="273" spans="1:10" x14ac:dyDescent="0.25">
      <c r="A273" s="1">
        <v>71</v>
      </c>
      <c r="B273" t="s">
        <v>25</v>
      </c>
      <c r="C273">
        <v>49</v>
      </c>
      <c r="D273">
        <v>1</v>
      </c>
      <c r="E273" t="s">
        <v>62</v>
      </c>
      <c r="F273" t="s">
        <v>63</v>
      </c>
      <c r="G273" t="str">
        <f>"2026-05-01 13:15:23.457"</f>
        <v>2026-05-01 13:15:23.457</v>
      </c>
      <c r="H273" t="s">
        <v>64</v>
      </c>
      <c r="I273">
        <v>0</v>
      </c>
      <c r="J273" t="s">
        <v>31</v>
      </c>
    </row>
    <row r="274" spans="1:10" x14ac:dyDescent="0.25">
      <c r="A274" s="1">
        <v>74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"2026-05-01 02:48:55.754"</f>
        <v>2026-05-01 02:48:55.754</v>
      </c>
      <c r="H274" t="s">
        <v>21</v>
      </c>
      <c r="I274">
        <v>0</v>
      </c>
      <c r="J274" t="s">
        <v>27</v>
      </c>
    </row>
    <row r="275" spans="1:10" x14ac:dyDescent="0.25">
      <c r="A275" s="1">
        <v>76</v>
      </c>
      <c r="B275" t="s">
        <v>22</v>
      </c>
      <c r="C275">
        <v>619</v>
      </c>
      <c r="D275">
        <v>1</v>
      </c>
      <c r="E275" t="s">
        <v>65</v>
      </c>
      <c r="F275" t="s">
        <v>24</v>
      </c>
      <c r="G275" t="str">
        <f>"2026-05-01 01:02:09.671"</f>
        <v>2026-05-01 01:02:09.671</v>
      </c>
      <c r="H275" t="s">
        <v>66</v>
      </c>
    </row>
    <row r="276" spans="1:10" x14ac:dyDescent="0.25">
      <c r="A276" s="1">
        <v>77</v>
      </c>
      <c r="B276" t="s">
        <v>25</v>
      </c>
      <c r="C276">
        <v>619</v>
      </c>
      <c r="D276">
        <v>1</v>
      </c>
      <c r="E276" t="s">
        <v>65</v>
      </c>
      <c r="F276" t="s">
        <v>24</v>
      </c>
      <c r="G276" t="str">
        <f>"2026-05-01 01:01:51.571"</f>
        <v>2026-05-01 01:01:51.571</v>
      </c>
      <c r="H276" t="s">
        <v>66</v>
      </c>
      <c r="I276">
        <v>6.67</v>
      </c>
      <c r="J276" t="s">
        <v>28</v>
      </c>
    </row>
    <row r="277" spans="1:10" x14ac:dyDescent="0.25">
      <c r="A277" s="1">
        <v>79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"2026-04-30 23:58:47.776"</f>
        <v>2026-04-30 23:58:47.776</v>
      </c>
      <c r="H277" t="s">
        <v>21</v>
      </c>
      <c r="I277">
        <v>0</v>
      </c>
      <c r="J277" t="s">
        <v>27</v>
      </c>
    </row>
    <row r="278" spans="1:10" x14ac:dyDescent="0.25">
      <c r="A278" s="1">
        <v>81</v>
      </c>
      <c r="B278" t="s">
        <v>49</v>
      </c>
      <c r="C278">
        <v>47</v>
      </c>
      <c r="D278">
        <v>2</v>
      </c>
      <c r="E278" t="s">
        <v>56</v>
      </c>
      <c r="F278" t="s">
        <v>57</v>
      </c>
      <c r="G278" t="str">
        <f>"2026-04-30 23:54:59.906"</f>
        <v>2026-04-30 23:54:59.906</v>
      </c>
      <c r="H278" t="s">
        <v>58</v>
      </c>
      <c r="I278">
        <v>0</v>
      </c>
      <c r="J278" t="s">
        <v>28</v>
      </c>
    </row>
    <row r="279" spans="1:10" x14ac:dyDescent="0.25">
      <c r="A279" s="1">
        <v>82</v>
      </c>
      <c r="B279" t="s">
        <v>55</v>
      </c>
      <c r="C279">
        <v>87</v>
      </c>
      <c r="D279">
        <v>1</v>
      </c>
      <c r="E279" t="s">
        <v>67</v>
      </c>
      <c r="F279" t="s">
        <v>68</v>
      </c>
      <c r="G279" t="str">
        <f>"2026-04-30 23:07:06.495"</f>
        <v>2026-04-30 23:07:06.495</v>
      </c>
      <c r="H279" t="s">
        <v>21</v>
      </c>
    </row>
    <row r="280" spans="1:10" x14ac:dyDescent="0.25">
      <c r="A280" s="1">
        <v>83</v>
      </c>
      <c r="B280" t="s">
        <v>22</v>
      </c>
      <c r="C280">
        <v>89</v>
      </c>
      <c r="D280">
        <v>2</v>
      </c>
      <c r="E280" t="s">
        <v>69</v>
      </c>
      <c r="F280" t="s">
        <v>70</v>
      </c>
      <c r="G280" t="str">
        <f>"2026-04-30 23:06:51.206"</f>
        <v>2026-04-30 23:06:51.206</v>
      </c>
      <c r="H280" t="s">
        <v>21</v>
      </c>
    </row>
    <row r="281" spans="1:10" x14ac:dyDescent="0.25">
      <c r="A281" s="1">
        <v>84</v>
      </c>
      <c r="B281" t="s">
        <v>49</v>
      </c>
      <c r="C281">
        <v>87</v>
      </c>
      <c r="D281">
        <v>1</v>
      </c>
      <c r="E281" t="s">
        <v>67</v>
      </c>
      <c r="F281" t="s">
        <v>68</v>
      </c>
      <c r="G281" t="str">
        <f>"2026-04-30 23:06:28.165"</f>
        <v>2026-04-30 23:06:28.165</v>
      </c>
      <c r="H281" t="s">
        <v>21</v>
      </c>
      <c r="I281">
        <v>3.57</v>
      </c>
      <c r="J281" t="s">
        <v>32</v>
      </c>
    </row>
    <row r="282" spans="1:10" x14ac:dyDescent="0.25">
      <c r="A282" s="1">
        <v>85</v>
      </c>
      <c r="B282" t="s">
        <v>49</v>
      </c>
      <c r="C282">
        <v>89</v>
      </c>
      <c r="D282">
        <v>2</v>
      </c>
      <c r="E282" t="s">
        <v>69</v>
      </c>
      <c r="F282" t="s">
        <v>70</v>
      </c>
      <c r="G282" t="str">
        <f>"2026-04-30 23:06:23.506"</f>
        <v>2026-04-30 23:06:23.506</v>
      </c>
      <c r="H282" t="s">
        <v>21</v>
      </c>
      <c r="I282">
        <v>2.97</v>
      </c>
      <c r="J282" t="s">
        <v>32</v>
      </c>
    </row>
    <row r="283" spans="1:10" x14ac:dyDescent="0.25">
      <c r="A283" s="1">
        <v>87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"2026-04-30 19:57:41.743"</f>
        <v>2026-04-30 19:57:41.743</v>
      </c>
      <c r="H283" t="s">
        <v>21</v>
      </c>
    </row>
    <row r="284" spans="1:10" x14ac:dyDescent="0.25">
      <c r="A284" s="1">
        <v>89</v>
      </c>
      <c r="B284" t="s">
        <v>55</v>
      </c>
      <c r="C284">
        <v>89</v>
      </c>
      <c r="D284">
        <v>2</v>
      </c>
      <c r="E284" t="s">
        <v>69</v>
      </c>
      <c r="F284" t="s">
        <v>70</v>
      </c>
      <c r="G284" t="str">
        <f>"2026-04-30 19:48:36.307"</f>
        <v>2026-04-30 19:48:36.307</v>
      </c>
      <c r="H284" t="s">
        <v>21</v>
      </c>
    </row>
    <row r="285" spans="1:10" x14ac:dyDescent="0.25">
      <c r="A285" s="1">
        <v>90</v>
      </c>
      <c r="B285" t="s">
        <v>49</v>
      </c>
      <c r="C285">
        <v>89</v>
      </c>
      <c r="D285">
        <v>2</v>
      </c>
      <c r="E285" t="s">
        <v>69</v>
      </c>
      <c r="F285" t="s">
        <v>70</v>
      </c>
      <c r="G285" t="str">
        <f>"2026-04-30 19:47:12.067"</f>
        <v>2026-04-30 19:47:12.067</v>
      </c>
      <c r="H285" t="s">
        <v>21</v>
      </c>
      <c r="I285">
        <v>1.66</v>
      </c>
      <c r="J285" t="s">
        <v>32</v>
      </c>
    </row>
    <row r="286" spans="1:10" x14ac:dyDescent="0.25">
      <c r="A286" s="1">
        <v>91</v>
      </c>
      <c r="B286" t="s">
        <v>55</v>
      </c>
      <c r="C286">
        <v>89</v>
      </c>
      <c r="D286">
        <v>2</v>
      </c>
      <c r="E286" t="s">
        <v>69</v>
      </c>
      <c r="F286" t="s">
        <v>70</v>
      </c>
      <c r="G286" t="str">
        <f>"2026-04-30 19:46:25.256"</f>
        <v>2026-04-30 19:46:25.256</v>
      </c>
      <c r="H286" t="s">
        <v>21</v>
      </c>
    </row>
    <row r="287" spans="1:10" x14ac:dyDescent="0.25">
      <c r="A287" s="1">
        <v>92</v>
      </c>
      <c r="B287" t="s">
        <v>49</v>
      </c>
      <c r="C287">
        <v>89</v>
      </c>
      <c r="D287">
        <v>2</v>
      </c>
      <c r="E287" t="s">
        <v>69</v>
      </c>
      <c r="F287" t="s">
        <v>70</v>
      </c>
      <c r="G287" t="str">
        <f>"2026-04-30 19:46:05.068"</f>
        <v>2026-04-30 19:46:05.068</v>
      </c>
      <c r="H287" t="s">
        <v>21</v>
      </c>
      <c r="I287">
        <v>1.9</v>
      </c>
      <c r="J287" t="s">
        <v>32</v>
      </c>
    </row>
    <row r="288" spans="1:10" x14ac:dyDescent="0.25">
      <c r="A288" s="1">
        <v>93</v>
      </c>
      <c r="B288" t="s">
        <v>22</v>
      </c>
      <c r="C288">
        <v>49</v>
      </c>
      <c r="D288">
        <v>1</v>
      </c>
      <c r="E288" t="s">
        <v>62</v>
      </c>
      <c r="F288" t="s">
        <v>63</v>
      </c>
      <c r="G288" t="str">
        <f>"2026-04-30 14:00:57.468"</f>
        <v>2026-04-30 14:00:57.468</v>
      </c>
      <c r="H288" t="s">
        <v>64</v>
      </c>
    </row>
    <row r="289" spans="1:10" x14ac:dyDescent="0.25">
      <c r="A289" s="1">
        <v>94</v>
      </c>
      <c r="B289" t="s">
        <v>55</v>
      </c>
      <c r="C289">
        <v>47</v>
      </c>
      <c r="D289">
        <v>2</v>
      </c>
      <c r="E289" t="s">
        <v>56</v>
      </c>
      <c r="F289" t="s">
        <v>57</v>
      </c>
      <c r="G289" t="str">
        <f>"2026-04-30 14:00:55.567"</f>
        <v>2026-04-30 14:00:55.567</v>
      </c>
      <c r="H289" t="s">
        <v>58</v>
      </c>
    </row>
    <row r="290" spans="1:10" x14ac:dyDescent="0.25">
      <c r="A290" s="1">
        <v>95</v>
      </c>
      <c r="B290" t="s">
        <v>19</v>
      </c>
      <c r="C290">
        <v>706</v>
      </c>
      <c r="D290">
        <v>2</v>
      </c>
      <c r="E290" t="s">
        <v>29</v>
      </c>
      <c r="F290" t="s">
        <v>59</v>
      </c>
      <c r="G290" t="str">
        <f>"2026-04-30 14:00:51.986"</f>
        <v>2026-04-30 14:00:51.986</v>
      </c>
      <c r="H290" t="s">
        <v>21</v>
      </c>
      <c r="I290">
        <v>0</v>
      </c>
      <c r="J290" t="s">
        <v>31</v>
      </c>
    </row>
    <row r="291" spans="1:10" x14ac:dyDescent="0.25">
      <c r="A291" s="1">
        <v>97</v>
      </c>
      <c r="B291" t="s">
        <v>25</v>
      </c>
      <c r="C291">
        <v>49</v>
      </c>
      <c r="D291">
        <v>1</v>
      </c>
      <c r="E291" t="s">
        <v>62</v>
      </c>
      <c r="F291" t="s">
        <v>63</v>
      </c>
      <c r="G291" t="str">
        <f>"2026-04-30 13:07:16.067"</f>
        <v>2026-04-30 13:07:16.067</v>
      </c>
      <c r="H291" t="s">
        <v>64</v>
      </c>
      <c r="I291">
        <v>0</v>
      </c>
      <c r="J291" t="s">
        <v>31</v>
      </c>
    </row>
    <row r="292" spans="1:10" x14ac:dyDescent="0.25">
      <c r="A292" s="1">
        <v>99</v>
      </c>
      <c r="B292" t="s">
        <v>49</v>
      </c>
      <c r="C292">
        <v>47</v>
      </c>
      <c r="D292">
        <v>2</v>
      </c>
      <c r="E292" t="s">
        <v>56</v>
      </c>
      <c r="F292" t="s">
        <v>57</v>
      </c>
      <c r="G292" t="str">
        <f>"2026-04-30 13:06:07.168"</f>
        <v>2026-04-30 13:06:07.168</v>
      </c>
      <c r="H292" t="s">
        <v>58</v>
      </c>
      <c r="I292">
        <v>0</v>
      </c>
      <c r="J292" t="s">
        <v>28</v>
      </c>
    </row>
    <row r="293" spans="1:10" x14ac:dyDescent="0.25">
      <c r="A293" s="1">
        <v>1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"2026-04-30 05:03:59.736"</f>
        <v>2026-04-30 05:03:59.736</v>
      </c>
      <c r="H293" t="s">
        <v>21</v>
      </c>
    </row>
    <row r="294" spans="1:10" x14ac:dyDescent="0.25">
      <c r="A294" s="1">
        <v>3</v>
      </c>
      <c r="B294" t="s">
        <v>49</v>
      </c>
      <c r="C294">
        <v>47</v>
      </c>
      <c r="D294">
        <v>2</v>
      </c>
      <c r="E294" t="s">
        <v>56</v>
      </c>
      <c r="F294" t="s">
        <v>57</v>
      </c>
      <c r="G294" t="str">
        <f>"2026-04-30 04:17:20.175"</f>
        <v>2026-04-30 04:17:20.175</v>
      </c>
      <c r="H294" t="s">
        <v>58</v>
      </c>
      <c r="I294">
        <v>0</v>
      </c>
      <c r="J294" t="s">
        <v>28</v>
      </c>
    </row>
    <row r="295" spans="1:10" x14ac:dyDescent="0.25">
      <c r="A295" s="1">
        <v>4</v>
      </c>
      <c r="B295" t="s">
        <v>19</v>
      </c>
      <c r="C295">
        <v>706</v>
      </c>
      <c r="D295">
        <v>4</v>
      </c>
      <c r="E295" t="s">
        <v>29</v>
      </c>
      <c r="F295" t="s">
        <v>30</v>
      </c>
      <c r="G295" t="str">
        <f>"2026-04-30 04:16:32.503"</f>
        <v>2026-04-30 04:16:32.503</v>
      </c>
      <c r="H295" t="s">
        <v>21</v>
      </c>
      <c r="I295">
        <v>0</v>
      </c>
      <c r="J295" t="s">
        <v>31</v>
      </c>
    </row>
    <row r="296" spans="1:10" x14ac:dyDescent="0.25">
      <c r="A296" s="1">
        <v>5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"2026-04-30 03:54:48.923"</f>
        <v>2026-04-30 03:54:48.923</v>
      </c>
      <c r="H296" t="s">
        <v>21</v>
      </c>
      <c r="I296">
        <v>0</v>
      </c>
      <c r="J296" t="s">
        <v>27</v>
      </c>
    </row>
    <row r="297" spans="1:10" x14ac:dyDescent="0.25">
      <c r="A297" s="1">
        <v>8</v>
      </c>
      <c r="B297" t="s">
        <v>49</v>
      </c>
      <c r="C297">
        <v>47</v>
      </c>
      <c r="D297">
        <v>2</v>
      </c>
      <c r="E297" t="s">
        <v>56</v>
      </c>
      <c r="F297" t="s">
        <v>57</v>
      </c>
      <c r="G297" t="str">
        <f>"2026-04-30 02:48:42.828"</f>
        <v>2026-04-30 02:48:42.828</v>
      </c>
      <c r="H297" t="s">
        <v>58</v>
      </c>
      <c r="I297">
        <v>0</v>
      </c>
      <c r="J297" t="s">
        <v>28</v>
      </c>
    </row>
    <row r="298" spans="1:10" x14ac:dyDescent="0.25">
      <c r="A298" s="1">
        <v>9</v>
      </c>
      <c r="B298" t="s">
        <v>19</v>
      </c>
      <c r="C298">
        <v>706</v>
      </c>
      <c r="D298">
        <v>4</v>
      </c>
      <c r="E298" t="s">
        <v>29</v>
      </c>
      <c r="F298" t="s">
        <v>30</v>
      </c>
      <c r="G298" t="str">
        <f>"2026-04-29 13:05:08.357"</f>
        <v>2026-04-29 13:05:08.357</v>
      </c>
      <c r="H298" t="s">
        <v>21</v>
      </c>
      <c r="I298">
        <v>0</v>
      </c>
      <c r="J298" t="s">
        <v>31</v>
      </c>
    </row>
    <row r="299" spans="1:10" x14ac:dyDescent="0.25">
      <c r="A299" s="1">
        <v>10</v>
      </c>
      <c r="B299" t="s">
        <v>22</v>
      </c>
      <c r="C299">
        <v>49</v>
      </c>
      <c r="D299">
        <v>1</v>
      </c>
      <c r="E299" t="s">
        <v>62</v>
      </c>
      <c r="F299" t="s">
        <v>63</v>
      </c>
      <c r="G299" t="str">
        <f>"2026-04-29 13:04:43.127"</f>
        <v>2026-04-29 13:04:43.127</v>
      </c>
      <c r="H299" t="s">
        <v>64</v>
      </c>
    </row>
    <row r="300" spans="1:10" x14ac:dyDescent="0.25">
      <c r="A300" s="1">
        <v>12</v>
      </c>
      <c r="B300" t="s">
        <v>25</v>
      </c>
      <c r="C300">
        <v>49</v>
      </c>
      <c r="D300">
        <v>1</v>
      </c>
      <c r="E300" t="s">
        <v>62</v>
      </c>
      <c r="F300" t="s">
        <v>63</v>
      </c>
      <c r="G300" t="str">
        <f>"2026-04-29 12:56:20.628"</f>
        <v>2026-04-29 12:56:20.628</v>
      </c>
      <c r="H300" t="s">
        <v>64</v>
      </c>
      <c r="I300">
        <v>0</v>
      </c>
      <c r="J300" t="s">
        <v>31</v>
      </c>
    </row>
    <row r="301" spans="1:10" x14ac:dyDescent="0.25">
      <c r="A301" s="1">
        <v>14</v>
      </c>
      <c r="B301" t="s">
        <v>22</v>
      </c>
      <c r="C301">
        <v>49</v>
      </c>
      <c r="D301">
        <v>1</v>
      </c>
      <c r="E301" t="s">
        <v>62</v>
      </c>
      <c r="F301" t="s">
        <v>63</v>
      </c>
      <c r="G301" t="str">
        <f>"2026-04-28 17:18:55.228"</f>
        <v>2026-04-28 17:18:55.228</v>
      </c>
      <c r="H301" t="s">
        <v>64</v>
      </c>
    </row>
    <row r="302" spans="1:10" x14ac:dyDescent="0.25">
      <c r="A302" s="1">
        <v>15</v>
      </c>
      <c r="B302" t="s">
        <v>55</v>
      </c>
      <c r="C302">
        <v>47</v>
      </c>
      <c r="D302">
        <v>2</v>
      </c>
      <c r="E302" t="s">
        <v>56</v>
      </c>
      <c r="F302" t="s">
        <v>57</v>
      </c>
      <c r="G302" t="str">
        <f>"2026-04-28 17:18:51.828"</f>
        <v>2026-04-28 17:18:51.828</v>
      </c>
      <c r="H302" t="s">
        <v>58</v>
      </c>
    </row>
    <row r="303" spans="1:10" x14ac:dyDescent="0.25">
      <c r="A303" s="1">
        <v>16</v>
      </c>
      <c r="B303" t="s">
        <v>19</v>
      </c>
      <c r="C303">
        <v>706</v>
      </c>
      <c r="D303">
        <v>2</v>
      </c>
      <c r="E303" t="s">
        <v>29</v>
      </c>
      <c r="F303" t="s">
        <v>59</v>
      </c>
      <c r="G303" t="str">
        <f>"2026-04-28 17:18:48.397"</f>
        <v>2026-04-28 17:18:48.397</v>
      </c>
      <c r="H303" t="s">
        <v>21</v>
      </c>
      <c r="I303">
        <v>0</v>
      </c>
      <c r="J303" t="s">
        <v>31</v>
      </c>
    </row>
    <row r="304" spans="1:10" x14ac:dyDescent="0.25">
      <c r="A304" s="1">
        <v>18</v>
      </c>
      <c r="B304" t="s">
        <v>22</v>
      </c>
      <c r="C304">
        <v>630</v>
      </c>
      <c r="D304">
        <v>5</v>
      </c>
      <c r="E304" t="s">
        <v>71</v>
      </c>
      <c r="F304" t="s">
        <v>72</v>
      </c>
      <c r="G304" t="str">
        <f>"2026-04-28 17:14:17.215"</f>
        <v>2026-04-28 17:14:17.215</v>
      </c>
      <c r="H304" t="s">
        <v>44</v>
      </c>
    </row>
    <row r="305" spans="1:10" x14ac:dyDescent="0.25">
      <c r="A305" s="1">
        <v>19</v>
      </c>
      <c r="B305" t="s">
        <v>49</v>
      </c>
      <c r="C305">
        <v>630</v>
      </c>
      <c r="D305">
        <v>5</v>
      </c>
      <c r="E305" t="s">
        <v>71</v>
      </c>
      <c r="F305" t="s">
        <v>72</v>
      </c>
      <c r="G305" t="str">
        <f>"2026-04-28 17:10:07.415"</f>
        <v>2026-04-28 17:10:07.415</v>
      </c>
      <c r="H305" t="s">
        <v>44</v>
      </c>
      <c r="I305">
        <v>0</v>
      </c>
      <c r="J305" t="s">
        <v>31</v>
      </c>
    </row>
    <row r="306" spans="1:10" x14ac:dyDescent="0.25">
      <c r="A306" s="1">
        <v>20</v>
      </c>
      <c r="B306" t="s">
        <v>25</v>
      </c>
      <c r="C306">
        <v>49</v>
      </c>
      <c r="D306">
        <v>1</v>
      </c>
      <c r="E306" t="s">
        <v>62</v>
      </c>
      <c r="F306" t="s">
        <v>63</v>
      </c>
      <c r="G306" t="str">
        <f>"2026-04-28 17:06:13.528"</f>
        <v>2026-04-28 17:06:13.528</v>
      </c>
      <c r="H306" t="s">
        <v>64</v>
      </c>
      <c r="I306">
        <v>0</v>
      </c>
      <c r="J306" t="s">
        <v>31</v>
      </c>
    </row>
    <row r="307" spans="1:10" x14ac:dyDescent="0.25">
      <c r="A307" s="1">
        <v>22</v>
      </c>
      <c r="B307" t="s">
        <v>49</v>
      </c>
      <c r="C307">
        <v>47</v>
      </c>
      <c r="D307">
        <v>2</v>
      </c>
      <c r="E307" t="s">
        <v>56</v>
      </c>
      <c r="F307" t="s">
        <v>57</v>
      </c>
      <c r="G307" t="str">
        <f>"2026-04-28 17:05:04.328"</f>
        <v>2026-04-28 17:05:04.328</v>
      </c>
      <c r="H307" t="s">
        <v>58</v>
      </c>
      <c r="I307">
        <v>0</v>
      </c>
      <c r="J307" t="s">
        <v>28</v>
      </c>
    </row>
    <row r="308" spans="1:10" x14ac:dyDescent="0.25">
      <c r="A308" s="1">
        <v>23</v>
      </c>
      <c r="B308" t="s">
        <v>22</v>
      </c>
      <c r="C308">
        <v>630</v>
      </c>
      <c r="D308">
        <v>5</v>
      </c>
      <c r="E308" t="s">
        <v>71</v>
      </c>
      <c r="F308" t="s">
        <v>72</v>
      </c>
      <c r="G308" t="str">
        <f>"2026-04-28 10:33:01.015"</f>
        <v>2026-04-28 10:33:01.015</v>
      </c>
      <c r="H308" t="s">
        <v>44</v>
      </c>
    </row>
    <row r="309" spans="1:10" x14ac:dyDescent="0.25">
      <c r="A309" s="1">
        <v>24</v>
      </c>
      <c r="B309" t="s">
        <v>19</v>
      </c>
      <c r="C309">
        <v>706</v>
      </c>
      <c r="D309">
        <v>4</v>
      </c>
      <c r="E309" t="s">
        <v>29</v>
      </c>
      <c r="F309" t="s">
        <v>30</v>
      </c>
      <c r="G309" t="str">
        <f>"2026-04-28 10:32:30.877"</f>
        <v>2026-04-28 10:32:30.877</v>
      </c>
      <c r="H309" t="s">
        <v>21</v>
      </c>
      <c r="I309">
        <v>0</v>
      </c>
      <c r="J309" t="s">
        <v>31</v>
      </c>
    </row>
    <row r="310" spans="1:10" x14ac:dyDescent="0.25">
      <c r="A310" s="1">
        <v>25</v>
      </c>
      <c r="B310" t="s">
        <v>22</v>
      </c>
      <c r="C310">
        <v>49</v>
      </c>
      <c r="D310">
        <v>1</v>
      </c>
      <c r="E310" t="s">
        <v>62</v>
      </c>
      <c r="F310" t="s">
        <v>63</v>
      </c>
      <c r="G310" t="str">
        <f>"2026-04-28 10:32:12.728"</f>
        <v>2026-04-28 10:32:12.728</v>
      </c>
      <c r="H310" t="s">
        <v>64</v>
      </c>
    </row>
    <row r="311" spans="1:10" x14ac:dyDescent="0.25">
      <c r="A311" s="1">
        <v>27</v>
      </c>
      <c r="B311" t="s">
        <v>49</v>
      </c>
      <c r="C311">
        <v>630</v>
      </c>
      <c r="D311">
        <v>5</v>
      </c>
      <c r="E311" t="s">
        <v>71</v>
      </c>
      <c r="F311" t="s">
        <v>72</v>
      </c>
      <c r="G311" t="str">
        <f>"2026-04-28 10:29:20.415"</f>
        <v>2026-04-28 10:29:20.415</v>
      </c>
      <c r="H311" t="s">
        <v>44</v>
      </c>
      <c r="I311">
        <v>0</v>
      </c>
      <c r="J311" t="s">
        <v>31</v>
      </c>
    </row>
    <row r="312" spans="1:10" x14ac:dyDescent="0.25">
      <c r="A312" s="1">
        <v>28</v>
      </c>
      <c r="B312" t="s">
        <v>25</v>
      </c>
      <c r="C312">
        <v>49</v>
      </c>
      <c r="D312">
        <v>1</v>
      </c>
      <c r="E312" t="s">
        <v>62</v>
      </c>
      <c r="F312" t="s">
        <v>63</v>
      </c>
      <c r="G312" t="str">
        <f>"2026-04-28 10:25:26.628"</f>
        <v>2026-04-28 10:25:26.628</v>
      </c>
      <c r="H312" t="s">
        <v>64</v>
      </c>
      <c r="I312">
        <v>0</v>
      </c>
      <c r="J312" t="s">
        <v>31</v>
      </c>
    </row>
    <row r="313" spans="1:10" x14ac:dyDescent="0.25">
      <c r="A313" s="1">
        <v>30</v>
      </c>
      <c r="B313" t="s">
        <v>22</v>
      </c>
      <c r="C313">
        <v>630</v>
      </c>
      <c r="D313">
        <v>5</v>
      </c>
      <c r="E313" t="s">
        <v>71</v>
      </c>
      <c r="F313" t="s">
        <v>72</v>
      </c>
      <c r="G313" t="str">
        <f>"2026-04-27 14:02:30.715"</f>
        <v>2026-04-27 14:02:30.715</v>
      </c>
      <c r="H313" t="s">
        <v>44</v>
      </c>
    </row>
    <row r="314" spans="1:10" x14ac:dyDescent="0.25">
      <c r="A314" s="1">
        <v>31</v>
      </c>
      <c r="B314" t="s">
        <v>22</v>
      </c>
      <c r="C314">
        <v>49</v>
      </c>
      <c r="D314">
        <v>1</v>
      </c>
      <c r="E314" t="s">
        <v>62</v>
      </c>
      <c r="F314" t="s">
        <v>63</v>
      </c>
      <c r="G314" t="str">
        <f>"2026-04-27 14:02:07.628"</f>
        <v>2026-04-27 14:02:07.628</v>
      </c>
      <c r="H314" t="s">
        <v>64</v>
      </c>
    </row>
    <row r="315" spans="1:10" x14ac:dyDescent="0.25">
      <c r="A315" s="1">
        <v>32</v>
      </c>
      <c r="B315" t="s">
        <v>55</v>
      </c>
      <c r="C315">
        <v>47</v>
      </c>
      <c r="D315">
        <v>2</v>
      </c>
      <c r="E315" t="s">
        <v>56</v>
      </c>
      <c r="F315" t="s">
        <v>57</v>
      </c>
      <c r="G315" t="str">
        <f>"2026-04-27 14:02:02.528"</f>
        <v>2026-04-27 14:02:02.528</v>
      </c>
      <c r="H315" t="s">
        <v>58</v>
      </c>
    </row>
    <row r="316" spans="1:10" x14ac:dyDescent="0.25">
      <c r="A316" s="1">
        <v>33</v>
      </c>
      <c r="B316" t="s">
        <v>19</v>
      </c>
      <c r="C316">
        <v>706</v>
      </c>
      <c r="D316">
        <v>2</v>
      </c>
      <c r="E316" t="s">
        <v>29</v>
      </c>
      <c r="F316" t="s">
        <v>59</v>
      </c>
      <c r="G316" t="str">
        <f>"2026-04-27 14:02:00.497"</f>
        <v>2026-04-27 14:02:00.497</v>
      </c>
      <c r="H316" t="s">
        <v>21</v>
      </c>
      <c r="I316">
        <v>0</v>
      </c>
      <c r="J316" t="s">
        <v>31</v>
      </c>
    </row>
    <row r="317" spans="1:10" x14ac:dyDescent="0.25">
      <c r="A317" s="1">
        <v>35</v>
      </c>
      <c r="B317" t="s">
        <v>49</v>
      </c>
      <c r="C317">
        <v>630</v>
      </c>
      <c r="D317">
        <v>5</v>
      </c>
      <c r="E317" t="s">
        <v>71</v>
      </c>
      <c r="F317" t="s">
        <v>72</v>
      </c>
      <c r="G317" t="str">
        <f>"2026-04-27 13:58:18.416"</f>
        <v>2026-04-27 13:58:18.416</v>
      </c>
      <c r="H317" t="s">
        <v>44</v>
      </c>
      <c r="I317">
        <v>0</v>
      </c>
      <c r="J317" t="s">
        <v>31</v>
      </c>
    </row>
    <row r="318" spans="1:10" x14ac:dyDescent="0.25">
      <c r="A318" s="1">
        <v>36</v>
      </c>
      <c r="B318" t="s">
        <v>25</v>
      </c>
      <c r="C318">
        <v>49</v>
      </c>
      <c r="D318">
        <v>1</v>
      </c>
      <c r="E318" t="s">
        <v>62</v>
      </c>
      <c r="F318" t="s">
        <v>63</v>
      </c>
      <c r="G318" t="str">
        <f>"2026-04-27 13:54:24.228"</f>
        <v>2026-04-27 13:54:24.228</v>
      </c>
      <c r="H318" t="s">
        <v>64</v>
      </c>
      <c r="I318">
        <v>0</v>
      </c>
      <c r="J318" t="s">
        <v>31</v>
      </c>
    </row>
    <row r="319" spans="1:10" x14ac:dyDescent="0.25">
      <c r="A319" s="1">
        <v>38</v>
      </c>
      <c r="B319" t="s">
        <v>49</v>
      </c>
      <c r="C319">
        <v>47</v>
      </c>
      <c r="D319">
        <v>2</v>
      </c>
      <c r="E319" t="s">
        <v>56</v>
      </c>
      <c r="F319" t="s">
        <v>57</v>
      </c>
      <c r="G319" t="str">
        <f>"2026-04-27 13:53:15.428"</f>
        <v>2026-04-27 13:53:15.428</v>
      </c>
      <c r="H319" t="s">
        <v>58</v>
      </c>
      <c r="I319">
        <v>0</v>
      </c>
      <c r="J319" t="s">
        <v>28</v>
      </c>
    </row>
    <row r="320" spans="1:10" x14ac:dyDescent="0.25">
      <c r="A320" s="1">
        <v>39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"2026-04-27 11:04:44.707"</f>
        <v>2026-04-27 11:04:44.707</v>
      </c>
      <c r="H320" t="s">
        <v>21</v>
      </c>
    </row>
    <row r="321" spans="1:10" x14ac:dyDescent="0.25">
      <c r="A321" s="1">
        <v>40</v>
      </c>
      <c r="B321" t="s">
        <v>55</v>
      </c>
      <c r="C321">
        <v>47</v>
      </c>
      <c r="D321">
        <v>2</v>
      </c>
      <c r="E321" t="s">
        <v>56</v>
      </c>
      <c r="F321" t="s">
        <v>57</v>
      </c>
      <c r="G321" t="str">
        <f>"2026-04-26 14:27:48.650"</f>
        <v>2026-04-26 14:27:48.650</v>
      </c>
      <c r="H321" t="s">
        <v>58</v>
      </c>
    </row>
    <row r="322" spans="1:10" x14ac:dyDescent="0.25">
      <c r="A322" s="1">
        <v>41</v>
      </c>
      <c r="B322" t="s">
        <v>19</v>
      </c>
      <c r="C322">
        <v>706</v>
      </c>
      <c r="D322">
        <v>2</v>
      </c>
      <c r="E322" t="s">
        <v>29</v>
      </c>
      <c r="F322" t="s">
        <v>59</v>
      </c>
      <c r="G322" t="str">
        <f>"2026-04-26 14:27:46.280"</f>
        <v>2026-04-26 14:27:46.280</v>
      </c>
      <c r="H322" t="s">
        <v>21</v>
      </c>
      <c r="I322">
        <v>0</v>
      </c>
      <c r="J322" t="s">
        <v>31</v>
      </c>
    </row>
    <row r="323" spans="1:10" x14ac:dyDescent="0.25">
      <c r="A323" s="1">
        <v>42</v>
      </c>
      <c r="B323" t="s">
        <v>22</v>
      </c>
      <c r="C323">
        <v>630</v>
      </c>
      <c r="D323">
        <v>5</v>
      </c>
      <c r="E323" t="s">
        <v>71</v>
      </c>
      <c r="F323" t="s">
        <v>72</v>
      </c>
      <c r="G323" t="str">
        <f>"2026-04-26 14:26:17.438"</f>
        <v>2026-04-26 14:26:17.438</v>
      </c>
      <c r="H323" t="s">
        <v>44</v>
      </c>
    </row>
    <row r="324" spans="1:10" x14ac:dyDescent="0.25">
      <c r="A324" s="1">
        <v>43</v>
      </c>
      <c r="B324" t="s">
        <v>49</v>
      </c>
      <c r="C324">
        <v>630</v>
      </c>
      <c r="D324">
        <v>5</v>
      </c>
      <c r="E324" t="s">
        <v>71</v>
      </c>
      <c r="F324" t="s">
        <v>72</v>
      </c>
      <c r="G324" t="str">
        <f>"2026-04-26 14:18:40.638"</f>
        <v>2026-04-26 14:18:40.638</v>
      </c>
      <c r="H324" t="s">
        <v>44</v>
      </c>
      <c r="I324">
        <v>0</v>
      </c>
      <c r="J324" t="s">
        <v>31</v>
      </c>
    </row>
    <row r="325" spans="1:10" x14ac:dyDescent="0.25">
      <c r="A325" s="1">
        <v>44</v>
      </c>
      <c r="B325" t="s">
        <v>49</v>
      </c>
      <c r="C325">
        <v>47</v>
      </c>
      <c r="D325">
        <v>2</v>
      </c>
      <c r="E325" t="s">
        <v>56</v>
      </c>
      <c r="F325" t="s">
        <v>57</v>
      </c>
      <c r="G325" t="str">
        <f>"2026-04-26 14:13:37.650"</f>
        <v>2026-04-26 14:13:37.650</v>
      </c>
      <c r="H325" t="s">
        <v>58</v>
      </c>
      <c r="I325">
        <v>0</v>
      </c>
      <c r="J325" t="s">
        <v>28</v>
      </c>
    </row>
    <row r="326" spans="1:10" x14ac:dyDescent="0.25">
      <c r="A326" s="1">
        <v>45</v>
      </c>
      <c r="B326" t="s">
        <v>19</v>
      </c>
      <c r="C326">
        <v>706</v>
      </c>
      <c r="D326">
        <v>4</v>
      </c>
      <c r="E326" t="s">
        <v>29</v>
      </c>
      <c r="F326" t="s">
        <v>30</v>
      </c>
      <c r="G326" t="str">
        <f>"2026-04-25 12:57:19.310"</f>
        <v>2026-04-25 12:57:19.310</v>
      </c>
      <c r="H326" t="s">
        <v>21</v>
      </c>
      <c r="I326">
        <v>0</v>
      </c>
      <c r="J326" t="s">
        <v>31</v>
      </c>
    </row>
    <row r="327" spans="1:10" x14ac:dyDescent="0.25">
      <c r="A327" s="1">
        <v>46</v>
      </c>
      <c r="B327" t="s">
        <v>22</v>
      </c>
      <c r="C327">
        <v>49</v>
      </c>
      <c r="D327">
        <v>1</v>
      </c>
      <c r="E327" t="s">
        <v>62</v>
      </c>
      <c r="F327" t="s">
        <v>63</v>
      </c>
      <c r="G327" t="str">
        <f>"2026-04-25 12:56:11.851"</f>
        <v>2026-04-25 12:56:11.851</v>
      </c>
      <c r="H327" t="s">
        <v>64</v>
      </c>
    </row>
    <row r="328" spans="1:10" x14ac:dyDescent="0.25">
      <c r="A328" s="1">
        <v>48</v>
      </c>
      <c r="B328" t="s">
        <v>25</v>
      </c>
      <c r="C328">
        <v>49</v>
      </c>
      <c r="D328">
        <v>1</v>
      </c>
      <c r="E328" t="s">
        <v>62</v>
      </c>
      <c r="F328" t="s">
        <v>63</v>
      </c>
      <c r="G328" t="str">
        <f>"2026-04-25 12:35:30.951"</f>
        <v>2026-04-25 12:35:30.951</v>
      </c>
      <c r="H328" t="s">
        <v>64</v>
      </c>
      <c r="I328">
        <v>0</v>
      </c>
      <c r="J328" t="s">
        <v>31</v>
      </c>
    </row>
    <row r="329" spans="1:10" x14ac:dyDescent="0.25">
      <c r="A329" s="1">
        <v>50</v>
      </c>
      <c r="B329" t="s">
        <v>55</v>
      </c>
      <c r="C329">
        <v>47</v>
      </c>
      <c r="D329">
        <v>2</v>
      </c>
      <c r="E329" t="s">
        <v>56</v>
      </c>
      <c r="F329" t="s">
        <v>57</v>
      </c>
      <c r="G329" t="str">
        <f>"2026-04-24 13:36:32.050"</f>
        <v>2026-04-24 13:36:32.050</v>
      </c>
      <c r="H329" t="s">
        <v>58</v>
      </c>
    </row>
    <row r="330" spans="1:10" x14ac:dyDescent="0.25">
      <c r="A330" s="1">
        <v>51</v>
      </c>
      <c r="B330" t="s">
        <v>19</v>
      </c>
      <c r="C330">
        <v>706</v>
      </c>
      <c r="D330">
        <v>4</v>
      </c>
      <c r="E330" t="s">
        <v>29</v>
      </c>
      <c r="F330" t="s">
        <v>30</v>
      </c>
      <c r="G330" t="str">
        <f>"2026-04-24 13:36:29.830"</f>
        <v>2026-04-24 13:36:29.830</v>
      </c>
      <c r="H330" t="s">
        <v>21</v>
      </c>
      <c r="I330">
        <v>0</v>
      </c>
      <c r="J330" t="s">
        <v>31</v>
      </c>
    </row>
    <row r="331" spans="1:10" x14ac:dyDescent="0.25">
      <c r="A331" s="1">
        <v>52</v>
      </c>
      <c r="B331" t="s">
        <v>22</v>
      </c>
      <c r="C331">
        <v>49</v>
      </c>
      <c r="D331">
        <v>1</v>
      </c>
      <c r="E331" t="s">
        <v>62</v>
      </c>
      <c r="F331" t="s">
        <v>63</v>
      </c>
      <c r="G331" t="str">
        <f>"2026-04-24 13:31:39.851"</f>
        <v>2026-04-24 13:31:39.851</v>
      </c>
      <c r="H331" t="s">
        <v>64</v>
      </c>
    </row>
    <row r="332" spans="1:10" x14ac:dyDescent="0.25">
      <c r="A332" s="1">
        <v>54</v>
      </c>
      <c r="B332" t="s">
        <v>25</v>
      </c>
      <c r="C332">
        <v>49</v>
      </c>
      <c r="D332">
        <v>1</v>
      </c>
      <c r="E332" t="s">
        <v>62</v>
      </c>
      <c r="F332" t="s">
        <v>63</v>
      </c>
      <c r="G332" t="str">
        <f>"2026-04-24 13:01:49.351"</f>
        <v>2026-04-24 13:01:49.351</v>
      </c>
      <c r="H332" t="s">
        <v>64</v>
      </c>
      <c r="I332">
        <v>0</v>
      </c>
      <c r="J332" t="s">
        <v>31</v>
      </c>
    </row>
    <row r="333" spans="1:10" x14ac:dyDescent="0.25">
      <c r="A333" s="1">
        <v>56</v>
      </c>
      <c r="B333" t="s">
        <v>49</v>
      </c>
      <c r="C333">
        <v>47</v>
      </c>
      <c r="D333">
        <v>2</v>
      </c>
      <c r="E333" t="s">
        <v>56</v>
      </c>
      <c r="F333" t="s">
        <v>57</v>
      </c>
      <c r="G333" t="str">
        <f>"2026-04-24 13:00:40.651"</f>
        <v>2026-04-24 13:00:40.651</v>
      </c>
      <c r="H333" t="s">
        <v>58</v>
      </c>
      <c r="I333">
        <v>0</v>
      </c>
      <c r="J333" t="s">
        <v>28</v>
      </c>
    </row>
    <row r="334" spans="1:10" x14ac:dyDescent="0.25">
      <c r="A334" s="1">
        <v>57</v>
      </c>
      <c r="B334" t="s">
        <v>19</v>
      </c>
      <c r="C334">
        <v>706</v>
      </c>
      <c r="D334">
        <v>2</v>
      </c>
      <c r="E334" t="s">
        <v>29</v>
      </c>
      <c r="F334" t="s">
        <v>59</v>
      </c>
      <c r="G334" t="str">
        <f>"2026-04-23 23:45:02.980"</f>
        <v>2026-04-23 23:45:02.980</v>
      </c>
      <c r="H334" t="s">
        <v>21</v>
      </c>
      <c r="I334">
        <v>0</v>
      </c>
      <c r="J334" t="s">
        <v>31</v>
      </c>
    </row>
    <row r="335" spans="1:10" x14ac:dyDescent="0.25">
      <c r="A335" s="1">
        <v>58</v>
      </c>
      <c r="B335" t="s">
        <v>22</v>
      </c>
      <c r="C335">
        <v>49</v>
      </c>
      <c r="D335">
        <v>1</v>
      </c>
      <c r="E335" t="s">
        <v>62</v>
      </c>
      <c r="F335" t="s">
        <v>63</v>
      </c>
      <c r="G335" t="str">
        <f>"2026-04-23 23:44:37.951"</f>
        <v>2026-04-23 23:44:37.951</v>
      </c>
      <c r="H335" t="s">
        <v>64</v>
      </c>
    </row>
    <row r="336" spans="1:10" x14ac:dyDescent="0.25">
      <c r="A336" s="1">
        <v>60</v>
      </c>
      <c r="B336" t="s">
        <v>25</v>
      </c>
      <c r="C336">
        <v>49</v>
      </c>
      <c r="D336">
        <v>1</v>
      </c>
      <c r="E336" t="s">
        <v>62</v>
      </c>
      <c r="F336" t="s">
        <v>63</v>
      </c>
      <c r="G336" t="str">
        <f>"2026-04-23 23:38:08.351"</f>
        <v>2026-04-23 23:38:08.351</v>
      </c>
      <c r="H336" t="s">
        <v>64</v>
      </c>
      <c r="I336">
        <v>0</v>
      </c>
      <c r="J336" t="s">
        <v>31</v>
      </c>
    </row>
    <row r="337" spans="1:10" s="3" customFormat="1" x14ac:dyDescent="0.25">
      <c r="A337" s="2">
        <v>62</v>
      </c>
      <c r="B337" s="3" t="s">
        <v>22</v>
      </c>
      <c r="C337" s="3">
        <v>647</v>
      </c>
      <c r="D337" s="3">
        <v>1</v>
      </c>
      <c r="E337" s="3" t="s">
        <v>60</v>
      </c>
      <c r="F337" s="3" t="s">
        <v>61</v>
      </c>
      <c r="G337" s="3" t="str">
        <f>"2026-04-23 23:05:50.738"</f>
        <v>2026-04-23 23:05:50.738</v>
      </c>
      <c r="H337" s="3" t="s">
        <v>21</v>
      </c>
    </row>
    <row r="338" spans="1:10" s="3" customFormat="1" x14ac:dyDescent="0.25">
      <c r="A338" s="2">
        <v>63</v>
      </c>
      <c r="B338" s="3" t="s">
        <v>25</v>
      </c>
      <c r="C338" s="3">
        <v>647</v>
      </c>
      <c r="D338" s="3">
        <v>1</v>
      </c>
      <c r="E338" s="3" t="s">
        <v>60</v>
      </c>
      <c r="F338" s="3" t="s">
        <v>61</v>
      </c>
      <c r="G338" s="3" t="str">
        <f>"2026-04-23 23:05:46.638"</f>
        <v>2026-04-23 23:05:46.638</v>
      </c>
      <c r="H338" s="3" t="s">
        <v>21</v>
      </c>
      <c r="I338" s="3">
        <v>17.61</v>
      </c>
      <c r="J338" s="3" t="s">
        <v>26</v>
      </c>
    </row>
    <row r="339" spans="1:10" x14ac:dyDescent="0.25">
      <c r="A339" s="1">
        <v>64</v>
      </c>
      <c r="B339" t="s">
        <v>22</v>
      </c>
      <c r="C339">
        <v>635</v>
      </c>
      <c r="D339">
        <v>1</v>
      </c>
      <c r="E339" t="s">
        <v>23</v>
      </c>
      <c r="F339" t="s">
        <v>24</v>
      </c>
      <c r="G339" t="str">
        <f>"2026-04-23 17:17:24.190"</f>
        <v>2026-04-23 17:17:24.190</v>
      </c>
      <c r="H339" t="s">
        <v>21</v>
      </c>
    </row>
    <row r="340" spans="1:10" x14ac:dyDescent="0.25">
      <c r="A340" s="1">
        <v>65</v>
      </c>
      <c r="B340" t="s">
        <v>25</v>
      </c>
      <c r="C340">
        <v>635</v>
      </c>
      <c r="D340">
        <v>1</v>
      </c>
      <c r="E340" t="s">
        <v>23</v>
      </c>
      <c r="F340" t="s">
        <v>24</v>
      </c>
      <c r="G340" t="str">
        <f>"2026-04-23 17:05:51.690"</f>
        <v>2026-04-23 17:05:51.690</v>
      </c>
      <c r="H340" t="s">
        <v>21</v>
      </c>
      <c r="I340">
        <v>7</v>
      </c>
      <c r="J340" t="s">
        <v>28</v>
      </c>
    </row>
    <row r="341" spans="1:10" x14ac:dyDescent="0.25">
      <c r="A341" s="1">
        <v>67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"2026-04-23 06:27:01.710"</f>
        <v>2026-04-23 06:27:01.710</v>
      </c>
      <c r="H341" t="s">
        <v>21</v>
      </c>
    </row>
    <row r="342" spans="1:10" x14ac:dyDescent="0.25">
      <c r="A342" s="1">
        <v>69</v>
      </c>
      <c r="B342" t="s">
        <v>49</v>
      </c>
      <c r="C342">
        <v>47</v>
      </c>
      <c r="D342">
        <v>2</v>
      </c>
      <c r="E342" t="s">
        <v>56</v>
      </c>
      <c r="F342" t="s">
        <v>57</v>
      </c>
      <c r="G342" t="str">
        <f>"2026-04-23 06:14:38.533"</f>
        <v>2026-04-23 06:14:38.533</v>
      </c>
      <c r="H342" t="s">
        <v>58</v>
      </c>
      <c r="I342">
        <v>0</v>
      </c>
      <c r="J342" t="s">
        <v>28</v>
      </c>
    </row>
    <row r="343" spans="1:10" x14ac:dyDescent="0.25">
      <c r="A343" s="1">
        <v>71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"2026-04-22 13:31:47.713"</f>
        <v>2026-04-22 13:31:47.713</v>
      </c>
      <c r="H343" t="s">
        <v>21</v>
      </c>
      <c r="I343">
        <v>0</v>
      </c>
      <c r="J343" t="s">
        <v>27</v>
      </c>
    </row>
    <row r="344" spans="1:10" x14ac:dyDescent="0.25">
      <c r="A344" s="1">
        <v>73</v>
      </c>
      <c r="B344" t="s">
        <v>55</v>
      </c>
      <c r="C344">
        <v>33</v>
      </c>
      <c r="D344">
        <v>1</v>
      </c>
      <c r="E344" t="s">
        <v>73</v>
      </c>
      <c r="F344" t="s">
        <v>74</v>
      </c>
      <c r="G344" t="str">
        <f>"2026-04-22 02:41:25.819"</f>
        <v>2026-04-22 02:41:25.819</v>
      </c>
      <c r="H344" t="s">
        <v>75</v>
      </c>
    </row>
    <row r="345" spans="1:10" x14ac:dyDescent="0.25">
      <c r="A345" s="1">
        <v>74</v>
      </c>
      <c r="B345" t="s">
        <v>49</v>
      </c>
      <c r="C345">
        <v>33</v>
      </c>
      <c r="D345">
        <v>1</v>
      </c>
      <c r="E345" t="s">
        <v>73</v>
      </c>
      <c r="F345" t="s">
        <v>74</v>
      </c>
      <c r="G345" t="str">
        <f>"2026-04-22 02:41:16.577"</f>
        <v>2026-04-22 02:41:16.577</v>
      </c>
      <c r="H345" t="s">
        <v>75</v>
      </c>
      <c r="I345">
        <v>8.17</v>
      </c>
      <c r="J345" t="s">
        <v>32</v>
      </c>
    </row>
    <row r="346" spans="1:10" x14ac:dyDescent="0.25">
      <c r="A346" s="1">
        <v>75</v>
      </c>
      <c r="B346" t="s">
        <v>22</v>
      </c>
      <c r="C346">
        <v>250</v>
      </c>
      <c r="D346">
        <v>7</v>
      </c>
      <c r="E346" t="s">
        <v>33</v>
      </c>
      <c r="F346" t="s">
        <v>34</v>
      </c>
      <c r="G346" t="str">
        <f>"2026-04-22 01:10:26.419"</f>
        <v>2026-04-22 01:10:26.419</v>
      </c>
      <c r="H346" t="s">
        <v>21</v>
      </c>
    </row>
    <row r="347" spans="1:10" x14ac:dyDescent="0.25">
      <c r="A347" s="1">
        <v>76</v>
      </c>
      <c r="B347" t="s">
        <v>22</v>
      </c>
      <c r="C347">
        <v>107</v>
      </c>
      <c r="D347">
        <v>2</v>
      </c>
      <c r="E347" t="s">
        <v>40</v>
      </c>
      <c r="F347" t="s">
        <v>38</v>
      </c>
      <c r="G347" t="str">
        <f>"2026-04-22 01:10:18.219"</f>
        <v>2026-04-22 01:10:18.219</v>
      </c>
      <c r="H347" t="s">
        <v>41</v>
      </c>
    </row>
    <row r="348" spans="1:10" x14ac:dyDescent="0.25">
      <c r="A348" s="1">
        <v>77</v>
      </c>
      <c r="B348" t="s">
        <v>22</v>
      </c>
      <c r="C348">
        <v>207</v>
      </c>
      <c r="D348">
        <v>2</v>
      </c>
      <c r="E348" t="s">
        <v>37</v>
      </c>
      <c r="F348" t="s">
        <v>38</v>
      </c>
      <c r="G348" t="str">
        <f>"2026-04-22 01:10:12.019"</f>
        <v>2026-04-22 01:10:12.019</v>
      </c>
      <c r="H348" t="s">
        <v>39</v>
      </c>
    </row>
    <row r="349" spans="1:10" x14ac:dyDescent="0.25">
      <c r="A349" s="1">
        <v>78</v>
      </c>
      <c r="B349" t="s">
        <v>22</v>
      </c>
      <c r="C349">
        <v>248</v>
      </c>
      <c r="D349">
        <v>7</v>
      </c>
      <c r="E349" t="s">
        <v>35</v>
      </c>
      <c r="F349" t="s">
        <v>36</v>
      </c>
      <c r="G349" t="str">
        <f>"2026-04-22 01:10:00.420"</f>
        <v>2026-04-22 01:10:00.420</v>
      </c>
      <c r="H349" t="s">
        <v>21</v>
      </c>
    </row>
    <row r="350" spans="1:10" x14ac:dyDescent="0.25">
      <c r="A350" s="1">
        <v>80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"2026-04-22 01:08:24.689"</f>
        <v>2026-04-22 01:08:24.689</v>
      </c>
      <c r="H350" t="s">
        <v>21</v>
      </c>
      <c r="I350">
        <v>0</v>
      </c>
      <c r="J350" t="s">
        <v>27</v>
      </c>
    </row>
    <row r="351" spans="1:10" x14ac:dyDescent="0.25">
      <c r="A351" s="1">
        <v>82</v>
      </c>
      <c r="B351" t="s">
        <v>22</v>
      </c>
      <c r="C351">
        <v>43</v>
      </c>
      <c r="D351">
        <v>2</v>
      </c>
      <c r="E351" t="s">
        <v>42</v>
      </c>
      <c r="F351" t="s">
        <v>43</v>
      </c>
      <c r="G351" t="str">
        <f>"2026-04-22 01:05:25.017"</f>
        <v>2026-04-22 01:05:25.017</v>
      </c>
      <c r="H351" t="s">
        <v>44</v>
      </c>
    </row>
    <row r="352" spans="1:10" x14ac:dyDescent="0.25">
      <c r="A352" s="1">
        <v>83</v>
      </c>
      <c r="B352" t="s">
        <v>22</v>
      </c>
      <c r="C352">
        <v>43</v>
      </c>
      <c r="D352">
        <v>1</v>
      </c>
      <c r="E352" t="s">
        <v>42</v>
      </c>
      <c r="F352" t="s">
        <v>43</v>
      </c>
      <c r="G352" t="str">
        <f>"2026-04-22 01:05:25.015"</f>
        <v>2026-04-22 01:05:25.015</v>
      </c>
      <c r="H352" t="s">
        <v>44</v>
      </c>
    </row>
    <row r="353" spans="1:10" x14ac:dyDescent="0.25">
      <c r="A353" s="1">
        <v>84</v>
      </c>
      <c r="B353" t="s">
        <v>22</v>
      </c>
      <c r="C353">
        <v>4</v>
      </c>
      <c r="D353">
        <v>1</v>
      </c>
      <c r="E353" t="s">
        <v>45</v>
      </c>
      <c r="F353" t="s">
        <v>46</v>
      </c>
      <c r="G353" t="str">
        <f>"2026-04-22 01:05:20.054"</f>
        <v>2026-04-22 01:05:20.054</v>
      </c>
      <c r="H353" t="s">
        <v>47</v>
      </c>
    </row>
    <row r="354" spans="1:10" x14ac:dyDescent="0.25">
      <c r="A354" s="1">
        <v>87</v>
      </c>
      <c r="B354" t="s">
        <v>25</v>
      </c>
      <c r="C354">
        <v>4</v>
      </c>
      <c r="D354">
        <v>1</v>
      </c>
      <c r="E354" t="s">
        <v>45</v>
      </c>
      <c r="F354" t="s">
        <v>46</v>
      </c>
      <c r="G354" t="str">
        <f>"2026-04-22 01:05:15.034"</f>
        <v>2026-04-22 01:05:15.034</v>
      </c>
      <c r="H354" t="s">
        <v>47</v>
      </c>
      <c r="I354">
        <v>0</v>
      </c>
      <c r="J354" t="s">
        <v>31</v>
      </c>
    </row>
    <row r="355" spans="1:10" x14ac:dyDescent="0.25">
      <c r="A355" s="1">
        <v>90</v>
      </c>
      <c r="B355" t="s">
        <v>25</v>
      </c>
      <c r="C355">
        <v>43</v>
      </c>
      <c r="D355">
        <v>1</v>
      </c>
      <c r="E355" t="s">
        <v>42</v>
      </c>
      <c r="F355" t="s">
        <v>43</v>
      </c>
      <c r="G355" t="str">
        <f>"2026-04-22 01:04:44.315"</f>
        <v>2026-04-22 01:04:44.315</v>
      </c>
      <c r="H355" t="s">
        <v>44</v>
      </c>
      <c r="I355">
        <v>0</v>
      </c>
      <c r="J355" t="s">
        <v>31</v>
      </c>
    </row>
    <row r="356" spans="1:10" x14ac:dyDescent="0.25">
      <c r="A356" s="1">
        <v>93</v>
      </c>
      <c r="B356" t="s">
        <v>25</v>
      </c>
      <c r="C356">
        <v>248</v>
      </c>
      <c r="D356">
        <v>7</v>
      </c>
      <c r="E356" t="s">
        <v>35</v>
      </c>
      <c r="F356" t="s">
        <v>36</v>
      </c>
      <c r="G356" t="str">
        <f>"2026-04-22 01:03:59.379"</f>
        <v>2026-04-22 01:03:59.379</v>
      </c>
      <c r="H356" t="s">
        <v>21</v>
      </c>
      <c r="I356">
        <v>0</v>
      </c>
      <c r="J356" t="s">
        <v>31</v>
      </c>
    </row>
    <row r="357" spans="1:10" x14ac:dyDescent="0.25">
      <c r="A357" s="1">
        <v>94</v>
      </c>
      <c r="B357" t="s">
        <v>48</v>
      </c>
      <c r="C357">
        <v>248</v>
      </c>
      <c r="D357">
        <v>7</v>
      </c>
      <c r="E357" t="s">
        <v>35</v>
      </c>
      <c r="F357" t="s">
        <v>36</v>
      </c>
      <c r="G357" t="str">
        <f>"2026-04-22 01:03:59.095"</f>
        <v>2026-04-22 01:03:59.095</v>
      </c>
      <c r="H357" t="s">
        <v>21</v>
      </c>
    </row>
    <row r="358" spans="1:10" x14ac:dyDescent="0.25">
      <c r="A358" s="1">
        <v>95</v>
      </c>
      <c r="B358" t="s">
        <v>25</v>
      </c>
      <c r="C358">
        <v>250</v>
      </c>
      <c r="D358">
        <v>7</v>
      </c>
      <c r="E358" t="s">
        <v>33</v>
      </c>
      <c r="F358" t="s">
        <v>34</v>
      </c>
      <c r="G358" t="str">
        <f>"2026-04-22 01:03:58.739"</f>
        <v>2026-04-22 01:03:58.739</v>
      </c>
      <c r="H358" t="s">
        <v>21</v>
      </c>
      <c r="I358">
        <v>0</v>
      </c>
      <c r="J358" t="s">
        <v>31</v>
      </c>
    </row>
    <row r="359" spans="1:10" x14ac:dyDescent="0.25">
      <c r="A359" s="1">
        <v>96</v>
      </c>
      <c r="B359" t="s">
        <v>48</v>
      </c>
      <c r="C359">
        <v>250</v>
      </c>
      <c r="D359">
        <v>7</v>
      </c>
      <c r="E359" t="s">
        <v>33</v>
      </c>
      <c r="F359" t="s">
        <v>34</v>
      </c>
      <c r="G359" t="str">
        <f>"2026-04-22 01:03:58.395"</f>
        <v>2026-04-22 01:03:58.395</v>
      </c>
      <c r="H359" t="s">
        <v>21</v>
      </c>
    </row>
    <row r="360" spans="1:10" x14ac:dyDescent="0.25">
      <c r="A360" s="1">
        <v>97</v>
      </c>
      <c r="B360" t="s">
        <v>49</v>
      </c>
      <c r="C360">
        <v>248</v>
      </c>
      <c r="D360">
        <v>7</v>
      </c>
      <c r="E360" t="s">
        <v>35</v>
      </c>
      <c r="F360" t="s">
        <v>36</v>
      </c>
      <c r="G360" t="str">
        <f>"2026-04-22 01:03:54.019"</f>
        <v>2026-04-22 01:03:54.019</v>
      </c>
      <c r="H360" t="s">
        <v>21</v>
      </c>
      <c r="I360">
        <v>0</v>
      </c>
      <c r="J360" t="s">
        <v>31</v>
      </c>
    </row>
    <row r="361" spans="1:10" x14ac:dyDescent="0.25">
      <c r="A361" s="1">
        <v>98</v>
      </c>
      <c r="B361" t="s">
        <v>49</v>
      </c>
      <c r="C361">
        <v>250</v>
      </c>
      <c r="D361">
        <v>7</v>
      </c>
      <c r="E361" t="s">
        <v>33</v>
      </c>
      <c r="F361" t="s">
        <v>34</v>
      </c>
      <c r="G361" t="str">
        <f>"2026-04-22 01:03:53.339"</f>
        <v>2026-04-22 01:03:53.339</v>
      </c>
      <c r="H361" t="s">
        <v>21</v>
      </c>
      <c r="I361">
        <v>0</v>
      </c>
      <c r="J361" t="s">
        <v>31</v>
      </c>
    </row>
    <row r="362" spans="1:10" x14ac:dyDescent="0.25">
      <c r="A362" s="1">
        <v>99</v>
      </c>
      <c r="B362" t="s">
        <v>25</v>
      </c>
      <c r="C362">
        <v>207</v>
      </c>
      <c r="D362">
        <v>2</v>
      </c>
      <c r="E362" t="s">
        <v>37</v>
      </c>
      <c r="F362" t="s">
        <v>38</v>
      </c>
      <c r="G362" t="str">
        <f>"2026-04-22 01:03:52.719"</f>
        <v>2026-04-22 01:03:52.719</v>
      </c>
      <c r="H362" t="s">
        <v>39</v>
      </c>
      <c r="I362">
        <v>0</v>
      </c>
      <c r="J362" t="s">
        <v>31</v>
      </c>
    </row>
    <row r="363" spans="1:10" x14ac:dyDescent="0.25">
      <c r="A363" s="1">
        <v>0</v>
      </c>
      <c r="B363" t="s">
        <v>25</v>
      </c>
      <c r="C363">
        <v>107</v>
      </c>
      <c r="D363">
        <v>2</v>
      </c>
      <c r="E363" t="s">
        <v>40</v>
      </c>
      <c r="F363" t="s">
        <v>38</v>
      </c>
      <c r="G363" t="str">
        <f>"2026-04-22 01:03:52.099"</f>
        <v>2026-04-22 01:03:52.099</v>
      </c>
      <c r="H363" t="s">
        <v>41</v>
      </c>
      <c r="I363">
        <v>0</v>
      </c>
      <c r="J363" t="s">
        <v>31</v>
      </c>
    </row>
    <row r="364" spans="1:10" x14ac:dyDescent="0.25">
      <c r="A364" s="1">
        <v>1</v>
      </c>
      <c r="B364" t="s">
        <v>25</v>
      </c>
      <c r="C364">
        <v>43</v>
      </c>
      <c r="D364">
        <v>2</v>
      </c>
      <c r="E364" t="s">
        <v>42</v>
      </c>
      <c r="F364" t="s">
        <v>43</v>
      </c>
      <c r="G364" t="str">
        <f>"2026-04-22 01:03:51.815"</f>
        <v>2026-04-22 01:03:51.815</v>
      </c>
      <c r="H364" t="s">
        <v>44</v>
      </c>
      <c r="I364">
        <v>0</v>
      </c>
      <c r="J364" t="s">
        <v>31</v>
      </c>
    </row>
    <row r="365" spans="1:10" x14ac:dyDescent="0.25">
      <c r="A365" s="1">
        <v>4</v>
      </c>
      <c r="B365" t="s">
        <v>19</v>
      </c>
      <c r="C365">
        <v>782</v>
      </c>
      <c r="D365">
        <v>7</v>
      </c>
      <c r="E365" t="s">
        <v>50</v>
      </c>
      <c r="F365" t="s">
        <v>51</v>
      </c>
      <c r="G365" t="str">
        <f>"2026-04-22 01:03:51.776"</f>
        <v>2026-04-22 01:03:51.776</v>
      </c>
      <c r="H365" t="s">
        <v>21</v>
      </c>
      <c r="I365">
        <v>0</v>
      </c>
      <c r="J365" t="s">
        <v>31</v>
      </c>
    </row>
    <row r="366" spans="1:10" x14ac:dyDescent="0.25">
      <c r="A366" s="1">
        <v>7</v>
      </c>
      <c r="B366" t="s">
        <v>22</v>
      </c>
      <c r="C366">
        <v>250</v>
      </c>
      <c r="D366">
        <v>7</v>
      </c>
      <c r="E366" t="s">
        <v>33</v>
      </c>
      <c r="F366" t="s">
        <v>34</v>
      </c>
      <c r="G366" t="str">
        <f>"2026-04-22 01:03:51.770"</f>
        <v>2026-04-22 01:03:51.770</v>
      </c>
      <c r="H366" t="s">
        <v>21</v>
      </c>
    </row>
    <row r="367" spans="1:10" x14ac:dyDescent="0.25">
      <c r="A367" s="1">
        <v>8</v>
      </c>
      <c r="B367" t="s">
        <v>22</v>
      </c>
      <c r="C367">
        <v>248</v>
      </c>
      <c r="D367">
        <v>7</v>
      </c>
      <c r="E367" t="s">
        <v>35</v>
      </c>
      <c r="F367" t="s">
        <v>36</v>
      </c>
      <c r="G367" t="str">
        <f>"2026-04-22 01:03:51.768"</f>
        <v>2026-04-22 01:03:51.768</v>
      </c>
      <c r="H367" t="s">
        <v>21</v>
      </c>
    </row>
    <row r="368" spans="1:10" x14ac:dyDescent="0.25">
      <c r="A368" s="1">
        <v>9</v>
      </c>
      <c r="B368" t="s">
        <v>22</v>
      </c>
      <c r="C368">
        <v>207</v>
      </c>
      <c r="D368">
        <v>2</v>
      </c>
      <c r="E368" t="s">
        <v>37</v>
      </c>
      <c r="F368" t="s">
        <v>38</v>
      </c>
      <c r="G368" t="str">
        <f>"2026-04-22 01:03:51.765"</f>
        <v>2026-04-22 01:03:51.765</v>
      </c>
      <c r="H368" t="s">
        <v>39</v>
      </c>
    </row>
    <row r="369" spans="1:10" x14ac:dyDescent="0.25">
      <c r="A369" s="1">
        <v>10</v>
      </c>
      <c r="B369" t="s">
        <v>22</v>
      </c>
      <c r="C369">
        <v>150</v>
      </c>
      <c r="D369">
        <v>7</v>
      </c>
      <c r="E369" t="s">
        <v>52</v>
      </c>
      <c r="F369" t="s">
        <v>34</v>
      </c>
      <c r="G369" t="str">
        <f>"2026-04-22 01:03:51.763"</f>
        <v>2026-04-22 01:03:51.763</v>
      </c>
      <c r="H369" t="s">
        <v>21</v>
      </c>
    </row>
    <row r="370" spans="1:10" x14ac:dyDescent="0.25">
      <c r="A370" s="1">
        <v>11</v>
      </c>
      <c r="B370" t="s">
        <v>22</v>
      </c>
      <c r="C370">
        <v>107</v>
      </c>
      <c r="D370">
        <v>2</v>
      </c>
      <c r="E370" t="s">
        <v>40</v>
      </c>
      <c r="F370" t="s">
        <v>38</v>
      </c>
      <c r="G370" t="str">
        <f>"2026-04-22 01:03:51.760"</f>
        <v>2026-04-22 01:03:51.760</v>
      </c>
      <c r="H370" t="s">
        <v>41</v>
      </c>
    </row>
    <row r="371" spans="1:10" x14ac:dyDescent="0.25">
      <c r="A371" s="1">
        <v>12</v>
      </c>
      <c r="B371" t="s">
        <v>22</v>
      </c>
      <c r="C371">
        <v>43</v>
      </c>
      <c r="D371">
        <v>2</v>
      </c>
      <c r="E371" t="s">
        <v>42</v>
      </c>
      <c r="F371" t="s">
        <v>43</v>
      </c>
      <c r="G371" t="str">
        <f>"2026-04-22 01:03:51.757"</f>
        <v>2026-04-22 01:03:51.757</v>
      </c>
      <c r="H371" t="s">
        <v>44</v>
      </c>
    </row>
    <row r="372" spans="1:10" x14ac:dyDescent="0.25">
      <c r="A372" s="1">
        <v>13</v>
      </c>
      <c r="B372" t="s">
        <v>19</v>
      </c>
      <c r="C372">
        <v>782</v>
      </c>
      <c r="D372">
        <v>7</v>
      </c>
      <c r="E372" t="s">
        <v>50</v>
      </c>
      <c r="F372" t="s">
        <v>51</v>
      </c>
      <c r="G372" t="str">
        <f>"2026-04-22 01:03:51.755"</f>
        <v>2026-04-22 01:03:51.755</v>
      </c>
      <c r="H372" t="s">
        <v>21</v>
      </c>
      <c r="I372">
        <v>0</v>
      </c>
      <c r="J372" t="s">
        <v>31</v>
      </c>
    </row>
    <row r="373" spans="1:10" x14ac:dyDescent="0.25">
      <c r="A373" s="1">
        <v>15</v>
      </c>
      <c r="B373" t="s">
        <v>25</v>
      </c>
      <c r="C373">
        <v>43</v>
      </c>
      <c r="D373">
        <v>2</v>
      </c>
      <c r="E373" t="s">
        <v>42</v>
      </c>
      <c r="F373" t="s">
        <v>43</v>
      </c>
      <c r="G373" t="str">
        <f>"2026-04-22 00:59:48.516"</f>
        <v>2026-04-22 00:59:48.516</v>
      </c>
      <c r="H373" t="s">
        <v>44</v>
      </c>
      <c r="I373">
        <v>0</v>
      </c>
      <c r="J373" t="s">
        <v>31</v>
      </c>
    </row>
    <row r="374" spans="1:10" x14ac:dyDescent="0.25">
      <c r="A374" s="1">
        <v>16</v>
      </c>
      <c r="B374" t="s">
        <v>25</v>
      </c>
      <c r="C374">
        <v>248</v>
      </c>
      <c r="D374">
        <v>7</v>
      </c>
      <c r="E374" t="s">
        <v>35</v>
      </c>
      <c r="F374" t="s">
        <v>36</v>
      </c>
      <c r="G374" t="str">
        <f>"2026-04-22 00:59:42.619"</f>
        <v>2026-04-22 00:59:42.619</v>
      </c>
      <c r="H374" t="s">
        <v>21</v>
      </c>
      <c r="I374">
        <v>0</v>
      </c>
      <c r="J374" t="s">
        <v>31</v>
      </c>
    </row>
    <row r="375" spans="1:10" x14ac:dyDescent="0.25">
      <c r="A375" s="1">
        <v>17</v>
      </c>
      <c r="B375" t="s">
        <v>25</v>
      </c>
      <c r="C375">
        <v>250</v>
      </c>
      <c r="D375">
        <v>7</v>
      </c>
      <c r="E375" t="s">
        <v>33</v>
      </c>
      <c r="F375" t="s">
        <v>34</v>
      </c>
      <c r="G375" t="str">
        <f>"2026-04-22 00:59:42.459"</f>
        <v>2026-04-22 00:59:42.459</v>
      </c>
      <c r="H375" t="s">
        <v>21</v>
      </c>
      <c r="I375">
        <v>0</v>
      </c>
      <c r="J375" t="s">
        <v>31</v>
      </c>
    </row>
    <row r="376" spans="1:10" x14ac:dyDescent="0.25">
      <c r="A376" s="1">
        <v>18</v>
      </c>
      <c r="B376" t="s">
        <v>48</v>
      </c>
      <c r="C376">
        <v>250</v>
      </c>
      <c r="D376">
        <v>7</v>
      </c>
      <c r="E376" t="s">
        <v>33</v>
      </c>
      <c r="F376" t="s">
        <v>34</v>
      </c>
      <c r="G376" t="str">
        <f>"2026-04-22 00:59:42.395"</f>
        <v>2026-04-22 00:59:42.395</v>
      </c>
      <c r="H376" t="s">
        <v>21</v>
      </c>
    </row>
    <row r="377" spans="1:10" x14ac:dyDescent="0.25">
      <c r="A377" s="1">
        <v>19</v>
      </c>
      <c r="B377" t="s">
        <v>48</v>
      </c>
      <c r="C377">
        <v>248</v>
      </c>
      <c r="D377">
        <v>7</v>
      </c>
      <c r="E377" t="s">
        <v>35</v>
      </c>
      <c r="F377" t="s">
        <v>36</v>
      </c>
      <c r="G377" t="str">
        <f>"2026-04-22 00:59:42.295"</f>
        <v>2026-04-22 00:59:42.295</v>
      </c>
      <c r="H377" t="s">
        <v>21</v>
      </c>
    </row>
    <row r="378" spans="1:10" x14ac:dyDescent="0.25">
      <c r="A378" s="1">
        <v>20</v>
      </c>
      <c r="B378" t="s">
        <v>25</v>
      </c>
      <c r="C378">
        <v>150</v>
      </c>
      <c r="D378">
        <v>7</v>
      </c>
      <c r="E378" t="s">
        <v>52</v>
      </c>
      <c r="F378" t="s">
        <v>34</v>
      </c>
      <c r="G378" t="str">
        <f>"2026-04-22 00:59:41.179"</f>
        <v>2026-04-22 00:59:41.179</v>
      </c>
      <c r="H378" t="s">
        <v>21</v>
      </c>
      <c r="I378">
        <v>0</v>
      </c>
      <c r="J378" t="s">
        <v>31</v>
      </c>
    </row>
    <row r="379" spans="1:10" x14ac:dyDescent="0.25">
      <c r="A379" s="1">
        <v>21</v>
      </c>
      <c r="B379" t="s">
        <v>48</v>
      </c>
      <c r="C379">
        <v>150</v>
      </c>
      <c r="D379">
        <v>7</v>
      </c>
      <c r="E379" t="s">
        <v>52</v>
      </c>
      <c r="F379" t="s">
        <v>34</v>
      </c>
      <c r="G379" t="str">
        <f>"2026-04-22 00:59:41.096"</f>
        <v>2026-04-22 00:59:41.096</v>
      </c>
      <c r="H379" t="s">
        <v>21</v>
      </c>
    </row>
    <row r="380" spans="1:10" x14ac:dyDescent="0.25">
      <c r="A380" s="1">
        <v>22</v>
      </c>
      <c r="B380" t="s">
        <v>48</v>
      </c>
      <c r="C380">
        <v>148</v>
      </c>
      <c r="D380">
        <v>7</v>
      </c>
      <c r="E380" t="s">
        <v>53</v>
      </c>
      <c r="F380" t="s">
        <v>36</v>
      </c>
      <c r="G380" t="str">
        <f>"2026-04-22 00:59:40.997"</f>
        <v>2026-04-22 00:59:40.997</v>
      </c>
      <c r="H380" t="s">
        <v>21</v>
      </c>
    </row>
    <row r="381" spans="1:10" x14ac:dyDescent="0.25">
      <c r="A381" s="1">
        <v>23</v>
      </c>
      <c r="B381" t="s">
        <v>49</v>
      </c>
      <c r="C381">
        <v>250</v>
      </c>
      <c r="D381">
        <v>7</v>
      </c>
      <c r="E381" t="s">
        <v>33</v>
      </c>
      <c r="F381" t="s">
        <v>34</v>
      </c>
      <c r="G381" t="str">
        <f>"2026-04-22 00:59:37.281"</f>
        <v>2026-04-22 00:59:37.281</v>
      </c>
      <c r="H381" t="s">
        <v>21</v>
      </c>
      <c r="I381">
        <v>0</v>
      </c>
      <c r="J381" t="s">
        <v>31</v>
      </c>
    </row>
    <row r="382" spans="1:10" x14ac:dyDescent="0.25">
      <c r="A382" s="1">
        <v>24</v>
      </c>
      <c r="B382" t="s">
        <v>49</v>
      </c>
      <c r="C382">
        <v>248</v>
      </c>
      <c r="D382">
        <v>7</v>
      </c>
      <c r="E382" t="s">
        <v>35</v>
      </c>
      <c r="F382" t="s">
        <v>36</v>
      </c>
      <c r="G382" t="str">
        <f>"2026-04-22 00:59:37.279"</f>
        <v>2026-04-22 00:59:37.279</v>
      </c>
      <c r="H382" t="s">
        <v>21</v>
      </c>
      <c r="I382">
        <v>0</v>
      </c>
      <c r="J382" t="s">
        <v>31</v>
      </c>
    </row>
    <row r="383" spans="1:10" x14ac:dyDescent="0.25">
      <c r="A383" s="1">
        <v>25</v>
      </c>
      <c r="B383" t="s">
        <v>25</v>
      </c>
      <c r="C383">
        <v>207</v>
      </c>
      <c r="D383">
        <v>2</v>
      </c>
      <c r="E383" t="s">
        <v>37</v>
      </c>
      <c r="F383" t="s">
        <v>38</v>
      </c>
      <c r="G383" t="str">
        <f>"2026-04-22 00:59:35.984"</f>
        <v>2026-04-22 00:59:35.984</v>
      </c>
      <c r="H383" t="s">
        <v>39</v>
      </c>
      <c r="I383">
        <v>0</v>
      </c>
      <c r="J383" t="s">
        <v>31</v>
      </c>
    </row>
    <row r="384" spans="1:10" x14ac:dyDescent="0.25">
      <c r="A384" s="1">
        <v>26</v>
      </c>
      <c r="B384" t="s">
        <v>49</v>
      </c>
      <c r="C384">
        <v>150</v>
      </c>
      <c r="D384">
        <v>7</v>
      </c>
      <c r="E384" t="s">
        <v>52</v>
      </c>
      <c r="F384" t="s">
        <v>34</v>
      </c>
      <c r="G384" t="str">
        <f>"2026-04-22 00:59:35.982"</f>
        <v>2026-04-22 00:59:35.982</v>
      </c>
      <c r="H384" t="s">
        <v>21</v>
      </c>
      <c r="I384">
        <v>0</v>
      </c>
      <c r="J384" t="s">
        <v>31</v>
      </c>
    </row>
    <row r="385" spans="1:10" x14ac:dyDescent="0.25">
      <c r="A385" s="1">
        <v>27</v>
      </c>
      <c r="B385" t="s">
        <v>49</v>
      </c>
      <c r="C385">
        <v>148</v>
      </c>
      <c r="D385">
        <v>7</v>
      </c>
      <c r="E385" t="s">
        <v>53</v>
      </c>
      <c r="F385" t="s">
        <v>36</v>
      </c>
      <c r="G385" t="str">
        <f>"2026-04-22 00:59:35.981"</f>
        <v>2026-04-22 00:59:35.981</v>
      </c>
      <c r="H385" t="s">
        <v>21</v>
      </c>
      <c r="I385">
        <v>0</v>
      </c>
      <c r="J385" t="s">
        <v>31</v>
      </c>
    </row>
    <row r="386" spans="1:10" x14ac:dyDescent="0.25">
      <c r="A386" s="1">
        <v>28</v>
      </c>
      <c r="B386" t="s">
        <v>25</v>
      </c>
      <c r="C386">
        <v>107</v>
      </c>
      <c r="D386">
        <v>2</v>
      </c>
      <c r="E386" t="s">
        <v>40</v>
      </c>
      <c r="F386" t="s">
        <v>38</v>
      </c>
      <c r="G386" t="str">
        <f>"2026-04-22 00:59:35.979"</f>
        <v>2026-04-22 00:59:35.979</v>
      </c>
      <c r="H386" t="s">
        <v>41</v>
      </c>
      <c r="I386">
        <v>0</v>
      </c>
      <c r="J386" t="s">
        <v>31</v>
      </c>
    </row>
    <row r="387" spans="1:10" x14ac:dyDescent="0.25">
      <c r="A387" s="1">
        <v>29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"2026-04-22 00:59:30.666"</f>
        <v>2026-04-22 00:59:30.666</v>
      </c>
      <c r="H387" t="s">
        <v>21</v>
      </c>
      <c r="I387">
        <v>0</v>
      </c>
      <c r="J387" t="s">
        <v>27</v>
      </c>
    </row>
    <row r="388" spans="1:10" x14ac:dyDescent="0.25">
      <c r="A388" s="1">
        <v>31</v>
      </c>
      <c r="B388" t="s">
        <v>49</v>
      </c>
      <c r="C388">
        <v>47</v>
      </c>
      <c r="D388">
        <v>2</v>
      </c>
      <c r="E388" t="s">
        <v>56</v>
      </c>
      <c r="F388" t="s">
        <v>57</v>
      </c>
      <c r="G388" t="str">
        <f>"2026-04-22 00:32:30.016"</f>
        <v>2026-04-22 00:32:30.016</v>
      </c>
      <c r="H388" t="s">
        <v>58</v>
      </c>
      <c r="I388">
        <v>0</v>
      </c>
      <c r="J388" t="s">
        <v>28</v>
      </c>
    </row>
    <row r="389" spans="1:10" x14ac:dyDescent="0.25">
      <c r="A389" s="1">
        <v>32</v>
      </c>
      <c r="B389" t="s">
        <v>19</v>
      </c>
      <c r="C389">
        <v>706</v>
      </c>
      <c r="D389">
        <v>2</v>
      </c>
      <c r="E389" t="s">
        <v>29</v>
      </c>
      <c r="F389" t="s">
        <v>59</v>
      </c>
      <c r="G389" t="str">
        <f>"2026-04-21 13:27:49.514"</f>
        <v>2026-04-21 13:27:49.514</v>
      </c>
      <c r="H389" t="s">
        <v>21</v>
      </c>
      <c r="I389">
        <v>0</v>
      </c>
      <c r="J389" t="s">
        <v>31</v>
      </c>
    </row>
    <row r="390" spans="1:10" x14ac:dyDescent="0.25">
      <c r="A390" s="1">
        <v>33</v>
      </c>
      <c r="B390" t="s">
        <v>55</v>
      </c>
      <c r="C390">
        <v>47</v>
      </c>
      <c r="D390">
        <v>2</v>
      </c>
      <c r="E390" t="s">
        <v>56</v>
      </c>
      <c r="F390" t="s">
        <v>57</v>
      </c>
      <c r="G390" t="str">
        <f>"2026-04-20 12:44:58.516"</f>
        <v>2026-04-20 12:44:58.516</v>
      </c>
      <c r="H390" t="s">
        <v>58</v>
      </c>
    </row>
    <row r="391" spans="1:10" x14ac:dyDescent="0.25">
      <c r="A391" s="1">
        <v>34</v>
      </c>
      <c r="B391" t="s">
        <v>19</v>
      </c>
      <c r="C391">
        <v>706</v>
      </c>
      <c r="D391">
        <v>2</v>
      </c>
      <c r="E391" t="s">
        <v>29</v>
      </c>
      <c r="F391" t="s">
        <v>59</v>
      </c>
      <c r="G391" t="str">
        <f>"2026-04-20 12:44:55.024"</f>
        <v>2026-04-20 12:44:55.024</v>
      </c>
      <c r="H391" t="s">
        <v>21</v>
      </c>
      <c r="I391">
        <v>0</v>
      </c>
      <c r="J391" t="s">
        <v>31</v>
      </c>
    </row>
    <row r="392" spans="1:10" x14ac:dyDescent="0.25">
      <c r="A392" s="1">
        <v>35</v>
      </c>
      <c r="B392" t="s">
        <v>22</v>
      </c>
      <c r="C392">
        <v>49</v>
      </c>
      <c r="D392">
        <v>1</v>
      </c>
      <c r="E392" t="s">
        <v>62</v>
      </c>
      <c r="F392" t="s">
        <v>63</v>
      </c>
      <c r="G392" t="str">
        <f>"2026-04-20 12:44:37.716"</f>
        <v>2026-04-20 12:44:37.716</v>
      </c>
      <c r="H392" t="s">
        <v>64</v>
      </c>
    </row>
    <row r="393" spans="1:10" x14ac:dyDescent="0.25">
      <c r="A393" s="1">
        <v>37</v>
      </c>
      <c r="B393" t="s">
        <v>22</v>
      </c>
      <c r="C393">
        <v>630</v>
      </c>
      <c r="D393">
        <v>5</v>
      </c>
      <c r="E393" t="s">
        <v>71</v>
      </c>
      <c r="F393" t="s">
        <v>72</v>
      </c>
      <c r="G393" t="str">
        <f>"2026-04-20 12:27:32.603"</f>
        <v>2026-04-20 12:27:32.603</v>
      </c>
      <c r="H393" t="s">
        <v>44</v>
      </c>
    </row>
    <row r="394" spans="1:10" x14ac:dyDescent="0.25">
      <c r="A394" s="1">
        <v>38</v>
      </c>
      <c r="B394" t="s">
        <v>49</v>
      </c>
      <c r="C394">
        <v>630</v>
      </c>
      <c r="D394">
        <v>5</v>
      </c>
      <c r="E394" t="s">
        <v>71</v>
      </c>
      <c r="F394" t="s">
        <v>72</v>
      </c>
      <c r="G394" t="str">
        <f>"2026-04-20 12:26:36.704"</f>
        <v>2026-04-20 12:26:36.704</v>
      </c>
      <c r="H394" t="s">
        <v>44</v>
      </c>
      <c r="I394">
        <v>0</v>
      </c>
      <c r="J394" t="s">
        <v>31</v>
      </c>
    </row>
    <row r="395" spans="1:10" x14ac:dyDescent="0.25">
      <c r="A395" s="1">
        <v>39</v>
      </c>
      <c r="B395" t="s">
        <v>25</v>
      </c>
      <c r="C395">
        <v>49</v>
      </c>
      <c r="D395">
        <v>1</v>
      </c>
      <c r="E395" t="s">
        <v>62</v>
      </c>
      <c r="F395" t="s">
        <v>63</v>
      </c>
      <c r="G395" t="str">
        <f>"2026-04-20 12:22:42.416"</f>
        <v>2026-04-20 12:22:42.416</v>
      </c>
      <c r="H395" t="s">
        <v>64</v>
      </c>
      <c r="I395">
        <v>0</v>
      </c>
      <c r="J395" t="s">
        <v>31</v>
      </c>
    </row>
    <row r="396" spans="1:10" x14ac:dyDescent="0.25">
      <c r="A396" s="1">
        <v>41</v>
      </c>
      <c r="B396" t="s">
        <v>49</v>
      </c>
      <c r="C396">
        <v>47</v>
      </c>
      <c r="D396">
        <v>2</v>
      </c>
      <c r="E396" t="s">
        <v>56</v>
      </c>
      <c r="F396" t="s">
        <v>57</v>
      </c>
      <c r="G396" t="str">
        <f>"2026-04-20 12:21:33.716"</f>
        <v>2026-04-20 12:21:33.716</v>
      </c>
      <c r="H396" t="s">
        <v>58</v>
      </c>
      <c r="I396">
        <v>0</v>
      </c>
      <c r="J396" t="s">
        <v>28</v>
      </c>
    </row>
    <row r="397" spans="1:10" x14ac:dyDescent="0.25">
      <c r="A397" s="1">
        <v>43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"2026-04-19 11:54:29.664"</f>
        <v>2026-04-19 11:54:29.664</v>
      </c>
      <c r="H397" t="s">
        <v>21</v>
      </c>
      <c r="I397">
        <v>0</v>
      </c>
      <c r="J397" t="s">
        <v>27</v>
      </c>
    </row>
    <row r="398" spans="1:10" x14ac:dyDescent="0.25">
      <c r="A398" s="1">
        <v>46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"2026-04-19 11:28:37.678"</f>
        <v>2026-04-19 11:28:37.678</v>
      </c>
      <c r="H398" t="s">
        <v>21</v>
      </c>
      <c r="I398">
        <v>0</v>
      </c>
      <c r="J398" t="s">
        <v>27</v>
      </c>
    </row>
    <row r="399" spans="1:10" x14ac:dyDescent="0.25">
      <c r="A399" s="1">
        <v>49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"2026-04-19 10:54:30.665"</f>
        <v>2026-04-19 10:54:30.665</v>
      </c>
      <c r="H399" t="s">
        <v>21</v>
      </c>
      <c r="I399">
        <v>0</v>
      </c>
      <c r="J399" t="s">
        <v>27</v>
      </c>
    </row>
    <row r="400" spans="1:10" x14ac:dyDescent="0.25">
      <c r="A400" s="1">
        <v>52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"2026-04-19 10:11:46.660"</f>
        <v>2026-04-19 10:11:46.660</v>
      </c>
      <c r="H400" t="s">
        <v>21</v>
      </c>
    </row>
    <row r="401" spans="1:10" x14ac:dyDescent="0.25">
      <c r="A401" s="1">
        <v>56</v>
      </c>
      <c r="B401" t="s">
        <v>19</v>
      </c>
      <c r="C401">
        <v>782</v>
      </c>
      <c r="D401">
        <v>7</v>
      </c>
      <c r="E401" t="s">
        <v>50</v>
      </c>
      <c r="F401" t="s">
        <v>51</v>
      </c>
      <c r="G401" t="str">
        <f>"2026-04-19 10:09:19.880"</f>
        <v>2026-04-19 10:09:19.880</v>
      </c>
      <c r="H401" t="s">
        <v>21</v>
      </c>
      <c r="I401">
        <v>0</v>
      </c>
      <c r="J401" t="s">
        <v>31</v>
      </c>
    </row>
    <row r="402" spans="1:10" x14ac:dyDescent="0.25">
      <c r="A402" s="1">
        <v>59</v>
      </c>
      <c r="B402" t="s">
        <v>22</v>
      </c>
      <c r="C402">
        <v>47</v>
      </c>
      <c r="D402">
        <v>2</v>
      </c>
      <c r="E402" t="s">
        <v>56</v>
      </c>
      <c r="F402" t="s">
        <v>57</v>
      </c>
      <c r="G402" t="str">
        <f>"2026-04-19 10:09:19.873"</f>
        <v>2026-04-19 10:09:19.873</v>
      </c>
      <c r="H402" t="s">
        <v>58</v>
      </c>
    </row>
    <row r="403" spans="1:10" x14ac:dyDescent="0.25">
      <c r="A403" s="1">
        <v>60</v>
      </c>
      <c r="B403" t="s">
        <v>19</v>
      </c>
      <c r="C403">
        <v>782</v>
      </c>
      <c r="D403">
        <v>7</v>
      </c>
      <c r="E403" t="s">
        <v>50</v>
      </c>
      <c r="F403" t="s">
        <v>51</v>
      </c>
      <c r="G403" t="str">
        <f>"2026-04-19 10:09:19.871"</f>
        <v>2026-04-19 10:09:19.871</v>
      </c>
      <c r="H403" t="s">
        <v>21</v>
      </c>
      <c r="I403">
        <v>0</v>
      </c>
      <c r="J403" t="s">
        <v>31</v>
      </c>
    </row>
    <row r="404" spans="1:10" x14ac:dyDescent="0.25">
      <c r="A404" s="1">
        <v>61</v>
      </c>
      <c r="B404" t="s">
        <v>49</v>
      </c>
      <c r="C404">
        <v>47</v>
      </c>
      <c r="D404">
        <v>2</v>
      </c>
      <c r="E404" t="s">
        <v>56</v>
      </c>
      <c r="F404" t="s">
        <v>57</v>
      </c>
      <c r="G404" t="str">
        <f>"2026-04-19 10:05:40.231"</f>
        <v>2026-04-19 10:05:40.231</v>
      </c>
      <c r="H404" t="s">
        <v>58</v>
      </c>
      <c r="I404">
        <v>0</v>
      </c>
      <c r="J404" t="s">
        <v>28</v>
      </c>
    </row>
    <row r="405" spans="1:10" x14ac:dyDescent="0.25">
      <c r="A405" s="1">
        <v>62</v>
      </c>
      <c r="B405" t="s">
        <v>19</v>
      </c>
      <c r="C405">
        <v>706</v>
      </c>
      <c r="D405">
        <v>4</v>
      </c>
      <c r="E405" t="s">
        <v>29</v>
      </c>
      <c r="F405" t="s">
        <v>30</v>
      </c>
      <c r="G405" t="str">
        <f>"2026-04-19 09:47:51.542"</f>
        <v>2026-04-19 09:47:51.542</v>
      </c>
      <c r="H405" t="s">
        <v>21</v>
      </c>
      <c r="I405">
        <v>0</v>
      </c>
      <c r="J405" t="s">
        <v>31</v>
      </c>
    </row>
    <row r="406" spans="1:10" x14ac:dyDescent="0.25">
      <c r="A406" s="1">
        <v>64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"2026-04-19 09:40:41.672"</f>
        <v>2026-04-19 09:40:41.672</v>
      </c>
      <c r="H406" t="s">
        <v>21</v>
      </c>
    </row>
    <row r="407" spans="1:10" x14ac:dyDescent="0.25">
      <c r="A407" s="1">
        <v>66</v>
      </c>
      <c r="B407" t="s">
        <v>55</v>
      </c>
      <c r="C407">
        <v>47</v>
      </c>
      <c r="D407">
        <v>2</v>
      </c>
      <c r="E407" t="s">
        <v>56</v>
      </c>
      <c r="F407" t="s">
        <v>57</v>
      </c>
      <c r="G407" t="str">
        <f>"2026-04-19 06:06:00.931"</f>
        <v>2026-04-19 06:06:00.931</v>
      </c>
      <c r="H407" t="s">
        <v>58</v>
      </c>
    </row>
    <row r="408" spans="1:10" x14ac:dyDescent="0.25">
      <c r="A408" s="1">
        <v>67</v>
      </c>
      <c r="B408" t="s">
        <v>19</v>
      </c>
      <c r="C408">
        <v>706</v>
      </c>
      <c r="D408">
        <v>4</v>
      </c>
      <c r="E408" t="s">
        <v>29</v>
      </c>
      <c r="F408" t="s">
        <v>30</v>
      </c>
      <c r="G408" t="str">
        <f>"2026-04-19 06:05:57.223"</f>
        <v>2026-04-19 06:05:57.223</v>
      </c>
      <c r="H408" t="s">
        <v>21</v>
      </c>
      <c r="I408">
        <v>0</v>
      </c>
      <c r="J408" t="s">
        <v>31</v>
      </c>
    </row>
    <row r="409" spans="1:10" x14ac:dyDescent="0.25">
      <c r="A409" s="1">
        <v>70</v>
      </c>
      <c r="B409" t="s">
        <v>49</v>
      </c>
      <c r="C409">
        <v>47</v>
      </c>
      <c r="D409">
        <v>2</v>
      </c>
      <c r="E409" t="s">
        <v>56</v>
      </c>
      <c r="F409" t="s">
        <v>57</v>
      </c>
      <c r="G409" t="str">
        <f>"2026-04-19 06:04:56.631"</f>
        <v>2026-04-19 06:04:56.631</v>
      </c>
      <c r="H409" t="s">
        <v>58</v>
      </c>
      <c r="I409">
        <v>0</v>
      </c>
      <c r="J409" t="s">
        <v>28</v>
      </c>
    </row>
    <row r="410" spans="1:10" x14ac:dyDescent="0.25">
      <c r="A410" s="1">
        <v>71</v>
      </c>
      <c r="B410" t="s">
        <v>22</v>
      </c>
      <c r="C410">
        <v>635</v>
      </c>
      <c r="D410">
        <v>1</v>
      </c>
      <c r="E410" t="s">
        <v>23</v>
      </c>
      <c r="F410" t="s">
        <v>24</v>
      </c>
      <c r="G410" t="str">
        <f>"2026-04-18 19:13:07.119"</f>
        <v>2026-04-18 19:13:07.119</v>
      </c>
      <c r="H410" t="s">
        <v>21</v>
      </c>
    </row>
    <row r="411" spans="1:10" x14ac:dyDescent="0.25">
      <c r="A411" s="1">
        <v>72</v>
      </c>
      <c r="B411" t="s">
        <v>25</v>
      </c>
      <c r="C411">
        <v>635</v>
      </c>
      <c r="D411">
        <v>1</v>
      </c>
      <c r="E411" t="s">
        <v>23</v>
      </c>
      <c r="F411" t="s">
        <v>24</v>
      </c>
      <c r="G411" t="str">
        <f>"2026-04-18 19:06:09.119"</f>
        <v>2026-04-18 19:06:09.119</v>
      </c>
      <c r="H411" t="s">
        <v>21</v>
      </c>
      <c r="I411">
        <v>0</v>
      </c>
      <c r="J411" t="s">
        <v>28</v>
      </c>
    </row>
    <row r="412" spans="1:10" x14ac:dyDescent="0.25">
      <c r="A412" s="1">
        <v>74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"2026-04-18 02:13:28.663"</f>
        <v>2026-04-18 02:13:28.663</v>
      </c>
      <c r="H412" t="s">
        <v>21</v>
      </c>
    </row>
    <row r="413" spans="1:10" x14ac:dyDescent="0.25">
      <c r="A413" s="1">
        <v>77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"2026-04-16 12:55:23.691"</f>
        <v>2026-04-16 12:55:23.691</v>
      </c>
      <c r="H413" t="s">
        <v>21</v>
      </c>
      <c r="I413">
        <v>0</v>
      </c>
      <c r="J413" t="s">
        <v>27</v>
      </c>
    </row>
    <row r="414" spans="1:10" x14ac:dyDescent="0.25">
      <c r="A414" s="1">
        <v>79</v>
      </c>
      <c r="B414" t="s">
        <v>19</v>
      </c>
      <c r="C414">
        <v>706</v>
      </c>
      <c r="D414">
        <v>2</v>
      </c>
      <c r="E414" t="s">
        <v>29</v>
      </c>
      <c r="F414" t="s">
        <v>59</v>
      </c>
      <c r="G414" t="str">
        <f>"2026-04-16 02:23:16.243"</f>
        <v>2026-04-16 02:23:16.243</v>
      </c>
      <c r="H414" t="s">
        <v>21</v>
      </c>
      <c r="I414">
        <v>0</v>
      </c>
      <c r="J414" t="s">
        <v>31</v>
      </c>
    </row>
    <row r="415" spans="1:10" x14ac:dyDescent="0.25">
      <c r="A415" s="1">
        <v>82</v>
      </c>
      <c r="B415" t="s">
        <v>19</v>
      </c>
      <c r="C415">
        <v>706</v>
      </c>
      <c r="D415">
        <v>2</v>
      </c>
      <c r="E415" t="s">
        <v>29</v>
      </c>
      <c r="F415" t="s">
        <v>59</v>
      </c>
      <c r="G415" t="str">
        <f>"2026-04-15 15:47:19.743"</f>
        <v>2026-04-15 15:47:19.743</v>
      </c>
      <c r="H415" t="s">
        <v>21</v>
      </c>
      <c r="I415">
        <v>0</v>
      </c>
      <c r="J415" t="s">
        <v>31</v>
      </c>
    </row>
    <row r="416" spans="1:10" x14ac:dyDescent="0.25">
      <c r="A416" s="1">
        <v>84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"2026-04-15 15:26:57.653"</f>
        <v>2026-04-15 15:26:57.653</v>
      </c>
      <c r="H416" t="s">
        <v>21</v>
      </c>
      <c r="I416">
        <v>0</v>
      </c>
      <c r="J416" t="s">
        <v>27</v>
      </c>
    </row>
    <row r="417" spans="1:10" x14ac:dyDescent="0.25">
      <c r="A417" s="1">
        <v>86</v>
      </c>
      <c r="B417" t="s">
        <v>49</v>
      </c>
      <c r="C417">
        <v>47</v>
      </c>
      <c r="D417">
        <v>2</v>
      </c>
      <c r="E417" t="s">
        <v>56</v>
      </c>
      <c r="F417" t="s">
        <v>57</v>
      </c>
      <c r="G417" t="str">
        <f>"2026-04-15 15:22:35.828"</f>
        <v>2026-04-15 15:22:35.828</v>
      </c>
      <c r="H417" t="s">
        <v>58</v>
      </c>
      <c r="I417">
        <v>0</v>
      </c>
      <c r="J417" t="s">
        <v>28</v>
      </c>
    </row>
    <row r="418" spans="1:10" x14ac:dyDescent="0.25">
      <c r="A418" s="1">
        <v>88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"2026-04-15 14:17:35.657"</f>
        <v>2026-04-15 14:17:35.657</v>
      </c>
      <c r="H418" t="s">
        <v>21</v>
      </c>
      <c r="I418">
        <v>0</v>
      </c>
      <c r="J418" t="s">
        <v>27</v>
      </c>
    </row>
    <row r="419" spans="1:10" x14ac:dyDescent="0.25">
      <c r="A419" s="1">
        <v>91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"2026-04-15 02:01:21.640"</f>
        <v>2026-04-15 02:01:21.640</v>
      </c>
      <c r="H419" t="s">
        <v>21</v>
      </c>
    </row>
    <row r="420" spans="1:10" x14ac:dyDescent="0.25">
      <c r="A420" s="1">
        <v>94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"2026-04-14 23:53:34.647"</f>
        <v>2026-04-14 23:53:34.647</v>
      </c>
      <c r="H420" t="s">
        <v>21</v>
      </c>
      <c r="I420">
        <v>0</v>
      </c>
      <c r="J420" t="s">
        <v>27</v>
      </c>
    </row>
    <row r="421" spans="1:10" x14ac:dyDescent="0.25">
      <c r="A421" s="1">
        <v>97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"2026-04-14 05:00:43.637"</f>
        <v>2026-04-14 05:00:43.637</v>
      </c>
      <c r="H421" t="s">
        <v>21</v>
      </c>
      <c r="I421">
        <v>0</v>
      </c>
      <c r="J421" t="s">
        <v>27</v>
      </c>
    </row>
    <row r="422" spans="1:10" x14ac:dyDescent="0.25">
      <c r="A422" s="1">
        <v>99</v>
      </c>
      <c r="B422" t="s">
        <v>49</v>
      </c>
      <c r="C422">
        <v>47</v>
      </c>
      <c r="D422">
        <v>2</v>
      </c>
      <c r="E422" t="s">
        <v>56</v>
      </c>
      <c r="F422" t="s">
        <v>57</v>
      </c>
      <c r="G422" t="str">
        <f>"2026-04-14 04:59:48.909"</f>
        <v>2026-04-14 04:59:48.909</v>
      </c>
      <c r="H422" t="s">
        <v>58</v>
      </c>
      <c r="I422">
        <v>0</v>
      </c>
      <c r="J422" t="s">
        <v>28</v>
      </c>
    </row>
    <row r="423" spans="1:10" x14ac:dyDescent="0.25">
      <c r="A423" s="1">
        <v>1</v>
      </c>
      <c r="B423" t="s">
        <v>19</v>
      </c>
      <c r="C423">
        <v>706</v>
      </c>
      <c r="D423">
        <v>4</v>
      </c>
      <c r="E423" t="s">
        <v>29</v>
      </c>
      <c r="F423" t="s">
        <v>30</v>
      </c>
      <c r="G423" t="str">
        <f>"2026-04-14 03:37:13.310"</f>
        <v>2026-04-14 03:37:13.310</v>
      </c>
      <c r="H423" t="s">
        <v>21</v>
      </c>
      <c r="I423">
        <v>0</v>
      </c>
      <c r="J423" t="s">
        <v>31</v>
      </c>
    </row>
    <row r="424" spans="1:10" x14ac:dyDescent="0.25">
      <c r="A424" s="1">
        <v>3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"2026-04-14 03:16:19.630"</f>
        <v>2026-04-14 03:16:19.630</v>
      </c>
      <c r="H424" t="s">
        <v>21</v>
      </c>
      <c r="I424">
        <v>0</v>
      </c>
      <c r="J424" t="s">
        <v>27</v>
      </c>
    </row>
    <row r="425" spans="1:10" x14ac:dyDescent="0.25">
      <c r="A425" s="1">
        <v>6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"2026-04-14 02:03:14.667"</f>
        <v>2026-04-14 02:03:14.667</v>
      </c>
      <c r="H425" t="s">
        <v>21</v>
      </c>
      <c r="I425">
        <v>0</v>
      </c>
      <c r="J425" t="s">
        <v>27</v>
      </c>
    </row>
    <row r="426" spans="1:10" x14ac:dyDescent="0.25">
      <c r="A426" s="1">
        <v>8</v>
      </c>
      <c r="B426" t="s">
        <v>49</v>
      </c>
      <c r="C426">
        <v>47</v>
      </c>
      <c r="D426">
        <v>2</v>
      </c>
      <c r="E426" t="s">
        <v>56</v>
      </c>
      <c r="F426" t="s">
        <v>57</v>
      </c>
      <c r="G426" t="str">
        <f>"2026-04-13 20:39:49.105"</f>
        <v>2026-04-13 20:39:49.105</v>
      </c>
      <c r="H426" t="s">
        <v>58</v>
      </c>
      <c r="I426">
        <v>0</v>
      </c>
      <c r="J426" t="s">
        <v>28</v>
      </c>
    </row>
    <row r="427" spans="1:10" x14ac:dyDescent="0.25">
      <c r="A427" s="1">
        <v>9</v>
      </c>
      <c r="B427" t="s">
        <v>19</v>
      </c>
      <c r="C427">
        <v>706</v>
      </c>
      <c r="D427">
        <v>4</v>
      </c>
      <c r="E427" t="s">
        <v>29</v>
      </c>
      <c r="F427" t="s">
        <v>30</v>
      </c>
      <c r="G427" t="str">
        <f>"2026-04-13 20:36:14.535"</f>
        <v>2026-04-13 20:36:14.535</v>
      </c>
      <c r="H427" t="s">
        <v>21</v>
      </c>
      <c r="I427">
        <v>0</v>
      </c>
      <c r="J427" t="s">
        <v>31</v>
      </c>
    </row>
    <row r="428" spans="1:10" x14ac:dyDescent="0.25">
      <c r="A428" s="1">
        <v>12</v>
      </c>
      <c r="B428" t="s">
        <v>55</v>
      </c>
      <c r="C428">
        <v>47</v>
      </c>
      <c r="D428">
        <v>2</v>
      </c>
      <c r="E428" t="s">
        <v>56</v>
      </c>
      <c r="F428" t="s">
        <v>57</v>
      </c>
      <c r="G428" t="str">
        <f>"2026-04-13 20:18:29.005"</f>
        <v>2026-04-13 20:18:29.005</v>
      </c>
      <c r="H428" t="s">
        <v>58</v>
      </c>
    </row>
    <row r="429" spans="1:10" x14ac:dyDescent="0.25">
      <c r="A429" s="1">
        <v>13</v>
      </c>
      <c r="B429" t="s">
        <v>19</v>
      </c>
      <c r="C429">
        <v>706</v>
      </c>
      <c r="D429">
        <v>2</v>
      </c>
      <c r="E429" t="s">
        <v>29</v>
      </c>
      <c r="F429" t="s">
        <v>59</v>
      </c>
      <c r="G429" t="str">
        <f>"2026-04-13 20:18:25.175"</f>
        <v>2026-04-13 20:18:25.175</v>
      </c>
      <c r="H429" t="s">
        <v>21</v>
      </c>
      <c r="I429">
        <v>0</v>
      </c>
      <c r="J429" t="s">
        <v>31</v>
      </c>
    </row>
    <row r="430" spans="1:10" x14ac:dyDescent="0.25">
      <c r="A430" s="1">
        <v>14</v>
      </c>
      <c r="B430" t="s">
        <v>49</v>
      </c>
      <c r="C430">
        <v>47</v>
      </c>
      <c r="D430">
        <v>2</v>
      </c>
      <c r="E430" t="s">
        <v>56</v>
      </c>
      <c r="F430" t="s">
        <v>57</v>
      </c>
      <c r="G430" t="str">
        <f>"2026-04-13 20:15:17.305"</f>
        <v>2026-04-13 20:15:17.305</v>
      </c>
      <c r="H430" t="s">
        <v>58</v>
      </c>
      <c r="I430">
        <v>0</v>
      </c>
      <c r="J430" t="s">
        <v>28</v>
      </c>
    </row>
    <row r="431" spans="1:10" x14ac:dyDescent="0.25">
      <c r="A431" s="1">
        <v>15</v>
      </c>
      <c r="B431" t="s">
        <v>19</v>
      </c>
      <c r="C431">
        <v>706</v>
      </c>
      <c r="D431">
        <v>4</v>
      </c>
      <c r="E431" t="s">
        <v>29</v>
      </c>
      <c r="F431" t="s">
        <v>30</v>
      </c>
      <c r="G431" t="str">
        <f>"2026-04-13 19:59:10.635"</f>
        <v>2026-04-13 19:59:10.635</v>
      </c>
      <c r="H431" t="s">
        <v>21</v>
      </c>
      <c r="I431">
        <v>0</v>
      </c>
      <c r="J431" t="s">
        <v>31</v>
      </c>
    </row>
    <row r="432" spans="1:10" x14ac:dyDescent="0.25">
      <c r="A432" s="1">
        <v>16</v>
      </c>
      <c r="B432" t="s">
        <v>19</v>
      </c>
      <c r="C432">
        <v>706</v>
      </c>
      <c r="D432">
        <v>2</v>
      </c>
      <c r="E432" t="s">
        <v>29</v>
      </c>
      <c r="F432" t="s">
        <v>59</v>
      </c>
      <c r="G432" t="str">
        <f>"2026-04-13 16:52:21.175"</f>
        <v>2026-04-13 16:52:21.175</v>
      </c>
      <c r="H432" t="s">
        <v>21</v>
      </c>
      <c r="I432">
        <v>0</v>
      </c>
      <c r="J432" t="s">
        <v>31</v>
      </c>
    </row>
    <row r="433" spans="1:10" x14ac:dyDescent="0.25">
      <c r="A433" s="1">
        <v>18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"2026-04-13 16:51:55.635"</f>
        <v>2026-04-13 16:51:55.635</v>
      </c>
      <c r="H433" t="s">
        <v>21</v>
      </c>
      <c r="I433">
        <v>0</v>
      </c>
      <c r="J433" t="s">
        <v>27</v>
      </c>
    </row>
    <row r="434" spans="1:10" x14ac:dyDescent="0.25">
      <c r="A434" s="1">
        <v>20</v>
      </c>
      <c r="B434" t="s">
        <v>49</v>
      </c>
      <c r="C434">
        <v>47</v>
      </c>
      <c r="D434">
        <v>2</v>
      </c>
      <c r="E434" t="s">
        <v>56</v>
      </c>
      <c r="F434" t="s">
        <v>57</v>
      </c>
      <c r="G434" t="str">
        <f>"2026-04-13 16:37:49.537"</f>
        <v>2026-04-13 16:37:49.537</v>
      </c>
      <c r="H434" t="s">
        <v>58</v>
      </c>
      <c r="I434">
        <v>0</v>
      </c>
      <c r="J434" t="s">
        <v>28</v>
      </c>
    </row>
    <row r="435" spans="1:10" x14ac:dyDescent="0.25">
      <c r="A435" s="1">
        <v>21</v>
      </c>
      <c r="B435" t="s">
        <v>19</v>
      </c>
      <c r="C435">
        <v>706</v>
      </c>
      <c r="D435">
        <v>2</v>
      </c>
      <c r="E435" t="s">
        <v>29</v>
      </c>
      <c r="F435" t="s">
        <v>59</v>
      </c>
      <c r="G435" t="str">
        <f>"2026-04-13 13:56:02.048"</f>
        <v>2026-04-13 13:56:02.048</v>
      </c>
      <c r="H435" t="s">
        <v>21</v>
      </c>
      <c r="I435">
        <v>0</v>
      </c>
      <c r="J435" t="s">
        <v>31</v>
      </c>
    </row>
    <row r="436" spans="1:10" x14ac:dyDescent="0.25">
      <c r="A436" s="1">
        <v>23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"2026-04-13 13:54:13.648"</f>
        <v>2026-04-13 13:54:13.648</v>
      </c>
      <c r="H436" t="s">
        <v>21</v>
      </c>
    </row>
    <row r="437" spans="1:10" x14ac:dyDescent="0.25">
      <c r="A437" s="1">
        <v>25</v>
      </c>
      <c r="B437" t="s">
        <v>49</v>
      </c>
      <c r="C437">
        <v>47</v>
      </c>
      <c r="D437">
        <v>2</v>
      </c>
      <c r="E437" t="s">
        <v>56</v>
      </c>
      <c r="F437" t="s">
        <v>57</v>
      </c>
      <c r="G437" t="str">
        <f>"2026-04-13 13:22:20.110"</f>
        <v>2026-04-13 13:22:20.110</v>
      </c>
      <c r="H437" t="s">
        <v>58</v>
      </c>
      <c r="I437">
        <v>0</v>
      </c>
      <c r="J437" t="s">
        <v>28</v>
      </c>
    </row>
    <row r="438" spans="1:10" x14ac:dyDescent="0.25">
      <c r="A438" s="1">
        <v>26</v>
      </c>
      <c r="B438" t="s">
        <v>55</v>
      </c>
      <c r="C438">
        <v>47</v>
      </c>
      <c r="D438">
        <v>2</v>
      </c>
      <c r="E438" t="s">
        <v>56</v>
      </c>
      <c r="F438" t="s">
        <v>57</v>
      </c>
      <c r="G438" t="str">
        <f>"2026-04-11 21:52:26.710"</f>
        <v>2026-04-11 21:52:26.710</v>
      </c>
      <c r="H438" t="s">
        <v>58</v>
      </c>
    </row>
    <row r="439" spans="1:10" x14ac:dyDescent="0.25">
      <c r="A439" s="1">
        <v>27</v>
      </c>
      <c r="B439" t="s">
        <v>19</v>
      </c>
      <c r="C439">
        <v>706</v>
      </c>
      <c r="D439">
        <v>4</v>
      </c>
      <c r="E439" t="s">
        <v>29</v>
      </c>
      <c r="F439" t="s">
        <v>30</v>
      </c>
      <c r="G439" t="str">
        <f>"2026-04-11 21:52:24.341"</f>
        <v>2026-04-11 21:52:24.341</v>
      </c>
      <c r="H439" t="s">
        <v>21</v>
      </c>
      <c r="I439">
        <v>0</v>
      </c>
      <c r="J439" t="s">
        <v>31</v>
      </c>
    </row>
    <row r="440" spans="1:10" x14ac:dyDescent="0.25">
      <c r="A440" s="1">
        <v>28</v>
      </c>
      <c r="B440" t="s">
        <v>22</v>
      </c>
      <c r="C440">
        <v>630</v>
      </c>
      <c r="D440">
        <v>5</v>
      </c>
      <c r="E440" t="s">
        <v>71</v>
      </c>
      <c r="F440" t="s">
        <v>72</v>
      </c>
      <c r="G440" t="str">
        <f>"2026-04-11 21:51:09.298"</f>
        <v>2026-04-11 21:51:09.298</v>
      </c>
      <c r="H440" t="s">
        <v>44</v>
      </c>
    </row>
    <row r="441" spans="1:10" x14ac:dyDescent="0.25">
      <c r="A441" s="1">
        <v>29</v>
      </c>
      <c r="B441" t="s">
        <v>49</v>
      </c>
      <c r="C441">
        <v>630</v>
      </c>
      <c r="D441">
        <v>5</v>
      </c>
      <c r="E441" t="s">
        <v>71</v>
      </c>
      <c r="F441" t="s">
        <v>72</v>
      </c>
      <c r="G441" t="str">
        <f>"2026-04-11 21:44:33.499"</f>
        <v>2026-04-11 21:44:33.499</v>
      </c>
      <c r="H441" t="s">
        <v>44</v>
      </c>
      <c r="I441">
        <v>0</v>
      </c>
      <c r="J441" t="s">
        <v>31</v>
      </c>
    </row>
    <row r="442" spans="1:10" x14ac:dyDescent="0.25">
      <c r="A442" s="1">
        <v>30</v>
      </c>
      <c r="B442" t="s">
        <v>49</v>
      </c>
      <c r="C442">
        <v>47</v>
      </c>
      <c r="D442">
        <v>2</v>
      </c>
      <c r="E442" t="s">
        <v>56</v>
      </c>
      <c r="F442" t="s">
        <v>57</v>
      </c>
      <c r="G442" t="str">
        <f>"2026-04-11 21:39:30.510"</f>
        <v>2026-04-11 21:39:30.510</v>
      </c>
      <c r="H442" t="s">
        <v>58</v>
      </c>
      <c r="I442">
        <v>0</v>
      </c>
      <c r="J442" t="s">
        <v>28</v>
      </c>
    </row>
    <row r="443" spans="1:10" x14ac:dyDescent="0.25">
      <c r="A443" s="1">
        <v>32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"2026-04-11 19:38:57.631"</f>
        <v>2026-04-11 19:38:57.631</v>
      </c>
      <c r="H443" t="s">
        <v>21</v>
      </c>
    </row>
    <row r="444" spans="1:10" x14ac:dyDescent="0.25">
      <c r="A444" s="1">
        <v>35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"2026-04-08 20:04:30.622"</f>
        <v>2026-04-08 20:04:30.622</v>
      </c>
      <c r="H444" t="s">
        <v>21</v>
      </c>
    </row>
    <row r="445" spans="1:10" x14ac:dyDescent="0.25">
      <c r="A445" s="1">
        <v>38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"2026-04-08 11:57:27.613"</f>
        <v>2026-04-08 11:57:27.613</v>
      </c>
      <c r="H445" t="s">
        <v>21</v>
      </c>
      <c r="I445">
        <v>0</v>
      </c>
      <c r="J445" t="s">
        <v>27</v>
      </c>
    </row>
    <row r="446" spans="1:10" x14ac:dyDescent="0.25">
      <c r="A446" s="1">
        <v>40</v>
      </c>
      <c r="B446" t="s">
        <v>19</v>
      </c>
      <c r="C446">
        <v>706</v>
      </c>
      <c r="D446">
        <v>4</v>
      </c>
      <c r="E446" t="s">
        <v>29</v>
      </c>
      <c r="F446" t="s">
        <v>30</v>
      </c>
      <c r="G446" t="str">
        <f>"2026-04-08 10:01:39.460"</f>
        <v>2026-04-08 10:01:39.460</v>
      </c>
      <c r="H446" t="s">
        <v>21</v>
      </c>
      <c r="I446">
        <v>0</v>
      </c>
      <c r="J446" t="s">
        <v>31</v>
      </c>
    </row>
    <row r="447" spans="1:10" x14ac:dyDescent="0.25">
      <c r="A447" s="1">
        <v>42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"2026-04-08 10:00:53.610"</f>
        <v>2026-04-08 10:00:53.610</v>
      </c>
      <c r="H447" t="s">
        <v>21</v>
      </c>
      <c r="I447">
        <v>0</v>
      </c>
      <c r="J447" t="s">
        <v>27</v>
      </c>
    </row>
    <row r="448" spans="1:10" x14ac:dyDescent="0.25">
      <c r="A448" s="1">
        <v>46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"2026-04-08 09:42:53.617"</f>
        <v>2026-04-08 09:42:53.617</v>
      </c>
      <c r="H448" t="s">
        <v>21</v>
      </c>
      <c r="I448">
        <v>0</v>
      </c>
      <c r="J448" t="s">
        <v>27</v>
      </c>
    </row>
    <row r="449" spans="1:10" x14ac:dyDescent="0.25">
      <c r="A449" s="1">
        <v>48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"2026-04-08 08:57:48.003"</f>
        <v>2026-04-08 08:57:48.003</v>
      </c>
      <c r="H449" t="s">
        <v>21</v>
      </c>
      <c r="I449">
        <v>0</v>
      </c>
      <c r="J449" t="s">
        <v>27</v>
      </c>
    </row>
    <row r="450" spans="1:10" x14ac:dyDescent="0.25">
      <c r="A450" s="1">
        <v>50</v>
      </c>
      <c r="B450" t="s">
        <v>49</v>
      </c>
      <c r="C450">
        <v>47</v>
      </c>
      <c r="D450">
        <v>2</v>
      </c>
      <c r="E450" t="s">
        <v>56</v>
      </c>
      <c r="F450" t="s">
        <v>57</v>
      </c>
      <c r="G450" t="str">
        <f>"2026-04-08 08:56:29.405"</f>
        <v>2026-04-08 08:56:29.405</v>
      </c>
      <c r="H450" t="s">
        <v>58</v>
      </c>
      <c r="I450">
        <v>0</v>
      </c>
      <c r="J450" t="s">
        <v>28</v>
      </c>
    </row>
    <row r="451" spans="1:10" x14ac:dyDescent="0.25">
      <c r="A451" s="1">
        <v>51</v>
      </c>
      <c r="B451" t="s">
        <v>22</v>
      </c>
      <c r="C451">
        <v>635</v>
      </c>
      <c r="D451">
        <v>1</v>
      </c>
      <c r="E451" t="s">
        <v>23</v>
      </c>
      <c r="F451" t="s">
        <v>24</v>
      </c>
      <c r="G451" t="str">
        <f>"2026-04-08 05:00:07.985"</f>
        <v>2026-04-08 05:00:07.985</v>
      </c>
      <c r="H451" t="s">
        <v>21</v>
      </c>
    </row>
    <row r="452" spans="1:10" x14ac:dyDescent="0.25">
      <c r="A452" s="1">
        <v>52</v>
      </c>
      <c r="B452" t="s">
        <v>25</v>
      </c>
      <c r="C452">
        <v>635</v>
      </c>
      <c r="D452">
        <v>1</v>
      </c>
      <c r="E452" t="s">
        <v>23</v>
      </c>
      <c r="F452" t="s">
        <v>24</v>
      </c>
      <c r="G452" t="str">
        <f>"2026-04-08 04:49:52.985"</f>
        <v>2026-04-08 04:49:52.985</v>
      </c>
      <c r="H452" t="s">
        <v>21</v>
      </c>
      <c r="I452">
        <v>3.28</v>
      </c>
      <c r="J452" t="s">
        <v>32</v>
      </c>
    </row>
    <row r="453" spans="1:10" x14ac:dyDescent="0.25">
      <c r="A453" s="1">
        <v>53</v>
      </c>
      <c r="B453" t="s">
        <v>19</v>
      </c>
      <c r="C453">
        <v>706</v>
      </c>
      <c r="D453">
        <v>4</v>
      </c>
      <c r="E453" t="s">
        <v>29</v>
      </c>
      <c r="F453" t="s">
        <v>30</v>
      </c>
      <c r="G453" t="str">
        <f>"2026-04-07 14:55:11.117"</f>
        <v>2026-04-07 14:55:11.117</v>
      </c>
      <c r="H453" t="s">
        <v>21</v>
      </c>
      <c r="I453">
        <v>0</v>
      </c>
      <c r="J453" t="s">
        <v>31</v>
      </c>
    </row>
    <row r="454" spans="1:10" x14ac:dyDescent="0.25">
      <c r="A454" s="1">
        <v>55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"2026-04-07 14:40:01.597"</f>
        <v>2026-04-07 14:40:01.597</v>
      </c>
      <c r="H454" t="s">
        <v>21</v>
      </c>
    </row>
    <row r="455" spans="1:10" x14ac:dyDescent="0.25">
      <c r="A455" s="1">
        <v>57</v>
      </c>
      <c r="B455" t="s">
        <v>49</v>
      </c>
      <c r="C455">
        <v>47</v>
      </c>
      <c r="D455">
        <v>2</v>
      </c>
      <c r="E455" t="s">
        <v>56</v>
      </c>
      <c r="F455" t="s">
        <v>57</v>
      </c>
      <c r="G455" t="str">
        <f>"2026-04-07 14:38:08.611"</f>
        <v>2026-04-07 14:38:08.611</v>
      </c>
      <c r="H455" t="s">
        <v>58</v>
      </c>
      <c r="I455">
        <v>0</v>
      </c>
      <c r="J455" t="s">
        <v>28</v>
      </c>
    </row>
    <row r="456" spans="1:10" x14ac:dyDescent="0.25">
      <c r="A456" s="1">
        <v>59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"2026-04-07 13:54:52.717"</f>
        <v>2026-04-07 13:54:52.717</v>
      </c>
      <c r="H456" t="s">
        <v>21</v>
      </c>
    </row>
    <row r="457" spans="1:10" x14ac:dyDescent="0.25">
      <c r="A457" s="1">
        <v>61</v>
      </c>
      <c r="B457" t="s">
        <v>19</v>
      </c>
      <c r="C457">
        <v>706</v>
      </c>
      <c r="D457">
        <v>4</v>
      </c>
      <c r="E457" t="s">
        <v>29</v>
      </c>
      <c r="F457" t="s">
        <v>30</v>
      </c>
      <c r="G457" t="str">
        <f>"2026-04-06 21:21:38.678"</f>
        <v>2026-04-06 21:21:38.678</v>
      </c>
      <c r="H457" t="s">
        <v>21</v>
      </c>
      <c r="I457">
        <v>0</v>
      </c>
      <c r="J457" t="s">
        <v>31</v>
      </c>
    </row>
    <row r="458" spans="1:10" x14ac:dyDescent="0.25">
      <c r="A458" s="1">
        <v>64</v>
      </c>
      <c r="B458" t="s">
        <v>22</v>
      </c>
      <c r="C458">
        <v>635</v>
      </c>
      <c r="D458">
        <v>1</v>
      </c>
      <c r="E458" t="s">
        <v>23</v>
      </c>
      <c r="F458" t="s">
        <v>24</v>
      </c>
      <c r="G458" t="str">
        <f>"2026-04-05 22:58:10.828"</f>
        <v>2026-04-05 22:58:10.828</v>
      </c>
      <c r="H458" t="s">
        <v>21</v>
      </c>
    </row>
    <row r="459" spans="1:10" x14ac:dyDescent="0.25">
      <c r="A459" s="1">
        <v>65</v>
      </c>
      <c r="B459" t="s">
        <v>25</v>
      </c>
      <c r="C459">
        <v>635</v>
      </c>
      <c r="D459">
        <v>1</v>
      </c>
      <c r="E459" t="s">
        <v>23</v>
      </c>
      <c r="F459" t="s">
        <v>24</v>
      </c>
      <c r="G459" t="str">
        <f>"2026-04-05 22:54:22.328"</f>
        <v>2026-04-05 22:54:22.328</v>
      </c>
      <c r="H459" t="s">
        <v>21</v>
      </c>
      <c r="I459">
        <v>4.07</v>
      </c>
      <c r="J459" t="s">
        <v>28</v>
      </c>
    </row>
    <row r="460" spans="1:10" x14ac:dyDescent="0.25">
      <c r="A460" s="1">
        <v>67</v>
      </c>
      <c r="B460" t="s">
        <v>19</v>
      </c>
      <c r="C460">
        <v>706</v>
      </c>
      <c r="D460">
        <v>4</v>
      </c>
      <c r="E460" t="s">
        <v>29</v>
      </c>
      <c r="F460" t="s">
        <v>30</v>
      </c>
      <c r="G460" t="str">
        <f>"2026-04-05 18:21:17.268"</f>
        <v>2026-04-05 18:21:17.268</v>
      </c>
      <c r="H460" t="s">
        <v>21</v>
      </c>
      <c r="I460">
        <v>0</v>
      </c>
      <c r="J460" t="s">
        <v>31</v>
      </c>
    </row>
    <row r="461" spans="1:10" x14ac:dyDescent="0.25">
      <c r="A461" s="1">
        <v>68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"2026-04-05 18:20:57.588"</f>
        <v>2026-04-05 18:20:57.588</v>
      </c>
      <c r="H461" t="s">
        <v>21</v>
      </c>
    </row>
    <row r="462" spans="1:10" x14ac:dyDescent="0.25">
      <c r="A462" s="1">
        <v>71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"2026-04-05 17:25:41.602"</f>
        <v>2026-04-05 17:25:41.602</v>
      </c>
      <c r="H462" t="s">
        <v>21</v>
      </c>
      <c r="I462">
        <v>0</v>
      </c>
      <c r="J462" t="s">
        <v>27</v>
      </c>
    </row>
    <row r="463" spans="1:10" x14ac:dyDescent="0.25">
      <c r="A463" s="1">
        <v>74</v>
      </c>
      <c r="B463" t="s">
        <v>19</v>
      </c>
      <c r="C463">
        <v>706</v>
      </c>
      <c r="D463">
        <v>2</v>
      </c>
      <c r="E463" t="s">
        <v>29</v>
      </c>
      <c r="F463" t="s">
        <v>59</v>
      </c>
      <c r="G463" t="str">
        <f>"2026-04-05 16:21:40.012"</f>
        <v>2026-04-05 16:21:40.012</v>
      </c>
      <c r="H463" t="s">
        <v>21</v>
      </c>
      <c r="I463">
        <v>0</v>
      </c>
      <c r="J463" t="s">
        <v>31</v>
      </c>
    </row>
    <row r="464" spans="1:10" x14ac:dyDescent="0.25">
      <c r="A464" s="1">
        <v>75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"2026-04-05 16:21:25.602"</f>
        <v>2026-04-05 16:21:25.602</v>
      </c>
      <c r="H464" t="s">
        <v>21</v>
      </c>
      <c r="I464">
        <v>0</v>
      </c>
      <c r="J464" t="s">
        <v>27</v>
      </c>
    </row>
    <row r="465" spans="1:10" x14ac:dyDescent="0.25">
      <c r="A465" s="1">
        <v>78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"2026-04-05 16:06:14.585"</f>
        <v>2026-04-05 16:06:14.585</v>
      </c>
      <c r="H465" t="s">
        <v>21</v>
      </c>
      <c r="I465">
        <v>0</v>
      </c>
      <c r="J465" t="s">
        <v>27</v>
      </c>
    </row>
    <row r="466" spans="1:10" x14ac:dyDescent="0.25">
      <c r="A466" s="1">
        <v>81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"2026-04-05 15:44:25.628"</f>
        <v>2026-04-05 15:44:25.628</v>
      </c>
      <c r="H466" t="s">
        <v>21</v>
      </c>
      <c r="I466">
        <v>0</v>
      </c>
      <c r="J466" t="s">
        <v>27</v>
      </c>
    </row>
    <row r="467" spans="1:10" x14ac:dyDescent="0.25">
      <c r="A467" s="1">
        <v>84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"2026-04-05 08:01:50.744"</f>
        <v>2026-04-05 08:01:50.744</v>
      </c>
      <c r="H467" t="s">
        <v>21</v>
      </c>
      <c r="I467">
        <v>0</v>
      </c>
      <c r="J467" t="s">
        <v>27</v>
      </c>
    </row>
    <row r="468" spans="1:10" x14ac:dyDescent="0.25">
      <c r="A468" s="1">
        <v>86</v>
      </c>
      <c r="B468" t="s">
        <v>49</v>
      </c>
      <c r="C468">
        <v>47</v>
      </c>
      <c r="D468">
        <v>2</v>
      </c>
      <c r="E468" t="s">
        <v>56</v>
      </c>
      <c r="F468" t="s">
        <v>57</v>
      </c>
      <c r="G468" t="str">
        <f>"2026-04-05 07:43:12.607"</f>
        <v>2026-04-05 07:43:12.607</v>
      </c>
      <c r="H468" t="s">
        <v>58</v>
      </c>
      <c r="I468">
        <v>0</v>
      </c>
      <c r="J468" t="s">
        <v>28</v>
      </c>
    </row>
    <row r="469" spans="1:10" x14ac:dyDescent="0.25">
      <c r="A469" s="1">
        <v>87</v>
      </c>
      <c r="B469" t="s">
        <v>55</v>
      </c>
      <c r="C469">
        <v>47</v>
      </c>
      <c r="D469">
        <v>2</v>
      </c>
      <c r="E469" t="s">
        <v>56</v>
      </c>
      <c r="F469" t="s">
        <v>57</v>
      </c>
      <c r="G469" t="str">
        <f>"2026-04-04 19:59:15.706"</f>
        <v>2026-04-04 19:59:15.706</v>
      </c>
      <c r="H469" t="s">
        <v>58</v>
      </c>
    </row>
    <row r="470" spans="1:10" x14ac:dyDescent="0.25">
      <c r="A470" s="1">
        <v>88</v>
      </c>
      <c r="B470" t="s">
        <v>19</v>
      </c>
      <c r="C470">
        <v>706</v>
      </c>
      <c r="D470">
        <v>2</v>
      </c>
      <c r="E470" t="s">
        <v>29</v>
      </c>
      <c r="F470" t="s">
        <v>59</v>
      </c>
      <c r="G470" t="str">
        <f>"2026-04-04 19:59:13.564"</f>
        <v>2026-04-04 19:59:13.564</v>
      </c>
      <c r="H470" t="s">
        <v>21</v>
      </c>
      <c r="I470">
        <v>0</v>
      </c>
      <c r="J470" t="s">
        <v>31</v>
      </c>
    </row>
    <row r="471" spans="1:10" x14ac:dyDescent="0.25">
      <c r="A471" s="1">
        <v>89</v>
      </c>
      <c r="B471" t="s">
        <v>22</v>
      </c>
      <c r="C471">
        <v>49</v>
      </c>
      <c r="D471">
        <v>1</v>
      </c>
      <c r="E471" t="s">
        <v>62</v>
      </c>
      <c r="F471" t="s">
        <v>63</v>
      </c>
      <c r="G471" t="str">
        <f>"2026-04-04 19:45:09.607"</f>
        <v>2026-04-04 19:45:09.607</v>
      </c>
      <c r="H471" t="s">
        <v>64</v>
      </c>
    </row>
    <row r="472" spans="1:10" x14ac:dyDescent="0.25">
      <c r="A472" s="1">
        <v>91</v>
      </c>
      <c r="B472" t="s">
        <v>25</v>
      </c>
      <c r="C472">
        <v>49</v>
      </c>
      <c r="D472">
        <v>1</v>
      </c>
      <c r="E472" t="s">
        <v>62</v>
      </c>
      <c r="F472" t="s">
        <v>63</v>
      </c>
      <c r="G472" t="str">
        <f>"2026-04-04 19:44:17.107"</f>
        <v>2026-04-04 19:44:17.107</v>
      </c>
      <c r="H472" t="s">
        <v>64</v>
      </c>
      <c r="I472">
        <v>0</v>
      </c>
      <c r="J472" t="s">
        <v>31</v>
      </c>
    </row>
    <row r="473" spans="1:10" x14ac:dyDescent="0.25">
      <c r="A473" s="1">
        <v>93</v>
      </c>
      <c r="B473" t="s">
        <v>49</v>
      </c>
      <c r="C473">
        <v>47</v>
      </c>
      <c r="D473">
        <v>2</v>
      </c>
      <c r="E473" t="s">
        <v>56</v>
      </c>
      <c r="F473" t="s">
        <v>57</v>
      </c>
      <c r="G473" t="str">
        <f>"2026-04-04 19:43:08.006"</f>
        <v>2026-04-04 19:43:08.006</v>
      </c>
      <c r="H473" t="s">
        <v>58</v>
      </c>
      <c r="I473">
        <v>0</v>
      </c>
      <c r="J473" t="s">
        <v>28</v>
      </c>
    </row>
    <row r="474" spans="1:10" x14ac:dyDescent="0.25">
      <c r="A474" s="1">
        <v>95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"2026-04-03 13:02:01.594"</f>
        <v>2026-04-03 13:02:01.594</v>
      </c>
      <c r="H474" t="s">
        <v>21</v>
      </c>
      <c r="I474">
        <v>0</v>
      </c>
      <c r="J474" t="s">
        <v>27</v>
      </c>
    </row>
    <row r="475" spans="1:10" x14ac:dyDescent="0.25">
      <c r="A475" s="1">
        <v>97</v>
      </c>
      <c r="B475" t="s">
        <v>49</v>
      </c>
      <c r="C475">
        <v>47</v>
      </c>
      <c r="D475">
        <v>2</v>
      </c>
      <c r="E475" t="s">
        <v>56</v>
      </c>
      <c r="F475" t="s">
        <v>57</v>
      </c>
      <c r="G475" t="str">
        <f>"2026-04-03 12:39:57.292"</f>
        <v>2026-04-03 12:39:57.292</v>
      </c>
      <c r="H475" t="s">
        <v>58</v>
      </c>
      <c r="I475">
        <v>0</v>
      </c>
      <c r="J475" t="s">
        <v>28</v>
      </c>
    </row>
    <row r="476" spans="1:10" x14ac:dyDescent="0.25">
      <c r="A476" s="1">
        <v>98</v>
      </c>
      <c r="B476" t="s">
        <v>19</v>
      </c>
      <c r="C476">
        <v>706</v>
      </c>
      <c r="D476">
        <v>4</v>
      </c>
      <c r="E476" t="s">
        <v>29</v>
      </c>
      <c r="F476" t="s">
        <v>30</v>
      </c>
      <c r="G476" t="str">
        <f>"2026-04-03 05:09:07.758"</f>
        <v>2026-04-03 05:09:07.758</v>
      </c>
      <c r="H476" t="s">
        <v>21</v>
      </c>
      <c r="I476">
        <v>0</v>
      </c>
      <c r="J476" t="s">
        <v>31</v>
      </c>
    </row>
    <row r="477" spans="1:10" x14ac:dyDescent="0.25">
      <c r="A477" s="1">
        <v>0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"2026-04-03 05:08:41.578"</f>
        <v>2026-04-03 05:08:41.578</v>
      </c>
      <c r="H477" t="s">
        <v>21</v>
      </c>
      <c r="I477">
        <v>0</v>
      </c>
      <c r="J477" t="s">
        <v>27</v>
      </c>
    </row>
    <row r="478" spans="1:10" x14ac:dyDescent="0.25">
      <c r="A478" s="1">
        <v>3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"2026-04-03 04:25:01.592"</f>
        <v>2026-04-03 04:25:01.592</v>
      </c>
      <c r="H478" t="s">
        <v>21</v>
      </c>
      <c r="I478">
        <v>0</v>
      </c>
      <c r="J478" t="s">
        <v>27</v>
      </c>
    </row>
    <row r="479" spans="1:10" x14ac:dyDescent="0.25">
      <c r="A479" s="1">
        <v>5</v>
      </c>
      <c r="B479" t="s">
        <v>19</v>
      </c>
      <c r="C479">
        <v>706</v>
      </c>
      <c r="D479">
        <v>2</v>
      </c>
      <c r="E479" t="s">
        <v>29</v>
      </c>
      <c r="F479" t="s">
        <v>59</v>
      </c>
      <c r="G479" t="str">
        <f>"2026-04-02 15:47:53.815"</f>
        <v>2026-04-02 15:47:53.815</v>
      </c>
      <c r="H479" t="s">
        <v>21</v>
      </c>
      <c r="I479">
        <v>0</v>
      </c>
      <c r="J479" t="s">
        <v>31</v>
      </c>
    </row>
    <row r="480" spans="1:10" x14ac:dyDescent="0.25">
      <c r="A480" s="1">
        <v>7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"2026-04-02 15:47:04.575"</f>
        <v>2026-04-02 15:47:04.575</v>
      </c>
      <c r="H480" t="s">
        <v>21</v>
      </c>
    </row>
    <row r="481" spans="1:10" x14ac:dyDescent="0.25">
      <c r="A481" s="1">
        <v>10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"2026-04-02 15:12:08.750"</f>
        <v>2026-04-02 15:12:08.750</v>
      </c>
      <c r="H481" t="s">
        <v>21</v>
      </c>
      <c r="I481">
        <v>0</v>
      </c>
      <c r="J481" t="s">
        <v>27</v>
      </c>
    </row>
    <row r="482" spans="1:10" x14ac:dyDescent="0.25">
      <c r="A482" s="1">
        <v>12</v>
      </c>
      <c r="B482" t="s">
        <v>49</v>
      </c>
      <c r="C482">
        <v>47</v>
      </c>
      <c r="D482">
        <v>2</v>
      </c>
      <c r="E482" t="s">
        <v>56</v>
      </c>
      <c r="F482" t="s">
        <v>57</v>
      </c>
      <c r="G482" t="str">
        <f>"2026-04-02 14:48:01.403"</f>
        <v>2026-04-02 14:48:01.403</v>
      </c>
      <c r="H482" t="s">
        <v>58</v>
      </c>
      <c r="I482">
        <v>0</v>
      </c>
      <c r="J482" t="s">
        <v>28</v>
      </c>
    </row>
    <row r="483" spans="1:10" x14ac:dyDescent="0.25">
      <c r="A483" s="1">
        <v>14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"2026-04-01 21:36:30.588"</f>
        <v>2026-04-01 21:36:30.588</v>
      </c>
      <c r="H483" t="s">
        <v>21</v>
      </c>
    </row>
    <row r="484" spans="1:10" x14ac:dyDescent="0.25">
      <c r="A484" s="1">
        <v>16</v>
      </c>
      <c r="B484" t="s">
        <v>49</v>
      </c>
      <c r="C484">
        <v>47</v>
      </c>
      <c r="D484">
        <v>2</v>
      </c>
      <c r="E484" t="s">
        <v>56</v>
      </c>
      <c r="F484" t="s">
        <v>57</v>
      </c>
      <c r="G484" t="str">
        <f>"2026-04-01 21:25:20.716"</f>
        <v>2026-04-01 21:25:20.716</v>
      </c>
      <c r="H484" t="s">
        <v>58</v>
      </c>
      <c r="I484">
        <v>0</v>
      </c>
      <c r="J484" t="s">
        <v>28</v>
      </c>
    </row>
    <row r="485" spans="1:10" x14ac:dyDescent="0.25">
      <c r="A485" s="1">
        <v>18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"2026-04-01 16:10:07.576"</f>
        <v>2026-04-01 16:10:07.576</v>
      </c>
      <c r="H485" t="s">
        <v>21</v>
      </c>
    </row>
    <row r="486" spans="1:10" x14ac:dyDescent="0.25">
      <c r="A486" s="1">
        <v>20</v>
      </c>
      <c r="B486" t="s">
        <v>49</v>
      </c>
      <c r="C486">
        <v>47</v>
      </c>
      <c r="D486">
        <v>2</v>
      </c>
      <c r="E486" t="s">
        <v>56</v>
      </c>
      <c r="F486" t="s">
        <v>57</v>
      </c>
      <c r="G486" t="str">
        <f>"2026-04-01 15:28:22.574"</f>
        <v>2026-04-01 15:28:22.574</v>
      </c>
      <c r="H486" t="s">
        <v>58</v>
      </c>
      <c r="I486">
        <v>0</v>
      </c>
      <c r="J486" t="s">
        <v>28</v>
      </c>
    </row>
    <row r="487" spans="1:10" x14ac:dyDescent="0.25">
      <c r="A487" s="1">
        <v>22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"2026-04-01 14:24:06.558"</f>
        <v>2026-04-01 14:24:06.558</v>
      </c>
      <c r="H487" t="s">
        <v>21</v>
      </c>
    </row>
    <row r="488" spans="1:10" x14ac:dyDescent="0.25">
      <c r="A488" s="1">
        <v>24</v>
      </c>
      <c r="B488" t="s">
        <v>49</v>
      </c>
      <c r="C488">
        <v>47</v>
      </c>
      <c r="D488">
        <v>2</v>
      </c>
      <c r="E488" t="s">
        <v>56</v>
      </c>
      <c r="F488" t="s">
        <v>57</v>
      </c>
      <c r="G488" t="str">
        <f>"2026-04-01 14:21:09.210"</f>
        <v>2026-04-01 14:21:09.210</v>
      </c>
      <c r="H488" t="s">
        <v>58</v>
      </c>
      <c r="I488">
        <v>0</v>
      </c>
      <c r="J488" t="s">
        <v>28</v>
      </c>
    </row>
    <row r="489" spans="1:10" x14ac:dyDescent="0.25">
      <c r="A489" s="1">
        <v>25</v>
      </c>
      <c r="B489" t="s">
        <v>19</v>
      </c>
      <c r="C489">
        <v>706</v>
      </c>
      <c r="D489">
        <v>2</v>
      </c>
      <c r="E489" t="s">
        <v>29</v>
      </c>
      <c r="F489" t="s">
        <v>59</v>
      </c>
      <c r="G489" t="str">
        <f>"2026-04-01 04:31:41.510"</f>
        <v>2026-04-01 04:31:41.510</v>
      </c>
      <c r="H489" t="s">
        <v>21</v>
      </c>
      <c r="I489">
        <v>0</v>
      </c>
      <c r="J489" t="s">
        <v>31</v>
      </c>
    </row>
    <row r="490" spans="1:10" x14ac:dyDescent="0.25">
      <c r="A490" s="1">
        <v>27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"2026-04-01 04:25:31.580"</f>
        <v>2026-04-01 04:25:31.580</v>
      </c>
      <c r="H490" t="s">
        <v>21</v>
      </c>
    </row>
    <row r="491" spans="1:10" x14ac:dyDescent="0.25">
      <c r="A491" s="1">
        <v>29</v>
      </c>
      <c r="B491" t="s">
        <v>49</v>
      </c>
      <c r="C491">
        <v>47</v>
      </c>
      <c r="D491">
        <v>2</v>
      </c>
      <c r="E491" t="s">
        <v>56</v>
      </c>
      <c r="F491" t="s">
        <v>57</v>
      </c>
      <c r="G491" t="str">
        <f>"2026-04-01 04:22:38.298"</f>
        <v>2026-04-01 04:22:38.298</v>
      </c>
      <c r="H491" t="s">
        <v>58</v>
      </c>
      <c r="I491">
        <v>0</v>
      </c>
      <c r="J491" t="s">
        <v>28</v>
      </c>
    </row>
    <row r="492" spans="1:10" x14ac:dyDescent="0.25">
      <c r="A492" s="1">
        <v>30</v>
      </c>
      <c r="B492" t="s">
        <v>55</v>
      </c>
      <c r="C492">
        <v>47</v>
      </c>
      <c r="D492">
        <v>2</v>
      </c>
      <c r="E492" t="s">
        <v>56</v>
      </c>
      <c r="F492" t="s">
        <v>57</v>
      </c>
      <c r="G492" t="str">
        <f>"2026-04-01 04:04:29.698"</f>
        <v>2026-04-01 04:04:29.698</v>
      </c>
      <c r="H492" t="s">
        <v>58</v>
      </c>
    </row>
    <row r="493" spans="1:10" x14ac:dyDescent="0.25">
      <c r="A493" s="1">
        <v>31</v>
      </c>
      <c r="B493" t="s">
        <v>19</v>
      </c>
      <c r="C493">
        <v>706</v>
      </c>
      <c r="D493">
        <v>2</v>
      </c>
      <c r="E493" t="s">
        <v>29</v>
      </c>
      <c r="F493" t="s">
        <v>59</v>
      </c>
      <c r="G493" t="str">
        <f>"2026-04-01 04:04:26.116"</f>
        <v>2026-04-01 04:04:26.116</v>
      </c>
      <c r="H493" t="s">
        <v>21</v>
      </c>
      <c r="I493">
        <v>0</v>
      </c>
      <c r="J493" t="s">
        <v>31</v>
      </c>
    </row>
    <row r="494" spans="1:10" x14ac:dyDescent="0.25">
      <c r="A494" s="1">
        <v>34</v>
      </c>
      <c r="B494" t="s">
        <v>49</v>
      </c>
      <c r="C494">
        <v>47</v>
      </c>
      <c r="D494">
        <v>2</v>
      </c>
      <c r="E494" t="s">
        <v>56</v>
      </c>
      <c r="F494" t="s">
        <v>57</v>
      </c>
      <c r="G494" t="str">
        <f>"2026-04-01 04:03:01.198"</f>
        <v>2026-04-01 04:03:01.198</v>
      </c>
      <c r="H494" t="s">
        <v>58</v>
      </c>
      <c r="I494">
        <v>0</v>
      </c>
      <c r="J494" t="s">
        <v>28</v>
      </c>
    </row>
    <row r="495" spans="1:10" x14ac:dyDescent="0.25">
      <c r="A495" s="1">
        <v>35</v>
      </c>
      <c r="B495" t="s">
        <v>19</v>
      </c>
      <c r="C495">
        <v>706</v>
      </c>
      <c r="D495">
        <v>4</v>
      </c>
      <c r="E495" t="s">
        <v>29</v>
      </c>
      <c r="F495" t="s">
        <v>30</v>
      </c>
      <c r="G495" t="str">
        <f>"2026-03-31 12:06:11.266"</f>
        <v>2026-03-31 12:06:11.266</v>
      </c>
      <c r="H495" t="s">
        <v>21</v>
      </c>
      <c r="I495">
        <v>0</v>
      </c>
      <c r="J495" t="s">
        <v>31</v>
      </c>
    </row>
    <row r="496" spans="1:10" x14ac:dyDescent="0.25">
      <c r="A496" s="1">
        <v>37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"2026-03-31 11:25:35.586"</f>
        <v>2026-03-31 11:25:35.586</v>
      </c>
      <c r="H496" t="s">
        <v>21</v>
      </c>
    </row>
    <row r="497" spans="1:10" x14ac:dyDescent="0.25">
      <c r="A497" s="1">
        <v>39</v>
      </c>
      <c r="B497" t="s">
        <v>49</v>
      </c>
      <c r="C497">
        <v>47</v>
      </c>
      <c r="D497">
        <v>2</v>
      </c>
      <c r="E497" t="s">
        <v>56</v>
      </c>
      <c r="F497" t="s">
        <v>57</v>
      </c>
      <c r="G497" t="str">
        <f>"2026-03-31 11:16:40.143"</f>
        <v>2026-03-31 11:16:40.143</v>
      </c>
      <c r="H497" t="s">
        <v>58</v>
      </c>
      <c r="I497">
        <v>0</v>
      </c>
      <c r="J497" t="s">
        <v>28</v>
      </c>
    </row>
    <row r="498" spans="1:10" x14ac:dyDescent="0.25">
      <c r="A498" s="1">
        <v>40</v>
      </c>
      <c r="B498" t="s">
        <v>19</v>
      </c>
      <c r="C498">
        <v>706</v>
      </c>
      <c r="D498">
        <v>2</v>
      </c>
      <c r="E498" t="s">
        <v>29</v>
      </c>
      <c r="F498" t="s">
        <v>59</v>
      </c>
      <c r="G498" t="str">
        <f>"2026-03-31 11:06:56.449"</f>
        <v>2026-03-31 11:06:56.449</v>
      </c>
      <c r="H498" t="s">
        <v>21</v>
      </c>
      <c r="I498">
        <v>0</v>
      </c>
      <c r="J498" t="s">
        <v>31</v>
      </c>
    </row>
    <row r="499" spans="1:10" x14ac:dyDescent="0.25">
      <c r="A499" s="1">
        <v>41</v>
      </c>
      <c r="B499" t="s">
        <v>55</v>
      </c>
      <c r="C499">
        <v>47</v>
      </c>
      <c r="D499">
        <v>2</v>
      </c>
      <c r="E499" t="s">
        <v>56</v>
      </c>
      <c r="F499" t="s">
        <v>57</v>
      </c>
      <c r="G499" t="str">
        <f>"2026-03-30 22:00:04.143"</f>
        <v>2026-03-30 22:00:04.143</v>
      </c>
      <c r="H499" t="s">
        <v>58</v>
      </c>
    </row>
    <row r="500" spans="1:10" x14ac:dyDescent="0.25">
      <c r="A500" s="1">
        <v>42</v>
      </c>
      <c r="B500" t="s">
        <v>19</v>
      </c>
      <c r="C500">
        <v>706</v>
      </c>
      <c r="D500">
        <v>4</v>
      </c>
      <c r="E500" t="s">
        <v>29</v>
      </c>
      <c r="F500" t="s">
        <v>30</v>
      </c>
      <c r="G500" t="str">
        <f>"2026-03-30 22:00:01.799"</f>
        <v>2026-03-30 22:00:01.799</v>
      </c>
      <c r="H500" t="s">
        <v>21</v>
      </c>
      <c r="I500">
        <v>0</v>
      </c>
      <c r="J500" t="s">
        <v>31</v>
      </c>
    </row>
    <row r="501" spans="1:10" x14ac:dyDescent="0.25">
      <c r="A501" s="1">
        <v>43</v>
      </c>
      <c r="B501" t="s">
        <v>49</v>
      </c>
      <c r="C501">
        <v>47</v>
      </c>
      <c r="D501">
        <v>2</v>
      </c>
      <c r="E501" t="s">
        <v>56</v>
      </c>
      <c r="F501" t="s">
        <v>57</v>
      </c>
      <c r="G501" t="str">
        <f>"2026-03-30 21:48:50.943"</f>
        <v>2026-03-30 21:48:50.943</v>
      </c>
      <c r="H501" t="s">
        <v>58</v>
      </c>
      <c r="I501">
        <v>0</v>
      </c>
      <c r="J501" t="s">
        <v>28</v>
      </c>
    </row>
    <row r="502" spans="1:10" x14ac:dyDescent="0.25">
      <c r="A502" s="1">
        <v>45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"2026-03-30 15:53:55.719"</f>
        <v>2026-03-30 15:53:55.719</v>
      </c>
      <c r="H502" t="s">
        <v>21</v>
      </c>
    </row>
    <row r="503" spans="1:10" x14ac:dyDescent="0.25">
      <c r="A503" s="1">
        <v>47</v>
      </c>
      <c r="B503" t="s">
        <v>19</v>
      </c>
      <c r="C503">
        <v>706</v>
      </c>
      <c r="D503">
        <v>4</v>
      </c>
      <c r="E503" t="s">
        <v>29</v>
      </c>
      <c r="F503" t="s">
        <v>30</v>
      </c>
      <c r="G503" t="str">
        <f>"2026-03-30 06:07:54.355"</f>
        <v>2026-03-30 06:07:54.355</v>
      </c>
      <c r="H503" t="s">
        <v>21</v>
      </c>
      <c r="I503">
        <v>9.18</v>
      </c>
      <c r="J503" t="s">
        <v>32</v>
      </c>
    </row>
    <row r="504" spans="1:10" x14ac:dyDescent="0.25">
      <c r="A504" s="1">
        <v>48</v>
      </c>
      <c r="B504" t="s">
        <v>19</v>
      </c>
      <c r="C504">
        <v>706</v>
      </c>
      <c r="D504">
        <v>4</v>
      </c>
      <c r="E504" t="s">
        <v>29</v>
      </c>
      <c r="F504" t="s">
        <v>30</v>
      </c>
      <c r="G504" t="str">
        <f>"2026-03-30 06:07:16.925"</f>
        <v>2026-03-30 06:07:16.925</v>
      </c>
      <c r="H504" t="s">
        <v>21</v>
      </c>
      <c r="I504">
        <v>9.8699999999999992</v>
      </c>
      <c r="J504" t="s">
        <v>32</v>
      </c>
    </row>
    <row r="505" spans="1:10" x14ac:dyDescent="0.25">
      <c r="A505" s="1">
        <v>49</v>
      </c>
      <c r="B505" t="s">
        <v>19</v>
      </c>
      <c r="C505">
        <v>706</v>
      </c>
      <c r="D505">
        <v>4</v>
      </c>
      <c r="E505" t="s">
        <v>29</v>
      </c>
      <c r="F505" t="s">
        <v>30</v>
      </c>
      <c r="G505" t="str">
        <f>"2026-03-30 06:04:20.815"</f>
        <v>2026-03-30 06:04:20.815</v>
      </c>
      <c r="H505" t="s">
        <v>21</v>
      </c>
      <c r="I505">
        <v>16.86</v>
      </c>
      <c r="J505" t="s">
        <v>32</v>
      </c>
    </row>
    <row r="506" spans="1:10" x14ac:dyDescent="0.25">
      <c r="A506" s="1">
        <v>50</v>
      </c>
      <c r="B506" t="s">
        <v>19</v>
      </c>
      <c r="C506">
        <v>706</v>
      </c>
      <c r="D506">
        <v>4</v>
      </c>
      <c r="E506" t="s">
        <v>29</v>
      </c>
      <c r="F506" t="s">
        <v>30</v>
      </c>
      <c r="G506" t="str">
        <f>"2026-03-30 05:46:22.935"</f>
        <v>2026-03-30 05:46:22.935</v>
      </c>
      <c r="H506" t="s">
        <v>21</v>
      </c>
      <c r="I506">
        <v>19.12</v>
      </c>
      <c r="J506" t="s">
        <v>26</v>
      </c>
    </row>
    <row r="507" spans="1:10" x14ac:dyDescent="0.25">
      <c r="A507" s="1">
        <v>51</v>
      </c>
      <c r="B507" t="s">
        <v>19</v>
      </c>
      <c r="C507">
        <v>706</v>
      </c>
      <c r="D507">
        <v>4</v>
      </c>
      <c r="E507" t="s">
        <v>29</v>
      </c>
      <c r="F507" t="s">
        <v>30</v>
      </c>
      <c r="G507" t="str">
        <f>"2026-03-30 05:46:14.685"</f>
        <v>2026-03-30 05:46:14.685</v>
      </c>
      <c r="H507" t="s">
        <v>21</v>
      </c>
      <c r="I507">
        <v>19.43</v>
      </c>
      <c r="J507" t="s">
        <v>26</v>
      </c>
    </row>
    <row r="508" spans="1:10" x14ac:dyDescent="0.25">
      <c r="A508" s="1">
        <v>52</v>
      </c>
      <c r="B508" t="s">
        <v>19</v>
      </c>
      <c r="C508">
        <v>706</v>
      </c>
      <c r="D508">
        <v>4</v>
      </c>
      <c r="E508" t="s">
        <v>29</v>
      </c>
      <c r="F508" t="s">
        <v>30</v>
      </c>
      <c r="G508" t="str">
        <f>"2026-03-30 04:05:29.555"</f>
        <v>2026-03-30 04:05:29.555</v>
      </c>
      <c r="H508" t="s">
        <v>21</v>
      </c>
      <c r="I508">
        <v>16.47</v>
      </c>
      <c r="J508" t="s">
        <v>26</v>
      </c>
    </row>
    <row r="509" spans="1:10" x14ac:dyDescent="0.25">
      <c r="A509" s="1">
        <v>54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"2026-03-30 03:12:33.575"</f>
        <v>2026-03-30 03:12:33.575</v>
      </c>
      <c r="H509" t="s">
        <v>21</v>
      </c>
      <c r="I509">
        <v>0</v>
      </c>
      <c r="J509" t="s">
        <v>27</v>
      </c>
    </row>
    <row r="510" spans="1:10" x14ac:dyDescent="0.25">
      <c r="A510" s="1">
        <v>56</v>
      </c>
      <c r="B510" t="s">
        <v>49</v>
      </c>
      <c r="C510">
        <v>47</v>
      </c>
      <c r="D510">
        <v>2</v>
      </c>
      <c r="E510" t="s">
        <v>56</v>
      </c>
      <c r="F510" t="s">
        <v>57</v>
      </c>
      <c r="G510" t="str">
        <f>"2026-03-30 03:05:10.504"</f>
        <v>2026-03-30 03:05:10.504</v>
      </c>
      <c r="H510" t="s">
        <v>58</v>
      </c>
      <c r="I510">
        <v>0</v>
      </c>
      <c r="J510" t="s">
        <v>28</v>
      </c>
    </row>
    <row r="511" spans="1:10" x14ac:dyDescent="0.25">
      <c r="A511" s="1">
        <v>58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"2026-03-29 19:43:07.583"</f>
        <v>2026-03-29 19:43:07.583</v>
      </c>
      <c r="H511" t="s">
        <v>21</v>
      </c>
    </row>
    <row r="512" spans="1:10" x14ac:dyDescent="0.25">
      <c r="A512" s="1">
        <v>60</v>
      </c>
      <c r="B512" t="s">
        <v>22</v>
      </c>
      <c r="C512">
        <v>635</v>
      </c>
      <c r="D512">
        <v>1</v>
      </c>
      <c r="E512" t="s">
        <v>23</v>
      </c>
      <c r="F512" t="s">
        <v>24</v>
      </c>
      <c r="G512" t="str">
        <f>"2026-03-29 03:20:19.922"</f>
        <v>2026-03-29 03:20:19.922</v>
      </c>
      <c r="H512" t="s">
        <v>21</v>
      </c>
    </row>
    <row r="513" spans="1:10" x14ac:dyDescent="0.25">
      <c r="A513" s="1">
        <v>61</v>
      </c>
      <c r="B513" t="s">
        <v>25</v>
      </c>
      <c r="C513">
        <v>635</v>
      </c>
      <c r="D513">
        <v>1</v>
      </c>
      <c r="E513" t="s">
        <v>23</v>
      </c>
      <c r="F513" t="s">
        <v>24</v>
      </c>
      <c r="G513" t="str">
        <f>"2026-03-29 03:15:57.422"</f>
        <v>2026-03-29 03:15:57.422</v>
      </c>
      <c r="H513" t="s">
        <v>21</v>
      </c>
      <c r="I513">
        <v>3.54</v>
      </c>
      <c r="J513" t="s">
        <v>32</v>
      </c>
    </row>
    <row r="514" spans="1:10" x14ac:dyDescent="0.25">
      <c r="A514" s="1">
        <v>62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"2026-03-28 12:59:02.553"</f>
        <v>2026-03-28 12:59:02.553</v>
      </c>
      <c r="H514" t="s">
        <v>21</v>
      </c>
    </row>
    <row r="515" spans="1:10" x14ac:dyDescent="0.25">
      <c r="A515" s="1">
        <v>63</v>
      </c>
      <c r="B515" t="s">
        <v>19</v>
      </c>
      <c r="C515">
        <v>706</v>
      </c>
      <c r="D515">
        <v>4</v>
      </c>
      <c r="E515" t="s">
        <v>29</v>
      </c>
      <c r="F515" t="s">
        <v>30</v>
      </c>
      <c r="G515" t="str">
        <f>"2026-03-28 10:33:00.149"</f>
        <v>2026-03-28 10:33:00.149</v>
      </c>
      <c r="H515" t="s">
        <v>21</v>
      </c>
      <c r="I515">
        <v>0</v>
      </c>
      <c r="J515" t="s">
        <v>31</v>
      </c>
    </row>
    <row r="516" spans="1:10" x14ac:dyDescent="0.25">
      <c r="A516" s="1">
        <v>64</v>
      </c>
      <c r="B516" t="s">
        <v>19</v>
      </c>
      <c r="C516">
        <v>706</v>
      </c>
      <c r="D516">
        <v>4</v>
      </c>
      <c r="E516" t="s">
        <v>29</v>
      </c>
      <c r="F516" t="s">
        <v>30</v>
      </c>
      <c r="G516" t="str">
        <f>"2026-03-28 08:43:16.569"</f>
        <v>2026-03-28 08:43:16.569</v>
      </c>
      <c r="H516" t="s">
        <v>21</v>
      </c>
      <c r="I516">
        <v>14.07</v>
      </c>
      <c r="J516" t="s">
        <v>26</v>
      </c>
    </row>
    <row r="517" spans="1:10" x14ac:dyDescent="0.25">
      <c r="A517" s="1">
        <v>65</v>
      </c>
      <c r="B517" t="s">
        <v>19</v>
      </c>
      <c r="C517">
        <v>706</v>
      </c>
      <c r="D517">
        <v>2</v>
      </c>
      <c r="E517" t="s">
        <v>29</v>
      </c>
      <c r="F517" t="s">
        <v>59</v>
      </c>
      <c r="G517" t="str">
        <f>"2026-03-28 05:34:21.119"</f>
        <v>2026-03-28 05:34:21.119</v>
      </c>
      <c r="H517" t="s">
        <v>21</v>
      </c>
      <c r="I517">
        <v>0</v>
      </c>
      <c r="J517" t="s">
        <v>31</v>
      </c>
    </row>
    <row r="518" spans="1:10" x14ac:dyDescent="0.25">
      <c r="A518" s="1">
        <v>66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"2026-03-28 05:34:00.559"</f>
        <v>2026-03-28 05:34:00.559</v>
      </c>
      <c r="H518" t="s">
        <v>21</v>
      </c>
      <c r="I518">
        <v>0</v>
      </c>
      <c r="J518" t="s">
        <v>27</v>
      </c>
    </row>
    <row r="519" spans="1:10" x14ac:dyDescent="0.25">
      <c r="A519" s="1">
        <v>67</v>
      </c>
      <c r="B519" t="s">
        <v>19</v>
      </c>
      <c r="C519">
        <v>706</v>
      </c>
      <c r="D519">
        <v>2</v>
      </c>
      <c r="E519" t="s">
        <v>29</v>
      </c>
      <c r="F519" t="s">
        <v>59</v>
      </c>
      <c r="G519" t="str">
        <f>"2026-03-28 05:16:02.161"</f>
        <v>2026-03-28 05:16:02.161</v>
      </c>
      <c r="H519" t="s">
        <v>21</v>
      </c>
      <c r="I519">
        <v>0</v>
      </c>
      <c r="J519" t="s">
        <v>31</v>
      </c>
    </row>
    <row r="520" spans="1:10" x14ac:dyDescent="0.25">
      <c r="A520" s="1">
        <v>68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"2026-03-28 02:46:10.552"</f>
        <v>2026-03-28 02:46:10.552</v>
      </c>
      <c r="H520" t="s">
        <v>21</v>
      </c>
      <c r="I520">
        <v>0</v>
      </c>
      <c r="J520" t="s">
        <v>27</v>
      </c>
    </row>
    <row r="521" spans="1:10" x14ac:dyDescent="0.25">
      <c r="A521" s="1">
        <v>69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"2026-03-28 01:49:33.907"</f>
        <v>2026-03-28 01:49:33.907</v>
      </c>
      <c r="H521" t="s">
        <v>21</v>
      </c>
    </row>
    <row r="522" spans="1:10" x14ac:dyDescent="0.25">
      <c r="A522" s="1">
        <v>70</v>
      </c>
      <c r="B522" t="s">
        <v>19</v>
      </c>
      <c r="C522">
        <v>706</v>
      </c>
      <c r="D522">
        <v>4</v>
      </c>
      <c r="E522" t="s">
        <v>29</v>
      </c>
      <c r="F522" t="s">
        <v>30</v>
      </c>
      <c r="G522" t="str">
        <f>"2026-03-27 22:29:10.349"</f>
        <v>2026-03-27 22:29:10.349</v>
      </c>
      <c r="H522" t="s">
        <v>21</v>
      </c>
      <c r="I522">
        <v>0</v>
      </c>
      <c r="J522" t="s">
        <v>31</v>
      </c>
    </row>
    <row r="523" spans="1:10" x14ac:dyDescent="0.25">
      <c r="A523" s="1">
        <v>71</v>
      </c>
      <c r="B523" t="s">
        <v>19</v>
      </c>
      <c r="C523">
        <v>706</v>
      </c>
      <c r="D523">
        <v>4</v>
      </c>
      <c r="E523" t="s">
        <v>29</v>
      </c>
      <c r="F523" t="s">
        <v>30</v>
      </c>
      <c r="G523" t="str">
        <f>"2026-03-27 17:49:47.739"</f>
        <v>2026-03-27 17:49:47.739</v>
      </c>
      <c r="H523" t="s">
        <v>21</v>
      </c>
      <c r="I523">
        <v>0</v>
      </c>
      <c r="J523" t="s">
        <v>31</v>
      </c>
    </row>
    <row r="524" spans="1:10" x14ac:dyDescent="0.25">
      <c r="A524" s="1">
        <v>72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"2026-03-27 15:38:17.549"</f>
        <v>2026-03-27 15:38:17.549</v>
      </c>
      <c r="H524" t="s">
        <v>21</v>
      </c>
    </row>
    <row r="525" spans="1:10" x14ac:dyDescent="0.25">
      <c r="A525" s="1">
        <v>73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"2026-03-27 13:26:39.557"</f>
        <v>2026-03-27 13:26:39.557</v>
      </c>
      <c r="H525" t="s">
        <v>21</v>
      </c>
      <c r="I525">
        <v>0</v>
      </c>
      <c r="J525" t="s">
        <v>27</v>
      </c>
    </row>
    <row r="526" spans="1:10" x14ac:dyDescent="0.25">
      <c r="A526" s="1">
        <v>74</v>
      </c>
      <c r="B526" t="s">
        <v>19</v>
      </c>
      <c r="C526">
        <v>706</v>
      </c>
      <c r="D526">
        <v>2</v>
      </c>
      <c r="E526" t="s">
        <v>29</v>
      </c>
      <c r="F526" t="s">
        <v>59</v>
      </c>
      <c r="G526" t="str">
        <f>"2026-03-27 01:01:06.712"</f>
        <v>2026-03-27 01:01:06.712</v>
      </c>
      <c r="H526" t="s">
        <v>21</v>
      </c>
      <c r="I526">
        <v>0</v>
      </c>
      <c r="J526" t="s">
        <v>31</v>
      </c>
    </row>
    <row r="527" spans="1:10" x14ac:dyDescent="0.25">
      <c r="A527" s="1">
        <v>75</v>
      </c>
      <c r="B527" t="s">
        <v>19</v>
      </c>
      <c r="C527">
        <v>706</v>
      </c>
      <c r="D527">
        <v>2</v>
      </c>
      <c r="E527" t="s">
        <v>29</v>
      </c>
      <c r="F527" t="s">
        <v>59</v>
      </c>
      <c r="G527" t="str">
        <f>"2026-03-24 23:02:28.012"</f>
        <v>2026-03-24 23:02:28.012</v>
      </c>
      <c r="H527" t="s">
        <v>21</v>
      </c>
      <c r="I527">
        <v>0</v>
      </c>
      <c r="J527" t="s">
        <v>31</v>
      </c>
    </row>
    <row r="528" spans="1:10" x14ac:dyDescent="0.25">
      <c r="A528" s="1">
        <v>76</v>
      </c>
      <c r="B528" t="s">
        <v>19</v>
      </c>
      <c r="C528">
        <v>706</v>
      </c>
      <c r="D528">
        <v>4</v>
      </c>
      <c r="E528" t="s">
        <v>29</v>
      </c>
      <c r="F528" t="s">
        <v>30</v>
      </c>
      <c r="G528" t="str">
        <f>"2026-03-23 16:58:40.812"</f>
        <v>2026-03-23 16:58:40.812</v>
      </c>
      <c r="H528" t="s">
        <v>21</v>
      </c>
      <c r="I528">
        <v>0</v>
      </c>
      <c r="J528" t="s">
        <v>31</v>
      </c>
    </row>
    <row r="529" spans="1:10" x14ac:dyDescent="0.25">
      <c r="A529" s="1">
        <v>77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"2026-03-23 13:47:43.582"</f>
        <v>2026-03-23 13:47:43.582</v>
      </c>
      <c r="H529" t="s">
        <v>21</v>
      </c>
      <c r="I529">
        <v>0</v>
      </c>
      <c r="J529" t="s">
        <v>27</v>
      </c>
    </row>
    <row r="530" spans="1:10" x14ac:dyDescent="0.25">
      <c r="A530" s="1">
        <v>78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"2026-03-23 03:27:00.556"</f>
        <v>2026-03-23 03:27:00.556</v>
      </c>
      <c r="H530" t="s">
        <v>21</v>
      </c>
    </row>
    <row r="531" spans="1:10" x14ac:dyDescent="0.25">
      <c r="A531" s="1">
        <v>79</v>
      </c>
      <c r="B531" t="s">
        <v>19</v>
      </c>
      <c r="C531">
        <v>706</v>
      </c>
      <c r="D531">
        <v>4</v>
      </c>
      <c r="E531" t="s">
        <v>29</v>
      </c>
      <c r="F531" t="s">
        <v>30</v>
      </c>
      <c r="G531" t="str">
        <f>"2026-03-22 12:01:29.459"</f>
        <v>2026-03-22 12:01:29.459</v>
      </c>
      <c r="H531" t="s">
        <v>21</v>
      </c>
      <c r="I531">
        <v>0</v>
      </c>
      <c r="J531" t="s">
        <v>31</v>
      </c>
    </row>
    <row r="532" spans="1:10" x14ac:dyDescent="0.25">
      <c r="A532" s="1">
        <v>80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"2026-03-22 11:59:46.559"</f>
        <v>2026-03-22 11:59:46.559</v>
      </c>
      <c r="H532" t="s">
        <v>21</v>
      </c>
    </row>
    <row r="533" spans="1:10" x14ac:dyDescent="0.25">
      <c r="A533" s="1">
        <v>81</v>
      </c>
      <c r="B533" t="s">
        <v>19</v>
      </c>
      <c r="C533">
        <v>706</v>
      </c>
      <c r="D533">
        <v>2</v>
      </c>
      <c r="E533" t="s">
        <v>29</v>
      </c>
      <c r="F533" t="s">
        <v>59</v>
      </c>
      <c r="G533" t="str">
        <f>"2026-03-22 01:43:24.738"</f>
        <v>2026-03-22 01:43:24.738</v>
      </c>
      <c r="H533" t="s">
        <v>21</v>
      </c>
      <c r="I533">
        <v>0</v>
      </c>
      <c r="J533" t="s">
        <v>31</v>
      </c>
    </row>
    <row r="534" spans="1:10" x14ac:dyDescent="0.25">
      <c r="A534" s="1">
        <v>82</v>
      </c>
      <c r="B534" t="s">
        <v>22</v>
      </c>
      <c r="C534">
        <v>61</v>
      </c>
      <c r="D534">
        <v>2</v>
      </c>
      <c r="E534" t="s">
        <v>76</v>
      </c>
      <c r="F534" t="s">
        <v>77</v>
      </c>
      <c r="G534" t="str">
        <f>"2026-03-21 19:06:54.010"</f>
        <v>2026-03-21 19:06:54.010</v>
      </c>
      <c r="H534" t="s">
        <v>21</v>
      </c>
    </row>
    <row r="535" spans="1:10" x14ac:dyDescent="0.25">
      <c r="A535" s="1">
        <v>83</v>
      </c>
      <c r="B535" t="s">
        <v>49</v>
      </c>
      <c r="C535">
        <v>61</v>
      </c>
      <c r="D535">
        <v>2</v>
      </c>
      <c r="E535" t="s">
        <v>76</v>
      </c>
      <c r="F535" t="s">
        <v>77</v>
      </c>
      <c r="G535" t="str">
        <f>"2026-03-21 19:06:27.410"</f>
        <v>2026-03-21 19:06:27.410</v>
      </c>
      <c r="H535" t="s">
        <v>21</v>
      </c>
      <c r="I535">
        <v>29.03</v>
      </c>
      <c r="J535" t="s">
        <v>26</v>
      </c>
    </row>
    <row r="536" spans="1:10" x14ac:dyDescent="0.25">
      <c r="A536" s="1">
        <v>84</v>
      </c>
      <c r="B536" t="s">
        <v>22</v>
      </c>
      <c r="C536">
        <v>61</v>
      </c>
      <c r="D536">
        <v>2</v>
      </c>
      <c r="E536" t="s">
        <v>76</v>
      </c>
      <c r="F536" t="s">
        <v>77</v>
      </c>
      <c r="G536" t="str">
        <f>"2026-03-21 04:21:31.510"</f>
        <v>2026-03-21 04:21:31.510</v>
      </c>
      <c r="H536" t="s">
        <v>21</v>
      </c>
    </row>
    <row r="537" spans="1:10" x14ac:dyDescent="0.25">
      <c r="A537" s="1">
        <v>85</v>
      </c>
      <c r="B537" t="s">
        <v>49</v>
      </c>
      <c r="C537">
        <v>61</v>
      </c>
      <c r="D537">
        <v>2</v>
      </c>
      <c r="E537" t="s">
        <v>76</v>
      </c>
      <c r="F537" t="s">
        <v>77</v>
      </c>
      <c r="G537" t="str">
        <f>"2026-03-21 04:21:13.910"</f>
        <v>2026-03-21 04:21:13.910</v>
      </c>
      <c r="H537" t="s">
        <v>21</v>
      </c>
      <c r="I537">
        <v>29.3</v>
      </c>
      <c r="J537" t="s">
        <v>26</v>
      </c>
    </row>
    <row r="538" spans="1:10" x14ac:dyDescent="0.25">
      <c r="A538" s="1">
        <v>86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"2026-03-20 14:27:33.578"</f>
        <v>2026-03-20 14:27:33.578</v>
      </c>
      <c r="H538" t="s">
        <v>21</v>
      </c>
    </row>
    <row r="539" spans="1:10" x14ac:dyDescent="0.25">
      <c r="A539" s="1">
        <v>88</v>
      </c>
      <c r="B539" t="s">
        <v>19</v>
      </c>
      <c r="C539">
        <v>706</v>
      </c>
      <c r="D539">
        <v>4</v>
      </c>
      <c r="E539" t="s">
        <v>29</v>
      </c>
      <c r="F539" t="s">
        <v>30</v>
      </c>
      <c r="G539" t="str">
        <f>"2026-03-20 02:14:27.042"</f>
        <v>2026-03-20 02:14:27.042</v>
      </c>
      <c r="H539" t="s">
        <v>21</v>
      </c>
      <c r="I539">
        <v>0</v>
      </c>
      <c r="J539" t="s">
        <v>31</v>
      </c>
    </row>
    <row r="540" spans="1:10" x14ac:dyDescent="0.25">
      <c r="A540" s="1">
        <v>89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"2026-03-19 17:35:34.552"</f>
        <v>2026-03-19 17:35:34.552</v>
      </c>
      <c r="H540" t="s">
        <v>21</v>
      </c>
      <c r="I540">
        <v>0</v>
      </c>
      <c r="J540" t="s">
        <v>27</v>
      </c>
    </row>
    <row r="541" spans="1:10" x14ac:dyDescent="0.25">
      <c r="A541" s="1">
        <v>90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"2026-03-19 17:29:41.580"</f>
        <v>2026-03-19 17:29:41.580</v>
      </c>
      <c r="H541" t="s">
        <v>21</v>
      </c>
      <c r="I541">
        <v>0</v>
      </c>
      <c r="J541" t="s">
        <v>27</v>
      </c>
    </row>
    <row r="542" spans="1:10" x14ac:dyDescent="0.25">
      <c r="A542" s="1">
        <v>92</v>
      </c>
      <c r="B542" t="s">
        <v>19</v>
      </c>
      <c r="C542">
        <v>706</v>
      </c>
      <c r="D542">
        <v>2</v>
      </c>
      <c r="E542" t="s">
        <v>29</v>
      </c>
      <c r="F542" t="s">
        <v>59</v>
      </c>
      <c r="G542" t="str">
        <f>"2026-03-17 20:37:14.091"</f>
        <v>2026-03-17 20:37:14.091</v>
      </c>
      <c r="H542" t="s">
        <v>21</v>
      </c>
      <c r="I542">
        <v>0</v>
      </c>
      <c r="J542" t="s">
        <v>31</v>
      </c>
    </row>
    <row r="543" spans="1:10" x14ac:dyDescent="0.25">
      <c r="A543" s="1">
        <v>93</v>
      </c>
      <c r="B543" t="s">
        <v>19</v>
      </c>
      <c r="C543">
        <v>706</v>
      </c>
      <c r="D543">
        <v>4</v>
      </c>
      <c r="E543" t="s">
        <v>29</v>
      </c>
      <c r="F543" t="s">
        <v>30</v>
      </c>
      <c r="G543" t="str">
        <f>"2026-03-17 20:36:54.431"</f>
        <v>2026-03-17 20:36:54.431</v>
      </c>
      <c r="H543" t="s">
        <v>21</v>
      </c>
      <c r="I543">
        <v>0</v>
      </c>
      <c r="J543" t="s">
        <v>31</v>
      </c>
    </row>
    <row r="544" spans="1:10" x14ac:dyDescent="0.25">
      <c r="A544" s="1">
        <v>94</v>
      </c>
      <c r="B544" t="s">
        <v>22</v>
      </c>
      <c r="C544">
        <v>43</v>
      </c>
      <c r="D544">
        <v>1</v>
      </c>
      <c r="E544" t="s">
        <v>42</v>
      </c>
      <c r="F544" t="s">
        <v>43</v>
      </c>
      <c r="G544" t="str">
        <f>"2026-03-17 20:24:44.684"</f>
        <v>2026-03-17 20:24:44.684</v>
      </c>
      <c r="H544" t="s">
        <v>44</v>
      </c>
    </row>
    <row r="545" spans="1:10" x14ac:dyDescent="0.25">
      <c r="A545" s="1">
        <v>95</v>
      </c>
      <c r="B545" t="s">
        <v>25</v>
      </c>
      <c r="C545">
        <v>43</v>
      </c>
      <c r="D545">
        <v>1</v>
      </c>
      <c r="E545" t="s">
        <v>42</v>
      </c>
      <c r="F545" t="s">
        <v>43</v>
      </c>
      <c r="G545" t="str">
        <f>"2026-03-17 20:23:56.485"</f>
        <v>2026-03-17 20:23:56.485</v>
      </c>
      <c r="H545" t="s">
        <v>44</v>
      </c>
      <c r="I545">
        <v>0</v>
      </c>
      <c r="J545" t="s">
        <v>31</v>
      </c>
    </row>
    <row r="546" spans="1:10" x14ac:dyDescent="0.25">
      <c r="A546" s="1">
        <v>96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"2026-03-17 20:23:38.551"</f>
        <v>2026-03-17 20:23:38.551</v>
      </c>
      <c r="H546" t="s">
        <v>21</v>
      </c>
      <c r="I546">
        <v>0</v>
      </c>
      <c r="J546" t="s">
        <v>27</v>
      </c>
    </row>
    <row r="547" spans="1:10" x14ac:dyDescent="0.25">
      <c r="A547" s="1">
        <v>97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"2026-03-17 10:06:59.651"</f>
        <v>2026-03-17 10:06:59.651</v>
      </c>
      <c r="H547" t="s">
        <v>21</v>
      </c>
      <c r="I547">
        <v>0</v>
      </c>
      <c r="J547" t="s">
        <v>27</v>
      </c>
    </row>
    <row r="548" spans="1:10" x14ac:dyDescent="0.25">
      <c r="A548" s="1">
        <v>98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"2026-03-17 10:05:21.558"</f>
        <v>2026-03-17 10:05:21.558</v>
      </c>
      <c r="H548" t="s">
        <v>21</v>
      </c>
    </row>
    <row r="549" spans="1:10" x14ac:dyDescent="0.25">
      <c r="A549" s="1">
        <v>99</v>
      </c>
      <c r="B549" t="s">
        <v>19</v>
      </c>
      <c r="C549">
        <v>706</v>
      </c>
      <c r="D549">
        <v>4</v>
      </c>
      <c r="E549" t="s">
        <v>29</v>
      </c>
      <c r="F549" t="s">
        <v>30</v>
      </c>
      <c r="G549" t="str">
        <f>"2026-03-17 09:58:31.855"</f>
        <v>2026-03-17 09:58:31.855</v>
      </c>
      <c r="H549" t="s">
        <v>21</v>
      </c>
      <c r="I549">
        <v>0</v>
      </c>
      <c r="J549" t="s">
        <v>31</v>
      </c>
    </row>
    <row r="550" spans="1:10" x14ac:dyDescent="0.25">
      <c r="A550" s="1">
        <v>0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"2026-03-17 09:58:11.565"</f>
        <v>2026-03-17 09:58:11.565</v>
      </c>
      <c r="H550" t="s">
        <v>21</v>
      </c>
      <c r="I550">
        <v>0</v>
      </c>
      <c r="J550" t="s">
        <v>27</v>
      </c>
    </row>
    <row r="551" spans="1:10" x14ac:dyDescent="0.25">
      <c r="A551" s="1">
        <v>1</v>
      </c>
      <c r="B551" t="s">
        <v>19</v>
      </c>
      <c r="C551">
        <v>706</v>
      </c>
      <c r="D551">
        <v>2</v>
      </c>
      <c r="E551" t="s">
        <v>29</v>
      </c>
      <c r="F551" t="s">
        <v>59</v>
      </c>
      <c r="G551" t="str">
        <f>"2026-03-17 09:52:32.204"</f>
        <v>2026-03-17 09:52:32.204</v>
      </c>
      <c r="H551" t="s">
        <v>21</v>
      </c>
      <c r="I551">
        <v>0</v>
      </c>
      <c r="J551" t="s">
        <v>31</v>
      </c>
    </row>
    <row r="552" spans="1:10" x14ac:dyDescent="0.25">
      <c r="A552" s="1">
        <v>2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"2026-03-17 08:54:24.664"</f>
        <v>2026-03-17 08:54:24.664</v>
      </c>
      <c r="H552" t="s">
        <v>21</v>
      </c>
      <c r="I552">
        <v>0</v>
      </c>
      <c r="J552" t="s">
        <v>27</v>
      </c>
    </row>
    <row r="553" spans="1:10" x14ac:dyDescent="0.25">
      <c r="A553" s="1">
        <v>3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"2026-03-17 08:30:21.804"</f>
        <v>2026-03-17 08:30:21.804</v>
      </c>
      <c r="H553" t="s">
        <v>21</v>
      </c>
      <c r="I553">
        <v>0</v>
      </c>
      <c r="J553" t="s">
        <v>27</v>
      </c>
    </row>
    <row r="554" spans="1:10" x14ac:dyDescent="0.25">
      <c r="A554" s="1">
        <v>4</v>
      </c>
      <c r="B554" t="s">
        <v>19</v>
      </c>
      <c r="C554">
        <v>706</v>
      </c>
      <c r="D554">
        <v>4</v>
      </c>
      <c r="E554" t="s">
        <v>29</v>
      </c>
      <c r="F554" t="s">
        <v>30</v>
      </c>
      <c r="G554" t="str">
        <f>"2026-03-16 10:01:37.647"</f>
        <v>2026-03-16 10:01:37.647</v>
      </c>
      <c r="H554" t="s">
        <v>21</v>
      </c>
      <c r="I554">
        <v>26.26</v>
      </c>
      <c r="J554" t="s">
        <v>26</v>
      </c>
    </row>
    <row r="555" spans="1:10" x14ac:dyDescent="0.25">
      <c r="A555" s="1">
        <v>5</v>
      </c>
      <c r="B555" t="s">
        <v>19</v>
      </c>
      <c r="C555">
        <v>706</v>
      </c>
      <c r="D555">
        <v>4</v>
      </c>
      <c r="E555" t="s">
        <v>29</v>
      </c>
      <c r="F555" t="s">
        <v>30</v>
      </c>
      <c r="G555" t="str">
        <f>"2026-03-16 10:01:24.987"</f>
        <v>2026-03-16 10:01:24.987</v>
      </c>
      <c r="H555" t="s">
        <v>21</v>
      </c>
      <c r="I555">
        <v>26.91</v>
      </c>
      <c r="J555" t="s">
        <v>26</v>
      </c>
    </row>
    <row r="556" spans="1:10" x14ac:dyDescent="0.25">
      <c r="A556" s="1">
        <v>6</v>
      </c>
      <c r="B556" t="s">
        <v>19</v>
      </c>
      <c r="C556">
        <v>706</v>
      </c>
      <c r="D556">
        <v>4</v>
      </c>
      <c r="E556" t="s">
        <v>29</v>
      </c>
      <c r="F556" t="s">
        <v>30</v>
      </c>
      <c r="G556" t="str">
        <f>"2026-03-16 07:13:13.027"</f>
        <v>2026-03-16 07:13:13.027</v>
      </c>
      <c r="H556" t="s">
        <v>21</v>
      </c>
      <c r="I556">
        <v>-0.1</v>
      </c>
      <c r="J556" t="s">
        <v>32</v>
      </c>
    </row>
    <row r="557" spans="1:10" x14ac:dyDescent="0.25">
      <c r="A557" s="1">
        <v>7</v>
      </c>
      <c r="B557" t="s">
        <v>19</v>
      </c>
      <c r="C557">
        <v>706</v>
      </c>
      <c r="D557">
        <v>4</v>
      </c>
      <c r="E557" t="s">
        <v>29</v>
      </c>
      <c r="F557" t="s">
        <v>30</v>
      </c>
      <c r="G557" t="str">
        <f>"2026-03-16 03:33:37.147"</f>
        <v>2026-03-16 03:33:37.147</v>
      </c>
      <c r="H557" t="s">
        <v>21</v>
      </c>
      <c r="I557">
        <v>18.03</v>
      </c>
      <c r="J557" t="s">
        <v>26</v>
      </c>
    </row>
    <row r="558" spans="1:10" x14ac:dyDescent="0.25">
      <c r="A558" s="1">
        <v>8</v>
      </c>
      <c r="B558" t="s">
        <v>19</v>
      </c>
      <c r="C558">
        <v>706</v>
      </c>
      <c r="D558">
        <v>4</v>
      </c>
      <c r="E558" t="s">
        <v>29</v>
      </c>
      <c r="F558" t="s">
        <v>30</v>
      </c>
      <c r="G558" t="str">
        <f>"2026-03-15 22:40:57.337"</f>
        <v>2026-03-15 22:40:57.337</v>
      </c>
      <c r="H558" t="s">
        <v>21</v>
      </c>
      <c r="I558">
        <v>22.56</v>
      </c>
      <c r="J558" t="s">
        <v>32</v>
      </c>
    </row>
    <row r="559" spans="1:10" x14ac:dyDescent="0.25">
      <c r="A559" s="1">
        <v>9</v>
      </c>
      <c r="B559" t="s">
        <v>19</v>
      </c>
      <c r="C559">
        <v>706</v>
      </c>
      <c r="D559">
        <v>4</v>
      </c>
      <c r="E559" t="s">
        <v>29</v>
      </c>
      <c r="F559" t="s">
        <v>30</v>
      </c>
      <c r="G559" t="str">
        <f>"2026-03-15 22:11:54.387"</f>
        <v>2026-03-15 22:11:54.387</v>
      </c>
      <c r="H559" t="s">
        <v>21</v>
      </c>
      <c r="I559">
        <v>22.4</v>
      </c>
      <c r="J559" t="s">
        <v>32</v>
      </c>
    </row>
    <row r="560" spans="1:10" x14ac:dyDescent="0.25">
      <c r="A560" s="1">
        <v>10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"2026-03-15 21:33:48.557"</f>
        <v>2026-03-15 21:33:48.557</v>
      </c>
      <c r="H560" t="s">
        <v>21</v>
      </c>
      <c r="I560">
        <v>0</v>
      </c>
      <c r="J560" t="s">
        <v>27</v>
      </c>
    </row>
    <row r="561" spans="1:10" x14ac:dyDescent="0.25">
      <c r="A561" s="1">
        <v>13</v>
      </c>
      <c r="B561" t="s">
        <v>19</v>
      </c>
      <c r="C561">
        <v>782</v>
      </c>
      <c r="D561">
        <v>7</v>
      </c>
      <c r="E561" t="s">
        <v>50</v>
      </c>
      <c r="F561" t="s">
        <v>51</v>
      </c>
      <c r="G561" t="str">
        <f>"2026-03-15 21:31:34.590"</f>
        <v>2026-03-15 21:31:34.590</v>
      </c>
      <c r="H561" t="s">
        <v>21</v>
      </c>
      <c r="I561">
        <v>0</v>
      </c>
      <c r="J561" t="s">
        <v>28</v>
      </c>
    </row>
    <row r="562" spans="1:10" x14ac:dyDescent="0.25">
      <c r="A562" s="1">
        <v>16</v>
      </c>
      <c r="B562" t="s">
        <v>22</v>
      </c>
      <c r="C562">
        <v>107</v>
      </c>
      <c r="D562">
        <v>2</v>
      </c>
      <c r="E562" t="s">
        <v>40</v>
      </c>
      <c r="F562" t="s">
        <v>38</v>
      </c>
      <c r="G562" t="str">
        <f>"2026-03-15 21:31:34.583"</f>
        <v>2026-03-15 21:31:34.583</v>
      </c>
      <c r="H562" t="s">
        <v>41</v>
      </c>
    </row>
    <row r="563" spans="1:10" x14ac:dyDescent="0.25">
      <c r="A563" s="1">
        <v>17</v>
      </c>
      <c r="B563" t="s">
        <v>19</v>
      </c>
      <c r="C563">
        <v>782</v>
      </c>
      <c r="D563">
        <v>7</v>
      </c>
      <c r="E563" t="s">
        <v>50</v>
      </c>
      <c r="F563" t="s">
        <v>51</v>
      </c>
      <c r="G563" t="str">
        <f>"2026-03-15 21:31:34.582"</f>
        <v>2026-03-15 21:31:34.582</v>
      </c>
      <c r="H563" t="s">
        <v>21</v>
      </c>
      <c r="I563">
        <v>0</v>
      </c>
      <c r="J563" t="s">
        <v>28</v>
      </c>
    </row>
    <row r="564" spans="1:10" x14ac:dyDescent="0.25">
      <c r="A564" s="1">
        <v>18</v>
      </c>
      <c r="B564" t="s">
        <v>19</v>
      </c>
      <c r="C564">
        <v>706</v>
      </c>
      <c r="D564">
        <v>4</v>
      </c>
      <c r="E564" t="s">
        <v>29</v>
      </c>
      <c r="F564" t="s">
        <v>30</v>
      </c>
      <c r="G564" t="str">
        <f>"2026-03-15 21:31:21.591"</f>
        <v>2026-03-15 21:31:21.591</v>
      </c>
      <c r="H564" t="s">
        <v>21</v>
      </c>
      <c r="I564">
        <v>0</v>
      </c>
      <c r="J564" t="s">
        <v>28</v>
      </c>
    </row>
    <row r="565" spans="1:10" x14ac:dyDescent="0.25">
      <c r="A565" s="1">
        <v>21</v>
      </c>
      <c r="B565" t="s">
        <v>25</v>
      </c>
      <c r="C565">
        <v>107</v>
      </c>
      <c r="D565">
        <v>2</v>
      </c>
      <c r="E565" t="s">
        <v>40</v>
      </c>
      <c r="F565" t="s">
        <v>38</v>
      </c>
      <c r="G565" t="str">
        <f>"2026-03-15 21:31:06.165"</f>
        <v>2026-03-15 21:31:06.165</v>
      </c>
      <c r="H565" t="s">
        <v>41</v>
      </c>
      <c r="I565">
        <v>0</v>
      </c>
      <c r="J565" t="s">
        <v>28</v>
      </c>
    </row>
    <row r="566" spans="1:10" x14ac:dyDescent="0.25">
      <c r="A566" s="1">
        <v>22</v>
      </c>
      <c r="B566" t="s">
        <v>19</v>
      </c>
      <c r="C566">
        <v>782</v>
      </c>
      <c r="D566">
        <v>7</v>
      </c>
      <c r="E566" t="s">
        <v>50</v>
      </c>
      <c r="F566" t="s">
        <v>51</v>
      </c>
      <c r="G566" t="str">
        <f>"2026-03-15 21:31:05.193"</f>
        <v>2026-03-15 21:31:05.193</v>
      </c>
      <c r="H566" t="s">
        <v>21</v>
      </c>
      <c r="I566">
        <v>0</v>
      </c>
      <c r="J566" t="s">
        <v>28</v>
      </c>
    </row>
    <row r="567" spans="1:10" x14ac:dyDescent="0.25">
      <c r="A567" s="1">
        <v>23</v>
      </c>
      <c r="B567" t="s">
        <v>22</v>
      </c>
      <c r="C567">
        <v>250</v>
      </c>
      <c r="D567">
        <v>7</v>
      </c>
      <c r="E567" t="s">
        <v>33</v>
      </c>
      <c r="F567" t="s">
        <v>34</v>
      </c>
      <c r="G567" t="str">
        <f>"2026-03-15 21:31:05.191"</f>
        <v>2026-03-15 21:31:05.191</v>
      </c>
      <c r="H567" t="s">
        <v>21</v>
      </c>
    </row>
    <row r="568" spans="1:10" x14ac:dyDescent="0.25">
      <c r="A568" s="1">
        <v>24</v>
      </c>
      <c r="B568" t="s">
        <v>22</v>
      </c>
      <c r="C568">
        <v>248</v>
      </c>
      <c r="D568">
        <v>7</v>
      </c>
      <c r="E568" t="s">
        <v>35</v>
      </c>
      <c r="F568" t="s">
        <v>36</v>
      </c>
      <c r="G568" t="str">
        <f>"2026-03-15 21:31:05.189"</f>
        <v>2026-03-15 21:31:05.189</v>
      </c>
      <c r="H568" t="s">
        <v>21</v>
      </c>
    </row>
    <row r="569" spans="1:10" x14ac:dyDescent="0.25">
      <c r="A569" s="1">
        <v>25</v>
      </c>
      <c r="B569" t="s">
        <v>22</v>
      </c>
      <c r="C569">
        <v>207</v>
      </c>
      <c r="D569">
        <v>2</v>
      </c>
      <c r="E569" t="s">
        <v>37</v>
      </c>
      <c r="F569" t="s">
        <v>38</v>
      </c>
      <c r="G569" t="str">
        <f>"2026-03-15 21:31:05.186"</f>
        <v>2026-03-15 21:31:05.186</v>
      </c>
      <c r="H569" t="s">
        <v>39</v>
      </c>
    </row>
    <row r="570" spans="1:10" x14ac:dyDescent="0.25">
      <c r="A570" s="1">
        <v>26</v>
      </c>
      <c r="B570" t="s">
        <v>22</v>
      </c>
      <c r="C570">
        <v>107</v>
      </c>
      <c r="D570">
        <v>2</v>
      </c>
      <c r="E570" t="s">
        <v>40</v>
      </c>
      <c r="F570" t="s">
        <v>38</v>
      </c>
      <c r="G570" t="str">
        <f>"2026-03-15 21:31:05.183"</f>
        <v>2026-03-15 21:31:05.183</v>
      </c>
      <c r="H570" t="s">
        <v>41</v>
      </c>
    </row>
    <row r="571" spans="1:10" x14ac:dyDescent="0.25">
      <c r="A571" s="1">
        <v>27</v>
      </c>
      <c r="B571" t="s">
        <v>19</v>
      </c>
      <c r="C571">
        <v>782</v>
      </c>
      <c r="D571">
        <v>7</v>
      </c>
      <c r="E571" t="s">
        <v>50</v>
      </c>
      <c r="F571" t="s">
        <v>51</v>
      </c>
      <c r="G571" t="str">
        <f>"2026-03-15 21:31:05.182"</f>
        <v>2026-03-15 21:31:05.182</v>
      </c>
      <c r="H571" t="s">
        <v>21</v>
      </c>
      <c r="I571">
        <v>0</v>
      </c>
      <c r="J571" t="s">
        <v>28</v>
      </c>
    </row>
    <row r="572" spans="1:10" x14ac:dyDescent="0.25">
      <c r="A572" s="1">
        <v>28</v>
      </c>
      <c r="B572" t="s">
        <v>19</v>
      </c>
      <c r="C572">
        <v>706</v>
      </c>
      <c r="D572">
        <v>4</v>
      </c>
      <c r="E572" t="s">
        <v>29</v>
      </c>
      <c r="F572" t="s">
        <v>30</v>
      </c>
      <c r="G572" t="str">
        <f>"2026-03-15 21:30:52.351"</f>
        <v>2026-03-15 21:30:52.351</v>
      </c>
      <c r="H572" t="s">
        <v>21</v>
      </c>
      <c r="I572">
        <v>0</v>
      </c>
      <c r="J572" t="s">
        <v>28</v>
      </c>
    </row>
    <row r="573" spans="1:10" x14ac:dyDescent="0.25">
      <c r="A573" s="1">
        <v>29</v>
      </c>
      <c r="B573" t="s">
        <v>25</v>
      </c>
      <c r="C573">
        <v>250</v>
      </c>
      <c r="D573">
        <v>7</v>
      </c>
      <c r="E573" t="s">
        <v>33</v>
      </c>
      <c r="F573" t="s">
        <v>34</v>
      </c>
      <c r="G573" t="str">
        <f>"2026-03-15 21:30:48.010"</f>
        <v>2026-03-15 21:30:48.010</v>
      </c>
      <c r="H573" t="s">
        <v>21</v>
      </c>
      <c r="I573">
        <v>0</v>
      </c>
      <c r="J573" t="s">
        <v>28</v>
      </c>
    </row>
    <row r="574" spans="1:10" x14ac:dyDescent="0.25">
      <c r="A574" s="1">
        <v>30</v>
      </c>
      <c r="B574" t="s">
        <v>25</v>
      </c>
      <c r="C574">
        <v>248</v>
      </c>
      <c r="D574">
        <v>7</v>
      </c>
      <c r="E574" t="s">
        <v>35</v>
      </c>
      <c r="F574" t="s">
        <v>36</v>
      </c>
      <c r="G574" t="str">
        <f>"2026-03-15 21:30:48.005"</f>
        <v>2026-03-15 21:30:48.005</v>
      </c>
      <c r="H574" t="s">
        <v>21</v>
      </c>
      <c r="I574">
        <v>0</v>
      </c>
      <c r="J574" t="s">
        <v>28</v>
      </c>
    </row>
    <row r="575" spans="1:10" x14ac:dyDescent="0.25">
      <c r="A575" s="1">
        <v>31</v>
      </c>
      <c r="B575" t="s">
        <v>48</v>
      </c>
      <c r="C575">
        <v>248</v>
      </c>
      <c r="D575">
        <v>7</v>
      </c>
      <c r="E575" t="s">
        <v>35</v>
      </c>
      <c r="F575" t="s">
        <v>36</v>
      </c>
      <c r="G575" t="str">
        <f>"2026-03-15 21:30:48.001"</f>
        <v>2026-03-15 21:30:48.001</v>
      </c>
      <c r="H575" t="s">
        <v>21</v>
      </c>
    </row>
    <row r="576" spans="1:10" x14ac:dyDescent="0.25">
      <c r="A576" s="1">
        <v>32</v>
      </c>
      <c r="B576" t="s">
        <v>48</v>
      </c>
      <c r="C576">
        <v>250</v>
      </c>
      <c r="D576">
        <v>7</v>
      </c>
      <c r="E576" t="s">
        <v>33</v>
      </c>
      <c r="F576" t="s">
        <v>34</v>
      </c>
      <c r="G576" t="str">
        <f>"2026-03-15 21:30:47.701"</f>
        <v>2026-03-15 21:30:47.701</v>
      </c>
      <c r="H576" t="s">
        <v>21</v>
      </c>
    </row>
    <row r="577" spans="1:10" x14ac:dyDescent="0.25">
      <c r="A577" s="1">
        <v>33</v>
      </c>
      <c r="B577" t="s">
        <v>49</v>
      </c>
      <c r="C577">
        <v>248</v>
      </c>
      <c r="D577">
        <v>7</v>
      </c>
      <c r="E577" t="s">
        <v>35</v>
      </c>
      <c r="F577" t="s">
        <v>36</v>
      </c>
      <c r="G577" t="str">
        <f>"2026-03-15 21:30:42.985"</f>
        <v>2026-03-15 21:30:42.985</v>
      </c>
      <c r="H577" t="s">
        <v>21</v>
      </c>
      <c r="I577">
        <v>0</v>
      </c>
      <c r="J577" t="s">
        <v>28</v>
      </c>
    </row>
    <row r="578" spans="1:10" x14ac:dyDescent="0.25">
      <c r="A578" s="1">
        <v>34</v>
      </c>
      <c r="B578" t="s">
        <v>49</v>
      </c>
      <c r="C578">
        <v>250</v>
      </c>
      <c r="D578">
        <v>7</v>
      </c>
      <c r="E578" t="s">
        <v>33</v>
      </c>
      <c r="F578" t="s">
        <v>34</v>
      </c>
      <c r="G578" t="str">
        <f>"2026-03-15 21:30:42.625"</f>
        <v>2026-03-15 21:30:42.625</v>
      </c>
      <c r="H578" t="s">
        <v>21</v>
      </c>
      <c r="I578">
        <v>0</v>
      </c>
      <c r="J578" t="s">
        <v>28</v>
      </c>
    </row>
    <row r="579" spans="1:10" x14ac:dyDescent="0.25">
      <c r="A579" s="1">
        <v>35</v>
      </c>
      <c r="B579" t="s">
        <v>25</v>
      </c>
      <c r="C579">
        <v>207</v>
      </c>
      <c r="D579">
        <v>2</v>
      </c>
      <c r="E579" t="s">
        <v>37</v>
      </c>
      <c r="F579" t="s">
        <v>38</v>
      </c>
      <c r="G579" t="str">
        <f>"2026-03-15 21:30:41.645"</f>
        <v>2026-03-15 21:30:41.645</v>
      </c>
      <c r="H579" t="s">
        <v>39</v>
      </c>
      <c r="I579">
        <v>0</v>
      </c>
      <c r="J579" t="s">
        <v>28</v>
      </c>
    </row>
    <row r="580" spans="1:10" x14ac:dyDescent="0.25">
      <c r="A580" s="1">
        <v>36</v>
      </c>
      <c r="B580" t="s">
        <v>25</v>
      </c>
      <c r="C580">
        <v>107</v>
      </c>
      <c r="D580">
        <v>2</v>
      </c>
      <c r="E580" t="s">
        <v>40</v>
      </c>
      <c r="F580" t="s">
        <v>38</v>
      </c>
      <c r="G580" t="str">
        <f>"2026-03-15 21:30:41.385"</f>
        <v>2026-03-15 21:30:41.385</v>
      </c>
      <c r="H580" t="s">
        <v>41</v>
      </c>
      <c r="I580">
        <v>0</v>
      </c>
      <c r="J580" t="s">
        <v>28</v>
      </c>
    </row>
    <row r="581" spans="1:10" x14ac:dyDescent="0.25">
      <c r="A581" s="1">
        <v>37</v>
      </c>
      <c r="B581" t="s">
        <v>19</v>
      </c>
      <c r="C581">
        <v>782</v>
      </c>
      <c r="D581">
        <v>7</v>
      </c>
      <c r="E581" t="s">
        <v>50</v>
      </c>
      <c r="F581" t="s">
        <v>51</v>
      </c>
      <c r="G581" t="str">
        <f>"2026-03-15 21:30:41.197"</f>
        <v>2026-03-15 21:30:41.197</v>
      </c>
      <c r="H581" t="s">
        <v>21</v>
      </c>
      <c r="I581">
        <v>0</v>
      </c>
      <c r="J581" t="s">
        <v>31</v>
      </c>
    </row>
    <row r="582" spans="1:10" x14ac:dyDescent="0.25">
      <c r="A582" s="1">
        <v>40</v>
      </c>
      <c r="B582" t="s">
        <v>22</v>
      </c>
      <c r="C582">
        <v>250</v>
      </c>
      <c r="D582">
        <v>7</v>
      </c>
      <c r="E582" t="s">
        <v>33</v>
      </c>
      <c r="F582" t="s">
        <v>34</v>
      </c>
      <c r="G582" t="str">
        <f>"2026-03-15 21:30:41.192"</f>
        <v>2026-03-15 21:30:41.192</v>
      </c>
      <c r="H582" t="s">
        <v>21</v>
      </c>
    </row>
    <row r="583" spans="1:10" x14ac:dyDescent="0.25">
      <c r="A583" s="1">
        <v>41</v>
      </c>
      <c r="B583" t="s">
        <v>22</v>
      </c>
      <c r="C583">
        <v>248</v>
      </c>
      <c r="D583">
        <v>7</v>
      </c>
      <c r="E583" t="s">
        <v>35</v>
      </c>
      <c r="F583" t="s">
        <v>36</v>
      </c>
      <c r="G583" t="str">
        <f>"2026-03-15 21:30:41.190"</f>
        <v>2026-03-15 21:30:41.190</v>
      </c>
      <c r="H583" t="s">
        <v>21</v>
      </c>
    </row>
    <row r="584" spans="1:10" x14ac:dyDescent="0.25">
      <c r="A584" s="1">
        <v>42</v>
      </c>
      <c r="B584" t="s">
        <v>22</v>
      </c>
      <c r="C584">
        <v>207</v>
      </c>
      <c r="D584">
        <v>2</v>
      </c>
      <c r="E584" t="s">
        <v>37</v>
      </c>
      <c r="F584" t="s">
        <v>38</v>
      </c>
      <c r="G584" t="str">
        <f>"2026-03-15 21:30:41.187"</f>
        <v>2026-03-15 21:30:41.187</v>
      </c>
      <c r="H584" t="s">
        <v>39</v>
      </c>
    </row>
    <row r="585" spans="1:10" x14ac:dyDescent="0.25">
      <c r="A585" s="1">
        <v>43</v>
      </c>
      <c r="B585" t="s">
        <v>22</v>
      </c>
      <c r="C585">
        <v>107</v>
      </c>
      <c r="D585">
        <v>2</v>
      </c>
      <c r="E585" t="s">
        <v>40</v>
      </c>
      <c r="F585" t="s">
        <v>38</v>
      </c>
      <c r="G585" t="str">
        <f>"2026-03-15 21:30:41.183"</f>
        <v>2026-03-15 21:30:41.183</v>
      </c>
      <c r="H585" t="s">
        <v>41</v>
      </c>
    </row>
    <row r="586" spans="1:10" x14ac:dyDescent="0.25">
      <c r="A586" s="1">
        <v>44</v>
      </c>
      <c r="B586" t="s">
        <v>19</v>
      </c>
      <c r="C586">
        <v>782</v>
      </c>
      <c r="D586">
        <v>7</v>
      </c>
      <c r="E586" t="s">
        <v>50</v>
      </c>
      <c r="F586" t="s">
        <v>51</v>
      </c>
      <c r="G586" t="str">
        <f>"2026-03-15 21:30:41.182"</f>
        <v>2026-03-15 21:30:41.182</v>
      </c>
      <c r="H586" t="s">
        <v>21</v>
      </c>
      <c r="I586">
        <v>0</v>
      </c>
      <c r="J586" t="s">
        <v>31</v>
      </c>
    </row>
    <row r="587" spans="1:10" x14ac:dyDescent="0.25">
      <c r="A587" s="1">
        <v>45</v>
      </c>
      <c r="B587" t="s">
        <v>22</v>
      </c>
      <c r="C587">
        <v>43</v>
      </c>
      <c r="D587">
        <v>2</v>
      </c>
      <c r="E587" t="s">
        <v>42</v>
      </c>
      <c r="F587" t="s">
        <v>43</v>
      </c>
      <c r="G587" t="str">
        <f>"2026-03-15 21:30:30.383"</f>
        <v>2026-03-15 21:30:30.383</v>
      </c>
      <c r="H587" t="s">
        <v>44</v>
      </c>
    </row>
    <row r="588" spans="1:10" x14ac:dyDescent="0.25">
      <c r="A588" s="1">
        <v>46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"2026-03-15 21:30:17.571"</f>
        <v>2026-03-15 21:30:17.571</v>
      </c>
      <c r="H588" t="s">
        <v>21</v>
      </c>
    </row>
    <row r="589" spans="1:10" x14ac:dyDescent="0.25">
      <c r="A589" s="1">
        <v>47</v>
      </c>
      <c r="B589" t="s">
        <v>25</v>
      </c>
      <c r="C589">
        <v>248</v>
      </c>
      <c r="D589">
        <v>7</v>
      </c>
      <c r="E589" t="s">
        <v>35</v>
      </c>
      <c r="F589" t="s">
        <v>36</v>
      </c>
      <c r="G589" t="str">
        <f>"2026-03-15 21:20:38.502"</f>
        <v>2026-03-15 21:20:38.502</v>
      </c>
      <c r="H589" t="s">
        <v>21</v>
      </c>
      <c r="I589">
        <v>0</v>
      </c>
      <c r="J589" t="s">
        <v>31</v>
      </c>
    </row>
    <row r="590" spans="1:10" x14ac:dyDescent="0.25">
      <c r="A590" s="1">
        <v>48</v>
      </c>
      <c r="B590" t="s">
        <v>25</v>
      </c>
      <c r="C590">
        <v>250</v>
      </c>
      <c r="D590">
        <v>7</v>
      </c>
      <c r="E590" t="s">
        <v>33</v>
      </c>
      <c r="F590" t="s">
        <v>34</v>
      </c>
      <c r="G590" t="str">
        <f>"2026-03-15 21:20:38.500"</f>
        <v>2026-03-15 21:20:38.500</v>
      </c>
      <c r="H590" t="s">
        <v>21</v>
      </c>
      <c r="I590">
        <v>0</v>
      </c>
      <c r="J590" t="s">
        <v>31</v>
      </c>
    </row>
    <row r="591" spans="1:10" x14ac:dyDescent="0.25">
      <c r="A591" s="1">
        <v>49</v>
      </c>
      <c r="B591" t="s">
        <v>48</v>
      </c>
      <c r="C591">
        <v>250</v>
      </c>
      <c r="D591">
        <v>7</v>
      </c>
      <c r="E591" t="s">
        <v>33</v>
      </c>
      <c r="F591" t="s">
        <v>34</v>
      </c>
      <c r="G591" t="str">
        <f>"2026-03-15 21:20:38.394"</f>
        <v>2026-03-15 21:20:38.394</v>
      </c>
      <c r="H591" t="s">
        <v>21</v>
      </c>
    </row>
    <row r="592" spans="1:10" x14ac:dyDescent="0.25">
      <c r="A592" s="1">
        <v>50</v>
      </c>
      <c r="B592" t="s">
        <v>48</v>
      </c>
      <c r="C592">
        <v>248</v>
      </c>
      <c r="D592">
        <v>7</v>
      </c>
      <c r="E592" t="s">
        <v>35</v>
      </c>
      <c r="F592" t="s">
        <v>36</v>
      </c>
      <c r="G592" t="str">
        <f>"2026-03-15 21:20:38.295"</f>
        <v>2026-03-15 21:20:38.295</v>
      </c>
      <c r="H592" t="s">
        <v>21</v>
      </c>
    </row>
    <row r="593" spans="1:10" x14ac:dyDescent="0.25">
      <c r="A593" s="1">
        <v>51</v>
      </c>
      <c r="B593" t="s">
        <v>49</v>
      </c>
      <c r="C593">
        <v>250</v>
      </c>
      <c r="D593">
        <v>7</v>
      </c>
      <c r="E593" t="s">
        <v>33</v>
      </c>
      <c r="F593" t="s">
        <v>34</v>
      </c>
      <c r="G593" t="str">
        <f>"2026-03-15 21:20:33.242"</f>
        <v>2026-03-15 21:20:33.242</v>
      </c>
      <c r="H593" t="s">
        <v>21</v>
      </c>
      <c r="I593">
        <v>0</v>
      </c>
      <c r="J593" t="s">
        <v>31</v>
      </c>
    </row>
    <row r="594" spans="1:10" x14ac:dyDescent="0.25">
      <c r="A594" s="1">
        <v>52</v>
      </c>
      <c r="B594" t="s">
        <v>49</v>
      </c>
      <c r="C594">
        <v>248</v>
      </c>
      <c r="D594">
        <v>7</v>
      </c>
      <c r="E594" t="s">
        <v>35</v>
      </c>
      <c r="F594" t="s">
        <v>36</v>
      </c>
      <c r="G594" t="str">
        <f>"2026-03-15 21:20:33.240"</f>
        <v>2026-03-15 21:20:33.240</v>
      </c>
      <c r="H594" t="s">
        <v>21</v>
      </c>
      <c r="I594">
        <v>0</v>
      </c>
      <c r="J594" t="s">
        <v>31</v>
      </c>
    </row>
    <row r="595" spans="1:10" x14ac:dyDescent="0.25">
      <c r="A595" s="1">
        <v>53</v>
      </c>
      <c r="B595" t="s">
        <v>25</v>
      </c>
      <c r="C595">
        <v>207</v>
      </c>
      <c r="D595">
        <v>2</v>
      </c>
      <c r="E595" t="s">
        <v>37</v>
      </c>
      <c r="F595" t="s">
        <v>38</v>
      </c>
      <c r="G595" t="str">
        <f>"2026-03-15 21:20:31.765"</f>
        <v>2026-03-15 21:20:31.765</v>
      </c>
      <c r="H595" t="s">
        <v>39</v>
      </c>
      <c r="I595">
        <v>0</v>
      </c>
      <c r="J595" t="s">
        <v>31</v>
      </c>
    </row>
    <row r="596" spans="1:10" x14ac:dyDescent="0.25">
      <c r="A596" s="1">
        <v>54</v>
      </c>
      <c r="B596" t="s">
        <v>25</v>
      </c>
      <c r="C596">
        <v>107</v>
      </c>
      <c r="D596">
        <v>2</v>
      </c>
      <c r="E596" t="s">
        <v>40</v>
      </c>
      <c r="F596" t="s">
        <v>38</v>
      </c>
      <c r="G596" t="str">
        <f>"2026-03-15 21:20:31.760"</f>
        <v>2026-03-15 21:20:31.760</v>
      </c>
      <c r="H596" t="s">
        <v>41</v>
      </c>
      <c r="I596">
        <v>0</v>
      </c>
      <c r="J596" t="s">
        <v>31</v>
      </c>
    </row>
    <row r="597" spans="1:10" x14ac:dyDescent="0.25">
      <c r="A597" s="1">
        <v>57</v>
      </c>
      <c r="B597" t="s">
        <v>25</v>
      </c>
      <c r="C597">
        <v>43</v>
      </c>
      <c r="D597">
        <v>2</v>
      </c>
      <c r="E597" t="s">
        <v>42</v>
      </c>
      <c r="F597" t="s">
        <v>43</v>
      </c>
      <c r="G597" t="str">
        <f>"2026-03-15 21:20:31.326"</f>
        <v>2026-03-15 21:20:31.326</v>
      </c>
      <c r="H597" t="s">
        <v>44</v>
      </c>
      <c r="I597">
        <v>0</v>
      </c>
      <c r="J597" t="s">
        <v>31</v>
      </c>
    </row>
    <row r="598" spans="1:10" x14ac:dyDescent="0.25">
      <c r="A598" s="1">
        <v>58</v>
      </c>
      <c r="B598" t="s">
        <v>19</v>
      </c>
      <c r="C598">
        <v>782</v>
      </c>
      <c r="D598">
        <v>7</v>
      </c>
      <c r="E598" t="s">
        <v>50</v>
      </c>
      <c r="F598" t="s">
        <v>51</v>
      </c>
      <c r="G598" t="str">
        <f>"2026-03-15 21:20:31.283"</f>
        <v>2026-03-15 21:20:31.283</v>
      </c>
      <c r="H598" t="s">
        <v>21</v>
      </c>
      <c r="I598">
        <v>0</v>
      </c>
      <c r="J598" t="s">
        <v>31</v>
      </c>
    </row>
    <row r="599" spans="1:10" x14ac:dyDescent="0.25">
      <c r="A599" s="1">
        <v>61</v>
      </c>
      <c r="B599" t="s">
        <v>22</v>
      </c>
      <c r="C599">
        <v>250</v>
      </c>
      <c r="D599">
        <v>7</v>
      </c>
      <c r="E599" t="s">
        <v>33</v>
      </c>
      <c r="F599" t="s">
        <v>34</v>
      </c>
      <c r="G599" t="str">
        <f>"2026-03-15 21:20:31.276"</f>
        <v>2026-03-15 21:20:31.276</v>
      </c>
      <c r="H599" t="s">
        <v>21</v>
      </c>
    </row>
    <row r="600" spans="1:10" x14ac:dyDescent="0.25">
      <c r="A600" s="1">
        <v>62</v>
      </c>
      <c r="B600" t="s">
        <v>22</v>
      </c>
      <c r="C600">
        <v>248</v>
      </c>
      <c r="D600">
        <v>7</v>
      </c>
      <c r="E600" t="s">
        <v>35</v>
      </c>
      <c r="F600" t="s">
        <v>36</v>
      </c>
      <c r="G600" t="str">
        <f>"2026-03-15 21:20:31.274"</f>
        <v>2026-03-15 21:20:31.274</v>
      </c>
      <c r="H600" t="s">
        <v>21</v>
      </c>
    </row>
    <row r="601" spans="1:10" x14ac:dyDescent="0.25">
      <c r="A601" s="1">
        <v>63</v>
      </c>
      <c r="B601" t="s">
        <v>22</v>
      </c>
      <c r="C601">
        <v>207</v>
      </c>
      <c r="D601">
        <v>2</v>
      </c>
      <c r="E601" t="s">
        <v>37</v>
      </c>
      <c r="F601" t="s">
        <v>38</v>
      </c>
      <c r="G601" t="str">
        <f>"2026-03-15 21:20:31.271"</f>
        <v>2026-03-15 21:20:31.271</v>
      </c>
      <c r="H601" t="s">
        <v>39</v>
      </c>
    </row>
    <row r="602" spans="1:10" x14ac:dyDescent="0.25">
      <c r="A602" s="1">
        <v>64</v>
      </c>
      <c r="B602" t="s">
        <v>22</v>
      </c>
      <c r="C602">
        <v>107</v>
      </c>
      <c r="D602">
        <v>2</v>
      </c>
      <c r="E602" t="s">
        <v>40</v>
      </c>
      <c r="F602" t="s">
        <v>38</v>
      </c>
      <c r="G602" t="str">
        <f>"2026-03-15 21:20:31.269"</f>
        <v>2026-03-15 21:20:31.269</v>
      </c>
      <c r="H602" t="s">
        <v>41</v>
      </c>
    </row>
    <row r="603" spans="1:10" x14ac:dyDescent="0.25">
      <c r="A603" s="1">
        <v>65</v>
      </c>
      <c r="B603" t="s">
        <v>22</v>
      </c>
      <c r="C603">
        <v>43</v>
      </c>
      <c r="D603">
        <v>2</v>
      </c>
      <c r="E603" t="s">
        <v>42</v>
      </c>
      <c r="F603" t="s">
        <v>43</v>
      </c>
      <c r="G603" t="str">
        <f>"2026-03-15 21:20:31.267"</f>
        <v>2026-03-15 21:20:31.267</v>
      </c>
      <c r="H603" t="s">
        <v>44</v>
      </c>
    </row>
    <row r="604" spans="1:10" x14ac:dyDescent="0.25">
      <c r="A604" s="1">
        <v>66</v>
      </c>
      <c r="B604" t="s">
        <v>19</v>
      </c>
      <c r="C604">
        <v>782</v>
      </c>
      <c r="D604">
        <v>7</v>
      </c>
      <c r="E604" t="s">
        <v>50</v>
      </c>
      <c r="F604" t="s">
        <v>51</v>
      </c>
      <c r="G604" t="str">
        <f>"2026-03-15 21:20:31.266"</f>
        <v>2026-03-15 21:20:31.266</v>
      </c>
      <c r="H604" t="s">
        <v>21</v>
      </c>
      <c r="I604">
        <v>0</v>
      </c>
      <c r="J604" t="s">
        <v>31</v>
      </c>
    </row>
    <row r="605" spans="1:10" x14ac:dyDescent="0.25">
      <c r="A605" s="1">
        <v>67</v>
      </c>
      <c r="B605" t="s">
        <v>25</v>
      </c>
      <c r="C605">
        <v>248</v>
      </c>
      <c r="D605">
        <v>7</v>
      </c>
      <c r="E605" t="s">
        <v>35</v>
      </c>
      <c r="F605" t="s">
        <v>36</v>
      </c>
      <c r="G605" t="str">
        <f>"2026-03-15 21:20:27.500"</f>
        <v>2026-03-15 21:20:27.500</v>
      </c>
      <c r="H605" t="s">
        <v>21</v>
      </c>
      <c r="I605">
        <v>0</v>
      </c>
      <c r="J605" t="s">
        <v>31</v>
      </c>
    </row>
    <row r="606" spans="1:10" x14ac:dyDescent="0.25">
      <c r="A606" s="1">
        <v>68</v>
      </c>
      <c r="B606" t="s">
        <v>48</v>
      </c>
      <c r="C606">
        <v>248</v>
      </c>
      <c r="D606">
        <v>7</v>
      </c>
      <c r="E606" t="s">
        <v>35</v>
      </c>
      <c r="F606" t="s">
        <v>36</v>
      </c>
      <c r="G606" t="str">
        <f>"2026-03-15 21:20:27.294"</f>
        <v>2026-03-15 21:20:27.294</v>
      </c>
      <c r="H606" t="s">
        <v>21</v>
      </c>
    </row>
    <row r="607" spans="1:10" x14ac:dyDescent="0.25">
      <c r="A607" s="1">
        <v>69</v>
      </c>
      <c r="B607" t="s">
        <v>25</v>
      </c>
      <c r="C607">
        <v>250</v>
      </c>
      <c r="D607">
        <v>7</v>
      </c>
      <c r="E607" t="s">
        <v>33</v>
      </c>
      <c r="F607" t="s">
        <v>34</v>
      </c>
      <c r="G607" t="str">
        <f>"2026-03-15 21:20:26.500"</f>
        <v>2026-03-15 21:20:26.500</v>
      </c>
      <c r="H607" t="s">
        <v>21</v>
      </c>
      <c r="I607">
        <v>0</v>
      </c>
      <c r="J607" t="s">
        <v>31</v>
      </c>
    </row>
    <row r="608" spans="1:10" x14ac:dyDescent="0.25">
      <c r="A608" s="1">
        <v>70</v>
      </c>
      <c r="B608" t="s">
        <v>48</v>
      </c>
      <c r="C608">
        <v>250</v>
      </c>
      <c r="D608">
        <v>7</v>
      </c>
      <c r="E608" t="s">
        <v>33</v>
      </c>
      <c r="F608" t="s">
        <v>34</v>
      </c>
      <c r="G608" t="str">
        <f>"2026-03-15 21:20:25.595"</f>
        <v>2026-03-15 21:20:25.595</v>
      </c>
      <c r="H608" t="s">
        <v>21</v>
      </c>
    </row>
    <row r="609" spans="1:10" x14ac:dyDescent="0.25">
      <c r="A609" s="1">
        <v>71</v>
      </c>
      <c r="B609" t="s">
        <v>49</v>
      </c>
      <c r="C609">
        <v>248</v>
      </c>
      <c r="D609">
        <v>7</v>
      </c>
      <c r="E609" t="s">
        <v>35</v>
      </c>
      <c r="F609" t="s">
        <v>36</v>
      </c>
      <c r="G609" t="str">
        <f>"2026-03-15 21:20:22.220"</f>
        <v>2026-03-15 21:20:22.220</v>
      </c>
      <c r="H609" t="s">
        <v>21</v>
      </c>
      <c r="I609">
        <v>0</v>
      </c>
      <c r="J609" t="s">
        <v>31</v>
      </c>
    </row>
    <row r="610" spans="1:10" x14ac:dyDescent="0.25">
      <c r="A610" s="1">
        <v>72</v>
      </c>
      <c r="B610" t="s">
        <v>25</v>
      </c>
      <c r="C610">
        <v>107</v>
      </c>
      <c r="D610">
        <v>2</v>
      </c>
      <c r="E610" t="s">
        <v>40</v>
      </c>
      <c r="F610" t="s">
        <v>38</v>
      </c>
      <c r="G610" t="str">
        <f>"2026-03-15 21:20:20.820"</f>
        <v>2026-03-15 21:20:20.820</v>
      </c>
      <c r="H610" t="s">
        <v>41</v>
      </c>
      <c r="I610">
        <v>0</v>
      </c>
      <c r="J610" t="s">
        <v>31</v>
      </c>
    </row>
    <row r="611" spans="1:10" x14ac:dyDescent="0.25">
      <c r="A611" s="1">
        <v>73</v>
      </c>
      <c r="B611" t="s">
        <v>25</v>
      </c>
      <c r="C611">
        <v>207</v>
      </c>
      <c r="D611">
        <v>2</v>
      </c>
      <c r="E611" t="s">
        <v>37</v>
      </c>
      <c r="F611" t="s">
        <v>38</v>
      </c>
      <c r="G611" t="str">
        <f>"2026-03-15 21:20:20.800"</f>
        <v>2026-03-15 21:20:20.800</v>
      </c>
      <c r="H611" t="s">
        <v>39</v>
      </c>
      <c r="I611">
        <v>0</v>
      </c>
      <c r="J611" t="s">
        <v>31</v>
      </c>
    </row>
    <row r="612" spans="1:10" x14ac:dyDescent="0.25">
      <c r="A612" s="1">
        <v>76</v>
      </c>
      <c r="B612" t="s">
        <v>49</v>
      </c>
      <c r="C612">
        <v>250</v>
      </c>
      <c r="D612">
        <v>7</v>
      </c>
      <c r="E612" t="s">
        <v>33</v>
      </c>
      <c r="F612" t="s">
        <v>34</v>
      </c>
      <c r="G612" t="str">
        <f>"2026-03-15 21:20:20.520"</f>
        <v>2026-03-15 21:20:20.520</v>
      </c>
      <c r="H612" t="s">
        <v>21</v>
      </c>
      <c r="I612">
        <v>0</v>
      </c>
      <c r="J612" t="s">
        <v>31</v>
      </c>
    </row>
    <row r="613" spans="1:10" x14ac:dyDescent="0.25">
      <c r="A613" s="1">
        <v>77</v>
      </c>
      <c r="B613" t="s">
        <v>25</v>
      </c>
      <c r="C613">
        <v>43</v>
      </c>
      <c r="D613">
        <v>2</v>
      </c>
      <c r="E613" t="s">
        <v>42</v>
      </c>
      <c r="F613" t="s">
        <v>43</v>
      </c>
      <c r="G613" t="str">
        <f>"2026-03-15 21:20:20.326"</f>
        <v>2026-03-15 21:20:20.326</v>
      </c>
      <c r="H613" t="s">
        <v>44</v>
      </c>
      <c r="I613">
        <v>0</v>
      </c>
      <c r="J613" t="s">
        <v>31</v>
      </c>
    </row>
    <row r="614" spans="1:10" x14ac:dyDescent="0.25">
      <c r="A614" s="1">
        <v>78</v>
      </c>
      <c r="B614" t="s">
        <v>19</v>
      </c>
      <c r="C614">
        <v>782</v>
      </c>
      <c r="D614">
        <v>7</v>
      </c>
      <c r="E614" t="s">
        <v>50</v>
      </c>
      <c r="F614" t="s">
        <v>51</v>
      </c>
      <c r="G614" t="str">
        <f>"2026-03-15 21:20:20.286"</f>
        <v>2026-03-15 21:20:20.286</v>
      </c>
      <c r="H614" t="s">
        <v>21</v>
      </c>
      <c r="I614">
        <v>0</v>
      </c>
      <c r="J614" t="s">
        <v>31</v>
      </c>
    </row>
    <row r="615" spans="1:10" x14ac:dyDescent="0.25">
      <c r="A615" s="1">
        <v>81</v>
      </c>
      <c r="B615" t="s">
        <v>22</v>
      </c>
      <c r="C615">
        <v>250</v>
      </c>
      <c r="D615">
        <v>7</v>
      </c>
      <c r="E615" t="s">
        <v>33</v>
      </c>
      <c r="F615" t="s">
        <v>34</v>
      </c>
      <c r="G615" t="str">
        <f>"2026-03-15 21:20:20.278"</f>
        <v>2026-03-15 21:20:20.278</v>
      </c>
      <c r="H615" t="s">
        <v>21</v>
      </c>
    </row>
    <row r="616" spans="1:10" x14ac:dyDescent="0.25">
      <c r="A616" s="1">
        <v>82</v>
      </c>
      <c r="B616" t="s">
        <v>22</v>
      </c>
      <c r="C616">
        <v>248</v>
      </c>
      <c r="D616">
        <v>7</v>
      </c>
      <c r="E616" t="s">
        <v>35</v>
      </c>
      <c r="F616" t="s">
        <v>36</v>
      </c>
      <c r="G616" t="str">
        <f>"2026-03-15 21:20:20.276"</f>
        <v>2026-03-15 21:20:20.276</v>
      </c>
      <c r="H616" t="s">
        <v>21</v>
      </c>
    </row>
    <row r="617" spans="1:10" x14ac:dyDescent="0.25">
      <c r="A617" s="1">
        <v>83</v>
      </c>
      <c r="B617" t="s">
        <v>22</v>
      </c>
      <c r="C617">
        <v>207</v>
      </c>
      <c r="D617">
        <v>2</v>
      </c>
      <c r="E617" t="s">
        <v>37</v>
      </c>
      <c r="F617" t="s">
        <v>38</v>
      </c>
      <c r="G617" t="str">
        <f>"2026-03-15 21:20:20.274"</f>
        <v>2026-03-15 21:20:20.274</v>
      </c>
      <c r="H617" t="s">
        <v>39</v>
      </c>
    </row>
    <row r="618" spans="1:10" x14ac:dyDescent="0.25">
      <c r="A618" s="1">
        <v>84</v>
      </c>
      <c r="B618" t="s">
        <v>22</v>
      </c>
      <c r="C618">
        <v>150</v>
      </c>
      <c r="D618">
        <v>7</v>
      </c>
      <c r="E618" t="s">
        <v>52</v>
      </c>
      <c r="F618" t="s">
        <v>34</v>
      </c>
      <c r="G618" t="str">
        <f>"2026-03-15 21:20:20.271"</f>
        <v>2026-03-15 21:20:20.271</v>
      </c>
      <c r="H618" t="s">
        <v>21</v>
      </c>
    </row>
    <row r="619" spans="1:10" x14ac:dyDescent="0.25">
      <c r="A619" s="1">
        <v>85</v>
      </c>
      <c r="B619" t="s">
        <v>22</v>
      </c>
      <c r="C619">
        <v>107</v>
      </c>
      <c r="D619">
        <v>2</v>
      </c>
      <c r="E619" t="s">
        <v>40</v>
      </c>
      <c r="F619" t="s">
        <v>38</v>
      </c>
      <c r="G619" t="str">
        <f>"2026-03-15 21:20:20.269"</f>
        <v>2026-03-15 21:20:20.269</v>
      </c>
      <c r="H619" t="s">
        <v>41</v>
      </c>
    </row>
    <row r="620" spans="1:10" x14ac:dyDescent="0.25">
      <c r="A620" s="1">
        <v>86</v>
      </c>
      <c r="B620" t="s">
        <v>22</v>
      </c>
      <c r="C620">
        <v>43</v>
      </c>
      <c r="D620">
        <v>2</v>
      </c>
      <c r="E620" t="s">
        <v>42</v>
      </c>
      <c r="F620" t="s">
        <v>43</v>
      </c>
      <c r="G620" t="str">
        <f>"2026-03-15 21:20:20.268"</f>
        <v>2026-03-15 21:20:20.268</v>
      </c>
      <c r="H620" t="s">
        <v>44</v>
      </c>
    </row>
    <row r="621" spans="1:10" x14ac:dyDescent="0.25">
      <c r="A621" s="1">
        <v>87</v>
      </c>
      <c r="B621" t="s">
        <v>19</v>
      </c>
      <c r="C621">
        <v>782</v>
      </c>
      <c r="D621">
        <v>7</v>
      </c>
      <c r="E621" t="s">
        <v>50</v>
      </c>
      <c r="F621" t="s">
        <v>51</v>
      </c>
      <c r="G621" t="str">
        <f>"2026-03-15 21:20:20.266"</f>
        <v>2026-03-15 21:20:20.266</v>
      </c>
      <c r="H621" t="s">
        <v>21</v>
      </c>
      <c r="I621">
        <v>0</v>
      </c>
      <c r="J621" t="s">
        <v>31</v>
      </c>
    </row>
    <row r="622" spans="1:10" x14ac:dyDescent="0.25">
      <c r="A622" s="1">
        <v>88</v>
      </c>
      <c r="B622" t="s">
        <v>25</v>
      </c>
      <c r="C622">
        <v>43</v>
      </c>
      <c r="D622">
        <v>2</v>
      </c>
      <c r="E622" t="s">
        <v>42</v>
      </c>
      <c r="F622" t="s">
        <v>43</v>
      </c>
      <c r="G622" t="str">
        <f>"2026-03-15 21:19:19.427"</f>
        <v>2026-03-15 21:19:19.427</v>
      </c>
      <c r="H622" t="s">
        <v>44</v>
      </c>
      <c r="I622">
        <v>0</v>
      </c>
      <c r="J622" t="s">
        <v>31</v>
      </c>
    </row>
    <row r="623" spans="1:10" x14ac:dyDescent="0.25">
      <c r="A623" s="1">
        <v>89</v>
      </c>
      <c r="B623" t="s">
        <v>25</v>
      </c>
      <c r="C623">
        <v>248</v>
      </c>
      <c r="D623">
        <v>7</v>
      </c>
      <c r="E623" t="s">
        <v>35</v>
      </c>
      <c r="F623" t="s">
        <v>36</v>
      </c>
      <c r="G623" t="str">
        <f>"2026-03-15 21:19:12.160"</f>
        <v>2026-03-15 21:19:12.160</v>
      </c>
      <c r="H623" t="s">
        <v>21</v>
      </c>
      <c r="I623">
        <v>0</v>
      </c>
      <c r="J623" t="s">
        <v>31</v>
      </c>
    </row>
    <row r="624" spans="1:10" x14ac:dyDescent="0.25">
      <c r="A624" s="1">
        <v>90</v>
      </c>
      <c r="B624" t="s">
        <v>25</v>
      </c>
      <c r="C624">
        <v>250</v>
      </c>
      <c r="D624">
        <v>7</v>
      </c>
      <c r="E624" t="s">
        <v>33</v>
      </c>
      <c r="F624" t="s">
        <v>34</v>
      </c>
      <c r="G624" t="str">
        <f>"2026-03-15 21:19:11.960"</f>
        <v>2026-03-15 21:19:11.960</v>
      </c>
      <c r="H624" t="s">
        <v>21</v>
      </c>
      <c r="I624">
        <v>0</v>
      </c>
      <c r="J624" t="s">
        <v>31</v>
      </c>
    </row>
    <row r="625" spans="1:10" x14ac:dyDescent="0.25">
      <c r="A625" s="1">
        <v>91</v>
      </c>
      <c r="B625" t="s">
        <v>48</v>
      </c>
      <c r="C625">
        <v>250</v>
      </c>
      <c r="D625">
        <v>7</v>
      </c>
      <c r="E625" t="s">
        <v>33</v>
      </c>
      <c r="F625" t="s">
        <v>34</v>
      </c>
      <c r="G625" t="str">
        <f>"2026-03-15 21:19:11.946"</f>
        <v>2026-03-15 21:19:11.946</v>
      </c>
      <c r="H625" t="s">
        <v>21</v>
      </c>
    </row>
    <row r="626" spans="1:10" x14ac:dyDescent="0.25">
      <c r="A626" s="1">
        <v>92</v>
      </c>
      <c r="B626" t="s">
        <v>48</v>
      </c>
      <c r="C626">
        <v>248</v>
      </c>
      <c r="D626">
        <v>7</v>
      </c>
      <c r="E626" t="s">
        <v>35</v>
      </c>
      <c r="F626" t="s">
        <v>36</v>
      </c>
      <c r="G626" t="str">
        <f>"2026-03-15 21:19:11.794"</f>
        <v>2026-03-15 21:19:11.794</v>
      </c>
      <c r="H626" t="s">
        <v>21</v>
      </c>
    </row>
    <row r="627" spans="1:10" x14ac:dyDescent="0.25">
      <c r="A627" s="1">
        <v>93</v>
      </c>
      <c r="B627" t="s">
        <v>25</v>
      </c>
      <c r="C627">
        <v>150</v>
      </c>
      <c r="D627">
        <v>7</v>
      </c>
      <c r="E627" t="s">
        <v>52</v>
      </c>
      <c r="F627" t="s">
        <v>34</v>
      </c>
      <c r="G627" t="str">
        <f>"2026-03-15 21:19:10.560"</f>
        <v>2026-03-15 21:19:10.560</v>
      </c>
      <c r="H627" t="s">
        <v>21</v>
      </c>
      <c r="I627">
        <v>0</v>
      </c>
      <c r="J627" t="s">
        <v>31</v>
      </c>
    </row>
    <row r="628" spans="1:10" x14ac:dyDescent="0.25">
      <c r="A628" s="1">
        <v>94</v>
      </c>
      <c r="B628" t="s">
        <v>48</v>
      </c>
      <c r="C628">
        <v>150</v>
      </c>
      <c r="D628">
        <v>7</v>
      </c>
      <c r="E628" t="s">
        <v>52</v>
      </c>
      <c r="F628" t="s">
        <v>34</v>
      </c>
      <c r="G628" t="str">
        <f>"2026-03-15 21:19:10.495"</f>
        <v>2026-03-15 21:19:10.495</v>
      </c>
      <c r="H628" t="s">
        <v>21</v>
      </c>
    </row>
    <row r="629" spans="1:10" x14ac:dyDescent="0.25">
      <c r="A629" s="1">
        <v>95</v>
      </c>
      <c r="B629" t="s">
        <v>48</v>
      </c>
      <c r="C629">
        <v>148</v>
      </c>
      <c r="D629">
        <v>7</v>
      </c>
      <c r="E629" t="s">
        <v>53</v>
      </c>
      <c r="F629" t="s">
        <v>36</v>
      </c>
      <c r="G629" t="str">
        <f>"2026-03-15 21:19:10.395"</f>
        <v>2026-03-15 21:19:10.395</v>
      </c>
      <c r="H629" t="s">
        <v>21</v>
      </c>
    </row>
    <row r="630" spans="1:10" x14ac:dyDescent="0.25">
      <c r="A630" s="1">
        <v>96</v>
      </c>
      <c r="B630" t="s">
        <v>49</v>
      </c>
      <c r="C630">
        <v>250</v>
      </c>
      <c r="D630">
        <v>7</v>
      </c>
      <c r="E630" t="s">
        <v>33</v>
      </c>
      <c r="F630" t="s">
        <v>34</v>
      </c>
      <c r="G630" t="str">
        <f>"2026-03-15 21:19:06.705"</f>
        <v>2026-03-15 21:19:06.705</v>
      </c>
      <c r="H630" t="s">
        <v>21</v>
      </c>
      <c r="I630">
        <v>0</v>
      </c>
      <c r="J630" t="s">
        <v>31</v>
      </c>
    </row>
    <row r="631" spans="1:10" x14ac:dyDescent="0.25">
      <c r="A631" s="1">
        <v>97</v>
      </c>
      <c r="B631" t="s">
        <v>49</v>
      </c>
      <c r="C631">
        <v>248</v>
      </c>
      <c r="D631">
        <v>7</v>
      </c>
      <c r="E631" t="s">
        <v>35</v>
      </c>
      <c r="F631" t="s">
        <v>36</v>
      </c>
      <c r="G631" t="str">
        <f>"2026-03-15 21:19:06.700"</f>
        <v>2026-03-15 21:19:06.700</v>
      </c>
      <c r="H631" t="s">
        <v>21</v>
      </c>
      <c r="I631">
        <v>0</v>
      </c>
      <c r="J631" t="s">
        <v>31</v>
      </c>
    </row>
    <row r="632" spans="1:10" x14ac:dyDescent="0.25">
      <c r="A632" s="1">
        <v>98</v>
      </c>
      <c r="B632" t="s">
        <v>49</v>
      </c>
      <c r="C632">
        <v>150</v>
      </c>
      <c r="D632">
        <v>7</v>
      </c>
      <c r="E632" t="s">
        <v>52</v>
      </c>
      <c r="F632" t="s">
        <v>34</v>
      </c>
      <c r="G632" t="str">
        <f>"2026-03-15 21:19:05.389"</f>
        <v>2026-03-15 21:19:05.389</v>
      </c>
      <c r="H632" t="s">
        <v>21</v>
      </c>
      <c r="I632">
        <v>0</v>
      </c>
      <c r="J632" t="s">
        <v>31</v>
      </c>
    </row>
    <row r="633" spans="1:10" x14ac:dyDescent="0.25">
      <c r="A633" s="1">
        <v>99</v>
      </c>
      <c r="B633" t="s">
        <v>49</v>
      </c>
      <c r="C633">
        <v>148</v>
      </c>
      <c r="D633">
        <v>7</v>
      </c>
      <c r="E633" t="s">
        <v>53</v>
      </c>
      <c r="F633" t="s">
        <v>36</v>
      </c>
      <c r="G633" t="str">
        <f>"2026-03-15 21:19:05.385"</f>
        <v>2026-03-15 21:19:05.385</v>
      </c>
      <c r="H633" t="s">
        <v>21</v>
      </c>
      <c r="I633">
        <v>0</v>
      </c>
      <c r="J633" t="s">
        <v>31</v>
      </c>
    </row>
    <row r="634" spans="1:10" x14ac:dyDescent="0.25">
      <c r="A634" s="1">
        <v>0</v>
      </c>
      <c r="B634" t="s">
        <v>25</v>
      </c>
      <c r="C634">
        <v>107</v>
      </c>
      <c r="D634">
        <v>2</v>
      </c>
      <c r="E634" t="s">
        <v>40</v>
      </c>
      <c r="F634" t="s">
        <v>38</v>
      </c>
      <c r="G634" t="str">
        <f>"2026-03-15 21:19:05.380"</f>
        <v>2026-03-15 21:19:05.380</v>
      </c>
      <c r="H634" t="s">
        <v>41</v>
      </c>
      <c r="I634">
        <v>0</v>
      </c>
      <c r="J634" t="s">
        <v>31</v>
      </c>
    </row>
    <row r="635" spans="1:10" x14ac:dyDescent="0.25">
      <c r="A635" s="1">
        <v>1</v>
      </c>
      <c r="B635" t="s">
        <v>25</v>
      </c>
      <c r="C635">
        <v>207</v>
      </c>
      <c r="D635">
        <v>2</v>
      </c>
      <c r="E635" t="s">
        <v>37</v>
      </c>
      <c r="F635" t="s">
        <v>38</v>
      </c>
      <c r="G635" t="str">
        <f>"2026-03-15 21:19:05.300"</f>
        <v>2026-03-15 21:19:05.300</v>
      </c>
      <c r="H635" t="s">
        <v>39</v>
      </c>
      <c r="I635">
        <v>0</v>
      </c>
      <c r="J635" t="s">
        <v>31</v>
      </c>
    </row>
    <row r="636" spans="1:10" x14ac:dyDescent="0.25">
      <c r="A636" s="1">
        <v>2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"2026-03-15 21:18:52.526"</f>
        <v>2026-03-15 21:18:52.526</v>
      </c>
      <c r="H636" t="s">
        <v>21</v>
      </c>
    </row>
    <row r="637" spans="1:10" x14ac:dyDescent="0.25">
      <c r="A637" s="1">
        <v>5</v>
      </c>
      <c r="B637" t="s">
        <v>19</v>
      </c>
      <c r="C637">
        <v>782</v>
      </c>
      <c r="D637">
        <v>7</v>
      </c>
      <c r="E637" t="s">
        <v>50</v>
      </c>
      <c r="F637" t="s">
        <v>51</v>
      </c>
      <c r="G637" t="str">
        <f>"2026-03-15 21:14:02.025"</f>
        <v>2026-03-15 21:14:02.025</v>
      </c>
      <c r="H637" t="s">
        <v>21</v>
      </c>
      <c r="I637">
        <v>0</v>
      </c>
      <c r="J637" t="s">
        <v>31</v>
      </c>
    </row>
    <row r="638" spans="1:10" x14ac:dyDescent="0.25">
      <c r="A638" s="1">
        <v>8</v>
      </c>
      <c r="B638" t="s">
        <v>22</v>
      </c>
      <c r="C638">
        <v>250</v>
      </c>
      <c r="D638">
        <v>7</v>
      </c>
      <c r="E638" t="s">
        <v>33</v>
      </c>
      <c r="F638" t="s">
        <v>34</v>
      </c>
      <c r="G638" t="str">
        <f>"2026-03-15 21:14:02.020"</f>
        <v>2026-03-15 21:14:02.020</v>
      </c>
      <c r="H638" t="s">
        <v>21</v>
      </c>
    </row>
    <row r="639" spans="1:10" x14ac:dyDescent="0.25">
      <c r="A639" s="1">
        <v>9</v>
      </c>
      <c r="B639" t="s">
        <v>22</v>
      </c>
      <c r="C639">
        <v>248</v>
      </c>
      <c r="D639">
        <v>7</v>
      </c>
      <c r="E639" t="s">
        <v>35</v>
      </c>
      <c r="F639" t="s">
        <v>36</v>
      </c>
      <c r="G639" t="str">
        <f>"2026-03-15 21:14:02.018"</f>
        <v>2026-03-15 21:14:02.018</v>
      </c>
      <c r="H639" t="s">
        <v>21</v>
      </c>
    </row>
    <row r="640" spans="1:10" x14ac:dyDescent="0.25">
      <c r="A640" s="1">
        <v>10</v>
      </c>
      <c r="B640" t="s">
        <v>22</v>
      </c>
      <c r="C640">
        <v>207</v>
      </c>
      <c r="D640">
        <v>2</v>
      </c>
      <c r="E640" t="s">
        <v>37</v>
      </c>
      <c r="F640" t="s">
        <v>38</v>
      </c>
      <c r="G640" t="str">
        <f>"2026-03-15 21:14:02.015"</f>
        <v>2026-03-15 21:14:02.015</v>
      </c>
      <c r="H640" t="s">
        <v>39</v>
      </c>
    </row>
    <row r="641" spans="1:10" x14ac:dyDescent="0.25">
      <c r="A641" s="1">
        <v>11</v>
      </c>
      <c r="B641" t="s">
        <v>22</v>
      </c>
      <c r="C641">
        <v>107</v>
      </c>
      <c r="D641">
        <v>2</v>
      </c>
      <c r="E641" t="s">
        <v>40</v>
      </c>
      <c r="F641" t="s">
        <v>38</v>
      </c>
      <c r="G641" t="str">
        <f>"2026-03-15 21:14:02.011"</f>
        <v>2026-03-15 21:14:02.011</v>
      </c>
      <c r="H641" t="s">
        <v>41</v>
      </c>
    </row>
    <row r="642" spans="1:10" x14ac:dyDescent="0.25">
      <c r="A642" s="1">
        <v>12</v>
      </c>
      <c r="B642" t="s">
        <v>19</v>
      </c>
      <c r="C642">
        <v>782</v>
      </c>
      <c r="D642">
        <v>7</v>
      </c>
      <c r="E642" t="s">
        <v>50</v>
      </c>
      <c r="F642" t="s">
        <v>51</v>
      </c>
      <c r="G642" t="str">
        <f>"2026-03-15 21:14:02.010"</f>
        <v>2026-03-15 21:14:02.010</v>
      </c>
      <c r="H642" t="s">
        <v>21</v>
      </c>
      <c r="I642">
        <v>0</v>
      </c>
      <c r="J642" t="s">
        <v>31</v>
      </c>
    </row>
    <row r="643" spans="1:10" x14ac:dyDescent="0.25">
      <c r="A643" s="1">
        <v>13</v>
      </c>
      <c r="B643" t="s">
        <v>22</v>
      </c>
      <c r="C643">
        <v>43</v>
      </c>
      <c r="D643">
        <v>2</v>
      </c>
      <c r="E643" t="s">
        <v>42</v>
      </c>
      <c r="F643" t="s">
        <v>43</v>
      </c>
      <c r="G643" t="str">
        <f>"2026-03-15 21:07:33.791"</f>
        <v>2026-03-15 21:07:33.791</v>
      </c>
      <c r="H643" t="s">
        <v>44</v>
      </c>
    </row>
    <row r="644" spans="1:10" x14ac:dyDescent="0.25">
      <c r="A644" s="1">
        <v>15</v>
      </c>
      <c r="B644" t="s">
        <v>25</v>
      </c>
      <c r="C644">
        <v>248</v>
      </c>
      <c r="D644">
        <v>7</v>
      </c>
      <c r="E644" t="s">
        <v>35</v>
      </c>
      <c r="F644" t="s">
        <v>36</v>
      </c>
      <c r="G644" t="str">
        <f>"2026-03-15 20:19:50.674"</f>
        <v>2026-03-15 20:19:50.674</v>
      </c>
      <c r="H644" t="s">
        <v>21</v>
      </c>
      <c r="I644">
        <v>0</v>
      </c>
      <c r="J644" t="s">
        <v>31</v>
      </c>
    </row>
    <row r="645" spans="1:10" x14ac:dyDescent="0.25">
      <c r="A645" s="1">
        <v>16</v>
      </c>
      <c r="B645" t="s">
        <v>48</v>
      </c>
      <c r="C645">
        <v>248</v>
      </c>
      <c r="D645">
        <v>7</v>
      </c>
      <c r="E645" t="s">
        <v>35</v>
      </c>
      <c r="F645" t="s">
        <v>36</v>
      </c>
      <c r="G645" t="str">
        <f>"2026-03-15 20:19:49.355"</f>
        <v>2026-03-15 20:19:49.355</v>
      </c>
      <c r="H645" t="s">
        <v>21</v>
      </c>
    </row>
    <row r="646" spans="1:10" x14ac:dyDescent="0.25">
      <c r="A646" s="1">
        <v>17</v>
      </c>
      <c r="B646" t="s">
        <v>48</v>
      </c>
      <c r="C646">
        <v>150</v>
      </c>
      <c r="D646">
        <v>7</v>
      </c>
      <c r="E646" t="s">
        <v>52</v>
      </c>
      <c r="F646" t="s">
        <v>34</v>
      </c>
      <c r="G646" t="str">
        <f>"2026-03-15 20:19:48.255"</f>
        <v>2026-03-15 20:19:48.255</v>
      </c>
      <c r="H646" t="s">
        <v>21</v>
      </c>
    </row>
    <row r="647" spans="1:10" x14ac:dyDescent="0.25">
      <c r="A647" s="1">
        <v>18</v>
      </c>
      <c r="B647" t="s">
        <v>48</v>
      </c>
      <c r="C647">
        <v>148</v>
      </c>
      <c r="D647">
        <v>7</v>
      </c>
      <c r="E647" t="s">
        <v>53</v>
      </c>
      <c r="F647" t="s">
        <v>36</v>
      </c>
      <c r="G647" t="str">
        <f>"2026-03-15 20:19:47.956"</f>
        <v>2026-03-15 20:19:47.956</v>
      </c>
      <c r="H647" t="s">
        <v>21</v>
      </c>
    </row>
    <row r="648" spans="1:10" x14ac:dyDescent="0.25">
      <c r="A648" s="1">
        <v>19</v>
      </c>
      <c r="B648" t="s">
        <v>49</v>
      </c>
      <c r="C648">
        <v>248</v>
      </c>
      <c r="D648">
        <v>7</v>
      </c>
      <c r="E648" t="s">
        <v>35</v>
      </c>
      <c r="F648" t="s">
        <v>36</v>
      </c>
      <c r="G648" t="str">
        <f>"2026-03-15 20:19:44.339"</f>
        <v>2026-03-15 20:19:44.339</v>
      </c>
      <c r="H648" t="s">
        <v>21</v>
      </c>
      <c r="I648">
        <v>0</v>
      </c>
      <c r="J648" t="s">
        <v>31</v>
      </c>
    </row>
    <row r="649" spans="1:10" x14ac:dyDescent="0.25">
      <c r="A649" s="1">
        <v>20</v>
      </c>
      <c r="B649" t="s">
        <v>25</v>
      </c>
      <c r="C649">
        <v>250</v>
      </c>
      <c r="D649">
        <v>7</v>
      </c>
      <c r="E649" t="s">
        <v>33</v>
      </c>
      <c r="F649" t="s">
        <v>34</v>
      </c>
      <c r="G649" t="str">
        <f>"2026-03-15 20:19:44.334"</f>
        <v>2026-03-15 20:19:44.334</v>
      </c>
      <c r="H649" t="s">
        <v>21</v>
      </c>
      <c r="I649">
        <v>0</v>
      </c>
      <c r="J649" t="s">
        <v>31</v>
      </c>
    </row>
    <row r="650" spans="1:10" x14ac:dyDescent="0.25">
      <c r="A650" s="1">
        <v>21</v>
      </c>
      <c r="B650" t="s">
        <v>25</v>
      </c>
      <c r="C650">
        <v>207</v>
      </c>
      <c r="D650">
        <v>2</v>
      </c>
      <c r="E650" t="s">
        <v>37</v>
      </c>
      <c r="F650" t="s">
        <v>38</v>
      </c>
      <c r="G650" t="str">
        <f>"2026-03-15 20:19:42.874"</f>
        <v>2026-03-15 20:19:42.874</v>
      </c>
      <c r="H650" t="s">
        <v>39</v>
      </c>
      <c r="I650">
        <v>0</v>
      </c>
      <c r="J650" t="s">
        <v>31</v>
      </c>
    </row>
    <row r="651" spans="1:10" x14ac:dyDescent="0.25">
      <c r="A651" s="1">
        <v>22</v>
      </c>
      <c r="B651" t="s">
        <v>49</v>
      </c>
      <c r="C651">
        <v>150</v>
      </c>
      <c r="D651">
        <v>7</v>
      </c>
      <c r="E651" t="s">
        <v>52</v>
      </c>
      <c r="F651" t="s">
        <v>34</v>
      </c>
      <c r="G651" t="str">
        <f>"2026-03-15 20:19:42.861"</f>
        <v>2026-03-15 20:19:42.861</v>
      </c>
      <c r="H651" t="s">
        <v>21</v>
      </c>
      <c r="I651">
        <v>0</v>
      </c>
      <c r="J651" t="s">
        <v>31</v>
      </c>
    </row>
    <row r="652" spans="1:10" x14ac:dyDescent="0.25">
      <c r="A652" s="1">
        <v>23</v>
      </c>
      <c r="B652" t="s">
        <v>49</v>
      </c>
      <c r="C652">
        <v>148</v>
      </c>
      <c r="D652">
        <v>7</v>
      </c>
      <c r="E652" t="s">
        <v>53</v>
      </c>
      <c r="F652" t="s">
        <v>36</v>
      </c>
      <c r="G652" t="str">
        <f>"2026-03-15 20:19:42.856"</f>
        <v>2026-03-15 20:19:42.856</v>
      </c>
      <c r="H652" t="s">
        <v>21</v>
      </c>
      <c r="I652">
        <v>0</v>
      </c>
      <c r="J652" t="s">
        <v>31</v>
      </c>
    </row>
    <row r="653" spans="1:10" x14ac:dyDescent="0.25">
      <c r="A653" s="1">
        <v>24</v>
      </c>
      <c r="B653" t="s">
        <v>25</v>
      </c>
      <c r="C653">
        <v>107</v>
      </c>
      <c r="D653">
        <v>2</v>
      </c>
      <c r="E653" t="s">
        <v>40</v>
      </c>
      <c r="F653" t="s">
        <v>38</v>
      </c>
      <c r="G653" t="str">
        <f>"2026-03-15 20:19:42.854"</f>
        <v>2026-03-15 20:19:42.854</v>
      </c>
      <c r="H653" t="s">
        <v>41</v>
      </c>
      <c r="I653">
        <v>0</v>
      </c>
      <c r="J653" t="s">
        <v>31</v>
      </c>
    </row>
    <row r="654" spans="1:10" x14ac:dyDescent="0.25">
      <c r="A654" s="1">
        <v>25</v>
      </c>
      <c r="B654" t="s">
        <v>48</v>
      </c>
      <c r="C654">
        <v>250</v>
      </c>
      <c r="D654">
        <v>7</v>
      </c>
      <c r="E654" t="s">
        <v>33</v>
      </c>
      <c r="F654" t="s">
        <v>34</v>
      </c>
      <c r="G654" t="str">
        <f>"2026-03-15 20:19:11.755"</f>
        <v>2026-03-15 20:19:11.755</v>
      </c>
      <c r="H654" t="s">
        <v>21</v>
      </c>
    </row>
    <row r="655" spans="1:10" x14ac:dyDescent="0.25">
      <c r="A655" s="1">
        <v>26</v>
      </c>
      <c r="B655" t="s">
        <v>49</v>
      </c>
      <c r="C655">
        <v>250</v>
      </c>
      <c r="D655">
        <v>7</v>
      </c>
      <c r="E655" t="s">
        <v>33</v>
      </c>
      <c r="F655" t="s">
        <v>34</v>
      </c>
      <c r="G655" t="str">
        <f>"2026-03-15 20:19:06.734"</f>
        <v>2026-03-15 20:19:06.734</v>
      </c>
      <c r="H655" t="s">
        <v>21</v>
      </c>
      <c r="I655">
        <v>0</v>
      </c>
      <c r="J655" t="s">
        <v>31</v>
      </c>
    </row>
    <row r="656" spans="1:10" x14ac:dyDescent="0.25">
      <c r="A656" s="1">
        <v>29</v>
      </c>
      <c r="B656" t="s">
        <v>25</v>
      </c>
      <c r="C656">
        <v>43</v>
      </c>
      <c r="D656">
        <v>2</v>
      </c>
      <c r="E656" t="s">
        <v>42</v>
      </c>
      <c r="F656" t="s">
        <v>43</v>
      </c>
      <c r="G656" t="str">
        <f>"2026-03-15 20:19:06.280"</f>
        <v>2026-03-15 20:19:06.280</v>
      </c>
      <c r="H656" t="s">
        <v>44</v>
      </c>
      <c r="I656">
        <v>0</v>
      </c>
      <c r="J656" t="s">
        <v>31</v>
      </c>
    </row>
    <row r="657" spans="1:10" x14ac:dyDescent="0.25">
      <c r="A657" s="1">
        <v>33</v>
      </c>
      <c r="B657" t="s">
        <v>19</v>
      </c>
      <c r="C657">
        <v>782</v>
      </c>
      <c r="D657">
        <v>7</v>
      </c>
      <c r="E657" t="s">
        <v>50</v>
      </c>
      <c r="F657" t="s">
        <v>51</v>
      </c>
      <c r="G657" t="str">
        <f>"2026-03-15 20:19:06.221"</f>
        <v>2026-03-15 20:19:06.221</v>
      </c>
      <c r="H657" t="s">
        <v>21</v>
      </c>
      <c r="I657">
        <v>0</v>
      </c>
      <c r="J657" t="s">
        <v>31</v>
      </c>
    </row>
    <row r="658" spans="1:10" x14ac:dyDescent="0.25">
      <c r="A658" s="1">
        <v>37</v>
      </c>
      <c r="B658" t="s">
        <v>22</v>
      </c>
      <c r="C658">
        <v>250</v>
      </c>
      <c r="D658">
        <v>7</v>
      </c>
      <c r="E658" t="s">
        <v>33</v>
      </c>
      <c r="F658" t="s">
        <v>34</v>
      </c>
      <c r="G658" t="str">
        <f>"2026-03-15 20:19:06.213"</f>
        <v>2026-03-15 20:19:06.213</v>
      </c>
      <c r="H658" t="s">
        <v>21</v>
      </c>
    </row>
    <row r="659" spans="1:10" x14ac:dyDescent="0.25">
      <c r="A659" s="1">
        <v>38</v>
      </c>
      <c r="B659" t="s">
        <v>22</v>
      </c>
      <c r="C659">
        <v>248</v>
      </c>
      <c r="D659">
        <v>7</v>
      </c>
      <c r="E659" t="s">
        <v>35</v>
      </c>
      <c r="F659" t="s">
        <v>36</v>
      </c>
      <c r="G659" t="str">
        <f>"2026-03-15 20:19:06.210"</f>
        <v>2026-03-15 20:19:06.210</v>
      </c>
      <c r="H659" t="s">
        <v>21</v>
      </c>
    </row>
    <row r="660" spans="1:10" x14ac:dyDescent="0.25">
      <c r="A660" s="1">
        <v>39</v>
      </c>
      <c r="B660" t="s">
        <v>22</v>
      </c>
      <c r="C660">
        <v>207</v>
      </c>
      <c r="D660">
        <v>2</v>
      </c>
      <c r="E660" t="s">
        <v>37</v>
      </c>
      <c r="F660" t="s">
        <v>38</v>
      </c>
      <c r="G660" t="str">
        <f>"2026-03-15 20:19:06.208"</f>
        <v>2026-03-15 20:19:06.208</v>
      </c>
      <c r="H660" t="s">
        <v>39</v>
      </c>
    </row>
    <row r="661" spans="1:10" x14ac:dyDescent="0.25">
      <c r="A661" s="1">
        <v>40</v>
      </c>
      <c r="B661" t="s">
        <v>22</v>
      </c>
      <c r="C661">
        <v>107</v>
      </c>
      <c r="D661">
        <v>2</v>
      </c>
      <c r="E661" t="s">
        <v>40</v>
      </c>
      <c r="F661" t="s">
        <v>38</v>
      </c>
      <c r="G661" t="str">
        <f>"2026-03-15 20:19:06.205"</f>
        <v>2026-03-15 20:19:06.205</v>
      </c>
      <c r="H661" t="s">
        <v>41</v>
      </c>
    </row>
    <row r="662" spans="1:10" x14ac:dyDescent="0.25">
      <c r="A662" s="1">
        <v>41</v>
      </c>
      <c r="B662" t="s">
        <v>22</v>
      </c>
      <c r="C662">
        <v>43</v>
      </c>
      <c r="D662">
        <v>2</v>
      </c>
      <c r="E662" t="s">
        <v>42</v>
      </c>
      <c r="F662" t="s">
        <v>43</v>
      </c>
      <c r="G662" t="str">
        <f>"2026-03-15 20:19:06.203"</f>
        <v>2026-03-15 20:19:06.203</v>
      </c>
      <c r="H662" t="s">
        <v>44</v>
      </c>
    </row>
    <row r="663" spans="1:10" x14ac:dyDescent="0.25">
      <c r="A663" s="1">
        <v>42</v>
      </c>
      <c r="B663" t="s">
        <v>22</v>
      </c>
      <c r="C663">
        <v>43</v>
      </c>
      <c r="D663">
        <v>1</v>
      </c>
      <c r="E663" t="s">
        <v>42</v>
      </c>
      <c r="F663" t="s">
        <v>43</v>
      </c>
      <c r="G663" t="str">
        <f>"2026-03-15 20:19:06.202"</f>
        <v>2026-03-15 20:19:06.202</v>
      </c>
      <c r="H663" t="s">
        <v>44</v>
      </c>
    </row>
    <row r="664" spans="1:10" x14ac:dyDescent="0.25">
      <c r="A664" s="1">
        <v>43</v>
      </c>
      <c r="B664" t="s">
        <v>19</v>
      </c>
      <c r="C664">
        <v>782</v>
      </c>
      <c r="D664">
        <v>7</v>
      </c>
      <c r="E664" t="s">
        <v>50</v>
      </c>
      <c r="F664" t="s">
        <v>51</v>
      </c>
      <c r="G664" t="str">
        <f>"2026-03-15 20:19:06.200"</f>
        <v>2026-03-15 20:19:06.200</v>
      </c>
      <c r="H664" t="s">
        <v>21</v>
      </c>
      <c r="I664">
        <v>0</v>
      </c>
      <c r="J664" t="s">
        <v>31</v>
      </c>
    </row>
    <row r="665" spans="1:10" x14ac:dyDescent="0.25">
      <c r="A665" s="1">
        <v>45</v>
      </c>
      <c r="B665" t="s">
        <v>25</v>
      </c>
      <c r="C665">
        <v>43</v>
      </c>
      <c r="D665">
        <v>2</v>
      </c>
      <c r="E665" t="s">
        <v>42</v>
      </c>
      <c r="F665" t="s">
        <v>43</v>
      </c>
      <c r="G665" t="str">
        <f>"2026-03-15 20:13:07.280"</f>
        <v>2026-03-15 20:13:07.280</v>
      </c>
      <c r="H665" t="s">
        <v>44</v>
      </c>
      <c r="I665">
        <v>0</v>
      </c>
      <c r="J665" t="s">
        <v>31</v>
      </c>
    </row>
    <row r="666" spans="1:10" x14ac:dyDescent="0.25">
      <c r="A666" s="1">
        <v>46</v>
      </c>
      <c r="B666" t="s">
        <v>25</v>
      </c>
      <c r="C666">
        <v>43</v>
      </c>
      <c r="D666">
        <v>1</v>
      </c>
      <c r="E666" t="s">
        <v>42</v>
      </c>
      <c r="F666" t="s">
        <v>43</v>
      </c>
      <c r="G666" t="str">
        <f>"2026-03-15 20:12:30.381"</f>
        <v>2026-03-15 20:12:30.381</v>
      </c>
      <c r="H666" t="s">
        <v>44</v>
      </c>
      <c r="I666">
        <v>0</v>
      </c>
      <c r="J666" t="s">
        <v>31</v>
      </c>
    </row>
    <row r="667" spans="1:10" x14ac:dyDescent="0.25">
      <c r="A667" s="1">
        <v>47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"2026-03-15 20:12:12.502"</f>
        <v>2026-03-15 20:12:12.502</v>
      </c>
      <c r="H667" t="s">
        <v>21</v>
      </c>
      <c r="I667">
        <v>0</v>
      </c>
      <c r="J667" t="s">
        <v>27</v>
      </c>
    </row>
    <row r="668" spans="1:10" x14ac:dyDescent="0.25">
      <c r="A668" s="1">
        <v>48</v>
      </c>
      <c r="B668" t="s">
        <v>22</v>
      </c>
      <c r="C668">
        <v>43</v>
      </c>
      <c r="D668">
        <v>2</v>
      </c>
      <c r="E668" t="s">
        <v>42</v>
      </c>
      <c r="F668" t="s">
        <v>43</v>
      </c>
      <c r="G668" t="str">
        <f>"2026-03-15 20:06:47.090"</f>
        <v>2026-03-15 20:06:47.090</v>
      </c>
      <c r="H668" t="s">
        <v>44</v>
      </c>
    </row>
    <row r="669" spans="1:10" x14ac:dyDescent="0.25">
      <c r="A669" s="1">
        <v>49</v>
      </c>
      <c r="B669" t="s">
        <v>22</v>
      </c>
      <c r="C669">
        <v>43</v>
      </c>
      <c r="D669">
        <v>1</v>
      </c>
      <c r="E669" t="s">
        <v>42</v>
      </c>
      <c r="F669" t="s">
        <v>43</v>
      </c>
      <c r="G669" t="str">
        <f>"2026-03-15 20:06:47.089"</f>
        <v>2026-03-15 20:06:47.089</v>
      </c>
      <c r="H669" t="s">
        <v>44</v>
      </c>
    </row>
    <row r="670" spans="1:10" x14ac:dyDescent="0.25">
      <c r="A670" s="1">
        <v>50</v>
      </c>
      <c r="B670" t="s">
        <v>25</v>
      </c>
      <c r="C670">
        <v>248</v>
      </c>
      <c r="D670">
        <v>7</v>
      </c>
      <c r="E670" t="s">
        <v>35</v>
      </c>
      <c r="F670" t="s">
        <v>36</v>
      </c>
      <c r="G670" t="str">
        <f>"2026-03-15 20:04:27.122"</f>
        <v>2026-03-15 20:04:27.122</v>
      </c>
      <c r="H670" t="s">
        <v>21</v>
      </c>
      <c r="I670">
        <v>0</v>
      </c>
      <c r="J670" t="s">
        <v>31</v>
      </c>
    </row>
    <row r="671" spans="1:10" x14ac:dyDescent="0.25">
      <c r="A671" s="1">
        <v>51</v>
      </c>
      <c r="B671" t="s">
        <v>25</v>
      </c>
      <c r="C671">
        <v>250</v>
      </c>
      <c r="D671">
        <v>7</v>
      </c>
      <c r="E671" t="s">
        <v>33</v>
      </c>
      <c r="F671" t="s">
        <v>34</v>
      </c>
      <c r="G671" t="str">
        <f>"2026-03-15 20:04:26.922"</f>
        <v>2026-03-15 20:04:26.922</v>
      </c>
      <c r="H671" t="s">
        <v>21</v>
      </c>
      <c r="I671">
        <v>0</v>
      </c>
      <c r="J671" t="s">
        <v>31</v>
      </c>
    </row>
    <row r="672" spans="1:10" x14ac:dyDescent="0.25">
      <c r="A672" s="1">
        <v>52</v>
      </c>
      <c r="B672" t="s">
        <v>48</v>
      </c>
      <c r="C672">
        <v>250</v>
      </c>
      <c r="D672">
        <v>7</v>
      </c>
      <c r="E672" t="s">
        <v>33</v>
      </c>
      <c r="F672" t="s">
        <v>34</v>
      </c>
      <c r="G672" t="str">
        <f>"2026-03-15 20:04:26.857"</f>
        <v>2026-03-15 20:04:26.857</v>
      </c>
      <c r="H672" t="s">
        <v>21</v>
      </c>
    </row>
    <row r="673" spans="1:10" x14ac:dyDescent="0.25">
      <c r="A673" s="1">
        <v>53</v>
      </c>
      <c r="B673" t="s">
        <v>48</v>
      </c>
      <c r="C673">
        <v>248</v>
      </c>
      <c r="D673">
        <v>7</v>
      </c>
      <c r="E673" t="s">
        <v>35</v>
      </c>
      <c r="F673" t="s">
        <v>36</v>
      </c>
      <c r="G673" t="str">
        <f>"2026-03-15 20:04:26.757"</f>
        <v>2026-03-15 20:04:26.757</v>
      </c>
      <c r="H673" t="s">
        <v>21</v>
      </c>
    </row>
    <row r="674" spans="1:10" x14ac:dyDescent="0.25">
      <c r="A674" s="1">
        <v>54</v>
      </c>
      <c r="B674" t="s">
        <v>48</v>
      </c>
      <c r="C674">
        <v>150</v>
      </c>
      <c r="D674">
        <v>7</v>
      </c>
      <c r="E674" t="s">
        <v>52</v>
      </c>
      <c r="F674" t="s">
        <v>34</v>
      </c>
      <c r="G674" t="str">
        <f>"2026-03-15 20:04:25.557"</f>
        <v>2026-03-15 20:04:25.557</v>
      </c>
      <c r="H674" t="s">
        <v>21</v>
      </c>
    </row>
    <row r="675" spans="1:10" x14ac:dyDescent="0.25">
      <c r="A675" s="1">
        <v>55</v>
      </c>
      <c r="B675" t="s">
        <v>48</v>
      </c>
      <c r="C675">
        <v>148</v>
      </c>
      <c r="D675">
        <v>7</v>
      </c>
      <c r="E675" t="s">
        <v>53</v>
      </c>
      <c r="F675" t="s">
        <v>36</v>
      </c>
      <c r="G675" t="str">
        <f>"2026-03-15 20:04:25.457"</f>
        <v>2026-03-15 20:04:25.457</v>
      </c>
      <c r="H675" t="s">
        <v>21</v>
      </c>
    </row>
    <row r="676" spans="1:10" x14ac:dyDescent="0.25">
      <c r="A676" s="1">
        <v>56</v>
      </c>
      <c r="B676" t="s">
        <v>49</v>
      </c>
      <c r="C676">
        <v>250</v>
      </c>
      <c r="D676">
        <v>7</v>
      </c>
      <c r="E676" t="s">
        <v>33</v>
      </c>
      <c r="F676" t="s">
        <v>34</v>
      </c>
      <c r="G676" t="str">
        <f>"2026-03-15 20:04:21.704"</f>
        <v>2026-03-15 20:04:21.704</v>
      </c>
      <c r="H676" t="s">
        <v>21</v>
      </c>
      <c r="I676">
        <v>0</v>
      </c>
      <c r="J676" t="s">
        <v>78</v>
      </c>
    </row>
    <row r="677" spans="1:10" x14ac:dyDescent="0.25">
      <c r="A677" s="1">
        <v>57</v>
      </c>
      <c r="B677" t="s">
        <v>49</v>
      </c>
      <c r="C677">
        <v>248</v>
      </c>
      <c r="D677">
        <v>7</v>
      </c>
      <c r="E677" t="s">
        <v>35</v>
      </c>
      <c r="F677" t="s">
        <v>36</v>
      </c>
      <c r="G677" t="str">
        <f>"2026-03-15 20:04:21.702"</f>
        <v>2026-03-15 20:04:21.702</v>
      </c>
      <c r="H677" t="s">
        <v>21</v>
      </c>
      <c r="I677">
        <v>0</v>
      </c>
      <c r="J677" t="s">
        <v>78</v>
      </c>
    </row>
    <row r="678" spans="1:10" x14ac:dyDescent="0.25">
      <c r="A678" s="1">
        <v>58</v>
      </c>
      <c r="B678" t="s">
        <v>49</v>
      </c>
      <c r="C678">
        <v>150</v>
      </c>
      <c r="D678">
        <v>7</v>
      </c>
      <c r="E678" t="s">
        <v>52</v>
      </c>
      <c r="F678" t="s">
        <v>34</v>
      </c>
      <c r="G678" t="str">
        <f>"2026-03-15 20:04:20.385"</f>
        <v>2026-03-15 20:04:20.385</v>
      </c>
      <c r="H678" t="s">
        <v>21</v>
      </c>
      <c r="I678">
        <v>0</v>
      </c>
      <c r="J678" t="s">
        <v>31</v>
      </c>
    </row>
    <row r="679" spans="1:10" x14ac:dyDescent="0.25">
      <c r="A679" s="1">
        <v>59</v>
      </c>
      <c r="B679" t="s">
        <v>49</v>
      </c>
      <c r="C679">
        <v>148</v>
      </c>
      <c r="D679">
        <v>7</v>
      </c>
      <c r="E679" t="s">
        <v>53</v>
      </c>
      <c r="F679" t="s">
        <v>36</v>
      </c>
      <c r="G679" t="str">
        <f>"2026-03-15 20:04:20.383"</f>
        <v>2026-03-15 20:04:20.383</v>
      </c>
      <c r="H679" t="s">
        <v>21</v>
      </c>
      <c r="I679">
        <v>0</v>
      </c>
      <c r="J679" t="s">
        <v>31</v>
      </c>
    </row>
    <row r="680" spans="1:10" x14ac:dyDescent="0.25">
      <c r="A680" s="1">
        <v>60</v>
      </c>
      <c r="B680" t="s">
        <v>25</v>
      </c>
      <c r="C680">
        <v>107</v>
      </c>
      <c r="D680">
        <v>2</v>
      </c>
      <c r="E680" t="s">
        <v>40</v>
      </c>
      <c r="F680" t="s">
        <v>38</v>
      </c>
      <c r="G680" t="str">
        <f>"2026-03-15 20:04:20.382"</f>
        <v>2026-03-15 20:04:20.382</v>
      </c>
      <c r="H680" t="s">
        <v>41</v>
      </c>
      <c r="I680">
        <v>0</v>
      </c>
      <c r="J680" t="s">
        <v>31</v>
      </c>
    </row>
    <row r="681" spans="1:10" x14ac:dyDescent="0.25">
      <c r="A681" s="1">
        <v>61</v>
      </c>
      <c r="B681" t="s">
        <v>25</v>
      </c>
      <c r="C681">
        <v>207</v>
      </c>
      <c r="D681">
        <v>2</v>
      </c>
      <c r="E681" t="s">
        <v>37</v>
      </c>
      <c r="F681" t="s">
        <v>38</v>
      </c>
      <c r="G681" t="str">
        <f>"2026-03-15 20:04:20.302"</f>
        <v>2026-03-15 20:04:20.302</v>
      </c>
      <c r="H681" t="s">
        <v>39</v>
      </c>
      <c r="I681">
        <v>0</v>
      </c>
      <c r="J681" t="s">
        <v>31</v>
      </c>
    </row>
    <row r="682" spans="1:10" x14ac:dyDescent="0.25">
      <c r="A682" s="1">
        <v>62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"2026-03-15 20:04:15.499"</f>
        <v>2026-03-15 20:04:15.499</v>
      </c>
      <c r="H682" t="s">
        <v>21</v>
      </c>
      <c r="I682">
        <v>0</v>
      </c>
      <c r="J682" t="s">
        <v>27</v>
      </c>
    </row>
    <row r="683" spans="1:10" x14ac:dyDescent="0.25">
      <c r="A683" s="1">
        <v>63</v>
      </c>
      <c r="B683" t="s">
        <v>25</v>
      </c>
      <c r="C683">
        <v>43</v>
      </c>
      <c r="D683">
        <v>2</v>
      </c>
      <c r="E683" t="s">
        <v>42</v>
      </c>
      <c r="F683" t="s">
        <v>43</v>
      </c>
      <c r="G683" t="str">
        <f>"2026-03-15 20:02:01.004"</f>
        <v>2026-03-15 20:02:01.004</v>
      </c>
      <c r="H683" t="s">
        <v>44</v>
      </c>
      <c r="I683">
        <v>0</v>
      </c>
      <c r="J683" t="s">
        <v>31</v>
      </c>
    </row>
    <row r="684" spans="1:10" x14ac:dyDescent="0.25">
      <c r="A684" s="1">
        <v>66</v>
      </c>
      <c r="B684" t="s">
        <v>25</v>
      </c>
      <c r="C684">
        <v>43</v>
      </c>
      <c r="D684">
        <v>1</v>
      </c>
      <c r="E684" t="s">
        <v>42</v>
      </c>
      <c r="F684" t="s">
        <v>43</v>
      </c>
      <c r="G684" t="str">
        <f>"2026-03-15 19:46:11.404"</f>
        <v>2026-03-15 19:46:11.404</v>
      </c>
      <c r="H684" t="s">
        <v>44</v>
      </c>
      <c r="I684">
        <v>0</v>
      </c>
      <c r="J684" t="s">
        <v>31</v>
      </c>
    </row>
    <row r="685" spans="1:10" x14ac:dyDescent="0.25">
      <c r="A685" s="1">
        <v>67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"2026-03-15 19:45:53.512"</f>
        <v>2026-03-15 19:45:53.512</v>
      </c>
      <c r="H685" t="s">
        <v>21</v>
      </c>
      <c r="I685">
        <v>0</v>
      </c>
      <c r="J685" t="s">
        <v>27</v>
      </c>
    </row>
    <row r="686" spans="1:10" x14ac:dyDescent="0.25">
      <c r="A686" s="1">
        <v>68</v>
      </c>
      <c r="B686" t="s">
        <v>19</v>
      </c>
      <c r="C686">
        <v>706</v>
      </c>
      <c r="D686">
        <v>4</v>
      </c>
      <c r="E686" t="s">
        <v>29</v>
      </c>
      <c r="F686" t="s">
        <v>30</v>
      </c>
      <c r="G686" t="str">
        <f>"2026-03-15 15:50:06.351"</f>
        <v>2026-03-15 15:50:06.351</v>
      </c>
      <c r="H686" t="s">
        <v>21</v>
      </c>
      <c r="I686">
        <v>27.01</v>
      </c>
      <c r="J686" t="s">
        <v>26</v>
      </c>
    </row>
    <row r="687" spans="1:10" x14ac:dyDescent="0.25">
      <c r="A687" s="1">
        <v>69</v>
      </c>
      <c r="B687" t="s">
        <v>19</v>
      </c>
      <c r="C687">
        <v>706</v>
      </c>
      <c r="D687">
        <v>4</v>
      </c>
      <c r="E687" t="s">
        <v>29</v>
      </c>
      <c r="F687" t="s">
        <v>30</v>
      </c>
      <c r="G687" t="str">
        <f>"2026-03-15 15:04:45.531"</f>
        <v>2026-03-15 15:04:45.531</v>
      </c>
      <c r="H687" t="s">
        <v>21</v>
      </c>
      <c r="I687">
        <v>14.3</v>
      </c>
      <c r="J687" t="s">
        <v>26</v>
      </c>
    </row>
    <row r="688" spans="1:10" x14ac:dyDescent="0.25">
      <c r="A688" s="1">
        <v>70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"2026-03-15 14:22:56.551"</f>
        <v>2026-03-15 14:22:56.551</v>
      </c>
      <c r="H688" t="s">
        <v>21</v>
      </c>
    </row>
    <row r="689" spans="1:10" x14ac:dyDescent="0.25">
      <c r="A689" s="1">
        <v>71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"2026-03-15 14:20:57.502"</f>
        <v>2026-03-15 14:20:57.502</v>
      </c>
      <c r="H689" t="s">
        <v>21</v>
      </c>
      <c r="I689">
        <v>0</v>
      </c>
      <c r="J689" t="s">
        <v>27</v>
      </c>
    </row>
    <row r="690" spans="1:10" x14ac:dyDescent="0.25">
      <c r="A690" s="1">
        <v>72</v>
      </c>
      <c r="B690" t="s">
        <v>19</v>
      </c>
      <c r="C690">
        <v>706</v>
      </c>
      <c r="D690">
        <v>4</v>
      </c>
      <c r="E690" t="s">
        <v>29</v>
      </c>
      <c r="F690" t="s">
        <v>30</v>
      </c>
      <c r="G690" t="str">
        <f>"2026-03-14 03:32:39.242"</f>
        <v>2026-03-14 03:32:39.242</v>
      </c>
      <c r="H690" t="s">
        <v>21</v>
      </c>
      <c r="I690">
        <v>0</v>
      </c>
      <c r="J690" t="s">
        <v>31</v>
      </c>
    </row>
    <row r="691" spans="1:10" x14ac:dyDescent="0.25">
      <c r="A691" s="1">
        <v>73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"2026-03-14 03:26:39.602"</f>
        <v>2026-03-14 03:26:39.602</v>
      </c>
      <c r="H691" t="s">
        <v>21</v>
      </c>
      <c r="I691">
        <v>0</v>
      </c>
      <c r="J691" t="s">
        <v>27</v>
      </c>
    </row>
    <row r="692" spans="1:10" x14ac:dyDescent="0.25">
      <c r="A692" s="1">
        <v>74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"2026-03-14 03:10:18.489"</f>
        <v>2026-03-14 03:10:18.489</v>
      </c>
      <c r="H692" t="s">
        <v>21</v>
      </c>
    </row>
    <row r="693" spans="1:10" x14ac:dyDescent="0.25">
      <c r="A693" s="1">
        <v>75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"2026-03-12 09:47:47.521"</f>
        <v>2026-03-12 09:47:47.521</v>
      </c>
      <c r="H693" t="s">
        <v>21</v>
      </c>
    </row>
    <row r="694" spans="1:10" x14ac:dyDescent="0.25">
      <c r="A694" s="1">
        <v>76</v>
      </c>
      <c r="B694" t="s">
        <v>19</v>
      </c>
      <c r="C694">
        <v>706</v>
      </c>
      <c r="D694">
        <v>4</v>
      </c>
      <c r="E694" t="s">
        <v>29</v>
      </c>
      <c r="F694" t="s">
        <v>30</v>
      </c>
      <c r="G694" t="str">
        <f>"2026-03-11 20:06:44.404"</f>
        <v>2026-03-11 20:06:44.404</v>
      </c>
      <c r="H694" t="s">
        <v>21</v>
      </c>
      <c r="I694">
        <v>0</v>
      </c>
      <c r="J694" t="s">
        <v>31</v>
      </c>
    </row>
    <row r="695" spans="1:10" x14ac:dyDescent="0.25">
      <c r="A695" s="1">
        <v>77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"2026-03-11 19:49:28.484"</f>
        <v>2026-03-11 19:49:28.484</v>
      </c>
      <c r="H695" t="s">
        <v>21</v>
      </c>
    </row>
    <row r="696" spans="1:10" x14ac:dyDescent="0.25">
      <c r="A696" s="1">
        <v>78</v>
      </c>
      <c r="B696" t="s">
        <v>22</v>
      </c>
      <c r="C696">
        <v>635</v>
      </c>
      <c r="D696">
        <v>1</v>
      </c>
      <c r="E696" t="s">
        <v>23</v>
      </c>
      <c r="F696" t="s">
        <v>24</v>
      </c>
      <c r="G696" t="str">
        <f>"2026-03-10 11:40:46.921"</f>
        <v>2026-03-10 11:40:46.921</v>
      </c>
      <c r="H696" t="s">
        <v>21</v>
      </c>
    </row>
    <row r="697" spans="1:10" x14ac:dyDescent="0.25">
      <c r="A697" s="1">
        <v>79</v>
      </c>
      <c r="B697" t="s">
        <v>25</v>
      </c>
      <c r="C697">
        <v>635</v>
      </c>
      <c r="D697">
        <v>1</v>
      </c>
      <c r="E697" t="s">
        <v>23</v>
      </c>
      <c r="F697" t="s">
        <v>24</v>
      </c>
      <c r="G697" t="str">
        <f>"2026-03-10 11:36:24.421"</f>
        <v>2026-03-10 11:36:24.421</v>
      </c>
      <c r="H697" t="s">
        <v>21</v>
      </c>
      <c r="I697">
        <v>6.16</v>
      </c>
      <c r="J697" t="s">
        <v>32</v>
      </c>
    </row>
    <row r="698" spans="1:10" x14ac:dyDescent="0.25">
      <c r="A698" s="1">
        <v>80</v>
      </c>
      <c r="B698" t="s">
        <v>22</v>
      </c>
      <c r="C698">
        <v>635</v>
      </c>
      <c r="D698">
        <v>1</v>
      </c>
      <c r="E698" t="s">
        <v>23</v>
      </c>
      <c r="F698" t="s">
        <v>24</v>
      </c>
      <c r="G698" t="str">
        <f>"2026-03-10 07:21:03.521"</f>
        <v>2026-03-10 07:21:03.521</v>
      </c>
      <c r="H698" t="s">
        <v>21</v>
      </c>
    </row>
    <row r="699" spans="1:10" x14ac:dyDescent="0.25">
      <c r="A699" s="1">
        <v>81</v>
      </c>
      <c r="B699" t="s">
        <v>25</v>
      </c>
      <c r="C699">
        <v>635</v>
      </c>
      <c r="D699">
        <v>1</v>
      </c>
      <c r="E699" t="s">
        <v>23</v>
      </c>
      <c r="F699" t="s">
        <v>24</v>
      </c>
      <c r="G699" t="str">
        <f>"2026-03-10 07:17:44.521"</f>
        <v>2026-03-10 07:17:44.521</v>
      </c>
      <c r="H699" t="s">
        <v>21</v>
      </c>
      <c r="I699">
        <v>6.27</v>
      </c>
      <c r="J699" t="s">
        <v>26</v>
      </c>
    </row>
    <row r="700" spans="1:10" s="3" customFormat="1" x14ac:dyDescent="0.25">
      <c r="A700" s="2">
        <v>82</v>
      </c>
      <c r="B700" s="3" t="s">
        <v>22</v>
      </c>
      <c r="C700" s="3">
        <v>647</v>
      </c>
      <c r="D700" s="3">
        <v>1</v>
      </c>
      <c r="E700" s="3" t="s">
        <v>60</v>
      </c>
      <c r="F700" s="3" t="s">
        <v>61</v>
      </c>
      <c r="G700" s="3" t="str">
        <f>"2026-03-10 07:10:20.275"</f>
        <v>2026-03-10 07:10:20.275</v>
      </c>
      <c r="H700" s="3" t="s">
        <v>21</v>
      </c>
    </row>
    <row r="701" spans="1:10" s="3" customFormat="1" x14ac:dyDescent="0.25">
      <c r="A701" s="2">
        <v>83</v>
      </c>
      <c r="B701" s="3" t="s">
        <v>25</v>
      </c>
      <c r="C701" s="3">
        <v>647</v>
      </c>
      <c r="D701" s="3">
        <v>1</v>
      </c>
      <c r="E701" s="3" t="s">
        <v>60</v>
      </c>
      <c r="F701" s="3" t="s">
        <v>61</v>
      </c>
      <c r="G701" s="3" t="str">
        <f>"2026-03-10 07:10:16.075"</f>
        <v>2026-03-10 07:10:16.075</v>
      </c>
      <c r="H701" s="3" t="s">
        <v>21</v>
      </c>
      <c r="I701" s="3">
        <v>8.94</v>
      </c>
      <c r="J701" s="3" t="s">
        <v>26</v>
      </c>
    </row>
    <row r="702" spans="1:10" x14ac:dyDescent="0.25">
      <c r="A702" s="1">
        <v>84</v>
      </c>
      <c r="B702" t="s">
        <v>22</v>
      </c>
      <c r="C702">
        <v>635</v>
      </c>
      <c r="D702">
        <v>1</v>
      </c>
      <c r="E702" t="s">
        <v>23</v>
      </c>
      <c r="F702" t="s">
        <v>24</v>
      </c>
      <c r="G702" t="str">
        <f>"2026-03-10 04:38:46.321"</f>
        <v>2026-03-10 04:38:46.321</v>
      </c>
      <c r="H702" t="s">
        <v>21</v>
      </c>
    </row>
    <row r="703" spans="1:10" x14ac:dyDescent="0.25">
      <c r="A703" s="1">
        <v>85</v>
      </c>
      <c r="B703" t="s">
        <v>25</v>
      </c>
      <c r="C703">
        <v>635</v>
      </c>
      <c r="D703">
        <v>1</v>
      </c>
      <c r="E703" t="s">
        <v>23</v>
      </c>
      <c r="F703" t="s">
        <v>24</v>
      </c>
      <c r="G703" t="str">
        <f>"2026-03-10 04:34:08.821"</f>
        <v>2026-03-10 04:34:08.821</v>
      </c>
      <c r="H703" t="s">
        <v>21</v>
      </c>
      <c r="I703">
        <v>8.5500000000000007</v>
      </c>
      <c r="J703" t="s">
        <v>26</v>
      </c>
    </row>
    <row r="704" spans="1:10" x14ac:dyDescent="0.25">
      <c r="A704" s="1">
        <v>86</v>
      </c>
      <c r="B704" t="s">
        <v>22</v>
      </c>
      <c r="C704">
        <v>635</v>
      </c>
      <c r="D704">
        <v>1</v>
      </c>
      <c r="E704" t="s">
        <v>23</v>
      </c>
      <c r="F704" t="s">
        <v>24</v>
      </c>
      <c r="G704" t="str">
        <f>"2026-03-09 22:09:13.221"</f>
        <v>2026-03-09 22:09:13.221</v>
      </c>
      <c r="H704" t="s">
        <v>21</v>
      </c>
    </row>
    <row r="705" spans="1:10" x14ac:dyDescent="0.25">
      <c r="A705" s="1">
        <v>87</v>
      </c>
      <c r="B705" t="s">
        <v>25</v>
      </c>
      <c r="C705">
        <v>635</v>
      </c>
      <c r="D705">
        <v>1</v>
      </c>
      <c r="E705" t="s">
        <v>23</v>
      </c>
      <c r="F705" t="s">
        <v>24</v>
      </c>
      <c r="G705" t="str">
        <f>"2026-03-09 22:03:10.221"</f>
        <v>2026-03-09 22:03:10.221</v>
      </c>
      <c r="H705" t="s">
        <v>21</v>
      </c>
      <c r="I705">
        <v>3.75</v>
      </c>
      <c r="J705" t="s">
        <v>32</v>
      </c>
    </row>
    <row r="706" spans="1:10" x14ac:dyDescent="0.25">
      <c r="A706" s="1">
        <v>88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"2026-03-07 13:57:45.483"</f>
        <v>2026-03-07 13:57:45.483</v>
      </c>
      <c r="H706" t="s">
        <v>21</v>
      </c>
    </row>
    <row r="707" spans="1:10" s="3" customFormat="1" x14ac:dyDescent="0.25">
      <c r="A707" s="2">
        <v>89</v>
      </c>
      <c r="B707" s="3" t="s">
        <v>22</v>
      </c>
      <c r="C707" s="3">
        <v>647</v>
      </c>
      <c r="D707" s="3">
        <v>1</v>
      </c>
      <c r="E707" s="3" t="s">
        <v>60</v>
      </c>
      <c r="F707" s="3" t="s">
        <v>61</v>
      </c>
      <c r="G707" s="3" t="str">
        <f>"2026-03-06 22:02:48.974"</f>
        <v>2026-03-06 22:02:48.974</v>
      </c>
      <c r="H707" s="3" t="s">
        <v>21</v>
      </c>
    </row>
    <row r="708" spans="1:10" s="3" customFormat="1" x14ac:dyDescent="0.25">
      <c r="A708" s="2">
        <v>90</v>
      </c>
      <c r="B708" s="3" t="s">
        <v>25</v>
      </c>
      <c r="C708" s="3">
        <v>647</v>
      </c>
      <c r="D708" s="3">
        <v>1</v>
      </c>
      <c r="E708" s="3" t="s">
        <v>60</v>
      </c>
      <c r="F708" s="3" t="s">
        <v>61</v>
      </c>
      <c r="G708" s="3" t="str">
        <f>"2026-03-06 22:02:47.074"</f>
        <v>2026-03-06 22:02:47.074</v>
      </c>
      <c r="H708" s="3" t="s">
        <v>21</v>
      </c>
      <c r="I708" s="3">
        <v>13.88</v>
      </c>
      <c r="J708" s="3" t="s">
        <v>26</v>
      </c>
    </row>
    <row r="709" spans="1:10" x14ac:dyDescent="0.25">
      <c r="A709" s="1">
        <v>91</v>
      </c>
      <c r="B709" t="s">
        <v>19</v>
      </c>
      <c r="C709">
        <v>706</v>
      </c>
      <c r="D709">
        <v>2</v>
      </c>
      <c r="E709" t="s">
        <v>29</v>
      </c>
      <c r="F709" t="s">
        <v>59</v>
      </c>
      <c r="G709" t="str">
        <f>"2026-03-06 17:00:26.281"</f>
        <v>2026-03-06 17:00:26.281</v>
      </c>
      <c r="H709" t="s">
        <v>21</v>
      </c>
      <c r="I709">
        <v>0</v>
      </c>
      <c r="J709" t="s">
        <v>31</v>
      </c>
    </row>
    <row r="710" spans="1:10" x14ac:dyDescent="0.25">
      <c r="A710" s="1">
        <v>92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"2026-03-06 16:44:16.481"</f>
        <v>2026-03-06 16:44:16.481</v>
      </c>
      <c r="H710" t="s">
        <v>21</v>
      </c>
      <c r="I710">
        <v>0</v>
      </c>
      <c r="J710" t="s">
        <v>27</v>
      </c>
    </row>
    <row r="711" spans="1:10" x14ac:dyDescent="0.25">
      <c r="A711" s="1">
        <v>93</v>
      </c>
      <c r="B711" t="s">
        <v>19</v>
      </c>
      <c r="C711">
        <v>706</v>
      </c>
      <c r="D711">
        <v>4</v>
      </c>
      <c r="E711" t="s">
        <v>29</v>
      </c>
      <c r="F711" t="s">
        <v>30</v>
      </c>
      <c r="G711" t="str">
        <f>"2026-03-06 15:57:15.937"</f>
        <v>2026-03-06 15:57:15.937</v>
      </c>
      <c r="H711" t="s">
        <v>21</v>
      </c>
      <c r="I711">
        <v>0</v>
      </c>
      <c r="J711" t="s">
        <v>31</v>
      </c>
    </row>
    <row r="712" spans="1:10" x14ac:dyDescent="0.25">
      <c r="A712" s="1">
        <v>94</v>
      </c>
      <c r="B712" t="s">
        <v>19</v>
      </c>
      <c r="C712">
        <v>706</v>
      </c>
      <c r="D712">
        <v>2</v>
      </c>
      <c r="E712" t="s">
        <v>29</v>
      </c>
      <c r="F712" t="s">
        <v>59</v>
      </c>
      <c r="G712" t="str">
        <f>"2026-03-06 15:57:04.947"</f>
        <v>2026-03-06 15:57:04.947</v>
      </c>
      <c r="H712" t="s">
        <v>21</v>
      </c>
      <c r="I712">
        <v>0</v>
      </c>
      <c r="J712" t="s">
        <v>31</v>
      </c>
    </row>
    <row r="713" spans="1:10" x14ac:dyDescent="0.25">
      <c r="A713" s="1">
        <v>95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"2026-03-06 15:43:03.537"</f>
        <v>2026-03-06 15:43:03.537</v>
      </c>
      <c r="H713" t="s">
        <v>21</v>
      </c>
      <c r="I713">
        <v>0</v>
      </c>
      <c r="J713" t="s">
        <v>27</v>
      </c>
    </row>
    <row r="714" spans="1:10" x14ac:dyDescent="0.25">
      <c r="A714" s="1">
        <v>96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"2026-03-06 14:33:36.553"</f>
        <v>2026-03-06 14:33:36.553</v>
      </c>
      <c r="H714" t="s">
        <v>21</v>
      </c>
      <c r="I714">
        <v>0</v>
      </c>
      <c r="J714" t="s">
        <v>27</v>
      </c>
    </row>
    <row r="715" spans="1:10" x14ac:dyDescent="0.25">
      <c r="A715" s="1">
        <v>97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"2026-03-06 14:08:38.488"</f>
        <v>2026-03-06 14:08:38.488</v>
      </c>
      <c r="H715" t="s">
        <v>21</v>
      </c>
      <c r="I715">
        <v>0</v>
      </c>
      <c r="J715" t="s">
        <v>27</v>
      </c>
    </row>
    <row r="716" spans="1:10" x14ac:dyDescent="0.25">
      <c r="A716" s="1">
        <v>98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"2026-03-06 11:59:57.492"</f>
        <v>2026-03-06 11:59:57.492</v>
      </c>
      <c r="H716" t="s">
        <v>21</v>
      </c>
      <c r="I716">
        <v>0</v>
      </c>
      <c r="J716" t="s">
        <v>27</v>
      </c>
    </row>
    <row r="717" spans="1:10" x14ac:dyDescent="0.25">
      <c r="A717" s="1">
        <v>99</v>
      </c>
      <c r="B717" t="s">
        <v>22</v>
      </c>
      <c r="C717">
        <v>61</v>
      </c>
      <c r="D717">
        <v>2</v>
      </c>
      <c r="E717" t="s">
        <v>76</v>
      </c>
      <c r="F717" t="s">
        <v>77</v>
      </c>
      <c r="G717" t="str">
        <f>"2026-03-04 07:31:26.306"</f>
        <v>2026-03-04 07:31:26.306</v>
      </c>
      <c r="H717" t="s">
        <v>21</v>
      </c>
    </row>
    <row r="718" spans="1:10" x14ac:dyDescent="0.25">
      <c r="A718" s="1">
        <v>0</v>
      </c>
      <c r="B718" t="s">
        <v>49</v>
      </c>
      <c r="C718">
        <v>61</v>
      </c>
      <c r="D718">
        <v>2</v>
      </c>
      <c r="E718" t="s">
        <v>76</v>
      </c>
      <c r="F718" t="s">
        <v>77</v>
      </c>
      <c r="G718" t="str">
        <f>"2026-03-04 07:31:12.406"</f>
        <v>2026-03-04 07:31:12.406</v>
      </c>
      <c r="H718" t="s">
        <v>21</v>
      </c>
      <c r="I718">
        <v>30.86</v>
      </c>
      <c r="J718" t="s">
        <v>26</v>
      </c>
    </row>
    <row r="719" spans="1:10" x14ac:dyDescent="0.25">
      <c r="A719" s="1">
        <v>1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"2026-03-04 02:32:56.590"</f>
        <v>2026-03-04 02:32:56.590</v>
      </c>
      <c r="H719" t="s">
        <v>21</v>
      </c>
    </row>
    <row r="720" spans="1:10" x14ac:dyDescent="0.25">
      <c r="A720" s="1">
        <v>2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"2026-03-03 16:32:56.482"</f>
        <v>2026-03-03 16:32:56.482</v>
      </c>
      <c r="H720" t="s">
        <v>21</v>
      </c>
    </row>
    <row r="721" spans="1:10" x14ac:dyDescent="0.25">
      <c r="A721" s="1">
        <v>3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"2026-03-02 20:50:07.487"</f>
        <v>2026-03-02 20:50:07.487</v>
      </c>
      <c r="H721" t="s">
        <v>21</v>
      </c>
      <c r="I721">
        <v>0</v>
      </c>
      <c r="J721" t="s">
        <v>27</v>
      </c>
    </row>
    <row r="722" spans="1:10" x14ac:dyDescent="0.25">
      <c r="A722" s="1">
        <v>4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"2026-03-02 03:39:50.483"</f>
        <v>2026-03-02 03:39:50.483</v>
      </c>
      <c r="H722" t="s">
        <v>21</v>
      </c>
    </row>
    <row r="723" spans="1:10" x14ac:dyDescent="0.25">
      <c r="A723" s="1">
        <v>5</v>
      </c>
      <c r="B723" t="s">
        <v>19</v>
      </c>
      <c r="C723">
        <v>706</v>
      </c>
      <c r="D723">
        <v>4</v>
      </c>
      <c r="E723" t="s">
        <v>29</v>
      </c>
      <c r="F723" t="s">
        <v>30</v>
      </c>
      <c r="G723" t="str">
        <f>"2026-03-01 15:41:46.492"</f>
        <v>2026-03-01 15:41:46.492</v>
      </c>
      <c r="H723" t="s">
        <v>21</v>
      </c>
      <c r="I723">
        <v>0</v>
      </c>
      <c r="J723" t="s">
        <v>31</v>
      </c>
    </row>
    <row r="724" spans="1:10" x14ac:dyDescent="0.25">
      <c r="A724" s="1">
        <v>6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"2026-03-01 02:52:38.482"</f>
        <v>2026-03-01 02:52:38.482</v>
      </c>
      <c r="H724" t="s">
        <v>21</v>
      </c>
      <c r="I724">
        <v>0</v>
      </c>
      <c r="J724" t="s">
        <v>27</v>
      </c>
    </row>
    <row r="725" spans="1:10" x14ac:dyDescent="0.25">
      <c r="A725" s="1">
        <v>7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"2026-02-28 13:07:43.641"</f>
        <v>2026-02-28 13:07:43.641</v>
      </c>
      <c r="H725" t="s">
        <v>21</v>
      </c>
      <c r="I725">
        <v>0</v>
      </c>
      <c r="J725" t="s">
        <v>27</v>
      </c>
    </row>
    <row r="726" spans="1:10" x14ac:dyDescent="0.25">
      <c r="A726" s="1">
        <v>8</v>
      </c>
      <c r="B726" t="s">
        <v>19</v>
      </c>
      <c r="C726">
        <v>706</v>
      </c>
      <c r="D726">
        <v>4</v>
      </c>
      <c r="E726" t="s">
        <v>29</v>
      </c>
      <c r="F726" t="s">
        <v>30</v>
      </c>
      <c r="G726" t="str">
        <f>"2026-02-28 03:16:52.063"</f>
        <v>2026-02-28 03:16:52.063</v>
      </c>
      <c r="H726" t="s">
        <v>21</v>
      </c>
      <c r="I726">
        <v>0</v>
      </c>
      <c r="J726" t="s">
        <v>31</v>
      </c>
    </row>
    <row r="727" spans="1:10" x14ac:dyDescent="0.25">
      <c r="A727" s="1">
        <v>9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"2026-02-28 03:16:09.483"</f>
        <v>2026-02-28 03:16:09.483</v>
      </c>
      <c r="H727" t="s">
        <v>21</v>
      </c>
    </row>
    <row r="728" spans="1:10" s="3" customFormat="1" x14ac:dyDescent="0.25">
      <c r="A728" s="2">
        <v>10</v>
      </c>
      <c r="B728" s="3" t="s">
        <v>22</v>
      </c>
      <c r="C728" s="3">
        <v>647</v>
      </c>
      <c r="D728" s="3">
        <v>1</v>
      </c>
      <c r="E728" s="3" t="s">
        <v>60</v>
      </c>
      <c r="F728" s="3" t="s">
        <v>61</v>
      </c>
      <c r="G728" s="3" t="str">
        <f>"2026-02-28 00:56:49.638"</f>
        <v>2026-02-28 00:56:49.638</v>
      </c>
      <c r="H728" s="3" t="s">
        <v>21</v>
      </c>
    </row>
    <row r="729" spans="1:10" s="3" customFormat="1" x14ac:dyDescent="0.25">
      <c r="A729" s="2">
        <v>11</v>
      </c>
      <c r="B729" s="3" t="s">
        <v>25</v>
      </c>
      <c r="C729" s="3">
        <v>647</v>
      </c>
      <c r="D729" s="3">
        <v>1</v>
      </c>
      <c r="E729" s="3" t="s">
        <v>60</v>
      </c>
      <c r="F729" s="3" t="s">
        <v>61</v>
      </c>
      <c r="G729" s="3" t="str">
        <f>"2026-02-28 00:56:48.338"</f>
        <v>2026-02-28 00:56:48.338</v>
      </c>
      <c r="H729" s="3" t="s">
        <v>21</v>
      </c>
      <c r="I729" s="3">
        <v>8.4600000000000009</v>
      </c>
      <c r="J729" s="3" t="s">
        <v>26</v>
      </c>
    </row>
    <row r="730" spans="1:10" x14ac:dyDescent="0.25">
      <c r="A730" s="1">
        <v>12</v>
      </c>
      <c r="B730" t="s">
        <v>22</v>
      </c>
      <c r="C730">
        <v>635</v>
      </c>
      <c r="D730">
        <v>1</v>
      </c>
      <c r="E730" t="s">
        <v>23</v>
      </c>
      <c r="F730" t="s">
        <v>24</v>
      </c>
      <c r="G730" t="str">
        <f>"2026-02-27 17:42:43.238"</f>
        <v>2026-02-27 17:42:43.238</v>
      </c>
      <c r="H730" t="s">
        <v>21</v>
      </c>
    </row>
    <row r="731" spans="1:10" x14ac:dyDescent="0.25">
      <c r="A731" s="1">
        <v>13</v>
      </c>
      <c r="B731" t="s">
        <v>25</v>
      </c>
      <c r="C731">
        <v>635</v>
      </c>
      <c r="D731">
        <v>1</v>
      </c>
      <c r="E731" t="s">
        <v>23</v>
      </c>
      <c r="F731" t="s">
        <v>24</v>
      </c>
      <c r="G731" t="str">
        <f>"2026-02-27 17:38:49.738"</f>
        <v>2026-02-27 17:38:49.738</v>
      </c>
      <c r="H731" t="s">
        <v>21</v>
      </c>
      <c r="I731">
        <v>2.2999999999999998</v>
      </c>
      <c r="J731" t="s">
        <v>26</v>
      </c>
    </row>
    <row r="732" spans="1:10" x14ac:dyDescent="0.25">
      <c r="A732" s="1">
        <v>14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"2026-02-27 15:56:53.482"</f>
        <v>2026-02-27 15:56:53.482</v>
      </c>
      <c r="H732" t="s">
        <v>21</v>
      </c>
      <c r="I732">
        <v>0</v>
      </c>
      <c r="J732" t="s">
        <v>27</v>
      </c>
    </row>
    <row r="733" spans="1:10" x14ac:dyDescent="0.25">
      <c r="A733" s="1">
        <v>15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"2026-02-27 15:13:12.481"</f>
        <v>2026-02-27 15:13:12.481</v>
      </c>
      <c r="H733" t="s">
        <v>21</v>
      </c>
      <c r="I733">
        <v>0</v>
      </c>
      <c r="J733" t="s">
        <v>27</v>
      </c>
    </row>
    <row r="734" spans="1:10" x14ac:dyDescent="0.25">
      <c r="A734" s="1">
        <v>16</v>
      </c>
      <c r="B734" t="s">
        <v>22</v>
      </c>
      <c r="C734">
        <v>635</v>
      </c>
      <c r="D734">
        <v>1</v>
      </c>
      <c r="E734" t="s">
        <v>23</v>
      </c>
      <c r="F734" t="s">
        <v>24</v>
      </c>
      <c r="G734" t="str">
        <f>"2026-02-27 12:12:53.273"</f>
        <v>2026-02-27 12:12:53.273</v>
      </c>
      <c r="H734" t="s">
        <v>21</v>
      </c>
    </row>
    <row r="735" spans="1:10" x14ac:dyDescent="0.25">
      <c r="A735" s="1">
        <v>17</v>
      </c>
      <c r="B735" t="s">
        <v>25</v>
      </c>
      <c r="C735">
        <v>635</v>
      </c>
      <c r="D735">
        <v>1</v>
      </c>
      <c r="E735" t="s">
        <v>23</v>
      </c>
      <c r="F735" t="s">
        <v>24</v>
      </c>
      <c r="G735" t="str">
        <f>"2026-02-27 12:10:29.273"</f>
        <v>2026-02-27 12:10:29.273</v>
      </c>
      <c r="H735" t="s">
        <v>21</v>
      </c>
      <c r="I735">
        <v>0.36</v>
      </c>
      <c r="J735" t="s">
        <v>26</v>
      </c>
    </row>
    <row r="736" spans="1:10" x14ac:dyDescent="0.25">
      <c r="A736" s="1">
        <v>18</v>
      </c>
      <c r="B736" t="s">
        <v>19</v>
      </c>
      <c r="C736">
        <v>706</v>
      </c>
      <c r="D736">
        <v>4</v>
      </c>
      <c r="E736" t="s">
        <v>29</v>
      </c>
      <c r="F736" t="s">
        <v>30</v>
      </c>
      <c r="G736" t="str">
        <f>"2026-02-26 03:14:51.649"</f>
        <v>2026-02-26 03:14:51.649</v>
      </c>
      <c r="H736" t="s">
        <v>21</v>
      </c>
      <c r="I736">
        <v>0</v>
      </c>
      <c r="J736" t="s">
        <v>31</v>
      </c>
    </row>
    <row r="737" spans="1:10" x14ac:dyDescent="0.25">
      <c r="A737" s="1">
        <v>19</v>
      </c>
      <c r="B737" t="s">
        <v>19</v>
      </c>
      <c r="C737">
        <v>706</v>
      </c>
      <c r="D737">
        <v>2</v>
      </c>
      <c r="E737" t="s">
        <v>29</v>
      </c>
      <c r="F737" t="s">
        <v>59</v>
      </c>
      <c r="G737" t="str">
        <f>"2026-02-26 02:37:15.669"</f>
        <v>2026-02-26 02:37:15.669</v>
      </c>
      <c r="H737" t="s">
        <v>21</v>
      </c>
      <c r="I737">
        <v>0</v>
      </c>
      <c r="J737" t="s">
        <v>31</v>
      </c>
    </row>
    <row r="738" spans="1:10" x14ac:dyDescent="0.25">
      <c r="A738" s="1">
        <v>20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"2026-02-26 02:30:06.479"</f>
        <v>2026-02-26 02:30:06.479</v>
      </c>
      <c r="H738" t="s">
        <v>21</v>
      </c>
      <c r="I738">
        <v>0</v>
      </c>
      <c r="J738" t="s">
        <v>27</v>
      </c>
    </row>
    <row r="739" spans="1:10" x14ac:dyDescent="0.25">
      <c r="A739" s="1">
        <v>21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"2026-02-25 06:29:38.508"</f>
        <v>2026-02-25 06:29:38.508</v>
      </c>
      <c r="H739" t="s">
        <v>21</v>
      </c>
    </row>
    <row r="740" spans="1:10" x14ac:dyDescent="0.25">
      <c r="A740" s="1">
        <v>22</v>
      </c>
      <c r="B740" t="s">
        <v>22</v>
      </c>
      <c r="C740">
        <v>61</v>
      </c>
      <c r="D740">
        <v>2</v>
      </c>
      <c r="E740" t="s">
        <v>76</v>
      </c>
      <c r="F740" t="s">
        <v>77</v>
      </c>
      <c r="G740" t="str">
        <f>"2026-02-24 17:26:46.474"</f>
        <v>2026-02-24 17:26:46.474</v>
      </c>
      <c r="H740" t="s">
        <v>21</v>
      </c>
    </row>
    <row r="741" spans="1:10" x14ac:dyDescent="0.25">
      <c r="A741" s="1">
        <v>23</v>
      </c>
      <c r="B741" t="s">
        <v>49</v>
      </c>
      <c r="C741">
        <v>61</v>
      </c>
      <c r="D741">
        <v>2</v>
      </c>
      <c r="E741" t="s">
        <v>76</v>
      </c>
      <c r="F741" t="s">
        <v>77</v>
      </c>
      <c r="G741" t="str">
        <f>"2026-02-24 17:26:33.574"</f>
        <v>2026-02-24 17:26:33.574</v>
      </c>
      <c r="H741" t="s">
        <v>21</v>
      </c>
      <c r="I741">
        <v>30.58</v>
      </c>
      <c r="J741" t="s">
        <v>26</v>
      </c>
    </row>
    <row r="742" spans="1:10" x14ac:dyDescent="0.25">
      <c r="A742" s="1">
        <v>24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"2026-02-23 23:54:43.467"</f>
        <v>2026-02-23 23:54:43.467</v>
      </c>
      <c r="H742" t="s">
        <v>21</v>
      </c>
      <c r="I742">
        <v>0</v>
      </c>
      <c r="J742" t="s">
        <v>27</v>
      </c>
    </row>
    <row r="743" spans="1:10" x14ac:dyDescent="0.25">
      <c r="A743" s="1">
        <v>25</v>
      </c>
      <c r="B743" t="s">
        <v>19</v>
      </c>
      <c r="C743">
        <v>706</v>
      </c>
      <c r="D743">
        <v>4</v>
      </c>
      <c r="E743" t="s">
        <v>29</v>
      </c>
      <c r="F743" t="s">
        <v>30</v>
      </c>
      <c r="G743" t="str">
        <f>"2026-02-23 23:11:47.863"</f>
        <v>2026-02-23 23:11:47.863</v>
      </c>
      <c r="H743" t="s">
        <v>21</v>
      </c>
      <c r="I743">
        <v>0</v>
      </c>
      <c r="J743" t="s">
        <v>31</v>
      </c>
    </row>
    <row r="744" spans="1:10" x14ac:dyDescent="0.25">
      <c r="A744" s="1">
        <v>26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"2026-02-23 23:05:08.483"</f>
        <v>2026-02-23 23:05:08.483</v>
      </c>
      <c r="H744" t="s">
        <v>21</v>
      </c>
      <c r="I744">
        <v>0</v>
      </c>
      <c r="J744" t="s">
        <v>27</v>
      </c>
    </row>
    <row r="745" spans="1:10" x14ac:dyDescent="0.25">
      <c r="A745" s="1">
        <v>27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"2026-02-23 21:50:28.470"</f>
        <v>2026-02-23 21:50:28.470</v>
      </c>
      <c r="H745" t="s">
        <v>21</v>
      </c>
    </row>
    <row r="746" spans="1:10" x14ac:dyDescent="0.25">
      <c r="A746" s="1">
        <v>28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"2026-02-23 21:09:50.682"</f>
        <v>2026-02-23 21:09:50.682</v>
      </c>
      <c r="H746" t="s">
        <v>21</v>
      </c>
      <c r="I746">
        <v>0</v>
      </c>
      <c r="J746" t="s">
        <v>27</v>
      </c>
    </row>
    <row r="747" spans="1:10" x14ac:dyDescent="0.25">
      <c r="A747" s="1">
        <v>29</v>
      </c>
      <c r="B747" t="s">
        <v>19</v>
      </c>
      <c r="C747">
        <v>706</v>
      </c>
      <c r="D747">
        <v>4</v>
      </c>
      <c r="E747" t="s">
        <v>29</v>
      </c>
      <c r="F747" t="s">
        <v>30</v>
      </c>
      <c r="G747" t="str">
        <f>"2026-02-23 14:38:19.261"</f>
        <v>2026-02-23 14:38:19.261</v>
      </c>
      <c r="H747" t="s">
        <v>21</v>
      </c>
      <c r="I747">
        <v>0</v>
      </c>
      <c r="J747" t="s">
        <v>31</v>
      </c>
    </row>
    <row r="748" spans="1:10" x14ac:dyDescent="0.25">
      <c r="A748" s="1">
        <v>30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"2026-02-23 14:37:54.471"</f>
        <v>2026-02-23 14:37:54.471</v>
      </c>
      <c r="H748" t="s">
        <v>21</v>
      </c>
      <c r="I748">
        <v>0</v>
      </c>
      <c r="J748" t="s">
        <v>27</v>
      </c>
    </row>
    <row r="749" spans="1:10" x14ac:dyDescent="0.25">
      <c r="A749" s="1">
        <v>31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"2026-02-23 11:45:36.491"</f>
        <v>2026-02-23 11:45:36.491</v>
      </c>
      <c r="H749" t="s">
        <v>21</v>
      </c>
      <c r="I749">
        <v>0</v>
      </c>
      <c r="J749" t="s">
        <v>27</v>
      </c>
    </row>
    <row r="750" spans="1:10" x14ac:dyDescent="0.25">
      <c r="A750" s="1">
        <v>32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"2026-02-23 05:28:36.668"</f>
        <v>2026-02-23 05:28:36.668</v>
      </c>
      <c r="H750" t="s">
        <v>21</v>
      </c>
      <c r="I750">
        <v>0</v>
      </c>
      <c r="J750" t="s">
        <v>27</v>
      </c>
    </row>
    <row r="751" spans="1:10" x14ac:dyDescent="0.25">
      <c r="A751" s="1">
        <v>33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"2026-02-21 23:07:38.469"</f>
        <v>2026-02-21 23:07:38.469</v>
      </c>
      <c r="H751" t="s">
        <v>21</v>
      </c>
    </row>
    <row r="752" spans="1:10" x14ac:dyDescent="0.25">
      <c r="A752" s="1">
        <v>34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"2026-02-19 13:20:30.485"</f>
        <v>2026-02-19 13:20:30.485</v>
      </c>
      <c r="H752" t="s">
        <v>21</v>
      </c>
    </row>
    <row r="753" spans="1:10" x14ac:dyDescent="0.25">
      <c r="A753" s="1">
        <v>35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"2026-02-19 05:02:48.513"</f>
        <v>2026-02-19 05:02:48.513</v>
      </c>
      <c r="H753" t="s">
        <v>21</v>
      </c>
      <c r="I753">
        <v>0</v>
      </c>
      <c r="J753" t="s">
        <v>27</v>
      </c>
    </row>
    <row r="754" spans="1:10" x14ac:dyDescent="0.25">
      <c r="A754" s="1">
        <v>36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"2026-02-18 22:56:59.484"</f>
        <v>2026-02-18 22:56:59.484</v>
      </c>
      <c r="H754" t="s">
        <v>21</v>
      </c>
      <c r="I754">
        <v>0</v>
      </c>
      <c r="J754" t="s">
        <v>27</v>
      </c>
    </row>
    <row r="755" spans="1:10" x14ac:dyDescent="0.25">
      <c r="A755" s="1">
        <v>37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"2026-02-18 22:52:39.486"</f>
        <v>2026-02-18 22:52:39.486</v>
      </c>
      <c r="H755" t="s">
        <v>21</v>
      </c>
      <c r="I755">
        <v>0</v>
      </c>
      <c r="J755" t="s">
        <v>27</v>
      </c>
    </row>
    <row r="756" spans="1:10" s="3" customFormat="1" x14ac:dyDescent="0.25">
      <c r="A756" s="2">
        <v>38</v>
      </c>
      <c r="B756" s="3" t="s">
        <v>22</v>
      </c>
      <c r="C756" s="3">
        <v>647</v>
      </c>
      <c r="D756" s="3">
        <v>1</v>
      </c>
      <c r="E756" s="3" t="s">
        <v>60</v>
      </c>
      <c r="F756" s="3" t="s">
        <v>61</v>
      </c>
      <c r="G756" s="3" t="str">
        <f>"2026-02-17 14:41:00.793"</f>
        <v>2026-02-17 14:41:00.793</v>
      </c>
      <c r="H756" s="3" t="s">
        <v>21</v>
      </c>
    </row>
    <row r="757" spans="1:10" s="3" customFormat="1" x14ac:dyDescent="0.25">
      <c r="A757" s="2">
        <v>39</v>
      </c>
      <c r="B757" s="3" t="s">
        <v>25</v>
      </c>
      <c r="C757" s="3">
        <v>647</v>
      </c>
      <c r="D757" s="3">
        <v>1</v>
      </c>
      <c r="E757" s="3" t="s">
        <v>60</v>
      </c>
      <c r="F757" s="3" t="s">
        <v>61</v>
      </c>
      <c r="G757" s="3" t="str">
        <f>"2026-02-17 14:40:58.893"</f>
        <v>2026-02-17 14:40:58.893</v>
      </c>
      <c r="H757" s="3" t="s">
        <v>21</v>
      </c>
      <c r="I757" s="3">
        <v>14.32</v>
      </c>
      <c r="J757" s="3" t="s">
        <v>26</v>
      </c>
    </row>
    <row r="758" spans="1:10" s="3" customFormat="1" x14ac:dyDescent="0.25">
      <c r="A758" s="2">
        <v>40</v>
      </c>
      <c r="B758" s="3" t="s">
        <v>22</v>
      </c>
      <c r="C758" s="3">
        <v>647</v>
      </c>
      <c r="D758" s="3">
        <v>1</v>
      </c>
      <c r="E758" s="3" t="s">
        <v>60</v>
      </c>
      <c r="F758" s="3" t="s">
        <v>61</v>
      </c>
      <c r="G758" s="3" t="str">
        <f>"2026-02-17 08:35:51.393"</f>
        <v>2026-02-17 08:35:51.393</v>
      </c>
      <c r="H758" s="3" t="s">
        <v>21</v>
      </c>
    </row>
    <row r="759" spans="1:10" s="3" customFormat="1" x14ac:dyDescent="0.25">
      <c r="A759" s="2">
        <v>41</v>
      </c>
      <c r="B759" s="3" t="s">
        <v>25</v>
      </c>
      <c r="C759" s="3">
        <v>647</v>
      </c>
      <c r="D759" s="3">
        <v>1</v>
      </c>
      <c r="E759" s="3" t="s">
        <v>60</v>
      </c>
      <c r="F759" s="3" t="s">
        <v>61</v>
      </c>
      <c r="G759" s="3" t="str">
        <f>"2026-02-17 08:35:43.894"</f>
        <v>2026-02-17 08:35:43.894</v>
      </c>
      <c r="H759" s="3" t="s">
        <v>21</v>
      </c>
      <c r="I759" s="3">
        <v>24.48</v>
      </c>
      <c r="J759" s="3" t="s">
        <v>26</v>
      </c>
    </row>
    <row r="760" spans="1:10" x14ac:dyDescent="0.25">
      <c r="A760" s="1">
        <v>42</v>
      </c>
      <c r="B760" t="s">
        <v>22</v>
      </c>
      <c r="C760">
        <v>61</v>
      </c>
      <c r="D760">
        <v>2</v>
      </c>
      <c r="E760" t="s">
        <v>76</v>
      </c>
      <c r="F760" t="s">
        <v>77</v>
      </c>
      <c r="G760" t="str">
        <f>"2026-02-15 19:25:56.306"</f>
        <v>2026-02-15 19:25:56.306</v>
      </c>
      <c r="H760" t="s">
        <v>21</v>
      </c>
    </row>
    <row r="761" spans="1:10" x14ac:dyDescent="0.25">
      <c r="A761" s="1">
        <v>43</v>
      </c>
      <c r="B761" t="s">
        <v>49</v>
      </c>
      <c r="C761">
        <v>61</v>
      </c>
      <c r="D761">
        <v>2</v>
      </c>
      <c r="E761" t="s">
        <v>76</v>
      </c>
      <c r="F761" t="s">
        <v>77</v>
      </c>
      <c r="G761" t="str">
        <f>"2026-02-15 19:25:40.906"</f>
        <v>2026-02-15 19:25:40.906</v>
      </c>
      <c r="H761" t="s">
        <v>21</v>
      </c>
      <c r="I761">
        <v>30.49</v>
      </c>
      <c r="J761" t="s">
        <v>26</v>
      </c>
    </row>
    <row r="762" spans="1:10" x14ac:dyDescent="0.25">
      <c r="A762" s="1">
        <v>44</v>
      </c>
      <c r="B762" t="s">
        <v>22</v>
      </c>
      <c r="C762">
        <v>61</v>
      </c>
      <c r="D762">
        <v>2</v>
      </c>
      <c r="E762" t="s">
        <v>76</v>
      </c>
      <c r="F762" t="s">
        <v>77</v>
      </c>
      <c r="G762" t="str">
        <f>"2026-02-15 07:38:13.606"</f>
        <v>2026-02-15 07:38:13.606</v>
      </c>
      <c r="H762" t="s">
        <v>21</v>
      </c>
    </row>
    <row r="763" spans="1:10" x14ac:dyDescent="0.25">
      <c r="A763" s="1">
        <v>45</v>
      </c>
      <c r="B763" t="s">
        <v>49</v>
      </c>
      <c r="C763">
        <v>61</v>
      </c>
      <c r="D763">
        <v>2</v>
      </c>
      <c r="E763" t="s">
        <v>76</v>
      </c>
      <c r="F763" t="s">
        <v>77</v>
      </c>
      <c r="G763" t="str">
        <f>"2026-02-15 07:38:01.706"</f>
        <v>2026-02-15 07:38:01.706</v>
      </c>
      <c r="H763" t="s">
        <v>21</v>
      </c>
      <c r="I763">
        <v>29.77</v>
      </c>
      <c r="J763" t="s">
        <v>26</v>
      </c>
    </row>
    <row r="764" spans="1:10" x14ac:dyDescent="0.25">
      <c r="A764" s="1">
        <v>46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"2026-02-14 14:02:34.513"</f>
        <v>2026-02-14 14:02:34.513</v>
      </c>
      <c r="H764" t="s">
        <v>21</v>
      </c>
      <c r="I764">
        <v>0</v>
      </c>
      <c r="J764" t="s">
        <v>27</v>
      </c>
    </row>
    <row r="765" spans="1:10" x14ac:dyDescent="0.25">
      <c r="A765" s="1">
        <v>47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"2026-02-13 04:59:09.461"</f>
        <v>2026-02-13 04:59:09.461</v>
      </c>
      <c r="H765" t="s">
        <v>21</v>
      </c>
      <c r="I765">
        <v>0</v>
      </c>
      <c r="J765" t="s">
        <v>27</v>
      </c>
    </row>
    <row r="766" spans="1:10" x14ac:dyDescent="0.25">
      <c r="A766" s="1">
        <v>48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"2026-02-13 04:46:13.476"</f>
        <v>2026-02-13 04:46:13.476</v>
      </c>
      <c r="H766" t="s">
        <v>21</v>
      </c>
      <c r="I766">
        <v>0</v>
      </c>
      <c r="J766" t="s">
        <v>27</v>
      </c>
    </row>
    <row r="767" spans="1:10" x14ac:dyDescent="0.25">
      <c r="A767" s="1">
        <v>49</v>
      </c>
      <c r="B767" t="s">
        <v>19</v>
      </c>
      <c r="C767">
        <v>700</v>
      </c>
      <c r="D767">
        <v>0</v>
      </c>
      <c r="E767" t="s">
        <v>20</v>
      </c>
      <c r="F767" t="s">
        <v>20</v>
      </c>
      <c r="G767" t="str">
        <f>"2026-02-13 04:43:53.534"</f>
        <v>2026-02-13 04:43:53.534</v>
      </c>
      <c r="H767" t="s">
        <v>21</v>
      </c>
    </row>
    <row r="768" spans="1:10" x14ac:dyDescent="0.25">
      <c r="A768" s="1">
        <v>50</v>
      </c>
      <c r="B768" t="s">
        <v>19</v>
      </c>
      <c r="C768">
        <v>706</v>
      </c>
      <c r="D768">
        <v>4</v>
      </c>
      <c r="E768" t="s">
        <v>29</v>
      </c>
      <c r="F768" t="s">
        <v>30</v>
      </c>
      <c r="G768" t="str">
        <f>"2026-02-13 04:35:29.644"</f>
        <v>2026-02-13 04:35:29.644</v>
      </c>
      <c r="H768" t="s">
        <v>21</v>
      </c>
      <c r="I768">
        <v>0</v>
      </c>
      <c r="J768" t="s">
        <v>31</v>
      </c>
    </row>
    <row r="769" spans="1:10" x14ac:dyDescent="0.25">
      <c r="A769" s="1">
        <v>51</v>
      </c>
      <c r="B769" t="s">
        <v>19</v>
      </c>
      <c r="C769">
        <v>706</v>
      </c>
      <c r="D769">
        <v>4</v>
      </c>
      <c r="E769" t="s">
        <v>29</v>
      </c>
      <c r="F769" t="s">
        <v>30</v>
      </c>
      <c r="G769" t="str">
        <f>"2026-02-13 04:33:35.044"</f>
        <v>2026-02-13 04:33:35.044</v>
      </c>
      <c r="H769" t="s">
        <v>21</v>
      </c>
      <c r="I769">
        <v>0</v>
      </c>
      <c r="J769" t="s">
        <v>31</v>
      </c>
    </row>
    <row r="770" spans="1:10" x14ac:dyDescent="0.25">
      <c r="A770" s="1">
        <v>52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"2026-02-13 04:23:47.564"</f>
        <v>2026-02-13 04:23:47.564</v>
      </c>
      <c r="H770" t="s">
        <v>21</v>
      </c>
      <c r="I770">
        <v>0</v>
      </c>
      <c r="J770" t="s">
        <v>27</v>
      </c>
    </row>
    <row r="771" spans="1:10" x14ac:dyDescent="0.25">
      <c r="A771" s="1">
        <v>53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"2026-02-13 02:35:15.735"</f>
        <v>2026-02-13 02:35:15.735</v>
      </c>
      <c r="H771" t="s">
        <v>21</v>
      </c>
      <c r="I771">
        <v>0</v>
      </c>
      <c r="J771" t="s">
        <v>27</v>
      </c>
    </row>
    <row r="772" spans="1:10" x14ac:dyDescent="0.25">
      <c r="A772" s="1">
        <v>54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"2026-02-10 22:33:41.473"</f>
        <v>2026-02-10 22:33:41.473</v>
      </c>
      <c r="H772" t="s">
        <v>21</v>
      </c>
      <c r="I772">
        <v>0</v>
      </c>
      <c r="J772" t="s">
        <v>27</v>
      </c>
    </row>
    <row r="773" spans="1:10" x14ac:dyDescent="0.25">
      <c r="A773" s="1">
        <v>55</v>
      </c>
      <c r="B773" t="s">
        <v>19</v>
      </c>
      <c r="C773">
        <v>706</v>
      </c>
      <c r="D773">
        <v>4</v>
      </c>
      <c r="E773" t="s">
        <v>29</v>
      </c>
      <c r="F773" t="s">
        <v>30</v>
      </c>
      <c r="G773" t="str">
        <f>"2026-02-10 22:19:30.451"</f>
        <v>2026-02-10 22:19:30.451</v>
      </c>
      <c r="H773" t="s">
        <v>21</v>
      </c>
      <c r="I773">
        <v>0</v>
      </c>
      <c r="J773" t="s">
        <v>31</v>
      </c>
    </row>
    <row r="774" spans="1:10" x14ac:dyDescent="0.25">
      <c r="A774" s="1">
        <v>56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"2026-02-10 22:18:34.661"</f>
        <v>2026-02-10 22:18:34.661</v>
      </c>
      <c r="H774" t="s">
        <v>21</v>
      </c>
      <c r="I774">
        <v>0</v>
      </c>
      <c r="J774" t="s">
        <v>27</v>
      </c>
    </row>
    <row r="775" spans="1:10" x14ac:dyDescent="0.25">
      <c r="A775" s="1">
        <v>57</v>
      </c>
      <c r="B775" t="s">
        <v>22</v>
      </c>
      <c r="C775">
        <v>61</v>
      </c>
      <c r="D775">
        <v>2</v>
      </c>
      <c r="E775" t="s">
        <v>76</v>
      </c>
      <c r="F775" t="s">
        <v>77</v>
      </c>
      <c r="G775" t="str">
        <f>"2026-02-10 19:10:10.579"</f>
        <v>2026-02-10 19:10:10.579</v>
      </c>
      <c r="H775" t="s">
        <v>21</v>
      </c>
    </row>
    <row r="776" spans="1:10" x14ac:dyDescent="0.25">
      <c r="A776" s="1">
        <v>58</v>
      </c>
      <c r="B776" t="s">
        <v>49</v>
      </c>
      <c r="C776">
        <v>61</v>
      </c>
      <c r="D776">
        <v>2</v>
      </c>
      <c r="E776" t="s">
        <v>76</v>
      </c>
      <c r="F776" t="s">
        <v>77</v>
      </c>
      <c r="G776" t="str">
        <f>"2026-02-10 19:10:04.179"</f>
        <v>2026-02-10 19:10:04.179</v>
      </c>
      <c r="H776" t="s">
        <v>21</v>
      </c>
      <c r="I776">
        <v>31.22</v>
      </c>
      <c r="J776" t="s">
        <v>26</v>
      </c>
    </row>
    <row r="777" spans="1:10" x14ac:dyDescent="0.25">
      <c r="A777" s="1">
        <v>59</v>
      </c>
      <c r="B777" t="s">
        <v>22</v>
      </c>
      <c r="C777">
        <v>61</v>
      </c>
      <c r="D777">
        <v>2</v>
      </c>
      <c r="E777" t="s">
        <v>76</v>
      </c>
      <c r="F777" t="s">
        <v>77</v>
      </c>
      <c r="G777" t="str">
        <f>"2026-02-10 13:05:50.879"</f>
        <v>2026-02-10 13:05:50.879</v>
      </c>
      <c r="H777" t="s">
        <v>21</v>
      </c>
    </row>
    <row r="778" spans="1:10" x14ac:dyDescent="0.25">
      <c r="A778" s="1">
        <v>60</v>
      </c>
      <c r="B778" t="s">
        <v>49</v>
      </c>
      <c r="C778">
        <v>61</v>
      </c>
      <c r="D778">
        <v>2</v>
      </c>
      <c r="E778" t="s">
        <v>76</v>
      </c>
      <c r="F778" t="s">
        <v>77</v>
      </c>
      <c r="G778" t="str">
        <f>"2026-02-10 13:05:33.379"</f>
        <v>2026-02-10 13:05:33.379</v>
      </c>
      <c r="H778" t="s">
        <v>21</v>
      </c>
      <c r="I778">
        <v>30.43</v>
      </c>
      <c r="J778" t="s">
        <v>26</v>
      </c>
    </row>
    <row r="779" spans="1:10" x14ac:dyDescent="0.25">
      <c r="A779" s="1">
        <v>61</v>
      </c>
      <c r="B779" t="s">
        <v>22</v>
      </c>
      <c r="C779">
        <v>61</v>
      </c>
      <c r="D779">
        <v>2</v>
      </c>
      <c r="E779" t="s">
        <v>76</v>
      </c>
      <c r="F779" t="s">
        <v>77</v>
      </c>
      <c r="G779" t="str">
        <f>"2026-02-09 19:31:59.479"</f>
        <v>2026-02-09 19:31:59.479</v>
      </c>
      <c r="H779" t="s">
        <v>21</v>
      </c>
    </row>
    <row r="780" spans="1:10" x14ac:dyDescent="0.25">
      <c r="A780" s="1">
        <v>62</v>
      </c>
      <c r="B780" t="s">
        <v>49</v>
      </c>
      <c r="C780">
        <v>61</v>
      </c>
      <c r="D780">
        <v>2</v>
      </c>
      <c r="E780" t="s">
        <v>76</v>
      </c>
      <c r="F780" t="s">
        <v>77</v>
      </c>
      <c r="G780" t="str">
        <f>"2026-02-09 19:31:48.179"</f>
        <v>2026-02-09 19:31:48.179</v>
      </c>
      <c r="H780" t="s">
        <v>21</v>
      </c>
      <c r="I780">
        <v>29.2</v>
      </c>
      <c r="J780" t="s">
        <v>26</v>
      </c>
    </row>
    <row r="781" spans="1:10" x14ac:dyDescent="0.25">
      <c r="A781" s="1">
        <v>63</v>
      </c>
      <c r="B781" t="s">
        <v>22</v>
      </c>
      <c r="C781">
        <v>61</v>
      </c>
      <c r="D781">
        <v>2</v>
      </c>
      <c r="E781" t="s">
        <v>76</v>
      </c>
      <c r="F781" t="s">
        <v>77</v>
      </c>
      <c r="G781" t="str">
        <f>"2026-02-09 15:48:31.478"</f>
        <v>2026-02-09 15:48:31.478</v>
      </c>
      <c r="H781" t="s">
        <v>21</v>
      </c>
    </row>
    <row r="782" spans="1:10" x14ac:dyDescent="0.25">
      <c r="A782" s="1">
        <v>64</v>
      </c>
      <c r="B782" t="s">
        <v>49</v>
      </c>
      <c r="C782">
        <v>61</v>
      </c>
      <c r="D782">
        <v>2</v>
      </c>
      <c r="E782" t="s">
        <v>76</v>
      </c>
      <c r="F782" t="s">
        <v>77</v>
      </c>
      <c r="G782" t="str">
        <f>"2026-02-09 15:48:19.979"</f>
        <v>2026-02-09 15:48:19.979</v>
      </c>
      <c r="H782" t="s">
        <v>21</v>
      </c>
      <c r="I782">
        <v>29.95</v>
      </c>
      <c r="J782" t="s">
        <v>26</v>
      </c>
    </row>
    <row r="783" spans="1:10" x14ac:dyDescent="0.25">
      <c r="A783" s="1">
        <v>65</v>
      </c>
      <c r="B783" t="s">
        <v>19</v>
      </c>
      <c r="C783">
        <v>706</v>
      </c>
      <c r="D783">
        <v>4</v>
      </c>
      <c r="E783" t="s">
        <v>29</v>
      </c>
      <c r="F783" t="s">
        <v>30</v>
      </c>
      <c r="G783" t="str">
        <f>"2026-02-09 15:18:51.495"</f>
        <v>2026-02-09 15:18:51.495</v>
      </c>
      <c r="H783" t="s">
        <v>21</v>
      </c>
      <c r="I783">
        <v>0</v>
      </c>
      <c r="J783" t="s">
        <v>31</v>
      </c>
    </row>
    <row r="784" spans="1:10" x14ac:dyDescent="0.25">
      <c r="A784" s="1">
        <v>66</v>
      </c>
      <c r="B784" t="s">
        <v>22</v>
      </c>
      <c r="C784">
        <v>635</v>
      </c>
      <c r="D784">
        <v>1</v>
      </c>
      <c r="E784" t="s">
        <v>23</v>
      </c>
      <c r="F784" t="s">
        <v>24</v>
      </c>
      <c r="G784" t="str">
        <f>"2026-02-06 01:24:28.978"</f>
        <v>2026-02-06 01:24:28.978</v>
      </c>
      <c r="H784" t="s">
        <v>21</v>
      </c>
    </row>
    <row r="785" spans="1:10" x14ac:dyDescent="0.25">
      <c r="A785" s="1">
        <v>67</v>
      </c>
      <c r="B785" t="s">
        <v>25</v>
      </c>
      <c r="C785">
        <v>635</v>
      </c>
      <c r="D785">
        <v>1</v>
      </c>
      <c r="E785" t="s">
        <v>23</v>
      </c>
      <c r="F785" t="s">
        <v>24</v>
      </c>
      <c r="G785" t="str">
        <f>"2026-02-06 01:20:40.478"</f>
        <v>2026-02-06 01:20:40.478</v>
      </c>
      <c r="H785" t="s">
        <v>21</v>
      </c>
      <c r="I785">
        <v>0.28999999999999998</v>
      </c>
      <c r="J785" t="s">
        <v>28</v>
      </c>
    </row>
    <row r="786" spans="1:10" x14ac:dyDescent="0.25">
      <c r="A786" s="1">
        <v>68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"2026-02-05 21:43:23.455"</f>
        <v>2026-02-05 21:43:23.455</v>
      </c>
      <c r="H786" t="s">
        <v>21</v>
      </c>
      <c r="I786">
        <v>0</v>
      </c>
      <c r="J786" t="s">
        <v>27</v>
      </c>
    </row>
    <row r="787" spans="1:10" x14ac:dyDescent="0.25">
      <c r="A787" s="1">
        <v>70</v>
      </c>
      <c r="B787" t="s">
        <v>19</v>
      </c>
      <c r="C787">
        <v>700</v>
      </c>
      <c r="D787">
        <v>0</v>
      </c>
      <c r="E787" t="s">
        <v>20</v>
      </c>
      <c r="F787" t="s">
        <v>20</v>
      </c>
      <c r="G787" t="str">
        <f>"2026-02-04 08:48:44.456"</f>
        <v>2026-02-04 08:48:44.456</v>
      </c>
      <c r="H787" t="s">
        <v>21</v>
      </c>
    </row>
    <row r="788" spans="1:10" x14ac:dyDescent="0.25">
      <c r="A788" s="1">
        <v>71</v>
      </c>
      <c r="B788" t="s">
        <v>22</v>
      </c>
      <c r="C788">
        <v>635</v>
      </c>
      <c r="D788">
        <v>1</v>
      </c>
      <c r="E788" t="s">
        <v>23</v>
      </c>
      <c r="F788" t="s">
        <v>24</v>
      </c>
      <c r="G788" t="str">
        <f>"2026-02-04 05:48:17.920"</f>
        <v>2026-02-04 05:48:17.920</v>
      </c>
      <c r="H788" t="s">
        <v>21</v>
      </c>
    </row>
    <row r="789" spans="1:10" x14ac:dyDescent="0.25">
      <c r="A789" s="1">
        <v>72</v>
      </c>
      <c r="B789" t="s">
        <v>25</v>
      </c>
      <c r="C789">
        <v>635</v>
      </c>
      <c r="D789">
        <v>1</v>
      </c>
      <c r="E789" t="s">
        <v>23</v>
      </c>
      <c r="F789" t="s">
        <v>24</v>
      </c>
      <c r="G789" t="str">
        <f>"2026-02-04 05:43:18.920"</f>
        <v>2026-02-04 05:43:18.920</v>
      </c>
      <c r="H789" t="s">
        <v>21</v>
      </c>
      <c r="I789">
        <v>7.38</v>
      </c>
      <c r="J789" t="s">
        <v>32</v>
      </c>
    </row>
    <row r="790" spans="1:10" x14ac:dyDescent="0.25">
      <c r="A790" s="1">
        <v>73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"2026-02-02 17:00:16.459"</f>
        <v>2026-02-02 17:00:16.459</v>
      </c>
      <c r="H790" t="s">
        <v>21</v>
      </c>
      <c r="I790">
        <v>0</v>
      </c>
      <c r="J790" t="s">
        <v>27</v>
      </c>
    </row>
    <row r="791" spans="1:10" x14ac:dyDescent="0.25">
      <c r="A791" s="1">
        <v>74</v>
      </c>
      <c r="B791" t="s">
        <v>19</v>
      </c>
      <c r="C791">
        <v>706</v>
      </c>
      <c r="D791">
        <v>4</v>
      </c>
      <c r="E791" t="s">
        <v>29</v>
      </c>
      <c r="F791" t="s">
        <v>30</v>
      </c>
      <c r="G791" t="str">
        <f>"2026-02-02 16:19:06.240"</f>
        <v>2026-02-02 16:19:06.240</v>
      </c>
      <c r="H791" t="s">
        <v>21</v>
      </c>
      <c r="I791">
        <v>0</v>
      </c>
      <c r="J791" t="s">
        <v>31</v>
      </c>
    </row>
    <row r="792" spans="1:10" x14ac:dyDescent="0.25">
      <c r="A792" s="1">
        <v>75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"2026-02-02 15:50:59.460"</f>
        <v>2026-02-02 15:50:59.460</v>
      </c>
      <c r="H792" t="s">
        <v>21</v>
      </c>
      <c r="I792">
        <v>0</v>
      </c>
      <c r="J792" t="s">
        <v>27</v>
      </c>
    </row>
    <row r="793" spans="1:10" x14ac:dyDescent="0.25">
      <c r="A793" s="1">
        <v>76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"2026-02-02 15:22:38.696"</f>
        <v>2026-02-02 15:22:38.696</v>
      </c>
      <c r="H793" t="s">
        <v>21</v>
      </c>
    </row>
    <row r="794" spans="1:10" x14ac:dyDescent="0.25">
      <c r="A794" s="1">
        <v>77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"2026-02-02 15:15:24.605"</f>
        <v>2026-02-02 15:15:24.605</v>
      </c>
      <c r="H794" t="s">
        <v>21</v>
      </c>
      <c r="I794">
        <v>0</v>
      </c>
      <c r="J794" t="s">
        <v>27</v>
      </c>
    </row>
    <row r="795" spans="1:10" x14ac:dyDescent="0.25">
      <c r="A795" s="1">
        <v>78</v>
      </c>
      <c r="B795" t="s">
        <v>22</v>
      </c>
      <c r="C795">
        <v>635</v>
      </c>
      <c r="D795">
        <v>1</v>
      </c>
      <c r="E795" t="s">
        <v>23</v>
      </c>
      <c r="F795" t="s">
        <v>24</v>
      </c>
      <c r="G795" t="str">
        <f>"2026-02-02 08:11:45.586"</f>
        <v>2026-02-02 08:11:45.586</v>
      </c>
      <c r="H795" t="s">
        <v>21</v>
      </c>
    </row>
    <row r="796" spans="1:10" x14ac:dyDescent="0.25">
      <c r="A796" s="1">
        <v>79</v>
      </c>
      <c r="B796" t="s">
        <v>25</v>
      </c>
      <c r="C796">
        <v>635</v>
      </c>
      <c r="D796">
        <v>1</v>
      </c>
      <c r="E796" t="s">
        <v>23</v>
      </c>
      <c r="F796" t="s">
        <v>24</v>
      </c>
      <c r="G796" t="str">
        <f>"2026-02-02 08:03:45.086"</f>
        <v>2026-02-02 08:03:45.086</v>
      </c>
      <c r="H796" t="s">
        <v>21</v>
      </c>
      <c r="I796">
        <v>5.78</v>
      </c>
      <c r="J796" t="s">
        <v>32</v>
      </c>
    </row>
    <row r="797" spans="1:10" x14ac:dyDescent="0.25">
      <c r="A797" s="1">
        <v>82</v>
      </c>
      <c r="B797" t="s">
        <v>22</v>
      </c>
      <c r="C797">
        <v>635</v>
      </c>
      <c r="D797">
        <v>1</v>
      </c>
      <c r="E797" t="s">
        <v>23</v>
      </c>
      <c r="F797" t="s">
        <v>24</v>
      </c>
      <c r="G797" t="str">
        <f>"2026-02-01 16:43:35.286"</f>
        <v>2026-02-01 16:43:35.286</v>
      </c>
      <c r="H797" t="s">
        <v>21</v>
      </c>
    </row>
    <row r="798" spans="1:10" x14ac:dyDescent="0.25">
      <c r="A798" s="1">
        <v>84</v>
      </c>
      <c r="B798" t="s">
        <v>25</v>
      </c>
      <c r="C798">
        <v>635</v>
      </c>
      <c r="D798">
        <v>1</v>
      </c>
      <c r="E798" t="s">
        <v>23</v>
      </c>
      <c r="F798" t="s">
        <v>24</v>
      </c>
      <c r="G798" t="str">
        <f>"2026-02-01 16:39:31.786"</f>
        <v>2026-02-01 16:39:31.786</v>
      </c>
      <c r="H798" t="s">
        <v>21</v>
      </c>
      <c r="I798">
        <v>6.95</v>
      </c>
      <c r="J798" t="s">
        <v>32</v>
      </c>
    </row>
    <row r="799" spans="1:10" x14ac:dyDescent="0.25">
      <c r="A799" s="1">
        <v>87</v>
      </c>
      <c r="B799" t="s">
        <v>22</v>
      </c>
      <c r="C799">
        <v>61</v>
      </c>
      <c r="D799">
        <v>2</v>
      </c>
      <c r="E799" t="s">
        <v>76</v>
      </c>
      <c r="F799" t="s">
        <v>77</v>
      </c>
      <c r="G799" t="str">
        <f>"2026-01-30 19:23:45.779"</f>
        <v>2026-01-30 19:23:45.779</v>
      </c>
      <c r="H799" t="s">
        <v>21</v>
      </c>
    </row>
    <row r="800" spans="1:10" x14ac:dyDescent="0.25">
      <c r="A800" s="1">
        <v>88</v>
      </c>
      <c r="B800" t="s">
        <v>49</v>
      </c>
      <c r="C800">
        <v>61</v>
      </c>
      <c r="D800">
        <v>2</v>
      </c>
      <c r="E800" t="s">
        <v>76</v>
      </c>
      <c r="F800" t="s">
        <v>77</v>
      </c>
      <c r="G800" t="str">
        <f>"2026-01-30 19:23:22.879"</f>
        <v>2026-01-30 19:23:22.879</v>
      </c>
      <c r="H800" t="s">
        <v>21</v>
      </c>
      <c r="I800">
        <v>30.11</v>
      </c>
      <c r="J800" t="s">
        <v>26</v>
      </c>
    </row>
    <row r="801" spans="1:10" x14ac:dyDescent="0.25">
      <c r="A801" s="1">
        <v>89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"2026-01-30 16:39:14.478"</f>
        <v>2026-01-30 16:39:14.478</v>
      </c>
      <c r="H801" t="s">
        <v>21</v>
      </c>
      <c r="I801">
        <v>0</v>
      </c>
      <c r="J801" t="s">
        <v>27</v>
      </c>
    </row>
    <row r="802" spans="1:10" x14ac:dyDescent="0.25">
      <c r="A802" s="1">
        <v>90</v>
      </c>
      <c r="B802" t="s">
        <v>22</v>
      </c>
      <c r="C802">
        <v>61</v>
      </c>
      <c r="D802">
        <v>2</v>
      </c>
      <c r="E802" t="s">
        <v>76</v>
      </c>
      <c r="F802" t="s">
        <v>77</v>
      </c>
      <c r="G802" t="str">
        <f>"2026-01-28 19:13:51.373"</f>
        <v>2026-01-28 19:13:51.373</v>
      </c>
      <c r="H802" t="s">
        <v>21</v>
      </c>
    </row>
    <row r="803" spans="1:10" x14ac:dyDescent="0.25">
      <c r="A803" s="1">
        <v>91</v>
      </c>
      <c r="B803" t="s">
        <v>49</v>
      </c>
      <c r="C803">
        <v>61</v>
      </c>
      <c r="D803">
        <v>2</v>
      </c>
      <c r="E803" t="s">
        <v>76</v>
      </c>
      <c r="F803" t="s">
        <v>77</v>
      </c>
      <c r="G803" t="str">
        <f>"2026-01-28 19:13:26.373"</f>
        <v>2026-01-28 19:13:26.373</v>
      </c>
      <c r="H803" t="s">
        <v>21</v>
      </c>
      <c r="I803">
        <v>30.59</v>
      </c>
      <c r="J803" t="s">
        <v>26</v>
      </c>
    </row>
    <row r="804" spans="1:10" x14ac:dyDescent="0.25">
      <c r="A804" s="1">
        <v>92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"2026-01-28 13:37:59.452"</f>
        <v>2026-01-28 13:37:59.452</v>
      </c>
      <c r="H804" t="s">
        <v>21</v>
      </c>
    </row>
    <row r="805" spans="1:10" x14ac:dyDescent="0.25">
      <c r="A805" s="1">
        <v>93</v>
      </c>
      <c r="B805" t="s">
        <v>22</v>
      </c>
      <c r="C805">
        <v>61</v>
      </c>
      <c r="D805">
        <v>2</v>
      </c>
      <c r="E805" t="s">
        <v>76</v>
      </c>
      <c r="F805" t="s">
        <v>77</v>
      </c>
      <c r="G805" t="str">
        <f>"2026-01-26 19:39:29.254"</f>
        <v>2026-01-26 19:39:29.254</v>
      </c>
      <c r="H805" t="s">
        <v>21</v>
      </c>
    </row>
    <row r="806" spans="1:10" x14ac:dyDescent="0.25">
      <c r="A806" s="1">
        <v>94</v>
      </c>
      <c r="B806" t="s">
        <v>49</v>
      </c>
      <c r="C806">
        <v>61</v>
      </c>
      <c r="D806">
        <v>2</v>
      </c>
      <c r="E806" t="s">
        <v>76</v>
      </c>
      <c r="F806" t="s">
        <v>77</v>
      </c>
      <c r="G806" t="str">
        <f>"2026-01-26 19:39:14.554"</f>
        <v>2026-01-26 19:39:14.554</v>
      </c>
      <c r="H806" t="s">
        <v>21</v>
      </c>
      <c r="I806">
        <v>30.23</v>
      </c>
      <c r="J806" t="s">
        <v>26</v>
      </c>
    </row>
    <row r="807" spans="1:10" x14ac:dyDescent="0.25">
      <c r="A807" s="1">
        <v>95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"2026-01-26 14:13:52.443"</f>
        <v>2026-01-26 14:13:52.443</v>
      </c>
      <c r="H807" t="s">
        <v>21</v>
      </c>
      <c r="I807">
        <v>0</v>
      </c>
      <c r="J807" t="s">
        <v>27</v>
      </c>
    </row>
    <row r="808" spans="1:10" x14ac:dyDescent="0.25">
      <c r="A808" s="1">
        <v>96</v>
      </c>
      <c r="B808" t="s">
        <v>19</v>
      </c>
      <c r="C808">
        <v>700</v>
      </c>
      <c r="D808">
        <v>0</v>
      </c>
      <c r="E808" t="s">
        <v>20</v>
      </c>
      <c r="F808" t="s">
        <v>20</v>
      </c>
      <c r="G808" t="str">
        <f>"2026-01-26 13:18:36.456"</f>
        <v>2026-01-26 13:18:36.456</v>
      </c>
      <c r="H808" t="s">
        <v>21</v>
      </c>
      <c r="I808">
        <v>0</v>
      </c>
      <c r="J808" t="s">
        <v>27</v>
      </c>
    </row>
    <row r="809" spans="1:10" x14ac:dyDescent="0.25">
      <c r="A809" s="1">
        <v>97</v>
      </c>
      <c r="B809" t="s">
        <v>19</v>
      </c>
      <c r="C809">
        <v>700</v>
      </c>
      <c r="D809">
        <v>0</v>
      </c>
      <c r="E809" t="s">
        <v>20</v>
      </c>
      <c r="F809" t="s">
        <v>20</v>
      </c>
      <c r="G809" t="str">
        <f>"2026-01-26 08:13:33.446"</f>
        <v>2026-01-26 08:13:33.446</v>
      </c>
      <c r="H809" t="s">
        <v>21</v>
      </c>
    </row>
    <row r="810" spans="1:10" x14ac:dyDescent="0.25">
      <c r="A810" s="1">
        <v>98</v>
      </c>
      <c r="B810" t="s">
        <v>19</v>
      </c>
      <c r="C810">
        <v>706</v>
      </c>
      <c r="D810">
        <v>4</v>
      </c>
      <c r="E810" t="s">
        <v>29</v>
      </c>
      <c r="F810" t="s">
        <v>30</v>
      </c>
      <c r="G810" t="str">
        <f>"2026-01-26 03:17:55.977"</f>
        <v>2026-01-26 03:17:55.977</v>
      </c>
      <c r="H810" t="s">
        <v>21</v>
      </c>
      <c r="I810">
        <v>17.71</v>
      </c>
      <c r="J810" t="s">
        <v>26</v>
      </c>
    </row>
    <row r="811" spans="1:10" x14ac:dyDescent="0.25">
      <c r="A811" s="1">
        <v>99</v>
      </c>
      <c r="B811" t="s">
        <v>19</v>
      </c>
      <c r="C811">
        <v>706</v>
      </c>
      <c r="D811">
        <v>4</v>
      </c>
      <c r="E811" t="s">
        <v>29</v>
      </c>
      <c r="F811" t="s">
        <v>30</v>
      </c>
      <c r="G811" t="str">
        <f>"2026-01-26 03:16:54.647"</f>
        <v>2026-01-26 03:16:54.647</v>
      </c>
      <c r="H811" t="s">
        <v>21</v>
      </c>
      <c r="I811">
        <v>20.14</v>
      </c>
      <c r="J811" t="s">
        <v>26</v>
      </c>
    </row>
    <row r="812" spans="1:10" x14ac:dyDescent="0.25">
      <c r="A812" s="1">
        <v>100</v>
      </c>
      <c r="B812" t="s">
        <v>19</v>
      </c>
      <c r="C812">
        <v>706</v>
      </c>
      <c r="D812">
        <v>4</v>
      </c>
      <c r="E812" t="s">
        <v>29</v>
      </c>
      <c r="F812" t="s">
        <v>30</v>
      </c>
      <c r="G812" t="str">
        <f>"2026-01-26 01:30:58.637"</f>
        <v>2026-01-26 01:30:58.637</v>
      </c>
      <c r="H812" t="s">
        <v>21</v>
      </c>
      <c r="I812">
        <v>16.66</v>
      </c>
      <c r="J812" t="s">
        <v>26</v>
      </c>
    </row>
    <row r="813" spans="1:10" x14ac:dyDescent="0.25">
      <c r="A813" s="1">
        <v>101</v>
      </c>
      <c r="B813" t="s">
        <v>19</v>
      </c>
      <c r="C813">
        <v>706</v>
      </c>
      <c r="D813">
        <v>4</v>
      </c>
      <c r="E813" t="s">
        <v>29</v>
      </c>
      <c r="F813" t="s">
        <v>30</v>
      </c>
      <c r="G813" t="str">
        <f>"2026-01-25 18:16:04.477"</f>
        <v>2026-01-25 18:16:04.477</v>
      </c>
      <c r="H813" t="s">
        <v>21</v>
      </c>
      <c r="I813">
        <v>-1.1599999999999999</v>
      </c>
      <c r="J813" t="s">
        <v>26</v>
      </c>
    </row>
    <row r="814" spans="1:10" s="3" customFormat="1" x14ac:dyDescent="0.25">
      <c r="A814" s="2">
        <v>102</v>
      </c>
      <c r="B814" s="3" t="s">
        <v>22</v>
      </c>
      <c r="C814" s="3">
        <v>647</v>
      </c>
      <c r="D814" s="3">
        <v>1</v>
      </c>
      <c r="E814" s="3" t="s">
        <v>60</v>
      </c>
      <c r="F814" s="3" t="s">
        <v>61</v>
      </c>
      <c r="G814" s="3" t="str">
        <f>"2026-01-25 12:05:02.954"</f>
        <v>2026-01-25 12:05:02.954</v>
      </c>
      <c r="H814" s="3" t="s">
        <v>21</v>
      </c>
    </row>
    <row r="815" spans="1:10" s="3" customFormat="1" x14ac:dyDescent="0.25">
      <c r="A815" s="2">
        <v>103</v>
      </c>
      <c r="B815" s="3" t="s">
        <v>25</v>
      </c>
      <c r="C815" s="3">
        <v>647</v>
      </c>
      <c r="D815" s="3">
        <v>1</v>
      </c>
      <c r="E815" s="3" t="s">
        <v>60</v>
      </c>
      <c r="F815" s="3" t="s">
        <v>61</v>
      </c>
      <c r="G815" s="3" t="str">
        <f>"2026-01-25 12:04:59.454"</f>
        <v>2026-01-25 12:04:59.454</v>
      </c>
      <c r="H815" s="3" t="s">
        <v>21</v>
      </c>
      <c r="I815" s="3">
        <v>22.21</v>
      </c>
      <c r="J815" s="3" t="s">
        <v>26</v>
      </c>
    </row>
    <row r="816" spans="1:10" x14ac:dyDescent="0.25">
      <c r="A816" s="1">
        <v>104</v>
      </c>
      <c r="B816" t="s">
        <v>19</v>
      </c>
      <c r="C816">
        <v>706</v>
      </c>
      <c r="D816">
        <v>4</v>
      </c>
      <c r="E816" t="s">
        <v>29</v>
      </c>
      <c r="F816" t="s">
        <v>30</v>
      </c>
      <c r="G816" t="str">
        <f>"2026-01-25 11:48:11.257"</f>
        <v>2026-01-25 11:48:11.257</v>
      </c>
      <c r="H816" t="s">
        <v>21</v>
      </c>
      <c r="I816">
        <v>15.12</v>
      </c>
      <c r="J816" t="s">
        <v>32</v>
      </c>
    </row>
    <row r="817" spans="1:10" x14ac:dyDescent="0.25">
      <c r="A817" s="1">
        <v>105</v>
      </c>
      <c r="B817" t="s">
        <v>19</v>
      </c>
      <c r="C817">
        <v>706</v>
      </c>
      <c r="D817">
        <v>4</v>
      </c>
      <c r="E817" t="s">
        <v>29</v>
      </c>
      <c r="F817" t="s">
        <v>30</v>
      </c>
      <c r="G817" t="str">
        <f>"2026-01-25 11:38:58.136"</f>
        <v>2026-01-25 11:38:58.136</v>
      </c>
      <c r="H817" t="s">
        <v>21</v>
      </c>
      <c r="I817">
        <v>6.38</v>
      </c>
      <c r="J817" t="s">
        <v>26</v>
      </c>
    </row>
    <row r="818" spans="1:10" x14ac:dyDescent="0.25">
      <c r="A818" s="1">
        <v>106</v>
      </c>
      <c r="B818" t="s">
        <v>19</v>
      </c>
      <c r="C818">
        <v>706</v>
      </c>
      <c r="D818">
        <v>4</v>
      </c>
      <c r="E818" t="s">
        <v>29</v>
      </c>
      <c r="F818" t="s">
        <v>30</v>
      </c>
      <c r="G818" t="str">
        <f>"2026-01-25 11:36:38.707"</f>
        <v>2026-01-25 11:36:38.707</v>
      </c>
      <c r="H818" t="s">
        <v>21</v>
      </c>
      <c r="I818">
        <v>0</v>
      </c>
      <c r="J818" t="s">
        <v>28</v>
      </c>
    </row>
    <row r="819" spans="1:10" x14ac:dyDescent="0.25">
      <c r="A819" s="1">
        <v>107</v>
      </c>
      <c r="B819" t="s">
        <v>19</v>
      </c>
      <c r="C819">
        <v>706</v>
      </c>
      <c r="D819">
        <v>4</v>
      </c>
      <c r="E819" t="s">
        <v>29</v>
      </c>
      <c r="F819" t="s">
        <v>30</v>
      </c>
      <c r="G819" t="str">
        <f>"2026-01-25 11:34:18.437"</f>
        <v>2026-01-25 11:34:18.437</v>
      </c>
      <c r="H819" t="s">
        <v>21</v>
      </c>
      <c r="I819">
        <v>13.45</v>
      </c>
      <c r="J819" t="s">
        <v>26</v>
      </c>
    </row>
    <row r="820" spans="1:10" x14ac:dyDescent="0.25">
      <c r="A820" s="1">
        <v>108</v>
      </c>
      <c r="B820" t="s">
        <v>19</v>
      </c>
      <c r="C820">
        <v>706</v>
      </c>
      <c r="D820">
        <v>4</v>
      </c>
      <c r="E820" t="s">
        <v>29</v>
      </c>
      <c r="F820" t="s">
        <v>30</v>
      </c>
      <c r="G820" t="str">
        <f>"2026-01-25 10:27:41.037"</f>
        <v>2026-01-25 10:27:41.037</v>
      </c>
      <c r="H820" t="s">
        <v>21</v>
      </c>
      <c r="I820">
        <v>19.670000000000002</v>
      </c>
      <c r="J820" t="s">
        <v>32</v>
      </c>
    </row>
    <row r="821" spans="1:10" x14ac:dyDescent="0.25">
      <c r="A821" s="1">
        <v>109</v>
      </c>
      <c r="B821" t="s">
        <v>19</v>
      </c>
      <c r="C821">
        <v>706</v>
      </c>
      <c r="D821">
        <v>4</v>
      </c>
      <c r="E821" t="s">
        <v>29</v>
      </c>
      <c r="F821" t="s">
        <v>30</v>
      </c>
      <c r="G821" t="str">
        <f>"2026-01-25 10:27:32.687"</f>
        <v>2026-01-25 10:27:32.687</v>
      </c>
      <c r="H821" t="s">
        <v>21</v>
      </c>
      <c r="I821">
        <v>18.88</v>
      </c>
      <c r="J821" t="s">
        <v>32</v>
      </c>
    </row>
    <row r="822" spans="1:10" x14ac:dyDescent="0.25">
      <c r="A822" s="1">
        <v>110</v>
      </c>
      <c r="B822" t="s">
        <v>19</v>
      </c>
      <c r="C822">
        <v>706</v>
      </c>
      <c r="D822">
        <v>4</v>
      </c>
      <c r="E822" t="s">
        <v>29</v>
      </c>
      <c r="F822" t="s">
        <v>30</v>
      </c>
      <c r="G822" t="str">
        <f>"2026-01-25 10:22:53.847"</f>
        <v>2026-01-25 10:22:53.847</v>
      </c>
      <c r="H822" t="s">
        <v>21</v>
      </c>
      <c r="I822">
        <v>20.39</v>
      </c>
      <c r="J822" t="s">
        <v>32</v>
      </c>
    </row>
    <row r="823" spans="1:10" x14ac:dyDescent="0.25">
      <c r="A823" s="1">
        <v>111</v>
      </c>
      <c r="B823" t="s">
        <v>19</v>
      </c>
      <c r="C823">
        <v>706</v>
      </c>
      <c r="D823">
        <v>4</v>
      </c>
      <c r="E823" t="s">
        <v>29</v>
      </c>
      <c r="F823" t="s">
        <v>30</v>
      </c>
      <c r="G823" t="str">
        <f>"2026-01-25 10:22:13.887"</f>
        <v>2026-01-25 10:22:13.887</v>
      </c>
      <c r="H823" t="s">
        <v>21</v>
      </c>
      <c r="I823">
        <v>18.93</v>
      </c>
      <c r="J823" t="s">
        <v>32</v>
      </c>
    </row>
    <row r="824" spans="1:10" x14ac:dyDescent="0.25">
      <c r="A824" s="1">
        <v>112</v>
      </c>
      <c r="B824" t="s">
        <v>19</v>
      </c>
      <c r="C824">
        <v>706</v>
      </c>
      <c r="D824">
        <v>4</v>
      </c>
      <c r="E824" t="s">
        <v>29</v>
      </c>
      <c r="F824" t="s">
        <v>30</v>
      </c>
      <c r="G824" t="str">
        <f>"2026-01-25 10:19:35.887"</f>
        <v>2026-01-25 10:19:35.887</v>
      </c>
      <c r="H824" t="s">
        <v>21</v>
      </c>
      <c r="I824">
        <v>7.94</v>
      </c>
      <c r="J824" t="s">
        <v>32</v>
      </c>
    </row>
    <row r="825" spans="1:10" x14ac:dyDescent="0.25">
      <c r="A825" s="1">
        <v>113</v>
      </c>
      <c r="B825" t="s">
        <v>19</v>
      </c>
      <c r="C825">
        <v>706</v>
      </c>
      <c r="D825">
        <v>4</v>
      </c>
      <c r="E825" t="s">
        <v>29</v>
      </c>
      <c r="F825" t="s">
        <v>30</v>
      </c>
      <c r="G825" t="str">
        <f>"2026-01-25 08:14:36.307"</f>
        <v>2026-01-25 08:14:36.307</v>
      </c>
      <c r="H825" t="s">
        <v>21</v>
      </c>
      <c r="I825">
        <v>11.2</v>
      </c>
      <c r="J825" t="s">
        <v>32</v>
      </c>
    </row>
    <row r="826" spans="1:10" x14ac:dyDescent="0.25">
      <c r="A826" s="1">
        <v>114</v>
      </c>
      <c r="B826" t="s">
        <v>19</v>
      </c>
      <c r="C826">
        <v>706</v>
      </c>
      <c r="D826">
        <v>4</v>
      </c>
      <c r="E826" t="s">
        <v>29</v>
      </c>
      <c r="F826" t="s">
        <v>30</v>
      </c>
      <c r="G826" t="str">
        <f>"2026-01-25 08:12:50.247"</f>
        <v>2026-01-25 08:12:50.247</v>
      </c>
      <c r="H826" t="s">
        <v>21</v>
      </c>
      <c r="I826">
        <v>18.559999999999999</v>
      </c>
      <c r="J826" t="s">
        <v>26</v>
      </c>
    </row>
    <row r="827" spans="1:10" x14ac:dyDescent="0.25">
      <c r="A827" s="1">
        <v>115</v>
      </c>
      <c r="B827" t="s">
        <v>19</v>
      </c>
      <c r="C827">
        <v>706</v>
      </c>
      <c r="D827">
        <v>4</v>
      </c>
      <c r="E827" t="s">
        <v>29</v>
      </c>
      <c r="F827" t="s">
        <v>30</v>
      </c>
      <c r="G827" t="str">
        <f>"2026-01-25 08:07:13.977"</f>
        <v>2026-01-25 08:07:13.977</v>
      </c>
      <c r="H827" t="s">
        <v>21</v>
      </c>
      <c r="I827">
        <v>19.11</v>
      </c>
      <c r="J827" t="s">
        <v>32</v>
      </c>
    </row>
    <row r="828" spans="1:10" x14ac:dyDescent="0.25">
      <c r="A828" s="1">
        <v>117</v>
      </c>
      <c r="B828" t="s">
        <v>19</v>
      </c>
      <c r="C828">
        <v>706</v>
      </c>
      <c r="D828">
        <v>4</v>
      </c>
      <c r="E828" t="s">
        <v>29</v>
      </c>
      <c r="F828" t="s">
        <v>30</v>
      </c>
      <c r="G828" t="str">
        <f>"2026-01-25 06:54:06.857"</f>
        <v>2026-01-25 06:54:06.857</v>
      </c>
      <c r="H828" t="s">
        <v>21</v>
      </c>
      <c r="I828">
        <v>19.5</v>
      </c>
      <c r="J828" t="s">
        <v>32</v>
      </c>
    </row>
    <row r="829" spans="1:10" x14ac:dyDescent="0.25">
      <c r="A829" s="1">
        <v>118</v>
      </c>
      <c r="B829" t="s">
        <v>19</v>
      </c>
      <c r="C829">
        <v>706</v>
      </c>
      <c r="D829">
        <v>4</v>
      </c>
      <c r="E829" t="s">
        <v>29</v>
      </c>
      <c r="F829" t="s">
        <v>30</v>
      </c>
      <c r="G829" t="str">
        <f>"2026-01-25 06:53:52.667"</f>
        <v>2026-01-25 06:53:52.667</v>
      </c>
      <c r="H829" t="s">
        <v>21</v>
      </c>
      <c r="I829">
        <v>26.29</v>
      </c>
      <c r="J829" t="s">
        <v>26</v>
      </c>
    </row>
    <row r="830" spans="1:10" x14ac:dyDescent="0.25">
      <c r="A830" s="1">
        <v>120</v>
      </c>
      <c r="B830" t="s">
        <v>19</v>
      </c>
      <c r="C830">
        <v>706</v>
      </c>
      <c r="D830">
        <v>4</v>
      </c>
      <c r="E830" t="s">
        <v>29</v>
      </c>
      <c r="F830" t="s">
        <v>30</v>
      </c>
      <c r="G830" t="str">
        <f>"2026-01-24 11:35:04.167"</f>
        <v>2026-01-24 11:35:04.167</v>
      </c>
      <c r="H830" t="s">
        <v>21</v>
      </c>
      <c r="I830">
        <v>14.08</v>
      </c>
      <c r="J830" t="s">
        <v>32</v>
      </c>
    </row>
    <row r="831" spans="1:10" x14ac:dyDescent="0.25">
      <c r="A831" s="1">
        <v>122</v>
      </c>
      <c r="B831" t="s">
        <v>19</v>
      </c>
      <c r="C831">
        <v>706</v>
      </c>
      <c r="D831">
        <v>4</v>
      </c>
      <c r="E831" t="s">
        <v>29</v>
      </c>
      <c r="F831" t="s">
        <v>30</v>
      </c>
      <c r="G831" t="str">
        <f>"2026-01-23 16:50:42.287"</f>
        <v>2026-01-23 16:50:42.287</v>
      </c>
      <c r="H831" t="s">
        <v>21</v>
      </c>
      <c r="I831">
        <v>18.739999999999998</v>
      </c>
      <c r="J831" t="s">
        <v>26</v>
      </c>
    </row>
    <row r="832" spans="1:10" x14ac:dyDescent="0.25">
      <c r="A832" s="1">
        <v>123</v>
      </c>
      <c r="B832" t="s">
        <v>22</v>
      </c>
      <c r="C832">
        <v>635</v>
      </c>
      <c r="D832">
        <v>1</v>
      </c>
      <c r="E832" t="s">
        <v>23</v>
      </c>
      <c r="F832" t="s">
        <v>24</v>
      </c>
      <c r="G832" t="str">
        <f>"2026-01-23 16:40:30.606"</f>
        <v>2026-01-23 16:40:30.606</v>
      </c>
      <c r="H832" t="s">
        <v>21</v>
      </c>
    </row>
    <row r="833" spans="1:10" x14ac:dyDescent="0.25">
      <c r="A833" s="1">
        <v>124</v>
      </c>
      <c r="B833" t="s">
        <v>25</v>
      </c>
      <c r="C833">
        <v>635</v>
      </c>
      <c r="D833">
        <v>1</v>
      </c>
      <c r="E833" t="s">
        <v>23</v>
      </c>
      <c r="F833" t="s">
        <v>24</v>
      </c>
      <c r="G833" t="str">
        <f>"2026-01-23 16:37:49.606"</f>
        <v>2026-01-23 16:37:49.606</v>
      </c>
      <c r="H833" t="s">
        <v>21</v>
      </c>
      <c r="I833">
        <v>0</v>
      </c>
      <c r="J833" t="s">
        <v>28</v>
      </c>
    </row>
    <row r="834" spans="1:10" x14ac:dyDescent="0.25">
      <c r="A834" s="1">
        <v>126</v>
      </c>
      <c r="B834" t="s">
        <v>19</v>
      </c>
      <c r="C834">
        <v>706</v>
      </c>
      <c r="D834">
        <v>4</v>
      </c>
      <c r="E834" t="s">
        <v>29</v>
      </c>
      <c r="F834" t="s">
        <v>30</v>
      </c>
      <c r="G834" t="str">
        <f>"2026-01-23 03:01:02.747"</f>
        <v>2026-01-23 03:01:02.747</v>
      </c>
      <c r="H834" t="s">
        <v>21</v>
      </c>
      <c r="I834">
        <v>26.12</v>
      </c>
      <c r="J834" t="s">
        <v>26</v>
      </c>
    </row>
    <row r="835" spans="1:10" x14ac:dyDescent="0.25">
      <c r="A835" s="1">
        <v>127</v>
      </c>
      <c r="B835" t="s">
        <v>19</v>
      </c>
      <c r="C835">
        <v>706</v>
      </c>
      <c r="D835">
        <v>4</v>
      </c>
      <c r="E835" t="s">
        <v>29</v>
      </c>
      <c r="F835" t="s">
        <v>30</v>
      </c>
      <c r="G835" t="str">
        <f>"2026-01-22 22:26:59.797"</f>
        <v>2026-01-22 22:26:59.797</v>
      </c>
      <c r="H835" t="s">
        <v>21</v>
      </c>
      <c r="I835">
        <v>19.579999999999998</v>
      </c>
      <c r="J835" t="s">
        <v>32</v>
      </c>
    </row>
    <row r="836" spans="1:10" x14ac:dyDescent="0.25">
      <c r="A836" s="1">
        <v>128</v>
      </c>
      <c r="B836" t="s">
        <v>19</v>
      </c>
      <c r="C836">
        <v>706</v>
      </c>
      <c r="D836">
        <v>4</v>
      </c>
      <c r="E836" t="s">
        <v>29</v>
      </c>
      <c r="F836" t="s">
        <v>30</v>
      </c>
      <c r="G836" t="str">
        <f>"2026-01-22 22:15:54.227"</f>
        <v>2026-01-22 22:15:54.227</v>
      </c>
      <c r="H836" t="s">
        <v>21</v>
      </c>
      <c r="I836">
        <v>14.24</v>
      </c>
      <c r="J836" t="s">
        <v>32</v>
      </c>
    </row>
    <row r="837" spans="1:10" x14ac:dyDescent="0.25">
      <c r="A837" s="1">
        <v>129</v>
      </c>
      <c r="B837" t="s">
        <v>19</v>
      </c>
      <c r="C837">
        <v>706</v>
      </c>
      <c r="D837">
        <v>4</v>
      </c>
      <c r="E837" t="s">
        <v>29</v>
      </c>
      <c r="F837" t="s">
        <v>30</v>
      </c>
      <c r="G837" t="str">
        <f>"2026-01-22 22:15:13.017"</f>
        <v>2026-01-22 22:15:13.017</v>
      </c>
      <c r="H837" t="s">
        <v>21</v>
      </c>
      <c r="I837">
        <v>18.72</v>
      </c>
      <c r="J837" t="s">
        <v>32</v>
      </c>
    </row>
    <row r="838" spans="1:10" x14ac:dyDescent="0.25">
      <c r="A838" s="1">
        <v>130</v>
      </c>
      <c r="B838" t="s">
        <v>19</v>
      </c>
      <c r="C838">
        <v>706</v>
      </c>
      <c r="D838">
        <v>4</v>
      </c>
      <c r="E838" t="s">
        <v>29</v>
      </c>
      <c r="F838" t="s">
        <v>30</v>
      </c>
      <c r="G838" t="str">
        <f>"2026-01-22 22:14:37.597"</f>
        <v>2026-01-22 22:14:37.597</v>
      </c>
      <c r="H838" t="s">
        <v>21</v>
      </c>
      <c r="I838">
        <v>16.690000000000001</v>
      </c>
      <c r="J838" t="s">
        <v>32</v>
      </c>
    </row>
    <row r="839" spans="1:10" x14ac:dyDescent="0.25">
      <c r="A839" s="1">
        <v>131</v>
      </c>
      <c r="B839" t="s">
        <v>19</v>
      </c>
      <c r="C839">
        <v>706</v>
      </c>
      <c r="D839">
        <v>4</v>
      </c>
      <c r="E839" t="s">
        <v>29</v>
      </c>
      <c r="F839" t="s">
        <v>30</v>
      </c>
      <c r="G839" t="str">
        <f>"2026-01-22 22:14:31.727"</f>
        <v>2026-01-22 22:14:31.727</v>
      </c>
      <c r="H839" t="s">
        <v>21</v>
      </c>
      <c r="I839">
        <v>18.809999999999999</v>
      </c>
      <c r="J839" t="s">
        <v>32</v>
      </c>
    </row>
    <row r="840" spans="1:10" x14ac:dyDescent="0.25">
      <c r="A840" s="1">
        <v>132</v>
      </c>
      <c r="B840" t="s">
        <v>19</v>
      </c>
      <c r="C840">
        <v>706</v>
      </c>
      <c r="D840">
        <v>4</v>
      </c>
      <c r="E840" t="s">
        <v>29</v>
      </c>
      <c r="F840" t="s">
        <v>30</v>
      </c>
      <c r="G840" t="str">
        <f>"2026-01-22 21:52:24.177"</f>
        <v>2026-01-22 21:52:24.177</v>
      </c>
      <c r="H840" t="s">
        <v>21</v>
      </c>
      <c r="I840">
        <v>19.87</v>
      </c>
      <c r="J840" t="s">
        <v>26</v>
      </c>
    </row>
    <row r="841" spans="1:10" x14ac:dyDescent="0.25">
      <c r="A841" s="1">
        <v>133</v>
      </c>
      <c r="B841" t="s">
        <v>19</v>
      </c>
      <c r="C841">
        <v>706</v>
      </c>
      <c r="D841">
        <v>4</v>
      </c>
      <c r="E841" t="s">
        <v>29</v>
      </c>
      <c r="F841" t="s">
        <v>30</v>
      </c>
      <c r="G841" t="str">
        <f>"2026-01-22 21:47:13.017"</f>
        <v>2026-01-22 21:47:13.017</v>
      </c>
      <c r="H841" t="s">
        <v>21</v>
      </c>
      <c r="I841">
        <v>-2.02</v>
      </c>
      <c r="J841" t="s">
        <v>26</v>
      </c>
    </row>
    <row r="842" spans="1:10" x14ac:dyDescent="0.25">
      <c r="A842" s="1">
        <v>134</v>
      </c>
      <c r="B842" t="s">
        <v>19</v>
      </c>
      <c r="C842">
        <v>706</v>
      </c>
      <c r="D842">
        <v>4</v>
      </c>
      <c r="E842" t="s">
        <v>29</v>
      </c>
      <c r="F842" t="s">
        <v>30</v>
      </c>
      <c r="G842" t="str">
        <f>"2026-01-22 21:45:23.287"</f>
        <v>2026-01-22 21:45:23.287</v>
      </c>
      <c r="H842" t="s">
        <v>21</v>
      </c>
      <c r="I842">
        <v>19.04</v>
      </c>
      <c r="J842" t="s">
        <v>32</v>
      </c>
    </row>
    <row r="843" spans="1:10" x14ac:dyDescent="0.25">
      <c r="A843" s="1">
        <v>135</v>
      </c>
      <c r="B843" t="s">
        <v>19</v>
      </c>
      <c r="C843">
        <v>706</v>
      </c>
      <c r="D843">
        <v>4</v>
      </c>
      <c r="E843" t="s">
        <v>29</v>
      </c>
      <c r="F843" t="s">
        <v>30</v>
      </c>
      <c r="G843" t="str">
        <f>"2026-01-22 21:39:33.897"</f>
        <v>2026-01-22 21:39:33.897</v>
      </c>
      <c r="H843" t="s">
        <v>21</v>
      </c>
      <c r="I843">
        <v>15.03</v>
      </c>
      <c r="J843" t="s">
        <v>32</v>
      </c>
    </row>
    <row r="844" spans="1:10" x14ac:dyDescent="0.25">
      <c r="A844" s="1">
        <v>136</v>
      </c>
      <c r="B844" t="s">
        <v>19</v>
      </c>
      <c r="C844">
        <v>706</v>
      </c>
      <c r="D844">
        <v>4</v>
      </c>
      <c r="E844" t="s">
        <v>29</v>
      </c>
      <c r="F844" t="s">
        <v>30</v>
      </c>
      <c r="G844" t="str">
        <f>"2026-01-22 21:39:13.237"</f>
        <v>2026-01-22 21:39:13.237</v>
      </c>
      <c r="H844" t="s">
        <v>21</v>
      </c>
      <c r="I844">
        <v>9.09</v>
      </c>
      <c r="J844" t="s">
        <v>32</v>
      </c>
    </row>
    <row r="845" spans="1:10" x14ac:dyDescent="0.25">
      <c r="A845" s="1">
        <v>137</v>
      </c>
      <c r="B845" t="s">
        <v>19</v>
      </c>
      <c r="C845">
        <v>706</v>
      </c>
      <c r="D845">
        <v>4</v>
      </c>
      <c r="E845" t="s">
        <v>29</v>
      </c>
      <c r="F845" t="s">
        <v>30</v>
      </c>
      <c r="G845" t="str">
        <f>"2026-01-22 21:26:44.117"</f>
        <v>2026-01-22 21:26:44.117</v>
      </c>
      <c r="H845" t="s">
        <v>21</v>
      </c>
      <c r="I845">
        <v>13.25</v>
      </c>
      <c r="J845" t="s">
        <v>32</v>
      </c>
    </row>
    <row r="846" spans="1:10" x14ac:dyDescent="0.25">
      <c r="A846" s="1">
        <v>138</v>
      </c>
      <c r="B846" t="s">
        <v>19</v>
      </c>
      <c r="C846">
        <v>706</v>
      </c>
      <c r="D846">
        <v>4</v>
      </c>
      <c r="E846" t="s">
        <v>29</v>
      </c>
      <c r="F846" t="s">
        <v>30</v>
      </c>
      <c r="G846" t="str">
        <f>"2026-01-22 21:18:54.537"</f>
        <v>2026-01-22 21:18:54.537</v>
      </c>
      <c r="H846" t="s">
        <v>21</v>
      </c>
      <c r="I846">
        <v>17.73</v>
      </c>
      <c r="J846" t="s">
        <v>32</v>
      </c>
    </row>
    <row r="847" spans="1:10" x14ac:dyDescent="0.25">
      <c r="A847" s="1">
        <v>139</v>
      </c>
      <c r="B847" t="s">
        <v>19</v>
      </c>
      <c r="C847">
        <v>706</v>
      </c>
      <c r="D847">
        <v>4</v>
      </c>
      <c r="E847" t="s">
        <v>29</v>
      </c>
      <c r="F847" t="s">
        <v>30</v>
      </c>
      <c r="G847" t="str">
        <f>"2026-01-22 21:16:20.747"</f>
        <v>2026-01-22 21:16:20.747</v>
      </c>
      <c r="H847" t="s">
        <v>21</v>
      </c>
      <c r="I847">
        <v>10.29</v>
      </c>
      <c r="J847" t="s">
        <v>32</v>
      </c>
    </row>
    <row r="848" spans="1:10" x14ac:dyDescent="0.25">
      <c r="A848" s="1">
        <v>140</v>
      </c>
      <c r="B848" t="s">
        <v>19</v>
      </c>
      <c r="C848">
        <v>706</v>
      </c>
      <c r="D848">
        <v>4</v>
      </c>
      <c r="E848" t="s">
        <v>29</v>
      </c>
      <c r="F848" t="s">
        <v>30</v>
      </c>
      <c r="G848" t="str">
        <f>"2026-01-22 21:15:59.397"</f>
        <v>2026-01-22 21:15:59.397</v>
      </c>
      <c r="H848" t="s">
        <v>21</v>
      </c>
      <c r="I848">
        <v>15.58</v>
      </c>
      <c r="J848" t="s">
        <v>32</v>
      </c>
    </row>
    <row r="849" spans="1:10" x14ac:dyDescent="0.25">
      <c r="A849" s="1">
        <v>141</v>
      </c>
      <c r="B849" t="s">
        <v>19</v>
      </c>
      <c r="C849">
        <v>706</v>
      </c>
      <c r="D849">
        <v>4</v>
      </c>
      <c r="E849" t="s">
        <v>29</v>
      </c>
      <c r="F849" t="s">
        <v>30</v>
      </c>
      <c r="G849" t="str">
        <f>"2026-01-22 21:15:23.637"</f>
        <v>2026-01-22 21:15:23.637</v>
      </c>
      <c r="H849" t="s">
        <v>21</v>
      </c>
      <c r="I849">
        <v>20.399999999999999</v>
      </c>
      <c r="J849" t="s">
        <v>32</v>
      </c>
    </row>
    <row r="850" spans="1:10" x14ac:dyDescent="0.25">
      <c r="A850" s="1">
        <v>142</v>
      </c>
      <c r="B850" t="s">
        <v>19</v>
      </c>
      <c r="C850">
        <v>706</v>
      </c>
      <c r="D850">
        <v>4</v>
      </c>
      <c r="E850" t="s">
        <v>29</v>
      </c>
      <c r="F850" t="s">
        <v>30</v>
      </c>
      <c r="G850" t="str">
        <f>"2026-01-22 21:15:13.387"</f>
        <v>2026-01-22 21:15:13.387</v>
      </c>
      <c r="H850" t="s">
        <v>21</v>
      </c>
      <c r="I850">
        <v>20.03</v>
      </c>
      <c r="J850" t="s">
        <v>32</v>
      </c>
    </row>
    <row r="851" spans="1:10" x14ac:dyDescent="0.25">
      <c r="A851" s="1">
        <v>143</v>
      </c>
      <c r="B851" t="s">
        <v>19</v>
      </c>
      <c r="C851">
        <v>706</v>
      </c>
      <c r="D851">
        <v>4</v>
      </c>
      <c r="E851" t="s">
        <v>29</v>
      </c>
      <c r="F851" t="s">
        <v>30</v>
      </c>
      <c r="G851" t="str">
        <f>"2026-01-22 21:10:05.447"</f>
        <v>2026-01-22 21:10:05.447</v>
      </c>
      <c r="H851" t="s">
        <v>21</v>
      </c>
      <c r="I851">
        <v>18.88</v>
      </c>
      <c r="J851" t="s">
        <v>32</v>
      </c>
    </row>
    <row r="852" spans="1:10" x14ac:dyDescent="0.25">
      <c r="A852" s="1">
        <v>144</v>
      </c>
      <c r="B852" t="s">
        <v>19</v>
      </c>
      <c r="C852">
        <v>706</v>
      </c>
      <c r="D852">
        <v>4</v>
      </c>
      <c r="E852" t="s">
        <v>29</v>
      </c>
      <c r="F852" t="s">
        <v>30</v>
      </c>
      <c r="G852" t="str">
        <f>"2026-01-22 21:01:30.277"</f>
        <v>2026-01-22 21:01:30.277</v>
      </c>
      <c r="H852" t="s">
        <v>21</v>
      </c>
      <c r="I852">
        <v>9.44</v>
      </c>
      <c r="J852" t="s">
        <v>32</v>
      </c>
    </row>
    <row r="853" spans="1:10" x14ac:dyDescent="0.25">
      <c r="A853" s="1">
        <v>145</v>
      </c>
      <c r="B853" t="s">
        <v>19</v>
      </c>
      <c r="C853">
        <v>706</v>
      </c>
      <c r="D853">
        <v>4</v>
      </c>
      <c r="E853" t="s">
        <v>29</v>
      </c>
      <c r="F853" t="s">
        <v>30</v>
      </c>
      <c r="G853" t="str">
        <f>"2026-01-22 20:57:38.947"</f>
        <v>2026-01-22 20:57:38.947</v>
      </c>
      <c r="H853" t="s">
        <v>21</v>
      </c>
      <c r="I853">
        <v>0.02</v>
      </c>
      <c r="J853" t="s">
        <v>28</v>
      </c>
    </row>
    <row r="854" spans="1:10" x14ac:dyDescent="0.25">
      <c r="A854" s="1">
        <v>146</v>
      </c>
      <c r="B854" t="s">
        <v>19</v>
      </c>
      <c r="C854">
        <v>706</v>
      </c>
      <c r="D854">
        <v>4</v>
      </c>
      <c r="E854" t="s">
        <v>29</v>
      </c>
      <c r="F854" t="s">
        <v>30</v>
      </c>
      <c r="G854" t="str">
        <f>"2026-01-22 20:55:32.527"</f>
        <v>2026-01-22 20:55:32.527</v>
      </c>
      <c r="H854" t="s">
        <v>21</v>
      </c>
      <c r="I854">
        <v>19.559999999999999</v>
      </c>
      <c r="J854" t="s">
        <v>26</v>
      </c>
    </row>
    <row r="855" spans="1:10" x14ac:dyDescent="0.25">
      <c r="A855" s="1">
        <v>147</v>
      </c>
      <c r="B855" t="s">
        <v>19</v>
      </c>
      <c r="C855">
        <v>706</v>
      </c>
      <c r="D855">
        <v>4</v>
      </c>
      <c r="E855" t="s">
        <v>29</v>
      </c>
      <c r="F855" t="s">
        <v>30</v>
      </c>
      <c r="G855" t="str">
        <f>"2026-01-22 15:59:56.457"</f>
        <v>2026-01-22 15:59:56.457</v>
      </c>
      <c r="H855" t="s">
        <v>21</v>
      </c>
      <c r="I855">
        <v>0</v>
      </c>
      <c r="J855" t="s">
        <v>31</v>
      </c>
    </row>
    <row r="856" spans="1:10" x14ac:dyDescent="0.25">
      <c r="A856" s="1">
        <v>148</v>
      </c>
      <c r="B856" t="s">
        <v>19</v>
      </c>
      <c r="C856">
        <v>706</v>
      </c>
      <c r="D856">
        <v>2</v>
      </c>
      <c r="E856" t="s">
        <v>29</v>
      </c>
      <c r="F856" t="s">
        <v>59</v>
      </c>
      <c r="G856" t="str">
        <f>"2026-01-22 15:59:41.477"</f>
        <v>2026-01-22 15:59:41.477</v>
      </c>
      <c r="H856" t="s">
        <v>21</v>
      </c>
      <c r="I856">
        <v>0</v>
      </c>
      <c r="J856" t="s">
        <v>31</v>
      </c>
    </row>
    <row r="857" spans="1:10" x14ac:dyDescent="0.25">
      <c r="A857" s="1">
        <v>149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"2026-01-22 15:52:32.507"</f>
        <v>2026-01-22 15:52:32.507</v>
      </c>
      <c r="H857" t="s">
        <v>21</v>
      </c>
    </row>
    <row r="858" spans="1:10" x14ac:dyDescent="0.25">
      <c r="A858" s="1">
        <v>150</v>
      </c>
      <c r="B858" t="s">
        <v>19</v>
      </c>
      <c r="C858">
        <v>700</v>
      </c>
      <c r="D858">
        <v>0</v>
      </c>
      <c r="E858" t="s">
        <v>20</v>
      </c>
      <c r="F858" t="s">
        <v>20</v>
      </c>
      <c r="G858" t="str">
        <f>"2026-01-22 14:41:24.459"</f>
        <v>2026-01-22 14:41:24.459</v>
      </c>
      <c r="H858" t="s">
        <v>21</v>
      </c>
    </row>
    <row r="859" spans="1:10" x14ac:dyDescent="0.25">
      <c r="A859" s="1">
        <v>151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"2026-01-22 10:54:44.894"</f>
        <v>2026-01-22 10:54:44.894</v>
      </c>
      <c r="H859" t="s">
        <v>21</v>
      </c>
      <c r="I859">
        <v>0</v>
      </c>
      <c r="J859" t="s">
        <v>27</v>
      </c>
    </row>
    <row r="860" spans="1:10" x14ac:dyDescent="0.25">
      <c r="A860" s="1">
        <v>153</v>
      </c>
      <c r="B860" t="s">
        <v>22</v>
      </c>
      <c r="C860">
        <v>61</v>
      </c>
      <c r="D860">
        <v>2</v>
      </c>
      <c r="E860" t="s">
        <v>76</v>
      </c>
      <c r="F860" t="s">
        <v>77</v>
      </c>
      <c r="G860" t="str">
        <f>"2026-01-21 17:48:14.247"</f>
        <v>2026-01-21 17:48:14.247</v>
      </c>
      <c r="H860" t="s">
        <v>21</v>
      </c>
    </row>
    <row r="861" spans="1:10" x14ac:dyDescent="0.25">
      <c r="A861" s="1">
        <v>154</v>
      </c>
      <c r="B861" t="s">
        <v>49</v>
      </c>
      <c r="C861">
        <v>61</v>
      </c>
      <c r="D861">
        <v>2</v>
      </c>
      <c r="E861" t="s">
        <v>76</v>
      </c>
      <c r="F861" t="s">
        <v>77</v>
      </c>
      <c r="G861" t="str">
        <f>"2026-01-21 17:48:01.747"</f>
        <v>2026-01-21 17:48:01.747</v>
      </c>
      <c r="H861" t="s">
        <v>21</v>
      </c>
      <c r="I861">
        <v>30.48</v>
      </c>
      <c r="J861" t="s">
        <v>26</v>
      </c>
    </row>
    <row r="862" spans="1:10" x14ac:dyDescent="0.25">
      <c r="A862" s="1">
        <v>155</v>
      </c>
      <c r="B862" t="s">
        <v>22</v>
      </c>
      <c r="C862">
        <v>61</v>
      </c>
      <c r="D862">
        <v>2</v>
      </c>
      <c r="E862" t="s">
        <v>76</v>
      </c>
      <c r="F862" t="s">
        <v>77</v>
      </c>
      <c r="G862" t="str">
        <f>"2026-01-21 15:40:36.247"</f>
        <v>2026-01-21 15:40:36.247</v>
      </c>
      <c r="H862" t="s">
        <v>21</v>
      </c>
    </row>
    <row r="863" spans="1:10" x14ac:dyDescent="0.25">
      <c r="A863" s="1">
        <v>156</v>
      </c>
      <c r="B863" t="s">
        <v>49</v>
      </c>
      <c r="C863">
        <v>61</v>
      </c>
      <c r="D863">
        <v>2</v>
      </c>
      <c r="E863" t="s">
        <v>76</v>
      </c>
      <c r="F863" t="s">
        <v>77</v>
      </c>
      <c r="G863" t="str">
        <f>"2026-01-21 15:40:20.247"</f>
        <v>2026-01-21 15:40:20.247</v>
      </c>
      <c r="H863" t="s">
        <v>21</v>
      </c>
      <c r="I863">
        <v>30.41</v>
      </c>
      <c r="J863" t="s">
        <v>26</v>
      </c>
    </row>
    <row r="864" spans="1:10" x14ac:dyDescent="0.25">
      <c r="A864" s="1">
        <v>157</v>
      </c>
      <c r="B864" t="s">
        <v>22</v>
      </c>
      <c r="C864">
        <v>61</v>
      </c>
      <c r="D864">
        <v>2</v>
      </c>
      <c r="E864" t="s">
        <v>76</v>
      </c>
      <c r="F864" t="s">
        <v>77</v>
      </c>
      <c r="G864" t="str">
        <f>"2026-01-21 15:13:09.147"</f>
        <v>2026-01-21 15:13:09.147</v>
      </c>
      <c r="H864" t="s">
        <v>21</v>
      </c>
    </row>
    <row r="865" spans="1:10" x14ac:dyDescent="0.25">
      <c r="A865" s="1">
        <v>158</v>
      </c>
      <c r="B865" t="s">
        <v>49</v>
      </c>
      <c r="C865">
        <v>61</v>
      </c>
      <c r="D865">
        <v>2</v>
      </c>
      <c r="E865" t="s">
        <v>76</v>
      </c>
      <c r="F865" t="s">
        <v>77</v>
      </c>
      <c r="G865" t="str">
        <f>"2026-01-21 15:12:57.647"</f>
        <v>2026-01-21 15:12:57.647</v>
      </c>
      <c r="H865" t="s">
        <v>21</v>
      </c>
      <c r="I865">
        <v>29.44</v>
      </c>
      <c r="J865" t="s">
        <v>26</v>
      </c>
    </row>
    <row r="866" spans="1:10" x14ac:dyDescent="0.25">
      <c r="A866" s="1">
        <v>159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"2026-01-21 10:55:07.506"</f>
        <v>2026-01-21 10:55:07.506</v>
      </c>
      <c r="H866" t="s">
        <v>21</v>
      </c>
      <c r="I866">
        <v>0</v>
      </c>
      <c r="J866" t="s">
        <v>27</v>
      </c>
    </row>
    <row r="867" spans="1:10" x14ac:dyDescent="0.25">
      <c r="A867" s="1">
        <v>160</v>
      </c>
      <c r="B867" t="s">
        <v>22</v>
      </c>
      <c r="C867">
        <v>635</v>
      </c>
      <c r="D867">
        <v>1</v>
      </c>
      <c r="E867" t="s">
        <v>23</v>
      </c>
      <c r="F867" t="s">
        <v>24</v>
      </c>
      <c r="G867" t="str">
        <f>"2026-01-20 18:10:48.378"</f>
        <v>2026-01-20 18:10:48.378</v>
      </c>
      <c r="H867" t="s">
        <v>21</v>
      </c>
    </row>
    <row r="868" spans="1:10" x14ac:dyDescent="0.25">
      <c r="A868" s="1">
        <v>161</v>
      </c>
      <c r="B868" t="s">
        <v>25</v>
      </c>
      <c r="C868">
        <v>635</v>
      </c>
      <c r="D868">
        <v>1</v>
      </c>
      <c r="E868" t="s">
        <v>23</v>
      </c>
      <c r="F868" t="s">
        <v>24</v>
      </c>
      <c r="G868" t="str">
        <f>"2026-01-20 18:05:35.378"</f>
        <v>2026-01-20 18:05:35.378</v>
      </c>
      <c r="H868" t="s">
        <v>21</v>
      </c>
      <c r="I868">
        <v>0.28999999999999998</v>
      </c>
      <c r="J868" t="s">
        <v>32</v>
      </c>
    </row>
    <row r="869" spans="1:10" s="3" customFormat="1" x14ac:dyDescent="0.25">
      <c r="A869" s="2">
        <v>162</v>
      </c>
      <c r="B869" s="3" t="s">
        <v>22</v>
      </c>
      <c r="C869" s="3">
        <v>647</v>
      </c>
      <c r="D869" s="3">
        <v>1</v>
      </c>
      <c r="E869" s="3" t="s">
        <v>60</v>
      </c>
      <c r="F869" s="3" t="s">
        <v>61</v>
      </c>
      <c r="G869" s="3" t="str">
        <f>"2026-01-20 17:03:06.279"</f>
        <v>2026-01-20 17:03:06.279</v>
      </c>
      <c r="H869" s="3" t="s">
        <v>21</v>
      </c>
    </row>
    <row r="870" spans="1:10" s="3" customFormat="1" x14ac:dyDescent="0.25">
      <c r="A870" s="2">
        <v>163</v>
      </c>
      <c r="B870" s="3" t="s">
        <v>25</v>
      </c>
      <c r="C870" s="3">
        <v>647</v>
      </c>
      <c r="D870" s="3">
        <v>1</v>
      </c>
      <c r="E870" s="3" t="s">
        <v>60</v>
      </c>
      <c r="F870" s="3" t="s">
        <v>61</v>
      </c>
      <c r="G870" s="3" t="str">
        <f>"2026-01-20 17:03:02.179"</f>
        <v>2026-01-20 17:03:02.179</v>
      </c>
      <c r="H870" s="3" t="s">
        <v>21</v>
      </c>
      <c r="I870" s="3">
        <v>8.34</v>
      </c>
      <c r="J870" s="3" t="s">
        <v>26</v>
      </c>
    </row>
    <row r="871" spans="1:10" x14ac:dyDescent="0.25">
      <c r="A871" s="1">
        <v>164</v>
      </c>
      <c r="B871" t="s">
        <v>22</v>
      </c>
      <c r="C871">
        <v>635</v>
      </c>
      <c r="D871">
        <v>1</v>
      </c>
      <c r="E871" t="s">
        <v>23</v>
      </c>
      <c r="F871" t="s">
        <v>24</v>
      </c>
      <c r="G871" t="str">
        <f>"2026-01-20 15:48:30.278"</f>
        <v>2026-01-20 15:48:30.278</v>
      </c>
      <c r="H871" t="s">
        <v>21</v>
      </c>
    </row>
    <row r="872" spans="1:10" x14ac:dyDescent="0.25">
      <c r="A872" s="1">
        <v>165</v>
      </c>
      <c r="B872" t="s">
        <v>25</v>
      </c>
      <c r="C872">
        <v>635</v>
      </c>
      <c r="D872">
        <v>1</v>
      </c>
      <c r="E872" t="s">
        <v>23</v>
      </c>
      <c r="F872" t="s">
        <v>24</v>
      </c>
      <c r="G872" t="str">
        <f>"2026-01-20 15:45:20.778"</f>
        <v>2026-01-20 15:45:20.778</v>
      </c>
      <c r="H872" t="s">
        <v>21</v>
      </c>
      <c r="I872">
        <v>3.44</v>
      </c>
      <c r="J872" t="s">
        <v>32</v>
      </c>
    </row>
    <row r="873" spans="1:10" x14ac:dyDescent="0.25">
      <c r="A873" s="1">
        <v>166</v>
      </c>
      <c r="B873" t="s">
        <v>19</v>
      </c>
      <c r="C873">
        <v>706</v>
      </c>
      <c r="D873">
        <v>4</v>
      </c>
      <c r="E873" t="s">
        <v>29</v>
      </c>
      <c r="F873" t="s">
        <v>30</v>
      </c>
      <c r="G873" t="str">
        <f>"2026-01-20 08:24:44.428"</f>
        <v>2026-01-20 08:24:44.428</v>
      </c>
      <c r="H873" t="s">
        <v>21</v>
      </c>
      <c r="I873">
        <v>12.72</v>
      </c>
      <c r="J873" t="s">
        <v>32</v>
      </c>
    </row>
    <row r="874" spans="1:10" s="3" customFormat="1" x14ac:dyDescent="0.25">
      <c r="A874" s="2">
        <v>167</v>
      </c>
      <c r="B874" s="3" t="s">
        <v>22</v>
      </c>
      <c r="C874" s="3">
        <v>647</v>
      </c>
      <c r="D874" s="3">
        <v>1</v>
      </c>
      <c r="E874" s="3" t="s">
        <v>60</v>
      </c>
      <c r="F874" s="3" t="s">
        <v>61</v>
      </c>
      <c r="G874" s="3" t="str">
        <f>"2026-01-20 08:24:42.079"</f>
        <v>2026-01-20 08:24:42.079</v>
      </c>
      <c r="H874" s="3" t="s">
        <v>21</v>
      </c>
    </row>
    <row r="875" spans="1:10" s="3" customFormat="1" x14ac:dyDescent="0.25">
      <c r="A875" s="2">
        <v>168</v>
      </c>
      <c r="B875" s="3" t="s">
        <v>25</v>
      </c>
      <c r="C875" s="3">
        <v>647</v>
      </c>
      <c r="D875" s="3">
        <v>1</v>
      </c>
      <c r="E875" s="3" t="s">
        <v>60</v>
      </c>
      <c r="F875" s="3" t="s">
        <v>61</v>
      </c>
      <c r="G875" s="3" t="str">
        <f>"2026-01-20 08:24:36.179"</f>
        <v>2026-01-20 08:24:36.179</v>
      </c>
      <c r="H875" s="3" t="s">
        <v>21</v>
      </c>
      <c r="I875" s="3">
        <v>21.85</v>
      </c>
      <c r="J875" s="3" t="s">
        <v>26</v>
      </c>
    </row>
    <row r="876" spans="1:10" x14ac:dyDescent="0.25">
      <c r="A876" s="1">
        <v>169</v>
      </c>
      <c r="B876" t="s">
        <v>19</v>
      </c>
      <c r="C876">
        <v>706</v>
      </c>
      <c r="D876">
        <v>4</v>
      </c>
      <c r="E876" t="s">
        <v>29</v>
      </c>
      <c r="F876" t="s">
        <v>30</v>
      </c>
      <c r="G876" t="str">
        <f>"2026-01-20 08:24:17.438"</f>
        <v>2026-01-20 08:24:17.438</v>
      </c>
      <c r="H876" t="s">
        <v>21</v>
      </c>
      <c r="I876">
        <v>19.71</v>
      </c>
      <c r="J876" t="s">
        <v>26</v>
      </c>
    </row>
    <row r="877" spans="1:10" x14ac:dyDescent="0.25">
      <c r="A877" s="1">
        <v>170</v>
      </c>
      <c r="B877" t="s">
        <v>19</v>
      </c>
      <c r="C877">
        <v>706</v>
      </c>
      <c r="D877">
        <v>4</v>
      </c>
      <c r="E877" t="s">
        <v>29</v>
      </c>
      <c r="F877" t="s">
        <v>30</v>
      </c>
      <c r="G877" t="str">
        <f>"2026-01-20 08:16:23.998"</f>
        <v>2026-01-20 08:16:23.998</v>
      </c>
      <c r="H877" t="s">
        <v>21</v>
      </c>
      <c r="I877">
        <v>15.25</v>
      </c>
      <c r="J877" t="s">
        <v>32</v>
      </c>
    </row>
    <row r="878" spans="1:10" x14ac:dyDescent="0.25">
      <c r="A878" s="1">
        <v>171</v>
      </c>
      <c r="B878" t="s">
        <v>19</v>
      </c>
      <c r="C878">
        <v>706</v>
      </c>
      <c r="D878">
        <v>4</v>
      </c>
      <c r="E878" t="s">
        <v>29</v>
      </c>
      <c r="F878" t="s">
        <v>30</v>
      </c>
      <c r="G878" t="str">
        <f>"2026-01-20 08:16:00.888"</f>
        <v>2026-01-20 08:16:00.888</v>
      </c>
      <c r="H878" t="s">
        <v>21</v>
      </c>
      <c r="I878">
        <v>13.58</v>
      </c>
      <c r="J878" t="s">
        <v>32</v>
      </c>
    </row>
    <row r="879" spans="1:10" x14ac:dyDescent="0.25">
      <c r="A879" s="1">
        <v>172</v>
      </c>
      <c r="B879" t="s">
        <v>19</v>
      </c>
      <c r="C879">
        <v>706</v>
      </c>
      <c r="D879">
        <v>4</v>
      </c>
      <c r="E879" t="s">
        <v>29</v>
      </c>
      <c r="F879" t="s">
        <v>30</v>
      </c>
      <c r="G879" t="str">
        <f>"2026-01-20 08:15:47.678"</f>
        <v>2026-01-20 08:15:47.678</v>
      </c>
      <c r="H879" t="s">
        <v>21</v>
      </c>
      <c r="I879">
        <v>8.76</v>
      </c>
      <c r="J879" t="s">
        <v>32</v>
      </c>
    </row>
    <row r="880" spans="1:10" x14ac:dyDescent="0.25">
      <c r="A880" s="1">
        <v>173</v>
      </c>
      <c r="B880" t="s">
        <v>19</v>
      </c>
      <c r="C880">
        <v>706</v>
      </c>
      <c r="D880">
        <v>4</v>
      </c>
      <c r="E880" t="s">
        <v>29</v>
      </c>
      <c r="F880" t="s">
        <v>30</v>
      </c>
      <c r="G880" t="str">
        <f>"2026-01-20 08:15:32.568"</f>
        <v>2026-01-20 08:15:32.568</v>
      </c>
      <c r="H880" t="s">
        <v>21</v>
      </c>
      <c r="I880">
        <v>8.2799999999999994</v>
      </c>
      <c r="J880" t="s">
        <v>32</v>
      </c>
    </row>
    <row r="881" spans="1:10" x14ac:dyDescent="0.25">
      <c r="A881" s="1">
        <v>174</v>
      </c>
      <c r="B881" t="s">
        <v>19</v>
      </c>
      <c r="C881">
        <v>706</v>
      </c>
      <c r="D881">
        <v>4</v>
      </c>
      <c r="E881" t="s">
        <v>29</v>
      </c>
      <c r="F881" t="s">
        <v>30</v>
      </c>
      <c r="G881" t="str">
        <f>"2026-01-20 08:15:13.708"</f>
        <v>2026-01-20 08:15:13.708</v>
      </c>
      <c r="H881" t="s">
        <v>21</v>
      </c>
      <c r="I881">
        <v>19.32</v>
      </c>
      <c r="J881" t="s">
        <v>32</v>
      </c>
    </row>
    <row r="882" spans="1:10" x14ac:dyDescent="0.25">
      <c r="A882" s="1">
        <v>175</v>
      </c>
      <c r="B882" t="s">
        <v>19</v>
      </c>
      <c r="C882">
        <v>706</v>
      </c>
      <c r="D882">
        <v>4</v>
      </c>
      <c r="E882" t="s">
        <v>29</v>
      </c>
      <c r="F882" t="s">
        <v>30</v>
      </c>
      <c r="G882" t="str">
        <f>"2026-01-20 05:32:10.638"</f>
        <v>2026-01-20 05:32:10.638</v>
      </c>
      <c r="H882" t="s">
        <v>21</v>
      </c>
      <c r="I882">
        <v>18.010000000000002</v>
      </c>
      <c r="J882" t="s">
        <v>32</v>
      </c>
    </row>
    <row r="883" spans="1:10" x14ac:dyDescent="0.25">
      <c r="A883" s="1">
        <v>176</v>
      </c>
      <c r="B883" t="s">
        <v>19</v>
      </c>
      <c r="C883">
        <v>706</v>
      </c>
      <c r="D883">
        <v>4</v>
      </c>
      <c r="E883" t="s">
        <v>29</v>
      </c>
      <c r="F883" t="s">
        <v>30</v>
      </c>
      <c r="G883" t="str">
        <f>"2026-01-20 04:41:30.838"</f>
        <v>2026-01-20 04:41:30.838</v>
      </c>
      <c r="H883" t="s">
        <v>21</v>
      </c>
      <c r="I883">
        <v>0.5</v>
      </c>
      <c r="J883" t="s">
        <v>26</v>
      </c>
    </row>
    <row r="884" spans="1:10" x14ac:dyDescent="0.25">
      <c r="A884" s="1">
        <v>177</v>
      </c>
      <c r="B884" t="s">
        <v>19</v>
      </c>
      <c r="C884">
        <v>706</v>
      </c>
      <c r="D884">
        <v>4</v>
      </c>
      <c r="E884" t="s">
        <v>29</v>
      </c>
      <c r="F884" t="s">
        <v>30</v>
      </c>
      <c r="G884" t="str">
        <f>"2026-01-20 04:38:07.838"</f>
        <v>2026-01-20 04:38:07.838</v>
      </c>
      <c r="H884" t="s">
        <v>21</v>
      </c>
      <c r="I884">
        <v>18.38</v>
      </c>
      <c r="J884" t="s">
        <v>32</v>
      </c>
    </row>
    <row r="885" spans="1:10" x14ac:dyDescent="0.25">
      <c r="A885" s="1">
        <v>178</v>
      </c>
      <c r="B885" t="s">
        <v>19</v>
      </c>
      <c r="C885">
        <v>706</v>
      </c>
      <c r="D885">
        <v>4</v>
      </c>
      <c r="E885" t="s">
        <v>29</v>
      </c>
      <c r="F885" t="s">
        <v>30</v>
      </c>
      <c r="G885" t="str">
        <f>"2026-01-20 04:37:23.058"</f>
        <v>2026-01-20 04:37:23.058</v>
      </c>
      <c r="H885" t="s">
        <v>21</v>
      </c>
      <c r="I885">
        <v>18.47</v>
      </c>
      <c r="J885" t="s">
        <v>32</v>
      </c>
    </row>
    <row r="886" spans="1:10" x14ac:dyDescent="0.25">
      <c r="A886" s="1">
        <v>179</v>
      </c>
      <c r="B886" t="s">
        <v>19</v>
      </c>
      <c r="C886">
        <v>706</v>
      </c>
      <c r="D886">
        <v>4</v>
      </c>
      <c r="E886" t="s">
        <v>29</v>
      </c>
      <c r="F886" t="s">
        <v>30</v>
      </c>
      <c r="G886" t="str">
        <f>"2026-01-20 04:34:56.638"</f>
        <v>2026-01-20 04:34:56.638</v>
      </c>
      <c r="H886" t="s">
        <v>21</v>
      </c>
      <c r="I886">
        <v>19.97</v>
      </c>
      <c r="J886" t="s">
        <v>32</v>
      </c>
    </row>
    <row r="887" spans="1:10" x14ac:dyDescent="0.25">
      <c r="A887" s="1">
        <v>180</v>
      </c>
      <c r="B887" t="s">
        <v>19</v>
      </c>
      <c r="C887">
        <v>706</v>
      </c>
      <c r="D887">
        <v>4</v>
      </c>
      <c r="E887" t="s">
        <v>29</v>
      </c>
      <c r="F887" t="s">
        <v>30</v>
      </c>
      <c r="G887" t="str">
        <f>"2026-01-20 03:29:47.738"</f>
        <v>2026-01-20 03:29:47.738</v>
      </c>
      <c r="H887" t="s">
        <v>21</v>
      </c>
      <c r="I887">
        <v>16.09</v>
      </c>
      <c r="J887" t="s">
        <v>32</v>
      </c>
    </row>
    <row r="888" spans="1:10" x14ac:dyDescent="0.25">
      <c r="A888" s="1">
        <v>181</v>
      </c>
      <c r="B888" t="s">
        <v>19</v>
      </c>
      <c r="C888">
        <v>706</v>
      </c>
      <c r="D888">
        <v>4</v>
      </c>
      <c r="E888" t="s">
        <v>29</v>
      </c>
      <c r="F888" t="s">
        <v>30</v>
      </c>
      <c r="G888" t="str">
        <f>"2026-01-20 03:29:08.208"</f>
        <v>2026-01-20 03:29:08.208</v>
      </c>
      <c r="H888" t="s">
        <v>21</v>
      </c>
      <c r="I888">
        <v>19.559999999999999</v>
      </c>
      <c r="J888" t="s">
        <v>32</v>
      </c>
    </row>
    <row r="889" spans="1:10" x14ac:dyDescent="0.25">
      <c r="A889" s="1">
        <v>182</v>
      </c>
      <c r="B889" t="s">
        <v>19</v>
      </c>
      <c r="C889">
        <v>706</v>
      </c>
      <c r="D889">
        <v>4</v>
      </c>
      <c r="E889" t="s">
        <v>29</v>
      </c>
      <c r="F889" t="s">
        <v>30</v>
      </c>
      <c r="G889" t="str">
        <f>"2026-01-20 03:28:15.128"</f>
        <v>2026-01-20 03:28:15.128</v>
      </c>
      <c r="H889" t="s">
        <v>21</v>
      </c>
      <c r="I889">
        <v>15.55</v>
      </c>
      <c r="J889" t="s">
        <v>32</v>
      </c>
    </row>
    <row r="890" spans="1:10" x14ac:dyDescent="0.25">
      <c r="A890" s="1">
        <v>186</v>
      </c>
      <c r="B890" t="s">
        <v>19</v>
      </c>
      <c r="C890">
        <v>700</v>
      </c>
      <c r="D890">
        <v>0</v>
      </c>
      <c r="E890" t="s">
        <v>20</v>
      </c>
      <c r="F890" t="s">
        <v>20</v>
      </c>
      <c r="G890" t="str">
        <f>"2026-01-19 04:04:07.428"</f>
        <v>2026-01-19 04:04:07.428</v>
      </c>
      <c r="H890" t="s">
        <v>21</v>
      </c>
      <c r="I890">
        <v>0</v>
      </c>
      <c r="J890" t="s">
        <v>27</v>
      </c>
    </row>
    <row r="891" spans="1:10" x14ac:dyDescent="0.25">
      <c r="A891" s="1">
        <v>188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"2026-01-18 13:26:45.412"</f>
        <v>2026-01-18 13:26:45.412</v>
      </c>
      <c r="H891" t="s">
        <v>21</v>
      </c>
    </row>
    <row r="892" spans="1:10" x14ac:dyDescent="0.25">
      <c r="A892" s="1">
        <v>190</v>
      </c>
      <c r="B892" t="s">
        <v>22</v>
      </c>
      <c r="C892">
        <v>61</v>
      </c>
      <c r="D892">
        <v>2</v>
      </c>
      <c r="E892" t="s">
        <v>76</v>
      </c>
      <c r="F892" t="s">
        <v>77</v>
      </c>
      <c r="G892" t="str">
        <f>"2026-01-18 10:35:52.947"</f>
        <v>2026-01-18 10:35:52.947</v>
      </c>
      <c r="H892" t="s">
        <v>21</v>
      </c>
    </row>
    <row r="893" spans="1:10" x14ac:dyDescent="0.25">
      <c r="A893" s="1">
        <v>191</v>
      </c>
      <c r="B893" t="s">
        <v>49</v>
      </c>
      <c r="C893">
        <v>61</v>
      </c>
      <c r="D893">
        <v>2</v>
      </c>
      <c r="E893" t="s">
        <v>76</v>
      </c>
      <c r="F893" t="s">
        <v>77</v>
      </c>
      <c r="G893" t="str">
        <f>"2026-01-18 10:35:39.547"</f>
        <v>2026-01-18 10:35:39.547</v>
      </c>
      <c r="H893" t="s">
        <v>21</v>
      </c>
      <c r="I893">
        <v>30.62</v>
      </c>
      <c r="J893" t="s">
        <v>26</v>
      </c>
    </row>
    <row r="894" spans="1:10" x14ac:dyDescent="0.25">
      <c r="A894" s="1">
        <v>192</v>
      </c>
      <c r="B894" t="s">
        <v>22</v>
      </c>
      <c r="C894">
        <v>61</v>
      </c>
      <c r="D894">
        <v>2</v>
      </c>
      <c r="E894" t="s">
        <v>76</v>
      </c>
      <c r="F894" t="s">
        <v>77</v>
      </c>
      <c r="G894" t="str">
        <f>"2026-01-18 07:37:20.547"</f>
        <v>2026-01-18 07:37:20.547</v>
      </c>
      <c r="H894" t="s">
        <v>21</v>
      </c>
    </row>
    <row r="895" spans="1:10" x14ac:dyDescent="0.25">
      <c r="A895" s="1">
        <v>193</v>
      </c>
      <c r="B895" t="s">
        <v>49</v>
      </c>
      <c r="C895">
        <v>61</v>
      </c>
      <c r="D895">
        <v>2</v>
      </c>
      <c r="E895" t="s">
        <v>76</v>
      </c>
      <c r="F895" t="s">
        <v>77</v>
      </c>
      <c r="G895" t="str">
        <f>"2026-01-18 07:37:02.447"</f>
        <v>2026-01-18 07:37:02.447</v>
      </c>
      <c r="H895" t="s">
        <v>21</v>
      </c>
      <c r="I895">
        <v>30.32</v>
      </c>
      <c r="J895" t="s">
        <v>26</v>
      </c>
    </row>
    <row r="896" spans="1:10" x14ac:dyDescent="0.25">
      <c r="A896" s="1">
        <v>194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"2026-01-17 13:01:52.595"</f>
        <v>2026-01-17 13:01:52.595</v>
      </c>
      <c r="H896" t="s">
        <v>21</v>
      </c>
      <c r="I896">
        <v>0</v>
      </c>
      <c r="J896" t="s">
        <v>27</v>
      </c>
    </row>
    <row r="897" spans="1:10" x14ac:dyDescent="0.25">
      <c r="A897" s="1">
        <v>195</v>
      </c>
      <c r="B897" t="s">
        <v>19</v>
      </c>
      <c r="C897">
        <v>706</v>
      </c>
      <c r="D897">
        <v>4</v>
      </c>
      <c r="E897" t="s">
        <v>29</v>
      </c>
      <c r="F897" t="s">
        <v>30</v>
      </c>
      <c r="G897" t="str">
        <f>"2026-01-17 09:44:56.384"</f>
        <v>2026-01-17 09:44:56.384</v>
      </c>
      <c r="H897" t="s">
        <v>21</v>
      </c>
      <c r="I897">
        <v>0</v>
      </c>
      <c r="J897" t="s">
        <v>31</v>
      </c>
    </row>
    <row r="898" spans="1:10" x14ac:dyDescent="0.25">
      <c r="A898" s="1">
        <v>196</v>
      </c>
      <c r="B898" t="s">
        <v>22</v>
      </c>
      <c r="C898">
        <v>61</v>
      </c>
      <c r="D898">
        <v>2</v>
      </c>
      <c r="E898" t="s">
        <v>76</v>
      </c>
      <c r="F898" t="s">
        <v>77</v>
      </c>
      <c r="G898" t="str">
        <f>"2026-01-17 07:38:44.096"</f>
        <v>2026-01-17 07:38:44.096</v>
      </c>
      <c r="H898" t="s">
        <v>21</v>
      </c>
    </row>
    <row r="899" spans="1:10" x14ac:dyDescent="0.25">
      <c r="A899" s="1">
        <v>197</v>
      </c>
      <c r="B899" t="s">
        <v>49</v>
      </c>
      <c r="C899">
        <v>61</v>
      </c>
      <c r="D899">
        <v>2</v>
      </c>
      <c r="E899" t="s">
        <v>76</v>
      </c>
      <c r="F899" t="s">
        <v>77</v>
      </c>
      <c r="G899" t="str">
        <f>"2026-01-17 07:38:31.796"</f>
        <v>2026-01-17 07:38:31.796</v>
      </c>
      <c r="H899" t="s">
        <v>21</v>
      </c>
      <c r="I899">
        <v>30.6</v>
      </c>
      <c r="J899" t="s">
        <v>26</v>
      </c>
    </row>
    <row r="900" spans="1:10" x14ac:dyDescent="0.25">
      <c r="A900" s="1">
        <v>198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"2026-01-17 06:16:26.444"</f>
        <v>2026-01-17 06:16:26.444</v>
      </c>
      <c r="H900" t="s">
        <v>21</v>
      </c>
    </row>
    <row r="901" spans="1:10" x14ac:dyDescent="0.25">
      <c r="A901" s="1">
        <v>199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"2026-01-16 16:58:05.405"</f>
        <v>2026-01-16 16:58:05.405</v>
      </c>
      <c r="H901" t="s">
        <v>21</v>
      </c>
      <c r="I901">
        <v>0</v>
      </c>
      <c r="J901" t="s">
        <v>27</v>
      </c>
    </row>
    <row r="902" spans="1:10" x14ac:dyDescent="0.25">
      <c r="A902" s="1">
        <v>201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"2026-01-16 14:00:00.414"</f>
        <v>2026-01-16 14:00:00.414</v>
      </c>
      <c r="H902" t="s">
        <v>21</v>
      </c>
    </row>
    <row r="903" spans="1:10" s="3" customFormat="1" x14ac:dyDescent="0.25">
      <c r="A903" s="2">
        <v>203</v>
      </c>
      <c r="B903" s="3" t="s">
        <v>22</v>
      </c>
      <c r="C903" s="3">
        <v>647</v>
      </c>
      <c r="D903" s="3">
        <v>1</v>
      </c>
      <c r="E903" s="3" t="s">
        <v>60</v>
      </c>
      <c r="F903" s="3" t="s">
        <v>61</v>
      </c>
      <c r="G903" s="3" t="str">
        <f>"2026-01-16 06:10:32.478"</f>
        <v>2026-01-16 06:10:32.478</v>
      </c>
      <c r="H903" s="3" t="s">
        <v>21</v>
      </c>
    </row>
    <row r="904" spans="1:10" s="3" customFormat="1" x14ac:dyDescent="0.25">
      <c r="A904" s="2">
        <v>204</v>
      </c>
      <c r="B904" s="3" t="s">
        <v>25</v>
      </c>
      <c r="C904" s="3">
        <v>647</v>
      </c>
      <c r="D904" s="3">
        <v>1</v>
      </c>
      <c r="E904" s="3" t="s">
        <v>60</v>
      </c>
      <c r="F904" s="3" t="s">
        <v>61</v>
      </c>
      <c r="G904" s="3" t="str">
        <f>"2026-01-16 06:10:25.478"</f>
        <v>2026-01-16 06:10:25.478</v>
      </c>
      <c r="H904" s="3" t="s">
        <v>21</v>
      </c>
      <c r="I904" s="3">
        <v>12.74</v>
      </c>
      <c r="J904" s="3" t="s">
        <v>26</v>
      </c>
    </row>
    <row r="905" spans="1:10" x14ac:dyDescent="0.25">
      <c r="A905" s="1">
        <v>205</v>
      </c>
      <c r="B905" t="s">
        <v>19</v>
      </c>
      <c r="C905">
        <v>706</v>
      </c>
      <c r="D905">
        <v>2</v>
      </c>
      <c r="E905" t="s">
        <v>29</v>
      </c>
      <c r="F905" t="s">
        <v>59</v>
      </c>
      <c r="G905" t="str">
        <f>"2026-01-15 13:35:26.107"</f>
        <v>2026-01-15 13:35:26.107</v>
      </c>
      <c r="H905" t="s">
        <v>21</v>
      </c>
      <c r="I905">
        <v>0</v>
      </c>
      <c r="J905" t="s">
        <v>31</v>
      </c>
    </row>
    <row r="906" spans="1:10" x14ac:dyDescent="0.25">
      <c r="A906" s="1">
        <v>206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"2026-01-15 13:33:00.427"</f>
        <v>2026-01-15 13:33:00.427</v>
      </c>
      <c r="H906" t="s">
        <v>21</v>
      </c>
      <c r="I906">
        <v>0</v>
      </c>
      <c r="J906" t="s">
        <v>27</v>
      </c>
    </row>
    <row r="907" spans="1:10" x14ac:dyDescent="0.25">
      <c r="A907" s="1">
        <v>207</v>
      </c>
      <c r="B907" t="s">
        <v>22</v>
      </c>
      <c r="C907">
        <v>61</v>
      </c>
      <c r="D907">
        <v>2</v>
      </c>
      <c r="E907" t="s">
        <v>76</v>
      </c>
      <c r="F907" t="s">
        <v>77</v>
      </c>
      <c r="G907" t="str">
        <f>"2026-01-15 11:53:18.343"</f>
        <v>2026-01-15 11:53:18.343</v>
      </c>
      <c r="H907" t="s">
        <v>21</v>
      </c>
    </row>
    <row r="908" spans="1:10" x14ac:dyDescent="0.25">
      <c r="A908" s="1">
        <v>208</v>
      </c>
      <c r="B908" t="s">
        <v>49</v>
      </c>
      <c r="C908">
        <v>61</v>
      </c>
      <c r="D908">
        <v>2</v>
      </c>
      <c r="E908" t="s">
        <v>76</v>
      </c>
      <c r="F908" t="s">
        <v>77</v>
      </c>
      <c r="G908" t="str">
        <f>"2026-01-15 11:53:13.143"</f>
        <v>2026-01-15 11:53:13.143</v>
      </c>
      <c r="H908" t="s">
        <v>21</v>
      </c>
      <c r="I908">
        <v>30</v>
      </c>
      <c r="J908" t="s">
        <v>26</v>
      </c>
    </row>
    <row r="909" spans="1:10" x14ac:dyDescent="0.25">
      <c r="A909" s="1">
        <v>209</v>
      </c>
      <c r="B909" t="s">
        <v>22</v>
      </c>
      <c r="C909">
        <v>61</v>
      </c>
      <c r="D909">
        <v>2</v>
      </c>
      <c r="E909" t="s">
        <v>76</v>
      </c>
      <c r="F909" t="s">
        <v>77</v>
      </c>
      <c r="G909" t="str">
        <f>"2026-01-15 11:03:33.043"</f>
        <v>2026-01-15 11:03:33.043</v>
      </c>
      <c r="H909" t="s">
        <v>21</v>
      </c>
    </row>
    <row r="910" spans="1:10" x14ac:dyDescent="0.25">
      <c r="A910" s="1">
        <v>210</v>
      </c>
      <c r="B910" t="s">
        <v>49</v>
      </c>
      <c r="C910">
        <v>61</v>
      </c>
      <c r="D910">
        <v>2</v>
      </c>
      <c r="E910" t="s">
        <v>76</v>
      </c>
      <c r="F910" t="s">
        <v>77</v>
      </c>
      <c r="G910" t="str">
        <f>"2026-01-15 11:03:27.743"</f>
        <v>2026-01-15 11:03:27.743</v>
      </c>
      <c r="H910" t="s">
        <v>21</v>
      </c>
      <c r="I910">
        <v>30.05</v>
      </c>
      <c r="J910" t="s">
        <v>26</v>
      </c>
    </row>
    <row r="911" spans="1:10" x14ac:dyDescent="0.25">
      <c r="A911" s="1">
        <v>211</v>
      </c>
      <c r="B911" t="s">
        <v>22</v>
      </c>
      <c r="C911">
        <v>61</v>
      </c>
      <c r="D911">
        <v>2</v>
      </c>
      <c r="E911" t="s">
        <v>76</v>
      </c>
      <c r="F911" t="s">
        <v>77</v>
      </c>
      <c r="G911" t="str">
        <f>"2026-01-15 10:28:03.342"</f>
        <v>2026-01-15 10:28:03.342</v>
      </c>
      <c r="H911" t="s">
        <v>21</v>
      </c>
    </row>
    <row r="912" spans="1:10" x14ac:dyDescent="0.25">
      <c r="A912" s="1">
        <v>212</v>
      </c>
      <c r="B912" t="s">
        <v>49</v>
      </c>
      <c r="C912">
        <v>61</v>
      </c>
      <c r="D912">
        <v>2</v>
      </c>
      <c r="E912" t="s">
        <v>76</v>
      </c>
      <c r="F912" t="s">
        <v>77</v>
      </c>
      <c r="G912" t="str">
        <f>"2026-01-15 10:27:56.843"</f>
        <v>2026-01-15 10:27:56.843</v>
      </c>
      <c r="H912" t="s">
        <v>21</v>
      </c>
      <c r="I912">
        <v>30.75</v>
      </c>
      <c r="J912" t="s">
        <v>26</v>
      </c>
    </row>
    <row r="913" spans="1:10" x14ac:dyDescent="0.25">
      <c r="A913" s="1">
        <v>213</v>
      </c>
      <c r="B913" t="s">
        <v>22</v>
      </c>
      <c r="C913">
        <v>61</v>
      </c>
      <c r="D913">
        <v>2</v>
      </c>
      <c r="E913" t="s">
        <v>76</v>
      </c>
      <c r="F913" t="s">
        <v>77</v>
      </c>
      <c r="G913" t="str">
        <f>"2026-01-15 09:02:26.343"</f>
        <v>2026-01-15 09:02:26.343</v>
      </c>
      <c r="H913" t="s">
        <v>21</v>
      </c>
    </row>
    <row r="914" spans="1:10" x14ac:dyDescent="0.25">
      <c r="A914" s="1">
        <v>214</v>
      </c>
      <c r="B914" t="s">
        <v>49</v>
      </c>
      <c r="C914">
        <v>61</v>
      </c>
      <c r="D914">
        <v>2</v>
      </c>
      <c r="E914" t="s">
        <v>76</v>
      </c>
      <c r="F914" t="s">
        <v>77</v>
      </c>
      <c r="G914" t="str">
        <f>"2026-01-15 09:02:19.243"</f>
        <v>2026-01-15 09:02:19.243</v>
      </c>
      <c r="H914" t="s">
        <v>21</v>
      </c>
      <c r="I914">
        <v>30.95</v>
      </c>
      <c r="J914" t="s">
        <v>26</v>
      </c>
    </row>
    <row r="915" spans="1:10" x14ac:dyDescent="0.25">
      <c r="A915" s="1">
        <v>215</v>
      </c>
      <c r="B915" t="s">
        <v>22</v>
      </c>
      <c r="C915">
        <v>61</v>
      </c>
      <c r="D915">
        <v>2</v>
      </c>
      <c r="E915" t="s">
        <v>76</v>
      </c>
      <c r="F915" t="s">
        <v>77</v>
      </c>
      <c r="G915" t="str">
        <f>"2026-01-15 08:43:15.943"</f>
        <v>2026-01-15 08:43:15.943</v>
      </c>
      <c r="H915" t="s">
        <v>21</v>
      </c>
    </row>
    <row r="916" spans="1:10" x14ac:dyDescent="0.25">
      <c r="A916" s="1">
        <v>216</v>
      </c>
      <c r="B916" t="s">
        <v>49</v>
      </c>
      <c r="C916">
        <v>61</v>
      </c>
      <c r="D916">
        <v>2</v>
      </c>
      <c r="E916" t="s">
        <v>76</v>
      </c>
      <c r="F916" t="s">
        <v>77</v>
      </c>
      <c r="G916" t="str">
        <f>"2026-01-15 08:43:09.043"</f>
        <v>2026-01-15 08:43:09.043</v>
      </c>
      <c r="H916" t="s">
        <v>21</v>
      </c>
      <c r="I916">
        <v>30.57</v>
      </c>
      <c r="J916" t="s">
        <v>26</v>
      </c>
    </row>
    <row r="917" spans="1:10" x14ac:dyDescent="0.25">
      <c r="A917" s="1">
        <v>217</v>
      </c>
      <c r="B917" t="s">
        <v>22</v>
      </c>
      <c r="C917">
        <v>61</v>
      </c>
      <c r="D917">
        <v>2</v>
      </c>
      <c r="E917" t="s">
        <v>76</v>
      </c>
      <c r="F917" t="s">
        <v>77</v>
      </c>
      <c r="G917" t="str">
        <f>"2026-01-15 08:24:40.143"</f>
        <v>2026-01-15 08:24:40.143</v>
      </c>
      <c r="H917" t="s">
        <v>21</v>
      </c>
    </row>
    <row r="918" spans="1:10" x14ac:dyDescent="0.25">
      <c r="A918" s="1">
        <v>218</v>
      </c>
      <c r="B918" t="s">
        <v>49</v>
      </c>
      <c r="C918">
        <v>61</v>
      </c>
      <c r="D918">
        <v>2</v>
      </c>
      <c r="E918" t="s">
        <v>76</v>
      </c>
      <c r="F918" t="s">
        <v>77</v>
      </c>
      <c r="G918" t="str">
        <f>"2026-01-15 08:24:33.444"</f>
        <v>2026-01-15 08:24:33.444</v>
      </c>
      <c r="H918" t="s">
        <v>21</v>
      </c>
      <c r="I918">
        <v>30.55</v>
      </c>
      <c r="J918" t="s">
        <v>26</v>
      </c>
    </row>
    <row r="919" spans="1:10" x14ac:dyDescent="0.25">
      <c r="A919" s="1">
        <v>219</v>
      </c>
      <c r="B919" t="s">
        <v>19</v>
      </c>
      <c r="C919">
        <v>706</v>
      </c>
      <c r="D919">
        <v>2</v>
      </c>
      <c r="E919" t="s">
        <v>29</v>
      </c>
      <c r="F919" t="s">
        <v>59</v>
      </c>
      <c r="G919" t="str">
        <f>"2026-01-15 07:47:05.212"</f>
        <v>2026-01-15 07:47:05.212</v>
      </c>
      <c r="H919" t="s">
        <v>21</v>
      </c>
      <c r="I919">
        <v>0</v>
      </c>
      <c r="J919" t="s">
        <v>31</v>
      </c>
    </row>
    <row r="920" spans="1:10" x14ac:dyDescent="0.25">
      <c r="A920" s="1">
        <v>220</v>
      </c>
      <c r="B920" t="s">
        <v>19</v>
      </c>
      <c r="C920">
        <v>706</v>
      </c>
      <c r="D920">
        <v>4</v>
      </c>
      <c r="E920" t="s">
        <v>29</v>
      </c>
      <c r="F920" t="s">
        <v>30</v>
      </c>
      <c r="G920" t="str">
        <f>"2026-01-14 09:24:07.422"</f>
        <v>2026-01-14 09:24:07.422</v>
      </c>
      <c r="H920" t="s">
        <v>21</v>
      </c>
      <c r="I920">
        <v>0</v>
      </c>
      <c r="J920" t="s">
        <v>31</v>
      </c>
    </row>
    <row r="921" spans="1:10" x14ac:dyDescent="0.25">
      <c r="A921" s="1">
        <v>221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"2026-01-14 09:11:37.422"</f>
        <v>2026-01-14 09:11:37.422</v>
      </c>
      <c r="H921" t="s">
        <v>21</v>
      </c>
      <c r="I921">
        <v>0</v>
      </c>
      <c r="J921" t="s">
        <v>27</v>
      </c>
    </row>
    <row r="922" spans="1:10" x14ac:dyDescent="0.25">
      <c r="A922" s="1">
        <v>223</v>
      </c>
      <c r="B922" t="s">
        <v>22</v>
      </c>
      <c r="C922">
        <v>61</v>
      </c>
      <c r="D922">
        <v>2</v>
      </c>
      <c r="E922" t="s">
        <v>76</v>
      </c>
      <c r="F922" t="s">
        <v>77</v>
      </c>
      <c r="G922" t="str">
        <f>"2026-01-13 23:25:33.349"</f>
        <v>2026-01-13 23:25:33.349</v>
      </c>
      <c r="H922" t="s">
        <v>21</v>
      </c>
    </row>
    <row r="923" spans="1:10" x14ac:dyDescent="0.25">
      <c r="A923" s="1">
        <v>224</v>
      </c>
      <c r="B923" t="s">
        <v>49</v>
      </c>
      <c r="C923">
        <v>61</v>
      </c>
      <c r="D923">
        <v>2</v>
      </c>
      <c r="E923" t="s">
        <v>76</v>
      </c>
      <c r="F923" t="s">
        <v>77</v>
      </c>
      <c r="G923" t="str">
        <f>"2026-01-13 23:25:26.249"</f>
        <v>2026-01-13 23:25:26.249</v>
      </c>
      <c r="H923" t="s">
        <v>21</v>
      </c>
      <c r="I923">
        <v>29.49</v>
      </c>
      <c r="J923" t="s">
        <v>26</v>
      </c>
    </row>
    <row r="924" spans="1:10" x14ac:dyDescent="0.25">
      <c r="A924" s="1">
        <v>226</v>
      </c>
      <c r="B924" t="s">
        <v>22</v>
      </c>
      <c r="C924">
        <v>61</v>
      </c>
      <c r="D924">
        <v>2</v>
      </c>
      <c r="E924" t="s">
        <v>76</v>
      </c>
      <c r="F924" t="s">
        <v>77</v>
      </c>
      <c r="G924" t="str">
        <f>"2026-01-13 18:42:03.849"</f>
        <v>2026-01-13 18:42:03.849</v>
      </c>
      <c r="H924" t="s">
        <v>21</v>
      </c>
    </row>
    <row r="925" spans="1:10" x14ac:dyDescent="0.25">
      <c r="A925" s="1">
        <v>227</v>
      </c>
      <c r="B925" t="s">
        <v>49</v>
      </c>
      <c r="C925">
        <v>61</v>
      </c>
      <c r="D925">
        <v>2</v>
      </c>
      <c r="E925" t="s">
        <v>76</v>
      </c>
      <c r="F925" t="s">
        <v>77</v>
      </c>
      <c r="G925" t="str">
        <f>"2026-01-13 18:41:48.949"</f>
        <v>2026-01-13 18:41:48.949</v>
      </c>
      <c r="H925" t="s">
        <v>21</v>
      </c>
      <c r="I925">
        <v>30.21</v>
      </c>
      <c r="J925" t="s">
        <v>26</v>
      </c>
    </row>
    <row r="926" spans="1:10" x14ac:dyDescent="0.25">
      <c r="A926" s="1">
        <v>228</v>
      </c>
      <c r="B926" t="s">
        <v>22</v>
      </c>
      <c r="C926">
        <v>61</v>
      </c>
      <c r="D926">
        <v>2</v>
      </c>
      <c r="E926" t="s">
        <v>76</v>
      </c>
      <c r="F926" t="s">
        <v>77</v>
      </c>
      <c r="G926" t="str">
        <f>"2026-01-13 17:02:14.549"</f>
        <v>2026-01-13 17:02:14.549</v>
      </c>
      <c r="H926" t="s">
        <v>21</v>
      </c>
    </row>
    <row r="927" spans="1:10" x14ac:dyDescent="0.25">
      <c r="A927" s="1">
        <v>229</v>
      </c>
      <c r="B927" t="s">
        <v>49</v>
      </c>
      <c r="C927">
        <v>61</v>
      </c>
      <c r="D927">
        <v>2</v>
      </c>
      <c r="E927" t="s">
        <v>76</v>
      </c>
      <c r="F927" t="s">
        <v>77</v>
      </c>
      <c r="G927" t="str">
        <f>"2026-01-13 17:02:05.949"</f>
        <v>2026-01-13 17:02:05.949</v>
      </c>
      <c r="H927" t="s">
        <v>21</v>
      </c>
      <c r="I927">
        <v>29.55</v>
      </c>
      <c r="J927" t="s">
        <v>26</v>
      </c>
    </row>
    <row r="928" spans="1:10" x14ac:dyDescent="0.25">
      <c r="A928" s="1">
        <v>230</v>
      </c>
      <c r="B928" t="s">
        <v>22</v>
      </c>
      <c r="C928">
        <v>61</v>
      </c>
      <c r="D928">
        <v>2</v>
      </c>
      <c r="E928" t="s">
        <v>76</v>
      </c>
      <c r="F928" t="s">
        <v>77</v>
      </c>
      <c r="G928" t="str">
        <f>"2026-01-13 15:48:24.949"</f>
        <v>2026-01-13 15:48:24.949</v>
      </c>
      <c r="H928" t="s">
        <v>21</v>
      </c>
    </row>
    <row r="929" spans="1:10" x14ac:dyDescent="0.25">
      <c r="A929" s="1">
        <v>231</v>
      </c>
      <c r="B929" t="s">
        <v>49</v>
      </c>
      <c r="C929">
        <v>61</v>
      </c>
      <c r="D929">
        <v>2</v>
      </c>
      <c r="E929" t="s">
        <v>76</v>
      </c>
      <c r="F929" t="s">
        <v>77</v>
      </c>
      <c r="G929" t="str">
        <f>"2026-01-13 15:48:12.949"</f>
        <v>2026-01-13 15:48:12.949</v>
      </c>
      <c r="H929" t="s">
        <v>21</v>
      </c>
      <c r="I929">
        <v>30.06</v>
      </c>
      <c r="J929" t="s">
        <v>26</v>
      </c>
    </row>
    <row r="930" spans="1:10" x14ac:dyDescent="0.25">
      <c r="A930" s="1">
        <v>232</v>
      </c>
      <c r="B930" t="s">
        <v>19</v>
      </c>
      <c r="C930">
        <v>706</v>
      </c>
      <c r="D930">
        <v>2</v>
      </c>
      <c r="E930" t="s">
        <v>29</v>
      </c>
      <c r="F930" t="s">
        <v>59</v>
      </c>
      <c r="G930" t="str">
        <f>"2026-01-13 14:59:47.829"</f>
        <v>2026-01-13 14:59:47.829</v>
      </c>
      <c r="H930" t="s">
        <v>21</v>
      </c>
      <c r="I930">
        <v>0</v>
      </c>
      <c r="J930" t="s">
        <v>31</v>
      </c>
    </row>
    <row r="931" spans="1:10" x14ac:dyDescent="0.25">
      <c r="A931" s="1">
        <v>233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"2026-01-13 14:31:23.389"</f>
        <v>2026-01-13 14:31:23.389</v>
      </c>
      <c r="H931" t="s">
        <v>21</v>
      </c>
      <c r="I931">
        <v>0</v>
      </c>
      <c r="J931" t="s">
        <v>27</v>
      </c>
    </row>
    <row r="932" spans="1:10" x14ac:dyDescent="0.25">
      <c r="A932" s="1">
        <v>234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"2026-01-13 10:28:00.386"</f>
        <v>2026-01-13 10:28:00.386</v>
      </c>
      <c r="H932" t="s">
        <v>21</v>
      </c>
      <c r="I932">
        <v>0</v>
      </c>
      <c r="J932" t="s">
        <v>27</v>
      </c>
    </row>
    <row r="933" spans="1:10" x14ac:dyDescent="0.25">
      <c r="A933" s="1">
        <v>235</v>
      </c>
      <c r="B933" t="s">
        <v>19</v>
      </c>
      <c r="C933">
        <v>706</v>
      </c>
      <c r="D933">
        <v>2</v>
      </c>
      <c r="E933" t="s">
        <v>29</v>
      </c>
      <c r="F933" t="s">
        <v>59</v>
      </c>
      <c r="G933" t="str">
        <f>"2026-01-13 10:20:59.645"</f>
        <v>2026-01-13 10:20:59.645</v>
      </c>
      <c r="H933" t="s">
        <v>21</v>
      </c>
      <c r="I933">
        <v>0</v>
      </c>
      <c r="J933" t="s">
        <v>31</v>
      </c>
    </row>
    <row r="934" spans="1:10" x14ac:dyDescent="0.25">
      <c r="A934" s="1">
        <v>236</v>
      </c>
      <c r="B934" t="s">
        <v>19</v>
      </c>
      <c r="C934">
        <v>700</v>
      </c>
      <c r="D934">
        <v>0</v>
      </c>
      <c r="E934" t="s">
        <v>20</v>
      </c>
      <c r="F934" t="s">
        <v>20</v>
      </c>
      <c r="G934" t="str">
        <f>"2026-01-13 09:37:29.395"</f>
        <v>2026-01-13 09:37:29.395</v>
      </c>
      <c r="H934" t="s">
        <v>21</v>
      </c>
      <c r="I934">
        <v>0</v>
      </c>
      <c r="J934" t="s">
        <v>27</v>
      </c>
    </row>
    <row r="935" spans="1:10" x14ac:dyDescent="0.25">
      <c r="A935" s="1">
        <v>237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"2026-01-13 09:20:08.386"</f>
        <v>2026-01-13 09:20:08.386</v>
      </c>
      <c r="H935" t="s">
        <v>21</v>
      </c>
      <c r="I935">
        <v>0</v>
      </c>
      <c r="J935" t="s">
        <v>27</v>
      </c>
    </row>
    <row r="936" spans="1:10" x14ac:dyDescent="0.25">
      <c r="A936" s="1">
        <v>238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"2026-01-13 09:06:25.387"</f>
        <v>2026-01-13 09:06:25.387</v>
      </c>
      <c r="H936" t="s">
        <v>21</v>
      </c>
      <c r="I936">
        <v>0</v>
      </c>
      <c r="J936" t="s">
        <v>27</v>
      </c>
    </row>
    <row r="937" spans="1:10" x14ac:dyDescent="0.25">
      <c r="A937" s="1">
        <v>240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"2026-01-12 16:18:36.402"</f>
        <v>2026-01-12 16:18:36.402</v>
      </c>
      <c r="H937" t="s">
        <v>21</v>
      </c>
    </row>
    <row r="938" spans="1:10" x14ac:dyDescent="0.25">
      <c r="A938" s="1">
        <v>241</v>
      </c>
      <c r="B938" t="s">
        <v>19</v>
      </c>
      <c r="C938">
        <v>706</v>
      </c>
      <c r="D938">
        <v>2</v>
      </c>
      <c r="E938" t="s">
        <v>29</v>
      </c>
      <c r="F938" t="s">
        <v>59</v>
      </c>
      <c r="G938" t="str">
        <f>"2026-01-12 10:48:27.620"</f>
        <v>2026-01-12 10:48:27.620</v>
      </c>
      <c r="H938" t="s">
        <v>21</v>
      </c>
      <c r="I938">
        <v>0</v>
      </c>
      <c r="J938" t="s">
        <v>31</v>
      </c>
    </row>
    <row r="939" spans="1:10" x14ac:dyDescent="0.25">
      <c r="A939" s="1">
        <v>242</v>
      </c>
      <c r="B939" t="s">
        <v>22</v>
      </c>
      <c r="C939">
        <v>61</v>
      </c>
      <c r="D939">
        <v>2</v>
      </c>
      <c r="E939" t="s">
        <v>76</v>
      </c>
      <c r="F939" t="s">
        <v>77</v>
      </c>
      <c r="G939" t="str">
        <f>"2026-01-12 06:30:52.951"</f>
        <v>2026-01-12 06:30:52.951</v>
      </c>
      <c r="H939" t="s">
        <v>21</v>
      </c>
    </row>
    <row r="940" spans="1:10" x14ac:dyDescent="0.25">
      <c r="A940" s="1">
        <v>243</v>
      </c>
      <c r="B940" t="s">
        <v>49</v>
      </c>
      <c r="C940">
        <v>61</v>
      </c>
      <c r="D940">
        <v>2</v>
      </c>
      <c r="E940" t="s">
        <v>76</v>
      </c>
      <c r="F940" t="s">
        <v>77</v>
      </c>
      <c r="G940" t="str">
        <f>"2026-01-12 06:30:37.851"</f>
        <v>2026-01-12 06:30:37.851</v>
      </c>
      <c r="H940" t="s">
        <v>21</v>
      </c>
      <c r="I940">
        <v>30.24</v>
      </c>
      <c r="J940" t="s">
        <v>26</v>
      </c>
    </row>
    <row r="941" spans="1:10" x14ac:dyDescent="0.25">
      <c r="A941" s="1">
        <v>244</v>
      </c>
      <c r="B941" t="s">
        <v>22</v>
      </c>
      <c r="C941">
        <v>635</v>
      </c>
      <c r="D941">
        <v>1</v>
      </c>
      <c r="E941" t="s">
        <v>23</v>
      </c>
      <c r="F941" t="s">
        <v>24</v>
      </c>
      <c r="G941" t="str">
        <f>"2026-01-12 03:34:20.250"</f>
        <v>2026-01-12 03:34:20.250</v>
      </c>
      <c r="H941" t="s">
        <v>21</v>
      </c>
    </row>
    <row r="942" spans="1:10" x14ac:dyDescent="0.25">
      <c r="A942" s="1">
        <v>245</v>
      </c>
      <c r="B942" t="s">
        <v>25</v>
      </c>
      <c r="C942">
        <v>635</v>
      </c>
      <c r="D942">
        <v>1</v>
      </c>
      <c r="E942" t="s">
        <v>23</v>
      </c>
      <c r="F942" t="s">
        <v>24</v>
      </c>
      <c r="G942" t="str">
        <f>"2026-01-12 03:29:29.750"</f>
        <v>2026-01-12 03:29:29.750</v>
      </c>
      <c r="H942" t="s">
        <v>21</v>
      </c>
      <c r="I942">
        <v>0</v>
      </c>
      <c r="J942" t="s">
        <v>28</v>
      </c>
    </row>
    <row r="943" spans="1:10" x14ac:dyDescent="0.25">
      <c r="A943" s="1">
        <v>246</v>
      </c>
      <c r="B943" t="s">
        <v>22</v>
      </c>
      <c r="C943">
        <v>61</v>
      </c>
      <c r="D943">
        <v>2</v>
      </c>
      <c r="E943" t="s">
        <v>76</v>
      </c>
      <c r="F943" t="s">
        <v>77</v>
      </c>
      <c r="G943" t="str">
        <f>"2026-01-12 02:22:25.651"</f>
        <v>2026-01-12 02:22:25.651</v>
      </c>
      <c r="H943" t="s">
        <v>21</v>
      </c>
    </row>
    <row r="944" spans="1:10" x14ac:dyDescent="0.25">
      <c r="A944" s="1">
        <v>247</v>
      </c>
      <c r="B944" t="s">
        <v>49</v>
      </c>
      <c r="C944">
        <v>61</v>
      </c>
      <c r="D944">
        <v>2</v>
      </c>
      <c r="E944" t="s">
        <v>76</v>
      </c>
      <c r="F944" t="s">
        <v>77</v>
      </c>
      <c r="G944" t="str">
        <f>"2026-01-12 02:22:12.351"</f>
        <v>2026-01-12 02:22:12.351</v>
      </c>
      <c r="H944" t="s">
        <v>21</v>
      </c>
      <c r="I944">
        <v>30.17</v>
      </c>
      <c r="J944" t="s">
        <v>26</v>
      </c>
    </row>
    <row r="945" spans="1:10" x14ac:dyDescent="0.25">
      <c r="A945" s="1">
        <v>248</v>
      </c>
      <c r="B945" t="s">
        <v>19</v>
      </c>
      <c r="C945">
        <v>706</v>
      </c>
      <c r="D945">
        <v>4</v>
      </c>
      <c r="E945" t="s">
        <v>29</v>
      </c>
      <c r="F945" t="s">
        <v>30</v>
      </c>
      <c r="G945" t="str">
        <f>"2026-01-11 23:52:34.890"</f>
        <v>2026-01-11 23:52:34.890</v>
      </c>
      <c r="H945" t="s">
        <v>21</v>
      </c>
      <c r="I945">
        <v>0</v>
      </c>
      <c r="J945" t="s">
        <v>31</v>
      </c>
    </row>
    <row r="946" spans="1:10" x14ac:dyDescent="0.25">
      <c r="A946" s="1">
        <v>249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"2026-01-11 22:42:35.380"</f>
        <v>2026-01-11 22:42:35.380</v>
      </c>
      <c r="H946" t="s">
        <v>21</v>
      </c>
      <c r="I946">
        <v>0</v>
      </c>
      <c r="J946" t="s">
        <v>27</v>
      </c>
    </row>
    <row r="947" spans="1:10" x14ac:dyDescent="0.25">
      <c r="A947" s="1">
        <v>250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"2026-01-11 22:14:47.381"</f>
        <v>2026-01-11 22:14:47.381</v>
      </c>
      <c r="H947" t="s">
        <v>21</v>
      </c>
      <c r="I947">
        <v>0</v>
      </c>
      <c r="J947" t="s">
        <v>27</v>
      </c>
    </row>
    <row r="948" spans="1:10" x14ac:dyDescent="0.25">
      <c r="A948" s="1">
        <v>251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"2026-01-11 22:09:48.384"</f>
        <v>2026-01-11 22:09:48.384</v>
      </c>
      <c r="H948" t="s">
        <v>21</v>
      </c>
    </row>
    <row r="949" spans="1:10" x14ac:dyDescent="0.25">
      <c r="A949" s="1">
        <v>252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"2026-01-11 21:46:43.519"</f>
        <v>2026-01-11 21:46:43.519</v>
      </c>
      <c r="H949" t="s">
        <v>21</v>
      </c>
      <c r="I949">
        <v>0</v>
      </c>
      <c r="J949" t="s">
        <v>27</v>
      </c>
    </row>
    <row r="950" spans="1:10" x14ac:dyDescent="0.25">
      <c r="A950" s="1">
        <v>253</v>
      </c>
      <c r="B950" t="s">
        <v>19</v>
      </c>
      <c r="C950">
        <v>706</v>
      </c>
      <c r="D950">
        <v>2</v>
      </c>
      <c r="E950" t="s">
        <v>29</v>
      </c>
      <c r="F950" t="s">
        <v>59</v>
      </c>
      <c r="G950" t="str">
        <f>"2026-01-11 09:13:43.320"</f>
        <v>2026-01-11 09:13:43.320</v>
      </c>
      <c r="H950" t="s">
        <v>21</v>
      </c>
      <c r="I950">
        <v>0</v>
      </c>
      <c r="J950" t="s">
        <v>31</v>
      </c>
    </row>
    <row r="951" spans="1:10" x14ac:dyDescent="0.25">
      <c r="A951" s="1">
        <v>254</v>
      </c>
      <c r="B951" t="s">
        <v>19</v>
      </c>
      <c r="C951">
        <v>706</v>
      </c>
      <c r="D951">
        <v>4</v>
      </c>
      <c r="E951" t="s">
        <v>29</v>
      </c>
      <c r="F951" t="s">
        <v>30</v>
      </c>
      <c r="G951" t="str">
        <f>"2026-01-10 13:24:41.970"</f>
        <v>2026-01-10 13:24:41.970</v>
      </c>
      <c r="H951" t="s">
        <v>21</v>
      </c>
      <c r="I951">
        <v>0</v>
      </c>
      <c r="J951" t="s">
        <v>31</v>
      </c>
    </row>
    <row r="952" spans="1:10" x14ac:dyDescent="0.25">
      <c r="A952" s="1">
        <v>255</v>
      </c>
      <c r="B952" t="s">
        <v>22</v>
      </c>
      <c r="C952">
        <v>635</v>
      </c>
      <c r="D952">
        <v>1</v>
      </c>
      <c r="E952" t="s">
        <v>23</v>
      </c>
      <c r="F952" t="s">
        <v>24</v>
      </c>
      <c r="G952" t="str">
        <f>"2026-01-10 08:26:47.532"</f>
        <v>2026-01-10 08:26:47.532</v>
      </c>
      <c r="H952" t="s">
        <v>21</v>
      </c>
    </row>
    <row r="953" spans="1:10" x14ac:dyDescent="0.25">
      <c r="A953" s="1">
        <v>256</v>
      </c>
      <c r="B953" t="s">
        <v>25</v>
      </c>
      <c r="C953">
        <v>635</v>
      </c>
      <c r="D953">
        <v>1</v>
      </c>
      <c r="E953" t="s">
        <v>23</v>
      </c>
      <c r="F953" t="s">
        <v>24</v>
      </c>
      <c r="G953" t="str">
        <f>"2026-01-10 08:23:35.032"</f>
        <v>2026-01-10 08:23:35.032</v>
      </c>
      <c r="H953" t="s">
        <v>21</v>
      </c>
      <c r="I953">
        <v>5.32</v>
      </c>
      <c r="J953" t="s">
        <v>32</v>
      </c>
    </row>
    <row r="954" spans="1:10" x14ac:dyDescent="0.25">
      <c r="A954" s="1">
        <v>257</v>
      </c>
      <c r="B954" t="s">
        <v>22</v>
      </c>
      <c r="C954">
        <v>61</v>
      </c>
      <c r="D954">
        <v>2</v>
      </c>
      <c r="E954" t="s">
        <v>76</v>
      </c>
      <c r="F954" t="s">
        <v>77</v>
      </c>
      <c r="G954" t="str">
        <f>"2026-01-10 06:46:53.445"</f>
        <v>2026-01-10 06:46:53.445</v>
      </c>
      <c r="H954" t="s">
        <v>21</v>
      </c>
    </row>
    <row r="955" spans="1:10" x14ac:dyDescent="0.25">
      <c r="A955" s="1">
        <v>258</v>
      </c>
      <c r="B955" t="s">
        <v>49</v>
      </c>
      <c r="C955">
        <v>61</v>
      </c>
      <c r="D955">
        <v>2</v>
      </c>
      <c r="E955" t="s">
        <v>76</v>
      </c>
      <c r="F955" t="s">
        <v>77</v>
      </c>
      <c r="G955" t="str">
        <f>"2026-01-10 06:46:28.544"</f>
        <v>2026-01-10 06:46:28.544</v>
      </c>
      <c r="H955" t="s">
        <v>21</v>
      </c>
      <c r="I955">
        <v>30.66</v>
      </c>
      <c r="J955" t="s">
        <v>26</v>
      </c>
    </row>
    <row r="956" spans="1:10" x14ac:dyDescent="0.25">
      <c r="A956" s="1">
        <v>259</v>
      </c>
      <c r="B956" t="s">
        <v>22</v>
      </c>
      <c r="C956">
        <v>61</v>
      </c>
      <c r="D956">
        <v>2</v>
      </c>
      <c r="E956" t="s">
        <v>76</v>
      </c>
      <c r="F956" t="s">
        <v>77</v>
      </c>
      <c r="G956" t="str">
        <f>"2026-01-10 01:45:24.144"</f>
        <v>2026-01-10 01:45:24.144</v>
      </c>
      <c r="H956" t="s">
        <v>21</v>
      </c>
    </row>
    <row r="957" spans="1:10" x14ac:dyDescent="0.25">
      <c r="A957" s="1">
        <v>260</v>
      </c>
      <c r="B957" t="s">
        <v>49</v>
      </c>
      <c r="C957">
        <v>61</v>
      </c>
      <c r="D957">
        <v>2</v>
      </c>
      <c r="E957" t="s">
        <v>76</v>
      </c>
      <c r="F957" t="s">
        <v>77</v>
      </c>
      <c r="G957" t="str">
        <f>"2026-01-10 01:45:11.645"</f>
        <v>2026-01-10 01:45:11.645</v>
      </c>
      <c r="H957" t="s">
        <v>21</v>
      </c>
      <c r="I957">
        <v>30.24</v>
      </c>
      <c r="J957" t="s">
        <v>26</v>
      </c>
    </row>
    <row r="958" spans="1:10" x14ac:dyDescent="0.25">
      <c r="A958" s="1">
        <v>261</v>
      </c>
      <c r="B958" t="s">
        <v>22</v>
      </c>
      <c r="C958">
        <v>61</v>
      </c>
      <c r="D958">
        <v>2</v>
      </c>
      <c r="E958" t="s">
        <v>76</v>
      </c>
      <c r="F958" t="s">
        <v>77</v>
      </c>
      <c r="G958" t="str">
        <f>"2026-01-09 21:19:16.544"</f>
        <v>2026-01-09 21:19:16.544</v>
      </c>
      <c r="H958" t="s">
        <v>21</v>
      </c>
    </row>
    <row r="959" spans="1:10" x14ac:dyDescent="0.25">
      <c r="A959" s="1">
        <v>262</v>
      </c>
      <c r="B959" t="s">
        <v>49</v>
      </c>
      <c r="C959">
        <v>61</v>
      </c>
      <c r="D959">
        <v>2</v>
      </c>
      <c r="E959" t="s">
        <v>76</v>
      </c>
      <c r="F959" t="s">
        <v>77</v>
      </c>
      <c r="G959" t="str">
        <f>"2026-01-09 21:19:06.344"</f>
        <v>2026-01-09 21:19:06.344</v>
      </c>
      <c r="H959" t="s">
        <v>21</v>
      </c>
      <c r="I959">
        <v>29.82</v>
      </c>
      <c r="J959" t="s">
        <v>26</v>
      </c>
    </row>
    <row r="960" spans="1:10" x14ac:dyDescent="0.25">
      <c r="A960" s="1">
        <v>264</v>
      </c>
      <c r="B960" t="s">
        <v>22</v>
      </c>
      <c r="C960">
        <v>635</v>
      </c>
      <c r="D960">
        <v>1</v>
      </c>
      <c r="E960" t="s">
        <v>23</v>
      </c>
      <c r="F960" t="s">
        <v>24</v>
      </c>
      <c r="G960" t="str">
        <f>"2026-01-09 09:47:42.132"</f>
        <v>2026-01-09 09:47:42.132</v>
      </c>
      <c r="H960" t="s">
        <v>21</v>
      </c>
    </row>
    <row r="961" spans="1:10" x14ac:dyDescent="0.25">
      <c r="A961" s="1">
        <v>265</v>
      </c>
      <c r="B961" t="s">
        <v>25</v>
      </c>
      <c r="C961">
        <v>635</v>
      </c>
      <c r="D961">
        <v>1</v>
      </c>
      <c r="E961" t="s">
        <v>23</v>
      </c>
      <c r="F961" t="s">
        <v>24</v>
      </c>
      <c r="G961" t="str">
        <f>"2026-01-09 09:38:40.132"</f>
        <v>2026-01-09 09:38:40.132</v>
      </c>
      <c r="H961" t="s">
        <v>21</v>
      </c>
      <c r="I961">
        <v>9.93</v>
      </c>
      <c r="J961" t="s">
        <v>26</v>
      </c>
    </row>
    <row r="962" spans="1:10" x14ac:dyDescent="0.25">
      <c r="A962" s="1">
        <v>266</v>
      </c>
      <c r="B962" t="s">
        <v>19</v>
      </c>
      <c r="C962">
        <v>706</v>
      </c>
      <c r="D962">
        <v>4</v>
      </c>
      <c r="E962" t="s">
        <v>29</v>
      </c>
      <c r="F962" t="s">
        <v>30</v>
      </c>
      <c r="G962" t="str">
        <f>"2026-01-09 08:51:37.490"</f>
        <v>2026-01-09 08:51:37.490</v>
      </c>
      <c r="H962" t="s">
        <v>21</v>
      </c>
      <c r="I962">
        <v>0</v>
      </c>
      <c r="J962" t="s">
        <v>31</v>
      </c>
    </row>
    <row r="963" spans="1:10" x14ac:dyDescent="0.25">
      <c r="A963" s="1">
        <v>267</v>
      </c>
      <c r="B963" t="s">
        <v>22</v>
      </c>
      <c r="C963">
        <v>61</v>
      </c>
      <c r="D963">
        <v>2</v>
      </c>
      <c r="E963" t="s">
        <v>76</v>
      </c>
      <c r="F963" t="s">
        <v>77</v>
      </c>
      <c r="G963" t="str">
        <f>"2026-01-09 05:54:06.445"</f>
        <v>2026-01-09 05:54:06.445</v>
      </c>
      <c r="H963" t="s">
        <v>21</v>
      </c>
    </row>
    <row r="964" spans="1:10" x14ac:dyDescent="0.25">
      <c r="A964" s="1">
        <v>268</v>
      </c>
      <c r="B964" t="s">
        <v>49</v>
      </c>
      <c r="C964">
        <v>61</v>
      </c>
      <c r="D964">
        <v>2</v>
      </c>
      <c r="E964" t="s">
        <v>76</v>
      </c>
      <c r="F964" t="s">
        <v>77</v>
      </c>
      <c r="G964" t="str">
        <f>"2026-01-09 05:53:44.544"</f>
        <v>2026-01-09 05:53:44.544</v>
      </c>
      <c r="H964" t="s">
        <v>21</v>
      </c>
      <c r="I964">
        <v>30.91</v>
      </c>
      <c r="J964" t="s">
        <v>26</v>
      </c>
    </row>
    <row r="965" spans="1:10" x14ac:dyDescent="0.25">
      <c r="A965" s="1">
        <v>269</v>
      </c>
      <c r="B965" t="s">
        <v>22</v>
      </c>
      <c r="C965">
        <v>61</v>
      </c>
      <c r="D965">
        <v>2</v>
      </c>
      <c r="E965" t="s">
        <v>76</v>
      </c>
      <c r="F965" t="s">
        <v>77</v>
      </c>
      <c r="G965" t="str">
        <f>"2026-01-09 05:12:45.845"</f>
        <v>2026-01-09 05:12:45.845</v>
      </c>
      <c r="H965" t="s">
        <v>21</v>
      </c>
    </row>
    <row r="966" spans="1:10" x14ac:dyDescent="0.25">
      <c r="A966" s="1">
        <v>270</v>
      </c>
      <c r="B966" t="s">
        <v>49</v>
      </c>
      <c r="C966">
        <v>61</v>
      </c>
      <c r="D966">
        <v>2</v>
      </c>
      <c r="E966" t="s">
        <v>76</v>
      </c>
      <c r="F966" t="s">
        <v>77</v>
      </c>
      <c r="G966" t="str">
        <f>"2026-01-09 05:12:31.845"</f>
        <v>2026-01-09 05:12:31.845</v>
      </c>
      <c r="H966" t="s">
        <v>21</v>
      </c>
      <c r="I966">
        <v>30.18</v>
      </c>
      <c r="J966" t="s">
        <v>26</v>
      </c>
    </row>
    <row r="967" spans="1:10" x14ac:dyDescent="0.25">
      <c r="A967" s="1">
        <v>271</v>
      </c>
      <c r="B967" t="s">
        <v>19</v>
      </c>
      <c r="C967">
        <v>706</v>
      </c>
      <c r="D967">
        <v>2</v>
      </c>
      <c r="E967" t="s">
        <v>29</v>
      </c>
      <c r="F967" t="s">
        <v>59</v>
      </c>
      <c r="G967" t="str">
        <f>"2026-01-08 13:00:37.320"</f>
        <v>2026-01-08 13:00:37.320</v>
      </c>
      <c r="H967" t="s">
        <v>21</v>
      </c>
      <c r="I967">
        <v>0</v>
      </c>
      <c r="J967" t="s">
        <v>31</v>
      </c>
    </row>
    <row r="968" spans="1:10" x14ac:dyDescent="0.25">
      <c r="A968" s="1">
        <v>272</v>
      </c>
      <c r="B968" t="s">
        <v>22</v>
      </c>
      <c r="C968">
        <v>61</v>
      </c>
      <c r="D968">
        <v>2</v>
      </c>
      <c r="E968" t="s">
        <v>76</v>
      </c>
      <c r="F968" t="s">
        <v>77</v>
      </c>
      <c r="G968" t="str">
        <f>"2026-01-08 04:02:33.445"</f>
        <v>2026-01-08 04:02:33.445</v>
      </c>
      <c r="H968" t="s">
        <v>21</v>
      </c>
    </row>
    <row r="969" spans="1:10" x14ac:dyDescent="0.25">
      <c r="A969" s="1">
        <v>273</v>
      </c>
      <c r="B969" t="s">
        <v>49</v>
      </c>
      <c r="C969">
        <v>61</v>
      </c>
      <c r="D969">
        <v>2</v>
      </c>
      <c r="E969" t="s">
        <v>76</v>
      </c>
      <c r="F969" t="s">
        <v>77</v>
      </c>
      <c r="G969" t="str">
        <f>"2026-01-08 04:02:21.645"</f>
        <v>2026-01-08 04:02:21.645</v>
      </c>
      <c r="H969" t="s">
        <v>21</v>
      </c>
      <c r="I969">
        <v>30.15</v>
      </c>
      <c r="J969" t="s">
        <v>26</v>
      </c>
    </row>
    <row r="970" spans="1:10" x14ac:dyDescent="0.25">
      <c r="A970" s="1">
        <v>274</v>
      </c>
      <c r="B970" t="s">
        <v>22</v>
      </c>
      <c r="C970">
        <v>61</v>
      </c>
      <c r="D970">
        <v>2</v>
      </c>
      <c r="E970" t="s">
        <v>76</v>
      </c>
      <c r="F970" t="s">
        <v>77</v>
      </c>
      <c r="G970" t="str">
        <f>"2026-01-08 02:59:43.645"</f>
        <v>2026-01-08 02:59:43.645</v>
      </c>
      <c r="H970" t="s">
        <v>21</v>
      </c>
    </row>
    <row r="971" spans="1:10" x14ac:dyDescent="0.25">
      <c r="A971" s="1">
        <v>275</v>
      </c>
      <c r="B971" t="s">
        <v>49</v>
      </c>
      <c r="C971">
        <v>61</v>
      </c>
      <c r="D971">
        <v>2</v>
      </c>
      <c r="E971" t="s">
        <v>76</v>
      </c>
      <c r="F971" t="s">
        <v>77</v>
      </c>
      <c r="G971" t="str">
        <f>"2026-01-08 02:59:27.544"</f>
        <v>2026-01-08 02:59:27.544</v>
      </c>
      <c r="H971" t="s">
        <v>21</v>
      </c>
      <c r="I971">
        <v>30.14</v>
      </c>
      <c r="J971" t="s">
        <v>26</v>
      </c>
    </row>
    <row r="972" spans="1:10" x14ac:dyDescent="0.25">
      <c r="A972" s="1">
        <v>276</v>
      </c>
      <c r="B972" t="s">
        <v>22</v>
      </c>
      <c r="C972">
        <v>61</v>
      </c>
      <c r="D972">
        <v>2</v>
      </c>
      <c r="E972" t="s">
        <v>76</v>
      </c>
      <c r="F972" t="s">
        <v>77</v>
      </c>
      <c r="G972" t="str">
        <f>"2026-01-08 02:12:43.944"</f>
        <v>2026-01-08 02:12:43.944</v>
      </c>
      <c r="H972" t="s">
        <v>21</v>
      </c>
    </row>
    <row r="973" spans="1:10" x14ac:dyDescent="0.25">
      <c r="A973" s="1">
        <v>277</v>
      </c>
      <c r="B973" t="s">
        <v>49</v>
      </c>
      <c r="C973">
        <v>61</v>
      </c>
      <c r="D973">
        <v>2</v>
      </c>
      <c r="E973" t="s">
        <v>76</v>
      </c>
      <c r="F973" t="s">
        <v>77</v>
      </c>
      <c r="G973" t="str">
        <f>"2026-01-08 02:12:23.645"</f>
        <v>2026-01-08 02:12:23.645</v>
      </c>
      <c r="H973" t="s">
        <v>21</v>
      </c>
      <c r="I973">
        <v>30.1</v>
      </c>
      <c r="J973" t="s">
        <v>26</v>
      </c>
    </row>
    <row r="974" spans="1:10" x14ac:dyDescent="0.25">
      <c r="A974" s="1">
        <v>278</v>
      </c>
      <c r="B974" t="s">
        <v>22</v>
      </c>
      <c r="C974">
        <v>61</v>
      </c>
      <c r="D974">
        <v>2</v>
      </c>
      <c r="E974" t="s">
        <v>76</v>
      </c>
      <c r="F974" t="s">
        <v>77</v>
      </c>
      <c r="G974" t="str">
        <f>"2026-01-08 00:43:08.144"</f>
        <v>2026-01-08 00:43:08.144</v>
      </c>
      <c r="H974" t="s">
        <v>21</v>
      </c>
    </row>
    <row r="975" spans="1:10" x14ac:dyDescent="0.25">
      <c r="A975" s="1">
        <v>279</v>
      </c>
      <c r="B975" t="s">
        <v>49</v>
      </c>
      <c r="C975">
        <v>61</v>
      </c>
      <c r="D975">
        <v>2</v>
      </c>
      <c r="E975" t="s">
        <v>76</v>
      </c>
      <c r="F975" t="s">
        <v>77</v>
      </c>
      <c r="G975" t="str">
        <f>"2026-01-08 00:42:45.144"</f>
        <v>2026-01-08 00:42:45.144</v>
      </c>
      <c r="H975" t="s">
        <v>21</v>
      </c>
      <c r="I975">
        <v>30.33</v>
      </c>
      <c r="J975" t="s">
        <v>26</v>
      </c>
    </row>
    <row r="976" spans="1:10" x14ac:dyDescent="0.25">
      <c r="A976" s="1">
        <v>280</v>
      </c>
      <c r="B976" t="s">
        <v>22</v>
      </c>
      <c r="C976">
        <v>61</v>
      </c>
      <c r="D976">
        <v>2</v>
      </c>
      <c r="E976" t="s">
        <v>76</v>
      </c>
      <c r="F976" t="s">
        <v>77</v>
      </c>
      <c r="G976" t="str">
        <f>"2026-01-07 22:24:56.344"</f>
        <v>2026-01-07 22:24:56.344</v>
      </c>
      <c r="H976" t="s">
        <v>21</v>
      </c>
    </row>
    <row r="977" spans="1:10" x14ac:dyDescent="0.25">
      <c r="A977" s="1">
        <v>281</v>
      </c>
      <c r="B977" t="s">
        <v>49</v>
      </c>
      <c r="C977">
        <v>61</v>
      </c>
      <c r="D977">
        <v>2</v>
      </c>
      <c r="E977" t="s">
        <v>76</v>
      </c>
      <c r="F977" t="s">
        <v>77</v>
      </c>
      <c r="G977" t="str">
        <f>"2026-01-07 22:24:48.645"</f>
        <v>2026-01-07 22:24:48.645</v>
      </c>
      <c r="H977" t="s">
        <v>21</v>
      </c>
      <c r="I977">
        <v>29.34</v>
      </c>
      <c r="J977" t="s">
        <v>26</v>
      </c>
    </row>
    <row r="978" spans="1:10" x14ac:dyDescent="0.25">
      <c r="A978" s="1">
        <v>282</v>
      </c>
      <c r="B978" t="s">
        <v>19</v>
      </c>
      <c r="C978">
        <v>706</v>
      </c>
      <c r="D978">
        <v>2</v>
      </c>
      <c r="E978" t="s">
        <v>29</v>
      </c>
      <c r="F978" t="s">
        <v>59</v>
      </c>
      <c r="G978" t="str">
        <f>"2026-01-07 13:32:41.320"</f>
        <v>2026-01-07 13:32:41.320</v>
      </c>
      <c r="H978" t="s">
        <v>21</v>
      </c>
      <c r="I978">
        <v>0</v>
      </c>
      <c r="J978" t="s">
        <v>31</v>
      </c>
    </row>
    <row r="979" spans="1:10" x14ac:dyDescent="0.25">
      <c r="A979" s="1">
        <v>284</v>
      </c>
      <c r="B979" t="s">
        <v>22</v>
      </c>
      <c r="C979">
        <v>42</v>
      </c>
      <c r="D979">
        <v>1</v>
      </c>
      <c r="E979" t="s">
        <v>79</v>
      </c>
      <c r="F979" t="s">
        <v>80</v>
      </c>
      <c r="G979" t="str">
        <f>"2026-01-06 14:18:08.102"</f>
        <v>2026-01-06 14:18:08.102</v>
      </c>
      <c r="H979" t="s">
        <v>81</v>
      </c>
    </row>
    <row r="980" spans="1:10" x14ac:dyDescent="0.25">
      <c r="A980" s="1">
        <v>285</v>
      </c>
      <c r="B980" t="s">
        <v>25</v>
      </c>
      <c r="C980">
        <v>42</v>
      </c>
      <c r="D980">
        <v>1</v>
      </c>
      <c r="E980" t="s">
        <v>79</v>
      </c>
      <c r="F980" t="s">
        <v>80</v>
      </c>
      <c r="G980" t="str">
        <f>"2026-01-06 14:17:55.503"</f>
        <v>2026-01-06 14:17:55.503</v>
      </c>
      <c r="H980" t="s">
        <v>81</v>
      </c>
      <c r="I980">
        <v>0</v>
      </c>
      <c r="J980" t="s">
        <v>31</v>
      </c>
    </row>
    <row r="981" spans="1:10" x14ac:dyDescent="0.25">
      <c r="A981" s="1">
        <v>286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"2026-01-06 14:02:39.340"</f>
        <v>2026-01-06 14:02:39.340</v>
      </c>
      <c r="H981" t="s">
        <v>21</v>
      </c>
    </row>
    <row r="982" spans="1:10" x14ac:dyDescent="0.25">
      <c r="A982" s="1">
        <v>287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"2026-01-06 13:14:57.353"</f>
        <v>2026-01-06 13:14:57.353</v>
      </c>
      <c r="H982" t="s">
        <v>21</v>
      </c>
      <c r="I982">
        <v>0</v>
      </c>
      <c r="J982" t="s">
        <v>27</v>
      </c>
    </row>
    <row r="983" spans="1:10" x14ac:dyDescent="0.25">
      <c r="A983" s="1">
        <v>288</v>
      </c>
      <c r="B983" t="s">
        <v>19</v>
      </c>
      <c r="C983">
        <v>706</v>
      </c>
      <c r="D983">
        <v>4</v>
      </c>
      <c r="E983" t="s">
        <v>29</v>
      </c>
      <c r="F983" t="s">
        <v>30</v>
      </c>
      <c r="G983" t="str">
        <f>"2026-01-04 11:25:00.612"</f>
        <v>2026-01-04 11:25:00.612</v>
      </c>
      <c r="H983" t="s">
        <v>21</v>
      </c>
      <c r="I983">
        <v>0</v>
      </c>
      <c r="J983" t="s">
        <v>31</v>
      </c>
    </row>
    <row r="984" spans="1:10" x14ac:dyDescent="0.25">
      <c r="A984" s="1">
        <v>292</v>
      </c>
      <c r="B984" t="s">
        <v>19</v>
      </c>
      <c r="C984">
        <v>706</v>
      </c>
      <c r="D984">
        <v>2</v>
      </c>
      <c r="E984" t="s">
        <v>29</v>
      </c>
      <c r="F984" t="s">
        <v>59</v>
      </c>
      <c r="G984" t="str">
        <f>"2026-01-02 09:33:56.522"</f>
        <v>2026-01-02 09:33:56.522</v>
      </c>
      <c r="H984" t="s">
        <v>21</v>
      </c>
      <c r="I984">
        <v>0</v>
      </c>
      <c r="J984" t="s">
        <v>31</v>
      </c>
    </row>
    <row r="985" spans="1:10" x14ac:dyDescent="0.25">
      <c r="A985" s="1">
        <v>293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"2026-01-01 20:21:14.332"</f>
        <v>2026-01-01 20:21:14.332</v>
      </c>
      <c r="H985" t="s">
        <v>21</v>
      </c>
      <c r="I985">
        <v>0</v>
      </c>
      <c r="J985" t="s">
        <v>27</v>
      </c>
    </row>
    <row r="986" spans="1:10" x14ac:dyDescent="0.25">
      <c r="A986" s="1">
        <v>294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"2026-01-01 18:49:17.336"</f>
        <v>2026-01-01 18:49:17.336</v>
      </c>
      <c r="H986" t="s">
        <v>21</v>
      </c>
    </row>
    <row r="987" spans="1:10" x14ac:dyDescent="0.25">
      <c r="A987" s="1">
        <v>295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"2026-01-01 18:43:23.415"</f>
        <v>2026-01-01 18:43:23.415</v>
      </c>
      <c r="H987" t="s">
        <v>21</v>
      </c>
    </row>
    <row r="988" spans="1:10" x14ac:dyDescent="0.25">
      <c r="A988" s="1">
        <v>296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"2026-01-01 18:37:02.415"</f>
        <v>2026-01-01 18:37:02.415</v>
      </c>
      <c r="H988" t="s">
        <v>21</v>
      </c>
      <c r="I988">
        <v>0</v>
      </c>
      <c r="J988" t="s">
        <v>27</v>
      </c>
    </row>
    <row r="989" spans="1:10" x14ac:dyDescent="0.25">
      <c r="A989" s="1">
        <v>297</v>
      </c>
      <c r="B989" t="s">
        <v>19</v>
      </c>
      <c r="C989">
        <v>706</v>
      </c>
      <c r="D989">
        <v>4</v>
      </c>
      <c r="E989" t="s">
        <v>29</v>
      </c>
      <c r="F989" t="s">
        <v>30</v>
      </c>
      <c r="G989" t="str">
        <f>"2026-01-01 18:35:49.274"</f>
        <v>2026-01-01 18:35:49.274</v>
      </c>
      <c r="H989" t="s">
        <v>21</v>
      </c>
      <c r="I989">
        <v>0</v>
      </c>
      <c r="J989" t="s">
        <v>31</v>
      </c>
    </row>
    <row r="990" spans="1:10" x14ac:dyDescent="0.25">
      <c r="A990" s="1">
        <v>298</v>
      </c>
      <c r="B990" t="s">
        <v>19</v>
      </c>
      <c r="C990">
        <v>700</v>
      </c>
      <c r="D990">
        <v>0</v>
      </c>
      <c r="E990" t="s">
        <v>20</v>
      </c>
      <c r="F990" t="s">
        <v>20</v>
      </c>
      <c r="G990" t="str">
        <f>"2026-01-01 18:23:38.334"</f>
        <v>2026-01-01 18:23:38.334</v>
      </c>
      <c r="H990" t="s">
        <v>21</v>
      </c>
      <c r="I990">
        <v>0</v>
      </c>
      <c r="J990" t="s">
        <v>27</v>
      </c>
    </row>
    <row r="991" spans="1:10" x14ac:dyDescent="0.25">
      <c r="A991" s="1">
        <v>299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"2026-01-01 17:59:10.336"</f>
        <v>2026-01-01 17:59:10.336</v>
      </c>
      <c r="H991" t="s">
        <v>21</v>
      </c>
    </row>
    <row r="992" spans="1:10" x14ac:dyDescent="0.25">
      <c r="A992" s="1">
        <v>300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"2026-01-01 17:50:47.336"</f>
        <v>2026-01-01 17:50:47.336</v>
      </c>
      <c r="H992" t="s">
        <v>21</v>
      </c>
      <c r="I992">
        <v>0</v>
      </c>
      <c r="J992" t="s">
        <v>27</v>
      </c>
    </row>
    <row r="993" spans="1:10" x14ac:dyDescent="0.25">
      <c r="A993" s="1">
        <v>301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"2026-01-01 16:18:00.579"</f>
        <v>2026-01-01 16:18:00.579</v>
      </c>
      <c r="H993" t="s">
        <v>21</v>
      </c>
      <c r="I993">
        <v>0</v>
      </c>
      <c r="J993" t="s">
        <v>27</v>
      </c>
    </row>
    <row r="994" spans="1:10" x14ac:dyDescent="0.25">
      <c r="A994" s="1">
        <v>302</v>
      </c>
      <c r="B994" t="s">
        <v>22</v>
      </c>
      <c r="C994">
        <v>61</v>
      </c>
      <c r="D994">
        <v>2</v>
      </c>
      <c r="E994" t="s">
        <v>76</v>
      </c>
      <c r="F994" t="s">
        <v>77</v>
      </c>
      <c r="G994" t="str">
        <f>"2026-01-01 12:13:59.417"</f>
        <v>2026-01-01 12:13:59.417</v>
      </c>
      <c r="H994" t="s">
        <v>21</v>
      </c>
    </row>
    <row r="995" spans="1:10" x14ac:dyDescent="0.25">
      <c r="A995" s="1">
        <v>303</v>
      </c>
      <c r="B995" t="s">
        <v>49</v>
      </c>
      <c r="C995">
        <v>61</v>
      </c>
      <c r="D995">
        <v>2</v>
      </c>
      <c r="E995" t="s">
        <v>76</v>
      </c>
      <c r="F995" t="s">
        <v>77</v>
      </c>
      <c r="G995" t="str">
        <f>"2026-01-01 12:13:46.817"</f>
        <v>2026-01-01 12:13:46.817</v>
      </c>
      <c r="H995" t="s">
        <v>21</v>
      </c>
      <c r="I995">
        <v>30.48</v>
      </c>
      <c r="J995" t="s">
        <v>26</v>
      </c>
    </row>
    <row r="996" spans="1:10" x14ac:dyDescent="0.25">
      <c r="A996" s="1">
        <v>304</v>
      </c>
      <c r="B996" t="s">
        <v>19</v>
      </c>
      <c r="C996">
        <v>706</v>
      </c>
      <c r="D996">
        <v>4</v>
      </c>
      <c r="E996" t="s">
        <v>29</v>
      </c>
      <c r="F996" t="s">
        <v>30</v>
      </c>
      <c r="G996" t="str">
        <f>"2026-01-01 08:57:05.384"</f>
        <v>2026-01-01 08:57:05.384</v>
      </c>
      <c r="H996" t="s">
        <v>21</v>
      </c>
      <c r="I996">
        <v>0</v>
      </c>
      <c r="J996" t="s">
        <v>31</v>
      </c>
    </row>
    <row r="997" spans="1:10" x14ac:dyDescent="0.25">
      <c r="A997" s="1">
        <v>305</v>
      </c>
      <c r="B997" t="s">
        <v>19</v>
      </c>
      <c r="C997">
        <v>706</v>
      </c>
      <c r="D997">
        <v>4</v>
      </c>
      <c r="E997" t="s">
        <v>29</v>
      </c>
      <c r="F997" t="s">
        <v>30</v>
      </c>
      <c r="G997" t="str">
        <f>"2025-12-31 14:50:50.074"</f>
        <v>2025-12-31 14:50:50.074</v>
      </c>
      <c r="H997" t="s">
        <v>21</v>
      </c>
      <c r="I997">
        <v>0</v>
      </c>
      <c r="J997" t="s">
        <v>31</v>
      </c>
    </row>
    <row r="998" spans="1:10" x14ac:dyDescent="0.25">
      <c r="A998" s="1">
        <v>306</v>
      </c>
      <c r="B998" t="s">
        <v>22</v>
      </c>
      <c r="C998">
        <v>630</v>
      </c>
      <c r="D998">
        <v>5</v>
      </c>
      <c r="E998" t="s">
        <v>71</v>
      </c>
      <c r="F998" t="s">
        <v>72</v>
      </c>
      <c r="G998" t="str">
        <f>"2025-12-31 13:40:56.204"</f>
        <v>2025-12-31 13:40:56.204</v>
      </c>
      <c r="H998" t="s">
        <v>44</v>
      </c>
    </row>
    <row r="999" spans="1:10" x14ac:dyDescent="0.25">
      <c r="A999" s="1">
        <v>307</v>
      </c>
      <c r="B999" t="s">
        <v>19</v>
      </c>
      <c r="C999">
        <v>706</v>
      </c>
      <c r="D999">
        <v>4</v>
      </c>
      <c r="E999" t="s">
        <v>29</v>
      </c>
      <c r="F999" t="s">
        <v>30</v>
      </c>
      <c r="G999" t="str">
        <f>"2025-12-31 13:40:26.054"</f>
        <v>2025-12-31 13:40:26.054</v>
      </c>
      <c r="H999" t="s">
        <v>21</v>
      </c>
      <c r="I999">
        <v>0</v>
      </c>
      <c r="J999" t="s">
        <v>31</v>
      </c>
    </row>
    <row r="1000" spans="1:10" x14ac:dyDescent="0.25">
      <c r="A1000" s="1">
        <v>308</v>
      </c>
      <c r="B1000" t="s">
        <v>49</v>
      </c>
      <c r="C1000">
        <v>630</v>
      </c>
      <c r="D1000">
        <v>5</v>
      </c>
      <c r="E1000" t="s">
        <v>71</v>
      </c>
      <c r="F1000" t="s">
        <v>72</v>
      </c>
      <c r="G1000" t="str">
        <f>"2025-12-31 13:26:38.804"</f>
        <v>2025-12-31 13:26:38.804</v>
      </c>
      <c r="H1000" t="s">
        <v>44</v>
      </c>
      <c r="I1000">
        <v>0</v>
      </c>
      <c r="J1000" t="s">
        <v>31</v>
      </c>
    </row>
    <row r="1001" spans="1:10" x14ac:dyDescent="0.25">
      <c r="A1001" s="1">
        <v>310</v>
      </c>
      <c r="B1001" t="s">
        <v>19</v>
      </c>
      <c r="C1001">
        <v>706</v>
      </c>
      <c r="D1001">
        <v>4</v>
      </c>
      <c r="E1001" t="s">
        <v>29</v>
      </c>
      <c r="F1001" t="s">
        <v>30</v>
      </c>
      <c r="G1001" t="str">
        <f>"2025-12-30 09:14:49.344"</f>
        <v>2025-12-30 09:14:49.344</v>
      </c>
      <c r="H1001" t="s">
        <v>21</v>
      </c>
      <c r="I1001">
        <v>0</v>
      </c>
      <c r="J1001" t="s">
        <v>31</v>
      </c>
    </row>
    <row r="1002" spans="1:10" x14ac:dyDescent="0.25">
      <c r="A1002" s="1">
        <v>311</v>
      </c>
      <c r="B1002" t="s">
        <v>22</v>
      </c>
      <c r="C1002">
        <v>98</v>
      </c>
      <c r="D1002">
        <v>1</v>
      </c>
      <c r="E1002" t="s">
        <v>82</v>
      </c>
      <c r="F1002" t="s">
        <v>83</v>
      </c>
      <c r="G1002" t="str">
        <f>"2025-12-30 09:04:58.717"</f>
        <v>2025-12-30 09:04:58.717</v>
      </c>
      <c r="H1002" t="s">
        <v>21</v>
      </c>
    </row>
    <row r="1003" spans="1:10" x14ac:dyDescent="0.25">
      <c r="A1003" s="1">
        <v>312</v>
      </c>
      <c r="B1003" t="s">
        <v>25</v>
      </c>
      <c r="C1003">
        <v>98</v>
      </c>
      <c r="D1003">
        <v>1</v>
      </c>
      <c r="E1003" t="s">
        <v>82</v>
      </c>
      <c r="F1003" t="s">
        <v>83</v>
      </c>
      <c r="G1003" t="str">
        <f>"2025-12-30 09:04:57.617"</f>
        <v>2025-12-30 09:04:57.617</v>
      </c>
      <c r="H1003" t="s">
        <v>21</v>
      </c>
      <c r="I1003">
        <v>0</v>
      </c>
      <c r="J1003" t="s">
        <v>31</v>
      </c>
    </row>
    <row r="1004" spans="1:10" x14ac:dyDescent="0.25">
      <c r="A1004" s="1">
        <v>313</v>
      </c>
      <c r="B1004" t="s">
        <v>22</v>
      </c>
      <c r="C1004">
        <v>98</v>
      </c>
      <c r="D1004">
        <v>1</v>
      </c>
      <c r="E1004" t="s">
        <v>82</v>
      </c>
      <c r="F1004" t="s">
        <v>83</v>
      </c>
      <c r="G1004" t="str">
        <f>"2025-12-30 09:04:57.017"</f>
        <v>2025-12-30 09:04:57.017</v>
      </c>
      <c r="H1004" t="s">
        <v>21</v>
      </c>
    </row>
    <row r="1005" spans="1:10" x14ac:dyDescent="0.25">
      <c r="A1005" s="1">
        <v>314</v>
      </c>
      <c r="B1005" t="s">
        <v>25</v>
      </c>
      <c r="C1005">
        <v>98</v>
      </c>
      <c r="D1005">
        <v>1</v>
      </c>
      <c r="E1005" t="s">
        <v>82</v>
      </c>
      <c r="F1005" t="s">
        <v>83</v>
      </c>
      <c r="G1005" t="str">
        <f>"2025-12-30 09:04:55.817"</f>
        <v>2025-12-30 09:04:55.817</v>
      </c>
      <c r="H1005" t="s">
        <v>21</v>
      </c>
      <c r="I1005">
        <v>0</v>
      </c>
      <c r="J1005" t="s">
        <v>31</v>
      </c>
    </row>
    <row r="1006" spans="1:10" x14ac:dyDescent="0.25">
      <c r="A1006" s="1">
        <v>315</v>
      </c>
      <c r="B1006" t="s">
        <v>22</v>
      </c>
      <c r="C1006">
        <v>98</v>
      </c>
      <c r="D1006">
        <v>1</v>
      </c>
      <c r="E1006" t="s">
        <v>82</v>
      </c>
      <c r="F1006" t="s">
        <v>83</v>
      </c>
      <c r="G1006" t="str">
        <f>"2025-12-30 09:04:55.717"</f>
        <v>2025-12-30 09:04:55.717</v>
      </c>
      <c r="H1006" t="s">
        <v>21</v>
      </c>
    </row>
    <row r="1007" spans="1:10" x14ac:dyDescent="0.25">
      <c r="A1007" s="1">
        <v>316</v>
      </c>
      <c r="B1007" t="s">
        <v>25</v>
      </c>
      <c r="C1007">
        <v>98</v>
      </c>
      <c r="D1007">
        <v>1</v>
      </c>
      <c r="E1007" t="s">
        <v>82</v>
      </c>
      <c r="F1007" t="s">
        <v>83</v>
      </c>
      <c r="G1007" t="str">
        <f>"2025-12-30 09:04:54.617"</f>
        <v>2025-12-30 09:04:54.617</v>
      </c>
      <c r="H1007" t="s">
        <v>21</v>
      </c>
      <c r="I1007">
        <v>0</v>
      </c>
      <c r="J1007" t="s">
        <v>31</v>
      </c>
    </row>
    <row r="1008" spans="1:10" x14ac:dyDescent="0.25">
      <c r="A1008" s="1">
        <v>317</v>
      </c>
      <c r="B1008" t="s">
        <v>19</v>
      </c>
      <c r="C1008">
        <v>706</v>
      </c>
      <c r="D1008">
        <v>3</v>
      </c>
      <c r="E1008" t="s">
        <v>29</v>
      </c>
      <c r="F1008" t="s">
        <v>54</v>
      </c>
      <c r="G1008" t="str">
        <f>"2025-12-30 09:02:41.504"</f>
        <v>2025-12-30 09:02:41.504</v>
      </c>
      <c r="H1008" t="s">
        <v>21</v>
      </c>
      <c r="I1008">
        <v>0</v>
      </c>
      <c r="J1008" t="s">
        <v>31</v>
      </c>
    </row>
    <row r="1009" spans="1:10" x14ac:dyDescent="0.25">
      <c r="A1009" s="1">
        <v>319</v>
      </c>
      <c r="B1009" t="s">
        <v>22</v>
      </c>
      <c r="C1009">
        <v>630</v>
      </c>
      <c r="D1009">
        <v>5</v>
      </c>
      <c r="E1009" t="s">
        <v>71</v>
      </c>
      <c r="F1009" t="s">
        <v>72</v>
      </c>
      <c r="G1009" t="str">
        <f>"2025-12-29 11:31:52.604"</f>
        <v>2025-12-29 11:31:52.604</v>
      </c>
      <c r="H1009" t="s">
        <v>44</v>
      </c>
    </row>
    <row r="1010" spans="1:10" x14ac:dyDescent="0.25">
      <c r="A1010" s="1">
        <v>320</v>
      </c>
      <c r="B1010" t="s">
        <v>19</v>
      </c>
      <c r="C1010">
        <v>706</v>
      </c>
      <c r="D1010">
        <v>4</v>
      </c>
      <c r="E1010" t="s">
        <v>29</v>
      </c>
      <c r="F1010" t="s">
        <v>30</v>
      </c>
      <c r="G1010" t="str">
        <f>"2025-12-29 11:31:22.494"</f>
        <v>2025-12-29 11:31:22.494</v>
      </c>
      <c r="H1010" t="s">
        <v>21</v>
      </c>
      <c r="I1010">
        <v>0</v>
      </c>
      <c r="J1010" t="s">
        <v>31</v>
      </c>
    </row>
    <row r="1011" spans="1:10" x14ac:dyDescent="0.25">
      <c r="A1011" s="1">
        <v>321</v>
      </c>
      <c r="B1011" t="s">
        <v>49</v>
      </c>
      <c r="C1011">
        <v>630</v>
      </c>
      <c r="D1011">
        <v>5</v>
      </c>
      <c r="E1011" t="s">
        <v>71</v>
      </c>
      <c r="F1011" t="s">
        <v>72</v>
      </c>
      <c r="G1011" t="str">
        <f>"2025-12-29 11:23:29.704"</f>
        <v>2025-12-29 11:23:29.704</v>
      </c>
      <c r="H1011" t="s">
        <v>44</v>
      </c>
      <c r="I1011">
        <v>0</v>
      </c>
      <c r="J1011" t="s">
        <v>31</v>
      </c>
    </row>
    <row r="1012" spans="1:10" x14ac:dyDescent="0.25">
      <c r="A1012" s="1">
        <v>322</v>
      </c>
      <c r="B1012" t="s">
        <v>19</v>
      </c>
      <c r="C1012">
        <v>706</v>
      </c>
      <c r="D1012">
        <v>4</v>
      </c>
      <c r="E1012" t="s">
        <v>29</v>
      </c>
      <c r="F1012" t="s">
        <v>30</v>
      </c>
      <c r="G1012" t="str">
        <f>"2025-12-29 01:09:03.023"</f>
        <v>2025-12-29 01:09:03.023</v>
      </c>
      <c r="H1012" t="s">
        <v>21</v>
      </c>
      <c r="I1012">
        <v>20.21</v>
      </c>
      <c r="J1012" t="s">
        <v>32</v>
      </c>
    </row>
    <row r="1013" spans="1:10" x14ac:dyDescent="0.25">
      <c r="A1013" s="1">
        <v>323</v>
      </c>
      <c r="B1013" t="s">
        <v>19</v>
      </c>
      <c r="C1013">
        <v>706</v>
      </c>
      <c r="D1013">
        <v>4</v>
      </c>
      <c r="E1013" t="s">
        <v>29</v>
      </c>
      <c r="F1013" t="s">
        <v>30</v>
      </c>
      <c r="G1013" t="str">
        <f>"2025-12-28 21:01:08.334"</f>
        <v>2025-12-28 21:01:08.334</v>
      </c>
      <c r="H1013" t="s">
        <v>21</v>
      </c>
      <c r="I1013">
        <v>16</v>
      </c>
      <c r="J1013" t="s">
        <v>32</v>
      </c>
    </row>
    <row r="1014" spans="1:10" x14ac:dyDescent="0.25">
      <c r="A1014" s="1">
        <v>324</v>
      </c>
      <c r="B1014" t="s">
        <v>19</v>
      </c>
      <c r="C1014">
        <v>706</v>
      </c>
      <c r="D1014">
        <v>4</v>
      </c>
      <c r="E1014" t="s">
        <v>29</v>
      </c>
      <c r="F1014" t="s">
        <v>30</v>
      </c>
      <c r="G1014" t="str">
        <f>"2025-12-28 21:00:48.504"</f>
        <v>2025-12-28 21:00:48.504</v>
      </c>
      <c r="H1014" t="s">
        <v>21</v>
      </c>
      <c r="I1014">
        <v>15.19</v>
      </c>
      <c r="J1014" t="s">
        <v>26</v>
      </c>
    </row>
    <row r="1015" spans="1:10" x14ac:dyDescent="0.25">
      <c r="A1015" s="1">
        <v>325</v>
      </c>
      <c r="B1015" t="s">
        <v>19</v>
      </c>
      <c r="C1015">
        <v>706</v>
      </c>
      <c r="D1015">
        <v>4</v>
      </c>
      <c r="E1015" t="s">
        <v>29</v>
      </c>
      <c r="F1015" t="s">
        <v>30</v>
      </c>
      <c r="G1015" t="str">
        <f>"2025-12-28 21:00:39.444"</f>
        <v>2025-12-28 21:00:39.444</v>
      </c>
      <c r="H1015" t="s">
        <v>21</v>
      </c>
      <c r="I1015">
        <v>16.47</v>
      </c>
      <c r="J1015" t="s">
        <v>26</v>
      </c>
    </row>
    <row r="1016" spans="1:10" x14ac:dyDescent="0.25">
      <c r="A1016" s="1">
        <v>326</v>
      </c>
      <c r="B1016" t="s">
        <v>19</v>
      </c>
      <c r="C1016">
        <v>706</v>
      </c>
      <c r="D1016">
        <v>4</v>
      </c>
      <c r="E1016" t="s">
        <v>29</v>
      </c>
      <c r="F1016" t="s">
        <v>30</v>
      </c>
      <c r="G1016" t="str">
        <f>"2025-12-28 21:00:27.884"</f>
        <v>2025-12-28 21:00:27.884</v>
      </c>
      <c r="H1016" t="s">
        <v>21</v>
      </c>
      <c r="I1016">
        <v>19.77</v>
      </c>
      <c r="J1016" t="s">
        <v>26</v>
      </c>
    </row>
    <row r="1017" spans="1:10" x14ac:dyDescent="0.25">
      <c r="A1017" s="1">
        <v>327</v>
      </c>
      <c r="B1017" t="s">
        <v>19</v>
      </c>
      <c r="C1017">
        <v>706</v>
      </c>
      <c r="D1017">
        <v>4</v>
      </c>
      <c r="E1017" t="s">
        <v>29</v>
      </c>
      <c r="F1017" t="s">
        <v>30</v>
      </c>
      <c r="G1017" t="str">
        <f>"2025-12-28 21:00:21.884"</f>
        <v>2025-12-28 21:00:21.884</v>
      </c>
      <c r="H1017" t="s">
        <v>21</v>
      </c>
      <c r="I1017">
        <v>23.21</v>
      </c>
      <c r="J1017" t="s">
        <v>26</v>
      </c>
    </row>
    <row r="1018" spans="1:10" x14ac:dyDescent="0.25">
      <c r="A1018" s="1">
        <v>328</v>
      </c>
      <c r="B1018" t="s">
        <v>19</v>
      </c>
      <c r="C1018">
        <v>706</v>
      </c>
      <c r="D1018">
        <v>4</v>
      </c>
      <c r="E1018" t="s">
        <v>29</v>
      </c>
      <c r="F1018" t="s">
        <v>30</v>
      </c>
      <c r="G1018" t="str">
        <f>"2025-12-28 21:00:06.314"</f>
        <v>2025-12-28 21:00:06.314</v>
      </c>
      <c r="H1018" t="s">
        <v>21</v>
      </c>
      <c r="I1018">
        <v>24.35</v>
      </c>
      <c r="J1018" t="s">
        <v>32</v>
      </c>
    </row>
    <row r="1019" spans="1:10" x14ac:dyDescent="0.25">
      <c r="A1019" s="1">
        <v>329</v>
      </c>
      <c r="B1019" t="s">
        <v>22</v>
      </c>
      <c r="C1019">
        <v>61</v>
      </c>
      <c r="D1019">
        <v>2</v>
      </c>
      <c r="E1019" t="s">
        <v>76</v>
      </c>
      <c r="F1019" t="s">
        <v>77</v>
      </c>
      <c r="G1019" t="str">
        <f>"2025-12-28 20:50:42.417"</f>
        <v>2025-12-28 20:50:42.417</v>
      </c>
      <c r="H1019" t="s">
        <v>21</v>
      </c>
    </row>
    <row r="1020" spans="1:10" x14ac:dyDescent="0.25">
      <c r="A1020" s="1">
        <v>330</v>
      </c>
      <c r="B1020" t="s">
        <v>49</v>
      </c>
      <c r="C1020">
        <v>61</v>
      </c>
      <c r="D1020">
        <v>2</v>
      </c>
      <c r="E1020" t="s">
        <v>76</v>
      </c>
      <c r="F1020" t="s">
        <v>77</v>
      </c>
      <c r="G1020" t="str">
        <f>"2025-12-28 20:50:36.717"</f>
        <v>2025-12-28 20:50:36.717</v>
      </c>
      <c r="H1020" t="s">
        <v>21</v>
      </c>
      <c r="I1020">
        <v>29.17</v>
      </c>
      <c r="J1020" t="s">
        <v>26</v>
      </c>
    </row>
    <row r="1021" spans="1:10" x14ac:dyDescent="0.25">
      <c r="A1021" s="1">
        <v>331</v>
      </c>
      <c r="B1021" t="s">
        <v>19</v>
      </c>
      <c r="C1021">
        <v>706</v>
      </c>
      <c r="D1021">
        <v>4</v>
      </c>
      <c r="E1021" t="s">
        <v>29</v>
      </c>
      <c r="F1021" t="s">
        <v>30</v>
      </c>
      <c r="G1021" t="str">
        <f>"2025-12-28 20:50:02.774"</f>
        <v>2025-12-28 20:50:02.774</v>
      </c>
      <c r="H1021" t="s">
        <v>21</v>
      </c>
      <c r="I1021">
        <v>23.13</v>
      </c>
      <c r="J1021" t="s">
        <v>26</v>
      </c>
    </row>
    <row r="1022" spans="1:10" x14ac:dyDescent="0.25">
      <c r="A1022" s="1">
        <v>332</v>
      </c>
      <c r="B1022" t="s">
        <v>22</v>
      </c>
      <c r="C1022">
        <v>630</v>
      </c>
      <c r="D1022">
        <v>5</v>
      </c>
      <c r="E1022" t="s">
        <v>71</v>
      </c>
      <c r="F1022" t="s">
        <v>72</v>
      </c>
      <c r="G1022" t="str">
        <f>"2025-12-28 14:01:16.804"</f>
        <v>2025-12-28 14:01:16.804</v>
      </c>
      <c r="H1022" t="s">
        <v>44</v>
      </c>
    </row>
    <row r="1023" spans="1:10" x14ac:dyDescent="0.25">
      <c r="A1023" s="1">
        <v>333</v>
      </c>
      <c r="B1023" t="s">
        <v>19</v>
      </c>
      <c r="C1023">
        <v>706</v>
      </c>
      <c r="D1023">
        <v>2</v>
      </c>
      <c r="E1023" t="s">
        <v>29</v>
      </c>
      <c r="F1023" t="s">
        <v>59</v>
      </c>
      <c r="G1023" t="str">
        <f>"2025-12-28 14:00:46.604"</f>
        <v>2025-12-28 14:00:46.604</v>
      </c>
      <c r="H1023" t="s">
        <v>21</v>
      </c>
      <c r="I1023">
        <v>0</v>
      </c>
      <c r="J1023" t="s">
        <v>31</v>
      </c>
    </row>
    <row r="1024" spans="1:10" x14ac:dyDescent="0.25">
      <c r="A1024" s="1">
        <v>334</v>
      </c>
      <c r="B1024" t="s">
        <v>49</v>
      </c>
      <c r="C1024">
        <v>630</v>
      </c>
      <c r="D1024">
        <v>5</v>
      </c>
      <c r="E1024" t="s">
        <v>71</v>
      </c>
      <c r="F1024" t="s">
        <v>72</v>
      </c>
      <c r="G1024" t="str">
        <f>"2025-12-28 13:48:38.605"</f>
        <v>2025-12-28 13:48:38.605</v>
      </c>
      <c r="H1024" t="s">
        <v>44</v>
      </c>
      <c r="I1024">
        <v>0</v>
      </c>
      <c r="J1024" t="s">
        <v>31</v>
      </c>
    </row>
    <row r="1025" spans="1:10" x14ac:dyDescent="0.25">
      <c r="A1025" s="1">
        <v>335</v>
      </c>
      <c r="B1025" t="s">
        <v>19</v>
      </c>
      <c r="C1025">
        <v>706</v>
      </c>
      <c r="D1025">
        <v>4</v>
      </c>
      <c r="E1025" t="s">
        <v>29</v>
      </c>
      <c r="F1025" t="s">
        <v>30</v>
      </c>
      <c r="G1025" t="str">
        <f>"2025-12-27 22:55:02.824"</f>
        <v>2025-12-27 22:55:02.824</v>
      </c>
      <c r="H1025" t="s">
        <v>21</v>
      </c>
      <c r="I1025">
        <v>27.29</v>
      </c>
      <c r="J1025" t="s">
        <v>26</v>
      </c>
    </row>
    <row r="1026" spans="1:10" x14ac:dyDescent="0.25">
      <c r="A1026" s="1">
        <v>336</v>
      </c>
      <c r="B1026" t="s">
        <v>19</v>
      </c>
      <c r="C1026">
        <v>706</v>
      </c>
      <c r="D1026">
        <v>4</v>
      </c>
      <c r="E1026" t="s">
        <v>29</v>
      </c>
      <c r="F1026" t="s">
        <v>30</v>
      </c>
      <c r="G1026" t="str">
        <f>"2025-12-27 20:41:38.564"</f>
        <v>2025-12-27 20:41:38.564</v>
      </c>
      <c r="H1026" t="s">
        <v>21</v>
      </c>
      <c r="I1026">
        <v>6.49</v>
      </c>
      <c r="J1026" t="s">
        <v>26</v>
      </c>
    </row>
    <row r="1027" spans="1:10" x14ac:dyDescent="0.25">
      <c r="A1027" s="1">
        <v>337</v>
      </c>
      <c r="B1027" t="s">
        <v>19</v>
      </c>
      <c r="C1027">
        <v>706</v>
      </c>
      <c r="D1027">
        <v>4</v>
      </c>
      <c r="E1027" t="s">
        <v>29</v>
      </c>
      <c r="F1027" t="s">
        <v>30</v>
      </c>
      <c r="G1027" t="str">
        <f>"2025-12-27 20:39:06.814"</f>
        <v>2025-12-27 20:39:06.814</v>
      </c>
      <c r="H1027" t="s">
        <v>21</v>
      </c>
      <c r="I1027">
        <v>17.260000000000002</v>
      </c>
      <c r="J1027" t="s">
        <v>32</v>
      </c>
    </row>
    <row r="1028" spans="1:10" x14ac:dyDescent="0.25">
      <c r="A1028" s="1">
        <v>338</v>
      </c>
      <c r="B1028" t="s">
        <v>19</v>
      </c>
      <c r="C1028">
        <v>706</v>
      </c>
      <c r="D1028">
        <v>4</v>
      </c>
      <c r="E1028" t="s">
        <v>29</v>
      </c>
      <c r="F1028" t="s">
        <v>30</v>
      </c>
      <c r="G1028" t="str">
        <f>"2025-12-27 20:36:55.184"</f>
        <v>2025-12-27 20:36:55.184</v>
      </c>
      <c r="H1028" t="s">
        <v>21</v>
      </c>
      <c r="I1028">
        <v>26.65</v>
      </c>
      <c r="J1028" t="s">
        <v>26</v>
      </c>
    </row>
    <row r="1029" spans="1:10" x14ac:dyDescent="0.25">
      <c r="A1029" s="1">
        <v>339</v>
      </c>
      <c r="B1029" t="s">
        <v>19</v>
      </c>
      <c r="C1029">
        <v>706</v>
      </c>
      <c r="D1029">
        <v>4</v>
      </c>
      <c r="E1029" t="s">
        <v>29</v>
      </c>
      <c r="F1029" t="s">
        <v>30</v>
      </c>
      <c r="G1029" t="str">
        <f>"2025-12-27 18:13:24.754"</f>
        <v>2025-12-27 18:13:24.754</v>
      </c>
      <c r="H1029" t="s">
        <v>21</v>
      </c>
      <c r="I1029">
        <v>20.73</v>
      </c>
      <c r="J1029" t="s">
        <v>26</v>
      </c>
    </row>
    <row r="1030" spans="1:10" x14ac:dyDescent="0.25">
      <c r="A1030" s="1">
        <v>340</v>
      </c>
      <c r="B1030" t="s">
        <v>19</v>
      </c>
      <c r="C1030">
        <v>706</v>
      </c>
      <c r="D1030">
        <v>4</v>
      </c>
      <c r="E1030" t="s">
        <v>29</v>
      </c>
      <c r="F1030" t="s">
        <v>30</v>
      </c>
      <c r="G1030" t="str">
        <f>"2025-12-27 18:12:41.744"</f>
        <v>2025-12-27 18:12:41.744</v>
      </c>
      <c r="H1030" t="s">
        <v>21</v>
      </c>
      <c r="I1030">
        <v>13.98</v>
      </c>
      <c r="J1030" t="s">
        <v>28</v>
      </c>
    </row>
    <row r="1031" spans="1:10" x14ac:dyDescent="0.25">
      <c r="A1031" s="1">
        <v>341</v>
      </c>
      <c r="B1031" t="s">
        <v>19</v>
      </c>
      <c r="C1031">
        <v>706</v>
      </c>
      <c r="D1031">
        <v>4</v>
      </c>
      <c r="E1031" t="s">
        <v>29</v>
      </c>
      <c r="F1031" t="s">
        <v>30</v>
      </c>
      <c r="G1031" t="str">
        <f>"2025-12-27 17:34:33.524"</f>
        <v>2025-12-27 17:34:33.524</v>
      </c>
      <c r="H1031" t="s">
        <v>21</v>
      </c>
      <c r="I1031">
        <v>16.63</v>
      </c>
      <c r="J1031" t="s">
        <v>26</v>
      </c>
    </row>
    <row r="1032" spans="1:10" x14ac:dyDescent="0.25">
      <c r="A1032" s="1">
        <v>342</v>
      </c>
      <c r="B1032" t="s">
        <v>19</v>
      </c>
      <c r="C1032">
        <v>706</v>
      </c>
      <c r="D1032">
        <v>4</v>
      </c>
      <c r="E1032" t="s">
        <v>29</v>
      </c>
      <c r="F1032" t="s">
        <v>30</v>
      </c>
      <c r="G1032" t="str">
        <f>"2025-12-27 17:33:24.814"</f>
        <v>2025-12-27 17:33:24.814</v>
      </c>
      <c r="H1032" t="s">
        <v>21</v>
      </c>
      <c r="I1032">
        <v>14.3</v>
      </c>
      <c r="J1032" t="s">
        <v>26</v>
      </c>
    </row>
    <row r="1033" spans="1:10" x14ac:dyDescent="0.25">
      <c r="A1033" s="1">
        <v>343</v>
      </c>
      <c r="B1033" t="s">
        <v>19</v>
      </c>
      <c r="C1033">
        <v>706</v>
      </c>
      <c r="D1033">
        <v>4</v>
      </c>
      <c r="E1033" t="s">
        <v>29</v>
      </c>
      <c r="F1033" t="s">
        <v>30</v>
      </c>
      <c r="G1033" t="str">
        <f>"2025-12-27 17:31:50.864"</f>
        <v>2025-12-27 17:31:50.864</v>
      </c>
      <c r="H1033" t="s">
        <v>21</v>
      </c>
      <c r="I1033">
        <v>17.079999999999998</v>
      </c>
      <c r="J1033" t="s">
        <v>26</v>
      </c>
    </row>
    <row r="1034" spans="1:10" x14ac:dyDescent="0.25">
      <c r="A1034" s="1">
        <v>344</v>
      </c>
      <c r="B1034" t="s">
        <v>19</v>
      </c>
      <c r="C1034">
        <v>706</v>
      </c>
      <c r="D1034">
        <v>4</v>
      </c>
      <c r="E1034" t="s">
        <v>29</v>
      </c>
      <c r="F1034" t="s">
        <v>30</v>
      </c>
      <c r="G1034" t="str">
        <f>"2025-12-27 17:27:20.454"</f>
        <v>2025-12-27 17:27:20.454</v>
      </c>
      <c r="H1034" t="s">
        <v>21</v>
      </c>
      <c r="I1034">
        <v>21.43</v>
      </c>
      <c r="J1034" t="s">
        <v>26</v>
      </c>
    </row>
    <row r="1035" spans="1:10" x14ac:dyDescent="0.25">
      <c r="A1035" s="1">
        <v>345</v>
      </c>
      <c r="B1035" t="s">
        <v>19</v>
      </c>
      <c r="C1035">
        <v>706</v>
      </c>
      <c r="D1035">
        <v>4</v>
      </c>
      <c r="E1035" t="s">
        <v>29</v>
      </c>
      <c r="F1035" t="s">
        <v>30</v>
      </c>
      <c r="G1035" t="str">
        <f>"2025-12-27 17:27:08.674"</f>
        <v>2025-12-27 17:27:08.674</v>
      </c>
      <c r="H1035" t="s">
        <v>21</v>
      </c>
      <c r="I1035">
        <v>20.87</v>
      </c>
      <c r="J1035" t="s">
        <v>26</v>
      </c>
    </row>
    <row r="1036" spans="1:10" x14ac:dyDescent="0.25">
      <c r="A1036" s="1">
        <v>346</v>
      </c>
      <c r="B1036" t="s">
        <v>19</v>
      </c>
      <c r="C1036">
        <v>706</v>
      </c>
      <c r="D1036">
        <v>4</v>
      </c>
      <c r="E1036" t="s">
        <v>29</v>
      </c>
      <c r="F1036" t="s">
        <v>30</v>
      </c>
      <c r="G1036" t="str">
        <f>"2025-12-27 17:24:20.994"</f>
        <v>2025-12-27 17:24:20.994</v>
      </c>
      <c r="H1036" t="s">
        <v>21</v>
      </c>
      <c r="I1036">
        <v>19.61</v>
      </c>
      <c r="J1036" t="s">
        <v>26</v>
      </c>
    </row>
    <row r="1037" spans="1:10" x14ac:dyDescent="0.25">
      <c r="A1037" s="1">
        <v>347</v>
      </c>
      <c r="B1037" t="s">
        <v>19</v>
      </c>
      <c r="C1037">
        <v>706</v>
      </c>
      <c r="D1037">
        <v>4</v>
      </c>
      <c r="E1037" t="s">
        <v>29</v>
      </c>
      <c r="F1037" t="s">
        <v>30</v>
      </c>
      <c r="G1037" t="str">
        <f>"2025-12-27 17:20:49.694"</f>
        <v>2025-12-27 17:20:49.694</v>
      </c>
      <c r="H1037" t="s">
        <v>21</v>
      </c>
      <c r="I1037">
        <v>18.489999999999998</v>
      </c>
      <c r="J1037" t="s">
        <v>26</v>
      </c>
    </row>
    <row r="1038" spans="1:10" x14ac:dyDescent="0.25">
      <c r="A1038" s="1">
        <v>348</v>
      </c>
      <c r="B1038" t="s">
        <v>19</v>
      </c>
      <c r="C1038">
        <v>706</v>
      </c>
      <c r="D1038">
        <v>4</v>
      </c>
      <c r="E1038" t="s">
        <v>29</v>
      </c>
      <c r="F1038" t="s">
        <v>30</v>
      </c>
      <c r="G1038" t="str">
        <f>"2025-12-27 15:59:41.034"</f>
        <v>2025-12-27 15:59:41.034</v>
      </c>
      <c r="H1038" t="s">
        <v>21</v>
      </c>
      <c r="I1038">
        <v>15.96</v>
      </c>
      <c r="J1038" t="s">
        <v>26</v>
      </c>
    </row>
    <row r="1039" spans="1:10" x14ac:dyDescent="0.25">
      <c r="A1039" s="1">
        <v>349</v>
      </c>
      <c r="B1039" t="s">
        <v>19</v>
      </c>
      <c r="C1039">
        <v>706</v>
      </c>
      <c r="D1039">
        <v>2</v>
      </c>
      <c r="E1039" t="s">
        <v>29</v>
      </c>
      <c r="F1039" t="s">
        <v>59</v>
      </c>
      <c r="G1039" t="str">
        <f>"2025-12-27 14:45:12.604"</f>
        <v>2025-12-27 14:45:12.604</v>
      </c>
      <c r="H1039" t="s">
        <v>21</v>
      </c>
      <c r="I1039">
        <v>0</v>
      </c>
      <c r="J1039" t="s">
        <v>31</v>
      </c>
    </row>
    <row r="1040" spans="1:10" x14ac:dyDescent="0.25">
      <c r="A1040" s="1">
        <v>350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"2025-12-27 14:42:38.294"</f>
        <v>2025-12-27 14:42:38.294</v>
      </c>
      <c r="H1040" t="s">
        <v>21</v>
      </c>
    </row>
    <row r="1041" spans="1:10" x14ac:dyDescent="0.25">
      <c r="A1041" s="1">
        <v>351</v>
      </c>
      <c r="B1041" t="s">
        <v>22</v>
      </c>
      <c r="C1041">
        <v>630</v>
      </c>
      <c r="D1041">
        <v>5</v>
      </c>
      <c r="E1041" t="s">
        <v>71</v>
      </c>
      <c r="F1041" t="s">
        <v>72</v>
      </c>
      <c r="G1041" t="str">
        <f>"2025-12-27 09:17:23.972"</f>
        <v>2025-12-27 09:17:23.972</v>
      </c>
      <c r="H1041" t="s">
        <v>44</v>
      </c>
    </row>
    <row r="1042" spans="1:10" x14ac:dyDescent="0.25">
      <c r="A1042" s="1">
        <v>352</v>
      </c>
      <c r="B1042" t="s">
        <v>19</v>
      </c>
      <c r="C1042">
        <v>706</v>
      </c>
      <c r="D1042">
        <v>2</v>
      </c>
      <c r="E1042" t="s">
        <v>29</v>
      </c>
      <c r="F1042" t="s">
        <v>59</v>
      </c>
      <c r="G1042" t="str">
        <f>"2025-12-27 09:16:53.794"</f>
        <v>2025-12-27 09:16:53.794</v>
      </c>
      <c r="H1042" t="s">
        <v>21</v>
      </c>
      <c r="I1042">
        <v>0</v>
      </c>
      <c r="J1042" t="s">
        <v>31</v>
      </c>
    </row>
    <row r="1043" spans="1:10" x14ac:dyDescent="0.25">
      <c r="A1043" s="1">
        <v>353</v>
      </c>
      <c r="B1043" t="s">
        <v>49</v>
      </c>
      <c r="C1043">
        <v>630</v>
      </c>
      <c r="D1043">
        <v>5</v>
      </c>
      <c r="E1043" t="s">
        <v>71</v>
      </c>
      <c r="F1043" t="s">
        <v>72</v>
      </c>
      <c r="G1043" t="str">
        <f>"2025-12-27 09:06:58.172"</f>
        <v>2025-12-27 09:06:58.172</v>
      </c>
      <c r="H1043" t="s">
        <v>44</v>
      </c>
      <c r="I1043">
        <v>0</v>
      </c>
      <c r="J1043" t="s">
        <v>31</v>
      </c>
    </row>
    <row r="1044" spans="1:10" x14ac:dyDescent="0.25">
      <c r="A1044" s="1">
        <v>354</v>
      </c>
      <c r="B1044" t="s">
        <v>19</v>
      </c>
      <c r="C1044">
        <v>706</v>
      </c>
      <c r="D1044">
        <v>4</v>
      </c>
      <c r="E1044" t="s">
        <v>29</v>
      </c>
      <c r="F1044" t="s">
        <v>30</v>
      </c>
      <c r="G1044" t="str">
        <f>"2025-12-27 06:13:25.664"</f>
        <v>2025-12-27 06:13:25.664</v>
      </c>
      <c r="H1044" t="s">
        <v>21</v>
      </c>
      <c r="I1044">
        <v>14.86</v>
      </c>
      <c r="J1044" t="s">
        <v>26</v>
      </c>
    </row>
    <row r="1045" spans="1:10" x14ac:dyDescent="0.25">
      <c r="A1045" s="1">
        <v>355</v>
      </c>
      <c r="B1045" t="s">
        <v>22</v>
      </c>
      <c r="C1045">
        <v>61</v>
      </c>
      <c r="D1045">
        <v>2</v>
      </c>
      <c r="E1045" t="s">
        <v>76</v>
      </c>
      <c r="F1045" t="s">
        <v>77</v>
      </c>
      <c r="G1045" t="str">
        <f>"2025-12-26 16:34:16.685"</f>
        <v>2025-12-26 16:34:16.685</v>
      </c>
      <c r="H1045" t="s">
        <v>21</v>
      </c>
    </row>
    <row r="1046" spans="1:10" x14ac:dyDescent="0.25">
      <c r="A1046" s="1">
        <v>356</v>
      </c>
      <c r="B1046" t="s">
        <v>49</v>
      </c>
      <c r="C1046">
        <v>61</v>
      </c>
      <c r="D1046">
        <v>2</v>
      </c>
      <c r="E1046" t="s">
        <v>76</v>
      </c>
      <c r="F1046" t="s">
        <v>77</v>
      </c>
      <c r="G1046" t="str">
        <f>"2025-12-26 16:34:04.985"</f>
        <v>2025-12-26 16:34:04.985</v>
      </c>
      <c r="H1046" t="s">
        <v>21</v>
      </c>
      <c r="I1046">
        <v>29.71</v>
      </c>
      <c r="J1046" t="s">
        <v>26</v>
      </c>
    </row>
    <row r="1047" spans="1:10" x14ac:dyDescent="0.25">
      <c r="A1047" s="1">
        <v>357</v>
      </c>
      <c r="B1047" t="s">
        <v>19</v>
      </c>
      <c r="C1047">
        <v>706</v>
      </c>
      <c r="D1047">
        <v>4</v>
      </c>
      <c r="E1047" t="s">
        <v>29</v>
      </c>
      <c r="F1047" t="s">
        <v>30</v>
      </c>
      <c r="G1047" t="str">
        <f>"2025-12-26 12:00:58.894"</f>
        <v>2025-12-26 12:00:58.894</v>
      </c>
      <c r="H1047" t="s">
        <v>21</v>
      </c>
      <c r="I1047">
        <v>15.93</v>
      </c>
      <c r="J1047" t="s">
        <v>32</v>
      </c>
    </row>
    <row r="1048" spans="1:10" x14ac:dyDescent="0.25">
      <c r="A1048" s="1">
        <v>358</v>
      </c>
      <c r="B1048" t="s">
        <v>22</v>
      </c>
      <c r="C1048">
        <v>635</v>
      </c>
      <c r="D1048">
        <v>1</v>
      </c>
      <c r="E1048" t="s">
        <v>23</v>
      </c>
      <c r="F1048" t="s">
        <v>24</v>
      </c>
      <c r="G1048" t="str">
        <f>"2025-12-26 05:56:08.524"</f>
        <v>2025-12-26 05:56:08.524</v>
      </c>
      <c r="H1048" t="s">
        <v>21</v>
      </c>
    </row>
    <row r="1049" spans="1:10" x14ac:dyDescent="0.25">
      <c r="A1049" s="1">
        <v>359</v>
      </c>
      <c r="B1049" t="s">
        <v>25</v>
      </c>
      <c r="C1049">
        <v>635</v>
      </c>
      <c r="D1049">
        <v>1</v>
      </c>
      <c r="E1049" t="s">
        <v>23</v>
      </c>
      <c r="F1049" t="s">
        <v>24</v>
      </c>
      <c r="G1049" t="str">
        <f>"2025-12-26 05:52:44.025"</f>
        <v>2025-12-26 05:52:44.025</v>
      </c>
      <c r="H1049" t="s">
        <v>21</v>
      </c>
      <c r="I1049">
        <v>0</v>
      </c>
      <c r="J1049" t="s">
        <v>28</v>
      </c>
    </row>
    <row r="1050" spans="1:10" x14ac:dyDescent="0.25">
      <c r="A1050" s="1">
        <v>361</v>
      </c>
      <c r="B1050" t="s">
        <v>19</v>
      </c>
      <c r="C1050">
        <v>706</v>
      </c>
      <c r="D1050">
        <v>4</v>
      </c>
      <c r="E1050" t="s">
        <v>29</v>
      </c>
      <c r="F1050" t="s">
        <v>30</v>
      </c>
      <c r="G1050" t="str">
        <f>"2025-12-25 20:59:34.134"</f>
        <v>2025-12-25 20:59:34.134</v>
      </c>
      <c r="H1050" t="s">
        <v>21</v>
      </c>
      <c r="I1050">
        <v>19.12</v>
      </c>
      <c r="J1050" t="s">
        <v>32</v>
      </c>
    </row>
    <row r="1051" spans="1:10" x14ac:dyDescent="0.25">
      <c r="A1051" s="1">
        <v>363</v>
      </c>
      <c r="B1051" t="s">
        <v>19</v>
      </c>
      <c r="C1051">
        <v>706</v>
      </c>
      <c r="D1051">
        <v>4</v>
      </c>
      <c r="E1051" t="s">
        <v>29</v>
      </c>
      <c r="F1051" t="s">
        <v>30</v>
      </c>
      <c r="G1051" t="str">
        <f>"2025-12-25 14:12:20.144"</f>
        <v>2025-12-25 14:12:20.144</v>
      </c>
      <c r="H1051" t="s">
        <v>21</v>
      </c>
      <c r="I1051">
        <v>22.81</v>
      </c>
      <c r="J1051" t="s">
        <v>26</v>
      </c>
    </row>
    <row r="1052" spans="1:10" x14ac:dyDescent="0.25">
      <c r="A1052" s="1">
        <v>364</v>
      </c>
      <c r="B1052" t="s">
        <v>19</v>
      </c>
      <c r="C1052">
        <v>706</v>
      </c>
      <c r="D1052">
        <v>4</v>
      </c>
      <c r="E1052" t="s">
        <v>29</v>
      </c>
      <c r="F1052" t="s">
        <v>30</v>
      </c>
      <c r="G1052" t="str">
        <f>"2025-12-25 11:59:53.364"</f>
        <v>2025-12-25 11:59:53.364</v>
      </c>
      <c r="H1052" t="s">
        <v>21</v>
      </c>
      <c r="I1052">
        <v>27.5</v>
      </c>
      <c r="J1052" t="s">
        <v>26</v>
      </c>
    </row>
    <row r="1053" spans="1:10" x14ac:dyDescent="0.25">
      <c r="A1053" s="1">
        <v>365</v>
      </c>
      <c r="B1053" t="s">
        <v>19</v>
      </c>
      <c r="C1053">
        <v>706</v>
      </c>
      <c r="D1053">
        <v>4</v>
      </c>
      <c r="E1053" t="s">
        <v>29</v>
      </c>
      <c r="F1053" t="s">
        <v>30</v>
      </c>
      <c r="G1053" t="str">
        <f>"2025-12-25 11:12:34.264"</f>
        <v>2025-12-25 11:12:34.264</v>
      </c>
      <c r="H1053" t="s">
        <v>21</v>
      </c>
      <c r="I1053">
        <v>0</v>
      </c>
      <c r="J1053" t="s">
        <v>31</v>
      </c>
    </row>
    <row r="1054" spans="1:10" x14ac:dyDescent="0.25">
      <c r="A1054" s="1">
        <v>368</v>
      </c>
      <c r="B1054" t="s">
        <v>55</v>
      </c>
      <c r="C1054">
        <v>89</v>
      </c>
      <c r="D1054">
        <v>2</v>
      </c>
      <c r="E1054" t="s">
        <v>69</v>
      </c>
      <c r="F1054" t="s">
        <v>70</v>
      </c>
      <c r="G1054" t="str">
        <f>"2025-12-24 15:48:07.072"</f>
        <v>2025-12-24 15:48:07.072</v>
      </c>
      <c r="H1054" t="s">
        <v>21</v>
      </c>
    </row>
    <row r="1055" spans="1:10" x14ac:dyDescent="0.25">
      <c r="A1055" s="1">
        <v>369</v>
      </c>
      <c r="B1055" t="s">
        <v>49</v>
      </c>
      <c r="C1055">
        <v>89</v>
      </c>
      <c r="D1055">
        <v>2</v>
      </c>
      <c r="E1055" t="s">
        <v>69</v>
      </c>
      <c r="F1055" t="s">
        <v>70</v>
      </c>
      <c r="G1055" t="str">
        <f>"2025-12-24 15:47:37.283"</f>
        <v>2025-12-24 15:47:37.283</v>
      </c>
      <c r="H1055" t="s">
        <v>21</v>
      </c>
      <c r="I1055">
        <v>2.54</v>
      </c>
      <c r="J1055" t="s">
        <v>32</v>
      </c>
    </row>
    <row r="1056" spans="1:10" x14ac:dyDescent="0.25">
      <c r="A1056" s="1">
        <v>370</v>
      </c>
      <c r="B1056" t="s">
        <v>55</v>
      </c>
      <c r="C1056">
        <v>89</v>
      </c>
      <c r="D1056">
        <v>2</v>
      </c>
      <c r="E1056" t="s">
        <v>69</v>
      </c>
      <c r="F1056" t="s">
        <v>70</v>
      </c>
      <c r="G1056" t="str">
        <f>"2025-12-24 15:38:37.725"</f>
        <v>2025-12-24 15:38:37.725</v>
      </c>
      <c r="H1056" t="s">
        <v>21</v>
      </c>
    </row>
    <row r="1057" spans="1:10" x14ac:dyDescent="0.25">
      <c r="A1057" s="1">
        <v>371</v>
      </c>
      <c r="B1057" t="s">
        <v>49</v>
      </c>
      <c r="C1057">
        <v>89</v>
      </c>
      <c r="D1057">
        <v>2</v>
      </c>
      <c r="E1057" t="s">
        <v>69</v>
      </c>
      <c r="F1057" t="s">
        <v>70</v>
      </c>
      <c r="G1057" t="str">
        <f>"2025-12-24 15:37:27.584"</f>
        <v>2025-12-24 15:37:27.584</v>
      </c>
      <c r="H1057" t="s">
        <v>21</v>
      </c>
      <c r="I1057">
        <v>4.1100000000000003</v>
      </c>
      <c r="J1057" t="s">
        <v>32</v>
      </c>
    </row>
    <row r="1058" spans="1:10" x14ac:dyDescent="0.25">
      <c r="A1058" s="1">
        <v>372</v>
      </c>
      <c r="B1058" t="s">
        <v>22</v>
      </c>
      <c r="C1058">
        <v>89</v>
      </c>
      <c r="D1058">
        <v>2</v>
      </c>
      <c r="E1058" t="s">
        <v>69</v>
      </c>
      <c r="F1058" t="s">
        <v>70</v>
      </c>
      <c r="G1058" t="str">
        <f>"2025-12-24 15:34:59.685"</f>
        <v>2025-12-24 15:34:59.685</v>
      </c>
      <c r="H1058" t="s">
        <v>21</v>
      </c>
    </row>
    <row r="1059" spans="1:10" x14ac:dyDescent="0.25">
      <c r="A1059" s="1">
        <v>373</v>
      </c>
      <c r="B1059" t="s">
        <v>49</v>
      </c>
      <c r="C1059">
        <v>89</v>
      </c>
      <c r="D1059">
        <v>2</v>
      </c>
      <c r="E1059" t="s">
        <v>69</v>
      </c>
      <c r="F1059" t="s">
        <v>70</v>
      </c>
      <c r="G1059" t="str">
        <f>"2025-12-24 15:34:03.385"</f>
        <v>2025-12-24 15:34:03.385</v>
      </c>
      <c r="H1059" t="s">
        <v>21</v>
      </c>
      <c r="I1059">
        <v>1.84</v>
      </c>
      <c r="J1059" t="s">
        <v>32</v>
      </c>
    </row>
    <row r="1060" spans="1:10" x14ac:dyDescent="0.25">
      <c r="A1060" s="1">
        <v>374</v>
      </c>
      <c r="B1060" t="s">
        <v>22</v>
      </c>
      <c r="C1060">
        <v>89</v>
      </c>
      <c r="D1060">
        <v>2</v>
      </c>
      <c r="E1060" t="s">
        <v>69</v>
      </c>
      <c r="F1060" t="s">
        <v>70</v>
      </c>
      <c r="G1060" t="str">
        <f>"2025-12-24 15:33:00.385"</f>
        <v>2025-12-24 15:33:00.385</v>
      </c>
      <c r="H1060" t="s">
        <v>21</v>
      </c>
    </row>
    <row r="1061" spans="1:10" x14ac:dyDescent="0.25">
      <c r="A1061" s="1">
        <v>375</v>
      </c>
      <c r="B1061" t="s">
        <v>49</v>
      </c>
      <c r="C1061">
        <v>89</v>
      </c>
      <c r="D1061">
        <v>2</v>
      </c>
      <c r="E1061" t="s">
        <v>69</v>
      </c>
      <c r="F1061" t="s">
        <v>70</v>
      </c>
      <c r="G1061" t="str">
        <f>"2025-12-24 15:31:54.285"</f>
        <v>2025-12-24 15:31:54.285</v>
      </c>
      <c r="H1061" t="s">
        <v>21</v>
      </c>
      <c r="I1061">
        <v>10.11</v>
      </c>
      <c r="J1061" t="s">
        <v>32</v>
      </c>
    </row>
    <row r="1062" spans="1:10" x14ac:dyDescent="0.25">
      <c r="A1062" s="1">
        <v>376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"2025-12-24 15:30:57.454"</f>
        <v>2025-12-24 15:30:57.454</v>
      </c>
      <c r="H1062" t="s">
        <v>21</v>
      </c>
      <c r="I1062">
        <v>0</v>
      </c>
      <c r="J1062" t="s">
        <v>27</v>
      </c>
    </row>
    <row r="1063" spans="1:10" x14ac:dyDescent="0.25">
      <c r="A1063" s="1">
        <v>377</v>
      </c>
      <c r="B1063" t="s">
        <v>19</v>
      </c>
      <c r="C1063">
        <v>706</v>
      </c>
      <c r="D1063">
        <v>4</v>
      </c>
      <c r="E1063" t="s">
        <v>29</v>
      </c>
      <c r="F1063" t="s">
        <v>30</v>
      </c>
      <c r="G1063" t="str">
        <f>"2025-12-24 08:40:56.180"</f>
        <v>2025-12-24 08:40:56.180</v>
      </c>
      <c r="H1063" t="s">
        <v>21</v>
      </c>
      <c r="I1063">
        <v>0</v>
      </c>
      <c r="J1063" t="s">
        <v>31</v>
      </c>
    </row>
    <row r="1064" spans="1:10" x14ac:dyDescent="0.25">
      <c r="A1064" s="1">
        <v>378</v>
      </c>
      <c r="B1064" t="s">
        <v>19</v>
      </c>
      <c r="C1064">
        <v>706</v>
      </c>
      <c r="D1064">
        <v>4</v>
      </c>
      <c r="E1064" t="s">
        <v>29</v>
      </c>
      <c r="F1064" t="s">
        <v>30</v>
      </c>
      <c r="G1064" t="str">
        <f>"2025-12-23 17:55:38.591"</f>
        <v>2025-12-23 17:55:38.591</v>
      </c>
      <c r="H1064" t="s">
        <v>21</v>
      </c>
      <c r="I1064">
        <v>15.5</v>
      </c>
      <c r="J1064" t="s">
        <v>32</v>
      </c>
    </row>
    <row r="1065" spans="1:10" x14ac:dyDescent="0.25">
      <c r="A1065" s="1">
        <v>379</v>
      </c>
      <c r="B1065" t="s">
        <v>19</v>
      </c>
      <c r="C1065">
        <v>706</v>
      </c>
      <c r="D1065">
        <v>4</v>
      </c>
      <c r="E1065" t="s">
        <v>29</v>
      </c>
      <c r="F1065" t="s">
        <v>30</v>
      </c>
      <c r="G1065" t="str">
        <f>"2025-12-23 11:28:24.271"</f>
        <v>2025-12-23 11:28:24.271</v>
      </c>
      <c r="H1065" t="s">
        <v>21</v>
      </c>
      <c r="I1065">
        <v>15.63</v>
      </c>
      <c r="J1065" t="s">
        <v>26</v>
      </c>
    </row>
    <row r="1066" spans="1:10" x14ac:dyDescent="0.25">
      <c r="A1066" s="1">
        <v>380</v>
      </c>
      <c r="B1066" t="s">
        <v>19</v>
      </c>
      <c r="C1066">
        <v>706</v>
      </c>
      <c r="D1066">
        <v>4</v>
      </c>
      <c r="E1066" t="s">
        <v>29</v>
      </c>
      <c r="F1066" t="s">
        <v>30</v>
      </c>
      <c r="G1066" t="str">
        <f>"2025-12-23 11:26:18.661"</f>
        <v>2025-12-23 11:26:18.661</v>
      </c>
      <c r="H1066" t="s">
        <v>21</v>
      </c>
      <c r="I1066">
        <v>16.72</v>
      </c>
      <c r="J1066" t="s">
        <v>26</v>
      </c>
    </row>
    <row r="1067" spans="1:10" x14ac:dyDescent="0.25">
      <c r="A1067" s="1">
        <v>381</v>
      </c>
      <c r="B1067" t="s">
        <v>19</v>
      </c>
      <c r="C1067">
        <v>706</v>
      </c>
      <c r="D1067">
        <v>4</v>
      </c>
      <c r="E1067" t="s">
        <v>29</v>
      </c>
      <c r="F1067" t="s">
        <v>30</v>
      </c>
      <c r="G1067" t="str">
        <f>"2025-12-23 10:15:24.391"</f>
        <v>2025-12-23 10:15:24.391</v>
      </c>
      <c r="H1067" t="s">
        <v>21</v>
      </c>
      <c r="I1067">
        <v>-0.01</v>
      </c>
      <c r="J1067" t="s">
        <v>28</v>
      </c>
    </row>
    <row r="1068" spans="1:10" x14ac:dyDescent="0.25">
      <c r="A1068" s="1">
        <v>382</v>
      </c>
      <c r="B1068" t="s">
        <v>19</v>
      </c>
      <c r="C1068">
        <v>706</v>
      </c>
      <c r="D1068">
        <v>4</v>
      </c>
      <c r="E1068" t="s">
        <v>29</v>
      </c>
      <c r="F1068" t="s">
        <v>30</v>
      </c>
      <c r="G1068" t="str">
        <f>"2025-12-23 09:24:10.401"</f>
        <v>2025-12-23 09:24:10.401</v>
      </c>
      <c r="H1068" t="s">
        <v>21</v>
      </c>
      <c r="I1068">
        <v>-0.02</v>
      </c>
      <c r="J1068" t="s">
        <v>28</v>
      </c>
    </row>
    <row r="1069" spans="1:10" x14ac:dyDescent="0.25">
      <c r="A1069" s="1">
        <v>383</v>
      </c>
      <c r="B1069" t="s">
        <v>19</v>
      </c>
      <c r="C1069">
        <v>706</v>
      </c>
      <c r="D1069">
        <v>4</v>
      </c>
      <c r="E1069" t="s">
        <v>29</v>
      </c>
      <c r="F1069" t="s">
        <v>30</v>
      </c>
      <c r="G1069" t="str">
        <f>"2025-12-23 05:47:12.571"</f>
        <v>2025-12-23 05:47:12.571</v>
      </c>
      <c r="H1069" t="s">
        <v>21</v>
      </c>
      <c r="I1069">
        <v>20.95</v>
      </c>
      <c r="J1069" t="s">
        <v>26</v>
      </c>
    </row>
    <row r="1070" spans="1:10" x14ac:dyDescent="0.25">
      <c r="A1070" s="1">
        <v>384</v>
      </c>
      <c r="B1070" t="s">
        <v>19</v>
      </c>
      <c r="C1070">
        <v>706</v>
      </c>
      <c r="D1070">
        <v>4</v>
      </c>
      <c r="E1070" t="s">
        <v>29</v>
      </c>
      <c r="F1070" t="s">
        <v>30</v>
      </c>
      <c r="G1070" t="str">
        <f>"2025-12-23 04:17:46.871"</f>
        <v>2025-12-23 04:17:46.871</v>
      </c>
      <c r="H1070" t="s">
        <v>21</v>
      </c>
      <c r="I1070">
        <v>18.11</v>
      </c>
      <c r="J1070" t="s">
        <v>32</v>
      </c>
    </row>
    <row r="1071" spans="1:10" x14ac:dyDescent="0.25">
      <c r="A1071" s="1">
        <v>385</v>
      </c>
      <c r="B1071" t="s">
        <v>22</v>
      </c>
      <c r="C1071">
        <v>635</v>
      </c>
      <c r="D1071">
        <v>1</v>
      </c>
      <c r="E1071" t="s">
        <v>23</v>
      </c>
      <c r="F1071" t="s">
        <v>24</v>
      </c>
      <c r="G1071" t="str">
        <f>"2025-12-23 02:59:14.914"</f>
        <v>2025-12-23 02:59:14.914</v>
      </c>
      <c r="H1071" t="s">
        <v>21</v>
      </c>
    </row>
    <row r="1072" spans="1:10" x14ac:dyDescent="0.25">
      <c r="A1072" s="1">
        <v>386</v>
      </c>
      <c r="B1072" t="s">
        <v>25</v>
      </c>
      <c r="C1072">
        <v>635</v>
      </c>
      <c r="D1072">
        <v>1</v>
      </c>
      <c r="E1072" t="s">
        <v>23</v>
      </c>
      <c r="F1072" t="s">
        <v>24</v>
      </c>
      <c r="G1072" t="str">
        <f>"2025-12-23 02:46:58.414"</f>
        <v>2025-12-23 02:46:58.414</v>
      </c>
      <c r="H1072" t="s">
        <v>21</v>
      </c>
      <c r="I1072">
        <v>4.08</v>
      </c>
      <c r="J1072" t="s">
        <v>26</v>
      </c>
    </row>
    <row r="1073" spans="1:10" x14ac:dyDescent="0.25">
      <c r="A1073" s="1">
        <v>387</v>
      </c>
      <c r="B1073" t="s">
        <v>19</v>
      </c>
      <c r="C1073">
        <v>706</v>
      </c>
      <c r="D1073">
        <v>4</v>
      </c>
      <c r="E1073" t="s">
        <v>29</v>
      </c>
      <c r="F1073" t="s">
        <v>30</v>
      </c>
      <c r="G1073" t="str">
        <f>"2025-12-23 00:11:12.651"</f>
        <v>2025-12-23 00:11:12.651</v>
      </c>
      <c r="H1073" t="s">
        <v>21</v>
      </c>
      <c r="I1073">
        <v>0</v>
      </c>
      <c r="J1073" t="s">
        <v>28</v>
      </c>
    </row>
    <row r="1074" spans="1:10" x14ac:dyDescent="0.25">
      <c r="A1074" s="1">
        <v>388</v>
      </c>
      <c r="B1074" t="s">
        <v>19</v>
      </c>
      <c r="C1074">
        <v>706</v>
      </c>
      <c r="D1074">
        <v>4</v>
      </c>
      <c r="E1074" t="s">
        <v>29</v>
      </c>
      <c r="F1074" t="s">
        <v>30</v>
      </c>
      <c r="G1074" t="str">
        <f>"2025-12-22 22:56:14.011"</f>
        <v>2025-12-22 22:56:14.011</v>
      </c>
      <c r="H1074" t="s">
        <v>21</v>
      </c>
      <c r="I1074">
        <v>12.92</v>
      </c>
      <c r="J1074" t="s">
        <v>32</v>
      </c>
    </row>
    <row r="1075" spans="1:10" x14ac:dyDescent="0.25">
      <c r="A1075" s="1">
        <v>389</v>
      </c>
      <c r="B1075" t="s">
        <v>19</v>
      </c>
      <c r="C1075">
        <v>706</v>
      </c>
      <c r="D1075">
        <v>4</v>
      </c>
      <c r="E1075" t="s">
        <v>29</v>
      </c>
      <c r="F1075" t="s">
        <v>30</v>
      </c>
      <c r="G1075" t="str">
        <f>"2025-12-22 22:45:49.281"</f>
        <v>2025-12-22 22:45:49.281</v>
      </c>
      <c r="H1075" t="s">
        <v>21</v>
      </c>
      <c r="I1075">
        <v>12.37</v>
      </c>
      <c r="J1075" t="s">
        <v>32</v>
      </c>
    </row>
    <row r="1076" spans="1:10" x14ac:dyDescent="0.25">
      <c r="A1076" s="1">
        <v>390</v>
      </c>
      <c r="B1076" t="s">
        <v>19</v>
      </c>
      <c r="C1076">
        <v>706</v>
      </c>
      <c r="D1076">
        <v>4</v>
      </c>
      <c r="E1076" t="s">
        <v>29</v>
      </c>
      <c r="F1076" t="s">
        <v>30</v>
      </c>
      <c r="G1076" t="str">
        <f>"2025-12-22 22:42:16.491"</f>
        <v>2025-12-22 22:42:16.491</v>
      </c>
      <c r="H1076" t="s">
        <v>21</v>
      </c>
      <c r="I1076">
        <v>11.34</v>
      </c>
      <c r="J1076" t="s">
        <v>32</v>
      </c>
    </row>
    <row r="1077" spans="1:10" x14ac:dyDescent="0.25">
      <c r="A1077" s="1">
        <v>391</v>
      </c>
      <c r="B1077" t="s">
        <v>22</v>
      </c>
      <c r="C1077">
        <v>61</v>
      </c>
      <c r="D1077">
        <v>2</v>
      </c>
      <c r="E1077" t="s">
        <v>76</v>
      </c>
      <c r="F1077" t="s">
        <v>77</v>
      </c>
      <c r="G1077" t="str">
        <f>"2025-12-22 22:41:54.215"</f>
        <v>2025-12-22 22:41:54.215</v>
      </c>
      <c r="H1077" t="s">
        <v>21</v>
      </c>
    </row>
    <row r="1078" spans="1:10" x14ac:dyDescent="0.25">
      <c r="A1078" s="1">
        <v>392</v>
      </c>
      <c r="B1078" t="s">
        <v>49</v>
      </c>
      <c r="C1078">
        <v>61</v>
      </c>
      <c r="D1078">
        <v>2</v>
      </c>
      <c r="E1078" t="s">
        <v>76</v>
      </c>
      <c r="F1078" t="s">
        <v>77</v>
      </c>
      <c r="G1078" t="str">
        <f>"2025-12-22 22:41:42.615"</f>
        <v>2025-12-22 22:41:42.615</v>
      </c>
      <c r="H1078" t="s">
        <v>21</v>
      </c>
      <c r="I1078">
        <v>30.04</v>
      </c>
      <c r="J1078" t="s">
        <v>26</v>
      </c>
    </row>
    <row r="1079" spans="1:10" x14ac:dyDescent="0.25">
      <c r="A1079" s="1">
        <v>393</v>
      </c>
      <c r="B1079" t="s">
        <v>19</v>
      </c>
      <c r="C1079">
        <v>706</v>
      </c>
      <c r="D1079">
        <v>4</v>
      </c>
      <c r="E1079" t="s">
        <v>29</v>
      </c>
      <c r="F1079" t="s">
        <v>30</v>
      </c>
      <c r="G1079" t="str">
        <f>"2025-12-22 22:31:51.561"</f>
        <v>2025-12-22 22:31:51.561</v>
      </c>
      <c r="H1079" t="s">
        <v>21</v>
      </c>
      <c r="I1079">
        <v>12.02</v>
      </c>
      <c r="J1079" t="s">
        <v>32</v>
      </c>
    </row>
    <row r="1080" spans="1:10" x14ac:dyDescent="0.25">
      <c r="A1080" s="1">
        <v>395</v>
      </c>
      <c r="B1080" t="s">
        <v>19</v>
      </c>
      <c r="C1080">
        <v>706</v>
      </c>
      <c r="D1080">
        <v>4</v>
      </c>
      <c r="E1080" t="s">
        <v>29</v>
      </c>
      <c r="F1080" t="s">
        <v>30</v>
      </c>
      <c r="G1080" t="str">
        <f>"2025-12-22 12:20:19.611"</f>
        <v>2025-12-22 12:20:19.611</v>
      </c>
      <c r="H1080" t="s">
        <v>21</v>
      </c>
      <c r="I1080">
        <v>11.48</v>
      </c>
      <c r="J1080" t="s">
        <v>32</v>
      </c>
    </row>
    <row r="1081" spans="1:10" x14ac:dyDescent="0.25">
      <c r="A1081" s="1">
        <v>396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"2025-12-22 11:41:07.271"</f>
        <v>2025-12-22 11:41:07.271</v>
      </c>
      <c r="H1081" t="s">
        <v>21</v>
      </c>
      <c r="I1081">
        <v>0</v>
      </c>
      <c r="J1081" t="s">
        <v>27</v>
      </c>
    </row>
    <row r="1082" spans="1:10" x14ac:dyDescent="0.25">
      <c r="A1082" s="1">
        <v>397</v>
      </c>
      <c r="B1082" t="s">
        <v>19</v>
      </c>
      <c r="C1082">
        <v>706</v>
      </c>
      <c r="D1082">
        <v>4</v>
      </c>
      <c r="E1082" t="s">
        <v>29</v>
      </c>
      <c r="F1082" t="s">
        <v>30</v>
      </c>
      <c r="G1082" t="str">
        <f>"2025-12-21 23:57:31.207"</f>
        <v>2025-12-21 23:57:31.207</v>
      </c>
      <c r="H1082" t="s">
        <v>21</v>
      </c>
      <c r="I1082">
        <v>0</v>
      </c>
      <c r="J1082" t="s">
        <v>31</v>
      </c>
    </row>
    <row r="1083" spans="1:10" x14ac:dyDescent="0.25">
      <c r="A1083" s="1">
        <v>398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"2025-12-21 23:28:29.267"</f>
        <v>2025-12-21 23:28:29.267</v>
      </c>
      <c r="H1083" t="s">
        <v>21</v>
      </c>
      <c r="I1083">
        <v>0</v>
      </c>
      <c r="J1083" t="s">
        <v>27</v>
      </c>
    </row>
    <row r="1084" spans="1:10" x14ac:dyDescent="0.25">
      <c r="A1084" s="1">
        <v>399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"2025-12-21 21:55:38.276"</f>
        <v>2025-12-21 21:55:38.276</v>
      </c>
      <c r="H1084" t="s">
        <v>21</v>
      </c>
      <c r="I1084">
        <v>0</v>
      </c>
      <c r="J1084" t="s">
        <v>27</v>
      </c>
    </row>
    <row r="1085" spans="1:10" x14ac:dyDescent="0.25">
      <c r="A1085" s="1">
        <v>400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"2025-12-21 21:40:00.263"</f>
        <v>2025-12-21 21:40:00.263</v>
      </c>
      <c r="H1085" t="s">
        <v>21</v>
      </c>
    </row>
    <row r="1086" spans="1:10" x14ac:dyDescent="0.25">
      <c r="A1086" s="1">
        <v>401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"2025-12-21 21:34:04.257"</f>
        <v>2025-12-21 21:34:04.257</v>
      </c>
      <c r="H1086" t="s">
        <v>21</v>
      </c>
    </row>
    <row r="1087" spans="1:10" x14ac:dyDescent="0.25">
      <c r="A1087" s="1">
        <v>402</v>
      </c>
      <c r="B1087" t="s">
        <v>19</v>
      </c>
      <c r="C1087">
        <v>706</v>
      </c>
      <c r="D1087">
        <v>4</v>
      </c>
      <c r="E1087" t="s">
        <v>29</v>
      </c>
      <c r="F1087" t="s">
        <v>30</v>
      </c>
      <c r="G1087" t="str">
        <f>"2025-12-21 21:22:07.864"</f>
        <v>2025-12-21 21:22:07.864</v>
      </c>
      <c r="H1087" t="s">
        <v>21</v>
      </c>
      <c r="I1087">
        <v>0</v>
      </c>
      <c r="J1087" t="s">
        <v>31</v>
      </c>
    </row>
    <row r="1088" spans="1:10" x14ac:dyDescent="0.25">
      <c r="A1088" s="1">
        <v>403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"2025-12-21 21:17:49.254"</f>
        <v>2025-12-21 21:17:49.254</v>
      </c>
      <c r="H1088" t="s">
        <v>21</v>
      </c>
    </row>
    <row r="1089" spans="1:10" x14ac:dyDescent="0.25">
      <c r="A1089" s="1">
        <v>404</v>
      </c>
      <c r="B1089" t="s">
        <v>19</v>
      </c>
      <c r="C1089">
        <v>700</v>
      </c>
      <c r="D1089">
        <v>0</v>
      </c>
      <c r="E1089" t="s">
        <v>20</v>
      </c>
      <c r="F1089" t="s">
        <v>20</v>
      </c>
      <c r="G1089" t="str">
        <f>"2025-12-21 20:27:49.294"</f>
        <v>2025-12-21 20:27:49.294</v>
      </c>
      <c r="H1089" t="s">
        <v>21</v>
      </c>
      <c r="I1089">
        <v>0</v>
      </c>
      <c r="J1089" t="s">
        <v>27</v>
      </c>
    </row>
    <row r="1090" spans="1:10" x14ac:dyDescent="0.25">
      <c r="A1090" s="1">
        <v>405</v>
      </c>
      <c r="B1090" t="s">
        <v>22</v>
      </c>
      <c r="C1090">
        <v>630</v>
      </c>
      <c r="D1090">
        <v>5</v>
      </c>
      <c r="E1090" t="s">
        <v>71</v>
      </c>
      <c r="F1090" t="s">
        <v>72</v>
      </c>
      <c r="G1090" t="str">
        <f>"2025-12-21 08:40:18.395"</f>
        <v>2025-12-21 08:40:18.395</v>
      </c>
      <c r="H1090" t="s">
        <v>44</v>
      </c>
    </row>
    <row r="1091" spans="1:10" x14ac:dyDescent="0.25">
      <c r="A1091" s="1">
        <v>406</v>
      </c>
      <c r="B1091" t="s">
        <v>19</v>
      </c>
      <c r="C1091">
        <v>706</v>
      </c>
      <c r="D1091">
        <v>2</v>
      </c>
      <c r="E1091" t="s">
        <v>29</v>
      </c>
      <c r="F1091" t="s">
        <v>59</v>
      </c>
      <c r="G1091" t="str">
        <f>"2025-12-21 08:39:48.235"</f>
        <v>2025-12-21 08:39:48.235</v>
      </c>
      <c r="H1091" t="s">
        <v>21</v>
      </c>
      <c r="I1091">
        <v>0</v>
      </c>
      <c r="J1091" t="s">
        <v>31</v>
      </c>
    </row>
    <row r="1092" spans="1:10" x14ac:dyDescent="0.25">
      <c r="A1092" s="1">
        <v>407</v>
      </c>
      <c r="B1092" t="s">
        <v>49</v>
      </c>
      <c r="C1092">
        <v>630</v>
      </c>
      <c r="D1092">
        <v>5</v>
      </c>
      <c r="E1092" t="s">
        <v>71</v>
      </c>
      <c r="F1092" t="s">
        <v>72</v>
      </c>
      <c r="G1092" t="str">
        <f>"2025-12-21 08:32:37.195"</f>
        <v>2025-12-21 08:32:37.195</v>
      </c>
      <c r="H1092" t="s">
        <v>44</v>
      </c>
      <c r="I1092">
        <v>0</v>
      </c>
      <c r="J1092" t="s">
        <v>31</v>
      </c>
    </row>
    <row r="1093" spans="1:10" x14ac:dyDescent="0.25">
      <c r="A1093" s="1">
        <v>408</v>
      </c>
      <c r="B1093" t="s">
        <v>22</v>
      </c>
      <c r="C1093">
        <v>61</v>
      </c>
      <c r="D1093">
        <v>2</v>
      </c>
      <c r="E1093" t="s">
        <v>76</v>
      </c>
      <c r="F1093" t="s">
        <v>77</v>
      </c>
      <c r="G1093" t="str">
        <f>"2025-12-21 07:16:46.708"</f>
        <v>2025-12-21 07:16:46.708</v>
      </c>
      <c r="H1093" t="s">
        <v>21</v>
      </c>
    </row>
    <row r="1094" spans="1:10" x14ac:dyDescent="0.25">
      <c r="A1094" s="1">
        <v>409</v>
      </c>
      <c r="B1094" t="s">
        <v>49</v>
      </c>
      <c r="C1094">
        <v>61</v>
      </c>
      <c r="D1094">
        <v>2</v>
      </c>
      <c r="E1094" t="s">
        <v>76</v>
      </c>
      <c r="F1094" t="s">
        <v>77</v>
      </c>
      <c r="G1094" t="str">
        <f>"2025-12-21 07:16:26.108"</f>
        <v>2025-12-21 07:16:26.108</v>
      </c>
      <c r="H1094" t="s">
        <v>21</v>
      </c>
      <c r="I1094">
        <v>30.27</v>
      </c>
      <c r="J1094" t="s">
        <v>26</v>
      </c>
    </row>
    <row r="1095" spans="1:10" x14ac:dyDescent="0.25">
      <c r="A1095" s="1">
        <v>410</v>
      </c>
      <c r="B1095" t="s">
        <v>22</v>
      </c>
      <c r="C1095">
        <v>61</v>
      </c>
      <c r="D1095">
        <v>2</v>
      </c>
      <c r="E1095" t="s">
        <v>76</v>
      </c>
      <c r="F1095" t="s">
        <v>77</v>
      </c>
      <c r="G1095" t="str">
        <f>"2025-12-21 04:12:24.308"</f>
        <v>2025-12-21 04:12:24.308</v>
      </c>
      <c r="H1095" t="s">
        <v>21</v>
      </c>
    </row>
    <row r="1096" spans="1:10" x14ac:dyDescent="0.25">
      <c r="A1096" s="1">
        <v>411</v>
      </c>
      <c r="B1096" t="s">
        <v>49</v>
      </c>
      <c r="C1096">
        <v>61</v>
      </c>
      <c r="D1096">
        <v>2</v>
      </c>
      <c r="E1096" t="s">
        <v>76</v>
      </c>
      <c r="F1096" t="s">
        <v>77</v>
      </c>
      <c r="G1096" t="str">
        <f>"2025-12-21 04:12:07.808"</f>
        <v>2025-12-21 04:12:07.808</v>
      </c>
      <c r="H1096" t="s">
        <v>21</v>
      </c>
      <c r="I1096">
        <v>30.31</v>
      </c>
      <c r="J1096" t="s">
        <v>26</v>
      </c>
    </row>
    <row r="1097" spans="1:10" x14ac:dyDescent="0.25">
      <c r="A1097" s="1">
        <v>412</v>
      </c>
      <c r="B1097" t="s">
        <v>22</v>
      </c>
      <c r="C1097">
        <v>61</v>
      </c>
      <c r="D1097">
        <v>2</v>
      </c>
      <c r="E1097" t="s">
        <v>76</v>
      </c>
      <c r="F1097" t="s">
        <v>77</v>
      </c>
      <c r="G1097" t="str">
        <f>"2025-12-21 00:43:29.108"</f>
        <v>2025-12-21 00:43:29.108</v>
      </c>
      <c r="H1097" t="s">
        <v>21</v>
      </c>
    </row>
    <row r="1098" spans="1:10" x14ac:dyDescent="0.25">
      <c r="A1098" s="1">
        <v>413</v>
      </c>
      <c r="B1098" t="s">
        <v>49</v>
      </c>
      <c r="C1098">
        <v>61</v>
      </c>
      <c r="D1098">
        <v>2</v>
      </c>
      <c r="E1098" t="s">
        <v>76</v>
      </c>
      <c r="F1098" t="s">
        <v>77</v>
      </c>
      <c r="G1098" t="str">
        <f>"2025-12-21 00:43:17.608"</f>
        <v>2025-12-21 00:43:17.608</v>
      </c>
      <c r="H1098" t="s">
        <v>21</v>
      </c>
      <c r="I1098">
        <v>29.4</v>
      </c>
      <c r="J1098" t="s">
        <v>26</v>
      </c>
    </row>
    <row r="1099" spans="1:10" x14ac:dyDescent="0.25">
      <c r="A1099" s="1">
        <v>414</v>
      </c>
      <c r="B1099" t="s">
        <v>22</v>
      </c>
      <c r="C1099">
        <v>61</v>
      </c>
      <c r="D1099">
        <v>2</v>
      </c>
      <c r="E1099" t="s">
        <v>76</v>
      </c>
      <c r="F1099" t="s">
        <v>77</v>
      </c>
      <c r="G1099" t="str">
        <f>"2025-12-20 22:37:29.208"</f>
        <v>2025-12-20 22:37:29.208</v>
      </c>
      <c r="H1099" t="s">
        <v>21</v>
      </c>
    </row>
    <row r="1100" spans="1:10" x14ac:dyDescent="0.25">
      <c r="A1100" s="1">
        <v>415</v>
      </c>
      <c r="B1100" t="s">
        <v>49</v>
      </c>
      <c r="C1100">
        <v>61</v>
      </c>
      <c r="D1100">
        <v>2</v>
      </c>
      <c r="E1100" t="s">
        <v>76</v>
      </c>
      <c r="F1100" t="s">
        <v>77</v>
      </c>
      <c r="G1100" t="str">
        <f>"2025-12-20 22:37:17.208"</f>
        <v>2025-12-20 22:37:17.208</v>
      </c>
      <c r="H1100" t="s">
        <v>21</v>
      </c>
      <c r="I1100">
        <v>30.27</v>
      </c>
      <c r="J1100" t="s">
        <v>26</v>
      </c>
    </row>
    <row r="1101" spans="1:10" x14ac:dyDescent="0.25">
      <c r="A1101" s="1">
        <v>416</v>
      </c>
      <c r="B1101" t="s">
        <v>22</v>
      </c>
      <c r="C1101">
        <v>630</v>
      </c>
      <c r="D1101">
        <v>5</v>
      </c>
      <c r="E1101" t="s">
        <v>71</v>
      </c>
      <c r="F1101" t="s">
        <v>72</v>
      </c>
      <c r="G1101" t="str">
        <f>"2025-12-20 12:59:56.596"</f>
        <v>2025-12-20 12:59:56.596</v>
      </c>
      <c r="H1101" t="s">
        <v>44</v>
      </c>
    </row>
    <row r="1102" spans="1:10" x14ac:dyDescent="0.25">
      <c r="A1102" s="1">
        <v>417</v>
      </c>
      <c r="B1102" t="s">
        <v>19</v>
      </c>
      <c r="C1102">
        <v>706</v>
      </c>
      <c r="D1102">
        <v>4</v>
      </c>
      <c r="E1102" t="s">
        <v>29</v>
      </c>
      <c r="F1102" t="s">
        <v>30</v>
      </c>
      <c r="G1102" t="str">
        <f>"2025-12-20 12:59:26.425"</f>
        <v>2025-12-20 12:59:26.425</v>
      </c>
      <c r="H1102" t="s">
        <v>21</v>
      </c>
      <c r="I1102">
        <v>0</v>
      </c>
      <c r="J1102" t="s">
        <v>31</v>
      </c>
    </row>
    <row r="1103" spans="1:10" x14ac:dyDescent="0.25">
      <c r="A1103" s="1">
        <v>418</v>
      </c>
      <c r="B1103" t="s">
        <v>49</v>
      </c>
      <c r="C1103">
        <v>630</v>
      </c>
      <c r="D1103">
        <v>5</v>
      </c>
      <c r="E1103" t="s">
        <v>71</v>
      </c>
      <c r="F1103" t="s">
        <v>72</v>
      </c>
      <c r="G1103" t="str">
        <f>"2025-12-20 12:18:11.095"</f>
        <v>2025-12-20 12:18:11.095</v>
      </c>
      <c r="H1103" t="s">
        <v>44</v>
      </c>
      <c r="I1103">
        <v>0</v>
      </c>
      <c r="J1103" t="s">
        <v>31</v>
      </c>
    </row>
    <row r="1104" spans="1:10" x14ac:dyDescent="0.25">
      <c r="A1104" s="1">
        <v>419</v>
      </c>
      <c r="B1104" t="s">
        <v>22</v>
      </c>
      <c r="C1104">
        <v>630</v>
      </c>
      <c r="D1104">
        <v>5</v>
      </c>
      <c r="E1104" t="s">
        <v>71</v>
      </c>
      <c r="F1104" t="s">
        <v>72</v>
      </c>
      <c r="G1104" t="str">
        <f>"2025-12-19 18:39:12.395"</f>
        <v>2025-12-19 18:39:12.395</v>
      </c>
      <c r="H1104" t="s">
        <v>44</v>
      </c>
    </row>
    <row r="1105" spans="1:10" x14ac:dyDescent="0.25">
      <c r="A1105" s="1">
        <v>420</v>
      </c>
      <c r="B1105" t="s">
        <v>19</v>
      </c>
      <c r="C1105">
        <v>706</v>
      </c>
      <c r="D1105">
        <v>4</v>
      </c>
      <c r="E1105" t="s">
        <v>29</v>
      </c>
      <c r="F1105" t="s">
        <v>30</v>
      </c>
      <c r="G1105" t="str">
        <f>"2025-12-19 18:38:42.235"</f>
        <v>2025-12-19 18:38:42.235</v>
      </c>
      <c r="H1105" t="s">
        <v>21</v>
      </c>
      <c r="I1105">
        <v>0</v>
      </c>
      <c r="J1105" t="s">
        <v>31</v>
      </c>
    </row>
    <row r="1106" spans="1:10" x14ac:dyDescent="0.25">
      <c r="A1106" s="1">
        <v>421</v>
      </c>
      <c r="B1106" t="s">
        <v>49</v>
      </c>
      <c r="C1106">
        <v>630</v>
      </c>
      <c r="D1106">
        <v>5</v>
      </c>
      <c r="E1106" t="s">
        <v>71</v>
      </c>
      <c r="F1106" t="s">
        <v>72</v>
      </c>
      <c r="G1106" t="str">
        <f>"2025-12-19 18:33:04.896"</f>
        <v>2025-12-19 18:33:04.896</v>
      </c>
      <c r="H1106" t="s">
        <v>44</v>
      </c>
      <c r="I1106">
        <v>0</v>
      </c>
      <c r="J1106" t="s">
        <v>31</v>
      </c>
    </row>
    <row r="1107" spans="1:10" x14ac:dyDescent="0.25">
      <c r="A1107" s="1">
        <v>422</v>
      </c>
      <c r="B1107" t="s">
        <v>22</v>
      </c>
      <c r="C1107">
        <v>61</v>
      </c>
      <c r="D1107">
        <v>2</v>
      </c>
      <c r="E1107" t="s">
        <v>76</v>
      </c>
      <c r="F1107" t="s">
        <v>77</v>
      </c>
      <c r="G1107" t="str">
        <f>"2025-12-19 10:24:57.408"</f>
        <v>2025-12-19 10:24:57.408</v>
      </c>
      <c r="H1107" t="s">
        <v>21</v>
      </c>
    </row>
    <row r="1108" spans="1:10" x14ac:dyDescent="0.25">
      <c r="A1108" s="1">
        <v>423</v>
      </c>
      <c r="B1108" t="s">
        <v>49</v>
      </c>
      <c r="C1108">
        <v>61</v>
      </c>
      <c r="D1108">
        <v>2</v>
      </c>
      <c r="E1108" t="s">
        <v>76</v>
      </c>
      <c r="F1108" t="s">
        <v>77</v>
      </c>
      <c r="G1108" t="str">
        <f>"2025-12-19 10:24:45.708"</f>
        <v>2025-12-19 10:24:45.708</v>
      </c>
      <c r="H1108" t="s">
        <v>21</v>
      </c>
      <c r="I1108">
        <v>29.1</v>
      </c>
      <c r="J1108" t="s">
        <v>26</v>
      </c>
    </row>
    <row r="1109" spans="1:10" x14ac:dyDescent="0.25">
      <c r="A1109" s="1">
        <v>424</v>
      </c>
      <c r="B1109" t="s">
        <v>22</v>
      </c>
      <c r="C1109">
        <v>61</v>
      </c>
      <c r="D1109">
        <v>2</v>
      </c>
      <c r="E1109" t="s">
        <v>76</v>
      </c>
      <c r="F1109" t="s">
        <v>77</v>
      </c>
      <c r="G1109" t="str">
        <f>"2025-12-19 09:51:00.008"</f>
        <v>2025-12-19 09:51:00.008</v>
      </c>
      <c r="H1109" t="s">
        <v>21</v>
      </c>
    </row>
    <row r="1110" spans="1:10" x14ac:dyDescent="0.25">
      <c r="A1110" s="1">
        <v>425</v>
      </c>
      <c r="B1110" t="s">
        <v>49</v>
      </c>
      <c r="C1110">
        <v>61</v>
      </c>
      <c r="D1110">
        <v>2</v>
      </c>
      <c r="E1110" t="s">
        <v>76</v>
      </c>
      <c r="F1110" t="s">
        <v>77</v>
      </c>
      <c r="G1110" t="str">
        <f>"2025-12-19 09:50:48.308"</f>
        <v>2025-12-19 09:50:48.308</v>
      </c>
      <c r="H1110" t="s">
        <v>21</v>
      </c>
      <c r="I1110">
        <v>30.05</v>
      </c>
      <c r="J1110" t="s">
        <v>26</v>
      </c>
    </row>
    <row r="1111" spans="1:10" x14ac:dyDescent="0.25">
      <c r="A1111" s="1">
        <v>426</v>
      </c>
      <c r="B1111" t="s">
        <v>22</v>
      </c>
      <c r="C1111">
        <v>61</v>
      </c>
      <c r="D1111">
        <v>2</v>
      </c>
      <c r="E1111" t="s">
        <v>76</v>
      </c>
      <c r="F1111" t="s">
        <v>77</v>
      </c>
      <c r="G1111" t="str">
        <f>"2025-12-19 09:08:57.108"</f>
        <v>2025-12-19 09:08:57.108</v>
      </c>
      <c r="H1111" t="s">
        <v>21</v>
      </c>
    </row>
    <row r="1112" spans="1:10" x14ac:dyDescent="0.25">
      <c r="A1112" s="1">
        <v>427</v>
      </c>
      <c r="B1112" t="s">
        <v>49</v>
      </c>
      <c r="C1112">
        <v>61</v>
      </c>
      <c r="D1112">
        <v>2</v>
      </c>
      <c r="E1112" t="s">
        <v>76</v>
      </c>
      <c r="F1112" t="s">
        <v>77</v>
      </c>
      <c r="G1112" t="str">
        <f>"2025-12-19 09:08:45.208"</f>
        <v>2025-12-19 09:08:45.208</v>
      </c>
      <c r="H1112" t="s">
        <v>21</v>
      </c>
      <c r="I1112">
        <v>29.94</v>
      </c>
      <c r="J1112" t="s">
        <v>26</v>
      </c>
    </row>
    <row r="1113" spans="1:10" x14ac:dyDescent="0.25">
      <c r="A1113" s="1">
        <v>428</v>
      </c>
      <c r="B1113" t="s">
        <v>19</v>
      </c>
      <c r="C1113">
        <v>706</v>
      </c>
      <c r="D1113">
        <v>4</v>
      </c>
      <c r="E1113" t="s">
        <v>29</v>
      </c>
      <c r="F1113" t="s">
        <v>30</v>
      </c>
      <c r="G1113" t="str">
        <f>"2025-12-18 23:00:35.055"</f>
        <v>2025-12-18 23:00:35.055</v>
      </c>
      <c r="H1113" t="s">
        <v>21</v>
      </c>
      <c r="I1113">
        <v>8.9499999999999993</v>
      </c>
      <c r="J1113" t="s">
        <v>32</v>
      </c>
    </row>
    <row r="1114" spans="1:10" x14ac:dyDescent="0.25">
      <c r="A1114" s="1">
        <v>429</v>
      </c>
      <c r="B1114" t="s">
        <v>19</v>
      </c>
      <c r="C1114">
        <v>706</v>
      </c>
      <c r="D1114">
        <v>4</v>
      </c>
      <c r="E1114" t="s">
        <v>29</v>
      </c>
      <c r="F1114" t="s">
        <v>30</v>
      </c>
      <c r="G1114" t="str">
        <f>"2025-12-18 22:56:55.425"</f>
        <v>2025-12-18 22:56:55.425</v>
      </c>
      <c r="H1114" t="s">
        <v>21</v>
      </c>
      <c r="I1114">
        <v>0</v>
      </c>
      <c r="J1114" t="s">
        <v>28</v>
      </c>
    </row>
    <row r="1115" spans="1:10" x14ac:dyDescent="0.25">
      <c r="A1115" s="1">
        <v>430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"2025-12-18 22:48:04.235"</f>
        <v>2025-12-18 22:48:04.235</v>
      </c>
      <c r="H1115" t="s">
        <v>21</v>
      </c>
    </row>
    <row r="1116" spans="1:10" x14ac:dyDescent="0.25">
      <c r="A1116" s="1">
        <v>431</v>
      </c>
      <c r="B1116" t="s">
        <v>55</v>
      </c>
      <c r="C1116">
        <v>116</v>
      </c>
      <c r="D1116">
        <v>5</v>
      </c>
      <c r="E1116" t="s">
        <v>84</v>
      </c>
      <c r="F1116" t="s">
        <v>85</v>
      </c>
      <c r="G1116" t="str">
        <f>"2025-12-18 22:29:15.078"</f>
        <v>2025-12-18 22:29:15.078</v>
      </c>
      <c r="H1116" t="s">
        <v>41</v>
      </c>
    </row>
    <row r="1117" spans="1:10" x14ac:dyDescent="0.25">
      <c r="A1117" s="1">
        <v>432</v>
      </c>
      <c r="B1117" t="s">
        <v>49</v>
      </c>
      <c r="C1117">
        <v>116</v>
      </c>
      <c r="D1117">
        <v>5</v>
      </c>
      <c r="E1117" t="s">
        <v>84</v>
      </c>
      <c r="F1117" t="s">
        <v>85</v>
      </c>
      <c r="G1117" t="str">
        <f>"2025-12-18 22:29:12.301"</f>
        <v>2025-12-18 22:29:12.301</v>
      </c>
      <c r="H1117" t="s">
        <v>41</v>
      </c>
      <c r="I1117">
        <v>0</v>
      </c>
      <c r="J1117" t="s">
        <v>28</v>
      </c>
    </row>
    <row r="1118" spans="1:10" x14ac:dyDescent="0.25">
      <c r="A1118" s="1">
        <v>433</v>
      </c>
      <c r="B1118" t="s">
        <v>55</v>
      </c>
      <c r="C1118">
        <v>116</v>
      </c>
      <c r="D1118">
        <v>5</v>
      </c>
      <c r="E1118" t="s">
        <v>84</v>
      </c>
      <c r="F1118" t="s">
        <v>85</v>
      </c>
      <c r="G1118" t="str">
        <f>"2025-12-18 22:29:02.578"</f>
        <v>2025-12-18 22:29:02.578</v>
      </c>
      <c r="H1118" t="s">
        <v>41</v>
      </c>
    </row>
    <row r="1119" spans="1:10" x14ac:dyDescent="0.25">
      <c r="A1119" s="1">
        <v>434</v>
      </c>
      <c r="B1119" t="s">
        <v>49</v>
      </c>
      <c r="C1119">
        <v>116</v>
      </c>
      <c r="D1119">
        <v>5</v>
      </c>
      <c r="E1119" t="s">
        <v>84</v>
      </c>
      <c r="F1119" t="s">
        <v>85</v>
      </c>
      <c r="G1119" t="str">
        <f>"2025-12-18 22:29:00.061"</f>
        <v>2025-12-18 22:29:00.061</v>
      </c>
      <c r="H1119" t="s">
        <v>41</v>
      </c>
      <c r="I1119">
        <v>0</v>
      </c>
      <c r="J1119" t="s">
        <v>28</v>
      </c>
    </row>
    <row r="1120" spans="1:10" x14ac:dyDescent="0.25">
      <c r="A1120" s="1">
        <v>435</v>
      </c>
      <c r="B1120" t="s">
        <v>55</v>
      </c>
      <c r="C1120">
        <v>116</v>
      </c>
      <c r="D1120">
        <v>5</v>
      </c>
      <c r="E1120" t="s">
        <v>84</v>
      </c>
      <c r="F1120" t="s">
        <v>85</v>
      </c>
      <c r="G1120" t="str">
        <f>"2025-12-18 22:25:51.577"</f>
        <v>2025-12-18 22:25:51.577</v>
      </c>
      <c r="H1120" t="s">
        <v>41</v>
      </c>
    </row>
    <row r="1121" spans="1:10" x14ac:dyDescent="0.25">
      <c r="A1121" s="1">
        <v>436</v>
      </c>
      <c r="B1121" t="s">
        <v>49</v>
      </c>
      <c r="C1121">
        <v>116</v>
      </c>
      <c r="D1121">
        <v>5</v>
      </c>
      <c r="E1121" t="s">
        <v>84</v>
      </c>
      <c r="F1121" t="s">
        <v>85</v>
      </c>
      <c r="G1121" t="str">
        <f>"2025-12-18 22:25:48.980"</f>
        <v>2025-12-18 22:25:48.980</v>
      </c>
      <c r="H1121" t="s">
        <v>41</v>
      </c>
      <c r="I1121">
        <v>0</v>
      </c>
      <c r="J1121" t="s">
        <v>28</v>
      </c>
    </row>
    <row r="1122" spans="1:10" x14ac:dyDescent="0.25">
      <c r="A1122" s="1">
        <v>437</v>
      </c>
      <c r="B1122" t="s">
        <v>55</v>
      </c>
      <c r="C1122">
        <v>116</v>
      </c>
      <c r="D1122">
        <v>5</v>
      </c>
      <c r="E1122" t="s">
        <v>84</v>
      </c>
      <c r="F1122" t="s">
        <v>85</v>
      </c>
      <c r="G1122" t="str">
        <f>"2025-12-18 22:20:32.078"</f>
        <v>2025-12-18 22:20:32.078</v>
      </c>
      <c r="H1122" t="s">
        <v>41</v>
      </c>
    </row>
    <row r="1123" spans="1:10" x14ac:dyDescent="0.25">
      <c r="A1123" s="1">
        <v>438</v>
      </c>
      <c r="B1123" t="s">
        <v>49</v>
      </c>
      <c r="C1123">
        <v>116</v>
      </c>
      <c r="D1123">
        <v>5</v>
      </c>
      <c r="E1123" t="s">
        <v>84</v>
      </c>
      <c r="F1123" t="s">
        <v>85</v>
      </c>
      <c r="G1123" t="str">
        <f>"2025-12-18 22:20:29.161"</f>
        <v>2025-12-18 22:20:29.161</v>
      </c>
      <c r="H1123" t="s">
        <v>41</v>
      </c>
      <c r="I1123">
        <v>0</v>
      </c>
      <c r="J1123" t="s">
        <v>28</v>
      </c>
    </row>
    <row r="1124" spans="1:10" x14ac:dyDescent="0.25">
      <c r="A1124" s="1">
        <v>439</v>
      </c>
      <c r="B1124" t="s">
        <v>55</v>
      </c>
      <c r="C1124">
        <v>116</v>
      </c>
      <c r="D1124">
        <v>5</v>
      </c>
      <c r="E1124" t="s">
        <v>84</v>
      </c>
      <c r="F1124" t="s">
        <v>85</v>
      </c>
      <c r="G1124" t="str">
        <f>"2025-12-18 22:20:22.078"</f>
        <v>2025-12-18 22:20:22.078</v>
      </c>
      <c r="H1124" t="s">
        <v>41</v>
      </c>
    </row>
    <row r="1125" spans="1:10" x14ac:dyDescent="0.25">
      <c r="A1125" s="1">
        <v>440</v>
      </c>
      <c r="B1125" t="s">
        <v>49</v>
      </c>
      <c r="C1125">
        <v>116</v>
      </c>
      <c r="D1125">
        <v>5</v>
      </c>
      <c r="E1125" t="s">
        <v>84</v>
      </c>
      <c r="F1125" t="s">
        <v>85</v>
      </c>
      <c r="G1125" t="str">
        <f>"2025-12-18 22:20:19.161"</f>
        <v>2025-12-18 22:20:19.161</v>
      </c>
      <c r="H1125" t="s">
        <v>41</v>
      </c>
      <c r="I1125">
        <v>0</v>
      </c>
      <c r="J1125" t="s">
        <v>28</v>
      </c>
    </row>
    <row r="1126" spans="1:10" x14ac:dyDescent="0.25">
      <c r="A1126" s="1">
        <v>441</v>
      </c>
      <c r="B1126" t="s">
        <v>55</v>
      </c>
      <c r="C1126">
        <v>116</v>
      </c>
      <c r="D1126">
        <v>5</v>
      </c>
      <c r="E1126" t="s">
        <v>84</v>
      </c>
      <c r="F1126" t="s">
        <v>85</v>
      </c>
      <c r="G1126" t="str">
        <f>"2025-12-18 22:20:12.078"</f>
        <v>2025-12-18 22:20:12.078</v>
      </c>
      <c r="H1126" t="s">
        <v>41</v>
      </c>
    </row>
    <row r="1127" spans="1:10" x14ac:dyDescent="0.25">
      <c r="A1127" s="1">
        <v>442</v>
      </c>
      <c r="B1127" t="s">
        <v>49</v>
      </c>
      <c r="C1127">
        <v>116</v>
      </c>
      <c r="D1127">
        <v>5</v>
      </c>
      <c r="E1127" t="s">
        <v>84</v>
      </c>
      <c r="F1127" t="s">
        <v>85</v>
      </c>
      <c r="G1127" t="str">
        <f>"2025-12-18 22:20:09.141"</f>
        <v>2025-12-18 22:20:09.141</v>
      </c>
      <c r="H1127" t="s">
        <v>41</v>
      </c>
      <c r="I1127">
        <v>0</v>
      </c>
      <c r="J1127" t="s">
        <v>28</v>
      </c>
    </row>
    <row r="1128" spans="1:10" x14ac:dyDescent="0.25">
      <c r="A1128" s="1">
        <v>443</v>
      </c>
      <c r="B1128" t="s">
        <v>55</v>
      </c>
      <c r="C1128">
        <v>116</v>
      </c>
      <c r="D1128">
        <v>5</v>
      </c>
      <c r="E1128" t="s">
        <v>84</v>
      </c>
      <c r="F1128" t="s">
        <v>85</v>
      </c>
      <c r="G1128" t="str">
        <f>"2025-12-18 22:20:02.078"</f>
        <v>2025-12-18 22:20:02.078</v>
      </c>
      <c r="H1128" t="s">
        <v>41</v>
      </c>
    </row>
    <row r="1129" spans="1:10" x14ac:dyDescent="0.25">
      <c r="A1129" s="1">
        <v>444</v>
      </c>
      <c r="B1129" t="s">
        <v>49</v>
      </c>
      <c r="C1129">
        <v>116</v>
      </c>
      <c r="D1129">
        <v>5</v>
      </c>
      <c r="E1129" t="s">
        <v>84</v>
      </c>
      <c r="F1129" t="s">
        <v>85</v>
      </c>
      <c r="G1129" t="str">
        <f>"2025-12-18 22:19:59.141"</f>
        <v>2025-12-18 22:19:59.141</v>
      </c>
      <c r="H1129" t="s">
        <v>41</v>
      </c>
      <c r="I1129">
        <v>0</v>
      </c>
      <c r="J1129" t="s">
        <v>28</v>
      </c>
    </row>
    <row r="1130" spans="1:10" x14ac:dyDescent="0.25">
      <c r="A1130" s="1">
        <v>445</v>
      </c>
      <c r="B1130" t="s">
        <v>55</v>
      </c>
      <c r="C1130">
        <v>116</v>
      </c>
      <c r="D1130">
        <v>5</v>
      </c>
      <c r="E1130" t="s">
        <v>84</v>
      </c>
      <c r="F1130" t="s">
        <v>85</v>
      </c>
      <c r="G1130" t="str">
        <f>"2025-12-18 22:19:52.078"</f>
        <v>2025-12-18 22:19:52.078</v>
      </c>
      <c r="H1130" t="s">
        <v>41</v>
      </c>
    </row>
    <row r="1131" spans="1:10" x14ac:dyDescent="0.25">
      <c r="A1131" s="1">
        <v>446</v>
      </c>
      <c r="B1131" t="s">
        <v>49</v>
      </c>
      <c r="C1131">
        <v>116</v>
      </c>
      <c r="D1131">
        <v>5</v>
      </c>
      <c r="E1131" t="s">
        <v>84</v>
      </c>
      <c r="F1131" t="s">
        <v>85</v>
      </c>
      <c r="G1131" t="str">
        <f>"2025-12-18 22:19:49.121"</f>
        <v>2025-12-18 22:19:49.121</v>
      </c>
      <c r="H1131" t="s">
        <v>41</v>
      </c>
      <c r="I1131">
        <v>0</v>
      </c>
      <c r="J1131" t="s">
        <v>32</v>
      </c>
    </row>
    <row r="1132" spans="1:10" x14ac:dyDescent="0.25">
      <c r="A1132" s="1">
        <v>447</v>
      </c>
      <c r="B1132" t="s">
        <v>55</v>
      </c>
      <c r="C1132">
        <v>116</v>
      </c>
      <c r="D1132">
        <v>5</v>
      </c>
      <c r="E1132" t="s">
        <v>84</v>
      </c>
      <c r="F1132" t="s">
        <v>85</v>
      </c>
      <c r="G1132" t="str">
        <f>"2025-12-18 22:19:20.578"</f>
        <v>2025-12-18 22:19:20.578</v>
      </c>
      <c r="H1132" t="s">
        <v>41</v>
      </c>
    </row>
    <row r="1133" spans="1:10" x14ac:dyDescent="0.25">
      <c r="A1133" s="1">
        <v>448</v>
      </c>
      <c r="B1133" t="s">
        <v>49</v>
      </c>
      <c r="C1133">
        <v>116</v>
      </c>
      <c r="D1133">
        <v>5</v>
      </c>
      <c r="E1133" t="s">
        <v>84</v>
      </c>
      <c r="F1133" t="s">
        <v>85</v>
      </c>
      <c r="G1133" t="str">
        <f>"2025-12-18 22:19:17.801"</f>
        <v>2025-12-18 22:19:17.801</v>
      </c>
      <c r="H1133" t="s">
        <v>41</v>
      </c>
      <c r="I1133">
        <v>-0.04</v>
      </c>
      <c r="J1133" t="s">
        <v>32</v>
      </c>
    </row>
    <row r="1134" spans="1:10" x14ac:dyDescent="0.25">
      <c r="A1134" s="1">
        <v>449</v>
      </c>
      <c r="B1134" t="s">
        <v>55</v>
      </c>
      <c r="C1134">
        <v>116</v>
      </c>
      <c r="D1134">
        <v>5</v>
      </c>
      <c r="E1134" t="s">
        <v>84</v>
      </c>
      <c r="F1134" t="s">
        <v>85</v>
      </c>
      <c r="G1134" t="str">
        <f>"2025-12-18 22:19:10.578"</f>
        <v>2025-12-18 22:19:10.578</v>
      </c>
      <c r="H1134" t="s">
        <v>41</v>
      </c>
    </row>
    <row r="1135" spans="1:10" x14ac:dyDescent="0.25">
      <c r="A1135" s="1">
        <v>450</v>
      </c>
      <c r="B1135" t="s">
        <v>49</v>
      </c>
      <c r="C1135">
        <v>116</v>
      </c>
      <c r="D1135">
        <v>5</v>
      </c>
      <c r="E1135" t="s">
        <v>84</v>
      </c>
      <c r="F1135" t="s">
        <v>85</v>
      </c>
      <c r="G1135" t="str">
        <f>"2025-12-18 22:19:07.801"</f>
        <v>2025-12-18 22:19:07.801</v>
      </c>
      <c r="H1135" t="s">
        <v>41</v>
      </c>
      <c r="I1135">
        <v>-0.02</v>
      </c>
      <c r="J1135" t="s">
        <v>32</v>
      </c>
    </row>
    <row r="1136" spans="1:10" x14ac:dyDescent="0.25">
      <c r="A1136" s="1">
        <v>451</v>
      </c>
      <c r="B1136" t="s">
        <v>55</v>
      </c>
      <c r="C1136">
        <v>116</v>
      </c>
      <c r="D1136">
        <v>5</v>
      </c>
      <c r="E1136" t="s">
        <v>84</v>
      </c>
      <c r="F1136" t="s">
        <v>85</v>
      </c>
      <c r="G1136" t="str">
        <f>"2025-12-18 22:19:00.078"</f>
        <v>2025-12-18 22:19:00.078</v>
      </c>
      <c r="H1136" t="s">
        <v>41</v>
      </c>
    </row>
    <row r="1137" spans="1:10" x14ac:dyDescent="0.25">
      <c r="A1137" s="1">
        <v>452</v>
      </c>
      <c r="B1137" t="s">
        <v>49</v>
      </c>
      <c r="C1137">
        <v>116</v>
      </c>
      <c r="D1137">
        <v>5</v>
      </c>
      <c r="E1137" t="s">
        <v>84</v>
      </c>
      <c r="F1137" t="s">
        <v>85</v>
      </c>
      <c r="G1137" t="str">
        <f>"2025-12-18 22:18:57.561"</f>
        <v>2025-12-18 22:18:57.561</v>
      </c>
      <c r="H1137" t="s">
        <v>41</v>
      </c>
      <c r="I1137">
        <v>2.11</v>
      </c>
      <c r="J1137" t="s">
        <v>32</v>
      </c>
    </row>
    <row r="1138" spans="1:10" x14ac:dyDescent="0.25">
      <c r="A1138" s="1">
        <v>453</v>
      </c>
      <c r="B1138" t="s">
        <v>55</v>
      </c>
      <c r="C1138">
        <v>116</v>
      </c>
      <c r="D1138">
        <v>5</v>
      </c>
      <c r="E1138" t="s">
        <v>84</v>
      </c>
      <c r="F1138" t="s">
        <v>85</v>
      </c>
      <c r="G1138" t="str">
        <f>"2025-12-18 22:18:50.578"</f>
        <v>2025-12-18 22:18:50.578</v>
      </c>
      <c r="H1138" t="s">
        <v>41</v>
      </c>
    </row>
    <row r="1139" spans="1:10" x14ac:dyDescent="0.25">
      <c r="A1139" s="1">
        <v>454</v>
      </c>
      <c r="B1139" t="s">
        <v>49</v>
      </c>
      <c r="C1139">
        <v>116</v>
      </c>
      <c r="D1139">
        <v>5</v>
      </c>
      <c r="E1139" t="s">
        <v>84</v>
      </c>
      <c r="F1139" t="s">
        <v>85</v>
      </c>
      <c r="G1139" t="str">
        <f>"2025-12-18 22:18:47.421"</f>
        <v>2025-12-18 22:18:47.421</v>
      </c>
      <c r="H1139" t="s">
        <v>41</v>
      </c>
      <c r="I1139">
        <v>6.13</v>
      </c>
      <c r="J1139" t="s">
        <v>32</v>
      </c>
    </row>
    <row r="1140" spans="1:10" x14ac:dyDescent="0.25">
      <c r="A1140" s="1">
        <v>455</v>
      </c>
      <c r="B1140" t="s">
        <v>55</v>
      </c>
      <c r="C1140">
        <v>116</v>
      </c>
      <c r="D1140">
        <v>5</v>
      </c>
      <c r="E1140" t="s">
        <v>84</v>
      </c>
      <c r="F1140" t="s">
        <v>85</v>
      </c>
      <c r="G1140" t="str">
        <f>"2025-12-18 22:18:40.378"</f>
        <v>2025-12-18 22:18:40.378</v>
      </c>
      <c r="H1140" t="s">
        <v>41</v>
      </c>
    </row>
    <row r="1141" spans="1:10" x14ac:dyDescent="0.25">
      <c r="A1141" s="1">
        <v>456</v>
      </c>
      <c r="B1141" t="s">
        <v>49</v>
      </c>
      <c r="C1141">
        <v>116</v>
      </c>
      <c r="D1141">
        <v>5</v>
      </c>
      <c r="E1141" t="s">
        <v>84</v>
      </c>
      <c r="F1141" t="s">
        <v>85</v>
      </c>
      <c r="G1141" t="str">
        <f>"2025-12-18 22:18:37.381"</f>
        <v>2025-12-18 22:18:37.381</v>
      </c>
      <c r="H1141" t="s">
        <v>41</v>
      </c>
      <c r="I1141">
        <v>8.5500000000000007</v>
      </c>
      <c r="J1141" t="s">
        <v>32</v>
      </c>
    </row>
    <row r="1142" spans="1:10" x14ac:dyDescent="0.25">
      <c r="A1142" s="1">
        <v>457</v>
      </c>
      <c r="B1142" t="s">
        <v>55</v>
      </c>
      <c r="C1142">
        <v>116</v>
      </c>
      <c r="D1142">
        <v>5</v>
      </c>
      <c r="E1142" t="s">
        <v>84</v>
      </c>
      <c r="F1142" t="s">
        <v>85</v>
      </c>
      <c r="G1142" t="str">
        <f>"2025-12-18 22:18:30.178"</f>
        <v>2025-12-18 22:18:30.178</v>
      </c>
      <c r="H1142" t="s">
        <v>41</v>
      </c>
    </row>
    <row r="1143" spans="1:10" x14ac:dyDescent="0.25">
      <c r="A1143" s="1">
        <v>458</v>
      </c>
      <c r="B1143" t="s">
        <v>49</v>
      </c>
      <c r="C1143">
        <v>116</v>
      </c>
      <c r="D1143">
        <v>5</v>
      </c>
      <c r="E1143" t="s">
        <v>84</v>
      </c>
      <c r="F1143" t="s">
        <v>85</v>
      </c>
      <c r="G1143" t="str">
        <f>"2025-12-18 22:18:27.261"</f>
        <v>2025-12-18 22:18:27.261</v>
      </c>
      <c r="H1143" t="s">
        <v>41</v>
      </c>
      <c r="I1143">
        <v>10.81</v>
      </c>
      <c r="J1143" t="s">
        <v>32</v>
      </c>
    </row>
    <row r="1144" spans="1:10" x14ac:dyDescent="0.25">
      <c r="A1144" s="1">
        <v>459</v>
      </c>
      <c r="B1144" t="s">
        <v>48</v>
      </c>
      <c r="C1144">
        <v>119</v>
      </c>
      <c r="D1144">
        <v>1</v>
      </c>
      <c r="E1144" t="s">
        <v>86</v>
      </c>
      <c r="F1144" t="s">
        <v>87</v>
      </c>
      <c r="G1144" t="str">
        <f>"2025-12-18 21:54:23.077"</f>
        <v>2025-12-18 21:54:23.077</v>
      </c>
      <c r="H1144" t="s">
        <v>41</v>
      </c>
    </row>
    <row r="1145" spans="1:10" x14ac:dyDescent="0.25">
      <c r="A1145" s="1">
        <v>460</v>
      </c>
      <c r="B1145" t="s">
        <v>48</v>
      </c>
      <c r="C1145">
        <v>120</v>
      </c>
      <c r="D1145">
        <v>6</v>
      </c>
      <c r="E1145" t="s">
        <v>88</v>
      </c>
      <c r="F1145" t="s">
        <v>89</v>
      </c>
      <c r="G1145" t="str">
        <f>"2025-12-18 21:54:18.877"</f>
        <v>2025-12-18 21:54:18.877</v>
      </c>
      <c r="H1145" t="s">
        <v>21</v>
      </c>
    </row>
    <row r="1146" spans="1:10" x14ac:dyDescent="0.25">
      <c r="A1146" s="1">
        <v>461</v>
      </c>
      <c r="B1146" t="s">
        <v>49</v>
      </c>
      <c r="C1146">
        <v>119</v>
      </c>
      <c r="D1146">
        <v>1</v>
      </c>
      <c r="E1146" t="s">
        <v>86</v>
      </c>
      <c r="F1146" t="s">
        <v>87</v>
      </c>
      <c r="G1146" t="str">
        <f>"2025-12-18 21:54:18.021"</f>
        <v>2025-12-18 21:54:18.021</v>
      </c>
      <c r="H1146" t="s">
        <v>41</v>
      </c>
      <c r="I1146">
        <v>18.440000000000001</v>
      </c>
      <c r="J1146" t="s">
        <v>26</v>
      </c>
    </row>
    <row r="1147" spans="1:10" x14ac:dyDescent="0.25">
      <c r="A1147" s="1">
        <v>462</v>
      </c>
      <c r="B1147" t="s">
        <v>48</v>
      </c>
      <c r="C1147">
        <v>119</v>
      </c>
      <c r="D1147">
        <v>4</v>
      </c>
      <c r="E1147" t="s">
        <v>86</v>
      </c>
      <c r="F1147" t="s">
        <v>90</v>
      </c>
      <c r="G1147" t="str">
        <f>"2025-12-18 21:54:17.778"</f>
        <v>2025-12-18 21:54:17.778</v>
      </c>
      <c r="H1147" t="s">
        <v>41</v>
      </c>
    </row>
    <row r="1148" spans="1:10" x14ac:dyDescent="0.25">
      <c r="A1148" s="1">
        <v>463</v>
      </c>
      <c r="B1148" t="s">
        <v>49</v>
      </c>
      <c r="C1148">
        <v>120</v>
      </c>
      <c r="D1148">
        <v>6</v>
      </c>
      <c r="E1148" t="s">
        <v>88</v>
      </c>
      <c r="F1148" t="s">
        <v>89</v>
      </c>
      <c r="G1148" t="str">
        <f>"2025-12-18 21:54:13.861"</f>
        <v>2025-12-18 21:54:13.861</v>
      </c>
      <c r="H1148" t="s">
        <v>21</v>
      </c>
      <c r="I1148">
        <v>16.72</v>
      </c>
      <c r="J1148" t="s">
        <v>26</v>
      </c>
    </row>
    <row r="1149" spans="1:10" x14ac:dyDescent="0.25">
      <c r="A1149" s="1">
        <v>464</v>
      </c>
      <c r="B1149" t="s">
        <v>49</v>
      </c>
      <c r="C1149">
        <v>119</v>
      </c>
      <c r="D1149">
        <v>4</v>
      </c>
      <c r="E1149" t="s">
        <v>86</v>
      </c>
      <c r="F1149" t="s">
        <v>90</v>
      </c>
      <c r="G1149" t="str">
        <f>"2025-12-18 21:54:12.701"</f>
        <v>2025-12-18 21:54:12.701</v>
      </c>
      <c r="H1149" t="s">
        <v>41</v>
      </c>
      <c r="I1149">
        <v>16.62</v>
      </c>
      <c r="J1149" t="s">
        <v>26</v>
      </c>
    </row>
    <row r="1150" spans="1:10" x14ac:dyDescent="0.25">
      <c r="A1150" s="1">
        <v>465</v>
      </c>
      <c r="B1150" t="s">
        <v>19</v>
      </c>
      <c r="C1150">
        <v>706</v>
      </c>
      <c r="D1150">
        <v>2</v>
      </c>
      <c r="E1150" t="s">
        <v>29</v>
      </c>
      <c r="F1150" t="s">
        <v>59</v>
      </c>
      <c r="G1150" t="str">
        <f>"2025-12-18 21:37:22.174"</f>
        <v>2025-12-18 21:37:22.174</v>
      </c>
      <c r="H1150" t="s">
        <v>21</v>
      </c>
      <c r="I1150">
        <v>0</v>
      </c>
      <c r="J1150" t="s">
        <v>31</v>
      </c>
    </row>
    <row r="1151" spans="1:10" x14ac:dyDescent="0.25">
      <c r="A1151" s="1">
        <v>466</v>
      </c>
      <c r="B1151" t="s">
        <v>22</v>
      </c>
      <c r="C1151">
        <v>49</v>
      </c>
      <c r="D1151">
        <v>1</v>
      </c>
      <c r="E1151" t="s">
        <v>62</v>
      </c>
      <c r="F1151" t="s">
        <v>63</v>
      </c>
      <c r="G1151" t="str">
        <f>"2025-12-18 21:36:31.999"</f>
        <v>2025-12-18 21:36:31.999</v>
      </c>
      <c r="H1151" t="s">
        <v>64</v>
      </c>
    </row>
    <row r="1152" spans="1:10" x14ac:dyDescent="0.25">
      <c r="A1152" s="1">
        <v>467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"2025-12-18 21:36:02.214"</f>
        <v>2025-12-18 21:36:02.214</v>
      </c>
      <c r="H1152" t="s">
        <v>21</v>
      </c>
      <c r="I1152">
        <v>0</v>
      </c>
      <c r="J1152" t="s">
        <v>27</v>
      </c>
    </row>
    <row r="1153" spans="1:10" x14ac:dyDescent="0.25">
      <c r="A1153" s="1">
        <v>468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"2025-12-18 21:34:20.215"</f>
        <v>2025-12-18 21:34:20.215</v>
      </c>
      <c r="H1153" t="s">
        <v>21</v>
      </c>
    </row>
    <row r="1154" spans="1:10" x14ac:dyDescent="0.25">
      <c r="A1154" s="1">
        <v>469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"2025-12-18 21:27:04.221"</f>
        <v>2025-12-18 21:27:04.221</v>
      </c>
      <c r="H1154" t="s">
        <v>21</v>
      </c>
      <c r="I1154">
        <v>0</v>
      </c>
      <c r="J1154" t="s">
        <v>27</v>
      </c>
    </row>
    <row r="1155" spans="1:10" x14ac:dyDescent="0.25">
      <c r="A1155" s="1">
        <v>470</v>
      </c>
      <c r="B1155" t="s">
        <v>19</v>
      </c>
      <c r="C1155">
        <v>706</v>
      </c>
      <c r="D1155">
        <v>3</v>
      </c>
      <c r="E1155" t="s">
        <v>29</v>
      </c>
      <c r="F1155" t="s">
        <v>54</v>
      </c>
      <c r="G1155" t="str">
        <f>"2025-12-18 21:22:13.850"</f>
        <v>2025-12-18 21:22:13.850</v>
      </c>
      <c r="H1155" t="s">
        <v>21</v>
      </c>
      <c r="I1155">
        <v>0</v>
      </c>
      <c r="J1155" t="s">
        <v>31</v>
      </c>
    </row>
    <row r="1156" spans="1:10" x14ac:dyDescent="0.25">
      <c r="A1156" s="1">
        <v>471</v>
      </c>
      <c r="B1156" t="s">
        <v>19</v>
      </c>
      <c r="C1156">
        <v>700</v>
      </c>
      <c r="D1156">
        <v>0</v>
      </c>
      <c r="E1156" t="s">
        <v>20</v>
      </c>
      <c r="F1156" t="s">
        <v>20</v>
      </c>
      <c r="G1156" t="str">
        <f>"2025-12-18 21:20:36.210"</f>
        <v>2025-12-18 21:20:36.210</v>
      </c>
      <c r="H1156" t="s">
        <v>21</v>
      </c>
    </row>
    <row r="1157" spans="1:10" x14ac:dyDescent="0.25">
      <c r="A1157" s="1">
        <v>472</v>
      </c>
      <c r="B1157" t="s">
        <v>19</v>
      </c>
      <c r="C1157">
        <v>706</v>
      </c>
      <c r="D1157">
        <v>3</v>
      </c>
      <c r="E1157" t="s">
        <v>29</v>
      </c>
      <c r="F1157" t="s">
        <v>54</v>
      </c>
      <c r="G1157" t="str">
        <f>"2025-12-18 21:17:44.966"</f>
        <v>2025-12-18 21:17:44.966</v>
      </c>
      <c r="H1157" t="s">
        <v>21</v>
      </c>
      <c r="I1157">
        <v>0</v>
      </c>
      <c r="J1157" t="s">
        <v>31</v>
      </c>
    </row>
    <row r="1158" spans="1:10" x14ac:dyDescent="0.25">
      <c r="A1158" s="1">
        <v>473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"2025-12-18 21:16:46.216"</f>
        <v>2025-12-18 21:16:46.216</v>
      </c>
      <c r="H1158" t="s">
        <v>21</v>
      </c>
    </row>
    <row r="1159" spans="1:10" x14ac:dyDescent="0.25">
      <c r="A1159" s="1">
        <v>474</v>
      </c>
      <c r="B1159" t="s">
        <v>25</v>
      </c>
      <c r="C1159">
        <v>49</v>
      </c>
      <c r="D1159">
        <v>1</v>
      </c>
      <c r="E1159" t="s">
        <v>62</v>
      </c>
      <c r="F1159" t="s">
        <v>63</v>
      </c>
      <c r="G1159" t="str">
        <f>"2025-12-18 21:15:33.063"</f>
        <v>2025-12-18 21:15:33.063</v>
      </c>
      <c r="H1159" t="s">
        <v>64</v>
      </c>
      <c r="I1159">
        <v>0</v>
      </c>
      <c r="J1159" t="s">
        <v>31</v>
      </c>
    </row>
    <row r="1160" spans="1:10" x14ac:dyDescent="0.25">
      <c r="A1160" s="1">
        <v>475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"2025-12-18 21:14:13.222"</f>
        <v>2025-12-18 21:14:13.222</v>
      </c>
      <c r="H1160" t="s">
        <v>21</v>
      </c>
      <c r="I1160">
        <v>0</v>
      </c>
      <c r="J1160" t="s">
        <v>27</v>
      </c>
    </row>
    <row r="1161" spans="1:10" x14ac:dyDescent="0.25">
      <c r="A1161" s="1">
        <v>476</v>
      </c>
      <c r="B1161" t="s">
        <v>22</v>
      </c>
      <c r="C1161">
        <v>630</v>
      </c>
      <c r="D1161">
        <v>5</v>
      </c>
      <c r="E1161" t="s">
        <v>71</v>
      </c>
      <c r="F1161" t="s">
        <v>72</v>
      </c>
      <c r="G1161" t="str">
        <f>"2025-12-18 02:43:54.190"</f>
        <v>2025-12-18 02:43:54.190</v>
      </c>
      <c r="H1161" t="s">
        <v>44</v>
      </c>
    </row>
    <row r="1162" spans="1:10" x14ac:dyDescent="0.25">
      <c r="A1162" s="1">
        <v>477</v>
      </c>
      <c r="B1162" t="s">
        <v>19</v>
      </c>
      <c r="C1162">
        <v>706</v>
      </c>
      <c r="D1162">
        <v>4</v>
      </c>
      <c r="E1162" t="s">
        <v>29</v>
      </c>
      <c r="F1162" t="s">
        <v>30</v>
      </c>
      <c r="G1162" t="str">
        <f>"2025-12-18 02:43:24.010"</f>
        <v>2025-12-18 02:43:24.010</v>
      </c>
      <c r="H1162" t="s">
        <v>21</v>
      </c>
      <c r="I1162">
        <v>0</v>
      </c>
      <c r="J1162" t="s">
        <v>31</v>
      </c>
    </row>
    <row r="1163" spans="1:10" x14ac:dyDescent="0.25">
      <c r="A1163" s="1">
        <v>478</v>
      </c>
      <c r="B1163" t="s">
        <v>49</v>
      </c>
      <c r="C1163">
        <v>630</v>
      </c>
      <c r="D1163">
        <v>5</v>
      </c>
      <c r="E1163" t="s">
        <v>71</v>
      </c>
      <c r="F1163" t="s">
        <v>72</v>
      </c>
      <c r="G1163" t="str">
        <f>"2025-12-18 02:27:56.291"</f>
        <v>2025-12-18 02:27:56.291</v>
      </c>
      <c r="H1163" t="s">
        <v>44</v>
      </c>
      <c r="I1163">
        <v>0</v>
      </c>
      <c r="J1163" t="s">
        <v>31</v>
      </c>
    </row>
    <row r="1164" spans="1:10" x14ac:dyDescent="0.25">
      <c r="A1164" s="1">
        <v>479</v>
      </c>
      <c r="B1164" t="s">
        <v>19</v>
      </c>
      <c r="C1164">
        <v>706</v>
      </c>
      <c r="D1164">
        <v>4</v>
      </c>
      <c r="E1164" t="s">
        <v>29</v>
      </c>
      <c r="F1164" t="s">
        <v>30</v>
      </c>
      <c r="G1164" t="str">
        <f>"2025-12-17 17:30:04.280"</f>
        <v>2025-12-17 17:30:04.280</v>
      </c>
      <c r="H1164" t="s">
        <v>21</v>
      </c>
      <c r="I1164">
        <v>19.600000000000001</v>
      </c>
      <c r="J1164" t="s">
        <v>32</v>
      </c>
    </row>
    <row r="1165" spans="1:10" x14ac:dyDescent="0.25">
      <c r="A1165" s="1">
        <v>480</v>
      </c>
      <c r="B1165" t="s">
        <v>19</v>
      </c>
      <c r="C1165">
        <v>706</v>
      </c>
      <c r="D1165">
        <v>4</v>
      </c>
      <c r="E1165" t="s">
        <v>29</v>
      </c>
      <c r="F1165" t="s">
        <v>30</v>
      </c>
      <c r="G1165" t="str">
        <f>"2025-12-17 12:46:29.730"</f>
        <v>2025-12-17 12:46:29.730</v>
      </c>
      <c r="H1165" t="s">
        <v>21</v>
      </c>
      <c r="I1165">
        <v>-0.12</v>
      </c>
      <c r="J1165" t="s">
        <v>32</v>
      </c>
    </row>
    <row r="1166" spans="1:10" x14ac:dyDescent="0.25">
      <c r="A1166" s="1">
        <v>481</v>
      </c>
      <c r="B1166" t="s">
        <v>19</v>
      </c>
      <c r="C1166">
        <v>706</v>
      </c>
      <c r="D1166">
        <v>4</v>
      </c>
      <c r="E1166" t="s">
        <v>29</v>
      </c>
      <c r="F1166" t="s">
        <v>30</v>
      </c>
      <c r="G1166" t="str">
        <f>"2025-12-17 12:46:09.190"</f>
        <v>2025-12-17 12:46:09.190</v>
      </c>
      <c r="H1166" t="s">
        <v>21</v>
      </c>
      <c r="I1166">
        <v>5.61</v>
      </c>
      <c r="J1166" t="s">
        <v>32</v>
      </c>
    </row>
    <row r="1167" spans="1:10" x14ac:dyDescent="0.25">
      <c r="A1167" s="1">
        <v>482</v>
      </c>
      <c r="B1167" t="s">
        <v>19</v>
      </c>
      <c r="C1167">
        <v>706</v>
      </c>
      <c r="D1167">
        <v>4</v>
      </c>
      <c r="E1167" t="s">
        <v>29</v>
      </c>
      <c r="F1167" t="s">
        <v>30</v>
      </c>
      <c r="G1167" t="str">
        <f>"2025-12-17 12:45:11.440"</f>
        <v>2025-12-17 12:45:11.440</v>
      </c>
      <c r="H1167" t="s">
        <v>21</v>
      </c>
      <c r="I1167">
        <v>19.21</v>
      </c>
      <c r="J1167" t="s">
        <v>32</v>
      </c>
    </row>
    <row r="1168" spans="1:10" x14ac:dyDescent="0.25">
      <c r="A1168" s="1">
        <v>483</v>
      </c>
      <c r="B1168" t="s">
        <v>19</v>
      </c>
      <c r="C1168">
        <v>706</v>
      </c>
      <c r="D1168">
        <v>4</v>
      </c>
      <c r="E1168" t="s">
        <v>29</v>
      </c>
      <c r="F1168" t="s">
        <v>30</v>
      </c>
      <c r="G1168" t="str">
        <f>"2025-12-17 12:38:50.660"</f>
        <v>2025-12-17 12:38:50.660</v>
      </c>
      <c r="H1168" t="s">
        <v>21</v>
      </c>
      <c r="I1168">
        <v>6.45</v>
      </c>
      <c r="J1168" t="s">
        <v>32</v>
      </c>
    </row>
    <row r="1169" spans="1:10" x14ac:dyDescent="0.25">
      <c r="A1169" s="1">
        <v>484</v>
      </c>
      <c r="B1169" t="s">
        <v>19</v>
      </c>
      <c r="C1169">
        <v>706</v>
      </c>
      <c r="D1169">
        <v>4</v>
      </c>
      <c r="E1169" t="s">
        <v>29</v>
      </c>
      <c r="F1169" t="s">
        <v>30</v>
      </c>
      <c r="G1169" t="str">
        <f>"2025-12-17 12:37:02.770"</f>
        <v>2025-12-17 12:37:02.770</v>
      </c>
      <c r="H1169" t="s">
        <v>21</v>
      </c>
      <c r="I1169">
        <v>17.23</v>
      </c>
      <c r="J1169" t="s">
        <v>32</v>
      </c>
    </row>
    <row r="1170" spans="1:10" x14ac:dyDescent="0.25">
      <c r="A1170" s="1">
        <v>485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"2025-12-16 16:16:12.220"</f>
        <v>2025-12-16 16:16:12.220</v>
      </c>
      <c r="H1170" t="s">
        <v>21</v>
      </c>
      <c r="I1170">
        <v>0</v>
      </c>
      <c r="J1170" t="s">
        <v>27</v>
      </c>
    </row>
    <row r="1171" spans="1:10" x14ac:dyDescent="0.25">
      <c r="A1171" s="1">
        <v>486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"2025-12-14 13:09:38.238"</f>
        <v>2025-12-14 13:09:38.238</v>
      </c>
      <c r="H1171" t="s">
        <v>21</v>
      </c>
      <c r="I1171">
        <v>0</v>
      </c>
      <c r="J1171" t="s">
        <v>27</v>
      </c>
    </row>
    <row r="1172" spans="1:10" x14ac:dyDescent="0.25">
      <c r="A1172" s="1">
        <v>487</v>
      </c>
      <c r="B1172" t="s">
        <v>19</v>
      </c>
      <c r="C1172">
        <v>700</v>
      </c>
      <c r="D1172">
        <v>0</v>
      </c>
      <c r="E1172" t="s">
        <v>20</v>
      </c>
      <c r="F1172" t="s">
        <v>20</v>
      </c>
      <c r="G1172" t="str">
        <f>"2025-12-13 12:50:54.208"</f>
        <v>2025-12-13 12:50:54.208</v>
      </c>
      <c r="H1172" t="s">
        <v>21</v>
      </c>
    </row>
    <row r="1173" spans="1:10" x14ac:dyDescent="0.25">
      <c r="A1173" s="1">
        <v>488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"2025-12-12 13:12:28.190"</f>
        <v>2025-12-12 13:12:28.190</v>
      </c>
      <c r="H1173" t="s">
        <v>21</v>
      </c>
      <c r="I1173">
        <v>0</v>
      </c>
      <c r="J1173" t="s">
        <v>27</v>
      </c>
    </row>
    <row r="1174" spans="1:10" x14ac:dyDescent="0.25">
      <c r="A1174" s="1">
        <v>489</v>
      </c>
      <c r="B1174" t="s">
        <v>19</v>
      </c>
      <c r="C1174">
        <v>706</v>
      </c>
      <c r="D1174">
        <v>2</v>
      </c>
      <c r="E1174" t="s">
        <v>29</v>
      </c>
      <c r="F1174" t="s">
        <v>59</v>
      </c>
      <c r="G1174" t="str">
        <f>"2025-12-12 12:55:44.280"</f>
        <v>2025-12-12 12:55:44.280</v>
      </c>
      <c r="H1174" t="s">
        <v>21</v>
      </c>
      <c r="I1174">
        <v>0</v>
      </c>
      <c r="J1174" t="s">
        <v>31</v>
      </c>
    </row>
    <row r="1175" spans="1:10" x14ac:dyDescent="0.25">
      <c r="A1175" s="1">
        <v>490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"2025-12-12 12:53:00.190"</f>
        <v>2025-12-12 12:53:00.190</v>
      </c>
      <c r="H1175" t="s">
        <v>21</v>
      </c>
      <c r="I1175">
        <v>0</v>
      </c>
      <c r="J1175" t="s">
        <v>27</v>
      </c>
    </row>
    <row r="1176" spans="1:10" x14ac:dyDescent="0.25">
      <c r="A1176" s="1">
        <v>491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"2025-12-12 12:38:54.181"</f>
        <v>2025-12-12 12:38:54.181</v>
      </c>
      <c r="H1176" t="s">
        <v>21</v>
      </c>
    </row>
    <row r="1177" spans="1:10" x14ac:dyDescent="0.25">
      <c r="A1177" s="1">
        <v>492</v>
      </c>
      <c r="B1177" t="s">
        <v>19</v>
      </c>
      <c r="C1177">
        <v>700</v>
      </c>
      <c r="D1177">
        <v>0</v>
      </c>
      <c r="E1177" t="s">
        <v>20</v>
      </c>
      <c r="F1177" t="s">
        <v>20</v>
      </c>
      <c r="G1177" t="str">
        <f>"2025-12-12 09:14:16.192"</f>
        <v>2025-12-12 09:14:16.192</v>
      </c>
      <c r="H1177" t="s">
        <v>21</v>
      </c>
      <c r="I1177">
        <v>0</v>
      </c>
      <c r="J1177" t="s">
        <v>27</v>
      </c>
    </row>
    <row r="1178" spans="1:10" x14ac:dyDescent="0.25">
      <c r="A1178" s="1">
        <v>493</v>
      </c>
      <c r="B1178" t="s">
        <v>19</v>
      </c>
      <c r="C1178">
        <v>706</v>
      </c>
      <c r="D1178">
        <v>4</v>
      </c>
      <c r="E1178" t="s">
        <v>29</v>
      </c>
      <c r="F1178" t="s">
        <v>30</v>
      </c>
      <c r="G1178" t="str">
        <f>"2025-12-11 23:56:22.648"</f>
        <v>2025-12-11 23:56:22.648</v>
      </c>
      <c r="H1178" t="s">
        <v>21</v>
      </c>
      <c r="I1178">
        <v>0</v>
      </c>
      <c r="J1178" t="s">
        <v>31</v>
      </c>
    </row>
    <row r="1179" spans="1:10" x14ac:dyDescent="0.25">
      <c r="A1179" s="1">
        <v>494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"2025-12-10 17:56:10.138"</f>
        <v>2025-12-10 17:56:10.138</v>
      </c>
      <c r="H1179" t="s">
        <v>21</v>
      </c>
      <c r="I1179">
        <v>0</v>
      </c>
      <c r="J1179" t="s">
        <v>27</v>
      </c>
    </row>
    <row r="1180" spans="1:10" x14ac:dyDescent="0.25">
      <c r="A1180" s="1">
        <v>495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"2025-12-10 17:00:50.153"</f>
        <v>2025-12-10 17:00:50.153</v>
      </c>
      <c r="H1180" t="s">
        <v>21</v>
      </c>
    </row>
    <row r="1181" spans="1:10" x14ac:dyDescent="0.25">
      <c r="A1181" s="1">
        <v>496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"2025-12-10 09:58:53.076"</f>
        <v>2025-12-10 09:58:53.076</v>
      </c>
      <c r="H1181" t="s">
        <v>21</v>
      </c>
    </row>
    <row r="1182" spans="1:10" x14ac:dyDescent="0.25">
      <c r="A1182" s="1">
        <v>497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"2025-12-09 15:32:55.105"</f>
        <v>2025-12-09 15:32:55.105</v>
      </c>
      <c r="H1182" t="s">
        <v>21</v>
      </c>
      <c r="I1182">
        <v>0</v>
      </c>
      <c r="J1182" t="s">
        <v>27</v>
      </c>
    </row>
    <row r="1183" spans="1:10" x14ac:dyDescent="0.25">
      <c r="A1183" s="1">
        <v>498</v>
      </c>
      <c r="B1183" t="s">
        <v>19</v>
      </c>
      <c r="C1183">
        <v>700</v>
      </c>
      <c r="D1183">
        <v>0</v>
      </c>
      <c r="E1183" t="s">
        <v>20</v>
      </c>
      <c r="F1183" t="s">
        <v>20</v>
      </c>
      <c r="G1183" t="str">
        <f>"2025-12-08 09:35:11.074"</f>
        <v>2025-12-08 09:35:11.074</v>
      </c>
      <c r="H1183" t="s">
        <v>21</v>
      </c>
    </row>
    <row r="1184" spans="1:10" x14ac:dyDescent="0.25">
      <c r="A1184" s="1">
        <v>499</v>
      </c>
      <c r="B1184" t="s">
        <v>19</v>
      </c>
      <c r="C1184">
        <v>706</v>
      </c>
      <c r="D1184">
        <v>2</v>
      </c>
      <c r="E1184" t="s">
        <v>29</v>
      </c>
      <c r="F1184" t="s">
        <v>59</v>
      </c>
      <c r="G1184" t="str">
        <f>"2025-12-08 09:31:40.749"</f>
        <v>2025-12-08 09:31:40.749</v>
      </c>
      <c r="H1184" t="s">
        <v>21</v>
      </c>
      <c r="I1184">
        <v>0</v>
      </c>
      <c r="J1184" t="s">
        <v>31</v>
      </c>
    </row>
    <row r="1185" spans="1:10" x14ac:dyDescent="0.25">
      <c r="A1185" s="1">
        <v>500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"2025-12-08 09:27:30.079"</f>
        <v>2025-12-08 09:27:30.079</v>
      </c>
      <c r="H1185" t="s">
        <v>21</v>
      </c>
    </row>
    <row r="1186" spans="1:10" x14ac:dyDescent="0.25">
      <c r="A1186" s="1">
        <v>501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"2025-12-08 09:11:48.076"</f>
        <v>2025-12-08 09:11:48.076</v>
      </c>
      <c r="H1186" t="s">
        <v>21</v>
      </c>
    </row>
    <row r="1187" spans="1:10" x14ac:dyDescent="0.25">
      <c r="A1187" s="1">
        <v>502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"2025-12-08 08:52:33.069"</f>
        <v>2025-12-08 08:52:33.069</v>
      </c>
      <c r="H1187" t="s">
        <v>21</v>
      </c>
    </row>
    <row r="1188" spans="1:10" x14ac:dyDescent="0.25">
      <c r="A1188" s="1">
        <v>503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"2025-12-08 08:43:23.076"</f>
        <v>2025-12-08 08:43:23.076</v>
      </c>
      <c r="H1188" t="s">
        <v>21</v>
      </c>
    </row>
    <row r="1189" spans="1:10" x14ac:dyDescent="0.25">
      <c r="A1189" s="1">
        <v>504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"2025-12-07 17:58:52.076"</f>
        <v>2025-12-07 17:58:52.076</v>
      </c>
      <c r="H1189" t="s">
        <v>21</v>
      </c>
    </row>
    <row r="1190" spans="1:10" x14ac:dyDescent="0.25">
      <c r="A1190" s="1">
        <v>505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"2025-12-07 17:50:24.086"</f>
        <v>2025-12-07 17:50:24.086</v>
      </c>
      <c r="H1190" t="s">
        <v>21</v>
      </c>
      <c r="I1190">
        <v>0</v>
      </c>
      <c r="J1190" t="s">
        <v>27</v>
      </c>
    </row>
    <row r="1191" spans="1:10" x14ac:dyDescent="0.25">
      <c r="A1191" s="1">
        <v>506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"2025-12-07 17:22:46.071"</f>
        <v>2025-12-07 17:22:46.071</v>
      </c>
      <c r="H1191" t="s">
        <v>21</v>
      </c>
      <c r="I1191">
        <v>0</v>
      </c>
      <c r="J1191" t="s">
        <v>27</v>
      </c>
    </row>
    <row r="1192" spans="1:10" x14ac:dyDescent="0.25">
      <c r="A1192" s="1">
        <v>507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"2025-12-07 15:31:05.081"</f>
        <v>2025-12-07 15:31:05.081</v>
      </c>
      <c r="H1192" t="s">
        <v>21</v>
      </c>
      <c r="I1192">
        <v>0</v>
      </c>
      <c r="J1192" t="s">
        <v>27</v>
      </c>
    </row>
    <row r="1193" spans="1:10" x14ac:dyDescent="0.25">
      <c r="A1193" s="1">
        <v>508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"2025-12-07 15:13:51.078"</f>
        <v>2025-12-07 15:13:51.078</v>
      </c>
      <c r="H1193" t="s">
        <v>21</v>
      </c>
    </row>
    <row r="1194" spans="1:10" x14ac:dyDescent="0.25">
      <c r="A1194" s="1">
        <v>509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"2025-12-07 14:34:36.075"</f>
        <v>2025-12-07 14:34:36.075</v>
      </c>
      <c r="H1194" t="s">
        <v>21</v>
      </c>
    </row>
    <row r="1195" spans="1:10" x14ac:dyDescent="0.25">
      <c r="A1195" s="1">
        <v>510</v>
      </c>
      <c r="B1195" t="s">
        <v>19</v>
      </c>
      <c r="C1195">
        <v>706</v>
      </c>
      <c r="D1195">
        <v>4</v>
      </c>
      <c r="E1195" t="s">
        <v>29</v>
      </c>
      <c r="F1195" t="s">
        <v>30</v>
      </c>
      <c r="G1195" t="str">
        <f>"2025-12-07 14:11:06.955"</f>
        <v>2025-12-07 14:11:06.955</v>
      </c>
      <c r="H1195" t="s">
        <v>21</v>
      </c>
      <c r="I1195">
        <v>0</v>
      </c>
      <c r="J1195" t="s">
        <v>31</v>
      </c>
    </row>
    <row r="1196" spans="1:10" x14ac:dyDescent="0.25">
      <c r="A1196" s="1">
        <v>511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"2025-12-07 14:10:36.095"</f>
        <v>2025-12-07 14:10:36.095</v>
      </c>
      <c r="H1196" t="s">
        <v>21</v>
      </c>
    </row>
    <row r="1197" spans="1:10" x14ac:dyDescent="0.25">
      <c r="A1197" s="1">
        <v>512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"2025-12-07 12:31:51.071"</f>
        <v>2025-12-07 12:31:51.071</v>
      </c>
      <c r="H1197" t="s">
        <v>21</v>
      </c>
    </row>
    <row r="1198" spans="1:10" x14ac:dyDescent="0.25">
      <c r="A1198" s="1">
        <v>513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"2025-12-07 12:17:59.078"</f>
        <v>2025-12-07 12:17:59.078</v>
      </c>
      <c r="H1198" t="s">
        <v>21</v>
      </c>
      <c r="I1198">
        <v>0</v>
      </c>
      <c r="J1198" t="s">
        <v>27</v>
      </c>
    </row>
    <row r="1199" spans="1:10" x14ac:dyDescent="0.25">
      <c r="A1199" s="1">
        <v>514</v>
      </c>
      <c r="B1199" t="s">
        <v>19</v>
      </c>
      <c r="C1199">
        <v>700</v>
      </c>
      <c r="D1199">
        <v>0</v>
      </c>
      <c r="E1199" t="s">
        <v>20</v>
      </c>
      <c r="F1199" t="s">
        <v>20</v>
      </c>
      <c r="G1199" t="str">
        <f>"2025-12-07 12:10:43.069"</f>
        <v>2025-12-07 12:10:43.069</v>
      </c>
      <c r="H1199" t="s">
        <v>21</v>
      </c>
    </row>
    <row r="1200" spans="1:10" x14ac:dyDescent="0.25">
      <c r="A1200" s="1">
        <v>515</v>
      </c>
      <c r="B1200" t="s">
        <v>19</v>
      </c>
      <c r="C1200">
        <v>706</v>
      </c>
      <c r="D1200">
        <v>2</v>
      </c>
      <c r="E1200" t="s">
        <v>29</v>
      </c>
      <c r="F1200" t="s">
        <v>59</v>
      </c>
      <c r="G1200" t="str">
        <f>"2025-12-07 12:00:12.944"</f>
        <v>2025-12-07 12:00:12.944</v>
      </c>
      <c r="H1200" t="s">
        <v>21</v>
      </c>
      <c r="I1200">
        <v>0</v>
      </c>
      <c r="J1200" t="s">
        <v>31</v>
      </c>
    </row>
    <row r="1201" spans="1:10" x14ac:dyDescent="0.25">
      <c r="A1201" s="1">
        <v>516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"2025-12-07 11:59:36.064"</f>
        <v>2025-12-07 11:59:36.064</v>
      </c>
      <c r="H1201" t="s">
        <v>21</v>
      </c>
      <c r="I1201">
        <v>0</v>
      </c>
      <c r="J1201" t="s">
        <v>27</v>
      </c>
    </row>
    <row r="1202" spans="1:10" x14ac:dyDescent="0.25">
      <c r="A1202" s="1">
        <v>517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"2025-12-07 11:47:29.076"</f>
        <v>2025-12-07 11:47:29.076</v>
      </c>
      <c r="H1202" t="s">
        <v>21</v>
      </c>
      <c r="I1202">
        <v>0</v>
      </c>
      <c r="J1202" t="s">
        <v>27</v>
      </c>
    </row>
    <row r="1203" spans="1:10" x14ac:dyDescent="0.25">
      <c r="A1203" s="1">
        <v>518</v>
      </c>
      <c r="B1203" t="s">
        <v>19</v>
      </c>
      <c r="C1203">
        <v>700</v>
      </c>
      <c r="D1203">
        <v>0</v>
      </c>
      <c r="E1203" t="s">
        <v>20</v>
      </c>
      <c r="F1203" t="s">
        <v>20</v>
      </c>
      <c r="G1203" t="str">
        <f>"2025-12-07 11:12:59.078"</f>
        <v>2025-12-07 11:12:59.078</v>
      </c>
      <c r="H1203" t="s">
        <v>21</v>
      </c>
      <c r="I1203">
        <v>0</v>
      </c>
      <c r="J1203" t="s">
        <v>27</v>
      </c>
    </row>
    <row r="1204" spans="1:10" x14ac:dyDescent="0.25">
      <c r="A1204" s="1">
        <v>519</v>
      </c>
      <c r="B1204" t="s">
        <v>19</v>
      </c>
      <c r="C1204">
        <v>700</v>
      </c>
      <c r="D1204">
        <v>0</v>
      </c>
      <c r="E1204" t="s">
        <v>20</v>
      </c>
      <c r="F1204" t="s">
        <v>20</v>
      </c>
      <c r="G1204" t="str">
        <f>"2025-12-07 11:04:12.074"</f>
        <v>2025-12-07 11:04:12.074</v>
      </c>
      <c r="H1204" t="s">
        <v>21</v>
      </c>
      <c r="I1204">
        <v>0</v>
      </c>
      <c r="J1204" t="s">
        <v>27</v>
      </c>
    </row>
    <row r="1205" spans="1:10" x14ac:dyDescent="0.25">
      <c r="A1205" s="1">
        <v>520</v>
      </c>
      <c r="B1205" t="s">
        <v>19</v>
      </c>
      <c r="C1205">
        <v>706</v>
      </c>
      <c r="D1205">
        <v>4</v>
      </c>
      <c r="E1205" t="s">
        <v>29</v>
      </c>
      <c r="F1205" t="s">
        <v>30</v>
      </c>
      <c r="G1205" t="str">
        <f>"2025-12-07 10:36:57.057"</f>
        <v>2025-12-07 10:36:57.057</v>
      </c>
      <c r="H1205" t="s">
        <v>21</v>
      </c>
      <c r="I1205">
        <v>0</v>
      </c>
      <c r="J1205" t="s">
        <v>31</v>
      </c>
    </row>
    <row r="1206" spans="1:10" x14ac:dyDescent="0.25">
      <c r="A1206" s="1">
        <v>521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"2025-12-07 10:31:36.077"</f>
        <v>2025-12-07 10:31:36.077</v>
      </c>
      <c r="H1206" t="s">
        <v>21</v>
      </c>
      <c r="I1206">
        <v>0</v>
      </c>
      <c r="J1206" t="s">
        <v>27</v>
      </c>
    </row>
    <row r="1207" spans="1:10" x14ac:dyDescent="0.25">
      <c r="A1207" s="1">
        <v>522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"2025-12-07 10:17:20.069"</f>
        <v>2025-12-07 10:17:20.069</v>
      </c>
      <c r="H1207" t="s">
        <v>21</v>
      </c>
      <c r="I1207">
        <v>0</v>
      </c>
      <c r="J1207" t="s">
        <v>27</v>
      </c>
    </row>
    <row r="1208" spans="1:10" x14ac:dyDescent="0.25">
      <c r="A1208" s="1">
        <v>523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"2025-12-07 09:58:06.076"</f>
        <v>2025-12-07 09:58:06.076</v>
      </c>
      <c r="H1208" t="s">
        <v>21</v>
      </c>
      <c r="I1208">
        <v>0</v>
      </c>
      <c r="J1208" t="s">
        <v>27</v>
      </c>
    </row>
    <row r="1209" spans="1:10" x14ac:dyDescent="0.25">
      <c r="A1209" s="1">
        <v>524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"2025-12-07 09:47:58.066"</f>
        <v>2025-12-07 09:47:58.066</v>
      </c>
      <c r="H1209" t="s">
        <v>21</v>
      </c>
    </row>
    <row r="1210" spans="1:10" x14ac:dyDescent="0.25">
      <c r="A1210" s="1">
        <v>525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"2025-12-07 09:42:27.067"</f>
        <v>2025-12-07 09:42:27.067</v>
      </c>
      <c r="H1210" t="s">
        <v>21</v>
      </c>
    </row>
    <row r="1211" spans="1:10" x14ac:dyDescent="0.25">
      <c r="A1211" s="1">
        <v>526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"2025-12-07 09:13:45.071"</f>
        <v>2025-12-07 09:13:45.071</v>
      </c>
      <c r="H1211" t="s">
        <v>21</v>
      </c>
      <c r="I1211">
        <v>0</v>
      </c>
      <c r="J1211" t="s">
        <v>27</v>
      </c>
    </row>
    <row r="1212" spans="1:10" x14ac:dyDescent="0.25">
      <c r="A1212" s="1">
        <v>527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"2025-12-07 09:04:09.079"</f>
        <v>2025-12-07 09:04:09.079</v>
      </c>
      <c r="H1212" t="s">
        <v>21</v>
      </c>
      <c r="I1212">
        <v>0</v>
      </c>
      <c r="J1212" t="s">
        <v>27</v>
      </c>
    </row>
    <row r="1213" spans="1:10" x14ac:dyDescent="0.25">
      <c r="A1213" s="1">
        <v>528</v>
      </c>
      <c r="B1213" t="s">
        <v>19</v>
      </c>
      <c r="C1213">
        <v>706</v>
      </c>
      <c r="D1213">
        <v>4</v>
      </c>
      <c r="E1213" t="s">
        <v>29</v>
      </c>
      <c r="F1213" t="s">
        <v>30</v>
      </c>
      <c r="G1213" t="str">
        <f>"2025-12-07 08:53:29.729"</f>
        <v>2025-12-07 08:53:29.729</v>
      </c>
      <c r="H1213" t="s">
        <v>21</v>
      </c>
      <c r="I1213">
        <v>0</v>
      </c>
      <c r="J1213" t="s">
        <v>31</v>
      </c>
    </row>
    <row r="1214" spans="1:10" x14ac:dyDescent="0.25">
      <c r="A1214" s="1">
        <v>529</v>
      </c>
      <c r="B1214" t="s">
        <v>22</v>
      </c>
      <c r="C1214">
        <v>98</v>
      </c>
      <c r="D1214">
        <v>1</v>
      </c>
      <c r="E1214" t="s">
        <v>82</v>
      </c>
      <c r="F1214" t="s">
        <v>83</v>
      </c>
      <c r="G1214" t="str">
        <f>"2025-12-07 08:51:21.769"</f>
        <v>2025-12-07 08:51:21.769</v>
      </c>
      <c r="H1214" t="s">
        <v>21</v>
      </c>
    </row>
    <row r="1215" spans="1:10" x14ac:dyDescent="0.25">
      <c r="A1215" s="1">
        <v>530</v>
      </c>
      <c r="B1215" t="s">
        <v>25</v>
      </c>
      <c r="C1215">
        <v>98</v>
      </c>
      <c r="D1215">
        <v>1</v>
      </c>
      <c r="E1215" t="s">
        <v>82</v>
      </c>
      <c r="F1215" t="s">
        <v>83</v>
      </c>
      <c r="G1215" t="str">
        <f>"2025-12-07 08:51:20.569"</f>
        <v>2025-12-07 08:51:20.569</v>
      </c>
      <c r="H1215" t="s">
        <v>21</v>
      </c>
      <c r="I1215">
        <v>0</v>
      </c>
      <c r="J1215" t="s">
        <v>31</v>
      </c>
    </row>
    <row r="1216" spans="1:10" x14ac:dyDescent="0.25">
      <c r="A1216" s="1">
        <v>531</v>
      </c>
      <c r="B1216" t="s">
        <v>22</v>
      </c>
      <c r="C1216">
        <v>98</v>
      </c>
      <c r="D1216">
        <v>1</v>
      </c>
      <c r="E1216" t="s">
        <v>82</v>
      </c>
      <c r="F1216" t="s">
        <v>83</v>
      </c>
      <c r="G1216" t="str">
        <f>"2025-12-07 08:51:20.169"</f>
        <v>2025-12-07 08:51:20.169</v>
      </c>
      <c r="H1216" t="s">
        <v>21</v>
      </c>
    </row>
    <row r="1217" spans="1:10" x14ac:dyDescent="0.25">
      <c r="A1217" s="1">
        <v>532</v>
      </c>
      <c r="B1217" t="s">
        <v>25</v>
      </c>
      <c r="C1217">
        <v>98</v>
      </c>
      <c r="D1217">
        <v>1</v>
      </c>
      <c r="E1217" t="s">
        <v>82</v>
      </c>
      <c r="F1217" t="s">
        <v>83</v>
      </c>
      <c r="G1217" t="str">
        <f>"2025-12-07 08:51:19.170"</f>
        <v>2025-12-07 08:51:19.170</v>
      </c>
      <c r="H1217" t="s">
        <v>21</v>
      </c>
      <c r="I1217">
        <v>0</v>
      </c>
      <c r="J1217" t="s">
        <v>31</v>
      </c>
    </row>
    <row r="1218" spans="1:10" x14ac:dyDescent="0.25">
      <c r="A1218" s="1">
        <v>533</v>
      </c>
      <c r="B1218" t="s">
        <v>22</v>
      </c>
      <c r="C1218">
        <v>98</v>
      </c>
      <c r="D1218">
        <v>1</v>
      </c>
      <c r="E1218" t="s">
        <v>82</v>
      </c>
      <c r="F1218" t="s">
        <v>83</v>
      </c>
      <c r="G1218" t="str">
        <f>"2025-12-07 08:51:18.769"</f>
        <v>2025-12-07 08:51:18.769</v>
      </c>
      <c r="H1218" t="s">
        <v>21</v>
      </c>
    </row>
    <row r="1219" spans="1:10" x14ac:dyDescent="0.25">
      <c r="A1219" s="1">
        <v>534</v>
      </c>
      <c r="B1219" t="s">
        <v>25</v>
      </c>
      <c r="C1219">
        <v>98</v>
      </c>
      <c r="D1219">
        <v>1</v>
      </c>
      <c r="E1219" t="s">
        <v>82</v>
      </c>
      <c r="F1219" t="s">
        <v>83</v>
      </c>
      <c r="G1219" t="str">
        <f>"2025-12-07 08:51:17.770"</f>
        <v>2025-12-07 08:51:17.770</v>
      </c>
      <c r="H1219" t="s">
        <v>21</v>
      </c>
      <c r="I1219">
        <v>0</v>
      </c>
      <c r="J1219" t="s">
        <v>31</v>
      </c>
    </row>
    <row r="1220" spans="1:10" x14ac:dyDescent="0.25">
      <c r="A1220" s="1">
        <v>535</v>
      </c>
      <c r="B1220" t="s">
        <v>22</v>
      </c>
      <c r="C1220">
        <v>98</v>
      </c>
      <c r="D1220">
        <v>1</v>
      </c>
      <c r="E1220" t="s">
        <v>82</v>
      </c>
      <c r="F1220" t="s">
        <v>83</v>
      </c>
      <c r="G1220" t="str">
        <f>"2025-12-07 08:51:16.969"</f>
        <v>2025-12-07 08:51:16.969</v>
      </c>
      <c r="H1220" t="s">
        <v>21</v>
      </c>
    </row>
    <row r="1221" spans="1:10" x14ac:dyDescent="0.25">
      <c r="A1221" s="1">
        <v>536</v>
      </c>
      <c r="B1221" t="s">
        <v>25</v>
      </c>
      <c r="C1221">
        <v>98</v>
      </c>
      <c r="D1221">
        <v>1</v>
      </c>
      <c r="E1221" t="s">
        <v>82</v>
      </c>
      <c r="F1221" t="s">
        <v>83</v>
      </c>
      <c r="G1221" t="str">
        <f>"2025-12-07 08:51:15.970"</f>
        <v>2025-12-07 08:51:15.970</v>
      </c>
      <c r="H1221" t="s">
        <v>21</v>
      </c>
      <c r="I1221">
        <v>0</v>
      </c>
      <c r="J1221" t="s">
        <v>31</v>
      </c>
    </row>
    <row r="1222" spans="1:10" x14ac:dyDescent="0.25">
      <c r="A1222" s="1">
        <v>537</v>
      </c>
      <c r="B1222" t="s">
        <v>22</v>
      </c>
      <c r="C1222">
        <v>98</v>
      </c>
      <c r="D1222">
        <v>1</v>
      </c>
      <c r="E1222" t="s">
        <v>82</v>
      </c>
      <c r="F1222" t="s">
        <v>83</v>
      </c>
      <c r="G1222" t="str">
        <f>"2025-12-07 08:51:14.569"</f>
        <v>2025-12-07 08:51:14.569</v>
      </c>
      <c r="H1222" t="s">
        <v>21</v>
      </c>
    </row>
    <row r="1223" spans="1:10" x14ac:dyDescent="0.25">
      <c r="A1223" s="1">
        <v>538</v>
      </c>
      <c r="B1223" t="s">
        <v>25</v>
      </c>
      <c r="C1223">
        <v>98</v>
      </c>
      <c r="D1223">
        <v>1</v>
      </c>
      <c r="E1223" t="s">
        <v>82</v>
      </c>
      <c r="F1223" t="s">
        <v>83</v>
      </c>
      <c r="G1223" t="str">
        <f>"2025-12-07 08:51:13.370"</f>
        <v>2025-12-07 08:51:13.370</v>
      </c>
      <c r="H1223" t="s">
        <v>21</v>
      </c>
      <c r="I1223">
        <v>0</v>
      </c>
      <c r="J1223" t="s">
        <v>31</v>
      </c>
    </row>
    <row r="1224" spans="1:10" x14ac:dyDescent="0.25">
      <c r="A1224" s="1">
        <v>539</v>
      </c>
      <c r="B1224" t="s">
        <v>22</v>
      </c>
      <c r="C1224">
        <v>98</v>
      </c>
      <c r="D1224">
        <v>1</v>
      </c>
      <c r="E1224" t="s">
        <v>82</v>
      </c>
      <c r="F1224" t="s">
        <v>83</v>
      </c>
      <c r="G1224" t="str">
        <f>"2025-12-07 08:51:12.769"</f>
        <v>2025-12-07 08:51:12.769</v>
      </c>
      <c r="H1224" t="s">
        <v>21</v>
      </c>
    </row>
    <row r="1225" spans="1:10" x14ac:dyDescent="0.25">
      <c r="A1225" s="1">
        <v>540</v>
      </c>
      <c r="B1225" t="s">
        <v>25</v>
      </c>
      <c r="C1225">
        <v>98</v>
      </c>
      <c r="D1225">
        <v>1</v>
      </c>
      <c r="E1225" t="s">
        <v>82</v>
      </c>
      <c r="F1225" t="s">
        <v>83</v>
      </c>
      <c r="G1225" t="str">
        <f>"2025-12-07 08:51:11.769"</f>
        <v>2025-12-07 08:51:11.769</v>
      </c>
      <c r="H1225" t="s">
        <v>21</v>
      </c>
      <c r="I1225">
        <v>0</v>
      </c>
      <c r="J1225" t="s">
        <v>31</v>
      </c>
    </row>
    <row r="1226" spans="1:10" x14ac:dyDescent="0.25">
      <c r="A1226" s="1">
        <v>541</v>
      </c>
      <c r="B1226" t="s">
        <v>22</v>
      </c>
      <c r="C1226">
        <v>98</v>
      </c>
      <c r="D1226">
        <v>1</v>
      </c>
      <c r="E1226" t="s">
        <v>82</v>
      </c>
      <c r="F1226" t="s">
        <v>83</v>
      </c>
      <c r="G1226" t="str">
        <f>"2025-12-07 08:51:11.370"</f>
        <v>2025-12-07 08:51:11.370</v>
      </c>
      <c r="H1226" t="s">
        <v>21</v>
      </c>
    </row>
    <row r="1227" spans="1:10" x14ac:dyDescent="0.25">
      <c r="A1227" s="1">
        <v>542</v>
      </c>
      <c r="B1227" t="s">
        <v>25</v>
      </c>
      <c r="C1227">
        <v>98</v>
      </c>
      <c r="D1227">
        <v>1</v>
      </c>
      <c r="E1227" t="s">
        <v>82</v>
      </c>
      <c r="F1227" t="s">
        <v>83</v>
      </c>
      <c r="G1227" t="str">
        <f>"2025-12-07 08:51:10.370"</f>
        <v>2025-12-07 08:51:10.370</v>
      </c>
      <c r="H1227" t="s">
        <v>21</v>
      </c>
      <c r="I1227">
        <v>0</v>
      </c>
      <c r="J1227" t="s">
        <v>31</v>
      </c>
    </row>
    <row r="1228" spans="1:10" x14ac:dyDescent="0.25">
      <c r="A1228" s="1">
        <v>543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"2025-12-07 08:41:08.059"</f>
        <v>2025-12-07 08:41:08.059</v>
      </c>
      <c r="H1228" t="s">
        <v>21</v>
      </c>
    </row>
    <row r="1229" spans="1:10" x14ac:dyDescent="0.25">
      <c r="A1229" s="1">
        <v>544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"2025-12-06 15:04:17.050"</f>
        <v>2025-12-06 15:04:17.050</v>
      </c>
      <c r="H1229" t="s">
        <v>21</v>
      </c>
    </row>
    <row r="1230" spans="1:10" x14ac:dyDescent="0.25">
      <c r="A1230" s="1">
        <v>545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"2025-12-06 14:22:13.062"</f>
        <v>2025-12-06 14:22:13.062</v>
      </c>
      <c r="H1230" t="s">
        <v>21</v>
      </c>
    </row>
    <row r="1231" spans="1:10" x14ac:dyDescent="0.25">
      <c r="A1231" s="1">
        <v>546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"2025-12-06 11:40:23.075"</f>
        <v>2025-12-06 11:40:23.075</v>
      </c>
      <c r="H1231" t="s">
        <v>21</v>
      </c>
      <c r="I1231">
        <v>0</v>
      </c>
      <c r="J1231" t="s">
        <v>27</v>
      </c>
    </row>
    <row r="1232" spans="1:10" x14ac:dyDescent="0.25">
      <c r="A1232" s="1">
        <v>547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"2025-12-06 09:10:55.053"</f>
        <v>2025-12-06 09:10:55.053</v>
      </c>
      <c r="H1232" t="s">
        <v>21</v>
      </c>
    </row>
    <row r="1233" spans="1:10" x14ac:dyDescent="0.25">
      <c r="A1233" s="1">
        <v>548</v>
      </c>
      <c r="B1233" t="s">
        <v>19</v>
      </c>
      <c r="C1233">
        <v>706</v>
      </c>
      <c r="D1233">
        <v>3</v>
      </c>
      <c r="E1233" t="s">
        <v>29</v>
      </c>
      <c r="F1233" t="s">
        <v>54</v>
      </c>
      <c r="G1233" t="str">
        <f>"2025-12-05 15:24:16.241"</f>
        <v>2025-12-05 15:24:16.241</v>
      </c>
      <c r="H1233" t="s">
        <v>21</v>
      </c>
      <c r="I1233">
        <v>0</v>
      </c>
      <c r="J1233" t="s">
        <v>31</v>
      </c>
    </row>
    <row r="1234" spans="1:10" x14ac:dyDescent="0.25">
      <c r="A1234" s="1">
        <v>549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"2025-12-05 15:21:21.051"</f>
        <v>2025-12-05 15:21:21.051</v>
      </c>
      <c r="H1234" t="s">
        <v>21</v>
      </c>
      <c r="I1234">
        <v>0</v>
      </c>
      <c r="J1234" t="s">
        <v>27</v>
      </c>
    </row>
    <row r="1235" spans="1:10" x14ac:dyDescent="0.25">
      <c r="A1235" s="1">
        <v>550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"2025-12-05 12:13:16.038"</f>
        <v>2025-12-05 12:13:16.038</v>
      </c>
      <c r="H1235" t="s">
        <v>21</v>
      </c>
    </row>
    <row r="1236" spans="1:10" x14ac:dyDescent="0.25">
      <c r="A1236" s="1">
        <v>551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"2025-12-05 12:00:02.039"</f>
        <v>2025-12-05 12:00:02.039</v>
      </c>
      <c r="H1236" t="s">
        <v>21</v>
      </c>
    </row>
    <row r="1237" spans="1:10" x14ac:dyDescent="0.25">
      <c r="A1237" s="1">
        <v>552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"2025-12-05 11:29:08.041"</f>
        <v>2025-12-05 11:29:08.041</v>
      </c>
      <c r="H1237" t="s">
        <v>21</v>
      </c>
      <c r="I1237">
        <v>0</v>
      </c>
      <c r="J1237" t="s">
        <v>27</v>
      </c>
    </row>
    <row r="1238" spans="1:10" x14ac:dyDescent="0.25">
      <c r="A1238" s="1">
        <v>553</v>
      </c>
      <c r="B1238" t="s">
        <v>19</v>
      </c>
      <c r="C1238">
        <v>700</v>
      </c>
      <c r="D1238">
        <v>0</v>
      </c>
      <c r="E1238" t="s">
        <v>20</v>
      </c>
      <c r="F1238" t="s">
        <v>20</v>
      </c>
      <c r="G1238" t="str">
        <f>"2025-12-04 16:39:46.041"</f>
        <v>2025-12-04 16:39:46.041</v>
      </c>
      <c r="H1238" t="s">
        <v>21</v>
      </c>
    </row>
    <row r="1239" spans="1:10" x14ac:dyDescent="0.25">
      <c r="A1239" s="1">
        <v>554</v>
      </c>
      <c r="B1239" t="s">
        <v>19</v>
      </c>
      <c r="C1239">
        <v>700</v>
      </c>
      <c r="D1239">
        <v>0</v>
      </c>
      <c r="E1239" t="s">
        <v>20</v>
      </c>
      <c r="F1239" t="s">
        <v>20</v>
      </c>
      <c r="G1239" t="str">
        <f>"2025-12-04 16:18:26.044"</f>
        <v>2025-12-04 16:18:26.044</v>
      </c>
      <c r="H1239" t="s">
        <v>21</v>
      </c>
      <c r="I1239">
        <v>0</v>
      </c>
      <c r="J1239" t="s">
        <v>27</v>
      </c>
    </row>
    <row r="1240" spans="1:10" x14ac:dyDescent="0.25">
      <c r="A1240" s="1">
        <v>555</v>
      </c>
      <c r="B1240" t="s">
        <v>19</v>
      </c>
      <c r="C1240">
        <v>700</v>
      </c>
      <c r="D1240">
        <v>0</v>
      </c>
      <c r="E1240" t="s">
        <v>20</v>
      </c>
      <c r="F1240" t="s">
        <v>20</v>
      </c>
      <c r="G1240" t="str">
        <f>"2025-12-04 15:46:03.044"</f>
        <v>2025-12-04 15:46:03.044</v>
      </c>
      <c r="H1240" t="s">
        <v>21</v>
      </c>
      <c r="I1240">
        <v>0</v>
      </c>
      <c r="J1240" t="s">
        <v>27</v>
      </c>
    </row>
    <row r="1241" spans="1:10" x14ac:dyDescent="0.25">
      <c r="A1241" s="1">
        <v>556</v>
      </c>
      <c r="B1241" t="s">
        <v>19</v>
      </c>
      <c r="C1241">
        <v>700</v>
      </c>
      <c r="D1241">
        <v>0</v>
      </c>
      <c r="E1241" t="s">
        <v>20</v>
      </c>
      <c r="F1241" t="s">
        <v>20</v>
      </c>
      <c r="G1241" t="str">
        <f>"2025-12-04 15:31:53.031"</f>
        <v>2025-12-04 15:31:53.031</v>
      </c>
      <c r="H1241" t="s">
        <v>21</v>
      </c>
    </row>
    <row r="1242" spans="1:10" x14ac:dyDescent="0.25">
      <c r="A1242" s="1">
        <v>557</v>
      </c>
      <c r="B1242" t="s">
        <v>22</v>
      </c>
      <c r="C1242">
        <v>619</v>
      </c>
      <c r="D1242">
        <v>1</v>
      </c>
      <c r="E1242" t="s">
        <v>65</v>
      </c>
      <c r="F1242" t="s">
        <v>24</v>
      </c>
      <c r="G1242" t="str">
        <f>"2025-12-04 15:18:42.811"</f>
        <v>2025-12-04 15:18:42.811</v>
      </c>
      <c r="H1242" t="s">
        <v>66</v>
      </c>
    </row>
    <row r="1243" spans="1:10" x14ac:dyDescent="0.25">
      <c r="A1243" s="1">
        <v>558</v>
      </c>
      <c r="B1243" t="s">
        <v>25</v>
      </c>
      <c r="C1243">
        <v>619</v>
      </c>
      <c r="D1243">
        <v>1</v>
      </c>
      <c r="E1243" t="s">
        <v>65</v>
      </c>
      <c r="F1243" t="s">
        <v>24</v>
      </c>
      <c r="G1243" t="str">
        <f>"2025-12-04 15:18:22.611"</f>
        <v>2025-12-04 15:18:22.611</v>
      </c>
      <c r="H1243" t="s">
        <v>66</v>
      </c>
      <c r="I1243">
        <v>0</v>
      </c>
      <c r="J1243" t="s">
        <v>31</v>
      </c>
    </row>
    <row r="1244" spans="1:10" x14ac:dyDescent="0.25">
      <c r="A1244" s="1">
        <v>559</v>
      </c>
      <c r="B1244" t="s">
        <v>19</v>
      </c>
      <c r="C1244">
        <v>700</v>
      </c>
      <c r="D1244">
        <v>0</v>
      </c>
      <c r="E1244" t="s">
        <v>20</v>
      </c>
      <c r="F1244" t="s">
        <v>20</v>
      </c>
      <c r="G1244" t="str">
        <f>"2025-12-04 15:18:15.041"</f>
        <v>2025-12-04 15:18:15.041</v>
      </c>
      <c r="H1244" t="s">
        <v>21</v>
      </c>
      <c r="I1244">
        <v>0</v>
      </c>
      <c r="J1244" t="s">
        <v>27</v>
      </c>
    </row>
    <row r="1245" spans="1:10" x14ac:dyDescent="0.25">
      <c r="A1245" s="1">
        <v>560</v>
      </c>
      <c r="B1245" t="s">
        <v>22</v>
      </c>
      <c r="C1245">
        <v>619</v>
      </c>
      <c r="D1245">
        <v>1</v>
      </c>
      <c r="E1245" t="s">
        <v>65</v>
      </c>
      <c r="F1245" t="s">
        <v>24</v>
      </c>
      <c r="G1245" t="str">
        <f>"2025-12-04 15:09:49.554"</f>
        <v>2025-12-04 15:09:49.554</v>
      </c>
      <c r="H1245" t="s">
        <v>66</v>
      </c>
    </row>
    <row r="1246" spans="1:10" x14ac:dyDescent="0.25">
      <c r="A1246" s="1">
        <v>563</v>
      </c>
      <c r="B1246" t="s">
        <v>25</v>
      </c>
      <c r="C1246">
        <v>619</v>
      </c>
      <c r="D1246">
        <v>1</v>
      </c>
      <c r="E1246" t="s">
        <v>65</v>
      </c>
      <c r="F1246" t="s">
        <v>24</v>
      </c>
      <c r="G1246" t="str">
        <f>"2025-12-04 15:08:37.127"</f>
        <v>2025-12-04 15:08:37.127</v>
      </c>
      <c r="H1246" t="s">
        <v>66</v>
      </c>
      <c r="I1246">
        <v>0</v>
      </c>
      <c r="J1246" t="s">
        <v>31</v>
      </c>
    </row>
    <row r="1247" spans="1:10" x14ac:dyDescent="0.25">
      <c r="A1247" s="1">
        <v>564</v>
      </c>
      <c r="B1247" t="s">
        <v>19</v>
      </c>
      <c r="C1247">
        <v>782</v>
      </c>
      <c r="D1247">
        <v>7</v>
      </c>
      <c r="E1247" t="s">
        <v>50</v>
      </c>
      <c r="F1247" t="s">
        <v>51</v>
      </c>
      <c r="G1247" t="str">
        <f>"2025-12-04 15:08:37.125"</f>
        <v>2025-12-04 15:08:37.125</v>
      </c>
      <c r="H1247" t="s">
        <v>21</v>
      </c>
      <c r="I1247">
        <v>0</v>
      </c>
      <c r="J1247" t="s">
        <v>31</v>
      </c>
    </row>
    <row r="1248" spans="1:10" x14ac:dyDescent="0.25">
      <c r="A1248" s="1">
        <v>567</v>
      </c>
      <c r="B1248" t="s">
        <v>22</v>
      </c>
      <c r="C1248">
        <v>619</v>
      </c>
      <c r="D1248">
        <v>1</v>
      </c>
      <c r="E1248" t="s">
        <v>65</v>
      </c>
      <c r="F1248" t="s">
        <v>24</v>
      </c>
      <c r="G1248" t="str">
        <f>"2025-12-04 15:08:37.117"</f>
        <v>2025-12-04 15:08:37.117</v>
      </c>
      <c r="H1248" t="s">
        <v>66</v>
      </c>
    </row>
    <row r="1249" spans="1:10" x14ac:dyDescent="0.25">
      <c r="A1249" s="1">
        <v>568</v>
      </c>
      <c r="B1249" t="s">
        <v>22</v>
      </c>
      <c r="C1249">
        <v>48</v>
      </c>
      <c r="D1249">
        <v>1</v>
      </c>
      <c r="E1249" t="s">
        <v>91</v>
      </c>
      <c r="F1249" t="s">
        <v>92</v>
      </c>
      <c r="G1249" t="str">
        <f>"2025-12-04 15:08:37.111"</f>
        <v>2025-12-04 15:08:37.111</v>
      </c>
      <c r="H1249" t="s">
        <v>58</v>
      </c>
    </row>
    <row r="1250" spans="1:10" x14ac:dyDescent="0.25">
      <c r="A1250" s="1">
        <v>569</v>
      </c>
      <c r="B1250" t="s">
        <v>19</v>
      </c>
      <c r="C1250">
        <v>782</v>
      </c>
      <c r="D1250">
        <v>7</v>
      </c>
      <c r="E1250" t="s">
        <v>50</v>
      </c>
      <c r="F1250" t="s">
        <v>51</v>
      </c>
      <c r="G1250" t="str">
        <f>"2025-12-04 15:08:37.106"</f>
        <v>2025-12-04 15:08:37.106</v>
      </c>
      <c r="H1250" t="s">
        <v>21</v>
      </c>
      <c r="I1250">
        <v>0</v>
      </c>
      <c r="J1250" t="s">
        <v>31</v>
      </c>
    </row>
    <row r="1251" spans="1:10" x14ac:dyDescent="0.25">
      <c r="A1251" s="1">
        <v>570</v>
      </c>
      <c r="B1251" t="s">
        <v>25</v>
      </c>
      <c r="C1251">
        <v>619</v>
      </c>
      <c r="D1251">
        <v>1</v>
      </c>
      <c r="E1251" t="s">
        <v>65</v>
      </c>
      <c r="F1251" t="s">
        <v>24</v>
      </c>
      <c r="G1251" t="str">
        <f>"2025-12-04 15:08:00.606"</f>
        <v>2025-12-04 15:08:00.606</v>
      </c>
      <c r="H1251" t="s">
        <v>66</v>
      </c>
      <c r="I1251">
        <v>0</v>
      </c>
      <c r="J1251" t="s">
        <v>31</v>
      </c>
    </row>
    <row r="1252" spans="1:10" x14ac:dyDescent="0.25">
      <c r="A1252" s="1">
        <v>571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"2025-12-04 15:07:54.027"</f>
        <v>2025-12-04 15:07:54.027</v>
      </c>
      <c r="H1252" t="s">
        <v>21</v>
      </c>
    </row>
    <row r="1253" spans="1:10" x14ac:dyDescent="0.25">
      <c r="A1253" s="1">
        <v>572</v>
      </c>
      <c r="B1253" t="s">
        <v>22</v>
      </c>
      <c r="C1253">
        <v>619</v>
      </c>
      <c r="D1253">
        <v>1</v>
      </c>
      <c r="E1253" t="s">
        <v>65</v>
      </c>
      <c r="F1253" t="s">
        <v>24</v>
      </c>
      <c r="G1253" t="str">
        <f>"2025-12-04 15:04:44.485"</f>
        <v>2025-12-04 15:04:44.485</v>
      </c>
      <c r="H1253" t="s">
        <v>66</v>
      </c>
    </row>
    <row r="1254" spans="1:10" x14ac:dyDescent="0.25">
      <c r="A1254" s="1">
        <v>573</v>
      </c>
      <c r="B1254" t="s">
        <v>25</v>
      </c>
      <c r="C1254">
        <v>48</v>
      </c>
      <c r="D1254">
        <v>1</v>
      </c>
      <c r="E1254" t="s">
        <v>91</v>
      </c>
      <c r="F1254" t="s">
        <v>92</v>
      </c>
      <c r="G1254" t="str">
        <f>"2025-12-04 15:04:06.762"</f>
        <v>2025-12-04 15:04:06.762</v>
      </c>
      <c r="H1254" t="s">
        <v>58</v>
      </c>
      <c r="I1254">
        <v>0</v>
      </c>
      <c r="J1254" t="s">
        <v>31</v>
      </c>
    </row>
    <row r="1255" spans="1:10" x14ac:dyDescent="0.25">
      <c r="A1255" s="1">
        <v>574</v>
      </c>
      <c r="B1255" t="s">
        <v>48</v>
      </c>
      <c r="C1255">
        <v>48</v>
      </c>
      <c r="D1255">
        <v>1</v>
      </c>
      <c r="E1255" t="s">
        <v>91</v>
      </c>
      <c r="F1255" t="s">
        <v>92</v>
      </c>
      <c r="G1255" t="str">
        <f>"2025-12-04 15:03:59.052"</f>
        <v>2025-12-04 15:03:59.052</v>
      </c>
      <c r="H1255" t="s">
        <v>58</v>
      </c>
    </row>
    <row r="1256" spans="1:10" x14ac:dyDescent="0.25">
      <c r="A1256" s="1">
        <v>575</v>
      </c>
      <c r="B1256" t="s">
        <v>49</v>
      </c>
      <c r="C1256">
        <v>48</v>
      </c>
      <c r="D1256">
        <v>1</v>
      </c>
      <c r="E1256" t="s">
        <v>91</v>
      </c>
      <c r="F1256" t="s">
        <v>92</v>
      </c>
      <c r="G1256" t="str">
        <f>"2025-12-04 15:03:53.963"</f>
        <v>2025-12-04 15:03:53.963</v>
      </c>
      <c r="H1256" t="s">
        <v>58</v>
      </c>
      <c r="I1256">
        <v>0</v>
      </c>
      <c r="J1256" t="s">
        <v>31</v>
      </c>
    </row>
    <row r="1257" spans="1:10" x14ac:dyDescent="0.25">
      <c r="A1257" s="1">
        <v>576</v>
      </c>
      <c r="B1257" t="s">
        <v>48</v>
      </c>
      <c r="C1257">
        <v>48</v>
      </c>
      <c r="D1257">
        <v>1</v>
      </c>
      <c r="E1257" t="s">
        <v>91</v>
      </c>
      <c r="F1257" t="s">
        <v>92</v>
      </c>
      <c r="G1257" t="str">
        <f>"2025-12-04 15:03:46.253"</f>
        <v>2025-12-04 15:03:46.253</v>
      </c>
      <c r="H1257" t="s">
        <v>58</v>
      </c>
    </row>
    <row r="1258" spans="1:10" x14ac:dyDescent="0.25">
      <c r="A1258" s="1">
        <v>577</v>
      </c>
      <c r="B1258" t="s">
        <v>49</v>
      </c>
      <c r="C1258">
        <v>48</v>
      </c>
      <c r="D1258">
        <v>1</v>
      </c>
      <c r="E1258" t="s">
        <v>91</v>
      </c>
      <c r="F1258" t="s">
        <v>92</v>
      </c>
      <c r="G1258" t="str">
        <f>"2025-12-04 15:03:41.243"</f>
        <v>2025-12-04 15:03:41.243</v>
      </c>
      <c r="H1258" t="s">
        <v>58</v>
      </c>
      <c r="I1258">
        <v>0</v>
      </c>
      <c r="J1258" t="s">
        <v>31</v>
      </c>
    </row>
    <row r="1259" spans="1:10" x14ac:dyDescent="0.25">
      <c r="A1259" s="1">
        <v>578</v>
      </c>
      <c r="B1259" t="s">
        <v>25</v>
      </c>
      <c r="C1259">
        <v>619</v>
      </c>
      <c r="D1259">
        <v>1</v>
      </c>
      <c r="E1259" t="s">
        <v>65</v>
      </c>
      <c r="F1259" t="s">
        <v>24</v>
      </c>
      <c r="G1259" t="str">
        <f>"2025-12-04 15:03:36.033"</f>
        <v>2025-12-04 15:03:36.033</v>
      </c>
      <c r="H1259" t="s">
        <v>66</v>
      </c>
      <c r="I1259">
        <v>0</v>
      </c>
      <c r="J1259" t="s">
        <v>31</v>
      </c>
    </row>
    <row r="1260" spans="1:10" x14ac:dyDescent="0.25">
      <c r="A1260" s="1">
        <v>579</v>
      </c>
      <c r="B1260" t="s">
        <v>19</v>
      </c>
      <c r="C1260">
        <v>706</v>
      </c>
      <c r="D1260">
        <v>2</v>
      </c>
      <c r="E1260" t="s">
        <v>29</v>
      </c>
      <c r="F1260" t="s">
        <v>59</v>
      </c>
      <c r="G1260" t="str">
        <f>"2025-12-04 15:03:29.655"</f>
        <v>2025-12-04 15:03:29.655</v>
      </c>
      <c r="H1260" t="s">
        <v>21</v>
      </c>
      <c r="I1260">
        <v>0</v>
      </c>
      <c r="J1260" t="s">
        <v>31</v>
      </c>
    </row>
    <row r="1261" spans="1:10" x14ac:dyDescent="0.25">
      <c r="A1261" s="1">
        <v>580</v>
      </c>
      <c r="B1261" t="s">
        <v>19</v>
      </c>
      <c r="C1261">
        <v>706</v>
      </c>
      <c r="D1261">
        <v>4</v>
      </c>
      <c r="E1261" t="s">
        <v>29</v>
      </c>
      <c r="F1261" t="s">
        <v>30</v>
      </c>
      <c r="G1261" t="str">
        <f>"2025-12-04 15:02:54.385"</f>
        <v>2025-12-04 15:02:54.385</v>
      </c>
      <c r="H1261" t="s">
        <v>21</v>
      </c>
      <c r="I1261">
        <v>0</v>
      </c>
      <c r="J1261" t="s">
        <v>31</v>
      </c>
    </row>
    <row r="1262" spans="1:10" x14ac:dyDescent="0.25">
      <c r="A1262" s="1">
        <v>581</v>
      </c>
      <c r="B1262" t="s">
        <v>19</v>
      </c>
      <c r="C1262">
        <v>706</v>
      </c>
      <c r="D1262">
        <v>3</v>
      </c>
      <c r="E1262" t="s">
        <v>29</v>
      </c>
      <c r="F1262" t="s">
        <v>54</v>
      </c>
      <c r="G1262" t="str">
        <f>"2025-12-04 15:01:19.855"</f>
        <v>2025-12-04 15:01:19.855</v>
      </c>
      <c r="H1262" t="s">
        <v>21</v>
      </c>
      <c r="I1262">
        <v>0</v>
      </c>
      <c r="J1262" t="s">
        <v>31</v>
      </c>
    </row>
    <row r="1263" spans="1:10" x14ac:dyDescent="0.25">
      <c r="A1263" s="1">
        <v>582</v>
      </c>
      <c r="B1263" t="s">
        <v>19</v>
      </c>
      <c r="C1263">
        <v>706</v>
      </c>
      <c r="D1263">
        <v>3</v>
      </c>
      <c r="E1263" t="s">
        <v>29</v>
      </c>
      <c r="F1263" t="s">
        <v>54</v>
      </c>
      <c r="G1263" t="str">
        <f>"2025-12-04 15:00:17.655"</f>
        <v>2025-12-04 15:00:17.655</v>
      </c>
      <c r="H1263" t="s">
        <v>21</v>
      </c>
      <c r="I1263">
        <v>0</v>
      </c>
      <c r="J1263" t="s">
        <v>31</v>
      </c>
    </row>
    <row r="1264" spans="1:10" x14ac:dyDescent="0.25">
      <c r="A1264" s="1">
        <v>583</v>
      </c>
      <c r="B1264" t="s">
        <v>19</v>
      </c>
      <c r="C1264">
        <v>706</v>
      </c>
      <c r="D1264">
        <v>3</v>
      </c>
      <c r="E1264" t="s">
        <v>29</v>
      </c>
      <c r="F1264" t="s">
        <v>54</v>
      </c>
      <c r="G1264" t="str">
        <f>"2025-12-04 14:59:20.065"</f>
        <v>2025-12-04 14:59:20.065</v>
      </c>
      <c r="H1264" t="s">
        <v>21</v>
      </c>
      <c r="I1264">
        <v>0</v>
      </c>
      <c r="J1264" t="s">
        <v>31</v>
      </c>
    </row>
    <row r="1265" spans="1:10" x14ac:dyDescent="0.25">
      <c r="A1265" s="1">
        <v>586</v>
      </c>
      <c r="B1265" t="s">
        <v>19</v>
      </c>
      <c r="C1265">
        <v>782</v>
      </c>
      <c r="D1265">
        <v>7</v>
      </c>
      <c r="E1265" t="s">
        <v>50</v>
      </c>
      <c r="F1265" t="s">
        <v>51</v>
      </c>
      <c r="G1265" t="str">
        <f>"2025-12-04 14:47:56.491"</f>
        <v>2025-12-04 14:47:56.491</v>
      </c>
      <c r="H1265" t="s">
        <v>21</v>
      </c>
      <c r="I1265">
        <v>0</v>
      </c>
      <c r="J1265" t="s">
        <v>31</v>
      </c>
    </row>
    <row r="1266" spans="1:10" x14ac:dyDescent="0.25">
      <c r="A1266" s="1">
        <v>589</v>
      </c>
      <c r="B1266" t="s">
        <v>22</v>
      </c>
      <c r="C1266">
        <v>12</v>
      </c>
      <c r="D1266">
        <v>2</v>
      </c>
      <c r="E1266" t="s">
        <v>93</v>
      </c>
      <c r="F1266" t="s">
        <v>94</v>
      </c>
      <c r="G1266" t="str">
        <f>"2025-12-04 14:47:56.488"</f>
        <v>2025-12-04 14:47:56.488</v>
      </c>
      <c r="H1266" t="s">
        <v>21</v>
      </c>
    </row>
    <row r="1267" spans="1:10" x14ac:dyDescent="0.25">
      <c r="A1267" s="1">
        <v>590</v>
      </c>
      <c r="B1267" t="s">
        <v>22</v>
      </c>
      <c r="C1267">
        <v>12</v>
      </c>
      <c r="D1267">
        <v>1</v>
      </c>
      <c r="E1267" t="s">
        <v>93</v>
      </c>
      <c r="F1267" t="s">
        <v>95</v>
      </c>
      <c r="G1267" t="str">
        <f>"2025-12-04 14:47:56.486"</f>
        <v>2025-12-04 14:47:56.486</v>
      </c>
      <c r="H1267" t="s">
        <v>21</v>
      </c>
    </row>
    <row r="1268" spans="1:10" x14ac:dyDescent="0.25">
      <c r="A1268" s="1">
        <v>591</v>
      </c>
      <c r="B1268" t="s">
        <v>19</v>
      </c>
      <c r="C1268">
        <v>782</v>
      </c>
      <c r="D1268">
        <v>7</v>
      </c>
      <c r="E1268" t="s">
        <v>50</v>
      </c>
      <c r="F1268" t="s">
        <v>51</v>
      </c>
      <c r="G1268" t="str">
        <f>"2025-12-04 14:47:56.485"</f>
        <v>2025-12-04 14:47:56.485</v>
      </c>
      <c r="H1268" t="s">
        <v>21</v>
      </c>
      <c r="I1268">
        <v>0</v>
      </c>
      <c r="J1268" t="s">
        <v>31</v>
      </c>
    </row>
    <row r="1269" spans="1:10" x14ac:dyDescent="0.25">
      <c r="A1269" s="1">
        <v>592</v>
      </c>
      <c r="B1269" t="s">
        <v>22</v>
      </c>
      <c r="C1269">
        <v>4</v>
      </c>
      <c r="D1269">
        <v>1</v>
      </c>
      <c r="E1269" t="s">
        <v>45</v>
      </c>
      <c r="F1269" t="s">
        <v>46</v>
      </c>
      <c r="G1269" t="str">
        <f>"2025-12-04 14:47:37.784"</f>
        <v>2025-12-04 14:47:37.784</v>
      </c>
      <c r="H1269" t="s">
        <v>47</v>
      </c>
    </row>
    <row r="1270" spans="1:10" x14ac:dyDescent="0.25">
      <c r="A1270" s="1">
        <v>593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"2025-12-04 14:47:30.015"</f>
        <v>2025-12-04 14:47:30.015</v>
      </c>
      <c r="H1270" t="s">
        <v>21</v>
      </c>
      <c r="I1270">
        <v>0</v>
      </c>
      <c r="J1270" t="s">
        <v>27</v>
      </c>
    </row>
    <row r="1271" spans="1:10" x14ac:dyDescent="0.25">
      <c r="A1271" s="1">
        <v>594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"2025-12-04 14:36:53.024"</f>
        <v>2025-12-04 14:36:53.024</v>
      </c>
      <c r="H1271" t="s">
        <v>21</v>
      </c>
      <c r="I1271">
        <v>0</v>
      </c>
      <c r="J1271" t="s">
        <v>27</v>
      </c>
    </row>
    <row r="1272" spans="1:10" x14ac:dyDescent="0.25">
      <c r="A1272" s="1">
        <v>595</v>
      </c>
      <c r="B1272" t="s">
        <v>19</v>
      </c>
      <c r="C1272">
        <v>719</v>
      </c>
      <c r="D1272">
        <v>5</v>
      </c>
      <c r="E1272" t="s">
        <v>96</v>
      </c>
      <c r="F1272" t="s">
        <v>97</v>
      </c>
      <c r="G1272" t="str">
        <f>"2025-12-04 14:33:30.063"</f>
        <v>2025-12-04 14:33:30.063</v>
      </c>
      <c r="H1272" t="s">
        <v>21</v>
      </c>
      <c r="I1272">
        <v>0</v>
      </c>
      <c r="J1272" t="s">
        <v>31</v>
      </c>
    </row>
    <row r="1273" spans="1:10" x14ac:dyDescent="0.25">
      <c r="A1273" s="1">
        <v>596</v>
      </c>
      <c r="B1273" t="s">
        <v>22</v>
      </c>
      <c r="C1273">
        <v>650</v>
      </c>
      <c r="D1273">
        <v>4</v>
      </c>
      <c r="E1273" t="s">
        <v>98</v>
      </c>
      <c r="F1273" t="s">
        <v>99</v>
      </c>
      <c r="G1273" t="str">
        <f>"2037-05-19 09:24:48.546"</f>
        <v>2037-05-19 09:24:48.546</v>
      </c>
      <c r="H1273" t="s">
        <v>21</v>
      </c>
    </row>
    <row r="1274" spans="1:10" x14ac:dyDescent="0.25">
      <c r="A1274" s="1">
        <v>597</v>
      </c>
      <c r="B1274" t="s">
        <v>22</v>
      </c>
      <c r="C1274">
        <v>98</v>
      </c>
      <c r="D1274">
        <v>1</v>
      </c>
      <c r="E1274" t="s">
        <v>82</v>
      </c>
      <c r="F1274" t="s">
        <v>83</v>
      </c>
      <c r="G1274" t="str">
        <f>"2037-05-19 09:23:11.357"</f>
        <v>2037-05-19 09:23:11.357</v>
      </c>
      <c r="H1274" t="s">
        <v>21</v>
      </c>
    </row>
    <row r="1275" spans="1:10" x14ac:dyDescent="0.25">
      <c r="A1275" s="1">
        <v>598</v>
      </c>
      <c r="B1275" t="s">
        <v>25</v>
      </c>
      <c r="C1275">
        <v>98</v>
      </c>
      <c r="D1275">
        <v>1</v>
      </c>
      <c r="E1275" t="s">
        <v>82</v>
      </c>
      <c r="F1275" t="s">
        <v>83</v>
      </c>
      <c r="G1275" t="str">
        <f>"2037-05-19 09:23:10.258"</f>
        <v>2037-05-19 09:23:10.258</v>
      </c>
      <c r="H1275" t="s">
        <v>21</v>
      </c>
      <c r="I1275">
        <v>0</v>
      </c>
      <c r="J1275" t="s">
        <v>31</v>
      </c>
    </row>
    <row r="1276" spans="1:10" x14ac:dyDescent="0.25">
      <c r="A1276" s="1">
        <v>599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"2037-05-19 09:21:06.007"</f>
        <v>2037-05-19 09:21:06.007</v>
      </c>
      <c r="H1276" t="s">
        <v>21</v>
      </c>
    </row>
    <row r="1277" spans="1:10" x14ac:dyDescent="0.25">
      <c r="A1277" s="1">
        <v>602</v>
      </c>
      <c r="B1277" t="s">
        <v>19</v>
      </c>
      <c r="C1277">
        <v>753</v>
      </c>
      <c r="D1277">
        <v>1</v>
      </c>
      <c r="E1277" t="s">
        <v>100</v>
      </c>
      <c r="F1277" t="s">
        <v>101</v>
      </c>
      <c r="G1277" t="str">
        <f>"2037-05-19 09:14:13.496"</f>
        <v>2037-05-19 09:14:13.496</v>
      </c>
      <c r="H1277" t="s">
        <v>21</v>
      </c>
      <c r="I1277">
        <v>0</v>
      </c>
      <c r="J1277" t="s">
        <v>31</v>
      </c>
    </row>
    <row r="1278" spans="1:10" x14ac:dyDescent="0.25">
      <c r="A1278" s="1">
        <v>603</v>
      </c>
      <c r="B1278" t="s">
        <v>49</v>
      </c>
      <c r="C1278">
        <v>641</v>
      </c>
      <c r="D1278">
        <v>1</v>
      </c>
      <c r="E1278" t="s">
        <v>102</v>
      </c>
      <c r="F1278" t="s">
        <v>94</v>
      </c>
      <c r="G1278" t="str">
        <f>"2037-05-19 09:14:07.805"</f>
        <v>2037-05-19 09:14:07.805</v>
      </c>
      <c r="H1278" t="s">
        <v>21</v>
      </c>
      <c r="I1278">
        <v>0</v>
      </c>
      <c r="J1278" t="s">
        <v>31</v>
      </c>
    </row>
    <row r="1279" spans="1:10" x14ac:dyDescent="0.25">
      <c r="A1279" s="1">
        <v>604</v>
      </c>
      <c r="B1279" t="s">
        <v>49</v>
      </c>
      <c r="C1279">
        <v>640</v>
      </c>
      <c r="D1279">
        <v>1</v>
      </c>
      <c r="E1279" t="s">
        <v>103</v>
      </c>
      <c r="F1279" t="s">
        <v>95</v>
      </c>
      <c r="G1279" t="str">
        <f>"2037-05-19 09:14:07.796"</f>
        <v>2037-05-19 09:14:07.796</v>
      </c>
      <c r="H1279" t="s">
        <v>66</v>
      </c>
      <c r="I1279">
        <v>0</v>
      </c>
      <c r="J1279" t="s">
        <v>31</v>
      </c>
    </row>
    <row r="1280" spans="1:10" x14ac:dyDescent="0.25">
      <c r="A1280" s="1">
        <v>605</v>
      </c>
      <c r="B1280" t="s">
        <v>25</v>
      </c>
      <c r="C1280">
        <v>4</v>
      </c>
      <c r="D1280">
        <v>1</v>
      </c>
      <c r="E1280" t="s">
        <v>45</v>
      </c>
      <c r="F1280" t="s">
        <v>46</v>
      </c>
      <c r="G1280" t="str">
        <f>"2037-05-19 09:14:02.495"</f>
        <v>2037-05-19 09:14:02.495</v>
      </c>
      <c r="H1280" t="s">
        <v>47</v>
      </c>
      <c r="I1280">
        <v>0</v>
      </c>
      <c r="J1280" t="s">
        <v>31</v>
      </c>
    </row>
    <row r="1281" spans="1:10" x14ac:dyDescent="0.25">
      <c r="A1281" s="1">
        <v>606</v>
      </c>
      <c r="B1281" t="s">
        <v>25</v>
      </c>
      <c r="C1281">
        <v>12</v>
      </c>
      <c r="D1281">
        <v>1</v>
      </c>
      <c r="E1281" t="s">
        <v>93</v>
      </c>
      <c r="F1281" t="s">
        <v>95</v>
      </c>
      <c r="G1281" t="str">
        <f>"2037-05-19 09:14:01.657"</f>
        <v>2037-05-19 09:14:01.657</v>
      </c>
      <c r="H1281" t="s">
        <v>21</v>
      </c>
      <c r="I1281">
        <v>0</v>
      </c>
      <c r="J1281" t="s">
        <v>31</v>
      </c>
    </row>
    <row r="1282" spans="1:10" x14ac:dyDescent="0.25">
      <c r="A1282" s="1">
        <v>607</v>
      </c>
      <c r="B1282" t="s">
        <v>25</v>
      </c>
      <c r="C1282">
        <v>12</v>
      </c>
      <c r="D1282">
        <v>2</v>
      </c>
      <c r="E1282" t="s">
        <v>93</v>
      </c>
      <c r="F1282" t="s">
        <v>94</v>
      </c>
      <c r="G1282" t="str">
        <f>"2037-05-19 09:14:01.564"</f>
        <v>2037-05-19 09:14:01.564</v>
      </c>
      <c r="H1282" t="s">
        <v>21</v>
      </c>
      <c r="I1282">
        <v>0</v>
      </c>
      <c r="J1282" t="s">
        <v>31</v>
      </c>
    </row>
    <row r="1283" spans="1:10" x14ac:dyDescent="0.25">
      <c r="A1283" s="1">
        <v>608</v>
      </c>
      <c r="B1283" t="s">
        <v>25</v>
      </c>
      <c r="C1283">
        <v>650</v>
      </c>
      <c r="D1283">
        <v>4</v>
      </c>
      <c r="E1283" t="s">
        <v>98</v>
      </c>
      <c r="F1283" t="s">
        <v>99</v>
      </c>
      <c r="G1283" t="str">
        <f>"2037-05-19 09:14:00.265"</f>
        <v>2037-05-19 09:14:00.265</v>
      </c>
      <c r="H1283" t="s">
        <v>21</v>
      </c>
      <c r="I1283">
        <v>0</v>
      </c>
      <c r="J1283" t="s">
        <v>27</v>
      </c>
    </row>
    <row r="1284" spans="1:10" x14ac:dyDescent="0.25">
      <c r="A1284" s="1">
        <v>609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"2037-05-19 09:13:57.606"</f>
        <v>2037-05-19 09:13:57.606</v>
      </c>
      <c r="H1284" t="s">
        <v>21</v>
      </c>
    </row>
  </sheetData>
  <autoFilter ref="C1:C1284" xr:uid="{46F45860-EFF6-4909-9EAF-E53490D7DBD4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39E220-D21B-48DD-B147-4D90D91D27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events_ru_86_20260613-081752 26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2026-06-13T03:42:12Z</dcterms:modified>
</cp:coreProperties>
</file>
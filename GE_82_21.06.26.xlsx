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2F9C9B8-B9B6-41EE-9FD9-042383FC0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2_20260621-151548 09" sheetId="2" r:id="rId1"/>
    <sheet name="Лист1" sheetId="1" r:id="rId2"/>
  </sheets>
  <definedNames>
    <definedName name="_xlnm._FilterDatabase" localSheetId="0" hidden="1">'events_ru_82_20260621-151548 09'!$A$9:$J$1355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DFCFB4-E83C-4228-8F2E-C571552A44D5}" keepAlive="1" name="Запрос — events_ru_82_20260621-151548 094" description="Соединение с запросом &quot;events_ru_82_20260621-151548 094&quot; в книге." type="5" refreshedVersion="0" background="1">
    <dbPr connection="Provider=Microsoft.Mashup.OleDb.1;Data Source=$Workbook$;Location=&quot;events_ru_82_20260621-151548 094&quot;;Extended Properties=&quot;&quot;" command="SELECT * FROM [events_ru_82_20260621-151548 094]"/>
  </connection>
</connections>
</file>

<file path=xl/sharedStrings.xml><?xml version="1.0" encoding="utf-8"?>
<sst xmlns="http://schemas.openxmlformats.org/spreadsheetml/2006/main" count="6194" uniqueCount="89">
  <si>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</si>
  <si>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</si>
  <si>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</si>
  <si>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</si>
  <si>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</si>
  <si>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</si>
  <si>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</si>
  <si>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</si>
  <si>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</si>
  <si>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</si>
  <si>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</si>
  <si>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</si>
  <si>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</si>
  <si>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</si>
  <si>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</si>
  <si>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</si>
  <si>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</si>
  <si>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</si>
  <si>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</si>
  <si>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</si>
  <si>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</si>
  <si>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</si>
  <si>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</si>
  <si>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</si>
  <si>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Получено предупреждение ДВС</t>
  </si>
  <si>
    <t>Не доступно</t>
  </si>
  <si>
    <t>Запрет тяги</t>
  </si>
  <si>
    <t>Log+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</si>
  <si>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</si>
  <si>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</si>
  <si>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</si>
  <si>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</si>
  <si>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</si>
  <si>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</si>
  <si>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</si>
  <si>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</si>
  <si>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</si>
  <si>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Propel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</si>
  <si>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</si>
  <si>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</si>
  <si>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</si>
  <si>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</si>
  <si>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Retard</t>
  </si>
  <si>
    <t>Самосвал перегружен - NR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</si>
  <si>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</si>
  <si>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</si>
  <si>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Rest</t>
  </si>
  <si>
    <t>Превышении скорости</t>
  </si>
  <si>
    <t>Управление скоростью - превышение</t>
  </si>
  <si>
    <t>Самопроизвольный останов ДВС</t>
  </si>
  <si>
    <t>Unrequested Engine Speed Drop - While Stopped</t>
  </si>
  <si>
    <t>Нет питания</t>
  </si>
  <si>
    <t>Ошибка сети CAN (CAN1)</t>
  </si>
  <si>
    <t>Потеря связи - сеть CAN двигателя</t>
  </si>
  <si>
    <t>Нет Самонагрузки, Предел скорости (нижний)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</si>
  <si>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</si>
  <si>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</si>
  <si>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</si>
  <si>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</si>
  <si>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</si>
  <si>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</si>
  <si>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</si>
  <si>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</si>
  <si>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Педаль акслератора вне пределов - низкий уровень</t>
  </si>
  <si>
    <t>Педаль акслератора вне пределов - высокий уровень</t>
  </si>
  <si>
    <t>--Изменена настройка системы--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</si>
  <si>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</si>
  <si>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</si>
  <si>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</si>
  <si>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Контактор GF</t>
  </si>
  <si>
    <t>Команда - Несоответствие обратной связи</t>
  </si>
  <si>
    <t>Предел скорости</t>
  </si>
  <si>
    <t>Реле переведено во время движения</t>
  </si>
  <si>
    <t>ARst</t>
  </si>
  <si>
    <t>TMC2 Система ИНВ</t>
  </si>
  <si>
    <t>Слишком низкое напряжение фильтра ЗПТ</t>
  </si>
  <si>
    <t>TMC1 Система ИНВ</t>
  </si>
  <si>
    <t>TIC системной связи не обновляется</t>
  </si>
  <si>
    <t>Температура окружающего воздуха вне пределов</t>
  </si>
  <si>
    <t>Низкий</t>
  </si>
  <si>
    <t>Подъём кузова на ходу</t>
  </si>
  <si>
    <t>Сравнение CMD скорости вращения ДВС</t>
  </si>
  <si>
    <t>Активна блокировка ХХ на холодном ДВС</t>
  </si>
  <si>
    <t>Нужна калибровка педали</t>
  </si>
  <si>
    <t>Нужна калибровка запуска</t>
  </si>
  <si>
    <t>Установка часов реального времени</t>
  </si>
  <si>
    <t>через WebPTU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</si>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</sst>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0647-0BBE-444C-81AC-DEDE90612601}">
  <dimension ref="A1:J1355"/>
  <sheetViews>
    <sheetView tabSelected="1" workbookViewId="0">
      <selection activeCell="H1" sqref="H1:H1048576"/>
    </sheetView>
  </sheetViews>
  <sheetFormatPr defaultRowHeight="15" x14ac:dyDescent="0.25"/>
  <cols>
    <col min="1" max="1" width="16" bestFit="1" customWidth="1"/>
    <col min="5" max="5" width="34.5703125" customWidth="1"/>
    <col min="6" max="6" width="72.28515625" bestFit="1" customWidth="1"/>
    <col min="7" max="7" width="22" bestFit="1" customWidth="1"/>
    <col min="8" max="8" width="30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"2026-06-21 15:15:48.094"</f>
        <v>2026-06-21 15:15:48.094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"2026-06-21 15:15:07.123"</f>
        <v>2026-06-21 15:15:07.123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"2026-06-21 15:08:17.890"</f>
        <v>2026-06-21 15:08:17.890</v>
      </c>
      <c r="H11" t="s">
        <v>21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"2026-06-21 12:29:11.051"</f>
        <v>2026-06-21 12:29:11.051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23</v>
      </c>
      <c r="C13">
        <v>619</v>
      </c>
      <c r="D13">
        <v>1</v>
      </c>
      <c r="E13" t="s">
        <v>24</v>
      </c>
      <c r="F13" t="s">
        <v>25</v>
      </c>
      <c r="G13" t="str">
        <f>"2026-06-21 05:54:59.188"</f>
        <v>2026-06-21 05:54:59.188</v>
      </c>
      <c r="H13" t="s">
        <v>26</v>
      </c>
    </row>
    <row r="14" spans="1:10" x14ac:dyDescent="0.25">
      <c r="A14" s="1"/>
      <c r="B14" t="s">
        <v>27</v>
      </c>
      <c r="C14">
        <v>619</v>
      </c>
      <c r="D14">
        <v>1</v>
      </c>
      <c r="E14" t="s">
        <v>24</v>
      </c>
      <c r="F14" t="s">
        <v>25</v>
      </c>
      <c r="G14" t="str">
        <f>"2026-06-21 05:53:54.341"</f>
        <v>2026-06-21 05:53:54.341</v>
      </c>
      <c r="H14" t="s">
        <v>26</v>
      </c>
      <c r="I14">
        <v>0</v>
      </c>
      <c r="J14" t="s">
        <v>28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"2026-06-21 05:53:25.920"</f>
        <v>2026-06-21 05:53:25.920</v>
      </c>
      <c r="H15" t="s">
        <v>21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29</v>
      </c>
      <c r="F16" t="s">
        <v>30</v>
      </c>
      <c r="G16" t="str">
        <f>"2026-06-20 01:43:37.871"</f>
        <v>2026-06-20 01:43:37.871</v>
      </c>
      <c r="H16" t="s">
        <v>21</v>
      </c>
      <c r="I16">
        <v>0</v>
      </c>
      <c r="J16" t="s">
        <v>31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"2026-06-20 01:43:21.891"</f>
        <v>2026-06-20 01:43:21.891</v>
      </c>
      <c r="H17" t="s">
        <v>21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"2026-06-19 23:56:07.916"</f>
        <v>2026-06-19 23:56:07.916</v>
      </c>
      <c r="H18" t="s">
        <v>21</v>
      </c>
    </row>
    <row r="19" spans="1:10" x14ac:dyDescent="0.25">
      <c r="A19" s="1">
        <v>0</v>
      </c>
      <c r="B19" t="s">
        <v>32</v>
      </c>
      <c r="C19">
        <v>33</v>
      </c>
      <c r="D19">
        <v>1</v>
      </c>
      <c r="E19" t="s">
        <v>33</v>
      </c>
      <c r="F19" t="s">
        <v>34</v>
      </c>
      <c r="G19" t="str">
        <f>"2026-06-19 23:48:57.670"</f>
        <v>2026-06-19 23:48:57.670</v>
      </c>
      <c r="H19" t="s">
        <v>35</v>
      </c>
    </row>
    <row r="20" spans="1:10" x14ac:dyDescent="0.25">
      <c r="A20" s="1">
        <v>1</v>
      </c>
      <c r="B20" t="s">
        <v>36</v>
      </c>
      <c r="C20">
        <v>33</v>
      </c>
      <c r="D20">
        <v>1</v>
      </c>
      <c r="E20" t="s">
        <v>33</v>
      </c>
      <c r="F20" t="s">
        <v>34</v>
      </c>
      <c r="G20" t="str">
        <f>"2026-06-19 23:44:26.208"</f>
        <v>2026-06-19 23:44:26.208</v>
      </c>
      <c r="H20" t="s">
        <v>35</v>
      </c>
      <c r="I20">
        <v>9.69</v>
      </c>
      <c r="J20" t="s">
        <v>37</v>
      </c>
    </row>
    <row r="21" spans="1:10" x14ac:dyDescent="0.25">
      <c r="A21" s="1">
        <v>2</v>
      </c>
      <c r="B21" t="s">
        <v>23</v>
      </c>
      <c r="C21">
        <v>619</v>
      </c>
      <c r="D21">
        <v>1</v>
      </c>
      <c r="E21" t="s">
        <v>24</v>
      </c>
      <c r="F21" t="s">
        <v>25</v>
      </c>
      <c r="G21" t="str">
        <f>"2026-06-19 22:59:56.670"</f>
        <v>2026-06-19 22:59:56.670</v>
      </c>
      <c r="H21" t="s">
        <v>26</v>
      </c>
    </row>
    <row r="22" spans="1:10" x14ac:dyDescent="0.25">
      <c r="A22" s="1">
        <v>3</v>
      </c>
      <c r="B22" t="s">
        <v>27</v>
      </c>
      <c r="C22">
        <v>619</v>
      </c>
      <c r="D22">
        <v>1</v>
      </c>
      <c r="E22" t="s">
        <v>24</v>
      </c>
      <c r="F22" t="s">
        <v>25</v>
      </c>
      <c r="G22" t="str">
        <f>"2026-06-19 22:55:43.570"</f>
        <v>2026-06-19 22:55:43.570</v>
      </c>
      <c r="H22" t="s">
        <v>26</v>
      </c>
      <c r="I22">
        <v>0</v>
      </c>
      <c r="J22" t="s">
        <v>28</v>
      </c>
    </row>
    <row r="23" spans="1:10" x14ac:dyDescent="0.25">
      <c r="A23" s="1">
        <v>5</v>
      </c>
      <c r="B23" t="s">
        <v>23</v>
      </c>
      <c r="C23">
        <v>98</v>
      </c>
      <c r="D23">
        <v>1</v>
      </c>
      <c r="E23" t="s">
        <v>38</v>
      </c>
      <c r="F23" t="s">
        <v>39</v>
      </c>
      <c r="G23" t="str">
        <f>"2026-06-19 11:01:21.070"</f>
        <v>2026-06-19 11:01:21.070</v>
      </c>
      <c r="H23" t="s">
        <v>21</v>
      </c>
    </row>
    <row r="24" spans="1:10" x14ac:dyDescent="0.25">
      <c r="A24" s="1">
        <v>6</v>
      </c>
      <c r="B24" t="s">
        <v>27</v>
      </c>
      <c r="C24">
        <v>98</v>
      </c>
      <c r="D24">
        <v>1</v>
      </c>
      <c r="E24" t="s">
        <v>38</v>
      </c>
      <c r="F24" t="s">
        <v>39</v>
      </c>
      <c r="G24" t="str">
        <f>"2026-06-19 11:01:20.071"</f>
        <v>2026-06-19 11:01:20.071</v>
      </c>
      <c r="H24" t="s">
        <v>21</v>
      </c>
      <c r="I24">
        <v>7.33</v>
      </c>
      <c r="J24" t="s">
        <v>37</v>
      </c>
    </row>
    <row r="25" spans="1:10" s="3" customFormat="1" x14ac:dyDescent="0.25">
      <c r="A25" s="2">
        <v>7</v>
      </c>
      <c r="B25" s="3" t="s">
        <v>23</v>
      </c>
      <c r="C25" s="3">
        <v>647</v>
      </c>
      <c r="D25" s="3">
        <v>1</v>
      </c>
      <c r="E25" s="3" t="s">
        <v>40</v>
      </c>
      <c r="F25" s="3" t="s">
        <v>41</v>
      </c>
      <c r="G25" s="3" t="str">
        <f>"2026-06-19 02:55:27.771"</f>
        <v>2026-06-19 02:55:27.771</v>
      </c>
      <c r="H25" s="3" t="s">
        <v>21</v>
      </c>
    </row>
    <row r="26" spans="1:10" s="3" customFormat="1" x14ac:dyDescent="0.25">
      <c r="A26" s="2">
        <v>8</v>
      </c>
      <c r="B26" s="3" t="s">
        <v>27</v>
      </c>
      <c r="C26" s="3">
        <v>647</v>
      </c>
      <c r="D26" s="3">
        <v>1</v>
      </c>
      <c r="E26" s="3" t="s">
        <v>40</v>
      </c>
      <c r="F26" s="3" t="s">
        <v>41</v>
      </c>
      <c r="G26" s="3" t="str">
        <f>"2026-06-19 02:55:14.671"</f>
        <v>2026-06-19 02:55:14.671</v>
      </c>
      <c r="H26" s="3" t="s">
        <v>21</v>
      </c>
      <c r="I26" s="3">
        <v>9.5</v>
      </c>
      <c r="J26" s="3" t="s">
        <v>42</v>
      </c>
    </row>
    <row r="27" spans="1:10" x14ac:dyDescent="0.25">
      <c r="A27" s="1">
        <v>9</v>
      </c>
      <c r="B27" t="s">
        <v>19</v>
      </c>
      <c r="C27">
        <v>706</v>
      </c>
      <c r="D27">
        <v>4</v>
      </c>
      <c r="E27" t="s">
        <v>29</v>
      </c>
      <c r="F27" t="s">
        <v>30</v>
      </c>
      <c r="G27" t="str">
        <f>"2026-06-19 02:02:47.250"</f>
        <v>2026-06-19 02:02:47.250</v>
      </c>
      <c r="H27" t="s">
        <v>21</v>
      </c>
      <c r="I27">
        <v>0</v>
      </c>
      <c r="J27" t="s">
        <v>31</v>
      </c>
    </row>
    <row r="28" spans="1:10" x14ac:dyDescent="0.25">
      <c r="A28" s="1">
        <v>0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"2026-06-19 01:49:46.900"</f>
        <v>2026-06-19 01:49:46.900</v>
      </c>
      <c r="H28" t="s">
        <v>21</v>
      </c>
      <c r="I28">
        <v>0</v>
      </c>
      <c r="J28" t="s">
        <v>22</v>
      </c>
    </row>
    <row r="29" spans="1:10" s="3" customFormat="1" x14ac:dyDescent="0.25">
      <c r="A29" s="2">
        <v>1</v>
      </c>
      <c r="B29" s="3" t="s">
        <v>23</v>
      </c>
      <c r="C29" s="3">
        <v>647</v>
      </c>
      <c r="D29" s="3">
        <v>1</v>
      </c>
      <c r="E29" s="3" t="s">
        <v>40</v>
      </c>
      <c r="F29" s="3" t="s">
        <v>41</v>
      </c>
      <c r="G29" s="3" t="str">
        <f>"2026-06-19 00:33:46.468"</f>
        <v>2026-06-19 00:33:46.468</v>
      </c>
      <c r="H29" s="3" t="s">
        <v>21</v>
      </c>
    </row>
    <row r="30" spans="1:10" s="3" customFormat="1" x14ac:dyDescent="0.25">
      <c r="A30" s="2">
        <v>2</v>
      </c>
      <c r="B30" s="3" t="s">
        <v>27</v>
      </c>
      <c r="C30" s="3">
        <v>647</v>
      </c>
      <c r="D30" s="3">
        <v>1</v>
      </c>
      <c r="E30" s="3" t="s">
        <v>40</v>
      </c>
      <c r="F30" s="3" t="s">
        <v>41</v>
      </c>
      <c r="G30" s="3" t="str">
        <f>"2026-06-19 00:33:41.968"</f>
        <v>2026-06-19 00:33:41.968</v>
      </c>
      <c r="H30" s="3" t="s">
        <v>21</v>
      </c>
      <c r="I30" s="3">
        <v>10.45</v>
      </c>
      <c r="J30" s="3" t="s">
        <v>42</v>
      </c>
    </row>
    <row r="31" spans="1:10" x14ac:dyDescent="0.25">
      <c r="A31" s="1">
        <v>3</v>
      </c>
      <c r="B31" t="s">
        <v>23</v>
      </c>
      <c r="C31">
        <v>619</v>
      </c>
      <c r="D31">
        <v>1</v>
      </c>
      <c r="E31" t="s">
        <v>24</v>
      </c>
      <c r="F31" t="s">
        <v>25</v>
      </c>
      <c r="G31" t="str">
        <f>"2026-06-18 23:13:48.914"</f>
        <v>2026-06-18 23:13:48.914</v>
      </c>
      <c r="H31" t="s">
        <v>26</v>
      </c>
    </row>
    <row r="32" spans="1:10" x14ac:dyDescent="0.25">
      <c r="A32" s="1">
        <v>4</v>
      </c>
      <c r="B32" t="s">
        <v>27</v>
      </c>
      <c r="C32">
        <v>619</v>
      </c>
      <c r="D32">
        <v>1</v>
      </c>
      <c r="E32" t="s">
        <v>24</v>
      </c>
      <c r="F32" t="s">
        <v>25</v>
      </c>
      <c r="G32" t="str">
        <f>"2026-06-18 23:12:50.267"</f>
        <v>2026-06-18 23:12:50.267</v>
      </c>
      <c r="H32" t="s">
        <v>26</v>
      </c>
      <c r="I32">
        <v>0</v>
      </c>
      <c r="J32" t="s">
        <v>31</v>
      </c>
    </row>
    <row r="33" spans="1:10" x14ac:dyDescent="0.25">
      <c r="A33" s="1">
        <v>5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"2026-06-18 23:12:23.887"</f>
        <v>2026-06-18 23:12:23.887</v>
      </c>
      <c r="H33" t="s">
        <v>21</v>
      </c>
      <c r="I33">
        <v>0</v>
      </c>
      <c r="J33" t="s">
        <v>22</v>
      </c>
    </row>
    <row r="34" spans="1:10" x14ac:dyDescent="0.25">
      <c r="A34" s="1">
        <v>6</v>
      </c>
      <c r="B34" t="s">
        <v>23</v>
      </c>
      <c r="C34">
        <v>635</v>
      </c>
      <c r="D34">
        <v>1</v>
      </c>
      <c r="E34" t="s">
        <v>43</v>
      </c>
      <c r="F34" t="s">
        <v>25</v>
      </c>
      <c r="G34" t="str">
        <f>"2026-06-18 16:52:51.979"</f>
        <v>2026-06-18 16:52:51.979</v>
      </c>
      <c r="H34" t="s">
        <v>21</v>
      </c>
    </row>
    <row r="35" spans="1:10" x14ac:dyDescent="0.25">
      <c r="A35" s="1">
        <v>7</v>
      </c>
      <c r="B35" t="s">
        <v>27</v>
      </c>
      <c r="C35">
        <v>635</v>
      </c>
      <c r="D35">
        <v>1</v>
      </c>
      <c r="E35" t="s">
        <v>43</v>
      </c>
      <c r="F35" t="s">
        <v>25</v>
      </c>
      <c r="G35" t="str">
        <f>"2026-06-18 16:44:51.979"</f>
        <v>2026-06-18 16:44:51.979</v>
      </c>
      <c r="H35" t="s">
        <v>21</v>
      </c>
      <c r="I35">
        <v>6.83</v>
      </c>
      <c r="J35" t="s">
        <v>42</v>
      </c>
    </row>
    <row r="36" spans="1:10" x14ac:dyDescent="0.25">
      <c r="A36" s="1">
        <v>8</v>
      </c>
      <c r="B36" t="s">
        <v>19</v>
      </c>
      <c r="C36">
        <v>706</v>
      </c>
      <c r="D36">
        <v>2</v>
      </c>
      <c r="E36" t="s">
        <v>29</v>
      </c>
      <c r="F36" t="s">
        <v>44</v>
      </c>
      <c r="G36" t="str">
        <f>"2026-06-18 10:15:59.944"</f>
        <v>2026-06-18 10:15:59.944</v>
      </c>
      <c r="H36" t="s">
        <v>21</v>
      </c>
      <c r="I36">
        <v>0</v>
      </c>
      <c r="J36" t="s">
        <v>31</v>
      </c>
    </row>
    <row r="37" spans="1:10" x14ac:dyDescent="0.25">
      <c r="A37" s="1">
        <v>9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"2026-06-18 10:15:35.874"</f>
        <v>2026-06-18 10:15:35.874</v>
      </c>
      <c r="H37" t="s">
        <v>21</v>
      </c>
    </row>
    <row r="38" spans="1:10" x14ac:dyDescent="0.25">
      <c r="A38" s="1">
        <v>0</v>
      </c>
      <c r="B38" t="s">
        <v>23</v>
      </c>
      <c r="C38">
        <v>635</v>
      </c>
      <c r="D38">
        <v>1</v>
      </c>
      <c r="E38" t="s">
        <v>43</v>
      </c>
      <c r="F38" t="s">
        <v>25</v>
      </c>
      <c r="G38" t="str">
        <f>"2026-06-18 09:41:03.939"</f>
        <v>2026-06-18 09:41:03.939</v>
      </c>
      <c r="H38" t="s">
        <v>21</v>
      </c>
    </row>
    <row r="39" spans="1:10" x14ac:dyDescent="0.25">
      <c r="A39" s="1">
        <v>1</v>
      </c>
      <c r="B39" t="s">
        <v>27</v>
      </c>
      <c r="C39">
        <v>635</v>
      </c>
      <c r="D39">
        <v>1</v>
      </c>
      <c r="E39" t="s">
        <v>43</v>
      </c>
      <c r="F39" t="s">
        <v>25</v>
      </c>
      <c r="G39" t="str">
        <f>"2026-06-18 09:36:23.439"</f>
        <v>2026-06-18 09:36:23.439</v>
      </c>
      <c r="H39" t="s">
        <v>21</v>
      </c>
      <c r="I39">
        <v>6.48</v>
      </c>
      <c r="J39" t="s">
        <v>37</v>
      </c>
    </row>
    <row r="40" spans="1:10" x14ac:dyDescent="0.25">
      <c r="A40" s="1">
        <v>2</v>
      </c>
      <c r="B40" t="s">
        <v>23</v>
      </c>
      <c r="C40">
        <v>635</v>
      </c>
      <c r="D40">
        <v>1</v>
      </c>
      <c r="E40" t="s">
        <v>43</v>
      </c>
      <c r="F40" t="s">
        <v>25</v>
      </c>
      <c r="G40" t="str">
        <f>"2026-06-18 08:54:43.539"</f>
        <v>2026-06-18 08:54:43.539</v>
      </c>
      <c r="H40" t="s">
        <v>21</v>
      </c>
    </row>
    <row r="41" spans="1:10" x14ac:dyDescent="0.25">
      <c r="A41" s="1">
        <v>3</v>
      </c>
      <c r="B41" t="s">
        <v>27</v>
      </c>
      <c r="C41">
        <v>635</v>
      </c>
      <c r="D41">
        <v>1</v>
      </c>
      <c r="E41" t="s">
        <v>43</v>
      </c>
      <c r="F41" t="s">
        <v>25</v>
      </c>
      <c r="G41" t="str">
        <f>"2026-06-18 08:50:57.540"</f>
        <v>2026-06-18 08:50:57.540</v>
      </c>
      <c r="H41" t="s">
        <v>21</v>
      </c>
      <c r="I41">
        <v>7.18</v>
      </c>
      <c r="J41" t="s">
        <v>37</v>
      </c>
    </row>
    <row r="42" spans="1:10" x14ac:dyDescent="0.25">
      <c r="A42" s="1">
        <v>5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"2026-06-17 19:50:39.949"</f>
        <v>2026-06-17 19:50:39.949</v>
      </c>
      <c r="H42" t="s">
        <v>21</v>
      </c>
    </row>
    <row r="43" spans="1:10" x14ac:dyDescent="0.25">
      <c r="A43" s="1">
        <v>6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"2026-06-17 18:46:01.891"</f>
        <v>2026-06-17 18:46:01.891</v>
      </c>
      <c r="H43" t="s">
        <v>21</v>
      </c>
    </row>
    <row r="44" spans="1:10" x14ac:dyDescent="0.25">
      <c r="A44" s="1">
        <v>7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"2026-06-17 18:19:57.107"</f>
        <v>2026-06-17 18:19:57.107</v>
      </c>
      <c r="H44" t="s">
        <v>21</v>
      </c>
    </row>
    <row r="45" spans="1:10" x14ac:dyDescent="0.25">
      <c r="A45" s="1">
        <v>8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"2026-06-17 13:46:31.047"</f>
        <v>2026-06-17 13:46:31.047</v>
      </c>
      <c r="H45" t="s">
        <v>21</v>
      </c>
      <c r="I45">
        <v>0</v>
      </c>
      <c r="J45" t="s">
        <v>22</v>
      </c>
    </row>
    <row r="46" spans="1:10" x14ac:dyDescent="0.25">
      <c r="A46" s="1">
        <v>9</v>
      </c>
      <c r="B46" t="s">
        <v>23</v>
      </c>
      <c r="C46">
        <v>635</v>
      </c>
      <c r="D46">
        <v>1</v>
      </c>
      <c r="E46" t="s">
        <v>43</v>
      </c>
      <c r="F46" t="s">
        <v>25</v>
      </c>
      <c r="G46" t="str">
        <f>"2026-06-15 19:44:33.976"</f>
        <v>2026-06-15 19:44:33.976</v>
      </c>
      <c r="H46" t="s">
        <v>21</v>
      </c>
    </row>
    <row r="47" spans="1:10" x14ac:dyDescent="0.25">
      <c r="A47" s="1">
        <v>0</v>
      </c>
      <c r="B47" t="s">
        <v>27</v>
      </c>
      <c r="C47">
        <v>635</v>
      </c>
      <c r="D47">
        <v>1</v>
      </c>
      <c r="E47" t="s">
        <v>43</v>
      </c>
      <c r="F47" t="s">
        <v>25</v>
      </c>
      <c r="G47" t="str">
        <f>"2026-06-15 19:37:18.076"</f>
        <v>2026-06-15 19:37:18.076</v>
      </c>
      <c r="H47" t="s">
        <v>21</v>
      </c>
      <c r="I47">
        <v>5.81</v>
      </c>
      <c r="J47" t="s">
        <v>37</v>
      </c>
    </row>
    <row r="48" spans="1:10" x14ac:dyDescent="0.25">
      <c r="A48" s="1">
        <v>1</v>
      </c>
      <c r="B48" t="s">
        <v>23</v>
      </c>
      <c r="C48">
        <v>619</v>
      </c>
      <c r="D48">
        <v>1</v>
      </c>
      <c r="E48" t="s">
        <v>24</v>
      </c>
      <c r="F48" t="s">
        <v>25</v>
      </c>
      <c r="G48" t="str">
        <f>"2026-06-15 19:17:02.576"</f>
        <v>2026-06-15 19:17:02.576</v>
      </c>
      <c r="H48" t="s">
        <v>26</v>
      </c>
    </row>
    <row r="49" spans="1:10" x14ac:dyDescent="0.25">
      <c r="A49" s="1">
        <v>2</v>
      </c>
      <c r="B49" t="s">
        <v>27</v>
      </c>
      <c r="C49">
        <v>619</v>
      </c>
      <c r="D49">
        <v>1</v>
      </c>
      <c r="E49" t="s">
        <v>24</v>
      </c>
      <c r="F49" t="s">
        <v>25</v>
      </c>
      <c r="G49" t="str">
        <f>"2026-06-15 19:16:31.824"</f>
        <v>2026-06-15 19:16:31.824</v>
      </c>
      <c r="H49" t="s">
        <v>26</v>
      </c>
      <c r="I49">
        <v>0</v>
      </c>
      <c r="J49" t="s">
        <v>31</v>
      </c>
    </row>
    <row r="50" spans="1:10" x14ac:dyDescent="0.25">
      <c r="A50" s="1">
        <v>3</v>
      </c>
      <c r="B50" t="s">
        <v>19</v>
      </c>
      <c r="C50">
        <v>706</v>
      </c>
      <c r="D50">
        <v>2</v>
      </c>
      <c r="E50" t="s">
        <v>29</v>
      </c>
      <c r="F50" t="s">
        <v>44</v>
      </c>
      <c r="G50" t="str">
        <f>"2026-06-15 19:16:26.827"</f>
        <v>2026-06-15 19:16:26.827</v>
      </c>
      <c r="H50" t="s">
        <v>21</v>
      </c>
      <c r="I50">
        <v>0</v>
      </c>
      <c r="J50" t="s">
        <v>31</v>
      </c>
    </row>
    <row r="51" spans="1:10" x14ac:dyDescent="0.25">
      <c r="A51" s="1">
        <v>4</v>
      </c>
      <c r="B51" t="s">
        <v>23</v>
      </c>
      <c r="C51">
        <v>619</v>
      </c>
      <c r="D51">
        <v>1</v>
      </c>
      <c r="E51" t="s">
        <v>24</v>
      </c>
      <c r="F51" t="s">
        <v>25</v>
      </c>
      <c r="G51" t="str">
        <f>"2026-06-15 19:16:23.676"</f>
        <v>2026-06-15 19:16:23.676</v>
      </c>
      <c r="H51" t="s">
        <v>26</v>
      </c>
    </row>
    <row r="52" spans="1:10" x14ac:dyDescent="0.25">
      <c r="A52" s="1">
        <v>5</v>
      </c>
      <c r="B52" t="s">
        <v>27</v>
      </c>
      <c r="C52">
        <v>619</v>
      </c>
      <c r="D52">
        <v>1</v>
      </c>
      <c r="E52" t="s">
        <v>24</v>
      </c>
      <c r="F52" t="s">
        <v>25</v>
      </c>
      <c r="G52" t="str">
        <f>"2026-06-15 19:15:36.124"</f>
        <v>2026-06-15 19:15:36.124</v>
      </c>
      <c r="H52" t="s">
        <v>26</v>
      </c>
      <c r="I52">
        <v>0</v>
      </c>
      <c r="J52" t="s">
        <v>31</v>
      </c>
    </row>
    <row r="53" spans="1:10" x14ac:dyDescent="0.25">
      <c r="A53" s="1">
        <v>6</v>
      </c>
      <c r="B53" t="s">
        <v>19</v>
      </c>
      <c r="C53">
        <v>706</v>
      </c>
      <c r="D53">
        <v>3</v>
      </c>
      <c r="E53" t="s">
        <v>29</v>
      </c>
      <c r="F53" t="s">
        <v>45</v>
      </c>
      <c r="G53" t="str">
        <f>"2026-06-15 19:15:27.857"</f>
        <v>2026-06-15 19:15:27.857</v>
      </c>
      <c r="H53" t="s">
        <v>21</v>
      </c>
      <c r="I53">
        <v>0</v>
      </c>
      <c r="J53" t="s">
        <v>31</v>
      </c>
    </row>
    <row r="54" spans="1:10" x14ac:dyDescent="0.25">
      <c r="A54" s="1">
        <v>7</v>
      </c>
      <c r="B54" t="s">
        <v>23</v>
      </c>
      <c r="C54">
        <v>619</v>
      </c>
      <c r="D54">
        <v>1</v>
      </c>
      <c r="E54" t="s">
        <v>24</v>
      </c>
      <c r="F54" t="s">
        <v>25</v>
      </c>
      <c r="G54" t="str">
        <f>"2026-06-15 19:14:48.976"</f>
        <v>2026-06-15 19:14:48.976</v>
      </c>
      <c r="H54" t="s">
        <v>26</v>
      </c>
    </row>
    <row r="55" spans="1:10" x14ac:dyDescent="0.25">
      <c r="A55" s="1">
        <v>8</v>
      </c>
      <c r="B55" t="s">
        <v>27</v>
      </c>
      <c r="C55">
        <v>619</v>
      </c>
      <c r="D55">
        <v>1</v>
      </c>
      <c r="E55" t="s">
        <v>24</v>
      </c>
      <c r="F55" t="s">
        <v>25</v>
      </c>
      <c r="G55" t="str">
        <f>"2026-06-15 19:14:37.576"</f>
        <v>2026-06-15 19:14:37.576</v>
      </c>
      <c r="H55" t="s">
        <v>26</v>
      </c>
      <c r="I55">
        <v>0</v>
      </c>
      <c r="J55" t="s">
        <v>28</v>
      </c>
    </row>
    <row r="56" spans="1:10" x14ac:dyDescent="0.25">
      <c r="A56" s="1">
        <v>9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"2026-06-15 19:14:02.937"</f>
        <v>2026-06-15 19:14:02.937</v>
      </c>
      <c r="H56" t="s">
        <v>21</v>
      </c>
    </row>
    <row r="57" spans="1:10" x14ac:dyDescent="0.25">
      <c r="A57" s="1">
        <v>0</v>
      </c>
      <c r="B57" t="s">
        <v>23</v>
      </c>
      <c r="C57">
        <v>635</v>
      </c>
      <c r="D57">
        <v>1</v>
      </c>
      <c r="E57" t="s">
        <v>43</v>
      </c>
      <c r="F57" t="s">
        <v>25</v>
      </c>
      <c r="G57" t="str">
        <f>"2026-06-14 22:35:29.589"</f>
        <v>2026-06-14 22:35:29.589</v>
      </c>
      <c r="H57" t="s">
        <v>21</v>
      </c>
    </row>
    <row r="58" spans="1:10" x14ac:dyDescent="0.25">
      <c r="A58" s="1">
        <v>1</v>
      </c>
      <c r="B58" t="s">
        <v>27</v>
      </c>
      <c r="C58">
        <v>635</v>
      </c>
      <c r="D58">
        <v>1</v>
      </c>
      <c r="E58" t="s">
        <v>43</v>
      </c>
      <c r="F58" t="s">
        <v>25</v>
      </c>
      <c r="G58" t="str">
        <f>"2026-06-14 22:30:53.589"</f>
        <v>2026-06-14 22:30:53.589</v>
      </c>
      <c r="H58" t="s">
        <v>21</v>
      </c>
      <c r="I58">
        <v>6.58</v>
      </c>
      <c r="J58" t="s">
        <v>37</v>
      </c>
    </row>
    <row r="59" spans="1:10" x14ac:dyDescent="0.25">
      <c r="A59" s="1">
        <v>2</v>
      </c>
      <c r="B59" t="s">
        <v>19</v>
      </c>
      <c r="C59">
        <v>706</v>
      </c>
      <c r="D59">
        <v>4</v>
      </c>
      <c r="E59" t="s">
        <v>29</v>
      </c>
      <c r="F59" t="s">
        <v>30</v>
      </c>
      <c r="G59" t="str">
        <f>"2026-06-14 19:34:07.679"</f>
        <v>2026-06-14 19:34:07.679</v>
      </c>
      <c r="H59" t="s">
        <v>21</v>
      </c>
      <c r="I59">
        <v>0</v>
      </c>
      <c r="J59" t="s">
        <v>31</v>
      </c>
    </row>
    <row r="60" spans="1:10" x14ac:dyDescent="0.25">
      <c r="A60" s="1">
        <v>3</v>
      </c>
      <c r="B60" t="s">
        <v>23</v>
      </c>
      <c r="C60">
        <v>619</v>
      </c>
      <c r="D60">
        <v>1</v>
      </c>
      <c r="E60" t="s">
        <v>24</v>
      </c>
      <c r="F60" t="s">
        <v>25</v>
      </c>
      <c r="G60" t="str">
        <f>"2026-06-14 19:34:05.341"</f>
        <v>2026-06-14 19:34:05.341</v>
      </c>
      <c r="H60" t="s">
        <v>26</v>
      </c>
    </row>
    <row r="61" spans="1:10" x14ac:dyDescent="0.25">
      <c r="A61" s="1">
        <v>4</v>
      </c>
      <c r="B61" t="s">
        <v>27</v>
      </c>
      <c r="C61">
        <v>619</v>
      </c>
      <c r="D61">
        <v>1</v>
      </c>
      <c r="E61" t="s">
        <v>24</v>
      </c>
      <c r="F61" t="s">
        <v>25</v>
      </c>
      <c r="G61" t="str">
        <f>"2026-06-14 19:33:02.190"</f>
        <v>2026-06-14 19:33:02.190</v>
      </c>
      <c r="H61" t="s">
        <v>26</v>
      </c>
      <c r="I61">
        <v>0</v>
      </c>
      <c r="J61" t="s">
        <v>31</v>
      </c>
    </row>
    <row r="62" spans="1:10" x14ac:dyDescent="0.25">
      <c r="A62" s="1">
        <v>5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"2026-06-14 19:32:35.899"</f>
        <v>2026-06-14 19:32:35.899</v>
      </c>
      <c r="H62" t="s">
        <v>21</v>
      </c>
    </row>
    <row r="63" spans="1:10" x14ac:dyDescent="0.25">
      <c r="A63" s="1">
        <v>6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"2026-06-13 22:05:56.909"</f>
        <v>2026-06-13 22:05:56.909</v>
      </c>
      <c r="H63" t="s">
        <v>21</v>
      </c>
    </row>
    <row r="64" spans="1:10" x14ac:dyDescent="0.25">
      <c r="A64" s="1">
        <v>7</v>
      </c>
      <c r="B64" t="s">
        <v>23</v>
      </c>
      <c r="C64">
        <v>635</v>
      </c>
      <c r="D64">
        <v>1</v>
      </c>
      <c r="E64" t="s">
        <v>43</v>
      </c>
      <c r="F64" t="s">
        <v>25</v>
      </c>
      <c r="G64" t="str">
        <f>"2026-06-13 20:46:09.746"</f>
        <v>2026-06-13 20:46:09.746</v>
      </c>
      <c r="H64" t="s">
        <v>21</v>
      </c>
    </row>
    <row r="65" spans="1:10" x14ac:dyDescent="0.25">
      <c r="A65" s="1">
        <v>8</v>
      </c>
      <c r="B65" t="s">
        <v>27</v>
      </c>
      <c r="C65">
        <v>635</v>
      </c>
      <c r="D65">
        <v>1</v>
      </c>
      <c r="E65" t="s">
        <v>43</v>
      </c>
      <c r="F65" t="s">
        <v>25</v>
      </c>
      <c r="G65" t="str">
        <f>"2026-06-13 20:41:48.246"</f>
        <v>2026-06-13 20:41:48.246</v>
      </c>
      <c r="H65" t="s">
        <v>21</v>
      </c>
      <c r="I65">
        <v>0.15</v>
      </c>
      <c r="J65" t="s">
        <v>28</v>
      </c>
    </row>
    <row r="66" spans="1:10" x14ac:dyDescent="0.25">
      <c r="A66" s="1">
        <v>9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"2026-06-13 08:48:21.919"</f>
        <v>2026-06-13 08:48:21.919</v>
      </c>
      <c r="H66" t="s">
        <v>21</v>
      </c>
      <c r="I66">
        <v>0</v>
      </c>
      <c r="J66" t="s">
        <v>22</v>
      </c>
    </row>
    <row r="67" spans="1:10" x14ac:dyDescent="0.25">
      <c r="A67" s="1">
        <v>0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"2026-06-12 22:13:50.876"</f>
        <v>2026-06-12 22:13:50.876</v>
      </c>
      <c r="H67" t="s">
        <v>21</v>
      </c>
      <c r="I67">
        <v>0</v>
      </c>
      <c r="J67" t="s">
        <v>22</v>
      </c>
    </row>
    <row r="68" spans="1:10" x14ac:dyDescent="0.25">
      <c r="A68" s="1">
        <v>1</v>
      </c>
      <c r="B68" t="s">
        <v>23</v>
      </c>
      <c r="C68">
        <v>635</v>
      </c>
      <c r="D68">
        <v>1</v>
      </c>
      <c r="E68" t="s">
        <v>43</v>
      </c>
      <c r="F68" t="s">
        <v>25</v>
      </c>
      <c r="G68" t="str">
        <f>"2026-06-12 20:54:07.971"</f>
        <v>2026-06-12 20:54:07.971</v>
      </c>
      <c r="H68" t="s">
        <v>21</v>
      </c>
    </row>
    <row r="69" spans="1:10" x14ac:dyDescent="0.25">
      <c r="A69" s="1">
        <v>2</v>
      </c>
      <c r="B69" t="s">
        <v>27</v>
      </c>
      <c r="C69">
        <v>635</v>
      </c>
      <c r="D69">
        <v>1</v>
      </c>
      <c r="E69" t="s">
        <v>43</v>
      </c>
      <c r="F69" t="s">
        <v>25</v>
      </c>
      <c r="G69" t="str">
        <f>"2026-06-12 20:48:56.471"</f>
        <v>2026-06-12 20:48:56.471</v>
      </c>
      <c r="H69" t="s">
        <v>21</v>
      </c>
      <c r="I69">
        <v>8.26</v>
      </c>
      <c r="J69" t="s">
        <v>37</v>
      </c>
    </row>
    <row r="70" spans="1:10" x14ac:dyDescent="0.25">
      <c r="A70" s="1">
        <v>3</v>
      </c>
      <c r="B70" t="s">
        <v>23</v>
      </c>
      <c r="C70">
        <v>635</v>
      </c>
      <c r="D70">
        <v>1</v>
      </c>
      <c r="E70" t="s">
        <v>43</v>
      </c>
      <c r="F70" t="s">
        <v>25</v>
      </c>
      <c r="G70" t="str">
        <f>"2026-06-12 20:36:57.571"</f>
        <v>2026-06-12 20:36:57.571</v>
      </c>
      <c r="H70" t="s">
        <v>21</v>
      </c>
    </row>
    <row r="71" spans="1:10" x14ac:dyDescent="0.25">
      <c r="A71" s="1">
        <v>4</v>
      </c>
      <c r="B71" t="s">
        <v>27</v>
      </c>
      <c r="C71">
        <v>635</v>
      </c>
      <c r="D71">
        <v>1</v>
      </c>
      <c r="E71" t="s">
        <v>43</v>
      </c>
      <c r="F71" t="s">
        <v>25</v>
      </c>
      <c r="G71" t="str">
        <f>"2026-06-12 20:31:07.571"</f>
        <v>2026-06-12 20:31:07.571</v>
      </c>
      <c r="H71" t="s">
        <v>21</v>
      </c>
      <c r="I71">
        <v>6.52</v>
      </c>
      <c r="J71" t="s">
        <v>42</v>
      </c>
    </row>
    <row r="72" spans="1:10" x14ac:dyDescent="0.25">
      <c r="A72" s="1">
        <v>5</v>
      </c>
      <c r="B72" t="s">
        <v>23</v>
      </c>
      <c r="C72">
        <v>635</v>
      </c>
      <c r="D72">
        <v>1</v>
      </c>
      <c r="E72" t="s">
        <v>43</v>
      </c>
      <c r="F72" t="s">
        <v>25</v>
      </c>
      <c r="G72" t="str">
        <f>"2026-06-12 04:24:25.371"</f>
        <v>2026-06-12 04:24:25.371</v>
      </c>
      <c r="H72" t="s">
        <v>21</v>
      </c>
    </row>
    <row r="73" spans="1:10" x14ac:dyDescent="0.25">
      <c r="A73" s="1">
        <v>6</v>
      </c>
      <c r="B73" t="s">
        <v>27</v>
      </c>
      <c r="C73">
        <v>635</v>
      </c>
      <c r="D73">
        <v>1</v>
      </c>
      <c r="E73" t="s">
        <v>43</v>
      </c>
      <c r="F73" t="s">
        <v>25</v>
      </c>
      <c r="G73" t="str">
        <f>"2026-06-12 04:20:06.871"</f>
        <v>2026-06-12 04:20:06.871</v>
      </c>
      <c r="H73" t="s">
        <v>21</v>
      </c>
      <c r="I73">
        <v>6.71</v>
      </c>
      <c r="J73" t="s">
        <v>37</v>
      </c>
    </row>
    <row r="74" spans="1:10" x14ac:dyDescent="0.25">
      <c r="A74" s="1">
        <v>7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"2026-06-11 17:15:18.891"</f>
        <v>2026-06-11 17:15:18.891</v>
      </c>
      <c r="H74" t="s">
        <v>21</v>
      </c>
      <c r="I74">
        <v>0</v>
      </c>
      <c r="J74" t="s">
        <v>22</v>
      </c>
    </row>
    <row r="75" spans="1:10" x14ac:dyDescent="0.25">
      <c r="A75" s="1">
        <v>8</v>
      </c>
      <c r="B75" t="s">
        <v>23</v>
      </c>
      <c r="C75">
        <v>635</v>
      </c>
      <c r="D75">
        <v>1</v>
      </c>
      <c r="E75" t="s">
        <v>43</v>
      </c>
      <c r="F75" t="s">
        <v>25</v>
      </c>
      <c r="G75" t="str">
        <f>"2026-06-11 07:13:07.418"</f>
        <v>2026-06-11 07:13:07.418</v>
      </c>
      <c r="H75" t="s">
        <v>21</v>
      </c>
    </row>
    <row r="76" spans="1:10" x14ac:dyDescent="0.25">
      <c r="A76" s="1">
        <v>9</v>
      </c>
      <c r="B76" t="s">
        <v>27</v>
      </c>
      <c r="C76">
        <v>635</v>
      </c>
      <c r="D76">
        <v>1</v>
      </c>
      <c r="E76" t="s">
        <v>43</v>
      </c>
      <c r="F76" t="s">
        <v>25</v>
      </c>
      <c r="G76" t="str">
        <f>"2026-06-11 07:06:09.418"</f>
        <v>2026-06-11 07:06:09.418</v>
      </c>
      <c r="H76" t="s">
        <v>21</v>
      </c>
      <c r="I76">
        <v>-0.01</v>
      </c>
      <c r="J76" t="s">
        <v>28</v>
      </c>
    </row>
    <row r="77" spans="1:10" x14ac:dyDescent="0.25">
      <c r="A77" s="1">
        <v>0</v>
      </c>
      <c r="B77" t="s">
        <v>23</v>
      </c>
      <c r="C77">
        <v>635</v>
      </c>
      <c r="D77">
        <v>1</v>
      </c>
      <c r="E77" t="s">
        <v>43</v>
      </c>
      <c r="F77" t="s">
        <v>25</v>
      </c>
      <c r="G77" t="str">
        <f>"2026-06-11 04:53:44.818"</f>
        <v>2026-06-11 04:53:44.818</v>
      </c>
      <c r="H77" t="s">
        <v>21</v>
      </c>
    </row>
    <row r="78" spans="1:10" x14ac:dyDescent="0.25">
      <c r="A78" s="1">
        <v>1</v>
      </c>
      <c r="B78" t="s">
        <v>27</v>
      </c>
      <c r="C78">
        <v>635</v>
      </c>
      <c r="D78">
        <v>1</v>
      </c>
      <c r="E78" t="s">
        <v>43</v>
      </c>
      <c r="F78" t="s">
        <v>25</v>
      </c>
      <c r="G78" t="str">
        <f>"2026-06-11 04:48:24.818"</f>
        <v>2026-06-11 04:48:24.818</v>
      </c>
      <c r="H78" t="s">
        <v>21</v>
      </c>
      <c r="I78">
        <v>-0.02</v>
      </c>
      <c r="J78" t="s">
        <v>28</v>
      </c>
    </row>
    <row r="79" spans="1:10" x14ac:dyDescent="0.25">
      <c r="A79" s="1">
        <v>2</v>
      </c>
      <c r="B79" t="s">
        <v>23</v>
      </c>
      <c r="C79">
        <v>619</v>
      </c>
      <c r="D79">
        <v>1</v>
      </c>
      <c r="E79" t="s">
        <v>24</v>
      </c>
      <c r="F79" t="s">
        <v>25</v>
      </c>
      <c r="G79" t="str">
        <f>"2026-06-10 17:20:55.718"</f>
        <v>2026-06-10 17:20:55.718</v>
      </c>
      <c r="H79" t="s">
        <v>26</v>
      </c>
    </row>
    <row r="80" spans="1:10" x14ac:dyDescent="0.25">
      <c r="A80" s="1">
        <v>3</v>
      </c>
      <c r="B80" t="s">
        <v>27</v>
      </c>
      <c r="C80">
        <v>619</v>
      </c>
      <c r="D80">
        <v>1</v>
      </c>
      <c r="E80" t="s">
        <v>24</v>
      </c>
      <c r="F80" t="s">
        <v>25</v>
      </c>
      <c r="G80" t="str">
        <f>"2026-06-10 17:19:37.318"</f>
        <v>2026-06-10 17:19:37.318</v>
      </c>
      <c r="H80" t="s">
        <v>26</v>
      </c>
      <c r="I80">
        <v>0</v>
      </c>
      <c r="J80" t="s">
        <v>31</v>
      </c>
    </row>
    <row r="81" spans="1:10" x14ac:dyDescent="0.25">
      <c r="A81" s="1">
        <v>4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"2026-06-10 17:19:10.968"</f>
        <v>2026-06-10 17:19:10.968</v>
      </c>
      <c r="H81" t="s">
        <v>21</v>
      </c>
      <c r="I81">
        <v>0</v>
      </c>
      <c r="J81" t="s">
        <v>22</v>
      </c>
    </row>
    <row r="82" spans="1:10" x14ac:dyDescent="0.25">
      <c r="A82" s="1">
        <v>5</v>
      </c>
      <c r="B82" t="s">
        <v>19</v>
      </c>
      <c r="C82">
        <v>706</v>
      </c>
      <c r="D82">
        <v>4</v>
      </c>
      <c r="E82" t="s">
        <v>29</v>
      </c>
      <c r="F82" t="s">
        <v>30</v>
      </c>
      <c r="G82" t="str">
        <f>"2026-06-10 12:16:12.840"</f>
        <v>2026-06-10 12:16:12.840</v>
      </c>
      <c r="H82" t="s">
        <v>21</v>
      </c>
      <c r="I82">
        <v>0</v>
      </c>
      <c r="J82" t="s">
        <v>31</v>
      </c>
    </row>
    <row r="83" spans="1:10" x14ac:dyDescent="0.25">
      <c r="A83" s="1">
        <v>6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"2026-06-10 12:08:50.890"</f>
        <v>2026-06-10 12:08:50.890</v>
      </c>
      <c r="H83" t="s">
        <v>21</v>
      </c>
      <c r="I83">
        <v>0</v>
      </c>
      <c r="J83" t="s">
        <v>22</v>
      </c>
    </row>
    <row r="84" spans="1:10" x14ac:dyDescent="0.25">
      <c r="A84" s="1">
        <v>7</v>
      </c>
      <c r="B84" t="s">
        <v>19</v>
      </c>
      <c r="C84">
        <v>706</v>
      </c>
      <c r="D84">
        <v>4</v>
      </c>
      <c r="E84" t="s">
        <v>29</v>
      </c>
      <c r="F84" t="s">
        <v>30</v>
      </c>
      <c r="G84" t="str">
        <f>"2026-06-10 08:49:49.915"</f>
        <v>2026-06-10 08:49:49.915</v>
      </c>
      <c r="H84" t="s">
        <v>21</v>
      </c>
      <c r="I84">
        <v>0</v>
      </c>
      <c r="J84" t="s">
        <v>31</v>
      </c>
    </row>
    <row r="85" spans="1:10" x14ac:dyDescent="0.25">
      <c r="A85" s="1">
        <v>8</v>
      </c>
      <c r="B85" t="s">
        <v>32</v>
      </c>
      <c r="C85">
        <v>33</v>
      </c>
      <c r="D85">
        <v>1</v>
      </c>
      <c r="E85" t="s">
        <v>33</v>
      </c>
      <c r="F85" t="s">
        <v>34</v>
      </c>
      <c r="G85" t="str">
        <f>"2026-06-10 07:56:06.249"</f>
        <v>2026-06-10 07:56:06.249</v>
      </c>
      <c r="H85" t="s">
        <v>35</v>
      </c>
    </row>
    <row r="86" spans="1:10" x14ac:dyDescent="0.25">
      <c r="A86" s="1">
        <v>9</v>
      </c>
      <c r="B86" t="s">
        <v>36</v>
      </c>
      <c r="C86">
        <v>33</v>
      </c>
      <c r="D86">
        <v>1</v>
      </c>
      <c r="E86" t="s">
        <v>33</v>
      </c>
      <c r="F86" t="s">
        <v>34</v>
      </c>
      <c r="G86" t="str">
        <f>"2026-06-10 07:53:00.928"</f>
        <v>2026-06-10 07:53:00.928</v>
      </c>
      <c r="H86" t="s">
        <v>35</v>
      </c>
      <c r="I86">
        <v>8.2200000000000006</v>
      </c>
      <c r="J86" t="s">
        <v>37</v>
      </c>
    </row>
    <row r="87" spans="1:10" x14ac:dyDescent="0.25">
      <c r="A87" s="1">
        <v>0</v>
      </c>
      <c r="B87" t="s">
        <v>23</v>
      </c>
      <c r="C87">
        <v>619</v>
      </c>
      <c r="D87">
        <v>1</v>
      </c>
      <c r="E87" t="s">
        <v>24</v>
      </c>
      <c r="F87" t="s">
        <v>25</v>
      </c>
      <c r="G87" t="str">
        <f>"2026-06-09 20:35:29.996"</f>
        <v>2026-06-09 20:35:29.996</v>
      </c>
      <c r="H87" t="s">
        <v>26</v>
      </c>
    </row>
    <row r="88" spans="1:10" x14ac:dyDescent="0.25">
      <c r="A88" s="1">
        <v>1</v>
      </c>
      <c r="B88" t="s">
        <v>27</v>
      </c>
      <c r="C88">
        <v>619</v>
      </c>
      <c r="D88">
        <v>1</v>
      </c>
      <c r="E88" t="s">
        <v>24</v>
      </c>
      <c r="F88" t="s">
        <v>25</v>
      </c>
      <c r="G88" t="str">
        <f>"2026-06-09 20:34:53.149"</f>
        <v>2026-06-09 20:34:53.149</v>
      </c>
      <c r="H88" t="s">
        <v>26</v>
      </c>
      <c r="I88">
        <v>0</v>
      </c>
      <c r="J88" t="s">
        <v>28</v>
      </c>
    </row>
    <row r="89" spans="1:10" x14ac:dyDescent="0.25">
      <c r="A89" s="1">
        <v>2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"2026-06-09 20:34:26.855"</f>
        <v>2026-06-09 20:34:26.855</v>
      </c>
      <c r="H89" t="s">
        <v>21</v>
      </c>
      <c r="I89">
        <v>0</v>
      </c>
      <c r="J89" t="s">
        <v>22</v>
      </c>
    </row>
    <row r="90" spans="1:10" x14ac:dyDescent="0.25">
      <c r="A90" s="1">
        <v>3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"2026-06-09 16:45:12.951"</f>
        <v>2026-06-09 16:45:12.951</v>
      </c>
      <c r="H90" t="s">
        <v>21</v>
      </c>
      <c r="I90">
        <v>0</v>
      </c>
      <c r="J90" t="s">
        <v>22</v>
      </c>
    </row>
    <row r="91" spans="1:10" x14ac:dyDescent="0.25">
      <c r="A91" s="1">
        <v>4</v>
      </c>
      <c r="B91" t="s">
        <v>19</v>
      </c>
      <c r="C91">
        <v>706</v>
      </c>
      <c r="D91">
        <v>4</v>
      </c>
      <c r="E91" t="s">
        <v>29</v>
      </c>
      <c r="F91" t="s">
        <v>30</v>
      </c>
      <c r="G91" t="str">
        <f>"2026-06-09 16:30:01.279"</f>
        <v>2026-06-09 16:30:01.279</v>
      </c>
      <c r="H91" t="s">
        <v>21</v>
      </c>
      <c r="I91">
        <v>0</v>
      </c>
      <c r="J91" t="s">
        <v>31</v>
      </c>
    </row>
    <row r="92" spans="1:10" x14ac:dyDescent="0.25">
      <c r="A92" s="1">
        <v>5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"2026-06-09 16:29:03.859"</f>
        <v>2026-06-09 16:29:03.859</v>
      </c>
      <c r="H92" t="s">
        <v>21</v>
      </c>
      <c r="I92">
        <v>0</v>
      </c>
      <c r="J92" t="s">
        <v>22</v>
      </c>
    </row>
    <row r="93" spans="1:10" x14ac:dyDescent="0.25">
      <c r="A93" s="1">
        <v>6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"2026-06-09 10:39:01.867"</f>
        <v>2026-06-09 10:39:01.867</v>
      </c>
      <c r="H93" t="s">
        <v>21</v>
      </c>
    </row>
    <row r="94" spans="1:10" x14ac:dyDescent="0.25">
      <c r="A94" s="1">
        <v>7</v>
      </c>
      <c r="B94" t="s">
        <v>19</v>
      </c>
      <c r="C94">
        <v>706</v>
      </c>
      <c r="D94">
        <v>2</v>
      </c>
      <c r="E94" t="s">
        <v>29</v>
      </c>
      <c r="F94" t="s">
        <v>44</v>
      </c>
      <c r="G94" t="str">
        <f>"2026-06-09 10:34:57.714"</f>
        <v>2026-06-09 10:34:57.714</v>
      </c>
      <c r="H94" t="s">
        <v>21</v>
      </c>
      <c r="I94">
        <v>0</v>
      </c>
      <c r="J94" t="s">
        <v>31</v>
      </c>
    </row>
    <row r="95" spans="1:10" x14ac:dyDescent="0.25">
      <c r="A95" s="1">
        <v>8</v>
      </c>
      <c r="B95" t="s">
        <v>19</v>
      </c>
      <c r="C95">
        <v>706</v>
      </c>
      <c r="D95">
        <v>4</v>
      </c>
      <c r="E95" t="s">
        <v>29</v>
      </c>
      <c r="F95" t="s">
        <v>30</v>
      </c>
      <c r="G95" t="str">
        <f>"2026-06-09 09:40:34.644"</f>
        <v>2026-06-09 09:40:34.644</v>
      </c>
      <c r="H95" t="s">
        <v>21</v>
      </c>
      <c r="I95">
        <v>0</v>
      </c>
      <c r="J95" t="s">
        <v>31</v>
      </c>
    </row>
    <row r="96" spans="1:10" x14ac:dyDescent="0.25">
      <c r="A96" s="1">
        <v>9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"2026-06-09 09:34:11.984"</f>
        <v>2026-06-09 09:34:11.984</v>
      </c>
      <c r="H96" t="s">
        <v>21</v>
      </c>
      <c r="I96">
        <v>0</v>
      </c>
      <c r="J96" t="s">
        <v>22</v>
      </c>
    </row>
    <row r="97" spans="1:10" x14ac:dyDescent="0.25">
      <c r="A97" s="1">
        <v>0</v>
      </c>
      <c r="B97" t="s">
        <v>19</v>
      </c>
      <c r="C97">
        <v>706</v>
      </c>
      <c r="D97">
        <v>2</v>
      </c>
      <c r="E97" t="s">
        <v>29</v>
      </c>
      <c r="F97" t="s">
        <v>44</v>
      </c>
      <c r="G97" t="str">
        <f>"2026-06-09 09:28:23.671"</f>
        <v>2026-06-09 09:28:23.671</v>
      </c>
      <c r="H97" t="s">
        <v>21</v>
      </c>
      <c r="I97">
        <v>0</v>
      </c>
      <c r="J97" t="s">
        <v>31</v>
      </c>
    </row>
    <row r="98" spans="1:10" x14ac:dyDescent="0.25">
      <c r="A98" s="1">
        <v>1</v>
      </c>
      <c r="B98" t="s">
        <v>19</v>
      </c>
      <c r="C98">
        <v>706</v>
      </c>
      <c r="D98">
        <v>4</v>
      </c>
      <c r="E98" t="s">
        <v>29</v>
      </c>
      <c r="F98" t="s">
        <v>30</v>
      </c>
      <c r="G98" t="str">
        <f>"2026-06-09 09:27:57.461"</f>
        <v>2026-06-09 09:27:57.461</v>
      </c>
      <c r="H98" t="s">
        <v>21</v>
      </c>
      <c r="I98">
        <v>0</v>
      </c>
      <c r="J98" t="s">
        <v>31</v>
      </c>
    </row>
    <row r="99" spans="1:10" x14ac:dyDescent="0.25">
      <c r="A99" s="1">
        <v>2</v>
      </c>
      <c r="B99" t="s">
        <v>19</v>
      </c>
      <c r="C99">
        <v>706</v>
      </c>
      <c r="D99">
        <v>2</v>
      </c>
      <c r="E99" t="s">
        <v>29</v>
      </c>
      <c r="F99" t="s">
        <v>44</v>
      </c>
      <c r="G99" t="str">
        <f>"2026-06-09 09:11:57.271"</f>
        <v>2026-06-09 09:11:57.271</v>
      </c>
      <c r="H99" t="s">
        <v>21</v>
      </c>
      <c r="I99">
        <v>0</v>
      </c>
      <c r="J99" t="s">
        <v>31</v>
      </c>
    </row>
    <row r="100" spans="1:10" x14ac:dyDescent="0.25">
      <c r="A100" s="1">
        <v>3</v>
      </c>
      <c r="B100" t="s">
        <v>19</v>
      </c>
      <c r="C100">
        <v>706</v>
      </c>
      <c r="D100">
        <v>2</v>
      </c>
      <c r="E100" t="s">
        <v>29</v>
      </c>
      <c r="F100" t="s">
        <v>44</v>
      </c>
      <c r="G100" t="str">
        <f>"2026-06-09 09:02:46.871"</f>
        <v>2026-06-09 09:02:46.871</v>
      </c>
      <c r="H100" t="s">
        <v>21</v>
      </c>
      <c r="I100">
        <v>0</v>
      </c>
      <c r="J100" t="s">
        <v>31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"2026-06-09 08:51:19.851"</f>
        <v>2026-06-09 08:51:19.851</v>
      </c>
      <c r="H101" t="s">
        <v>21</v>
      </c>
      <c r="I101">
        <v>0</v>
      </c>
      <c r="J101" t="s">
        <v>22</v>
      </c>
    </row>
    <row r="102" spans="1:10" x14ac:dyDescent="0.25">
      <c r="A102" s="1">
        <v>5</v>
      </c>
      <c r="B102" t="s">
        <v>19</v>
      </c>
      <c r="C102">
        <v>706</v>
      </c>
      <c r="D102">
        <v>2</v>
      </c>
      <c r="E102" t="s">
        <v>29</v>
      </c>
      <c r="F102" t="s">
        <v>44</v>
      </c>
      <c r="G102" t="str">
        <f>"2026-06-09 07:49:25.568"</f>
        <v>2026-06-09 07:49:25.568</v>
      </c>
      <c r="H102" t="s">
        <v>21</v>
      </c>
      <c r="I102">
        <v>0</v>
      </c>
      <c r="J102" t="s">
        <v>31</v>
      </c>
    </row>
    <row r="103" spans="1:10" x14ac:dyDescent="0.25">
      <c r="A103" s="1">
        <v>6</v>
      </c>
      <c r="B103" t="s">
        <v>19</v>
      </c>
      <c r="C103">
        <v>706</v>
      </c>
      <c r="D103">
        <v>4</v>
      </c>
      <c r="E103" t="s">
        <v>29</v>
      </c>
      <c r="F103" t="s">
        <v>30</v>
      </c>
      <c r="G103" t="str">
        <f>"2026-06-09 07:43:27.738"</f>
        <v>2026-06-09 07:43:27.738</v>
      </c>
      <c r="H103" t="s">
        <v>21</v>
      </c>
      <c r="I103">
        <v>0</v>
      </c>
      <c r="J103" t="s">
        <v>31</v>
      </c>
    </row>
    <row r="104" spans="1:10" x14ac:dyDescent="0.25">
      <c r="A104" s="1">
        <v>7</v>
      </c>
      <c r="B104" t="s">
        <v>19</v>
      </c>
      <c r="C104">
        <v>706</v>
      </c>
      <c r="D104">
        <v>3</v>
      </c>
      <c r="E104" t="s">
        <v>29</v>
      </c>
      <c r="F104" t="s">
        <v>45</v>
      </c>
      <c r="G104" t="str">
        <f>"2026-06-09 07:36:13.738"</f>
        <v>2026-06-09 07:36:13.738</v>
      </c>
      <c r="H104" t="s">
        <v>21</v>
      </c>
      <c r="I104">
        <v>0</v>
      </c>
      <c r="J104" t="s">
        <v>31</v>
      </c>
    </row>
    <row r="105" spans="1:10" x14ac:dyDescent="0.25">
      <c r="A105" s="1">
        <v>8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"2026-06-09 07:33:20.938"</f>
        <v>2026-06-09 07:33:20.938</v>
      </c>
      <c r="H105" t="s">
        <v>21</v>
      </c>
      <c r="I105">
        <v>0</v>
      </c>
      <c r="J105" t="s">
        <v>22</v>
      </c>
    </row>
    <row r="106" spans="1:10" x14ac:dyDescent="0.25">
      <c r="A106" s="1">
        <v>9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"2026-06-09 07:28:18.873"</f>
        <v>2026-06-09 07:28:18.873</v>
      </c>
      <c r="H106" t="s">
        <v>21</v>
      </c>
    </row>
    <row r="107" spans="1:10" x14ac:dyDescent="0.25">
      <c r="A107" s="1">
        <v>0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"2026-06-09 02:07:14.881"</f>
        <v>2026-06-09 02:07:14.881</v>
      </c>
      <c r="H107" t="s">
        <v>21</v>
      </c>
      <c r="I107">
        <v>0</v>
      </c>
      <c r="J107" t="s">
        <v>22</v>
      </c>
    </row>
    <row r="108" spans="1:10" x14ac:dyDescent="0.25">
      <c r="A108" s="1">
        <v>1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"2026-06-08 23:15:10.876"</f>
        <v>2026-06-08 23:15:10.876</v>
      </c>
      <c r="H108" t="s">
        <v>21</v>
      </c>
      <c r="I108">
        <v>0</v>
      </c>
      <c r="J108" t="s">
        <v>22</v>
      </c>
    </row>
    <row r="109" spans="1:10" x14ac:dyDescent="0.25">
      <c r="A109" s="1">
        <v>2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"2026-06-08 23:09:48.861"</f>
        <v>2026-06-08 23:09:48.861</v>
      </c>
      <c r="H109" t="s">
        <v>21</v>
      </c>
    </row>
    <row r="110" spans="1:10" x14ac:dyDescent="0.25">
      <c r="A110" s="1">
        <v>3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"2026-06-08 23:02:43.881"</f>
        <v>2026-06-08 23:02:43.881</v>
      </c>
      <c r="H110" t="s">
        <v>21</v>
      </c>
      <c r="I110">
        <v>0</v>
      </c>
      <c r="J110" t="s">
        <v>22</v>
      </c>
    </row>
    <row r="111" spans="1:10" x14ac:dyDescent="0.25">
      <c r="A111" s="1">
        <v>4</v>
      </c>
      <c r="B111" t="s">
        <v>19</v>
      </c>
      <c r="C111">
        <v>706</v>
      </c>
      <c r="D111">
        <v>4</v>
      </c>
      <c r="E111" t="s">
        <v>29</v>
      </c>
      <c r="F111" t="s">
        <v>30</v>
      </c>
      <c r="G111" t="str">
        <f>"2026-06-08 22:58:19.062"</f>
        <v>2026-06-08 22:58:19.062</v>
      </c>
      <c r="H111" t="s">
        <v>21</v>
      </c>
      <c r="I111">
        <v>0</v>
      </c>
      <c r="J111" t="s">
        <v>46</v>
      </c>
    </row>
    <row r="112" spans="1:10" x14ac:dyDescent="0.25">
      <c r="A112" s="1">
        <v>5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"2026-06-08 22:58:01.892"</f>
        <v>2026-06-08 22:58:01.892</v>
      </c>
      <c r="H112" t="s">
        <v>21</v>
      </c>
      <c r="I112">
        <v>0</v>
      </c>
      <c r="J112" t="s">
        <v>22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"2026-06-08 22:46:54.879"</f>
        <v>2026-06-08 22:46:54.879</v>
      </c>
      <c r="H113" t="s">
        <v>21</v>
      </c>
    </row>
    <row r="114" spans="1:10" x14ac:dyDescent="0.25">
      <c r="A114" s="1">
        <v>7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"2026-06-08 21:28:14.889"</f>
        <v>2026-06-08 21:28:14.889</v>
      </c>
      <c r="H114" t="s">
        <v>21</v>
      </c>
      <c r="I114">
        <v>0</v>
      </c>
      <c r="J114" t="s">
        <v>22</v>
      </c>
    </row>
    <row r="115" spans="1:10" x14ac:dyDescent="0.25">
      <c r="A115" s="1">
        <v>8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"2026-06-08 21:05:48.977"</f>
        <v>2026-06-08 21:05:48.977</v>
      </c>
      <c r="H115" t="s">
        <v>21</v>
      </c>
      <c r="I115">
        <v>0</v>
      </c>
      <c r="J115" t="s">
        <v>22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"2026-06-08 18:39:21.875"</f>
        <v>2026-06-08 18:39:21.875</v>
      </c>
      <c r="H116" t="s">
        <v>21</v>
      </c>
      <c r="I116">
        <v>0</v>
      </c>
      <c r="J116" t="s">
        <v>22</v>
      </c>
    </row>
    <row r="117" spans="1:10" x14ac:dyDescent="0.25">
      <c r="A117" s="1">
        <v>10</v>
      </c>
      <c r="B117" t="s">
        <v>19</v>
      </c>
      <c r="C117">
        <v>706</v>
      </c>
      <c r="D117">
        <v>2</v>
      </c>
      <c r="E117" t="s">
        <v>29</v>
      </c>
      <c r="F117" t="s">
        <v>44</v>
      </c>
      <c r="G117" t="str">
        <f>"2026-06-08 18:30:12.918"</f>
        <v>2026-06-08 18:30:12.918</v>
      </c>
      <c r="H117" t="s">
        <v>21</v>
      </c>
      <c r="I117">
        <v>0</v>
      </c>
      <c r="J117" t="s">
        <v>31</v>
      </c>
    </row>
    <row r="118" spans="1:10" x14ac:dyDescent="0.25">
      <c r="A118" s="1">
        <v>11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"2026-06-08 18:18:05.888"</f>
        <v>2026-06-08 18:18:05.888</v>
      </c>
      <c r="H118" t="s">
        <v>21</v>
      </c>
      <c r="I118">
        <v>0</v>
      </c>
      <c r="J118" t="s">
        <v>22</v>
      </c>
    </row>
    <row r="119" spans="1:10" x14ac:dyDescent="0.25">
      <c r="A119" s="1">
        <v>12</v>
      </c>
      <c r="B119" t="s">
        <v>19</v>
      </c>
      <c r="C119">
        <v>706</v>
      </c>
      <c r="D119">
        <v>3</v>
      </c>
      <c r="E119" t="s">
        <v>29</v>
      </c>
      <c r="F119" t="s">
        <v>45</v>
      </c>
      <c r="G119" t="str">
        <f>"2026-06-03 05:51:15.019"</f>
        <v>2026-06-03 05:51:15.019</v>
      </c>
      <c r="H119" t="s">
        <v>21</v>
      </c>
      <c r="I119">
        <v>0</v>
      </c>
      <c r="J119" t="s">
        <v>31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"2026-06-02 22:36:59.899"</f>
        <v>2026-06-02 22:36:59.899</v>
      </c>
      <c r="H120" t="s">
        <v>21</v>
      </c>
      <c r="I120">
        <v>0</v>
      </c>
      <c r="J120" t="s">
        <v>22</v>
      </c>
    </row>
    <row r="121" spans="1:10" x14ac:dyDescent="0.25">
      <c r="A121" s="1">
        <v>14</v>
      </c>
      <c r="B121" t="s">
        <v>19</v>
      </c>
      <c r="C121">
        <v>706</v>
      </c>
      <c r="D121">
        <v>4</v>
      </c>
      <c r="E121" t="s">
        <v>29</v>
      </c>
      <c r="F121" t="s">
        <v>30</v>
      </c>
      <c r="G121" t="str">
        <f>"2026-06-02 22:01:09.218"</f>
        <v>2026-06-02 22:01:09.218</v>
      </c>
      <c r="H121" t="s">
        <v>21</v>
      </c>
      <c r="I121">
        <v>0</v>
      </c>
      <c r="J121" t="s">
        <v>31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"2026-06-02 21:37:59.868"</f>
        <v>2026-06-02 21:37:59.868</v>
      </c>
      <c r="H122" t="s">
        <v>21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"2026-06-02 20:50:28.875"</f>
        <v>2026-06-02 20:50:28.875</v>
      </c>
      <c r="H123" t="s">
        <v>21</v>
      </c>
    </row>
    <row r="124" spans="1:10" x14ac:dyDescent="0.25">
      <c r="A124" s="1">
        <v>17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"2026-06-02 20:10:49.028"</f>
        <v>2026-06-02 20:10:49.028</v>
      </c>
      <c r="H124" t="s">
        <v>21</v>
      </c>
      <c r="I124">
        <v>0</v>
      </c>
      <c r="J124" t="s">
        <v>22</v>
      </c>
    </row>
    <row r="125" spans="1:10" x14ac:dyDescent="0.25">
      <c r="A125" s="1">
        <v>18</v>
      </c>
      <c r="B125" t="s">
        <v>19</v>
      </c>
      <c r="C125">
        <v>706</v>
      </c>
      <c r="D125">
        <v>4</v>
      </c>
      <c r="E125" t="s">
        <v>29</v>
      </c>
      <c r="F125" t="s">
        <v>30</v>
      </c>
      <c r="G125" t="str">
        <f>"2026-06-02 16:12:11.810"</f>
        <v>2026-06-02 16:12:11.810</v>
      </c>
      <c r="H125" t="s">
        <v>21</v>
      </c>
      <c r="I125">
        <v>0</v>
      </c>
      <c r="J125" t="s">
        <v>31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"2026-06-02 15:49:25.870"</f>
        <v>2026-06-02 15:49:25.870</v>
      </c>
      <c r="H126" t="s">
        <v>21</v>
      </c>
      <c r="I126">
        <v>0</v>
      </c>
      <c r="J126" t="s">
        <v>22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"2026-06-02 15:23:46.885"</f>
        <v>2026-06-02 15:23:46.885</v>
      </c>
      <c r="H127" t="s">
        <v>21</v>
      </c>
      <c r="I127">
        <v>0</v>
      </c>
      <c r="J127" t="s">
        <v>22</v>
      </c>
    </row>
    <row r="128" spans="1:10" x14ac:dyDescent="0.25">
      <c r="A128" s="1">
        <v>21</v>
      </c>
      <c r="B128" t="s">
        <v>23</v>
      </c>
      <c r="C128">
        <v>635</v>
      </c>
      <c r="D128">
        <v>1</v>
      </c>
      <c r="E128" t="s">
        <v>43</v>
      </c>
      <c r="F128" t="s">
        <v>25</v>
      </c>
      <c r="G128" t="str">
        <f>"2026-06-02 12:46:45.542"</f>
        <v>2026-06-02 12:46:45.542</v>
      </c>
      <c r="H128" t="s">
        <v>21</v>
      </c>
    </row>
    <row r="129" spans="1:10" x14ac:dyDescent="0.25">
      <c r="A129" s="1">
        <v>22</v>
      </c>
      <c r="B129" t="s">
        <v>27</v>
      </c>
      <c r="C129">
        <v>635</v>
      </c>
      <c r="D129">
        <v>1</v>
      </c>
      <c r="E129" t="s">
        <v>43</v>
      </c>
      <c r="F129" t="s">
        <v>25</v>
      </c>
      <c r="G129" t="str">
        <f>"2026-06-02 12:42:45.042"</f>
        <v>2026-06-02 12:42:45.042</v>
      </c>
      <c r="H129" t="s">
        <v>21</v>
      </c>
      <c r="I129">
        <v>0.94</v>
      </c>
      <c r="J129" t="s">
        <v>42</v>
      </c>
    </row>
    <row r="130" spans="1:10" x14ac:dyDescent="0.25">
      <c r="A130" s="1">
        <v>24</v>
      </c>
      <c r="B130" t="s">
        <v>23</v>
      </c>
      <c r="C130">
        <v>635</v>
      </c>
      <c r="D130">
        <v>1</v>
      </c>
      <c r="E130" t="s">
        <v>43</v>
      </c>
      <c r="F130" t="s">
        <v>25</v>
      </c>
      <c r="G130" t="str">
        <f>"2026-06-01 19:13:00.642"</f>
        <v>2026-06-01 19:13:00.642</v>
      </c>
      <c r="H130" t="s">
        <v>21</v>
      </c>
    </row>
    <row r="131" spans="1:10" x14ac:dyDescent="0.25">
      <c r="A131" s="1">
        <v>25</v>
      </c>
      <c r="B131" t="s">
        <v>27</v>
      </c>
      <c r="C131">
        <v>635</v>
      </c>
      <c r="D131">
        <v>1</v>
      </c>
      <c r="E131" t="s">
        <v>43</v>
      </c>
      <c r="F131" t="s">
        <v>25</v>
      </c>
      <c r="G131" t="str">
        <f>"2026-06-01 19:09:02.642"</f>
        <v>2026-06-01 19:09:02.642</v>
      </c>
      <c r="H131" t="s">
        <v>21</v>
      </c>
      <c r="I131">
        <v>2.5</v>
      </c>
      <c r="J131" t="s">
        <v>37</v>
      </c>
    </row>
    <row r="132" spans="1:10" x14ac:dyDescent="0.25">
      <c r="A132" s="1">
        <v>26</v>
      </c>
      <c r="B132" t="s">
        <v>23</v>
      </c>
      <c r="C132">
        <v>635</v>
      </c>
      <c r="D132">
        <v>1</v>
      </c>
      <c r="E132" t="s">
        <v>43</v>
      </c>
      <c r="F132" t="s">
        <v>25</v>
      </c>
      <c r="G132" t="str">
        <f>"2026-05-31 23:53:41.442"</f>
        <v>2026-05-31 23:53:41.442</v>
      </c>
      <c r="H132" t="s">
        <v>21</v>
      </c>
    </row>
    <row r="133" spans="1:10" x14ac:dyDescent="0.25">
      <c r="A133" s="1">
        <v>27</v>
      </c>
      <c r="B133" t="s">
        <v>27</v>
      </c>
      <c r="C133">
        <v>635</v>
      </c>
      <c r="D133">
        <v>1</v>
      </c>
      <c r="E133" t="s">
        <v>43</v>
      </c>
      <c r="F133" t="s">
        <v>25</v>
      </c>
      <c r="G133" t="str">
        <f>"2026-05-31 23:47:53.542"</f>
        <v>2026-05-31 23:47:53.542</v>
      </c>
      <c r="H133" t="s">
        <v>21</v>
      </c>
      <c r="I133">
        <v>0</v>
      </c>
      <c r="J133" t="s">
        <v>28</v>
      </c>
    </row>
    <row r="134" spans="1:10" x14ac:dyDescent="0.25">
      <c r="A134" s="1">
        <v>28</v>
      </c>
      <c r="B134" t="s">
        <v>23</v>
      </c>
      <c r="C134">
        <v>635</v>
      </c>
      <c r="D134">
        <v>1</v>
      </c>
      <c r="E134" t="s">
        <v>43</v>
      </c>
      <c r="F134" t="s">
        <v>25</v>
      </c>
      <c r="G134" t="str">
        <f>"2026-05-31 18:20:56.342"</f>
        <v>2026-05-31 18:20:56.342</v>
      </c>
      <c r="H134" t="s">
        <v>21</v>
      </c>
    </row>
    <row r="135" spans="1:10" x14ac:dyDescent="0.25">
      <c r="A135" s="1">
        <v>29</v>
      </c>
      <c r="B135" t="s">
        <v>27</v>
      </c>
      <c r="C135">
        <v>635</v>
      </c>
      <c r="D135">
        <v>1</v>
      </c>
      <c r="E135" t="s">
        <v>43</v>
      </c>
      <c r="F135" t="s">
        <v>25</v>
      </c>
      <c r="G135" t="str">
        <f>"2026-05-31 18:11:55.842"</f>
        <v>2026-05-31 18:11:55.842</v>
      </c>
      <c r="H135" t="s">
        <v>21</v>
      </c>
      <c r="I135">
        <v>4.1900000000000004</v>
      </c>
      <c r="J135" t="s">
        <v>37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"2026-05-31 13:36:40.891"</f>
        <v>2026-05-31 13:36:40.891</v>
      </c>
      <c r="H136" t="s">
        <v>21</v>
      </c>
      <c r="I136">
        <v>0</v>
      </c>
      <c r="J136" t="s">
        <v>22</v>
      </c>
    </row>
    <row r="137" spans="1:10" x14ac:dyDescent="0.25">
      <c r="A137" s="1">
        <v>31</v>
      </c>
      <c r="B137" t="s">
        <v>23</v>
      </c>
      <c r="C137">
        <v>635</v>
      </c>
      <c r="D137">
        <v>1</v>
      </c>
      <c r="E137" t="s">
        <v>43</v>
      </c>
      <c r="F137" t="s">
        <v>25</v>
      </c>
      <c r="G137" t="str">
        <f>"2026-05-31 11:00:23.253"</f>
        <v>2026-05-31 11:00:23.253</v>
      </c>
      <c r="H137" t="s">
        <v>21</v>
      </c>
    </row>
    <row r="138" spans="1:10" x14ac:dyDescent="0.25">
      <c r="A138" s="1">
        <v>32</v>
      </c>
      <c r="B138" t="s">
        <v>27</v>
      </c>
      <c r="C138">
        <v>635</v>
      </c>
      <c r="D138">
        <v>1</v>
      </c>
      <c r="E138" t="s">
        <v>43</v>
      </c>
      <c r="F138" t="s">
        <v>25</v>
      </c>
      <c r="G138" t="str">
        <f>"2026-05-31 10:52:27.753"</f>
        <v>2026-05-31 10:52:27.753</v>
      </c>
      <c r="H138" t="s">
        <v>21</v>
      </c>
      <c r="I138">
        <v>1.17</v>
      </c>
      <c r="J138" t="s">
        <v>37</v>
      </c>
    </row>
    <row r="139" spans="1:10" x14ac:dyDescent="0.25">
      <c r="A139" s="1">
        <v>33</v>
      </c>
      <c r="B139" t="s">
        <v>23</v>
      </c>
      <c r="C139">
        <v>635</v>
      </c>
      <c r="D139">
        <v>1</v>
      </c>
      <c r="E139" t="s">
        <v>43</v>
      </c>
      <c r="F139" t="s">
        <v>25</v>
      </c>
      <c r="G139" t="str">
        <f>"2026-05-31 09:18:51.953"</f>
        <v>2026-05-31 09:18:51.953</v>
      </c>
      <c r="H139" t="s">
        <v>21</v>
      </c>
    </row>
    <row r="140" spans="1:10" x14ac:dyDescent="0.25">
      <c r="A140" s="1">
        <v>34</v>
      </c>
      <c r="B140" t="s">
        <v>27</v>
      </c>
      <c r="C140">
        <v>635</v>
      </c>
      <c r="D140">
        <v>1</v>
      </c>
      <c r="E140" t="s">
        <v>43</v>
      </c>
      <c r="F140" t="s">
        <v>25</v>
      </c>
      <c r="G140" t="str">
        <f>"2026-05-31 09:16:18.453"</f>
        <v>2026-05-31 09:16:18.453</v>
      </c>
      <c r="H140" t="s">
        <v>21</v>
      </c>
      <c r="I140">
        <v>-0.24</v>
      </c>
      <c r="J140" t="s">
        <v>28</v>
      </c>
    </row>
    <row r="141" spans="1:10" x14ac:dyDescent="0.25">
      <c r="A141" s="1">
        <v>35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"2026-05-30 06:39:49.898"</f>
        <v>2026-05-30 06:39:49.898</v>
      </c>
      <c r="H141" t="s">
        <v>21</v>
      </c>
    </row>
    <row r="142" spans="1:10" x14ac:dyDescent="0.25">
      <c r="A142" s="1">
        <v>36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"2026-05-29 13:53:01.884"</f>
        <v>2026-05-29 13:53:01.884</v>
      </c>
      <c r="H142" t="s">
        <v>21</v>
      </c>
      <c r="I142">
        <v>0</v>
      </c>
      <c r="J142" t="s">
        <v>22</v>
      </c>
    </row>
    <row r="143" spans="1:10" x14ac:dyDescent="0.25">
      <c r="A143" s="1">
        <v>37</v>
      </c>
      <c r="B143" t="s">
        <v>23</v>
      </c>
      <c r="C143">
        <v>635</v>
      </c>
      <c r="D143">
        <v>1</v>
      </c>
      <c r="E143" t="s">
        <v>43</v>
      </c>
      <c r="F143" t="s">
        <v>25</v>
      </c>
      <c r="G143" t="str">
        <f>"2026-05-29 08:45:16.228"</f>
        <v>2026-05-29 08:45:16.228</v>
      </c>
      <c r="H143" t="s">
        <v>21</v>
      </c>
    </row>
    <row r="144" spans="1:10" x14ac:dyDescent="0.25">
      <c r="A144" s="1">
        <v>38</v>
      </c>
      <c r="B144" t="s">
        <v>27</v>
      </c>
      <c r="C144">
        <v>635</v>
      </c>
      <c r="D144">
        <v>1</v>
      </c>
      <c r="E144" t="s">
        <v>43</v>
      </c>
      <c r="F144" t="s">
        <v>25</v>
      </c>
      <c r="G144" t="str">
        <f>"2026-05-29 08:34:17.228"</f>
        <v>2026-05-29 08:34:17.228</v>
      </c>
      <c r="H144" t="s">
        <v>21</v>
      </c>
      <c r="I144">
        <v>3.21</v>
      </c>
      <c r="J144" t="s">
        <v>42</v>
      </c>
    </row>
    <row r="145" spans="1:10" x14ac:dyDescent="0.25">
      <c r="A145" s="1">
        <v>39</v>
      </c>
      <c r="B145" t="s">
        <v>23</v>
      </c>
      <c r="C145">
        <v>635</v>
      </c>
      <c r="D145">
        <v>1</v>
      </c>
      <c r="E145" t="s">
        <v>43</v>
      </c>
      <c r="F145" t="s">
        <v>25</v>
      </c>
      <c r="G145" t="str">
        <f>"2026-05-28 22:34:11.628"</f>
        <v>2026-05-28 22:34:11.628</v>
      </c>
      <c r="H145" t="s">
        <v>21</v>
      </c>
    </row>
    <row r="146" spans="1:10" x14ac:dyDescent="0.25">
      <c r="A146" s="1">
        <v>40</v>
      </c>
      <c r="B146" t="s">
        <v>27</v>
      </c>
      <c r="C146">
        <v>635</v>
      </c>
      <c r="D146">
        <v>1</v>
      </c>
      <c r="E146" t="s">
        <v>43</v>
      </c>
      <c r="F146" t="s">
        <v>25</v>
      </c>
      <c r="G146" t="str">
        <f>"2026-05-28 22:30:22.128"</f>
        <v>2026-05-28 22:30:22.128</v>
      </c>
      <c r="H146" t="s">
        <v>21</v>
      </c>
      <c r="I146">
        <v>3.49</v>
      </c>
      <c r="J146" t="s">
        <v>37</v>
      </c>
    </row>
    <row r="147" spans="1:10" x14ac:dyDescent="0.25">
      <c r="A147" s="1">
        <v>41</v>
      </c>
      <c r="B147" t="s">
        <v>23</v>
      </c>
      <c r="C147">
        <v>635</v>
      </c>
      <c r="D147">
        <v>1</v>
      </c>
      <c r="E147" t="s">
        <v>43</v>
      </c>
      <c r="F147" t="s">
        <v>25</v>
      </c>
      <c r="G147" t="str">
        <f>"2026-05-27 22:48:51.928"</f>
        <v>2026-05-27 22:48:51.928</v>
      </c>
      <c r="H147" t="s">
        <v>21</v>
      </c>
    </row>
    <row r="148" spans="1:10" x14ac:dyDescent="0.25">
      <c r="A148" s="1">
        <v>42</v>
      </c>
      <c r="B148" t="s">
        <v>27</v>
      </c>
      <c r="C148">
        <v>635</v>
      </c>
      <c r="D148">
        <v>1</v>
      </c>
      <c r="E148" t="s">
        <v>43</v>
      </c>
      <c r="F148" t="s">
        <v>25</v>
      </c>
      <c r="G148" t="str">
        <f>"2026-05-27 22:44:27.528"</f>
        <v>2026-05-27 22:44:27.528</v>
      </c>
      <c r="H148" t="s">
        <v>21</v>
      </c>
      <c r="I148">
        <v>-0.92</v>
      </c>
      <c r="J148" t="s">
        <v>37</v>
      </c>
    </row>
    <row r="149" spans="1:10" x14ac:dyDescent="0.25">
      <c r="A149" s="1">
        <v>43</v>
      </c>
      <c r="B149" t="s">
        <v>23</v>
      </c>
      <c r="C149">
        <v>635</v>
      </c>
      <c r="D149">
        <v>1</v>
      </c>
      <c r="E149" t="s">
        <v>43</v>
      </c>
      <c r="F149" t="s">
        <v>25</v>
      </c>
      <c r="G149" t="str">
        <f>"2026-05-27 22:08:40.528"</f>
        <v>2026-05-27 22:08:40.528</v>
      </c>
      <c r="H149" t="s">
        <v>21</v>
      </c>
    </row>
    <row r="150" spans="1:10" x14ac:dyDescent="0.25">
      <c r="A150" s="1">
        <v>44</v>
      </c>
      <c r="B150" t="s">
        <v>27</v>
      </c>
      <c r="C150">
        <v>635</v>
      </c>
      <c r="D150">
        <v>1</v>
      </c>
      <c r="E150" t="s">
        <v>43</v>
      </c>
      <c r="F150" t="s">
        <v>25</v>
      </c>
      <c r="G150" t="str">
        <f>"2026-05-27 22:06:05.028"</f>
        <v>2026-05-27 22:06:05.028</v>
      </c>
      <c r="H150" t="s">
        <v>21</v>
      </c>
      <c r="I150">
        <v>5.05</v>
      </c>
      <c r="J150" t="s">
        <v>42</v>
      </c>
    </row>
    <row r="151" spans="1:10" x14ac:dyDescent="0.25">
      <c r="A151" s="1">
        <v>45</v>
      </c>
      <c r="B151" t="s">
        <v>19</v>
      </c>
      <c r="C151">
        <v>706</v>
      </c>
      <c r="D151">
        <v>2</v>
      </c>
      <c r="E151" t="s">
        <v>29</v>
      </c>
      <c r="F151" t="s">
        <v>44</v>
      </c>
      <c r="G151" t="str">
        <f>"2026-05-27 16:00:47.703"</f>
        <v>2026-05-27 16:00:47.703</v>
      </c>
      <c r="H151" t="s">
        <v>21</v>
      </c>
      <c r="I151">
        <v>0</v>
      </c>
      <c r="J151" t="s">
        <v>31</v>
      </c>
    </row>
    <row r="152" spans="1:10" x14ac:dyDescent="0.25">
      <c r="A152" s="1">
        <v>46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"2026-05-27 15:59:56.973"</f>
        <v>2026-05-27 15:59:56.973</v>
      </c>
      <c r="H152" t="s">
        <v>21</v>
      </c>
      <c r="I152">
        <v>0</v>
      </c>
      <c r="J152" t="s">
        <v>22</v>
      </c>
    </row>
    <row r="153" spans="1:10" x14ac:dyDescent="0.25">
      <c r="A153" s="1">
        <v>47</v>
      </c>
      <c r="B153" t="s">
        <v>19</v>
      </c>
      <c r="C153">
        <v>706</v>
      </c>
      <c r="D153">
        <v>2</v>
      </c>
      <c r="E153" t="s">
        <v>29</v>
      </c>
      <c r="F153" t="s">
        <v>44</v>
      </c>
      <c r="G153" t="str">
        <f>"2026-05-27 11:03:19.934"</f>
        <v>2026-05-27 11:03:19.934</v>
      </c>
      <c r="H153" t="s">
        <v>21</v>
      </c>
      <c r="I153">
        <v>0</v>
      </c>
      <c r="J153" t="s">
        <v>31</v>
      </c>
    </row>
    <row r="154" spans="1:10" x14ac:dyDescent="0.25">
      <c r="A154" s="1">
        <v>48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"2026-05-27 11:01:34.014"</f>
        <v>2026-05-27 11:01:34.014</v>
      </c>
      <c r="H154" t="s">
        <v>21</v>
      </c>
    </row>
    <row r="155" spans="1:10" x14ac:dyDescent="0.25">
      <c r="A155" s="1">
        <v>49</v>
      </c>
      <c r="B155" t="s">
        <v>23</v>
      </c>
      <c r="C155">
        <v>61</v>
      </c>
      <c r="D155">
        <v>2</v>
      </c>
      <c r="E155" t="s">
        <v>47</v>
      </c>
      <c r="F155" t="s">
        <v>48</v>
      </c>
      <c r="G155" t="str">
        <f>"2026-05-27 07:33:18.902"</f>
        <v>2026-05-27 07:33:18.902</v>
      </c>
      <c r="H155" t="s">
        <v>21</v>
      </c>
    </row>
    <row r="156" spans="1:10" x14ac:dyDescent="0.25">
      <c r="A156" s="1">
        <v>50</v>
      </c>
      <c r="B156" t="s">
        <v>36</v>
      </c>
      <c r="C156">
        <v>61</v>
      </c>
      <c r="D156">
        <v>2</v>
      </c>
      <c r="E156" t="s">
        <v>47</v>
      </c>
      <c r="F156" t="s">
        <v>48</v>
      </c>
      <c r="G156" t="str">
        <f>"2026-05-27 07:33:06.902"</f>
        <v>2026-05-27 07:33:06.902</v>
      </c>
      <c r="H156" t="s">
        <v>21</v>
      </c>
      <c r="I156">
        <v>29.28</v>
      </c>
      <c r="J156" t="s">
        <v>42</v>
      </c>
    </row>
    <row r="157" spans="1:10" x14ac:dyDescent="0.25">
      <c r="A157" s="1">
        <v>51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"2026-05-26 17:02:56.890"</f>
        <v>2026-05-26 17:02:56.890</v>
      </c>
      <c r="H157" t="s">
        <v>21</v>
      </c>
      <c r="I157">
        <v>0</v>
      </c>
      <c r="J157" t="s">
        <v>22</v>
      </c>
    </row>
    <row r="158" spans="1:10" s="3" customFormat="1" x14ac:dyDescent="0.25">
      <c r="A158" s="2">
        <v>52</v>
      </c>
      <c r="B158" s="3" t="s">
        <v>23</v>
      </c>
      <c r="C158" s="3">
        <v>647</v>
      </c>
      <c r="D158" s="3">
        <v>1</v>
      </c>
      <c r="E158" s="3" t="s">
        <v>40</v>
      </c>
      <c r="F158" s="3" t="s">
        <v>41</v>
      </c>
      <c r="G158" s="3" t="str">
        <f>"2026-05-26 11:34:02.114"</f>
        <v>2026-05-26 11:34:02.114</v>
      </c>
      <c r="H158" s="3" t="s">
        <v>21</v>
      </c>
    </row>
    <row r="159" spans="1:10" s="3" customFormat="1" x14ac:dyDescent="0.25">
      <c r="A159" s="2">
        <v>53</v>
      </c>
      <c r="B159" s="3" t="s">
        <v>27</v>
      </c>
      <c r="C159" s="3">
        <v>647</v>
      </c>
      <c r="D159" s="3">
        <v>1</v>
      </c>
      <c r="E159" s="3" t="s">
        <v>40</v>
      </c>
      <c r="F159" s="3" t="s">
        <v>41</v>
      </c>
      <c r="G159" s="3" t="str">
        <f>"2026-05-26 11:33:57.415"</f>
        <v>2026-05-26 11:33:57.415</v>
      </c>
      <c r="H159" s="3" t="s">
        <v>21</v>
      </c>
      <c r="I159" s="3">
        <v>14.12</v>
      </c>
      <c r="J159" s="3" t="s">
        <v>42</v>
      </c>
    </row>
    <row r="160" spans="1:10" x14ac:dyDescent="0.25">
      <c r="A160" s="1">
        <v>54</v>
      </c>
      <c r="B160" t="s">
        <v>19</v>
      </c>
      <c r="C160">
        <v>706</v>
      </c>
      <c r="D160">
        <v>2</v>
      </c>
      <c r="E160" t="s">
        <v>29</v>
      </c>
      <c r="F160" t="s">
        <v>44</v>
      </c>
      <c r="G160" t="str">
        <f>"2026-05-26 08:54:03.383"</f>
        <v>2026-05-26 08:54:03.383</v>
      </c>
      <c r="H160" t="s">
        <v>21</v>
      </c>
      <c r="I160">
        <v>0</v>
      </c>
      <c r="J160" t="s">
        <v>31</v>
      </c>
    </row>
    <row r="161" spans="1:10" x14ac:dyDescent="0.25">
      <c r="A161" s="1">
        <v>55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"2026-05-26 08:51:43.003"</f>
        <v>2026-05-26 08:51:43.003</v>
      </c>
      <c r="H161" t="s">
        <v>21</v>
      </c>
      <c r="I161">
        <v>0</v>
      </c>
      <c r="J161" t="s">
        <v>22</v>
      </c>
    </row>
    <row r="162" spans="1:10" x14ac:dyDescent="0.25">
      <c r="A162" s="1">
        <v>56</v>
      </c>
      <c r="B162" t="s">
        <v>23</v>
      </c>
      <c r="C162">
        <v>61</v>
      </c>
      <c r="D162">
        <v>2</v>
      </c>
      <c r="E162" t="s">
        <v>47</v>
      </c>
      <c r="F162" t="s">
        <v>48</v>
      </c>
      <c r="G162" t="str">
        <f>"2026-05-26 07:31:49.909"</f>
        <v>2026-05-26 07:31:49.909</v>
      </c>
      <c r="H162" t="s">
        <v>21</v>
      </c>
    </row>
    <row r="163" spans="1:10" x14ac:dyDescent="0.25">
      <c r="A163" s="1">
        <v>57</v>
      </c>
      <c r="B163" t="s">
        <v>36</v>
      </c>
      <c r="C163">
        <v>61</v>
      </c>
      <c r="D163">
        <v>2</v>
      </c>
      <c r="E163" t="s">
        <v>47</v>
      </c>
      <c r="F163" t="s">
        <v>48</v>
      </c>
      <c r="G163" t="str">
        <f>"2026-05-26 07:31:36.010"</f>
        <v>2026-05-26 07:31:36.010</v>
      </c>
      <c r="H163" t="s">
        <v>21</v>
      </c>
      <c r="I163">
        <v>30.92</v>
      </c>
      <c r="J163" t="s">
        <v>42</v>
      </c>
    </row>
    <row r="164" spans="1:10" x14ac:dyDescent="0.25">
      <c r="A164" s="1">
        <v>58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"2026-05-25 23:45:13.898"</f>
        <v>2026-05-25 23:45:13.898</v>
      </c>
      <c r="H164" t="s">
        <v>21</v>
      </c>
      <c r="I164">
        <v>0</v>
      </c>
      <c r="J164" t="s">
        <v>22</v>
      </c>
    </row>
    <row r="165" spans="1:10" x14ac:dyDescent="0.25">
      <c r="A165" s="1">
        <v>60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"2026-05-25 20:42:12.956"</f>
        <v>2026-05-25 20:42:12.956</v>
      </c>
      <c r="H165" t="s">
        <v>21</v>
      </c>
      <c r="I165">
        <v>0</v>
      </c>
      <c r="J165" t="s">
        <v>22</v>
      </c>
    </row>
    <row r="166" spans="1:10" x14ac:dyDescent="0.25">
      <c r="A166" s="1">
        <v>61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"2026-05-25 20:33:51.860"</f>
        <v>2026-05-25 20:33:51.860</v>
      </c>
      <c r="H166" t="s">
        <v>21</v>
      </c>
    </row>
    <row r="167" spans="1:10" x14ac:dyDescent="0.25">
      <c r="A167" s="1">
        <v>62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"2026-05-25 18:41:26.900"</f>
        <v>2026-05-25 18:41:26.900</v>
      </c>
      <c r="H167" t="s">
        <v>21</v>
      </c>
      <c r="I167">
        <v>0</v>
      </c>
      <c r="J167" t="s">
        <v>22</v>
      </c>
    </row>
    <row r="168" spans="1:10" x14ac:dyDescent="0.25">
      <c r="A168" s="1">
        <v>63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"2026-05-25 15:51:28.862"</f>
        <v>2026-05-25 15:51:28.862</v>
      </c>
      <c r="H168" t="s">
        <v>21</v>
      </c>
    </row>
    <row r="169" spans="1:10" x14ac:dyDescent="0.25">
      <c r="A169" s="1">
        <v>64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"2026-05-25 09:52:29.876"</f>
        <v>2026-05-25 09:52:29.876</v>
      </c>
      <c r="H169" t="s">
        <v>21</v>
      </c>
      <c r="I169">
        <v>0</v>
      </c>
      <c r="J169" t="s">
        <v>22</v>
      </c>
    </row>
    <row r="170" spans="1:10" x14ac:dyDescent="0.25">
      <c r="A170" s="1">
        <v>65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"2026-05-25 08:59:32.874"</f>
        <v>2026-05-25 08:59:32.874</v>
      </c>
      <c r="H170" t="s">
        <v>21</v>
      </c>
      <c r="I170">
        <v>0</v>
      </c>
      <c r="J170" t="s">
        <v>22</v>
      </c>
    </row>
    <row r="171" spans="1:10" x14ac:dyDescent="0.25">
      <c r="A171" s="1">
        <v>66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"2026-05-25 08:36:20.883"</f>
        <v>2026-05-25 08:36:20.883</v>
      </c>
      <c r="H171" t="s">
        <v>21</v>
      </c>
      <c r="I171">
        <v>0</v>
      </c>
      <c r="J171" t="s">
        <v>22</v>
      </c>
    </row>
    <row r="172" spans="1:10" x14ac:dyDescent="0.25">
      <c r="A172" s="1">
        <v>67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"2026-05-25 06:01:45.866"</f>
        <v>2026-05-25 06:01:45.866</v>
      </c>
      <c r="H172" t="s">
        <v>21</v>
      </c>
    </row>
    <row r="173" spans="1:10" x14ac:dyDescent="0.25">
      <c r="A173" s="1">
        <v>68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"2026-05-25 05:47:35.093"</f>
        <v>2026-05-25 05:47:35.093</v>
      </c>
      <c r="H173" t="s">
        <v>21</v>
      </c>
      <c r="I173">
        <v>0</v>
      </c>
      <c r="J173" t="s">
        <v>22</v>
      </c>
    </row>
    <row r="174" spans="1:10" x14ac:dyDescent="0.25">
      <c r="A174" s="1">
        <v>69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"2026-05-24 13:35:08.937"</f>
        <v>2026-05-24 13:35:08.937</v>
      </c>
      <c r="H174" t="s">
        <v>21</v>
      </c>
      <c r="I174">
        <v>0</v>
      </c>
      <c r="J174" t="s">
        <v>22</v>
      </c>
    </row>
    <row r="175" spans="1:10" x14ac:dyDescent="0.25">
      <c r="A175" s="1">
        <v>70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"2026-05-24 13:08:26.861"</f>
        <v>2026-05-24 13:08:26.861</v>
      </c>
      <c r="H175" t="s">
        <v>21</v>
      </c>
    </row>
    <row r="176" spans="1:10" x14ac:dyDescent="0.25">
      <c r="A176" s="1">
        <v>71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"2026-05-24 11:40:29.007"</f>
        <v>2026-05-24 11:40:29.007</v>
      </c>
      <c r="H176" t="s">
        <v>21</v>
      </c>
    </row>
    <row r="177" spans="1:10" x14ac:dyDescent="0.25">
      <c r="A177" s="1">
        <v>72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"2026-05-24 01:16:35.902"</f>
        <v>2026-05-24 01:16:35.902</v>
      </c>
      <c r="H177" t="s">
        <v>21</v>
      </c>
      <c r="I177">
        <v>0</v>
      </c>
      <c r="J177" t="s">
        <v>22</v>
      </c>
    </row>
    <row r="178" spans="1:10" x14ac:dyDescent="0.25">
      <c r="A178" s="1">
        <v>73</v>
      </c>
      <c r="B178" t="s">
        <v>23</v>
      </c>
      <c r="C178">
        <v>635</v>
      </c>
      <c r="D178">
        <v>1</v>
      </c>
      <c r="E178" t="s">
        <v>43</v>
      </c>
      <c r="F178" t="s">
        <v>25</v>
      </c>
      <c r="G178" t="str">
        <f>"2026-05-23 18:12:17.804"</f>
        <v>2026-05-23 18:12:17.804</v>
      </c>
      <c r="H178" t="s">
        <v>21</v>
      </c>
    </row>
    <row r="179" spans="1:10" x14ac:dyDescent="0.25">
      <c r="A179" s="1">
        <v>74</v>
      </c>
      <c r="B179" t="s">
        <v>27</v>
      </c>
      <c r="C179">
        <v>635</v>
      </c>
      <c r="D179">
        <v>1</v>
      </c>
      <c r="E179" t="s">
        <v>43</v>
      </c>
      <c r="F179" t="s">
        <v>25</v>
      </c>
      <c r="G179" t="str">
        <f>"2026-05-23 18:08:21.804"</f>
        <v>2026-05-23 18:08:21.804</v>
      </c>
      <c r="H179" t="s">
        <v>21</v>
      </c>
      <c r="I179">
        <v>9.18</v>
      </c>
      <c r="J179" t="s">
        <v>42</v>
      </c>
    </row>
    <row r="180" spans="1:10" x14ac:dyDescent="0.25">
      <c r="A180" s="1">
        <v>75</v>
      </c>
      <c r="B180" t="s">
        <v>23</v>
      </c>
      <c r="C180">
        <v>635</v>
      </c>
      <c r="D180">
        <v>1</v>
      </c>
      <c r="E180" t="s">
        <v>43</v>
      </c>
      <c r="F180" t="s">
        <v>25</v>
      </c>
      <c r="G180" t="str">
        <f>"2026-05-23 14:22:58.904"</f>
        <v>2026-05-23 14:22:58.904</v>
      </c>
      <c r="H180" t="s">
        <v>21</v>
      </c>
    </row>
    <row r="181" spans="1:10" x14ac:dyDescent="0.25">
      <c r="A181" s="1">
        <v>76</v>
      </c>
      <c r="B181" t="s">
        <v>27</v>
      </c>
      <c r="C181">
        <v>635</v>
      </c>
      <c r="D181">
        <v>1</v>
      </c>
      <c r="E181" t="s">
        <v>43</v>
      </c>
      <c r="F181" t="s">
        <v>25</v>
      </c>
      <c r="G181" t="str">
        <f>"2026-05-23 14:18:47.904"</f>
        <v>2026-05-23 14:18:47.904</v>
      </c>
      <c r="H181" t="s">
        <v>21</v>
      </c>
      <c r="I181">
        <v>6.93</v>
      </c>
      <c r="J181" t="s">
        <v>37</v>
      </c>
    </row>
    <row r="182" spans="1:10" x14ac:dyDescent="0.25">
      <c r="A182" s="1">
        <v>77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"2026-05-23 13:49:08.907"</f>
        <v>2026-05-23 13:49:08.907</v>
      </c>
      <c r="H182" t="s">
        <v>21</v>
      </c>
      <c r="I182">
        <v>0</v>
      </c>
      <c r="J182" t="s">
        <v>22</v>
      </c>
    </row>
    <row r="183" spans="1:10" x14ac:dyDescent="0.25">
      <c r="A183" s="1">
        <v>78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"2026-05-22 22:40:06.880"</f>
        <v>2026-05-22 22:40:06.880</v>
      </c>
      <c r="H183" t="s">
        <v>21</v>
      </c>
    </row>
    <row r="184" spans="1:10" x14ac:dyDescent="0.25">
      <c r="A184" s="1">
        <v>79</v>
      </c>
      <c r="B184" t="s">
        <v>19</v>
      </c>
      <c r="C184">
        <v>706</v>
      </c>
      <c r="D184">
        <v>4</v>
      </c>
      <c r="E184" t="s">
        <v>29</v>
      </c>
      <c r="F184" t="s">
        <v>30</v>
      </c>
      <c r="G184" t="str">
        <f>"2026-05-22 22:09:52.180"</f>
        <v>2026-05-22 22:09:52.180</v>
      </c>
      <c r="H184" t="s">
        <v>21</v>
      </c>
      <c r="I184">
        <v>0</v>
      </c>
      <c r="J184" t="s">
        <v>31</v>
      </c>
    </row>
    <row r="185" spans="1:10" x14ac:dyDescent="0.25">
      <c r="A185" s="1">
        <v>80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"2026-05-22 21:35:39.880"</f>
        <v>2026-05-22 21:35:39.880</v>
      </c>
      <c r="H185" t="s">
        <v>21</v>
      </c>
      <c r="I185">
        <v>0</v>
      </c>
      <c r="J185" t="s">
        <v>22</v>
      </c>
    </row>
    <row r="186" spans="1:10" x14ac:dyDescent="0.25">
      <c r="A186" s="1">
        <v>81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"2026-05-22 20:53:29.987"</f>
        <v>2026-05-22 20:53:29.987</v>
      </c>
      <c r="H186" t="s">
        <v>21</v>
      </c>
    </row>
    <row r="187" spans="1:10" s="3" customFormat="1" x14ac:dyDescent="0.25">
      <c r="A187" s="2">
        <v>82</v>
      </c>
      <c r="B187" s="3" t="s">
        <v>23</v>
      </c>
      <c r="C187" s="3">
        <v>647</v>
      </c>
      <c r="D187" s="3">
        <v>1</v>
      </c>
      <c r="E187" s="3" t="s">
        <v>40</v>
      </c>
      <c r="F187" s="3" t="s">
        <v>41</v>
      </c>
      <c r="G187" s="3" t="str">
        <f>"2026-05-22 10:41:40.017"</f>
        <v>2026-05-22 10:41:40.017</v>
      </c>
      <c r="H187" s="3" t="s">
        <v>21</v>
      </c>
    </row>
    <row r="188" spans="1:10" s="3" customFormat="1" x14ac:dyDescent="0.25">
      <c r="A188" s="2">
        <v>83</v>
      </c>
      <c r="B188" s="3" t="s">
        <v>27</v>
      </c>
      <c r="C188" s="3">
        <v>647</v>
      </c>
      <c r="D188" s="3">
        <v>1</v>
      </c>
      <c r="E188" s="3" t="s">
        <v>40</v>
      </c>
      <c r="F188" s="3" t="s">
        <v>41</v>
      </c>
      <c r="G188" s="3" t="str">
        <f>"2026-05-22 10:41:35.917"</f>
        <v>2026-05-22 10:41:35.917</v>
      </c>
      <c r="H188" s="3" t="s">
        <v>21</v>
      </c>
      <c r="I188" s="3">
        <v>23.35</v>
      </c>
      <c r="J188" s="3" t="s">
        <v>42</v>
      </c>
    </row>
    <row r="189" spans="1:10" x14ac:dyDescent="0.25">
      <c r="A189" s="1">
        <v>84</v>
      </c>
      <c r="B189" t="s">
        <v>23</v>
      </c>
      <c r="C189">
        <v>635</v>
      </c>
      <c r="D189">
        <v>1</v>
      </c>
      <c r="E189" t="s">
        <v>43</v>
      </c>
      <c r="F189" t="s">
        <v>25</v>
      </c>
      <c r="G189" t="str">
        <f>"2026-05-22 09:53:41.064"</f>
        <v>2026-05-22 09:53:41.064</v>
      </c>
      <c r="H189" t="s">
        <v>21</v>
      </c>
    </row>
    <row r="190" spans="1:10" x14ac:dyDescent="0.25">
      <c r="A190" s="1">
        <v>85</v>
      </c>
      <c r="B190" t="s">
        <v>27</v>
      </c>
      <c r="C190">
        <v>635</v>
      </c>
      <c r="D190">
        <v>1</v>
      </c>
      <c r="E190" t="s">
        <v>43</v>
      </c>
      <c r="F190" t="s">
        <v>25</v>
      </c>
      <c r="G190" t="str">
        <f>"2026-05-22 09:28:09.064"</f>
        <v>2026-05-22 09:28:09.064</v>
      </c>
      <c r="H190" t="s">
        <v>21</v>
      </c>
      <c r="I190">
        <v>5.8</v>
      </c>
      <c r="J190" t="s">
        <v>37</v>
      </c>
    </row>
    <row r="191" spans="1:10" x14ac:dyDescent="0.25">
      <c r="A191" s="1">
        <v>86</v>
      </c>
      <c r="B191" t="s">
        <v>23</v>
      </c>
      <c r="C191">
        <v>635</v>
      </c>
      <c r="D191">
        <v>1</v>
      </c>
      <c r="E191" t="s">
        <v>43</v>
      </c>
      <c r="F191" t="s">
        <v>25</v>
      </c>
      <c r="G191" t="str">
        <f>"2026-05-22 09:21:41.064"</f>
        <v>2026-05-22 09:21:41.064</v>
      </c>
      <c r="H191" t="s">
        <v>21</v>
      </c>
    </row>
    <row r="192" spans="1:10" x14ac:dyDescent="0.25">
      <c r="A192" s="1">
        <v>87</v>
      </c>
      <c r="B192" t="s">
        <v>27</v>
      </c>
      <c r="C192">
        <v>635</v>
      </c>
      <c r="D192">
        <v>1</v>
      </c>
      <c r="E192" t="s">
        <v>43</v>
      </c>
      <c r="F192" t="s">
        <v>25</v>
      </c>
      <c r="G192" t="str">
        <f>"2026-05-22 09:18:43.564"</f>
        <v>2026-05-22 09:18:43.564</v>
      </c>
      <c r="H192" t="s">
        <v>21</v>
      </c>
      <c r="I192">
        <v>4.82</v>
      </c>
      <c r="J192" t="s">
        <v>37</v>
      </c>
    </row>
    <row r="193" spans="1:10" s="3" customFormat="1" x14ac:dyDescent="0.25">
      <c r="A193" s="2">
        <v>88</v>
      </c>
      <c r="B193" s="3" t="s">
        <v>23</v>
      </c>
      <c r="C193" s="3">
        <v>647</v>
      </c>
      <c r="D193" s="3">
        <v>1</v>
      </c>
      <c r="E193" s="3" t="s">
        <v>40</v>
      </c>
      <c r="F193" s="3" t="s">
        <v>41</v>
      </c>
      <c r="G193" s="3" t="str">
        <f>"2026-05-22 07:57:54.217"</f>
        <v>2026-05-22 07:57:54.217</v>
      </c>
      <c r="H193" s="3" t="s">
        <v>21</v>
      </c>
    </row>
    <row r="194" spans="1:10" s="3" customFormat="1" x14ac:dyDescent="0.25">
      <c r="A194" s="2">
        <v>89</v>
      </c>
      <c r="B194" s="3" t="s">
        <v>27</v>
      </c>
      <c r="C194" s="3">
        <v>647</v>
      </c>
      <c r="D194" s="3">
        <v>1</v>
      </c>
      <c r="E194" s="3" t="s">
        <v>40</v>
      </c>
      <c r="F194" s="3" t="s">
        <v>41</v>
      </c>
      <c r="G194" s="3" t="str">
        <f>"2026-05-22 07:57:51.917"</f>
        <v>2026-05-22 07:57:51.917</v>
      </c>
      <c r="H194" s="3" t="s">
        <v>21</v>
      </c>
      <c r="I194" s="3">
        <v>9.49</v>
      </c>
      <c r="J194" s="3" t="s">
        <v>42</v>
      </c>
    </row>
    <row r="195" spans="1:10" x14ac:dyDescent="0.25">
      <c r="A195" s="1">
        <v>90</v>
      </c>
      <c r="B195" t="s">
        <v>23</v>
      </c>
      <c r="C195">
        <v>635</v>
      </c>
      <c r="D195">
        <v>1</v>
      </c>
      <c r="E195" t="s">
        <v>43</v>
      </c>
      <c r="F195" t="s">
        <v>25</v>
      </c>
      <c r="G195" t="str">
        <f>"2026-05-22 06:59:55.964"</f>
        <v>2026-05-22 06:59:55.964</v>
      </c>
      <c r="H195" t="s">
        <v>21</v>
      </c>
    </row>
    <row r="196" spans="1:10" x14ac:dyDescent="0.25">
      <c r="A196" s="1">
        <v>91</v>
      </c>
      <c r="B196" t="s">
        <v>27</v>
      </c>
      <c r="C196">
        <v>635</v>
      </c>
      <c r="D196">
        <v>1</v>
      </c>
      <c r="E196" t="s">
        <v>43</v>
      </c>
      <c r="F196" t="s">
        <v>25</v>
      </c>
      <c r="G196" t="str">
        <f>"2026-05-22 06:57:11.964"</f>
        <v>2026-05-22 06:57:11.964</v>
      </c>
      <c r="H196" t="s">
        <v>21</v>
      </c>
      <c r="I196">
        <v>1.64</v>
      </c>
      <c r="J196" t="s">
        <v>37</v>
      </c>
    </row>
    <row r="197" spans="1:10" x14ac:dyDescent="0.25">
      <c r="A197" s="1">
        <v>92</v>
      </c>
      <c r="B197" t="s">
        <v>19</v>
      </c>
      <c r="C197">
        <v>706</v>
      </c>
      <c r="D197">
        <v>4</v>
      </c>
      <c r="E197" t="s">
        <v>29</v>
      </c>
      <c r="F197" t="s">
        <v>30</v>
      </c>
      <c r="G197" t="str">
        <f>"2026-05-21 14:09:15.956"</f>
        <v>2026-05-21 14:09:15.956</v>
      </c>
      <c r="H197" t="s">
        <v>21</v>
      </c>
      <c r="I197">
        <v>0</v>
      </c>
      <c r="J197" t="s">
        <v>31</v>
      </c>
    </row>
    <row r="198" spans="1:10" x14ac:dyDescent="0.25">
      <c r="A198" s="1">
        <v>93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"2026-05-21 13:30:17.906"</f>
        <v>2026-05-21 13:30:17.906</v>
      </c>
      <c r="H198" t="s">
        <v>21</v>
      </c>
      <c r="I198">
        <v>0</v>
      </c>
      <c r="J198" t="s">
        <v>22</v>
      </c>
    </row>
    <row r="199" spans="1:10" s="3" customFormat="1" x14ac:dyDescent="0.25">
      <c r="A199" s="2">
        <v>94</v>
      </c>
      <c r="B199" s="3" t="s">
        <v>23</v>
      </c>
      <c r="C199" s="3">
        <v>647</v>
      </c>
      <c r="D199" s="3">
        <v>1</v>
      </c>
      <c r="E199" s="3" t="s">
        <v>40</v>
      </c>
      <c r="F199" s="3" t="s">
        <v>41</v>
      </c>
      <c r="G199" s="3" t="str">
        <f>"2026-05-21 10:09:33.973"</f>
        <v>2026-05-21 10:09:33.973</v>
      </c>
      <c r="H199" s="3" t="s">
        <v>21</v>
      </c>
    </row>
    <row r="200" spans="1:10" s="3" customFormat="1" x14ac:dyDescent="0.25">
      <c r="A200" s="2">
        <v>95</v>
      </c>
      <c r="B200" s="3" t="s">
        <v>27</v>
      </c>
      <c r="C200" s="3">
        <v>647</v>
      </c>
      <c r="D200" s="3">
        <v>1</v>
      </c>
      <c r="E200" s="3" t="s">
        <v>40</v>
      </c>
      <c r="F200" s="3" t="s">
        <v>41</v>
      </c>
      <c r="G200" s="3" t="str">
        <f>"2026-05-21 10:09:32.073"</f>
        <v>2026-05-21 10:09:32.073</v>
      </c>
      <c r="H200" s="3" t="s">
        <v>21</v>
      </c>
      <c r="I200" s="3">
        <v>9.2799999999999994</v>
      </c>
      <c r="J200" s="3" t="s">
        <v>28</v>
      </c>
    </row>
    <row r="201" spans="1:10" s="3" customFormat="1" x14ac:dyDescent="0.25">
      <c r="A201" s="2">
        <v>96</v>
      </c>
      <c r="B201" s="3" t="s">
        <v>23</v>
      </c>
      <c r="C201" s="3">
        <v>647</v>
      </c>
      <c r="D201" s="3">
        <v>1</v>
      </c>
      <c r="E201" s="3" t="s">
        <v>40</v>
      </c>
      <c r="F201" s="3" t="s">
        <v>41</v>
      </c>
      <c r="G201" s="3" t="str">
        <f>"2026-05-21 10:09:30.573"</f>
        <v>2026-05-21 10:09:30.573</v>
      </c>
      <c r="H201" s="3" t="s">
        <v>21</v>
      </c>
    </row>
    <row r="202" spans="1:10" s="3" customFormat="1" x14ac:dyDescent="0.25">
      <c r="A202" s="2">
        <v>97</v>
      </c>
      <c r="B202" s="3" t="s">
        <v>27</v>
      </c>
      <c r="C202" s="3">
        <v>647</v>
      </c>
      <c r="D202" s="3">
        <v>1</v>
      </c>
      <c r="E202" s="3" t="s">
        <v>40</v>
      </c>
      <c r="F202" s="3" t="s">
        <v>41</v>
      </c>
      <c r="G202" s="3" t="str">
        <f>"2026-05-21 10:09:27.473"</f>
        <v>2026-05-21 10:09:27.473</v>
      </c>
      <c r="H202" s="3" t="s">
        <v>21</v>
      </c>
      <c r="I202" s="3">
        <v>17.079999999999998</v>
      </c>
      <c r="J202" s="3" t="s">
        <v>42</v>
      </c>
    </row>
    <row r="203" spans="1:10" s="3" customFormat="1" x14ac:dyDescent="0.25">
      <c r="A203" s="2">
        <v>98</v>
      </c>
      <c r="B203" s="3" t="s">
        <v>23</v>
      </c>
      <c r="C203" s="3">
        <v>647</v>
      </c>
      <c r="D203" s="3">
        <v>1</v>
      </c>
      <c r="E203" s="3" t="s">
        <v>40</v>
      </c>
      <c r="F203" s="3" t="s">
        <v>41</v>
      </c>
      <c r="G203" s="3" t="str">
        <f>"2026-05-21 10:09:25.373"</f>
        <v>2026-05-21 10:09:25.373</v>
      </c>
      <c r="H203" s="3" t="s">
        <v>21</v>
      </c>
    </row>
    <row r="204" spans="1:10" s="3" customFormat="1" x14ac:dyDescent="0.25">
      <c r="A204" s="2">
        <v>99</v>
      </c>
      <c r="B204" s="3" t="s">
        <v>27</v>
      </c>
      <c r="C204" s="3">
        <v>647</v>
      </c>
      <c r="D204" s="3">
        <v>1</v>
      </c>
      <c r="E204" s="3" t="s">
        <v>40</v>
      </c>
      <c r="F204" s="3" t="s">
        <v>41</v>
      </c>
      <c r="G204" s="3" t="str">
        <f>"2026-05-21 10:09:22.473"</f>
        <v>2026-05-21 10:09:22.473</v>
      </c>
      <c r="H204" s="3" t="s">
        <v>21</v>
      </c>
      <c r="I204" s="3">
        <v>21.55</v>
      </c>
      <c r="J204" s="3" t="s">
        <v>42</v>
      </c>
    </row>
    <row r="205" spans="1:10" x14ac:dyDescent="0.25">
      <c r="A205" s="1">
        <v>0</v>
      </c>
      <c r="B205" t="s">
        <v>23</v>
      </c>
      <c r="C205">
        <v>635</v>
      </c>
      <c r="D205">
        <v>1</v>
      </c>
      <c r="E205" t="s">
        <v>43</v>
      </c>
      <c r="F205" t="s">
        <v>25</v>
      </c>
      <c r="G205" t="str">
        <f>"2026-05-21 02:07:15.220"</f>
        <v>2026-05-21 02:07:15.220</v>
      </c>
      <c r="H205" t="s">
        <v>21</v>
      </c>
    </row>
    <row r="206" spans="1:10" x14ac:dyDescent="0.25">
      <c r="A206" s="1">
        <v>1</v>
      </c>
      <c r="B206" t="s">
        <v>27</v>
      </c>
      <c r="C206">
        <v>635</v>
      </c>
      <c r="D206">
        <v>1</v>
      </c>
      <c r="E206" t="s">
        <v>43</v>
      </c>
      <c r="F206" t="s">
        <v>25</v>
      </c>
      <c r="G206" t="str">
        <f>"2026-05-21 01:51:21.220"</f>
        <v>2026-05-21 01:51:21.220</v>
      </c>
      <c r="H206" t="s">
        <v>21</v>
      </c>
      <c r="I206">
        <v>1.82</v>
      </c>
      <c r="J206" t="s">
        <v>37</v>
      </c>
    </row>
    <row r="207" spans="1:10" x14ac:dyDescent="0.25">
      <c r="A207" s="1">
        <v>2</v>
      </c>
      <c r="B207" t="s">
        <v>23</v>
      </c>
      <c r="C207">
        <v>635</v>
      </c>
      <c r="D207">
        <v>1</v>
      </c>
      <c r="E207" t="s">
        <v>43</v>
      </c>
      <c r="F207" t="s">
        <v>25</v>
      </c>
      <c r="G207" t="str">
        <f>"2026-05-20 22:46:27.720"</f>
        <v>2026-05-20 22:46:27.720</v>
      </c>
      <c r="H207" t="s">
        <v>21</v>
      </c>
    </row>
    <row r="208" spans="1:10" x14ac:dyDescent="0.25">
      <c r="A208" s="1">
        <v>3</v>
      </c>
      <c r="B208" t="s">
        <v>27</v>
      </c>
      <c r="C208">
        <v>635</v>
      </c>
      <c r="D208">
        <v>1</v>
      </c>
      <c r="E208" t="s">
        <v>43</v>
      </c>
      <c r="F208" t="s">
        <v>25</v>
      </c>
      <c r="G208" t="str">
        <f>"2026-05-20 22:37:21.220"</f>
        <v>2026-05-20 22:37:21.220</v>
      </c>
      <c r="H208" t="s">
        <v>21</v>
      </c>
      <c r="I208">
        <v>2.77</v>
      </c>
      <c r="J208" t="s">
        <v>37</v>
      </c>
    </row>
    <row r="209" spans="1:10" x14ac:dyDescent="0.25">
      <c r="A209" s="1">
        <v>4</v>
      </c>
      <c r="B209" t="s">
        <v>19</v>
      </c>
      <c r="C209">
        <v>706</v>
      </c>
      <c r="D209">
        <v>4</v>
      </c>
      <c r="E209" t="s">
        <v>29</v>
      </c>
      <c r="F209" t="s">
        <v>30</v>
      </c>
      <c r="G209" t="str">
        <f>"2026-05-19 13:44:30.651"</f>
        <v>2026-05-19 13:44:30.651</v>
      </c>
      <c r="H209" t="s">
        <v>21</v>
      </c>
      <c r="I209">
        <v>0</v>
      </c>
      <c r="J209" t="s">
        <v>31</v>
      </c>
    </row>
    <row r="210" spans="1:10" x14ac:dyDescent="0.25">
      <c r="A210" s="1">
        <v>5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"2026-05-19 13:33:33.851"</f>
        <v>2026-05-19 13:33:33.851</v>
      </c>
      <c r="H210" t="s">
        <v>21</v>
      </c>
    </row>
    <row r="211" spans="1:10" x14ac:dyDescent="0.25">
      <c r="A211" s="1">
        <v>6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"2026-05-19 13:31:47.867"</f>
        <v>2026-05-19 13:31:47.867</v>
      </c>
      <c r="H211" t="s">
        <v>21</v>
      </c>
      <c r="I211">
        <v>0</v>
      </c>
      <c r="J211" t="s">
        <v>22</v>
      </c>
    </row>
    <row r="212" spans="1:10" x14ac:dyDescent="0.25">
      <c r="A212" s="1">
        <v>7</v>
      </c>
      <c r="B212" t="s">
        <v>19</v>
      </c>
      <c r="C212">
        <v>706</v>
      </c>
      <c r="D212">
        <v>4</v>
      </c>
      <c r="E212" t="s">
        <v>29</v>
      </c>
      <c r="F212" t="s">
        <v>30</v>
      </c>
      <c r="G212" t="str">
        <f>"2026-05-19 10:52:03.812"</f>
        <v>2026-05-19 10:52:03.812</v>
      </c>
      <c r="H212" t="s">
        <v>21</v>
      </c>
      <c r="I212">
        <v>0</v>
      </c>
      <c r="J212" t="s">
        <v>31</v>
      </c>
    </row>
    <row r="213" spans="1:10" x14ac:dyDescent="0.25">
      <c r="A213" s="1">
        <v>8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"2026-05-19 10:30:27.852"</f>
        <v>2026-05-19 10:30:27.852</v>
      </c>
      <c r="H213" t="s">
        <v>21</v>
      </c>
      <c r="I213">
        <v>0</v>
      </c>
      <c r="J213" t="s">
        <v>22</v>
      </c>
    </row>
    <row r="214" spans="1:10" x14ac:dyDescent="0.25">
      <c r="A214" s="1">
        <v>9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"2026-05-19 10:02:20.845"</f>
        <v>2026-05-19 10:02:20.845</v>
      </c>
      <c r="H214" t="s">
        <v>21</v>
      </c>
    </row>
    <row r="215" spans="1:10" x14ac:dyDescent="0.25">
      <c r="A215" s="1">
        <v>10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"2026-05-19 08:33:45.856"</f>
        <v>2026-05-19 08:33:45.856</v>
      </c>
      <c r="H215" t="s">
        <v>21</v>
      </c>
    </row>
    <row r="216" spans="1:10" x14ac:dyDescent="0.25">
      <c r="A216" s="1">
        <v>11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"2026-05-19 08:10:01.884"</f>
        <v>2026-05-19 08:10:01.884</v>
      </c>
      <c r="H216" t="s">
        <v>21</v>
      </c>
      <c r="I216">
        <v>0</v>
      </c>
      <c r="J216" t="s">
        <v>22</v>
      </c>
    </row>
    <row r="217" spans="1:10" x14ac:dyDescent="0.25">
      <c r="A217" s="1">
        <v>12</v>
      </c>
      <c r="B217" t="s">
        <v>23</v>
      </c>
      <c r="C217">
        <v>635</v>
      </c>
      <c r="D217">
        <v>1</v>
      </c>
      <c r="E217" t="s">
        <v>43</v>
      </c>
      <c r="F217" t="s">
        <v>25</v>
      </c>
      <c r="G217" t="str">
        <f>"2026-05-18 22:40:53.039"</f>
        <v>2026-05-18 22:40:53.039</v>
      </c>
      <c r="H217" t="s">
        <v>21</v>
      </c>
    </row>
    <row r="218" spans="1:10" x14ac:dyDescent="0.25">
      <c r="A218" s="1">
        <v>13</v>
      </c>
      <c r="B218" t="s">
        <v>27</v>
      </c>
      <c r="C218">
        <v>635</v>
      </c>
      <c r="D218">
        <v>1</v>
      </c>
      <c r="E218" t="s">
        <v>43</v>
      </c>
      <c r="F218" t="s">
        <v>25</v>
      </c>
      <c r="G218" t="str">
        <f>"2026-05-18 22:36:18.539"</f>
        <v>2026-05-18 22:36:18.539</v>
      </c>
      <c r="H218" t="s">
        <v>21</v>
      </c>
      <c r="I218">
        <v>0.2</v>
      </c>
      <c r="J218" t="s">
        <v>28</v>
      </c>
    </row>
    <row r="219" spans="1:10" x14ac:dyDescent="0.25">
      <c r="A219" s="1">
        <v>14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"2026-05-18 19:45:57.848"</f>
        <v>2026-05-18 19:45:57.848</v>
      </c>
      <c r="H219" t="s">
        <v>21</v>
      </c>
      <c r="I219">
        <v>0</v>
      </c>
      <c r="J219" t="s">
        <v>22</v>
      </c>
    </row>
    <row r="220" spans="1:10" x14ac:dyDescent="0.25">
      <c r="A220" s="1">
        <v>15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"2026-05-18 18:09:24.121"</f>
        <v>2026-05-18 18:09:24.121</v>
      </c>
      <c r="H220" t="s">
        <v>21</v>
      </c>
      <c r="I220">
        <v>0</v>
      </c>
      <c r="J220" t="s">
        <v>22</v>
      </c>
    </row>
    <row r="221" spans="1:10" x14ac:dyDescent="0.25">
      <c r="A221" s="1">
        <v>16</v>
      </c>
      <c r="B221" t="s">
        <v>23</v>
      </c>
      <c r="C221">
        <v>635</v>
      </c>
      <c r="D221">
        <v>1</v>
      </c>
      <c r="E221" t="s">
        <v>43</v>
      </c>
      <c r="F221" t="s">
        <v>25</v>
      </c>
      <c r="G221" t="str">
        <f>"2026-05-18 12:27:01.533"</f>
        <v>2026-05-18 12:27:01.533</v>
      </c>
      <c r="H221" t="s">
        <v>21</v>
      </c>
    </row>
    <row r="222" spans="1:10" x14ac:dyDescent="0.25">
      <c r="A222" s="1">
        <v>17</v>
      </c>
      <c r="B222" t="s">
        <v>27</v>
      </c>
      <c r="C222">
        <v>635</v>
      </c>
      <c r="D222">
        <v>1</v>
      </c>
      <c r="E222" t="s">
        <v>43</v>
      </c>
      <c r="F222" t="s">
        <v>25</v>
      </c>
      <c r="G222" t="str">
        <f>"2026-05-18 12:23:47.033"</f>
        <v>2026-05-18 12:23:47.033</v>
      </c>
      <c r="H222" t="s">
        <v>21</v>
      </c>
      <c r="I222">
        <v>1.6</v>
      </c>
      <c r="J222" t="s">
        <v>37</v>
      </c>
    </row>
    <row r="223" spans="1:10" x14ac:dyDescent="0.25">
      <c r="A223" s="1">
        <v>18</v>
      </c>
      <c r="B223" t="s">
        <v>19</v>
      </c>
      <c r="C223">
        <v>706</v>
      </c>
      <c r="D223">
        <v>2</v>
      </c>
      <c r="E223" t="s">
        <v>29</v>
      </c>
      <c r="F223" t="s">
        <v>44</v>
      </c>
      <c r="G223" t="str">
        <f>"2026-05-18 05:30:53.723"</f>
        <v>2026-05-18 05:30:53.723</v>
      </c>
      <c r="H223" t="s">
        <v>21</v>
      </c>
      <c r="I223">
        <v>0</v>
      </c>
      <c r="J223" t="s">
        <v>31</v>
      </c>
    </row>
    <row r="224" spans="1:10" x14ac:dyDescent="0.25">
      <c r="A224" s="1">
        <v>19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"2026-05-18 05:28:32.833"</f>
        <v>2026-05-18 05:28:32.833</v>
      </c>
      <c r="H224" t="s">
        <v>21</v>
      </c>
    </row>
    <row r="225" spans="1:10" x14ac:dyDescent="0.25">
      <c r="A225" s="1">
        <v>20</v>
      </c>
      <c r="B225" t="s">
        <v>23</v>
      </c>
      <c r="C225">
        <v>635</v>
      </c>
      <c r="D225">
        <v>1</v>
      </c>
      <c r="E225" t="s">
        <v>43</v>
      </c>
      <c r="F225" t="s">
        <v>25</v>
      </c>
      <c r="G225" t="str">
        <f>"2026-05-16 23:41:46.585"</f>
        <v>2026-05-16 23:41:46.585</v>
      </c>
      <c r="H225" t="s">
        <v>21</v>
      </c>
    </row>
    <row r="226" spans="1:10" x14ac:dyDescent="0.25">
      <c r="A226" s="1">
        <v>21</v>
      </c>
      <c r="B226" t="s">
        <v>27</v>
      </c>
      <c r="C226">
        <v>635</v>
      </c>
      <c r="D226">
        <v>1</v>
      </c>
      <c r="E226" t="s">
        <v>43</v>
      </c>
      <c r="F226" t="s">
        <v>25</v>
      </c>
      <c r="G226" t="str">
        <f>"2026-05-16 23:39:16.585"</f>
        <v>2026-05-16 23:39:16.585</v>
      </c>
      <c r="H226" t="s">
        <v>21</v>
      </c>
      <c r="I226">
        <v>2.61</v>
      </c>
      <c r="J226" t="s">
        <v>42</v>
      </c>
    </row>
    <row r="227" spans="1:10" s="3" customFormat="1" x14ac:dyDescent="0.25">
      <c r="A227" s="2">
        <v>22</v>
      </c>
      <c r="B227" s="3" t="s">
        <v>23</v>
      </c>
      <c r="C227" s="3">
        <v>647</v>
      </c>
      <c r="D227" s="3">
        <v>1</v>
      </c>
      <c r="E227" s="3" t="s">
        <v>40</v>
      </c>
      <c r="F227" s="3" t="s">
        <v>41</v>
      </c>
      <c r="G227" s="3" t="str">
        <f>"2026-05-16 23:24:30.985"</f>
        <v>2026-05-16 23:24:30.985</v>
      </c>
      <c r="H227" s="3" t="s">
        <v>21</v>
      </c>
    </row>
    <row r="228" spans="1:10" s="3" customFormat="1" x14ac:dyDescent="0.25">
      <c r="A228" s="2">
        <v>23</v>
      </c>
      <c r="B228" s="3" t="s">
        <v>27</v>
      </c>
      <c r="C228" s="3">
        <v>647</v>
      </c>
      <c r="D228" s="3">
        <v>1</v>
      </c>
      <c r="E228" s="3" t="s">
        <v>40</v>
      </c>
      <c r="F228" s="3" t="s">
        <v>41</v>
      </c>
      <c r="G228" s="3" t="str">
        <f>"2026-05-16 23:24:29.886"</f>
        <v>2026-05-16 23:24:29.886</v>
      </c>
      <c r="H228" s="3" t="s">
        <v>21</v>
      </c>
      <c r="I228" s="3">
        <v>12.55</v>
      </c>
      <c r="J228" s="3" t="s">
        <v>42</v>
      </c>
    </row>
    <row r="229" spans="1:10" x14ac:dyDescent="0.25">
      <c r="A229" s="1">
        <v>24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"2026-05-16 13:47:49.947"</f>
        <v>2026-05-16 13:47:49.947</v>
      </c>
      <c r="H229" t="s">
        <v>21</v>
      </c>
    </row>
    <row r="230" spans="1:10" x14ac:dyDescent="0.25">
      <c r="A230" s="1">
        <v>25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"2026-05-16 13:34:21.837"</f>
        <v>2026-05-16 13:34:21.837</v>
      </c>
      <c r="H230" t="s">
        <v>21</v>
      </c>
    </row>
    <row r="231" spans="1:10" x14ac:dyDescent="0.25">
      <c r="A231" s="1">
        <v>26</v>
      </c>
      <c r="B231" t="s">
        <v>23</v>
      </c>
      <c r="C231">
        <v>635</v>
      </c>
      <c r="D231">
        <v>1</v>
      </c>
      <c r="E231" t="s">
        <v>43</v>
      </c>
      <c r="F231" t="s">
        <v>25</v>
      </c>
      <c r="G231" t="str">
        <f>"2026-05-16 09:30:26.978"</f>
        <v>2026-05-16 09:30:26.978</v>
      </c>
      <c r="H231" t="s">
        <v>21</v>
      </c>
    </row>
    <row r="232" spans="1:10" x14ac:dyDescent="0.25">
      <c r="A232" s="1">
        <v>27</v>
      </c>
      <c r="B232" t="s">
        <v>27</v>
      </c>
      <c r="C232">
        <v>635</v>
      </c>
      <c r="D232">
        <v>1</v>
      </c>
      <c r="E232" t="s">
        <v>43</v>
      </c>
      <c r="F232" t="s">
        <v>25</v>
      </c>
      <c r="G232" t="str">
        <f>"2026-05-16 09:24:13.977"</f>
        <v>2026-05-16 09:24:13.977</v>
      </c>
      <c r="H232" t="s">
        <v>21</v>
      </c>
      <c r="I232">
        <v>2.12</v>
      </c>
      <c r="J232" t="s">
        <v>37</v>
      </c>
    </row>
    <row r="233" spans="1:10" x14ac:dyDescent="0.25">
      <c r="A233" s="1">
        <v>28</v>
      </c>
      <c r="B233" t="s">
        <v>23</v>
      </c>
      <c r="C233">
        <v>635</v>
      </c>
      <c r="D233">
        <v>1</v>
      </c>
      <c r="E233" t="s">
        <v>43</v>
      </c>
      <c r="F233" t="s">
        <v>25</v>
      </c>
      <c r="G233" t="str">
        <f>"2026-05-16 02:33:58.978"</f>
        <v>2026-05-16 02:33:58.978</v>
      </c>
      <c r="H233" t="s">
        <v>21</v>
      </c>
    </row>
    <row r="234" spans="1:10" x14ac:dyDescent="0.25">
      <c r="A234" s="1">
        <v>29</v>
      </c>
      <c r="B234" t="s">
        <v>27</v>
      </c>
      <c r="C234">
        <v>635</v>
      </c>
      <c r="D234">
        <v>1</v>
      </c>
      <c r="E234" t="s">
        <v>43</v>
      </c>
      <c r="F234" t="s">
        <v>25</v>
      </c>
      <c r="G234" t="str">
        <f>"2026-05-16 02:30:22.978"</f>
        <v>2026-05-16 02:30:22.978</v>
      </c>
      <c r="H234" t="s">
        <v>21</v>
      </c>
      <c r="I234">
        <v>0.89</v>
      </c>
      <c r="J234" t="s">
        <v>37</v>
      </c>
    </row>
    <row r="235" spans="1:10" x14ac:dyDescent="0.25">
      <c r="A235" s="1">
        <v>30</v>
      </c>
      <c r="B235" t="s">
        <v>23</v>
      </c>
      <c r="C235">
        <v>635</v>
      </c>
      <c r="D235">
        <v>1</v>
      </c>
      <c r="E235" t="s">
        <v>43</v>
      </c>
      <c r="F235" t="s">
        <v>25</v>
      </c>
      <c r="G235" t="str">
        <f>"2026-05-15 20:50:25.778"</f>
        <v>2026-05-15 20:50:25.778</v>
      </c>
      <c r="H235" t="s">
        <v>21</v>
      </c>
    </row>
    <row r="236" spans="1:10" x14ac:dyDescent="0.25">
      <c r="A236" s="1">
        <v>31</v>
      </c>
      <c r="B236" t="s">
        <v>27</v>
      </c>
      <c r="C236">
        <v>635</v>
      </c>
      <c r="D236">
        <v>1</v>
      </c>
      <c r="E236" t="s">
        <v>43</v>
      </c>
      <c r="F236" t="s">
        <v>25</v>
      </c>
      <c r="G236" t="str">
        <f>"2026-05-15 20:42:13.778"</f>
        <v>2026-05-15 20:42:13.778</v>
      </c>
      <c r="H236" t="s">
        <v>21</v>
      </c>
      <c r="I236">
        <v>0</v>
      </c>
      <c r="J236" t="s">
        <v>28</v>
      </c>
    </row>
    <row r="237" spans="1:10" x14ac:dyDescent="0.25">
      <c r="A237" s="1">
        <v>32</v>
      </c>
      <c r="B237" t="s">
        <v>23</v>
      </c>
      <c r="C237">
        <v>635</v>
      </c>
      <c r="D237">
        <v>1</v>
      </c>
      <c r="E237" t="s">
        <v>43</v>
      </c>
      <c r="F237" t="s">
        <v>25</v>
      </c>
      <c r="G237" t="str">
        <f>"2026-05-15 12:19:33.878"</f>
        <v>2026-05-15 12:19:33.878</v>
      </c>
      <c r="H237" t="s">
        <v>21</v>
      </c>
    </row>
    <row r="238" spans="1:10" x14ac:dyDescent="0.25">
      <c r="A238" s="1">
        <v>33</v>
      </c>
      <c r="B238" t="s">
        <v>27</v>
      </c>
      <c r="C238">
        <v>635</v>
      </c>
      <c r="D238">
        <v>1</v>
      </c>
      <c r="E238" t="s">
        <v>43</v>
      </c>
      <c r="F238" t="s">
        <v>25</v>
      </c>
      <c r="G238" t="str">
        <f>"2026-05-15 12:14:28.878"</f>
        <v>2026-05-15 12:14:28.878</v>
      </c>
      <c r="H238" t="s">
        <v>21</v>
      </c>
      <c r="I238">
        <v>2.4300000000000002</v>
      </c>
      <c r="J238" t="s">
        <v>37</v>
      </c>
    </row>
    <row r="239" spans="1:10" s="3" customFormat="1" x14ac:dyDescent="0.25">
      <c r="A239" s="2">
        <v>34</v>
      </c>
      <c r="B239" s="3" t="s">
        <v>23</v>
      </c>
      <c r="C239" s="3">
        <v>647</v>
      </c>
      <c r="D239" s="3">
        <v>1</v>
      </c>
      <c r="E239" s="3" t="s">
        <v>40</v>
      </c>
      <c r="F239" s="3" t="s">
        <v>41</v>
      </c>
      <c r="G239" s="3" t="str">
        <f>"2026-05-15 02:16:31.079"</f>
        <v>2026-05-15 02:16:31.079</v>
      </c>
      <c r="H239" s="3" t="s">
        <v>21</v>
      </c>
    </row>
    <row r="240" spans="1:10" s="3" customFormat="1" x14ac:dyDescent="0.25">
      <c r="A240" s="2">
        <v>35</v>
      </c>
      <c r="B240" s="3" t="s">
        <v>27</v>
      </c>
      <c r="C240" s="3">
        <v>647</v>
      </c>
      <c r="D240" s="3">
        <v>1</v>
      </c>
      <c r="E240" s="3" t="s">
        <v>40</v>
      </c>
      <c r="F240" s="3" t="s">
        <v>41</v>
      </c>
      <c r="G240" s="3" t="str">
        <f>"2026-05-15 02:16:27.779"</f>
        <v>2026-05-15 02:16:27.779</v>
      </c>
      <c r="H240" s="3" t="s">
        <v>21</v>
      </c>
      <c r="I240" s="3">
        <v>20.41</v>
      </c>
      <c r="J240" s="3" t="s">
        <v>42</v>
      </c>
    </row>
    <row r="241" spans="1:10" x14ac:dyDescent="0.25">
      <c r="A241" s="1">
        <v>36</v>
      </c>
      <c r="B241" t="s">
        <v>23</v>
      </c>
      <c r="C241">
        <v>635</v>
      </c>
      <c r="D241">
        <v>1</v>
      </c>
      <c r="E241" t="s">
        <v>43</v>
      </c>
      <c r="F241" t="s">
        <v>25</v>
      </c>
      <c r="G241" t="str">
        <f>"2026-05-14 21:49:30.878"</f>
        <v>2026-05-14 21:49:30.878</v>
      </c>
      <c r="H241" t="s">
        <v>21</v>
      </c>
    </row>
    <row r="242" spans="1:10" x14ac:dyDescent="0.25">
      <c r="A242" s="1">
        <v>37</v>
      </c>
      <c r="B242" t="s">
        <v>27</v>
      </c>
      <c r="C242">
        <v>635</v>
      </c>
      <c r="D242">
        <v>1</v>
      </c>
      <c r="E242" t="s">
        <v>43</v>
      </c>
      <c r="F242" t="s">
        <v>25</v>
      </c>
      <c r="G242" t="str">
        <f>"2026-05-14 21:44:45.878"</f>
        <v>2026-05-14 21:44:45.878</v>
      </c>
      <c r="H242" t="s">
        <v>21</v>
      </c>
      <c r="I242">
        <v>0</v>
      </c>
      <c r="J242" t="s">
        <v>28</v>
      </c>
    </row>
    <row r="243" spans="1:10" x14ac:dyDescent="0.25">
      <c r="A243" s="1">
        <v>38</v>
      </c>
      <c r="B243" t="s">
        <v>23</v>
      </c>
      <c r="C243">
        <v>635</v>
      </c>
      <c r="D243">
        <v>1</v>
      </c>
      <c r="E243" t="s">
        <v>43</v>
      </c>
      <c r="F243" t="s">
        <v>25</v>
      </c>
      <c r="G243" t="str">
        <f>"2026-05-14 18:44:33.778"</f>
        <v>2026-05-14 18:44:33.778</v>
      </c>
      <c r="H243" t="s">
        <v>21</v>
      </c>
    </row>
    <row r="244" spans="1:10" x14ac:dyDescent="0.25">
      <c r="A244" s="1">
        <v>39</v>
      </c>
      <c r="B244" t="s">
        <v>27</v>
      </c>
      <c r="C244">
        <v>635</v>
      </c>
      <c r="D244">
        <v>1</v>
      </c>
      <c r="E244" t="s">
        <v>43</v>
      </c>
      <c r="F244" t="s">
        <v>25</v>
      </c>
      <c r="G244" t="str">
        <f>"2026-05-14 18:40:40.878"</f>
        <v>2026-05-14 18:40:40.878</v>
      </c>
      <c r="H244" t="s">
        <v>21</v>
      </c>
      <c r="I244">
        <v>0.5</v>
      </c>
      <c r="J244" t="s">
        <v>28</v>
      </c>
    </row>
    <row r="245" spans="1:10" x14ac:dyDescent="0.25">
      <c r="A245" s="1">
        <v>40</v>
      </c>
      <c r="B245" t="s">
        <v>23</v>
      </c>
      <c r="C245">
        <v>635</v>
      </c>
      <c r="D245">
        <v>1</v>
      </c>
      <c r="E245" t="s">
        <v>43</v>
      </c>
      <c r="F245" t="s">
        <v>25</v>
      </c>
      <c r="G245" t="str">
        <f>"2026-05-14 04:08:53.378"</f>
        <v>2026-05-14 04:08:53.378</v>
      </c>
      <c r="H245" t="s">
        <v>21</v>
      </c>
    </row>
    <row r="246" spans="1:10" x14ac:dyDescent="0.25">
      <c r="A246" s="1">
        <v>41</v>
      </c>
      <c r="B246" t="s">
        <v>27</v>
      </c>
      <c r="C246">
        <v>635</v>
      </c>
      <c r="D246">
        <v>1</v>
      </c>
      <c r="E246" t="s">
        <v>43</v>
      </c>
      <c r="F246" t="s">
        <v>25</v>
      </c>
      <c r="G246" t="str">
        <f>"2026-05-14 04:04:24.378"</f>
        <v>2026-05-14 04:04:24.378</v>
      </c>
      <c r="H246" t="s">
        <v>21</v>
      </c>
      <c r="I246">
        <v>0</v>
      </c>
      <c r="J246" t="s">
        <v>28</v>
      </c>
    </row>
    <row r="247" spans="1:10" x14ac:dyDescent="0.25">
      <c r="A247" s="1">
        <v>42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"2026-05-13 13:37:35.837"</f>
        <v>2026-05-13 13:37:35.837</v>
      </c>
      <c r="H247" t="s">
        <v>21</v>
      </c>
    </row>
    <row r="248" spans="1:10" s="3" customFormat="1" x14ac:dyDescent="0.25">
      <c r="A248" s="2">
        <v>43</v>
      </c>
      <c r="B248" s="3" t="s">
        <v>23</v>
      </c>
      <c r="C248" s="3">
        <v>647</v>
      </c>
      <c r="D248" s="3">
        <v>1</v>
      </c>
      <c r="E248" s="3" t="s">
        <v>40</v>
      </c>
      <c r="F248" s="3" t="s">
        <v>41</v>
      </c>
      <c r="G248" s="3" t="str">
        <f>"2026-05-13 07:20:36.573"</f>
        <v>2026-05-13 07:20:36.573</v>
      </c>
      <c r="H248" s="3" t="s">
        <v>21</v>
      </c>
    </row>
    <row r="249" spans="1:10" s="3" customFormat="1" x14ac:dyDescent="0.25">
      <c r="A249" s="2">
        <v>44</v>
      </c>
      <c r="B249" s="3" t="s">
        <v>27</v>
      </c>
      <c r="C249" s="3">
        <v>647</v>
      </c>
      <c r="D249" s="3">
        <v>1</v>
      </c>
      <c r="E249" s="3" t="s">
        <v>40</v>
      </c>
      <c r="F249" s="3" t="s">
        <v>41</v>
      </c>
      <c r="G249" s="3" t="str">
        <f>"2026-05-13 07:20:32.873"</f>
        <v>2026-05-13 07:20:32.873</v>
      </c>
      <c r="H249" s="3" t="s">
        <v>21</v>
      </c>
      <c r="I249" s="3">
        <v>15.53</v>
      </c>
      <c r="J249" s="3" t="s">
        <v>42</v>
      </c>
    </row>
    <row r="250" spans="1:10" x14ac:dyDescent="0.25">
      <c r="A250" s="1">
        <v>45</v>
      </c>
      <c r="B250" t="s">
        <v>19</v>
      </c>
      <c r="C250">
        <v>706</v>
      </c>
      <c r="D250">
        <v>2</v>
      </c>
      <c r="E250" t="s">
        <v>29</v>
      </c>
      <c r="F250" t="s">
        <v>44</v>
      </c>
      <c r="G250" t="str">
        <f>"2026-05-12 13:17:59.001"</f>
        <v>2026-05-12 13:17:59.001</v>
      </c>
      <c r="H250" t="s">
        <v>21</v>
      </c>
      <c r="I250">
        <v>0</v>
      </c>
      <c r="J250" t="s">
        <v>31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"2026-05-11 16:13:14.831"</f>
        <v>2026-05-11 16:13:14.831</v>
      </c>
      <c r="H251" t="s">
        <v>21</v>
      </c>
    </row>
    <row r="252" spans="1:10" x14ac:dyDescent="0.25">
      <c r="A252" s="1">
        <v>47</v>
      </c>
      <c r="B252" t="s">
        <v>19</v>
      </c>
      <c r="C252">
        <v>706</v>
      </c>
      <c r="D252">
        <v>4</v>
      </c>
      <c r="E252" t="s">
        <v>29</v>
      </c>
      <c r="F252" t="s">
        <v>30</v>
      </c>
      <c r="G252" t="str">
        <f>"2026-05-11 15:47:35.511"</f>
        <v>2026-05-11 15:47:35.511</v>
      </c>
      <c r="H252" t="s">
        <v>21</v>
      </c>
      <c r="I252">
        <v>0</v>
      </c>
      <c r="J252" t="s">
        <v>31</v>
      </c>
    </row>
    <row r="253" spans="1:10" x14ac:dyDescent="0.25">
      <c r="A253" s="1">
        <v>49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"2026-05-11 15:38:13.831"</f>
        <v>2026-05-11 15:38:13.831</v>
      </c>
      <c r="H253" t="s">
        <v>21</v>
      </c>
    </row>
    <row r="254" spans="1:10" x14ac:dyDescent="0.25">
      <c r="A254" s="1">
        <v>54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"2026-05-11 12:34:50.847"</f>
        <v>2026-05-11 12:34:50.847</v>
      </c>
      <c r="H254" t="s">
        <v>21</v>
      </c>
    </row>
    <row r="255" spans="1:10" x14ac:dyDescent="0.25">
      <c r="A255" s="1">
        <v>56</v>
      </c>
      <c r="B255" t="s">
        <v>23</v>
      </c>
      <c r="C255">
        <v>635</v>
      </c>
      <c r="D255">
        <v>1</v>
      </c>
      <c r="E255" t="s">
        <v>43</v>
      </c>
      <c r="F255" t="s">
        <v>25</v>
      </c>
      <c r="G255" t="str">
        <f>"2026-05-11 06:41:51.109"</f>
        <v>2026-05-11 06:41:51.109</v>
      </c>
      <c r="H255" t="s">
        <v>21</v>
      </c>
    </row>
    <row r="256" spans="1:10" x14ac:dyDescent="0.25">
      <c r="A256" s="1">
        <v>57</v>
      </c>
      <c r="B256" t="s">
        <v>27</v>
      </c>
      <c r="C256">
        <v>635</v>
      </c>
      <c r="D256">
        <v>1</v>
      </c>
      <c r="E256" t="s">
        <v>43</v>
      </c>
      <c r="F256" t="s">
        <v>25</v>
      </c>
      <c r="G256" t="str">
        <f>"2026-05-11 06:39:42.109"</f>
        <v>2026-05-11 06:39:42.109</v>
      </c>
      <c r="H256" t="s">
        <v>21</v>
      </c>
      <c r="I256">
        <v>0</v>
      </c>
      <c r="J256" t="s">
        <v>28</v>
      </c>
    </row>
    <row r="257" spans="1:10" x14ac:dyDescent="0.25">
      <c r="A257" s="1">
        <v>58</v>
      </c>
      <c r="B257" t="s">
        <v>23</v>
      </c>
      <c r="C257">
        <v>635</v>
      </c>
      <c r="D257">
        <v>1</v>
      </c>
      <c r="E257" t="s">
        <v>43</v>
      </c>
      <c r="F257" t="s">
        <v>25</v>
      </c>
      <c r="G257" t="str">
        <f>"2026-05-11 03:54:31.509"</f>
        <v>2026-05-11 03:54:31.509</v>
      </c>
      <c r="H257" t="s">
        <v>21</v>
      </c>
    </row>
    <row r="258" spans="1:10" x14ac:dyDescent="0.25">
      <c r="A258" s="1">
        <v>59</v>
      </c>
      <c r="B258" t="s">
        <v>27</v>
      </c>
      <c r="C258">
        <v>635</v>
      </c>
      <c r="D258">
        <v>1</v>
      </c>
      <c r="E258" t="s">
        <v>43</v>
      </c>
      <c r="F258" t="s">
        <v>25</v>
      </c>
      <c r="G258" t="str">
        <f>"2026-05-11 03:51:52.509"</f>
        <v>2026-05-11 03:51:52.509</v>
      </c>
      <c r="H258" t="s">
        <v>21</v>
      </c>
      <c r="I258">
        <v>2.23</v>
      </c>
      <c r="J258" t="s">
        <v>42</v>
      </c>
    </row>
    <row r="259" spans="1:10" x14ac:dyDescent="0.25">
      <c r="A259" s="1">
        <v>60</v>
      </c>
      <c r="B259" t="s">
        <v>19</v>
      </c>
      <c r="C259">
        <v>706</v>
      </c>
      <c r="D259">
        <v>4</v>
      </c>
      <c r="E259" t="s">
        <v>29</v>
      </c>
      <c r="F259" t="s">
        <v>30</v>
      </c>
      <c r="G259" t="str">
        <f>"2026-05-11 03:44:33.751"</f>
        <v>2026-05-11 03:44:33.751</v>
      </c>
      <c r="H259" t="s">
        <v>21</v>
      </c>
      <c r="I259">
        <v>0</v>
      </c>
      <c r="J259" t="s">
        <v>31</v>
      </c>
    </row>
    <row r="260" spans="1:10" x14ac:dyDescent="0.25">
      <c r="A260" s="1">
        <v>62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"2026-05-11 03:44:09.961"</f>
        <v>2026-05-11 03:44:09.961</v>
      </c>
      <c r="H260" t="s">
        <v>21</v>
      </c>
      <c r="I260">
        <v>0</v>
      </c>
      <c r="J260" t="s">
        <v>22</v>
      </c>
    </row>
    <row r="261" spans="1:10" x14ac:dyDescent="0.25">
      <c r="A261" s="1">
        <v>64</v>
      </c>
      <c r="B261" t="s">
        <v>36</v>
      </c>
      <c r="C261">
        <v>47</v>
      </c>
      <c r="D261">
        <v>2</v>
      </c>
      <c r="E261" t="s">
        <v>49</v>
      </c>
      <c r="F261" t="s">
        <v>50</v>
      </c>
      <c r="G261" t="str">
        <f>"2026-05-11 03:41:09.001"</f>
        <v>2026-05-11 03:41:09.001</v>
      </c>
      <c r="H261" t="s">
        <v>51</v>
      </c>
      <c r="I261">
        <v>0</v>
      </c>
      <c r="J261" t="s">
        <v>28</v>
      </c>
    </row>
    <row r="262" spans="1:10" x14ac:dyDescent="0.25">
      <c r="A262" s="1">
        <v>67</v>
      </c>
      <c r="B262" t="s">
        <v>23</v>
      </c>
      <c r="C262">
        <v>635</v>
      </c>
      <c r="D262">
        <v>1</v>
      </c>
      <c r="E262" t="s">
        <v>43</v>
      </c>
      <c r="F262" t="s">
        <v>25</v>
      </c>
      <c r="G262" t="str">
        <f>"2026-05-10 00:34:53.140"</f>
        <v>2026-05-10 00:34:53.140</v>
      </c>
      <c r="H262" t="s">
        <v>21</v>
      </c>
    </row>
    <row r="263" spans="1:10" x14ac:dyDescent="0.25">
      <c r="A263" s="1">
        <v>68</v>
      </c>
      <c r="B263" t="s">
        <v>27</v>
      </c>
      <c r="C263">
        <v>635</v>
      </c>
      <c r="D263">
        <v>1</v>
      </c>
      <c r="E263" t="s">
        <v>43</v>
      </c>
      <c r="F263" t="s">
        <v>25</v>
      </c>
      <c r="G263" t="str">
        <f>"2026-05-10 00:10:58.141"</f>
        <v>2026-05-10 00:10:58.141</v>
      </c>
      <c r="H263" t="s">
        <v>21</v>
      </c>
      <c r="I263">
        <v>8.69</v>
      </c>
      <c r="J263" t="s">
        <v>37</v>
      </c>
    </row>
    <row r="264" spans="1:10" x14ac:dyDescent="0.25">
      <c r="A264" s="1">
        <v>70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"2026-05-09 13:29:03.850"</f>
        <v>2026-05-09 13:29:03.850</v>
      </c>
      <c r="H264" t="s">
        <v>21</v>
      </c>
    </row>
    <row r="265" spans="1:10" x14ac:dyDescent="0.25">
      <c r="A265" s="1">
        <v>72</v>
      </c>
      <c r="B265" t="s">
        <v>23</v>
      </c>
      <c r="C265">
        <v>635</v>
      </c>
      <c r="D265">
        <v>1</v>
      </c>
      <c r="E265" t="s">
        <v>43</v>
      </c>
      <c r="F265" t="s">
        <v>25</v>
      </c>
      <c r="G265" t="str">
        <f>"2026-05-08 22:31:20.189"</f>
        <v>2026-05-08 22:31:20.189</v>
      </c>
      <c r="H265" t="s">
        <v>21</v>
      </c>
    </row>
    <row r="266" spans="1:10" x14ac:dyDescent="0.25">
      <c r="A266" s="1">
        <v>73</v>
      </c>
      <c r="B266" t="s">
        <v>27</v>
      </c>
      <c r="C266">
        <v>635</v>
      </c>
      <c r="D266">
        <v>1</v>
      </c>
      <c r="E266" t="s">
        <v>43</v>
      </c>
      <c r="F266" t="s">
        <v>25</v>
      </c>
      <c r="G266" t="str">
        <f>"2026-05-08 21:57:49.789"</f>
        <v>2026-05-08 21:57:49.789</v>
      </c>
      <c r="H266" t="s">
        <v>21</v>
      </c>
      <c r="I266">
        <v>6.42</v>
      </c>
      <c r="J266" t="s">
        <v>37</v>
      </c>
    </row>
    <row r="267" spans="1:10" x14ac:dyDescent="0.25">
      <c r="A267" s="1">
        <v>75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"2026-05-08 20:15:59.838"</f>
        <v>2026-05-08 20:15:59.838</v>
      </c>
      <c r="H267" t="s">
        <v>21</v>
      </c>
      <c r="I267">
        <v>0</v>
      </c>
      <c r="J267" t="s">
        <v>22</v>
      </c>
    </row>
    <row r="268" spans="1:10" x14ac:dyDescent="0.25">
      <c r="A268" s="1">
        <v>78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"2026-05-08 13:52:31.833"</f>
        <v>2026-05-08 13:52:31.833</v>
      </c>
      <c r="H268" t="s">
        <v>21</v>
      </c>
      <c r="I268">
        <v>0</v>
      </c>
      <c r="J268" t="s">
        <v>22</v>
      </c>
    </row>
    <row r="269" spans="1:10" x14ac:dyDescent="0.25">
      <c r="A269" s="1">
        <v>80</v>
      </c>
      <c r="B269" t="s">
        <v>36</v>
      </c>
      <c r="C269">
        <v>47</v>
      </c>
      <c r="D269">
        <v>2</v>
      </c>
      <c r="E269" t="s">
        <v>49</v>
      </c>
      <c r="F269" t="s">
        <v>50</v>
      </c>
      <c r="G269" t="str">
        <f>"2026-05-08 13:27:12.285"</f>
        <v>2026-05-08 13:27:12.285</v>
      </c>
      <c r="H269" t="s">
        <v>51</v>
      </c>
      <c r="I269">
        <v>0</v>
      </c>
      <c r="J269" t="s">
        <v>28</v>
      </c>
    </row>
    <row r="270" spans="1:10" x14ac:dyDescent="0.25">
      <c r="A270" s="1">
        <v>81</v>
      </c>
      <c r="B270" t="s">
        <v>32</v>
      </c>
      <c r="C270">
        <v>47</v>
      </c>
      <c r="D270">
        <v>2</v>
      </c>
      <c r="E270" t="s">
        <v>49</v>
      </c>
      <c r="F270" t="s">
        <v>50</v>
      </c>
      <c r="G270" t="str">
        <f>"2026-05-08 13:26:52.984"</f>
        <v>2026-05-08 13:26:52.984</v>
      </c>
      <c r="H270" t="s">
        <v>51</v>
      </c>
    </row>
    <row r="271" spans="1:10" x14ac:dyDescent="0.25">
      <c r="A271" s="1">
        <v>82</v>
      </c>
      <c r="B271" t="s">
        <v>36</v>
      </c>
      <c r="C271">
        <v>47</v>
      </c>
      <c r="D271">
        <v>2</v>
      </c>
      <c r="E271" t="s">
        <v>49</v>
      </c>
      <c r="F271" t="s">
        <v>50</v>
      </c>
      <c r="G271" t="str">
        <f>"2026-05-08 13:26:48.785"</f>
        <v>2026-05-08 13:26:48.785</v>
      </c>
      <c r="H271" t="s">
        <v>51</v>
      </c>
      <c r="I271">
        <v>0</v>
      </c>
      <c r="J271" t="s">
        <v>28</v>
      </c>
    </row>
    <row r="272" spans="1:10" x14ac:dyDescent="0.25">
      <c r="A272" s="1">
        <v>84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"2026-05-07 21:25:46.823"</f>
        <v>2026-05-07 21:25:46.823</v>
      </c>
      <c r="H272" t="s">
        <v>21</v>
      </c>
    </row>
    <row r="273" spans="1:10" x14ac:dyDescent="0.25">
      <c r="A273" s="1">
        <v>86</v>
      </c>
      <c r="B273" t="s">
        <v>36</v>
      </c>
      <c r="C273">
        <v>47</v>
      </c>
      <c r="D273">
        <v>2</v>
      </c>
      <c r="E273" t="s">
        <v>49</v>
      </c>
      <c r="F273" t="s">
        <v>50</v>
      </c>
      <c r="G273" t="str">
        <f>"2026-05-07 21:16:47.879"</f>
        <v>2026-05-07 21:16:47.879</v>
      </c>
      <c r="H273" t="s">
        <v>51</v>
      </c>
      <c r="I273">
        <v>0</v>
      </c>
      <c r="J273" t="s">
        <v>28</v>
      </c>
    </row>
    <row r="274" spans="1:10" x14ac:dyDescent="0.25">
      <c r="A274" s="1">
        <v>88</v>
      </c>
      <c r="B274" t="s">
        <v>23</v>
      </c>
      <c r="C274">
        <v>61</v>
      </c>
      <c r="D274">
        <v>2</v>
      </c>
      <c r="E274" t="s">
        <v>47</v>
      </c>
      <c r="F274" t="s">
        <v>48</v>
      </c>
      <c r="G274" t="str">
        <f>"2026-05-07 07:32:07.479"</f>
        <v>2026-05-07 07:32:07.479</v>
      </c>
      <c r="H274" t="s">
        <v>21</v>
      </c>
    </row>
    <row r="275" spans="1:10" x14ac:dyDescent="0.25">
      <c r="A275" s="1">
        <v>89</v>
      </c>
      <c r="B275" t="s">
        <v>36</v>
      </c>
      <c r="C275">
        <v>61</v>
      </c>
      <c r="D275">
        <v>2</v>
      </c>
      <c r="E275" t="s">
        <v>47</v>
      </c>
      <c r="F275" t="s">
        <v>48</v>
      </c>
      <c r="G275" t="str">
        <f>"2026-05-07 07:31:55.679"</f>
        <v>2026-05-07 07:31:55.679</v>
      </c>
      <c r="H275" t="s">
        <v>21</v>
      </c>
      <c r="I275">
        <v>29.68</v>
      </c>
      <c r="J275" t="s">
        <v>42</v>
      </c>
    </row>
    <row r="276" spans="1:10" x14ac:dyDescent="0.25">
      <c r="A276" s="1">
        <v>91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"2026-05-06 13:40:03.798"</f>
        <v>2026-05-06 13:40:03.798</v>
      </c>
      <c r="H276" t="s">
        <v>21</v>
      </c>
    </row>
    <row r="277" spans="1:10" x14ac:dyDescent="0.25">
      <c r="A277" s="1">
        <v>95</v>
      </c>
      <c r="B277" t="s">
        <v>36</v>
      </c>
      <c r="C277">
        <v>47</v>
      </c>
      <c r="D277">
        <v>2</v>
      </c>
      <c r="E277" t="s">
        <v>49</v>
      </c>
      <c r="F277" t="s">
        <v>50</v>
      </c>
      <c r="G277" t="str">
        <f>"2026-05-06 12:47:33.207"</f>
        <v>2026-05-06 12:47:33.207</v>
      </c>
      <c r="H277" t="s">
        <v>51</v>
      </c>
      <c r="I277">
        <v>0</v>
      </c>
      <c r="J277" t="s">
        <v>28</v>
      </c>
    </row>
    <row r="278" spans="1:10" x14ac:dyDescent="0.25">
      <c r="A278" s="1">
        <v>97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"2026-05-06 12:34:19.946"</f>
        <v>2026-05-06 12:34:19.946</v>
      </c>
      <c r="H278" t="s">
        <v>21</v>
      </c>
      <c r="I278">
        <v>0</v>
      </c>
      <c r="J278" t="s">
        <v>22</v>
      </c>
    </row>
    <row r="279" spans="1:10" x14ac:dyDescent="0.25">
      <c r="A279" s="1">
        <v>99</v>
      </c>
      <c r="B279" t="s">
        <v>32</v>
      </c>
      <c r="C279">
        <v>33</v>
      </c>
      <c r="D279">
        <v>1</v>
      </c>
      <c r="E279" t="s">
        <v>33</v>
      </c>
      <c r="F279" t="s">
        <v>34</v>
      </c>
      <c r="G279" t="str">
        <f>"2026-05-06 07:56:27.317"</f>
        <v>2026-05-06 07:56:27.317</v>
      </c>
      <c r="H279" t="s">
        <v>35</v>
      </c>
    </row>
    <row r="280" spans="1:10" x14ac:dyDescent="0.25">
      <c r="A280" s="1">
        <v>0</v>
      </c>
      <c r="B280" t="s">
        <v>36</v>
      </c>
      <c r="C280">
        <v>33</v>
      </c>
      <c r="D280">
        <v>1</v>
      </c>
      <c r="E280" t="s">
        <v>33</v>
      </c>
      <c r="F280" t="s">
        <v>34</v>
      </c>
      <c r="G280" t="str">
        <f>"2026-05-06 07:53:19.308"</f>
        <v>2026-05-06 07:53:19.308</v>
      </c>
      <c r="H280" t="s">
        <v>35</v>
      </c>
      <c r="I280">
        <v>13.43</v>
      </c>
      <c r="J280" t="s">
        <v>37</v>
      </c>
    </row>
    <row r="281" spans="1:10" x14ac:dyDescent="0.25">
      <c r="A281" s="1">
        <v>1</v>
      </c>
      <c r="B281" t="s">
        <v>19</v>
      </c>
      <c r="C281">
        <v>706</v>
      </c>
      <c r="D281">
        <v>4</v>
      </c>
      <c r="E281" t="s">
        <v>29</v>
      </c>
      <c r="F281" t="s">
        <v>30</v>
      </c>
      <c r="G281" t="str">
        <f>"2026-05-04 14:07:57.059"</f>
        <v>2026-05-04 14:07:57.059</v>
      </c>
      <c r="H281" t="s">
        <v>21</v>
      </c>
      <c r="I281">
        <v>0</v>
      </c>
      <c r="J281" t="s">
        <v>31</v>
      </c>
    </row>
    <row r="282" spans="1:10" x14ac:dyDescent="0.25">
      <c r="A282" s="1">
        <v>3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"2026-05-04 14:05:02.809"</f>
        <v>2026-05-04 14:05:02.809</v>
      </c>
      <c r="H282" t="s">
        <v>21</v>
      </c>
      <c r="I282">
        <v>0</v>
      </c>
      <c r="J282" t="s">
        <v>22</v>
      </c>
    </row>
    <row r="283" spans="1:10" s="3" customFormat="1" x14ac:dyDescent="0.25">
      <c r="A283" s="2">
        <v>5</v>
      </c>
      <c r="B283" s="3" t="s">
        <v>23</v>
      </c>
      <c r="C283" s="3">
        <v>647</v>
      </c>
      <c r="D283" s="3">
        <v>1</v>
      </c>
      <c r="E283" s="3" t="s">
        <v>40</v>
      </c>
      <c r="F283" s="3" t="s">
        <v>41</v>
      </c>
      <c r="G283" s="3" t="str">
        <f>"2026-05-04 04:45:15.850"</f>
        <v>2026-05-04 04:45:15.850</v>
      </c>
      <c r="H283" s="3" t="s">
        <v>21</v>
      </c>
    </row>
    <row r="284" spans="1:10" s="3" customFormat="1" x14ac:dyDescent="0.25">
      <c r="A284" s="2">
        <v>6</v>
      </c>
      <c r="B284" s="3" t="s">
        <v>27</v>
      </c>
      <c r="C284" s="3">
        <v>647</v>
      </c>
      <c r="D284" s="3">
        <v>1</v>
      </c>
      <c r="E284" s="3" t="s">
        <v>40</v>
      </c>
      <c r="F284" s="3" t="s">
        <v>41</v>
      </c>
      <c r="G284" s="3" t="str">
        <f>"2026-05-04 04:45:11.350"</f>
        <v>2026-05-04 04:45:11.350</v>
      </c>
      <c r="H284" s="3" t="s">
        <v>21</v>
      </c>
      <c r="I284" s="3">
        <v>22.42</v>
      </c>
      <c r="J284" s="3" t="s">
        <v>42</v>
      </c>
    </row>
    <row r="285" spans="1:10" x14ac:dyDescent="0.25">
      <c r="A285" s="1">
        <v>7</v>
      </c>
      <c r="B285" t="s">
        <v>23</v>
      </c>
      <c r="C285">
        <v>635</v>
      </c>
      <c r="D285">
        <v>1</v>
      </c>
      <c r="E285" t="s">
        <v>43</v>
      </c>
      <c r="F285" t="s">
        <v>25</v>
      </c>
      <c r="G285" t="str">
        <f>"2026-05-03 23:26:34.050"</f>
        <v>2026-05-03 23:26:34.050</v>
      </c>
      <c r="H285" t="s">
        <v>21</v>
      </c>
    </row>
    <row r="286" spans="1:10" x14ac:dyDescent="0.25">
      <c r="A286" s="1">
        <v>8</v>
      </c>
      <c r="B286" t="s">
        <v>27</v>
      </c>
      <c r="C286">
        <v>635</v>
      </c>
      <c r="D286">
        <v>1</v>
      </c>
      <c r="E286" t="s">
        <v>43</v>
      </c>
      <c r="F286" t="s">
        <v>25</v>
      </c>
      <c r="G286" t="str">
        <f>"2026-05-03 23:24:22.550"</f>
        <v>2026-05-03 23:24:22.550</v>
      </c>
      <c r="H286" t="s">
        <v>21</v>
      </c>
      <c r="I286">
        <v>3.13</v>
      </c>
      <c r="J286" t="s">
        <v>37</v>
      </c>
    </row>
    <row r="287" spans="1:10" x14ac:dyDescent="0.25">
      <c r="A287" s="1">
        <v>10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"2026-05-03 13:55:41.782"</f>
        <v>2026-05-03 13:55:41.782</v>
      </c>
      <c r="H287" t="s">
        <v>21</v>
      </c>
      <c r="I287">
        <v>0</v>
      </c>
      <c r="J287" t="s">
        <v>22</v>
      </c>
    </row>
    <row r="288" spans="1:10" x14ac:dyDescent="0.25">
      <c r="A288" s="1">
        <v>15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"2026-05-03 13:08:13.835"</f>
        <v>2026-05-03 13:08:13.835</v>
      </c>
      <c r="H288" t="s">
        <v>21</v>
      </c>
      <c r="I288">
        <v>0</v>
      </c>
      <c r="J288" t="s">
        <v>22</v>
      </c>
    </row>
    <row r="289" spans="1:10" x14ac:dyDescent="0.25">
      <c r="A289" s="1">
        <v>17</v>
      </c>
      <c r="B289" t="s">
        <v>36</v>
      </c>
      <c r="C289">
        <v>47</v>
      </c>
      <c r="D289">
        <v>2</v>
      </c>
      <c r="E289" t="s">
        <v>49</v>
      </c>
      <c r="F289" t="s">
        <v>50</v>
      </c>
      <c r="G289" t="str">
        <f>"2026-05-03 12:35:38.955"</f>
        <v>2026-05-03 12:35:38.955</v>
      </c>
      <c r="H289" t="s">
        <v>51</v>
      </c>
      <c r="I289">
        <v>0</v>
      </c>
      <c r="J289" t="s">
        <v>28</v>
      </c>
    </row>
    <row r="290" spans="1:10" x14ac:dyDescent="0.25">
      <c r="A290" s="1">
        <v>19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"2026-05-03 08:17:20.793"</f>
        <v>2026-05-03 08:17:20.793</v>
      </c>
      <c r="H290" t="s">
        <v>21</v>
      </c>
    </row>
    <row r="291" spans="1:10" x14ac:dyDescent="0.25">
      <c r="A291" s="1">
        <v>21</v>
      </c>
      <c r="B291" t="s">
        <v>36</v>
      </c>
      <c r="C291">
        <v>47</v>
      </c>
      <c r="D291">
        <v>2</v>
      </c>
      <c r="E291" t="s">
        <v>49</v>
      </c>
      <c r="F291" t="s">
        <v>50</v>
      </c>
      <c r="G291" t="str">
        <f>"2026-05-03 08:08:04.664"</f>
        <v>2026-05-03 08:08:04.664</v>
      </c>
      <c r="H291" t="s">
        <v>51</v>
      </c>
      <c r="I291">
        <v>0</v>
      </c>
      <c r="J291" t="s">
        <v>28</v>
      </c>
    </row>
    <row r="292" spans="1:10" x14ac:dyDescent="0.25">
      <c r="A292" s="1">
        <v>23</v>
      </c>
      <c r="B292" t="s">
        <v>19</v>
      </c>
      <c r="C292">
        <v>706</v>
      </c>
      <c r="D292">
        <v>4</v>
      </c>
      <c r="E292" t="s">
        <v>29</v>
      </c>
      <c r="F292" t="s">
        <v>30</v>
      </c>
      <c r="G292" t="str">
        <f>"2026-05-02 22:44:28.763"</f>
        <v>2026-05-02 22:44:28.763</v>
      </c>
      <c r="H292" t="s">
        <v>21</v>
      </c>
      <c r="I292">
        <v>0</v>
      </c>
      <c r="J292" t="s">
        <v>31</v>
      </c>
    </row>
    <row r="293" spans="1:10" x14ac:dyDescent="0.25">
      <c r="A293" s="1">
        <v>24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"2026-05-02 22:44:12.983"</f>
        <v>2026-05-02 22:44:12.983</v>
      </c>
      <c r="H293" t="s">
        <v>21</v>
      </c>
      <c r="I293">
        <v>0</v>
      </c>
      <c r="J293" t="s">
        <v>22</v>
      </c>
    </row>
    <row r="294" spans="1:10" x14ac:dyDescent="0.25">
      <c r="A294" s="1">
        <v>27</v>
      </c>
      <c r="B294" t="s">
        <v>23</v>
      </c>
      <c r="C294">
        <v>635</v>
      </c>
      <c r="D294">
        <v>1</v>
      </c>
      <c r="E294" t="s">
        <v>43</v>
      </c>
      <c r="F294" t="s">
        <v>25</v>
      </c>
      <c r="G294" t="str">
        <f>"2026-05-02 20:49:21.799"</f>
        <v>2026-05-02 20:49:21.799</v>
      </c>
      <c r="H294" t="s">
        <v>21</v>
      </c>
    </row>
    <row r="295" spans="1:10" x14ac:dyDescent="0.25">
      <c r="A295" s="1">
        <v>28</v>
      </c>
      <c r="B295" t="s">
        <v>27</v>
      </c>
      <c r="C295">
        <v>635</v>
      </c>
      <c r="D295">
        <v>1</v>
      </c>
      <c r="E295" t="s">
        <v>43</v>
      </c>
      <c r="F295" t="s">
        <v>25</v>
      </c>
      <c r="G295" t="str">
        <f>"2026-05-02 20:45:59.299"</f>
        <v>2026-05-02 20:45:59.299</v>
      </c>
      <c r="H295" t="s">
        <v>21</v>
      </c>
      <c r="I295">
        <v>3.58</v>
      </c>
      <c r="J295" t="s">
        <v>37</v>
      </c>
    </row>
    <row r="296" spans="1:10" x14ac:dyDescent="0.25">
      <c r="A296" s="1">
        <v>30</v>
      </c>
      <c r="B296" t="s">
        <v>19</v>
      </c>
      <c r="C296">
        <v>706</v>
      </c>
      <c r="D296">
        <v>2</v>
      </c>
      <c r="E296" t="s">
        <v>29</v>
      </c>
      <c r="F296" t="s">
        <v>44</v>
      </c>
      <c r="G296" t="str">
        <f>"2026-05-02 15:58:11.161"</f>
        <v>2026-05-02 15:58:11.161</v>
      </c>
      <c r="H296" t="s">
        <v>21</v>
      </c>
      <c r="I296">
        <v>0</v>
      </c>
      <c r="J296" t="s">
        <v>31</v>
      </c>
    </row>
    <row r="297" spans="1:10" x14ac:dyDescent="0.25">
      <c r="A297" s="1">
        <v>31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"2026-05-02 15:57:48.781"</f>
        <v>2026-05-02 15:57:48.781</v>
      </c>
      <c r="H297" t="s">
        <v>21</v>
      </c>
    </row>
    <row r="298" spans="1:10" x14ac:dyDescent="0.25">
      <c r="A298" s="1">
        <v>33</v>
      </c>
      <c r="B298" t="s">
        <v>36</v>
      </c>
      <c r="C298">
        <v>47</v>
      </c>
      <c r="D298">
        <v>2</v>
      </c>
      <c r="E298" t="s">
        <v>49</v>
      </c>
      <c r="F298" t="s">
        <v>50</v>
      </c>
      <c r="G298" t="str">
        <f>"2026-05-02 15:45:31.349"</f>
        <v>2026-05-02 15:45:31.349</v>
      </c>
      <c r="H298" t="s">
        <v>51</v>
      </c>
      <c r="I298">
        <v>0</v>
      </c>
      <c r="J298" t="s">
        <v>28</v>
      </c>
    </row>
    <row r="299" spans="1:10" x14ac:dyDescent="0.25">
      <c r="A299" s="1">
        <v>35</v>
      </c>
      <c r="B299" t="s">
        <v>19</v>
      </c>
      <c r="C299">
        <v>706</v>
      </c>
      <c r="D299">
        <v>2</v>
      </c>
      <c r="E299" t="s">
        <v>29</v>
      </c>
      <c r="F299" t="s">
        <v>44</v>
      </c>
      <c r="G299" t="str">
        <f>"2026-05-02 13:59:49.138"</f>
        <v>2026-05-02 13:59:49.138</v>
      </c>
      <c r="H299" t="s">
        <v>21</v>
      </c>
      <c r="I299">
        <v>0</v>
      </c>
      <c r="J299" t="s">
        <v>31</v>
      </c>
    </row>
    <row r="300" spans="1:10" x14ac:dyDescent="0.25">
      <c r="A300" s="1">
        <v>36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"2026-05-02 13:59:30.788"</f>
        <v>2026-05-02 13:59:30.788</v>
      </c>
      <c r="H300" t="s">
        <v>21</v>
      </c>
      <c r="I300">
        <v>0</v>
      </c>
      <c r="J300" t="s">
        <v>22</v>
      </c>
    </row>
    <row r="301" spans="1:10" x14ac:dyDescent="0.25">
      <c r="A301" s="1">
        <v>38</v>
      </c>
      <c r="B301" t="s">
        <v>23</v>
      </c>
      <c r="C301">
        <v>635</v>
      </c>
      <c r="D301">
        <v>1</v>
      </c>
      <c r="E301" t="s">
        <v>43</v>
      </c>
      <c r="F301" t="s">
        <v>25</v>
      </c>
      <c r="G301" t="str">
        <f>"2026-05-02 04:14:51.897"</f>
        <v>2026-05-02 04:14:51.897</v>
      </c>
      <c r="H301" t="s">
        <v>21</v>
      </c>
    </row>
    <row r="302" spans="1:10" x14ac:dyDescent="0.25">
      <c r="A302" s="1">
        <v>39</v>
      </c>
      <c r="B302" t="s">
        <v>27</v>
      </c>
      <c r="C302">
        <v>635</v>
      </c>
      <c r="D302">
        <v>1</v>
      </c>
      <c r="E302" t="s">
        <v>43</v>
      </c>
      <c r="F302" t="s">
        <v>25</v>
      </c>
      <c r="G302" t="str">
        <f>"2026-05-02 04:11:22.397"</f>
        <v>2026-05-02 04:11:22.397</v>
      </c>
      <c r="H302" t="s">
        <v>21</v>
      </c>
      <c r="I302">
        <v>-0.27</v>
      </c>
      <c r="J302" t="s">
        <v>37</v>
      </c>
    </row>
    <row r="303" spans="1:10" x14ac:dyDescent="0.25">
      <c r="A303" s="1">
        <v>40</v>
      </c>
      <c r="B303" t="s">
        <v>23</v>
      </c>
      <c r="C303">
        <v>635</v>
      </c>
      <c r="D303">
        <v>1</v>
      </c>
      <c r="E303" t="s">
        <v>43</v>
      </c>
      <c r="F303" t="s">
        <v>25</v>
      </c>
      <c r="G303" t="str">
        <f>"2026-05-01 14:14:33.397"</f>
        <v>2026-05-01 14:14:33.397</v>
      </c>
      <c r="H303" t="s">
        <v>21</v>
      </c>
    </row>
    <row r="304" spans="1:10" x14ac:dyDescent="0.25">
      <c r="A304" s="1">
        <v>41</v>
      </c>
      <c r="B304" t="s">
        <v>27</v>
      </c>
      <c r="C304">
        <v>635</v>
      </c>
      <c r="D304">
        <v>1</v>
      </c>
      <c r="E304" t="s">
        <v>43</v>
      </c>
      <c r="F304" t="s">
        <v>25</v>
      </c>
      <c r="G304" t="str">
        <f>"2026-05-01 14:10:44.397"</f>
        <v>2026-05-01 14:10:44.397</v>
      </c>
      <c r="H304" t="s">
        <v>21</v>
      </c>
      <c r="I304">
        <v>0</v>
      </c>
      <c r="J304" t="s">
        <v>28</v>
      </c>
    </row>
    <row r="305" spans="1:10" x14ac:dyDescent="0.25">
      <c r="A305" s="1">
        <v>42</v>
      </c>
      <c r="B305" t="s">
        <v>23</v>
      </c>
      <c r="C305">
        <v>635</v>
      </c>
      <c r="D305">
        <v>1</v>
      </c>
      <c r="E305" t="s">
        <v>43</v>
      </c>
      <c r="F305" t="s">
        <v>25</v>
      </c>
      <c r="G305" t="str">
        <f>"2026-05-01 11:38:11.697"</f>
        <v>2026-05-01 11:38:11.697</v>
      </c>
      <c r="H305" t="s">
        <v>21</v>
      </c>
    </row>
    <row r="306" spans="1:10" x14ac:dyDescent="0.25">
      <c r="A306" s="1">
        <v>43</v>
      </c>
      <c r="B306" t="s">
        <v>27</v>
      </c>
      <c r="C306">
        <v>635</v>
      </c>
      <c r="D306">
        <v>1</v>
      </c>
      <c r="E306" t="s">
        <v>43</v>
      </c>
      <c r="F306" t="s">
        <v>25</v>
      </c>
      <c r="G306" t="str">
        <f>"2026-05-01 11:35:43.697"</f>
        <v>2026-05-01 11:35:43.697</v>
      </c>
      <c r="H306" t="s">
        <v>21</v>
      </c>
      <c r="I306">
        <v>5.72</v>
      </c>
      <c r="J306" t="s">
        <v>37</v>
      </c>
    </row>
    <row r="307" spans="1:10" x14ac:dyDescent="0.25">
      <c r="A307" s="1">
        <v>45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"2026-04-30 21:22:41.789"</f>
        <v>2026-04-30 21:22:41.789</v>
      </c>
      <c r="H307" t="s">
        <v>21</v>
      </c>
      <c r="I307">
        <v>0</v>
      </c>
      <c r="J307" t="s">
        <v>22</v>
      </c>
    </row>
    <row r="308" spans="1:10" x14ac:dyDescent="0.25">
      <c r="A308" s="1">
        <v>47</v>
      </c>
      <c r="B308" t="s">
        <v>36</v>
      </c>
      <c r="C308">
        <v>47</v>
      </c>
      <c r="D308">
        <v>2</v>
      </c>
      <c r="E308" t="s">
        <v>49</v>
      </c>
      <c r="F308" t="s">
        <v>50</v>
      </c>
      <c r="G308" t="str">
        <f>"2026-04-30 19:22:53.854"</f>
        <v>2026-04-30 19:22:53.854</v>
      </c>
      <c r="H308" t="s">
        <v>51</v>
      </c>
      <c r="I308">
        <v>0</v>
      </c>
      <c r="J308" t="s">
        <v>28</v>
      </c>
    </row>
    <row r="309" spans="1:10" x14ac:dyDescent="0.25">
      <c r="A309" s="1">
        <v>49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"2026-04-30 18:25:06.782"</f>
        <v>2026-04-30 18:25:06.782</v>
      </c>
      <c r="H309" t="s">
        <v>21</v>
      </c>
      <c r="I309">
        <v>0</v>
      </c>
      <c r="J309" t="s">
        <v>22</v>
      </c>
    </row>
    <row r="310" spans="1:10" x14ac:dyDescent="0.25">
      <c r="A310" s="1">
        <v>51</v>
      </c>
      <c r="B310" t="s">
        <v>36</v>
      </c>
      <c r="C310">
        <v>47</v>
      </c>
      <c r="D310">
        <v>2</v>
      </c>
      <c r="E310" t="s">
        <v>49</v>
      </c>
      <c r="F310" t="s">
        <v>50</v>
      </c>
      <c r="G310" t="str">
        <f>"2026-04-30 18:14:39.479"</f>
        <v>2026-04-30 18:14:39.479</v>
      </c>
      <c r="H310" t="s">
        <v>51</v>
      </c>
      <c r="I310">
        <v>0</v>
      </c>
      <c r="J310" t="s">
        <v>28</v>
      </c>
    </row>
    <row r="311" spans="1:10" x14ac:dyDescent="0.25">
      <c r="A311" s="1">
        <v>52</v>
      </c>
      <c r="B311" t="s">
        <v>19</v>
      </c>
      <c r="C311">
        <v>706</v>
      </c>
      <c r="D311">
        <v>2</v>
      </c>
      <c r="E311" t="s">
        <v>29</v>
      </c>
      <c r="F311" t="s">
        <v>44</v>
      </c>
      <c r="G311" t="str">
        <f>"2026-04-30 18:08:09.747"</f>
        <v>2026-04-30 18:08:09.747</v>
      </c>
      <c r="H311" t="s">
        <v>21</v>
      </c>
      <c r="I311">
        <v>0</v>
      </c>
      <c r="J311" t="s">
        <v>31</v>
      </c>
    </row>
    <row r="312" spans="1:10" x14ac:dyDescent="0.25">
      <c r="A312" s="1">
        <v>53</v>
      </c>
      <c r="B312" t="s">
        <v>19</v>
      </c>
      <c r="C312">
        <v>706</v>
      </c>
      <c r="D312">
        <v>4</v>
      </c>
      <c r="E312" t="s">
        <v>29</v>
      </c>
      <c r="F312" t="s">
        <v>30</v>
      </c>
      <c r="G312" t="str">
        <f>"2026-04-30 18:07:32.307"</f>
        <v>2026-04-30 18:07:32.307</v>
      </c>
      <c r="H312" t="s">
        <v>21</v>
      </c>
      <c r="I312">
        <v>0</v>
      </c>
      <c r="J312" t="s">
        <v>31</v>
      </c>
    </row>
    <row r="313" spans="1:10" x14ac:dyDescent="0.25">
      <c r="A313" s="1">
        <v>54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"2026-04-30 17:49:06.767"</f>
        <v>2026-04-30 17:49:06.767</v>
      </c>
      <c r="H313" t="s">
        <v>21</v>
      </c>
    </row>
    <row r="314" spans="1:10" x14ac:dyDescent="0.25">
      <c r="A314" s="1">
        <v>56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"2026-04-30 16:41:27.046"</f>
        <v>2026-04-30 16:41:27.046</v>
      </c>
      <c r="H314" t="s">
        <v>21</v>
      </c>
      <c r="I314">
        <v>0</v>
      </c>
      <c r="J314" t="s">
        <v>22</v>
      </c>
    </row>
    <row r="315" spans="1:10" x14ac:dyDescent="0.25">
      <c r="A315" s="1">
        <v>58</v>
      </c>
      <c r="B315" t="s">
        <v>36</v>
      </c>
      <c r="C315">
        <v>47</v>
      </c>
      <c r="D315">
        <v>2</v>
      </c>
      <c r="E315" t="s">
        <v>49</v>
      </c>
      <c r="F315" t="s">
        <v>50</v>
      </c>
      <c r="G315" t="str">
        <f>"2026-04-30 16:18:10.550"</f>
        <v>2026-04-30 16:18:10.550</v>
      </c>
      <c r="H315" t="s">
        <v>51</v>
      </c>
      <c r="I315">
        <v>0</v>
      </c>
      <c r="J315" t="s">
        <v>28</v>
      </c>
    </row>
    <row r="316" spans="1:10" s="3" customFormat="1" x14ac:dyDescent="0.25">
      <c r="A316" s="2">
        <v>60</v>
      </c>
      <c r="B316" s="3" t="s">
        <v>23</v>
      </c>
      <c r="C316" s="3">
        <v>647</v>
      </c>
      <c r="D316" s="3">
        <v>1</v>
      </c>
      <c r="E316" s="3" t="s">
        <v>40</v>
      </c>
      <c r="F316" s="3" t="s">
        <v>41</v>
      </c>
      <c r="G316" s="3" t="str">
        <f>"2026-04-29 08:27:27.050"</f>
        <v>2026-04-29 08:27:27.050</v>
      </c>
      <c r="H316" s="3" t="s">
        <v>21</v>
      </c>
    </row>
    <row r="317" spans="1:10" s="3" customFormat="1" x14ac:dyDescent="0.25">
      <c r="A317" s="2">
        <v>61</v>
      </c>
      <c r="B317" s="3" t="s">
        <v>27</v>
      </c>
      <c r="C317" s="3">
        <v>647</v>
      </c>
      <c r="D317" s="3">
        <v>1</v>
      </c>
      <c r="E317" s="3" t="s">
        <v>40</v>
      </c>
      <c r="F317" s="3" t="s">
        <v>41</v>
      </c>
      <c r="G317" s="3" t="str">
        <f>"2026-04-29 08:27:23.350"</f>
        <v>2026-04-29 08:27:23.350</v>
      </c>
      <c r="H317" s="3" t="s">
        <v>21</v>
      </c>
      <c r="I317" s="3">
        <v>17.28</v>
      </c>
      <c r="J317" s="3" t="s">
        <v>42</v>
      </c>
    </row>
    <row r="318" spans="1:10" x14ac:dyDescent="0.25">
      <c r="A318" s="1">
        <v>62</v>
      </c>
      <c r="B318" t="s">
        <v>23</v>
      </c>
      <c r="C318">
        <v>635</v>
      </c>
      <c r="D318">
        <v>1</v>
      </c>
      <c r="E318" t="s">
        <v>43</v>
      </c>
      <c r="F318" t="s">
        <v>25</v>
      </c>
      <c r="G318" t="str">
        <f>"2026-04-29 04:08:15.149"</f>
        <v>2026-04-29 04:08:15.149</v>
      </c>
      <c r="H318" t="s">
        <v>21</v>
      </c>
    </row>
    <row r="319" spans="1:10" x14ac:dyDescent="0.25">
      <c r="A319" s="1">
        <v>63</v>
      </c>
      <c r="B319" t="s">
        <v>27</v>
      </c>
      <c r="C319">
        <v>635</v>
      </c>
      <c r="D319">
        <v>1</v>
      </c>
      <c r="E319" t="s">
        <v>43</v>
      </c>
      <c r="F319" t="s">
        <v>25</v>
      </c>
      <c r="G319" t="str">
        <f>"2026-04-29 04:05:13.249"</f>
        <v>2026-04-29 04:05:13.249</v>
      </c>
      <c r="H319" t="s">
        <v>21</v>
      </c>
      <c r="I319">
        <v>4.4400000000000004</v>
      </c>
      <c r="J319" t="s">
        <v>37</v>
      </c>
    </row>
    <row r="320" spans="1:10" x14ac:dyDescent="0.25">
      <c r="A320" s="1">
        <v>64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"2026-04-28 18:02:44.765"</f>
        <v>2026-04-28 18:02:44.765</v>
      </c>
      <c r="H320" t="s">
        <v>21</v>
      </c>
    </row>
    <row r="321" spans="1:10" x14ac:dyDescent="0.25">
      <c r="A321" s="1">
        <v>66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"2026-04-28 17:47:03.920"</f>
        <v>2026-04-28 17:47:03.920</v>
      </c>
      <c r="H321" t="s">
        <v>21</v>
      </c>
    </row>
    <row r="322" spans="1:10" x14ac:dyDescent="0.25">
      <c r="A322" s="1">
        <v>68</v>
      </c>
      <c r="B322" t="s">
        <v>36</v>
      </c>
      <c r="C322">
        <v>47</v>
      </c>
      <c r="D322">
        <v>2</v>
      </c>
      <c r="E322" t="s">
        <v>49</v>
      </c>
      <c r="F322" t="s">
        <v>50</v>
      </c>
      <c r="G322" t="str">
        <f>"2026-04-28 17:45:48.004"</f>
        <v>2026-04-28 17:45:48.004</v>
      </c>
      <c r="H322" t="s">
        <v>51</v>
      </c>
      <c r="I322">
        <v>0</v>
      </c>
      <c r="J322" t="s">
        <v>28</v>
      </c>
    </row>
    <row r="323" spans="1:10" x14ac:dyDescent="0.25">
      <c r="A323" s="1">
        <v>70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"2026-04-28 08:22:12.812"</f>
        <v>2026-04-28 08:22:12.812</v>
      </c>
      <c r="H323" t="s">
        <v>21</v>
      </c>
    </row>
    <row r="324" spans="1:10" x14ac:dyDescent="0.25">
      <c r="A324" s="1">
        <v>72</v>
      </c>
      <c r="B324" t="s">
        <v>23</v>
      </c>
      <c r="C324">
        <v>635</v>
      </c>
      <c r="D324">
        <v>1</v>
      </c>
      <c r="E324" t="s">
        <v>43</v>
      </c>
      <c r="F324" t="s">
        <v>25</v>
      </c>
      <c r="G324" t="str">
        <f>"2026-04-27 20:25:16.486"</f>
        <v>2026-04-27 20:25:16.486</v>
      </c>
      <c r="H324" t="s">
        <v>21</v>
      </c>
    </row>
    <row r="325" spans="1:10" x14ac:dyDescent="0.25">
      <c r="A325" s="1">
        <v>73</v>
      </c>
      <c r="B325" t="s">
        <v>27</v>
      </c>
      <c r="C325">
        <v>635</v>
      </c>
      <c r="D325">
        <v>1</v>
      </c>
      <c r="E325" t="s">
        <v>43</v>
      </c>
      <c r="F325" t="s">
        <v>25</v>
      </c>
      <c r="G325" t="str">
        <f>"2026-04-27 20:09:36.986"</f>
        <v>2026-04-27 20:09:36.986</v>
      </c>
      <c r="H325" t="s">
        <v>21</v>
      </c>
      <c r="I325">
        <v>2.31</v>
      </c>
      <c r="J325" t="s">
        <v>37</v>
      </c>
    </row>
    <row r="326" spans="1:10" x14ac:dyDescent="0.25">
      <c r="A326" s="1">
        <v>74</v>
      </c>
      <c r="B326" t="s">
        <v>23</v>
      </c>
      <c r="C326">
        <v>635</v>
      </c>
      <c r="D326">
        <v>1</v>
      </c>
      <c r="E326" t="s">
        <v>43</v>
      </c>
      <c r="F326" t="s">
        <v>25</v>
      </c>
      <c r="G326" t="str">
        <f>"2026-04-27 18:41:35.686"</f>
        <v>2026-04-27 18:41:35.686</v>
      </c>
      <c r="H326" t="s">
        <v>21</v>
      </c>
    </row>
    <row r="327" spans="1:10" x14ac:dyDescent="0.25">
      <c r="A327" s="1">
        <v>75</v>
      </c>
      <c r="B327" t="s">
        <v>27</v>
      </c>
      <c r="C327">
        <v>635</v>
      </c>
      <c r="D327">
        <v>1</v>
      </c>
      <c r="E327" t="s">
        <v>43</v>
      </c>
      <c r="F327" t="s">
        <v>25</v>
      </c>
      <c r="G327" t="str">
        <f>"2026-04-27 18:37:26.686"</f>
        <v>2026-04-27 18:37:26.686</v>
      </c>
      <c r="H327" t="s">
        <v>21</v>
      </c>
      <c r="I327">
        <v>4.62</v>
      </c>
      <c r="J327" t="s">
        <v>37</v>
      </c>
    </row>
    <row r="328" spans="1:10" x14ac:dyDescent="0.25">
      <c r="A328" s="1">
        <v>77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"2026-04-27 15:51:23.814"</f>
        <v>2026-04-27 15:51:23.814</v>
      </c>
      <c r="H328" t="s">
        <v>21</v>
      </c>
      <c r="I328">
        <v>0</v>
      </c>
      <c r="J328" t="s">
        <v>22</v>
      </c>
    </row>
    <row r="329" spans="1:10" x14ac:dyDescent="0.25">
      <c r="A329" s="1">
        <v>79</v>
      </c>
      <c r="B329" t="s">
        <v>32</v>
      </c>
      <c r="C329">
        <v>33</v>
      </c>
      <c r="D329">
        <v>1</v>
      </c>
      <c r="E329" t="s">
        <v>33</v>
      </c>
      <c r="F329" t="s">
        <v>34</v>
      </c>
      <c r="G329" t="str">
        <f>"2026-04-27 11:23:45.706"</f>
        <v>2026-04-27 11:23:45.706</v>
      </c>
      <c r="H329" t="s">
        <v>35</v>
      </c>
    </row>
    <row r="330" spans="1:10" x14ac:dyDescent="0.25">
      <c r="A330" s="1">
        <v>80</v>
      </c>
      <c r="B330" t="s">
        <v>36</v>
      </c>
      <c r="C330">
        <v>33</v>
      </c>
      <c r="D330">
        <v>1</v>
      </c>
      <c r="E330" t="s">
        <v>33</v>
      </c>
      <c r="F330" t="s">
        <v>34</v>
      </c>
      <c r="G330" t="str">
        <f>"2026-04-27 11:22:42.758"</f>
        <v>2026-04-27 11:22:42.758</v>
      </c>
      <c r="H330" t="s">
        <v>35</v>
      </c>
      <c r="I330">
        <v>9.01</v>
      </c>
      <c r="J330" t="s">
        <v>37</v>
      </c>
    </row>
    <row r="331" spans="1:10" x14ac:dyDescent="0.25">
      <c r="A331" s="1">
        <v>81</v>
      </c>
      <c r="B331" t="s">
        <v>23</v>
      </c>
      <c r="C331">
        <v>98</v>
      </c>
      <c r="D331">
        <v>1</v>
      </c>
      <c r="E331" t="s">
        <v>38</v>
      </c>
      <c r="F331" t="s">
        <v>39</v>
      </c>
      <c r="G331" t="str">
        <f>"2026-04-27 07:45:19.360"</f>
        <v>2026-04-27 07:45:19.360</v>
      </c>
      <c r="H331" t="s">
        <v>21</v>
      </c>
    </row>
    <row r="332" spans="1:10" x14ac:dyDescent="0.25">
      <c r="A332" s="1">
        <v>82</v>
      </c>
      <c r="B332" t="s">
        <v>27</v>
      </c>
      <c r="C332">
        <v>98</v>
      </c>
      <c r="D332">
        <v>1</v>
      </c>
      <c r="E332" t="s">
        <v>38</v>
      </c>
      <c r="F332" t="s">
        <v>39</v>
      </c>
      <c r="G332" t="str">
        <f>"2026-04-27 07:45:18.360"</f>
        <v>2026-04-27 07:45:18.360</v>
      </c>
      <c r="H332" t="s">
        <v>21</v>
      </c>
      <c r="I332">
        <v>14.04</v>
      </c>
      <c r="J332" t="s">
        <v>42</v>
      </c>
    </row>
    <row r="333" spans="1:10" x14ac:dyDescent="0.25">
      <c r="A333" s="1">
        <v>84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"2026-04-26 11:51:42.988"</f>
        <v>2026-04-26 11:51:42.988</v>
      </c>
      <c r="H333" t="s">
        <v>21</v>
      </c>
      <c r="I333">
        <v>0</v>
      </c>
      <c r="J333" t="s">
        <v>22</v>
      </c>
    </row>
    <row r="334" spans="1:10" x14ac:dyDescent="0.25">
      <c r="A334" s="1">
        <v>87</v>
      </c>
      <c r="B334" t="s">
        <v>23</v>
      </c>
      <c r="C334">
        <v>635</v>
      </c>
      <c r="D334">
        <v>1</v>
      </c>
      <c r="E334" t="s">
        <v>43</v>
      </c>
      <c r="F334" t="s">
        <v>25</v>
      </c>
      <c r="G334" t="str">
        <f>"2026-04-26 00:28:16.482"</f>
        <v>2026-04-26 00:28:16.482</v>
      </c>
      <c r="H334" t="s">
        <v>21</v>
      </c>
    </row>
    <row r="335" spans="1:10" x14ac:dyDescent="0.25">
      <c r="A335" s="1">
        <v>88</v>
      </c>
      <c r="B335" t="s">
        <v>27</v>
      </c>
      <c r="C335">
        <v>635</v>
      </c>
      <c r="D335">
        <v>1</v>
      </c>
      <c r="E335" t="s">
        <v>43</v>
      </c>
      <c r="F335" t="s">
        <v>25</v>
      </c>
      <c r="G335" t="str">
        <f>"2026-04-26 00:25:09.983"</f>
        <v>2026-04-26 00:25:09.983</v>
      </c>
      <c r="H335" t="s">
        <v>21</v>
      </c>
      <c r="I335">
        <v>0.8</v>
      </c>
      <c r="J335" t="s">
        <v>37</v>
      </c>
    </row>
    <row r="336" spans="1:10" x14ac:dyDescent="0.25">
      <c r="A336" s="1">
        <v>90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"2026-04-25 16:46:04.821"</f>
        <v>2026-04-25 16:46:04.821</v>
      </c>
      <c r="H336" t="s">
        <v>21</v>
      </c>
      <c r="I336">
        <v>0</v>
      </c>
      <c r="J336" t="s">
        <v>22</v>
      </c>
    </row>
    <row r="337" spans="1:10" x14ac:dyDescent="0.25">
      <c r="A337" s="1">
        <v>93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"2026-04-25 08:39:59.791"</f>
        <v>2026-04-25 08:39:59.791</v>
      </c>
      <c r="H337" t="s">
        <v>21</v>
      </c>
    </row>
    <row r="338" spans="1:10" x14ac:dyDescent="0.25">
      <c r="A338" s="1">
        <v>95</v>
      </c>
      <c r="B338" t="s">
        <v>36</v>
      </c>
      <c r="C338">
        <v>47</v>
      </c>
      <c r="D338">
        <v>2</v>
      </c>
      <c r="E338" t="s">
        <v>49</v>
      </c>
      <c r="F338" t="s">
        <v>50</v>
      </c>
      <c r="G338" t="str">
        <f>"2026-04-25 08:30:38.878"</f>
        <v>2026-04-25 08:30:38.878</v>
      </c>
      <c r="H338" t="s">
        <v>51</v>
      </c>
      <c r="I338">
        <v>0</v>
      </c>
      <c r="J338" t="s">
        <v>28</v>
      </c>
    </row>
    <row r="339" spans="1:10" x14ac:dyDescent="0.25">
      <c r="A339" s="1">
        <v>96</v>
      </c>
      <c r="B339" t="s">
        <v>23</v>
      </c>
      <c r="C339">
        <v>635</v>
      </c>
      <c r="D339">
        <v>1</v>
      </c>
      <c r="E339" t="s">
        <v>43</v>
      </c>
      <c r="F339" t="s">
        <v>25</v>
      </c>
      <c r="G339" t="str">
        <f>"2026-04-24 19:29:12.765"</f>
        <v>2026-04-24 19:29:12.765</v>
      </c>
      <c r="H339" t="s">
        <v>21</v>
      </c>
    </row>
    <row r="340" spans="1:10" x14ac:dyDescent="0.25">
      <c r="A340" s="1">
        <v>97</v>
      </c>
      <c r="B340" t="s">
        <v>27</v>
      </c>
      <c r="C340">
        <v>635</v>
      </c>
      <c r="D340">
        <v>1</v>
      </c>
      <c r="E340" t="s">
        <v>43</v>
      </c>
      <c r="F340" t="s">
        <v>25</v>
      </c>
      <c r="G340" t="str">
        <f>"2026-04-24 19:26:00.765"</f>
        <v>2026-04-24 19:26:00.765</v>
      </c>
      <c r="H340" t="s">
        <v>21</v>
      </c>
      <c r="I340">
        <v>6.08</v>
      </c>
      <c r="J340" t="s">
        <v>42</v>
      </c>
    </row>
    <row r="341" spans="1:10" x14ac:dyDescent="0.25">
      <c r="A341" s="1">
        <v>98</v>
      </c>
      <c r="B341" t="s">
        <v>23</v>
      </c>
      <c r="C341">
        <v>635</v>
      </c>
      <c r="D341">
        <v>1</v>
      </c>
      <c r="E341" t="s">
        <v>43</v>
      </c>
      <c r="F341" t="s">
        <v>25</v>
      </c>
      <c r="G341" t="str">
        <f>"2026-04-24 15:04:56.865"</f>
        <v>2026-04-24 15:04:56.865</v>
      </c>
      <c r="H341" t="s">
        <v>21</v>
      </c>
    </row>
    <row r="342" spans="1:10" x14ac:dyDescent="0.25">
      <c r="A342" s="1">
        <v>99</v>
      </c>
      <c r="B342" t="s">
        <v>27</v>
      </c>
      <c r="C342">
        <v>635</v>
      </c>
      <c r="D342">
        <v>1</v>
      </c>
      <c r="E342" t="s">
        <v>43</v>
      </c>
      <c r="F342" t="s">
        <v>25</v>
      </c>
      <c r="G342" t="str">
        <f>"2026-04-24 15:00:40.366"</f>
        <v>2026-04-24 15:00:40.366</v>
      </c>
      <c r="H342" t="s">
        <v>21</v>
      </c>
      <c r="I342">
        <v>6.97</v>
      </c>
      <c r="J342" t="s">
        <v>37</v>
      </c>
    </row>
    <row r="343" spans="1:10" x14ac:dyDescent="0.25">
      <c r="A343" s="1">
        <v>1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"2026-04-24 14:17:30.775"</f>
        <v>2026-04-24 14:17:30.775</v>
      </c>
      <c r="H343" t="s">
        <v>21</v>
      </c>
      <c r="I343">
        <v>0</v>
      </c>
      <c r="J343" t="s">
        <v>22</v>
      </c>
    </row>
    <row r="344" spans="1:10" x14ac:dyDescent="0.25">
      <c r="A344" s="1">
        <v>3</v>
      </c>
      <c r="B344" t="s">
        <v>23</v>
      </c>
      <c r="C344">
        <v>49</v>
      </c>
      <c r="D344">
        <v>1</v>
      </c>
      <c r="E344" t="s">
        <v>52</v>
      </c>
      <c r="F344" t="s">
        <v>53</v>
      </c>
      <c r="G344" t="str">
        <f>"2026-04-24 13:38:37.535"</f>
        <v>2026-04-24 13:38:37.535</v>
      </c>
      <c r="H344" t="s">
        <v>54</v>
      </c>
    </row>
    <row r="345" spans="1:10" x14ac:dyDescent="0.25">
      <c r="A345" s="1">
        <v>4</v>
      </c>
      <c r="B345" t="s">
        <v>19</v>
      </c>
      <c r="C345">
        <v>706</v>
      </c>
      <c r="D345">
        <v>4</v>
      </c>
      <c r="E345" t="s">
        <v>29</v>
      </c>
      <c r="F345" t="s">
        <v>30</v>
      </c>
      <c r="G345" t="str">
        <f>"2026-04-24 13:38:33.143"</f>
        <v>2026-04-24 13:38:33.143</v>
      </c>
      <c r="H345" t="s">
        <v>21</v>
      </c>
      <c r="I345">
        <v>0</v>
      </c>
      <c r="J345" t="s">
        <v>31</v>
      </c>
    </row>
    <row r="346" spans="1:10" x14ac:dyDescent="0.25">
      <c r="A346" s="1">
        <v>8</v>
      </c>
      <c r="B346" t="s">
        <v>27</v>
      </c>
      <c r="C346">
        <v>49</v>
      </c>
      <c r="D346">
        <v>1</v>
      </c>
      <c r="E346" t="s">
        <v>52</v>
      </c>
      <c r="F346" t="s">
        <v>53</v>
      </c>
      <c r="G346" t="str">
        <f>"2026-04-24 13:34:18.635"</f>
        <v>2026-04-24 13:34:18.635</v>
      </c>
      <c r="H346" t="s">
        <v>54</v>
      </c>
      <c r="I346">
        <v>0</v>
      </c>
      <c r="J346" t="s">
        <v>31</v>
      </c>
    </row>
    <row r="347" spans="1:10" x14ac:dyDescent="0.25">
      <c r="A347" s="1">
        <v>10</v>
      </c>
      <c r="B347" t="s">
        <v>23</v>
      </c>
      <c r="C347">
        <v>49</v>
      </c>
      <c r="D347">
        <v>1</v>
      </c>
      <c r="E347" t="s">
        <v>52</v>
      </c>
      <c r="F347" t="s">
        <v>53</v>
      </c>
      <c r="G347" t="str">
        <f>"2026-04-24 13:33:17.035"</f>
        <v>2026-04-24 13:33:17.035</v>
      </c>
      <c r="H347" t="s">
        <v>54</v>
      </c>
    </row>
    <row r="348" spans="1:10" x14ac:dyDescent="0.25">
      <c r="A348" s="1">
        <v>12</v>
      </c>
      <c r="B348" t="s">
        <v>27</v>
      </c>
      <c r="C348">
        <v>49</v>
      </c>
      <c r="D348">
        <v>1</v>
      </c>
      <c r="E348" t="s">
        <v>52</v>
      </c>
      <c r="F348" t="s">
        <v>53</v>
      </c>
      <c r="G348" t="str">
        <f>"2026-04-24 13:20:08.135"</f>
        <v>2026-04-24 13:20:08.135</v>
      </c>
      <c r="H348" t="s">
        <v>54</v>
      </c>
      <c r="I348">
        <v>0</v>
      </c>
      <c r="J348" t="s">
        <v>31</v>
      </c>
    </row>
    <row r="349" spans="1:10" x14ac:dyDescent="0.25">
      <c r="A349" s="1">
        <v>14</v>
      </c>
      <c r="B349" t="s">
        <v>23</v>
      </c>
      <c r="C349">
        <v>49</v>
      </c>
      <c r="D349">
        <v>1</v>
      </c>
      <c r="E349" t="s">
        <v>52</v>
      </c>
      <c r="F349" t="s">
        <v>53</v>
      </c>
      <c r="G349" t="str">
        <f>"2026-04-24 13:14:47.435"</f>
        <v>2026-04-24 13:14:47.435</v>
      </c>
      <c r="H349" t="s">
        <v>54</v>
      </c>
    </row>
    <row r="350" spans="1:10" x14ac:dyDescent="0.25">
      <c r="A350" s="1">
        <v>15</v>
      </c>
      <c r="B350" t="s">
        <v>19</v>
      </c>
      <c r="C350">
        <v>706</v>
      </c>
      <c r="D350">
        <v>4</v>
      </c>
      <c r="E350" t="s">
        <v>29</v>
      </c>
      <c r="F350" t="s">
        <v>30</v>
      </c>
      <c r="G350" t="str">
        <f>"2026-04-24 13:14:41.103"</f>
        <v>2026-04-24 13:14:41.103</v>
      </c>
      <c r="H350" t="s">
        <v>21</v>
      </c>
      <c r="I350">
        <v>0</v>
      </c>
      <c r="J350" t="s">
        <v>31</v>
      </c>
    </row>
    <row r="351" spans="1:10" x14ac:dyDescent="0.25">
      <c r="A351" s="1">
        <v>17</v>
      </c>
      <c r="B351" t="s">
        <v>27</v>
      </c>
      <c r="C351">
        <v>49</v>
      </c>
      <c r="D351">
        <v>1</v>
      </c>
      <c r="E351" t="s">
        <v>52</v>
      </c>
      <c r="F351" t="s">
        <v>53</v>
      </c>
      <c r="G351" t="str">
        <f>"2026-04-24 12:52:58.735"</f>
        <v>2026-04-24 12:52:58.735</v>
      </c>
      <c r="H351" t="s">
        <v>54</v>
      </c>
      <c r="I351">
        <v>0</v>
      </c>
      <c r="J351" t="s">
        <v>31</v>
      </c>
    </row>
    <row r="352" spans="1:10" x14ac:dyDescent="0.25">
      <c r="A352" s="1">
        <v>19</v>
      </c>
      <c r="B352" t="s">
        <v>23</v>
      </c>
      <c r="C352">
        <v>49</v>
      </c>
      <c r="D352">
        <v>1</v>
      </c>
      <c r="E352" t="s">
        <v>52</v>
      </c>
      <c r="F352" t="s">
        <v>53</v>
      </c>
      <c r="G352" t="str">
        <f>"2026-04-24 08:01:51.435"</f>
        <v>2026-04-24 08:01:51.435</v>
      </c>
      <c r="H352" t="s">
        <v>54</v>
      </c>
    </row>
    <row r="353" spans="1:10" x14ac:dyDescent="0.25">
      <c r="A353" s="1">
        <v>20</v>
      </c>
      <c r="B353" t="s">
        <v>19</v>
      </c>
      <c r="C353">
        <v>706</v>
      </c>
      <c r="D353">
        <v>4</v>
      </c>
      <c r="E353" t="s">
        <v>29</v>
      </c>
      <c r="F353" t="s">
        <v>30</v>
      </c>
      <c r="G353" t="str">
        <f>"2026-04-24 08:01:43.823"</f>
        <v>2026-04-24 08:01:43.823</v>
      </c>
      <c r="H353" t="s">
        <v>21</v>
      </c>
      <c r="I353">
        <v>0</v>
      </c>
      <c r="J353" t="s">
        <v>31</v>
      </c>
    </row>
    <row r="354" spans="1:10" x14ac:dyDescent="0.25">
      <c r="A354" s="1">
        <v>22</v>
      </c>
      <c r="B354" t="s">
        <v>27</v>
      </c>
      <c r="C354">
        <v>49</v>
      </c>
      <c r="D354">
        <v>1</v>
      </c>
      <c r="E354" t="s">
        <v>52</v>
      </c>
      <c r="F354" t="s">
        <v>53</v>
      </c>
      <c r="G354" t="str">
        <f>"2026-04-24 07:49:03.035"</f>
        <v>2026-04-24 07:49:03.035</v>
      </c>
      <c r="H354" t="s">
        <v>54</v>
      </c>
      <c r="I354">
        <v>0</v>
      </c>
      <c r="J354" t="s">
        <v>31</v>
      </c>
    </row>
    <row r="355" spans="1:10" x14ac:dyDescent="0.25">
      <c r="A355" s="1">
        <v>24</v>
      </c>
      <c r="B355" t="s">
        <v>23</v>
      </c>
      <c r="C355">
        <v>49</v>
      </c>
      <c r="D355">
        <v>1</v>
      </c>
      <c r="E355" t="s">
        <v>52</v>
      </c>
      <c r="F355" t="s">
        <v>53</v>
      </c>
      <c r="G355" t="str">
        <f>"2026-04-23 13:56:55.135"</f>
        <v>2026-04-23 13:56:55.135</v>
      </c>
      <c r="H355" t="s">
        <v>54</v>
      </c>
    </row>
    <row r="356" spans="1:10" x14ac:dyDescent="0.25">
      <c r="A356" s="1">
        <v>25</v>
      </c>
      <c r="B356" t="s">
        <v>19</v>
      </c>
      <c r="C356">
        <v>706</v>
      </c>
      <c r="D356">
        <v>2</v>
      </c>
      <c r="E356" t="s">
        <v>29</v>
      </c>
      <c r="F356" t="s">
        <v>44</v>
      </c>
      <c r="G356" t="str">
        <f>"2026-04-23 13:56:49.173"</f>
        <v>2026-04-23 13:56:49.173</v>
      </c>
      <c r="H356" t="s">
        <v>21</v>
      </c>
      <c r="I356">
        <v>0</v>
      </c>
      <c r="J356" t="s">
        <v>31</v>
      </c>
    </row>
    <row r="357" spans="1:10" x14ac:dyDescent="0.25">
      <c r="A357" s="1">
        <v>27</v>
      </c>
      <c r="B357" t="s">
        <v>27</v>
      </c>
      <c r="C357">
        <v>49</v>
      </c>
      <c r="D357">
        <v>1</v>
      </c>
      <c r="E357" t="s">
        <v>52</v>
      </c>
      <c r="F357" t="s">
        <v>53</v>
      </c>
      <c r="G357" t="str">
        <f>"2026-04-23 12:57:06.635"</f>
        <v>2026-04-23 12:57:06.635</v>
      </c>
      <c r="H357" t="s">
        <v>54</v>
      </c>
      <c r="I357">
        <v>0</v>
      </c>
      <c r="J357" t="s">
        <v>31</v>
      </c>
    </row>
    <row r="358" spans="1:10" x14ac:dyDescent="0.25">
      <c r="A358" s="1">
        <v>29</v>
      </c>
      <c r="B358" t="s">
        <v>23</v>
      </c>
      <c r="C358">
        <v>49</v>
      </c>
      <c r="D358">
        <v>1</v>
      </c>
      <c r="E358" t="s">
        <v>52</v>
      </c>
      <c r="F358" t="s">
        <v>53</v>
      </c>
      <c r="G358" t="str">
        <f>"2026-04-23 10:31:02.335"</f>
        <v>2026-04-23 10:31:02.335</v>
      </c>
      <c r="H358" t="s">
        <v>54</v>
      </c>
    </row>
    <row r="359" spans="1:10" x14ac:dyDescent="0.25">
      <c r="A359" s="1">
        <v>31</v>
      </c>
      <c r="B359" t="s">
        <v>19</v>
      </c>
      <c r="C359">
        <v>706</v>
      </c>
      <c r="D359">
        <v>4</v>
      </c>
      <c r="E359" t="s">
        <v>29</v>
      </c>
      <c r="F359" t="s">
        <v>30</v>
      </c>
      <c r="G359" t="str">
        <f>"2026-04-23 10:30:54.613"</f>
        <v>2026-04-23 10:30:54.613</v>
      </c>
      <c r="H359" t="s">
        <v>21</v>
      </c>
      <c r="I359">
        <v>0</v>
      </c>
      <c r="J359" t="s">
        <v>31</v>
      </c>
    </row>
    <row r="360" spans="1:10" x14ac:dyDescent="0.25">
      <c r="A360" s="1">
        <v>32</v>
      </c>
      <c r="B360" t="s">
        <v>27</v>
      </c>
      <c r="C360">
        <v>49</v>
      </c>
      <c r="D360">
        <v>1</v>
      </c>
      <c r="E360" t="s">
        <v>52</v>
      </c>
      <c r="F360" t="s">
        <v>53</v>
      </c>
      <c r="G360" t="str">
        <f>"2026-04-23 10:18:07.435"</f>
        <v>2026-04-23 10:18:07.435</v>
      </c>
      <c r="H360" t="s">
        <v>54</v>
      </c>
      <c r="I360">
        <v>0</v>
      </c>
      <c r="J360" t="s">
        <v>31</v>
      </c>
    </row>
    <row r="361" spans="1:10" x14ac:dyDescent="0.25">
      <c r="A361" s="1">
        <v>34</v>
      </c>
      <c r="B361" t="s">
        <v>23</v>
      </c>
      <c r="C361">
        <v>635</v>
      </c>
      <c r="D361">
        <v>1</v>
      </c>
      <c r="E361" t="s">
        <v>43</v>
      </c>
      <c r="F361" t="s">
        <v>25</v>
      </c>
      <c r="G361" t="str">
        <f>"2026-04-22 20:57:14.581"</f>
        <v>2026-04-22 20:57:14.581</v>
      </c>
      <c r="H361" t="s">
        <v>21</v>
      </c>
    </row>
    <row r="362" spans="1:10" x14ac:dyDescent="0.25">
      <c r="A362" s="1">
        <v>35</v>
      </c>
      <c r="B362" t="s">
        <v>27</v>
      </c>
      <c r="C362">
        <v>635</v>
      </c>
      <c r="D362">
        <v>1</v>
      </c>
      <c r="E362" t="s">
        <v>43</v>
      </c>
      <c r="F362" t="s">
        <v>25</v>
      </c>
      <c r="G362" t="str">
        <f>"2026-04-22 20:50:17.081"</f>
        <v>2026-04-22 20:50:17.081</v>
      </c>
      <c r="H362" t="s">
        <v>21</v>
      </c>
      <c r="I362">
        <v>0</v>
      </c>
      <c r="J362" t="s">
        <v>28</v>
      </c>
    </row>
    <row r="363" spans="1:10" x14ac:dyDescent="0.25">
      <c r="A363" s="1">
        <v>36</v>
      </c>
      <c r="B363" t="s">
        <v>23</v>
      </c>
      <c r="C363">
        <v>49</v>
      </c>
      <c r="D363">
        <v>1</v>
      </c>
      <c r="E363" t="s">
        <v>52</v>
      </c>
      <c r="F363" t="s">
        <v>53</v>
      </c>
      <c r="G363" t="str">
        <f>"2026-04-22 16:44:17.135"</f>
        <v>2026-04-22 16:44:17.135</v>
      </c>
      <c r="H363" t="s">
        <v>54</v>
      </c>
    </row>
    <row r="364" spans="1:10" x14ac:dyDescent="0.25">
      <c r="A364" s="1">
        <v>37</v>
      </c>
      <c r="B364" t="s">
        <v>32</v>
      </c>
      <c r="C364">
        <v>47</v>
      </c>
      <c r="D364">
        <v>2</v>
      </c>
      <c r="E364" t="s">
        <v>49</v>
      </c>
      <c r="F364" t="s">
        <v>50</v>
      </c>
      <c r="G364" t="str">
        <f>"2026-04-22 16:44:13.434"</f>
        <v>2026-04-22 16:44:13.434</v>
      </c>
      <c r="H364" t="s">
        <v>51</v>
      </c>
    </row>
    <row r="365" spans="1:10" x14ac:dyDescent="0.25">
      <c r="A365" s="1">
        <v>38</v>
      </c>
      <c r="B365" t="s">
        <v>19</v>
      </c>
      <c r="C365">
        <v>706</v>
      </c>
      <c r="D365">
        <v>4</v>
      </c>
      <c r="E365" t="s">
        <v>29</v>
      </c>
      <c r="F365" t="s">
        <v>30</v>
      </c>
      <c r="G365" t="str">
        <f>"2026-04-22 16:44:10.373"</f>
        <v>2026-04-22 16:44:10.373</v>
      </c>
      <c r="H365" t="s">
        <v>21</v>
      </c>
      <c r="I365">
        <v>0</v>
      </c>
      <c r="J365" t="s">
        <v>31</v>
      </c>
    </row>
    <row r="366" spans="1:10" x14ac:dyDescent="0.25">
      <c r="A366" s="1">
        <v>40</v>
      </c>
      <c r="B366" t="s">
        <v>27</v>
      </c>
      <c r="C366">
        <v>49</v>
      </c>
      <c r="D366">
        <v>1</v>
      </c>
      <c r="E366" t="s">
        <v>52</v>
      </c>
      <c r="F366" t="s">
        <v>53</v>
      </c>
      <c r="G366" t="str">
        <f>"2026-04-22 16:31:01.535"</f>
        <v>2026-04-22 16:31:01.535</v>
      </c>
      <c r="H366" t="s">
        <v>54</v>
      </c>
      <c r="I366">
        <v>0</v>
      </c>
      <c r="J366" t="s">
        <v>31</v>
      </c>
    </row>
    <row r="367" spans="1:10" x14ac:dyDescent="0.25">
      <c r="A367" s="1">
        <v>42</v>
      </c>
      <c r="B367" t="s">
        <v>36</v>
      </c>
      <c r="C367">
        <v>47</v>
      </c>
      <c r="D367">
        <v>2</v>
      </c>
      <c r="E367" t="s">
        <v>49</v>
      </c>
      <c r="F367" t="s">
        <v>50</v>
      </c>
      <c r="G367" t="str">
        <f>"2026-04-22 16:29:52.734"</f>
        <v>2026-04-22 16:29:52.734</v>
      </c>
      <c r="H367" t="s">
        <v>51</v>
      </c>
      <c r="I367">
        <v>0</v>
      </c>
      <c r="J367" t="s">
        <v>28</v>
      </c>
    </row>
    <row r="368" spans="1:10" x14ac:dyDescent="0.25">
      <c r="A368" s="1">
        <v>43</v>
      </c>
      <c r="B368" t="s">
        <v>23</v>
      </c>
      <c r="C368">
        <v>49</v>
      </c>
      <c r="D368">
        <v>1</v>
      </c>
      <c r="E368" t="s">
        <v>52</v>
      </c>
      <c r="F368" t="s">
        <v>53</v>
      </c>
      <c r="G368" t="str">
        <f>"2026-04-22 14:18:44.735"</f>
        <v>2026-04-22 14:18:44.735</v>
      </c>
      <c r="H368" t="s">
        <v>54</v>
      </c>
    </row>
    <row r="369" spans="1:10" x14ac:dyDescent="0.25">
      <c r="A369" s="1">
        <v>44</v>
      </c>
      <c r="B369" t="s">
        <v>19</v>
      </c>
      <c r="C369">
        <v>706</v>
      </c>
      <c r="D369">
        <v>2</v>
      </c>
      <c r="E369" t="s">
        <v>29</v>
      </c>
      <c r="F369" t="s">
        <v>44</v>
      </c>
      <c r="G369" t="str">
        <f>"2026-04-22 14:18:39.073"</f>
        <v>2026-04-22 14:18:39.073</v>
      </c>
      <c r="H369" t="s">
        <v>21</v>
      </c>
      <c r="I369">
        <v>0</v>
      </c>
      <c r="J369" t="s">
        <v>31</v>
      </c>
    </row>
    <row r="370" spans="1:10" x14ac:dyDescent="0.25">
      <c r="A370" s="1">
        <v>46</v>
      </c>
      <c r="B370" t="s">
        <v>27</v>
      </c>
      <c r="C370">
        <v>49</v>
      </c>
      <c r="D370">
        <v>1</v>
      </c>
      <c r="E370" t="s">
        <v>52</v>
      </c>
      <c r="F370" t="s">
        <v>53</v>
      </c>
      <c r="G370" t="str">
        <f>"2026-04-22 13:52:06.935"</f>
        <v>2026-04-22 13:52:06.935</v>
      </c>
      <c r="H370" t="s">
        <v>54</v>
      </c>
      <c r="I370">
        <v>0</v>
      </c>
      <c r="J370" t="s">
        <v>31</v>
      </c>
    </row>
    <row r="371" spans="1:10" x14ac:dyDescent="0.25">
      <c r="A371" s="1">
        <v>48</v>
      </c>
      <c r="B371" t="s">
        <v>32</v>
      </c>
      <c r="C371">
        <v>47</v>
      </c>
      <c r="D371">
        <v>2</v>
      </c>
      <c r="E371" t="s">
        <v>49</v>
      </c>
      <c r="F371" t="s">
        <v>50</v>
      </c>
      <c r="G371" t="str">
        <f>"2026-04-22 09:32:23.334"</f>
        <v>2026-04-22 09:32:23.334</v>
      </c>
      <c r="H371" t="s">
        <v>51</v>
      </c>
    </row>
    <row r="372" spans="1:10" x14ac:dyDescent="0.25">
      <c r="A372" s="1">
        <v>49</v>
      </c>
      <c r="B372" t="s">
        <v>19</v>
      </c>
      <c r="C372">
        <v>706</v>
      </c>
      <c r="D372">
        <v>2</v>
      </c>
      <c r="E372" t="s">
        <v>29</v>
      </c>
      <c r="F372" t="s">
        <v>44</v>
      </c>
      <c r="G372" t="str">
        <f>"2026-04-22 09:32:21.373"</f>
        <v>2026-04-22 09:32:21.373</v>
      </c>
      <c r="H372" t="s">
        <v>21</v>
      </c>
      <c r="I372">
        <v>0</v>
      </c>
      <c r="J372" t="s">
        <v>31</v>
      </c>
    </row>
    <row r="373" spans="1:10" x14ac:dyDescent="0.25">
      <c r="A373" s="1">
        <v>50</v>
      </c>
      <c r="B373" t="s">
        <v>23</v>
      </c>
      <c r="C373">
        <v>49</v>
      </c>
      <c r="D373">
        <v>1</v>
      </c>
      <c r="E373" t="s">
        <v>52</v>
      </c>
      <c r="F373" t="s">
        <v>53</v>
      </c>
      <c r="G373" t="str">
        <f>"2026-04-22 09:31:01.235"</f>
        <v>2026-04-22 09:31:01.235</v>
      </c>
      <c r="H373" t="s">
        <v>54</v>
      </c>
    </row>
    <row r="374" spans="1:10" x14ac:dyDescent="0.25">
      <c r="A374" s="1">
        <v>52</v>
      </c>
      <c r="B374" t="s">
        <v>27</v>
      </c>
      <c r="C374">
        <v>49</v>
      </c>
      <c r="D374">
        <v>1</v>
      </c>
      <c r="E374" t="s">
        <v>52</v>
      </c>
      <c r="F374" t="s">
        <v>53</v>
      </c>
      <c r="G374" t="str">
        <f>"2026-04-22 09:20:24.835"</f>
        <v>2026-04-22 09:20:24.835</v>
      </c>
      <c r="H374" t="s">
        <v>54</v>
      </c>
      <c r="I374">
        <v>0</v>
      </c>
      <c r="J374" t="s">
        <v>31</v>
      </c>
    </row>
    <row r="375" spans="1:10" x14ac:dyDescent="0.25">
      <c r="A375" s="1">
        <v>54</v>
      </c>
      <c r="B375" t="s">
        <v>36</v>
      </c>
      <c r="C375">
        <v>47</v>
      </c>
      <c r="D375">
        <v>2</v>
      </c>
      <c r="E375" t="s">
        <v>49</v>
      </c>
      <c r="F375" t="s">
        <v>50</v>
      </c>
      <c r="G375" t="str">
        <f>"2026-04-22 09:19:16.134"</f>
        <v>2026-04-22 09:19:16.134</v>
      </c>
      <c r="H375" t="s">
        <v>51</v>
      </c>
      <c r="I375">
        <v>0</v>
      </c>
      <c r="J375" t="s">
        <v>28</v>
      </c>
    </row>
    <row r="376" spans="1:10" x14ac:dyDescent="0.25">
      <c r="A376" s="1">
        <v>55</v>
      </c>
      <c r="B376" t="s">
        <v>23</v>
      </c>
      <c r="C376">
        <v>635</v>
      </c>
      <c r="D376">
        <v>1</v>
      </c>
      <c r="E376" t="s">
        <v>43</v>
      </c>
      <c r="F376" t="s">
        <v>25</v>
      </c>
      <c r="G376" t="str">
        <f>"2026-04-22 00:00:24.181"</f>
        <v>2026-04-22 00:00:24.181</v>
      </c>
      <c r="H376" t="s">
        <v>21</v>
      </c>
    </row>
    <row r="377" spans="1:10" x14ac:dyDescent="0.25">
      <c r="A377" s="1">
        <v>56</v>
      </c>
      <c r="B377" t="s">
        <v>27</v>
      </c>
      <c r="C377">
        <v>635</v>
      </c>
      <c r="D377">
        <v>1</v>
      </c>
      <c r="E377" t="s">
        <v>43</v>
      </c>
      <c r="F377" t="s">
        <v>25</v>
      </c>
      <c r="G377" t="str">
        <f>"2026-04-21 23:55:13.681"</f>
        <v>2026-04-21 23:55:13.681</v>
      </c>
      <c r="H377" t="s">
        <v>21</v>
      </c>
      <c r="I377">
        <v>1.1200000000000001</v>
      </c>
      <c r="J377" t="s">
        <v>28</v>
      </c>
    </row>
    <row r="378" spans="1:10" x14ac:dyDescent="0.25">
      <c r="A378" s="1">
        <v>57</v>
      </c>
      <c r="B378" t="s">
        <v>23</v>
      </c>
      <c r="C378">
        <v>49</v>
      </c>
      <c r="D378">
        <v>1</v>
      </c>
      <c r="E378" t="s">
        <v>52</v>
      </c>
      <c r="F378" t="s">
        <v>53</v>
      </c>
      <c r="G378" t="str">
        <f>"2026-04-21 13:48:34.435"</f>
        <v>2026-04-21 13:48:34.435</v>
      </c>
      <c r="H378" t="s">
        <v>54</v>
      </c>
    </row>
    <row r="379" spans="1:10" x14ac:dyDescent="0.25">
      <c r="A379" s="1">
        <v>58</v>
      </c>
      <c r="B379" t="s">
        <v>32</v>
      </c>
      <c r="C379">
        <v>47</v>
      </c>
      <c r="D379">
        <v>2</v>
      </c>
      <c r="E379" t="s">
        <v>49</v>
      </c>
      <c r="F379" t="s">
        <v>50</v>
      </c>
      <c r="G379" t="str">
        <f>"2026-04-21 13:48:32.234"</f>
        <v>2026-04-21 13:48:32.234</v>
      </c>
      <c r="H379" t="s">
        <v>51</v>
      </c>
    </row>
    <row r="380" spans="1:10" x14ac:dyDescent="0.25">
      <c r="A380" s="1">
        <v>59</v>
      </c>
      <c r="B380" t="s">
        <v>19</v>
      </c>
      <c r="C380">
        <v>706</v>
      </c>
      <c r="D380">
        <v>2</v>
      </c>
      <c r="E380" t="s">
        <v>29</v>
      </c>
      <c r="F380" t="s">
        <v>44</v>
      </c>
      <c r="G380" t="str">
        <f>"2026-04-21 13:48:28.873"</f>
        <v>2026-04-21 13:48:28.873</v>
      </c>
      <c r="H380" t="s">
        <v>21</v>
      </c>
      <c r="I380">
        <v>0</v>
      </c>
      <c r="J380" t="s">
        <v>31</v>
      </c>
    </row>
    <row r="381" spans="1:10" x14ac:dyDescent="0.25">
      <c r="A381" s="1">
        <v>61</v>
      </c>
      <c r="B381" t="s">
        <v>27</v>
      </c>
      <c r="C381">
        <v>49</v>
      </c>
      <c r="D381">
        <v>1</v>
      </c>
      <c r="E381" t="s">
        <v>52</v>
      </c>
      <c r="F381" t="s">
        <v>53</v>
      </c>
      <c r="G381" t="str">
        <f>"2026-04-21 13:28:13.335"</f>
        <v>2026-04-21 13:28:13.335</v>
      </c>
      <c r="H381" t="s">
        <v>54</v>
      </c>
      <c r="I381">
        <v>0</v>
      </c>
      <c r="J381" t="s">
        <v>31</v>
      </c>
    </row>
    <row r="382" spans="1:10" x14ac:dyDescent="0.25">
      <c r="A382" s="1">
        <v>63</v>
      </c>
      <c r="B382" t="s">
        <v>23</v>
      </c>
      <c r="C382">
        <v>49</v>
      </c>
      <c r="D382">
        <v>1</v>
      </c>
      <c r="E382" t="s">
        <v>52</v>
      </c>
      <c r="F382" t="s">
        <v>53</v>
      </c>
      <c r="G382" t="str">
        <f>"2026-04-21 13:27:05.035"</f>
        <v>2026-04-21 13:27:05.035</v>
      </c>
      <c r="H382" t="s">
        <v>54</v>
      </c>
    </row>
    <row r="383" spans="1:10" x14ac:dyDescent="0.25">
      <c r="A383" s="1">
        <v>65</v>
      </c>
      <c r="B383" t="s">
        <v>27</v>
      </c>
      <c r="C383">
        <v>49</v>
      </c>
      <c r="D383">
        <v>1</v>
      </c>
      <c r="E383" t="s">
        <v>52</v>
      </c>
      <c r="F383" t="s">
        <v>53</v>
      </c>
      <c r="G383" t="str">
        <f>"2026-04-21 13:00:28.635"</f>
        <v>2026-04-21 13:00:28.635</v>
      </c>
      <c r="H383" t="s">
        <v>54</v>
      </c>
      <c r="I383">
        <v>0</v>
      </c>
      <c r="J383" t="s">
        <v>31</v>
      </c>
    </row>
    <row r="384" spans="1:10" x14ac:dyDescent="0.25">
      <c r="A384" s="1">
        <v>67</v>
      </c>
      <c r="B384" t="s">
        <v>36</v>
      </c>
      <c r="C384">
        <v>47</v>
      </c>
      <c r="D384">
        <v>2</v>
      </c>
      <c r="E384" t="s">
        <v>49</v>
      </c>
      <c r="F384" t="s">
        <v>50</v>
      </c>
      <c r="G384" t="str">
        <f>"2026-04-21 12:59:19.934"</f>
        <v>2026-04-21 12:59:19.934</v>
      </c>
      <c r="H384" t="s">
        <v>51</v>
      </c>
      <c r="I384">
        <v>0</v>
      </c>
      <c r="J384" t="s">
        <v>28</v>
      </c>
    </row>
    <row r="385" spans="1:10" x14ac:dyDescent="0.25">
      <c r="A385" s="1">
        <v>68</v>
      </c>
      <c r="B385" t="s">
        <v>23</v>
      </c>
      <c r="C385">
        <v>49</v>
      </c>
      <c r="D385">
        <v>1</v>
      </c>
      <c r="E385" t="s">
        <v>52</v>
      </c>
      <c r="F385" t="s">
        <v>53</v>
      </c>
      <c r="G385" t="str">
        <f>"2026-04-20 14:38:21.835"</f>
        <v>2026-04-20 14:38:21.835</v>
      </c>
      <c r="H385" t="s">
        <v>54</v>
      </c>
    </row>
    <row r="386" spans="1:10" x14ac:dyDescent="0.25">
      <c r="A386" s="1">
        <v>69</v>
      </c>
      <c r="B386" t="s">
        <v>32</v>
      </c>
      <c r="C386">
        <v>47</v>
      </c>
      <c r="D386">
        <v>2</v>
      </c>
      <c r="E386" t="s">
        <v>49</v>
      </c>
      <c r="F386" t="s">
        <v>50</v>
      </c>
      <c r="G386" t="str">
        <f>"2026-04-20 14:38:17.434"</f>
        <v>2026-04-20 14:38:17.434</v>
      </c>
      <c r="H386" t="s">
        <v>51</v>
      </c>
    </row>
    <row r="387" spans="1:10" x14ac:dyDescent="0.25">
      <c r="A387" s="1">
        <v>70</v>
      </c>
      <c r="B387" t="s">
        <v>19</v>
      </c>
      <c r="C387">
        <v>706</v>
      </c>
      <c r="D387">
        <v>4</v>
      </c>
      <c r="E387" t="s">
        <v>29</v>
      </c>
      <c r="F387" t="s">
        <v>30</v>
      </c>
      <c r="G387" t="str">
        <f>"2026-04-20 14:38:15.363"</f>
        <v>2026-04-20 14:38:15.363</v>
      </c>
      <c r="H387" t="s">
        <v>21</v>
      </c>
      <c r="I387">
        <v>0</v>
      </c>
      <c r="J387" t="s">
        <v>31</v>
      </c>
    </row>
    <row r="388" spans="1:10" x14ac:dyDescent="0.25">
      <c r="A388" s="1">
        <v>72</v>
      </c>
      <c r="B388" t="s">
        <v>27</v>
      </c>
      <c r="C388">
        <v>49</v>
      </c>
      <c r="D388">
        <v>1</v>
      </c>
      <c r="E388" t="s">
        <v>52</v>
      </c>
      <c r="F388" t="s">
        <v>53</v>
      </c>
      <c r="G388" t="str">
        <f>"2026-04-20 14:25:42.435"</f>
        <v>2026-04-20 14:25:42.435</v>
      </c>
      <c r="H388" t="s">
        <v>54</v>
      </c>
      <c r="I388">
        <v>0</v>
      </c>
      <c r="J388" t="s">
        <v>31</v>
      </c>
    </row>
    <row r="389" spans="1:10" x14ac:dyDescent="0.25">
      <c r="A389" s="1">
        <v>74</v>
      </c>
      <c r="B389" t="s">
        <v>36</v>
      </c>
      <c r="C389">
        <v>47</v>
      </c>
      <c r="D389">
        <v>2</v>
      </c>
      <c r="E389" t="s">
        <v>49</v>
      </c>
      <c r="F389" t="s">
        <v>50</v>
      </c>
      <c r="G389" t="str">
        <f>"2026-04-20 14:24:33.534"</f>
        <v>2026-04-20 14:24:33.534</v>
      </c>
      <c r="H389" t="s">
        <v>51</v>
      </c>
      <c r="I389">
        <v>0</v>
      </c>
      <c r="J389" t="s">
        <v>28</v>
      </c>
    </row>
    <row r="390" spans="1:10" x14ac:dyDescent="0.25">
      <c r="A390" s="1">
        <v>76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"2026-04-20 12:29:21.723"</f>
        <v>2026-04-20 12:29:21.723</v>
      </c>
      <c r="H390" t="s">
        <v>21</v>
      </c>
      <c r="I390">
        <v>0</v>
      </c>
      <c r="J390" t="s">
        <v>22</v>
      </c>
    </row>
    <row r="391" spans="1:10" x14ac:dyDescent="0.25">
      <c r="A391" s="1">
        <v>78</v>
      </c>
      <c r="B391" t="s">
        <v>23</v>
      </c>
      <c r="C391">
        <v>49</v>
      </c>
      <c r="D391">
        <v>1</v>
      </c>
      <c r="E391" t="s">
        <v>52</v>
      </c>
      <c r="F391" t="s">
        <v>53</v>
      </c>
      <c r="G391" t="str">
        <f>"2026-04-20 10:19:57.326"</f>
        <v>2026-04-20 10:19:57.326</v>
      </c>
      <c r="H391" t="s">
        <v>54</v>
      </c>
    </row>
    <row r="392" spans="1:10" x14ac:dyDescent="0.25">
      <c r="A392" s="1">
        <v>79</v>
      </c>
      <c r="B392" t="s">
        <v>19</v>
      </c>
      <c r="C392">
        <v>706</v>
      </c>
      <c r="D392">
        <v>4</v>
      </c>
      <c r="E392" t="s">
        <v>29</v>
      </c>
      <c r="F392" t="s">
        <v>30</v>
      </c>
      <c r="G392" t="str">
        <f>"2026-04-20 10:19:55.443"</f>
        <v>2026-04-20 10:19:55.443</v>
      </c>
      <c r="H392" t="s">
        <v>21</v>
      </c>
      <c r="I392">
        <v>0</v>
      </c>
      <c r="J392" t="s">
        <v>31</v>
      </c>
    </row>
    <row r="393" spans="1:10" x14ac:dyDescent="0.25">
      <c r="A393" s="1">
        <v>81</v>
      </c>
      <c r="B393" t="s">
        <v>27</v>
      </c>
      <c r="C393">
        <v>49</v>
      </c>
      <c r="D393">
        <v>1</v>
      </c>
      <c r="E393" t="s">
        <v>52</v>
      </c>
      <c r="F393" t="s">
        <v>53</v>
      </c>
      <c r="G393" t="str">
        <f>"2026-04-20 10:05:49.726"</f>
        <v>2026-04-20 10:05:49.726</v>
      </c>
      <c r="H393" t="s">
        <v>54</v>
      </c>
      <c r="I393">
        <v>0</v>
      </c>
      <c r="J393" t="s">
        <v>31</v>
      </c>
    </row>
    <row r="394" spans="1:10" x14ac:dyDescent="0.25">
      <c r="A394" s="1">
        <v>83</v>
      </c>
      <c r="B394" t="s">
        <v>19</v>
      </c>
      <c r="C394">
        <v>706</v>
      </c>
      <c r="D394">
        <v>2</v>
      </c>
      <c r="E394" t="s">
        <v>29</v>
      </c>
      <c r="F394" t="s">
        <v>44</v>
      </c>
      <c r="G394" t="str">
        <f>"2026-04-19 22:12:02.653"</f>
        <v>2026-04-19 22:12:02.653</v>
      </c>
      <c r="H394" t="s">
        <v>21</v>
      </c>
      <c r="I394">
        <v>0</v>
      </c>
      <c r="J394" t="s">
        <v>31</v>
      </c>
    </row>
    <row r="395" spans="1:10" x14ac:dyDescent="0.25">
      <c r="A395" s="1">
        <v>85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"2026-04-19 22:11:33.913"</f>
        <v>2026-04-19 22:11:33.913</v>
      </c>
      <c r="H395" t="s">
        <v>21</v>
      </c>
      <c r="I395">
        <v>0</v>
      </c>
      <c r="J395" t="s">
        <v>22</v>
      </c>
    </row>
    <row r="396" spans="1:10" x14ac:dyDescent="0.25">
      <c r="A396" s="1">
        <v>88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"2026-04-19 14:42:49.733"</f>
        <v>2026-04-19 14:42:49.733</v>
      </c>
      <c r="H396" t="s">
        <v>21</v>
      </c>
    </row>
    <row r="397" spans="1:10" x14ac:dyDescent="0.25">
      <c r="A397" s="1">
        <v>90</v>
      </c>
      <c r="B397" t="s">
        <v>36</v>
      </c>
      <c r="C397">
        <v>47</v>
      </c>
      <c r="D397">
        <v>2</v>
      </c>
      <c r="E397" t="s">
        <v>49</v>
      </c>
      <c r="F397" t="s">
        <v>50</v>
      </c>
      <c r="G397" t="str">
        <f>"2026-04-19 13:15:42.170"</f>
        <v>2026-04-19 13:15:42.170</v>
      </c>
      <c r="H397" t="s">
        <v>51</v>
      </c>
      <c r="I397">
        <v>0</v>
      </c>
      <c r="J397" t="s">
        <v>28</v>
      </c>
    </row>
    <row r="398" spans="1:10" x14ac:dyDescent="0.25">
      <c r="A398" s="1">
        <v>91</v>
      </c>
      <c r="B398" t="s">
        <v>19</v>
      </c>
      <c r="C398">
        <v>706</v>
      </c>
      <c r="D398">
        <v>4</v>
      </c>
      <c r="E398" t="s">
        <v>29</v>
      </c>
      <c r="F398" t="s">
        <v>30</v>
      </c>
      <c r="G398" t="str">
        <f>"2026-04-19 13:14:31.030"</f>
        <v>2026-04-19 13:14:31.030</v>
      </c>
      <c r="H398" t="s">
        <v>21</v>
      </c>
      <c r="I398">
        <v>0</v>
      </c>
      <c r="J398" t="s">
        <v>31</v>
      </c>
    </row>
    <row r="399" spans="1:10" x14ac:dyDescent="0.25">
      <c r="A399" s="1">
        <v>94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"2026-04-19 11:25:12.920"</f>
        <v>2026-04-19 11:25:12.920</v>
      </c>
      <c r="H399" t="s">
        <v>21</v>
      </c>
      <c r="I399">
        <v>0</v>
      </c>
      <c r="J399" t="s">
        <v>22</v>
      </c>
    </row>
    <row r="400" spans="1:10" x14ac:dyDescent="0.25">
      <c r="A400" s="1">
        <v>95</v>
      </c>
      <c r="B400" t="s">
        <v>36</v>
      </c>
      <c r="C400">
        <v>47</v>
      </c>
      <c r="D400">
        <v>2</v>
      </c>
      <c r="E400" t="s">
        <v>49</v>
      </c>
      <c r="F400" t="s">
        <v>50</v>
      </c>
      <c r="G400" t="str">
        <f>"2026-04-19 10:35:02.586"</f>
        <v>2026-04-19 10:35:02.586</v>
      </c>
      <c r="H400" t="s">
        <v>51</v>
      </c>
      <c r="I400">
        <v>0</v>
      </c>
      <c r="J400" t="s">
        <v>28</v>
      </c>
    </row>
    <row r="401" spans="1:10" x14ac:dyDescent="0.25">
      <c r="A401" s="1">
        <v>96</v>
      </c>
      <c r="B401" t="s">
        <v>19</v>
      </c>
      <c r="C401">
        <v>706</v>
      </c>
      <c r="D401">
        <v>4</v>
      </c>
      <c r="E401" t="s">
        <v>29</v>
      </c>
      <c r="F401" t="s">
        <v>30</v>
      </c>
      <c r="G401" t="str">
        <f>"2026-04-19 10:31:52.606"</f>
        <v>2026-04-19 10:31:52.606</v>
      </c>
      <c r="H401" t="s">
        <v>21</v>
      </c>
      <c r="I401">
        <v>0</v>
      </c>
      <c r="J401" t="s">
        <v>31</v>
      </c>
    </row>
    <row r="402" spans="1:10" x14ac:dyDescent="0.25">
      <c r="A402" s="1">
        <v>97</v>
      </c>
      <c r="B402" t="s">
        <v>23</v>
      </c>
      <c r="C402">
        <v>47</v>
      </c>
      <c r="D402">
        <v>2</v>
      </c>
      <c r="E402" t="s">
        <v>49</v>
      </c>
      <c r="F402" t="s">
        <v>50</v>
      </c>
      <c r="G402" t="str">
        <f>"2026-04-19 10:26:07.927"</f>
        <v>2026-04-19 10:26:07.927</v>
      </c>
      <c r="H402" t="s">
        <v>51</v>
      </c>
    </row>
    <row r="403" spans="1:10" x14ac:dyDescent="0.25">
      <c r="A403" s="1">
        <v>98</v>
      </c>
      <c r="B403" t="s">
        <v>36</v>
      </c>
      <c r="C403">
        <v>47</v>
      </c>
      <c r="D403">
        <v>2</v>
      </c>
      <c r="E403" t="s">
        <v>49</v>
      </c>
      <c r="F403" t="s">
        <v>50</v>
      </c>
      <c r="G403" t="str">
        <f>"2026-04-19 10:25:06.087"</f>
        <v>2026-04-19 10:25:06.087</v>
      </c>
      <c r="H403" t="s">
        <v>51</v>
      </c>
      <c r="I403">
        <v>0</v>
      </c>
      <c r="J403" t="s">
        <v>28</v>
      </c>
    </row>
    <row r="404" spans="1:10" x14ac:dyDescent="0.25">
      <c r="A404" s="1">
        <v>99</v>
      </c>
      <c r="B404" t="s">
        <v>23</v>
      </c>
      <c r="C404">
        <v>635</v>
      </c>
      <c r="D404">
        <v>1</v>
      </c>
      <c r="E404" t="s">
        <v>43</v>
      </c>
      <c r="F404" t="s">
        <v>25</v>
      </c>
      <c r="G404" t="str">
        <f>"2026-04-18 22:42:32.474"</f>
        <v>2026-04-18 22:42:32.474</v>
      </c>
      <c r="H404" t="s">
        <v>21</v>
      </c>
    </row>
    <row r="405" spans="1:10" x14ac:dyDescent="0.25">
      <c r="A405" s="1">
        <v>0</v>
      </c>
      <c r="B405" t="s">
        <v>27</v>
      </c>
      <c r="C405">
        <v>635</v>
      </c>
      <c r="D405">
        <v>1</v>
      </c>
      <c r="E405" t="s">
        <v>43</v>
      </c>
      <c r="F405" t="s">
        <v>25</v>
      </c>
      <c r="G405" t="str">
        <f>"2026-04-18 22:39:36.974"</f>
        <v>2026-04-18 22:39:36.974</v>
      </c>
      <c r="H405" t="s">
        <v>21</v>
      </c>
      <c r="I405">
        <v>2.6</v>
      </c>
      <c r="J405" t="s">
        <v>37</v>
      </c>
    </row>
    <row r="406" spans="1:10" s="3" customFormat="1" x14ac:dyDescent="0.25">
      <c r="A406" s="2">
        <v>1</v>
      </c>
      <c r="B406" s="3" t="s">
        <v>23</v>
      </c>
      <c r="C406" s="3">
        <v>647</v>
      </c>
      <c r="D406" s="3">
        <v>1</v>
      </c>
      <c r="E406" s="3" t="s">
        <v>40</v>
      </c>
      <c r="F406" s="3" t="s">
        <v>41</v>
      </c>
      <c r="G406" s="3" t="str">
        <f>"2026-04-18 19:15:27.774"</f>
        <v>2026-04-18 19:15:27.774</v>
      </c>
      <c r="H406" s="3" t="s">
        <v>21</v>
      </c>
    </row>
    <row r="407" spans="1:10" s="3" customFormat="1" x14ac:dyDescent="0.25">
      <c r="A407" s="2">
        <v>2</v>
      </c>
      <c r="B407" s="3" t="s">
        <v>27</v>
      </c>
      <c r="C407" s="3">
        <v>647</v>
      </c>
      <c r="D407" s="3">
        <v>1</v>
      </c>
      <c r="E407" s="3" t="s">
        <v>40</v>
      </c>
      <c r="F407" s="3" t="s">
        <v>41</v>
      </c>
      <c r="G407" s="3" t="str">
        <f>"2026-04-18 19:15:26.674"</f>
        <v>2026-04-18 19:15:26.674</v>
      </c>
      <c r="H407" s="3" t="s">
        <v>21</v>
      </c>
      <c r="I407" s="3">
        <v>9.92</v>
      </c>
      <c r="J407" s="3" t="s">
        <v>42</v>
      </c>
    </row>
    <row r="408" spans="1:10" x14ac:dyDescent="0.25">
      <c r="A408" s="1">
        <v>3</v>
      </c>
      <c r="B408" t="s">
        <v>23</v>
      </c>
      <c r="C408">
        <v>635</v>
      </c>
      <c r="D408">
        <v>1</v>
      </c>
      <c r="E408" t="s">
        <v>43</v>
      </c>
      <c r="F408" t="s">
        <v>25</v>
      </c>
      <c r="G408" t="str">
        <f>"2026-04-18 15:50:11.374"</f>
        <v>2026-04-18 15:50:11.374</v>
      </c>
      <c r="H408" t="s">
        <v>21</v>
      </c>
    </row>
    <row r="409" spans="1:10" x14ac:dyDescent="0.25">
      <c r="A409" s="1">
        <v>4</v>
      </c>
      <c r="B409" t="s">
        <v>27</v>
      </c>
      <c r="C409">
        <v>635</v>
      </c>
      <c r="D409">
        <v>1</v>
      </c>
      <c r="E409" t="s">
        <v>43</v>
      </c>
      <c r="F409" t="s">
        <v>25</v>
      </c>
      <c r="G409" t="str">
        <f>"2026-04-18 15:46:43.374"</f>
        <v>2026-04-18 15:46:43.374</v>
      </c>
      <c r="H409" t="s">
        <v>21</v>
      </c>
      <c r="I409">
        <v>0.76</v>
      </c>
      <c r="J409" t="s">
        <v>42</v>
      </c>
    </row>
    <row r="410" spans="1:10" x14ac:dyDescent="0.25">
      <c r="A410" s="1">
        <v>6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"2026-04-18 13:44:40.756"</f>
        <v>2026-04-18 13:44:40.756</v>
      </c>
      <c r="H410" t="s">
        <v>21</v>
      </c>
    </row>
    <row r="411" spans="1:10" x14ac:dyDescent="0.25">
      <c r="A411" s="1">
        <v>9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"2026-04-17 15:44:15.726"</f>
        <v>2026-04-17 15:44:15.726</v>
      </c>
      <c r="H411" t="s">
        <v>21</v>
      </c>
    </row>
    <row r="412" spans="1:10" x14ac:dyDescent="0.25">
      <c r="A412" s="1">
        <v>11</v>
      </c>
      <c r="B412" t="s">
        <v>32</v>
      </c>
      <c r="C412">
        <v>33</v>
      </c>
      <c r="D412">
        <v>1</v>
      </c>
      <c r="E412" t="s">
        <v>33</v>
      </c>
      <c r="F412" t="s">
        <v>34</v>
      </c>
      <c r="G412" t="str">
        <f>"2026-04-17 11:35:53.844"</f>
        <v>2026-04-17 11:35:53.844</v>
      </c>
      <c r="H412" t="s">
        <v>35</v>
      </c>
    </row>
    <row r="413" spans="1:10" x14ac:dyDescent="0.25">
      <c r="A413" s="1">
        <v>12</v>
      </c>
      <c r="B413" t="s">
        <v>36</v>
      </c>
      <c r="C413">
        <v>33</v>
      </c>
      <c r="D413">
        <v>1</v>
      </c>
      <c r="E413" t="s">
        <v>33</v>
      </c>
      <c r="F413" t="s">
        <v>34</v>
      </c>
      <c r="G413" t="str">
        <f>"2026-04-17 11:35:44.736"</f>
        <v>2026-04-17 11:35:44.736</v>
      </c>
      <c r="H413" t="s">
        <v>35</v>
      </c>
      <c r="I413">
        <v>9.42</v>
      </c>
      <c r="J413" t="s">
        <v>37</v>
      </c>
    </row>
    <row r="414" spans="1:10" x14ac:dyDescent="0.25">
      <c r="A414" s="1">
        <v>13</v>
      </c>
      <c r="B414" t="s">
        <v>23</v>
      </c>
      <c r="C414">
        <v>635</v>
      </c>
      <c r="D414">
        <v>1</v>
      </c>
      <c r="E414" t="s">
        <v>43</v>
      </c>
      <c r="F414" t="s">
        <v>25</v>
      </c>
      <c r="G414" t="str">
        <f>"2026-04-17 01:42:57.844"</f>
        <v>2026-04-17 01:42:57.844</v>
      </c>
      <c r="H414" t="s">
        <v>21</v>
      </c>
    </row>
    <row r="415" spans="1:10" x14ac:dyDescent="0.25">
      <c r="A415" s="1">
        <v>14</v>
      </c>
      <c r="B415" t="s">
        <v>27</v>
      </c>
      <c r="C415">
        <v>635</v>
      </c>
      <c r="D415">
        <v>1</v>
      </c>
      <c r="E415" t="s">
        <v>43</v>
      </c>
      <c r="F415" t="s">
        <v>25</v>
      </c>
      <c r="G415" t="str">
        <f>"2026-04-17 01:40:01.844"</f>
        <v>2026-04-17 01:40:01.844</v>
      </c>
      <c r="H415" t="s">
        <v>21</v>
      </c>
      <c r="I415">
        <v>2.46</v>
      </c>
      <c r="J415" t="s">
        <v>37</v>
      </c>
    </row>
    <row r="416" spans="1:10" s="3" customFormat="1" x14ac:dyDescent="0.25">
      <c r="A416" s="2">
        <v>15</v>
      </c>
      <c r="B416" s="3" t="s">
        <v>23</v>
      </c>
      <c r="C416" s="3">
        <v>647</v>
      </c>
      <c r="D416" s="3">
        <v>1</v>
      </c>
      <c r="E416" s="3" t="s">
        <v>40</v>
      </c>
      <c r="F416" s="3" t="s">
        <v>41</v>
      </c>
      <c r="G416" s="3" t="str">
        <f>"2026-04-16 18:35:09.044"</f>
        <v>2026-04-16 18:35:09.044</v>
      </c>
      <c r="H416" s="3" t="s">
        <v>21</v>
      </c>
    </row>
    <row r="417" spans="1:10" s="3" customFormat="1" x14ac:dyDescent="0.25">
      <c r="A417" s="2">
        <v>16</v>
      </c>
      <c r="B417" s="3" t="s">
        <v>27</v>
      </c>
      <c r="C417" s="3">
        <v>647</v>
      </c>
      <c r="D417" s="3">
        <v>1</v>
      </c>
      <c r="E417" s="3" t="s">
        <v>40</v>
      </c>
      <c r="F417" s="3" t="s">
        <v>41</v>
      </c>
      <c r="G417" s="3" t="str">
        <f>"2026-04-16 18:35:05.444"</f>
        <v>2026-04-16 18:35:05.444</v>
      </c>
      <c r="H417" s="3" t="s">
        <v>21</v>
      </c>
      <c r="I417" s="3">
        <v>9.17</v>
      </c>
      <c r="J417" s="3" t="s">
        <v>42</v>
      </c>
    </row>
    <row r="418" spans="1:10" x14ac:dyDescent="0.25">
      <c r="A418" s="1">
        <v>17</v>
      </c>
      <c r="B418" t="s">
        <v>23</v>
      </c>
      <c r="C418">
        <v>635</v>
      </c>
      <c r="D418">
        <v>1</v>
      </c>
      <c r="E418" t="s">
        <v>43</v>
      </c>
      <c r="F418" t="s">
        <v>25</v>
      </c>
      <c r="G418" t="str">
        <f>"2026-04-16 16:26:49.044"</f>
        <v>2026-04-16 16:26:49.044</v>
      </c>
      <c r="H418" t="s">
        <v>21</v>
      </c>
    </row>
    <row r="419" spans="1:10" x14ac:dyDescent="0.25">
      <c r="A419" s="1">
        <v>18</v>
      </c>
      <c r="B419" t="s">
        <v>27</v>
      </c>
      <c r="C419">
        <v>635</v>
      </c>
      <c r="D419">
        <v>1</v>
      </c>
      <c r="E419" t="s">
        <v>43</v>
      </c>
      <c r="F419" t="s">
        <v>25</v>
      </c>
      <c r="G419" t="str">
        <f>"2026-04-16 16:22:19.044"</f>
        <v>2026-04-16 16:22:19.044</v>
      </c>
      <c r="H419" t="s">
        <v>21</v>
      </c>
      <c r="I419">
        <v>7.43</v>
      </c>
      <c r="J419" t="s">
        <v>37</v>
      </c>
    </row>
    <row r="420" spans="1:10" x14ac:dyDescent="0.25">
      <c r="A420" s="1">
        <v>20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"2026-04-16 13:26:06.736"</f>
        <v>2026-04-16 13:26:06.736</v>
      </c>
      <c r="H420" t="s">
        <v>21</v>
      </c>
    </row>
    <row r="421" spans="1:10" x14ac:dyDescent="0.25">
      <c r="A421" s="1">
        <v>22</v>
      </c>
      <c r="B421" t="s">
        <v>36</v>
      </c>
      <c r="C421">
        <v>47</v>
      </c>
      <c r="D421">
        <v>2</v>
      </c>
      <c r="E421" t="s">
        <v>49</v>
      </c>
      <c r="F421" t="s">
        <v>50</v>
      </c>
      <c r="G421" t="str">
        <f>"2026-04-16 13:22:53.651"</f>
        <v>2026-04-16 13:22:53.651</v>
      </c>
      <c r="H421" t="s">
        <v>51</v>
      </c>
      <c r="I421">
        <v>0</v>
      </c>
      <c r="J421" t="s">
        <v>28</v>
      </c>
    </row>
    <row r="422" spans="1:10" x14ac:dyDescent="0.25">
      <c r="A422" s="1">
        <v>24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"2026-04-12 16:53:44.719"</f>
        <v>2026-04-12 16:53:44.719</v>
      </c>
      <c r="H422" t="s">
        <v>21</v>
      </c>
      <c r="I422">
        <v>0</v>
      </c>
      <c r="J422" t="s">
        <v>22</v>
      </c>
    </row>
    <row r="423" spans="1:10" x14ac:dyDescent="0.25">
      <c r="A423" s="1">
        <v>26</v>
      </c>
      <c r="B423" t="s">
        <v>36</v>
      </c>
      <c r="C423">
        <v>47</v>
      </c>
      <c r="D423">
        <v>2</v>
      </c>
      <c r="E423" t="s">
        <v>49</v>
      </c>
      <c r="F423" t="s">
        <v>50</v>
      </c>
      <c r="G423" t="str">
        <f>"2026-04-12 16:47:25.143"</f>
        <v>2026-04-12 16:47:25.143</v>
      </c>
      <c r="H423" t="s">
        <v>51</v>
      </c>
      <c r="I423">
        <v>0</v>
      </c>
      <c r="J423" t="s">
        <v>28</v>
      </c>
    </row>
    <row r="424" spans="1:10" x14ac:dyDescent="0.25">
      <c r="A424" s="1">
        <v>27</v>
      </c>
      <c r="B424" t="s">
        <v>23</v>
      </c>
      <c r="C424">
        <v>635</v>
      </c>
      <c r="D424">
        <v>1</v>
      </c>
      <c r="E424" t="s">
        <v>43</v>
      </c>
      <c r="F424" t="s">
        <v>25</v>
      </c>
      <c r="G424" t="str">
        <f>"2026-04-12 07:22:52.970"</f>
        <v>2026-04-12 07:22:52.970</v>
      </c>
      <c r="H424" t="s">
        <v>21</v>
      </c>
    </row>
    <row r="425" spans="1:10" x14ac:dyDescent="0.25">
      <c r="A425" s="1">
        <v>28</v>
      </c>
      <c r="B425" t="s">
        <v>27</v>
      </c>
      <c r="C425">
        <v>635</v>
      </c>
      <c r="D425">
        <v>1</v>
      </c>
      <c r="E425" t="s">
        <v>43</v>
      </c>
      <c r="F425" t="s">
        <v>25</v>
      </c>
      <c r="G425" t="str">
        <f>"2026-04-12 07:04:39.570"</f>
        <v>2026-04-12 07:04:39.570</v>
      </c>
      <c r="H425" t="s">
        <v>21</v>
      </c>
      <c r="I425">
        <v>9.02</v>
      </c>
      <c r="J425" t="s">
        <v>37</v>
      </c>
    </row>
    <row r="426" spans="1:10" s="3" customFormat="1" x14ac:dyDescent="0.25">
      <c r="A426" s="2">
        <v>29</v>
      </c>
      <c r="B426" s="3" t="s">
        <v>23</v>
      </c>
      <c r="C426" s="3">
        <v>647</v>
      </c>
      <c r="D426" s="3">
        <v>1</v>
      </c>
      <c r="E426" s="3" t="s">
        <v>40</v>
      </c>
      <c r="F426" s="3" t="s">
        <v>41</v>
      </c>
      <c r="G426" s="3" t="str">
        <f>"2026-04-11 08:37:22.423"</f>
        <v>2026-04-11 08:37:22.423</v>
      </c>
      <c r="H426" s="3" t="s">
        <v>21</v>
      </c>
    </row>
    <row r="427" spans="1:10" s="3" customFormat="1" x14ac:dyDescent="0.25">
      <c r="A427" s="2">
        <v>30</v>
      </c>
      <c r="B427" s="3" t="s">
        <v>27</v>
      </c>
      <c r="C427" s="3">
        <v>647</v>
      </c>
      <c r="D427" s="3">
        <v>1</v>
      </c>
      <c r="E427" s="3" t="s">
        <v>40</v>
      </c>
      <c r="F427" s="3" t="s">
        <v>41</v>
      </c>
      <c r="G427" s="3" t="str">
        <f>"2026-04-11 08:37:18.823"</f>
        <v>2026-04-11 08:37:18.823</v>
      </c>
      <c r="H427" s="3" t="s">
        <v>21</v>
      </c>
      <c r="I427" s="3">
        <v>9.61</v>
      </c>
      <c r="J427" s="3" t="s">
        <v>42</v>
      </c>
    </row>
    <row r="428" spans="1:10" x14ac:dyDescent="0.25">
      <c r="A428" s="1">
        <v>31</v>
      </c>
      <c r="B428" t="s">
        <v>23</v>
      </c>
      <c r="C428">
        <v>635</v>
      </c>
      <c r="D428">
        <v>1</v>
      </c>
      <c r="E428" t="s">
        <v>43</v>
      </c>
      <c r="F428" t="s">
        <v>25</v>
      </c>
      <c r="G428" t="str">
        <f>"2026-04-11 06:49:40.770"</f>
        <v>2026-04-11 06:49:40.770</v>
      </c>
      <c r="H428" t="s">
        <v>21</v>
      </c>
    </row>
    <row r="429" spans="1:10" x14ac:dyDescent="0.25">
      <c r="A429" s="1">
        <v>32</v>
      </c>
      <c r="B429" t="s">
        <v>27</v>
      </c>
      <c r="C429">
        <v>635</v>
      </c>
      <c r="D429">
        <v>1</v>
      </c>
      <c r="E429" t="s">
        <v>43</v>
      </c>
      <c r="F429" t="s">
        <v>25</v>
      </c>
      <c r="G429" t="str">
        <f>"2026-04-11 06:44:30.270"</f>
        <v>2026-04-11 06:44:30.270</v>
      </c>
      <c r="H429" t="s">
        <v>21</v>
      </c>
      <c r="I429">
        <v>0.97</v>
      </c>
      <c r="J429" t="s">
        <v>42</v>
      </c>
    </row>
    <row r="430" spans="1:10" x14ac:dyDescent="0.25">
      <c r="A430" s="1">
        <v>33</v>
      </c>
      <c r="B430" t="s">
        <v>23</v>
      </c>
      <c r="C430">
        <v>635</v>
      </c>
      <c r="D430">
        <v>1</v>
      </c>
      <c r="E430" t="s">
        <v>43</v>
      </c>
      <c r="F430" t="s">
        <v>25</v>
      </c>
      <c r="G430" t="str">
        <f>"2026-04-10 16:10:12.170"</f>
        <v>2026-04-10 16:10:12.170</v>
      </c>
      <c r="H430" t="s">
        <v>21</v>
      </c>
    </row>
    <row r="431" spans="1:10" x14ac:dyDescent="0.25">
      <c r="A431" s="1">
        <v>34</v>
      </c>
      <c r="B431" t="s">
        <v>27</v>
      </c>
      <c r="C431">
        <v>635</v>
      </c>
      <c r="D431">
        <v>1</v>
      </c>
      <c r="E431" t="s">
        <v>43</v>
      </c>
      <c r="F431" t="s">
        <v>25</v>
      </c>
      <c r="G431" t="str">
        <f>"2026-04-10 16:04:57.170"</f>
        <v>2026-04-10 16:04:57.170</v>
      </c>
      <c r="H431" t="s">
        <v>21</v>
      </c>
      <c r="I431">
        <v>6.77</v>
      </c>
      <c r="J431" t="s">
        <v>37</v>
      </c>
    </row>
    <row r="432" spans="1:10" x14ac:dyDescent="0.25">
      <c r="A432" s="1">
        <v>35</v>
      </c>
      <c r="B432" t="s">
        <v>19</v>
      </c>
      <c r="C432">
        <v>706</v>
      </c>
      <c r="D432">
        <v>2</v>
      </c>
      <c r="E432" t="s">
        <v>29</v>
      </c>
      <c r="F432" t="s">
        <v>44</v>
      </c>
      <c r="G432" t="str">
        <f>"2026-04-10 13:11:37.064"</f>
        <v>2026-04-10 13:11:37.064</v>
      </c>
      <c r="H432" t="s">
        <v>21</v>
      </c>
      <c r="I432">
        <v>0</v>
      </c>
      <c r="J432" t="s">
        <v>31</v>
      </c>
    </row>
    <row r="433" spans="1:10" x14ac:dyDescent="0.25">
      <c r="A433" s="1">
        <v>37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"2026-04-10 13:11:09.704"</f>
        <v>2026-04-10 13:11:09.704</v>
      </c>
      <c r="H433" t="s">
        <v>21</v>
      </c>
    </row>
    <row r="434" spans="1:10" x14ac:dyDescent="0.25">
      <c r="A434" s="1">
        <v>39</v>
      </c>
      <c r="B434" t="s">
        <v>36</v>
      </c>
      <c r="C434">
        <v>47</v>
      </c>
      <c r="D434">
        <v>2</v>
      </c>
      <c r="E434" t="s">
        <v>49</v>
      </c>
      <c r="F434" t="s">
        <v>50</v>
      </c>
      <c r="G434" t="str">
        <f>"2026-04-10 13:01:37.541"</f>
        <v>2026-04-10 13:01:37.541</v>
      </c>
      <c r="H434" t="s">
        <v>51</v>
      </c>
      <c r="I434">
        <v>0</v>
      </c>
      <c r="J434" t="s">
        <v>28</v>
      </c>
    </row>
    <row r="435" spans="1:10" x14ac:dyDescent="0.25">
      <c r="A435" s="1">
        <v>40</v>
      </c>
      <c r="B435" t="s">
        <v>19</v>
      </c>
      <c r="C435">
        <v>706</v>
      </c>
      <c r="D435">
        <v>4</v>
      </c>
      <c r="E435" t="s">
        <v>29</v>
      </c>
      <c r="F435" t="s">
        <v>30</v>
      </c>
      <c r="G435" t="str">
        <f>"2026-04-09 01:16:33.042"</f>
        <v>2026-04-09 01:16:33.042</v>
      </c>
      <c r="H435" t="s">
        <v>21</v>
      </c>
      <c r="I435">
        <v>0</v>
      </c>
      <c r="J435" t="s">
        <v>31</v>
      </c>
    </row>
    <row r="436" spans="1:10" x14ac:dyDescent="0.25">
      <c r="A436" s="1">
        <v>42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"2026-04-09 01:06:08.702"</f>
        <v>2026-04-09 01:06:08.702</v>
      </c>
      <c r="H436" t="s">
        <v>21</v>
      </c>
      <c r="I436">
        <v>0</v>
      </c>
      <c r="J436" t="s">
        <v>22</v>
      </c>
    </row>
    <row r="437" spans="1:10" x14ac:dyDescent="0.25">
      <c r="A437" s="1">
        <v>44</v>
      </c>
      <c r="B437" t="s">
        <v>36</v>
      </c>
      <c r="C437">
        <v>47</v>
      </c>
      <c r="D437">
        <v>2</v>
      </c>
      <c r="E437" t="s">
        <v>49</v>
      </c>
      <c r="F437" t="s">
        <v>50</v>
      </c>
      <c r="G437" t="str">
        <f>"2026-04-08 23:57:34.135"</f>
        <v>2026-04-08 23:57:34.135</v>
      </c>
      <c r="H437" t="s">
        <v>51</v>
      </c>
      <c r="I437">
        <v>0</v>
      </c>
      <c r="J437" t="s">
        <v>28</v>
      </c>
    </row>
    <row r="438" spans="1:10" x14ac:dyDescent="0.25">
      <c r="A438" s="1">
        <v>45</v>
      </c>
      <c r="B438" t="s">
        <v>19</v>
      </c>
      <c r="C438">
        <v>706</v>
      </c>
      <c r="D438">
        <v>2</v>
      </c>
      <c r="E438" t="s">
        <v>29</v>
      </c>
      <c r="F438" t="s">
        <v>44</v>
      </c>
      <c r="G438" t="str">
        <f>"2026-04-08 23:56:25.525"</f>
        <v>2026-04-08 23:56:25.525</v>
      </c>
      <c r="H438" t="s">
        <v>21</v>
      </c>
      <c r="I438">
        <v>0</v>
      </c>
      <c r="J438" t="s">
        <v>31</v>
      </c>
    </row>
    <row r="439" spans="1:10" x14ac:dyDescent="0.25">
      <c r="A439" s="1">
        <v>51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"2026-04-08 23:52:25.685"</f>
        <v>2026-04-08 23:52:25.685</v>
      </c>
      <c r="H439" t="s">
        <v>21</v>
      </c>
    </row>
    <row r="440" spans="1:10" x14ac:dyDescent="0.25">
      <c r="A440" s="1">
        <v>53</v>
      </c>
      <c r="B440" t="s">
        <v>19</v>
      </c>
      <c r="C440">
        <v>706</v>
      </c>
      <c r="D440">
        <v>4</v>
      </c>
      <c r="E440" t="s">
        <v>29</v>
      </c>
      <c r="F440" t="s">
        <v>30</v>
      </c>
      <c r="G440" t="str">
        <f>"2026-04-08 23:51:21.119"</f>
        <v>2026-04-08 23:51:21.119</v>
      </c>
      <c r="H440" t="s">
        <v>21</v>
      </c>
      <c r="I440">
        <v>0</v>
      </c>
      <c r="J440" t="s">
        <v>31</v>
      </c>
    </row>
    <row r="441" spans="1:10" x14ac:dyDescent="0.25">
      <c r="A441" s="1">
        <v>54</v>
      </c>
      <c r="B441" t="s">
        <v>36</v>
      </c>
      <c r="C441">
        <v>47</v>
      </c>
      <c r="D441">
        <v>2</v>
      </c>
      <c r="E441" t="s">
        <v>49</v>
      </c>
      <c r="F441" t="s">
        <v>50</v>
      </c>
      <c r="G441" t="str">
        <f>"2026-04-08 23:51:00.051"</f>
        <v>2026-04-08 23:51:00.051</v>
      </c>
      <c r="H441" t="s">
        <v>51</v>
      </c>
      <c r="I441">
        <v>0</v>
      </c>
      <c r="J441" t="s">
        <v>31</v>
      </c>
    </row>
    <row r="442" spans="1:10" x14ac:dyDescent="0.25">
      <c r="A442" s="1">
        <v>55</v>
      </c>
      <c r="B442" t="s">
        <v>19</v>
      </c>
      <c r="C442">
        <v>706</v>
      </c>
      <c r="D442">
        <v>2</v>
      </c>
      <c r="E442" t="s">
        <v>29</v>
      </c>
      <c r="F442" t="s">
        <v>44</v>
      </c>
      <c r="G442" t="str">
        <f>"2026-04-08 23:50:54.729"</f>
        <v>2026-04-08 23:50:54.729</v>
      </c>
      <c r="H442" t="s">
        <v>21</v>
      </c>
      <c r="I442">
        <v>0</v>
      </c>
      <c r="J442" t="s">
        <v>31</v>
      </c>
    </row>
    <row r="443" spans="1:10" x14ac:dyDescent="0.25">
      <c r="A443" s="1">
        <v>57</v>
      </c>
      <c r="B443" t="s">
        <v>19</v>
      </c>
      <c r="C443">
        <v>700</v>
      </c>
      <c r="D443">
        <v>0</v>
      </c>
      <c r="E443" t="s">
        <v>20</v>
      </c>
      <c r="F443" t="s">
        <v>20</v>
      </c>
      <c r="G443" t="str">
        <f>"2026-04-08 23:42:35.709"</f>
        <v>2026-04-08 23:42:35.709</v>
      </c>
      <c r="H443" t="s">
        <v>21</v>
      </c>
      <c r="I443">
        <v>0</v>
      </c>
      <c r="J443" t="s">
        <v>22</v>
      </c>
    </row>
    <row r="444" spans="1:10" x14ac:dyDescent="0.25">
      <c r="A444" s="1">
        <v>60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"2026-04-08 23:40:07.745"</f>
        <v>2026-04-08 23:40:07.745</v>
      </c>
      <c r="H444" t="s">
        <v>21</v>
      </c>
      <c r="I444">
        <v>0</v>
      </c>
      <c r="J444" t="s">
        <v>22</v>
      </c>
    </row>
    <row r="445" spans="1:10" x14ac:dyDescent="0.25">
      <c r="A445" s="1">
        <v>63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"2026-04-08 23:20:08.695"</f>
        <v>2026-04-08 23:20:08.695</v>
      </c>
      <c r="H445" t="s">
        <v>21</v>
      </c>
    </row>
    <row r="446" spans="1:10" x14ac:dyDescent="0.25">
      <c r="A446" s="1">
        <v>67</v>
      </c>
      <c r="B446" t="s">
        <v>23</v>
      </c>
      <c r="C446">
        <v>635</v>
      </c>
      <c r="D446">
        <v>1</v>
      </c>
      <c r="E446" t="s">
        <v>43</v>
      </c>
      <c r="F446" t="s">
        <v>25</v>
      </c>
      <c r="G446" t="str">
        <f>"2026-04-08 21:48:35.044"</f>
        <v>2026-04-08 21:48:35.044</v>
      </c>
      <c r="H446" t="s">
        <v>21</v>
      </c>
    </row>
    <row r="447" spans="1:10" x14ac:dyDescent="0.25">
      <c r="A447" s="1">
        <v>68</v>
      </c>
      <c r="B447" t="s">
        <v>27</v>
      </c>
      <c r="C447">
        <v>635</v>
      </c>
      <c r="D447">
        <v>1</v>
      </c>
      <c r="E447" t="s">
        <v>43</v>
      </c>
      <c r="F447" t="s">
        <v>25</v>
      </c>
      <c r="G447" t="str">
        <f>"2026-04-08 21:44:00.544"</f>
        <v>2026-04-08 21:44:00.544</v>
      </c>
      <c r="H447" t="s">
        <v>21</v>
      </c>
      <c r="I447">
        <v>4.58</v>
      </c>
      <c r="J447" t="s">
        <v>37</v>
      </c>
    </row>
    <row r="448" spans="1:10" x14ac:dyDescent="0.25">
      <c r="A448" s="1">
        <v>69</v>
      </c>
      <c r="B448" t="s">
        <v>23</v>
      </c>
      <c r="C448">
        <v>635</v>
      </c>
      <c r="D448">
        <v>1</v>
      </c>
      <c r="E448" t="s">
        <v>43</v>
      </c>
      <c r="F448" t="s">
        <v>25</v>
      </c>
      <c r="G448" t="str">
        <f>"2026-04-08 18:44:58.944"</f>
        <v>2026-04-08 18:44:58.944</v>
      </c>
      <c r="H448" t="s">
        <v>21</v>
      </c>
    </row>
    <row r="449" spans="1:10" x14ac:dyDescent="0.25">
      <c r="A449" s="1">
        <v>70</v>
      </c>
      <c r="B449" t="s">
        <v>27</v>
      </c>
      <c r="C449">
        <v>635</v>
      </c>
      <c r="D449">
        <v>1</v>
      </c>
      <c r="E449" t="s">
        <v>43</v>
      </c>
      <c r="F449" t="s">
        <v>25</v>
      </c>
      <c r="G449" t="str">
        <f>"2026-04-08 18:40:21.944"</f>
        <v>2026-04-08 18:40:21.944</v>
      </c>
      <c r="H449" t="s">
        <v>21</v>
      </c>
      <c r="I449">
        <v>6.69</v>
      </c>
      <c r="J449" t="s">
        <v>37</v>
      </c>
    </row>
    <row r="450" spans="1:10" x14ac:dyDescent="0.25">
      <c r="A450" s="1">
        <v>71</v>
      </c>
      <c r="B450" t="s">
        <v>23</v>
      </c>
      <c r="C450">
        <v>635</v>
      </c>
      <c r="D450">
        <v>1</v>
      </c>
      <c r="E450" t="s">
        <v>43</v>
      </c>
      <c r="F450" t="s">
        <v>25</v>
      </c>
      <c r="G450" t="str">
        <f>"2026-04-08 17:06:37.644"</f>
        <v>2026-04-08 17:06:37.644</v>
      </c>
      <c r="H450" t="s">
        <v>21</v>
      </c>
    </row>
    <row r="451" spans="1:10" x14ac:dyDescent="0.25">
      <c r="A451" s="1">
        <v>72</v>
      </c>
      <c r="B451" t="s">
        <v>27</v>
      </c>
      <c r="C451">
        <v>635</v>
      </c>
      <c r="D451">
        <v>1</v>
      </c>
      <c r="E451" t="s">
        <v>43</v>
      </c>
      <c r="F451" t="s">
        <v>25</v>
      </c>
      <c r="G451" t="str">
        <f>"2026-04-08 17:03:10.244"</f>
        <v>2026-04-08 17:03:10.244</v>
      </c>
      <c r="H451" t="s">
        <v>21</v>
      </c>
      <c r="I451">
        <v>1.44</v>
      </c>
      <c r="J451" t="s">
        <v>42</v>
      </c>
    </row>
    <row r="452" spans="1:10" x14ac:dyDescent="0.25">
      <c r="A452" s="1">
        <v>73</v>
      </c>
      <c r="B452" t="s">
        <v>23</v>
      </c>
      <c r="C452">
        <v>635</v>
      </c>
      <c r="D452">
        <v>1</v>
      </c>
      <c r="E452" t="s">
        <v>43</v>
      </c>
      <c r="F452" t="s">
        <v>25</v>
      </c>
      <c r="G452" t="str">
        <f>"2026-04-08 09:30:16.644"</f>
        <v>2026-04-08 09:30:16.644</v>
      </c>
      <c r="H452" t="s">
        <v>21</v>
      </c>
    </row>
    <row r="453" spans="1:10" x14ac:dyDescent="0.25">
      <c r="A453" s="1">
        <v>74</v>
      </c>
      <c r="B453" t="s">
        <v>27</v>
      </c>
      <c r="C453">
        <v>635</v>
      </c>
      <c r="D453">
        <v>1</v>
      </c>
      <c r="E453" t="s">
        <v>43</v>
      </c>
      <c r="F453" t="s">
        <v>25</v>
      </c>
      <c r="G453" t="str">
        <f>"2026-04-08 09:26:40.244"</f>
        <v>2026-04-08 09:26:40.244</v>
      </c>
      <c r="H453" t="s">
        <v>21</v>
      </c>
      <c r="I453">
        <v>0.43</v>
      </c>
      <c r="J453" t="s">
        <v>28</v>
      </c>
    </row>
    <row r="454" spans="1:10" x14ac:dyDescent="0.25">
      <c r="A454" s="1">
        <v>75</v>
      </c>
      <c r="B454" t="s">
        <v>23</v>
      </c>
      <c r="C454">
        <v>635</v>
      </c>
      <c r="D454">
        <v>1</v>
      </c>
      <c r="E454" t="s">
        <v>43</v>
      </c>
      <c r="F454" t="s">
        <v>25</v>
      </c>
      <c r="G454" t="str">
        <f>"2026-04-08 06:42:56.044"</f>
        <v>2026-04-08 06:42:56.044</v>
      </c>
      <c r="H454" t="s">
        <v>21</v>
      </c>
    </row>
    <row r="455" spans="1:10" x14ac:dyDescent="0.25">
      <c r="A455" s="1">
        <v>76</v>
      </c>
      <c r="B455" t="s">
        <v>27</v>
      </c>
      <c r="C455">
        <v>635</v>
      </c>
      <c r="D455">
        <v>1</v>
      </c>
      <c r="E455" t="s">
        <v>43</v>
      </c>
      <c r="F455" t="s">
        <v>25</v>
      </c>
      <c r="G455" t="str">
        <f>"2026-04-08 06:36:30.544"</f>
        <v>2026-04-08 06:36:30.544</v>
      </c>
      <c r="H455" t="s">
        <v>21</v>
      </c>
      <c r="I455">
        <v>2.38</v>
      </c>
      <c r="J455" t="s">
        <v>37</v>
      </c>
    </row>
    <row r="456" spans="1:10" s="3" customFormat="1" x14ac:dyDescent="0.25">
      <c r="A456" s="2">
        <v>77</v>
      </c>
      <c r="B456" s="3" t="s">
        <v>23</v>
      </c>
      <c r="C456" s="3">
        <v>647</v>
      </c>
      <c r="D456" s="3">
        <v>1</v>
      </c>
      <c r="E456" s="3" t="s">
        <v>40</v>
      </c>
      <c r="F456" s="3" t="s">
        <v>41</v>
      </c>
      <c r="G456" s="3" t="str">
        <f>"2026-04-07 12:47:41.744"</f>
        <v>2026-04-07 12:47:41.744</v>
      </c>
      <c r="H456" s="3" t="s">
        <v>21</v>
      </c>
    </row>
    <row r="457" spans="1:10" s="3" customFormat="1" x14ac:dyDescent="0.25">
      <c r="A457" s="2">
        <v>78</v>
      </c>
      <c r="B457" s="3" t="s">
        <v>27</v>
      </c>
      <c r="C457" s="3">
        <v>647</v>
      </c>
      <c r="D457" s="3">
        <v>1</v>
      </c>
      <c r="E457" s="3" t="s">
        <v>40</v>
      </c>
      <c r="F457" s="3" t="s">
        <v>41</v>
      </c>
      <c r="G457" s="3" t="str">
        <f>"2026-04-07 12:47:38.045"</f>
        <v>2026-04-07 12:47:38.045</v>
      </c>
      <c r="H457" s="3" t="s">
        <v>21</v>
      </c>
      <c r="I457" s="3">
        <v>8.5299999999999994</v>
      </c>
      <c r="J457" s="3" t="s">
        <v>42</v>
      </c>
    </row>
    <row r="458" spans="1:10" x14ac:dyDescent="0.25">
      <c r="A458" s="1">
        <v>80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"2026-04-07 09:35:06.707"</f>
        <v>2026-04-07 09:35:06.707</v>
      </c>
      <c r="H458" t="s">
        <v>21</v>
      </c>
      <c r="I458">
        <v>0</v>
      </c>
      <c r="J458" t="s">
        <v>22</v>
      </c>
    </row>
    <row r="459" spans="1:10" x14ac:dyDescent="0.25">
      <c r="A459" s="1">
        <v>82</v>
      </c>
      <c r="B459" t="s">
        <v>36</v>
      </c>
      <c r="C459">
        <v>47</v>
      </c>
      <c r="D459">
        <v>2</v>
      </c>
      <c r="E459" t="s">
        <v>49</v>
      </c>
      <c r="F459" t="s">
        <v>50</v>
      </c>
      <c r="G459" t="str">
        <f>"2026-04-07 09:27:11.521"</f>
        <v>2026-04-07 09:27:11.521</v>
      </c>
      <c r="H459" t="s">
        <v>51</v>
      </c>
      <c r="I459">
        <v>0</v>
      </c>
      <c r="J459" t="s">
        <v>28</v>
      </c>
    </row>
    <row r="460" spans="1:10" x14ac:dyDescent="0.25">
      <c r="A460" s="1">
        <v>83</v>
      </c>
      <c r="B460" t="s">
        <v>23</v>
      </c>
      <c r="C460">
        <v>635</v>
      </c>
      <c r="D460">
        <v>1</v>
      </c>
      <c r="E460" t="s">
        <v>43</v>
      </c>
      <c r="F460" t="s">
        <v>25</v>
      </c>
      <c r="G460" t="str">
        <f>"2026-04-07 01:31:01.620"</f>
        <v>2026-04-07 01:31:01.620</v>
      </c>
      <c r="H460" t="s">
        <v>21</v>
      </c>
    </row>
    <row r="461" spans="1:10" x14ac:dyDescent="0.25">
      <c r="A461" s="1">
        <v>84</v>
      </c>
      <c r="B461" t="s">
        <v>27</v>
      </c>
      <c r="C461">
        <v>635</v>
      </c>
      <c r="D461">
        <v>1</v>
      </c>
      <c r="E461" t="s">
        <v>43</v>
      </c>
      <c r="F461" t="s">
        <v>25</v>
      </c>
      <c r="G461" t="str">
        <f>"2026-04-07 01:25:16.120"</f>
        <v>2026-04-07 01:25:16.120</v>
      </c>
      <c r="H461" t="s">
        <v>21</v>
      </c>
      <c r="I461">
        <v>2.09</v>
      </c>
      <c r="J461" t="s">
        <v>37</v>
      </c>
    </row>
    <row r="462" spans="1:10" x14ac:dyDescent="0.25">
      <c r="A462" s="1">
        <v>85</v>
      </c>
      <c r="B462" t="s">
        <v>23</v>
      </c>
      <c r="C462">
        <v>635</v>
      </c>
      <c r="D462">
        <v>1</v>
      </c>
      <c r="E462" t="s">
        <v>43</v>
      </c>
      <c r="F462" t="s">
        <v>25</v>
      </c>
      <c r="G462" t="str">
        <f>"2026-04-06 14:09:18.620"</f>
        <v>2026-04-06 14:09:18.620</v>
      </c>
      <c r="H462" t="s">
        <v>21</v>
      </c>
    </row>
    <row r="463" spans="1:10" x14ac:dyDescent="0.25">
      <c r="A463" s="1">
        <v>86</v>
      </c>
      <c r="B463" t="s">
        <v>27</v>
      </c>
      <c r="C463">
        <v>635</v>
      </c>
      <c r="D463">
        <v>1</v>
      </c>
      <c r="E463" t="s">
        <v>43</v>
      </c>
      <c r="F463" t="s">
        <v>25</v>
      </c>
      <c r="G463" t="str">
        <f>"2026-04-06 13:57:50.220"</f>
        <v>2026-04-06 13:57:50.220</v>
      </c>
      <c r="H463" t="s">
        <v>21</v>
      </c>
      <c r="I463">
        <v>2.14</v>
      </c>
      <c r="J463" t="s">
        <v>37</v>
      </c>
    </row>
    <row r="464" spans="1:10" s="3" customFormat="1" x14ac:dyDescent="0.25">
      <c r="A464" s="2">
        <v>87</v>
      </c>
      <c r="B464" s="3" t="s">
        <v>23</v>
      </c>
      <c r="C464" s="3">
        <v>647</v>
      </c>
      <c r="D464" s="3">
        <v>1</v>
      </c>
      <c r="E464" s="3" t="s">
        <v>40</v>
      </c>
      <c r="F464" s="3" t="s">
        <v>41</v>
      </c>
      <c r="G464" s="3" t="str">
        <f>"2026-04-06 10:51:31.021"</f>
        <v>2026-04-06 10:51:31.021</v>
      </c>
      <c r="H464" s="3" t="s">
        <v>21</v>
      </c>
    </row>
    <row r="465" spans="1:10" s="3" customFormat="1" x14ac:dyDescent="0.25">
      <c r="A465" s="2">
        <v>88</v>
      </c>
      <c r="B465" s="3" t="s">
        <v>27</v>
      </c>
      <c r="C465" s="3">
        <v>647</v>
      </c>
      <c r="D465" s="3">
        <v>1</v>
      </c>
      <c r="E465" s="3" t="s">
        <v>40</v>
      </c>
      <c r="F465" s="3" t="s">
        <v>41</v>
      </c>
      <c r="G465" s="3" t="str">
        <f>"2026-04-06 10:51:23.321"</f>
        <v>2026-04-06 10:51:23.321</v>
      </c>
      <c r="H465" s="3" t="s">
        <v>21</v>
      </c>
      <c r="I465" s="3">
        <v>8.91</v>
      </c>
      <c r="J465" s="3" t="s">
        <v>42</v>
      </c>
    </row>
    <row r="466" spans="1:10" x14ac:dyDescent="0.25">
      <c r="A466" s="1">
        <v>89</v>
      </c>
      <c r="B466" t="s">
        <v>23</v>
      </c>
      <c r="C466">
        <v>635</v>
      </c>
      <c r="D466">
        <v>1</v>
      </c>
      <c r="E466" t="s">
        <v>43</v>
      </c>
      <c r="F466" t="s">
        <v>25</v>
      </c>
      <c r="G466" t="str">
        <f>"2026-04-06 09:29:59.820"</f>
        <v>2026-04-06 09:29:59.820</v>
      </c>
      <c r="H466" t="s">
        <v>21</v>
      </c>
    </row>
    <row r="467" spans="1:10" x14ac:dyDescent="0.25">
      <c r="A467" s="1">
        <v>90</v>
      </c>
      <c r="B467" t="s">
        <v>27</v>
      </c>
      <c r="C467">
        <v>635</v>
      </c>
      <c r="D467">
        <v>1</v>
      </c>
      <c r="E467" t="s">
        <v>43</v>
      </c>
      <c r="F467" t="s">
        <v>25</v>
      </c>
      <c r="G467" t="str">
        <f>"2026-04-06 09:26:39.320"</f>
        <v>2026-04-06 09:26:39.320</v>
      </c>
      <c r="H467" t="s">
        <v>21</v>
      </c>
      <c r="I467">
        <v>1.07</v>
      </c>
      <c r="J467" t="s">
        <v>37</v>
      </c>
    </row>
    <row r="468" spans="1:10" x14ac:dyDescent="0.25">
      <c r="A468" s="1">
        <v>91</v>
      </c>
      <c r="B468" t="s">
        <v>23</v>
      </c>
      <c r="C468">
        <v>98</v>
      </c>
      <c r="D468">
        <v>1</v>
      </c>
      <c r="E468" t="s">
        <v>38</v>
      </c>
      <c r="F468" t="s">
        <v>39</v>
      </c>
      <c r="G468" t="str">
        <f>"2026-04-06 05:32:00.820"</f>
        <v>2026-04-06 05:32:00.820</v>
      </c>
      <c r="H468" t="s">
        <v>21</v>
      </c>
    </row>
    <row r="469" spans="1:10" x14ac:dyDescent="0.25">
      <c r="A469" s="1">
        <v>92</v>
      </c>
      <c r="B469" t="s">
        <v>27</v>
      </c>
      <c r="C469">
        <v>98</v>
      </c>
      <c r="D469">
        <v>1</v>
      </c>
      <c r="E469" t="s">
        <v>38</v>
      </c>
      <c r="F469" t="s">
        <v>39</v>
      </c>
      <c r="G469" t="str">
        <f>"2026-04-06 05:31:59.820"</f>
        <v>2026-04-06 05:31:59.820</v>
      </c>
      <c r="H469" t="s">
        <v>21</v>
      </c>
      <c r="I469">
        <v>0</v>
      </c>
      <c r="J469" t="s">
        <v>28</v>
      </c>
    </row>
    <row r="470" spans="1:10" x14ac:dyDescent="0.25">
      <c r="A470" s="1">
        <v>93</v>
      </c>
      <c r="B470" t="s">
        <v>23</v>
      </c>
      <c r="C470">
        <v>98</v>
      </c>
      <c r="D470">
        <v>1</v>
      </c>
      <c r="E470" t="s">
        <v>38</v>
      </c>
      <c r="F470" t="s">
        <v>39</v>
      </c>
      <c r="G470" t="str">
        <f>"2026-04-06 05:31:58.320"</f>
        <v>2026-04-06 05:31:58.320</v>
      </c>
      <c r="H470" t="s">
        <v>21</v>
      </c>
    </row>
    <row r="471" spans="1:10" x14ac:dyDescent="0.25">
      <c r="A471" s="1">
        <v>94</v>
      </c>
      <c r="B471" t="s">
        <v>27</v>
      </c>
      <c r="C471">
        <v>98</v>
      </c>
      <c r="D471">
        <v>1</v>
      </c>
      <c r="E471" t="s">
        <v>38</v>
      </c>
      <c r="F471" t="s">
        <v>39</v>
      </c>
      <c r="G471" t="str">
        <f>"2026-04-06 05:31:57.320"</f>
        <v>2026-04-06 05:31:57.320</v>
      </c>
      <c r="H471" t="s">
        <v>21</v>
      </c>
      <c r="I471">
        <v>0</v>
      </c>
      <c r="J471" t="s">
        <v>28</v>
      </c>
    </row>
    <row r="472" spans="1:10" x14ac:dyDescent="0.25">
      <c r="A472" s="1">
        <v>95</v>
      </c>
      <c r="B472" t="s">
        <v>23</v>
      </c>
      <c r="C472">
        <v>98</v>
      </c>
      <c r="D472">
        <v>1</v>
      </c>
      <c r="E472" t="s">
        <v>38</v>
      </c>
      <c r="F472" t="s">
        <v>39</v>
      </c>
      <c r="G472" t="str">
        <f>"2026-04-06 05:31:57.020"</f>
        <v>2026-04-06 05:31:57.020</v>
      </c>
      <c r="H472" t="s">
        <v>21</v>
      </c>
    </row>
    <row r="473" spans="1:10" x14ac:dyDescent="0.25">
      <c r="A473" s="1">
        <v>96</v>
      </c>
      <c r="B473" t="s">
        <v>27</v>
      </c>
      <c r="C473">
        <v>98</v>
      </c>
      <c r="D473">
        <v>1</v>
      </c>
      <c r="E473" t="s">
        <v>38</v>
      </c>
      <c r="F473" t="s">
        <v>39</v>
      </c>
      <c r="G473" t="str">
        <f>"2026-04-06 05:31:56.020"</f>
        <v>2026-04-06 05:31:56.020</v>
      </c>
      <c r="H473" t="s">
        <v>21</v>
      </c>
      <c r="I473">
        <v>0</v>
      </c>
      <c r="J473" t="s">
        <v>28</v>
      </c>
    </row>
    <row r="474" spans="1:10" x14ac:dyDescent="0.25">
      <c r="A474" s="1">
        <v>97</v>
      </c>
      <c r="B474" t="s">
        <v>23</v>
      </c>
      <c r="C474">
        <v>98</v>
      </c>
      <c r="D474">
        <v>1</v>
      </c>
      <c r="E474" t="s">
        <v>38</v>
      </c>
      <c r="F474" t="s">
        <v>39</v>
      </c>
      <c r="G474" t="str">
        <f>"2026-04-06 05:31:55.220"</f>
        <v>2026-04-06 05:31:55.220</v>
      </c>
      <c r="H474" t="s">
        <v>21</v>
      </c>
    </row>
    <row r="475" spans="1:10" x14ac:dyDescent="0.25">
      <c r="A475" s="1">
        <v>98</v>
      </c>
      <c r="B475" t="s">
        <v>27</v>
      </c>
      <c r="C475">
        <v>98</v>
      </c>
      <c r="D475">
        <v>1</v>
      </c>
      <c r="E475" t="s">
        <v>38</v>
      </c>
      <c r="F475" t="s">
        <v>39</v>
      </c>
      <c r="G475" t="str">
        <f>"2026-04-06 05:31:54.220"</f>
        <v>2026-04-06 05:31:54.220</v>
      </c>
      <c r="H475" t="s">
        <v>21</v>
      </c>
      <c r="I475">
        <v>0</v>
      </c>
      <c r="J475" t="s">
        <v>28</v>
      </c>
    </row>
    <row r="476" spans="1:10" x14ac:dyDescent="0.25">
      <c r="A476" s="1">
        <v>99</v>
      </c>
      <c r="B476" t="s">
        <v>23</v>
      </c>
      <c r="C476">
        <v>98</v>
      </c>
      <c r="D476">
        <v>1</v>
      </c>
      <c r="E476" t="s">
        <v>38</v>
      </c>
      <c r="F476" t="s">
        <v>39</v>
      </c>
      <c r="G476" t="str">
        <f>"2026-04-06 05:31:46.520"</f>
        <v>2026-04-06 05:31:46.520</v>
      </c>
      <c r="H476" t="s">
        <v>21</v>
      </c>
    </row>
    <row r="477" spans="1:10" x14ac:dyDescent="0.25">
      <c r="A477" s="1">
        <v>0</v>
      </c>
      <c r="B477" t="s">
        <v>27</v>
      </c>
      <c r="C477">
        <v>98</v>
      </c>
      <c r="D477">
        <v>1</v>
      </c>
      <c r="E477" t="s">
        <v>38</v>
      </c>
      <c r="F477" t="s">
        <v>39</v>
      </c>
      <c r="G477" t="str">
        <f>"2026-04-06 05:31:45.520"</f>
        <v>2026-04-06 05:31:45.520</v>
      </c>
      <c r="H477" t="s">
        <v>21</v>
      </c>
      <c r="I477">
        <v>0</v>
      </c>
      <c r="J477" t="s">
        <v>28</v>
      </c>
    </row>
    <row r="478" spans="1:10" x14ac:dyDescent="0.25">
      <c r="A478" s="1">
        <v>1</v>
      </c>
      <c r="B478" t="s">
        <v>23</v>
      </c>
      <c r="C478">
        <v>98</v>
      </c>
      <c r="D478">
        <v>1</v>
      </c>
      <c r="E478" t="s">
        <v>38</v>
      </c>
      <c r="F478" t="s">
        <v>39</v>
      </c>
      <c r="G478" t="str">
        <f>"2026-04-06 05:31:44.820"</f>
        <v>2026-04-06 05:31:44.820</v>
      </c>
      <c r="H478" t="s">
        <v>21</v>
      </c>
    </row>
    <row r="479" spans="1:10" x14ac:dyDescent="0.25">
      <c r="A479" s="1">
        <v>2</v>
      </c>
      <c r="B479" t="s">
        <v>27</v>
      </c>
      <c r="C479">
        <v>98</v>
      </c>
      <c r="D479">
        <v>1</v>
      </c>
      <c r="E479" t="s">
        <v>38</v>
      </c>
      <c r="F479" t="s">
        <v>39</v>
      </c>
      <c r="G479" t="str">
        <f>"2026-04-06 05:31:43.820"</f>
        <v>2026-04-06 05:31:43.820</v>
      </c>
      <c r="H479" t="s">
        <v>21</v>
      </c>
      <c r="I479">
        <v>0</v>
      </c>
      <c r="J479" t="s">
        <v>28</v>
      </c>
    </row>
    <row r="480" spans="1:10" x14ac:dyDescent="0.25">
      <c r="A480" s="1">
        <v>3</v>
      </c>
      <c r="B480" t="s">
        <v>23</v>
      </c>
      <c r="C480">
        <v>635</v>
      </c>
      <c r="D480">
        <v>1</v>
      </c>
      <c r="E480" t="s">
        <v>43</v>
      </c>
      <c r="F480" t="s">
        <v>25</v>
      </c>
      <c r="G480" t="str">
        <f>"2026-04-06 05:28:58.820"</f>
        <v>2026-04-06 05:28:58.820</v>
      </c>
      <c r="H480" t="s">
        <v>21</v>
      </c>
    </row>
    <row r="481" spans="1:10" x14ac:dyDescent="0.25">
      <c r="A481" s="1">
        <v>4</v>
      </c>
      <c r="B481" t="s">
        <v>27</v>
      </c>
      <c r="C481">
        <v>635</v>
      </c>
      <c r="D481">
        <v>1</v>
      </c>
      <c r="E481" t="s">
        <v>43</v>
      </c>
      <c r="F481" t="s">
        <v>25</v>
      </c>
      <c r="G481" t="str">
        <f>"2026-04-06 05:25:17.820"</f>
        <v>2026-04-06 05:25:17.820</v>
      </c>
      <c r="H481" t="s">
        <v>21</v>
      </c>
      <c r="I481">
        <v>0</v>
      </c>
      <c r="J481" t="s">
        <v>28</v>
      </c>
    </row>
    <row r="482" spans="1:10" x14ac:dyDescent="0.25">
      <c r="A482" s="1">
        <v>5</v>
      </c>
      <c r="B482" t="s">
        <v>23</v>
      </c>
      <c r="C482">
        <v>635</v>
      </c>
      <c r="D482">
        <v>1</v>
      </c>
      <c r="E482" t="s">
        <v>43</v>
      </c>
      <c r="F482" t="s">
        <v>25</v>
      </c>
      <c r="G482" t="str">
        <f>"2026-04-06 04:28:48.920"</f>
        <v>2026-04-06 04:28:48.920</v>
      </c>
      <c r="H482" t="s">
        <v>21</v>
      </c>
    </row>
    <row r="483" spans="1:10" x14ac:dyDescent="0.25">
      <c r="A483" s="1">
        <v>6</v>
      </c>
      <c r="B483" t="s">
        <v>27</v>
      </c>
      <c r="C483">
        <v>635</v>
      </c>
      <c r="D483">
        <v>1</v>
      </c>
      <c r="E483" t="s">
        <v>43</v>
      </c>
      <c r="F483" t="s">
        <v>25</v>
      </c>
      <c r="G483" t="str">
        <f>"2026-04-06 04:22:39.920"</f>
        <v>2026-04-06 04:22:39.920</v>
      </c>
      <c r="H483" t="s">
        <v>21</v>
      </c>
      <c r="I483">
        <v>2.31</v>
      </c>
      <c r="J483" t="s">
        <v>42</v>
      </c>
    </row>
    <row r="484" spans="1:10" x14ac:dyDescent="0.25">
      <c r="A484" s="1">
        <v>8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"2026-04-05 20:03:20.659"</f>
        <v>2026-04-05 20:03:20.659</v>
      </c>
      <c r="H484" t="s">
        <v>21</v>
      </c>
    </row>
    <row r="485" spans="1:10" x14ac:dyDescent="0.25">
      <c r="A485" s="1">
        <v>10</v>
      </c>
      <c r="B485" t="s">
        <v>36</v>
      </c>
      <c r="C485">
        <v>47</v>
      </c>
      <c r="D485">
        <v>2</v>
      </c>
      <c r="E485" t="s">
        <v>49</v>
      </c>
      <c r="F485" t="s">
        <v>50</v>
      </c>
      <c r="G485" t="str">
        <f>"2026-04-05 19:48:52.010"</f>
        <v>2026-04-05 19:48:52.010</v>
      </c>
      <c r="H485" t="s">
        <v>51</v>
      </c>
      <c r="I485">
        <v>0</v>
      </c>
      <c r="J485" t="s">
        <v>28</v>
      </c>
    </row>
    <row r="486" spans="1:10" x14ac:dyDescent="0.25">
      <c r="A486" s="1">
        <v>11</v>
      </c>
      <c r="B486" t="s">
        <v>23</v>
      </c>
      <c r="C486">
        <v>635</v>
      </c>
      <c r="D486">
        <v>1</v>
      </c>
      <c r="E486" t="s">
        <v>43</v>
      </c>
      <c r="F486" t="s">
        <v>25</v>
      </c>
      <c r="G486" t="str">
        <f>"2026-04-05 15:38:27.449"</f>
        <v>2026-04-05 15:38:27.449</v>
      </c>
      <c r="H486" t="s">
        <v>21</v>
      </c>
    </row>
    <row r="487" spans="1:10" x14ac:dyDescent="0.25">
      <c r="A487" s="1">
        <v>12</v>
      </c>
      <c r="B487" t="s">
        <v>27</v>
      </c>
      <c r="C487">
        <v>635</v>
      </c>
      <c r="D487">
        <v>1</v>
      </c>
      <c r="E487" t="s">
        <v>43</v>
      </c>
      <c r="F487" t="s">
        <v>25</v>
      </c>
      <c r="G487" t="str">
        <f>"2026-04-05 15:34:15.449"</f>
        <v>2026-04-05 15:34:15.449</v>
      </c>
      <c r="H487" t="s">
        <v>21</v>
      </c>
      <c r="I487">
        <v>6.76</v>
      </c>
      <c r="J487" t="s">
        <v>37</v>
      </c>
    </row>
    <row r="488" spans="1:10" x14ac:dyDescent="0.25">
      <c r="A488" s="1">
        <v>13</v>
      </c>
      <c r="B488" t="s">
        <v>23</v>
      </c>
      <c r="C488">
        <v>635</v>
      </c>
      <c r="D488">
        <v>1</v>
      </c>
      <c r="E488" t="s">
        <v>43</v>
      </c>
      <c r="F488" t="s">
        <v>25</v>
      </c>
      <c r="G488" t="str">
        <f>"2026-04-05 14:20:06.550"</f>
        <v>2026-04-05 14:20:06.550</v>
      </c>
      <c r="H488" t="s">
        <v>21</v>
      </c>
    </row>
    <row r="489" spans="1:10" x14ac:dyDescent="0.25">
      <c r="A489" s="1">
        <v>14</v>
      </c>
      <c r="B489" t="s">
        <v>27</v>
      </c>
      <c r="C489">
        <v>635</v>
      </c>
      <c r="D489">
        <v>1</v>
      </c>
      <c r="E489" t="s">
        <v>43</v>
      </c>
      <c r="F489" t="s">
        <v>25</v>
      </c>
      <c r="G489" t="str">
        <f>"2026-04-05 14:05:44.149"</f>
        <v>2026-04-05 14:05:44.149</v>
      </c>
      <c r="H489" t="s">
        <v>21</v>
      </c>
      <c r="I489">
        <v>2.35</v>
      </c>
      <c r="J489" t="s">
        <v>37</v>
      </c>
    </row>
    <row r="490" spans="1:10" x14ac:dyDescent="0.25">
      <c r="A490" s="1">
        <v>15</v>
      </c>
      <c r="B490" t="s">
        <v>23</v>
      </c>
      <c r="C490">
        <v>635</v>
      </c>
      <c r="D490">
        <v>1</v>
      </c>
      <c r="E490" t="s">
        <v>43</v>
      </c>
      <c r="F490" t="s">
        <v>25</v>
      </c>
      <c r="G490" t="str">
        <f>"2026-04-05 06:00:22.650"</f>
        <v>2026-04-05 06:00:22.650</v>
      </c>
      <c r="H490" t="s">
        <v>21</v>
      </c>
    </row>
    <row r="491" spans="1:10" x14ac:dyDescent="0.25">
      <c r="A491" s="1">
        <v>16</v>
      </c>
      <c r="B491" t="s">
        <v>27</v>
      </c>
      <c r="C491">
        <v>635</v>
      </c>
      <c r="D491">
        <v>1</v>
      </c>
      <c r="E491" t="s">
        <v>43</v>
      </c>
      <c r="F491" t="s">
        <v>25</v>
      </c>
      <c r="G491" t="str">
        <f>"2026-04-05 05:54:56.650"</f>
        <v>2026-04-05 05:54:56.650</v>
      </c>
      <c r="H491" t="s">
        <v>21</v>
      </c>
      <c r="I491">
        <v>3.53</v>
      </c>
      <c r="J491" t="s">
        <v>37</v>
      </c>
    </row>
    <row r="492" spans="1:10" x14ac:dyDescent="0.25">
      <c r="A492" s="1">
        <v>17</v>
      </c>
      <c r="B492" t="s">
        <v>23</v>
      </c>
      <c r="C492">
        <v>635</v>
      </c>
      <c r="D492">
        <v>1</v>
      </c>
      <c r="E492" t="s">
        <v>43</v>
      </c>
      <c r="F492" t="s">
        <v>25</v>
      </c>
      <c r="G492" t="str">
        <f>"2026-04-05 05:34:16.749"</f>
        <v>2026-04-05 05:34:16.749</v>
      </c>
      <c r="H492" t="s">
        <v>21</v>
      </c>
    </row>
    <row r="493" spans="1:10" x14ac:dyDescent="0.25">
      <c r="A493" s="1">
        <v>18</v>
      </c>
      <c r="B493" t="s">
        <v>27</v>
      </c>
      <c r="C493">
        <v>635</v>
      </c>
      <c r="D493">
        <v>1</v>
      </c>
      <c r="E493" t="s">
        <v>43</v>
      </c>
      <c r="F493" t="s">
        <v>25</v>
      </c>
      <c r="G493" t="str">
        <f>"2026-04-05 05:28:02.750"</f>
        <v>2026-04-05 05:28:02.750</v>
      </c>
      <c r="H493" t="s">
        <v>21</v>
      </c>
      <c r="I493">
        <v>2.1800000000000002</v>
      </c>
      <c r="J493" t="s">
        <v>37</v>
      </c>
    </row>
    <row r="494" spans="1:10" x14ac:dyDescent="0.25">
      <c r="A494" s="1">
        <v>20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"2026-04-04 20:25:49.669"</f>
        <v>2026-04-04 20:25:49.669</v>
      </c>
      <c r="H494" t="s">
        <v>21</v>
      </c>
      <c r="I494">
        <v>0</v>
      </c>
      <c r="J494" t="s">
        <v>22</v>
      </c>
    </row>
    <row r="495" spans="1:10" x14ac:dyDescent="0.25">
      <c r="A495" s="1">
        <v>22</v>
      </c>
      <c r="B495" t="s">
        <v>36</v>
      </c>
      <c r="C495">
        <v>47</v>
      </c>
      <c r="D495">
        <v>2</v>
      </c>
      <c r="E495" t="s">
        <v>49</v>
      </c>
      <c r="F495" t="s">
        <v>50</v>
      </c>
      <c r="G495" t="str">
        <f>"2026-04-04 20:21:42.866"</f>
        <v>2026-04-04 20:21:42.866</v>
      </c>
      <c r="H495" t="s">
        <v>51</v>
      </c>
      <c r="I495">
        <v>0</v>
      </c>
      <c r="J495" t="s">
        <v>28</v>
      </c>
    </row>
    <row r="496" spans="1:10" x14ac:dyDescent="0.25">
      <c r="A496" s="1">
        <v>24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"2026-04-04 19:40:03.696"</f>
        <v>2026-04-04 19:40:03.696</v>
      </c>
      <c r="H496" t="s">
        <v>21</v>
      </c>
    </row>
    <row r="497" spans="1:10" x14ac:dyDescent="0.25">
      <c r="A497" s="1">
        <v>26</v>
      </c>
      <c r="B497" t="s">
        <v>23</v>
      </c>
      <c r="C497">
        <v>49</v>
      </c>
      <c r="D497">
        <v>1</v>
      </c>
      <c r="E497" t="s">
        <v>52</v>
      </c>
      <c r="F497" t="s">
        <v>53</v>
      </c>
      <c r="G497" t="str">
        <f>"2026-04-04 16:14:00.430"</f>
        <v>2026-04-04 16:14:00.430</v>
      </c>
      <c r="H497" t="s">
        <v>54</v>
      </c>
    </row>
    <row r="498" spans="1:10" x14ac:dyDescent="0.25">
      <c r="A498" s="1">
        <v>28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"2026-04-04 16:13:30.658"</f>
        <v>2026-04-04 16:13:30.658</v>
      </c>
      <c r="H498" t="s">
        <v>21</v>
      </c>
    </row>
    <row r="499" spans="1:10" x14ac:dyDescent="0.25">
      <c r="A499" s="1">
        <v>29</v>
      </c>
      <c r="B499" t="s">
        <v>27</v>
      </c>
      <c r="C499">
        <v>49</v>
      </c>
      <c r="D499">
        <v>1</v>
      </c>
      <c r="E499" t="s">
        <v>52</v>
      </c>
      <c r="F499" t="s">
        <v>53</v>
      </c>
      <c r="G499" t="str">
        <f>"2026-04-04 16:11:11.559"</f>
        <v>2026-04-04 16:11:11.559</v>
      </c>
      <c r="H499" t="s">
        <v>54</v>
      </c>
      <c r="I499">
        <v>0</v>
      </c>
      <c r="J499" t="s">
        <v>31</v>
      </c>
    </row>
    <row r="500" spans="1:10" x14ac:dyDescent="0.25">
      <c r="A500" s="1">
        <v>30</v>
      </c>
      <c r="B500" t="s">
        <v>19</v>
      </c>
      <c r="C500">
        <v>706</v>
      </c>
      <c r="D500">
        <v>3</v>
      </c>
      <c r="E500" t="s">
        <v>29</v>
      </c>
      <c r="F500" t="s">
        <v>45</v>
      </c>
      <c r="G500" t="str">
        <f>"2026-04-04 16:10:31.429"</f>
        <v>2026-04-04 16:10:31.429</v>
      </c>
      <c r="H500" t="s">
        <v>21</v>
      </c>
      <c r="I500">
        <v>0</v>
      </c>
      <c r="J500" t="s">
        <v>31</v>
      </c>
    </row>
    <row r="501" spans="1:10" x14ac:dyDescent="0.25">
      <c r="A501" s="1">
        <v>33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"2026-04-04 16:09:51.699"</f>
        <v>2026-04-04 16:09:51.699</v>
      </c>
      <c r="H501" t="s">
        <v>21</v>
      </c>
      <c r="I501">
        <v>0</v>
      </c>
      <c r="J501" t="s">
        <v>22</v>
      </c>
    </row>
    <row r="502" spans="1:10" x14ac:dyDescent="0.25">
      <c r="A502" s="1">
        <v>35</v>
      </c>
      <c r="B502" t="s">
        <v>36</v>
      </c>
      <c r="C502">
        <v>47</v>
      </c>
      <c r="D502">
        <v>2</v>
      </c>
      <c r="E502" t="s">
        <v>49</v>
      </c>
      <c r="F502" t="s">
        <v>50</v>
      </c>
      <c r="G502" t="str">
        <f>"2026-04-04 16:08:59.394"</f>
        <v>2026-04-04 16:08:59.394</v>
      </c>
      <c r="H502" t="s">
        <v>51</v>
      </c>
      <c r="I502">
        <v>0</v>
      </c>
      <c r="J502" t="s">
        <v>28</v>
      </c>
    </row>
    <row r="503" spans="1:10" x14ac:dyDescent="0.25">
      <c r="A503" s="1">
        <v>36</v>
      </c>
      <c r="B503" t="s">
        <v>23</v>
      </c>
      <c r="C503">
        <v>635</v>
      </c>
      <c r="D503">
        <v>1</v>
      </c>
      <c r="E503" t="s">
        <v>43</v>
      </c>
      <c r="F503" t="s">
        <v>25</v>
      </c>
      <c r="G503" t="str">
        <f>"2026-04-04 15:01:48.881"</f>
        <v>2026-04-04 15:01:48.881</v>
      </c>
      <c r="H503" t="s">
        <v>21</v>
      </c>
    </row>
    <row r="504" spans="1:10" x14ac:dyDescent="0.25">
      <c r="A504" s="1">
        <v>37</v>
      </c>
      <c r="B504" t="s">
        <v>27</v>
      </c>
      <c r="C504">
        <v>635</v>
      </c>
      <c r="D504">
        <v>1</v>
      </c>
      <c r="E504" t="s">
        <v>43</v>
      </c>
      <c r="F504" t="s">
        <v>25</v>
      </c>
      <c r="G504" t="str">
        <f>"2026-04-04 14:57:55.381"</f>
        <v>2026-04-04 14:57:55.381</v>
      </c>
      <c r="H504" t="s">
        <v>21</v>
      </c>
      <c r="I504">
        <v>5.4</v>
      </c>
      <c r="J504" t="s">
        <v>28</v>
      </c>
    </row>
    <row r="505" spans="1:10" s="3" customFormat="1" x14ac:dyDescent="0.25">
      <c r="A505" s="2">
        <v>38</v>
      </c>
      <c r="B505" s="3" t="s">
        <v>23</v>
      </c>
      <c r="C505" s="3">
        <v>647</v>
      </c>
      <c r="D505" s="3">
        <v>1</v>
      </c>
      <c r="E505" s="3" t="s">
        <v>40</v>
      </c>
      <c r="F505" s="3" t="s">
        <v>41</v>
      </c>
      <c r="G505" s="3" t="str">
        <f>"2026-04-04 10:01:02.982"</f>
        <v>2026-04-04 10:01:02.982</v>
      </c>
      <c r="H505" s="3" t="s">
        <v>21</v>
      </c>
    </row>
    <row r="506" spans="1:10" s="3" customFormat="1" x14ac:dyDescent="0.25">
      <c r="A506" s="2">
        <v>39</v>
      </c>
      <c r="B506" s="3" t="s">
        <v>27</v>
      </c>
      <c r="C506" s="3">
        <v>647</v>
      </c>
      <c r="D506" s="3">
        <v>1</v>
      </c>
      <c r="E506" s="3" t="s">
        <v>40</v>
      </c>
      <c r="F506" s="3" t="s">
        <v>41</v>
      </c>
      <c r="G506" s="3" t="str">
        <f>"2026-04-04 10:01:01.282"</f>
        <v>2026-04-04 10:01:01.282</v>
      </c>
      <c r="H506" s="3" t="s">
        <v>21</v>
      </c>
      <c r="I506" s="3">
        <v>15.36</v>
      </c>
      <c r="J506" s="3" t="s">
        <v>42</v>
      </c>
    </row>
    <row r="507" spans="1:10" x14ac:dyDescent="0.25">
      <c r="A507" s="1">
        <v>40</v>
      </c>
      <c r="B507" t="s">
        <v>23</v>
      </c>
      <c r="C507">
        <v>635</v>
      </c>
      <c r="D507">
        <v>1</v>
      </c>
      <c r="E507" t="s">
        <v>43</v>
      </c>
      <c r="F507" t="s">
        <v>25</v>
      </c>
      <c r="G507" t="str">
        <f>"2026-04-04 06:41:15.481"</f>
        <v>2026-04-04 06:41:15.481</v>
      </c>
      <c r="H507" t="s">
        <v>21</v>
      </c>
    </row>
    <row r="508" spans="1:10" x14ac:dyDescent="0.25">
      <c r="A508" s="1">
        <v>41</v>
      </c>
      <c r="B508" t="s">
        <v>27</v>
      </c>
      <c r="C508">
        <v>635</v>
      </c>
      <c r="D508">
        <v>1</v>
      </c>
      <c r="E508" t="s">
        <v>43</v>
      </c>
      <c r="F508" t="s">
        <v>25</v>
      </c>
      <c r="G508" t="str">
        <f>"2026-04-04 06:38:29.082"</f>
        <v>2026-04-04 06:38:29.082</v>
      </c>
      <c r="H508" t="s">
        <v>21</v>
      </c>
      <c r="I508">
        <v>2.42</v>
      </c>
      <c r="J508" t="s">
        <v>37</v>
      </c>
    </row>
    <row r="509" spans="1:10" x14ac:dyDescent="0.25">
      <c r="A509" s="1">
        <v>43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"2026-04-04 01:11:14.733"</f>
        <v>2026-04-04 01:11:14.733</v>
      </c>
      <c r="H509" t="s">
        <v>21</v>
      </c>
      <c r="I509">
        <v>0</v>
      </c>
      <c r="J509" t="s">
        <v>22</v>
      </c>
    </row>
    <row r="510" spans="1:10" x14ac:dyDescent="0.25">
      <c r="A510" s="1">
        <v>45</v>
      </c>
      <c r="B510" t="s">
        <v>36</v>
      </c>
      <c r="C510">
        <v>47</v>
      </c>
      <c r="D510">
        <v>2</v>
      </c>
      <c r="E510" t="s">
        <v>49</v>
      </c>
      <c r="F510" t="s">
        <v>50</v>
      </c>
      <c r="G510" t="str">
        <f>"2026-04-04 01:01:13.599"</f>
        <v>2026-04-04 01:01:13.599</v>
      </c>
      <c r="H510" t="s">
        <v>51</v>
      </c>
      <c r="I510">
        <v>0</v>
      </c>
      <c r="J510" t="s">
        <v>28</v>
      </c>
    </row>
    <row r="511" spans="1:10" x14ac:dyDescent="0.25">
      <c r="A511" s="1">
        <v>46</v>
      </c>
      <c r="B511" t="s">
        <v>19</v>
      </c>
      <c r="C511">
        <v>706</v>
      </c>
      <c r="D511">
        <v>4</v>
      </c>
      <c r="E511" t="s">
        <v>29</v>
      </c>
      <c r="F511" t="s">
        <v>30</v>
      </c>
      <c r="G511" t="str">
        <f>"2026-04-03 09:27:54.659"</f>
        <v>2026-04-03 09:27:54.659</v>
      </c>
      <c r="H511" t="s">
        <v>21</v>
      </c>
      <c r="I511">
        <v>0</v>
      </c>
      <c r="J511" t="s">
        <v>31</v>
      </c>
    </row>
    <row r="512" spans="1:10" x14ac:dyDescent="0.25">
      <c r="A512" s="1">
        <v>48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"2026-04-03 09:27:30.819"</f>
        <v>2026-04-03 09:27:30.819</v>
      </c>
      <c r="H512" t="s">
        <v>21</v>
      </c>
      <c r="I512">
        <v>0</v>
      </c>
      <c r="J512" t="s">
        <v>22</v>
      </c>
    </row>
    <row r="513" spans="1:10" x14ac:dyDescent="0.25">
      <c r="A513" s="1">
        <v>50</v>
      </c>
      <c r="B513" t="s">
        <v>36</v>
      </c>
      <c r="C513">
        <v>47</v>
      </c>
      <c r="D513">
        <v>2</v>
      </c>
      <c r="E513" t="s">
        <v>49</v>
      </c>
      <c r="F513" t="s">
        <v>50</v>
      </c>
      <c r="G513" t="str">
        <f>"2026-04-03 09:08:47.702"</f>
        <v>2026-04-03 09:08:47.702</v>
      </c>
      <c r="H513" t="s">
        <v>51</v>
      </c>
      <c r="I513">
        <v>0</v>
      </c>
      <c r="J513" t="s">
        <v>28</v>
      </c>
    </row>
    <row r="514" spans="1:10" x14ac:dyDescent="0.25">
      <c r="A514" s="1">
        <v>52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"2026-04-02 20:00:14.682"</f>
        <v>2026-04-02 20:00:14.682</v>
      </c>
      <c r="H514" t="s">
        <v>21</v>
      </c>
      <c r="I514">
        <v>0</v>
      </c>
      <c r="J514" t="s">
        <v>22</v>
      </c>
    </row>
    <row r="515" spans="1:10" x14ac:dyDescent="0.25">
      <c r="A515" s="1">
        <v>54</v>
      </c>
      <c r="B515" t="s">
        <v>32</v>
      </c>
      <c r="C515">
        <v>47</v>
      </c>
      <c r="D515">
        <v>2</v>
      </c>
      <c r="E515" t="s">
        <v>49</v>
      </c>
      <c r="F515" t="s">
        <v>50</v>
      </c>
      <c r="G515" t="str">
        <f>"2026-04-02 19:50:42.003"</f>
        <v>2026-04-02 19:50:42.003</v>
      </c>
      <c r="H515" t="s">
        <v>51</v>
      </c>
    </row>
    <row r="516" spans="1:10" x14ac:dyDescent="0.25">
      <c r="A516" s="1">
        <v>55</v>
      </c>
      <c r="B516" t="s">
        <v>19</v>
      </c>
      <c r="C516">
        <v>706</v>
      </c>
      <c r="D516">
        <v>4</v>
      </c>
      <c r="E516" t="s">
        <v>29</v>
      </c>
      <c r="F516" t="s">
        <v>30</v>
      </c>
      <c r="G516" t="str">
        <f>"2026-04-02 19:50:39.793"</f>
        <v>2026-04-02 19:50:39.793</v>
      </c>
      <c r="H516" t="s">
        <v>21</v>
      </c>
      <c r="I516">
        <v>0</v>
      </c>
      <c r="J516" t="s">
        <v>31</v>
      </c>
    </row>
    <row r="517" spans="1:10" x14ac:dyDescent="0.25">
      <c r="A517" s="1">
        <v>58</v>
      </c>
      <c r="B517" t="s">
        <v>36</v>
      </c>
      <c r="C517">
        <v>47</v>
      </c>
      <c r="D517">
        <v>2</v>
      </c>
      <c r="E517" t="s">
        <v>49</v>
      </c>
      <c r="F517" t="s">
        <v>50</v>
      </c>
      <c r="G517" t="str">
        <f>"2026-04-02 19:49:49.104"</f>
        <v>2026-04-02 19:49:49.104</v>
      </c>
      <c r="H517" t="s">
        <v>51</v>
      </c>
      <c r="I517">
        <v>0</v>
      </c>
      <c r="J517" t="s">
        <v>28</v>
      </c>
    </row>
    <row r="518" spans="1:10" x14ac:dyDescent="0.25">
      <c r="A518" s="1">
        <v>60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"2026-04-01 22:46:05.633"</f>
        <v>2026-04-01 22:46:05.633</v>
      </c>
      <c r="H518" t="s">
        <v>21</v>
      </c>
      <c r="I518">
        <v>0</v>
      </c>
      <c r="J518" t="s">
        <v>22</v>
      </c>
    </row>
    <row r="519" spans="1:10" x14ac:dyDescent="0.25">
      <c r="A519" s="1">
        <v>62</v>
      </c>
      <c r="B519" t="s">
        <v>36</v>
      </c>
      <c r="C519">
        <v>47</v>
      </c>
      <c r="D519">
        <v>2</v>
      </c>
      <c r="E519" t="s">
        <v>49</v>
      </c>
      <c r="F519" t="s">
        <v>50</v>
      </c>
      <c r="G519" t="str">
        <f>"2026-04-01 21:41:23.239"</f>
        <v>2026-04-01 21:41:23.239</v>
      </c>
      <c r="H519" t="s">
        <v>51</v>
      </c>
      <c r="I519">
        <v>0</v>
      </c>
      <c r="J519" t="s">
        <v>28</v>
      </c>
    </row>
    <row r="520" spans="1:10" x14ac:dyDescent="0.25">
      <c r="A520" s="1">
        <v>64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"2026-04-01 21:26:18.666"</f>
        <v>2026-04-01 21:26:18.666</v>
      </c>
      <c r="H520" t="s">
        <v>21</v>
      </c>
      <c r="I520">
        <v>0</v>
      </c>
      <c r="J520" t="s">
        <v>22</v>
      </c>
    </row>
    <row r="521" spans="1:10" x14ac:dyDescent="0.25">
      <c r="A521" s="1">
        <v>66</v>
      </c>
      <c r="B521" t="s">
        <v>32</v>
      </c>
      <c r="C521">
        <v>33</v>
      </c>
      <c r="D521">
        <v>1</v>
      </c>
      <c r="E521" t="s">
        <v>33</v>
      </c>
      <c r="F521" t="s">
        <v>34</v>
      </c>
      <c r="G521" t="str">
        <f>"2026-04-01 19:07:38.948"</f>
        <v>2026-04-01 19:07:38.948</v>
      </c>
      <c r="H521" t="s">
        <v>35</v>
      </c>
    </row>
    <row r="522" spans="1:10" x14ac:dyDescent="0.25">
      <c r="A522" s="1">
        <v>67</v>
      </c>
      <c r="B522" t="s">
        <v>36</v>
      </c>
      <c r="C522">
        <v>33</v>
      </c>
      <c r="D522">
        <v>1</v>
      </c>
      <c r="E522" t="s">
        <v>33</v>
      </c>
      <c r="F522" t="s">
        <v>34</v>
      </c>
      <c r="G522" t="str">
        <f>"2026-04-01 19:07:33.086"</f>
        <v>2026-04-01 19:07:33.086</v>
      </c>
      <c r="H522" t="s">
        <v>35</v>
      </c>
      <c r="I522">
        <v>11.53</v>
      </c>
      <c r="J522" t="s">
        <v>37</v>
      </c>
    </row>
    <row r="523" spans="1:10" s="3" customFormat="1" x14ac:dyDescent="0.25">
      <c r="A523" s="2">
        <v>68</v>
      </c>
      <c r="B523" s="3" t="s">
        <v>23</v>
      </c>
      <c r="C523" s="3">
        <v>647</v>
      </c>
      <c r="D523" s="3">
        <v>1</v>
      </c>
      <c r="E523" s="3" t="s">
        <v>40</v>
      </c>
      <c r="F523" s="3" t="s">
        <v>41</v>
      </c>
      <c r="G523" s="3" t="str">
        <f>"2026-04-01 14:48:30.395"</f>
        <v>2026-04-01 14:48:30.395</v>
      </c>
      <c r="H523" s="3" t="s">
        <v>21</v>
      </c>
    </row>
    <row r="524" spans="1:10" s="3" customFormat="1" x14ac:dyDescent="0.25">
      <c r="A524" s="2">
        <v>69</v>
      </c>
      <c r="B524" s="3" t="s">
        <v>27</v>
      </c>
      <c r="C524" s="3">
        <v>647</v>
      </c>
      <c r="D524" s="3">
        <v>1</v>
      </c>
      <c r="E524" s="3" t="s">
        <v>40</v>
      </c>
      <c r="F524" s="3" t="s">
        <v>41</v>
      </c>
      <c r="G524" s="3" t="str">
        <f>"2026-04-01 14:48:28.896"</f>
        <v>2026-04-01 14:48:28.896</v>
      </c>
      <c r="H524" s="3" t="s">
        <v>21</v>
      </c>
      <c r="I524" s="3">
        <v>11.4</v>
      </c>
      <c r="J524" s="3" t="s">
        <v>42</v>
      </c>
    </row>
    <row r="525" spans="1:10" x14ac:dyDescent="0.25">
      <c r="A525" s="1">
        <v>70</v>
      </c>
      <c r="B525" t="s">
        <v>19</v>
      </c>
      <c r="C525">
        <v>706</v>
      </c>
      <c r="D525">
        <v>2</v>
      </c>
      <c r="E525" t="s">
        <v>29</v>
      </c>
      <c r="F525" t="s">
        <v>44</v>
      </c>
      <c r="G525" t="str">
        <f>"2026-04-01 03:59:53.018"</f>
        <v>2026-04-01 03:59:53.018</v>
      </c>
      <c r="H525" t="s">
        <v>21</v>
      </c>
      <c r="I525">
        <v>0</v>
      </c>
      <c r="J525" t="s">
        <v>31</v>
      </c>
    </row>
    <row r="526" spans="1:10" x14ac:dyDescent="0.25">
      <c r="A526" s="1">
        <v>72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"2026-04-01 03:59:25.638"</f>
        <v>2026-04-01 03:59:25.638</v>
      </c>
      <c r="H526" t="s">
        <v>21</v>
      </c>
      <c r="I526">
        <v>0</v>
      </c>
      <c r="J526" t="s">
        <v>22</v>
      </c>
    </row>
    <row r="527" spans="1:10" x14ac:dyDescent="0.25">
      <c r="A527" s="1">
        <v>74</v>
      </c>
      <c r="B527" t="s">
        <v>36</v>
      </c>
      <c r="C527">
        <v>47</v>
      </c>
      <c r="D527">
        <v>2</v>
      </c>
      <c r="E527" t="s">
        <v>49</v>
      </c>
      <c r="F527" t="s">
        <v>50</v>
      </c>
      <c r="G527" t="str">
        <f>"2026-03-31 19:48:05.502"</f>
        <v>2026-03-31 19:48:05.502</v>
      </c>
      <c r="H527" t="s">
        <v>51</v>
      </c>
      <c r="I527">
        <v>0</v>
      </c>
      <c r="J527" t="s">
        <v>28</v>
      </c>
    </row>
    <row r="528" spans="1:10" x14ac:dyDescent="0.25">
      <c r="A528" s="1">
        <v>76</v>
      </c>
      <c r="B528" t="s">
        <v>23</v>
      </c>
      <c r="C528">
        <v>635</v>
      </c>
      <c r="D528">
        <v>1</v>
      </c>
      <c r="E528" t="s">
        <v>43</v>
      </c>
      <c r="F528" t="s">
        <v>25</v>
      </c>
      <c r="G528" t="str">
        <f>"2026-03-31 05:30:18.310"</f>
        <v>2026-03-31 05:30:18.310</v>
      </c>
      <c r="H528" t="s">
        <v>21</v>
      </c>
    </row>
    <row r="529" spans="1:10" x14ac:dyDescent="0.25">
      <c r="A529" s="1">
        <v>77</v>
      </c>
      <c r="B529" t="s">
        <v>27</v>
      </c>
      <c r="C529">
        <v>635</v>
      </c>
      <c r="D529">
        <v>1</v>
      </c>
      <c r="E529" t="s">
        <v>43</v>
      </c>
      <c r="F529" t="s">
        <v>25</v>
      </c>
      <c r="G529" t="str">
        <f>"2026-03-31 05:21:37.310"</f>
        <v>2026-03-31 05:21:37.310</v>
      </c>
      <c r="H529" t="s">
        <v>21</v>
      </c>
      <c r="I529">
        <v>7.88</v>
      </c>
      <c r="J529" t="s">
        <v>28</v>
      </c>
    </row>
    <row r="530" spans="1:10" x14ac:dyDescent="0.25">
      <c r="A530" s="1">
        <v>80</v>
      </c>
      <c r="B530" t="s">
        <v>23</v>
      </c>
      <c r="C530">
        <v>635</v>
      </c>
      <c r="D530">
        <v>1</v>
      </c>
      <c r="E530" t="s">
        <v>43</v>
      </c>
      <c r="F530" t="s">
        <v>25</v>
      </c>
      <c r="G530" t="str">
        <f>"2026-03-30 17:41:55.810"</f>
        <v>2026-03-30 17:41:55.810</v>
      </c>
      <c r="H530" t="s">
        <v>21</v>
      </c>
    </row>
    <row r="531" spans="1:10" x14ac:dyDescent="0.25">
      <c r="A531" s="1">
        <v>81</v>
      </c>
      <c r="B531" t="s">
        <v>27</v>
      </c>
      <c r="C531">
        <v>635</v>
      </c>
      <c r="D531">
        <v>1</v>
      </c>
      <c r="E531" t="s">
        <v>43</v>
      </c>
      <c r="F531" t="s">
        <v>25</v>
      </c>
      <c r="G531" t="str">
        <f>"2026-03-30 17:38:34.310"</f>
        <v>2026-03-30 17:38:34.310</v>
      </c>
      <c r="H531" t="s">
        <v>21</v>
      </c>
      <c r="I531">
        <v>5.39</v>
      </c>
      <c r="J531" t="s">
        <v>37</v>
      </c>
    </row>
    <row r="532" spans="1:10" x14ac:dyDescent="0.25">
      <c r="A532" s="1">
        <v>82</v>
      </c>
      <c r="B532" t="s">
        <v>23</v>
      </c>
      <c r="C532">
        <v>635</v>
      </c>
      <c r="D532">
        <v>1</v>
      </c>
      <c r="E532" t="s">
        <v>43</v>
      </c>
      <c r="F532" t="s">
        <v>25</v>
      </c>
      <c r="G532" t="str">
        <f>"2026-03-30 16:11:21.510"</f>
        <v>2026-03-30 16:11:21.510</v>
      </c>
      <c r="H532" t="s">
        <v>21</v>
      </c>
    </row>
    <row r="533" spans="1:10" x14ac:dyDescent="0.25">
      <c r="A533" s="1">
        <v>83</v>
      </c>
      <c r="B533" t="s">
        <v>27</v>
      </c>
      <c r="C533">
        <v>635</v>
      </c>
      <c r="D533">
        <v>1</v>
      </c>
      <c r="E533" t="s">
        <v>43</v>
      </c>
      <c r="F533" t="s">
        <v>25</v>
      </c>
      <c r="G533" t="str">
        <f>"2026-03-30 16:08:06.510"</f>
        <v>2026-03-30 16:08:06.510</v>
      </c>
      <c r="H533" t="s">
        <v>21</v>
      </c>
      <c r="I533">
        <v>6.85</v>
      </c>
      <c r="J533" t="s">
        <v>37</v>
      </c>
    </row>
    <row r="534" spans="1:10" x14ac:dyDescent="0.25">
      <c r="A534" s="1">
        <v>85</v>
      </c>
      <c r="B534" t="s">
        <v>23</v>
      </c>
      <c r="C534">
        <v>98</v>
      </c>
      <c r="D534">
        <v>1</v>
      </c>
      <c r="E534" t="s">
        <v>38</v>
      </c>
      <c r="F534" t="s">
        <v>39</v>
      </c>
      <c r="G534" t="str">
        <f>"2026-03-30 06:03:16.002"</f>
        <v>2026-03-30 06:03:16.002</v>
      </c>
      <c r="H534" t="s">
        <v>21</v>
      </c>
    </row>
    <row r="535" spans="1:10" x14ac:dyDescent="0.25">
      <c r="A535" s="1">
        <v>86</v>
      </c>
      <c r="B535" t="s">
        <v>27</v>
      </c>
      <c r="C535">
        <v>98</v>
      </c>
      <c r="D535">
        <v>1</v>
      </c>
      <c r="E535" t="s">
        <v>38</v>
      </c>
      <c r="F535" t="s">
        <v>39</v>
      </c>
      <c r="G535" t="str">
        <f>"2026-03-30 06:03:14.902"</f>
        <v>2026-03-30 06:03:14.902</v>
      </c>
      <c r="H535" t="s">
        <v>21</v>
      </c>
      <c r="I535">
        <v>0</v>
      </c>
      <c r="J535" t="s">
        <v>28</v>
      </c>
    </row>
    <row r="536" spans="1:10" x14ac:dyDescent="0.25">
      <c r="A536" s="1">
        <v>88</v>
      </c>
      <c r="B536" t="s">
        <v>19</v>
      </c>
      <c r="C536">
        <v>706</v>
      </c>
      <c r="D536">
        <v>4</v>
      </c>
      <c r="E536" t="s">
        <v>29</v>
      </c>
      <c r="F536" t="s">
        <v>30</v>
      </c>
      <c r="G536" t="str">
        <f>"2026-03-30 05:41:13.862"</f>
        <v>2026-03-30 05:41:13.862</v>
      </c>
      <c r="H536" t="s">
        <v>21</v>
      </c>
      <c r="I536">
        <v>0</v>
      </c>
      <c r="J536" t="s">
        <v>31</v>
      </c>
    </row>
    <row r="537" spans="1:10" x14ac:dyDescent="0.25">
      <c r="A537" s="1">
        <v>89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"2026-03-30 05:40:58.672"</f>
        <v>2026-03-30 05:40:58.672</v>
      </c>
      <c r="H537" t="s">
        <v>21</v>
      </c>
      <c r="I537">
        <v>0</v>
      </c>
      <c r="J537" t="s">
        <v>22</v>
      </c>
    </row>
    <row r="538" spans="1:10" x14ac:dyDescent="0.25">
      <c r="A538" s="1">
        <v>92</v>
      </c>
      <c r="B538" t="s">
        <v>23</v>
      </c>
      <c r="C538">
        <v>635</v>
      </c>
      <c r="D538">
        <v>1</v>
      </c>
      <c r="E538" t="s">
        <v>43</v>
      </c>
      <c r="F538" t="s">
        <v>25</v>
      </c>
      <c r="G538" t="str">
        <f>"2026-03-29 17:14:03.498"</f>
        <v>2026-03-29 17:14:03.498</v>
      </c>
      <c r="H538" t="s">
        <v>21</v>
      </c>
    </row>
    <row r="539" spans="1:10" x14ac:dyDescent="0.25">
      <c r="A539" s="1">
        <v>93</v>
      </c>
      <c r="B539" t="s">
        <v>27</v>
      </c>
      <c r="C539">
        <v>635</v>
      </c>
      <c r="D539">
        <v>1</v>
      </c>
      <c r="E539" t="s">
        <v>43</v>
      </c>
      <c r="F539" t="s">
        <v>25</v>
      </c>
      <c r="G539" t="str">
        <f>"2026-03-29 17:09:24.998"</f>
        <v>2026-03-29 17:09:24.998</v>
      </c>
      <c r="H539" t="s">
        <v>21</v>
      </c>
      <c r="I539">
        <v>1.44</v>
      </c>
      <c r="J539" t="s">
        <v>37</v>
      </c>
    </row>
    <row r="540" spans="1:10" x14ac:dyDescent="0.25">
      <c r="A540" s="1">
        <v>94</v>
      </c>
      <c r="B540" t="s">
        <v>32</v>
      </c>
      <c r="C540">
        <v>33</v>
      </c>
      <c r="D540">
        <v>1</v>
      </c>
      <c r="E540" t="s">
        <v>33</v>
      </c>
      <c r="F540" t="s">
        <v>34</v>
      </c>
      <c r="G540" t="str">
        <f>"2026-03-29 11:50:24.151"</f>
        <v>2026-03-29 11:50:24.151</v>
      </c>
      <c r="H540" t="s">
        <v>35</v>
      </c>
    </row>
    <row r="541" spans="1:10" x14ac:dyDescent="0.25">
      <c r="A541" s="1">
        <v>95</v>
      </c>
      <c r="B541" t="s">
        <v>36</v>
      </c>
      <c r="C541">
        <v>33</v>
      </c>
      <c r="D541">
        <v>1</v>
      </c>
      <c r="E541" t="s">
        <v>33</v>
      </c>
      <c r="F541" t="s">
        <v>34</v>
      </c>
      <c r="G541" t="str">
        <f>"2026-03-29 11:50:00.150"</f>
        <v>2026-03-29 11:50:00.150</v>
      </c>
      <c r="H541" t="s">
        <v>35</v>
      </c>
      <c r="I541">
        <v>8.27</v>
      </c>
      <c r="J541" t="s">
        <v>37</v>
      </c>
    </row>
    <row r="542" spans="1:10" x14ac:dyDescent="0.25">
      <c r="A542" s="1">
        <v>96</v>
      </c>
      <c r="B542" t="s">
        <v>23</v>
      </c>
      <c r="C542">
        <v>61</v>
      </c>
      <c r="D542">
        <v>2</v>
      </c>
      <c r="E542" t="s">
        <v>47</v>
      </c>
      <c r="F542" t="s">
        <v>48</v>
      </c>
      <c r="G542" t="str">
        <f>"2026-03-29 04:49:28.011"</f>
        <v>2026-03-29 04:49:28.011</v>
      </c>
      <c r="H542" t="s">
        <v>21</v>
      </c>
    </row>
    <row r="543" spans="1:10" s="3" customFormat="1" x14ac:dyDescent="0.25">
      <c r="A543" s="2">
        <v>97</v>
      </c>
      <c r="B543" s="3" t="s">
        <v>23</v>
      </c>
      <c r="C543" s="3">
        <v>647</v>
      </c>
      <c r="D543" s="3">
        <v>1</v>
      </c>
      <c r="E543" s="3" t="s">
        <v>40</v>
      </c>
      <c r="F543" s="3" t="s">
        <v>41</v>
      </c>
      <c r="G543" s="3" t="str">
        <f>"2026-03-29 04:49:26.198"</f>
        <v>2026-03-29 04:49:26.198</v>
      </c>
      <c r="H543" s="3" t="s">
        <v>21</v>
      </c>
    </row>
    <row r="544" spans="1:10" s="3" customFormat="1" x14ac:dyDescent="0.25">
      <c r="A544" s="2">
        <v>98</v>
      </c>
      <c r="B544" s="3" t="s">
        <v>27</v>
      </c>
      <c r="C544" s="3">
        <v>647</v>
      </c>
      <c r="D544" s="3">
        <v>1</v>
      </c>
      <c r="E544" s="3" t="s">
        <v>40</v>
      </c>
      <c r="F544" s="3" t="s">
        <v>41</v>
      </c>
      <c r="G544" s="3" t="str">
        <f>"2026-03-29 04:49:23.498"</f>
        <v>2026-03-29 04:49:23.498</v>
      </c>
      <c r="H544" s="3" t="s">
        <v>21</v>
      </c>
      <c r="I544" s="3">
        <v>29.68</v>
      </c>
      <c r="J544" s="3" t="s">
        <v>42</v>
      </c>
    </row>
    <row r="545" spans="1:10" x14ac:dyDescent="0.25">
      <c r="A545" s="1">
        <v>99</v>
      </c>
      <c r="B545" t="s">
        <v>36</v>
      </c>
      <c r="C545">
        <v>61</v>
      </c>
      <c r="D545">
        <v>2</v>
      </c>
      <c r="E545" t="s">
        <v>47</v>
      </c>
      <c r="F545" t="s">
        <v>48</v>
      </c>
      <c r="G545" t="str">
        <f>"2026-03-29 04:49:23.111"</f>
        <v>2026-03-29 04:49:23.111</v>
      </c>
      <c r="H545" t="s">
        <v>21</v>
      </c>
      <c r="I545">
        <v>29.87</v>
      </c>
      <c r="J545" t="s">
        <v>42</v>
      </c>
    </row>
    <row r="546" spans="1:10" x14ac:dyDescent="0.25">
      <c r="A546" s="1">
        <v>0</v>
      </c>
      <c r="B546" t="s">
        <v>23</v>
      </c>
      <c r="C546">
        <v>635</v>
      </c>
      <c r="D546">
        <v>1</v>
      </c>
      <c r="E546" t="s">
        <v>43</v>
      </c>
      <c r="F546" t="s">
        <v>25</v>
      </c>
      <c r="G546" t="str">
        <f>"2026-03-28 18:37:19.598"</f>
        <v>2026-03-28 18:37:19.598</v>
      </c>
      <c r="H546" t="s">
        <v>21</v>
      </c>
    </row>
    <row r="547" spans="1:10" x14ac:dyDescent="0.25">
      <c r="A547" s="1">
        <v>1</v>
      </c>
      <c r="B547" t="s">
        <v>27</v>
      </c>
      <c r="C547">
        <v>635</v>
      </c>
      <c r="D547">
        <v>1</v>
      </c>
      <c r="E547" t="s">
        <v>43</v>
      </c>
      <c r="F547" t="s">
        <v>25</v>
      </c>
      <c r="G547" t="str">
        <f>"2026-03-28 18:32:20.198"</f>
        <v>2026-03-28 18:32:20.198</v>
      </c>
      <c r="H547" t="s">
        <v>21</v>
      </c>
      <c r="I547">
        <v>4.62</v>
      </c>
      <c r="J547" t="s">
        <v>37</v>
      </c>
    </row>
    <row r="548" spans="1:10" x14ac:dyDescent="0.25">
      <c r="A548" s="1">
        <v>2</v>
      </c>
      <c r="B548" t="s">
        <v>23</v>
      </c>
      <c r="C548">
        <v>635</v>
      </c>
      <c r="D548">
        <v>1</v>
      </c>
      <c r="E548" t="s">
        <v>43</v>
      </c>
      <c r="F548" t="s">
        <v>25</v>
      </c>
      <c r="G548" t="str">
        <f>"2026-03-28 17:09:56.298"</f>
        <v>2026-03-28 17:09:56.298</v>
      </c>
      <c r="H548" t="s">
        <v>21</v>
      </c>
    </row>
    <row r="549" spans="1:10" x14ac:dyDescent="0.25">
      <c r="A549" s="1">
        <v>3</v>
      </c>
      <c r="B549" t="s">
        <v>27</v>
      </c>
      <c r="C549">
        <v>635</v>
      </c>
      <c r="D549">
        <v>1</v>
      </c>
      <c r="E549" t="s">
        <v>43</v>
      </c>
      <c r="F549" t="s">
        <v>25</v>
      </c>
      <c r="G549" t="str">
        <f>"2026-03-28 17:04:38.397"</f>
        <v>2026-03-28 17:04:38.397</v>
      </c>
      <c r="H549" t="s">
        <v>21</v>
      </c>
      <c r="I549">
        <v>0</v>
      </c>
      <c r="J549" t="s">
        <v>28</v>
      </c>
    </row>
    <row r="550" spans="1:10" x14ac:dyDescent="0.25">
      <c r="A550" s="1">
        <v>4</v>
      </c>
      <c r="B550" t="s">
        <v>23</v>
      </c>
      <c r="C550">
        <v>635</v>
      </c>
      <c r="D550">
        <v>1</v>
      </c>
      <c r="E550" t="s">
        <v>43</v>
      </c>
      <c r="F550" t="s">
        <v>25</v>
      </c>
      <c r="G550" t="str">
        <f>"2026-03-28 16:20:20.998"</f>
        <v>2026-03-28 16:20:20.998</v>
      </c>
      <c r="H550" t="s">
        <v>21</v>
      </c>
    </row>
    <row r="551" spans="1:10" x14ac:dyDescent="0.25">
      <c r="A551" s="1">
        <v>5</v>
      </c>
      <c r="B551" t="s">
        <v>27</v>
      </c>
      <c r="C551">
        <v>635</v>
      </c>
      <c r="D551">
        <v>1</v>
      </c>
      <c r="E551" t="s">
        <v>43</v>
      </c>
      <c r="F551" t="s">
        <v>25</v>
      </c>
      <c r="G551" t="str">
        <f>"2026-03-28 16:15:33.498"</f>
        <v>2026-03-28 16:15:33.498</v>
      </c>
      <c r="H551" t="s">
        <v>21</v>
      </c>
      <c r="I551">
        <v>2.89</v>
      </c>
      <c r="J551" t="s">
        <v>28</v>
      </c>
    </row>
    <row r="552" spans="1:10" x14ac:dyDescent="0.25">
      <c r="A552" s="1">
        <v>7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"2026-03-28 15:07:58.629"</f>
        <v>2026-03-28 15:07:58.629</v>
      </c>
      <c r="H552" t="s">
        <v>21</v>
      </c>
    </row>
    <row r="553" spans="1:10" x14ac:dyDescent="0.25">
      <c r="A553" s="1">
        <v>9</v>
      </c>
      <c r="B553" t="s">
        <v>36</v>
      </c>
      <c r="C553">
        <v>47</v>
      </c>
      <c r="D553">
        <v>2</v>
      </c>
      <c r="E553" t="s">
        <v>49</v>
      </c>
      <c r="F553" t="s">
        <v>50</v>
      </c>
      <c r="G553" t="str">
        <f>"2026-03-28 10:30:15.853"</f>
        <v>2026-03-28 10:30:15.853</v>
      </c>
      <c r="H553" t="s">
        <v>51</v>
      </c>
      <c r="I553">
        <v>0</v>
      </c>
      <c r="J553" t="s">
        <v>28</v>
      </c>
    </row>
    <row r="554" spans="1:10" x14ac:dyDescent="0.25">
      <c r="A554" s="1">
        <v>10</v>
      </c>
      <c r="B554" t="s">
        <v>19</v>
      </c>
      <c r="C554">
        <v>706</v>
      </c>
      <c r="D554">
        <v>4</v>
      </c>
      <c r="E554" t="s">
        <v>29</v>
      </c>
      <c r="F554" t="s">
        <v>30</v>
      </c>
      <c r="G554" t="str">
        <f>"2026-03-28 10:26:18.161"</f>
        <v>2026-03-28 10:26:18.161</v>
      </c>
      <c r="H554" t="s">
        <v>21</v>
      </c>
      <c r="I554">
        <v>0</v>
      </c>
      <c r="J554" t="s">
        <v>31</v>
      </c>
    </row>
    <row r="555" spans="1:10" x14ac:dyDescent="0.25">
      <c r="A555" s="1">
        <v>12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"2026-03-28 10:20:53.641"</f>
        <v>2026-03-28 10:20:53.641</v>
      </c>
      <c r="H555" t="s">
        <v>21</v>
      </c>
      <c r="I555">
        <v>0</v>
      </c>
      <c r="J555" t="s">
        <v>22</v>
      </c>
    </row>
    <row r="556" spans="1:10" x14ac:dyDescent="0.25">
      <c r="A556" s="1">
        <v>15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"2026-03-28 09:03:25.623"</f>
        <v>2026-03-28 09:03:25.623</v>
      </c>
      <c r="H556" t="s">
        <v>21</v>
      </c>
    </row>
    <row r="557" spans="1:10" s="3" customFormat="1" x14ac:dyDescent="0.25">
      <c r="A557" s="2">
        <v>19</v>
      </c>
      <c r="B557" s="3" t="s">
        <v>23</v>
      </c>
      <c r="C557" s="3">
        <v>647</v>
      </c>
      <c r="D557" s="3">
        <v>1</v>
      </c>
      <c r="E557" s="3" t="s">
        <v>40</v>
      </c>
      <c r="F557" s="3" t="s">
        <v>41</v>
      </c>
      <c r="G557" s="3" t="str">
        <f>"2026-03-27 21:42:33.200"</f>
        <v>2026-03-27 21:42:33.200</v>
      </c>
      <c r="H557" s="3" t="s">
        <v>21</v>
      </c>
    </row>
    <row r="558" spans="1:10" s="3" customFormat="1" x14ac:dyDescent="0.25">
      <c r="A558" s="2">
        <v>20</v>
      </c>
      <c r="B558" s="3" t="s">
        <v>27</v>
      </c>
      <c r="C558" s="3">
        <v>647</v>
      </c>
      <c r="D558" s="3">
        <v>1</v>
      </c>
      <c r="E558" s="3" t="s">
        <v>40</v>
      </c>
      <c r="F558" s="3" t="s">
        <v>41</v>
      </c>
      <c r="G558" s="3" t="str">
        <f>"2026-03-27 21:42:31.000"</f>
        <v>2026-03-27 21:42:31.000</v>
      </c>
      <c r="H558" s="3" t="s">
        <v>21</v>
      </c>
      <c r="I558" s="3">
        <v>8.6199999999999992</v>
      </c>
      <c r="J558" s="3" t="s">
        <v>42</v>
      </c>
    </row>
    <row r="559" spans="1:10" s="3" customFormat="1" x14ac:dyDescent="0.25">
      <c r="A559" s="2">
        <v>25</v>
      </c>
      <c r="B559" s="3" t="s">
        <v>23</v>
      </c>
      <c r="C559" s="3">
        <v>647</v>
      </c>
      <c r="D559" s="3">
        <v>1</v>
      </c>
      <c r="E559" s="3" t="s">
        <v>40</v>
      </c>
      <c r="F559" s="3" t="s">
        <v>41</v>
      </c>
      <c r="G559" s="3" t="str">
        <f>"2026-03-27 03:35:24.100"</f>
        <v>2026-03-27 03:35:24.100</v>
      </c>
      <c r="H559" s="3" t="s">
        <v>21</v>
      </c>
    </row>
    <row r="560" spans="1:10" s="3" customFormat="1" x14ac:dyDescent="0.25">
      <c r="A560" s="2">
        <v>26</v>
      </c>
      <c r="B560" s="3" t="s">
        <v>27</v>
      </c>
      <c r="C560" s="3">
        <v>647</v>
      </c>
      <c r="D560" s="3">
        <v>1</v>
      </c>
      <c r="E560" s="3" t="s">
        <v>40</v>
      </c>
      <c r="F560" s="3" t="s">
        <v>41</v>
      </c>
      <c r="G560" s="3" t="str">
        <f>"2026-03-27 03:35:22.601"</f>
        <v>2026-03-27 03:35:22.601</v>
      </c>
      <c r="H560" s="3" t="s">
        <v>21</v>
      </c>
      <c r="I560" s="3">
        <v>8.01</v>
      </c>
      <c r="J560" s="3" t="s">
        <v>42</v>
      </c>
    </row>
    <row r="561" spans="1:10" x14ac:dyDescent="0.25">
      <c r="A561" s="1">
        <v>29</v>
      </c>
      <c r="B561" t="s">
        <v>23</v>
      </c>
      <c r="C561">
        <v>61</v>
      </c>
      <c r="D561">
        <v>2</v>
      </c>
      <c r="E561" t="s">
        <v>47</v>
      </c>
      <c r="F561" t="s">
        <v>48</v>
      </c>
      <c r="G561" t="str">
        <f>"2026-03-26 19:33:29.813"</f>
        <v>2026-03-26 19:33:29.813</v>
      </c>
      <c r="H561" t="s">
        <v>21</v>
      </c>
    </row>
    <row r="562" spans="1:10" x14ac:dyDescent="0.25">
      <c r="A562" s="1">
        <v>30</v>
      </c>
      <c r="B562" t="s">
        <v>36</v>
      </c>
      <c r="C562">
        <v>61</v>
      </c>
      <c r="D562">
        <v>2</v>
      </c>
      <c r="E562" t="s">
        <v>47</v>
      </c>
      <c r="F562" t="s">
        <v>48</v>
      </c>
      <c r="G562" t="str">
        <f>"2026-03-26 19:33:14.313"</f>
        <v>2026-03-26 19:33:14.313</v>
      </c>
      <c r="H562" t="s">
        <v>21</v>
      </c>
      <c r="I562">
        <v>30.45</v>
      </c>
      <c r="J562" t="s">
        <v>42</v>
      </c>
    </row>
    <row r="563" spans="1:10" x14ac:dyDescent="0.25">
      <c r="A563" s="1">
        <v>34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"2026-03-25 15:56:10.632"</f>
        <v>2026-03-25 15:56:10.632</v>
      </c>
      <c r="H563" t="s">
        <v>21</v>
      </c>
      <c r="I563">
        <v>0</v>
      </c>
      <c r="J563" t="s">
        <v>22</v>
      </c>
    </row>
    <row r="564" spans="1:10" x14ac:dyDescent="0.25">
      <c r="A564" s="1">
        <v>38</v>
      </c>
      <c r="B564" t="s">
        <v>23</v>
      </c>
      <c r="C564">
        <v>635</v>
      </c>
      <c r="D564">
        <v>1</v>
      </c>
      <c r="E564" t="s">
        <v>43</v>
      </c>
      <c r="F564" t="s">
        <v>25</v>
      </c>
      <c r="G564" t="str">
        <f>"2026-03-24 15:17:45.315"</f>
        <v>2026-03-24 15:17:45.315</v>
      </c>
      <c r="H564" t="s">
        <v>21</v>
      </c>
    </row>
    <row r="565" spans="1:10" x14ac:dyDescent="0.25">
      <c r="A565" s="1">
        <v>39</v>
      </c>
      <c r="B565" t="s">
        <v>27</v>
      </c>
      <c r="C565">
        <v>635</v>
      </c>
      <c r="D565">
        <v>1</v>
      </c>
      <c r="E565" t="s">
        <v>43</v>
      </c>
      <c r="F565" t="s">
        <v>25</v>
      </c>
      <c r="G565" t="str">
        <f>"2026-03-24 15:14:36.315"</f>
        <v>2026-03-24 15:14:36.315</v>
      </c>
      <c r="H565" t="s">
        <v>21</v>
      </c>
      <c r="I565">
        <v>2.4500000000000002</v>
      </c>
      <c r="J565" t="s">
        <v>37</v>
      </c>
    </row>
    <row r="566" spans="1:10" x14ac:dyDescent="0.25">
      <c r="A566" s="1">
        <v>40</v>
      </c>
      <c r="B566" t="s">
        <v>23</v>
      </c>
      <c r="C566">
        <v>635</v>
      </c>
      <c r="D566">
        <v>1</v>
      </c>
      <c r="E566" t="s">
        <v>43</v>
      </c>
      <c r="F566" t="s">
        <v>25</v>
      </c>
      <c r="G566" t="str">
        <f>"2026-03-24 08:27:50.215"</f>
        <v>2026-03-24 08:27:50.215</v>
      </c>
      <c r="H566" t="s">
        <v>21</v>
      </c>
    </row>
    <row r="567" spans="1:10" x14ac:dyDescent="0.25">
      <c r="A567" s="1">
        <v>41</v>
      </c>
      <c r="B567" t="s">
        <v>27</v>
      </c>
      <c r="C567">
        <v>635</v>
      </c>
      <c r="D567">
        <v>1</v>
      </c>
      <c r="E567" t="s">
        <v>43</v>
      </c>
      <c r="F567" t="s">
        <v>25</v>
      </c>
      <c r="G567" t="str">
        <f>"2026-03-24 08:21:06.315"</f>
        <v>2026-03-24 08:21:06.315</v>
      </c>
      <c r="H567" t="s">
        <v>21</v>
      </c>
      <c r="I567">
        <v>0.31</v>
      </c>
      <c r="J567" t="s">
        <v>37</v>
      </c>
    </row>
    <row r="568" spans="1:10" x14ac:dyDescent="0.25">
      <c r="A568" s="1">
        <v>44</v>
      </c>
      <c r="B568" t="s">
        <v>23</v>
      </c>
      <c r="C568">
        <v>635</v>
      </c>
      <c r="D568">
        <v>1</v>
      </c>
      <c r="E568" t="s">
        <v>43</v>
      </c>
      <c r="F568" t="s">
        <v>25</v>
      </c>
      <c r="G568" t="str">
        <f>"2026-03-23 19:14:44.015"</f>
        <v>2026-03-23 19:14:44.015</v>
      </c>
      <c r="H568" t="s">
        <v>21</v>
      </c>
    </row>
    <row r="569" spans="1:10" x14ac:dyDescent="0.25">
      <c r="A569" s="1">
        <v>45</v>
      </c>
      <c r="B569" t="s">
        <v>27</v>
      </c>
      <c r="C569">
        <v>635</v>
      </c>
      <c r="D569">
        <v>1</v>
      </c>
      <c r="E569" t="s">
        <v>43</v>
      </c>
      <c r="F569" t="s">
        <v>25</v>
      </c>
      <c r="G569" t="str">
        <f>"2026-03-23 19:11:42.015"</f>
        <v>2026-03-23 19:11:42.015</v>
      </c>
      <c r="H569" t="s">
        <v>21</v>
      </c>
      <c r="I569">
        <v>3.71</v>
      </c>
      <c r="J569" t="s">
        <v>37</v>
      </c>
    </row>
    <row r="570" spans="1:10" x14ac:dyDescent="0.25">
      <c r="A570" s="1">
        <v>47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"2026-03-23 11:07:38.633"</f>
        <v>2026-03-23 11:07:38.633</v>
      </c>
      <c r="H570" t="s">
        <v>21</v>
      </c>
    </row>
    <row r="571" spans="1:10" x14ac:dyDescent="0.25">
      <c r="A571" s="1">
        <v>49</v>
      </c>
      <c r="B571" t="s">
        <v>23</v>
      </c>
      <c r="C571">
        <v>635</v>
      </c>
      <c r="D571">
        <v>1</v>
      </c>
      <c r="E571" t="s">
        <v>43</v>
      </c>
      <c r="F571" t="s">
        <v>25</v>
      </c>
      <c r="G571" t="str">
        <f>"2026-03-23 09:21:00.887"</f>
        <v>2026-03-23 09:21:00.887</v>
      </c>
      <c r="H571" t="s">
        <v>21</v>
      </c>
    </row>
    <row r="572" spans="1:10" x14ac:dyDescent="0.25">
      <c r="A572" s="1">
        <v>50</v>
      </c>
      <c r="B572" t="s">
        <v>27</v>
      </c>
      <c r="C572">
        <v>635</v>
      </c>
      <c r="D572">
        <v>1</v>
      </c>
      <c r="E572" t="s">
        <v>43</v>
      </c>
      <c r="F572" t="s">
        <v>25</v>
      </c>
      <c r="G572" t="str">
        <f>"2026-03-23 09:15:53.887"</f>
        <v>2026-03-23 09:15:53.887</v>
      </c>
      <c r="H572" t="s">
        <v>21</v>
      </c>
      <c r="I572">
        <v>3.75</v>
      </c>
      <c r="J572" t="s">
        <v>37</v>
      </c>
    </row>
    <row r="573" spans="1:10" x14ac:dyDescent="0.25">
      <c r="A573" s="1">
        <v>51</v>
      </c>
      <c r="B573" t="s">
        <v>23</v>
      </c>
      <c r="C573">
        <v>635</v>
      </c>
      <c r="D573">
        <v>1</v>
      </c>
      <c r="E573" t="s">
        <v>43</v>
      </c>
      <c r="F573" t="s">
        <v>25</v>
      </c>
      <c r="G573" t="str">
        <f>"2026-03-22 10:48:33.387"</f>
        <v>2026-03-22 10:48:33.387</v>
      </c>
      <c r="H573" t="s">
        <v>21</v>
      </c>
    </row>
    <row r="574" spans="1:10" x14ac:dyDescent="0.25">
      <c r="A574" s="1">
        <v>52</v>
      </c>
      <c r="B574" t="s">
        <v>27</v>
      </c>
      <c r="C574">
        <v>635</v>
      </c>
      <c r="D574">
        <v>1</v>
      </c>
      <c r="E574" t="s">
        <v>43</v>
      </c>
      <c r="F574" t="s">
        <v>25</v>
      </c>
      <c r="G574" t="str">
        <f>"2026-03-22 10:45:20.387"</f>
        <v>2026-03-22 10:45:20.387</v>
      </c>
      <c r="H574" t="s">
        <v>21</v>
      </c>
      <c r="I574">
        <v>4.41</v>
      </c>
      <c r="J574" t="s">
        <v>37</v>
      </c>
    </row>
    <row r="575" spans="1:10" x14ac:dyDescent="0.25">
      <c r="A575" s="1">
        <v>55</v>
      </c>
      <c r="B575" t="s">
        <v>23</v>
      </c>
      <c r="C575">
        <v>635</v>
      </c>
      <c r="D575">
        <v>1</v>
      </c>
      <c r="E575" t="s">
        <v>43</v>
      </c>
      <c r="F575" t="s">
        <v>25</v>
      </c>
      <c r="G575" t="str">
        <f>"2026-03-21 14:51:36.687"</f>
        <v>2026-03-21 14:51:36.687</v>
      </c>
      <c r="H575" t="s">
        <v>21</v>
      </c>
    </row>
    <row r="576" spans="1:10" x14ac:dyDescent="0.25">
      <c r="A576" s="1">
        <v>56</v>
      </c>
      <c r="B576" t="s">
        <v>27</v>
      </c>
      <c r="C576">
        <v>635</v>
      </c>
      <c r="D576">
        <v>1</v>
      </c>
      <c r="E576" t="s">
        <v>43</v>
      </c>
      <c r="F576" t="s">
        <v>25</v>
      </c>
      <c r="G576" t="str">
        <f>"2026-03-21 14:47:34.188"</f>
        <v>2026-03-21 14:47:34.188</v>
      </c>
      <c r="H576" t="s">
        <v>21</v>
      </c>
      <c r="I576">
        <v>2.61</v>
      </c>
      <c r="J576" t="s">
        <v>37</v>
      </c>
    </row>
    <row r="577" spans="1:10" x14ac:dyDescent="0.25">
      <c r="A577" s="1">
        <v>57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"2026-03-21 12:18:23.596"</f>
        <v>2026-03-21 12:18:23.596</v>
      </c>
      <c r="H577" t="s">
        <v>21</v>
      </c>
      <c r="I577">
        <v>0</v>
      </c>
      <c r="J577" t="s">
        <v>22</v>
      </c>
    </row>
    <row r="578" spans="1:10" x14ac:dyDescent="0.25">
      <c r="A578" s="1">
        <v>60</v>
      </c>
      <c r="B578" t="s">
        <v>23</v>
      </c>
      <c r="C578">
        <v>635</v>
      </c>
      <c r="D578">
        <v>1</v>
      </c>
      <c r="E578" t="s">
        <v>43</v>
      </c>
      <c r="F578" t="s">
        <v>25</v>
      </c>
      <c r="G578" t="str">
        <f>"2026-03-20 01:38:57.408"</f>
        <v>2026-03-20 01:38:57.408</v>
      </c>
      <c r="H578" t="s">
        <v>21</v>
      </c>
    </row>
    <row r="579" spans="1:10" x14ac:dyDescent="0.25">
      <c r="A579" s="1">
        <v>61</v>
      </c>
      <c r="B579" t="s">
        <v>27</v>
      </c>
      <c r="C579">
        <v>635</v>
      </c>
      <c r="D579">
        <v>1</v>
      </c>
      <c r="E579" t="s">
        <v>43</v>
      </c>
      <c r="F579" t="s">
        <v>25</v>
      </c>
      <c r="G579" t="str">
        <f>"2026-03-20 01:36:21.908"</f>
        <v>2026-03-20 01:36:21.908</v>
      </c>
      <c r="H579" t="s">
        <v>21</v>
      </c>
      <c r="I579">
        <v>3.81</v>
      </c>
      <c r="J579" t="s">
        <v>37</v>
      </c>
    </row>
    <row r="580" spans="1:10" x14ac:dyDescent="0.25">
      <c r="A580" s="1">
        <v>62</v>
      </c>
      <c r="B580" t="s">
        <v>23</v>
      </c>
      <c r="C580">
        <v>61</v>
      </c>
      <c r="D580">
        <v>2</v>
      </c>
      <c r="E580" t="s">
        <v>47</v>
      </c>
      <c r="F580" t="s">
        <v>48</v>
      </c>
      <c r="G580" t="str">
        <f>"2026-03-19 18:29:32.521"</f>
        <v>2026-03-19 18:29:32.521</v>
      </c>
      <c r="H580" t="s">
        <v>21</v>
      </c>
    </row>
    <row r="581" spans="1:10" x14ac:dyDescent="0.25">
      <c r="A581" s="1">
        <v>63</v>
      </c>
      <c r="B581" t="s">
        <v>36</v>
      </c>
      <c r="C581">
        <v>61</v>
      </c>
      <c r="D581">
        <v>2</v>
      </c>
      <c r="E581" t="s">
        <v>47</v>
      </c>
      <c r="F581" t="s">
        <v>48</v>
      </c>
      <c r="G581" t="str">
        <f>"2026-03-19 18:29:28.121"</f>
        <v>2026-03-19 18:29:28.121</v>
      </c>
      <c r="H581" t="s">
        <v>21</v>
      </c>
      <c r="I581">
        <v>29.51</v>
      </c>
      <c r="J581" t="s">
        <v>42</v>
      </c>
    </row>
    <row r="582" spans="1:10" x14ac:dyDescent="0.25">
      <c r="A582" s="1">
        <v>64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"2026-03-18 23:20:37.626"</f>
        <v>2026-03-18 23:20:37.626</v>
      </c>
      <c r="H582" t="s">
        <v>21</v>
      </c>
      <c r="I582">
        <v>0</v>
      </c>
      <c r="J582" t="s">
        <v>22</v>
      </c>
    </row>
    <row r="583" spans="1:10" x14ac:dyDescent="0.25">
      <c r="A583" s="1">
        <v>65</v>
      </c>
      <c r="B583" t="s">
        <v>19</v>
      </c>
      <c r="C583">
        <v>706</v>
      </c>
      <c r="D583">
        <v>4</v>
      </c>
      <c r="E583" t="s">
        <v>29</v>
      </c>
      <c r="F583" t="s">
        <v>30</v>
      </c>
      <c r="G583" t="str">
        <f>"2026-03-18 05:50:00.849"</f>
        <v>2026-03-18 05:50:00.849</v>
      </c>
      <c r="H583" t="s">
        <v>21</v>
      </c>
      <c r="I583">
        <v>0</v>
      </c>
      <c r="J583" t="s">
        <v>31</v>
      </c>
    </row>
    <row r="584" spans="1:10" x14ac:dyDescent="0.25">
      <c r="A584" s="1">
        <v>66</v>
      </c>
      <c r="B584" t="s">
        <v>19</v>
      </c>
      <c r="C584">
        <v>706</v>
      </c>
      <c r="D584">
        <v>2</v>
      </c>
      <c r="E584" t="s">
        <v>29</v>
      </c>
      <c r="F584" t="s">
        <v>44</v>
      </c>
      <c r="G584" t="str">
        <f>"2026-03-18 05:46:19.529"</f>
        <v>2026-03-18 05:46:19.529</v>
      </c>
      <c r="H584" t="s">
        <v>21</v>
      </c>
      <c r="I584">
        <v>0</v>
      </c>
      <c r="J584" t="s">
        <v>31</v>
      </c>
    </row>
    <row r="585" spans="1:10" x14ac:dyDescent="0.25">
      <c r="A585" s="1">
        <v>67</v>
      </c>
      <c r="B585" t="s">
        <v>19</v>
      </c>
      <c r="C585">
        <v>706</v>
      </c>
      <c r="D585">
        <v>2</v>
      </c>
      <c r="E585" t="s">
        <v>29</v>
      </c>
      <c r="F585" t="s">
        <v>44</v>
      </c>
      <c r="G585" t="str">
        <f>"2026-03-18 05:45:55.129"</f>
        <v>2026-03-18 05:45:55.129</v>
      </c>
      <c r="H585" t="s">
        <v>21</v>
      </c>
      <c r="I585">
        <v>0</v>
      </c>
      <c r="J585" t="s">
        <v>31</v>
      </c>
    </row>
    <row r="586" spans="1:10" x14ac:dyDescent="0.25">
      <c r="A586" s="1">
        <v>68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"2026-03-18 05:45:31.579"</f>
        <v>2026-03-18 05:45:31.579</v>
      </c>
      <c r="H586" t="s">
        <v>21</v>
      </c>
      <c r="I586">
        <v>0</v>
      </c>
      <c r="J586" t="s">
        <v>22</v>
      </c>
    </row>
    <row r="587" spans="1:10" x14ac:dyDescent="0.25">
      <c r="A587" s="1">
        <v>69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"2026-03-18 03:25:46.869"</f>
        <v>2026-03-18 03:25:46.869</v>
      </c>
      <c r="H587" t="s">
        <v>21</v>
      </c>
      <c r="I587">
        <v>0</v>
      </c>
      <c r="J587" t="s">
        <v>22</v>
      </c>
    </row>
    <row r="588" spans="1:10" x14ac:dyDescent="0.25">
      <c r="A588" s="1">
        <v>73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"2026-03-16 22:02:05.763"</f>
        <v>2026-03-16 22:02:05.763</v>
      </c>
      <c r="H588" t="s">
        <v>21</v>
      </c>
    </row>
    <row r="589" spans="1:10" x14ac:dyDescent="0.25">
      <c r="A589" s="1">
        <v>78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"2026-03-16 08:55:43.741"</f>
        <v>2026-03-16 08:55:43.741</v>
      </c>
      <c r="H589" t="s">
        <v>21</v>
      </c>
      <c r="I589">
        <v>0</v>
      </c>
      <c r="J589" t="s">
        <v>22</v>
      </c>
    </row>
    <row r="590" spans="1:10" x14ac:dyDescent="0.25">
      <c r="A590" s="1">
        <v>81</v>
      </c>
      <c r="B590" t="s">
        <v>23</v>
      </c>
      <c r="C590">
        <v>635</v>
      </c>
      <c r="D590">
        <v>1</v>
      </c>
      <c r="E590" t="s">
        <v>43</v>
      </c>
      <c r="F590" t="s">
        <v>25</v>
      </c>
      <c r="G590" t="str">
        <f>"2026-03-16 02:39:07.657"</f>
        <v>2026-03-16 02:39:07.657</v>
      </c>
      <c r="H590" t="s">
        <v>21</v>
      </c>
    </row>
    <row r="591" spans="1:10" x14ac:dyDescent="0.25">
      <c r="A591" s="1">
        <v>82</v>
      </c>
      <c r="B591" t="s">
        <v>27</v>
      </c>
      <c r="C591">
        <v>635</v>
      </c>
      <c r="D591">
        <v>1</v>
      </c>
      <c r="E591" t="s">
        <v>43</v>
      </c>
      <c r="F591" t="s">
        <v>25</v>
      </c>
      <c r="G591" t="str">
        <f>"2026-03-16 02:32:54.157"</f>
        <v>2026-03-16 02:32:54.157</v>
      </c>
      <c r="H591" t="s">
        <v>21</v>
      </c>
      <c r="I591">
        <v>2.58</v>
      </c>
      <c r="J591" t="s">
        <v>28</v>
      </c>
    </row>
    <row r="592" spans="1:10" x14ac:dyDescent="0.25">
      <c r="A592" s="1">
        <v>84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"2026-03-15 13:28:26.598"</f>
        <v>2026-03-15 13:28:26.598</v>
      </c>
      <c r="H592" t="s">
        <v>21</v>
      </c>
      <c r="I592">
        <v>0</v>
      </c>
      <c r="J592" t="s">
        <v>22</v>
      </c>
    </row>
    <row r="593" spans="1:10" x14ac:dyDescent="0.25">
      <c r="A593" s="1">
        <v>85</v>
      </c>
      <c r="B593" t="s">
        <v>23</v>
      </c>
      <c r="C593">
        <v>635</v>
      </c>
      <c r="D593">
        <v>1</v>
      </c>
      <c r="E593" t="s">
        <v>43</v>
      </c>
      <c r="F593" t="s">
        <v>25</v>
      </c>
      <c r="G593" t="str">
        <f>"2026-03-15 11:27:26.527"</f>
        <v>2026-03-15 11:27:26.527</v>
      </c>
      <c r="H593" t="s">
        <v>21</v>
      </c>
    </row>
    <row r="594" spans="1:10" x14ac:dyDescent="0.25">
      <c r="A594" s="1">
        <v>86</v>
      </c>
      <c r="B594" t="s">
        <v>27</v>
      </c>
      <c r="C594">
        <v>635</v>
      </c>
      <c r="D594">
        <v>1</v>
      </c>
      <c r="E594" t="s">
        <v>43</v>
      </c>
      <c r="F594" t="s">
        <v>25</v>
      </c>
      <c r="G594" t="str">
        <f>"2026-03-15 11:24:22.526"</f>
        <v>2026-03-15 11:24:22.526</v>
      </c>
      <c r="H594" t="s">
        <v>21</v>
      </c>
      <c r="I594">
        <v>-0.05</v>
      </c>
      <c r="J594" t="s">
        <v>28</v>
      </c>
    </row>
    <row r="595" spans="1:10" x14ac:dyDescent="0.25">
      <c r="A595" s="1">
        <v>87</v>
      </c>
      <c r="B595" t="s">
        <v>23</v>
      </c>
      <c r="C595">
        <v>635</v>
      </c>
      <c r="D595">
        <v>1</v>
      </c>
      <c r="E595" t="s">
        <v>43</v>
      </c>
      <c r="F595" t="s">
        <v>25</v>
      </c>
      <c r="G595" t="str">
        <f>"2026-03-15 04:39:00.927"</f>
        <v>2026-03-15 04:39:00.927</v>
      </c>
      <c r="H595" t="s">
        <v>21</v>
      </c>
    </row>
    <row r="596" spans="1:10" x14ac:dyDescent="0.25">
      <c r="A596" s="1">
        <v>88</v>
      </c>
      <c r="B596" t="s">
        <v>27</v>
      </c>
      <c r="C596">
        <v>635</v>
      </c>
      <c r="D596">
        <v>1</v>
      </c>
      <c r="E596" t="s">
        <v>43</v>
      </c>
      <c r="F596" t="s">
        <v>25</v>
      </c>
      <c r="G596" t="str">
        <f>"2026-03-15 04:34:24.927"</f>
        <v>2026-03-15 04:34:24.927</v>
      </c>
      <c r="H596" t="s">
        <v>21</v>
      </c>
      <c r="I596">
        <v>5.87</v>
      </c>
      <c r="J596" t="s">
        <v>37</v>
      </c>
    </row>
    <row r="597" spans="1:10" x14ac:dyDescent="0.25">
      <c r="A597" s="1">
        <v>89</v>
      </c>
      <c r="B597" t="s">
        <v>23</v>
      </c>
      <c r="C597">
        <v>635</v>
      </c>
      <c r="D597">
        <v>1</v>
      </c>
      <c r="E597" t="s">
        <v>43</v>
      </c>
      <c r="F597" t="s">
        <v>25</v>
      </c>
      <c r="G597" t="str">
        <f>"2026-03-14 16:49:15.027"</f>
        <v>2026-03-14 16:49:15.027</v>
      </c>
      <c r="H597" t="s">
        <v>21</v>
      </c>
    </row>
    <row r="598" spans="1:10" x14ac:dyDescent="0.25">
      <c r="A598" s="1">
        <v>90</v>
      </c>
      <c r="B598" t="s">
        <v>27</v>
      </c>
      <c r="C598">
        <v>635</v>
      </c>
      <c r="D598">
        <v>1</v>
      </c>
      <c r="E598" t="s">
        <v>43</v>
      </c>
      <c r="F598" t="s">
        <v>25</v>
      </c>
      <c r="G598" t="str">
        <f>"2026-03-14 16:45:16.527"</f>
        <v>2026-03-14 16:45:16.527</v>
      </c>
      <c r="H598" t="s">
        <v>21</v>
      </c>
      <c r="I598">
        <v>5.3</v>
      </c>
      <c r="J598" t="s">
        <v>37</v>
      </c>
    </row>
    <row r="599" spans="1:10" x14ac:dyDescent="0.25">
      <c r="A599" s="1">
        <v>91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"2026-03-14 13:44:28.634"</f>
        <v>2026-03-14 13:44:28.634</v>
      </c>
      <c r="H599" t="s">
        <v>21</v>
      </c>
      <c r="I599">
        <v>0</v>
      </c>
      <c r="J599" t="s">
        <v>22</v>
      </c>
    </row>
    <row r="600" spans="1:10" x14ac:dyDescent="0.25">
      <c r="A600" s="1">
        <v>92</v>
      </c>
      <c r="B600" t="s">
        <v>23</v>
      </c>
      <c r="C600">
        <v>635</v>
      </c>
      <c r="D600">
        <v>1</v>
      </c>
      <c r="E600" t="s">
        <v>43</v>
      </c>
      <c r="F600" t="s">
        <v>25</v>
      </c>
      <c r="G600" t="str">
        <f>"2026-03-14 12:21:44.587"</f>
        <v>2026-03-14 12:21:44.587</v>
      </c>
      <c r="H600" t="s">
        <v>21</v>
      </c>
    </row>
    <row r="601" spans="1:10" x14ac:dyDescent="0.25">
      <c r="A601" s="1">
        <v>93</v>
      </c>
      <c r="B601" t="s">
        <v>27</v>
      </c>
      <c r="C601">
        <v>635</v>
      </c>
      <c r="D601">
        <v>1</v>
      </c>
      <c r="E601" t="s">
        <v>43</v>
      </c>
      <c r="F601" t="s">
        <v>25</v>
      </c>
      <c r="G601" t="str">
        <f>"2026-03-14 12:18:45.587"</f>
        <v>2026-03-14 12:18:45.587</v>
      </c>
      <c r="H601" t="s">
        <v>21</v>
      </c>
      <c r="I601">
        <v>4.34</v>
      </c>
      <c r="J601" t="s">
        <v>37</v>
      </c>
    </row>
    <row r="602" spans="1:10" x14ac:dyDescent="0.25">
      <c r="A602" s="1">
        <v>96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"2026-03-13 10:57:43.589"</f>
        <v>2026-03-13 10:57:43.589</v>
      </c>
      <c r="H602" t="s">
        <v>21</v>
      </c>
      <c r="I602">
        <v>0</v>
      </c>
      <c r="J602" t="s">
        <v>22</v>
      </c>
    </row>
    <row r="603" spans="1:10" x14ac:dyDescent="0.25">
      <c r="A603" s="1">
        <v>98</v>
      </c>
      <c r="B603" t="s">
        <v>23</v>
      </c>
      <c r="C603">
        <v>635</v>
      </c>
      <c r="D603">
        <v>1</v>
      </c>
      <c r="E603" t="s">
        <v>43</v>
      </c>
      <c r="F603" t="s">
        <v>25</v>
      </c>
      <c r="G603" t="str">
        <f>"2026-03-12 14:47:17.092"</f>
        <v>2026-03-12 14:47:17.092</v>
      </c>
      <c r="H603" t="s">
        <v>21</v>
      </c>
    </row>
    <row r="604" spans="1:10" x14ac:dyDescent="0.25">
      <c r="A604" s="1">
        <v>99</v>
      </c>
      <c r="B604" t="s">
        <v>27</v>
      </c>
      <c r="C604">
        <v>635</v>
      </c>
      <c r="D604">
        <v>1</v>
      </c>
      <c r="E604" t="s">
        <v>43</v>
      </c>
      <c r="F604" t="s">
        <v>25</v>
      </c>
      <c r="G604" t="str">
        <f>"2026-03-12 14:44:05.092"</f>
        <v>2026-03-12 14:44:05.092</v>
      </c>
      <c r="H604" t="s">
        <v>21</v>
      </c>
      <c r="I604">
        <v>5.87</v>
      </c>
      <c r="J604" t="s">
        <v>37</v>
      </c>
    </row>
    <row r="605" spans="1:10" x14ac:dyDescent="0.25">
      <c r="A605" s="1">
        <v>0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"2026-03-12 12:13:37.607"</f>
        <v>2026-03-12 12:13:37.607</v>
      </c>
      <c r="H605" t="s">
        <v>21</v>
      </c>
      <c r="I605">
        <v>0</v>
      </c>
      <c r="J605" t="s">
        <v>22</v>
      </c>
    </row>
    <row r="606" spans="1:10" x14ac:dyDescent="0.25">
      <c r="A606" s="1">
        <v>1</v>
      </c>
      <c r="B606" t="s">
        <v>23</v>
      </c>
      <c r="C606">
        <v>635</v>
      </c>
      <c r="D606">
        <v>1</v>
      </c>
      <c r="E606" t="s">
        <v>43</v>
      </c>
      <c r="F606" t="s">
        <v>25</v>
      </c>
      <c r="G606" t="str">
        <f>"2026-03-12 08:36:23.808"</f>
        <v>2026-03-12 08:36:23.808</v>
      </c>
      <c r="H606" t="s">
        <v>21</v>
      </c>
    </row>
    <row r="607" spans="1:10" x14ac:dyDescent="0.25">
      <c r="A607" s="1">
        <v>2</v>
      </c>
      <c r="B607" t="s">
        <v>27</v>
      </c>
      <c r="C607">
        <v>635</v>
      </c>
      <c r="D607">
        <v>1</v>
      </c>
      <c r="E607" t="s">
        <v>43</v>
      </c>
      <c r="F607" t="s">
        <v>25</v>
      </c>
      <c r="G607" t="str">
        <f>"2026-03-12 08:34:18.809"</f>
        <v>2026-03-12 08:34:18.809</v>
      </c>
      <c r="H607" t="s">
        <v>21</v>
      </c>
      <c r="I607">
        <v>0.02</v>
      </c>
      <c r="J607" t="s">
        <v>28</v>
      </c>
    </row>
    <row r="608" spans="1:10" x14ac:dyDescent="0.25">
      <c r="A608" s="1">
        <v>3</v>
      </c>
      <c r="B608" t="s">
        <v>23</v>
      </c>
      <c r="C608">
        <v>61</v>
      </c>
      <c r="D608">
        <v>2</v>
      </c>
      <c r="E608" t="s">
        <v>47</v>
      </c>
      <c r="F608" t="s">
        <v>48</v>
      </c>
      <c r="G608" t="str">
        <f>"2026-03-12 04:49:31.669"</f>
        <v>2026-03-12 04:49:31.669</v>
      </c>
      <c r="H608" t="s">
        <v>21</v>
      </c>
    </row>
    <row r="609" spans="1:10" x14ac:dyDescent="0.25">
      <c r="A609" s="1">
        <v>4</v>
      </c>
      <c r="B609" t="s">
        <v>36</v>
      </c>
      <c r="C609">
        <v>61</v>
      </c>
      <c r="D609">
        <v>2</v>
      </c>
      <c r="E609" t="s">
        <v>47</v>
      </c>
      <c r="F609" t="s">
        <v>48</v>
      </c>
      <c r="G609" t="str">
        <f>"2026-03-12 04:49:12.269"</f>
        <v>2026-03-12 04:49:12.269</v>
      </c>
      <c r="H609" t="s">
        <v>21</v>
      </c>
      <c r="I609">
        <v>30.49</v>
      </c>
      <c r="J609" t="s">
        <v>42</v>
      </c>
    </row>
    <row r="610" spans="1:10" x14ac:dyDescent="0.25">
      <c r="A610" s="1">
        <v>6</v>
      </c>
      <c r="B610" t="s">
        <v>19</v>
      </c>
      <c r="C610">
        <v>706</v>
      </c>
      <c r="D610">
        <v>4</v>
      </c>
      <c r="E610" t="s">
        <v>29</v>
      </c>
      <c r="F610" t="s">
        <v>30</v>
      </c>
      <c r="G610" t="str">
        <f>"2026-03-11 09:06:05.456"</f>
        <v>2026-03-11 09:06:05.456</v>
      </c>
      <c r="H610" t="s">
        <v>21</v>
      </c>
      <c r="I610">
        <v>0</v>
      </c>
      <c r="J610" t="s">
        <v>31</v>
      </c>
    </row>
    <row r="611" spans="1:10" x14ac:dyDescent="0.25">
      <c r="A611" s="1">
        <v>7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"2026-03-11 09:05:33.586"</f>
        <v>2026-03-11 09:05:33.586</v>
      </c>
      <c r="H611" t="s">
        <v>21</v>
      </c>
      <c r="I611">
        <v>0</v>
      </c>
      <c r="J611" t="s">
        <v>22</v>
      </c>
    </row>
    <row r="612" spans="1:10" x14ac:dyDescent="0.25">
      <c r="A612" s="1">
        <v>8</v>
      </c>
      <c r="B612" t="s">
        <v>23</v>
      </c>
      <c r="C612">
        <v>635</v>
      </c>
      <c r="D612">
        <v>1</v>
      </c>
      <c r="E612" t="s">
        <v>43</v>
      </c>
      <c r="F612" t="s">
        <v>25</v>
      </c>
      <c r="G612" t="str">
        <f>"2026-03-10 21:48:28.787"</f>
        <v>2026-03-10 21:48:28.787</v>
      </c>
      <c r="H612" t="s">
        <v>21</v>
      </c>
    </row>
    <row r="613" spans="1:10" x14ac:dyDescent="0.25">
      <c r="A613" s="1">
        <v>9</v>
      </c>
      <c r="B613" t="s">
        <v>27</v>
      </c>
      <c r="C613">
        <v>635</v>
      </c>
      <c r="D613">
        <v>1</v>
      </c>
      <c r="E613" t="s">
        <v>43</v>
      </c>
      <c r="F613" t="s">
        <v>25</v>
      </c>
      <c r="G613" t="str">
        <f>"2026-03-10 21:45:30.787"</f>
        <v>2026-03-10 21:45:30.787</v>
      </c>
      <c r="H613" t="s">
        <v>21</v>
      </c>
      <c r="I613">
        <v>2.5099999999999998</v>
      </c>
      <c r="J613" t="s">
        <v>37</v>
      </c>
    </row>
    <row r="614" spans="1:10" x14ac:dyDescent="0.25">
      <c r="A614" s="1">
        <v>10</v>
      </c>
      <c r="B614" t="s">
        <v>23</v>
      </c>
      <c r="C614">
        <v>635</v>
      </c>
      <c r="D614">
        <v>1</v>
      </c>
      <c r="E614" t="s">
        <v>43</v>
      </c>
      <c r="F614" t="s">
        <v>25</v>
      </c>
      <c r="G614" t="str">
        <f>"2026-03-10 19:18:47.187"</f>
        <v>2026-03-10 19:18:47.187</v>
      </c>
      <c r="H614" t="s">
        <v>21</v>
      </c>
    </row>
    <row r="615" spans="1:10" x14ac:dyDescent="0.25">
      <c r="A615" s="1">
        <v>11</v>
      </c>
      <c r="B615" t="s">
        <v>27</v>
      </c>
      <c r="C615">
        <v>635</v>
      </c>
      <c r="D615">
        <v>1</v>
      </c>
      <c r="E615" t="s">
        <v>43</v>
      </c>
      <c r="F615" t="s">
        <v>25</v>
      </c>
      <c r="G615" t="str">
        <f>"2026-03-10 19:16:53.687"</f>
        <v>2026-03-10 19:16:53.687</v>
      </c>
      <c r="H615" t="s">
        <v>21</v>
      </c>
      <c r="I615">
        <v>7.59</v>
      </c>
      <c r="J615" t="s">
        <v>37</v>
      </c>
    </row>
    <row r="616" spans="1:10" x14ac:dyDescent="0.25">
      <c r="A616" s="1">
        <v>12</v>
      </c>
      <c r="B616" t="s">
        <v>23</v>
      </c>
      <c r="C616">
        <v>635</v>
      </c>
      <c r="D616">
        <v>1</v>
      </c>
      <c r="E616" t="s">
        <v>43</v>
      </c>
      <c r="F616" t="s">
        <v>25</v>
      </c>
      <c r="G616" t="str">
        <f>"2026-03-10 10:25:16.387"</f>
        <v>2026-03-10 10:25:16.387</v>
      </c>
      <c r="H616" t="s">
        <v>21</v>
      </c>
    </row>
    <row r="617" spans="1:10" x14ac:dyDescent="0.25">
      <c r="A617" s="1">
        <v>13</v>
      </c>
      <c r="B617" t="s">
        <v>27</v>
      </c>
      <c r="C617">
        <v>635</v>
      </c>
      <c r="D617">
        <v>1</v>
      </c>
      <c r="E617" t="s">
        <v>43</v>
      </c>
      <c r="F617" t="s">
        <v>25</v>
      </c>
      <c r="G617" t="str">
        <f>"2026-03-10 10:20:39.387"</f>
        <v>2026-03-10 10:20:39.387</v>
      </c>
      <c r="H617" t="s">
        <v>21</v>
      </c>
      <c r="I617">
        <v>2.85</v>
      </c>
      <c r="J617" t="s">
        <v>42</v>
      </c>
    </row>
    <row r="618" spans="1:10" x14ac:dyDescent="0.25">
      <c r="A618" s="1">
        <v>15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"2026-03-09 17:59:20.676"</f>
        <v>2026-03-09 17:59:20.676</v>
      </c>
      <c r="H618" t="s">
        <v>21</v>
      </c>
      <c r="I618">
        <v>0</v>
      </c>
      <c r="J618" t="s">
        <v>22</v>
      </c>
    </row>
    <row r="619" spans="1:10" x14ac:dyDescent="0.25">
      <c r="A619" s="1">
        <v>18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"2026-03-08 13:56:23.587"</f>
        <v>2026-03-08 13:56:23.587</v>
      </c>
      <c r="H619" t="s">
        <v>21</v>
      </c>
      <c r="I619">
        <v>0</v>
      </c>
      <c r="J619" t="s">
        <v>22</v>
      </c>
    </row>
    <row r="620" spans="1:10" x14ac:dyDescent="0.25">
      <c r="A620" s="1">
        <v>21</v>
      </c>
      <c r="B620" t="s">
        <v>19</v>
      </c>
      <c r="C620">
        <v>706</v>
      </c>
      <c r="D620">
        <v>4</v>
      </c>
      <c r="E620" t="s">
        <v>29</v>
      </c>
      <c r="F620" t="s">
        <v>30</v>
      </c>
      <c r="G620" t="str">
        <f>"2026-03-07 14:09:56.396"</f>
        <v>2026-03-07 14:09:56.396</v>
      </c>
      <c r="H620" t="s">
        <v>21</v>
      </c>
      <c r="I620">
        <v>0</v>
      </c>
      <c r="J620" t="s">
        <v>31</v>
      </c>
    </row>
    <row r="621" spans="1:10" x14ac:dyDescent="0.25">
      <c r="A621" s="1">
        <v>22</v>
      </c>
      <c r="B621" t="s">
        <v>19</v>
      </c>
      <c r="C621">
        <v>706</v>
      </c>
      <c r="D621">
        <v>4</v>
      </c>
      <c r="E621" t="s">
        <v>29</v>
      </c>
      <c r="F621" t="s">
        <v>30</v>
      </c>
      <c r="G621" t="str">
        <f>"2026-03-07 14:08:58.996"</f>
        <v>2026-03-07 14:08:58.996</v>
      </c>
      <c r="H621" t="s">
        <v>21</v>
      </c>
      <c r="I621">
        <v>0</v>
      </c>
      <c r="J621" t="s">
        <v>31</v>
      </c>
    </row>
    <row r="622" spans="1:10" x14ac:dyDescent="0.25">
      <c r="A622" s="1">
        <v>23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"2026-03-07 13:44:03.596"</f>
        <v>2026-03-07 13:44:03.596</v>
      </c>
      <c r="H622" t="s">
        <v>21</v>
      </c>
      <c r="I622">
        <v>0</v>
      </c>
      <c r="J622" t="s">
        <v>22</v>
      </c>
    </row>
    <row r="623" spans="1:10" x14ac:dyDescent="0.25">
      <c r="A623" s="1">
        <v>27</v>
      </c>
      <c r="B623" t="s">
        <v>23</v>
      </c>
      <c r="C623">
        <v>635</v>
      </c>
      <c r="D623">
        <v>1</v>
      </c>
      <c r="E623" t="s">
        <v>43</v>
      </c>
      <c r="F623" t="s">
        <v>25</v>
      </c>
      <c r="G623" t="str">
        <f>"2026-03-06 22:27:43.662"</f>
        <v>2026-03-06 22:27:43.662</v>
      </c>
      <c r="H623" t="s">
        <v>21</v>
      </c>
    </row>
    <row r="624" spans="1:10" x14ac:dyDescent="0.25">
      <c r="A624" s="1">
        <v>28</v>
      </c>
      <c r="B624" t="s">
        <v>27</v>
      </c>
      <c r="C624">
        <v>635</v>
      </c>
      <c r="D624">
        <v>1</v>
      </c>
      <c r="E624" t="s">
        <v>43</v>
      </c>
      <c r="F624" t="s">
        <v>25</v>
      </c>
      <c r="G624" t="str">
        <f>"2026-03-06 22:21:40.162"</f>
        <v>2026-03-06 22:21:40.162</v>
      </c>
      <c r="H624" t="s">
        <v>21</v>
      </c>
      <c r="I624">
        <v>2.63</v>
      </c>
      <c r="J624" t="s">
        <v>37</v>
      </c>
    </row>
    <row r="625" spans="1:10" x14ac:dyDescent="0.25">
      <c r="A625" s="1">
        <v>29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"2026-03-06 19:55:55.604"</f>
        <v>2026-03-06 19:55:55.604</v>
      </c>
      <c r="H625" t="s">
        <v>21</v>
      </c>
      <c r="I625">
        <v>0</v>
      </c>
      <c r="J625" t="s">
        <v>22</v>
      </c>
    </row>
    <row r="626" spans="1:10" x14ac:dyDescent="0.25">
      <c r="A626" s="1">
        <v>30</v>
      </c>
      <c r="B626" t="s">
        <v>23</v>
      </c>
      <c r="C626">
        <v>635</v>
      </c>
      <c r="D626">
        <v>1</v>
      </c>
      <c r="E626" t="s">
        <v>43</v>
      </c>
      <c r="F626" t="s">
        <v>25</v>
      </c>
      <c r="G626" t="str">
        <f>"2026-03-06 15:25:19.190"</f>
        <v>2026-03-06 15:25:19.190</v>
      </c>
      <c r="H626" t="s">
        <v>21</v>
      </c>
    </row>
    <row r="627" spans="1:10" x14ac:dyDescent="0.25">
      <c r="A627" s="1">
        <v>31</v>
      </c>
      <c r="B627" t="s">
        <v>27</v>
      </c>
      <c r="C627">
        <v>635</v>
      </c>
      <c r="D627">
        <v>1</v>
      </c>
      <c r="E627" t="s">
        <v>43</v>
      </c>
      <c r="F627" t="s">
        <v>25</v>
      </c>
      <c r="G627" t="str">
        <f>"2026-03-06 15:20:50.690"</f>
        <v>2026-03-06 15:20:50.690</v>
      </c>
      <c r="H627" t="s">
        <v>21</v>
      </c>
      <c r="I627">
        <v>2.19</v>
      </c>
      <c r="J627" t="s">
        <v>42</v>
      </c>
    </row>
    <row r="628" spans="1:10" x14ac:dyDescent="0.25">
      <c r="A628" s="1">
        <v>34</v>
      </c>
      <c r="B628" t="s">
        <v>19</v>
      </c>
      <c r="C628">
        <v>706</v>
      </c>
      <c r="D628">
        <v>4</v>
      </c>
      <c r="E628" t="s">
        <v>29</v>
      </c>
      <c r="F628" t="s">
        <v>30</v>
      </c>
      <c r="G628" t="str">
        <f>"2026-03-06 13:14:21.459"</f>
        <v>2026-03-06 13:14:21.459</v>
      </c>
      <c r="H628" t="s">
        <v>21</v>
      </c>
      <c r="I628">
        <v>0</v>
      </c>
      <c r="J628" t="s">
        <v>31</v>
      </c>
    </row>
    <row r="629" spans="1:10" x14ac:dyDescent="0.25">
      <c r="A629" s="1">
        <v>35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"2026-03-06 13:13:39.579"</f>
        <v>2026-03-06 13:13:39.579</v>
      </c>
      <c r="H629" t="s">
        <v>21</v>
      </c>
      <c r="I629">
        <v>0</v>
      </c>
      <c r="J629" t="s">
        <v>22</v>
      </c>
    </row>
    <row r="630" spans="1:10" x14ac:dyDescent="0.25">
      <c r="A630" s="1">
        <v>39</v>
      </c>
      <c r="B630" t="s">
        <v>23</v>
      </c>
      <c r="C630">
        <v>98</v>
      </c>
      <c r="D630">
        <v>1</v>
      </c>
      <c r="E630" t="s">
        <v>38</v>
      </c>
      <c r="F630" t="s">
        <v>39</v>
      </c>
      <c r="G630" t="str">
        <f>"2026-03-03 16:54:09.097"</f>
        <v>2026-03-03 16:54:09.097</v>
      </c>
      <c r="H630" t="s">
        <v>21</v>
      </c>
    </row>
    <row r="631" spans="1:10" x14ac:dyDescent="0.25">
      <c r="A631" s="1">
        <v>40</v>
      </c>
      <c r="B631" t="s">
        <v>27</v>
      </c>
      <c r="C631">
        <v>98</v>
      </c>
      <c r="D631">
        <v>1</v>
      </c>
      <c r="E631" t="s">
        <v>38</v>
      </c>
      <c r="F631" t="s">
        <v>39</v>
      </c>
      <c r="G631" t="str">
        <f>"2026-03-03 16:54:08.097"</f>
        <v>2026-03-03 16:54:08.097</v>
      </c>
      <c r="H631" t="s">
        <v>21</v>
      </c>
      <c r="I631">
        <v>0</v>
      </c>
      <c r="J631" t="s">
        <v>28</v>
      </c>
    </row>
    <row r="632" spans="1:10" x14ac:dyDescent="0.25">
      <c r="A632" s="1">
        <v>41</v>
      </c>
      <c r="B632" t="s">
        <v>23</v>
      </c>
      <c r="C632">
        <v>98</v>
      </c>
      <c r="D632">
        <v>1</v>
      </c>
      <c r="E632" t="s">
        <v>38</v>
      </c>
      <c r="F632" t="s">
        <v>39</v>
      </c>
      <c r="G632" t="str">
        <f>"2026-03-03 16:54:04.297"</f>
        <v>2026-03-03 16:54:04.297</v>
      </c>
      <c r="H632" t="s">
        <v>21</v>
      </c>
    </row>
    <row r="633" spans="1:10" x14ac:dyDescent="0.25">
      <c r="A633" s="1">
        <v>42</v>
      </c>
      <c r="B633" t="s">
        <v>27</v>
      </c>
      <c r="C633">
        <v>98</v>
      </c>
      <c r="D633">
        <v>1</v>
      </c>
      <c r="E633" t="s">
        <v>38</v>
      </c>
      <c r="F633" t="s">
        <v>39</v>
      </c>
      <c r="G633" t="str">
        <f>"2026-03-03 16:54:02.297"</f>
        <v>2026-03-03 16:54:02.297</v>
      </c>
      <c r="H633" t="s">
        <v>21</v>
      </c>
      <c r="I633">
        <v>0</v>
      </c>
      <c r="J633" t="s">
        <v>28</v>
      </c>
    </row>
    <row r="634" spans="1:10" x14ac:dyDescent="0.25">
      <c r="A634" s="1">
        <v>43</v>
      </c>
      <c r="B634" t="s">
        <v>23</v>
      </c>
      <c r="C634">
        <v>98</v>
      </c>
      <c r="D634">
        <v>1</v>
      </c>
      <c r="E634" t="s">
        <v>38</v>
      </c>
      <c r="F634" t="s">
        <v>39</v>
      </c>
      <c r="G634" t="str">
        <f>"2026-03-03 16:54:02.097"</f>
        <v>2026-03-03 16:54:02.097</v>
      </c>
      <c r="H634" t="s">
        <v>21</v>
      </c>
    </row>
    <row r="635" spans="1:10" x14ac:dyDescent="0.25">
      <c r="A635" s="1">
        <v>44</v>
      </c>
      <c r="B635" t="s">
        <v>27</v>
      </c>
      <c r="C635">
        <v>98</v>
      </c>
      <c r="D635">
        <v>1</v>
      </c>
      <c r="E635" t="s">
        <v>38</v>
      </c>
      <c r="F635" t="s">
        <v>39</v>
      </c>
      <c r="G635" t="str">
        <f>"2026-03-03 16:54:01.097"</f>
        <v>2026-03-03 16:54:01.097</v>
      </c>
      <c r="H635" t="s">
        <v>21</v>
      </c>
      <c r="I635">
        <v>0</v>
      </c>
      <c r="J635" t="s">
        <v>28</v>
      </c>
    </row>
    <row r="636" spans="1:10" x14ac:dyDescent="0.25">
      <c r="A636" s="1">
        <v>45</v>
      </c>
      <c r="B636" t="s">
        <v>19</v>
      </c>
      <c r="C636">
        <v>706</v>
      </c>
      <c r="D636">
        <v>4</v>
      </c>
      <c r="E636" t="s">
        <v>29</v>
      </c>
      <c r="F636" t="s">
        <v>30</v>
      </c>
      <c r="G636" t="str">
        <f>"2026-03-03 13:03:00.866"</f>
        <v>2026-03-03 13:03:00.866</v>
      </c>
      <c r="H636" t="s">
        <v>21</v>
      </c>
      <c r="I636">
        <v>0</v>
      </c>
      <c r="J636" t="s">
        <v>31</v>
      </c>
    </row>
    <row r="637" spans="1:10" x14ac:dyDescent="0.25">
      <c r="A637" s="1">
        <v>46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"2026-03-03 13:02:44.586"</f>
        <v>2026-03-03 13:02:44.586</v>
      </c>
      <c r="H637" t="s">
        <v>21</v>
      </c>
    </row>
    <row r="638" spans="1:10" x14ac:dyDescent="0.25">
      <c r="A638" s="1">
        <v>57</v>
      </c>
      <c r="B638" t="s">
        <v>23</v>
      </c>
      <c r="C638">
        <v>635</v>
      </c>
      <c r="D638">
        <v>1</v>
      </c>
      <c r="E638" t="s">
        <v>43</v>
      </c>
      <c r="F638" t="s">
        <v>25</v>
      </c>
      <c r="G638" t="str">
        <f>"2026-03-01 14:20:29.383"</f>
        <v>2026-03-01 14:20:29.383</v>
      </c>
      <c r="H638" t="s">
        <v>21</v>
      </c>
    </row>
    <row r="639" spans="1:10" x14ac:dyDescent="0.25">
      <c r="A639" s="1">
        <v>58</v>
      </c>
      <c r="B639" t="s">
        <v>27</v>
      </c>
      <c r="C639">
        <v>635</v>
      </c>
      <c r="D639">
        <v>1</v>
      </c>
      <c r="E639" t="s">
        <v>43</v>
      </c>
      <c r="F639" t="s">
        <v>25</v>
      </c>
      <c r="G639" t="str">
        <f>"2026-03-01 14:13:24.883"</f>
        <v>2026-03-01 14:13:24.883</v>
      </c>
      <c r="H639" t="s">
        <v>21</v>
      </c>
      <c r="I639">
        <v>2.5</v>
      </c>
      <c r="J639" t="s">
        <v>37</v>
      </c>
    </row>
    <row r="640" spans="1:10" x14ac:dyDescent="0.25">
      <c r="A640" s="1">
        <v>59</v>
      </c>
      <c r="B640" t="s">
        <v>23</v>
      </c>
      <c r="C640">
        <v>635</v>
      </c>
      <c r="D640">
        <v>1</v>
      </c>
      <c r="E640" t="s">
        <v>43</v>
      </c>
      <c r="F640" t="s">
        <v>25</v>
      </c>
      <c r="G640" t="str">
        <f>"2026-03-01 13:37:02.483"</f>
        <v>2026-03-01 13:37:02.483</v>
      </c>
      <c r="H640" t="s">
        <v>21</v>
      </c>
    </row>
    <row r="641" spans="1:10" x14ac:dyDescent="0.25">
      <c r="A641" s="1">
        <v>60</v>
      </c>
      <c r="B641" t="s">
        <v>27</v>
      </c>
      <c r="C641">
        <v>635</v>
      </c>
      <c r="D641">
        <v>1</v>
      </c>
      <c r="E641" t="s">
        <v>43</v>
      </c>
      <c r="F641" t="s">
        <v>25</v>
      </c>
      <c r="G641" t="str">
        <f>"2026-03-01 13:27:43.983"</f>
        <v>2026-03-01 13:27:43.983</v>
      </c>
      <c r="H641" t="s">
        <v>21</v>
      </c>
      <c r="I641">
        <v>2.95</v>
      </c>
      <c r="J641" t="s">
        <v>28</v>
      </c>
    </row>
    <row r="642" spans="1:10" x14ac:dyDescent="0.25">
      <c r="A642" s="1">
        <v>61</v>
      </c>
      <c r="B642" t="s">
        <v>23</v>
      </c>
      <c r="C642">
        <v>635</v>
      </c>
      <c r="D642">
        <v>1</v>
      </c>
      <c r="E642" t="s">
        <v>43</v>
      </c>
      <c r="F642" t="s">
        <v>25</v>
      </c>
      <c r="G642" t="str">
        <f>"2026-03-01 13:10:30.983"</f>
        <v>2026-03-01 13:10:30.983</v>
      </c>
      <c r="H642" t="s">
        <v>21</v>
      </c>
    </row>
    <row r="643" spans="1:10" x14ac:dyDescent="0.25">
      <c r="A643" s="1">
        <v>62</v>
      </c>
      <c r="B643" t="s">
        <v>27</v>
      </c>
      <c r="C643">
        <v>635</v>
      </c>
      <c r="D643">
        <v>1</v>
      </c>
      <c r="E643" t="s">
        <v>43</v>
      </c>
      <c r="F643" t="s">
        <v>25</v>
      </c>
      <c r="G643" t="str">
        <f>"2026-03-01 12:44:42.583"</f>
        <v>2026-03-01 12:44:42.583</v>
      </c>
      <c r="H643" t="s">
        <v>21</v>
      </c>
      <c r="I643">
        <v>-0.66</v>
      </c>
      <c r="J643" t="s">
        <v>28</v>
      </c>
    </row>
    <row r="644" spans="1:10" x14ac:dyDescent="0.25">
      <c r="A644" s="1">
        <v>71</v>
      </c>
      <c r="B644" t="s">
        <v>23</v>
      </c>
      <c r="C644">
        <v>635</v>
      </c>
      <c r="D644">
        <v>1</v>
      </c>
      <c r="E644" t="s">
        <v>43</v>
      </c>
      <c r="F644" t="s">
        <v>25</v>
      </c>
      <c r="G644" t="str">
        <f>"2026-02-28 12:08:05.883"</f>
        <v>2026-02-28 12:08:05.883</v>
      </c>
      <c r="H644" t="s">
        <v>21</v>
      </c>
    </row>
    <row r="645" spans="1:10" x14ac:dyDescent="0.25">
      <c r="A645" s="1">
        <v>72</v>
      </c>
      <c r="B645" t="s">
        <v>27</v>
      </c>
      <c r="C645">
        <v>635</v>
      </c>
      <c r="D645">
        <v>1</v>
      </c>
      <c r="E645" t="s">
        <v>43</v>
      </c>
      <c r="F645" t="s">
        <v>25</v>
      </c>
      <c r="G645" t="str">
        <f>"2026-02-28 12:05:57.884"</f>
        <v>2026-02-28 12:05:57.884</v>
      </c>
      <c r="H645" t="s">
        <v>21</v>
      </c>
      <c r="I645">
        <v>2.77</v>
      </c>
      <c r="J645" t="s">
        <v>37</v>
      </c>
    </row>
    <row r="646" spans="1:10" x14ac:dyDescent="0.25">
      <c r="A646" s="1">
        <v>74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"2026-02-28 11:12:32.564"</f>
        <v>2026-02-28 11:12:32.564</v>
      </c>
      <c r="H646" t="s">
        <v>21</v>
      </c>
      <c r="I646">
        <v>0</v>
      </c>
      <c r="J646" t="s">
        <v>22</v>
      </c>
    </row>
    <row r="647" spans="1:10" s="3" customFormat="1" x14ac:dyDescent="0.25">
      <c r="A647" s="2">
        <v>75</v>
      </c>
      <c r="B647" s="3" t="s">
        <v>23</v>
      </c>
      <c r="C647" s="3">
        <v>647</v>
      </c>
      <c r="D647" s="3">
        <v>1</v>
      </c>
      <c r="E647" s="3" t="s">
        <v>40</v>
      </c>
      <c r="F647" s="3" t="s">
        <v>41</v>
      </c>
      <c r="G647" s="3" t="str">
        <f>"2026-02-28 05:16:21.995"</f>
        <v>2026-02-28 05:16:21.995</v>
      </c>
      <c r="H647" s="3" t="s">
        <v>21</v>
      </c>
    </row>
    <row r="648" spans="1:10" s="3" customFormat="1" x14ac:dyDescent="0.25">
      <c r="A648" s="2">
        <v>76</v>
      </c>
      <c r="B648" s="3" t="s">
        <v>27</v>
      </c>
      <c r="C648" s="3">
        <v>647</v>
      </c>
      <c r="D648" s="3">
        <v>1</v>
      </c>
      <c r="E648" s="3" t="s">
        <v>40</v>
      </c>
      <c r="F648" s="3" t="s">
        <v>41</v>
      </c>
      <c r="G648" s="3" t="str">
        <f>"2026-02-28 05:16:11.895"</f>
        <v>2026-02-28 05:16:11.895</v>
      </c>
      <c r="H648" s="3" t="s">
        <v>21</v>
      </c>
      <c r="I648" s="3">
        <v>19.59</v>
      </c>
      <c r="J648" s="3" t="s">
        <v>42</v>
      </c>
    </row>
    <row r="649" spans="1:10" x14ac:dyDescent="0.25">
      <c r="A649" s="1">
        <v>78</v>
      </c>
      <c r="B649" t="s">
        <v>23</v>
      </c>
      <c r="C649">
        <v>635</v>
      </c>
      <c r="D649">
        <v>1</v>
      </c>
      <c r="E649" t="s">
        <v>43</v>
      </c>
      <c r="F649" t="s">
        <v>25</v>
      </c>
      <c r="G649" t="str">
        <f>"2026-02-27 22:14:09.395"</f>
        <v>2026-02-27 22:14:09.395</v>
      </c>
      <c r="H649" t="s">
        <v>21</v>
      </c>
    </row>
    <row r="650" spans="1:10" x14ac:dyDescent="0.25">
      <c r="A650" s="1">
        <v>79</v>
      </c>
      <c r="B650" t="s">
        <v>27</v>
      </c>
      <c r="C650">
        <v>635</v>
      </c>
      <c r="D650">
        <v>1</v>
      </c>
      <c r="E650" t="s">
        <v>43</v>
      </c>
      <c r="F650" t="s">
        <v>25</v>
      </c>
      <c r="G650" t="str">
        <f>"2026-02-27 22:09:39.395"</f>
        <v>2026-02-27 22:09:39.395</v>
      </c>
      <c r="H650" t="s">
        <v>21</v>
      </c>
      <c r="I650">
        <v>6.4</v>
      </c>
      <c r="J650" t="s">
        <v>37</v>
      </c>
    </row>
    <row r="651" spans="1:10" s="3" customFormat="1" x14ac:dyDescent="0.25">
      <c r="A651" s="2">
        <v>80</v>
      </c>
      <c r="B651" s="3" t="s">
        <v>23</v>
      </c>
      <c r="C651" s="3">
        <v>647</v>
      </c>
      <c r="D651" s="3">
        <v>1</v>
      </c>
      <c r="E651" s="3" t="s">
        <v>40</v>
      </c>
      <c r="F651" s="3" t="s">
        <v>41</v>
      </c>
      <c r="G651" s="3" t="str">
        <f>"2026-02-27 19:30:53.095"</f>
        <v>2026-02-27 19:30:53.095</v>
      </c>
      <c r="H651" s="3" t="s">
        <v>21</v>
      </c>
    </row>
    <row r="652" spans="1:10" s="3" customFormat="1" x14ac:dyDescent="0.25">
      <c r="A652" s="2">
        <v>81</v>
      </c>
      <c r="B652" s="3" t="s">
        <v>27</v>
      </c>
      <c r="C652" s="3">
        <v>647</v>
      </c>
      <c r="D652" s="3">
        <v>1</v>
      </c>
      <c r="E652" s="3" t="s">
        <v>40</v>
      </c>
      <c r="F652" s="3" t="s">
        <v>41</v>
      </c>
      <c r="G652" s="3" t="str">
        <f>"2026-02-27 19:30:45.395"</f>
        <v>2026-02-27 19:30:45.395</v>
      </c>
      <c r="H652" s="3" t="s">
        <v>21</v>
      </c>
      <c r="I652" s="3">
        <v>10.87</v>
      </c>
      <c r="J652" s="3" t="s">
        <v>42</v>
      </c>
    </row>
    <row r="653" spans="1:10" s="3" customFormat="1" x14ac:dyDescent="0.25">
      <c r="A653" s="2">
        <v>82</v>
      </c>
      <c r="B653" s="3" t="s">
        <v>23</v>
      </c>
      <c r="C653" s="3">
        <v>647</v>
      </c>
      <c r="D653" s="3">
        <v>1</v>
      </c>
      <c r="E653" s="3" t="s">
        <v>40</v>
      </c>
      <c r="F653" s="3" t="s">
        <v>41</v>
      </c>
      <c r="G653" s="3" t="str">
        <f>"2026-02-27 19:28:31.895"</f>
        <v>2026-02-27 19:28:31.895</v>
      </c>
      <c r="H653" s="3" t="s">
        <v>21</v>
      </c>
    </row>
    <row r="654" spans="1:10" s="3" customFormat="1" x14ac:dyDescent="0.25">
      <c r="A654" s="2">
        <v>83</v>
      </c>
      <c r="B654" s="3" t="s">
        <v>27</v>
      </c>
      <c r="C654" s="3">
        <v>647</v>
      </c>
      <c r="D654" s="3">
        <v>1</v>
      </c>
      <c r="E654" s="3" t="s">
        <v>40</v>
      </c>
      <c r="F654" s="3" t="s">
        <v>41</v>
      </c>
      <c r="G654" s="3" t="str">
        <f>"2026-02-27 19:28:21.995"</f>
        <v>2026-02-27 19:28:21.995</v>
      </c>
      <c r="H654" s="3" t="s">
        <v>21</v>
      </c>
      <c r="I654" s="3">
        <v>10.16</v>
      </c>
      <c r="J654" s="3" t="s">
        <v>42</v>
      </c>
    </row>
    <row r="655" spans="1:10" s="3" customFormat="1" x14ac:dyDescent="0.25">
      <c r="A655" s="2">
        <v>84</v>
      </c>
      <c r="B655" s="3" t="s">
        <v>23</v>
      </c>
      <c r="C655" s="3">
        <v>647</v>
      </c>
      <c r="D655" s="3">
        <v>1</v>
      </c>
      <c r="E655" s="3" t="s">
        <v>40</v>
      </c>
      <c r="F655" s="3" t="s">
        <v>41</v>
      </c>
      <c r="G655" s="3" t="str">
        <f>"2026-02-27 19:26:27.095"</f>
        <v>2026-02-27 19:26:27.095</v>
      </c>
      <c r="H655" s="3" t="s">
        <v>21</v>
      </c>
    </row>
    <row r="656" spans="1:10" s="3" customFormat="1" x14ac:dyDescent="0.25">
      <c r="A656" s="2">
        <v>85</v>
      </c>
      <c r="B656" s="3" t="s">
        <v>27</v>
      </c>
      <c r="C656" s="3">
        <v>647</v>
      </c>
      <c r="D656" s="3">
        <v>1</v>
      </c>
      <c r="E656" s="3" t="s">
        <v>40</v>
      </c>
      <c r="F656" s="3" t="s">
        <v>41</v>
      </c>
      <c r="G656" s="3" t="str">
        <f>"2026-02-27 19:26:22.595"</f>
        <v>2026-02-27 19:26:22.595</v>
      </c>
      <c r="H656" s="3" t="s">
        <v>21</v>
      </c>
      <c r="I656" s="3">
        <v>10.92</v>
      </c>
      <c r="J656" s="3" t="s">
        <v>42</v>
      </c>
    </row>
    <row r="657" spans="1:10" s="3" customFormat="1" x14ac:dyDescent="0.25">
      <c r="A657" s="2">
        <v>86</v>
      </c>
      <c r="B657" s="3" t="s">
        <v>23</v>
      </c>
      <c r="C657" s="3">
        <v>647</v>
      </c>
      <c r="D657" s="3">
        <v>1</v>
      </c>
      <c r="E657" s="3" t="s">
        <v>40</v>
      </c>
      <c r="F657" s="3" t="s">
        <v>41</v>
      </c>
      <c r="G657" s="3" t="str">
        <f>"2026-02-27 16:43:56.395"</f>
        <v>2026-02-27 16:43:56.395</v>
      </c>
      <c r="H657" s="3" t="s">
        <v>21</v>
      </c>
    </row>
    <row r="658" spans="1:10" s="3" customFormat="1" x14ac:dyDescent="0.25">
      <c r="A658" s="2">
        <v>87</v>
      </c>
      <c r="B658" s="3" t="s">
        <v>27</v>
      </c>
      <c r="C658" s="3">
        <v>647</v>
      </c>
      <c r="D658" s="3">
        <v>1</v>
      </c>
      <c r="E658" s="3" t="s">
        <v>40</v>
      </c>
      <c r="F658" s="3" t="s">
        <v>41</v>
      </c>
      <c r="G658" s="3" t="str">
        <f>"2026-02-27 16:43:51.695"</f>
        <v>2026-02-27 16:43:51.695</v>
      </c>
      <c r="H658" s="3" t="s">
        <v>21</v>
      </c>
      <c r="I658" s="3">
        <v>27.67</v>
      </c>
      <c r="J658" s="3" t="s">
        <v>42</v>
      </c>
    </row>
    <row r="659" spans="1:10" s="3" customFormat="1" x14ac:dyDescent="0.25">
      <c r="A659" s="2">
        <v>88</v>
      </c>
      <c r="B659" s="3" t="s">
        <v>23</v>
      </c>
      <c r="C659" s="3">
        <v>647</v>
      </c>
      <c r="D659" s="3">
        <v>1</v>
      </c>
      <c r="E659" s="3" t="s">
        <v>40</v>
      </c>
      <c r="F659" s="3" t="s">
        <v>41</v>
      </c>
      <c r="G659" s="3" t="str">
        <f>"2026-02-27 14:25:40.595"</f>
        <v>2026-02-27 14:25:40.595</v>
      </c>
      <c r="H659" s="3" t="s">
        <v>21</v>
      </c>
    </row>
    <row r="660" spans="1:10" s="3" customFormat="1" x14ac:dyDescent="0.25">
      <c r="A660" s="2">
        <v>89</v>
      </c>
      <c r="B660" s="3" t="s">
        <v>27</v>
      </c>
      <c r="C660" s="3">
        <v>647</v>
      </c>
      <c r="D660" s="3">
        <v>1</v>
      </c>
      <c r="E660" s="3" t="s">
        <v>40</v>
      </c>
      <c r="F660" s="3" t="s">
        <v>41</v>
      </c>
      <c r="G660" s="3" t="str">
        <f>"2026-02-27 14:25:36.895"</f>
        <v>2026-02-27 14:25:36.895</v>
      </c>
      <c r="H660" s="3" t="s">
        <v>21</v>
      </c>
      <c r="I660" s="3">
        <v>17.48</v>
      </c>
      <c r="J660" s="3" t="s">
        <v>42</v>
      </c>
    </row>
    <row r="661" spans="1:10" s="3" customFormat="1" x14ac:dyDescent="0.25">
      <c r="A661" s="2">
        <v>90</v>
      </c>
      <c r="B661" s="3" t="s">
        <v>23</v>
      </c>
      <c r="C661" s="3">
        <v>647</v>
      </c>
      <c r="D661" s="3">
        <v>1</v>
      </c>
      <c r="E661" s="3" t="s">
        <v>40</v>
      </c>
      <c r="F661" s="3" t="s">
        <v>41</v>
      </c>
      <c r="G661" s="3" t="str">
        <f>"2026-02-27 14:24:34.395"</f>
        <v>2026-02-27 14:24:34.395</v>
      </c>
      <c r="H661" s="3" t="s">
        <v>21</v>
      </c>
    </row>
    <row r="662" spans="1:10" s="3" customFormat="1" x14ac:dyDescent="0.25">
      <c r="A662" s="2">
        <v>91</v>
      </c>
      <c r="B662" s="3" t="s">
        <v>27</v>
      </c>
      <c r="C662" s="3">
        <v>647</v>
      </c>
      <c r="D662" s="3">
        <v>1</v>
      </c>
      <c r="E662" s="3" t="s">
        <v>40</v>
      </c>
      <c r="F662" s="3" t="s">
        <v>41</v>
      </c>
      <c r="G662" s="3" t="str">
        <f>"2026-02-27 14:24:33.295"</f>
        <v>2026-02-27 14:24:33.295</v>
      </c>
      <c r="H662" s="3" t="s">
        <v>21</v>
      </c>
      <c r="I662" s="3">
        <v>9.34</v>
      </c>
      <c r="J662" s="3" t="s">
        <v>42</v>
      </c>
    </row>
    <row r="663" spans="1:10" s="3" customFormat="1" x14ac:dyDescent="0.25">
      <c r="A663" s="2">
        <v>92</v>
      </c>
      <c r="B663" s="3" t="s">
        <v>23</v>
      </c>
      <c r="C663" s="3">
        <v>647</v>
      </c>
      <c r="D663" s="3">
        <v>1</v>
      </c>
      <c r="E663" s="3" t="s">
        <v>40</v>
      </c>
      <c r="F663" s="3" t="s">
        <v>41</v>
      </c>
      <c r="G663" s="3" t="str">
        <f>"2026-02-27 14:24:28.595"</f>
        <v>2026-02-27 14:24:28.595</v>
      </c>
      <c r="H663" s="3" t="s">
        <v>21</v>
      </c>
    </row>
    <row r="664" spans="1:10" s="3" customFormat="1" x14ac:dyDescent="0.25">
      <c r="A664" s="2">
        <v>93</v>
      </c>
      <c r="B664" s="3" t="s">
        <v>27</v>
      </c>
      <c r="C664" s="3">
        <v>647</v>
      </c>
      <c r="D664" s="3">
        <v>1</v>
      </c>
      <c r="E664" s="3" t="s">
        <v>40</v>
      </c>
      <c r="F664" s="3" t="s">
        <v>41</v>
      </c>
      <c r="G664" s="3" t="str">
        <f>"2026-02-27 14:24:26.095"</f>
        <v>2026-02-27 14:24:26.095</v>
      </c>
      <c r="H664" s="3" t="s">
        <v>21</v>
      </c>
      <c r="I664" s="3">
        <v>22.03</v>
      </c>
      <c r="J664" s="3" t="s">
        <v>42</v>
      </c>
    </row>
    <row r="665" spans="1:10" s="3" customFormat="1" x14ac:dyDescent="0.25">
      <c r="A665" s="2">
        <v>94</v>
      </c>
      <c r="B665" s="3" t="s">
        <v>23</v>
      </c>
      <c r="C665" s="3">
        <v>647</v>
      </c>
      <c r="D665" s="3">
        <v>1</v>
      </c>
      <c r="E665" s="3" t="s">
        <v>40</v>
      </c>
      <c r="F665" s="3" t="s">
        <v>41</v>
      </c>
      <c r="G665" s="3" t="str">
        <f>"2026-02-27 14:04:54.995"</f>
        <v>2026-02-27 14:04:54.995</v>
      </c>
      <c r="H665" s="3" t="s">
        <v>21</v>
      </c>
    </row>
    <row r="666" spans="1:10" s="3" customFormat="1" x14ac:dyDescent="0.25">
      <c r="A666" s="2">
        <v>95</v>
      </c>
      <c r="B666" s="3" t="s">
        <v>27</v>
      </c>
      <c r="C666" s="3">
        <v>647</v>
      </c>
      <c r="D666" s="3">
        <v>1</v>
      </c>
      <c r="E666" s="3" t="s">
        <v>40</v>
      </c>
      <c r="F666" s="3" t="s">
        <v>41</v>
      </c>
      <c r="G666" s="3" t="str">
        <f>"2026-02-27 14:04:52.095"</f>
        <v>2026-02-27 14:04:52.095</v>
      </c>
      <c r="H666" s="3" t="s">
        <v>21</v>
      </c>
      <c r="I666" s="3">
        <v>11.32</v>
      </c>
      <c r="J666" s="3" t="s">
        <v>42</v>
      </c>
    </row>
    <row r="667" spans="1:10" s="3" customFormat="1" x14ac:dyDescent="0.25">
      <c r="A667" s="2">
        <v>96</v>
      </c>
      <c r="B667" s="3" t="s">
        <v>23</v>
      </c>
      <c r="C667" s="3">
        <v>647</v>
      </c>
      <c r="D667" s="3">
        <v>1</v>
      </c>
      <c r="E667" s="3" t="s">
        <v>40</v>
      </c>
      <c r="F667" s="3" t="s">
        <v>41</v>
      </c>
      <c r="G667" s="3" t="str">
        <f>"2026-02-27 13:12:24.294"</f>
        <v>2026-02-27 13:12:24.294</v>
      </c>
      <c r="H667" s="3" t="s">
        <v>21</v>
      </c>
    </row>
    <row r="668" spans="1:10" s="3" customFormat="1" x14ac:dyDescent="0.25">
      <c r="A668" s="2">
        <v>97</v>
      </c>
      <c r="B668" s="3" t="s">
        <v>27</v>
      </c>
      <c r="C668" s="3">
        <v>647</v>
      </c>
      <c r="D668" s="3">
        <v>1</v>
      </c>
      <c r="E668" s="3" t="s">
        <v>40</v>
      </c>
      <c r="F668" s="3" t="s">
        <v>41</v>
      </c>
      <c r="G668" s="3" t="str">
        <f>"2026-02-27 13:12:21.394"</f>
        <v>2026-02-27 13:12:21.394</v>
      </c>
      <c r="H668" s="3" t="s">
        <v>21</v>
      </c>
      <c r="I668" s="3">
        <v>8.36</v>
      </c>
      <c r="J668" s="3" t="s">
        <v>42</v>
      </c>
    </row>
    <row r="669" spans="1:10" s="3" customFormat="1" x14ac:dyDescent="0.25">
      <c r="A669" s="2">
        <v>98</v>
      </c>
      <c r="B669" s="3" t="s">
        <v>23</v>
      </c>
      <c r="C669" s="3">
        <v>647</v>
      </c>
      <c r="D669" s="3">
        <v>1</v>
      </c>
      <c r="E669" s="3" t="s">
        <v>40</v>
      </c>
      <c r="F669" s="3" t="s">
        <v>41</v>
      </c>
      <c r="G669" s="3" t="str">
        <f>"2026-02-27 12:38:53.395"</f>
        <v>2026-02-27 12:38:53.395</v>
      </c>
      <c r="H669" s="3" t="s">
        <v>21</v>
      </c>
    </row>
    <row r="670" spans="1:10" s="3" customFormat="1" x14ac:dyDescent="0.25">
      <c r="A670" s="2">
        <v>99</v>
      </c>
      <c r="B670" s="3" t="s">
        <v>27</v>
      </c>
      <c r="C670" s="3">
        <v>647</v>
      </c>
      <c r="D670" s="3">
        <v>1</v>
      </c>
      <c r="E670" s="3" t="s">
        <v>40</v>
      </c>
      <c r="F670" s="3" t="s">
        <v>41</v>
      </c>
      <c r="G670" s="3" t="str">
        <f>"2026-02-27 12:38:46.895"</f>
        <v>2026-02-27 12:38:46.895</v>
      </c>
      <c r="H670" s="3" t="s">
        <v>21</v>
      </c>
      <c r="I670" s="3">
        <v>9.01</v>
      </c>
      <c r="J670" s="3" t="s">
        <v>42</v>
      </c>
    </row>
    <row r="671" spans="1:10" s="3" customFormat="1" x14ac:dyDescent="0.25">
      <c r="A671" s="2">
        <v>0</v>
      </c>
      <c r="B671" s="3" t="s">
        <v>23</v>
      </c>
      <c r="C671" s="3">
        <v>647</v>
      </c>
      <c r="D671" s="3">
        <v>1</v>
      </c>
      <c r="E671" s="3" t="s">
        <v>40</v>
      </c>
      <c r="F671" s="3" t="s">
        <v>41</v>
      </c>
      <c r="G671" s="3" t="str">
        <f>"2026-02-27 11:43:31.095"</f>
        <v>2026-02-27 11:43:31.095</v>
      </c>
      <c r="H671" s="3" t="s">
        <v>21</v>
      </c>
    </row>
    <row r="672" spans="1:10" s="3" customFormat="1" x14ac:dyDescent="0.25">
      <c r="A672" s="2">
        <v>1</v>
      </c>
      <c r="B672" s="3" t="s">
        <v>27</v>
      </c>
      <c r="C672" s="3">
        <v>647</v>
      </c>
      <c r="D672" s="3">
        <v>1</v>
      </c>
      <c r="E672" s="3" t="s">
        <v>40</v>
      </c>
      <c r="F672" s="3" t="s">
        <v>41</v>
      </c>
      <c r="G672" s="3" t="str">
        <f>"2026-02-27 11:43:25.795"</f>
        <v>2026-02-27 11:43:25.795</v>
      </c>
      <c r="H672" s="3" t="s">
        <v>21</v>
      </c>
      <c r="I672" s="3">
        <v>18.989999999999998</v>
      </c>
      <c r="J672" s="3" t="s">
        <v>42</v>
      </c>
    </row>
    <row r="673" spans="1:10" s="3" customFormat="1" x14ac:dyDescent="0.25">
      <c r="A673" s="2">
        <v>2</v>
      </c>
      <c r="B673" s="3" t="s">
        <v>23</v>
      </c>
      <c r="C673" s="3">
        <v>647</v>
      </c>
      <c r="D673" s="3">
        <v>1</v>
      </c>
      <c r="E673" s="3" t="s">
        <v>40</v>
      </c>
      <c r="F673" s="3" t="s">
        <v>41</v>
      </c>
      <c r="G673" s="3" t="str">
        <f>"2026-02-27 11:14:24.395"</f>
        <v>2026-02-27 11:14:24.395</v>
      </c>
      <c r="H673" s="3" t="s">
        <v>21</v>
      </c>
    </row>
    <row r="674" spans="1:10" s="3" customFormat="1" x14ac:dyDescent="0.25">
      <c r="A674" s="2">
        <v>3</v>
      </c>
      <c r="B674" s="3" t="s">
        <v>27</v>
      </c>
      <c r="C674" s="3">
        <v>647</v>
      </c>
      <c r="D674" s="3">
        <v>1</v>
      </c>
      <c r="E674" s="3" t="s">
        <v>40</v>
      </c>
      <c r="F674" s="3" t="s">
        <v>41</v>
      </c>
      <c r="G674" s="3" t="str">
        <f>"2026-02-27 11:14:20.095"</f>
        <v>2026-02-27 11:14:20.095</v>
      </c>
      <c r="H674" s="3" t="s">
        <v>21</v>
      </c>
      <c r="I674" s="3">
        <v>14.76</v>
      </c>
      <c r="J674" s="3" t="s">
        <v>42</v>
      </c>
    </row>
    <row r="675" spans="1:10" x14ac:dyDescent="0.25">
      <c r="A675" s="1">
        <v>4</v>
      </c>
      <c r="B675" t="s">
        <v>32</v>
      </c>
      <c r="C675">
        <v>33</v>
      </c>
      <c r="D675">
        <v>1</v>
      </c>
      <c r="E675" t="s">
        <v>33</v>
      </c>
      <c r="F675" t="s">
        <v>34</v>
      </c>
      <c r="G675" t="str">
        <f>"2026-02-27 09:38:28.848"</f>
        <v>2026-02-27 09:38:28.848</v>
      </c>
      <c r="H675" t="s">
        <v>35</v>
      </c>
    </row>
    <row r="676" spans="1:10" x14ac:dyDescent="0.25">
      <c r="A676" s="1">
        <v>5</v>
      </c>
      <c r="B676" t="s">
        <v>23</v>
      </c>
      <c r="C676">
        <v>98</v>
      </c>
      <c r="D676">
        <v>1</v>
      </c>
      <c r="E676" t="s">
        <v>38</v>
      </c>
      <c r="F676" t="s">
        <v>39</v>
      </c>
      <c r="G676" t="str">
        <f>"2026-02-27 09:38:05.008"</f>
        <v>2026-02-27 09:38:05.008</v>
      </c>
      <c r="H676" t="s">
        <v>21</v>
      </c>
    </row>
    <row r="677" spans="1:10" x14ac:dyDescent="0.25">
      <c r="A677" s="1">
        <v>6</v>
      </c>
      <c r="B677" t="s">
        <v>27</v>
      </c>
      <c r="C677">
        <v>98</v>
      </c>
      <c r="D677">
        <v>1</v>
      </c>
      <c r="E677" t="s">
        <v>38</v>
      </c>
      <c r="F677" t="s">
        <v>39</v>
      </c>
      <c r="G677" t="str">
        <f>"2026-02-27 09:38:03.908"</f>
        <v>2026-02-27 09:38:03.908</v>
      </c>
      <c r="H677" t="s">
        <v>21</v>
      </c>
      <c r="I677">
        <v>11.2</v>
      </c>
      <c r="J677" t="s">
        <v>28</v>
      </c>
    </row>
    <row r="678" spans="1:10" x14ac:dyDescent="0.25">
      <c r="A678" s="1">
        <v>7</v>
      </c>
      <c r="B678" t="s">
        <v>36</v>
      </c>
      <c r="C678">
        <v>33</v>
      </c>
      <c r="D678">
        <v>1</v>
      </c>
      <c r="E678" t="s">
        <v>33</v>
      </c>
      <c r="F678" t="s">
        <v>34</v>
      </c>
      <c r="G678" t="str">
        <f>"2026-02-27 09:37:33.486"</f>
        <v>2026-02-27 09:37:33.486</v>
      </c>
      <c r="H678" t="s">
        <v>35</v>
      </c>
      <c r="I678">
        <v>13.28</v>
      </c>
      <c r="J678" t="s">
        <v>37</v>
      </c>
    </row>
    <row r="679" spans="1:10" s="3" customFormat="1" x14ac:dyDescent="0.25">
      <c r="A679" s="2">
        <v>8</v>
      </c>
      <c r="B679" s="3" t="s">
        <v>23</v>
      </c>
      <c r="C679" s="3">
        <v>647</v>
      </c>
      <c r="D679" s="3">
        <v>1</v>
      </c>
      <c r="E679" s="3" t="s">
        <v>40</v>
      </c>
      <c r="F679" s="3" t="s">
        <v>41</v>
      </c>
      <c r="G679" s="3" t="str">
        <f>"2026-02-27 07:23:12.495"</f>
        <v>2026-02-27 07:23:12.495</v>
      </c>
      <c r="H679" s="3" t="s">
        <v>21</v>
      </c>
    </row>
    <row r="680" spans="1:10" s="3" customFormat="1" x14ac:dyDescent="0.25">
      <c r="A680" s="2">
        <v>9</v>
      </c>
      <c r="B680" s="3" t="s">
        <v>27</v>
      </c>
      <c r="C680" s="3">
        <v>647</v>
      </c>
      <c r="D680" s="3">
        <v>1</v>
      </c>
      <c r="E680" s="3" t="s">
        <v>40</v>
      </c>
      <c r="F680" s="3" t="s">
        <v>41</v>
      </c>
      <c r="G680" s="3" t="str">
        <f>"2026-02-27 07:23:11.395"</f>
        <v>2026-02-27 07:23:11.395</v>
      </c>
      <c r="H680" s="3" t="s">
        <v>21</v>
      </c>
      <c r="I680" s="3">
        <v>10.34</v>
      </c>
      <c r="J680" s="3" t="s">
        <v>42</v>
      </c>
    </row>
    <row r="681" spans="1:10" x14ac:dyDescent="0.25">
      <c r="A681" s="1">
        <v>10</v>
      </c>
      <c r="B681" t="s">
        <v>23</v>
      </c>
      <c r="C681">
        <v>635</v>
      </c>
      <c r="D681">
        <v>1</v>
      </c>
      <c r="E681" t="s">
        <v>43</v>
      </c>
      <c r="F681" t="s">
        <v>25</v>
      </c>
      <c r="G681" t="str">
        <f>"2026-02-26 23:49:08.795"</f>
        <v>2026-02-26 23:49:08.795</v>
      </c>
      <c r="H681" t="s">
        <v>21</v>
      </c>
    </row>
    <row r="682" spans="1:10" x14ac:dyDescent="0.25">
      <c r="A682" s="1">
        <v>11</v>
      </c>
      <c r="B682" t="s">
        <v>27</v>
      </c>
      <c r="C682">
        <v>635</v>
      </c>
      <c r="D682">
        <v>1</v>
      </c>
      <c r="E682" t="s">
        <v>43</v>
      </c>
      <c r="F682" t="s">
        <v>25</v>
      </c>
      <c r="G682" t="str">
        <f>"2026-02-26 23:46:11.295"</f>
        <v>2026-02-26 23:46:11.295</v>
      </c>
      <c r="H682" t="s">
        <v>21</v>
      </c>
      <c r="I682">
        <v>0.65</v>
      </c>
      <c r="J682" t="s">
        <v>37</v>
      </c>
    </row>
    <row r="683" spans="1:10" s="3" customFormat="1" x14ac:dyDescent="0.25">
      <c r="A683" s="2">
        <v>13</v>
      </c>
      <c r="B683" s="3" t="s">
        <v>23</v>
      </c>
      <c r="C683" s="3">
        <v>647</v>
      </c>
      <c r="D683" s="3">
        <v>1</v>
      </c>
      <c r="E683" s="3" t="s">
        <v>40</v>
      </c>
      <c r="F683" s="3" t="s">
        <v>41</v>
      </c>
      <c r="G683" s="3" t="str">
        <f>"2026-02-26 19:46:08.495"</f>
        <v>2026-02-26 19:46:08.495</v>
      </c>
      <c r="H683" s="3" t="s">
        <v>21</v>
      </c>
    </row>
    <row r="684" spans="1:10" s="3" customFormat="1" x14ac:dyDescent="0.25">
      <c r="A684" s="2">
        <v>14</v>
      </c>
      <c r="B684" s="3" t="s">
        <v>27</v>
      </c>
      <c r="C684" s="3">
        <v>647</v>
      </c>
      <c r="D684" s="3">
        <v>1</v>
      </c>
      <c r="E684" s="3" t="s">
        <v>40</v>
      </c>
      <c r="F684" s="3" t="s">
        <v>41</v>
      </c>
      <c r="G684" s="3" t="str">
        <f>"2026-02-26 19:46:07.195"</f>
        <v>2026-02-26 19:46:07.195</v>
      </c>
      <c r="H684" s="3" t="s">
        <v>21</v>
      </c>
      <c r="I684" s="3">
        <v>22.34</v>
      </c>
      <c r="J684" s="3" t="s">
        <v>28</v>
      </c>
    </row>
    <row r="685" spans="1:10" s="3" customFormat="1" x14ac:dyDescent="0.25">
      <c r="A685" s="2">
        <v>15</v>
      </c>
      <c r="B685" s="3" t="s">
        <v>23</v>
      </c>
      <c r="C685" s="3">
        <v>647</v>
      </c>
      <c r="D685" s="3">
        <v>1</v>
      </c>
      <c r="E685" s="3" t="s">
        <v>40</v>
      </c>
      <c r="F685" s="3" t="s">
        <v>41</v>
      </c>
      <c r="G685" s="3" t="str">
        <f>"2026-02-26 19:45:34.895"</f>
        <v>2026-02-26 19:45:34.895</v>
      </c>
      <c r="H685" s="3" t="s">
        <v>21</v>
      </c>
    </row>
    <row r="686" spans="1:10" s="3" customFormat="1" x14ac:dyDescent="0.25">
      <c r="A686" s="2">
        <v>16</v>
      </c>
      <c r="B686" s="3" t="s">
        <v>27</v>
      </c>
      <c r="C686" s="3">
        <v>647</v>
      </c>
      <c r="D686" s="3">
        <v>1</v>
      </c>
      <c r="E686" s="3" t="s">
        <v>40</v>
      </c>
      <c r="F686" s="3" t="s">
        <v>41</v>
      </c>
      <c r="G686" s="3" t="str">
        <f>"2026-02-26 19:45:32.795"</f>
        <v>2026-02-26 19:45:32.795</v>
      </c>
      <c r="H686" s="3" t="s">
        <v>21</v>
      </c>
      <c r="I686" s="3">
        <v>8.1999999999999993</v>
      </c>
      <c r="J686" s="3" t="s">
        <v>28</v>
      </c>
    </row>
    <row r="687" spans="1:10" x14ac:dyDescent="0.25">
      <c r="A687" s="1">
        <v>17</v>
      </c>
      <c r="B687" t="s">
        <v>23</v>
      </c>
      <c r="C687">
        <v>98</v>
      </c>
      <c r="D687">
        <v>1</v>
      </c>
      <c r="E687" t="s">
        <v>38</v>
      </c>
      <c r="F687" t="s">
        <v>39</v>
      </c>
      <c r="G687" t="str">
        <f>"2026-02-26 19:39:50.608"</f>
        <v>2026-02-26 19:39:50.608</v>
      </c>
      <c r="H687" t="s">
        <v>21</v>
      </c>
    </row>
    <row r="688" spans="1:10" x14ac:dyDescent="0.25">
      <c r="A688" s="1">
        <v>18</v>
      </c>
      <c r="B688" t="s">
        <v>27</v>
      </c>
      <c r="C688">
        <v>98</v>
      </c>
      <c r="D688">
        <v>1</v>
      </c>
      <c r="E688" t="s">
        <v>38</v>
      </c>
      <c r="F688" t="s">
        <v>39</v>
      </c>
      <c r="G688" t="str">
        <f>"2026-02-26 19:39:49.507"</f>
        <v>2026-02-26 19:39:49.507</v>
      </c>
      <c r="H688" t="s">
        <v>21</v>
      </c>
      <c r="I688">
        <v>0</v>
      </c>
      <c r="J688" t="s">
        <v>28</v>
      </c>
    </row>
    <row r="689" spans="1:10" s="3" customFormat="1" x14ac:dyDescent="0.25">
      <c r="A689" s="2">
        <v>19</v>
      </c>
      <c r="B689" s="3" t="s">
        <v>23</v>
      </c>
      <c r="C689" s="3">
        <v>647</v>
      </c>
      <c r="D689" s="3">
        <v>1</v>
      </c>
      <c r="E689" s="3" t="s">
        <v>40</v>
      </c>
      <c r="F689" s="3" t="s">
        <v>41</v>
      </c>
      <c r="G689" s="3" t="str">
        <f>"2026-02-26 19:31:05.595"</f>
        <v>2026-02-26 19:31:05.595</v>
      </c>
      <c r="H689" s="3" t="s">
        <v>21</v>
      </c>
    </row>
    <row r="690" spans="1:10" s="3" customFormat="1" x14ac:dyDescent="0.25">
      <c r="A690" s="2">
        <v>20</v>
      </c>
      <c r="B690" s="3" t="s">
        <v>27</v>
      </c>
      <c r="C690" s="3">
        <v>647</v>
      </c>
      <c r="D690" s="3">
        <v>1</v>
      </c>
      <c r="E690" s="3" t="s">
        <v>40</v>
      </c>
      <c r="F690" s="3" t="s">
        <v>41</v>
      </c>
      <c r="G690" s="3" t="str">
        <f>"2026-02-26 19:31:03.696"</f>
        <v>2026-02-26 19:31:03.696</v>
      </c>
      <c r="H690" s="3" t="s">
        <v>21</v>
      </c>
      <c r="I690" s="3">
        <v>21.52</v>
      </c>
      <c r="J690" s="3" t="s">
        <v>42</v>
      </c>
    </row>
    <row r="691" spans="1:10" x14ac:dyDescent="0.25">
      <c r="A691" s="1">
        <v>21</v>
      </c>
      <c r="B691" t="s">
        <v>23</v>
      </c>
      <c r="C691">
        <v>98</v>
      </c>
      <c r="D691">
        <v>1</v>
      </c>
      <c r="E691" t="s">
        <v>38</v>
      </c>
      <c r="F691" t="s">
        <v>39</v>
      </c>
      <c r="G691" t="str">
        <f>"2026-02-26 12:13:37.208"</f>
        <v>2026-02-26 12:13:37.208</v>
      </c>
      <c r="H691" t="s">
        <v>21</v>
      </c>
    </row>
    <row r="692" spans="1:10" x14ac:dyDescent="0.25">
      <c r="A692" s="1">
        <v>22</v>
      </c>
      <c r="B692" t="s">
        <v>27</v>
      </c>
      <c r="C692">
        <v>98</v>
      </c>
      <c r="D692">
        <v>1</v>
      </c>
      <c r="E692" t="s">
        <v>38</v>
      </c>
      <c r="F692" t="s">
        <v>39</v>
      </c>
      <c r="G692" t="str">
        <f>"2026-02-26 12:13:36.208"</f>
        <v>2026-02-26 12:13:36.208</v>
      </c>
      <c r="H692" t="s">
        <v>21</v>
      </c>
      <c r="I692">
        <v>0</v>
      </c>
      <c r="J692" t="s">
        <v>28</v>
      </c>
    </row>
    <row r="693" spans="1:10" x14ac:dyDescent="0.25">
      <c r="A693" s="1">
        <v>23</v>
      </c>
      <c r="B693" t="s">
        <v>23</v>
      </c>
      <c r="C693">
        <v>98</v>
      </c>
      <c r="D693">
        <v>1</v>
      </c>
      <c r="E693" t="s">
        <v>38</v>
      </c>
      <c r="F693" t="s">
        <v>39</v>
      </c>
      <c r="G693" t="str">
        <f>"2026-02-26 12:13:35.708"</f>
        <v>2026-02-26 12:13:35.708</v>
      </c>
      <c r="H693" t="s">
        <v>21</v>
      </c>
    </row>
    <row r="694" spans="1:10" x14ac:dyDescent="0.25">
      <c r="A694" s="1">
        <v>24</v>
      </c>
      <c r="B694" t="s">
        <v>27</v>
      </c>
      <c r="C694">
        <v>98</v>
      </c>
      <c r="D694">
        <v>1</v>
      </c>
      <c r="E694" t="s">
        <v>38</v>
      </c>
      <c r="F694" t="s">
        <v>39</v>
      </c>
      <c r="G694" t="str">
        <f>"2026-02-26 12:13:34.608"</f>
        <v>2026-02-26 12:13:34.608</v>
      </c>
      <c r="H694" t="s">
        <v>21</v>
      </c>
      <c r="I694">
        <v>0</v>
      </c>
      <c r="J694" t="s">
        <v>28</v>
      </c>
    </row>
    <row r="695" spans="1:10" x14ac:dyDescent="0.25">
      <c r="A695" s="1">
        <v>28</v>
      </c>
      <c r="B695" t="s">
        <v>19</v>
      </c>
      <c r="C695">
        <v>706</v>
      </c>
      <c r="D695">
        <v>4</v>
      </c>
      <c r="E695" t="s">
        <v>29</v>
      </c>
      <c r="F695" t="s">
        <v>30</v>
      </c>
      <c r="G695" t="str">
        <f>"2026-02-25 12:36:08.867"</f>
        <v>2026-02-25 12:36:08.867</v>
      </c>
      <c r="H695" t="s">
        <v>21</v>
      </c>
      <c r="I695">
        <v>0</v>
      </c>
      <c r="J695" t="s">
        <v>31</v>
      </c>
    </row>
    <row r="696" spans="1:10" x14ac:dyDescent="0.25">
      <c r="A696" s="1">
        <v>29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"2026-02-25 12:35:52.557"</f>
        <v>2026-02-25 12:35:52.557</v>
      </c>
      <c r="H696" t="s">
        <v>21</v>
      </c>
    </row>
    <row r="697" spans="1:10" s="3" customFormat="1" x14ac:dyDescent="0.25">
      <c r="A697" s="2">
        <v>30</v>
      </c>
      <c r="B697" s="3" t="s">
        <v>23</v>
      </c>
      <c r="C697" s="3">
        <v>647</v>
      </c>
      <c r="D697" s="3">
        <v>1</v>
      </c>
      <c r="E697" s="3" t="s">
        <v>40</v>
      </c>
      <c r="F697" s="3" t="s">
        <v>41</v>
      </c>
      <c r="G697" s="3" t="str">
        <f>"2026-02-25 02:30:38.559"</f>
        <v>2026-02-25 02:30:38.559</v>
      </c>
      <c r="H697" s="3" t="s">
        <v>21</v>
      </c>
    </row>
    <row r="698" spans="1:10" s="3" customFormat="1" x14ac:dyDescent="0.25">
      <c r="A698" s="2">
        <v>31</v>
      </c>
      <c r="B698" s="3" t="s">
        <v>27</v>
      </c>
      <c r="C698" s="3">
        <v>647</v>
      </c>
      <c r="D698" s="3">
        <v>1</v>
      </c>
      <c r="E698" s="3" t="s">
        <v>40</v>
      </c>
      <c r="F698" s="3" t="s">
        <v>41</v>
      </c>
      <c r="G698" s="3" t="str">
        <f>"2026-02-25 02:30:36.859"</f>
        <v>2026-02-25 02:30:36.859</v>
      </c>
      <c r="H698" s="3" t="s">
        <v>21</v>
      </c>
      <c r="I698" s="3">
        <v>9.5</v>
      </c>
      <c r="J698" s="3" t="s">
        <v>42</v>
      </c>
    </row>
    <row r="699" spans="1:10" x14ac:dyDescent="0.25">
      <c r="A699" s="1">
        <v>32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"2026-02-24 22:27:48.517"</f>
        <v>2026-02-24 22:27:48.517</v>
      </c>
      <c r="H699" t="s">
        <v>21</v>
      </c>
    </row>
    <row r="700" spans="1:10" x14ac:dyDescent="0.25">
      <c r="A700" s="1">
        <v>33</v>
      </c>
      <c r="B700" t="s">
        <v>19</v>
      </c>
      <c r="C700">
        <v>706</v>
      </c>
      <c r="D700">
        <v>2</v>
      </c>
      <c r="E700" t="s">
        <v>29</v>
      </c>
      <c r="F700" t="s">
        <v>44</v>
      </c>
      <c r="G700" t="str">
        <f>"2026-02-24 22:09:09.509"</f>
        <v>2026-02-24 22:09:09.509</v>
      </c>
      <c r="H700" t="s">
        <v>21</v>
      </c>
      <c r="I700">
        <v>0</v>
      </c>
      <c r="J700" t="s">
        <v>31</v>
      </c>
    </row>
    <row r="701" spans="1:10" x14ac:dyDescent="0.25">
      <c r="A701" s="1">
        <v>34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"2026-02-24 22:02:56.539"</f>
        <v>2026-02-24 22:02:56.539</v>
      </c>
      <c r="H701" t="s">
        <v>21</v>
      </c>
    </row>
    <row r="702" spans="1:10" x14ac:dyDescent="0.25">
      <c r="A702" s="1">
        <v>35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"2026-02-24 20:27:42.526"</f>
        <v>2026-02-24 20:27:42.526</v>
      </c>
      <c r="H702" t="s">
        <v>21</v>
      </c>
      <c r="I702">
        <v>0</v>
      </c>
      <c r="J702" t="s">
        <v>22</v>
      </c>
    </row>
    <row r="703" spans="1:10" x14ac:dyDescent="0.25">
      <c r="A703" s="1">
        <v>36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"2026-02-24 05:20:11.528"</f>
        <v>2026-02-24 05:20:11.528</v>
      </c>
      <c r="H703" t="s">
        <v>21</v>
      </c>
      <c r="I703">
        <v>0</v>
      </c>
      <c r="J703" t="s">
        <v>22</v>
      </c>
    </row>
    <row r="704" spans="1:10" x14ac:dyDescent="0.25">
      <c r="A704" s="1">
        <v>38</v>
      </c>
      <c r="B704" t="s">
        <v>23</v>
      </c>
      <c r="C704">
        <v>61</v>
      </c>
      <c r="D704">
        <v>2</v>
      </c>
      <c r="E704" t="s">
        <v>47</v>
      </c>
      <c r="F704" t="s">
        <v>48</v>
      </c>
      <c r="G704" t="str">
        <f>"2026-02-24 00:18:28.441"</f>
        <v>2026-02-24 00:18:28.441</v>
      </c>
      <c r="H704" t="s">
        <v>21</v>
      </c>
    </row>
    <row r="705" spans="1:10" x14ac:dyDescent="0.25">
      <c r="A705" s="1">
        <v>39</v>
      </c>
      <c r="B705" t="s">
        <v>36</v>
      </c>
      <c r="C705">
        <v>61</v>
      </c>
      <c r="D705">
        <v>2</v>
      </c>
      <c r="E705" t="s">
        <v>47</v>
      </c>
      <c r="F705" t="s">
        <v>48</v>
      </c>
      <c r="G705" t="str">
        <f>"2026-02-24 00:18:15.941"</f>
        <v>2026-02-24 00:18:15.941</v>
      </c>
      <c r="H705" t="s">
        <v>21</v>
      </c>
      <c r="I705">
        <v>30.2</v>
      </c>
      <c r="J705" t="s">
        <v>42</v>
      </c>
    </row>
    <row r="706" spans="1:10" x14ac:dyDescent="0.25">
      <c r="A706" s="1">
        <v>40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"2026-02-23 11:33:00.680"</f>
        <v>2026-02-23 11:33:00.680</v>
      </c>
      <c r="H706" t="s">
        <v>21</v>
      </c>
    </row>
    <row r="707" spans="1:10" x14ac:dyDescent="0.25">
      <c r="A707" s="1">
        <v>41</v>
      </c>
      <c r="B707" t="s">
        <v>23</v>
      </c>
      <c r="C707">
        <v>635</v>
      </c>
      <c r="D707">
        <v>1</v>
      </c>
      <c r="E707" t="s">
        <v>43</v>
      </c>
      <c r="F707" t="s">
        <v>25</v>
      </c>
      <c r="G707" t="str">
        <f>"2026-02-23 07:14:41.293"</f>
        <v>2026-02-23 07:14:41.293</v>
      </c>
      <c r="H707" t="s">
        <v>21</v>
      </c>
    </row>
    <row r="708" spans="1:10" x14ac:dyDescent="0.25">
      <c r="A708" s="1">
        <v>42</v>
      </c>
      <c r="B708" t="s">
        <v>27</v>
      </c>
      <c r="C708">
        <v>635</v>
      </c>
      <c r="D708">
        <v>1</v>
      </c>
      <c r="E708" t="s">
        <v>43</v>
      </c>
      <c r="F708" t="s">
        <v>25</v>
      </c>
      <c r="G708" t="str">
        <f>"2026-02-23 07:09:49.793"</f>
        <v>2026-02-23 07:09:49.793</v>
      </c>
      <c r="H708" t="s">
        <v>21</v>
      </c>
      <c r="I708">
        <v>0.11</v>
      </c>
      <c r="J708" t="s">
        <v>37</v>
      </c>
    </row>
    <row r="709" spans="1:10" x14ac:dyDescent="0.25">
      <c r="A709" s="1">
        <v>43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"2026-02-23 01:41:19.552"</f>
        <v>2026-02-23 01:41:19.552</v>
      </c>
      <c r="H709" t="s">
        <v>21</v>
      </c>
      <c r="I709">
        <v>0</v>
      </c>
      <c r="J709" t="s">
        <v>22</v>
      </c>
    </row>
    <row r="710" spans="1:10" x14ac:dyDescent="0.25">
      <c r="A710" s="1">
        <v>44</v>
      </c>
      <c r="B710" t="s">
        <v>23</v>
      </c>
      <c r="C710">
        <v>635</v>
      </c>
      <c r="D710">
        <v>1</v>
      </c>
      <c r="E710" t="s">
        <v>43</v>
      </c>
      <c r="F710" t="s">
        <v>25</v>
      </c>
      <c r="G710" t="str">
        <f>"2026-02-22 17:01:21.985"</f>
        <v>2026-02-22 17:01:21.985</v>
      </c>
      <c r="H710" t="s">
        <v>21</v>
      </c>
    </row>
    <row r="711" spans="1:10" x14ac:dyDescent="0.25">
      <c r="A711" s="1">
        <v>45</v>
      </c>
      <c r="B711" t="s">
        <v>27</v>
      </c>
      <c r="C711">
        <v>635</v>
      </c>
      <c r="D711">
        <v>1</v>
      </c>
      <c r="E711" t="s">
        <v>43</v>
      </c>
      <c r="F711" t="s">
        <v>25</v>
      </c>
      <c r="G711" t="str">
        <f>"2026-02-22 16:57:27.485"</f>
        <v>2026-02-22 16:57:27.485</v>
      </c>
      <c r="H711" t="s">
        <v>21</v>
      </c>
      <c r="I711">
        <v>3.48</v>
      </c>
      <c r="J711" t="s">
        <v>42</v>
      </c>
    </row>
    <row r="712" spans="1:10" x14ac:dyDescent="0.25">
      <c r="A712" s="1">
        <v>46</v>
      </c>
      <c r="B712" t="s">
        <v>23</v>
      </c>
      <c r="C712">
        <v>61</v>
      </c>
      <c r="D712">
        <v>2</v>
      </c>
      <c r="E712" t="s">
        <v>47</v>
      </c>
      <c r="F712" t="s">
        <v>48</v>
      </c>
      <c r="G712" t="str">
        <f>"2026-02-21 21:59:02.798"</f>
        <v>2026-02-21 21:59:02.798</v>
      </c>
      <c r="H712" t="s">
        <v>21</v>
      </c>
    </row>
    <row r="713" spans="1:10" x14ac:dyDescent="0.25">
      <c r="A713" s="1">
        <v>47</v>
      </c>
      <c r="B713" t="s">
        <v>36</v>
      </c>
      <c r="C713">
        <v>61</v>
      </c>
      <c r="D713">
        <v>2</v>
      </c>
      <c r="E713" t="s">
        <v>47</v>
      </c>
      <c r="F713" t="s">
        <v>48</v>
      </c>
      <c r="G713" t="str">
        <f>"2026-02-21 21:58:59.598"</f>
        <v>2026-02-21 21:58:59.598</v>
      </c>
      <c r="H713" t="s">
        <v>21</v>
      </c>
      <c r="I713">
        <v>29.86</v>
      </c>
      <c r="J713" t="s">
        <v>42</v>
      </c>
    </row>
    <row r="714" spans="1:10" x14ac:dyDescent="0.25">
      <c r="A714" s="1">
        <v>48</v>
      </c>
      <c r="B714" t="s">
        <v>23</v>
      </c>
      <c r="C714">
        <v>98</v>
      </c>
      <c r="D714">
        <v>1</v>
      </c>
      <c r="E714" t="s">
        <v>38</v>
      </c>
      <c r="F714" t="s">
        <v>39</v>
      </c>
      <c r="G714" t="str">
        <f>"2026-02-21 19:54:17.598"</f>
        <v>2026-02-21 19:54:17.598</v>
      </c>
      <c r="H714" t="s">
        <v>21</v>
      </c>
    </row>
    <row r="715" spans="1:10" x14ac:dyDescent="0.25">
      <c r="A715" s="1">
        <v>49</v>
      </c>
      <c r="B715" t="s">
        <v>27</v>
      </c>
      <c r="C715">
        <v>98</v>
      </c>
      <c r="D715">
        <v>1</v>
      </c>
      <c r="E715" t="s">
        <v>38</v>
      </c>
      <c r="F715" t="s">
        <v>39</v>
      </c>
      <c r="G715" t="str">
        <f>"2026-02-21 19:54:16.598"</f>
        <v>2026-02-21 19:54:16.598</v>
      </c>
      <c r="H715" t="s">
        <v>21</v>
      </c>
      <c r="I715">
        <v>0</v>
      </c>
      <c r="J715" t="s">
        <v>31</v>
      </c>
    </row>
    <row r="716" spans="1:10" x14ac:dyDescent="0.25">
      <c r="A716" s="1">
        <v>50</v>
      </c>
      <c r="B716" t="s">
        <v>19</v>
      </c>
      <c r="C716">
        <v>706</v>
      </c>
      <c r="D716">
        <v>4</v>
      </c>
      <c r="E716" t="s">
        <v>29</v>
      </c>
      <c r="F716" t="s">
        <v>30</v>
      </c>
      <c r="G716" t="str">
        <f>"2026-02-21 19:54:13.497"</f>
        <v>2026-02-21 19:54:13.497</v>
      </c>
      <c r="H716" t="s">
        <v>21</v>
      </c>
      <c r="I716">
        <v>0</v>
      </c>
      <c r="J716" t="s">
        <v>31</v>
      </c>
    </row>
    <row r="717" spans="1:10" x14ac:dyDescent="0.25">
      <c r="A717" s="1">
        <v>51</v>
      </c>
      <c r="B717" t="s">
        <v>32</v>
      </c>
      <c r="C717">
        <v>33</v>
      </c>
      <c r="D717">
        <v>1</v>
      </c>
      <c r="E717" t="s">
        <v>33</v>
      </c>
      <c r="F717" t="s">
        <v>34</v>
      </c>
      <c r="G717" t="str">
        <f>"2026-02-21 19:53:31.185"</f>
        <v>2026-02-21 19:53:31.185</v>
      </c>
      <c r="H717" t="s">
        <v>35</v>
      </c>
    </row>
    <row r="718" spans="1:10" x14ac:dyDescent="0.25">
      <c r="A718" s="1">
        <v>52</v>
      </c>
      <c r="B718" t="s">
        <v>36</v>
      </c>
      <c r="C718">
        <v>33</v>
      </c>
      <c r="D718">
        <v>1</v>
      </c>
      <c r="E718" t="s">
        <v>33</v>
      </c>
      <c r="F718" t="s">
        <v>34</v>
      </c>
      <c r="G718" t="str">
        <f>"2026-02-21 19:48:01.656"</f>
        <v>2026-02-21 19:48:01.656</v>
      </c>
      <c r="H718" t="s">
        <v>35</v>
      </c>
      <c r="I718">
        <v>8.16</v>
      </c>
      <c r="J718" t="s">
        <v>37</v>
      </c>
    </row>
    <row r="719" spans="1:10" x14ac:dyDescent="0.25">
      <c r="A719" s="1">
        <v>53</v>
      </c>
      <c r="B719" t="s">
        <v>23</v>
      </c>
      <c r="C719">
        <v>61</v>
      </c>
      <c r="D719">
        <v>2</v>
      </c>
      <c r="E719" t="s">
        <v>47</v>
      </c>
      <c r="F719" t="s">
        <v>48</v>
      </c>
      <c r="G719" t="str">
        <f>"2026-02-21 18:54:13.198"</f>
        <v>2026-02-21 18:54:13.198</v>
      </c>
      <c r="H719" t="s">
        <v>21</v>
      </c>
    </row>
    <row r="720" spans="1:10" x14ac:dyDescent="0.25">
      <c r="A720" s="1">
        <v>54</v>
      </c>
      <c r="B720" t="s">
        <v>36</v>
      </c>
      <c r="C720">
        <v>61</v>
      </c>
      <c r="D720">
        <v>2</v>
      </c>
      <c r="E720" t="s">
        <v>47</v>
      </c>
      <c r="F720" t="s">
        <v>48</v>
      </c>
      <c r="G720" t="str">
        <f>"2026-02-21 18:54:00.198"</f>
        <v>2026-02-21 18:54:00.198</v>
      </c>
      <c r="H720" t="s">
        <v>21</v>
      </c>
      <c r="I720">
        <v>30.6</v>
      </c>
      <c r="J720" t="s">
        <v>42</v>
      </c>
    </row>
    <row r="721" spans="1:10" x14ac:dyDescent="0.25">
      <c r="A721" s="1">
        <v>55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"2026-02-21 13:50:49.537"</f>
        <v>2026-02-21 13:50:49.537</v>
      </c>
      <c r="H721" t="s">
        <v>21</v>
      </c>
    </row>
    <row r="722" spans="1:10" x14ac:dyDescent="0.25">
      <c r="A722" s="1">
        <v>56</v>
      </c>
      <c r="B722" t="s">
        <v>23</v>
      </c>
      <c r="C722">
        <v>61</v>
      </c>
      <c r="D722">
        <v>2</v>
      </c>
      <c r="E722" t="s">
        <v>47</v>
      </c>
      <c r="F722" t="s">
        <v>48</v>
      </c>
      <c r="G722" t="str">
        <f>"2026-02-21 01:26:49.856"</f>
        <v>2026-02-21 01:26:49.856</v>
      </c>
      <c r="H722" t="s">
        <v>21</v>
      </c>
    </row>
    <row r="723" spans="1:10" x14ac:dyDescent="0.25">
      <c r="A723" s="1">
        <v>57</v>
      </c>
      <c r="B723" t="s">
        <v>36</v>
      </c>
      <c r="C723">
        <v>61</v>
      </c>
      <c r="D723">
        <v>2</v>
      </c>
      <c r="E723" t="s">
        <v>47</v>
      </c>
      <c r="F723" t="s">
        <v>48</v>
      </c>
      <c r="G723" t="str">
        <f>"2026-02-21 01:26:45.056"</f>
        <v>2026-02-21 01:26:45.056</v>
      </c>
      <c r="H723" t="s">
        <v>21</v>
      </c>
      <c r="I723">
        <v>29.91</v>
      </c>
      <c r="J723" t="s">
        <v>42</v>
      </c>
    </row>
    <row r="724" spans="1:10" x14ac:dyDescent="0.25">
      <c r="A724" s="1">
        <v>58</v>
      </c>
      <c r="B724" t="s">
        <v>23</v>
      </c>
      <c r="C724">
        <v>61</v>
      </c>
      <c r="D724">
        <v>2</v>
      </c>
      <c r="E724" t="s">
        <v>47</v>
      </c>
      <c r="F724" t="s">
        <v>48</v>
      </c>
      <c r="G724" t="str">
        <f>"2026-02-21 00:53:39.756"</f>
        <v>2026-02-21 00:53:39.756</v>
      </c>
      <c r="H724" t="s">
        <v>21</v>
      </c>
    </row>
    <row r="725" spans="1:10" x14ac:dyDescent="0.25">
      <c r="A725" s="1">
        <v>59</v>
      </c>
      <c r="B725" t="s">
        <v>36</v>
      </c>
      <c r="C725">
        <v>61</v>
      </c>
      <c r="D725">
        <v>2</v>
      </c>
      <c r="E725" t="s">
        <v>47</v>
      </c>
      <c r="F725" t="s">
        <v>48</v>
      </c>
      <c r="G725" t="str">
        <f>"2026-02-21 00:53:35.656"</f>
        <v>2026-02-21 00:53:35.656</v>
      </c>
      <c r="H725" t="s">
        <v>21</v>
      </c>
      <c r="I725">
        <v>29.66</v>
      </c>
      <c r="J725" t="s">
        <v>42</v>
      </c>
    </row>
    <row r="726" spans="1:10" x14ac:dyDescent="0.25">
      <c r="A726" s="1">
        <v>60</v>
      </c>
      <c r="B726" t="s">
        <v>23</v>
      </c>
      <c r="C726">
        <v>61</v>
      </c>
      <c r="D726">
        <v>2</v>
      </c>
      <c r="E726" t="s">
        <v>47</v>
      </c>
      <c r="F726" t="s">
        <v>48</v>
      </c>
      <c r="G726" t="str">
        <f>"2026-02-20 21:02:49.656"</f>
        <v>2026-02-20 21:02:49.656</v>
      </c>
      <c r="H726" t="s">
        <v>21</v>
      </c>
    </row>
    <row r="727" spans="1:10" x14ac:dyDescent="0.25">
      <c r="A727" s="1">
        <v>61</v>
      </c>
      <c r="B727" t="s">
        <v>36</v>
      </c>
      <c r="C727">
        <v>61</v>
      </c>
      <c r="D727">
        <v>2</v>
      </c>
      <c r="E727" t="s">
        <v>47</v>
      </c>
      <c r="F727" t="s">
        <v>48</v>
      </c>
      <c r="G727" t="str">
        <f>"2026-02-20 21:02:44.756"</f>
        <v>2026-02-20 21:02:44.756</v>
      </c>
      <c r="H727" t="s">
        <v>21</v>
      </c>
      <c r="I727">
        <v>29.97</v>
      </c>
      <c r="J727" t="s">
        <v>42</v>
      </c>
    </row>
    <row r="728" spans="1:10" x14ac:dyDescent="0.25">
      <c r="A728" s="1">
        <v>62</v>
      </c>
      <c r="B728" t="s">
        <v>23</v>
      </c>
      <c r="C728">
        <v>61</v>
      </c>
      <c r="D728">
        <v>2</v>
      </c>
      <c r="E728" t="s">
        <v>47</v>
      </c>
      <c r="F728" t="s">
        <v>48</v>
      </c>
      <c r="G728" t="str">
        <f>"2026-02-20 16:39:53.556"</f>
        <v>2026-02-20 16:39:53.556</v>
      </c>
      <c r="H728" t="s">
        <v>21</v>
      </c>
    </row>
    <row r="729" spans="1:10" x14ac:dyDescent="0.25">
      <c r="A729" s="1">
        <v>63</v>
      </c>
      <c r="B729" t="s">
        <v>36</v>
      </c>
      <c r="C729">
        <v>61</v>
      </c>
      <c r="D729">
        <v>2</v>
      </c>
      <c r="E729" t="s">
        <v>47</v>
      </c>
      <c r="F729" t="s">
        <v>48</v>
      </c>
      <c r="G729" t="str">
        <f>"2026-02-20 16:39:34.656"</f>
        <v>2026-02-20 16:39:34.656</v>
      </c>
      <c r="H729" t="s">
        <v>21</v>
      </c>
      <c r="I729">
        <v>30.39</v>
      </c>
      <c r="J729" t="s">
        <v>42</v>
      </c>
    </row>
    <row r="730" spans="1:10" x14ac:dyDescent="0.25">
      <c r="A730" s="1">
        <v>64</v>
      </c>
      <c r="B730" t="s">
        <v>23</v>
      </c>
      <c r="C730">
        <v>61</v>
      </c>
      <c r="D730">
        <v>2</v>
      </c>
      <c r="E730" t="s">
        <v>47</v>
      </c>
      <c r="F730" t="s">
        <v>48</v>
      </c>
      <c r="G730" t="str">
        <f>"2026-02-20 16:06:12.956"</f>
        <v>2026-02-20 16:06:12.956</v>
      </c>
      <c r="H730" t="s">
        <v>21</v>
      </c>
    </row>
    <row r="731" spans="1:10" x14ac:dyDescent="0.25">
      <c r="A731" s="1">
        <v>65</v>
      </c>
      <c r="B731" t="s">
        <v>36</v>
      </c>
      <c r="C731">
        <v>61</v>
      </c>
      <c r="D731">
        <v>2</v>
      </c>
      <c r="E731" t="s">
        <v>47</v>
      </c>
      <c r="F731" t="s">
        <v>48</v>
      </c>
      <c r="G731" t="str">
        <f>"2026-02-20 16:05:54.356"</f>
        <v>2026-02-20 16:05:54.356</v>
      </c>
      <c r="H731" t="s">
        <v>21</v>
      </c>
      <c r="I731">
        <v>30.32</v>
      </c>
      <c r="J731" t="s">
        <v>42</v>
      </c>
    </row>
    <row r="732" spans="1:10" x14ac:dyDescent="0.25">
      <c r="A732" s="1">
        <v>66</v>
      </c>
      <c r="B732" t="s">
        <v>23</v>
      </c>
      <c r="C732">
        <v>61</v>
      </c>
      <c r="D732">
        <v>2</v>
      </c>
      <c r="E732" t="s">
        <v>47</v>
      </c>
      <c r="F732" t="s">
        <v>48</v>
      </c>
      <c r="G732" t="str">
        <f>"2026-02-20 13:10:21.756"</f>
        <v>2026-02-20 13:10:21.756</v>
      </c>
      <c r="H732" t="s">
        <v>21</v>
      </c>
    </row>
    <row r="733" spans="1:10" x14ac:dyDescent="0.25">
      <c r="A733" s="1">
        <v>67</v>
      </c>
      <c r="B733" t="s">
        <v>36</v>
      </c>
      <c r="C733">
        <v>61</v>
      </c>
      <c r="D733">
        <v>2</v>
      </c>
      <c r="E733" t="s">
        <v>47</v>
      </c>
      <c r="F733" t="s">
        <v>48</v>
      </c>
      <c r="G733" t="str">
        <f>"2026-02-20 13:10:04.056"</f>
        <v>2026-02-20 13:10:04.056</v>
      </c>
      <c r="H733" t="s">
        <v>21</v>
      </c>
      <c r="I733">
        <v>30.26</v>
      </c>
      <c r="J733" t="s">
        <v>42</v>
      </c>
    </row>
    <row r="734" spans="1:10" s="3" customFormat="1" x14ac:dyDescent="0.25">
      <c r="A734" s="2">
        <v>68</v>
      </c>
      <c r="B734" s="3" t="s">
        <v>23</v>
      </c>
      <c r="C734" s="3">
        <v>647</v>
      </c>
      <c r="D734" s="3">
        <v>1</v>
      </c>
      <c r="E734" s="3" t="s">
        <v>40</v>
      </c>
      <c r="F734" s="3" t="s">
        <v>41</v>
      </c>
      <c r="G734" s="3" t="str">
        <f>"2026-02-20 11:32:36.543"</f>
        <v>2026-02-20 11:32:36.543</v>
      </c>
      <c r="H734" s="3" t="s">
        <v>21</v>
      </c>
    </row>
    <row r="735" spans="1:10" s="3" customFormat="1" x14ac:dyDescent="0.25">
      <c r="A735" s="2">
        <v>69</v>
      </c>
      <c r="B735" s="3" t="s">
        <v>27</v>
      </c>
      <c r="C735" s="3">
        <v>647</v>
      </c>
      <c r="D735" s="3">
        <v>1</v>
      </c>
      <c r="E735" s="3" t="s">
        <v>40</v>
      </c>
      <c r="F735" s="3" t="s">
        <v>41</v>
      </c>
      <c r="G735" s="3" t="str">
        <f>"2026-02-20 11:32:16.644"</f>
        <v>2026-02-20 11:32:16.644</v>
      </c>
      <c r="H735" s="3" t="s">
        <v>21</v>
      </c>
      <c r="I735" s="3">
        <v>24.55</v>
      </c>
      <c r="J735" s="3" t="s">
        <v>42</v>
      </c>
    </row>
    <row r="736" spans="1:10" x14ac:dyDescent="0.25">
      <c r="A736" s="1">
        <v>70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"2026-02-19 13:48:17.495"</f>
        <v>2026-02-19 13:48:17.495</v>
      </c>
      <c r="H736" t="s">
        <v>21</v>
      </c>
    </row>
    <row r="737" spans="1:10" s="3" customFormat="1" x14ac:dyDescent="0.25">
      <c r="A737" s="2">
        <v>71</v>
      </c>
      <c r="B737" s="3" t="s">
        <v>23</v>
      </c>
      <c r="C737" s="3">
        <v>647</v>
      </c>
      <c r="D737" s="3">
        <v>1</v>
      </c>
      <c r="E737" s="3" t="s">
        <v>40</v>
      </c>
      <c r="F737" s="3" t="s">
        <v>41</v>
      </c>
      <c r="G737" s="3" t="str">
        <f>"2026-02-18 23:08:49.595"</f>
        <v>2026-02-18 23:08:49.595</v>
      </c>
      <c r="H737" s="3" t="s">
        <v>21</v>
      </c>
    </row>
    <row r="738" spans="1:10" s="3" customFormat="1" x14ac:dyDescent="0.25">
      <c r="A738" s="2">
        <v>72</v>
      </c>
      <c r="B738" s="3" t="s">
        <v>27</v>
      </c>
      <c r="C738" s="3">
        <v>647</v>
      </c>
      <c r="D738" s="3">
        <v>1</v>
      </c>
      <c r="E738" s="3" t="s">
        <v>40</v>
      </c>
      <c r="F738" s="3" t="s">
        <v>41</v>
      </c>
      <c r="G738" s="3" t="str">
        <f>"2026-02-18 23:08:46.295"</f>
        <v>2026-02-18 23:08:46.295</v>
      </c>
      <c r="H738" s="3" t="s">
        <v>21</v>
      </c>
      <c r="I738" s="3">
        <v>11.65</v>
      </c>
      <c r="J738" s="3" t="s">
        <v>42</v>
      </c>
    </row>
    <row r="739" spans="1:10" x14ac:dyDescent="0.25">
      <c r="A739" s="1">
        <v>73</v>
      </c>
      <c r="B739" t="s">
        <v>23</v>
      </c>
      <c r="C739">
        <v>635</v>
      </c>
      <c r="D739">
        <v>1</v>
      </c>
      <c r="E739" t="s">
        <v>43</v>
      </c>
      <c r="F739" t="s">
        <v>25</v>
      </c>
      <c r="G739" t="str">
        <f>"2026-02-18 18:15:46.794"</f>
        <v>2026-02-18 18:15:46.794</v>
      </c>
      <c r="H739" t="s">
        <v>21</v>
      </c>
    </row>
    <row r="740" spans="1:10" x14ac:dyDescent="0.25">
      <c r="A740" s="1">
        <v>74</v>
      </c>
      <c r="B740" t="s">
        <v>27</v>
      </c>
      <c r="C740">
        <v>635</v>
      </c>
      <c r="D740">
        <v>1</v>
      </c>
      <c r="E740" t="s">
        <v>43</v>
      </c>
      <c r="F740" t="s">
        <v>25</v>
      </c>
      <c r="G740" t="str">
        <f>"2026-02-18 18:09:13.294"</f>
        <v>2026-02-18 18:09:13.294</v>
      </c>
      <c r="H740" t="s">
        <v>21</v>
      </c>
      <c r="I740">
        <v>8.14</v>
      </c>
      <c r="J740" t="s">
        <v>37</v>
      </c>
    </row>
    <row r="741" spans="1:10" x14ac:dyDescent="0.25">
      <c r="A741" s="1">
        <v>75</v>
      </c>
      <c r="B741" t="s">
        <v>23</v>
      </c>
      <c r="C741">
        <v>635</v>
      </c>
      <c r="D741">
        <v>1</v>
      </c>
      <c r="E741" t="s">
        <v>43</v>
      </c>
      <c r="F741" t="s">
        <v>25</v>
      </c>
      <c r="G741" t="str">
        <f>"2026-02-18 16:44:25.994"</f>
        <v>2026-02-18 16:44:25.994</v>
      </c>
      <c r="H741" t="s">
        <v>21</v>
      </c>
    </row>
    <row r="742" spans="1:10" x14ac:dyDescent="0.25">
      <c r="A742" s="1">
        <v>76</v>
      </c>
      <c r="B742" t="s">
        <v>27</v>
      </c>
      <c r="C742">
        <v>635</v>
      </c>
      <c r="D742">
        <v>1</v>
      </c>
      <c r="E742" t="s">
        <v>43</v>
      </c>
      <c r="F742" t="s">
        <v>25</v>
      </c>
      <c r="G742" t="str">
        <f>"2026-02-18 16:42:06.494"</f>
        <v>2026-02-18 16:42:06.494</v>
      </c>
      <c r="H742" t="s">
        <v>21</v>
      </c>
      <c r="I742">
        <v>3.18</v>
      </c>
      <c r="J742" t="s">
        <v>37</v>
      </c>
    </row>
    <row r="743" spans="1:10" x14ac:dyDescent="0.25">
      <c r="A743" s="1">
        <v>77</v>
      </c>
      <c r="B743" t="s">
        <v>23</v>
      </c>
      <c r="C743">
        <v>61</v>
      </c>
      <c r="D743">
        <v>2</v>
      </c>
      <c r="E743" t="s">
        <v>47</v>
      </c>
      <c r="F743" t="s">
        <v>48</v>
      </c>
      <c r="G743" t="str">
        <f>"2026-02-17 21:24:46.007"</f>
        <v>2026-02-17 21:24:46.007</v>
      </c>
      <c r="H743" t="s">
        <v>21</v>
      </c>
    </row>
    <row r="744" spans="1:10" x14ac:dyDescent="0.25">
      <c r="A744" s="1">
        <v>78</v>
      </c>
      <c r="B744" t="s">
        <v>36</v>
      </c>
      <c r="C744">
        <v>61</v>
      </c>
      <c r="D744">
        <v>2</v>
      </c>
      <c r="E744" t="s">
        <v>47</v>
      </c>
      <c r="F744" t="s">
        <v>48</v>
      </c>
      <c r="G744" t="str">
        <f>"2026-02-17 21:24:30.707"</f>
        <v>2026-02-17 21:24:30.707</v>
      </c>
      <c r="H744" t="s">
        <v>21</v>
      </c>
      <c r="I744">
        <v>30.26</v>
      </c>
      <c r="J744" t="s">
        <v>42</v>
      </c>
    </row>
    <row r="745" spans="1:10" x14ac:dyDescent="0.25">
      <c r="A745" s="1">
        <v>79</v>
      </c>
      <c r="B745" t="s">
        <v>23</v>
      </c>
      <c r="C745">
        <v>61</v>
      </c>
      <c r="D745">
        <v>2</v>
      </c>
      <c r="E745" t="s">
        <v>47</v>
      </c>
      <c r="F745" t="s">
        <v>48</v>
      </c>
      <c r="G745" t="str">
        <f>"2026-02-16 23:27:29.407"</f>
        <v>2026-02-16 23:27:29.407</v>
      </c>
      <c r="H745" t="s">
        <v>21</v>
      </c>
    </row>
    <row r="746" spans="1:10" x14ac:dyDescent="0.25">
      <c r="A746" s="1">
        <v>80</v>
      </c>
      <c r="B746" t="s">
        <v>36</v>
      </c>
      <c r="C746">
        <v>61</v>
      </c>
      <c r="D746">
        <v>2</v>
      </c>
      <c r="E746" t="s">
        <v>47</v>
      </c>
      <c r="F746" t="s">
        <v>48</v>
      </c>
      <c r="G746" t="str">
        <f>"2026-02-16 23:27:10.007"</f>
        <v>2026-02-16 23:27:10.007</v>
      </c>
      <c r="H746" t="s">
        <v>21</v>
      </c>
      <c r="I746">
        <v>30.01</v>
      </c>
      <c r="J746" t="s">
        <v>42</v>
      </c>
    </row>
    <row r="747" spans="1:10" x14ac:dyDescent="0.25">
      <c r="A747" s="1">
        <v>81</v>
      </c>
      <c r="B747" t="s">
        <v>23</v>
      </c>
      <c r="C747">
        <v>61</v>
      </c>
      <c r="D747">
        <v>2</v>
      </c>
      <c r="E747" t="s">
        <v>47</v>
      </c>
      <c r="F747" t="s">
        <v>48</v>
      </c>
      <c r="G747" t="str">
        <f>"2026-02-16 07:33:12.307"</f>
        <v>2026-02-16 07:33:12.307</v>
      </c>
      <c r="H747" t="s">
        <v>21</v>
      </c>
    </row>
    <row r="748" spans="1:10" x14ac:dyDescent="0.25">
      <c r="A748" s="1">
        <v>82</v>
      </c>
      <c r="B748" t="s">
        <v>36</v>
      </c>
      <c r="C748">
        <v>61</v>
      </c>
      <c r="D748">
        <v>2</v>
      </c>
      <c r="E748" t="s">
        <v>47</v>
      </c>
      <c r="F748" t="s">
        <v>48</v>
      </c>
      <c r="G748" t="str">
        <f>"2026-02-16 07:32:53.407"</f>
        <v>2026-02-16 07:32:53.407</v>
      </c>
      <c r="H748" t="s">
        <v>21</v>
      </c>
      <c r="I748">
        <v>29.95</v>
      </c>
      <c r="J748" t="s">
        <v>42</v>
      </c>
    </row>
    <row r="749" spans="1:10" x14ac:dyDescent="0.25">
      <c r="A749" s="1">
        <v>83</v>
      </c>
      <c r="B749" t="s">
        <v>23</v>
      </c>
      <c r="C749">
        <v>635</v>
      </c>
      <c r="D749">
        <v>1</v>
      </c>
      <c r="E749" t="s">
        <v>43</v>
      </c>
      <c r="F749" t="s">
        <v>25</v>
      </c>
      <c r="G749" t="str">
        <f>"2026-02-16 03:34:28.794"</f>
        <v>2026-02-16 03:34:28.794</v>
      </c>
      <c r="H749" t="s">
        <v>21</v>
      </c>
    </row>
    <row r="750" spans="1:10" x14ac:dyDescent="0.25">
      <c r="A750" s="1">
        <v>84</v>
      </c>
      <c r="B750" t="s">
        <v>27</v>
      </c>
      <c r="C750">
        <v>635</v>
      </c>
      <c r="D750">
        <v>1</v>
      </c>
      <c r="E750" t="s">
        <v>43</v>
      </c>
      <c r="F750" t="s">
        <v>25</v>
      </c>
      <c r="G750" t="str">
        <f>"2026-02-16 03:29:19.795"</f>
        <v>2026-02-16 03:29:19.795</v>
      </c>
      <c r="H750" t="s">
        <v>21</v>
      </c>
      <c r="I750">
        <v>2.54</v>
      </c>
      <c r="J750" t="s">
        <v>37</v>
      </c>
    </row>
    <row r="751" spans="1:10" x14ac:dyDescent="0.25">
      <c r="A751" s="1">
        <v>85</v>
      </c>
      <c r="B751" t="s">
        <v>19</v>
      </c>
      <c r="C751">
        <v>706</v>
      </c>
      <c r="D751">
        <v>2</v>
      </c>
      <c r="E751" t="s">
        <v>29</v>
      </c>
      <c r="F751" t="s">
        <v>44</v>
      </c>
      <c r="G751" t="str">
        <f>"2026-02-15 22:39:23.683"</f>
        <v>2026-02-15 22:39:23.683</v>
      </c>
      <c r="H751" t="s">
        <v>21</v>
      </c>
      <c r="I751">
        <v>0</v>
      </c>
      <c r="J751" t="s">
        <v>31</v>
      </c>
    </row>
    <row r="752" spans="1:10" x14ac:dyDescent="0.25">
      <c r="A752" s="1">
        <v>86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"2026-02-15 22:34:54.473"</f>
        <v>2026-02-15 22:34:54.473</v>
      </c>
      <c r="H752" t="s">
        <v>21</v>
      </c>
      <c r="I752">
        <v>0</v>
      </c>
      <c r="J752" t="s">
        <v>22</v>
      </c>
    </row>
    <row r="753" spans="1:10" x14ac:dyDescent="0.25">
      <c r="A753" s="1">
        <v>87</v>
      </c>
      <c r="B753" t="s">
        <v>23</v>
      </c>
      <c r="C753">
        <v>635</v>
      </c>
      <c r="D753">
        <v>1</v>
      </c>
      <c r="E753" t="s">
        <v>43</v>
      </c>
      <c r="F753" t="s">
        <v>25</v>
      </c>
      <c r="G753" t="str">
        <f>"2026-02-15 10:12:37.773"</f>
        <v>2026-02-15 10:12:37.773</v>
      </c>
      <c r="H753" t="s">
        <v>21</v>
      </c>
    </row>
    <row r="754" spans="1:10" x14ac:dyDescent="0.25">
      <c r="A754" s="1">
        <v>88</v>
      </c>
      <c r="B754" t="s">
        <v>27</v>
      </c>
      <c r="C754">
        <v>635</v>
      </c>
      <c r="D754">
        <v>1</v>
      </c>
      <c r="E754" t="s">
        <v>43</v>
      </c>
      <c r="F754" t="s">
        <v>25</v>
      </c>
      <c r="G754" t="str">
        <f>"2026-02-15 10:08:42.273"</f>
        <v>2026-02-15 10:08:42.273</v>
      </c>
      <c r="H754" t="s">
        <v>21</v>
      </c>
      <c r="I754">
        <v>6.06</v>
      </c>
      <c r="J754" t="s">
        <v>37</v>
      </c>
    </row>
    <row r="755" spans="1:10" x14ac:dyDescent="0.25">
      <c r="A755" s="1">
        <v>89</v>
      </c>
      <c r="B755" t="s">
        <v>19</v>
      </c>
      <c r="C755">
        <v>706</v>
      </c>
      <c r="D755">
        <v>2</v>
      </c>
      <c r="E755" t="s">
        <v>29</v>
      </c>
      <c r="F755" t="s">
        <v>44</v>
      </c>
      <c r="G755" t="str">
        <f>"2026-02-14 21:46:03.056"</f>
        <v>2026-02-14 21:46:03.056</v>
      </c>
      <c r="H755" t="s">
        <v>21</v>
      </c>
      <c r="I755">
        <v>0</v>
      </c>
      <c r="J755" t="s">
        <v>31</v>
      </c>
    </row>
    <row r="756" spans="1:10" x14ac:dyDescent="0.25">
      <c r="A756" s="1">
        <v>90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"2026-02-14 21:38:38.476"</f>
        <v>2026-02-14 21:38:38.476</v>
      </c>
      <c r="H756" t="s">
        <v>21</v>
      </c>
    </row>
    <row r="757" spans="1:10" x14ac:dyDescent="0.25">
      <c r="A757" s="1">
        <v>91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"2026-02-13 22:26:18.476"</f>
        <v>2026-02-13 22:26:18.476</v>
      </c>
      <c r="H757" t="s">
        <v>21</v>
      </c>
      <c r="I757">
        <v>0</v>
      </c>
      <c r="J757" t="s">
        <v>22</v>
      </c>
    </row>
    <row r="758" spans="1:10" x14ac:dyDescent="0.25">
      <c r="A758" s="1">
        <v>92</v>
      </c>
      <c r="B758" t="s">
        <v>19</v>
      </c>
      <c r="C758">
        <v>706</v>
      </c>
      <c r="D758">
        <v>2</v>
      </c>
      <c r="E758" t="s">
        <v>29</v>
      </c>
      <c r="F758" t="s">
        <v>44</v>
      </c>
      <c r="G758" t="str">
        <f>"2026-02-13 21:49:22.305"</f>
        <v>2026-02-13 21:49:22.305</v>
      </c>
      <c r="H758" t="s">
        <v>21</v>
      </c>
      <c r="I758">
        <v>0</v>
      </c>
      <c r="J758" t="s">
        <v>31</v>
      </c>
    </row>
    <row r="759" spans="1:10" x14ac:dyDescent="0.25">
      <c r="A759" s="1">
        <v>93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"2026-02-13 21:48:58.505"</f>
        <v>2026-02-13 21:48:58.505</v>
      </c>
      <c r="H759" t="s">
        <v>21</v>
      </c>
      <c r="I759">
        <v>0</v>
      </c>
      <c r="J759" t="s">
        <v>22</v>
      </c>
    </row>
    <row r="760" spans="1:10" x14ac:dyDescent="0.25">
      <c r="A760" s="1">
        <v>94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"2026-02-13 21:39:29.486"</f>
        <v>2026-02-13 21:39:29.486</v>
      </c>
      <c r="H760" t="s">
        <v>21</v>
      </c>
      <c r="I760">
        <v>0</v>
      </c>
      <c r="J760" t="s">
        <v>22</v>
      </c>
    </row>
    <row r="761" spans="1:10" x14ac:dyDescent="0.25">
      <c r="A761" s="1">
        <v>95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"2026-02-13 20:10:00.718"</f>
        <v>2026-02-13 20:10:00.718</v>
      </c>
      <c r="H761" t="s">
        <v>21</v>
      </c>
      <c r="I761">
        <v>0</v>
      </c>
      <c r="J761" t="s">
        <v>22</v>
      </c>
    </row>
    <row r="762" spans="1:10" x14ac:dyDescent="0.25">
      <c r="A762" s="1">
        <v>96</v>
      </c>
      <c r="B762" t="s">
        <v>23</v>
      </c>
      <c r="C762">
        <v>635</v>
      </c>
      <c r="D762">
        <v>1</v>
      </c>
      <c r="E762" t="s">
        <v>43</v>
      </c>
      <c r="F762" t="s">
        <v>25</v>
      </c>
      <c r="G762" t="str">
        <f>"2026-02-12 21:41:54.439"</f>
        <v>2026-02-12 21:41:54.439</v>
      </c>
      <c r="H762" t="s">
        <v>21</v>
      </c>
    </row>
    <row r="763" spans="1:10" x14ac:dyDescent="0.25">
      <c r="A763" s="1">
        <v>97</v>
      </c>
      <c r="B763" t="s">
        <v>27</v>
      </c>
      <c r="C763">
        <v>635</v>
      </c>
      <c r="D763">
        <v>1</v>
      </c>
      <c r="E763" t="s">
        <v>43</v>
      </c>
      <c r="F763" t="s">
        <v>25</v>
      </c>
      <c r="G763" t="str">
        <f>"2026-02-12 21:37:48.939"</f>
        <v>2026-02-12 21:37:48.939</v>
      </c>
      <c r="H763" t="s">
        <v>21</v>
      </c>
      <c r="I763">
        <v>1.3</v>
      </c>
      <c r="J763" t="s">
        <v>28</v>
      </c>
    </row>
    <row r="764" spans="1:10" x14ac:dyDescent="0.25">
      <c r="A764" s="1">
        <v>98</v>
      </c>
      <c r="B764" t="s">
        <v>23</v>
      </c>
      <c r="C764">
        <v>635</v>
      </c>
      <c r="D764">
        <v>1</v>
      </c>
      <c r="E764" t="s">
        <v>43</v>
      </c>
      <c r="F764" t="s">
        <v>25</v>
      </c>
      <c r="G764" t="str">
        <f>"2026-02-12 00:03:33.739"</f>
        <v>2026-02-12 00:03:33.739</v>
      </c>
      <c r="H764" t="s">
        <v>21</v>
      </c>
    </row>
    <row r="765" spans="1:10" x14ac:dyDescent="0.25">
      <c r="A765" s="1">
        <v>99</v>
      </c>
      <c r="B765" t="s">
        <v>27</v>
      </c>
      <c r="C765">
        <v>635</v>
      </c>
      <c r="D765">
        <v>1</v>
      </c>
      <c r="E765" t="s">
        <v>43</v>
      </c>
      <c r="F765" t="s">
        <v>25</v>
      </c>
      <c r="G765" t="str">
        <f>"2026-02-11 23:59:14.739"</f>
        <v>2026-02-11 23:59:14.739</v>
      </c>
      <c r="H765" t="s">
        <v>21</v>
      </c>
      <c r="I765">
        <v>6.11</v>
      </c>
      <c r="J765" t="s">
        <v>37</v>
      </c>
    </row>
    <row r="766" spans="1:10" x14ac:dyDescent="0.25">
      <c r="A766" s="1">
        <v>0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"2026-02-11 13:52:41.468"</f>
        <v>2026-02-11 13:52:41.468</v>
      </c>
      <c r="H766" t="s">
        <v>21</v>
      </c>
    </row>
    <row r="767" spans="1:10" x14ac:dyDescent="0.25">
      <c r="A767" s="1">
        <v>1</v>
      </c>
      <c r="B767" t="s">
        <v>23</v>
      </c>
      <c r="C767">
        <v>635</v>
      </c>
      <c r="D767">
        <v>1</v>
      </c>
      <c r="E767" t="s">
        <v>43</v>
      </c>
      <c r="F767" t="s">
        <v>25</v>
      </c>
      <c r="G767" t="str">
        <f>"2026-02-11 11:35:55.995"</f>
        <v>2026-02-11 11:35:55.995</v>
      </c>
      <c r="H767" t="s">
        <v>21</v>
      </c>
    </row>
    <row r="768" spans="1:10" x14ac:dyDescent="0.25">
      <c r="A768" s="1">
        <v>2</v>
      </c>
      <c r="B768" t="s">
        <v>27</v>
      </c>
      <c r="C768">
        <v>635</v>
      </c>
      <c r="D768">
        <v>1</v>
      </c>
      <c r="E768" t="s">
        <v>43</v>
      </c>
      <c r="F768" t="s">
        <v>25</v>
      </c>
      <c r="G768" t="str">
        <f>"2026-02-11 11:27:40.095"</f>
        <v>2026-02-11 11:27:40.095</v>
      </c>
      <c r="H768" t="s">
        <v>21</v>
      </c>
      <c r="I768">
        <v>4.51</v>
      </c>
      <c r="J768" t="s">
        <v>37</v>
      </c>
    </row>
    <row r="769" spans="1:10" x14ac:dyDescent="0.25">
      <c r="A769" s="1">
        <v>3</v>
      </c>
      <c r="B769" t="s">
        <v>23</v>
      </c>
      <c r="C769">
        <v>635</v>
      </c>
      <c r="D769">
        <v>1</v>
      </c>
      <c r="E769" t="s">
        <v>43</v>
      </c>
      <c r="F769" t="s">
        <v>25</v>
      </c>
      <c r="G769" t="str">
        <f>"2026-02-11 00:22:01.495"</f>
        <v>2026-02-11 00:22:01.495</v>
      </c>
      <c r="H769" t="s">
        <v>21</v>
      </c>
    </row>
    <row r="770" spans="1:10" x14ac:dyDescent="0.25">
      <c r="A770" s="1">
        <v>4</v>
      </c>
      <c r="B770" t="s">
        <v>27</v>
      </c>
      <c r="C770">
        <v>635</v>
      </c>
      <c r="D770">
        <v>1</v>
      </c>
      <c r="E770" t="s">
        <v>43</v>
      </c>
      <c r="F770" t="s">
        <v>25</v>
      </c>
      <c r="G770" t="str">
        <f>"2026-02-11 00:18:27.495"</f>
        <v>2026-02-11 00:18:27.495</v>
      </c>
      <c r="H770" t="s">
        <v>21</v>
      </c>
      <c r="I770">
        <v>2.2400000000000002</v>
      </c>
      <c r="J770" t="s">
        <v>28</v>
      </c>
    </row>
    <row r="771" spans="1:10" x14ac:dyDescent="0.25">
      <c r="A771" s="1">
        <v>5</v>
      </c>
      <c r="B771" t="s">
        <v>23</v>
      </c>
      <c r="C771">
        <v>635</v>
      </c>
      <c r="D771">
        <v>1</v>
      </c>
      <c r="E771" t="s">
        <v>43</v>
      </c>
      <c r="F771" t="s">
        <v>25</v>
      </c>
      <c r="G771" t="str">
        <f>"2026-02-10 06:39:47.695"</f>
        <v>2026-02-10 06:39:47.695</v>
      </c>
      <c r="H771" t="s">
        <v>21</v>
      </c>
    </row>
    <row r="772" spans="1:10" x14ac:dyDescent="0.25">
      <c r="A772" s="1">
        <v>6</v>
      </c>
      <c r="B772" t="s">
        <v>27</v>
      </c>
      <c r="C772">
        <v>635</v>
      </c>
      <c r="D772">
        <v>1</v>
      </c>
      <c r="E772" t="s">
        <v>43</v>
      </c>
      <c r="F772" t="s">
        <v>25</v>
      </c>
      <c r="G772" t="str">
        <f>"2026-02-10 06:35:43.195"</f>
        <v>2026-02-10 06:35:43.195</v>
      </c>
      <c r="H772" t="s">
        <v>21</v>
      </c>
      <c r="I772">
        <v>7.91</v>
      </c>
      <c r="J772" t="s">
        <v>37</v>
      </c>
    </row>
    <row r="773" spans="1:10" x14ac:dyDescent="0.25">
      <c r="A773" s="1">
        <v>7</v>
      </c>
      <c r="B773" t="s">
        <v>23</v>
      </c>
      <c r="C773">
        <v>635</v>
      </c>
      <c r="D773">
        <v>1</v>
      </c>
      <c r="E773" t="s">
        <v>43</v>
      </c>
      <c r="F773" t="s">
        <v>25</v>
      </c>
      <c r="G773" t="str">
        <f>"2026-02-10 00:04:30.995"</f>
        <v>2026-02-10 00:04:30.995</v>
      </c>
      <c r="H773" t="s">
        <v>21</v>
      </c>
    </row>
    <row r="774" spans="1:10" x14ac:dyDescent="0.25">
      <c r="A774" s="1">
        <v>8</v>
      </c>
      <c r="B774" t="s">
        <v>27</v>
      </c>
      <c r="C774">
        <v>635</v>
      </c>
      <c r="D774">
        <v>1</v>
      </c>
      <c r="E774" t="s">
        <v>43</v>
      </c>
      <c r="F774" t="s">
        <v>25</v>
      </c>
      <c r="G774" t="str">
        <f>"2026-02-09 23:43:28.095"</f>
        <v>2026-02-09 23:43:28.095</v>
      </c>
      <c r="H774" t="s">
        <v>21</v>
      </c>
      <c r="I774">
        <v>6.24</v>
      </c>
      <c r="J774" t="s">
        <v>37</v>
      </c>
    </row>
    <row r="775" spans="1:10" x14ac:dyDescent="0.25">
      <c r="A775" s="1">
        <v>9</v>
      </c>
      <c r="B775" t="s">
        <v>23</v>
      </c>
      <c r="C775">
        <v>635</v>
      </c>
      <c r="D775">
        <v>1</v>
      </c>
      <c r="E775" t="s">
        <v>43</v>
      </c>
      <c r="F775" t="s">
        <v>25</v>
      </c>
      <c r="G775" t="str">
        <f>"2026-02-09 15:09:01.695"</f>
        <v>2026-02-09 15:09:01.695</v>
      </c>
      <c r="H775" t="s">
        <v>21</v>
      </c>
    </row>
    <row r="776" spans="1:10" x14ac:dyDescent="0.25">
      <c r="A776" s="1">
        <v>10</v>
      </c>
      <c r="B776" t="s">
        <v>27</v>
      </c>
      <c r="C776">
        <v>635</v>
      </c>
      <c r="D776">
        <v>1</v>
      </c>
      <c r="E776" t="s">
        <v>43</v>
      </c>
      <c r="F776" t="s">
        <v>25</v>
      </c>
      <c r="G776" t="str">
        <f>"2026-02-09 14:48:17.695"</f>
        <v>2026-02-09 14:48:17.695</v>
      </c>
      <c r="H776" t="s">
        <v>21</v>
      </c>
      <c r="I776">
        <v>7.57</v>
      </c>
      <c r="J776" t="s">
        <v>37</v>
      </c>
    </row>
    <row r="777" spans="1:10" x14ac:dyDescent="0.25">
      <c r="A777" s="1">
        <v>12</v>
      </c>
      <c r="B777" t="s">
        <v>23</v>
      </c>
      <c r="C777">
        <v>635</v>
      </c>
      <c r="D777">
        <v>1</v>
      </c>
      <c r="E777" t="s">
        <v>43</v>
      </c>
      <c r="F777" t="s">
        <v>25</v>
      </c>
      <c r="G777" t="str">
        <f>"2026-02-08 18:14:34.895"</f>
        <v>2026-02-08 18:14:34.895</v>
      </c>
      <c r="H777" t="s">
        <v>21</v>
      </c>
    </row>
    <row r="778" spans="1:10" x14ac:dyDescent="0.25">
      <c r="A778" s="1">
        <v>13</v>
      </c>
      <c r="B778" t="s">
        <v>27</v>
      </c>
      <c r="C778">
        <v>635</v>
      </c>
      <c r="D778">
        <v>1</v>
      </c>
      <c r="E778" t="s">
        <v>43</v>
      </c>
      <c r="F778" t="s">
        <v>25</v>
      </c>
      <c r="G778" t="str">
        <f>"2026-02-08 18:07:34.395"</f>
        <v>2026-02-08 18:07:34.395</v>
      </c>
      <c r="H778" t="s">
        <v>21</v>
      </c>
      <c r="I778">
        <v>4.04</v>
      </c>
      <c r="J778" t="s">
        <v>37</v>
      </c>
    </row>
    <row r="779" spans="1:10" x14ac:dyDescent="0.25">
      <c r="A779" s="1">
        <v>15</v>
      </c>
      <c r="B779" t="s">
        <v>19</v>
      </c>
      <c r="C779">
        <v>706</v>
      </c>
      <c r="D779">
        <v>4</v>
      </c>
      <c r="E779" t="s">
        <v>29</v>
      </c>
      <c r="F779" t="s">
        <v>30</v>
      </c>
      <c r="G779" t="str">
        <f>"2026-02-08 13:47:15.055"</f>
        <v>2026-02-08 13:47:15.055</v>
      </c>
      <c r="H779" t="s">
        <v>21</v>
      </c>
      <c r="I779">
        <v>0</v>
      </c>
      <c r="J779" t="s">
        <v>31</v>
      </c>
    </row>
    <row r="780" spans="1:10" x14ac:dyDescent="0.25">
      <c r="A780" s="1">
        <v>16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"2026-02-08 13:46:50.465"</f>
        <v>2026-02-08 13:46:50.465</v>
      </c>
      <c r="H780" t="s">
        <v>21</v>
      </c>
      <c r="I780">
        <v>0</v>
      </c>
      <c r="J780" t="s">
        <v>22</v>
      </c>
    </row>
    <row r="781" spans="1:10" x14ac:dyDescent="0.25">
      <c r="A781" s="1">
        <v>17</v>
      </c>
      <c r="B781" t="s">
        <v>23</v>
      </c>
      <c r="C781">
        <v>635</v>
      </c>
      <c r="D781">
        <v>1</v>
      </c>
      <c r="E781" t="s">
        <v>43</v>
      </c>
      <c r="F781" t="s">
        <v>25</v>
      </c>
      <c r="G781" t="str">
        <f>"2026-02-08 02:06:59.820"</f>
        <v>2026-02-08 02:06:59.820</v>
      </c>
      <c r="H781" t="s">
        <v>21</v>
      </c>
    </row>
    <row r="782" spans="1:10" x14ac:dyDescent="0.25">
      <c r="A782" s="1">
        <v>18</v>
      </c>
      <c r="B782" t="s">
        <v>27</v>
      </c>
      <c r="C782">
        <v>635</v>
      </c>
      <c r="D782">
        <v>1</v>
      </c>
      <c r="E782" t="s">
        <v>43</v>
      </c>
      <c r="F782" t="s">
        <v>25</v>
      </c>
      <c r="G782" t="str">
        <f>"2026-02-08 02:01:56.820"</f>
        <v>2026-02-08 02:01:56.820</v>
      </c>
      <c r="H782" t="s">
        <v>21</v>
      </c>
      <c r="I782">
        <v>9.57</v>
      </c>
      <c r="J782" t="s">
        <v>42</v>
      </c>
    </row>
    <row r="783" spans="1:10" x14ac:dyDescent="0.25">
      <c r="A783" s="1">
        <v>19</v>
      </c>
      <c r="B783" t="s">
        <v>23</v>
      </c>
      <c r="C783">
        <v>635</v>
      </c>
      <c r="D783">
        <v>1</v>
      </c>
      <c r="E783" t="s">
        <v>43</v>
      </c>
      <c r="F783" t="s">
        <v>25</v>
      </c>
      <c r="G783" t="str">
        <f>"2026-02-07 21:02:09.420"</f>
        <v>2026-02-07 21:02:09.420</v>
      </c>
      <c r="H783" t="s">
        <v>21</v>
      </c>
    </row>
    <row r="784" spans="1:10" x14ac:dyDescent="0.25">
      <c r="A784" s="1">
        <v>20</v>
      </c>
      <c r="B784" t="s">
        <v>27</v>
      </c>
      <c r="C784">
        <v>635</v>
      </c>
      <c r="D784">
        <v>1</v>
      </c>
      <c r="E784" t="s">
        <v>43</v>
      </c>
      <c r="F784" t="s">
        <v>25</v>
      </c>
      <c r="G784" t="str">
        <f>"2026-02-07 20:57:06.420"</f>
        <v>2026-02-07 20:57:06.420</v>
      </c>
      <c r="H784" t="s">
        <v>21</v>
      </c>
      <c r="I784">
        <v>7.71</v>
      </c>
      <c r="J784" t="s">
        <v>37</v>
      </c>
    </row>
    <row r="785" spans="1:10" x14ac:dyDescent="0.25">
      <c r="A785" s="1">
        <v>21</v>
      </c>
      <c r="B785" t="s">
        <v>23</v>
      </c>
      <c r="C785">
        <v>635</v>
      </c>
      <c r="D785">
        <v>1</v>
      </c>
      <c r="E785" t="s">
        <v>43</v>
      </c>
      <c r="F785" t="s">
        <v>25</v>
      </c>
      <c r="G785" t="str">
        <f>"2026-02-07 20:41:55.520"</f>
        <v>2026-02-07 20:41:55.520</v>
      </c>
      <c r="H785" t="s">
        <v>21</v>
      </c>
    </row>
    <row r="786" spans="1:10" x14ac:dyDescent="0.25">
      <c r="A786" s="1">
        <v>22</v>
      </c>
      <c r="B786" t="s">
        <v>27</v>
      </c>
      <c r="C786">
        <v>635</v>
      </c>
      <c r="D786">
        <v>1</v>
      </c>
      <c r="E786" t="s">
        <v>43</v>
      </c>
      <c r="F786" t="s">
        <v>25</v>
      </c>
      <c r="G786" t="str">
        <f>"2026-02-07 20:37:03.020"</f>
        <v>2026-02-07 20:37:03.020</v>
      </c>
      <c r="H786" t="s">
        <v>21</v>
      </c>
      <c r="I786">
        <v>7.38</v>
      </c>
      <c r="J786" t="s">
        <v>37</v>
      </c>
    </row>
    <row r="787" spans="1:10" x14ac:dyDescent="0.25">
      <c r="A787" s="1">
        <v>23</v>
      </c>
      <c r="B787" t="s">
        <v>23</v>
      </c>
      <c r="C787">
        <v>635</v>
      </c>
      <c r="D787">
        <v>1</v>
      </c>
      <c r="E787" t="s">
        <v>43</v>
      </c>
      <c r="F787" t="s">
        <v>25</v>
      </c>
      <c r="G787" t="str">
        <f>"2026-02-07 10:43:43.720"</f>
        <v>2026-02-07 10:43:43.720</v>
      </c>
      <c r="H787" t="s">
        <v>21</v>
      </c>
    </row>
    <row r="788" spans="1:10" x14ac:dyDescent="0.25">
      <c r="A788" s="1">
        <v>24</v>
      </c>
      <c r="B788" t="s">
        <v>27</v>
      </c>
      <c r="C788">
        <v>635</v>
      </c>
      <c r="D788">
        <v>1</v>
      </c>
      <c r="E788" t="s">
        <v>43</v>
      </c>
      <c r="F788" t="s">
        <v>25</v>
      </c>
      <c r="G788" t="str">
        <f>"2026-02-07 10:39:02.320"</f>
        <v>2026-02-07 10:39:02.320</v>
      </c>
      <c r="H788" t="s">
        <v>21</v>
      </c>
      <c r="I788">
        <v>4.51</v>
      </c>
      <c r="J788" t="s">
        <v>37</v>
      </c>
    </row>
    <row r="789" spans="1:10" x14ac:dyDescent="0.25">
      <c r="A789" s="1">
        <v>25</v>
      </c>
      <c r="B789" t="s">
        <v>23</v>
      </c>
      <c r="C789">
        <v>635</v>
      </c>
      <c r="D789">
        <v>1</v>
      </c>
      <c r="E789" t="s">
        <v>43</v>
      </c>
      <c r="F789" t="s">
        <v>25</v>
      </c>
      <c r="G789" t="str">
        <f>"2026-02-07 06:46:20.820"</f>
        <v>2026-02-07 06:46:20.820</v>
      </c>
      <c r="H789" t="s">
        <v>21</v>
      </c>
    </row>
    <row r="790" spans="1:10" x14ac:dyDescent="0.25">
      <c r="A790" s="1">
        <v>26</v>
      </c>
      <c r="B790" t="s">
        <v>27</v>
      </c>
      <c r="C790">
        <v>635</v>
      </c>
      <c r="D790">
        <v>1</v>
      </c>
      <c r="E790" t="s">
        <v>43</v>
      </c>
      <c r="F790" t="s">
        <v>25</v>
      </c>
      <c r="G790" t="str">
        <f>"2026-02-07 06:42:06.320"</f>
        <v>2026-02-07 06:42:06.320</v>
      </c>
      <c r="H790" t="s">
        <v>21</v>
      </c>
      <c r="I790">
        <v>7.5</v>
      </c>
      <c r="J790" t="s">
        <v>37</v>
      </c>
    </row>
    <row r="791" spans="1:10" x14ac:dyDescent="0.25">
      <c r="A791" s="1">
        <v>27</v>
      </c>
      <c r="B791" t="s">
        <v>23</v>
      </c>
      <c r="C791">
        <v>635</v>
      </c>
      <c r="D791">
        <v>1</v>
      </c>
      <c r="E791" t="s">
        <v>43</v>
      </c>
      <c r="F791" t="s">
        <v>25</v>
      </c>
      <c r="G791" t="str">
        <f>"2026-02-06 20:59:30.520"</f>
        <v>2026-02-06 20:59:30.520</v>
      </c>
      <c r="H791" t="s">
        <v>21</v>
      </c>
    </row>
    <row r="792" spans="1:10" x14ac:dyDescent="0.25">
      <c r="A792" s="1">
        <v>28</v>
      </c>
      <c r="B792" t="s">
        <v>27</v>
      </c>
      <c r="C792">
        <v>635</v>
      </c>
      <c r="D792">
        <v>1</v>
      </c>
      <c r="E792" t="s">
        <v>43</v>
      </c>
      <c r="F792" t="s">
        <v>25</v>
      </c>
      <c r="G792" t="str">
        <f>"2026-02-06 20:55:22.120"</f>
        <v>2026-02-06 20:55:22.120</v>
      </c>
      <c r="H792" t="s">
        <v>21</v>
      </c>
      <c r="I792">
        <v>4.1399999999999997</v>
      </c>
      <c r="J792" t="s">
        <v>28</v>
      </c>
    </row>
    <row r="793" spans="1:10" x14ac:dyDescent="0.25">
      <c r="A793" s="1">
        <v>29</v>
      </c>
      <c r="B793" t="s">
        <v>23</v>
      </c>
      <c r="C793">
        <v>98</v>
      </c>
      <c r="D793">
        <v>1</v>
      </c>
      <c r="E793" t="s">
        <v>38</v>
      </c>
      <c r="F793" t="s">
        <v>39</v>
      </c>
      <c r="G793" t="str">
        <f>"2026-02-06 13:52:34.532"</f>
        <v>2026-02-06 13:52:34.532</v>
      </c>
      <c r="H793" t="s">
        <v>21</v>
      </c>
    </row>
    <row r="794" spans="1:10" x14ac:dyDescent="0.25">
      <c r="A794" s="1">
        <v>30</v>
      </c>
      <c r="B794" t="s">
        <v>27</v>
      </c>
      <c r="C794">
        <v>98</v>
      </c>
      <c r="D794">
        <v>1</v>
      </c>
      <c r="E794" t="s">
        <v>38</v>
      </c>
      <c r="F794" t="s">
        <v>39</v>
      </c>
      <c r="G794" t="str">
        <f>"2026-02-06 13:52:33.433"</f>
        <v>2026-02-06 13:52:33.433</v>
      </c>
      <c r="H794" t="s">
        <v>21</v>
      </c>
      <c r="I794">
        <v>0</v>
      </c>
      <c r="J794" t="s">
        <v>28</v>
      </c>
    </row>
    <row r="795" spans="1:10" x14ac:dyDescent="0.25">
      <c r="A795" s="1">
        <v>31</v>
      </c>
      <c r="B795" t="s">
        <v>23</v>
      </c>
      <c r="C795">
        <v>635</v>
      </c>
      <c r="D795">
        <v>1</v>
      </c>
      <c r="E795" t="s">
        <v>43</v>
      </c>
      <c r="F795" t="s">
        <v>25</v>
      </c>
      <c r="G795" t="str">
        <f>"2026-02-06 06:01:17.020"</f>
        <v>2026-02-06 06:01:17.020</v>
      </c>
      <c r="H795" t="s">
        <v>21</v>
      </c>
    </row>
    <row r="796" spans="1:10" x14ac:dyDescent="0.25">
      <c r="A796" s="1">
        <v>32</v>
      </c>
      <c r="B796" t="s">
        <v>27</v>
      </c>
      <c r="C796">
        <v>635</v>
      </c>
      <c r="D796">
        <v>1</v>
      </c>
      <c r="E796" t="s">
        <v>43</v>
      </c>
      <c r="F796" t="s">
        <v>25</v>
      </c>
      <c r="G796" t="str">
        <f>"2026-02-06 05:56:43.020"</f>
        <v>2026-02-06 05:56:43.020</v>
      </c>
      <c r="H796" t="s">
        <v>21</v>
      </c>
      <c r="I796">
        <v>6.87</v>
      </c>
      <c r="J796" t="s">
        <v>37</v>
      </c>
    </row>
    <row r="797" spans="1:10" x14ac:dyDescent="0.25">
      <c r="A797" s="1">
        <v>33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"2026-02-05 22:40:14.452"</f>
        <v>2026-02-05 22:40:14.452</v>
      </c>
      <c r="H797" t="s">
        <v>21</v>
      </c>
      <c r="I797">
        <v>0</v>
      </c>
      <c r="J797" t="s">
        <v>22</v>
      </c>
    </row>
    <row r="798" spans="1:10" x14ac:dyDescent="0.25">
      <c r="A798" s="1">
        <v>34</v>
      </c>
      <c r="B798" t="s">
        <v>23</v>
      </c>
      <c r="C798">
        <v>98</v>
      </c>
      <c r="D798">
        <v>1</v>
      </c>
      <c r="E798" t="s">
        <v>38</v>
      </c>
      <c r="F798" t="s">
        <v>39</v>
      </c>
      <c r="G798" t="str">
        <f>"2026-02-05 22:35:58.406"</f>
        <v>2026-02-05 22:35:58.406</v>
      </c>
      <c r="H798" t="s">
        <v>21</v>
      </c>
    </row>
    <row r="799" spans="1:10" x14ac:dyDescent="0.25">
      <c r="A799" s="1">
        <v>35</v>
      </c>
      <c r="B799" t="s">
        <v>27</v>
      </c>
      <c r="C799">
        <v>98</v>
      </c>
      <c r="D799">
        <v>1</v>
      </c>
      <c r="E799" t="s">
        <v>38</v>
      </c>
      <c r="F799" t="s">
        <v>39</v>
      </c>
      <c r="G799" t="str">
        <f>"2026-02-05 22:35:57.407"</f>
        <v>2026-02-05 22:35:57.407</v>
      </c>
      <c r="H799" t="s">
        <v>21</v>
      </c>
      <c r="I799">
        <v>0</v>
      </c>
      <c r="J799" t="s">
        <v>28</v>
      </c>
    </row>
    <row r="800" spans="1:10" x14ac:dyDescent="0.25">
      <c r="A800" s="1">
        <v>36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"2026-02-03 12:10:08.436"</f>
        <v>2026-02-03 12:10:08.436</v>
      </c>
      <c r="H800" t="s">
        <v>21</v>
      </c>
    </row>
    <row r="801" spans="1:10" x14ac:dyDescent="0.25">
      <c r="A801" s="1">
        <v>37</v>
      </c>
      <c r="B801" t="s">
        <v>19</v>
      </c>
      <c r="C801">
        <v>706</v>
      </c>
      <c r="D801">
        <v>2</v>
      </c>
      <c r="E801" t="s">
        <v>29</v>
      </c>
      <c r="F801" t="s">
        <v>44</v>
      </c>
      <c r="G801" t="str">
        <f>"2026-02-03 10:26:41.063"</f>
        <v>2026-02-03 10:26:41.063</v>
      </c>
      <c r="H801" t="s">
        <v>21</v>
      </c>
      <c r="I801">
        <v>0</v>
      </c>
      <c r="J801" t="s">
        <v>31</v>
      </c>
    </row>
    <row r="802" spans="1:10" x14ac:dyDescent="0.25">
      <c r="A802" s="1">
        <v>38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"2026-02-03 10:11:24.493"</f>
        <v>2026-02-03 10:11:24.493</v>
      </c>
      <c r="H802" t="s">
        <v>21</v>
      </c>
      <c r="I802">
        <v>0</v>
      </c>
      <c r="J802" t="s">
        <v>22</v>
      </c>
    </row>
    <row r="803" spans="1:10" x14ac:dyDescent="0.25">
      <c r="A803" s="1">
        <v>39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"2026-02-03 09:36:09.440"</f>
        <v>2026-02-03 09:36:09.440</v>
      </c>
      <c r="H803" t="s">
        <v>21</v>
      </c>
      <c r="I803">
        <v>0</v>
      </c>
      <c r="J803" t="s">
        <v>22</v>
      </c>
    </row>
    <row r="804" spans="1:10" x14ac:dyDescent="0.25">
      <c r="A804" s="1">
        <v>40</v>
      </c>
      <c r="B804" t="s">
        <v>23</v>
      </c>
      <c r="C804">
        <v>61</v>
      </c>
      <c r="D804">
        <v>2</v>
      </c>
      <c r="E804" t="s">
        <v>47</v>
      </c>
      <c r="F804" t="s">
        <v>48</v>
      </c>
      <c r="G804" t="str">
        <f>"2026-02-03 07:10:03.598"</f>
        <v>2026-02-03 07:10:03.598</v>
      </c>
      <c r="H804" t="s">
        <v>21</v>
      </c>
    </row>
    <row r="805" spans="1:10" x14ac:dyDescent="0.25">
      <c r="A805" s="1">
        <v>41</v>
      </c>
      <c r="B805" t="s">
        <v>36</v>
      </c>
      <c r="C805">
        <v>61</v>
      </c>
      <c r="D805">
        <v>2</v>
      </c>
      <c r="E805" t="s">
        <v>47</v>
      </c>
      <c r="F805" t="s">
        <v>48</v>
      </c>
      <c r="G805" t="str">
        <f>"2026-02-03 07:09:44.398"</f>
        <v>2026-02-03 07:09:44.398</v>
      </c>
      <c r="H805" t="s">
        <v>21</v>
      </c>
      <c r="I805">
        <v>30.34</v>
      </c>
      <c r="J805" t="s">
        <v>42</v>
      </c>
    </row>
    <row r="806" spans="1:10" x14ac:dyDescent="0.25">
      <c r="A806" s="1">
        <v>42</v>
      </c>
      <c r="B806" t="s">
        <v>23</v>
      </c>
      <c r="C806">
        <v>42</v>
      </c>
      <c r="D806">
        <v>1</v>
      </c>
      <c r="E806" t="s">
        <v>55</v>
      </c>
      <c r="F806" t="s">
        <v>56</v>
      </c>
      <c r="G806" t="str">
        <f>"2026-02-02 21:30:40.155"</f>
        <v>2026-02-02 21:30:40.155</v>
      </c>
      <c r="H806" t="s">
        <v>57</v>
      </c>
    </row>
    <row r="807" spans="1:10" x14ac:dyDescent="0.25">
      <c r="A807" s="1">
        <v>43</v>
      </c>
      <c r="B807" t="s">
        <v>27</v>
      </c>
      <c r="C807">
        <v>42</v>
      </c>
      <c r="D807">
        <v>1</v>
      </c>
      <c r="E807" t="s">
        <v>55</v>
      </c>
      <c r="F807" t="s">
        <v>56</v>
      </c>
      <c r="G807" t="str">
        <f>"2026-02-02 21:30:34.555"</f>
        <v>2026-02-02 21:30:34.555</v>
      </c>
      <c r="H807" t="s">
        <v>57</v>
      </c>
      <c r="I807">
        <v>0</v>
      </c>
      <c r="J807" t="s">
        <v>31</v>
      </c>
    </row>
    <row r="808" spans="1:10" x14ac:dyDescent="0.25">
      <c r="A808" s="1">
        <v>44</v>
      </c>
      <c r="B808" t="s">
        <v>23</v>
      </c>
      <c r="C808">
        <v>61</v>
      </c>
      <c r="D808">
        <v>2</v>
      </c>
      <c r="E808" t="s">
        <v>47</v>
      </c>
      <c r="F808" t="s">
        <v>48</v>
      </c>
      <c r="G808" t="str">
        <f>"2026-02-02 19:34:23.297"</f>
        <v>2026-02-02 19:34:23.297</v>
      </c>
      <c r="H808" t="s">
        <v>21</v>
      </c>
    </row>
    <row r="809" spans="1:10" x14ac:dyDescent="0.25">
      <c r="A809" s="1">
        <v>45</v>
      </c>
      <c r="B809" t="s">
        <v>36</v>
      </c>
      <c r="C809">
        <v>61</v>
      </c>
      <c r="D809">
        <v>2</v>
      </c>
      <c r="E809" t="s">
        <v>47</v>
      </c>
      <c r="F809" t="s">
        <v>48</v>
      </c>
      <c r="G809" t="str">
        <f>"2026-02-02 19:34:09.297"</f>
        <v>2026-02-02 19:34:09.297</v>
      </c>
      <c r="H809" t="s">
        <v>21</v>
      </c>
      <c r="I809">
        <v>30.61</v>
      </c>
      <c r="J809" t="s">
        <v>42</v>
      </c>
    </row>
    <row r="810" spans="1:10" x14ac:dyDescent="0.25">
      <c r="A810" s="1">
        <v>46</v>
      </c>
      <c r="B810" t="s">
        <v>23</v>
      </c>
      <c r="C810">
        <v>61</v>
      </c>
      <c r="D810">
        <v>2</v>
      </c>
      <c r="E810" t="s">
        <v>47</v>
      </c>
      <c r="F810" t="s">
        <v>48</v>
      </c>
      <c r="G810" t="str">
        <f>"2026-02-02 03:07:49.497"</f>
        <v>2026-02-02 03:07:49.497</v>
      </c>
      <c r="H810" t="s">
        <v>21</v>
      </c>
    </row>
    <row r="811" spans="1:10" x14ac:dyDescent="0.25">
      <c r="A811" s="1">
        <v>47</v>
      </c>
      <c r="B811" t="s">
        <v>36</v>
      </c>
      <c r="C811">
        <v>61</v>
      </c>
      <c r="D811">
        <v>2</v>
      </c>
      <c r="E811" t="s">
        <v>47</v>
      </c>
      <c r="F811" t="s">
        <v>48</v>
      </c>
      <c r="G811" t="str">
        <f>"2026-02-02 03:07:44.798"</f>
        <v>2026-02-02 03:07:44.798</v>
      </c>
      <c r="H811" t="s">
        <v>21</v>
      </c>
      <c r="I811">
        <v>29.59</v>
      </c>
      <c r="J811" t="s">
        <v>42</v>
      </c>
    </row>
    <row r="812" spans="1:10" x14ac:dyDescent="0.25">
      <c r="A812" s="1">
        <v>49</v>
      </c>
      <c r="B812" t="s">
        <v>23</v>
      </c>
      <c r="C812">
        <v>635</v>
      </c>
      <c r="D812">
        <v>1</v>
      </c>
      <c r="E812" t="s">
        <v>43</v>
      </c>
      <c r="F812" t="s">
        <v>25</v>
      </c>
      <c r="G812" t="str">
        <f>"2026-02-01 03:50:14.237"</f>
        <v>2026-02-01 03:50:14.237</v>
      </c>
      <c r="H812" t="s">
        <v>21</v>
      </c>
    </row>
    <row r="813" spans="1:10" x14ac:dyDescent="0.25">
      <c r="A813" s="1">
        <v>50</v>
      </c>
      <c r="B813" t="s">
        <v>27</v>
      </c>
      <c r="C813">
        <v>635</v>
      </c>
      <c r="D813">
        <v>1</v>
      </c>
      <c r="E813" t="s">
        <v>43</v>
      </c>
      <c r="F813" t="s">
        <v>25</v>
      </c>
      <c r="G813" t="str">
        <f>"2026-02-01 03:46:06.237"</f>
        <v>2026-02-01 03:46:06.237</v>
      </c>
      <c r="H813" t="s">
        <v>21</v>
      </c>
      <c r="I813">
        <v>6.97</v>
      </c>
      <c r="J813" t="s">
        <v>42</v>
      </c>
    </row>
    <row r="814" spans="1:10" x14ac:dyDescent="0.25">
      <c r="A814" s="1">
        <v>51</v>
      </c>
      <c r="B814" t="s">
        <v>23</v>
      </c>
      <c r="C814">
        <v>635</v>
      </c>
      <c r="D814">
        <v>1</v>
      </c>
      <c r="E814" t="s">
        <v>43</v>
      </c>
      <c r="F814" t="s">
        <v>25</v>
      </c>
      <c r="G814" t="str">
        <f>"2026-01-31 17:06:17.137"</f>
        <v>2026-01-31 17:06:17.137</v>
      </c>
      <c r="H814" t="s">
        <v>21</v>
      </c>
    </row>
    <row r="815" spans="1:10" x14ac:dyDescent="0.25">
      <c r="A815" s="1">
        <v>52</v>
      </c>
      <c r="B815" t="s">
        <v>27</v>
      </c>
      <c r="C815">
        <v>635</v>
      </c>
      <c r="D815">
        <v>1</v>
      </c>
      <c r="E815" t="s">
        <v>43</v>
      </c>
      <c r="F815" t="s">
        <v>25</v>
      </c>
      <c r="G815" t="str">
        <f>"2026-01-31 16:57:52.637"</f>
        <v>2026-01-31 16:57:52.637</v>
      </c>
      <c r="H815" t="s">
        <v>21</v>
      </c>
      <c r="I815">
        <v>7.79</v>
      </c>
      <c r="J815" t="s">
        <v>37</v>
      </c>
    </row>
    <row r="816" spans="1:10" x14ac:dyDescent="0.25">
      <c r="A816" s="1">
        <v>54</v>
      </c>
      <c r="B816" t="s">
        <v>23</v>
      </c>
      <c r="C816">
        <v>98</v>
      </c>
      <c r="D816">
        <v>1</v>
      </c>
      <c r="E816" t="s">
        <v>38</v>
      </c>
      <c r="F816" t="s">
        <v>39</v>
      </c>
      <c r="G816" t="str">
        <f>"2026-01-30 18:02:50.197"</f>
        <v>2026-01-30 18:02:50.197</v>
      </c>
      <c r="H816" t="s">
        <v>21</v>
      </c>
    </row>
    <row r="817" spans="1:10" x14ac:dyDescent="0.25">
      <c r="A817" s="1">
        <v>55</v>
      </c>
      <c r="B817" t="s">
        <v>27</v>
      </c>
      <c r="C817">
        <v>98</v>
      </c>
      <c r="D817">
        <v>1</v>
      </c>
      <c r="E817" t="s">
        <v>38</v>
      </c>
      <c r="F817" t="s">
        <v>39</v>
      </c>
      <c r="G817" t="str">
        <f>"2026-01-30 18:02:49.197"</f>
        <v>2026-01-30 18:02:49.197</v>
      </c>
      <c r="H817" t="s">
        <v>21</v>
      </c>
      <c r="I817">
        <v>0</v>
      </c>
      <c r="J817" t="s">
        <v>28</v>
      </c>
    </row>
    <row r="818" spans="1:10" x14ac:dyDescent="0.25">
      <c r="A818" s="1">
        <v>56</v>
      </c>
      <c r="B818" t="s">
        <v>23</v>
      </c>
      <c r="C818">
        <v>98</v>
      </c>
      <c r="D818">
        <v>1</v>
      </c>
      <c r="E818" t="s">
        <v>38</v>
      </c>
      <c r="F818" t="s">
        <v>39</v>
      </c>
      <c r="G818" t="str">
        <f>"2026-01-30 18:02:48.797"</f>
        <v>2026-01-30 18:02:48.797</v>
      </c>
      <c r="H818" t="s">
        <v>21</v>
      </c>
    </row>
    <row r="819" spans="1:10" x14ac:dyDescent="0.25">
      <c r="A819" s="1">
        <v>57</v>
      </c>
      <c r="B819" t="s">
        <v>27</v>
      </c>
      <c r="C819">
        <v>98</v>
      </c>
      <c r="D819">
        <v>1</v>
      </c>
      <c r="E819" t="s">
        <v>38</v>
      </c>
      <c r="F819" t="s">
        <v>39</v>
      </c>
      <c r="G819" t="str">
        <f>"2026-01-30 18:02:47.798"</f>
        <v>2026-01-30 18:02:47.798</v>
      </c>
      <c r="H819" t="s">
        <v>21</v>
      </c>
      <c r="I819">
        <v>0</v>
      </c>
      <c r="J819" t="s">
        <v>28</v>
      </c>
    </row>
    <row r="820" spans="1:10" x14ac:dyDescent="0.25">
      <c r="A820" s="1">
        <v>58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"2026-01-30 08:17:17.503"</f>
        <v>2026-01-30 08:17:17.503</v>
      </c>
      <c r="H820" t="s">
        <v>21</v>
      </c>
      <c r="I820">
        <v>0</v>
      </c>
      <c r="J820" t="s">
        <v>22</v>
      </c>
    </row>
    <row r="821" spans="1:10" x14ac:dyDescent="0.25">
      <c r="A821" s="1">
        <v>59</v>
      </c>
      <c r="B821" t="s">
        <v>23</v>
      </c>
      <c r="C821">
        <v>98</v>
      </c>
      <c r="D821">
        <v>1</v>
      </c>
      <c r="E821" t="s">
        <v>38</v>
      </c>
      <c r="F821" t="s">
        <v>39</v>
      </c>
      <c r="G821" t="str">
        <f>"2026-01-30 08:07:08.548"</f>
        <v>2026-01-30 08:07:08.548</v>
      </c>
      <c r="H821" t="s">
        <v>21</v>
      </c>
    </row>
    <row r="822" spans="1:10" x14ac:dyDescent="0.25">
      <c r="A822" s="1">
        <v>60</v>
      </c>
      <c r="B822" t="s">
        <v>27</v>
      </c>
      <c r="C822">
        <v>98</v>
      </c>
      <c r="D822">
        <v>1</v>
      </c>
      <c r="E822" t="s">
        <v>38</v>
      </c>
      <c r="F822" t="s">
        <v>39</v>
      </c>
      <c r="G822" t="str">
        <f>"2026-01-30 08:07:07.549"</f>
        <v>2026-01-30 08:07:07.549</v>
      </c>
      <c r="H822" t="s">
        <v>21</v>
      </c>
      <c r="I822">
        <v>0</v>
      </c>
      <c r="J822" t="s">
        <v>28</v>
      </c>
    </row>
    <row r="823" spans="1:10" x14ac:dyDescent="0.25">
      <c r="A823" s="1">
        <v>61</v>
      </c>
      <c r="B823" t="s">
        <v>23</v>
      </c>
      <c r="C823">
        <v>635</v>
      </c>
      <c r="D823">
        <v>1</v>
      </c>
      <c r="E823" t="s">
        <v>43</v>
      </c>
      <c r="F823" t="s">
        <v>25</v>
      </c>
      <c r="G823" t="str">
        <f>"2026-01-30 05:27:31.195"</f>
        <v>2026-01-30 05:27:31.195</v>
      </c>
      <c r="H823" t="s">
        <v>21</v>
      </c>
    </row>
    <row r="824" spans="1:10" x14ac:dyDescent="0.25">
      <c r="A824" s="1">
        <v>62</v>
      </c>
      <c r="B824" t="s">
        <v>27</v>
      </c>
      <c r="C824">
        <v>635</v>
      </c>
      <c r="D824">
        <v>1</v>
      </c>
      <c r="E824" t="s">
        <v>43</v>
      </c>
      <c r="F824" t="s">
        <v>25</v>
      </c>
      <c r="G824" t="str">
        <f>"2026-01-30 05:25:26.695"</f>
        <v>2026-01-30 05:25:26.695</v>
      </c>
      <c r="H824" t="s">
        <v>21</v>
      </c>
      <c r="I824">
        <v>5.71</v>
      </c>
      <c r="J824" t="s">
        <v>28</v>
      </c>
    </row>
    <row r="825" spans="1:10" x14ac:dyDescent="0.25">
      <c r="A825" s="1">
        <v>64</v>
      </c>
      <c r="B825" t="s">
        <v>23</v>
      </c>
      <c r="C825">
        <v>635</v>
      </c>
      <c r="D825">
        <v>1</v>
      </c>
      <c r="E825" t="s">
        <v>43</v>
      </c>
      <c r="F825" t="s">
        <v>25</v>
      </c>
      <c r="G825" t="str">
        <f>"2026-01-29 10:50:02.095"</f>
        <v>2026-01-29 10:50:02.095</v>
      </c>
      <c r="H825" t="s">
        <v>21</v>
      </c>
    </row>
    <row r="826" spans="1:10" x14ac:dyDescent="0.25">
      <c r="A826" s="1">
        <v>65</v>
      </c>
      <c r="B826" t="s">
        <v>27</v>
      </c>
      <c r="C826">
        <v>635</v>
      </c>
      <c r="D826">
        <v>1</v>
      </c>
      <c r="E826" t="s">
        <v>43</v>
      </c>
      <c r="F826" t="s">
        <v>25</v>
      </c>
      <c r="G826" t="str">
        <f>"2026-01-29 10:47:28.095"</f>
        <v>2026-01-29 10:47:28.095</v>
      </c>
      <c r="H826" t="s">
        <v>21</v>
      </c>
      <c r="I826">
        <v>4.49</v>
      </c>
      <c r="J826" t="s">
        <v>37</v>
      </c>
    </row>
    <row r="827" spans="1:10" x14ac:dyDescent="0.25">
      <c r="A827" s="1">
        <v>67</v>
      </c>
      <c r="B827" t="s">
        <v>19</v>
      </c>
      <c r="C827">
        <v>706</v>
      </c>
      <c r="D827">
        <v>4</v>
      </c>
      <c r="E827" t="s">
        <v>29</v>
      </c>
      <c r="F827" t="s">
        <v>30</v>
      </c>
      <c r="G827" t="str">
        <f>"2026-01-28 12:56:15.674"</f>
        <v>2026-01-28 12:56:15.674</v>
      </c>
      <c r="H827" t="s">
        <v>21</v>
      </c>
      <c r="I827">
        <v>0</v>
      </c>
      <c r="J827" t="s">
        <v>31</v>
      </c>
    </row>
    <row r="828" spans="1:10" x14ac:dyDescent="0.25">
      <c r="A828" s="1">
        <v>68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"2026-01-28 12:54:49.474"</f>
        <v>2026-01-28 12:54:49.474</v>
      </c>
      <c r="H828" t="s">
        <v>21</v>
      </c>
      <c r="I828">
        <v>0</v>
      </c>
      <c r="J828" t="s">
        <v>22</v>
      </c>
    </row>
    <row r="829" spans="1:10" x14ac:dyDescent="0.25">
      <c r="A829" s="1">
        <v>73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"2026-01-27 13:30:22.434"</f>
        <v>2026-01-27 13:30:22.434</v>
      </c>
      <c r="H829" t="s">
        <v>21</v>
      </c>
    </row>
    <row r="830" spans="1:10" x14ac:dyDescent="0.25">
      <c r="A830" s="1">
        <v>76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"2026-01-26 21:41:48.435"</f>
        <v>2026-01-26 21:41:48.435</v>
      </c>
      <c r="H830" t="s">
        <v>21</v>
      </c>
      <c r="I830">
        <v>0</v>
      </c>
      <c r="J830" t="s">
        <v>22</v>
      </c>
    </row>
    <row r="831" spans="1:10" x14ac:dyDescent="0.25">
      <c r="A831" s="1">
        <v>77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"2026-01-26 21:40:39.455"</f>
        <v>2026-01-26 21:40:39.455</v>
      </c>
      <c r="H831" t="s">
        <v>21</v>
      </c>
      <c r="I831">
        <v>0</v>
      </c>
      <c r="J831" t="s">
        <v>22</v>
      </c>
    </row>
    <row r="832" spans="1:10" x14ac:dyDescent="0.25">
      <c r="A832" s="1">
        <v>78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"2026-01-26 13:37:40.427"</f>
        <v>2026-01-26 13:37:40.427</v>
      </c>
      <c r="H832" t="s">
        <v>21</v>
      </c>
    </row>
    <row r="833" spans="1:10" s="3" customFormat="1" x14ac:dyDescent="0.25">
      <c r="A833" s="2">
        <v>79</v>
      </c>
      <c r="B833" s="3" t="s">
        <v>23</v>
      </c>
      <c r="C833" s="3">
        <v>647</v>
      </c>
      <c r="D833" s="3">
        <v>1</v>
      </c>
      <c r="E833" s="3" t="s">
        <v>40</v>
      </c>
      <c r="F833" s="3" t="s">
        <v>41</v>
      </c>
      <c r="G833" s="3" t="str">
        <f>"2026-01-26 06:56:20.645"</f>
        <v>2026-01-26 06:56:20.645</v>
      </c>
      <c r="H833" s="3" t="s">
        <v>21</v>
      </c>
    </row>
    <row r="834" spans="1:10" s="3" customFormat="1" x14ac:dyDescent="0.25">
      <c r="A834" s="2">
        <v>80</v>
      </c>
      <c r="B834" s="3" t="s">
        <v>27</v>
      </c>
      <c r="C834" s="3">
        <v>647</v>
      </c>
      <c r="D834" s="3">
        <v>1</v>
      </c>
      <c r="E834" s="3" t="s">
        <v>40</v>
      </c>
      <c r="F834" s="3" t="s">
        <v>41</v>
      </c>
      <c r="G834" s="3" t="str">
        <f>"2026-01-26 06:56:16.545"</f>
        <v>2026-01-26 06:56:16.545</v>
      </c>
      <c r="H834" s="3" t="s">
        <v>21</v>
      </c>
      <c r="I834" s="3">
        <v>10.119999999999999</v>
      </c>
      <c r="J834" s="3" t="s">
        <v>42</v>
      </c>
    </row>
    <row r="835" spans="1:10" x14ac:dyDescent="0.25">
      <c r="A835" s="1">
        <v>81</v>
      </c>
      <c r="B835" t="s">
        <v>23</v>
      </c>
      <c r="C835">
        <v>635</v>
      </c>
      <c r="D835">
        <v>1</v>
      </c>
      <c r="E835" t="s">
        <v>43</v>
      </c>
      <c r="F835" t="s">
        <v>25</v>
      </c>
      <c r="G835" t="str">
        <f>"2026-01-26 03:51:55.945"</f>
        <v>2026-01-26 03:51:55.945</v>
      </c>
      <c r="H835" t="s">
        <v>21</v>
      </c>
    </row>
    <row r="836" spans="1:10" x14ac:dyDescent="0.25">
      <c r="A836" s="1">
        <v>82</v>
      </c>
      <c r="B836" t="s">
        <v>27</v>
      </c>
      <c r="C836">
        <v>635</v>
      </c>
      <c r="D836">
        <v>1</v>
      </c>
      <c r="E836" t="s">
        <v>43</v>
      </c>
      <c r="F836" t="s">
        <v>25</v>
      </c>
      <c r="G836" t="str">
        <f>"2026-01-26 03:49:28.445"</f>
        <v>2026-01-26 03:49:28.445</v>
      </c>
      <c r="H836" t="s">
        <v>21</v>
      </c>
      <c r="I836">
        <v>2.0299999999999998</v>
      </c>
      <c r="J836" t="s">
        <v>28</v>
      </c>
    </row>
    <row r="837" spans="1:10" x14ac:dyDescent="0.25">
      <c r="A837" s="1">
        <v>84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"2026-01-25 16:25:40.443"</f>
        <v>2026-01-25 16:25:40.443</v>
      </c>
      <c r="H837" t="s">
        <v>21</v>
      </c>
    </row>
    <row r="838" spans="1:10" x14ac:dyDescent="0.25">
      <c r="A838" s="1">
        <v>88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"2026-01-25 11:10:05.541"</f>
        <v>2026-01-25 11:10:05.541</v>
      </c>
      <c r="H838" t="s">
        <v>21</v>
      </c>
      <c r="I838">
        <v>0</v>
      </c>
      <c r="J838" t="s">
        <v>22</v>
      </c>
    </row>
    <row r="839" spans="1:10" x14ac:dyDescent="0.25">
      <c r="A839" s="1">
        <v>91</v>
      </c>
      <c r="B839" t="s">
        <v>23</v>
      </c>
      <c r="C839">
        <v>635</v>
      </c>
      <c r="D839">
        <v>1</v>
      </c>
      <c r="E839" t="s">
        <v>43</v>
      </c>
      <c r="F839" t="s">
        <v>25</v>
      </c>
      <c r="G839" t="str">
        <f>"2026-01-25 08:42:42.467"</f>
        <v>2026-01-25 08:42:42.467</v>
      </c>
      <c r="H839" t="s">
        <v>21</v>
      </c>
    </row>
    <row r="840" spans="1:10" x14ac:dyDescent="0.25">
      <c r="A840" s="1">
        <v>92</v>
      </c>
      <c r="B840" t="s">
        <v>27</v>
      </c>
      <c r="C840">
        <v>635</v>
      </c>
      <c r="D840">
        <v>1</v>
      </c>
      <c r="E840" t="s">
        <v>43</v>
      </c>
      <c r="F840" t="s">
        <v>25</v>
      </c>
      <c r="G840" t="str">
        <f>"2026-01-25 08:40:13.967"</f>
        <v>2026-01-25 08:40:13.967</v>
      </c>
      <c r="H840" t="s">
        <v>21</v>
      </c>
      <c r="I840">
        <v>-3.01</v>
      </c>
      <c r="J840" t="s">
        <v>37</v>
      </c>
    </row>
    <row r="841" spans="1:10" x14ac:dyDescent="0.25">
      <c r="A841" s="1">
        <v>93</v>
      </c>
      <c r="B841" t="s">
        <v>23</v>
      </c>
      <c r="C841">
        <v>635</v>
      </c>
      <c r="D841">
        <v>1</v>
      </c>
      <c r="E841" t="s">
        <v>43</v>
      </c>
      <c r="F841" t="s">
        <v>25</v>
      </c>
      <c r="G841" t="str">
        <f>"2026-01-24 21:32:45.467"</f>
        <v>2026-01-24 21:32:45.467</v>
      </c>
      <c r="H841" t="s">
        <v>21</v>
      </c>
    </row>
    <row r="842" spans="1:10" x14ac:dyDescent="0.25">
      <c r="A842" s="1">
        <v>94</v>
      </c>
      <c r="B842" t="s">
        <v>27</v>
      </c>
      <c r="C842">
        <v>635</v>
      </c>
      <c r="D842">
        <v>1</v>
      </c>
      <c r="E842" t="s">
        <v>43</v>
      </c>
      <c r="F842" t="s">
        <v>25</v>
      </c>
      <c r="G842" t="str">
        <f>"2026-01-24 21:28:20.467"</f>
        <v>2026-01-24 21:28:20.467</v>
      </c>
      <c r="H842" t="s">
        <v>21</v>
      </c>
      <c r="I842">
        <v>1.9</v>
      </c>
      <c r="J842" t="s">
        <v>37</v>
      </c>
    </row>
    <row r="843" spans="1:10" x14ac:dyDescent="0.25">
      <c r="A843" s="1">
        <v>95</v>
      </c>
      <c r="B843" t="s">
        <v>23</v>
      </c>
      <c r="C843">
        <v>635</v>
      </c>
      <c r="D843">
        <v>1</v>
      </c>
      <c r="E843" t="s">
        <v>43</v>
      </c>
      <c r="F843" t="s">
        <v>25</v>
      </c>
      <c r="G843" t="str">
        <f>"2026-01-24 16:47:12.067"</f>
        <v>2026-01-24 16:47:12.067</v>
      </c>
      <c r="H843" t="s">
        <v>21</v>
      </c>
    </row>
    <row r="844" spans="1:10" x14ac:dyDescent="0.25">
      <c r="A844" s="1">
        <v>96</v>
      </c>
      <c r="B844" t="s">
        <v>27</v>
      </c>
      <c r="C844">
        <v>635</v>
      </c>
      <c r="D844">
        <v>1</v>
      </c>
      <c r="E844" t="s">
        <v>43</v>
      </c>
      <c r="F844" t="s">
        <v>25</v>
      </c>
      <c r="G844" t="str">
        <f>"2026-01-24 16:42:16.067"</f>
        <v>2026-01-24 16:42:16.067</v>
      </c>
      <c r="H844" t="s">
        <v>21</v>
      </c>
      <c r="I844">
        <v>7.72</v>
      </c>
      <c r="J844" t="s">
        <v>37</v>
      </c>
    </row>
    <row r="845" spans="1:10" x14ac:dyDescent="0.25">
      <c r="A845" s="1">
        <v>97</v>
      </c>
      <c r="B845" t="s">
        <v>23</v>
      </c>
      <c r="C845">
        <v>635</v>
      </c>
      <c r="D845">
        <v>1</v>
      </c>
      <c r="E845" t="s">
        <v>43</v>
      </c>
      <c r="F845" t="s">
        <v>25</v>
      </c>
      <c r="G845" t="str">
        <f>"2026-01-24 16:13:26.567"</f>
        <v>2026-01-24 16:13:26.567</v>
      </c>
      <c r="H845" t="s">
        <v>21</v>
      </c>
    </row>
    <row r="846" spans="1:10" x14ac:dyDescent="0.25">
      <c r="A846" s="1">
        <v>98</v>
      </c>
      <c r="B846" t="s">
        <v>27</v>
      </c>
      <c r="C846">
        <v>635</v>
      </c>
      <c r="D846">
        <v>1</v>
      </c>
      <c r="E846" t="s">
        <v>43</v>
      </c>
      <c r="F846" t="s">
        <v>25</v>
      </c>
      <c r="G846" t="str">
        <f>"2026-01-24 16:08:33.667"</f>
        <v>2026-01-24 16:08:33.667</v>
      </c>
      <c r="H846" t="s">
        <v>21</v>
      </c>
      <c r="I846">
        <v>7.47</v>
      </c>
      <c r="J846" t="s">
        <v>37</v>
      </c>
    </row>
    <row r="847" spans="1:10" x14ac:dyDescent="0.25">
      <c r="A847" s="1">
        <v>99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"2026-01-24 13:25:22.433"</f>
        <v>2026-01-24 13:25:22.433</v>
      </c>
      <c r="H847" t="s">
        <v>21</v>
      </c>
      <c r="I847">
        <v>0</v>
      </c>
      <c r="J847" t="s">
        <v>22</v>
      </c>
    </row>
    <row r="848" spans="1:10" x14ac:dyDescent="0.25">
      <c r="A848" s="1">
        <v>100</v>
      </c>
      <c r="B848" t="s">
        <v>23</v>
      </c>
      <c r="C848">
        <v>635</v>
      </c>
      <c r="D848">
        <v>1</v>
      </c>
      <c r="E848" t="s">
        <v>43</v>
      </c>
      <c r="F848" t="s">
        <v>25</v>
      </c>
      <c r="G848" t="str">
        <f>"2026-01-24 10:31:47.006"</f>
        <v>2026-01-24 10:31:47.006</v>
      </c>
      <c r="H848" t="s">
        <v>21</v>
      </c>
    </row>
    <row r="849" spans="1:10" x14ac:dyDescent="0.25">
      <c r="A849" s="1">
        <v>101</v>
      </c>
      <c r="B849" t="s">
        <v>27</v>
      </c>
      <c r="C849">
        <v>635</v>
      </c>
      <c r="D849">
        <v>1</v>
      </c>
      <c r="E849" t="s">
        <v>43</v>
      </c>
      <c r="F849" t="s">
        <v>25</v>
      </c>
      <c r="G849" t="str">
        <f>"2026-01-24 10:27:37.506"</f>
        <v>2026-01-24 10:27:37.506</v>
      </c>
      <c r="H849" t="s">
        <v>21</v>
      </c>
      <c r="I849">
        <v>5.93</v>
      </c>
      <c r="J849" t="s">
        <v>42</v>
      </c>
    </row>
    <row r="850" spans="1:10" x14ac:dyDescent="0.25">
      <c r="A850" s="1">
        <v>103</v>
      </c>
      <c r="B850" t="s">
        <v>19</v>
      </c>
      <c r="C850">
        <v>706</v>
      </c>
      <c r="D850">
        <v>4</v>
      </c>
      <c r="E850" t="s">
        <v>29</v>
      </c>
      <c r="F850" t="s">
        <v>30</v>
      </c>
      <c r="G850" t="str">
        <f>"2026-01-23 23:17:08.868"</f>
        <v>2026-01-23 23:17:08.868</v>
      </c>
      <c r="H850" t="s">
        <v>21</v>
      </c>
      <c r="I850">
        <v>0</v>
      </c>
      <c r="J850" t="s">
        <v>31</v>
      </c>
    </row>
    <row r="851" spans="1:10" x14ac:dyDescent="0.25">
      <c r="A851" s="1">
        <v>104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"2026-01-23 23:16:35.408"</f>
        <v>2026-01-23 23:16:35.408</v>
      </c>
      <c r="H851" t="s">
        <v>21</v>
      </c>
      <c r="I851">
        <v>0</v>
      </c>
      <c r="J851" t="s">
        <v>22</v>
      </c>
    </row>
    <row r="852" spans="1:10" x14ac:dyDescent="0.25">
      <c r="A852" s="1">
        <v>105</v>
      </c>
      <c r="B852" t="s">
        <v>19</v>
      </c>
      <c r="C852">
        <v>706</v>
      </c>
      <c r="D852">
        <v>4</v>
      </c>
      <c r="E852" t="s">
        <v>29</v>
      </c>
      <c r="F852" t="s">
        <v>30</v>
      </c>
      <c r="G852" t="str">
        <f>"2026-01-23 22:56:21.881"</f>
        <v>2026-01-23 22:56:21.881</v>
      </c>
      <c r="H852" t="s">
        <v>21</v>
      </c>
      <c r="I852">
        <v>0</v>
      </c>
      <c r="J852" t="s">
        <v>31</v>
      </c>
    </row>
    <row r="853" spans="1:10" x14ac:dyDescent="0.25">
      <c r="A853" s="1">
        <v>106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"2026-01-23 22:17:41.411"</f>
        <v>2026-01-23 22:17:41.411</v>
      </c>
      <c r="H853" t="s">
        <v>21</v>
      </c>
      <c r="I853">
        <v>0</v>
      </c>
      <c r="J853" t="s">
        <v>22</v>
      </c>
    </row>
    <row r="854" spans="1:10" x14ac:dyDescent="0.25">
      <c r="A854" s="1">
        <v>107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"2026-01-23 20:59:53.777"</f>
        <v>2026-01-23 20:59:53.777</v>
      </c>
      <c r="H854" t="s">
        <v>21</v>
      </c>
      <c r="I854">
        <v>0</v>
      </c>
      <c r="J854" t="s">
        <v>22</v>
      </c>
    </row>
    <row r="855" spans="1:10" x14ac:dyDescent="0.25">
      <c r="A855" s="1">
        <v>108</v>
      </c>
      <c r="B855" t="s">
        <v>23</v>
      </c>
      <c r="C855">
        <v>635</v>
      </c>
      <c r="D855">
        <v>1</v>
      </c>
      <c r="E855" t="s">
        <v>43</v>
      </c>
      <c r="F855" t="s">
        <v>25</v>
      </c>
      <c r="G855" t="str">
        <f>"2026-01-23 16:07:25.030"</f>
        <v>2026-01-23 16:07:25.030</v>
      </c>
      <c r="H855" t="s">
        <v>21</v>
      </c>
    </row>
    <row r="856" spans="1:10" x14ac:dyDescent="0.25">
      <c r="A856" s="1">
        <v>109</v>
      </c>
      <c r="B856" t="s">
        <v>27</v>
      </c>
      <c r="C856">
        <v>635</v>
      </c>
      <c r="D856">
        <v>1</v>
      </c>
      <c r="E856" t="s">
        <v>43</v>
      </c>
      <c r="F856" t="s">
        <v>25</v>
      </c>
      <c r="G856" t="str">
        <f>"2026-01-23 16:03:05.530"</f>
        <v>2026-01-23 16:03:05.530</v>
      </c>
      <c r="H856" t="s">
        <v>21</v>
      </c>
      <c r="I856">
        <v>5.79</v>
      </c>
      <c r="J856" t="s">
        <v>37</v>
      </c>
    </row>
    <row r="857" spans="1:10" x14ac:dyDescent="0.25">
      <c r="A857" s="1">
        <v>111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"2026-01-23 12:56:51.428"</f>
        <v>2026-01-23 12:56:51.428</v>
      </c>
      <c r="H857" t="s">
        <v>21</v>
      </c>
      <c r="I857">
        <v>0</v>
      </c>
      <c r="J857" t="s">
        <v>22</v>
      </c>
    </row>
    <row r="858" spans="1:10" x14ac:dyDescent="0.25">
      <c r="A858" s="1">
        <v>112</v>
      </c>
      <c r="B858" t="s">
        <v>23</v>
      </c>
      <c r="C858">
        <v>635</v>
      </c>
      <c r="D858">
        <v>1</v>
      </c>
      <c r="E858" t="s">
        <v>43</v>
      </c>
      <c r="F858" t="s">
        <v>25</v>
      </c>
      <c r="G858" t="str">
        <f>"2026-01-21 20:09:50.626"</f>
        <v>2026-01-21 20:09:50.626</v>
      </c>
      <c r="H858" t="s">
        <v>21</v>
      </c>
    </row>
    <row r="859" spans="1:10" x14ac:dyDescent="0.25">
      <c r="A859" s="1">
        <v>113</v>
      </c>
      <c r="B859" t="s">
        <v>27</v>
      </c>
      <c r="C859">
        <v>635</v>
      </c>
      <c r="D859">
        <v>1</v>
      </c>
      <c r="E859" t="s">
        <v>43</v>
      </c>
      <c r="F859" t="s">
        <v>25</v>
      </c>
      <c r="G859" t="str">
        <f>"2026-01-21 20:02:50.626"</f>
        <v>2026-01-21 20:02:50.626</v>
      </c>
      <c r="H859" t="s">
        <v>21</v>
      </c>
      <c r="I859">
        <v>0.03</v>
      </c>
      <c r="J859" t="s">
        <v>28</v>
      </c>
    </row>
    <row r="860" spans="1:10" x14ac:dyDescent="0.25">
      <c r="A860" s="1">
        <v>114</v>
      </c>
      <c r="B860" t="s">
        <v>23</v>
      </c>
      <c r="C860">
        <v>635</v>
      </c>
      <c r="D860">
        <v>1</v>
      </c>
      <c r="E860" t="s">
        <v>43</v>
      </c>
      <c r="F860" t="s">
        <v>25</v>
      </c>
      <c r="G860" t="str">
        <f>"2026-01-21 16:29:40.626"</f>
        <v>2026-01-21 16:29:40.626</v>
      </c>
      <c r="H860" t="s">
        <v>21</v>
      </c>
    </row>
    <row r="861" spans="1:10" x14ac:dyDescent="0.25">
      <c r="A861" s="1">
        <v>115</v>
      </c>
      <c r="B861" t="s">
        <v>27</v>
      </c>
      <c r="C861">
        <v>635</v>
      </c>
      <c r="D861">
        <v>1</v>
      </c>
      <c r="E861" t="s">
        <v>43</v>
      </c>
      <c r="F861" t="s">
        <v>25</v>
      </c>
      <c r="G861" t="str">
        <f>"2026-01-21 16:24:34.126"</f>
        <v>2026-01-21 16:24:34.126</v>
      </c>
      <c r="H861" t="s">
        <v>21</v>
      </c>
      <c r="I861">
        <v>2.75</v>
      </c>
      <c r="J861" t="s">
        <v>37</v>
      </c>
    </row>
    <row r="862" spans="1:10" x14ac:dyDescent="0.25">
      <c r="A862" s="1">
        <v>117</v>
      </c>
      <c r="B862" t="s">
        <v>23</v>
      </c>
      <c r="C862">
        <v>635</v>
      </c>
      <c r="D862">
        <v>1</v>
      </c>
      <c r="E862" t="s">
        <v>43</v>
      </c>
      <c r="F862" t="s">
        <v>25</v>
      </c>
      <c r="G862" t="str">
        <f>"2026-01-20 23:51:43.226"</f>
        <v>2026-01-20 23:51:43.226</v>
      </c>
      <c r="H862" t="s">
        <v>21</v>
      </c>
    </row>
    <row r="863" spans="1:10" x14ac:dyDescent="0.25">
      <c r="A863" s="1">
        <v>118</v>
      </c>
      <c r="B863" t="s">
        <v>27</v>
      </c>
      <c r="C863">
        <v>635</v>
      </c>
      <c r="D863">
        <v>1</v>
      </c>
      <c r="E863" t="s">
        <v>43</v>
      </c>
      <c r="F863" t="s">
        <v>25</v>
      </c>
      <c r="G863" t="str">
        <f>"2026-01-20 23:49:53.226"</f>
        <v>2026-01-20 23:49:53.226</v>
      </c>
      <c r="H863" t="s">
        <v>21</v>
      </c>
      <c r="I863">
        <v>0.75</v>
      </c>
      <c r="J863" t="s">
        <v>37</v>
      </c>
    </row>
    <row r="864" spans="1:10" x14ac:dyDescent="0.25">
      <c r="A864" s="1">
        <v>119</v>
      </c>
      <c r="B864" t="s">
        <v>23</v>
      </c>
      <c r="C864">
        <v>635</v>
      </c>
      <c r="D864">
        <v>1</v>
      </c>
      <c r="E864" t="s">
        <v>43</v>
      </c>
      <c r="F864" t="s">
        <v>25</v>
      </c>
      <c r="G864" t="str">
        <f>"2026-01-20 11:43:04.326"</f>
        <v>2026-01-20 11:43:04.326</v>
      </c>
      <c r="H864" t="s">
        <v>21</v>
      </c>
    </row>
    <row r="865" spans="1:10" x14ac:dyDescent="0.25">
      <c r="A865" s="1">
        <v>120</v>
      </c>
      <c r="B865" t="s">
        <v>27</v>
      </c>
      <c r="C865">
        <v>635</v>
      </c>
      <c r="D865">
        <v>1</v>
      </c>
      <c r="E865" t="s">
        <v>43</v>
      </c>
      <c r="F865" t="s">
        <v>25</v>
      </c>
      <c r="G865" t="str">
        <f>"2026-01-20 11:39:42.326"</f>
        <v>2026-01-20 11:39:42.326</v>
      </c>
      <c r="H865" t="s">
        <v>21</v>
      </c>
      <c r="I865">
        <v>6.62</v>
      </c>
      <c r="J865" t="s">
        <v>37</v>
      </c>
    </row>
    <row r="866" spans="1:10" x14ac:dyDescent="0.25">
      <c r="A866" s="1">
        <v>121</v>
      </c>
      <c r="B866" t="s">
        <v>19</v>
      </c>
      <c r="C866">
        <v>700</v>
      </c>
      <c r="D866">
        <v>0</v>
      </c>
      <c r="E866" t="s">
        <v>20</v>
      </c>
      <c r="F866" t="s">
        <v>20</v>
      </c>
      <c r="G866" t="str">
        <f>"2026-01-19 23:37:58.434"</f>
        <v>2026-01-19 23:37:58.434</v>
      </c>
      <c r="H866" t="s">
        <v>21</v>
      </c>
      <c r="I866">
        <v>0</v>
      </c>
      <c r="J866" t="s">
        <v>22</v>
      </c>
    </row>
    <row r="867" spans="1:10" x14ac:dyDescent="0.25">
      <c r="A867" s="1">
        <v>122</v>
      </c>
      <c r="B867" t="s">
        <v>23</v>
      </c>
      <c r="C867">
        <v>635</v>
      </c>
      <c r="D867">
        <v>1</v>
      </c>
      <c r="E867" t="s">
        <v>43</v>
      </c>
      <c r="F867" t="s">
        <v>25</v>
      </c>
      <c r="G867" t="str">
        <f>"2026-01-19 22:57:54.754"</f>
        <v>2026-01-19 22:57:54.754</v>
      </c>
      <c r="H867" t="s">
        <v>21</v>
      </c>
    </row>
    <row r="868" spans="1:10" x14ac:dyDescent="0.25">
      <c r="A868" s="1">
        <v>123</v>
      </c>
      <c r="B868" t="s">
        <v>27</v>
      </c>
      <c r="C868">
        <v>635</v>
      </c>
      <c r="D868">
        <v>1</v>
      </c>
      <c r="E868" t="s">
        <v>43</v>
      </c>
      <c r="F868" t="s">
        <v>25</v>
      </c>
      <c r="G868" t="str">
        <f>"2026-01-19 22:53:12.254"</f>
        <v>2026-01-19 22:53:12.254</v>
      </c>
      <c r="H868" t="s">
        <v>21</v>
      </c>
      <c r="I868">
        <v>7.99</v>
      </c>
      <c r="J868" t="s">
        <v>37</v>
      </c>
    </row>
    <row r="869" spans="1:10" x14ac:dyDescent="0.25">
      <c r="A869" s="1">
        <v>124</v>
      </c>
      <c r="B869" t="s">
        <v>23</v>
      </c>
      <c r="C869">
        <v>635</v>
      </c>
      <c r="D869">
        <v>1</v>
      </c>
      <c r="E869" t="s">
        <v>43</v>
      </c>
      <c r="F869" t="s">
        <v>25</v>
      </c>
      <c r="G869" t="str">
        <f>"2026-01-19 17:39:57.954"</f>
        <v>2026-01-19 17:39:57.954</v>
      </c>
      <c r="H869" t="s">
        <v>21</v>
      </c>
    </row>
    <row r="870" spans="1:10" x14ac:dyDescent="0.25">
      <c r="A870" s="1">
        <v>125</v>
      </c>
      <c r="B870" t="s">
        <v>27</v>
      </c>
      <c r="C870">
        <v>635</v>
      </c>
      <c r="D870">
        <v>1</v>
      </c>
      <c r="E870" t="s">
        <v>43</v>
      </c>
      <c r="F870" t="s">
        <v>25</v>
      </c>
      <c r="G870" t="str">
        <f>"2026-01-19 17:35:51.454"</f>
        <v>2026-01-19 17:35:51.454</v>
      </c>
      <c r="H870" t="s">
        <v>21</v>
      </c>
      <c r="I870">
        <v>7.11</v>
      </c>
      <c r="J870" t="s">
        <v>37</v>
      </c>
    </row>
    <row r="871" spans="1:10" x14ac:dyDescent="0.25">
      <c r="A871" s="1">
        <v>126</v>
      </c>
      <c r="B871" t="s">
        <v>23</v>
      </c>
      <c r="C871">
        <v>635</v>
      </c>
      <c r="D871">
        <v>1</v>
      </c>
      <c r="E871" t="s">
        <v>43</v>
      </c>
      <c r="F871" t="s">
        <v>25</v>
      </c>
      <c r="G871" t="str">
        <f>"2026-01-19 16:11:29.654"</f>
        <v>2026-01-19 16:11:29.654</v>
      </c>
      <c r="H871" t="s">
        <v>21</v>
      </c>
    </row>
    <row r="872" spans="1:10" x14ac:dyDescent="0.25">
      <c r="A872" s="1">
        <v>127</v>
      </c>
      <c r="B872" t="s">
        <v>27</v>
      </c>
      <c r="C872">
        <v>635</v>
      </c>
      <c r="D872">
        <v>1</v>
      </c>
      <c r="E872" t="s">
        <v>43</v>
      </c>
      <c r="F872" t="s">
        <v>25</v>
      </c>
      <c r="G872" t="str">
        <f>"2026-01-19 16:07:59.653"</f>
        <v>2026-01-19 16:07:59.653</v>
      </c>
      <c r="H872" t="s">
        <v>21</v>
      </c>
      <c r="I872">
        <v>7.65</v>
      </c>
      <c r="J872" t="s">
        <v>37</v>
      </c>
    </row>
    <row r="873" spans="1:10" x14ac:dyDescent="0.25">
      <c r="A873" s="1">
        <v>128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"2026-01-19 02:31:25.543"</f>
        <v>2026-01-19 02:31:25.543</v>
      </c>
      <c r="H873" t="s">
        <v>21</v>
      </c>
    </row>
    <row r="874" spans="1:10" x14ac:dyDescent="0.25">
      <c r="A874" s="1">
        <v>129</v>
      </c>
      <c r="B874" t="s">
        <v>23</v>
      </c>
      <c r="C874">
        <v>61</v>
      </c>
      <c r="D874">
        <v>2</v>
      </c>
      <c r="E874" t="s">
        <v>47</v>
      </c>
      <c r="F874" t="s">
        <v>48</v>
      </c>
      <c r="G874" t="str">
        <f>"2026-01-18 06:00:03.439"</f>
        <v>2026-01-18 06:00:03.439</v>
      </c>
      <c r="H874" t="s">
        <v>21</v>
      </c>
    </row>
    <row r="875" spans="1:10" x14ac:dyDescent="0.25">
      <c r="A875" s="1">
        <v>130</v>
      </c>
      <c r="B875" t="s">
        <v>36</v>
      </c>
      <c r="C875">
        <v>61</v>
      </c>
      <c r="D875">
        <v>2</v>
      </c>
      <c r="E875" t="s">
        <v>47</v>
      </c>
      <c r="F875" t="s">
        <v>48</v>
      </c>
      <c r="G875" t="str">
        <f>"2026-01-18 05:59:52.539"</f>
        <v>2026-01-18 05:59:52.539</v>
      </c>
      <c r="H875" t="s">
        <v>21</v>
      </c>
      <c r="I875">
        <v>30.09</v>
      </c>
      <c r="J875" t="s">
        <v>42</v>
      </c>
    </row>
    <row r="876" spans="1:10" x14ac:dyDescent="0.25">
      <c r="A876" s="1">
        <v>131</v>
      </c>
      <c r="B876" t="s">
        <v>19</v>
      </c>
      <c r="C876">
        <v>706</v>
      </c>
      <c r="D876">
        <v>2</v>
      </c>
      <c r="E876" t="s">
        <v>29</v>
      </c>
      <c r="F876" t="s">
        <v>44</v>
      </c>
      <c r="G876" t="str">
        <f>"2026-01-16 17:15:58.718"</f>
        <v>2026-01-16 17:15:58.718</v>
      </c>
      <c r="H876" t="s">
        <v>21</v>
      </c>
      <c r="I876">
        <v>0</v>
      </c>
      <c r="J876" t="s">
        <v>31</v>
      </c>
    </row>
    <row r="877" spans="1:10" x14ac:dyDescent="0.25">
      <c r="A877" s="1">
        <v>134</v>
      </c>
      <c r="B877" t="s">
        <v>19</v>
      </c>
      <c r="C877">
        <v>782</v>
      </c>
      <c r="D877">
        <v>7</v>
      </c>
      <c r="E877" t="s">
        <v>58</v>
      </c>
      <c r="F877" t="s">
        <v>59</v>
      </c>
      <c r="G877" t="str">
        <f>"2026-01-16 17:15:09.906"</f>
        <v>2026-01-16 17:15:09.906</v>
      </c>
      <c r="H877" t="s">
        <v>21</v>
      </c>
      <c r="I877">
        <v>0</v>
      </c>
      <c r="J877" t="s">
        <v>31</v>
      </c>
    </row>
    <row r="878" spans="1:10" x14ac:dyDescent="0.25">
      <c r="A878" s="1">
        <v>137</v>
      </c>
      <c r="B878" t="s">
        <v>23</v>
      </c>
      <c r="C878">
        <v>12</v>
      </c>
      <c r="D878">
        <v>2</v>
      </c>
      <c r="E878" t="s">
        <v>60</v>
      </c>
      <c r="F878" t="s">
        <v>61</v>
      </c>
      <c r="G878" t="str">
        <f>"2026-01-16 17:15:09.901"</f>
        <v>2026-01-16 17:15:09.901</v>
      </c>
      <c r="H878" t="s">
        <v>21</v>
      </c>
    </row>
    <row r="879" spans="1:10" x14ac:dyDescent="0.25">
      <c r="A879" s="1">
        <v>138</v>
      </c>
      <c r="B879" t="s">
        <v>23</v>
      </c>
      <c r="C879">
        <v>12</v>
      </c>
      <c r="D879">
        <v>1</v>
      </c>
      <c r="E879" t="s">
        <v>60</v>
      </c>
      <c r="F879" t="s">
        <v>62</v>
      </c>
      <c r="G879" t="str">
        <f>"2026-01-16 17:15:09.899"</f>
        <v>2026-01-16 17:15:09.899</v>
      </c>
      <c r="H879" t="s">
        <v>21</v>
      </c>
    </row>
    <row r="880" spans="1:10" x14ac:dyDescent="0.25">
      <c r="A880" s="1">
        <v>139</v>
      </c>
      <c r="B880" t="s">
        <v>19</v>
      </c>
      <c r="C880">
        <v>782</v>
      </c>
      <c r="D880">
        <v>7</v>
      </c>
      <c r="E880" t="s">
        <v>58</v>
      </c>
      <c r="F880" t="s">
        <v>59</v>
      </c>
      <c r="G880" t="str">
        <f>"2026-01-16 17:15:09.898"</f>
        <v>2026-01-16 17:15:09.898</v>
      </c>
      <c r="H880" t="s">
        <v>21</v>
      </c>
      <c r="I880">
        <v>0</v>
      </c>
      <c r="J880" t="s">
        <v>31</v>
      </c>
    </row>
    <row r="881" spans="1:10" x14ac:dyDescent="0.25">
      <c r="A881" s="1">
        <v>140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"2026-01-16 17:12:39.348"</f>
        <v>2026-01-16 17:12:39.348</v>
      </c>
      <c r="H881" t="s">
        <v>21</v>
      </c>
    </row>
    <row r="882" spans="1:10" x14ac:dyDescent="0.25">
      <c r="A882" s="1">
        <v>141</v>
      </c>
      <c r="B882" t="s">
        <v>36</v>
      </c>
      <c r="C882">
        <v>641</v>
      </c>
      <c r="D882">
        <v>1</v>
      </c>
      <c r="E882" t="s">
        <v>63</v>
      </c>
      <c r="F882" t="s">
        <v>61</v>
      </c>
      <c r="G882" t="str">
        <f>"2026-01-16 17:05:06.284"</f>
        <v>2026-01-16 17:05:06.284</v>
      </c>
      <c r="H882" t="s">
        <v>21</v>
      </c>
      <c r="I882">
        <v>0</v>
      </c>
      <c r="J882" t="s">
        <v>31</v>
      </c>
    </row>
    <row r="883" spans="1:10" x14ac:dyDescent="0.25">
      <c r="A883" s="1">
        <v>142</v>
      </c>
      <c r="B883" t="s">
        <v>36</v>
      </c>
      <c r="C883">
        <v>640</v>
      </c>
      <c r="D883">
        <v>1</v>
      </c>
      <c r="E883" t="s">
        <v>64</v>
      </c>
      <c r="F883" t="s">
        <v>62</v>
      </c>
      <c r="G883" t="str">
        <f>"2026-01-16 17:05:06.278"</f>
        <v>2026-01-16 17:05:06.278</v>
      </c>
      <c r="H883" t="s">
        <v>26</v>
      </c>
      <c r="I883">
        <v>0</v>
      </c>
      <c r="J883" t="s">
        <v>31</v>
      </c>
    </row>
    <row r="884" spans="1:10" x14ac:dyDescent="0.25">
      <c r="A884" s="1">
        <v>143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"2026-01-16 17:04:56.139"</f>
        <v>2026-01-16 17:04:56.139</v>
      </c>
      <c r="H884" t="s">
        <v>21</v>
      </c>
    </row>
    <row r="885" spans="1:10" x14ac:dyDescent="0.25">
      <c r="A885" s="1">
        <v>144</v>
      </c>
      <c r="B885" t="s">
        <v>19</v>
      </c>
      <c r="C885">
        <v>754</v>
      </c>
      <c r="D885">
        <v>0</v>
      </c>
      <c r="E885" t="s">
        <v>65</v>
      </c>
      <c r="F885" t="s">
        <v>65</v>
      </c>
      <c r="G885" t="str">
        <f>"2026-01-16 17:04:00.225"</f>
        <v>2026-01-16 17:04:00.225</v>
      </c>
      <c r="H885" t="s">
        <v>21</v>
      </c>
      <c r="I885">
        <v>0</v>
      </c>
      <c r="J885" t="s">
        <v>31</v>
      </c>
    </row>
    <row r="886" spans="1:10" x14ac:dyDescent="0.25">
      <c r="A886" s="1">
        <v>145</v>
      </c>
      <c r="B886" t="s">
        <v>36</v>
      </c>
      <c r="C886">
        <v>641</v>
      </c>
      <c r="D886">
        <v>1</v>
      </c>
      <c r="E886" t="s">
        <v>63</v>
      </c>
      <c r="F886" t="s">
        <v>61</v>
      </c>
      <c r="G886" t="str">
        <f>"2026-01-16 17:03:19.218"</f>
        <v>2026-01-16 17:03:19.218</v>
      </c>
      <c r="H886" t="s">
        <v>21</v>
      </c>
      <c r="I886">
        <v>0</v>
      </c>
      <c r="J886" t="s">
        <v>31</v>
      </c>
    </row>
    <row r="887" spans="1:10" x14ac:dyDescent="0.25">
      <c r="A887" s="1">
        <v>146</v>
      </c>
      <c r="B887" t="s">
        <v>36</v>
      </c>
      <c r="C887">
        <v>640</v>
      </c>
      <c r="D887">
        <v>1</v>
      </c>
      <c r="E887" t="s">
        <v>64</v>
      </c>
      <c r="F887" t="s">
        <v>62</v>
      </c>
      <c r="G887" t="str">
        <f>"2026-01-16 17:03:19.213"</f>
        <v>2026-01-16 17:03:19.213</v>
      </c>
      <c r="H887" t="s">
        <v>26</v>
      </c>
      <c r="I887">
        <v>0</v>
      </c>
      <c r="J887" t="s">
        <v>31</v>
      </c>
    </row>
    <row r="888" spans="1:10" x14ac:dyDescent="0.25">
      <c r="A888" s="1">
        <v>147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"2026-01-16 17:03:09.128"</f>
        <v>2026-01-16 17:03:09.128</v>
      </c>
      <c r="H888" t="s">
        <v>21</v>
      </c>
    </row>
    <row r="889" spans="1:10" x14ac:dyDescent="0.25">
      <c r="A889" s="1">
        <v>148</v>
      </c>
      <c r="B889" t="s">
        <v>36</v>
      </c>
      <c r="C889">
        <v>641</v>
      </c>
      <c r="D889">
        <v>1</v>
      </c>
      <c r="E889" t="s">
        <v>63</v>
      </c>
      <c r="F889" t="s">
        <v>61</v>
      </c>
      <c r="G889" t="str">
        <f>"2026-01-16 17:01:18.298"</f>
        <v>2026-01-16 17:01:18.298</v>
      </c>
      <c r="H889" t="s">
        <v>21</v>
      </c>
      <c r="I889">
        <v>0</v>
      </c>
      <c r="J889" t="s">
        <v>31</v>
      </c>
    </row>
    <row r="890" spans="1:10" x14ac:dyDescent="0.25">
      <c r="A890" s="1">
        <v>149</v>
      </c>
      <c r="B890" t="s">
        <v>36</v>
      </c>
      <c r="C890">
        <v>640</v>
      </c>
      <c r="D890">
        <v>1</v>
      </c>
      <c r="E890" t="s">
        <v>64</v>
      </c>
      <c r="F890" t="s">
        <v>62</v>
      </c>
      <c r="G890" t="str">
        <f>"2026-01-16 17:01:18.290"</f>
        <v>2026-01-16 17:01:18.290</v>
      </c>
      <c r="H890" t="s">
        <v>26</v>
      </c>
      <c r="I890">
        <v>0</v>
      </c>
      <c r="J890" t="s">
        <v>31</v>
      </c>
    </row>
    <row r="891" spans="1:10" x14ac:dyDescent="0.25">
      <c r="A891" s="1">
        <v>150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"2026-01-16 17:01:08.137"</f>
        <v>2026-01-16 17:01:08.137</v>
      </c>
      <c r="H891" t="s">
        <v>21</v>
      </c>
    </row>
    <row r="892" spans="1:10" x14ac:dyDescent="0.25">
      <c r="A892" s="1">
        <v>151</v>
      </c>
      <c r="B892" t="s">
        <v>36</v>
      </c>
      <c r="C892">
        <v>641</v>
      </c>
      <c r="D892">
        <v>1</v>
      </c>
      <c r="E892" t="s">
        <v>63</v>
      </c>
      <c r="F892" t="s">
        <v>61</v>
      </c>
      <c r="G892" t="str">
        <f>"2026-01-16 16:59:37.306"</f>
        <v>2026-01-16 16:59:37.306</v>
      </c>
      <c r="H892" t="s">
        <v>21</v>
      </c>
      <c r="I892">
        <v>0</v>
      </c>
      <c r="J892" t="s">
        <v>31</v>
      </c>
    </row>
    <row r="893" spans="1:10" x14ac:dyDescent="0.25">
      <c r="A893" s="1">
        <v>152</v>
      </c>
      <c r="B893" t="s">
        <v>36</v>
      </c>
      <c r="C893">
        <v>640</v>
      </c>
      <c r="D893">
        <v>1</v>
      </c>
      <c r="E893" t="s">
        <v>64</v>
      </c>
      <c r="F893" t="s">
        <v>62</v>
      </c>
      <c r="G893" t="str">
        <f>"2026-01-16 16:59:37.300"</f>
        <v>2026-01-16 16:59:37.300</v>
      </c>
      <c r="H893" t="s">
        <v>26</v>
      </c>
      <c r="I893">
        <v>0</v>
      </c>
      <c r="J893" t="s">
        <v>31</v>
      </c>
    </row>
    <row r="894" spans="1:10" x14ac:dyDescent="0.25">
      <c r="A894" s="1">
        <v>153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"2026-01-16 16:59:27.294"</f>
        <v>2026-01-16 16:59:27.294</v>
      </c>
      <c r="H894" t="s">
        <v>21</v>
      </c>
      <c r="I894">
        <v>0</v>
      </c>
      <c r="J894" t="s">
        <v>22</v>
      </c>
    </row>
    <row r="895" spans="1:10" x14ac:dyDescent="0.25">
      <c r="A895" s="1">
        <v>154</v>
      </c>
      <c r="B895" t="s">
        <v>36</v>
      </c>
      <c r="C895">
        <v>641</v>
      </c>
      <c r="D895">
        <v>1</v>
      </c>
      <c r="E895" t="s">
        <v>63</v>
      </c>
      <c r="F895" t="s">
        <v>61</v>
      </c>
      <c r="G895" t="str">
        <f>"2026-01-16 16:52:04.669"</f>
        <v>2026-01-16 16:52:04.669</v>
      </c>
      <c r="H895" t="s">
        <v>21</v>
      </c>
      <c r="I895">
        <v>0</v>
      </c>
      <c r="J895" t="s">
        <v>31</v>
      </c>
    </row>
    <row r="896" spans="1:10" x14ac:dyDescent="0.25">
      <c r="A896" s="1">
        <v>155</v>
      </c>
      <c r="B896" t="s">
        <v>36</v>
      </c>
      <c r="C896">
        <v>640</v>
      </c>
      <c r="D896">
        <v>1</v>
      </c>
      <c r="E896" t="s">
        <v>64</v>
      </c>
      <c r="F896" t="s">
        <v>62</v>
      </c>
      <c r="G896" t="str">
        <f>"2026-01-16 16:52:04.662"</f>
        <v>2026-01-16 16:52:04.662</v>
      </c>
      <c r="H896" t="s">
        <v>26</v>
      </c>
      <c r="I896">
        <v>0</v>
      </c>
      <c r="J896" t="s">
        <v>31</v>
      </c>
    </row>
    <row r="897" spans="1:10" x14ac:dyDescent="0.25">
      <c r="A897" s="1">
        <v>156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"2026-01-16 16:51:54.521"</f>
        <v>2026-01-16 16:51:54.521</v>
      </c>
      <c r="H897" t="s">
        <v>21</v>
      </c>
      <c r="I897">
        <v>0</v>
      </c>
      <c r="J897" t="s">
        <v>22</v>
      </c>
    </row>
    <row r="898" spans="1:10" x14ac:dyDescent="0.25">
      <c r="A898" s="1">
        <v>157</v>
      </c>
      <c r="B898" t="s">
        <v>36</v>
      </c>
      <c r="C898">
        <v>641</v>
      </c>
      <c r="D898">
        <v>1</v>
      </c>
      <c r="E898" t="s">
        <v>63</v>
      </c>
      <c r="F898" t="s">
        <v>61</v>
      </c>
      <c r="G898" t="str">
        <f>"2026-01-16 16:42:20.391"</f>
        <v>2026-01-16 16:42:20.391</v>
      </c>
      <c r="H898" t="s">
        <v>21</v>
      </c>
      <c r="I898">
        <v>0</v>
      </c>
      <c r="J898" t="s">
        <v>31</v>
      </c>
    </row>
    <row r="899" spans="1:10" x14ac:dyDescent="0.25">
      <c r="A899" s="1">
        <v>158</v>
      </c>
      <c r="B899" t="s">
        <v>36</v>
      </c>
      <c r="C899">
        <v>640</v>
      </c>
      <c r="D899">
        <v>1</v>
      </c>
      <c r="E899" t="s">
        <v>64</v>
      </c>
      <c r="F899" t="s">
        <v>62</v>
      </c>
      <c r="G899" t="str">
        <f>"2026-01-16 16:42:20.385"</f>
        <v>2026-01-16 16:42:20.385</v>
      </c>
      <c r="H899" t="s">
        <v>26</v>
      </c>
      <c r="I899">
        <v>0</v>
      </c>
      <c r="J899" t="s">
        <v>31</v>
      </c>
    </row>
    <row r="900" spans="1:10" x14ac:dyDescent="0.25">
      <c r="A900" s="1">
        <v>159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"2026-01-16 16:42:10.277"</f>
        <v>2026-01-16 16:42:10.277</v>
      </c>
      <c r="H900" t="s">
        <v>21</v>
      </c>
      <c r="I900">
        <v>0</v>
      </c>
      <c r="J900" t="s">
        <v>22</v>
      </c>
    </row>
    <row r="901" spans="1:10" x14ac:dyDescent="0.25">
      <c r="A901" s="1">
        <v>162</v>
      </c>
      <c r="B901" t="s">
        <v>27</v>
      </c>
      <c r="C901">
        <v>12</v>
      </c>
      <c r="D901">
        <v>2</v>
      </c>
      <c r="E901" t="s">
        <v>60</v>
      </c>
      <c r="F901" t="s">
        <v>61</v>
      </c>
      <c r="G901" t="str">
        <f>"2026-01-16 16:38:23.221"</f>
        <v>2026-01-16 16:38:23.221</v>
      </c>
      <c r="H901" t="s">
        <v>21</v>
      </c>
      <c r="I901">
        <v>0</v>
      </c>
      <c r="J901" t="s">
        <v>31</v>
      </c>
    </row>
    <row r="902" spans="1:10" x14ac:dyDescent="0.25">
      <c r="A902" s="1">
        <v>163</v>
      </c>
      <c r="B902" t="s">
        <v>27</v>
      </c>
      <c r="C902">
        <v>12</v>
      </c>
      <c r="D902">
        <v>1</v>
      </c>
      <c r="E902" t="s">
        <v>60</v>
      </c>
      <c r="F902" t="s">
        <v>62</v>
      </c>
      <c r="G902" t="str">
        <f>"2026-01-16 16:38:23.216"</f>
        <v>2026-01-16 16:38:23.216</v>
      </c>
      <c r="H902" t="s">
        <v>21</v>
      </c>
      <c r="I902">
        <v>0</v>
      </c>
      <c r="J902" t="s">
        <v>31</v>
      </c>
    </row>
    <row r="903" spans="1:10" x14ac:dyDescent="0.25">
      <c r="A903" s="1">
        <v>164</v>
      </c>
      <c r="B903" t="s">
        <v>36</v>
      </c>
      <c r="C903">
        <v>641</v>
      </c>
      <c r="D903">
        <v>1</v>
      </c>
      <c r="E903" t="s">
        <v>63</v>
      </c>
      <c r="F903" t="s">
        <v>61</v>
      </c>
      <c r="G903" t="str">
        <f>"2026-01-16 16:38:23.207"</f>
        <v>2026-01-16 16:38:23.207</v>
      </c>
      <c r="H903" t="s">
        <v>21</v>
      </c>
      <c r="I903">
        <v>0</v>
      </c>
      <c r="J903" t="s">
        <v>31</v>
      </c>
    </row>
    <row r="904" spans="1:10" x14ac:dyDescent="0.25">
      <c r="A904" s="1">
        <v>165</v>
      </c>
      <c r="B904" t="s">
        <v>36</v>
      </c>
      <c r="C904">
        <v>640</v>
      </c>
      <c r="D904">
        <v>1</v>
      </c>
      <c r="E904" t="s">
        <v>64</v>
      </c>
      <c r="F904" t="s">
        <v>62</v>
      </c>
      <c r="G904" t="str">
        <f>"2026-01-16 16:38:23.202"</f>
        <v>2026-01-16 16:38:23.202</v>
      </c>
      <c r="H904" t="s">
        <v>26</v>
      </c>
      <c r="I904">
        <v>0</v>
      </c>
      <c r="J904" t="s">
        <v>31</v>
      </c>
    </row>
    <row r="905" spans="1:10" x14ac:dyDescent="0.25">
      <c r="A905" s="1">
        <v>166</v>
      </c>
      <c r="B905" t="s">
        <v>19</v>
      </c>
      <c r="C905">
        <v>782</v>
      </c>
      <c r="D905">
        <v>7</v>
      </c>
      <c r="E905" t="s">
        <v>58</v>
      </c>
      <c r="F905" t="s">
        <v>59</v>
      </c>
      <c r="G905" t="str">
        <f>"2026-01-16 16:38:23.201"</f>
        <v>2026-01-16 16:38:23.201</v>
      </c>
      <c r="H905" t="s">
        <v>21</v>
      </c>
      <c r="I905">
        <v>0</v>
      </c>
      <c r="J905" t="s">
        <v>31</v>
      </c>
    </row>
    <row r="906" spans="1:10" x14ac:dyDescent="0.25">
      <c r="A906" s="1">
        <v>169</v>
      </c>
      <c r="B906" t="s">
        <v>23</v>
      </c>
      <c r="C906">
        <v>641</v>
      </c>
      <c r="D906">
        <v>1</v>
      </c>
      <c r="E906" t="s">
        <v>63</v>
      </c>
      <c r="F906" t="s">
        <v>61</v>
      </c>
      <c r="G906" t="str">
        <f>"2026-01-16 16:38:23.196"</f>
        <v>2026-01-16 16:38:23.196</v>
      </c>
      <c r="H906" t="s">
        <v>21</v>
      </c>
    </row>
    <row r="907" spans="1:10" x14ac:dyDescent="0.25">
      <c r="A907" s="1">
        <v>170</v>
      </c>
      <c r="B907" t="s">
        <v>23</v>
      </c>
      <c r="C907">
        <v>640</v>
      </c>
      <c r="D907">
        <v>1</v>
      </c>
      <c r="E907" t="s">
        <v>64</v>
      </c>
      <c r="F907" t="s">
        <v>62</v>
      </c>
      <c r="G907" t="str">
        <f>"2026-01-16 16:38:23.194"</f>
        <v>2026-01-16 16:38:23.194</v>
      </c>
      <c r="H907" t="s">
        <v>26</v>
      </c>
    </row>
    <row r="908" spans="1:10" x14ac:dyDescent="0.25">
      <c r="A908" s="1">
        <v>171</v>
      </c>
      <c r="B908" t="s">
        <v>23</v>
      </c>
      <c r="C908">
        <v>12</v>
      </c>
      <c r="D908">
        <v>2</v>
      </c>
      <c r="E908" t="s">
        <v>60</v>
      </c>
      <c r="F908" t="s">
        <v>61</v>
      </c>
      <c r="G908" t="str">
        <f>"2026-01-16 16:38:23.193"</f>
        <v>2026-01-16 16:38:23.193</v>
      </c>
      <c r="H908" t="s">
        <v>21</v>
      </c>
    </row>
    <row r="909" spans="1:10" x14ac:dyDescent="0.25">
      <c r="A909" s="1">
        <v>172</v>
      </c>
      <c r="B909" t="s">
        <v>23</v>
      </c>
      <c r="C909">
        <v>12</v>
      </c>
      <c r="D909">
        <v>1</v>
      </c>
      <c r="E909" t="s">
        <v>60</v>
      </c>
      <c r="F909" t="s">
        <v>62</v>
      </c>
      <c r="G909" t="str">
        <f>"2026-01-16 16:38:23.190"</f>
        <v>2026-01-16 16:38:23.190</v>
      </c>
      <c r="H909" t="s">
        <v>21</v>
      </c>
    </row>
    <row r="910" spans="1:10" x14ac:dyDescent="0.25">
      <c r="A910" s="1">
        <v>173</v>
      </c>
      <c r="B910" t="s">
        <v>19</v>
      </c>
      <c r="C910">
        <v>782</v>
      </c>
      <c r="D910">
        <v>7</v>
      </c>
      <c r="E910" t="s">
        <v>58</v>
      </c>
      <c r="F910" t="s">
        <v>59</v>
      </c>
      <c r="G910" t="str">
        <f>"2026-01-16 16:38:23.189"</f>
        <v>2026-01-16 16:38:23.189</v>
      </c>
      <c r="H910" t="s">
        <v>21</v>
      </c>
      <c r="I910">
        <v>0</v>
      </c>
      <c r="J910" t="s">
        <v>31</v>
      </c>
    </row>
    <row r="911" spans="1:10" x14ac:dyDescent="0.25">
      <c r="A911" s="1">
        <v>176</v>
      </c>
      <c r="B911" t="s">
        <v>27</v>
      </c>
      <c r="C911">
        <v>12</v>
      </c>
      <c r="D911">
        <v>2</v>
      </c>
      <c r="E911" t="s">
        <v>60</v>
      </c>
      <c r="F911" t="s">
        <v>61</v>
      </c>
      <c r="G911" t="str">
        <f>"2026-01-16 16:37:47.422"</f>
        <v>2026-01-16 16:37:47.422</v>
      </c>
      <c r="H911" t="s">
        <v>21</v>
      </c>
      <c r="I911">
        <v>0</v>
      </c>
      <c r="J911" t="s">
        <v>31</v>
      </c>
    </row>
    <row r="912" spans="1:10" x14ac:dyDescent="0.25">
      <c r="A912" s="1">
        <v>177</v>
      </c>
      <c r="B912" t="s">
        <v>27</v>
      </c>
      <c r="C912">
        <v>12</v>
      </c>
      <c r="D912">
        <v>1</v>
      </c>
      <c r="E912" t="s">
        <v>60</v>
      </c>
      <c r="F912" t="s">
        <v>62</v>
      </c>
      <c r="G912" t="str">
        <f>"2026-01-16 16:37:47.418"</f>
        <v>2026-01-16 16:37:47.418</v>
      </c>
      <c r="H912" t="s">
        <v>21</v>
      </c>
      <c r="I912">
        <v>0</v>
      </c>
      <c r="J912" t="s">
        <v>31</v>
      </c>
    </row>
    <row r="913" spans="1:10" x14ac:dyDescent="0.25">
      <c r="A913" s="1">
        <v>178</v>
      </c>
      <c r="B913" t="s">
        <v>36</v>
      </c>
      <c r="C913">
        <v>641</v>
      </c>
      <c r="D913">
        <v>1</v>
      </c>
      <c r="E913" t="s">
        <v>63</v>
      </c>
      <c r="F913" t="s">
        <v>61</v>
      </c>
      <c r="G913" t="str">
        <f>"2026-01-16 16:37:47.408"</f>
        <v>2026-01-16 16:37:47.408</v>
      </c>
      <c r="H913" t="s">
        <v>21</v>
      </c>
      <c r="I913">
        <v>0</v>
      </c>
      <c r="J913" t="s">
        <v>31</v>
      </c>
    </row>
    <row r="914" spans="1:10" x14ac:dyDescent="0.25">
      <c r="A914" s="1">
        <v>179</v>
      </c>
      <c r="B914" t="s">
        <v>36</v>
      </c>
      <c r="C914">
        <v>640</v>
      </c>
      <c r="D914">
        <v>1</v>
      </c>
      <c r="E914" t="s">
        <v>64</v>
      </c>
      <c r="F914" t="s">
        <v>62</v>
      </c>
      <c r="G914" t="str">
        <f>"2026-01-16 16:37:47.407"</f>
        <v>2026-01-16 16:37:47.407</v>
      </c>
      <c r="H914" t="s">
        <v>26</v>
      </c>
      <c r="I914">
        <v>0</v>
      </c>
      <c r="J914" t="s">
        <v>31</v>
      </c>
    </row>
    <row r="915" spans="1:10" x14ac:dyDescent="0.25">
      <c r="A915" s="1">
        <v>180</v>
      </c>
      <c r="B915" t="s">
        <v>19</v>
      </c>
      <c r="C915">
        <v>782</v>
      </c>
      <c r="D915">
        <v>7</v>
      </c>
      <c r="E915" t="s">
        <v>58</v>
      </c>
      <c r="F915" t="s">
        <v>59</v>
      </c>
      <c r="G915" t="str">
        <f>"2026-01-16 16:37:47.404"</f>
        <v>2026-01-16 16:37:47.404</v>
      </c>
      <c r="H915" t="s">
        <v>21</v>
      </c>
      <c r="I915">
        <v>0</v>
      </c>
      <c r="J915" t="s">
        <v>31</v>
      </c>
    </row>
    <row r="916" spans="1:10" x14ac:dyDescent="0.25">
      <c r="A916" s="1">
        <v>183</v>
      </c>
      <c r="B916" t="s">
        <v>23</v>
      </c>
      <c r="C916">
        <v>641</v>
      </c>
      <c r="D916">
        <v>1</v>
      </c>
      <c r="E916" t="s">
        <v>63</v>
      </c>
      <c r="F916" t="s">
        <v>61</v>
      </c>
      <c r="G916" t="str">
        <f>"2026-01-16 16:37:47.400"</f>
        <v>2026-01-16 16:37:47.400</v>
      </c>
      <c r="H916" t="s">
        <v>21</v>
      </c>
    </row>
    <row r="917" spans="1:10" x14ac:dyDescent="0.25">
      <c r="A917" s="1">
        <v>184</v>
      </c>
      <c r="B917" t="s">
        <v>23</v>
      </c>
      <c r="C917">
        <v>640</v>
      </c>
      <c r="D917">
        <v>1</v>
      </c>
      <c r="E917" t="s">
        <v>64</v>
      </c>
      <c r="F917" t="s">
        <v>62</v>
      </c>
      <c r="G917" t="str">
        <f>"2026-01-16 16:37:47.398"</f>
        <v>2026-01-16 16:37:47.398</v>
      </c>
      <c r="H917" t="s">
        <v>26</v>
      </c>
    </row>
    <row r="918" spans="1:10" x14ac:dyDescent="0.25">
      <c r="A918" s="1">
        <v>187</v>
      </c>
      <c r="B918" t="s">
        <v>23</v>
      </c>
      <c r="C918">
        <v>12</v>
      </c>
      <c r="D918">
        <v>2</v>
      </c>
      <c r="E918" t="s">
        <v>60</v>
      </c>
      <c r="F918" t="s">
        <v>61</v>
      </c>
      <c r="G918" t="str">
        <f>"2026-01-16 16:37:47.393"</f>
        <v>2026-01-16 16:37:47.393</v>
      </c>
      <c r="H918" t="s">
        <v>21</v>
      </c>
    </row>
    <row r="919" spans="1:10" x14ac:dyDescent="0.25">
      <c r="A919" s="1">
        <v>188</v>
      </c>
      <c r="B919" t="s">
        <v>23</v>
      </c>
      <c r="C919">
        <v>12</v>
      </c>
      <c r="D919">
        <v>1</v>
      </c>
      <c r="E919" t="s">
        <v>60</v>
      </c>
      <c r="F919" t="s">
        <v>62</v>
      </c>
      <c r="G919" t="str">
        <f>"2026-01-16 16:37:47.390"</f>
        <v>2026-01-16 16:37:47.390</v>
      </c>
      <c r="H919" t="s">
        <v>21</v>
      </c>
    </row>
    <row r="920" spans="1:10" x14ac:dyDescent="0.25">
      <c r="A920" s="1">
        <v>189</v>
      </c>
      <c r="B920" t="s">
        <v>19</v>
      </c>
      <c r="C920">
        <v>782</v>
      </c>
      <c r="D920">
        <v>7</v>
      </c>
      <c r="E920" t="s">
        <v>58</v>
      </c>
      <c r="F920" t="s">
        <v>59</v>
      </c>
      <c r="G920" t="str">
        <f>"2026-01-16 16:37:47.389"</f>
        <v>2026-01-16 16:37:47.389</v>
      </c>
      <c r="H920" t="s">
        <v>21</v>
      </c>
      <c r="I920">
        <v>0</v>
      </c>
      <c r="J920" t="s">
        <v>31</v>
      </c>
    </row>
    <row r="921" spans="1:10" x14ac:dyDescent="0.25">
      <c r="A921" s="1">
        <v>190</v>
      </c>
      <c r="B921" t="s">
        <v>36</v>
      </c>
      <c r="C921">
        <v>641</v>
      </c>
      <c r="D921">
        <v>1</v>
      </c>
      <c r="E921" t="s">
        <v>63</v>
      </c>
      <c r="F921" t="s">
        <v>61</v>
      </c>
      <c r="G921" t="str">
        <f>"2026-01-16 16:34:19.399"</f>
        <v>2026-01-16 16:34:19.399</v>
      </c>
      <c r="H921" t="s">
        <v>21</v>
      </c>
      <c r="I921">
        <v>0</v>
      </c>
      <c r="J921" t="s">
        <v>31</v>
      </c>
    </row>
    <row r="922" spans="1:10" x14ac:dyDescent="0.25">
      <c r="A922" s="1">
        <v>191</v>
      </c>
      <c r="B922" t="s">
        <v>36</v>
      </c>
      <c r="C922">
        <v>640</v>
      </c>
      <c r="D922">
        <v>1</v>
      </c>
      <c r="E922" t="s">
        <v>64</v>
      </c>
      <c r="F922" t="s">
        <v>62</v>
      </c>
      <c r="G922" t="str">
        <f>"2026-01-16 16:34:19.389"</f>
        <v>2026-01-16 16:34:19.389</v>
      </c>
      <c r="H922" t="s">
        <v>26</v>
      </c>
      <c r="I922">
        <v>0</v>
      </c>
      <c r="J922" t="s">
        <v>31</v>
      </c>
    </row>
    <row r="923" spans="1:10" x14ac:dyDescent="0.25">
      <c r="A923" s="1">
        <v>192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"2026-01-16 16:34:09.268"</f>
        <v>2026-01-16 16:34:09.268</v>
      </c>
      <c r="H923" t="s">
        <v>21</v>
      </c>
    </row>
    <row r="924" spans="1:10" x14ac:dyDescent="0.25">
      <c r="A924" s="1">
        <v>193</v>
      </c>
      <c r="B924" t="s">
        <v>36</v>
      </c>
      <c r="C924">
        <v>641</v>
      </c>
      <c r="D924">
        <v>1</v>
      </c>
      <c r="E924" t="s">
        <v>63</v>
      </c>
      <c r="F924" t="s">
        <v>61</v>
      </c>
      <c r="G924" t="str">
        <f>"2026-01-16 16:30:34.398"</f>
        <v>2026-01-16 16:30:34.398</v>
      </c>
      <c r="H924" t="s">
        <v>21</v>
      </c>
      <c r="I924">
        <v>0</v>
      </c>
      <c r="J924" t="s">
        <v>31</v>
      </c>
    </row>
    <row r="925" spans="1:10" x14ac:dyDescent="0.25">
      <c r="A925" s="1">
        <v>194</v>
      </c>
      <c r="B925" t="s">
        <v>36</v>
      </c>
      <c r="C925">
        <v>640</v>
      </c>
      <c r="D925">
        <v>1</v>
      </c>
      <c r="E925" t="s">
        <v>64</v>
      </c>
      <c r="F925" t="s">
        <v>62</v>
      </c>
      <c r="G925" t="str">
        <f>"2026-01-16 16:30:34.389"</f>
        <v>2026-01-16 16:30:34.389</v>
      </c>
      <c r="H925" t="s">
        <v>26</v>
      </c>
      <c r="I925">
        <v>0</v>
      </c>
      <c r="J925" t="s">
        <v>31</v>
      </c>
    </row>
    <row r="926" spans="1:10" x14ac:dyDescent="0.25">
      <c r="A926" s="1">
        <v>195</v>
      </c>
      <c r="B926" t="s">
        <v>27</v>
      </c>
      <c r="C926">
        <v>12</v>
      </c>
      <c r="D926">
        <v>1</v>
      </c>
      <c r="E926" t="s">
        <v>60</v>
      </c>
      <c r="F926" t="s">
        <v>62</v>
      </c>
      <c r="G926" t="str">
        <f>"2026-01-16 16:30:28.190"</f>
        <v>2026-01-16 16:30:28.190</v>
      </c>
      <c r="H926" t="s">
        <v>21</v>
      </c>
      <c r="I926">
        <v>0</v>
      </c>
      <c r="J926" t="s">
        <v>31</v>
      </c>
    </row>
    <row r="927" spans="1:10" x14ac:dyDescent="0.25">
      <c r="A927" s="1">
        <v>196</v>
      </c>
      <c r="B927" t="s">
        <v>27</v>
      </c>
      <c r="C927">
        <v>12</v>
      </c>
      <c r="D927">
        <v>2</v>
      </c>
      <c r="E927" t="s">
        <v>60</v>
      </c>
      <c r="F927" t="s">
        <v>61</v>
      </c>
      <c r="G927" t="str">
        <f>"2026-01-16 16:30:28.091"</f>
        <v>2026-01-16 16:30:28.091</v>
      </c>
      <c r="H927" t="s">
        <v>21</v>
      </c>
      <c r="I927">
        <v>0</v>
      </c>
      <c r="J927" t="s">
        <v>31</v>
      </c>
    </row>
    <row r="928" spans="1:10" x14ac:dyDescent="0.25">
      <c r="A928" s="1">
        <v>197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"2026-01-16 16:30:24.257"</f>
        <v>2026-01-16 16:30:24.257</v>
      </c>
      <c r="H928" t="s">
        <v>21</v>
      </c>
    </row>
    <row r="929" spans="1:10" x14ac:dyDescent="0.25">
      <c r="A929" s="1">
        <v>198</v>
      </c>
      <c r="B929" t="s">
        <v>19</v>
      </c>
      <c r="C929">
        <v>754</v>
      </c>
      <c r="D929">
        <v>0</v>
      </c>
      <c r="E929" t="s">
        <v>65</v>
      </c>
      <c r="F929" t="s">
        <v>65</v>
      </c>
      <c r="G929" t="str">
        <f>"2026-01-16 16:29:56.522"</f>
        <v>2026-01-16 16:29:56.522</v>
      </c>
      <c r="H929" t="s">
        <v>21</v>
      </c>
      <c r="I929">
        <v>0</v>
      </c>
      <c r="J929" t="s">
        <v>31</v>
      </c>
    </row>
    <row r="930" spans="1:10" x14ac:dyDescent="0.25">
      <c r="A930" s="1">
        <v>199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"2026-01-16 16:28:02.468"</f>
        <v>2026-01-16 16:28:02.468</v>
      </c>
      <c r="H930" t="s">
        <v>21</v>
      </c>
      <c r="I930">
        <v>0</v>
      </c>
      <c r="J930" t="s">
        <v>22</v>
      </c>
    </row>
    <row r="931" spans="1:10" x14ac:dyDescent="0.25">
      <c r="A931" s="1">
        <v>200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"2026-01-16 16:25:35.477"</f>
        <v>2026-01-16 16:25:35.477</v>
      </c>
      <c r="H931" t="s">
        <v>21</v>
      </c>
      <c r="I931">
        <v>0</v>
      </c>
      <c r="J931" t="s">
        <v>22</v>
      </c>
    </row>
    <row r="932" spans="1:10" x14ac:dyDescent="0.25">
      <c r="A932" s="1">
        <v>201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"2026-01-16 16:17:02.758"</f>
        <v>2026-01-16 16:17:02.758</v>
      </c>
      <c r="H932" t="s">
        <v>21</v>
      </c>
      <c r="I932">
        <v>0</v>
      </c>
      <c r="J932" t="s">
        <v>22</v>
      </c>
    </row>
    <row r="933" spans="1:10" x14ac:dyDescent="0.25">
      <c r="A933" s="1">
        <v>202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"2026-01-16 16:10:25.751"</f>
        <v>2026-01-16 16:10:25.751</v>
      </c>
      <c r="H933" t="s">
        <v>21</v>
      </c>
      <c r="I933">
        <v>0</v>
      </c>
      <c r="J933" t="s">
        <v>22</v>
      </c>
    </row>
    <row r="934" spans="1:10" x14ac:dyDescent="0.25">
      <c r="A934" s="1">
        <v>203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"2026-01-16 16:09:08.467"</f>
        <v>2026-01-16 16:09:08.467</v>
      </c>
      <c r="H934" t="s">
        <v>21</v>
      </c>
    </row>
    <row r="935" spans="1:10" x14ac:dyDescent="0.25">
      <c r="A935" s="1">
        <v>204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"2026-01-16 16:04:42.766"</f>
        <v>2026-01-16 16:04:42.766</v>
      </c>
      <c r="H935" t="s">
        <v>21</v>
      </c>
    </row>
    <row r="936" spans="1:10" x14ac:dyDescent="0.25">
      <c r="A936" s="1">
        <v>205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"2026-01-16 15:31:49.461"</f>
        <v>2026-01-16 15:31:49.461</v>
      </c>
      <c r="H936" t="s">
        <v>21</v>
      </c>
    </row>
    <row r="937" spans="1:10" x14ac:dyDescent="0.25">
      <c r="A937" s="1">
        <v>206</v>
      </c>
      <c r="B937" t="s">
        <v>23</v>
      </c>
      <c r="C937">
        <v>4</v>
      </c>
      <c r="D937">
        <v>1</v>
      </c>
      <c r="E937" t="s">
        <v>66</v>
      </c>
      <c r="F937" t="s">
        <v>67</v>
      </c>
      <c r="G937" t="str">
        <f>"2026-01-16 15:04:34.201"</f>
        <v>2026-01-16 15:04:34.201</v>
      </c>
      <c r="H937" t="s">
        <v>68</v>
      </c>
    </row>
    <row r="938" spans="1:10" x14ac:dyDescent="0.25">
      <c r="A938" s="1">
        <v>207</v>
      </c>
      <c r="B938" t="s">
        <v>27</v>
      </c>
      <c r="C938">
        <v>4</v>
      </c>
      <c r="D938">
        <v>1</v>
      </c>
      <c r="E938" t="s">
        <v>66</v>
      </c>
      <c r="F938" t="s">
        <v>67</v>
      </c>
      <c r="G938" t="str">
        <f>"2026-01-16 15:04:26.361"</f>
        <v>2026-01-16 15:04:26.361</v>
      </c>
      <c r="H938" t="s">
        <v>68</v>
      </c>
      <c r="I938">
        <v>0</v>
      </c>
      <c r="J938" t="s">
        <v>31</v>
      </c>
    </row>
    <row r="939" spans="1:10" x14ac:dyDescent="0.25">
      <c r="A939" s="1">
        <v>208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"2026-01-16 15:02:53.532"</f>
        <v>2026-01-16 15:02:53.532</v>
      </c>
      <c r="H939" t="s">
        <v>21</v>
      </c>
    </row>
    <row r="940" spans="1:10" x14ac:dyDescent="0.25">
      <c r="A940" s="1">
        <v>209</v>
      </c>
      <c r="B940" t="s">
        <v>23</v>
      </c>
      <c r="C940">
        <v>98</v>
      </c>
      <c r="D940">
        <v>1</v>
      </c>
      <c r="E940" t="s">
        <v>38</v>
      </c>
      <c r="F940" t="s">
        <v>39</v>
      </c>
      <c r="G940" t="str">
        <f>"2026-01-16 14:41:49.314"</f>
        <v>2026-01-16 14:41:49.314</v>
      </c>
      <c r="H940" t="s">
        <v>21</v>
      </c>
    </row>
    <row r="941" spans="1:10" x14ac:dyDescent="0.25">
      <c r="A941" s="1">
        <v>210</v>
      </c>
      <c r="B941" t="s">
        <v>27</v>
      </c>
      <c r="C941">
        <v>98</v>
      </c>
      <c r="D941">
        <v>1</v>
      </c>
      <c r="E941" t="s">
        <v>38</v>
      </c>
      <c r="F941" t="s">
        <v>39</v>
      </c>
      <c r="G941" t="str">
        <f>"2026-01-16 14:41:47.514"</f>
        <v>2026-01-16 14:41:47.514</v>
      </c>
      <c r="H941" t="s">
        <v>21</v>
      </c>
      <c r="I941">
        <v>0</v>
      </c>
      <c r="J941" t="s">
        <v>28</v>
      </c>
    </row>
    <row r="942" spans="1:10" x14ac:dyDescent="0.25">
      <c r="A942" s="1">
        <v>211</v>
      </c>
      <c r="B942" t="s">
        <v>23</v>
      </c>
      <c r="C942">
        <v>98</v>
      </c>
      <c r="D942">
        <v>1</v>
      </c>
      <c r="E942" t="s">
        <v>38</v>
      </c>
      <c r="F942" t="s">
        <v>39</v>
      </c>
      <c r="G942" t="str">
        <f>"2026-01-16 14:41:44.114"</f>
        <v>2026-01-16 14:41:44.114</v>
      </c>
      <c r="H942" t="s">
        <v>21</v>
      </c>
    </row>
    <row r="943" spans="1:10" x14ac:dyDescent="0.25">
      <c r="A943" s="1">
        <v>212</v>
      </c>
      <c r="B943" t="s">
        <v>27</v>
      </c>
      <c r="C943">
        <v>98</v>
      </c>
      <c r="D943">
        <v>1</v>
      </c>
      <c r="E943" t="s">
        <v>38</v>
      </c>
      <c r="F943" t="s">
        <v>39</v>
      </c>
      <c r="G943" t="str">
        <f>"2026-01-16 14:41:42.915"</f>
        <v>2026-01-16 14:41:42.915</v>
      </c>
      <c r="H943" t="s">
        <v>21</v>
      </c>
      <c r="I943">
        <v>0</v>
      </c>
      <c r="J943" t="s">
        <v>28</v>
      </c>
    </row>
    <row r="944" spans="1:10" x14ac:dyDescent="0.25">
      <c r="A944" s="1">
        <v>213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"2026-01-16 14:35:50.673"</f>
        <v>2026-01-16 14:35:50.673</v>
      </c>
      <c r="H944" t="s">
        <v>21</v>
      </c>
    </row>
    <row r="945" spans="1:10" x14ac:dyDescent="0.25">
      <c r="A945" s="1">
        <v>214</v>
      </c>
      <c r="B945" t="s">
        <v>19</v>
      </c>
      <c r="C945">
        <v>706</v>
      </c>
      <c r="D945">
        <v>2</v>
      </c>
      <c r="E945" t="s">
        <v>29</v>
      </c>
      <c r="F945" t="s">
        <v>44</v>
      </c>
      <c r="G945" t="str">
        <f>"2026-01-16 13:35:42.311"</f>
        <v>2026-01-16 13:35:42.311</v>
      </c>
      <c r="H945" t="s">
        <v>21</v>
      </c>
      <c r="I945">
        <v>0</v>
      </c>
      <c r="J945" t="s">
        <v>31</v>
      </c>
    </row>
    <row r="946" spans="1:10" x14ac:dyDescent="0.25">
      <c r="A946" s="1">
        <v>215</v>
      </c>
      <c r="B946" t="s">
        <v>23</v>
      </c>
      <c r="C946">
        <v>30</v>
      </c>
      <c r="D946">
        <v>1</v>
      </c>
      <c r="E946" t="s">
        <v>69</v>
      </c>
      <c r="F946" t="s">
        <v>70</v>
      </c>
      <c r="G946" t="str">
        <f>"2026-01-16 12:13:27.939"</f>
        <v>2026-01-16 12:13:27.939</v>
      </c>
      <c r="H946" t="s">
        <v>71</v>
      </c>
    </row>
    <row r="947" spans="1:10" x14ac:dyDescent="0.25">
      <c r="A947" s="1">
        <v>216</v>
      </c>
      <c r="B947" t="s">
        <v>19</v>
      </c>
      <c r="C947">
        <v>706</v>
      </c>
      <c r="D947">
        <v>4</v>
      </c>
      <c r="E947" t="s">
        <v>29</v>
      </c>
      <c r="F947" t="s">
        <v>30</v>
      </c>
      <c r="G947" t="str">
        <f>"2026-01-16 12:12:27.851"</f>
        <v>2026-01-16 12:12:27.851</v>
      </c>
      <c r="H947" t="s">
        <v>21</v>
      </c>
      <c r="I947">
        <v>0</v>
      </c>
      <c r="J947" t="s">
        <v>31</v>
      </c>
    </row>
    <row r="948" spans="1:10" x14ac:dyDescent="0.25">
      <c r="A948" s="1">
        <v>217</v>
      </c>
      <c r="B948" t="s">
        <v>23</v>
      </c>
      <c r="C948">
        <v>4</v>
      </c>
      <c r="D948">
        <v>1</v>
      </c>
      <c r="E948" t="s">
        <v>66</v>
      </c>
      <c r="F948" t="s">
        <v>67</v>
      </c>
      <c r="G948" t="str">
        <f>"2026-01-16 12:11:56.150"</f>
        <v>2026-01-16 12:11:56.150</v>
      </c>
      <c r="H948" t="s">
        <v>68</v>
      </c>
    </row>
    <row r="949" spans="1:10" x14ac:dyDescent="0.25">
      <c r="A949" s="1">
        <v>218</v>
      </c>
      <c r="B949" t="s">
        <v>27</v>
      </c>
      <c r="C949">
        <v>4</v>
      </c>
      <c r="D949">
        <v>1</v>
      </c>
      <c r="E949" t="s">
        <v>66</v>
      </c>
      <c r="F949" t="s">
        <v>67</v>
      </c>
      <c r="G949" t="str">
        <f>"2026-01-16 12:11:42.810"</f>
        <v>2026-01-16 12:11:42.810</v>
      </c>
      <c r="H949" t="s">
        <v>68</v>
      </c>
      <c r="I949">
        <v>0</v>
      </c>
      <c r="J949" t="s">
        <v>31</v>
      </c>
    </row>
    <row r="950" spans="1:10" x14ac:dyDescent="0.25">
      <c r="A950" s="1">
        <v>219</v>
      </c>
      <c r="B950" t="s">
        <v>36</v>
      </c>
      <c r="C950">
        <v>30</v>
      </c>
      <c r="D950">
        <v>1</v>
      </c>
      <c r="E950" t="s">
        <v>69</v>
      </c>
      <c r="F950" t="s">
        <v>70</v>
      </c>
      <c r="G950" t="str">
        <f>"2026-01-16 12:10:02.452"</f>
        <v>2026-01-16 12:10:02.452</v>
      </c>
      <c r="H950" t="s">
        <v>71</v>
      </c>
      <c r="I950">
        <v>0</v>
      </c>
      <c r="J950" t="s">
        <v>31</v>
      </c>
    </row>
    <row r="951" spans="1:10" x14ac:dyDescent="0.25">
      <c r="A951" s="1">
        <v>220</v>
      </c>
      <c r="B951" t="s">
        <v>23</v>
      </c>
      <c r="C951">
        <v>4</v>
      </c>
      <c r="D951">
        <v>1</v>
      </c>
      <c r="E951" t="s">
        <v>66</v>
      </c>
      <c r="F951" t="s">
        <v>67</v>
      </c>
      <c r="G951" t="str">
        <f>"2026-01-16 12:09:16.240"</f>
        <v>2026-01-16 12:09:16.240</v>
      </c>
      <c r="H951" t="s">
        <v>68</v>
      </c>
    </row>
    <row r="952" spans="1:10" x14ac:dyDescent="0.25">
      <c r="A952" s="1">
        <v>221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"2026-01-16 12:09:08.471"</f>
        <v>2026-01-16 12:09:08.471</v>
      </c>
      <c r="H952" t="s">
        <v>21</v>
      </c>
      <c r="I952">
        <v>0</v>
      </c>
      <c r="J952" t="s">
        <v>22</v>
      </c>
    </row>
    <row r="953" spans="1:10" x14ac:dyDescent="0.25">
      <c r="A953" s="1">
        <v>222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"2026-01-16 12:05:26.502"</f>
        <v>2026-01-16 12:05:26.502</v>
      </c>
      <c r="H953" t="s">
        <v>21</v>
      </c>
      <c r="I953">
        <v>0</v>
      </c>
      <c r="J953" t="s">
        <v>22</v>
      </c>
    </row>
    <row r="954" spans="1:10" x14ac:dyDescent="0.25">
      <c r="A954" s="1">
        <v>223</v>
      </c>
      <c r="B954" t="s">
        <v>27</v>
      </c>
      <c r="C954">
        <v>4</v>
      </c>
      <c r="D954">
        <v>1</v>
      </c>
      <c r="E954" t="s">
        <v>66</v>
      </c>
      <c r="F954" t="s">
        <v>67</v>
      </c>
      <c r="G954" t="str">
        <f>"2026-01-16 12:01:57.999"</f>
        <v>2026-01-16 12:01:57.999</v>
      </c>
      <c r="H954" t="s">
        <v>68</v>
      </c>
      <c r="I954">
        <v>0</v>
      </c>
      <c r="J954" t="s">
        <v>31</v>
      </c>
    </row>
    <row r="955" spans="1:10" x14ac:dyDescent="0.25">
      <c r="A955" s="1">
        <v>224</v>
      </c>
      <c r="B955" t="s">
        <v>23</v>
      </c>
      <c r="C955">
        <v>4</v>
      </c>
      <c r="D955">
        <v>1</v>
      </c>
      <c r="E955" t="s">
        <v>66</v>
      </c>
      <c r="F955" t="s">
        <v>67</v>
      </c>
      <c r="G955" t="str">
        <f>"2026-01-16 12:01:17.059"</f>
        <v>2026-01-16 12:01:17.059</v>
      </c>
      <c r="H955" t="s">
        <v>68</v>
      </c>
    </row>
    <row r="956" spans="1:10" x14ac:dyDescent="0.25">
      <c r="A956" s="1">
        <v>225</v>
      </c>
      <c r="B956" t="s">
        <v>27</v>
      </c>
      <c r="C956">
        <v>4</v>
      </c>
      <c r="D956">
        <v>1</v>
      </c>
      <c r="E956" t="s">
        <v>66</v>
      </c>
      <c r="F956" t="s">
        <v>67</v>
      </c>
      <c r="G956" t="str">
        <f>"2026-01-16 12:01:11.800"</f>
        <v>2026-01-16 12:01:11.800</v>
      </c>
      <c r="H956" t="s">
        <v>68</v>
      </c>
      <c r="I956">
        <v>0</v>
      </c>
      <c r="J956" t="s">
        <v>31</v>
      </c>
    </row>
    <row r="957" spans="1:10" x14ac:dyDescent="0.25">
      <c r="A957" s="1">
        <v>226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"2026-01-16 11:49:27.521"</f>
        <v>2026-01-16 11:49:27.521</v>
      </c>
      <c r="H957" t="s">
        <v>21</v>
      </c>
      <c r="I957">
        <v>0</v>
      </c>
      <c r="J957" t="s">
        <v>22</v>
      </c>
    </row>
    <row r="958" spans="1:10" x14ac:dyDescent="0.25">
      <c r="A958" s="1">
        <v>227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"2026-01-16 11:26:27.469"</f>
        <v>2026-01-16 11:26:27.469</v>
      </c>
      <c r="H958" t="s">
        <v>21</v>
      </c>
      <c r="I958">
        <v>0</v>
      </c>
      <c r="J958" t="s">
        <v>22</v>
      </c>
    </row>
    <row r="959" spans="1:10" x14ac:dyDescent="0.25">
      <c r="A959" s="1">
        <v>228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"2026-01-16 11:08:57.481"</f>
        <v>2026-01-16 11:08:57.481</v>
      </c>
      <c r="H959" t="s">
        <v>21</v>
      </c>
    </row>
    <row r="960" spans="1:10" x14ac:dyDescent="0.25">
      <c r="A960" s="1">
        <v>229</v>
      </c>
      <c r="B960" t="s">
        <v>23</v>
      </c>
      <c r="C960">
        <v>4</v>
      </c>
      <c r="D960">
        <v>4</v>
      </c>
      <c r="E960" t="s">
        <v>66</v>
      </c>
      <c r="F960" t="s">
        <v>72</v>
      </c>
      <c r="G960" t="str">
        <f>"2026-01-16 10:57:24.245"</f>
        <v>2026-01-16 10:57:24.245</v>
      </c>
      <c r="H960" t="s">
        <v>68</v>
      </c>
    </row>
    <row r="961" spans="1:10" x14ac:dyDescent="0.25">
      <c r="A961" s="1">
        <v>232</v>
      </c>
      <c r="B961" t="s">
        <v>27</v>
      </c>
      <c r="C961">
        <v>4</v>
      </c>
      <c r="D961">
        <v>4</v>
      </c>
      <c r="E961" t="s">
        <v>66</v>
      </c>
      <c r="F961" t="s">
        <v>72</v>
      </c>
      <c r="G961" t="str">
        <f>"2026-01-16 10:56:43.525"</f>
        <v>2026-01-16 10:56:43.525</v>
      </c>
      <c r="H961" t="s">
        <v>68</v>
      </c>
      <c r="I961">
        <v>18.399999999999999</v>
      </c>
      <c r="J961" t="s">
        <v>28</v>
      </c>
    </row>
    <row r="962" spans="1:10" x14ac:dyDescent="0.25">
      <c r="A962" s="1">
        <v>233</v>
      </c>
      <c r="B962" t="s">
        <v>23</v>
      </c>
      <c r="C962">
        <v>4</v>
      </c>
      <c r="D962">
        <v>4</v>
      </c>
      <c r="E962" t="s">
        <v>66</v>
      </c>
      <c r="F962" t="s">
        <v>72</v>
      </c>
      <c r="G962" t="str">
        <f>"2026-01-16 10:48:28.125"</f>
        <v>2026-01-16 10:48:28.125</v>
      </c>
      <c r="H962" t="s">
        <v>68</v>
      </c>
    </row>
    <row r="963" spans="1:10" x14ac:dyDescent="0.25">
      <c r="A963" s="1">
        <v>234</v>
      </c>
      <c r="B963" t="s">
        <v>27</v>
      </c>
      <c r="C963">
        <v>4</v>
      </c>
      <c r="D963">
        <v>4</v>
      </c>
      <c r="E963" t="s">
        <v>66</v>
      </c>
      <c r="F963" t="s">
        <v>72</v>
      </c>
      <c r="G963" t="str">
        <f>"2026-01-16 10:47:25.025"</f>
        <v>2026-01-16 10:47:25.025</v>
      </c>
      <c r="H963" t="s">
        <v>68</v>
      </c>
      <c r="I963">
        <v>26.45</v>
      </c>
      <c r="J963" t="s">
        <v>42</v>
      </c>
    </row>
    <row r="964" spans="1:10" x14ac:dyDescent="0.25">
      <c r="A964" s="1">
        <v>235</v>
      </c>
      <c r="B964" t="s">
        <v>23</v>
      </c>
      <c r="C964">
        <v>4</v>
      </c>
      <c r="D964">
        <v>4</v>
      </c>
      <c r="E964" t="s">
        <v>66</v>
      </c>
      <c r="F964" t="s">
        <v>72</v>
      </c>
      <c r="G964" t="str">
        <f>"2026-01-16 10:35:47.405"</f>
        <v>2026-01-16 10:35:47.405</v>
      </c>
      <c r="H964" t="s">
        <v>68</v>
      </c>
    </row>
    <row r="965" spans="1:10" x14ac:dyDescent="0.25">
      <c r="A965" s="1">
        <v>237</v>
      </c>
      <c r="B965" t="s">
        <v>73</v>
      </c>
      <c r="C965">
        <v>215</v>
      </c>
      <c r="D965">
        <v>5</v>
      </c>
      <c r="E965" t="s">
        <v>74</v>
      </c>
      <c r="F965" t="s">
        <v>75</v>
      </c>
      <c r="G965" t="str">
        <f>"2026-01-16 10:35:40.862"</f>
        <v>2026-01-16 10:35:40.862</v>
      </c>
      <c r="H965" t="s">
        <v>21</v>
      </c>
    </row>
    <row r="966" spans="1:10" x14ac:dyDescent="0.25">
      <c r="A966" s="1">
        <v>238</v>
      </c>
      <c r="B966" t="s">
        <v>73</v>
      </c>
      <c r="C966">
        <v>115</v>
      </c>
      <c r="D966">
        <v>5</v>
      </c>
      <c r="E966" t="s">
        <v>76</v>
      </c>
      <c r="F966" t="s">
        <v>75</v>
      </c>
      <c r="G966" t="str">
        <f>"2026-01-16 10:35:40.762"</f>
        <v>2026-01-16 10:35:40.762</v>
      </c>
      <c r="H966" t="s">
        <v>21</v>
      </c>
    </row>
    <row r="967" spans="1:10" x14ac:dyDescent="0.25">
      <c r="A967" s="1">
        <v>239</v>
      </c>
      <c r="B967" t="s">
        <v>36</v>
      </c>
      <c r="C967">
        <v>215</v>
      </c>
      <c r="D967">
        <v>5</v>
      </c>
      <c r="E967" t="s">
        <v>74</v>
      </c>
      <c r="F967" t="s">
        <v>75</v>
      </c>
      <c r="G967" t="str">
        <f>"2026-01-16 10:35:35.716"</f>
        <v>2026-01-16 10:35:35.716</v>
      </c>
      <c r="H967" t="s">
        <v>21</v>
      </c>
      <c r="I967">
        <v>4.9800000000000004</v>
      </c>
      <c r="J967" t="s">
        <v>37</v>
      </c>
    </row>
    <row r="968" spans="1:10" x14ac:dyDescent="0.25">
      <c r="A968" s="1">
        <v>240</v>
      </c>
      <c r="B968" t="s">
        <v>36</v>
      </c>
      <c r="C968">
        <v>115</v>
      </c>
      <c r="D968">
        <v>5</v>
      </c>
      <c r="E968" t="s">
        <v>76</v>
      </c>
      <c r="F968" t="s">
        <v>75</v>
      </c>
      <c r="G968" t="str">
        <f>"2026-01-16 10:35:35.711"</f>
        <v>2026-01-16 10:35:35.711</v>
      </c>
      <c r="H968" t="s">
        <v>21</v>
      </c>
      <c r="I968">
        <v>4.9800000000000004</v>
      </c>
      <c r="J968" t="s">
        <v>37</v>
      </c>
    </row>
    <row r="969" spans="1:10" x14ac:dyDescent="0.25">
      <c r="A969" s="1">
        <v>241</v>
      </c>
      <c r="B969" t="s">
        <v>27</v>
      </c>
      <c r="C969">
        <v>4</v>
      </c>
      <c r="D969">
        <v>4</v>
      </c>
      <c r="E969" t="s">
        <v>66</v>
      </c>
      <c r="F969" t="s">
        <v>72</v>
      </c>
      <c r="G969" t="str">
        <f>"2026-01-16 10:35:34.865"</f>
        <v>2026-01-16 10:35:34.865</v>
      </c>
      <c r="H969" t="s">
        <v>68</v>
      </c>
      <c r="I969">
        <v>4.88</v>
      </c>
      <c r="J969" t="s">
        <v>37</v>
      </c>
    </row>
    <row r="970" spans="1:10" x14ac:dyDescent="0.25">
      <c r="A970" s="1">
        <v>242</v>
      </c>
      <c r="B970" t="s">
        <v>23</v>
      </c>
      <c r="C970">
        <v>4</v>
      </c>
      <c r="D970">
        <v>4</v>
      </c>
      <c r="E970" t="s">
        <v>66</v>
      </c>
      <c r="F970" t="s">
        <v>72</v>
      </c>
      <c r="G970" t="str">
        <f>"2026-01-16 10:35:21.664"</f>
        <v>2026-01-16 10:35:21.664</v>
      </c>
      <c r="H970" t="s">
        <v>68</v>
      </c>
    </row>
    <row r="971" spans="1:10" x14ac:dyDescent="0.25">
      <c r="A971" s="1">
        <v>246</v>
      </c>
      <c r="B971" t="s">
        <v>27</v>
      </c>
      <c r="C971">
        <v>4</v>
      </c>
      <c r="D971">
        <v>4</v>
      </c>
      <c r="E971" t="s">
        <v>66</v>
      </c>
      <c r="F971" t="s">
        <v>72</v>
      </c>
      <c r="G971" t="str">
        <f>"2026-01-16 10:34:59.685"</f>
        <v>2026-01-16 10:34:59.685</v>
      </c>
      <c r="H971" t="s">
        <v>68</v>
      </c>
      <c r="I971">
        <v>22.26</v>
      </c>
      <c r="J971" t="s">
        <v>37</v>
      </c>
    </row>
    <row r="972" spans="1:10" x14ac:dyDescent="0.25">
      <c r="A972" s="1">
        <v>247</v>
      </c>
      <c r="B972" t="s">
        <v>23</v>
      </c>
      <c r="C972">
        <v>4</v>
      </c>
      <c r="D972">
        <v>4</v>
      </c>
      <c r="E972" t="s">
        <v>66</v>
      </c>
      <c r="F972" t="s">
        <v>72</v>
      </c>
      <c r="G972" t="str">
        <f>"2026-01-16 10:06:54.545"</f>
        <v>2026-01-16 10:06:54.545</v>
      </c>
      <c r="H972" t="s">
        <v>68</v>
      </c>
    </row>
    <row r="973" spans="1:10" x14ac:dyDescent="0.25">
      <c r="A973" s="1">
        <v>248</v>
      </c>
      <c r="B973" t="s">
        <v>27</v>
      </c>
      <c r="C973">
        <v>4</v>
      </c>
      <c r="D973">
        <v>4</v>
      </c>
      <c r="E973" t="s">
        <v>66</v>
      </c>
      <c r="F973" t="s">
        <v>72</v>
      </c>
      <c r="G973" t="str">
        <f>"2026-01-16 10:05:21.225"</f>
        <v>2026-01-16 10:05:21.225</v>
      </c>
      <c r="H973" t="s">
        <v>68</v>
      </c>
      <c r="I973">
        <v>19.45</v>
      </c>
      <c r="J973" t="s">
        <v>42</v>
      </c>
    </row>
    <row r="974" spans="1:10" x14ac:dyDescent="0.25">
      <c r="A974" s="1">
        <v>249</v>
      </c>
      <c r="B974" t="s">
        <v>23</v>
      </c>
      <c r="C974">
        <v>4</v>
      </c>
      <c r="D974">
        <v>4</v>
      </c>
      <c r="E974" t="s">
        <v>66</v>
      </c>
      <c r="F974" t="s">
        <v>72</v>
      </c>
      <c r="G974" t="str">
        <f>"2026-01-16 01:35:47.325"</f>
        <v>2026-01-16 01:35:47.325</v>
      </c>
      <c r="H974" t="s">
        <v>68</v>
      </c>
    </row>
    <row r="975" spans="1:10" x14ac:dyDescent="0.25">
      <c r="A975" s="1">
        <v>250</v>
      </c>
      <c r="B975" t="s">
        <v>27</v>
      </c>
      <c r="C975">
        <v>4</v>
      </c>
      <c r="D975">
        <v>4</v>
      </c>
      <c r="E975" t="s">
        <v>66</v>
      </c>
      <c r="F975" t="s">
        <v>72</v>
      </c>
      <c r="G975" t="str">
        <f>"2026-01-16 01:34:14.706"</f>
        <v>2026-01-16 01:34:14.706</v>
      </c>
      <c r="H975" t="s">
        <v>68</v>
      </c>
      <c r="I975">
        <v>24.23</v>
      </c>
      <c r="J975" t="s">
        <v>42</v>
      </c>
    </row>
    <row r="976" spans="1:10" x14ac:dyDescent="0.25">
      <c r="A976" s="1">
        <v>251</v>
      </c>
      <c r="B976" t="s">
        <v>19</v>
      </c>
      <c r="C976">
        <v>706</v>
      </c>
      <c r="D976">
        <v>2</v>
      </c>
      <c r="E976" t="s">
        <v>29</v>
      </c>
      <c r="F976" t="s">
        <v>44</v>
      </c>
      <c r="G976" t="str">
        <f>"2026-01-15 21:36:05.477"</f>
        <v>2026-01-15 21:36:05.477</v>
      </c>
      <c r="H976" t="s">
        <v>21</v>
      </c>
      <c r="I976">
        <v>0</v>
      </c>
      <c r="J976" t="s">
        <v>31</v>
      </c>
    </row>
    <row r="977" spans="1:10" x14ac:dyDescent="0.25">
      <c r="A977" s="1">
        <v>252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"2026-01-15 21:32:04.437"</f>
        <v>2026-01-15 21:32:04.437</v>
      </c>
      <c r="H977" t="s">
        <v>21</v>
      </c>
      <c r="I977">
        <v>0</v>
      </c>
      <c r="J977" t="s">
        <v>22</v>
      </c>
    </row>
    <row r="978" spans="1:10" x14ac:dyDescent="0.25">
      <c r="A978" s="1">
        <v>253</v>
      </c>
      <c r="B978" t="s">
        <v>23</v>
      </c>
      <c r="C978">
        <v>4</v>
      </c>
      <c r="D978">
        <v>4</v>
      </c>
      <c r="E978" t="s">
        <v>66</v>
      </c>
      <c r="F978" t="s">
        <v>72</v>
      </c>
      <c r="G978" t="str">
        <f>"2026-01-15 15:11:02.740"</f>
        <v>2026-01-15 15:11:02.740</v>
      </c>
      <c r="H978" t="s">
        <v>68</v>
      </c>
    </row>
    <row r="979" spans="1:10" x14ac:dyDescent="0.25">
      <c r="A979" s="1">
        <v>254</v>
      </c>
      <c r="B979" t="s">
        <v>73</v>
      </c>
      <c r="C979">
        <v>215</v>
      </c>
      <c r="D979">
        <v>5</v>
      </c>
      <c r="E979" t="s">
        <v>74</v>
      </c>
      <c r="F979" t="s">
        <v>75</v>
      </c>
      <c r="G979" t="str">
        <f>"2026-01-15 15:10:55.252"</f>
        <v>2026-01-15 15:10:55.252</v>
      </c>
      <c r="H979" t="s">
        <v>21</v>
      </c>
    </row>
    <row r="980" spans="1:10" x14ac:dyDescent="0.25">
      <c r="A980" s="1">
        <v>255</v>
      </c>
      <c r="B980" t="s">
        <v>73</v>
      </c>
      <c r="C980">
        <v>115</v>
      </c>
      <c r="D980">
        <v>5</v>
      </c>
      <c r="E980" t="s">
        <v>76</v>
      </c>
      <c r="F980" t="s">
        <v>75</v>
      </c>
      <c r="G980" t="str">
        <f>"2026-01-15 15:10:55.152"</f>
        <v>2026-01-15 15:10:55.152</v>
      </c>
      <c r="H980" t="s">
        <v>21</v>
      </c>
    </row>
    <row r="981" spans="1:10" x14ac:dyDescent="0.25">
      <c r="A981" s="1">
        <v>256</v>
      </c>
      <c r="B981" t="s">
        <v>36</v>
      </c>
      <c r="C981">
        <v>215</v>
      </c>
      <c r="D981">
        <v>5</v>
      </c>
      <c r="E981" t="s">
        <v>74</v>
      </c>
      <c r="F981" t="s">
        <v>75</v>
      </c>
      <c r="G981" t="str">
        <f>"2026-01-15 15:10:50.070"</f>
        <v>2026-01-15 15:10:50.070</v>
      </c>
      <c r="H981" t="s">
        <v>21</v>
      </c>
      <c r="I981">
        <v>5.17</v>
      </c>
      <c r="J981" t="s">
        <v>37</v>
      </c>
    </row>
    <row r="982" spans="1:10" x14ac:dyDescent="0.25">
      <c r="A982" s="1">
        <v>257</v>
      </c>
      <c r="B982" t="s">
        <v>36</v>
      </c>
      <c r="C982">
        <v>115</v>
      </c>
      <c r="D982">
        <v>5</v>
      </c>
      <c r="E982" t="s">
        <v>76</v>
      </c>
      <c r="F982" t="s">
        <v>75</v>
      </c>
      <c r="G982" t="str">
        <f>"2026-01-15 15:10:50.065"</f>
        <v>2026-01-15 15:10:50.065</v>
      </c>
      <c r="H982" t="s">
        <v>21</v>
      </c>
      <c r="I982">
        <v>5.17</v>
      </c>
      <c r="J982" t="s">
        <v>37</v>
      </c>
    </row>
    <row r="983" spans="1:10" x14ac:dyDescent="0.25">
      <c r="A983" s="1">
        <v>258</v>
      </c>
      <c r="B983" t="s">
        <v>27</v>
      </c>
      <c r="C983">
        <v>4</v>
      </c>
      <c r="D983">
        <v>4</v>
      </c>
      <c r="E983" t="s">
        <v>66</v>
      </c>
      <c r="F983" t="s">
        <v>72</v>
      </c>
      <c r="G983" t="str">
        <f>"2026-01-15 15:10:49.180"</f>
        <v>2026-01-15 15:10:49.180</v>
      </c>
      <c r="H983" t="s">
        <v>68</v>
      </c>
      <c r="I983">
        <v>5</v>
      </c>
      <c r="J983" t="s">
        <v>37</v>
      </c>
    </row>
    <row r="984" spans="1:10" x14ac:dyDescent="0.25">
      <c r="A984" s="1">
        <v>259</v>
      </c>
      <c r="B984" t="s">
        <v>23</v>
      </c>
      <c r="C984">
        <v>4</v>
      </c>
      <c r="D984">
        <v>4</v>
      </c>
      <c r="E984" t="s">
        <v>66</v>
      </c>
      <c r="F984" t="s">
        <v>72</v>
      </c>
      <c r="G984" t="str">
        <f>"2026-01-15 15:10:37.100"</f>
        <v>2026-01-15 15:10:37.100</v>
      </c>
      <c r="H984" t="s">
        <v>68</v>
      </c>
    </row>
    <row r="985" spans="1:10" x14ac:dyDescent="0.25">
      <c r="A985" s="1">
        <v>260</v>
      </c>
      <c r="B985" t="s">
        <v>73</v>
      </c>
      <c r="C985">
        <v>215</v>
      </c>
      <c r="D985">
        <v>5</v>
      </c>
      <c r="E985" t="s">
        <v>74</v>
      </c>
      <c r="F985" t="s">
        <v>75</v>
      </c>
      <c r="G985" t="str">
        <f>"2026-01-15 15:10:19.552"</f>
        <v>2026-01-15 15:10:19.552</v>
      </c>
      <c r="H985" t="s">
        <v>21</v>
      </c>
    </row>
    <row r="986" spans="1:10" x14ac:dyDescent="0.25">
      <c r="A986" s="1">
        <v>261</v>
      </c>
      <c r="B986" t="s">
        <v>73</v>
      </c>
      <c r="C986">
        <v>115</v>
      </c>
      <c r="D986">
        <v>5</v>
      </c>
      <c r="E986" t="s">
        <v>76</v>
      </c>
      <c r="F986" t="s">
        <v>75</v>
      </c>
      <c r="G986" t="str">
        <f>"2026-01-15 15:10:19.452"</f>
        <v>2026-01-15 15:10:19.452</v>
      </c>
      <c r="H986" t="s">
        <v>21</v>
      </c>
    </row>
    <row r="987" spans="1:10" x14ac:dyDescent="0.25">
      <c r="A987" s="1">
        <v>262</v>
      </c>
      <c r="B987" t="s">
        <v>36</v>
      </c>
      <c r="C987">
        <v>215</v>
      </c>
      <c r="D987">
        <v>5</v>
      </c>
      <c r="E987" t="s">
        <v>74</v>
      </c>
      <c r="F987" t="s">
        <v>75</v>
      </c>
      <c r="G987" t="str">
        <f>"2026-01-15 15:10:14.430"</f>
        <v>2026-01-15 15:10:14.430</v>
      </c>
      <c r="H987" t="s">
        <v>21</v>
      </c>
      <c r="I987">
        <v>12.98</v>
      </c>
      <c r="J987" t="s">
        <v>37</v>
      </c>
    </row>
    <row r="988" spans="1:10" x14ac:dyDescent="0.25">
      <c r="A988" s="1">
        <v>263</v>
      </c>
      <c r="B988" t="s">
        <v>36</v>
      </c>
      <c r="C988">
        <v>115</v>
      </c>
      <c r="D988">
        <v>5</v>
      </c>
      <c r="E988" t="s">
        <v>76</v>
      </c>
      <c r="F988" t="s">
        <v>75</v>
      </c>
      <c r="G988" t="str">
        <f>"2026-01-15 15:10:14.425"</f>
        <v>2026-01-15 15:10:14.425</v>
      </c>
      <c r="H988" t="s">
        <v>21</v>
      </c>
      <c r="I988">
        <v>12.98</v>
      </c>
      <c r="J988" t="s">
        <v>37</v>
      </c>
    </row>
    <row r="989" spans="1:10" x14ac:dyDescent="0.25">
      <c r="A989" s="1">
        <v>264</v>
      </c>
      <c r="B989" t="s">
        <v>27</v>
      </c>
      <c r="C989">
        <v>4</v>
      </c>
      <c r="D989">
        <v>4</v>
      </c>
      <c r="E989" t="s">
        <v>66</v>
      </c>
      <c r="F989" t="s">
        <v>72</v>
      </c>
      <c r="G989" t="str">
        <f>"2026-01-15 15:10:13.780"</f>
        <v>2026-01-15 15:10:13.780</v>
      </c>
      <c r="H989" t="s">
        <v>68</v>
      </c>
      <c r="I989">
        <v>13.42</v>
      </c>
      <c r="J989" t="s">
        <v>37</v>
      </c>
    </row>
    <row r="990" spans="1:10" x14ac:dyDescent="0.25">
      <c r="A990" s="1">
        <v>265</v>
      </c>
      <c r="B990" t="s">
        <v>23</v>
      </c>
      <c r="C990">
        <v>4</v>
      </c>
      <c r="D990">
        <v>4</v>
      </c>
      <c r="E990" t="s">
        <v>66</v>
      </c>
      <c r="F990" t="s">
        <v>72</v>
      </c>
      <c r="G990" t="str">
        <f>"2026-01-15 15:09:37.320"</f>
        <v>2026-01-15 15:09:37.320</v>
      </c>
      <c r="H990" t="s">
        <v>68</v>
      </c>
    </row>
    <row r="991" spans="1:10" x14ac:dyDescent="0.25">
      <c r="A991" s="1">
        <v>266</v>
      </c>
      <c r="B991" t="s">
        <v>32</v>
      </c>
      <c r="C991">
        <v>215</v>
      </c>
      <c r="D991">
        <v>5</v>
      </c>
      <c r="E991" t="s">
        <v>74</v>
      </c>
      <c r="F991" t="s">
        <v>75</v>
      </c>
      <c r="G991" t="str">
        <f>"2026-01-15 15:09:31.571"</f>
        <v>2026-01-15 15:09:31.571</v>
      </c>
      <c r="H991" t="s">
        <v>21</v>
      </c>
    </row>
    <row r="992" spans="1:10" x14ac:dyDescent="0.25">
      <c r="A992" s="1">
        <v>267</v>
      </c>
      <c r="B992" t="s">
        <v>32</v>
      </c>
      <c r="C992">
        <v>115</v>
      </c>
      <c r="D992">
        <v>5</v>
      </c>
      <c r="E992" t="s">
        <v>76</v>
      </c>
      <c r="F992" t="s">
        <v>75</v>
      </c>
      <c r="G992" t="str">
        <f>"2026-01-15 15:09:31.569"</f>
        <v>2026-01-15 15:09:31.569</v>
      </c>
      <c r="H992" t="s">
        <v>21</v>
      </c>
    </row>
    <row r="993" spans="1:10" x14ac:dyDescent="0.25">
      <c r="A993" s="1">
        <v>268</v>
      </c>
      <c r="B993" t="s">
        <v>36</v>
      </c>
      <c r="C993">
        <v>215</v>
      </c>
      <c r="D993">
        <v>5</v>
      </c>
      <c r="E993" t="s">
        <v>74</v>
      </c>
      <c r="F993" t="s">
        <v>75</v>
      </c>
      <c r="G993" t="str">
        <f>"2026-01-15 15:09:29.485"</f>
        <v>2026-01-15 15:09:29.485</v>
      </c>
      <c r="H993" t="s">
        <v>21</v>
      </c>
      <c r="I993">
        <v>5.91</v>
      </c>
      <c r="J993" t="s">
        <v>37</v>
      </c>
    </row>
    <row r="994" spans="1:10" x14ac:dyDescent="0.25">
      <c r="A994" s="1">
        <v>269</v>
      </c>
      <c r="B994" t="s">
        <v>36</v>
      </c>
      <c r="C994">
        <v>115</v>
      </c>
      <c r="D994">
        <v>5</v>
      </c>
      <c r="E994" t="s">
        <v>76</v>
      </c>
      <c r="F994" t="s">
        <v>75</v>
      </c>
      <c r="G994" t="str">
        <f>"2026-01-15 15:09:29.245"</f>
        <v>2026-01-15 15:09:29.245</v>
      </c>
      <c r="H994" t="s">
        <v>21</v>
      </c>
      <c r="I994">
        <v>6.03</v>
      </c>
      <c r="J994" t="s">
        <v>37</v>
      </c>
    </row>
    <row r="995" spans="1:10" x14ac:dyDescent="0.25">
      <c r="A995" s="1">
        <v>270</v>
      </c>
      <c r="B995" t="s">
        <v>27</v>
      </c>
      <c r="C995">
        <v>4</v>
      </c>
      <c r="D995">
        <v>4</v>
      </c>
      <c r="E995" t="s">
        <v>66</v>
      </c>
      <c r="F995" t="s">
        <v>72</v>
      </c>
      <c r="G995" t="str">
        <f>"2026-01-15 15:09:28.540"</f>
        <v>2026-01-15 15:09:28.540</v>
      </c>
      <c r="H995" t="s">
        <v>68</v>
      </c>
      <c r="I995">
        <v>6.92</v>
      </c>
      <c r="J995" t="s">
        <v>37</v>
      </c>
    </row>
    <row r="996" spans="1:10" x14ac:dyDescent="0.25">
      <c r="A996" s="1">
        <v>271</v>
      </c>
      <c r="B996" t="s">
        <v>23</v>
      </c>
      <c r="C996">
        <v>42</v>
      </c>
      <c r="D996">
        <v>1</v>
      </c>
      <c r="E996" t="s">
        <v>55</v>
      </c>
      <c r="F996" t="s">
        <v>56</v>
      </c>
      <c r="G996" t="str">
        <f>"2026-01-15 13:51:01.839"</f>
        <v>2026-01-15 13:51:01.839</v>
      </c>
      <c r="H996" t="s">
        <v>57</v>
      </c>
    </row>
    <row r="997" spans="1:10" x14ac:dyDescent="0.25">
      <c r="A997" s="1">
        <v>272</v>
      </c>
      <c r="B997" t="s">
        <v>27</v>
      </c>
      <c r="C997">
        <v>42</v>
      </c>
      <c r="D997">
        <v>1</v>
      </c>
      <c r="E997" t="s">
        <v>55</v>
      </c>
      <c r="F997" t="s">
        <v>56</v>
      </c>
      <c r="G997" t="str">
        <f>"2026-01-15 13:50:39.739"</f>
        <v>2026-01-15 13:50:39.739</v>
      </c>
      <c r="H997" t="s">
        <v>57</v>
      </c>
      <c r="I997">
        <v>0</v>
      </c>
      <c r="J997" t="s">
        <v>31</v>
      </c>
    </row>
    <row r="998" spans="1:10" x14ac:dyDescent="0.25">
      <c r="A998" s="1">
        <v>273</v>
      </c>
      <c r="B998" t="s">
        <v>23</v>
      </c>
      <c r="C998">
        <v>61</v>
      </c>
      <c r="D998">
        <v>2</v>
      </c>
      <c r="E998" t="s">
        <v>47</v>
      </c>
      <c r="F998" t="s">
        <v>48</v>
      </c>
      <c r="G998" t="str">
        <f>"2026-01-15 06:17:31.182"</f>
        <v>2026-01-15 06:17:31.182</v>
      </c>
      <c r="H998" t="s">
        <v>21</v>
      </c>
    </row>
    <row r="999" spans="1:10" x14ac:dyDescent="0.25">
      <c r="A999" s="1">
        <v>274</v>
      </c>
      <c r="B999" t="s">
        <v>36</v>
      </c>
      <c r="C999">
        <v>61</v>
      </c>
      <c r="D999">
        <v>2</v>
      </c>
      <c r="E999" t="s">
        <v>47</v>
      </c>
      <c r="F999" t="s">
        <v>48</v>
      </c>
      <c r="G999" t="str">
        <f>"2026-01-15 06:17:22.482"</f>
        <v>2026-01-15 06:17:22.482</v>
      </c>
      <c r="H999" t="s">
        <v>21</v>
      </c>
      <c r="I999">
        <v>29.22</v>
      </c>
      <c r="J999" t="s">
        <v>42</v>
      </c>
    </row>
    <row r="1000" spans="1:10" x14ac:dyDescent="0.25">
      <c r="A1000" s="1">
        <v>276</v>
      </c>
      <c r="B1000" t="s">
        <v>23</v>
      </c>
      <c r="C1000">
        <v>635</v>
      </c>
      <c r="D1000">
        <v>1</v>
      </c>
      <c r="E1000" t="s">
        <v>43</v>
      </c>
      <c r="F1000" t="s">
        <v>25</v>
      </c>
      <c r="G1000" t="str">
        <f>"2026-01-15 00:48:18.969"</f>
        <v>2026-01-15 00:48:18.969</v>
      </c>
      <c r="H1000" t="s">
        <v>21</v>
      </c>
    </row>
    <row r="1001" spans="1:10" x14ac:dyDescent="0.25">
      <c r="A1001" s="1">
        <v>277</v>
      </c>
      <c r="B1001" t="s">
        <v>27</v>
      </c>
      <c r="C1001">
        <v>635</v>
      </c>
      <c r="D1001">
        <v>1</v>
      </c>
      <c r="E1001" t="s">
        <v>43</v>
      </c>
      <c r="F1001" t="s">
        <v>25</v>
      </c>
      <c r="G1001" t="str">
        <f>"2026-01-15 00:40:33.969"</f>
        <v>2026-01-15 00:40:33.969</v>
      </c>
      <c r="H1001" t="s">
        <v>21</v>
      </c>
      <c r="I1001">
        <v>0.84</v>
      </c>
      <c r="J1001" t="s">
        <v>28</v>
      </c>
    </row>
    <row r="1002" spans="1:10" x14ac:dyDescent="0.25">
      <c r="A1002" s="1">
        <v>281</v>
      </c>
      <c r="B1002" t="s">
        <v>23</v>
      </c>
      <c r="C1002">
        <v>635</v>
      </c>
      <c r="D1002">
        <v>1</v>
      </c>
      <c r="E1002" t="s">
        <v>43</v>
      </c>
      <c r="F1002" t="s">
        <v>25</v>
      </c>
      <c r="G1002" t="str">
        <f>"2026-01-14 08:10:46.069"</f>
        <v>2026-01-14 08:10:46.069</v>
      </c>
      <c r="H1002" t="s">
        <v>21</v>
      </c>
    </row>
    <row r="1003" spans="1:10" x14ac:dyDescent="0.25">
      <c r="A1003" s="1">
        <v>282</v>
      </c>
      <c r="B1003" t="s">
        <v>27</v>
      </c>
      <c r="C1003">
        <v>635</v>
      </c>
      <c r="D1003">
        <v>1</v>
      </c>
      <c r="E1003" t="s">
        <v>43</v>
      </c>
      <c r="F1003" t="s">
        <v>25</v>
      </c>
      <c r="G1003" t="str">
        <f>"2026-01-14 08:05:56.569"</f>
        <v>2026-01-14 08:05:56.569</v>
      </c>
      <c r="H1003" t="s">
        <v>21</v>
      </c>
      <c r="I1003">
        <v>3.47</v>
      </c>
      <c r="J1003" t="s">
        <v>37</v>
      </c>
    </row>
    <row r="1004" spans="1:10" x14ac:dyDescent="0.25">
      <c r="A1004" s="1">
        <v>283</v>
      </c>
      <c r="B1004" t="s">
        <v>73</v>
      </c>
      <c r="C1004">
        <v>215</v>
      </c>
      <c r="D1004">
        <v>9</v>
      </c>
      <c r="E1004" t="s">
        <v>74</v>
      </c>
      <c r="F1004" t="s">
        <v>77</v>
      </c>
      <c r="G1004" t="str">
        <f>"2026-01-13 20:04:56.136"</f>
        <v>2026-01-13 20:04:56.136</v>
      </c>
      <c r="H1004" t="s">
        <v>21</v>
      </c>
    </row>
    <row r="1005" spans="1:10" x14ac:dyDescent="0.25">
      <c r="A1005" s="1">
        <v>284</v>
      </c>
      <c r="B1005" t="s">
        <v>73</v>
      </c>
      <c r="C1005">
        <v>115</v>
      </c>
      <c r="D1005">
        <v>9</v>
      </c>
      <c r="E1005" t="s">
        <v>76</v>
      </c>
      <c r="F1005" t="s">
        <v>77</v>
      </c>
      <c r="G1005" t="str">
        <f>"2026-01-13 20:04:55.961"</f>
        <v>2026-01-13 20:04:55.961</v>
      </c>
      <c r="H1005" t="s">
        <v>21</v>
      </c>
    </row>
    <row r="1006" spans="1:10" x14ac:dyDescent="0.25">
      <c r="A1006" s="1">
        <v>285</v>
      </c>
      <c r="B1006" t="s">
        <v>36</v>
      </c>
      <c r="C1006">
        <v>215</v>
      </c>
      <c r="D1006">
        <v>9</v>
      </c>
      <c r="E1006" t="s">
        <v>74</v>
      </c>
      <c r="F1006" t="s">
        <v>77</v>
      </c>
      <c r="G1006" t="str">
        <f>"2026-01-13 20:04:50.871"</f>
        <v>2026-01-13 20:04:50.871</v>
      </c>
      <c r="H1006" t="s">
        <v>21</v>
      </c>
      <c r="I1006">
        <v>0</v>
      </c>
      <c r="J1006" t="s">
        <v>28</v>
      </c>
    </row>
    <row r="1007" spans="1:10" x14ac:dyDescent="0.25">
      <c r="A1007" s="1">
        <v>286</v>
      </c>
      <c r="B1007" t="s">
        <v>36</v>
      </c>
      <c r="C1007">
        <v>115</v>
      </c>
      <c r="D1007">
        <v>9</v>
      </c>
      <c r="E1007" t="s">
        <v>76</v>
      </c>
      <c r="F1007" t="s">
        <v>77</v>
      </c>
      <c r="G1007" t="str">
        <f>"2026-01-13 20:04:50.865"</f>
        <v>2026-01-13 20:04:50.865</v>
      </c>
      <c r="H1007" t="s">
        <v>21</v>
      </c>
      <c r="I1007">
        <v>0</v>
      </c>
      <c r="J1007" t="s">
        <v>28</v>
      </c>
    </row>
    <row r="1008" spans="1:10" x14ac:dyDescent="0.25">
      <c r="A1008" s="1">
        <v>287</v>
      </c>
      <c r="B1008" t="s">
        <v>19</v>
      </c>
      <c r="C1008">
        <v>706</v>
      </c>
      <c r="D1008">
        <v>4</v>
      </c>
      <c r="E1008" t="s">
        <v>29</v>
      </c>
      <c r="F1008" t="s">
        <v>30</v>
      </c>
      <c r="G1008" t="str">
        <f>"2026-01-13 17:35:02.441"</f>
        <v>2026-01-13 17:35:02.441</v>
      </c>
      <c r="H1008" t="s">
        <v>21</v>
      </c>
      <c r="I1008">
        <v>0</v>
      </c>
      <c r="J1008" t="s">
        <v>31</v>
      </c>
    </row>
    <row r="1009" spans="1:10" x14ac:dyDescent="0.25">
      <c r="A1009" s="1">
        <v>288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"2026-01-13 17:21:46.431"</f>
        <v>2026-01-13 17:21:46.431</v>
      </c>
      <c r="H1009" t="s">
        <v>21</v>
      </c>
    </row>
    <row r="1010" spans="1:10" x14ac:dyDescent="0.25">
      <c r="A1010" s="1">
        <v>289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"2026-01-13 16:42:26.491"</f>
        <v>2026-01-13 16:42:26.491</v>
      </c>
      <c r="H1010" t="s">
        <v>21</v>
      </c>
    </row>
    <row r="1011" spans="1:10" x14ac:dyDescent="0.25">
      <c r="A1011" s="1">
        <v>290</v>
      </c>
      <c r="B1011" t="s">
        <v>19</v>
      </c>
      <c r="C1011">
        <v>706</v>
      </c>
      <c r="D1011">
        <v>4</v>
      </c>
      <c r="E1011" t="s">
        <v>29</v>
      </c>
      <c r="F1011" t="s">
        <v>30</v>
      </c>
      <c r="G1011" t="str">
        <f>"2026-01-13 16:18:49.265"</f>
        <v>2026-01-13 16:18:49.265</v>
      </c>
      <c r="H1011" t="s">
        <v>21</v>
      </c>
      <c r="I1011">
        <v>0</v>
      </c>
      <c r="J1011" t="s">
        <v>31</v>
      </c>
    </row>
    <row r="1012" spans="1:10" x14ac:dyDescent="0.25">
      <c r="A1012" s="1">
        <v>291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"2026-01-13 16:18:26.435"</f>
        <v>2026-01-13 16:18:26.435</v>
      </c>
      <c r="H1012" t="s">
        <v>21</v>
      </c>
    </row>
    <row r="1013" spans="1:10" x14ac:dyDescent="0.25">
      <c r="A1013" s="1">
        <v>292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"2026-01-13 15:05:39.432"</f>
        <v>2026-01-13 15:05:39.432</v>
      </c>
      <c r="H1013" t="s">
        <v>21</v>
      </c>
    </row>
    <row r="1014" spans="1:10" x14ac:dyDescent="0.25">
      <c r="A1014" s="1">
        <v>293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"2026-01-13 14:37:27.749"</f>
        <v>2026-01-13 14:37:27.749</v>
      </c>
      <c r="H1014" t="s">
        <v>21</v>
      </c>
    </row>
    <row r="1015" spans="1:10" x14ac:dyDescent="0.25">
      <c r="A1015" s="1">
        <v>294</v>
      </c>
      <c r="B1015" t="s">
        <v>23</v>
      </c>
      <c r="C1015">
        <v>631</v>
      </c>
      <c r="D1015">
        <v>1</v>
      </c>
      <c r="E1015" t="s">
        <v>78</v>
      </c>
      <c r="F1015" t="s">
        <v>79</v>
      </c>
      <c r="G1015" t="str">
        <f>"2026-01-13 04:12:48.917"</f>
        <v>2026-01-13 04:12:48.917</v>
      </c>
      <c r="H1015" t="s">
        <v>21</v>
      </c>
    </row>
    <row r="1016" spans="1:10" x14ac:dyDescent="0.25">
      <c r="A1016" s="1">
        <v>295</v>
      </c>
      <c r="B1016" t="s">
        <v>27</v>
      </c>
      <c r="C1016">
        <v>631</v>
      </c>
      <c r="D1016">
        <v>1</v>
      </c>
      <c r="E1016" t="s">
        <v>78</v>
      </c>
      <c r="F1016" t="s">
        <v>79</v>
      </c>
      <c r="G1016" t="str">
        <f>"2026-01-13 04:12:35.170"</f>
        <v>2026-01-13 04:12:35.170</v>
      </c>
      <c r="H1016" t="s">
        <v>21</v>
      </c>
      <c r="I1016">
        <v>16.73</v>
      </c>
      <c r="J1016" t="s">
        <v>37</v>
      </c>
    </row>
    <row r="1017" spans="1:10" x14ac:dyDescent="0.25">
      <c r="A1017" s="1">
        <v>296</v>
      </c>
      <c r="B1017" t="s">
        <v>23</v>
      </c>
      <c r="C1017">
        <v>631</v>
      </c>
      <c r="D1017">
        <v>1</v>
      </c>
      <c r="E1017" t="s">
        <v>78</v>
      </c>
      <c r="F1017" t="s">
        <v>79</v>
      </c>
      <c r="G1017" t="str">
        <f>"2026-01-13 04:08:57.617"</f>
        <v>2026-01-13 04:08:57.617</v>
      </c>
      <c r="H1017" t="s">
        <v>21</v>
      </c>
    </row>
    <row r="1018" spans="1:10" x14ac:dyDescent="0.25">
      <c r="A1018" s="1">
        <v>297</v>
      </c>
      <c r="B1018" t="s">
        <v>27</v>
      </c>
      <c r="C1018">
        <v>631</v>
      </c>
      <c r="D1018">
        <v>1</v>
      </c>
      <c r="E1018" t="s">
        <v>78</v>
      </c>
      <c r="F1018" t="s">
        <v>79</v>
      </c>
      <c r="G1018" t="str">
        <f>"2026-01-13 04:08:16.517"</f>
        <v>2026-01-13 04:08:16.517</v>
      </c>
      <c r="H1018" t="s">
        <v>21</v>
      </c>
      <c r="I1018">
        <v>5.49</v>
      </c>
      <c r="J1018" t="s">
        <v>37</v>
      </c>
    </row>
    <row r="1019" spans="1:10" x14ac:dyDescent="0.25">
      <c r="A1019" s="1">
        <v>298</v>
      </c>
      <c r="B1019" t="s">
        <v>23</v>
      </c>
      <c r="C1019">
        <v>631</v>
      </c>
      <c r="D1019">
        <v>1</v>
      </c>
      <c r="E1019" t="s">
        <v>78</v>
      </c>
      <c r="F1019" t="s">
        <v>79</v>
      </c>
      <c r="G1019" t="str">
        <f>"2026-01-13 03:21:31.370"</f>
        <v>2026-01-13 03:21:31.370</v>
      </c>
      <c r="H1019" t="s">
        <v>21</v>
      </c>
    </row>
    <row r="1020" spans="1:10" x14ac:dyDescent="0.25">
      <c r="A1020" s="1">
        <v>299</v>
      </c>
      <c r="B1020" t="s">
        <v>27</v>
      </c>
      <c r="C1020">
        <v>631</v>
      </c>
      <c r="D1020">
        <v>1</v>
      </c>
      <c r="E1020" t="s">
        <v>78</v>
      </c>
      <c r="F1020" t="s">
        <v>79</v>
      </c>
      <c r="G1020" t="str">
        <f>"2026-01-13 03:21:14.317"</f>
        <v>2026-01-13 03:21:14.317</v>
      </c>
      <c r="H1020" t="s">
        <v>21</v>
      </c>
      <c r="I1020">
        <v>10.36</v>
      </c>
      <c r="J1020" t="s">
        <v>37</v>
      </c>
    </row>
    <row r="1021" spans="1:10" x14ac:dyDescent="0.25">
      <c r="A1021" s="1">
        <v>300</v>
      </c>
      <c r="B1021" t="s">
        <v>23</v>
      </c>
      <c r="C1021">
        <v>631</v>
      </c>
      <c r="D1021">
        <v>1</v>
      </c>
      <c r="E1021" t="s">
        <v>78</v>
      </c>
      <c r="F1021" t="s">
        <v>79</v>
      </c>
      <c r="G1021" t="str">
        <f>"2026-01-13 03:20:45.817"</f>
        <v>2026-01-13 03:20:45.817</v>
      </c>
      <c r="H1021" t="s">
        <v>21</v>
      </c>
    </row>
    <row r="1022" spans="1:10" x14ac:dyDescent="0.25">
      <c r="A1022" s="1">
        <v>301</v>
      </c>
      <c r="B1022" t="s">
        <v>27</v>
      </c>
      <c r="C1022">
        <v>631</v>
      </c>
      <c r="D1022">
        <v>1</v>
      </c>
      <c r="E1022" t="s">
        <v>78</v>
      </c>
      <c r="F1022" t="s">
        <v>79</v>
      </c>
      <c r="G1022" t="str">
        <f>"2026-01-13 03:19:49.817"</f>
        <v>2026-01-13 03:19:49.817</v>
      </c>
      <c r="H1022" t="s">
        <v>21</v>
      </c>
      <c r="I1022">
        <v>5.24</v>
      </c>
      <c r="J1022" t="s">
        <v>37</v>
      </c>
    </row>
    <row r="1023" spans="1:10" x14ac:dyDescent="0.25">
      <c r="A1023" s="1">
        <v>302</v>
      </c>
      <c r="B1023" t="s">
        <v>23</v>
      </c>
      <c r="C1023">
        <v>635</v>
      </c>
      <c r="D1023">
        <v>1</v>
      </c>
      <c r="E1023" t="s">
        <v>43</v>
      </c>
      <c r="F1023" t="s">
        <v>25</v>
      </c>
      <c r="G1023" t="str">
        <f>"2026-01-13 02:42:49.670"</f>
        <v>2026-01-13 02:42:49.670</v>
      </c>
      <c r="H1023" t="s">
        <v>21</v>
      </c>
    </row>
    <row r="1024" spans="1:10" x14ac:dyDescent="0.25">
      <c r="A1024" s="1">
        <v>303</v>
      </c>
      <c r="B1024" t="s">
        <v>27</v>
      </c>
      <c r="C1024">
        <v>635</v>
      </c>
      <c r="D1024">
        <v>1</v>
      </c>
      <c r="E1024" t="s">
        <v>43</v>
      </c>
      <c r="F1024" t="s">
        <v>25</v>
      </c>
      <c r="G1024" t="str">
        <f>"2026-01-13 02:38:52.670"</f>
        <v>2026-01-13 02:38:52.670</v>
      </c>
      <c r="H1024" t="s">
        <v>21</v>
      </c>
      <c r="I1024">
        <v>2.12</v>
      </c>
      <c r="J1024" t="s">
        <v>28</v>
      </c>
    </row>
    <row r="1025" spans="1:10" x14ac:dyDescent="0.25">
      <c r="A1025" s="1">
        <v>304</v>
      </c>
      <c r="B1025" t="s">
        <v>23</v>
      </c>
      <c r="C1025">
        <v>631</v>
      </c>
      <c r="D1025">
        <v>1</v>
      </c>
      <c r="E1025" t="s">
        <v>78</v>
      </c>
      <c r="F1025" t="s">
        <v>79</v>
      </c>
      <c r="G1025" t="str">
        <f>"2026-01-13 00:48:05.370"</f>
        <v>2026-01-13 00:48:05.370</v>
      </c>
      <c r="H1025" t="s">
        <v>21</v>
      </c>
    </row>
    <row r="1026" spans="1:10" x14ac:dyDescent="0.25">
      <c r="A1026" s="1">
        <v>305</v>
      </c>
      <c r="B1026" t="s">
        <v>27</v>
      </c>
      <c r="C1026">
        <v>631</v>
      </c>
      <c r="D1026">
        <v>1</v>
      </c>
      <c r="E1026" t="s">
        <v>78</v>
      </c>
      <c r="F1026" t="s">
        <v>79</v>
      </c>
      <c r="G1026" t="str">
        <f>"2026-01-13 00:47:42.117"</f>
        <v>2026-01-13 00:47:42.117</v>
      </c>
      <c r="H1026" t="s">
        <v>21</v>
      </c>
      <c r="I1026">
        <v>12.24</v>
      </c>
      <c r="J1026" t="s">
        <v>37</v>
      </c>
    </row>
    <row r="1027" spans="1:10" x14ac:dyDescent="0.25">
      <c r="A1027" s="1">
        <v>306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"2026-01-12 20:11:59.410"</f>
        <v>2026-01-12 20:11:59.410</v>
      </c>
      <c r="H1027" t="s">
        <v>21</v>
      </c>
      <c r="I1027">
        <v>0</v>
      </c>
      <c r="J1027" t="s">
        <v>22</v>
      </c>
    </row>
    <row r="1028" spans="1:10" x14ac:dyDescent="0.25">
      <c r="A1028" s="1">
        <v>307</v>
      </c>
      <c r="B1028" t="s">
        <v>23</v>
      </c>
      <c r="C1028">
        <v>631</v>
      </c>
      <c r="D1028">
        <v>1</v>
      </c>
      <c r="E1028" t="s">
        <v>78</v>
      </c>
      <c r="F1028" t="s">
        <v>79</v>
      </c>
      <c r="G1028" t="str">
        <f>"2026-01-12 18:17:30.377"</f>
        <v>2026-01-12 18:17:30.377</v>
      </c>
      <c r="H1028" t="s">
        <v>21</v>
      </c>
    </row>
    <row r="1029" spans="1:10" x14ac:dyDescent="0.25">
      <c r="A1029" s="1">
        <v>308</v>
      </c>
      <c r="B1029" t="s">
        <v>27</v>
      </c>
      <c r="C1029">
        <v>631</v>
      </c>
      <c r="D1029">
        <v>1</v>
      </c>
      <c r="E1029" t="s">
        <v>78</v>
      </c>
      <c r="F1029" t="s">
        <v>79</v>
      </c>
      <c r="G1029" t="str">
        <f>"2026-01-12 18:17:09.277"</f>
        <v>2026-01-12 18:17:09.277</v>
      </c>
      <c r="H1029" t="s">
        <v>21</v>
      </c>
      <c r="I1029">
        <v>12.24</v>
      </c>
      <c r="J1029" t="s">
        <v>37</v>
      </c>
    </row>
    <row r="1030" spans="1:10" x14ac:dyDescent="0.25">
      <c r="A1030" s="1">
        <v>309</v>
      </c>
      <c r="B1030" t="s">
        <v>19</v>
      </c>
      <c r="C1030">
        <v>706</v>
      </c>
      <c r="D1030">
        <v>4</v>
      </c>
      <c r="E1030" t="s">
        <v>29</v>
      </c>
      <c r="F1030" t="s">
        <v>30</v>
      </c>
      <c r="G1030" t="str">
        <f>"2026-01-12 10:30:02.360"</f>
        <v>2026-01-12 10:30:02.360</v>
      </c>
      <c r="H1030" t="s">
        <v>21</v>
      </c>
      <c r="I1030">
        <v>0</v>
      </c>
      <c r="J1030" t="s">
        <v>31</v>
      </c>
    </row>
    <row r="1031" spans="1:10" x14ac:dyDescent="0.25">
      <c r="A1031" s="1">
        <v>310</v>
      </c>
      <c r="B1031" t="s">
        <v>23</v>
      </c>
      <c r="C1031">
        <v>635</v>
      </c>
      <c r="D1031">
        <v>1</v>
      </c>
      <c r="E1031" t="s">
        <v>43</v>
      </c>
      <c r="F1031" t="s">
        <v>25</v>
      </c>
      <c r="G1031" t="str">
        <f>"2026-01-12 07:03:05.330"</f>
        <v>2026-01-12 07:03:05.330</v>
      </c>
      <c r="H1031" t="s">
        <v>21</v>
      </c>
    </row>
    <row r="1032" spans="1:10" x14ac:dyDescent="0.25">
      <c r="A1032" s="1">
        <v>311</v>
      </c>
      <c r="B1032" t="s">
        <v>27</v>
      </c>
      <c r="C1032">
        <v>635</v>
      </c>
      <c r="D1032">
        <v>1</v>
      </c>
      <c r="E1032" t="s">
        <v>43</v>
      </c>
      <c r="F1032" t="s">
        <v>25</v>
      </c>
      <c r="G1032" t="str">
        <f>"2026-01-12 06:59:33.830"</f>
        <v>2026-01-12 06:59:33.830</v>
      </c>
      <c r="H1032" t="s">
        <v>21</v>
      </c>
      <c r="I1032">
        <v>2.25</v>
      </c>
      <c r="J1032" t="s">
        <v>37</v>
      </c>
    </row>
    <row r="1033" spans="1:10" x14ac:dyDescent="0.25">
      <c r="A1033" s="1">
        <v>312</v>
      </c>
      <c r="B1033" t="s">
        <v>23</v>
      </c>
      <c r="C1033">
        <v>635</v>
      </c>
      <c r="D1033">
        <v>1</v>
      </c>
      <c r="E1033" t="s">
        <v>43</v>
      </c>
      <c r="F1033" t="s">
        <v>25</v>
      </c>
      <c r="G1033" t="str">
        <f>"2026-01-12 06:02:44.930"</f>
        <v>2026-01-12 06:02:44.930</v>
      </c>
      <c r="H1033" t="s">
        <v>21</v>
      </c>
    </row>
    <row r="1034" spans="1:10" x14ac:dyDescent="0.25">
      <c r="A1034" s="1">
        <v>313</v>
      </c>
      <c r="B1034" t="s">
        <v>27</v>
      </c>
      <c r="C1034">
        <v>635</v>
      </c>
      <c r="D1034">
        <v>1</v>
      </c>
      <c r="E1034" t="s">
        <v>43</v>
      </c>
      <c r="F1034" t="s">
        <v>25</v>
      </c>
      <c r="G1034" t="str">
        <f>"2026-01-12 05:58:01.430"</f>
        <v>2026-01-12 05:58:01.430</v>
      </c>
      <c r="H1034" t="s">
        <v>21</v>
      </c>
      <c r="I1034">
        <v>3.98</v>
      </c>
      <c r="J1034" t="s">
        <v>37</v>
      </c>
    </row>
    <row r="1035" spans="1:10" x14ac:dyDescent="0.25">
      <c r="A1035" s="1">
        <v>314</v>
      </c>
      <c r="B1035" t="s">
        <v>23</v>
      </c>
      <c r="C1035">
        <v>635</v>
      </c>
      <c r="D1035">
        <v>1</v>
      </c>
      <c r="E1035" t="s">
        <v>43</v>
      </c>
      <c r="F1035" t="s">
        <v>25</v>
      </c>
      <c r="G1035" t="str">
        <f>"2026-01-12 05:22:15.530"</f>
        <v>2026-01-12 05:22:15.530</v>
      </c>
      <c r="H1035" t="s">
        <v>21</v>
      </c>
    </row>
    <row r="1036" spans="1:10" x14ac:dyDescent="0.25">
      <c r="A1036" s="1">
        <v>315</v>
      </c>
      <c r="B1036" t="s">
        <v>27</v>
      </c>
      <c r="C1036">
        <v>635</v>
      </c>
      <c r="D1036">
        <v>1</v>
      </c>
      <c r="E1036" t="s">
        <v>43</v>
      </c>
      <c r="F1036" t="s">
        <v>25</v>
      </c>
      <c r="G1036" t="str">
        <f>"2026-01-12 05:17:45.529"</f>
        <v>2026-01-12 05:17:45.529</v>
      </c>
      <c r="H1036" t="s">
        <v>21</v>
      </c>
      <c r="I1036">
        <v>0</v>
      </c>
      <c r="J1036" t="s">
        <v>28</v>
      </c>
    </row>
    <row r="1037" spans="1:10" x14ac:dyDescent="0.25">
      <c r="A1037" s="1">
        <v>319</v>
      </c>
      <c r="B1037" t="s">
        <v>23</v>
      </c>
      <c r="C1037">
        <v>635</v>
      </c>
      <c r="D1037">
        <v>1</v>
      </c>
      <c r="E1037" t="s">
        <v>43</v>
      </c>
      <c r="F1037" t="s">
        <v>25</v>
      </c>
      <c r="G1037" t="str">
        <f>"2026-01-11 03:58:53.730"</f>
        <v>2026-01-11 03:58:53.730</v>
      </c>
      <c r="H1037" t="s">
        <v>21</v>
      </c>
    </row>
    <row r="1038" spans="1:10" x14ac:dyDescent="0.25">
      <c r="A1038" s="1">
        <v>320</v>
      </c>
      <c r="B1038" t="s">
        <v>27</v>
      </c>
      <c r="C1038">
        <v>635</v>
      </c>
      <c r="D1038">
        <v>1</v>
      </c>
      <c r="E1038" t="s">
        <v>43</v>
      </c>
      <c r="F1038" t="s">
        <v>25</v>
      </c>
      <c r="G1038" t="str">
        <f>"2026-01-11 03:49:30.230"</f>
        <v>2026-01-11 03:49:30.230</v>
      </c>
      <c r="H1038" t="s">
        <v>21</v>
      </c>
      <c r="I1038">
        <v>0</v>
      </c>
      <c r="J1038" t="s">
        <v>28</v>
      </c>
    </row>
    <row r="1039" spans="1:10" x14ac:dyDescent="0.25">
      <c r="A1039" s="1">
        <v>321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"2026-01-11 02:23:30.410"</f>
        <v>2026-01-11 02:23:30.410</v>
      </c>
      <c r="H1039" t="s">
        <v>21</v>
      </c>
      <c r="I1039">
        <v>0</v>
      </c>
      <c r="J1039" t="s">
        <v>22</v>
      </c>
    </row>
    <row r="1040" spans="1:10" x14ac:dyDescent="0.25">
      <c r="A1040" s="1">
        <v>326</v>
      </c>
      <c r="B1040" t="s">
        <v>23</v>
      </c>
      <c r="C1040">
        <v>635</v>
      </c>
      <c r="D1040">
        <v>1</v>
      </c>
      <c r="E1040" t="s">
        <v>43</v>
      </c>
      <c r="F1040" t="s">
        <v>25</v>
      </c>
      <c r="G1040" t="str">
        <f>"2026-01-10 23:44:28.568"</f>
        <v>2026-01-10 23:44:28.568</v>
      </c>
      <c r="H1040" t="s">
        <v>21</v>
      </c>
    </row>
    <row r="1041" spans="1:10" x14ac:dyDescent="0.25">
      <c r="A1041" s="1">
        <v>327</v>
      </c>
      <c r="B1041" t="s">
        <v>27</v>
      </c>
      <c r="C1041">
        <v>635</v>
      </c>
      <c r="D1041">
        <v>1</v>
      </c>
      <c r="E1041" t="s">
        <v>43</v>
      </c>
      <c r="F1041" t="s">
        <v>25</v>
      </c>
      <c r="G1041" t="str">
        <f>"2026-01-10 23:40:45.568"</f>
        <v>2026-01-10 23:40:45.568</v>
      </c>
      <c r="H1041" t="s">
        <v>21</v>
      </c>
      <c r="I1041">
        <v>0</v>
      </c>
      <c r="J1041" t="s">
        <v>28</v>
      </c>
    </row>
    <row r="1042" spans="1:10" x14ac:dyDescent="0.25">
      <c r="A1042" s="1">
        <v>332</v>
      </c>
      <c r="B1042" t="s">
        <v>23</v>
      </c>
      <c r="C1042">
        <v>635</v>
      </c>
      <c r="D1042">
        <v>1</v>
      </c>
      <c r="E1042" t="s">
        <v>43</v>
      </c>
      <c r="F1042" t="s">
        <v>25</v>
      </c>
      <c r="G1042" t="str">
        <f>"2026-01-10 14:33:12.768"</f>
        <v>2026-01-10 14:33:12.768</v>
      </c>
      <c r="H1042" t="s">
        <v>21</v>
      </c>
    </row>
    <row r="1043" spans="1:10" x14ac:dyDescent="0.25">
      <c r="A1043" s="1">
        <v>333</v>
      </c>
      <c r="B1043" t="s">
        <v>27</v>
      </c>
      <c r="C1043">
        <v>635</v>
      </c>
      <c r="D1043">
        <v>1</v>
      </c>
      <c r="E1043" t="s">
        <v>43</v>
      </c>
      <c r="F1043" t="s">
        <v>25</v>
      </c>
      <c r="G1043" t="str">
        <f>"2026-01-10 14:31:04.268"</f>
        <v>2026-01-10 14:31:04.268</v>
      </c>
      <c r="H1043" t="s">
        <v>21</v>
      </c>
      <c r="I1043">
        <v>7.11</v>
      </c>
      <c r="J1043" t="s">
        <v>37</v>
      </c>
    </row>
    <row r="1044" spans="1:10" x14ac:dyDescent="0.25">
      <c r="A1044" s="1">
        <v>337</v>
      </c>
      <c r="B1044" t="s">
        <v>23</v>
      </c>
      <c r="C1044">
        <v>635</v>
      </c>
      <c r="D1044">
        <v>1</v>
      </c>
      <c r="E1044" t="s">
        <v>43</v>
      </c>
      <c r="F1044" t="s">
        <v>25</v>
      </c>
      <c r="G1044" t="str">
        <f>"2026-01-09 17:49:15.368"</f>
        <v>2026-01-09 17:49:15.368</v>
      </c>
      <c r="H1044" t="s">
        <v>21</v>
      </c>
    </row>
    <row r="1045" spans="1:10" x14ac:dyDescent="0.25">
      <c r="A1045" s="1">
        <v>338</v>
      </c>
      <c r="B1045" t="s">
        <v>27</v>
      </c>
      <c r="C1045">
        <v>635</v>
      </c>
      <c r="D1045">
        <v>1</v>
      </c>
      <c r="E1045" t="s">
        <v>43</v>
      </c>
      <c r="F1045" t="s">
        <v>25</v>
      </c>
      <c r="G1045" t="str">
        <f>"2026-01-09 17:45:15.368"</f>
        <v>2026-01-09 17:45:15.368</v>
      </c>
      <c r="H1045" t="s">
        <v>21</v>
      </c>
      <c r="I1045">
        <v>3.34</v>
      </c>
      <c r="J1045" t="s">
        <v>37</v>
      </c>
    </row>
    <row r="1046" spans="1:10" x14ac:dyDescent="0.25">
      <c r="A1046" s="1">
        <v>340</v>
      </c>
      <c r="B1046" t="s">
        <v>23</v>
      </c>
      <c r="C1046">
        <v>635</v>
      </c>
      <c r="D1046">
        <v>1</v>
      </c>
      <c r="E1046" t="s">
        <v>43</v>
      </c>
      <c r="F1046" t="s">
        <v>25</v>
      </c>
      <c r="G1046" t="str">
        <f>"2026-01-09 05:22:23.368"</f>
        <v>2026-01-09 05:22:23.368</v>
      </c>
      <c r="H1046" t="s">
        <v>21</v>
      </c>
    </row>
    <row r="1047" spans="1:10" x14ac:dyDescent="0.25">
      <c r="A1047" s="1">
        <v>341</v>
      </c>
      <c r="B1047" t="s">
        <v>27</v>
      </c>
      <c r="C1047">
        <v>635</v>
      </c>
      <c r="D1047">
        <v>1</v>
      </c>
      <c r="E1047" t="s">
        <v>43</v>
      </c>
      <c r="F1047" t="s">
        <v>25</v>
      </c>
      <c r="G1047" t="str">
        <f>"2026-01-09 05:17:57.868"</f>
        <v>2026-01-09 05:17:57.868</v>
      </c>
      <c r="H1047" t="s">
        <v>21</v>
      </c>
      <c r="I1047">
        <v>9.33</v>
      </c>
      <c r="J1047" t="s">
        <v>37</v>
      </c>
    </row>
    <row r="1048" spans="1:10" x14ac:dyDescent="0.25">
      <c r="A1048" s="1">
        <v>342</v>
      </c>
      <c r="B1048" t="s">
        <v>19</v>
      </c>
      <c r="C1048">
        <v>706</v>
      </c>
      <c r="D1048">
        <v>2</v>
      </c>
      <c r="E1048" t="s">
        <v>29</v>
      </c>
      <c r="F1048" t="s">
        <v>44</v>
      </c>
      <c r="G1048" t="str">
        <f>"2026-01-09 00:54:00.720"</f>
        <v>2026-01-09 00:54:00.720</v>
      </c>
      <c r="H1048" t="s">
        <v>21</v>
      </c>
      <c r="I1048">
        <v>0</v>
      </c>
      <c r="J1048" t="s">
        <v>31</v>
      </c>
    </row>
    <row r="1049" spans="1:10" x14ac:dyDescent="0.25">
      <c r="A1049" s="1">
        <v>343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"2026-01-09 00:53:44.410"</f>
        <v>2026-01-09 00:53:44.410</v>
      </c>
      <c r="H1049" t="s">
        <v>21</v>
      </c>
    </row>
    <row r="1050" spans="1:10" x14ac:dyDescent="0.25">
      <c r="A1050" s="1">
        <v>344</v>
      </c>
      <c r="B1050" t="s">
        <v>23</v>
      </c>
      <c r="C1050">
        <v>635</v>
      </c>
      <c r="D1050">
        <v>1</v>
      </c>
      <c r="E1050" t="s">
        <v>43</v>
      </c>
      <c r="F1050" t="s">
        <v>25</v>
      </c>
      <c r="G1050" t="str">
        <f>"2026-01-08 21:02:12.493"</f>
        <v>2026-01-08 21:02:12.493</v>
      </c>
      <c r="H1050" t="s">
        <v>21</v>
      </c>
    </row>
    <row r="1051" spans="1:10" x14ac:dyDescent="0.25">
      <c r="A1051" s="1">
        <v>345</v>
      </c>
      <c r="B1051" t="s">
        <v>27</v>
      </c>
      <c r="C1051">
        <v>635</v>
      </c>
      <c r="D1051">
        <v>1</v>
      </c>
      <c r="E1051" t="s">
        <v>43</v>
      </c>
      <c r="F1051" t="s">
        <v>25</v>
      </c>
      <c r="G1051" t="str">
        <f>"2026-01-08 20:58:41.993"</f>
        <v>2026-01-08 20:58:41.993</v>
      </c>
      <c r="H1051" t="s">
        <v>21</v>
      </c>
      <c r="I1051">
        <v>1.25</v>
      </c>
      <c r="J1051" t="s">
        <v>37</v>
      </c>
    </row>
    <row r="1052" spans="1:10" x14ac:dyDescent="0.25">
      <c r="A1052" s="1">
        <v>346</v>
      </c>
      <c r="B1052" t="s">
        <v>23</v>
      </c>
      <c r="C1052">
        <v>61</v>
      </c>
      <c r="D1052">
        <v>2</v>
      </c>
      <c r="E1052" t="s">
        <v>47</v>
      </c>
      <c r="F1052" t="s">
        <v>48</v>
      </c>
      <c r="G1052" t="str">
        <f>"2026-01-08 20:23:29.706"</f>
        <v>2026-01-08 20:23:29.706</v>
      </c>
      <c r="H1052" t="s">
        <v>21</v>
      </c>
    </row>
    <row r="1053" spans="1:10" x14ac:dyDescent="0.25">
      <c r="A1053" s="1">
        <v>347</v>
      </c>
      <c r="B1053" t="s">
        <v>36</v>
      </c>
      <c r="C1053">
        <v>61</v>
      </c>
      <c r="D1053">
        <v>2</v>
      </c>
      <c r="E1053" t="s">
        <v>47</v>
      </c>
      <c r="F1053" t="s">
        <v>48</v>
      </c>
      <c r="G1053" t="str">
        <f>"2026-01-08 20:23:15.806"</f>
        <v>2026-01-08 20:23:15.806</v>
      </c>
      <c r="H1053" t="s">
        <v>21</v>
      </c>
      <c r="I1053">
        <v>30.44</v>
      </c>
      <c r="J1053" t="s">
        <v>42</v>
      </c>
    </row>
    <row r="1054" spans="1:10" x14ac:dyDescent="0.25">
      <c r="A1054" s="1">
        <v>348</v>
      </c>
      <c r="B1054" t="s">
        <v>23</v>
      </c>
      <c r="C1054">
        <v>635</v>
      </c>
      <c r="D1054">
        <v>1</v>
      </c>
      <c r="E1054" t="s">
        <v>43</v>
      </c>
      <c r="F1054" t="s">
        <v>25</v>
      </c>
      <c r="G1054" t="str">
        <f>"2026-01-07 21:42:56.393"</f>
        <v>2026-01-07 21:42:56.393</v>
      </c>
      <c r="H1054" t="s">
        <v>21</v>
      </c>
    </row>
    <row r="1055" spans="1:10" x14ac:dyDescent="0.25">
      <c r="A1055" s="1">
        <v>349</v>
      </c>
      <c r="B1055" t="s">
        <v>27</v>
      </c>
      <c r="C1055">
        <v>635</v>
      </c>
      <c r="D1055">
        <v>1</v>
      </c>
      <c r="E1055" t="s">
        <v>43</v>
      </c>
      <c r="F1055" t="s">
        <v>25</v>
      </c>
      <c r="G1055" t="str">
        <f>"2026-01-07 21:37:28.892"</f>
        <v>2026-01-07 21:37:28.892</v>
      </c>
      <c r="H1055" t="s">
        <v>21</v>
      </c>
      <c r="I1055">
        <v>0.52</v>
      </c>
      <c r="J1055" t="s">
        <v>42</v>
      </c>
    </row>
    <row r="1056" spans="1:10" x14ac:dyDescent="0.25">
      <c r="A1056" s="1">
        <v>350</v>
      </c>
      <c r="B1056" t="s">
        <v>23</v>
      </c>
      <c r="C1056">
        <v>635</v>
      </c>
      <c r="D1056">
        <v>1</v>
      </c>
      <c r="E1056" t="s">
        <v>43</v>
      </c>
      <c r="F1056" t="s">
        <v>25</v>
      </c>
      <c r="G1056" t="str">
        <f>"2026-01-06 16:26:54.093"</f>
        <v>2026-01-06 16:26:54.093</v>
      </c>
      <c r="H1056" t="s">
        <v>21</v>
      </c>
    </row>
    <row r="1057" spans="1:10" x14ac:dyDescent="0.25">
      <c r="A1057" s="1">
        <v>351</v>
      </c>
      <c r="B1057" t="s">
        <v>27</v>
      </c>
      <c r="C1057">
        <v>635</v>
      </c>
      <c r="D1057">
        <v>1</v>
      </c>
      <c r="E1057" t="s">
        <v>43</v>
      </c>
      <c r="F1057" t="s">
        <v>25</v>
      </c>
      <c r="G1057" t="str">
        <f>"2026-01-06 16:21:58.593"</f>
        <v>2026-01-06 16:21:58.593</v>
      </c>
      <c r="H1057" t="s">
        <v>21</v>
      </c>
      <c r="I1057">
        <v>9.49</v>
      </c>
      <c r="J1057" t="s">
        <v>42</v>
      </c>
    </row>
    <row r="1058" spans="1:10" x14ac:dyDescent="0.25">
      <c r="A1058" s="1">
        <v>352</v>
      </c>
      <c r="B1058" t="s">
        <v>23</v>
      </c>
      <c r="C1058">
        <v>635</v>
      </c>
      <c r="D1058">
        <v>1</v>
      </c>
      <c r="E1058" t="s">
        <v>43</v>
      </c>
      <c r="F1058" t="s">
        <v>25</v>
      </c>
      <c r="G1058" t="str">
        <f>"2026-01-06 15:34:04.693"</f>
        <v>2026-01-06 15:34:04.693</v>
      </c>
      <c r="H1058" t="s">
        <v>21</v>
      </c>
    </row>
    <row r="1059" spans="1:10" x14ac:dyDescent="0.25">
      <c r="A1059" s="1">
        <v>353</v>
      </c>
      <c r="B1059" t="s">
        <v>27</v>
      </c>
      <c r="C1059">
        <v>635</v>
      </c>
      <c r="D1059">
        <v>1</v>
      </c>
      <c r="E1059" t="s">
        <v>43</v>
      </c>
      <c r="F1059" t="s">
        <v>25</v>
      </c>
      <c r="G1059" t="str">
        <f>"2026-01-06 15:32:17.193"</f>
        <v>2026-01-06 15:32:17.193</v>
      </c>
      <c r="H1059" t="s">
        <v>21</v>
      </c>
      <c r="I1059">
        <v>7.38</v>
      </c>
      <c r="J1059" t="s">
        <v>37</v>
      </c>
    </row>
    <row r="1060" spans="1:10" x14ac:dyDescent="0.25">
      <c r="A1060" s="1">
        <v>354</v>
      </c>
      <c r="B1060" t="s">
        <v>23</v>
      </c>
      <c r="C1060">
        <v>635</v>
      </c>
      <c r="D1060">
        <v>1</v>
      </c>
      <c r="E1060" t="s">
        <v>43</v>
      </c>
      <c r="F1060" t="s">
        <v>25</v>
      </c>
      <c r="G1060" t="str">
        <f>"2026-01-05 06:01:32.893"</f>
        <v>2026-01-05 06:01:32.893</v>
      </c>
      <c r="H1060" t="s">
        <v>21</v>
      </c>
    </row>
    <row r="1061" spans="1:10" x14ac:dyDescent="0.25">
      <c r="A1061" s="1">
        <v>355</v>
      </c>
      <c r="B1061" t="s">
        <v>27</v>
      </c>
      <c r="C1061">
        <v>635</v>
      </c>
      <c r="D1061">
        <v>1</v>
      </c>
      <c r="E1061" t="s">
        <v>43</v>
      </c>
      <c r="F1061" t="s">
        <v>25</v>
      </c>
      <c r="G1061" t="str">
        <f>"2026-01-05 05:54:53.893"</f>
        <v>2026-01-05 05:54:53.893</v>
      </c>
      <c r="H1061" t="s">
        <v>21</v>
      </c>
      <c r="I1061">
        <v>0</v>
      </c>
      <c r="J1061" t="s">
        <v>28</v>
      </c>
    </row>
    <row r="1062" spans="1:10" x14ac:dyDescent="0.25">
      <c r="A1062" s="1">
        <v>356</v>
      </c>
      <c r="B1062" t="s">
        <v>23</v>
      </c>
      <c r="C1062">
        <v>631</v>
      </c>
      <c r="D1062">
        <v>1</v>
      </c>
      <c r="E1062" t="s">
        <v>78</v>
      </c>
      <c r="F1062" t="s">
        <v>79</v>
      </c>
      <c r="G1062" t="str">
        <f>"2026-01-05 04:43:52.645"</f>
        <v>2026-01-05 04:43:52.645</v>
      </c>
      <c r="H1062" t="s">
        <v>21</v>
      </c>
    </row>
    <row r="1063" spans="1:10" x14ac:dyDescent="0.25">
      <c r="A1063" s="1">
        <v>357</v>
      </c>
      <c r="B1063" t="s">
        <v>27</v>
      </c>
      <c r="C1063">
        <v>631</v>
      </c>
      <c r="D1063">
        <v>1</v>
      </c>
      <c r="E1063" t="s">
        <v>78</v>
      </c>
      <c r="F1063" t="s">
        <v>79</v>
      </c>
      <c r="G1063" t="str">
        <f>"2026-01-05 04:43:06.846"</f>
        <v>2026-01-05 04:43:06.846</v>
      </c>
      <c r="H1063" t="s">
        <v>21</v>
      </c>
      <c r="I1063">
        <v>7.37</v>
      </c>
      <c r="J1063" t="s">
        <v>37</v>
      </c>
    </row>
    <row r="1064" spans="1:10" x14ac:dyDescent="0.25">
      <c r="A1064" s="1">
        <v>358</v>
      </c>
      <c r="B1064" t="s">
        <v>23</v>
      </c>
      <c r="C1064">
        <v>61</v>
      </c>
      <c r="D1064">
        <v>2</v>
      </c>
      <c r="E1064" t="s">
        <v>47</v>
      </c>
      <c r="F1064" t="s">
        <v>48</v>
      </c>
      <c r="G1064" t="str">
        <f>"2026-01-03 22:32:29.106"</f>
        <v>2026-01-03 22:32:29.106</v>
      </c>
      <c r="H1064" t="s">
        <v>21</v>
      </c>
    </row>
    <row r="1065" spans="1:10" x14ac:dyDescent="0.25">
      <c r="A1065" s="1">
        <v>359</v>
      </c>
      <c r="B1065" t="s">
        <v>36</v>
      </c>
      <c r="C1065">
        <v>61</v>
      </c>
      <c r="D1065">
        <v>2</v>
      </c>
      <c r="E1065" t="s">
        <v>47</v>
      </c>
      <c r="F1065" t="s">
        <v>48</v>
      </c>
      <c r="G1065" t="str">
        <f>"2026-01-03 22:32:14.506"</f>
        <v>2026-01-03 22:32:14.506</v>
      </c>
      <c r="H1065" t="s">
        <v>21</v>
      </c>
      <c r="I1065">
        <v>30.46</v>
      </c>
      <c r="J1065" t="s">
        <v>42</v>
      </c>
    </row>
    <row r="1066" spans="1:10" x14ac:dyDescent="0.25">
      <c r="A1066" s="1">
        <v>360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"2026-01-03 10:07:29.422"</f>
        <v>2026-01-03 10:07:29.422</v>
      </c>
      <c r="H1066" t="s">
        <v>21</v>
      </c>
      <c r="I1066">
        <v>0</v>
      </c>
      <c r="J1066" t="s">
        <v>22</v>
      </c>
    </row>
    <row r="1067" spans="1:10" x14ac:dyDescent="0.25">
      <c r="A1067" s="1">
        <v>361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"2026-01-03 00:07:53.384"</f>
        <v>2026-01-03 00:07:53.384</v>
      </c>
      <c r="H1067" t="s">
        <v>21</v>
      </c>
    </row>
    <row r="1068" spans="1:10" x14ac:dyDescent="0.25">
      <c r="A1068" s="1">
        <v>362</v>
      </c>
      <c r="B1068" t="s">
        <v>19</v>
      </c>
      <c r="C1068">
        <v>706</v>
      </c>
      <c r="D1068">
        <v>4</v>
      </c>
      <c r="E1068" t="s">
        <v>29</v>
      </c>
      <c r="F1068" t="s">
        <v>30</v>
      </c>
      <c r="G1068" t="str">
        <f>"2026-01-02 22:54:00.241"</f>
        <v>2026-01-02 22:54:00.241</v>
      </c>
      <c r="H1068" t="s">
        <v>21</v>
      </c>
      <c r="I1068">
        <v>0</v>
      </c>
      <c r="J1068" t="s">
        <v>31</v>
      </c>
    </row>
    <row r="1069" spans="1:10" x14ac:dyDescent="0.25">
      <c r="A1069" s="1">
        <v>363</v>
      </c>
      <c r="B1069" t="s">
        <v>19</v>
      </c>
      <c r="C1069">
        <v>706</v>
      </c>
      <c r="D1069">
        <v>4</v>
      </c>
      <c r="E1069" t="s">
        <v>29</v>
      </c>
      <c r="F1069" t="s">
        <v>30</v>
      </c>
      <c r="G1069" t="str">
        <f>"2026-01-02 22:53:49.451"</f>
        <v>2026-01-02 22:53:49.451</v>
      </c>
      <c r="H1069" t="s">
        <v>21</v>
      </c>
      <c r="I1069">
        <v>0</v>
      </c>
      <c r="J1069" t="s">
        <v>31</v>
      </c>
    </row>
    <row r="1070" spans="1:10" x14ac:dyDescent="0.25">
      <c r="A1070" s="1">
        <v>364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"2026-01-02 22:46:44.391"</f>
        <v>2026-01-02 22:46:44.391</v>
      </c>
      <c r="H1070" t="s">
        <v>21</v>
      </c>
      <c r="I1070">
        <v>0</v>
      </c>
      <c r="J1070" t="s">
        <v>22</v>
      </c>
    </row>
    <row r="1071" spans="1:10" x14ac:dyDescent="0.25">
      <c r="A1071" s="1">
        <v>365</v>
      </c>
      <c r="B1071" t="s">
        <v>19</v>
      </c>
      <c r="C1071">
        <v>706</v>
      </c>
      <c r="D1071">
        <v>3</v>
      </c>
      <c r="E1071" t="s">
        <v>29</v>
      </c>
      <c r="F1071" t="s">
        <v>45</v>
      </c>
      <c r="G1071" t="str">
        <f>"2026-01-02 21:48:18.534"</f>
        <v>2026-01-02 21:48:18.534</v>
      </c>
      <c r="H1071" t="s">
        <v>21</v>
      </c>
      <c r="I1071">
        <v>0</v>
      </c>
      <c r="J1071" t="s">
        <v>31</v>
      </c>
    </row>
    <row r="1072" spans="1:10" x14ac:dyDescent="0.25">
      <c r="A1072" s="1">
        <v>366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"2026-01-02 21:47:58.394"</f>
        <v>2026-01-02 21:47:58.394</v>
      </c>
      <c r="H1072" t="s">
        <v>21</v>
      </c>
    </row>
    <row r="1073" spans="1:10" x14ac:dyDescent="0.25">
      <c r="A1073" s="1">
        <v>367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"2026-01-02 20:46:43.804"</f>
        <v>2026-01-02 20:46:43.804</v>
      </c>
      <c r="H1073" t="s">
        <v>21</v>
      </c>
    </row>
    <row r="1074" spans="1:10" x14ac:dyDescent="0.25">
      <c r="A1074" s="1">
        <v>369</v>
      </c>
      <c r="B1074" t="s">
        <v>23</v>
      </c>
      <c r="C1074">
        <v>635</v>
      </c>
      <c r="D1074">
        <v>1</v>
      </c>
      <c r="E1074" t="s">
        <v>43</v>
      </c>
      <c r="F1074" t="s">
        <v>25</v>
      </c>
      <c r="G1074" t="str">
        <f>"2025-12-31 14:16:06.250"</f>
        <v>2025-12-31 14:16:06.250</v>
      </c>
      <c r="H1074" t="s">
        <v>21</v>
      </c>
    </row>
    <row r="1075" spans="1:10" x14ac:dyDescent="0.25">
      <c r="A1075" s="1">
        <v>370</v>
      </c>
      <c r="B1075" t="s">
        <v>27</v>
      </c>
      <c r="C1075">
        <v>635</v>
      </c>
      <c r="D1075">
        <v>1</v>
      </c>
      <c r="E1075" t="s">
        <v>43</v>
      </c>
      <c r="F1075" t="s">
        <v>25</v>
      </c>
      <c r="G1075" t="str">
        <f>"2025-12-31 14:14:26.250"</f>
        <v>2025-12-31 14:14:26.250</v>
      </c>
      <c r="H1075" t="s">
        <v>21</v>
      </c>
      <c r="I1075">
        <v>-4.74</v>
      </c>
      <c r="J1075" t="s">
        <v>42</v>
      </c>
    </row>
    <row r="1076" spans="1:10" x14ac:dyDescent="0.25">
      <c r="A1076" s="1">
        <v>371</v>
      </c>
      <c r="B1076" t="s">
        <v>23</v>
      </c>
      <c r="C1076">
        <v>635</v>
      </c>
      <c r="D1076">
        <v>1</v>
      </c>
      <c r="E1076" t="s">
        <v>43</v>
      </c>
      <c r="F1076" t="s">
        <v>25</v>
      </c>
      <c r="G1076" t="str">
        <f>"2025-12-30 18:36:40.850"</f>
        <v>2025-12-30 18:36:40.850</v>
      </c>
      <c r="H1076" t="s">
        <v>21</v>
      </c>
    </row>
    <row r="1077" spans="1:10" x14ac:dyDescent="0.25">
      <c r="A1077" s="1">
        <v>372</v>
      </c>
      <c r="B1077" t="s">
        <v>27</v>
      </c>
      <c r="C1077">
        <v>635</v>
      </c>
      <c r="D1077">
        <v>1</v>
      </c>
      <c r="E1077" t="s">
        <v>43</v>
      </c>
      <c r="F1077" t="s">
        <v>25</v>
      </c>
      <c r="G1077" t="str">
        <f>"2025-12-30 18:32:50.850"</f>
        <v>2025-12-30 18:32:50.850</v>
      </c>
      <c r="H1077" t="s">
        <v>21</v>
      </c>
      <c r="I1077">
        <v>3.08</v>
      </c>
      <c r="J1077" t="s">
        <v>37</v>
      </c>
    </row>
    <row r="1078" spans="1:10" x14ac:dyDescent="0.25">
      <c r="A1078" s="1">
        <v>373</v>
      </c>
      <c r="B1078" t="s">
        <v>23</v>
      </c>
      <c r="C1078">
        <v>635</v>
      </c>
      <c r="D1078">
        <v>1</v>
      </c>
      <c r="E1078" t="s">
        <v>43</v>
      </c>
      <c r="F1078" t="s">
        <v>25</v>
      </c>
      <c r="G1078" t="str">
        <f>"2025-12-30 16:41:48.550"</f>
        <v>2025-12-30 16:41:48.550</v>
      </c>
      <c r="H1078" t="s">
        <v>21</v>
      </c>
    </row>
    <row r="1079" spans="1:10" x14ac:dyDescent="0.25">
      <c r="A1079" s="1">
        <v>374</v>
      </c>
      <c r="B1079" t="s">
        <v>27</v>
      </c>
      <c r="C1079">
        <v>635</v>
      </c>
      <c r="D1079">
        <v>1</v>
      </c>
      <c r="E1079" t="s">
        <v>43</v>
      </c>
      <c r="F1079" t="s">
        <v>25</v>
      </c>
      <c r="G1079" t="str">
        <f>"2025-12-30 16:37:36.550"</f>
        <v>2025-12-30 16:37:36.550</v>
      </c>
      <c r="H1079" t="s">
        <v>21</v>
      </c>
      <c r="I1079">
        <v>2.56</v>
      </c>
      <c r="J1079" t="s">
        <v>37</v>
      </c>
    </row>
    <row r="1080" spans="1:10" x14ac:dyDescent="0.25">
      <c r="A1080" s="1">
        <v>375</v>
      </c>
      <c r="B1080" t="s">
        <v>23</v>
      </c>
      <c r="C1080">
        <v>635</v>
      </c>
      <c r="D1080">
        <v>1</v>
      </c>
      <c r="E1080" t="s">
        <v>43</v>
      </c>
      <c r="F1080" t="s">
        <v>25</v>
      </c>
      <c r="G1080" t="str">
        <f>"2025-12-30 14:16:22.850"</f>
        <v>2025-12-30 14:16:22.850</v>
      </c>
      <c r="H1080" t="s">
        <v>21</v>
      </c>
    </row>
    <row r="1081" spans="1:10" x14ac:dyDescent="0.25">
      <c r="A1081" s="1">
        <v>376</v>
      </c>
      <c r="B1081" t="s">
        <v>27</v>
      </c>
      <c r="C1081">
        <v>635</v>
      </c>
      <c r="D1081">
        <v>1</v>
      </c>
      <c r="E1081" t="s">
        <v>43</v>
      </c>
      <c r="F1081" t="s">
        <v>25</v>
      </c>
      <c r="G1081" t="str">
        <f>"2025-12-30 14:11:13.350"</f>
        <v>2025-12-30 14:11:13.350</v>
      </c>
      <c r="H1081" t="s">
        <v>21</v>
      </c>
      <c r="I1081">
        <v>0.89</v>
      </c>
      <c r="J1081" t="s">
        <v>37</v>
      </c>
    </row>
    <row r="1082" spans="1:10" x14ac:dyDescent="0.25">
      <c r="A1082" s="1">
        <v>377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"2025-12-30 09:42:55.415"</f>
        <v>2025-12-30 09:42:55.415</v>
      </c>
      <c r="H1082" t="s">
        <v>21</v>
      </c>
    </row>
    <row r="1083" spans="1:10" x14ac:dyDescent="0.25">
      <c r="A1083" s="1">
        <v>378</v>
      </c>
      <c r="B1083" t="s">
        <v>19</v>
      </c>
      <c r="C1083">
        <v>706</v>
      </c>
      <c r="D1083">
        <v>4</v>
      </c>
      <c r="E1083" t="s">
        <v>29</v>
      </c>
      <c r="F1083" t="s">
        <v>30</v>
      </c>
      <c r="G1083" t="str">
        <f>"2025-12-29 20:41:37.638"</f>
        <v>2025-12-29 20:41:37.638</v>
      </c>
      <c r="H1083" t="s">
        <v>21</v>
      </c>
      <c r="I1083">
        <v>0</v>
      </c>
      <c r="J1083" t="s">
        <v>31</v>
      </c>
    </row>
    <row r="1084" spans="1:10" x14ac:dyDescent="0.25">
      <c r="A1084" s="1">
        <v>379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"2025-12-29 20:38:28.418"</f>
        <v>2025-12-29 20:38:28.418</v>
      </c>
      <c r="H1084" t="s">
        <v>21</v>
      </c>
    </row>
    <row r="1085" spans="1:10" x14ac:dyDescent="0.25">
      <c r="A1085" s="1">
        <v>380</v>
      </c>
      <c r="B1085" t="s">
        <v>23</v>
      </c>
      <c r="C1085">
        <v>635</v>
      </c>
      <c r="D1085">
        <v>1</v>
      </c>
      <c r="E1085" t="s">
        <v>43</v>
      </c>
      <c r="F1085" t="s">
        <v>25</v>
      </c>
      <c r="G1085" t="str">
        <f>"2025-12-29 09:33:09.391"</f>
        <v>2025-12-29 09:33:09.391</v>
      </c>
      <c r="H1085" t="s">
        <v>21</v>
      </c>
    </row>
    <row r="1086" spans="1:10" x14ac:dyDescent="0.25">
      <c r="A1086" s="1">
        <v>381</v>
      </c>
      <c r="B1086" t="s">
        <v>27</v>
      </c>
      <c r="C1086">
        <v>635</v>
      </c>
      <c r="D1086">
        <v>1</v>
      </c>
      <c r="E1086" t="s">
        <v>43</v>
      </c>
      <c r="F1086" t="s">
        <v>25</v>
      </c>
      <c r="G1086" t="str">
        <f>"2025-12-29 09:22:16.391"</f>
        <v>2025-12-29 09:22:16.391</v>
      </c>
      <c r="H1086" t="s">
        <v>21</v>
      </c>
      <c r="I1086">
        <v>0.03</v>
      </c>
      <c r="J1086" t="s">
        <v>37</v>
      </c>
    </row>
    <row r="1087" spans="1:10" x14ac:dyDescent="0.25">
      <c r="A1087" s="1">
        <v>382</v>
      </c>
      <c r="B1087" t="s">
        <v>23</v>
      </c>
      <c r="C1087">
        <v>631</v>
      </c>
      <c r="D1087">
        <v>1</v>
      </c>
      <c r="E1087" t="s">
        <v>78</v>
      </c>
      <c r="F1087" t="s">
        <v>79</v>
      </c>
      <c r="G1087" t="str">
        <f>"2025-12-27 20:53:48.691"</f>
        <v>2025-12-27 20:53:48.691</v>
      </c>
      <c r="H1087" t="s">
        <v>21</v>
      </c>
    </row>
    <row r="1088" spans="1:10" x14ac:dyDescent="0.25">
      <c r="A1088" s="1">
        <v>383</v>
      </c>
      <c r="B1088" t="s">
        <v>27</v>
      </c>
      <c r="C1088">
        <v>631</v>
      </c>
      <c r="D1088">
        <v>1</v>
      </c>
      <c r="E1088" t="s">
        <v>78</v>
      </c>
      <c r="F1088" t="s">
        <v>79</v>
      </c>
      <c r="G1088" t="str">
        <f>"2025-12-27 20:53:20.439"</f>
        <v>2025-12-27 20:53:20.439</v>
      </c>
      <c r="H1088" t="s">
        <v>21</v>
      </c>
      <c r="I1088">
        <v>7.59</v>
      </c>
      <c r="J1088" t="s">
        <v>37</v>
      </c>
    </row>
    <row r="1089" spans="1:10" x14ac:dyDescent="0.25">
      <c r="A1089" s="1">
        <v>385</v>
      </c>
      <c r="B1089" t="s">
        <v>23</v>
      </c>
      <c r="C1089">
        <v>631</v>
      </c>
      <c r="D1089">
        <v>1</v>
      </c>
      <c r="E1089" t="s">
        <v>78</v>
      </c>
      <c r="F1089" t="s">
        <v>79</v>
      </c>
      <c r="G1089" t="str">
        <f>"2025-12-26 00:19:21.891"</f>
        <v>2025-12-26 00:19:21.891</v>
      </c>
      <c r="H1089" t="s">
        <v>21</v>
      </c>
    </row>
    <row r="1090" spans="1:10" x14ac:dyDescent="0.25">
      <c r="A1090" s="1">
        <v>386</v>
      </c>
      <c r="B1090" t="s">
        <v>27</v>
      </c>
      <c r="C1090">
        <v>631</v>
      </c>
      <c r="D1090">
        <v>1</v>
      </c>
      <c r="E1090" t="s">
        <v>78</v>
      </c>
      <c r="F1090" t="s">
        <v>79</v>
      </c>
      <c r="G1090" t="str">
        <f>"2025-12-26 00:18:48.691"</f>
        <v>2025-12-26 00:18:48.691</v>
      </c>
      <c r="H1090" t="s">
        <v>21</v>
      </c>
      <c r="I1090">
        <v>7.86</v>
      </c>
      <c r="J1090" t="s">
        <v>37</v>
      </c>
    </row>
    <row r="1091" spans="1:10" x14ac:dyDescent="0.25">
      <c r="A1091" s="1">
        <v>387</v>
      </c>
      <c r="B1091" t="s">
        <v>23</v>
      </c>
      <c r="C1091">
        <v>631</v>
      </c>
      <c r="D1091">
        <v>1</v>
      </c>
      <c r="E1091" t="s">
        <v>78</v>
      </c>
      <c r="F1091" t="s">
        <v>79</v>
      </c>
      <c r="G1091" t="str">
        <f>"2025-12-26 00:16:09.939"</f>
        <v>2025-12-26 00:16:09.939</v>
      </c>
      <c r="H1091" t="s">
        <v>21</v>
      </c>
    </row>
    <row r="1092" spans="1:10" x14ac:dyDescent="0.25">
      <c r="A1092" s="1">
        <v>388</v>
      </c>
      <c r="B1092" t="s">
        <v>27</v>
      </c>
      <c r="C1092">
        <v>631</v>
      </c>
      <c r="D1092">
        <v>1</v>
      </c>
      <c r="E1092" t="s">
        <v>78</v>
      </c>
      <c r="F1092" t="s">
        <v>79</v>
      </c>
      <c r="G1092" t="str">
        <f>"2025-12-25 23:38:12.891"</f>
        <v>2025-12-25 23:38:12.891</v>
      </c>
      <c r="H1092" t="s">
        <v>21</v>
      </c>
      <c r="I1092">
        <v>17.98</v>
      </c>
      <c r="J1092" t="s">
        <v>28</v>
      </c>
    </row>
    <row r="1093" spans="1:10" x14ac:dyDescent="0.25">
      <c r="A1093" s="1">
        <v>389</v>
      </c>
      <c r="B1093" t="s">
        <v>23</v>
      </c>
      <c r="C1093">
        <v>631</v>
      </c>
      <c r="D1093">
        <v>1</v>
      </c>
      <c r="E1093" t="s">
        <v>78</v>
      </c>
      <c r="F1093" t="s">
        <v>79</v>
      </c>
      <c r="G1093" t="str">
        <f>"2025-12-25 23:25:44.539"</f>
        <v>2025-12-25 23:25:44.539</v>
      </c>
      <c r="H1093" t="s">
        <v>21</v>
      </c>
    </row>
    <row r="1094" spans="1:10" x14ac:dyDescent="0.25">
      <c r="A1094" s="1">
        <v>390</v>
      </c>
      <c r="B1094" t="s">
        <v>27</v>
      </c>
      <c r="C1094">
        <v>631</v>
      </c>
      <c r="D1094">
        <v>1</v>
      </c>
      <c r="E1094" t="s">
        <v>78</v>
      </c>
      <c r="F1094" t="s">
        <v>79</v>
      </c>
      <c r="G1094" t="str">
        <f>"2025-12-25 22:40:12.739"</f>
        <v>2025-12-25 22:40:12.739</v>
      </c>
      <c r="H1094" t="s">
        <v>21</v>
      </c>
      <c r="I1094">
        <v>9.52</v>
      </c>
      <c r="J1094" t="s">
        <v>37</v>
      </c>
    </row>
    <row r="1095" spans="1:10" x14ac:dyDescent="0.25">
      <c r="A1095" s="1">
        <v>391</v>
      </c>
      <c r="B1095" t="s">
        <v>23</v>
      </c>
      <c r="C1095">
        <v>631</v>
      </c>
      <c r="D1095">
        <v>1</v>
      </c>
      <c r="E1095" t="s">
        <v>78</v>
      </c>
      <c r="F1095" t="s">
        <v>79</v>
      </c>
      <c r="G1095" t="str">
        <f>"2025-12-25 22:36:55.091"</f>
        <v>2025-12-25 22:36:55.091</v>
      </c>
      <c r="H1095" t="s">
        <v>21</v>
      </c>
    </row>
    <row r="1096" spans="1:10" x14ac:dyDescent="0.25">
      <c r="A1096" s="1">
        <v>392</v>
      </c>
      <c r="B1096" t="s">
        <v>27</v>
      </c>
      <c r="C1096">
        <v>631</v>
      </c>
      <c r="D1096">
        <v>1</v>
      </c>
      <c r="E1096" t="s">
        <v>78</v>
      </c>
      <c r="F1096" t="s">
        <v>79</v>
      </c>
      <c r="G1096" t="str">
        <f>"2025-12-25 22:00:39.839"</f>
        <v>2025-12-25 22:00:39.839</v>
      </c>
      <c r="H1096" t="s">
        <v>21</v>
      </c>
      <c r="I1096">
        <v>16.05</v>
      </c>
      <c r="J1096" t="s">
        <v>37</v>
      </c>
    </row>
    <row r="1097" spans="1:10" x14ac:dyDescent="0.25">
      <c r="A1097" s="1">
        <v>393</v>
      </c>
      <c r="B1097" t="s">
        <v>23</v>
      </c>
      <c r="C1097">
        <v>631</v>
      </c>
      <c r="D1097">
        <v>1</v>
      </c>
      <c r="E1097" t="s">
        <v>78</v>
      </c>
      <c r="F1097" t="s">
        <v>79</v>
      </c>
      <c r="G1097" t="str">
        <f>"2025-12-25 21:47:29.539"</f>
        <v>2025-12-25 21:47:29.539</v>
      </c>
      <c r="H1097" t="s">
        <v>21</v>
      </c>
    </row>
    <row r="1098" spans="1:10" x14ac:dyDescent="0.25">
      <c r="A1098" s="1">
        <v>394</v>
      </c>
      <c r="B1098" t="s">
        <v>27</v>
      </c>
      <c r="C1098">
        <v>631</v>
      </c>
      <c r="D1098">
        <v>1</v>
      </c>
      <c r="E1098" t="s">
        <v>78</v>
      </c>
      <c r="F1098" t="s">
        <v>79</v>
      </c>
      <c r="G1098" t="str">
        <f>"2025-12-25 21:00:47.791"</f>
        <v>2025-12-25 21:00:47.791</v>
      </c>
      <c r="H1098" t="s">
        <v>21</v>
      </c>
      <c r="I1098">
        <v>10.75</v>
      </c>
      <c r="J1098" t="s">
        <v>37</v>
      </c>
    </row>
    <row r="1099" spans="1:10" x14ac:dyDescent="0.25">
      <c r="A1099" s="1">
        <v>395</v>
      </c>
      <c r="B1099" t="s">
        <v>23</v>
      </c>
      <c r="C1099">
        <v>631</v>
      </c>
      <c r="D1099">
        <v>1</v>
      </c>
      <c r="E1099" t="s">
        <v>78</v>
      </c>
      <c r="F1099" t="s">
        <v>79</v>
      </c>
      <c r="G1099" t="str">
        <f>"2025-12-25 19:58:12.139"</f>
        <v>2025-12-25 19:58:12.139</v>
      </c>
      <c r="H1099" t="s">
        <v>21</v>
      </c>
    </row>
    <row r="1100" spans="1:10" x14ac:dyDescent="0.25">
      <c r="A1100" s="1">
        <v>396</v>
      </c>
      <c r="B1100" t="s">
        <v>27</v>
      </c>
      <c r="C1100">
        <v>631</v>
      </c>
      <c r="D1100">
        <v>1</v>
      </c>
      <c r="E1100" t="s">
        <v>78</v>
      </c>
      <c r="F1100" t="s">
        <v>79</v>
      </c>
      <c r="G1100" t="str">
        <f>"2025-12-25 19:55:01.439"</f>
        <v>2025-12-25 19:55:01.439</v>
      </c>
      <c r="H1100" t="s">
        <v>21</v>
      </c>
      <c r="I1100">
        <v>8.74</v>
      </c>
      <c r="J1100" t="s">
        <v>37</v>
      </c>
    </row>
    <row r="1101" spans="1:10" x14ac:dyDescent="0.25">
      <c r="A1101" s="1">
        <v>397</v>
      </c>
      <c r="B1101" t="s">
        <v>23</v>
      </c>
      <c r="C1101">
        <v>631</v>
      </c>
      <c r="D1101">
        <v>1</v>
      </c>
      <c r="E1101" t="s">
        <v>78</v>
      </c>
      <c r="F1101" t="s">
        <v>79</v>
      </c>
      <c r="G1101" t="str">
        <f>"2025-12-25 19:54:47.490"</f>
        <v>2025-12-25 19:54:47.490</v>
      </c>
      <c r="H1101" t="s">
        <v>21</v>
      </c>
    </row>
    <row r="1102" spans="1:10" x14ac:dyDescent="0.25">
      <c r="A1102" s="1">
        <v>398</v>
      </c>
      <c r="B1102" t="s">
        <v>27</v>
      </c>
      <c r="C1102">
        <v>631</v>
      </c>
      <c r="D1102">
        <v>1</v>
      </c>
      <c r="E1102" t="s">
        <v>78</v>
      </c>
      <c r="F1102" t="s">
        <v>79</v>
      </c>
      <c r="G1102" t="str">
        <f>"2025-12-25 19:54:34.839"</f>
        <v>2025-12-25 19:54:34.839</v>
      </c>
      <c r="H1102" t="s">
        <v>21</v>
      </c>
      <c r="I1102">
        <v>22.91</v>
      </c>
      <c r="J1102" t="s">
        <v>37</v>
      </c>
    </row>
    <row r="1103" spans="1:10" x14ac:dyDescent="0.25">
      <c r="A1103" s="1">
        <v>399</v>
      </c>
      <c r="B1103" t="s">
        <v>23</v>
      </c>
      <c r="C1103">
        <v>631</v>
      </c>
      <c r="D1103">
        <v>1</v>
      </c>
      <c r="E1103" t="s">
        <v>78</v>
      </c>
      <c r="F1103" t="s">
        <v>79</v>
      </c>
      <c r="G1103" t="str">
        <f>"2025-12-25 19:49:44.539"</f>
        <v>2025-12-25 19:49:44.539</v>
      </c>
      <c r="H1103" t="s">
        <v>21</v>
      </c>
    </row>
    <row r="1104" spans="1:10" x14ac:dyDescent="0.25">
      <c r="A1104" s="1">
        <v>400</v>
      </c>
      <c r="B1104" t="s">
        <v>27</v>
      </c>
      <c r="C1104">
        <v>631</v>
      </c>
      <c r="D1104">
        <v>1</v>
      </c>
      <c r="E1104" t="s">
        <v>78</v>
      </c>
      <c r="F1104" t="s">
        <v>79</v>
      </c>
      <c r="G1104" t="str">
        <f>"2025-12-25 19:48:33.539"</f>
        <v>2025-12-25 19:48:33.539</v>
      </c>
      <c r="H1104" t="s">
        <v>21</v>
      </c>
      <c r="I1104">
        <v>13.67</v>
      </c>
      <c r="J1104" t="s">
        <v>37</v>
      </c>
    </row>
    <row r="1105" spans="1:10" x14ac:dyDescent="0.25">
      <c r="A1105" s="1">
        <v>401</v>
      </c>
      <c r="B1105" t="s">
        <v>23</v>
      </c>
      <c r="C1105">
        <v>631</v>
      </c>
      <c r="D1105">
        <v>1</v>
      </c>
      <c r="E1105" t="s">
        <v>78</v>
      </c>
      <c r="F1105" t="s">
        <v>79</v>
      </c>
      <c r="G1105" t="str">
        <f>"2025-12-25 19:48:05.991"</f>
        <v>2025-12-25 19:48:05.991</v>
      </c>
      <c r="H1105" t="s">
        <v>21</v>
      </c>
    </row>
    <row r="1106" spans="1:10" x14ac:dyDescent="0.25">
      <c r="A1106" s="1">
        <v>402</v>
      </c>
      <c r="B1106" t="s">
        <v>27</v>
      </c>
      <c r="C1106">
        <v>631</v>
      </c>
      <c r="D1106">
        <v>1</v>
      </c>
      <c r="E1106" t="s">
        <v>78</v>
      </c>
      <c r="F1106" t="s">
        <v>79</v>
      </c>
      <c r="G1106" t="str">
        <f>"2025-12-25 19:47:45.591"</f>
        <v>2025-12-25 19:47:45.591</v>
      </c>
      <c r="H1106" t="s">
        <v>21</v>
      </c>
      <c r="I1106">
        <v>11.76</v>
      </c>
      <c r="J1106" t="s">
        <v>37</v>
      </c>
    </row>
    <row r="1107" spans="1:10" x14ac:dyDescent="0.25">
      <c r="A1107" s="1">
        <v>403</v>
      </c>
      <c r="B1107" t="s">
        <v>23</v>
      </c>
      <c r="C1107">
        <v>631</v>
      </c>
      <c r="D1107">
        <v>1</v>
      </c>
      <c r="E1107" t="s">
        <v>78</v>
      </c>
      <c r="F1107" t="s">
        <v>79</v>
      </c>
      <c r="G1107" t="str">
        <f>"2025-12-25 19:47:13.691"</f>
        <v>2025-12-25 19:47:13.691</v>
      </c>
      <c r="H1107" t="s">
        <v>21</v>
      </c>
    </row>
    <row r="1108" spans="1:10" x14ac:dyDescent="0.25">
      <c r="A1108" s="1">
        <v>404</v>
      </c>
      <c r="B1108" t="s">
        <v>27</v>
      </c>
      <c r="C1108">
        <v>631</v>
      </c>
      <c r="D1108">
        <v>1</v>
      </c>
      <c r="E1108" t="s">
        <v>78</v>
      </c>
      <c r="F1108" t="s">
        <v>79</v>
      </c>
      <c r="G1108" t="str">
        <f>"2025-12-25 19:47:00.791"</f>
        <v>2025-12-25 19:47:00.791</v>
      </c>
      <c r="H1108" t="s">
        <v>21</v>
      </c>
      <c r="I1108">
        <v>9.7100000000000009</v>
      </c>
      <c r="J1108" t="s">
        <v>28</v>
      </c>
    </row>
    <row r="1109" spans="1:10" x14ac:dyDescent="0.25">
      <c r="A1109" s="1">
        <v>405</v>
      </c>
      <c r="B1109" t="s">
        <v>23</v>
      </c>
      <c r="C1109">
        <v>631</v>
      </c>
      <c r="D1109">
        <v>1</v>
      </c>
      <c r="E1109" t="s">
        <v>78</v>
      </c>
      <c r="F1109" t="s">
        <v>79</v>
      </c>
      <c r="G1109" t="str">
        <f>"2025-12-25 19:12:55.791"</f>
        <v>2025-12-25 19:12:55.791</v>
      </c>
      <c r="H1109" t="s">
        <v>21</v>
      </c>
    </row>
    <row r="1110" spans="1:10" x14ac:dyDescent="0.25">
      <c r="A1110" s="1">
        <v>406</v>
      </c>
      <c r="B1110" t="s">
        <v>27</v>
      </c>
      <c r="C1110">
        <v>631</v>
      </c>
      <c r="D1110">
        <v>1</v>
      </c>
      <c r="E1110" t="s">
        <v>78</v>
      </c>
      <c r="F1110" t="s">
        <v>79</v>
      </c>
      <c r="G1110" t="str">
        <f>"2025-12-25 19:10:11.191"</f>
        <v>2025-12-25 19:10:11.191</v>
      </c>
      <c r="H1110" t="s">
        <v>21</v>
      </c>
      <c r="I1110">
        <v>5.92</v>
      </c>
      <c r="J1110" t="s">
        <v>37</v>
      </c>
    </row>
    <row r="1111" spans="1:10" x14ac:dyDescent="0.25">
      <c r="A1111" s="1">
        <v>407</v>
      </c>
      <c r="B1111" t="s">
        <v>23</v>
      </c>
      <c r="C1111">
        <v>631</v>
      </c>
      <c r="D1111">
        <v>1</v>
      </c>
      <c r="E1111" t="s">
        <v>78</v>
      </c>
      <c r="F1111" t="s">
        <v>79</v>
      </c>
      <c r="G1111" t="str">
        <f>"2025-12-25 16:30:52.891"</f>
        <v>2025-12-25 16:30:52.891</v>
      </c>
      <c r="H1111" t="s">
        <v>21</v>
      </c>
    </row>
    <row r="1112" spans="1:10" x14ac:dyDescent="0.25">
      <c r="A1112" s="1">
        <v>408</v>
      </c>
      <c r="B1112" t="s">
        <v>27</v>
      </c>
      <c r="C1112">
        <v>631</v>
      </c>
      <c r="D1112">
        <v>1</v>
      </c>
      <c r="E1112" t="s">
        <v>78</v>
      </c>
      <c r="F1112" t="s">
        <v>79</v>
      </c>
      <c r="G1112" t="str">
        <f>"2025-12-25 16:30:12.239"</f>
        <v>2025-12-25 16:30:12.239</v>
      </c>
      <c r="H1112" t="s">
        <v>21</v>
      </c>
      <c r="I1112">
        <v>24.94</v>
      </c>
      <c r="J1112" t="s">
        <v>37</v>
      </c>
    </row>
    <row r="1113" spans="1:10" x14ac:dyDescent="0.25">
      <c r="A1113" s="1">
        <v>409</v>
      </c>
      <c r="B1113" t="s">
        <v>23</v>
      </c>
      <c r="C1113">
        <v>631</v>
      </c>
      <c r="D1113">
        <v>1</v>
      </c>
      <c r="E1113" t="s">
        <v>78</v>
      </c>
      <c r="F1113" t="s">
        <v>79</v>
      </c>
      <c r="G1113" t="str">
        <f>"2025-12-25 15:24:51.239"</f>
        <v>2025-12-25 15:24:51.239</v>
      </c>
      <c r="H1113" t="s">
        <v>21</v>
      </c>
    </row>
    <row r="1114" spans="1:10" x14ac:dyDescent="0.25">
      <c r="A1114" s="1">
        <v>410</v>
      </c>
      <c r="B1114" t="s">
        <v>27</v>
      </c>
      <c r="C1114">
        <v>631</v>
      </c>
      <c r="D1114">
        <v>1</v>
      </c>
      <c r="E1114" t="s">
        <v>78</v>
      </c>
      <c r="F1114" t="s">
        <v>79</v>
      </c>
      <c r="G1114" t="str">
        <f>"2025-12-25 15:24:36.739"</f>
        <v>2025-12-25 15:24:36.739</v>
      </c>
      <c r="H1114" t="s">
        <v>21</v>
      </c>
      <c r="I1114">
        <v>18.170000000000002</v>
      </c>
      <c r="J1114" t="s">
        <v>37</v>
      </c>
    </row>
    <row r="1115" spans="1:10" x14ac:dyDescent="0.25">
      <c r="A1115" s="1">
        <v>412</v>
      </c>
      <c r="B1115" t="s">
        <v>23</v>
      </c>
      <c r="C1115">
        <v>635</v>
      </c>
      <c r="D1115">
        <v>1</v>
      </c>
      <c r="E1115" t="s">
        <v>43</v>
      </c>
      <c r="F1115" t="s">
        <v>25</v>
      </c>
      <c r="G1115" t="str">
        <f>"2025-12-25 10:55:37.191"</f>
        <v>2025-12-25 10:55:37.191</v>
      </c>
      <c r="H1115" t="s">
        <v>21</v>
      </c>
    </row>
    <row r="1116" spans="1:10" x14ac:dyDescent="0.25">
      <c r="A1116" s="1">
        <v>413</v>
      </c>
      <c r="B1116" t="s">
        <v>27</v>
      </c>
      <c r="C1116">
        <v>635</v>
      </c>
      <c r="D1116">
        <v>1</v>
      </c>
      <c r="E1116" t="s">
        <v>43</v>
      </c>
      <c r="F1116" t="s">
        <v>25</v>
      </c>
      <c r="G1116" t="str">
        <f>"2025-12-25 10:53:29.191"</f>
        <v>2025-12-25 10:53:29.191</v>
      </c>
      <c r="H1116" t="s">
        <v>21</v>
      </c>
      <c r="I1116">
        <v>2.9</v>
      </c>
      <c r="J1116" t="s">
        <v>37</v>
      </c>
    </row>
    <row r="1117" spans="1:10" x14ac:dyDescent="0.25">
      <c r="A1117" s="1">
        <v>414</v>
      </c>
      <c r="B1117" t="s">
        <v>23</v>
      </c>
      <c r="C1117">
        <v>631</v>
      </c>
      <c r="D1117">
        <v>1</v>
      </c>
      <c r="E1117" t="s">
        <v>78</v>
      </c>
      <c r="F1117" t="s">
        <v>79</v>
      </c>
      <c r="G1117" t="str">
        <f>"2025-12-25 04:55:07.539"</f>
        <v>2025-12-25 04:55:07.539</v>
      </c>
      <c r="H1117" t="s">
        <v>21</v>
      </c>
    </row>
    <row r="1118" spans="1:10" x14ac:dyDescent="0.25">
      <c r="A1118" s="1">
        <v>415</v>
      </c>
      <c r="B1118" t="s">
        <v>27</v>
      </c>
      <c r="C1118">
        <v>631</v>
      </c>
      <c r="D1118">
        <v>1</v>
      </c>
      <c r="E1118" t="s">
        <v>78</v>
      </c>
      <c r="F1118" t="s">
        <v>79</v>
      </c>
      <c r="G1118" t="str">
        <f>"2025-12-25 04:51:02.639"</f>
        <v>2025-12-25 04:51:02.639</v>
      </c>
      <c r="H1118" t="s">
        <v>21</v>
      </c>
      <c r="I1118">
        <v>11.95</v>
      </c>
      <c r="J1118" t="s">
        <v>37</v>
      </c>
    </row>
    <row r="1119" spans="1:10" x14ac:dyDescent="0.25">
      <c r="A1119" s="1">
        <v>416</v>
      </c>
      <c r="B1119" t="s">
        <v>23</v>
      </c>
      <c r="C1119">
        <v>631</v>
      </c>
      <c r="D1119">
        <v>1</v>
      </c>
      <c r="E1119" t="s">
        <v>78</v>
      </c>
      <c r="F1119" t="s">
        <v>79</v>
      </c>
      <c r="G1119" t="str">
        <f>"2025-12-25 04:28:08.239"</f>
        <v>2025-12-25 04:28:08.239</v>
      </c>
      <c r="H1119" t="s">
        <v>21</v>
      </c>
    </row>
    <row r="1120" spans="1:10" x14ac:dyDescent="0.25">
      <c r="A1120" s="1">
        <v>417</v>
      </c>
      <c r="B1120" t="s">
        <v>27</v>
      </c>
      <c r="C1120">
        <v>631</v>
      </c>
      <c r="D1120">
        <v>1</v>
      </c>
      <c r="E1120" t="s">
        <v>78</v>
      </c>
      <c r="F1120" t="s">
        <v>79</v>
      </c>
      <c r="G1120" t="str">
        <f>"2025-12-25 04:23:58.491"</f>
        <v>2025-12-25 04:23:58.491</v>
      </c>
      <c r="H1120" t="s">
        <v>21</v>
      </c>
      <c r="I1120">
        <v>11.39</v>
      </c>
      <c r="J1120" t="s">
        <v>37</v>
      </c>
    </row>
    <row r="1121" spans="1:10" x14ac:dyDescent="0.25">
      <c r="A1121" s="1">
        <v>418</v>
      </c>
      <c r="B1121" t="s">
        <v>23</v>
      </c>
      <c r="C1121">
        <v>631</v>
      </c>
      <c r="D1121">
        <v>1</v>
      </c>
      <c r="E1121" t="s">
        <v>78</v>
      </c>
      <c r="F1121" t="s">
        <v>79</v>
      </c>
      <c r="G1121" t="str">
        <f>"2025-12-24 23:29:52.639"</f>
        <v>2025-12-24 23:29:52.639</v>
      </c>
      <c r="H1121" t="s">
        <v>21</v>
      </c>
    </row>
    <row r="1122" spans="1:10" x14ac:dyDescent="0.25">
      <c r="A1122" s="1">
        <v>419</v>
      </c>
      <c r="B1122" t="s">
        <v>27</v>
      </c>
      <c r="C1122">
        <v>631</v>
      </c>
      <c r="D1122">
        <v>1</v>
      </c>
      <c r="E1122" t="s">
        <v>78</v>
      </c>
      <c r="F1122" t="s">
        <v>79</v>
      </c>
      <c r="G1122" t="str">
        <f>"2025-12-24 20:45:18.539"</f>
        <v>2025-12-24 20:45:18.539</v>
      </c>
      <c r="H1122" t="s">
        <v>21</v>
      </c>
      <c r="I1122">
        <v>7.43</v>
      </c>
      <c r="J1122" t="s">
        <v>37</v>
      </c>
    </row>
    <row r="1123" spans="1:10" x14ac:dyDescent="0.25">
      <c r="A1123" s="1">
        <v>420</v>
      </c>
      <c r="B1123" t="s">
        <v>23</v>
      </c>
      <c r="C1123">
        <v>631</v>
      </c>
      <c r="D1123">
        <v>1</v>
      </c>
      <c r="E1123" t="s">
        <v>78</v>
      </c>
      <c r="F1123" t="s">
        <v>79</v>
      </c>
      <c r="G1123" t="str">
        <f>"2025-12-24 19:40:07.491"</f>
        <v>2025-12-24 19:40:07.491</v>
      </c>
      <c r="H1123" t="s">
        <v>21</v>
      </c>
    </row>
    <row r="1124" spans="1:10" x14ac:dyDescent="0.25">
      <c r="A1124" s="1">
        <v>421</v>
      </c>
      <c r="B1124" t="s">
        <v>27</v>
      </c>
      <c r="C1124">
        <v>631</v>
      </c>
      <c r="D1124">
        <v>1</v>
      </c>
      <c r="E1124" t="s">
        <v>78</v>
      </c>
      <c r="F1124" t="s">
        <v>79</v>
      </c>
      <c r="G1124" t="str">
        <f>"2025-12-24 17:05:15.339"</f>
        <v>2025-12-24 17:05:15.339</v>
      </c>
      <c r="H1124" t="s">
        <v>21</v>
      </c>
      <c r="I1124">
        <v>3.92</v>
      </c>
      <c r="J1124" t="s">
        <v>28</v>
      </c>
    </row>
    <row r="1125" spans="1:10" x14ac:dyDescent="0.25">
      <c r="A1125" s="1">
        <v>422</v>
      </c>
      <c r="B1125" t="s">
        <v>23</v>
      </c>
      <c r="C1125">
        <v>635</v>
      </c>
      <c r="D1125">
        <v>1</v>
      </c>
      <c r="E1125" t="s">
        <v>43</v>
      </c>
      <c r="F1125" t="s">
        <v>25</v>
      </c>
      <c r="G1125" t="str">
        <f>"2025-12-24 16:34:08.091"</f>
        <v>2025-12-24 16:34:08.091</v>
      </c>
      <c r="H1125" t="s">
        <v>21</v>
      </c>
    </row>
    <row r="1126" spans="1:10" x14ac:dyDescent="0.25">
      <c r="A1126" s="1">
        <v>423</v>
      </c>
      <c r="B1126" t="s">
        <v>27</v>
      </c>
      <c r="C1126">
        <v>635</v>
      </c>
      <c r="D1126">
        <v>1</v>
      </c>
      <c r="E1126" t="s">
        <v>43</v>
      </c>
      <c r="F1126" t="s">
        <v>25</v>
      </c>
      <c r="G1126" t="str">
        <f>"2025-12-24 16:19:06.591"</f>
        <v>2025-12-24 16:19:06.591</v>
      </c>
      <c r="H1126" t="s">
        <v>21</v>
      </c>
      <c r="I1126">
        <v>2.0499999999999998</v>
      </c>
      <c r="J1126" t="s">
        <v>37</v>
      </c>
    </row>
    <row r="1127" spans="1:10" x14ac:dyDescent="0.25">
      <c r="A1127" s="1">
        <v>424</v>
      </c>
      <c r="B1127" t="s">
        <v>23</v>
      </c>
      <c r="C1127">
        <v>635</v>
      </c>
      <c r="D1127">
        <v>1</v>
      </c>
      <c r="E1127" t="s">
        <v>43</v>
      </c>
      <c r="F1127" t="s">
        <v>25</v>
      </c>
      <c r="G1127" t="str">
        <f>"2025-12-24 09:08:16.491"</f>
        <v>2025-12-24 09:08:16.491</v>
      </c>
      <c r="H1127" t="s">
        <v>21</v>
      </c>
    </row>
    <row r="1128" spans="1:10" x14ac:dyDescent="0.25">
      <c r="A1128" s="1">
        <v>425</v>
      </c>
      <c r="B1128" t="s">
        <v>27</v>
      </c>
      <c r="C1128">
        <v>635</v>
      </c>
      <c r="D1128">
        <v>1</v>
      </c>
      <c r="E1128" t="s">
        <v>43</v>
      </c>
      <c r="F1128" t="s">
        <v>25</v>
      </c>
      <c r="G1128" t="str">
        <f>"2025-12-24 09:06:01.991"</f>
        <v>2025-12-24 09:06:01.991</v>
      </c>
      <c r="H1128" t="s">
        <v>21</v>
      </c>
      <c r="I1128">
        <v>3.63</v>
      </c>
      <c r="J1128" t="s">
        <v>42</v>
      </c>
    </row>
    <row r="1129" spans="1:10" x14ac:dyDescent="0.25">
      <c r="A1129" s="1">
        <v>426</v>
      </c>
      <c r="B1129" t="s">
        <v>23</v>
      </c>
      <c r="C1129">
        <v>631</v>
      </c>
      <c r="D1129">
        <v>1</v>
      </c>
      <c r="E1129" t="s">
        <v>78</v>
      </c>
      <c r="F1129" t="s">
        <v>79</v>
      </c>
      <c r="G1129" t="str">
        <f>"2025-12-24 07:42:46.839"</f>
        <v>2025-12-24 07:42:46.839</v>
      </c>
      <c r="H1129" t="s">
        <v>21</v>
      </c>
    </row>
    <row r="1130" spans="1:10" x14ac:dyDescent="0.25">
      <c r="A1130" s="1">
        <v>427</v>
      </c>
      <c r="B1130" t="s">
        <v>27</v>
      </c>
      <c r="C1130">
        <v>631</v>
      </c>
      <c r="D1130">
        <v>1</v>
      </c>
      <c r="E1130" t="s">
        <v>78</v>
      </c>
      <c r="F1130" t="s">
        <v>79</v>
      </c>
      <c r="G1130" t="str">
        <f>"2025-12-24 06:02:09.739"</f>
        <v>2025-12-24 06:02:09.739</v>
      </c>
      <c r="H1130" t="s">
        <v>21</v>
      </c>
      <c r="I1130">
        <v>0</v>
      </c>
      <c r="J1130" t="s">
        <v>28</v>
      </c>
    </row>
    <row r="1131" spans="1:10" x14ac:dyDescent="0.25">
      <c r="A1131" s="1">
        <v>428</v>
      </c>
      <c r="B1131" t="s">
        <v>23</v>
      </c>
      <c r="C1131">
        <v>631</v>
      </c>
      <c r="D1131">
        <v>1</v>
      </c>
      <c r="E1131" t="s">
        <v>78</v>
      </c>
      <c r="F1131" t="s">
        <v>79</v>
      </c>
      <c r="G1131" t="str">
        <f>"2025-12-24 05:47:55.339"</f>
        <v>2025-12-24 05:47:55.339</v>
      </c>
      <c r="H1131" t="s">
        <v>21</v>
      </c>
    </row>
    <row r="1132" spans="1:10" x14ac:dyDescent="0.25">
      <c r="A1132" s="1">
        <v>429</v>
      </c>
      <c r="B1132" t="s">
        <v>27</v>
      </c>
      <c r="C1132">
        <v>631</v>
      </c>
      <c r="D1132">
        <v>1</v>
      </c>
      <c r="E1132" t="s">
        <v>78</v>
      </c>
      <c r="F1132" t="s">
        <v>79</v>
      </c>
      <c r="G1132" t="str">
        <f>"2025-12-24 05:45:19.491"</f>
        <v>2025-12-24 05:45:19.491</v>
      </c>
      <c r="H1132" t="s">
        <v>21</v>
      </c>
      <c r="I1132">
        <v>7.65</v>
      </c>
      <c r="J1132" t="s">
        <v>37</v>
      </c>
    </row>
    <row r="1133" spans="1:10" x14ac:dyDescent="0.25">
      <c r="A1133" s="1">
        <v>430</v>
      </c>
      <c r="B1133" t="s">
        <v>23</v>
      </c>
      <c r="C1133">
        <v>631</v>
      </c>
      <c r="D1133">
        <v>1</v>
      </c>
      <c r="E1133" t="s">
        <v>78</v>
      </c>
      <c r="F1133" t="s">
        <v>79</v>
      </c>
      <c r="G1133" t="str">
        <f>"2025-12-24 05:44:55.891"</f>
        <v>2025-12-24 05:44:55.891</v>
      </c>
      <c r="H1133" t="s">
        <v>21</v>
      </c>
    </row>
    <row r="1134" spans="1:10" x14ac:dyDescent="0.25">
      <c r="A1134" s="1">
        <v>431</v>
      </c>
      <c r="B1134" t="s">
        <v>27</v>
      </c>
      <c r="C1134">
        <v>631</v>
      </c>
      <c r="D1134">
        <v>1</v>
      </c>
      <c r="E1134" t="s">
        <v>78</v>
      </c>
      <c r="F1134" t="s">
        <v>79</v>
      </c>
      <c r="G1134" t="str">
        <f>"2025-12-24 05:43:07.339"</f>
        <v>2025-12-24 05:43:07.339</v>
      </c>
      <c r="H1134" t="s">
        <v>21</v>
      </c>
      <c r="I1134">
        <v>11.27</v>
      </c>
      <c r="J1134" t="s">
        <v>37</v>
      </c>
    </row>
    <row r="1135" spans="1:10" x14ac:dyDescent="0.25">
      <c r="A1135" s="1">
        <v>432</v>
      </c>
      <c r="B1135" t="s">
        <v>23</v>
      </c>
      <c r="C1135">
        <v>631</v>
      </c>
      <c r="D1135">
        <v>1</v>
      </c>
      <c r="E1135" t="s">
        <v>78</v>
      </c>
      <c r="F1135" t="s">
        <v>79</v>
      </c>
      <c r="G1135" t="str">
        <f>"2025-12-24 03:42:38.991"</f>
        <v>2025-12-24 03:42:38.991</v>
      </c>
      <c r="H1135" t="s">
        <v>21</v>
      </c>
    </row>
    <row r="1136" spans="1:10" x14ac:dyDescent="0.25">
      <c r="A1136" s="1">
        <v>433</v>
      </c>
      <c r="B1136" t="s">
        <v>27</v>
      </c>
      <c r="C1136">
        <v>631</v>
      </c>
      <c r="D1136">
        <v>1</v>
      </c>
      <c r="E1136" t="s">
        <v>78</v>
      </c>
      <c r="F1136" t="s">
        <v>79</v>
      </c>
      <c r="G1136" t="str">
        <f>"2025-12-24 03:38:31.191"</f>
        <v>2025-12-24 03:38:31.191</v>
      </c>
      <c r="H1136" t="s">
        <v>21</v>
      </c>
      <c r="I1136">
        <v>10.81</v>
      </c>
      <c r="J1136" t="s">
        <v>37</v>
      </c>
    </row>
    <row r="1137" spans="1:10" x14ac:dyDescent="0.25">
      <c r="A1137" s="1">
        <v>434</v>
      </c>
      <c r="B1137" t="s">
        <v>23</v>
      </c>
      <c r="C1137">
        <v>635</v>
      </c>
      <c r="D1137">
        <v>1</v>
      </c>
      <c r="E1137" t="s">
        <v>43</v>
      </c>
      <c r="F1137" t="s">
        <v>25</v>
      </c>
      <c r="G1137" t="str">
        <f>"2025-12-24 00:28:33.191"</f>
        <v>2025-12-24 00:28:33.191</v>
      </c>
      <c r="H1137" t="s">
        <v>21</v>
      </c>
    </row>
    <row r="1138" spans="1:10" x14ac:dyDescent="0.25">
      <c r="A1138" s="1">
        <v>435</v>
      </c>
      <c r="B1138" t="s">
        <v>27</v>
      </c>
      <c r="C1138">
        <v>635</v>
      </c>
      <c r="D1138">
        <v>1</v>
      </c>
      <c r="E1138" t="s">
        <v>43</v>
      </c>
      <c r="F1138" t="s">
        <v>25</v>
      </c>
      <c r="G1138" t="str">
        <f>"2025-12-24 00:21:54.691"</f>
        <v>2025-12-24 00:21:54.691</v>
      </c>
      <c r="H1138" t="s">
        <v>21</v>
      </c>
      <c r="I1138">
        <v>0</v>
      </c>
      <c r="J1138" t="s">
        <v>28</v>
      </c>
    </row>
    <row r="1139" spans="1:10" x14ac:dyDescent="0.25">
      <c r="A1139" s="1">
        <v>436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"2025-12-23 23:11:40.331"</f>
        <v>2025-12-23 23:11:40.331</v>
      </c>
      <c r="H1139" t="s">
        <v>21</v>
      </c>
      <c r="I1139">
        <v>0</v>
      </c>
      <c r="J1139" t="s">
        <v>22</v>
      </c>
    </row>
    <row r="1140" spans="1:10" x14ac:dyDescent="0.25">
      <c r="A1140" s="1">
        <v>437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"2025-12-23 23:09:33.329"</f>
        <v>2025-12-23 23:09:33.329</v>
      </c>
      <c r="H1140" t="s">
        <v>21</v>
      </c>
    </row>
    <row r="1141" spans="1:10" x14ac:dyDescent="0.25">
      <c r="A1141" s="1">
        <v>438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"2025-12-23 23:04:42.335"</f>
        <v>2025-12-23 23:04:42.335</v>
      </c>
      <c r="H1141" t="s">
        <v>21</v>
      </c>
      <c r="I1141">
        <v>0</v>
      </c>
      <c r="J1141" t="s">
        <v>22</v>
      </c>
    </row>
    <row r="1142" spans="1:10" x14ac:dyDescent="0.25">
      <c r="A1142" s="1">
        <v>439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"2025-12-23 22:15:08.327"</f>
        <v>2025-12-23 22:15:08.327</v>
      </c>
      <c r="H1142" t="s">
        <v>21</v>
      </c>
      <c r="I1142">
        <v>0</v>
      </c>
      <c r="J1142" t="s">
        <v>22</v>
      </c>
    </row>
    <row r="1143" spans="1:10" x14ac:dyDescent="0.25">
      <c r="A1143" s="1">
        <v>440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"2025-12-23 22:11:55.329"</f>
        <v>2025-12-23 22:11:55.329</v>
      </c>
      <c r="H1143" t="s">
        <v>21</v>
      </c>
      <c r="I1143">
        <v>0</v>
      </c>
      <c r="J1143" t="s">
        <v>22</v>
      </c>
    </row>
    <row r="1144" spans="1:10" x14ac:dyDescent="0.25">
      <c r="A1144" s="1">
        <v>441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"2025-12-23 21:51:13.329"</f>
        <v>2025-12-23 21:51:13.329</v>
      </c>
      <c r="H1144" t="s">
        <v>21</v>
      </c>
    </row>
    <row r="1145" spans="1:10" x14ac:dyDescent="0.25">
      <c r="A1145" s="1">
        <v>442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"2025-12-23 21:33:16.461"</f>
        <v>2025-12-23 21:33:16.461</v>
      </c>
      <c r="H1145" t="s">
        <v>21</v>
      </c>
    </row>
    <row r="1146" spans="1:10" x14ac:dyDescent="0.25">
      <c r="A1146" s="1">
        <v>443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"2025-12-23 21:25:02.331"</f>
        <v>2025-12-23 21:25:02.331</v>
      </c>
      <c r="H1146" t="s">
        <v>21</v>
      </c>
      <c r="I1146">
        <v>0</v>
      </c>
      <c r="J1146" t="s">
        <v>22</v>
      </c>
    </row>
    <row r="1147" spans="1:10" x14ac:dyDescent="0.25">
      <c r="A1147" s="1">
        <v>444</v>
      </c>
      <c r="B1147" t="s">
        <v>23</v>
      </c>
      <c r="C1147">
        <v>631</v>
      </c>
      <c r="D1147">
        <v>1</v>
      </c>
      <c r="E1147" t="s">
        <v>78</v>
      </c>
      <c r="F1147" t="s">
        <v>79</v>
      </c>
      <c r="G1147" t="str">
        <f>"2025-12-23 18:24:07.104"</f>
        <v>2025-12-23 18:24:07.104</v>
      </c>
      <c r="H1147" t="s">
        <v>21</v>
      </c>
    </row>
    <row r="1148" spans="1:10" x14ac:dyDescent="0.25">
      <c r="A1148" s="1">
        <v>445</v>
      </c>
      <c r="B1148" t="s">
        <v>27</v>
      </c>
      <c r="C1148">
        <v>631</v>
      </c>
      <c r="D1148">
        <v>1</v>
      </c>
      <c r="E1148" t="s">
        <v>78</v>
      </c>
      <c r="F1148" t="s">
        <v>79</v>
      </c>
      <c r="G1148" t="str">
        <f>"2025-12-23 18:23:27.504"</f>
        <v>2025-12-23 18:23:27.504</v>
      </c>
      <c r="H1148" t="s">
        <v>21</v>
      </c>
      <c r="I1148">
        <v>9.3000000000000007</v>
      </c>
      <c r="J1148" t="s">
        <v>37</v>
      </c>
    </row>
    <row r="1149" spans="1:10" x14ac:dyDescent="0.25">
      <c r="A1149" s="1">
        <v>446</v>
      </c>
      <c r="B1149" t="s">
        <v>23</v>
      </c>
      <c r="C1149">
        <v>631</v>
      </c>
      <c r="D1149">
        <v>1</v>
      </c>
      <c r="E1149" t="s">
        <v>78</v>
      </c>
      <c r="F1149" t="s">
        <v>79</v>
      </c>
      <c r="G1149" t="str">
        <f>"2025-12-23 17:11:43.404"</f>
        <v>2025-12-23 17:11:43.404</v>
      </c>
      <c r="H1149" t="s">
        <v>21</v>
      </c>
    </row>
    <row r="1150" spans="1:10" x14ac:dyDescent="0.25">
      <c r="A1150" s="1">
        <v>447</v>
      </c>
      <c r="B1150" t="s">
        <v>27</v>
      </c>
      <c r="C1150">
        <v>631</v>
      </c>
      <c r="D1150">
        <v>1</v>
      </c>
      <c r="E1150" t="s">
        <v>78</v>
      </c>
      <c r="F1150" t="s">
        <v>79</v>
      </c>
      <c r="G1150" t="str">
        <f>"2025-12-23 17:10:43.452"</f>
        <v>2025-12-23 17:10:43.452</v>
      </c>
      <c r="H1150" t="s">
        <v>21</v>
      </c>
      <c r="I1150">
        <v>8.11</v>
      </c>
      <c r="J1150" t="s">
        <v>37</v>
      </c>
    </row>
    <row r="1151" spans="1:10" x14ac:dyDescent="0.25">
      <c r="A1151" s="1">
        <v>448</v>
      </c>
      <c r="B1151" t="s">
        <v>23</v>
      </c>
      <c r="C1151">
        <v>631</v>
      </c>
      <c r="D1151">
        <v>1</v>
      </c>
      <c r="E1151" t="s">
        <v>78</v>
      </c>
      <c r="F1151" t="s">
        <v>79</v>
      </c>
      <c r="G1151" t="str">
        <f>"2025-12-23 16:33:20.352"</f>
        <v>2025-12-23 16:33:20.352</v>
      </c>
      <c r="H1151" t="s">
        <v>21</v>
      </c>
    </row>
    <row r="1152" spans="1:10" x14ac:dyDescent="0.25">
      <c r="A1152" s="1">
        <v>449</v>
      </c>
      <c r="B1152" t="s">
        <v>27</v>
      </c>
      <c r="C1152">
        <v>631</v>
      </c>
      <c r="D1152">
        <v>1</v>
      </c>
      <c r="E1152" t="s">
        <v>78</v>
      </c>
      <c r="F1152" t="s">
        <v>79</v>
      </c>
      <c r="G1152" t="str">
        <f>"2025-12-23 16:32:39.804"</f>
        <v>2025-12-23 16:32:39.804</v>
      </c>
      <c r="H1152" t="s">
        <v>21</v>
      </c>
      <c r="I1152">
        <v>7.48</v>
      </c>
      <c r="J1152" t="s">
        <v>37</v>
      </c>
    </row>
    <row r="1153" spans="1:10" x14ac:dyDescent="0.25">
      <c r="A1153" s="1">
        <v>450</v>
      </c>
      <c r="B1153" t="s">
        <v>23</v>
      </c>
      <c r="C1153">
        <v>631</v>
      </c>
      <c r="D1153">
        <v>1</v>
      </c>
      <c r="E1153" t="s">
        <v>78</v>
      </c>
      <c r="F1153" t="s">
        <v>79</v>
      </c>
      <c r="G1153" t="str">
        <f>"2025-12-23 13:15:41.852"</f>
        <v>2025-12-23 13:15:41.852</v>
      </c>
      <c r="H1153" t="s">
        <v>21</v>
      </c>
    </row>
    <row r="1154" spans="1:10" x14ac:dyDescent="0.25">
      <c r="A1154" s="1">
        <v>451</v>
      </c>
      <c r="B1154" t="s">
        <v>27</v>
      </c>
      <c r="C1154">
        <v>631</v>
      </c>
      <c r="D1154">
        <v>1</v>
      </c>
      <c r="E1154" t="s">
        <v>78</v>
      </c>
      <c r="F1154" t="s">
        <v>79</v>
      </c>
      <c r="G1154" t="str">
        <f>"2025-12-23 13:15:06.604"</f>
        <v>2025-12-23 13:15:06.604</v>
      </c>
      <c r="H1154" t="s">
        <v>21</v>
      </c>
      <c r="I1154">
        <v>7.95</v>
      </c>
      <c r="J1154" t="s">
        <v>37</v>
      </c>
    </row>
    <row r="1155" spans="1:10" x14ac:dyDescent="0.25">
      <c r="A1155" s="1">
        <v>452</v>
      </c>
      <c r="B1155" t="s">
        <v>23</v>
      </c>
      <c r="C1155">
        <v>635</v>
      </c>
      <c r="D1155">
        <v>1</v>
      </c>
      <c r="E1155" t="s">
        <v>43</v>
      </c>
      <c r="F1155" t="s">
        <v>25</v>
      </c>
      <c r="G1155" t="str">
        <f>"2025-12-22 12:27:56.804"</f>
        <v>2025-12-22 12:27:56.804</v>
      </c>
      <c r="H1155" t="s">
        <v>21</v>
      </c>
    </row>
    <row r="1156" spans="1:10" x14ac:dyDescent="0.25">
      <c r="A1156" s="1">
        <v>453</v>
      </c>
      <c r="B1156" t="s">
        <v>27</v>
      </c>
      <c r="C1156">
        <v>635</v>
      </c>
      <c r="D1156">
        <v>1</v>
      </c>
      <c r="E1156" t="s">
        <v>43</v>
      </c>
      <c r="F1156" t="s">
        <v>25</v>
      </c>
      <c r="G1156" t="str">
        <f>"2025-12-22 12:22:30.304"</f>
        <v>2025-12-22 12:22:30.304</v>
      </c>
      <c r="H1156" t="s">
        <v>21</v>
      </c>
      <c r="I1156">
        <v>2.23</v>
      </c>
      <c r="J1156" t="s">
        <v>37</v>
      </c>
    </row>
    <row r="1157" spans="1:10" x14ac:dyDescent="0.25">
      <c r="A1157" s="1">
        <v>454</v>
      </c>
      <c r="B1157" t="s">
        <v>23</v>
      </c>
      <c r="C1157">
        <v>635</v>
      </c>
      <c r="D1157">
        <v>1</v>
      </c>
      <c r="E1157" t="s">
        <v>43</v>
      </c>
      <c r="F1157" t="s">
        <v>25</v>
      </c>
      <c r="G1157" t="str">
        <f>"2025-12-22 06:21:52.604"</f>
        <v>2025-12-22 06:21:52.604</v>
      </c>
      <c r="H1157" t="s">
        <v>21</v>
      </c>
    </row>
    <row r="1158" spans="1:10" x14ac:dyDescent="0.25">
      <c r="A1158" s="1">
        <v>455</v>
      </c>
      <c r="B1158" t="s">
        <v>27</v>
      </c>
      <c r="C1158">
        <v>635</v>
      </c>
      <c r="D1158">
        <v>1</v>
      </c>
      <c r="E1158" t="s">
        <v>43</v>
      </c>
      <c r="F1158" t="s">
        <v>25</v>
      </c>
      <c r="G1158" t="str">
        <f>"2025-12-22 06:16:18.104"</f>
        <v>2025-12-22 06:16:18.104</v>
      </c>
      <c r="H1158" t="s">
        <v>21</v>
      </c>
      <c r="I1158">
        <v>0</v>
      </c>
      <c r="J1158" t="s">
        <v>28</v>
      </c>
    </row>
    <row r="1159" spans="1:10" x14ac:dyDescent="0.25">
      <c r="A1159" s="1">
        <v>456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"2025-12-21 11:36:50.334"</f>
        <v>2025-12-21 11:36:50.334</v>
      </c>
      <c r="H1159" t="s">
        <v>21</v>
      </c>
    </row>
    <row r="1160" spans="1:10" x14ac:dyDescent="0.25">
      <c r="A1160" s="1">
        <v>457</v>
      </c>
      <c r="B1160" t="s">
        <v>19</v>
      </c>
      <c r="C1160">
        <v>706</v>
      </c>
      <c r="D1160">
        <v>4</v>
      </c>
      <c r="E1160" t="s">
        <v>29</v>
      </c>
      <c r="F1160" t="s">
        <v>30</v>
      </c>
      <c r="G1160" t="str">
        <f>"2025-12-21 03:25:49.828"</f>
        <v>2025-12-21 03:25:49.828</v>
      </c>
      <c r="H1160" t="s">
        <v>21</v>
      </c>
      <c r="I1160">
        <v>0</v>
      </c>
      <c r="J1160" t="s">
        <v>31</v>
      </c>
    </row>
    <row r="1161" spans="1:10" x14ac:dyDescent="0.25">
      <c r="A1161" s="1">
        <v>458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"2025-12-21 03:13:27.338"</f>
        <v>2025-12-21 03:13:27.338</v>
      </c>
      <c r="H1161" t="s">
        <v>21</v>
      </c>
    </row>
    <row r="1162" spans="1:10" x14ac:dyDescent="0.25">
      <c r="A1162" s="1">
        <v>459</v>
      </c>
      <c r="B1162" t="s">
        <v>23</v>
      </c>
      <c r="C1162">
        <v>635</v>
      </c>
      <c r="D1162">
        <v>1</v>
      </c>
      <c r="E1162" t="s">
        <v>43</v>
      </c>
      <c r="F1162" t="s">
        <v>25</v>
      </c>
      <c r="G1162" t="str">
        <f>"2025-12-20 23:59:41.282"</f>
        <v>2025-12-20 23:59:41.282</v>
      </c>
      <c r="H1162" t="s">
        <v>21</v>
      </c>
    </row>
    <row r="1163" spans="1:10" x14ac:dyDescent="0.25">
      <c r="A1163" s="1">
        <v>460</v>
      </c>
      <c r="B1163" t="s">
        <v>27</v>
      </c>
      <c r="C1163">
        <v>635</v>
      </c>
      <c r="D1163">
        <v>1</v>
      </c>
      <c r="E1163" t="s">
        <v>43</v>
      </c>
      <c r="F1163" t="s">
        <v>25</v>
      </c>
      <c r="G1163" t="str">
        <f>"2025-12-20 23:50:05.382"</f>
        <v>2025-12-20 23:50:05.382</v>
      </c>
      <c r="H1163" t="s">
        <v>21</v>
      </c>
      <c r="I1163">
        <v>0</v>
      </c>
      <c r="J1163" t="s">
        <v>28</v>
      </c>
    </row>
    <row r="1164" spans="1:10" x14ac:dyDescent="0.25">
      <c r="A1164" s="1">
        <v>461</v>
      </c>
      <c r="B1164" t="s">
        <v>23</v>
      </c>
      <c r="C1164">
        <v>635</v>
      </c>
      <c r="D1164">
        <v>1</v>
      </c>
      <c r="E1164" t="s">
        <v>43</v>
      </c>
      <c r="F1164" t="s">
        <v>25</v>
      </c>
      <c r="G1164" t="str">
        <f>"2025-12-20 05:13:17.182"</f>
        <v>2025-12-20 05:13:17.182</v>
      </c>
      <c r="H1164" t="s">
        <v>21</v>
      </c>
    </row>
    <row r="1165" spans="1:10" x14ac:dyDescent="0.25">
      <c r="A1165" s="1">
        <v>462</v>
      </c>
      <c r="B1165" t="s">
        <v>27</v>
      </c>
      <c r="C1165">
        <v>635</v>
      </c>
      <c r="D1165">
        <v>1</v>
      </c>
      <c r="E1165" t="s">
        <v>43</v>
      </c>
      <c r="F1165" t="s">
        <v>25</v>
      </c>
      <c r="G1165" t="str">
        <f>"2025-12-20 05:07:35.182"</f>
        <v>2025-12-20 05:07:35.182</v>
      </c>
      <c r="H1165" t="s">
        <v>21</v>
      </c>
      <c r="I1165">
        <v>1.5</v>
      </c>
      <c r="J1165" t="s">
        <v>28</v>
      </c>
    </row>
    <row r="1166" spans="1:10" x14ac:dyDescent="0.25">
      <c r="A1166" s="1">
        <v>463</v>
      </c>
      <c r="B1166" t="s">
        <v>23</v>
      </c>
      <c r="C1166">
        <v>635</v>
      </c>
      <c r="D1166">
        <v>1</v>
      </c>
      <c r="E1166" t="s">
        <v>43</v>
      </c>
      <c r="F1166" t="s">
        <v>25</v>
      </c>
      <c r="G1166" t="str">
        <f>"2025-12-20 03:08:42.482"</f>
        <v>2025-12-20 03:08:42.482</v>
      </c>
      <c r="H1166" t="s">
        <v>21</v>
      </c>
    </row>
    <row r="1167" spans="1:10" x14ac:dyDescent="0.25">
      <c r="A1167" s="1">
        <v>464</v>
      </c>
      <c r="B1167" t="s">
        <v>27</v>
      </c>
      <c r="C1167">
        <v>635</v>
      </c>
      <c r="D1167">
        <v>1</v>
      </c>
      <c r="E1167" t="s">
        <v>43</v>
      </c>
      <c r="F1167" t="s">
        <v>25</v>
      </c>
      <c r="G1167" t="str">
        <f>"2025-12-20 03:02:30.482"</f>
        <v>2025-12-20 03:02:30.482</v>
      </c>
      <c r="H1167" t="s">
        <v>21</v>
      </c>
      <c r="I1167">
        <v>0</v>
      </c>
      <c r="J1167" t="s">
        <v>28</v>
      </c>
    </row>
    <row r="1168" spans="1:10" x14ac:dyDescent="0.25">
      <c r="A1168" s="1">
        <v>465</v>
      </c>
      <c r="B1168" t="s">
        <v>23</v>
      </c>
      <c r="C1168">
        <v>635</v>
      </c>
      <c r="D1168">
        <v>1</v>
      </c>
      <c r="E1168" t="s">
        <v>43</v>
      </c>
      <c r="F1168" t="s">
        <v>25</v>
      </c>
      <c r="G1168" t="str">
        <f>"2025-12-20 01:46:11.182"</f>
        <v>2025-12-20 01:46:11.182</v>
      </c>
      <c r="H1168" t="s">
        <v>21</v>
      </c>
    </row>
    <row r="1169" spans="1:10" x14ac:dyDescent="0.25">
      <c r="A1169" s="1">
        <v>466</v>
      </c>
      <c r="B1169" t="s">
        <v>27</v>
      </c>
      <c r="C1169">
        <v>635</v>
      </c>
      <c r="D1169">
        <v>1</v>
      </c>
      <c r="E1169" t="s">
        <v>43</v>
      </c>
      <c r="F1169" t="s">
        <v>25</v>
      </c>
      <c r="G1169" t="str">
        <f>"2025-12-20 01:39:49.182"</f>
        <v>2025-12-20 01:39:49.182</v>
      </c>
      <c r="H1169" t="s">
        <v>21</v>
      </c>
      <c r="I1169">
        <v>0</v>
      </c>
      <c r="J1169" t="s">
        <v>28</v>
      </c>
    </row>
    <row r="1170" spans="1:10" x14ac:dyDescent="0.25">
      <c r="A1170" s="1">
        <v>467</v>
      </c>
      <c r="B1170" t="s">
        <v>23</v>
      </c>
      <c r="C1170">
        <v>635</v>
      </c>
      <c r="D1170">
        <v>1</v>
      </c>
      <c r="E1170" t="s">
        <v>43</v>
      </c>
      <c r="F1170" t="s">
        <v>25</v>
      </c>
      <c r="G1170" t="str">
        <f>"2025-12-20 00:01:30.382"</f>
        <v>2025-12-20 00:01:30.382</v>
      </c>
      <c r="H1170" t="s">
        <v>21</v>
      </c>
    </row>
    <row r="1171" spans="1:10" x14ac:dyDescent="0.25">
      <c r="A1171" s="1">
        <v>468</v>
      </c>
      <c r="B1171" t="s">
        <v>27</v>
      </c>
      <c r="C1171">
        <v>635</v>
      </c>
      <c r="D1171">
        <v>1</v>
      </c>
      <c r="E1171" t="s">
        <v>43</v>
      </c>
      <c r="F1171" t="s">
        <v>25</v>
      </c>
      <c r="G1171" t="str">
        <f>"2025-12-19 23:55:19.882"</f>
        <v>2025-12-19 23:55:19.882</v>
      </c>
      <c r="H1171" t="s">
        <v>21</v>
      </c>
      <c r="I1171">
        <v>0</v>
      </c>
      <c r="J1171" t="s">
        <v>28</v>
      </c>
    </row>
    <row r="1172" spans="1:10" x14ac:dyDescent="0.25">
      <c r="A1172" s="1">
        <v>469</v>
      </c>
      <c r="B1172" t="s">
        <v>23</v>
      </c>
      <c r="C1172">
        <v>635</v>
      </c>
      <c r="D1172">
        <v>1</v>
      </c>
      <c r="E1172" t="s">
        <v>43</v>
      </c>
      <c r="F1172" t="s">
        <v>25</v>
      </c>
      <c r="G1172" t="str">
        <f>"2025-12-19 23:12:55.982"</f>
        <v>2025-12-19 23:12:55.982</v>
      </c>
      <c r="H1172" t="s">
        <v>21</v>
      </c>
    </row>
    <row r="1173" spans="1:10" x14ac:dyDescent="0.25">
      <c r="A1173" s="1">
        <v>470</v>
      </c>
      <c r="B1173" t="s">
        <v>27</v>
      </c>
      <c r="C1173">
        <v>635</v>
      </c>
      <c r="D1173">
        <v>1</v>
      </c>
      <c r="E1173" t="s">
        <v>43</v>
      </c>
      <c r="F1173" t="s">
        <v>25</v>
      </c>
      <c r="G1173" t="str">
        <f>"2025-12-19 23:05:49.982"</f>
        <v>2025-12-19 23:05:49.982</v>
      </c>
      <c r="H1173" t="s">
        <v>21</v>
      </c>
      <c r="I1173">
        <v>0</v>
      </c>
      <c r="J1173" t="s">
        <v>28</v>
      </c>
    </row>
    <row r="1174" spans="1:10" x14ac:dyDescent="0.25">
      <c r="A1174" s="1">
        <v>471</v>
      </c>
      <c r="B1174" t="s">
        <v>23</v>
      </c>
      <c r="C1174">
        <v>635</v>
      </c>
      <c r="D1174">
        <v>1</v>
      </c>
      <c r="E1174" t="s">
        <v>43</v>
      </c>
      <c r="F1174" t="s">
        <v>25</v>
      </c>
      <c r="G1174" t="str">
        <f>"2025-12-19 15:22:50.982"</f>
        <v>2025-12-19 15:22:50.982</v>
      </c>
      <c r="H1174" t="s">
        <v>21</v>
      </c>
    </row>
    <row r="1175" spans="1:10" x14ac:dyDescent="0.25">
      <c r="A1175" s="1">
        <v>472</v>
      </c>
      <c r="B1175" t="s">
        <v>27</v>
      </c>
      <c r="C1175">
        <v>635</v>
      </c>
      <c r="D1175">
        <v>1</v>
      </c>
      <c r="E1175" t="s">
        <v>43</v>
      </c>
      <c r="F1175" t="s">
        <v>25</v>
      </c>
      <c r="G1175" t="str">
        <f>"2025-12-19 15:18:24.481"</f>
        <v>2025-12-19 15:18:24.481</v>
      </c>
      <c r="H1175" t="s">
        <v>21</v>
      </c>
      <c r="I1175">
        <v>3.68</v>
      </c>
      <c r="J1175" t="s">
        <v>37</v>
      </c>
    </row>
    <row r="1176" spans="1:10" x14ac:dyDescent="0.25">
      <c r="A1176" s="1">
        <v>473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"2025-12-19 11:41:44.411"</f>
        <v>2025-12-19 11:41:44.411</v>
      </c>
      <c r="H1176" t="s">
        <v>21</v>
      </c>
      <c r="I1176">
        <v>0</v>
      </c>
      <c r="J1176" t="s">
        <v>22</v>
      </c>
    </row>
    <row r="1177" spans="1:10" x14ac:dyDescent="0.25">
      <c r="A1177" s="1">
        <v>474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"2025-12-19 10:21:29.345"</f>
        <v>2025-12-19 10:21:29.345</v>
      </c>
      <c r="H1177" t="s">
        <v>21</v>
      </c>
      <c r="I1177">
        <v>0</v>
      </c>
      <c r="J1177" t="s">
        <v>22</v>
      </c>
    </row>
    <row r="1178" spans="1:10" x14ac:dyDescent="0.25">
      <c r="A1178" s="1">
        <v>475</v>
      </c>
      <c r="B1178" t="s">
        <v>23</v>
      </c>
      <c r="C1178">
        <v>635</v>
      </c>
      <c r="D1178">
        <v>1</v>
      </c>
      <c r="E1178" t="s">
        <v>43</v>
      </c>
      <c r="F1178" t="s">
        <v>25</v>
      </c>
      <c r="G1178" t="str">
        <f>"2025-12-19 02:36:43.782"</f>
        <v>2025-12-19 02:36:43.782</v>
      </c>
      <c r="H1178" t="s">
        <v>21</v>
      </c>
    </row>
    <row r="1179" spans="1:10" x14ac:dyDescent="0.25">
      <c r="A1179" s="1">
        <v>476</v>
      </c>
      <c r="B1179" t="s">
        <v>27</v>
      </c>
      <c r="C1179">
        <v>635</v>
      </c>
      <c r="D1179">
        <v>1</v>
      </c>
      <c r="E1179" t="s">
        <v>43</v>
      </c>
      <c r="F1179" t="s">
        <v>25</v>
      </c>
      <c r="G1179" t="str">
        <f>"2025-12-19 02:29:07.282"</f>
        <v>2025-12-19 02:29:07.282</v>
      </c>
      <c r="H1179" t="s">
        <v>21</v>
      </c>
      <c r="I1179">
        <v>5.41</v>
      </c>
      <c r="J1179" t="s">
        <v>37</v>
      </c>
    </row>
    <row r="1180" spans="1:10" x14ac:dyDescent="0.25">
      <c r="A1180" s="1">
        <v>477</v>
      </c>
      <c r="B1180" t="s">
        <v>19</v>
      </c>
      <c r="C1180">
        <v>706</v>
      </c>
      <c r="D1180">
        <v>4</v>
      </c>
      <c r="E1180" t="s">
        <v>29</v>
      </c>
      <c r="F1180" t="s">
        <v>30</v>
      </c>
      <c r="G1180" t="str">
        <f>"2025-12-18 21:24:39.422"</f>
        <v>2025-12-18 21:24:39.422</v>
      </c>
      <c r="H1180" t="s">
        <v>21</v>
      </c>
      <c r="I1180">
        <v>0</v>
      </c>
      <c r="J1180" t="s">
        <v>31</v>
      </c>
    </row>
    <row r="1181" spans="1:10" x14ac:dyDescent="0.25">
      <c r="A1181" s="1">
        <v>478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"2025-12-18 13:14:07.312"</f>
        <v>2025-12-18 13:14:07.312</v>
      </c>
      <c r="H1181" t="s">
        <v>21</v>
      </c>
      <c r="I1181">
        <v>0</v>
      </c>
      <c r="J1181" t="s">
        <v>22</v>
      </c>
    </row>
    <row r="1182" spans="1:10" x14ac:dyDescent="0.25">
      <c r="A1182" s="1">
        <v>479</v>
      </c>
      <c r="B1182" t="s">
        <v>23</v>
      </c>
      <c r="C1182">
        <v>635</v>
      </c>
      <c r="D1182">
        <v>1</v>
      </c>
      <c r="E1182" t="s">
        <v>43</v>
      </c>
      <c r="F1182" t="s">
        <v>25</v>
      </c>
      <c r="G1182" t="str">
        <f>"2025-12-17 15:42:54.318"</f>
        <v>2025-12-17 15:42:54.318</v>
      </c>
      <c r="H1182" t="s">
        <v>21</v>
      </c>
    </row>
    <row r="1183" spans="1:10" x14ac:dyDescent="0.25">
      <c r="A1183" s="1">
        <v>480</v>
      </c>
      <c r="B1183" t="s">
        <v>27</v>
      </c>
      <c r="C1183">
        <v>635</v>
      </c>
      <c r="D1183">
        <v>1</v>
      </c>
      <c r="E1183" t="s">
        <v>43</v>
      </c>
      <c r="F1183" t="s">
        <v>25</v>
      </c>
      <c r="G1183" t="str">
        <f>"2025-12-17 15:35:22.918"</f>
        <v>2025-12-17 15:35:22.918</v>
      </c>
      <c r="H1183" t="s">
        <v>21</v>
      </c>
      <c r="I1183">
        <v>3.32</v>
      </c>
      <c r="J1183" t="s">
        <v>37</v>
      </c>
    </row>
    <row r="1184" spans="1:10" x14ac:dyDescent="0.25">
      <c r="A1184" s="1">
        <v>481</v>
      </c>
      <c r="B1184" t="s">
        <v>23</v>
      </c>
      <c r="C1184">
        <v>635</v>
      </c>
      <c r="D1184">
        <v>1</v>
      </c>
      <c r="E1184" t="s">
        <v>43</v>
      </c>
      <c r="F1184" t="s">
        <v>25</v>
      </c>
      <c r="G1184" t="str">
        <f>"2025-12-16 23:39:48.418"</f>
        <v>2025-12-16 23:39:48.418</v>
      </c>
      <c r="H1184" t="s">
        <v>21</v>
      </c>
    </row>
    <row r="1185" spans="1:10" x14ac:dyDescent="0.25">
      <c r="A1185" s="1">
        <v>482</v>
      </c>
      <c r="B1185" t="s">
        <v>27</v>
      </c>
      <c r="C1185">
        <v>635</v>
      </c>
      <c r="D1185">
        <v>1</v>
      </c>
      <c r="E1185" t="s">
        <v>43</v>
      </c>
      <c r="F1185" t="s">
        <v>25</v>
      </c>
      <c r="G1185" t="str">
        <f>"2025-12-16 23:36:22.418"</f>
        <v>2025-12-16 23:36:22.418</v>
      </c>
      <c r="H1185" t="s">
        <v>21</v>
      </c>
      <c r="I1185">
        <v>3.74</v>
      </c>
      <c r="J1185" t="s">
        <v>28</v>
      </c>
    </row>
    <row r="1186" spans="1:10" x14ac:dyDescent="0.25">
      <c r="A1186" s="1">
        <v>483</v>
      </c>
      <c r="B1186" t="s">
        <v>23</v>
      </c>
      <c r="C1186">
        <v>635</v>
      </c>
      <c r="D1186">
        <v>1</v>
      </c>
      <c r="E1186" t="s">
        <v>43</v>
      </c>
      <c r="F1186" t="s">
        <v>25</v>
      </c>
      <c r="G1186" t="str">
        <f>"2025-12-15 15:58:14.018"</f>
        <v>2025-12-15 15:58:14.018</v>
      </c>
      <c r="H1186" t="s">
        <v>21</v>
      </c>
    </row>
    <row r="1187" spans="1:10" x14ac:dyDescent="0.25">
      <c r="A1187" s="1">
        <v>484</v>
      </c>
      <c r="B1187" t="s">
        <v>27</v>
      </c>
      <c r="C1187">
        <v>635</v>
      </c>
      <c r="D1187">
        <v>1</v>
      </c>
      <c r="E1187" t="s">
        <v>43</v>
      </c>
      <c r="F1187" t="s">
        <v>25</v>
      </c>
      <c r="G1187" t="str">
        <f>"2025-12-15 15:55:16.018"</f>
        <v>2025-12-15 15:55:16.018</v>
      </c>
      <c r="H1187" t="s">
        <v>21</v>
      </c>
      <c r="I1187">
        <v>0.97</v>
      </c>
      <c r="J1187" t="s">
        <v>37</v>
      </c>
    </row>
    <row r="1188" spans="1:10" x14ac:dyDescent="0.25">
      <c r="A1188" s="1">
        <v>485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"2025-12-14 00:52:10.275"</f>
        <v>2025-12-14 00:52:10.275</v>
      </c>
      <c r="H1188" t="s">
        <v>21</v>
      </c>
    </row>
    <row r="1189" spans="1:10" x14ac:dyDescent="0.25">
      <c r="A1189" s="1">
        <v>486</v>
      </c>
      <c r="B1189" t="s">
        <v>23</v>
      </c>
      <c r="C1189">
        <v>631</v>
      </c>
      <c r="D1189">
        <v>1</v>
      </c>
      <c r="E1189" t="s">
        <v>78</v>
      </c>
      <c r="F1189" t="s">
        <v>79</v>
      </c>
      <c r="G1189" t="str">
        <f>"2025-12-13 11:17:04.963"</f>
        <v>2025-12-13 11:17:04.963</v>
      </c>
      <c r="H1189" t="s">
        <v>21</v>
      </c>
    </row>
    <row r="1190" spans="1:10" x14ac:dyDescent="0.25">
      <c r="A1190" s="1">
        <v>487</v>
      </c>
      <c r="B1190" t="s">
        <v>27</v>
      </c>
      <c r="C1190">
        <v>631</v>
      </c>
      <c r="D1190">
        <v>1</v>
      </c>
      <c r="E1190" t="s">
        <v>78</v>
      </c>
      <c r="F1190" t="s">
        <v>79</v>
      </c>
      <c r="G1190" t="str">
        <f>"2025-12-13 11:16:28.563"</f>
        <v>2025-12-13 11:16:28.563</v>
      </c>
      <c r="H1190" t="s">
        <v>21</v>
      </c>
      <c r="I1190">
        <v>6.07</v>
      </c>
      <c r="J1190" t="s">
        <v>37</v>
      </c>
    </row>
    <row r="1191" spans="1:10" x14ac:dyDescent="0.25">
      <c r="A1191" s="1">
        <v>488</v>
      </c>
      <c r="B1191" t="s">
        <v>23</v>
      </c>
      <c r="C1191">
        <v>631</v>
      </c>
      <c r="D1191">
        <v>1</v>
      </c>
      <c r="E1191" t="s">
        <v>78</v>
      </c>
      <c r="F1191" t="s">
        <v>79</v>
      </c>
      <c r="G1191" t="str">
        <f>"2025-12-13 10:10:50.163"</f>
        <v>2025-12-13 10:10:50.163</v>
      </c>
      <c r="H1191" t="s">
        <v>21</v>
      </c>
    </row>
    <row r="1192" spans="1:10" x14ac:dyDescent="0.25">
      <c r="A1192" s="1">
        <v>489</v>
      </c>
      <c r="B1192" t="s">
        <v>27</v>
      </c>
      <c r="C1192">
        <v>631</v>
      </c>
      <c r="D1192">
        <v>1</v>
      </c>
      <c r="E1192" t="s">
        <v>78</v>
      </c>
      <c r="F1192" t="s">
        <v>79</v>
      </c>
      <c r="G1192" t="str">
        <f>"2025-12-13 10:10:32.663"</f>
        <v>2025-12-13 10:10:32.663</v>
      </c>
      <c r="H1192" t="s">
        <v>21</v>
      </c>
      <c r="I1192">
        <v>7.11</v>
      </c>
      <c r="J1192" t="s">
        <v>37</v>
      </c>
    </row>
    <row r="1193" spans="1:10" x14ac:dyDescent="0.25">
      <c r="A1193" s="1">
        <v>490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"2025-12-12 05:41:41.295"</f>
        <v>2025-12-12 05:41:41.295</v>
      </c>
      <c r="H1193" t="s">
        <v>21</v>
      </c>
      <c r="I1193">
        <v>0</v>
      </c>
      <c r="J1193" t="s">
        <v>22</v>
      </c>
    </row>
    <row r="1194" spans="1:10" x14ac:dyDescent="0.25">
      <c r="A1194" s="1">
        <v>491</v>
      </c>
      <c r="B1194" t="s">
        <v>19</v>
      </c>
      <c r="C1194">
        <v>706</v>
      </c>
      <c r="D1194">
        <v>4</v>
      </c>
      <c r="E1194" t="s">
        <v>29</v>
      </c>
      <c r="F1194" t="s">
        <v>30</v>
      </c>
      <c r="G1194" t="str">
        <f>"2025-12-12 03:21:17.156"</f>
        <v>2025-12-12 03:21:17.156</v>
      </c>
      <c r="H1194" t="s">
        <v>21</v>
      </c>
      <c r="I1194">
        <v>0</v>
      </c>
      <c r="J1194" t="s">
        <v>31</v>
      </c>
    </row>
    <row r="1195" spans="1:10" x14ac:dyDescent="0.25">
      <c r="A1195" s="1">
        <v>492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"2025-12-12 02:31:35.346"</f>
        <v>2025-12-12 02:31:35.346</v>
      </c>
      <c r="H1195" t="s">
        <v>21</v>
      </c>
      <c r="I1195">
        <v>0</v>
      </c>
      <c r="J1195" t="s">
        <v>22</v>
      </c>
    </row>
    <row r="1196" spans="1:10" x14ac:dyDescent="0.25">
      <c r="A1196" s="1">
        <v>493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"2025-12-11 09:49:14.382"</f>
        <v>2025-12-11 09:49:14.382</v>
      </c>
      <c r="H1196" t="s">
        <v>21</v>
      </c>
    </row>
    <row r="1197" spans="1:10" x14ac:dyDescent="0.25">
      <c r="A1197" s="1">
        <v>496</v>
      </c>
      <c r="B1197" t="s">
        <v>23</v>
      </c>
      <c r="C1197">
        <v>635</v>
      </c>
      <c r="D1197">
        <v>1</v>
      </c>
      <c r="E1197" t="s">
        <v>43</v>
      </c>
      <c r="F1197" t="s">
        <v>25</v>
      </c>
      <c r="G1197" t="str">
        <f>"2025-12-11 01:33:09.741"</f>
        <v>2025-12-11 01:33:09.741</v>
      </c>
      <c r="H1197" t="s">
        <v>21</v>
      </c>
    </row>
    <row r="1198" spans="1:10" x14ac:dyDescent="0.25">
      <c r="A1198" s="1">
        <v>497</v>
      </c>
      <c r="B1198" t="s">
        <v>27</v>
      </c>
      <c r="C1198">
        <v>635</v>
      </c>
      <c r="D1198">
        <v>1</v>
      </c>
      <c r="E1198" t="s">
        <v>43</v>
      </c>
      <c r="F1198" t="s">
        <v>25</v>
      </c>
      <c r="G1198" t="str">
        <f>"2025-12-11 01:30:35.241"</f>
        <v>2025-12-11 01:30:35.241</v>
      </c>
      <c r="H1198" t="s">
        <v>21</v>
      </c>
      <c r="I1198">
        <v>7.73</v>
      </c>
      <c r="J1198" t="s">
        <v>37</v>
      </c>
    </row>
    <row r="1199" spans="1:10" x14ac:dyDescent="0.25">
      <c r="A1199" s="1">
        <v>500</v>
      </c>
      <c r="B1199" t="s">
        <v>23</v>
      </c>
      <c r="C1199">
        <v>635</v>
      </c>
      <c r="D1199">
        <v>1</v>
      </c>
      <c r="E1199" t="s">
        <v>43</v>
      </c>
      <c r="F1199" t="s">
        <v>25</v>
      </c>
      <c r="G1199" t="str">
        <f>"2025-12-10 18:13:47.741"</f>
        <v>2025-12-10 18:13:47.741</v>
      </c>
      <c r="H1199" t="s">
        <v>21</v>
      </c>
    </row>
    <row r="1200" spans="1:10" x14ac:dyDescent="0.25">
      <c r="A1200" s="1">
        <v>501</v>
      </c>
      <c r="B1200" t="s">
        <v>27</v>
      </c>
      <c r="C1200">
        <v>635</v>
      </c>
      <c r="D1200">
        <v>1</v>
      </c>
      <c r="E1200" t="s">
        <v>43</v>
      </c>
      <c r="F1200" t="s">
        <v>25</v>
      </c>
      <c r="G1200" t="str">
        <f>"2025-12-10 18:08:13.240"</f>
        <v>2025-12-10 18:08:13.240</v>
      </c>
      <c r="H1200" t="s">
        <v>21</v>
      </c>
      <c r="I1200">
        <v>0.34</v>
      </c>
      <c r="J1200" t="s">
        <v>37</v>
      </c>
    </row>
    <row r="1201" spans="1:10" x14ac:dyDescent="0.25">
      <c r="A1201" s="1">
        <v>502</v>
      </c>
      <c r="B1201" t="s">
        <v>23</v>
      </c>
      <c r="C1201">
        <v>61</v>
      </c>
      <c r="D1201">
        <v>2</v>
      </c>
      <c r="E1201" t="s">
        <v>47</v>
      </c>
      <c r="F1201" t="s">
        <v>48</v>
      </c>
      <c r="G1201" t="str">
        <f>"2025-12-10 03:56:39.734"</f>
        <v>2025-12-10 03:56:39.734</v>
      </c>
      <c r="H1201" t="s">
        <v>21</v>
      </c>
    </row>
    <row r="1202" spans="1:10" x14ac:dyDescent="0.25">
      <c r="A1202" s="1">
        <v>503</v>
      </c>
      <c r="B1202" t="s">
        <v>36</v>
      </c>
      <c r="C1202">
        <v>61</v>
      </c>
      <c r="D1202">
        <v>2</v>
      </c>
      <c r="E1202" t="s">
        <v>47</v>
      </c>
      <c r="F1202" t="s">
        <v>48</v>
      </c>
      <c r="G1202" t="str">
        <f>"2025-12-10 03:56:35.034"</f>
        <v>2025-12-10 03:56:35.034</v>
      </c>
      <c r="H1202" t="s">
        <v>21</v>
      </c>
      <c r="I1202">
        <v>29.71</v>
      </c>
      <c r="J1202" t="s">
        <v>42</v>
      </c>
    </row>
    <row r="1203" spans="1:10" x14ac:dyDescent="0.25">
      <c r="A1203" s="1">
        <v>504</v>
      </c>
      <c r="B1203" t="s">
        <v>23</v>
      </c>
      <c r="C1203">
        <v>61</v>
      </c>
      <c r="D1203">
        <v>2</v>
      </c>
      <c r="E1203" t="s">
        <v>47</v>
      </c>
      <c r="F1203" t="s">
        <v>48</v>
      </c>
      <c r="G1203" t="str">
        <f>"2025-12-10 03:33:40.334"</f>
        <v>2025-12-10 03:33:40.334</v>
      </c>
      <c r="H1203" t="s">
        <v>21</v>
      </c>
    </row>
    <row r="1204" spans="1:10" x14ac:dyDescent="0.25">
      <c r="A1204" s="1">
        <v>505</v>
      </c>
      <c r="B1204" t="s">
        <v>36</v>
      </c>
      <c r="C1204">
        <v>61</v>
      </c>
      <c r="D1204">
        <v>2</v>
      </c>
      <c r="E1204" t="s">
        <v>47</v>
      </c>
      <c r="F1204" t="s">
        <v>48</v>
      </c>
      <c r="G1204" t="str">
        <f>"2025-12-10 03:33:34.134"</f>
        <v>2025-12-10 03:33:34.134</v>
      </c>
      <c r="H1204" t="s">
        <v>21</v>
      </c>
      <c r="I1204">
        <v>30.21</v>
      </c>
      <c r="J1204" t="s">
        <v>42</v>
      </c>
    </row>
    <row r="1205" spans="1:10" x14ac:dyDescent="0.25">
      <c r="A1205" s="1">
        <v>506</v>
      </c>
      <c r="B1205" t="s">
        <v>23</v>
      </c>
      <c r="C1205">
        <v>635</v>
      </c>
      <c r="D1205">
        <v>1</v>
      </c>
      <c r="E1205" t="s">
        <v>43</v>
      </c>
      <c r="F1205" t="s">
        <v>25</v>
      </c>
      <c r="G1205" t="str">
        <f>"2025-12-10 02:29:37.741"</f>
        <v>2025-12-10 02:29:37.741</v>
      </c>
      <c r="H1205" t="s">
        <v>21</v>
      </c>
    </row>
    <row r="1206" spans="1:10" x14ac:dyDescent="0.25">
      <c r="A1206" s="1">
        <v>507</v>
      </c>
      <c r="B1206" t="s">
        <v>27</v>
      </c>
      <c r="C1206">
        <v>635</v>
      </c>
      <c r="D1206">
        <v>1</v>
      </c>
      <c r="E1206" t="s">
        <v>43</v>
      </c>
      <c r="F1206" t="s">
        <v>25</v>
      </c>
      <c r="G1206" t="str">
        <f>"2025-12-10 02:18:19.240"</f>
        <v>2025-12-10 02:18:19.240</v>
      </c>
      <c r="H1206" t="s">
        <v>21</v>
      </c>
      <c r="I1206">
        <v>7.53</v>
      </c>
      <c r="J1206" t="s">
        <v>42</v>
      </c>
    </row>
    <row r="1207" spans="1:10" x14ac:dyDescent="0.25">
      <c r="A1207" s="1">
        <v>508</v>
      </c>
      <c r="B1207" t="s">
        <v>23</v>
      </c>
      <c r="C1207">
        <v>631</v>
      </c>
      <c r="D1207">
        <v>1</v>
      </c>
      <c r="E1207" t="s">
        <v>78</v>
      </c>
      <c r="F1207" t="s">
        <v>79</v>
      </c>
      <c r="G1207" t="str">
        <f>"2025-12-09 19:03:40.793"</f>
        <v>2025-12-09 19:03:40.793</v>
      </c>
      <c r="H1207" t="s">
        <v>21</v>
      </c>
    </row>
    <row r="1208" spans="1:10" x14ac:dyDescent="0.25">
      <c r="A1208" s="1">
        <v>509</v>
      </c>
      <c r="B1208" t="s">
        <v>27</v>
      </c>
      <c r="C1208">
        <v>631</v>
      </c>
      <c r="D1208">
        <v>1</v>
      </c>
      <c r="E1208" t="s">
        <v>78</v>
      </c>
      <c r="F1208" t="s">
        <v>79</v>
      </c>
      <c r="G1208" t="str">
        <f>"2025-12-09 19:03:06.594"</f>
        <v>2025-12-09 19:03:06.594</v>
      </c>
      <c r="H1208" t="s">
        <v>21</v>
      </c>
      <c r="I1208">
        <v>7.57</v>
      </c>
      <c r="J1208" t="s">
        <v>37</v>
      </c>
    </row>
    <row r="1209" spans="1:10" x14ac:dyDescent="0.25">
      <c r="A1209" s="1">
        <v>510</v>
      </c>
      <c r="B1209" t="s">
        <v>19</v>
      </c>
      <c r="C1209">
        <v>706</v>
      </c>
      <c r="D1209">
        <v>4</v>
      </c>
      <c r="E1209" t="s">
        <v>29</v>
      </c>
      <c r="F1209" t="s">
        <v>30</v>
      </c>
      <c r="G1209" t="str">
        <f>"2025-12-09 13:15:18.853"</f>
        <v>2025-12-09 13:15:18.853</v>
      </c>
      <c r="H1209" t="s">
        <v>21</v>
      </c>
      <c r="I1209">
        <v>0</v>
      </c>
      <c r="J1209" t="s">
        <v>31</v>
      </c>
    </row>
    <row r="1210" spans="1:10" x14ac:dyDescent="0.25">
      <c r="A1210" s="1">
        <v>511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"2025-12-09 13:15:01.303"</f>
        <v>2025-12-09 13:15:01.303</v>
      </c>
      <c r="H1210" t="s">
        <v>21</v>
      </c>
      <c r="I1210">
        <v>0</v>
      </c>
      <c r="J1210" t="s">
        <v>22</v>
      </c>
    </row>
    <row r="1211" spans="1:10" x14ac:dyDescent="0.25">
      <c r="A1211" s="1">
        <v>512</v>
      </c>
      <c r="B1211" t="s">
        <v>23</v>
      </c>
      <c r="C1211">
        <v>635</v>
      </c>
      <c r="D1211">
        <v>1</v>
      </c>
      <c r="E1211" t="s">
        <v>43</v>
      </c>
      <c r="F1211" t="s">
        <v>25</v>
      </c>
      <c r="G1211" t="str">
        <f>"2025-12-07 17:27:32.982"</f>
        <v>2025-12-07 17:27:32.982</v>
      </c>
      <c r="H1211" t="s">
        <v>21</v>
      </c>
    </row>
    <row r="1212" spans="1:10" x14ac:dyDescent="0.25">
      <c r="A1212" s="1">
        <v>513</v>
      </c>
      <c r="B1212" t="s">
        <v>27</v>
      </c>
      <c r="C1212">
        <v>635</v>
      </c>
      <c r="D1212">
        <v>1</v>
      </c>
      <c r="E1212" t="s">
        <v>43</v>
      </c>
      <c r="F1212" t="s">
        <v>25</v>
      </c>
      <c r="G1212" t="str">
        <f>"2025-12-07 17:24:17.982"</f>
        <v>2025-12-07 17:24:17.982</v>
      </c>
      <c r="H1212" t="s">
        <v>21</v>
      </c>
      <c r="I1212">
        <v>2.19</v>
      </c>
      <c r="J1212" t="s">
        <v>28</v>
      </c>
    </row>
    <row r="1213" spans="1:10" x14ac:dyDescent="0.25">
      <c r="A1213" s="1">
        <v>514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"2025-12-07 13:42:49.491"</f>
        <v>2025-12-07 13:42:49.491</v>
      </c>
      <c r="H1213" t="s">
        <v>21</v>
      </c>
      <c r="I1213">
        <v>0</v>
      </c>
      <c r="J1213" t="s">
        <v>22</v>
      </c>
    </row>
    <row r="1214" spans="1:10" x14ac:dyDescent="0.25">
      <c r="A1214" s="1">
        <v>515</v>
      </c>
      <c r="B1214" t="s">
        <v>23</v>
      </c>
      <c r="C1214">
        <v>635</v>
      </c>
      <c r="D1214">
        <v>1</v>
      </c>
      <c r="E1214" t="s">
        <v>43</v>
      </c>
      <c r="F1214" t="s">
        <v>25</v>
      </c>
      <c r="G1214" t="str">
        <f>"2025-12-07 12:35:10.960"</f>
        <v>2025-12-07 12:35:10.960</v>
      </c>
      <c r="H1214" t="s">
        <v>21</v>
      </c>
    </row>
    <row r="1215" spans="1:10" x14ac:dyDescent="0.25">
      <c r="A1215" s="1">
        <v>516</v>
      </c>
      <c r="B1215" t="s">
        <v>27</v>
      </c>
      <c r="C1215">
        <v>635</v>
      </c>
      <c r="D1215">
        <v>1</v>
      </c>
      <c r="E1215" t="s">
        <v>43</v>
      </c>
      <c r="F1215" t="s">
        <v>25</v>
      </c>
      <c r="G1215" t="str">
        <f>"2025-12-07 12:30:38.460"</f>
        <v>2025-12-07 12:30:38.460</v>
      </c>
      <c r="H1215" t="s">
        <v>21</v>
      </c>
      <c r="I1215">
        <v>2.94</v>
      </c>
      <c r="J1215" t="s">
        <v>42</v>
      </c>
    </row>
    <row r="1216" spans="1:10" x14ac:dyDescent="0.25">
      <c r="A1216" s="1">
        <v>517</v>
      </c>
      <c r="B1216" t="s">
        <v>23</v>
      </c>
      <c r="C1216">
        <v>635</v>
      </c>
      <c r="D1216">
        <v>1</v>
      </c>
      <c r="E1216" t="s">
        <v>43</v>
      </c>
      <c r="F1216" t="s">
        <v>25</v>
      </c>
      <c r="G1216" t="str">
        <f>"2025-12-06 11:35:18.260"</f>
        <v>2025-12-06 11:35:18.260</v>
      </c>
      <c r="H1216" t="s">
        <v>21</v>
      </c>
    </row>
    <row r="1217" spans="1:10" x14ac:dyDescent="0.25">
      <c r="A1217" s="1">
        <v>518</v>
      </c>
      <c r="B1217" t="s">
        <v>27</v>
      </c>
      <c r="C1217">
        <v>635</v>
      </c>
      <c r="D1217">
        <v>1</v>
      </c>
      <c r="E1217" t="s">
        <v>43</v>
      </c>
      <c r="F1217" t="s">
        <v>25</v>
      </c>
      <c r="G1217" t="str">
        <f>"2025-12-06 11:32:50.260"</f>
        <v>2025-12-06 11:32:50.260</v>
      </c>
      <c r="H1217" t="s">
        <v>21</v>
      </c>
      <c r="I1217">
        <v>5.95</v>
      </c>
      <c r="J1217" t="s">
        <v>37</v>
      </c>
    </row>
    <row r="1218" spans="1:10" x14ac:dyDescent="0.25">
      <c r="A1218" s="1">
        <v>519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"2025-12-06 10:16:43.263"</f>
        <v>2025-12-06 10:16:43.263</v>
      </c>
      <c r="H1218" t="s">
        <v>21</v>
      </c>
      <c r="I1218">
        <v>0</v>
      </c>
      <c r="J1218" t="s">
        <v>22</v>
      </c>
    </row>
    <row r="1219" spans="1:10" x14ac:dyDescent="0.25">
      <c r="A1219" s="1">
        <v>520</v>
      </c>
      <c r="B1219" t="s">
        <v>23</v>
      </c>
      <c r="C1219">
        <v>635</v>
      </c>
      <c r="D1219">
        <v>1</v>
      </c>
      <c r="E1219" t="s">
        <v>43</v>
      </c>
      <c r="F1219" t="s">
        <v>25</v>
      </c>
      <c r="G1219" t="str">
        <f>"2025-12-06 03:19:35.509"</f>
        <v>2025-12-06 03:19:35.509</v>
      </c>
      <c r="H1219" t="s">
        <v>21</v>
      </c>
    </row>
    <row r="1220" spans="1:10" x14ac:dyDescent="0.25">
      <c r="A1220" s="1">
        <v>521</v>
      </c>
      <c r="B1220" t="s">
        <v>27</v>
      </c>
      <c r="C1220">
        <v>635</v>
      </c>
      <c r="D1220">
        <v>1</v>
      </c>
      <c r="E1220" t="s">
        <v>43</v>
      </c>
      <c r="F1220" t="s">
        <v>25</v>
      </c>
      <c r="G1220" t="str">
        <f>"2025-12-06 03:16:04.509"</f>
        <v>2025-12-06 03:16:04.509</v>
      </c>
      <c r="H1220" t="s">
        <v>21</v>
      </c>
      <c r="I1220">
        <v>-1.33</v>
      </c>
      <c r="J1220" t="s">
        <v>37</v>
      </c>
    </row>
    <row r="1221" spans="1:10" x14ac:dyDescent="0.25">
      <c r="A1221" s="1">
        <v>522</v>
      </c>
      <c r="B1221" t="s">
        <v>23</v>
      </c>
      <c r="C1221">
        <v>635</v>
      </c>
      <c r="D1221">
        <v>1</v>
      </c>
      <c r="E1221" t="s">
        <v>43</v>
      </c>
      <c r="F1221" t="s">
        <v>25</v>
      </c>
      <c r="G1221" t="str">
        <f>"2025-12-05 22:41:58.609"</f>
        <v>2025-12-05 22:41:58.609</v>
      </c>
      <c r="H1221" t="s">
        <v>21</v>
      </c>
    </row>
    <row r="1222" spans="1:10" x14ac:dyDescent="0.25">
      <c r="A1222" s="1">
        <v>523</v>
      </c>
      <c r="B1222" t="s">
        <v>27</v>
      </c>
      <c r="C1222">
        <v>635</v>
      </c>
      <c r="D1222">
        <v>1</v>
      </c>
      <c r="E1222" t="s">
        <v>43</v>
      </c>
      <c r="F1222" t="s">
        <v>25</v>
      </c>
      <c r="G1222" t="str">
        <f>"2025-12-05 22:39:06.609"</f>
        <v>2025-12-05 22:39:06.609</v>
      </c>
      <c r="H1222" t="s">
        <v>21</v>
      </c>
      <c r="I1222">
        <v>2.06</v>
      </c>
      <c r="J1222" t="s">
        <v>37</v>
      </c>
    </row>
    <row r="1223" spans="1:10" x14ac:dyDescent="0.25">
      <c r="A1223" s="1">
        <v>524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"2025-12-03 11:02:52.261"</f>
        <v>2025-12-03 11:02:52.261</v>
      </c>
      <c r="H1223" t="s">
        <v>21</v>
      </c>
      <c r="I1223">
        <v>0</v>
      </c>
      <c r="J1223" t="s">
        <v>22</v>
      </c>
    </row>
    <row r="1224" spans="1:10" x14ac:dyDescent="0.25">
      <c r="A1224" s="1">
        <v>525</v>
      </c>
      <c r="B1224" t="s">
        <v>23</v>
      </c>
      <c r="C1224">
        <v>635</v>
      </c>
      <c r="D1224">
        <v>1</v>
      </c>
      <c r="E1224" t="s">
        <v>43</v>
      </c>
      <c r="F1224" t="s">
        <v>25</v>
      </c>
      <c r="G1224" t="str">
        <f>"2025-12-01 20:38:44.857"</f>
        <v>2025-12-01 20:38:44.857</v>
      </c>
      <c r="H1224" t="s">
        <v>21</v>
      </c>
    </row>
    <row r="1225" spans="1:10" x14ac:dyDescent="0.25">
      <c r="A1225" s="1">
        <v>526</v>
      </c>
      <c r="B1225" t="s">
        <v>27</v>
      </c>
      <c r="C1225">
        <v>635</v>
      </c>
      <c r="D1225">
        <v>1</v>
      </c>
      <c r="E1225" t="s">
        <v>43</v>
      </c>
      <c r="F1225" t="s">
        <v>25</v>
      </c>
      <c r="G1225" t="str">
        <f>"2025-12-01 20:30:29.357"</f>
        <v>2025-12-01 20:30:29.357</v>
      </c>
      <c r="H1225" t="s">
        <v>21</v>
      </c>
      <c r="I1225">
        <v>2.33</v>
      </c>
      <c r="J1225" t="s">
        <v>37</v>
      </c>
    </row>
    <row r="1226" spans="1:10" x14ac:dyDescent="0.25">
      <c r="A1226" s="1">
        <v>527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"2025-12-01 20:02:10.284"</f>
        <v>2025-12-01 20:02:10.284</v>
      </c>
      <c r="H1226" t="s">
        <v>21</v>
      </c>
      <c r="I1226">
        <v>0</v>
      </c>
      <c r="J1226" t="s">
        <v>22</v>
      </c>
    </row>
    <row r="1227" spans="1:10" x14ac:dyDescent="0.25">
      <c r="A1227" s="1">
        <v>528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"2025-12-01 19:31:02.242"</f>
        <v>2025-12-01 19:31:02.242</v>
      </c>
      <c r="H1227" t="s">
        <v>21</v>
      </c>
    </row>
    <row r="1228" spans="1:10" x14ac:dyDescent="0.25">
      <c r="A1228" s="1">
        <v>529</v>
      </c>
      <c r="B1228" t="s">
        <v>19</v>
      </c>
      <c r="C1228">
        <v>706</v>
      </c>
      <c r="D1228">
        <v>2</v>
      </c>
      <c r="E1228" t="s">
        <v>29</v>
      </c>
      <c r="F1228" t="s">
        <v>44</v>
      </c>
      <c r="G1228" t="str">
        <f>"2025-12-01 19:08:22.513"</f>
        <v>2025-12-01 19:08:22.513</v>
      </c>
      <c r="H1228" t="s">
        <v>21</v>
      </c>
      <c r="I1228">
        <v>0</v>
      </c>
      <c r="J1228" t="s">
        <v>31</v>
      </c>
    </row>
    <row r="1229" spans="1:10" x14ac:dyDescent="0.25">
      <c r="A1229" s="1">
        <v>530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"2025-12-01 18:46:23.273"</f>
        <v>2025-12-01 18:46:23.273</v>
      </c>
      <c r="H1229" t="s">
        <v>21</v>
      </c>
      <c r="I1229">
        <v>0</v>
      </c>
      <c r="J1229" t="s">
        <v>22</v>
      </c>
    </row>
    <row r="1230" spans="1:10" x14ac:dyDescent="0.25">
      <c r="A1230" s="1">
        <v>531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"2025-12-01 17:44:26.595"</f>
        <v>2025-12-01 17:44:26.595</v>
      </c>
      <c r="H1230" t="s">
        <v>21</v>
      </c>
    </row>
    <row r="1231" spans="1:10" x14ac:dyDescent="0.25">
      <c r="A1231" s="1">
        <v>532</v>
      </c>
      <c r="B1231" t="s">
        <v>23</v>
      </c>
      <c r="C1231">
        <v>61</v>
      </c>
      <c r="D1231">
        <v>2</v>
      </c>
      <c r="E1231" t="s">
        <v>47</v>
      </c>
      <c r="F1231" t="s">
        <v>48</v>
      </c>
      <c r="G1231" t="str">
        <f>"2025-11-30 06:49:00.541"</f>
        <v>2025-11-30 06:49:00.541</v>
      </c>
      <c r="H1231" t="s">
        <v>21</v>
      </c>
    </row>
    <row r="1232" spans="1:10" x14ac:dyDescent="0.25">
      <c r="A1232" s="1">
        <v>533</v>
      </c>
      <c r="B1232" t="s">
        <v>36</v>
      </c>
      <c r="C1232">
        <v>61</v>
      </c>
      <c r="D1232">
        <v>2</v>
      </c>
      <c r="E1232" t="s">
        <v>47</v>
      </c>
      <c r="F1232" t="s">
        <v>48</v>
      </c>
      <c r="G1232" t="str">
        <f>"2025-11-30 06:48:47.041"</f>
        <v>2025-11-30 06:48:47.041</v>
      </c>
      <c r="H1232" t="s">
        <v>21</v>
      </c>
      <c r="I1232">
        <v>30.37</v>
      </c>
      <c r="J1232" t="s">
        <v>42</v>
      </c>
    </row>
    <row r="1233" spans="1:10" x14ac:dyDescent="0.25">
      <c r="A1233" s="1">
        <v>534</v>
      </c>
      <c r="B1233" t="s">
        <v>23</v>
      </c>
      <c r="C1233">
        <v>61</v>
      </c>
      <c r="D1233">
        <v>2</v>
      </c>
      <c r="E1233" t="s">
        <v>47</v>
      </c>
      <c r="F1233" t="s">
        <v>48</v>
      </c>
      <c r="G1233" t="str">
        <f>"2025-11-30 06:03:43.341"</f>
        <v>2025-11-30 06:03:43.341</v>
      </c>
      <c r="H1233" t="s">
        <v>21</v>
      </c>
    </row>
    <row r="1234" spans="1:10" x14ac:dyDescent="0.25">
      <c r="A1234" s="1">
        <v>535</v>
      </c>
      <c r="B1234" t="s">
        <v>36</v>
      </c>
      <c r="C1234">
        <v>61</v>
      </c>
      <c r="D1234">
        <v>2</v>
      </c>
      <c r="E1234" t="s">
        <v>47</v>
      </c>
      <c r="F1234" t="s">
        <v>48</v>
      </c>
      <c r="G1234" t="str">
        <f>"2025-11-30 06:03:31.841"</f>
        <v>2025-11-30 06:03:31.841</v>
      </c>
      <c r="H1234" t="s">
        <v>21</v>
      </c>
      <c r="I1234">
        <v>29.66</v>
      </c>
      <c r="J1234" t="s">
        <v>42</v>
      </c>
    </row>
    <row r="1235" spans="1:10" x14ac:dyDescent="0.25">
      <c r="A1235" s="1">
        <v>536</v>
      </c>
      <c r="B1235" t="s">
        <v>23</v>
      </c>
      <c r="C1235">
        <v>635</v>
      </c>
      <c r="D1235">
        <v>1</v>
      </c>
      <c r="E1235" t="s">
        <v>43</v>
      </c>
      <c r="F1235" t="s">
        <v>25</v>
      </c>
      <c r="G1235" t="str">
        <f>"2025-11-29 12:16:47.040"</f>
        <v>2025-11-29 12:16:47.040</v>
      </c>
      <c r="H1235" t="s">
        <v>21</v>
      </c>
    </row>
    <row r="1236" spans="1:10" x14ac:dyDescent="0.25">
      <c r="A1236" s="1">
        <v>537</v>
      </c>
      <c r="B1236" t="s">
        <v>27</v>
      </c>
      <c r="C1236">
        <v>635</v>
      </c>
      <c r="D1236">
        <v>1</v>
      </c>
      <c r="E1236" t="s">
        <v>43</v>
      </c>
      <c r="F1236" t="s">
        <v>25</v>
      </c>
      <c r="G1236" t="str">
        <f>"2025-11-29 12:14:19.140"</f>
        <v>2025-11-29 12:14:19.140</v>
      </c>
      <c r="H1236" t="s">
        <v>21</v>
      </c>
      <c r="I1236">
        <v>-0.54</v>
      </c>
      <c r="J1236" t="s">
        <v>28</v>
      </c>
    </row>
    <row r="1237" spans="1:10" x14ac:dyDescent="0.25">
      <c r="A1237" s="1">
        <v>538</v>
      </c>
      <c r="B1237" t="s">
        <v>32</v>
      </c>
      <c r="C1237">
        <v>33</v>
      </c>
      <c r="D1237">
        <v>1</v>
      </c>
      <c r="E1237" t="s">
        <v>33</v>
      </c>
      <c r="F1237" t="s">
        <v>34</v>
      </c>
      <c r="G1237" t="str">
        <f>"2025-11-29 09:04:35.340"</f>
        <v>2025-11-29 09:04:35.340</v>
      </c>
      <c r="H1237" t="s">
        <v>35</v>
      </c>
    </row>
    <row r="1238" spans="1:10" x14ac:dyDescent="0.25">
      <c r="A1238" s="1">
        <v>539</v>
      </c>
      <c r="B1238" t="s">
        <v>36</v>
      </c>
      <c r="C1238">
        <v>33</v>
      </c>
      <c r="D1238">
        <v>1</v>
      </c>
      <c r="E1238" t="s">
        <v>33</v>
      </c>
      <c r="F1238" t="s">
        <v>34</v>
      </c>
      <c r="G1238" t="str">
        <f>"2025-11-29 09:04:18.939"</f>
        <v>2025-11-29 09:04:18.939</v>
      </c>
      <c r="H1238" t="s">
        <v>35</v>
      </c>
      <c r="I1238">
        <v>9.42</v>
      </c>
      <c r="J1238" t="s">
        <v>37</v>
      </c>
    </row>
    <row r="1239" spans="1:10" x14ac:dyDescent="0.25">
      <c r="A1239" s="1">
        <v>540</v>
      </c>
      <c r="B1239" t="s">
        <v>23</v>
      </c>
      <c r="C1239">
        <v>98</v>
      </c>
      <c r="D1239">
        <v>1</v>
      </c>
      <c r="E1239" t="s">
        <v>38</v>
      </c>
      <c r="F1239" t="s">
        <v>39</v>
      </c>
      <c r="G1239" t="str">
        <f>"2025-11-29 04:31:50.440"</f>
        <v>2025-11-29 04:31:50.440</v>
      </c>
      <c r="H1239" t="s">
        <v>21</v>
      </c>
    </row>
    <row r="1240" spans="1:10" x14ac:dyDescent="0.25">
      <c r="A1240" s="1">
        <v>541</v>
      </c>
      <c r="B1240" t="s">
        <v>27</v>
      </c>
      <c r="C1240">
        <v>98</v>
      </c>
      <c r="D1240">
        <v>1</v>
      </c>
      <c r="E1240" t="s">
        <v>38</v>
      </c>
      <c r="F1240" t="s">
        <v>39</v>
      </c>
      <c r="G1240" t="str">
        <f>"2025-11-29 04:31:49.440"</f>
        <v>2025-11-29 04:31:49.440</v>
      </c>
      <c r="H1240" t="s">
        <v>21</v>
      </c>
      <c r="I1240">
        <v>9.73</v>
      </c>
      <c r="J1240" t="s">
        <v>37</v>
      </c>
    </row>
    <row r="1241" spans="1:10" x14ac:dyDescent="0.25">
      <c r="A1241" s="1">
        <v>542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"2025-11-28 13:15:13.257"</f>
        <v>2025-11-28 13:15:13.257</v>
      </c>
      <c r="H1241" t="s">
        <v>21</v>
      </c>
    </row>
    <row r="1242" spans="1:10" x14ac:dyDescent="0.25">
      <c r="A1242" s="1">
        <v>543</v>
      </c>
      <c r="B1242" t="s">
        <v>23</v>
      </c>
      <c r="C1242">
        <v>42</v>
      </c>
      <c r="D1242">
        <v>1</v>
      </c>
      <c r="E1242" t="s">
        <v>55</v>
      </c>
      <c r="F1242" t="s">
        <v>56</v>
      </c>
      <c r="G1242" t="str">
        <f>"2025-11-27 14:14:59.417"</f>
        <v>2025-11-27 14:14:59.417</v>
      </c>
      <c r="H1242" t="s">
        <v>57</v>
      </c>
    </row>
    <row r="1243" spans="1:10" x14ac:dyDescent="0.25">
      <c r="A1243" s="1">
        <v>544</v>
      </c>
      <c r="B1243" t="s">
        <v>27</v>
      </c>
      <c r="C1243">
        <v>42</v>
      </c>
      <c r="D1243">
        <v>1</v>
      </c>
      <c r="E1243" t="s">
        <v>55</v>
      </c>
      <c r="F1243" t="s">
        <v>56</v>
      </c>
      <c r="G1243" t="str">
        <f>"2025-11-27 14:14:49.498"</f>
        <v>2025-11-27 14:14:49.498</v>
      </c>
      <c r="H1243" t="s">
        <v>57</v>
      </c>
      <c r="I1243">
        <v>0</v>
      </c>
      <c r="J1243" t="s">
        <v>31</v>
      </c>
    </row>
    <row r="1244" spans="1:10" x14ac:dyDescent="0.25">
      <c r="A1244" s="1">
        <v>545</v>
      </c>
      <c r="B1244" t="s">
        <v>19</v>
      </c>
      <c r="C1244">
        <v>706</v>
      </c>
      <c r="D1244">
        <v>2</v>
      </c>
      <c r="E1244" t="s">
        <v>29</v>
      </c>
      <c r="F1244" t="s">
        <v>44</v>
      </c>
      <c r="G1244" t="str">
        <f>"2025-11-27 10:41:34.306"</f>
        <v>2025-11-27 10:41:34.306</v>
      </c>
      <c r="H1244" t="s">
        <v>21</v>
      </c>
      <c r="I1244">
        <v>0</v>
      </c>
      <c r="J1244" t="s">
        <v>31</v>
      </c>
    </row>
    <row r="1245" spans="1:10" x14ac:dyDescent="0.25">
      <c r="A1245" s="1">
        <v>546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"2025-11-27 10:41:18.226"</f>
        <v>2025-11-27 10:41:18.226</v>
      </c>
      <c r="H1245" t="s">
        <v>21</v>
      </c>
    </row>
    <row r="1246" spans="1:10" x14ac:dyDescent="0.25">
      <c r="A1246" s="1">
        <v>547</v>
      </c>
      <c r="B1246" t="s">
        <v>23</v>
      </c>
      <c r="C1246">
        <v>635</v>
      </c>
      <c r="D1246">
        <v>1</v>
      </c>
      <c r="E1246" t="s">
        <v>43</v>
      </c>
      <c r="F1246" t="s">
        <v>25</v>
      </c>
      <c r="G1246" t="str">
        <f>"2025-11-27 06:59:06.476"</f>
        <v>2025-11-27 06:59:06.476</v>
      </c>
      <c r="H1246" t="s">
        <v>21</v>
      </c>
    </row>
    <row r="1247" spans="1:10" x14ac:dyDescent="0.25">
      <c r="A1247" s="1">
        <v>548</v>
      </c>
      <c r="B1247" t="s">
        <v>27</v>
      </c>
      <c r="C1247">
        <v>635</v>
      </c>
      <c r="D1247">
        <v>1</v>
      </c>
      <c r="E1247" t="s">
        <v>43</v>
      </c>
      <c r="F1247" t="s">
        <v>25</v>
      </c>
      <c r="G1247" t="str">
        <f>"2025-11-27 06:52:58.476"</f>
        <v>2025-11-27 06:52:58.476</v>
      </c>
      <c r="H1247" t="s">
        <v>21</v>
      </c>
      <c r="I1247">
        <v>0</v>
      </c>
      <c r="J1247" t="s">
        <v>28</v>
      </c>
    </row>
    <row r="1248" spans="1:10" x14ac:dyDescent="0.25">
      <c r="A1248" s="1">
        <v>549</v>
      </c>
      <c r="B1248" t="s">
        <v>23</v>
      </c>
      <c r="C1248">
        <v>635</v>
      </c>
      <c r="D1248">
        <v>1</v>
      </c>
      <c r="E1248" t="s">
        <v>43</v>
      </c>
      <c r="F1248" t="s">
        <v>25</v>
      </c>
      <c r="G1248" t="str">
        <f>"2025-11-26 09:06:04.176"</f>
        <v>2025-11-26 09:06:04.176</v>
      </c>
      <c r="H1248" t="s">
        <v>21</v>
      </c>
    </row>
    <row r="1249" spans="1:10" x14ac:dyDescent="0.25">
      <c r="A1249" s="1">
        <v>550</v>
      </c>
      <c r="B1249" t="s">
        <v>27</v>
      </c>
      <c r="C1249">
        <v>635</v>
      </c>
      <c r="D1249">
        <v>1</v>
      </c>
      <c r="E1249" t="s">
        <v>43</v>
      </c>
      <c r="F1249" t="s">
        <v>25</v>
      </c>
      <c r="G1249" t="str">
        <f>"2025-11-26 08:50:11.276"</f>
        <v>2025-11-26 08:50:11.276</v>
      </c>
      <c r="H1249" t="s">
        <v>21</v>
      </c>
      <c r="I1249">
        <v>6.1</v>
      </c>
      <c r="J1249" t="s">
        <v>37</v>
      </c>
    </row>
    <row r="1250" spans="1:10" x14ac:dyDescent="0.25">
      <c r="A1250" s="1">
        <v>551</v>
      </c>
      <c r="B1250" t="s">
        <v>23</v>
      </c>
      <c r="C1250">
        <v>61</v>
      </c>
      <c r="D1250">
        <v>2</v>
      </c>
      <c r="E1250" t="s">
        <v>47</v>
      </c>
      <c r="F1250" t="s">
        <v>48</v>
      </c>
      <c r="G1250" t="str">
        <f>"2025-11-26 02:17:02.076"</f>
        <v>2025-11-26 02:17:02.076</v>
      </c>
      <c r="H1250" t="s">
        <v>21</v>
      </c>
    </row>
    <row r="1251" spans="1:10" x14ac:dyDescent="0.25">
      <c r="A1251" s="1">
        <v>552</v>
      </c>
      <c r="B1251" t="s">
        <v>36</v>
      </c>
      <c r="C1251">
        <v>61</v>
      </c>
      <c r="D1251">
        <v>2</v>
      </c>
      <c r="E1251" t="s">
        <v>47</v>
      </c>
      <c r="F1251" t="s">
        <v>48</v>
      </c>
      <c r="G1251" t="str">
        <f>"2025-11-26 02:16:48.577"</f>
        <v>2025-11-26 02:16:48.577</v>
      </c>
      <c r="H1251" t="s">
        <v>21</v>
      </c>
      <c r="I1251">
        <v>30.57</v>
      </c>
      <c r="J1251" t="s">
        <v>42</v>
      </c>
    </row>
    <row r="1252" spans="1:10" x14ac:dyDescent="0.25">
      <c r="A1252" s="1">
        <v>553</v>
      </c>
      <c r="B1252" t="s">
        <v>32</v>
      </c>
      <c r="C1252">
        <v>625</v>
      </c>
      <c r="D1252">
        <v>1</v>
      </c>
      <c r="E1252" t="s">
        <v>80</v>
      </c>
      <c r="F1252" t="s">
        <v>25</v>
      </c>
      <c r="G1252" t="str">
        <f>"2025-11-25 23:01:00.576"</f>
        <v>2025-11-25 23:01:00.576</v>
      </c>
      <c r="H1252" t="s">
        <v>21</v>
      </c>
    </row>
    <row r="1253" spans="1:10" x14ac:dyDescent="0.25">
      <c r="A1253" s="1">
        <v>554</v>
      </c>
      <c r="B1253" t="s">
        <v>36</v>
      </c>
      <c r="C1253">
        <v>625</v>
      </c>
      <c r="D1253">
        <v>1</v>
      </c>
      <c r="E1253" t="s">
        <v>80</v>
      </c>
      <c r="F1253" t="s">
        <v>25</v>
      </c>
      <c r="G1253" t="str">
        <f>"2025-11-25 22:51:34.835"</f>
        <v>2025-11-25 22:51:34.835</v>
      </c>
      <c r="H1253" t="s">
        <v>21</v>
      </c>
      <c r="I1253">
        <v>11.29</v>
      </c>
      <c r="J1253" t="s">
        <v>37</v>
      </c>
    </row>
    <row r="1254" spans="1:10" x14ac:dyDescent="0.25">
      <c r="A1254" s="1">
        <v>555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"2025-11-25 19:07:18.214"</f>
        <v>2025-11-25 19:07:18.214</v>
      </c>
      <c r="H1254" t="s">
        <v>21</v>
      </c>
    </row>
    <row r="1255" spans="1:10" x14ac:dyDescent="0.25">
      <c r="A1255" s="1">
        <v>556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"2025-11-25 18:35:06.314"</f>
        <v>2025-11-25 18:35:06.314</v>
      </c>
      <c r="H1255" t="s">
        <v>21</v>
      </c>
      <c r="I1255">
        <v>0</v>
      </c>
      <c r="J1255" t="s">
        <v>22</v>
      </c>
    </row>
    <row r="1256" spans="1:10" x14ac:dyDescent="0.25">
      <c r="A1256" s="1">
        <v>557</v>
      </c>
      <c r="B1256" t="s">
        <v>19</v>
      </c>
      <c r="C1256">
        <v>706</v>
      </c>
      <c r="D1256">
        <v>2</v>
      </c>
      <c r="E1256" t="s">
        <v>29</v>
      </c>
      <c r="F1256" t="s">
        <v>44</v>
      </c>
      <c r="G1256" t="str">
        <f>"2025-11-25 18:27:53.890"</f>
        <v>2025-11-25 18:27:53.890</v>
      </c>
      <c r="H1256" t="s">
        <v>21</v>
      </c>
      <c r="I1256">
        <v>0</v>
      </c>
      <c r="J1256" t="s">
        <v>31</v>
      </c>
    </row>
    <row r="1257" spans="1:10" x14ac:dyDescent="0.25">
      <c r="A1257" s="1">
        <v>558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"2025-11-25 18:27:33.210"</f>
        <v>2025-11-25 18:27:33.210</v>
      </c>
      <c r="H1257" t="s">
        <v>21</v>
      </c>
    </row>
    <row r="1258" spans="1:10" x14ac:dyDescent="0.25">
      <c r="A1258" s="1">
        <v>559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"2025-11-25 09:35:14.270"</f>
        <v>2025-11-25 09:35:14.270</v>
      </c>
      <c r="H1258" t="s">
        <v>21</v>
      </c>
      <c r="I1258">
        <v>0</v>
      </c>
      <c r="J1258" t="s">
        <v>22</v>
      </c>
    </row>
    <row r="1259" spans="1:10" x14ac:dyDescent="0.25">
      <c r="A1259" s="1">
        <v>560</v>
      </c>
      <c r="B1259" t="s">
        <v>23</v>
      </c>
      <c r="C1259">
        <v>635</v>
      </c>
      <c r="D1259">
        <v>1</v>
      </c>
      <c r="E1259" t="s">
        <v>43</v>
      </c>
      <c r="F1259" t="s">
        <v>25</v>
      </c>
      <c r="G1259" t="str">
        <f>"2025-11-25 01:23:32.439"</f>
        <v>2025-11-25 01:23:32.439</v>
      </c>
      <c r="H1259" t="s">
        <v>21</v>
      </c>
    </row>
    <row r="1260" spans="1:10" x14ac:dyDescent="0.25">
      <c r="A1260" s="1">
        <v>561</v>
      </c>
      <c r="B1260" t="s">
        <v>27</v>
      </c>
      <c r="C1260">
        <v>635</v>
      </c>
      <c r="D1260">
        <v>1</v>
      </c>
      <c r="E1260" t="s">
        <v>43</v>
      </c>
      <c r="F1260" t="s">
        <v>25</v>
      </c>
      <c r="G1260" t="str">
        <f>"2025-11-25 01:20:56.940"</f>
        <v>2025-11-25 01:20:56.940</v>
      </c>
      <c r="H1260" t="s">
        <v>21</v>
      </c>
      <c r="I1260">
        <v>5.63</v>
      </c>
      <c r="J1260" t="s">
        <v>37</v>
      </c>
    </row>
    <row r="1261" spans="1:10" x14ac:dyDescent="0.25">
      <c r="A1261" s="1">
        <v>562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"2025-11-24 13:15:29.248"</f>
        <v>2025-11-24 13:15:29.248</v>
      </c>
      <c r="H1261" t="s">
        <v>21</v>
      </c>
      <c r="I1261">
        <v>0</v>
      </c>
      <c r="J1261" t="s">
        <v>22</v>
      </c>
    </row>
    <row r="1262" spans="1:10" x14ac:dyDescent="0.25">
      <c r="A1262" s="1">
        <v>563</v>
      </c>
      <c r="B1262" t="s">
        <v>23</v>
      </c>
      <c r="C1262">
        <v>635</v>
      </c>
      <c r="D1262">
        <v>1</v>
      </c>
      <c r="E1262" t="s">
        <v>43</v>
      </c>
      <c r="F1262" t="s">
        <v>25</v>
      </c>
      <c r="G1262" t="str">
        <f>"2025-11-23 20:25:25.223"</f>
        <v>2025-11-23 20:25:25.223</v>
      </c>
      <c r="H1262" t="s">
        <v>21</v>
      </c>
    </row>
    <row r="1263" spans="1:10" x14ac:dyDescent="0.25">
      <c r="A1263" s="1">
        <v>564</v>
      </c>
      <c r="B1263" t="s">
        <v>27</v>
      </c>
      <c r="C1263">
        <v>635</v>
      </c>
      <c r="D1263">
        <v>1</v>
      </c>
      <c r="E1263" t="s">
        <v>43</v>
      </c>
      <c r="F1263" t="s">
        <v>25</v>
      </c>
      <c r="G1263" t="str">
        <f>"2025-11-23 20:21:53.223"</f>
        <v>2025-11-23 20:21:53.223</v>
      </c>
      <c r="H1263" t="s">
        <v>21</v>
      </c>
      <c r="I1263">
        <v>9.08</v>
      </c>
      <c r="J1263" t="s">
        <v>42</v>
      </c>
    </row>
    <row r="1264" spans="1:10" x14ac:dyDescent="0.25">
      <c r="A1264" s="1">
        <v>565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"2025-11-23 10:11:37.225"</f>
        <v>2025-11-23 10:11:37.225</v>
      </c>
      <c r="H1264" t="s">
        <v>21</v>
      </c>
      <c r="I1264">
        <v>0</v>
      </c>
      <c r="J1264" t="s">
        <v>22</v>
      </c>
    </row>
    <row r="1265" spans="1:10" x14ac:dyDescent="0.25">
      <c r="A1265" s="1">
        <v>566</v>
      </c>
      <c r="B1265" t="s">
        <v>19</v>
      </c>
      <c r="C1265">
        <v>706</v>
      </c>
      <c r="D1265">
        <v>4</v>
      </c>
      <c r="E1265" t="s">
        <v>29</v>
      </c>
      <c r="F1265" t="s">
        <v>30</v>
      </c>
      <c r="G1265" t="str">
        <f>"2025-11-23 04:52:24.807"</f>
        <v>2025-11-23 04:52:24.807</v>
      </c>
      <c r="H1265" t="s">
        <v>21</v>
      </c>
      <c r="I1265">
        <v>0</v>
      </c>
      <c r="J1265" t="s">
        <v>31</v>
      </c>
    </row>
    <row r="1266" spans="1:10" x14ac:dyDescent="0.25">
      <c r="A1266" s="1">
        <v>567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"2025-11-23 04:37:06.177"</f>
        <v>2025-11-23 04:37:06.177</v>
      </c>
      <c r="H1266" t="s">
        <v>21</v>
      </c>
      <c r="I1266">
        <v>0</v>
      </c>
      <c r="J1266" t="s">
        <v>22</v>
      </c>
    </row>
    <row r="1267" spans="1:10" x14ac:dyDescent="0.25">
      <c r="A1267" s="1">
        <v>568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"2025-11-23 04:32:31.178"</f>
        <v>2025-11-23 04:32:31.178</v>
      </c>
      <c r="H1267" t="s">
        <v>21</v>
      </c>
    </row>
    <row r="1268" spans="1:10" x14ac:dyDescent="0.25">
      <c r="A1268" s="1">
        <v>569</v>
      </c>
      <c r="B1268" t="s">
        <v>19</v>
      </c>
      <c r="C1268">
        <v>706</v>
      </c>
      <c r="D1268">
        <v>4</v>
      </c>
      <c r="E1268" t="s">
        <v>29</v>
      </c>
      <c r="F1268" t="s">
        <v>30</v>
      </c>
      <c r="G1268" t="str">
        <f>"2025-11-22 19:05:07.341"</f>
        <v>2025-11-22 19:05:07.341</v>
      </c>
      <c r="H1268" t="s">
        <v>21</v>
      </c>
      <c r="I1268">
        <v>0</v>
      </c>
      <c r="J1268" t="s">
        <v>31</v>
      </c>
    </row>
    <row r="1269" spans="1:10" x14ac:dyDescent="0.25">
      <c r="A1269" s="1">
        <v>570</v>
      </c>
      <c r="B1269" t="s">
        <v>19</v>
      </c>
      <c r="C1269">
        <v>706</v>
      </c>
      <c r="D1269">
        <v>4</v>
      </c>
      <c r="E1269" t="s">
        <v>29</v>
      </c>
      <c r="F1269" t="s">
        <v>30</v>
      </c>
      <c r="G1269" t="str">
        <f>"2025-11-22 19:03:34.441"</f>
        <v>2025-11-22 19:03:34.441</v>
      </c>
      <c r="H1269" t="s">
        <v>21</v>
      </c>
      <c r="I1269">
        <v>0</v>
      </c>
      <c r="J1269" t="s">
        <v>31</v>
      </c>
    </row>
    <row r="1270" spans="1:10" x14ac:dyDescent="0.25">
      <c r="A1270" s="1">
        <v>571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"2025-11-22 18:58:25.181"</f>
        <v>2025-11-22 18:58:25.181</v>
      </c>
      <c r="H1270" t="s">
        <v>21</v>
      </c>
      <c r="I1270">
        <v>0</v>
      </c>
      <c r="J1270" t="s">
        <v>22</v>
      </c>
    </row>
    <row r="1271" spans="1:10" x14ac:dyDescent="0.25">
      <c r="A1271" s="1">
        <v>572</v>
      </c>
      <c r="B1271" t="s">
        <v>19</v>
      </c>
      <c r="C1271">
        <v>706</v>
      </c>
      <c r="D1271">
        <v>4</v>
      </c>
      <c r="E1271" t="s">
        <v>29</v>
      </c>
      <c r="F1271" t="s">
        <v>30</v>
      </c>
      <c r="G1271" t="str">
        <f>"2025-11-22 18:17:35.766"</f>
        <v>2025-11-22 18:17:35.766</v>
      </c>
      <c r="H1271" t="s">
        <v>21</v>
      </c>
      <c r="I1271">
        <v>0</v>
      </c>
      <c r="J1271" t="s">
        <v>31</v>
      </c>
    </row>
    <row r="1272" spans="1:10" x14ac:dyDescent="0.25">
      <c r="A1272" s="1">
        <v>573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"2025-11-22 17:32:57.186"</f>
        <v>2025-11-22 17:32:57.186</v>
      </c>
      <c r="H1272" t="s">
        <v>21</v>
      </c>
      <c r="I1272">
        <v>0</v>
      </c>
      <c r="J1272" t="s">
        <v>22</v>
      </c>
    </row>
    <row r="1273" spans="1:10" x14ac:dyDescent="0.25">
      <c r="A1273" s="1">
        <v>574</v>
      </c>
      <c r="B1273" t="s">
        <v>19</v>
      </c>
      <c r="C1273">
        <v>706</v>
      </c>
      <c r="D1273">
        <v>4</v>
      </c>
      <c r="E1273" t="s">
        <v>29</v>
      </c>
      <c r="F1273" t="s">
        <v>30</v>
      </c>
      <c r="G1273" t="str">
        <f>"2025-11-21 08:30:45.359"</f>
        <v>2025-11-21 08:30:45.359</v>
      </c>
      <c r="H1273" t="s">
        <v>21</v>
      </c>
      <c r="I1273">
        <v>0</v>
      </c>
      <c r="J1273" t="s">
        <v>31</v>
      </c>
    </row>
    <row r="1274" spans="1:10" x14ac:dyDescent="0.25">
      <c r="A1274" s="1">
        <v>575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"2025-11-21 08:30:25.159"</f>
        <v>2025-11-21 08:30:25.159</v>
      </c>
      <c r="H1274" t="s">
        <v>21</v>
      </c>
    </row>
    <row r="1275" spans="1:10" x14ac:dyDescent="0.25">
      <c r="A1275" s="1">
        <v>576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"2025-11-20 22:02:35.139"</f>
        <v>2025-11-20 22:02:35.139</v>
      </c>
      <c r="H1275" t="s">
        <v>21</v>
      </c>
    </row>
    <row r="1276" spans="1:10" x14ac:dyDescent="0.25">
      <c r="A1276" s="1">
        <v>577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"2025-11-20 21:51:14.128"</f>
        <v>2025-11-20 21:51:14.128</v>
      </c>
      <c r="H1276" t="s">
        <v>21</v>
      </c>
      <c r="I1276">
        <v>0</v>
      </c>
      <c r="J1276" t="s">
        <v>22</v>
      </c>
    </row>
    <row r="1277" spans="1:10" x14ac:dyDescent="0.25">
      <c r="A1277" s="1">
        <v>578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"2025-11-20 21:45:38.139"</f>
        <v>2025-11-20 21:45:38.139</v>
      </c>
      <c r="H1277" t="s">
        <v>21</v>
      </c>
      <c r="I1277">
        <v>0</v>
      </c>
      <c r="J1277" t="s">
        <v>22</v>
      </c>
    </row>
    <row r="1278" spans="1:10" x14ac:dyDescent="0.25">
      <c r="A1278" s="1">
        <v>579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"2025-11-20 21:32:24.137"</f>
        <v>2025-11-20 21:32:24.137</v>
      </c>
      <c r="H1278" t="s">
        <v>21</v>
      </c>
      <c r="I1278">
        <v>0</v>
      </c>
      <c r="J1278" t="s">
        <v>22</v>
      </c>
    </row>
    <row r="1279" spans="1:10" x14ac:dyDescent="0.25">
      <c r="A1279" s="1">
        <v>580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"2025-11-20 21:27:44.159"</f>
        <v>2025-11-20 21:27:44.159</v>
      </c>
      <c r="H1279" t="s">
        <v>21</v>
      </c>
    </row>
    <row r="1280" spans="1:10" x14ac:dyDescent="0.25">
      <c r="A1280" s="1">
        <v>581</v>
      </c>
      <c r="B1280" t="s">
        <v>23</v>
      </c>
      <c r="C1280">
        <v>98</v>
      </c>
      <c r="D1280">
        <v>1</v>
      </c>
      <c r="E1280" t="s">
        <v>38</v>
      </c>
      <c r="F1280" t="s">
        <v>39</v>
      </c>
      <c r="G1280" t="str">
        <f>"2025-11-20 21:15:17.006"</f>
        <v>2025-11-20 21:15:17.006</v>
      </c>
      <c r="H1280" t="s">
        <v>21</v>
      </c>
    </row>
    <row r="1281" spans="1:10" x14ac:dyDescent="0.25">
      <c r="A1281" s="1">
        <v>582</v>
      </c>
      <c r="B1281" t="s">
        <v>27</v>
      </c>
      <c r="C1281">
        <v>98</v>
      </c>
      <c r="D1281">
        <v>1</v>
      </c>
      <c r="E1281" t="s">
        <v>38</v>
      </c>
      <c r="F1281" t="s">
        <v>39</v>
      </c>
      <c r="G1281" t="str">
        <f>"2025-11-20 21:15:16.006"</f>
        <v>2025-11-20 21:15:16.006</v>
      </c>
      <c r="H1281" t="s">
        <v>21</v>
      </c>
      <c r="I1281">
        <v>0</v>
      </c>
      <c r="J1281" t="s">
        <v>28</v>
      </c>
    </row>
    <row r="1282" spans="1:10" x14ac:dyDescent="0.25">
      <c r="A1282" s="1">
        <v>583</v>
      </c>
      <c r="B1282" t="s">
        <v>19</v>
      </c>
      <c r="C1282">
        <v>706</v>
      </c>
      <c r="D1282">
        <v>4</v>
      </c>
      <c r="E1282" t="s">
        <v>29</v>
      </c>
      <c r="F1282" t="s">
        <v>30</v>
      </c>
      <c r="G1282" t="str">
        <f>"2025-11-20 18:18:54.878"</f>
        <v>2025-11-20 18:18:54.878</v>
      </c>
      <c r="H1282" t="s">
        <v>21</v>
      </c>
      <c r="I1282">
        <v>0</v>
      </c>
      <c r="J1282" t="s">
        <v>31</v>
      </c>
    </row>
    <row r="1283" spans="1:10" x14ac:dyDescent="0.25">
      <c r="A1283" s="1">
        <v>584</v>
      </c>
      <c r="B1283" t="s">
        <v>19</v>
      </c>
      <c r="C1283">
        <v>706</v>
      </c>
      <c r="D1283">
        <v>3</v>
      </c>
      <c r="E1283" t="s">
        <v>29</v>
      </c>
      <c r="F1283" t="s">
        <v>45</v>
      </c>
      <c r="G1283" t="str">
        <f>"2025-11-20 18:18:41.458"</f>
        <v>2025-11-20 18:18:41.458</v>
      </c>
      <c r="H1283" t="s">
        <v>21</v>
      </c>
      <c r="I1283">
        <v>0</v>
      </c>
      <c r="J1283" t="s">
        <v>31</v>
      </c>
    </row>
    <row r="1284" spans="1:10" x14ac:dyDescent="0.25">
      <c r="A1284" s="1">
        <v>585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"2025-11-20 18:18:21.118"</f>
        <v>2025-11-20 18:18:21.118</v>
      </c>
      <c r="H1284" t="s">
        <v>21</v>
      </c>
    </row>
    <row r="1285" spans="1:10" x14ac:dyDescent="0.25">
      <c r="A1285" s="1">
        <v>586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"2025-11-20 15:33:23.087"</f>
        <v>2025-11-20 15:33:23.087</v>
      </c>
      <c r="H1285" t="s">
        <v>21</v>
      </c>
      <c r="I1285">
        <v>0</v>
      </c>
      <c r="J1285" t="s">
        <v>22</v>
      </c>
    </row>
    <row r="1286" spans="1:10" x14ac:dyDescent="0.25">
      <c r="A1286" s="1">
        <v>587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"2025-11-20 15:27:37.091"</f>
        <v>2025-11-20 15:27:37.091</v>
      </c>
      <c r="H1286" t="s">
        <v>21</v>
      </c>
      <c r="I1286">
        <v>0</v>
      </c>
      <c r="J1286" t="s">
        <v>22</v>
      </c>
    </row>
    <row r="1287" spans="1:10" x14ac:dyDescent="0.25">
      <c r="A1287" s="1">
        <v>588</v>
      </c>
      <c r="B1287" t="s">
        <v>19</v>
      </c>
      <c r="C1287">
        <v>706</v>
      </c>
      <c r="D1287">
        <v>4</v>
      </c>
      <c r="E1287" t="s">
        <v>29</v>
      </c>
      <c r="F1287" t="s">
        <v>30</v>
      </c>
      <c r="G1287" t="str">
        <f>"2025-11-20 09:15:40.064"</f>
        <v>2025-11-20 09:15:40.064</v>
      </c>
      <c r="H1287" t="s">
        <v>21</v>
      </c>
      <c r="I1287">
        <v>0</v>
      </c>
      <c r="J1287" t="s">
        <v>31</v>
      </c>
    </row>
    <row r="1288" spans="1:10" x14ac:dyDescent="0.25">
      <c r="A1288" s="1">
        <v>589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"2025-11-20 09:14:45.084"</f>
        <v>2025-11-20 09:14:45.084</v>
      </c>
      <c r="H1288" t="s">
        <v>21</v>
      </c>
      <c r="I1288">
        <v>0</v>
      </c>
      <c r="J1288" t="s">
        <v>22</v>
      </c>
    </row>
    <row r="1289" spans="1:10" x14ac:dyDescent="0.25">
      <c r="A1289" s="1">
        <v>590</v>
      </c>
      <c r="B1289" t="s">
        <v>19</v>
      </c>
      <c r="C1289">
        <v>706</v>
      </c>
      <c r="D1289">
        <v>4</v>
      </c>
      <c r="E1289" t="s">
        <v>29</v>
      </c>
      <c r="F1289" t="s">
        <v>30</v>
      </c>
      <c r="G1289" t="str">
        <f>"2025-11-19 15:04:19.672"</f>
        <v>2025-11-19 15:04:19.672</v>
      </c>
      <c r="H1289" t="s">
        <v>21</v>
      </c>
      <c r="I1289">
        <v>0</v>
      </c>
      <c r="J1289" t="s">
        <v>31</v>
      </c>
    </row>
    <row r="1290" spans="1:10" x14ac:dyDescent="0.25">
      <c r="A1290" s="1">
        <v>591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"2025-11-19 15:04:05.082"</f>
        <v>2025-11-19 15:04:05.082</v>
      </c>
      <c r="H1290" t="s">
        <v>21</v>
      </c>
      <c r="I1290">
        <v>0</v>
      </c>
      <c r="J1290" t="s">
        <v>22</v>
      </c>
    </row>
    <row r="1291" spans="1:10" x14ac:dyDescent="0.25">
      <c r="A1291" s="1">
        <v>592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"2025-11-19 11:35:44.082"</f>
        <v>2025-11-19 11:35:44.082</v>
      </c>
      <c r="H1291" t="s">
        <v>21</v>
      </c>
      <c r="I1291">
        <v>0</v>
      </c>
      <c r="J1291" t="s">
        <v>22</v>
      </c>
    </row>
    <row r="1292" spans="1:10" x14ac:dyDescent="0.25">
      <c r="A1292" s="1">
        <v>593</v>
      </c>
      <c r="B1292" t="s">
        <v>36</v>
      </c>
      <c r="C1292">
        <v>89</v>
      </c>
      <c r="D1292">
        <v>3</v>
      </c>
      <c r="E1292" t="s">
        <v>81</v>
      </c>
      <c r="F1292" t="s">
        <v>82</v>
      </c>
      <c r="G1292" t="str">
        <f>"2025-11-19 11:27:36.083"</f>
        <v>2025-11-19 11:27:36.083</v>
      </c>
      <c r="H1292" t="s">
        <v>21</v>
      </c>
      <c r="I1292">
        <v>0</v>
      </c>
      <c r="J1292" t="s">
        <v>28</v>
      </c>
    </row>
    <row r="1293" spans="1:10" x14ac:dyDescent="0.25">
      <c r="A1293" s="1">
        <v>594</v>
      </c>
      <c r="B1293" t="s">
        <v>19</v>
      </c>
      <c r="C1293">
        <v>706</v>
      </c>
      <c r="D1293">
        <v>4</v>
      </c>
      <c r="E1293" t="s">
        <v>29</v>
      </c>
      <c r="F1293" t="s">
        <v>30</v>
      </c>
      <c r="G1293" t="str">
        <f>"2025-11-19 11:26:12.079"</f>
        <v>2025-11-19 11:26:12.079</v>
      </c>
      <c r="H1293" t="s">
        <v>21</v>
      </c>
      <c r="I1293">
        <v>0</v>
      </c>
      <c r="J1293" t="s">
        <v>31</v>
      </c>
    </row>
    <row r="1294" spans="1:10" x14ac:dyDescent="0.25">
      <c r="A1294" s="1">
        <v>595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"2025-11-19 11:22:39.089"</f>
        <v>2025-11-19 11:22:39.089</v>
      </c>
      <c r="H1294" t="s">
        <v>21</v>
      </c>
      <c r="I1294">
        <v>0</v>
      </c>
      <c r="J1294" t="s">
        <v>22</v>
      </c>
    </row>
    <row r="1295" spans="1:10" x14ac:dyDescent="0.25">
      <c r="A1295" s="1">
        <v>596</v>
      </c>
      <c r="B1295" t="s">
        <v>23</v>
      </c>
      <c r="C1295">
        <v>98</v>
      </c>
      <c r="D1295">
        <v>1</v>
      </c>
      <c r="E1295" t="s">
        <v>38</v>
      </c>
      <c r="F1295" t="s">
        <v>39</v>
      </c>
      <c r="G1295" t="str">
        <f>"2025-11-19 11:16:27.587"</f>
        <v>2025-11-19 11:16:27.587</v>
      </c>
      <c r="H1295" t="s">
        <v>21</v>
      </c>
    </row>
    <row r="1296" spans="1:10" x14ac:dyDescent="0.25">
      <c r="A1296" s="1">
        <v>597</v>
      </c>
      <c r="B1296" t="s">
        <v>27</v>
      </c>
      <c r="C1296">
        <v>98</v>
      </c>
      <c r="D1296">
        <v>1</v>
      </c>
      <c r="E1296" t="s">
        <v>38</v>
      </c>
      <c r="F1296" t="s">
        <v>39</v>
      </c>
      <c r="G1296" t="str">
        <f>"2025-11-19 11:16:26.587"</f>
        <v>2025-11-19 11:16:26.587</v>
      </c>
      <c r="H1296" t="s">
        <v>21</v>
      </c>
      <c r="I1296">
        <v>0</v>
      </c>
      <c r="J1296" t="s">
        <v>31</v>
      </c>
    </row>
    <row r="1297" spans="1:10" x14ac:dyDescent="0.25">
      <c r="A1297" s="1">
        <v>598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"2025-11-19 11:16:14.093"</f>
        <v>2025-11-19 11:16:14.093</v>
      </c>
      <c r="H1297" t="s">
        <v>21</v>
      </c>
      <c r="I1297">
        <v>0</v>
      </c>
      <c r="J1297" t="s">
        <v>22</v>
      </c>
    </row>
    <row r="1298" spans="1:10" x14ac:dyDescent="0.25">
      <c r="A1298" s="1">
        <v>599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"2025-11-19 09:10:00.076"</f>
        <v>2025-11-19 09:10:00.076</v>
      </c>
      <c r="H1298" t="s">
        <v>21</v>
      </c>
    </row>
    <row r="1299" spans="1:10" x14ac:dyDescent="0.25">
      <c r="A1299" s="1">
        <v>600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"2025-11-19 08:34:39.070"</f>
        <v>2025-11-19 08:34:39.070</v>
      </c>
      <c r="H1299" t="s">
        <v>21</v>
      </c>
    </row>
    <row r="1300" spans="1:10" x14ac:dyDescent="0.25">
      <c r="A1300" s="1">
        <v>601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"2025-11-17 17:54:21.077"</f>
        <v>2025-11-17 17:54:21.077</v>
      </c>
      <c r="H1300" t="s">
        <v>21</v>
      </c>
      <c r="I1300">
        <v>0</v>
      </c>
      <c r="J1300" t="s">
        <v>22</v>
      </c>
    </row>
    <row r="1301" spans="1:10" x14ac:dyDescent="0.25">
      <c r="A1301" s="1">
        <v>602</v>
      </c>
      <c r="B1301" t="s">
        <v>23</v>
      </c>
      <c r="C1301">
        <v>98</v>
      </c>
      <c r="D1301">
        <v>1</v>
      </c>
      <c r="E1301" t="s">
        <v>38</v>
      </c>
      <c r="F1301" t="s">
        <v>39</v>
      </c>
      <c r="G1301" t="str">
        <f>"2025-11-17 17:23:58.985"</f>
        <v>2025-11-17 17:23:58.985</v>
      </c>
      <c r="H1301" t="s">
        <v>21</v>
      </c>
    </row>
    <row r="1302" spans="1:10" x14ac:dyDescent="0.25">
      <c r="A1302" s="1">
        <v>603</v>
      </c>
      <c r="B1302" t="s">
        <v>27</v>
      </c>
      <c r="C1302">
        <v>98</v>
      </c>
      <c r="D1302">
        <v>1</v>
      </c>
      <c r="E1302" t="s">
        <v>38</v>
      </c>
      <c r="F1302" t="s">
        <v>39</v>
      </c>
      <c r="G1302" t="str">
        <f>"2025-11-17 17:23:57.985"</f>
        <v>2025-11-17 17:23:57.985</v>
      </c>
      <c r="H1302" t="s">
        <v>21</v>
      </c>
      <c r="I1302">
        <v>0</v>
      </c>
      <c r="J1302" t="s">
        <v>31</v>
      </c>
    </row>
    <row r="1303" spans="1:10" x14ac:dyDescent="0.25">
      <c r="A1303" s="1">
        <v>604</v>
      </c>
      <c r="B1303" t="s">
        <v>23</v>
      </c>
      <c r="C1303">
        <v>98</v>
      </c>
      <c r="D1303">
        <v>1</v>
      </c>
      <c r="E1303" t="s">
        <v>38</v>
      </c>
      <c r="F1303" t="s">
        <v>39</v>
      </c>
      <c r="G1303" t="str">
        <f>"2025-11-17 17:23:57.185"</f>
        <v>2025-11-17 17:23:57.185</v>
      </c>
      <c r="H1303" t="s">
        <v>21</v>
      </c>
    </row>
    <row r="1304" spans="1:10" x14ac:dyDescent="0.25">
      <c r="A1304" s="1">
        <v>605</v>
      </c>
      <c r="B1304" t="s">
        <v>27</v>
      </c>
      <c r="C1304">
        <v>98</v>
      </c>
      <c r="D1304">
        <v>1</v>
      </c>
      <c r="E1304" t="s">
        <v>38</v>
      </c>
      <c r="F1304" t="s">
        <v>39</v>
      </c>
      <c r="G1304" t="str">
        <f>"2025-11-17 17:23:56.185"</f>
        <v>2025-11-17 17:23:56.185</v>
      </c>
      <c r="H1304" t="s">
        <v>21</v>
      </c>
      <c r="I1304">
        <v>0</v>
      </c>
      <c r="J1304" t="s">
        <v>31</v>
      </c>
    </row>
    <row r="1305" spans="1:10" x14ac:dyDescent="0.25">
      <c r="A1305" s="1">
        <v>606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"2025-11-17 17:23:26.063"</f>
        <v>2025-11-17 17:23:26.063</v>
      </c>
      <c r="H1305" t="s">
        <v>21</v>
      </c>
    </row>
    <row r="1306" spans="1:10" x14ac:dyDescent="0.25">
      <c r="A1306" s="1">
        <v>607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"2025-11-17 17:16:31.066"</f>
        <v>2025-11-17 17:16:31.066</v>
      </c>
      <c r="H1306" t="s">
        <v>21</v>
      </c>
    </row>
    <row r="1307" spans="1:10" x14ac:dyDescent="0.25">
      <c r="A1307" s="1">
        <v>608</v>
      </c>
      <c r="B1307" t="s">
        <v>19</v>
      </c>
      <c r="C1307">
        <v>706</v>
      </c>
      <c r="D1307">
        <v>4</v>
      </c>
      <c r="E1307" t="s">
        <v>29</v>
      </c>
      <c r="F1307" t="s">
        <v>30</v>
      </c>
      <c r="G1307" t="str">
        <f>"2025-11-17 16:53:49.675"</f>
        <v>2025-11-17 16:53:49.675</v>
      </c>
      <c r="H1307" t="s">
        <v>21</v>
      </c>
      <c r="I1307">
        <v>0</v>
      </c>
      <c r="J1307" t="s">
        <v>31</v>
      </c>
    </row>
    <row r="1308" spans="1:10" x14ac:dyDescent="0.25">
      <c r="A1308" s="1">
        <v>609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"2025-11-17 16:53:25.065"</f>
        <v>2025-11-17 16:53:25.065</v>
      </c>
      <c r="H1308" t="s">
        <v>21</v>
      </c>
      <c r="I1308">
        <v>0</v>
      </c>
      <c r="J1308" t="s">
        <v>22</v>
      </c>
    </row>
    <row r="1309" spans="1:10" x14ac:dyDescent="0.25">
      <c r="A1309" s="1">
        <v>610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"2025-11-17 15:12:16.079"</f>
        <v>2025-11-17 15:12:16.079</v>
      </c>
      <c r="H1309" t="s">
        <v>21</v>
      </c>
      <c r="I1309">
        <v>0</v>
      </c>
      <c r="J1309" t="s">
        <v>22</v>
      </c>
    </row>
    <row r="1310" spans="1:10" x14ac:dyDescent="0.25">
      <c r="A1310" s="1">
        <v>611</v>
      </c>
      <c r="B1310" t="s">
        <v>23</v>
      </c>
      <c r="C1310">
        <v>89</v>
      </c>
      <c r="D1310">
        <v>3</v>
      </c>
      <c r="E1310" t="s">
        <v>81</v>
      </c>
      <c r="F1310" t="s">
        <v>82</v>
      </c>
      <c r="G1310" t="str">
        <f>"2025-11-17 15:03:23.468"</f>
        <v>2025-11-17 15:03:23.468</v>
      </c>
      <c r="H1310" t="s">
        <v>21</v>
      </c>
    </row>
    <row r="1311" spans="1:10" x14ac:dyDescent="0.25">
      <c r="A1311" s="1">
        <v>612</v>
      </c>
      <c r="B1311" t="s">
        <v>36</v>
      </c>
      <c r="C1311">
        <v>89</v>
      </c>
      <c r="D1311">
        <v>3</v>
      </c>
      <c r="E1311" t="s">
        <v>81</v>
      </c>
      <c r="F1311" t="s">
        <v>82</v>
      </c>
      <c r="G1311" t="str">
        <f>"2025-11-17 15:03:04.869"</f>
        <v>2025-11-17 15:03:04.869</v>
      </c>
      <c r="H1311" t="s">
        <v>21</v>
      </c>
      <c r="I1311">
        <v>0</v>
      </c>
      <c r="J1311" t="s">
        <v>31</v>
      </c>
    </row>
    <row r="1312" spans="1:10" x14ac:dyDescent="0.25">
      <c r="A1312" s="1">
        <v>613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"2025-11-17 15:02:49.067"</f>
        <v>2025-11-17 15:02:49.067</v>
      </c>
      <c r="H1312" t="s">
        <v>21</v>
      </c>
    </row>
    <row r="1313" spans="1:10" x14ac:dyDescent="0.25">
      <c r="A1313" s="1">
        <v>614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"2025-11-17 14:49:55.057"</f>
        <v>2025-11-17 14:49:55.057</v>
      </c>
      <c r="H1313" t="s">
        <v>21</v>
      </c>
    </row>
    <row r="1314" spans="1:10" x14ac:dyDescent="0.25">
      <c r="A1314" s="1">
        <v>615</v>
      </c>
      <c r="B1314" t="s">
        <v>19</v>
      </c>
      <c r="C1314">
        <v>706</v>
      </c>
      <c r="D1314">
        <v>2</v>
      </c>
      <c r="E1314" t="s">
        <v>29</v>
      </c>
      <c r="F1314" t="s">
        <v>44</v>
      </c>
      <c r="G1314" t="str">
        <f>"2025-11-17 14:37:06.748"</f>
        <v>2025-11-17 14:37:06.748</v>
      </c>
      <c r="H1314" t="s">
        <v>21</v>
      </c>
      <c r="I1314">
        <v>0</v>
      </c>
      <c r="J1314" t="s">
        <v>31</v>
      </c>
    </row>
    <row r="1315" spans="1:10" x14ac:dyDescent="0.25">
      <c r="A1315" s="1">
        <v>616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"2025-11-17 14:36:44.068"</f>
        <v>2025-11-17 14:36:44.068</v>
      </c>
      <c r="H1315" t="s">
        <v>21</v>
      </c>
    </row>
    <row r="1316" spans="1:10" x14ac:dyDescent="0.25">
      <c r="A1316" s="1">
        <v>617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"2025-11-17 09:13:09.052"</f>
        <v>2025-11-17 09:13:09.052</v>
      </c>
      <c r="H1316" t="s">
        <v>21</v>
      </c>
    </row>
    <row r="1317" spans="1:10" x14ac:dyDescent="0.25">
      <c r="A1317" s="1">
        <v>618</v>
      </c>
      <c r="B1317" t="s">
        <v>19</v>
      </c>
      <c r="C1317">
        <v>706</v>
      </c>
      <c r="D1317">
        <v>3</v>
      </c>
      <c r="E1317" t="s">
        <v>29</v>
      </c>
      <c r="F1317" t="s">
        <v>45</v>
      </c>
      <c r="G1317" t="str">
        <f>"2025-11-17 09:01:34.148"</f>
        <v>2025-11-17 09:01:34.148</v>
      </c>
      <c r="H1317" t="s">
        <v>21</v>
      </c>
      <c r="I1317">
        <v>0</v>
      </c>
      <c r="J1317" t="s">
        <v>31</v>
      </c>
    </row>
    <row r="1318" spans="1:10" x14ac:dyDescent="0.25">
      <c r="A1318" s="1">
        <v>619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"2025-11-17 09:00:57.068"</f>
        <v>2025-11-17 09:00:57.068</v>
      </c>
      <c r="H1318" t="s">
        <v>21</v>
      </c>
      <c r="I1318">
        <v>0</v>
      </c>
      <c r="J1318" t="s">
        <v>22</v>
      </c>
    </row>
    <row r="1319" spans="1:10" x14ac:dyDescent="0.25">
      <c r="A1319" s="1">
        <v>620</v>
      </c>
      <c r="B1319" t="s">
        <v>19</v>
      </c>
      <c r="C1319">
        <v>706</v>
      </c>
      <c r="D1319">
        <v>2</v>
      </c>
      <c r="E1319" t="s">
        <v>29</v>
      </c>
      <c r="F1319" t="s">
        <v>44</v>
      </c>
      <c r="G1319" t="str">
        <f>"2025-11-17 08:31:06.555"</f>
        <v>2025-11-17 08:31:06.555</v>
      </c>
      <c r="H1319" t="s">
        <v>21</v>
      </c>
      <c r="I1319">
        <v>0</v>
      </c>
      <c r="J1319" t="s">
        <v>31</v>
      </c>
    </row>
    <row r="1320" spans="1:10" x14ac:dyDescent="0.25">
      <c r="A1320" s="1">
        <v>621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"2025-11-17 08:30:35.085"</f>
        <v>2025-11-17 08:30:35.085</v>
      </c>
      <c r="H1320" t="s">
        <v>21</v>
      </c>
      <c r="I1320">
        <v>0</v>
      </c>
      <c r="J1320" t="s">
        <v>22</v>
      </c>
    </row>
    <row r="1321" spans="1:10" x14ac:dyDescent="0.25">
      <c r="A1321" s="1">
        <v>622</v>
      </c>
      <c r="B1321" t="s">
        <v>19</v>
      </c>
      <c r="C1321">
        <v>706</v>
      </c>
      <c r="D1321">
        <v>4</v>
      </c>
      <c r="E1321" t="s">
        <v>29</v>
      </c>
      <c r="F1321" t="s">
        <v>30</v>
      </c>
      <c r="G1321" t="str">
        <f>"2025-11-16 14:34:23.067"</f>
        <v>2025-11-16 14:34:23.067</v>
      </c>
      <c r="H1321" t="s">
        <v>21</v>
      </c>
      <c r="I1321">
        <v>0</v>
      </c>
      <c r="J1321" t="s">
        <v>31</v>
      </c>
    </row>
    <row r="1322" spans="1:10" x14ac:dyDescent="0.25">
      <c r="A1322" s="1">
        <v>623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"2025-11-16 14:33:19.037"</f>
        <v>2025-11-16 14:33:19.037</v>
      </c>
      <c r="H1322" t="s">
        <v>21</v>
      </c>
    </row>
    <row r="1323" spans="1:10" x14ac:dyDescent="0.25">
      <c r="A1323" s="1">
        <v>624</v>
      </c>
      <c r="B1323" t="s">
        <v>19</v>
      </c>
      <c r="C1323">
        <v>706</v>
      </c>
      <c r="D1323">
        <v>3</v>
      </c>
      <c r="E1323" t="s">
        <v>29</v>
      </c>
      <c r="F1323" t="s">
        <v>45</v>
      </c>
      <c r="G1323" t="str">
        <f>"2025-11-16 14:17:28.118"</f>
        <v>2025-11-16 14:17:28.118</v>
      </c>
      <c r="H1323" t="s">
        <v>21</v>
      </c>
      <c r="I1323">
        <v>0</v>
      </c>
      <c r="J1323" t="s">
        <v>31</v>
      </c>
    </row>
    <row r="1324" spans="1:10" x14ac:dyDescent="0.25">
      <c r="A1324" s="1">
        <v>625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"2025-11-16 14:08:01.038"</f>
        <v>2025-11-16 14:08:01.038</v>
      </c>
      <c r="H1324" t="s">
        <v>21</v>
      </c>
      <c r="I1324">
        <v>0</v>
      </c>
      <c r="J1324" t="s">
        <v>22</v>
      </c>
    </row>
    <row r="1325" spans="1:10" x14ac:dyDescent="0.25">
      <c r="A1325" s="1">
        <v>626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"2025-11-15 15:41:35.032"</f>
        <v>2025-11-15 15:41:35.032</v>
      </c>
      <c r="H1325" t="s">
        <v>21</v>
      </c>
    </row>
    <row r="1326" spans="1:10" x14ac:dyDescent="0.25">
      <c r="A1326" s="1">
        <v>627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"2025-11-15 15:28:17.024"</f>
        <v>2025-11-15 15:28:17.024</v>
      </c>
      <c r="H1326" t="s">
        <v>21</v>
      </c>
    </row>
    <row r="1327" spans="1:10" x14ac:dyDescent="0.25">
      <c r="A1327" s="1">
        <v>628</v>
      </c>
      <c r="B1327" t="s">
        <v>19</v>
      </c>
      <c r="C1327">
        <v>706</v>
      </c>
      <c r="D1327">
        <v>4</v>
      </c>
      <c r="E1327" t="s">
        <v>29</v>
      </c>
      <c r="F1327" t="s">
        <v>30</v>
      </c>
      <c r="G1327" t="str">
        <f>"2025-11-15 15:06:40.225"</f>
        <v>2025-11-15 15:06:40.225</v>
      </c>
      <c r="H1327" t="s">
        <v>21</v>
      </c>
      <c r="I1327">
        <v>0</v>
      </c>
      <c r="J1327" t="s">
        <v>31</v>
      </c>
    </row>
    <row r="1328" spans="1:10" x14ac:dyDescent="0.25">
      <c r="A1328" s="1">
        <v>629</v>
      </c>
      <c r="B1328" t="s">
        <v>19</v>
      </c>
      <c r="C1328">
        <v>706</v>
      </c>
      <c r="D1328">
        <v>3</v>
      </c>
      <c r="E1328" t="s">
        <v>29</v>
      </c>
      <c r="F1328" t="s">
        <v>45</v>
      </c>
      <c r="G1328" t="str">
        <f>"2025-11-15 15:05:58.215"</f>
        <v>2025-11-15 15:05:58.215</v>
      </c>
      <c r="H1328" t="s">
        <v>21</v>
      </c>
      <c r="I1328">
        <v>0</v>
      </c>
      <c r="J1328" t="s">
        <v>31</v>
      </c>
    </row>
    <row r="1329" spans="1:10" x14ac:dyDescent="0.25">
      <c r="A1329" s="1">
        <v>630</v>
      </c>
      <c r="B1329" t="s">
        <v>19</v>
      </c>
      <c r="C1329">
        <v>706</v>
      </c>
      <c r="D1329">
        <v>3</v>
      </c>
      <c r="E1329" t="s">
        <v>29</v>
      </c>
      <c r="F1329" t="s">
        <v>45</v>
      </c>
      <c r="G1329" t="str">
        <f>"2025-11-15 15:04:42.115"</f>
        <v>2025-11-15 15:04:42.115</v>
      </c>
      <c r="H1329" t="s">
        <v>21</v>
      </c>
      <c r="I1329">
        <v>0</v>
      </c>
      <c r="J1329" t="s">
        <v>31</v>
      </c>
    </row>
    <row r="1330" spans="1:10" x14ac:dyDescent="0.25">
      <c r="A1330" s="1">
        <v>631</v>
      </c>
      <c r="B1330" t="s">
        <v>19</v>
      </c>
      <c r="C1330">
        <v>706</v>
      </c>
      <c r="D1330">
        <v>2</v>
      </c>
      <c r="E1330" t="s">
        <v>29</v>
      </c>
      <c r="F1330" t="s">
        <v>44</v>
      </c>
      <c r="G1330" t="str">
        <f>"2025-11-15 15:04:11.125"</f>
        <v>2025-11-15 15:04:11.125</v>
      </c>
      <c r="H1330" t="s">
        <v>21</v>
      </c>
      <c r="I1330">
        <v>0</v>
      </c>
      <c r="J1330" t="s">
        <v>31</v>
      </c>
    </row>
    <row r="1331" spans="1:10" x14ac:dyDescent="0.25">
      <c r="A1331" s="1">
        <v>632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"2025-11-15 14:51:37.035"</f>
        <v>2025-11-15 14:51:37.035</v>
      </c>
      <c r="H1331" t="s">
        <v>21</v>
      </c>
      <c r="I1331">
        <v>0</v>
      </c>
      <c r="J1331" t="s">
        <v>22</v>
      </c>
    </row>
    <row r="1332" spans="1:10" x14ac:dyDescent="0.25">
      <c r="A1332" s="1">
        <v>633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"2025-11-15 14:40:23.032"</f>
        <v>2025-11-15 14:40:23.032</v>
      </c>
      <c r="H1332" t="s">
        <v>21</v>
      </c>
    </row>
    <row r="1333" spans="1:10" x14ac:dyDescent="0.25">
      <c r="A1333" s="1">
        <v>634</v>
      </c>
      <c r="B1333" t="s">
        <v>23</v>
      </c>
      <c r="C1333">
        <v>98</v>
      </c>
      <c r="D1333">
        <v>1</v>
      </c>
      <c r="E1333" t="s">
        <v>38</v>
      </c>
      <c r="F1333" t="s">
        <v>39</v>
      </c>
      <c r="G1333" t="str">
        <f>"2025-11-15 14:35:35.550"</f>
        <v>2025-11-15 14:35:35.550</v>
      </c>
      <c r="H1333" t="s">
        <v>21</v>
      </c>
    </row>
    <row r="1334" spans="1:10" x14ac:dyDescent="0.25">
      <c r="A1334" s="1">
        <v>635</v>
      </c>
      <c r="B1334" t="s">
        <v>27</v>
      </c>
      <c r="C1334">
        <v>98</v>
      </c>
      <c r="D1334">
        <v>1</v>
      </c>
      <c r="E1334" t="s">
        <v>38</v>
      </c>
      <c r="F1334" t="s">
        <v>39</v>
      </c>
      <c r="G1334" t="str">
        <f>"2025-11-15 14:35:34.551"</f>
        <v>2025-11-15 14:35:34.551</v>
      </c>
      <c r="H1334" t="s">
        <v>21</v>
      </c>
      <c r="I1334">
        <v>0</v>
      </c>
      <c r="J1334" t="s">
        <v>31</v>
      </c>
    </row>
    <row r="1335" spans="1:10" x14ac:dyDescent="0.25">
      <c r="A1335" s="1">
        <v>636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"2025-11-15 14:34:24.030"</f>
        <v>2025-11-15 14:34:24.030</v>
      </c>
      <c r="H1335" t="s">
        <v>21</v>
      </c>
    </row>
    <row r="1336" spans="1:10" x14ac:dyDescent="0.25">
      <c r="A1336" s="1">
        <v>639</v>
      </c>
      <c r="B1336" t="s">
        <v>19</v>
      </c>
      <c r="C1336">
        <v>782</v>
      </c>
      <c r="D1336">
        <v>7</v>
      </c>
      <c r="E1336" t="s">
        <v>58</v>
      </c>
      <c r="F1336" t="s">
        <v>59</v>
      </c>
      <c r="G1336" t="str">
        <f>"2025-11-15 14:29:04.847"</f>
        <v>2025-11-15 14:29:04.847</v>
      </c>
      <c r="H1336" t="s">
        <v>21</v>
      </c>
      <c r="I1336">
        <v>0</v>
      </c>
      <c r="J1336" t="s">
        <v>31</v>
      </c>
    </row>
    <row r="1337" spans="1:10" x14ac:dyDescent="0.25">
      <c r="A1337" s="1">
        <v>642</v>
      </c>
      <c r="B1337" t="s">
        <v>23</v>
      </c>
      <c r="C1337">
        <v>12</v>
      </c>
      <c r="D1337">
        <v>2</v>
      </c>
      <c r="E1337" t="s">
        <v>60</v>
      </c>
      <c r="F1337" t="s">
        <v>61</v>
      </c>
      <c r="G1337" t="str">
        <f>"2025-11-15 14:29:04.843"</f>
        <v>2025-11-15 14:29:04.843</v>
      </c>
      <c r="H1337" t="s">
        <v>21</v>
      </c>
    </row>
    <row r="1338" spans="1:10" x14ac:dyDescent="0.25">
      <c r="A1338" s="1">
        <v>643</v>
      </c>
      <c r="B1338" t="s">
        <v>23</v>
      </c>
      <c r="C1338">
        <v>12</v>
      </c>
      <c r="D1338">
        <v>1</v>
      </c>
      <c r="E1338" t="s">
        <v>60</v>
      </c>
      <c r="F1338" t="s">
        <v>62</v>
      </c>
      <c r="G1338" t="str">
        <f>"2025-11-15 14:29:04.842"</f>
        <v>2025-11-15 14:29:04.842</v>
      </c>
      <c r="H1338" t="s">
        <v>21</v>
      </c>
    </row>
    <row r="1339" spans="1:10" x14ac:dyDescent="0.25">
      <c r="A1339" s="1">
        <v>644</v>
      </c>
      <c r="B1339" t="s">
        <v>19</v>
      </c>
      <c r="C1339">
        <v>782</v>
      </c>
      <c r="D1339">
        <v>7</v>
      </c>
      <c r="E1339" t="s">
        <v>58</v>
      </c>
      <c r="F1339" t="s">
        <v>59</v>
      </c>
      <c r="G1339" t="str">
        <f>"2025-11-15 14:29:04.841"</f>
        <v>2025-11-15 14:29:04.841</v>
      </c>
      <c r="H1339" t="s">
        <v>21</v>
      </c>
      <c r="I1339">
        <v>0</v>
      </c>
      <c r="J1339" t="s">
        <v>31</v>
      </c>
    </row>
    <row r="1340" spans="1:10" x14ac:dyDescent="0.25">
      <c r="A1340" s="1">
        <v>645</v>
      </c>
      <c r="B1340" t="s">
        <v>23</v>
      </c>
      <c r="C1340">
        <v>650</v>
      </c>
      <c r="D1340">
        <v>4</v>
      </c>
      <c r="E1340" t="s">
        <v>83</v>
      </c>
      <c r="F1340" t="s">
        <v>84</v>
      </c>
      <c r="G1340" t="str">
        <f>"2025-11-15 14:28:24.095"</f>
        <v>2025-11-15 14:28:24.095</v>
      </c>
      <c r="H1340" t="s">
        <v>21</v>
      </c>
    </row>
    <row r="1341" spans="1:10" x14ac:dyDescent="0.25">
      <c r="A1341" s="1">
        <v>646</v>
      </c>
      <c r="B1341" t="s">
        <v>19</v>
      </c>
      <c r="C1341">
        <v>719</v>
      </c>
      <c r="D1341">
        <v>5</v>
      </c>
      <c r="E1341" t="s">
        <v>85</v>
      </c>
      <c r="F1341" t="s">
        <v>86</v>
      </c>
      <c r="G1341" t="str">
        <f>"2025-11-15 14:27:30.536"</f>
        <v>2025-11-15 14:27:30.536</v>
      </c>
      <c r="H1341" t="s">
        <v>21</v>
      </c>
      <c r="I1341">
        <v>0</v>
      </c>
      <c r="J1341" t="s">
        <v>31</v>
      </c>
    </row>
    <row r="1342" spans="1:10" x14ac:dyDescent="0.25">
      <c r="A1342" s="1">
        <v>647</v>
      </c>
      <c r="B1342" t="s">
        <v>23</v>
      </c>
      <c r="C1342">
        <v>98</v>
      </c>
      <c r="D1342">
        <v>1</v>
      </c>
      <c r="E1342" t="s">
        <v>38</v>
      </c>
      <c r="F1342" t="s">
        <v>39</v>
      </c>
      <c r="G1342" t="str">
        <f>"2025-11-15 11:24:16.448"</f>
        <v>2025-11-15 11:24:16.448</v>
      </c>
      <c r="H1342" t="s">
        <v>21</v>
      </c>
    </row>
    <row r="1343" spans="1:10" x14ac:dyDescent="0.25">
      <c r="A1343" s="1">
        <v>648</v>
      </c>
      <c r="B1343" t="s">
        <v>27</v>
      </c>
      <c r="C1343">
        <v>98</v>
      </c>
      <c r="D1343">
        <v>1</v>
      </c>
      <c r="E1343" t="s">
        <v>38</v>
      </c>
      <c r="F1343" t="s">
        <v>39</v>
      </c>
      <c r="G1343" t="str">
        <f>"2025-11-15 11:24:15.249"</f>
        <v>2025-11-15 11:24:15.249</v>
      </c>
      <c r="H1343" t="s">
        <v>21</v>
      </c>
      <c r="I1343">
        <v>0</v>
      </c>
      <c r="J1343" t="s">
        <v>31</v>
      </c>
    </row>
    <row r="1344" spans="1:10" x14ac:dyDescent="0.25">
      <c r="A1344" s="1">
        <v>649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"2025-11-15 11:21:59.028"</f>
        <v>2025-11-15 11:21:59.028</v>
      </c>
      <c r="H1344" t="s">
        <v>21</v>
      </c>
      <c r="I1344">
        <v>0</v>
      </c>
      <c r="J1344" t="s">
        <v>22</v>
      </c>
    </row>
    <row r="1345" spans="1:10" x14ac:dyDescent="0.25">
      <c r="A1345" s="1">
        <v>650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"2025-11-15 11:13:34.026"</f>
        <v>2025-11-15 11:13:34.026</v>
      </c>
      <c r="H1345" t="s">
        <v>21</v>
      </c>
      <c r="I1345">
        <v>0</v>
      </c>
      <c r="J1345" t="s">
        <v>22</v>
      </c>
    </row>
    <row r="1346" spans="1:10" x14ac:dyDescent="0.25">
      <c r="A1346" s="1">
        <v>651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"2025-11-15 11:12:17.019"</f>
        <v>2025-11-15 11:12:17.019</v>
      </c>
      <c r="H1346" t="s">
        <v>21</v>
      </c>
      <c r="I1346">
        <v>0</v>
      </c>
      <c r="J1346" t="s">
        <v>22</v>
      </c>
    </row>
    <row r="1347" spans="1:10" x14ac:dyDescent="0.25">
      <c r="A1347" s="1">
        <v>652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"2025-11-15 11:10:16.014"</f>
        <v>2025-11-15 11:10:16.014</v>
      </c>
      <c r="H1347" t="s">
        <v>21</v>
      </c>
    </row>
    <row r="1348" spans="1:10" x14ac:dyDescent="0.25">
      <c r="A1348" s="1">
        <v>653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"2025-11-15 11:07:15.029"</f>
        <v>2025-11-15 11:07:15.029</v>
      </c>
      <c r="H1348" t="s">
        <v>21</v>
      </c>
      <c r="I1348">
        <v>0</v>
      </c>
      <c r="J1348" t="s">
        <v>22</v>
      </c>
    </row>
    <row r="1349" spans="1:10" x14ac:dyDescent="0.25">
      <c r="A1349" s="1">
        <v>656</v>
      </c>
      <c r="B1349" t="s">
        <v>19</v>
      </c>
      <c r="C1349">
        <v>753</v>
      </c>
      <c r="D1349">
        <v>1</v>
      </c>
      <c r="E1349" t="s">
        <v>87</v>
      </c>
      <c r="F1349" t="s">
        <v>88</v>
      </c>
      <c r="G1349" t="str">
        <f>"2025-11-15 11:00:41.509"</f>
        <v>2025-11-15 11:00:41.509</v>
      </c>
      <c r="H1349" t="s">
        <v>21</v>
      </c>
      <c r="I1349">
        <v>0</v>
      </c>
      <c r="J1349" t="s">
        <v>31</v>
      </c>
    </row>
    <row r="1350" spans="1:10" x14ac:dyDescent="0.25">
      <c r="A1350" s="1">
        <v>657</v>
      </c>
      <c r="B1350" t="s">
        <v>36</v>
      </c>
      <c r="C1350">
        <v>641</v>
      </c>
      <c r="D1350">
        <v>1</v>
      </c>
      <c r="E1350" t="s">
        <v>63</v>
      </c>
      <c r="F1350" t="s">
        <v>61</v>
      </c>
      <c r="G1350" t="str">
        <f>"2025-11-15 11:00:35.808"</f>
        <v>2025-11-15 11:00:35.808</v>
      </c>
      <c r="H1350" t="s">
        <v>21</v>
      </c>
      <c r="I1350">
        <v>0</v>
      </c>
      <c r="J1350" t="s">
        <v>31</v>
      </c>
    </row>
    <row r="1351" spans="1:10" x14ac:dyDescent="0.25">
      <c r="A1351" s="1">
        <v>658</v>
      </c>
      <c r="B1351" t="s">
        <v>36</v>
      </c>
      <c r="C1351">
        <v>640</v>
      </c>
      <c r="D1351">
        <v>1</v>
      </c>
      <c r="E1351" t="s">
        <v>64</v>
      </c>
      <c r="F1351" t="s">
        <v>62</v>
      </c>
      <c r="G1351" t="str">
        <f>"2025-11-15 11:00:35.799"</f>
        <v>2025-11-15 11:00:35.799</v>
      </c>
      <c r="H1351" t="s">
        <v>26</v>
      </c>
      <c r="I1351">
        <v>0</v>
      </c>
      <c r="J1351" t="s">
        <v>31</v>
      </c>
    </row>
    <row r="1352" spans="1:10" x14ac:dyDescent="0.25">
      <c r="A1352" s="1">
        <v>659</v>
      </c>
      <c r="B1352" t="s">
        <v>27</v>
      </c>
      <c r="C1352">
        <v>12</v>
      </c>
      <c r="D1352">
        <v>1</v>
      </c>
      <c r="E1352" t="s">
        <v>60</v>
      </c>
      <c r="F1352" t="s">
        <v>62</v>
      </c>
      <c r="G1352" t="str">
        <f>"2025-11-15 11:00:29.660"</f>
        <v>2025-11-15 11:00:29.660</v>
      </c>
      <c r="H1352" t="s">
        <v>21</v>
      </c>
      <c r="I1352">
        <v>0</v>
      </c>
      <c r="J1352" t="s">
        <v>31</v>
      </c>
    </row>
    <row r="1353" spans="1:10" x14ac:dyDescent="0.25">
      <c r="A1353" s="1">
        <v>660</v>
      </c>
      <c r="B1353" t="s">
        <v>27</v>
      </c>
      <c r="C1353">
        <v>12</v>
      </c>
      <c r="D1353">
        <v>2</v>
      </c>
      <c r="E1353" t="s">
        <v>60</v>
      </c>
      <c r="F1353" t="s">
        <v>61</v>
      </c>
      <c r="G1353" t="str">
        <f>"2025-11-15 11:00:29.562"</f>
        <v>2025-11-15 11:00:29.562</v>
      </c>
      <c r="H1353" t="s">
        <v>21</v>
      </c>
      <c r="I1353">
        <v>0</v>
      </c>
      <c r="J1353" t="s">
        <v>31</v>
      </c>
    </row>
    <row r="1354" spans="1:10" x14ac:dyDescent="0.25">
      <c r="A1354" s="1">
        <v>661</v>
      </c>
      <c r="B1354" t="s">
        <v>27</v>
      </c>
      <c r="C1354">
        <v>650</v>
      </c>
      <c r="D1354">
        <v>4</v>
      </c>
      <c r="E1354" t="s">
        <v>83</v>
      </c>
      <c r="F1354" t="s">
        <v>84</v>
      </c>
      <c r="G1354" t="str">
        <f>"2025-11-15 11:00:28.267"</f>
        <v>2025-11-15 11:00:28.267</v>
      </c>
      <c r="H1354" t="s">
        <v>21</v>
      </c>
      <c r="I1354">
        <v>0</v>
      </c>
      <c r="J1354" t="s">
        <v>22</v>
      </c>
    </row>
    <row r="1355" spans="1:10" x14ac:dyDescent="0.25">
      <c r="A1355" s="1">
        <v>662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"2025-11-15 11:00:25.629"</f>
        <v>2025-11-15 11:00:25.629</v>
      </c>
      <c r="H1355" t="s">
        <v>21</v>
      </c>
      <c r="I1355">
        <v>0</v>
      </c>
      <c r="J1355" t="s">
        <v>22</v>
      </c>
    </row>
  </sheetData>
  <autoFilter ref="A9:J1355" xr:uid="{66750647-0BBE-444C-81AC-DEDE9061260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12000F-681A-44D5-B815-6B2E130DF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events_ru_82_20260621-151548 09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2026-06-21T05:55:35Z</dcterms:modified>
</cp:coreProperties>
</file>
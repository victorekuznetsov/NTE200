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B1938CB-29C3-49F4-A334-F3A04FE667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7_20260617-001229 38" sheetId="2" r:id="rId1"/>
    <sheet name="Лист1" sheetId="1" r:id="rId2"/>
  </sheets>
  <definedNames>
    <definedName name="_xlnm._FilterDatabase" localSheetId="0" hidden="1">'events_ru_87_20260617-001229 38'!$C$1:$C$1414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5ADECA-F8CE-4686-B512-E57A6FAD7D04}" keepAlive="1" name="Запрос — events_ru_87_20260617-001229 383" description="Соединение с запросом &quot;events_ru_87_20260617-001229 383&quot; в книге." type="5" refreshedVersion="0" background="1">
    <dbPr connection="Provider=Microsoft.Mashup.OleDb.1;Data Source=$Workbook$;Location=&quot;events_ru_87_20260617-001229 383&quot;;Extended Properties=&quot;&quot;" command="SELECT * FROM [events_ru_87_20260617-001229 383]"/>
  </connection>
</connections>
</file>

<file path=xl/sharedStrings.xml><?xml version="1.0" encoding="utf-8"?>
<sst xmlns="http://schemas.openxmlformats.org/spreadsheetml/2006/main" count="6468" uniqueCount="120">
  <si>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</si>
  <si>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</si>
  <si>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</si>
  <si>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</si>
  <si>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</si>
  <si>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</si>
  <si>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</si>
  <si>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</si>
  <si>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</si>
  <si>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</si>
  <si>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</si>
  <si>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</si>
  <si>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</si>
  <si>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</si>
  <si>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</si>
  <si>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</si>
  <si>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</si>
  <si>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</si>
  <si>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</si>
  <si>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</si>
  <si>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</si>
  <si>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</si>
  <si>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</si>
  <si>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</si>
  <si>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>SRst</t>
  </si>
  <si>
    <t>Самосвал перегружен - NR</t>
  </si>
  <si>
    <t>Не доступно</t>
  </si>
  <si>
    <t>Log+</t>
  </si>
  <si>
    <t>Propel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</si>
  <si>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</si>
  <si>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</si>
  <si>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</si>
  <si>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</si>
  <si>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--Включение питания системы--</t>
  </si>
  <si>
    <t>Рабочий тормоз на ходу</t>
  </si>
  <si>
    <t>Рабочие тормоза использованы на ходу</t>
  </si>
  <si>
    <t>Retard</t>
  </si>
  <si>
    <t>Ready</t>
  </si>
  <si>
    <t>Команда сохранения данных PTU</t>
  </si>
  <si>
    <t>Инициированное водителем сохранение данных</t>
  </si>
  <si>
    <t>Введен безопасный режим файловой системы - Низкий заряд батареи</t>
  </si>
  <si>
    <t>Null</t>
  </si>
  <si>
    <t>Вход в безопасный режим файловой системы - Ключ или CPS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</si>
  <si>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</si>
  <si>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</si>
  <si>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</si>
  <si>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</si>
  <si>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</si>
  <si>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Отказ аналогового датчика</t>
  </si>
  <si>
    <t>PSC напряжение ЗПТ</t>
  </si>
  <si>
    <t>WRst</t>
  </si>
  <si>
    <t>TMC2 Источник питания ИНВ</t>
  </si>
  <si>
    <t>-15 вольт вне допусков</t>
  </si>
  <si>
    <t>Инв2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</si>
  <si>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</si>
  <si>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</si>
  <si>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</si>
  <si>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</si>
  <si>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</si>
  <si>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</si>
  <si>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</si>
  <si>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</si>
  <si>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</si>
  <si>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</si>
  <si>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</si>
  <si>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КЗ на землю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</si>
  <si>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</si>
  <si>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</si>
  <si>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</si>
  <si>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</si>
  <si>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Самопроизвольный останов ДВС</t>
  </si>
  <si>
    <t>Unrequested Engine Speed Drop - While Stopped</t>
  </si>
  <si>
    <t>Превышении скорости</t>
  </si>
  <si>
    <t>Управление скоростью - превышение</t>
  </si>
  <si>
    <t>ARst</t>
  </si>
  <si>
    <t>TMC1 Фаза В- ИНВ</t>
  </si>
  <si>
    <t>Модули фаз В+ и В- вкл.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</si>
  <si>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</si>
  <si>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</si>
  <si>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TMC1 Фаза В+/фаза В- ИНВ</t>
  </si>
  <si>
    <t>Ошибка насыщения IGBT фаза В-</t>
  </si>
  <si>
    <t xml:space="preserve">Напряжение генератора 3-фазное </t>
  </si>
  <si>
    <t>TMC2 Фаза В- ИНВ</t>
  </si>
  <si>
    <t>Сбой источника питания IGBT фаза В-</t>
  </si>
  <si>
    <t>Отказ связи обоих ИНВЕРТОРОВ</t>
  </si>
  <si>
    <t>Отказ связи ИНВ</t>
  </si>
  <si>
    <t>Нарушение связи ИНВЕРТОРА 2</t>
  </si>
  <si>
    <t>Нет связи с инвертором 2</t>
  </si>
  <si>
    <t>Нарушение связи ИНВЕРТОРА 1</t>
  </si>
  <si>
    <t>Нет связи с инвертором 1</t>
  </si>
  <si>
    <t>TMC2 Фаза В+/фаза В- ИНВ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</si>
  <si>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</si>
  <si>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</si>
  <si>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</si>
  <si>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TMC2 Система ИНВ</t>
  </si>
  <si>
    <t>Нет высокоскоростных данных от PSC</t>
  </si>
  <si>
    <t>TMC1 Система ИНВ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</si>
  <si>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</si>
  <si>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</si>
  <si>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</si>
  <si>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Нужна калибровка педали</t>
  </si>
  <si>
    <t>Педаль акселератора никогда не достигает нуля</t>
  </si>
  <si>
    <t>Оба датичка скорости передних колёс</t>
  </si>
  <si>
    <t>Отключена пробуксовка</t>
  </si>
  <si>
    <t>Сравнение CMD скорости вращения ДВС</t>
  </si>
  <si>
    <t>Активна блокировка ХХ на холодном ДВС</t>
  </si>
  <si>
    <t>Тест VI не пройден</t>
  </si>
  <si>
    <t>Инвертор</t>
  </si>
  <si>
    <t>Нужна калибровка запуска</t>
  </si>
  <si>
    <t>Отказ педали ретардера</t>
  </si>
  <si>
    <t>Слишком низкое напряжение</t>
  </si>
  <si>
    <t>Слишком высокое напряжение</t>
  </si>
  <si>
    <t>--Сброс статистики--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</si>
  <si>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</si>
  <si>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</si>
  <si>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</si>
  <si>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</si>
  <si>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</si>
  <si>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</si>
  <si>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Запрет тяги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</si>
</sst>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C8A1-DAAB-458A-9C60-2B61E06F2A6F}">
  <dimension ref="A1:J1414"/>
  <sheetViews>
    <sheetView tabSelected="1" workbookViewId="0">
      <selection activeCell="G6" sqref="G6"/>
    </sheetView>
  </sheetViews>
  <sheetFormatPr defaultRowHeight="15" x14ac:dyDescent="0.25"/>
  <cols>
    <col min="1" max="1" width="16" bestFit="1" customWidth="1"/>
    <col min="5" max="5" width="48.5703125" customWidth="1"/>
    <col min="6" max="6" width="59.42578125" customWidth="1"/>
    <col min="7" max="7" width="22" bestFit="1" customWidth="1"/>
    <col min="8" max="8" width="28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"2026-06-17 00:12:29.383"</f>
        <v>2026-06-17 00:12:29.383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2</v>
      </c>
      <c r="E10" t="s">
        <v>20</v>
      </c>
      <c r="F10" t="s">
        <v>21</v>
      </c>
      <c r="G10" t="str">
        <f>"2026-06-17 00:10:59.450"</f>
        <v>2026-06-17 00:10:59.450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24</v>
      </c>
      <c r="C11">
        <v>635</v>
      </c>
      <c r="D11">
        <v>1</v>
      </c>
      <c r="E11" t="s">
        <v>25</v>
      </c>
      <c r="F11" t="s">
        <v>26</v>
      </c>
      <c r="G11" t="str">
        <f>"2026-06-16 21:17:52.059"</f>
        <v>2026-06-16 21:17:52.059</v>
      </c>
      <c r="H11" t="s">
        <v>22</v>
      </c>
    </row>
    <row r="12" spans="1:10" x14ac:dyDescent="0.25">
      <c r="A12" s="1"/>
      <c r="B12" t="s">
        <v>27</v>
      </c>
      <c r="C12">
        <v>635</v>
      </c>
      <c r="D12">
        <v>1</v>
      </c>
      <c r="E12" t="s">
        <v>25</v>
      </c>
      <c r="F12" t="s">
        <v>26</v>
      </c>
      <c r="G12" t="str">
        <f>"2026-06-16 21:12:51.059"</f>
        <v>2026-06-16 21:12:51.059</v>
      </c>
      <c r="H12" t="s">
        <v>22</v>
      </c>
      <c r="I12">
        <v>3.31</v>
      </c>
      <c r="J12" t="s">
        <v>28</v>
      </c>
    </row>
    <row r="13" spans="1:10" x14ac:dyDescent="0.25">
      <c r="A13" s="1"/>
      <c r="B13" t="s">
        <v>24</v>
      </c>
      <c r="C13">
        <v>630</v>
      </c>
      <c r="D13">
        <v>5</v>
      </c>
      <c r="E13" t="s">
        <v>29</v>
      </c>
      <c r="F13" t="s">
        <v>30</v>
      </c>
      <c r="G13" t="str">
        <f>"2026-06-16 12:52:47.259"</f>
        <v>2026-06-16 12:52:47.259</v>
      </c>
      <c r="H13" t="s">
        <v>31</v>
      </c>
    </row>
    <row r="14" spans="1:10" x14ac:dyDescent="0.25">
      <c r="A14" s="1"/>
      <c r="B14" t="s">
        <v>19</v>
      </c>
      <c r="C14">
        <v>706</v>
      </c>
      <c r="D14">
        <v>2</v>
      </c>
      <c r="E14" t="s">
        <v>20</v>
      </c>
      <c r="F14" t="s">
        <v>21</v>
      </c>
      <c r="G14" t="str">
        <f>"2026-06-16 12:52:17.150"</f>
        <v>2026-06-16 12:52:17.150</v>
      </c>
      <c r="H14" t="s">
        <v>22</v>
      </c>
      <c r="I14">
        <v>0</v>
      </c>
      <c r="J14" t="s">
        <v>23</v>
      </c>
    </row>
    <row r="15" spans="1:10" x14ac:dyDescent="0.25">
      <c r="A15" s="1"/>
      <c r="B15" t="s">
        <v>32</v>
      </c>
      <c r="C15">
        <v>630</v>
      </c>
      <c r="D15">
        <v>5</v>
      </c>
      <c r="E15" t="s">
        <v>29</v>
      </c>
      <c r="F15" t="s">
        <v>30</v>
      </c>
      <c r="G15" t="str">
        <f>"2026-06-16 12:29:51.559"</f>
        <v>2026-06-16 12:29:51.559</v>
      </c>
      <c r="H15" t="s">
        <v>31</v>
      </c>
      <c r="I15">
        <v>0</v>
      </c>
      <c r="J15" t="s">
        <v>23</v>
      </c>
    </row>
    <row r="16" spans="1:10" x14ac:dyDescent="0.25">
      <c r="A16" s="1"/>
      <c r="B16" t="s">
        <v>24</v>
      </c>
      <c r="C16">
        <v>635</v>
      </c>
      <c r="D16">
        <v>1</v>
      </c>
      <c r="E16" t="s">
        <v>25</v>
      </c>
      <c r="F16" t="s">
        <v>26</v>
      </c>
      <c r="G16" t="str">
        <f>"2026-06-16 11:34:55.359"</f>
        <v>2026-06-16 11:34:55.359</v>
      </c>
      <c r="H16" t="s">
        <v>22</v>
      </c>
    </row>
    <row r="17" spans="1:10" x14ac:dyDescent="0.25">
      <c r="A17" s="1"/>
      <c r="B17" t="s">
        <v>27</v>
      </c>
      <c r="C17">
        <v>635</v>
      </c>
      <c r="D17">
        <v>1</v>
      </c>
      <c r="E17" t="s">
        <v>25</v>
      </c>
      <c r="F17" t="s">
        <v>26</v>
      </c>
      <c r="G17" t="str">
        <f>"2026-06-16 11:04:30.360"</f>
        <v>2026-06-16 11:04:30.360</v>
      </c>
      <c r="H17" t="s">
        <v>22</v>
      </c>
      <c r="I17">
        <v>4.9000000000000004</v>
      </c>
      <c r="J17" t="s">
        <v>28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33</v>
      </c>
      <c r="F18" t="s">
        <v>33</v>
      </c>
      <c r="G18" t="str">
        <f>"2026-06-15 15:31:03.030"</f>
        <v>2026-06-15 15:31:03.030</v>
      </c>
      <c r="H18" t="s">
        <v>22</v>
      </c>
    </row>
    <row r="19" spans="1:10" s="3" customFormat="1" x14ac:dyDescent="0.25">
      <c r="A19" s="2">
        <v>0</v>
      </c>
      <c r="B19" s="3" t="s">
        <v>24</v>
      </c>
      <c r="C19" s="3">
        <v>647</v>
      </c>
      <c r="D19" s="3">
        <v>1</v>
      </c>
      <c r="E19" s="3" t="s">
        <v>34</v>
      </c>
      <c r="F19" s="3" t="s">
        <v>35</v>
      </c>
      <c r="G19" s="3" t="str">
        <f>"2026-06-15 07:27:18.749"</f>
        <v>2026-06-15 07:27:18.749</v>
      </c>
      <c r="H19" s="3" t="s">
        <v>22</v>
      </c>
    </row>
    <row r="20" spans="1:10" s="3" customFormat="1" x14ac:dyDescent="0.25">
      <c r="A20" s="2">
        <v>1</v>
      </c>
      <c r="B20" s="3" t="s">
        <v>27</v>
      </c>
      <c r="C20" s="3">
        <v>647</v>
      </c>
      <c r="D20" s="3">
        <v>1</v>
      </c>
      <c r="E20" s="3" t="s">
        <v>34</v>
      </c>
      <c r="F20" s="3" t="s">
        <v>35</v>
      </c>
      <c r="G20" s="3" t="str">
        <f>"2026-06-15 07:27:10.049"</f>
        <v>2026-06-15 07:27:10.049</v>
      </c>
      <c r="H20" s="3" t="s">
        <v>22</v>
      </c>
      <c r="I20" s="3">
        <v>12.27</v>
      </c>
      <c r="J20" s="3" t="s">
        <v>36</v>
      </c>
    </row>
    <row r="21" spans="1:10" s="3" customFormat="1" x14ac:dyDescent="0.25">
      <c r="A21" s="2">
        <v>2</v>
      </c>
      <c r="B21" s="3" t="s">
        <v>24</v>
      </c>
      <c r="C21" s="3">
        <v>647</v>
      </c>
      <c r="D21" s="3">
        <v>1</v>
      </c>
      <c r="E21" s="3" t="s">
        <v>34</v>
      </c>
      <c r="F21" s="3" t="s">
        <v>35</v>
      </c>
      <c r="G21" s="3" t="str">
        <f>"2026-06-15 06:50:21.149"</f>
        <v>2026-06-15 06:50:21.149</v>
      </c>
      <c r="H21" s="3" t="s">
        <v>22</v>
      </c>
    </row>
    <row r="22" spans="1:10" s="3" customFormat="1" x14ac:dyDescent="0.25">
      <c r="A22" s="2">
        <v>3</v>
      </c>
      <c r="B22" s="3" t="s">
        <v>27</v>
      </c>
      <c r="C22" s="3">
        <v>647</v>
      </c>
      <c r="D22" s="3">
        <v>1</v>
      </c>
      <c r="E22" s="3" t="s">
        <v>34</v>
      </c>
      <c r="F22" s="3" t="s">
        <v>35</v>
      </c>
      <c r="G22" s="3" t="str">
        <f>"2026-06-15 06:50:11.149"</f>
        <v>2026-06-15 06:50:11.149</v>
      </c>
      <c r="H22" s="3" t="s">
        <v>22</v>
      </c>
      <c r="I22" s="3">
        <v>9.2899999999999991</v>
      </c>
      <c r="J22" s="3" t="s">
        <v>36</v>
      </c>
    </row>
    <row r="23" spans="1:10" s="3" customFormat="1" x14ac:dyDescent="0.25">
      <c r="A23" s="2">
        <v>4</v>
      </c>
      <c r="B23" s="3" t="s">
        <v>24</v>
      </c>
      <c r="C23" s="3">
        <v>647</v>
      </c>
      <c r="D23" s="3">
        <v>1</v>
      </c>
      <c r="E23" s="3" t="s">
        <v>34</v>
      </c>
      <c r="F23" s="3" t="s">
        <v>35</v>
      </c>
      <c r="G23" s="3" t="str">
        <f>"2026-06-15 06:20:11.849"</f>
        <v>2026-06-15 06:20:11.849</v>
      </c>
      <c r="H23" s="3" t="s">
        <v>22</v>
      </c>
    </row>
    <row r="24" spans="1:10" s="3" customFormat="1" x14ac:dyDescent="0.25">
      <c r="A24" s="2">
        <v>5</v>
      </c>
      <c r="B24" s="3" t="s">
        <v>27</v>
      </c>
      <c r="C24" s="3">
        <v>647</v>
      </c>
      <c r="D24" s="3">
        <v>1</v>
      </c>
      <c r="E24" s="3" t="s">
        <v>34</v>
      </c>
      <c r="F24" s="3" t="s">
        <v>35</v>
      </c>
      <c r="G24" s="3" t="str">
        <f>"2026-06-15 06:20:08.549"</f>
        <v>2026-06-15 06:20:08.549</v>
      </c>
      <c r="H24" s="3" t="s">
        <v>22</v>
      </c>
      <c r="I24" s="3">
        <v>14.19</v>
      </c>
      <c r="J24" s="3" t="s">
        <v>36</v>
      </c>
    </row>
    <row r="25" spans="1:10" s="3" customFormat="1" x14ac:dyDescent="0.25">
      <c r="A25" s="2">
        <v>6</v>
      </c>
      <c r="B25" s="3" t="s">
        <v>24</v>
      </c>
      <c r="C25" s="3">
        <v>647</v>
      </c>
      <c r="D25" s="3">
        <v>1</v>
      </c>
      <c r="E25" s="3" t="s">
        <v>34</v>
      </c>
      <c r="F25" s="3" t="s">
        <v>35</v>
      </c>
      <c r="G25" s="3" t="str">
        <f>"2026-06-15 06:19:53.849"</f>
        <v>2026-06-15 06:19:53.849</v>
      </c>
      <c r="H25" s="3" t="s">
        <v>22</v>
      </c>
    </row>
    <row r="26" spans="1:10" s="3" customFormat="1" x14ac:dyDescent="0.25">
      <c r="A26" s="2">
        <v>7</v>
      </c>
      <c r="B26" s="3" t="s">
        <v>27</v>
      </c>
      <c r="C26" s="3">
        <v>647</v>
      </c>
      <c r="D26" s="3">
        <v>1</v>
      </c>
      <c r="E26" s="3" t="s">
        <v>34</v>
      </c>
      <c r="F26" s="3" t="s">
        <v>35</v>
      </c>
      <c r="G26" s="3" t="str">
        <f>"2026-06-15 06:19:49.149"</f>
        <v>2026-06-15 06:19:49.149</v>
      </c>
      <c r="H26" s="3" t="s">
        <v>22</v>
      </c>
      <c r="I26" s="3">
        <v>16.010000000000002</v>
      </c>
      <c r="J26" s="3" t="s">
        <v>36</v>
      </c>
    </row>
    <row r="27" spans="1:10" s="3" customFormat="1" x14ac:dyDescent="0.25">
      <c r="A27" s="2">
        <v>8</v>
      </c>
      <c r="B27" s="3" t="s">
        <v>24</v>
      </c>
      <c r="C27" s="3">
        <v>647</v>
      </c>
      <c r="D27" s="3">
        <v>1</v>
      </c>
      <c r="E27" s="3" t="s">
        <v>34</v>
      </c>
      <c r="F27" s="3" t="s">
        <v>35</v>
      </c>
      <c r="G27" s="3" t="str">
        <f>"2026-06-15 06:16:05.049"</f>
        <v>2026-06-15 06:16:05.049</v>
      </c>
      <c r="H27" s="3" t="s">
        <v>22</v>
      </c>
    </row>
    <row r="28" spans="1:10" s="3" customFormat="1" x14ac:dyDescent="0.25">
      <c r="A28" s="2">
        <v>9</v>
      </c>
      <c r="B28" s="3" t="s">
        <v>27</v>
      </c>
      <c r="C28" s="3">
        <v>647</v>
      </c>
      <c r="D28" s="3">
        <v>1</v>
      </c>
      <c r="E28" s="3" t="s">
        <v>34</v>
      </c>
      <c r="F28" s="3" t="s">
        <v>35</v>
      </c>
      <c r="G28" s="3" t="str">
        <f>"2026-06-15 06:15:57.149"</f>
        <v>2026-06-15 06:15:57.149</v>
      </c>
      <c r="H28" s="3" t="s">
        <v>22</v>
      </c>
      <c r="I28" s="3">
        <v>10.64</v>
      </c>
      <c r="J28" s="3" t="s">
        <v>36</v>
      </c>
    </row>
    <row r="29" spans="1:10" s="3" customFormat="1" x14ac:dyDescent="0.25">
      <c r="A29" s="2">
        <v>0</v>
      </c>
      <c r="B29" s="3" t="s">
        <v>24</v>
      </c>
      <c r="C29" s="3">
        <v>647</v>
      </c>
      <c r="D29" s="3">
        <v>1</v>
      </c>
      <c r="E29" s="3" t="s">
        <v>34</v>
      </c>
      <c r="F29" s="3" t="s">
        <v>35</v>
      </c>
      <c r="G29" s="3" t="str">
        <f>"2026-06-15 05:12:10.049"</f>
        <v>2026-06-15 05:12:10.049</v>
      </c>
      <c r="H29" s="3" t="s">
        <v>22</v>
      </c>
    </row>
    <row r="30" spans="1:10" s="3" customFormat="1" x14ac:dyDescent="0.25">
      <c r="A30" s="2">
        <v>1</v>
      </c>
      <c r="B30" s="3" t="s">
        <v>27</v>
      </c>
      <c r="C30" s="3">
        <v>647</v>
      </c>
      <c r="D30" s="3">
        <v>1</v>
      </c>
      <c r="E30" s="3" t="s">
        <v>34</v>
      </c>
      <c r="F30" s="3" t="s">
        <v>35</v>
      </c>
      <c r="G30" s="3" t="str">
        <f>"2026-06-15 05:12:08.349"</f>
        <v>2026-06-15 05:12:08.349</v>
      </c>
      <c r="H30" s="3" t="s">
        <v>22</v>
      </c>
      <c r="I30" s="3">
        <v>8.2899999999999991</v>
      </c>
      <c r="J30" s="3" t="s">
        <v>36</v>
      </c>
    </row>
    <row r="31" spans="1:10" s="3" customFormat="1" x14ac:dyDescent="0.25">
      <c r="A31" s="2">
        <v>2</v>
      </c>
      <c r="B31" s="3" t="s">
        <v>24</v>
      </c>
      <c r="C31" s="3">
        <v>647</v>
      </c>
      <c r="D31" s="3">
        <v>1</v>
      </c>
      <c r="E31" s="3" t="s">
        <v>34</v>
      </c>
      <c r="F31" s="3" t="s">
        <v>35</v>
      </c>
      <c r="G31" s="3" t="str">
        <f>"2026-06-15 03:45:57.849"</f>
        <v>2026-06-15 03:45:57.849</v>
      </c>
      <c r="H31" s="3" t="s">
        <v>22</v>
      </c>
    </row>
    <row r="32" spans="1:10" s="3" customFormat="1" x14ac:dyDescent="0.25">
      <c r="A32" s="2">
        <v>3</v>
      </c>
      <c r="B32" s="3" t="s">
        <v>27</v>
      </c>
      <c r="C32" s="3">
        <v>647</v>
      </c>
      <c r="D32" s="3">
        <v>1</v>
      </c>
      <c r="E32" s="3" t="s">
        <v>34</v>
      </c>
      <c r="F32" s="3" t="s">
        <v>35</v>
      </c>
      <c r="G32" s="3" t="str">
        <f>"2026-06-15 03:45:52.949"</f>
        <v>2026-06-15 03:45:52.949</v>
      </c>
      <c r="H32" s="3" t="s">
        <v>22</v>
      </c>
      <c r="I32" s="3">
        <v>15.89</v>
      </c>
      <c r="J32" s="3" t="s">
        <v>36</v>
      </c>
    </row>
    <row r="33" spans="1:10" s="3" customFormat="1" x14ac:dyDescent="0.25">
      <c r="A33" s="2">
        <v>4</v>
      </c>
      <c r="B33" s="3" t="s">
        <v>24</v>
      </c>
      <c r="C33" s="3">
        <v>647</v>
      </c>
      <c r="D33" s="3">
        <v>1</v>
      </c>
      <c r="E33" s="3" t="s">
        <v>34</v>
      </c>
      <c r="F33" s="3" t="s">
        <v>35</v>
      </c>
      <c r="G33" s="3" t="str">
        <f>"2026-06-15 03:02:36.449"</f>
        <v>2026-06-15 03:02:36.449</v>
      </c>
      <c r="H33" s="3" t="s">
        <v>22</v>
      </c>
    </row>
    <row r="34" spans="1:10" s="3" customFormat="1" x14ac:dyDescent="0.25">
      <c r="A34" s="2">
        <v>5</v>
      </c>
      <c r="B34" s="3" t="s">
        <v>27</v>
      </c>
      <c r="C34" s="3">
        <v>647</v>
      </c>
      <c r="D34" s="3">
        <v>1</v>
      </c>
      <c r="E34" s="3" t="s">
        <v>34</v>
      </c>
      <c r="F34" s="3" t="s">
        <v>35</v>
      </c>
      <c r="G34" s="3" t="str">
        <f>"2026-06-15 03:02:25.949"</f>
        <v>2026-06-15 03:02:25.949</v>
      </c>
      <c r="H34" s="3" t="s">
        <v>22</v>
      </c>
      <c r="I34" s="3">
        <v>12.3</v>
      </c>
      <c r="J34" s="3" t="s">
        <v>36</v>
      </c>
    </row>
    <row r="35" spans="1:10" s="3" customFormat="1" x14ac:dyDescent="0.25">
      <c r="A35" s="2">
        <v>6</v>
      </c>
      <c r="B35" s="3" t="s">
        <v>24</v>
      </c>
      <c r="C35" s="3">
        <v>647</v>
      </c>
      <c r="D35" s="3">
        <v>1</v>
      </c>
      <c r="E35" s="3" t="s">
        <v>34</v>
      </c>
      <c r="F35" s="3" t="s">
        <v>35</v>
      </c>
      <c r="G35" s="3" t="str">
        <f>"2026-06-15 03:02:20.049"</f>
        <v>2026-06-15 03:02:20.049</v>
      </c>
      <c r="H35" s="3" t="s">
        <v>22</v>
      </c>
    </row>
    <row r="36" spans="1:10" s="3" customFormat="1" x14ac:dyDescent="0.25">
      <c r="A36" s="2">
        <v>7</v>
      </c>
      <c r="B36" s="3" t="s">
        <v>27</v>
      </c>
      <c r="C36" s="3">
        <v>647</v>
      </c>
      <c r="D36" s="3">
        <v>1</v>
      </c>
      <c r="E36" s="3" t="s">
        <v>34</v>
      </c>
      <c r="F36" s="3" t="s">
        <v>35</v>
      </c>
      <c r="G36" s="3" t="str">
        <f>"2026-06-15 03:02:15.749"</f>
        <v>2026-06-15 03:02:15.749</v>
      </c>
      <c r="H36" s="3" t="s">
        <v>22</v>
      </c>
      <c r="I36" s="3">
        <v>12.78</v>
      </c>
      <c r="J36" s="3" t="s">
        <v>36</v>
      </c>
    </row>
    <row r="37" spans="1:10" s="3" customFormat="1" x14ac:dyDescent="0.25">
      <c r="A37" s="2">
        <v>8</v>
      </c>
      <c r="B37" s="3" t="s">
        <v>24</v>
      </c>
      <c r="C37" s="3">
        <v>647</v>
      </c>
      <c r="D37" s="3">
        <v>1</v>
      </c>
      <c r="E37" s="3" t="s">
        <v>34</v>
      </c>
      <c r="F37" s="3" t="s">
        <v>35</v>
      </c>
      <c r="G37" s="3" t="str">
        <f>"2026-06-15 03:02:06.849"</f>
        <v>2026-06-15 03:02:06.849</v>
      </c>
      <c r="H37" s="3" t="s">
        <v>22</v>
      </c>
    </row>
    <row r="38" spans="1:10" s="3" customFormat="1" x14ac:dyDescent="0.25">
      <c r="A38" s="2">
        <v>9</v>
      </c>
      <c r="B38" s="3" t="s">
        <v>27</v>
      </c>
      <c r="C38" s="3">
        <v>647</v>
      </c>
      <c r="D38" s="3">
        <v>1</v>
      </c>
      <c r="E38" s="3" t="s">
        <v>34</v>
      </c>
      <c r="F38" s="3" t="s">
        <v>35</v>
      </c>
      <c r="G38" s="3" t="str">
        <f>"2026-06-15 03:02:05.549"</f>
        <v>2026-06-15 03:02:05.549</v>
      </c>
      <c r="H38" s="3" t="s">
        <v>22</v>
      </c>
      <c r="I38" s="3">
        <v>12.93</v>
      </c>
      <c r="J38" s="3" t="s">
        <v>36</v>
      </c>
    </row>
    <row r="39" spans="1:10" s="3" customFormat="1" x14ac:dyDescent="0.25">
      <c r="A39" s="2">
        <v>0</v>
      </c>
      <c r="B39" s="3" t="s">
        <v>24</v>
      </c>
      <c r="C39" s="3">
        <v>647</v>
      </c>
      <c r="D39" s="3">
        <v>1</v>
      </c>
      <c r="E39" s="3" t="s">
        <v>34</v>
      </c>
      <c r="F39" s="3" t="s">
        <v>35</v>
      </c>
      <c r="G39" s="3" t="str">
        <f>"2026-06-15 00:38:52.549"</f>
        <v>2026-06-15 00:38:52.549</v>
      </c>
      <c r="H39" s="3" t="s">
        <v>22</v>
      </c>
    </row>
    <row r="40" spans="1:10" s="3" customFormat="1" x14ac:dyDescent="0.25">
      <c r="A40" s="2">
        <v>1</v>
      </c>
      <c r="B40" s="3" t="s">
        <v>27</v>
      </c>
      <c r="C40" s="3">
        <v>647</v>
      </c>
      <c r="D40" s="3">
        <v>1</v>
      </c>
      <c r="E40" s="3" t="s">
        <v>34</v>
      </c>
      <c r="F40" s="3" t="s">
        <v>35</v>
      </c>
      <c r="G40" s="3" t="str">
        <f>"2026-06-15 00:38:50.449"</f>
        <v>2026-06-15 00:38:50.449</v>
      </c>
      <c r="H40" s="3" t="s">
        <v>22</v>
      </c>
      <c r="I40" s="3">
        <v>16.88</v>
      </c>
      <c r="J40" s="3" t="s">
        <v>36</v>
      </c>
    </row>
    <row r="41" spans="1:10" x14ac:dyDescent="0.25">
      <c r="A41" s="1">
        <v>2</v>
      </c>
      <c r="B41" t="s">
        <v>24</v>
      </c>
      <c r="C41">
        <v>635</v>
      </c>
      <c r="D41">
        <v>1</v>
      </c>
      <c r="E41" t="s">
        <v>25</v>
      </c>
      <c r="F41" t="s">
        <v>26</v>
      </c>
      <c r="G41" t="str">
        <f>"2026-06-14 23:12:02.001"</f>
        <v>2026-06-14 23:12:02.001</v>
      </c>
      <c r="H41" t="s">
        <v>22</v>
      </c>
    </row>
    <row r="42" spans="1:10" x14ac:dyDescent="0.25">
      <c r="A42" s="1">
        <v>3</v>
      </c>
      <c r="B42" t="s">
        <v>27</v>
      </c>
      <c r="C42">
        <v>635</v>
      </c>
      <c r="D42">
        <v>1</v>
      </c>
      <c r="E42" t="s">
        <v>25</v>
      </c>
      <c r="F42" t="s">
        <v>26</v>
      </c>
      <c r="G42" t="str">
        <f>"2026-06-14 23:08:27.001"</f>
        <v>2026-06-14 23:08:27.001</v>
      </c>
      <c r="H42" t="s">
        <v>22</v>
      </c>
      <c r="I42">
        <v>6.19</v>
      </c>
      <c r="J42" t="s">
        <v>37</v>
      </c>
    </row>
    <row r="43" spans="1:10" s="3" customFormat="1" x14ac:dyDescent="0.25">
      <c r="A43" s="2">
        <v>4</v>
      </c>
      <c r="B43" s="3" t="s">
        <v>24</v>
      </c>
      <c r="C43" s="3">
        <v>647</v>
      </c>
      <c r="D43" s="3">
        <v>1</v>
      </c>
      <c r="E43" s="3" t="s">
        <v>34</v>
      </c>
      <c r="F43" s="3" t="s">
        <v>35</v>
      </c>
      <c r="G43" s="3" t="str">
        <f>"2026-06-14 22:57:31.249"</f>
        <v>2026-06-14 22:57:31.249</v>
      </c>
      <c r="H43" s="3" t="s">
        <v>22</v>
      </c>
    </row>
    <row r="44" spans="1:10" s="3" customFormat="1" x14ac:dyDescent="0.25">
      <c r="A44" s="2">
        <v>5</v>
      </c>
      <c r="B44" s="3" t="s">
        <v>27</v>
      </c>
      <c r="C44" s="3">
        <v>647</v>
      </c>
      <c r="D44" s="3">
        <v>1</v>
      </c>
      <c r="E44" s="3" t="s">
        <v>34</v>
      </c>
      <c r="F44" s="3" t="s">
        <v>35</v>
      </c>
      <c r="G44" s="3" t="str">
        <f>"2026-06-14 22:57:18.349"</f>
        <v>2026-06-14 22:57:18.349</v>
      </c>
      <c r="H44" s="3" t="s">
        <v>22</v>
      </c>
      <c r="I44" s="3">
        <v>11.41</v>
      </c>
      <c r="J44" s="3" t="s">
        <v>36</v>
      </c>
    </row>
    <row r="45" spans="1:10" s="3" customFormat="1" x14ac:dyDescent="0.25">
      <c r="A45" s="2">
        <v>7</v>
      </c>
      <c r="B45" s="3" t="s">
        <v>24</v>
      </c>
      <c r="C45" s="3">
        <v>647</v>
      </c>
      <c r="D45" s="3">
        <v>1</v>
      </c>
      <c r="E45" s="3" t="s">
        <v>34</v>
      </c>
      <c r="F45" s="3" t="s">
        <v>35</v>
      </c>
      <c r="G45" s="3" t="str">
        <f>"2026-06-14 22:13:56.449"</f>
        <v>2026-06-14 22:13:56.449</v>
      </c>
      <c r="H45" s="3" t="s">
        <v>22</v>
      </c>
    </row>
    <row r="46" spans="1:10" s="3" customFormat="1" x14ac:dyDescent="0.25">
      <c r="A46" s="2">
        <v>8</v>
      </c>
      <c r="B46" s="3" t="s">
        <v>27</v>
      </c>
      <c r="C46" s="3">
        <v>647</v>
      </c>
      <c r="D46" s="3">
        <v>1</v>
      </c>
      <c r="E46" s="3" t="s">
        <v>34</v>
      </c>
      <c r="F46" s="3" t="s">
        <v>35</v>
      </c>
      <c r="G46" s="3" t="str">
        <f>"2026-06-14 22:13:50.549"</f>
        <v>2026-06-14 22:13:50.549</v>
      </c>
      <c r="H46" s="3" t="s">
        <v>22</v>
      </c>
      <c r="I46" s="3">
        <v>9.1</v>
      </c>
      <c r="J46" s="3" t="s">
        <v>36</v>
      </c>
    </row>
    <row r="47" spans="1:10" s="3" customFormat="1" x14ac:dyDescent="0.25">
      <c r="A47" s="2">
        <v>9</v>
      </c>
      <c r="B47" s="3" t="s">
        <v>24</v>
      </c>
      <c r="C47" s="3">
        <v>647</v>
      </c>
      <c r="D47" s="3">
        <v>1</v>
      </c>
      <c r="E47" s="3" t="s">
        <v>34</v>
      </c>
      <c r="F47" s="3" t="s">
        <v>35</v>
      </c>
      <c r="G47" s="3" t="str">
        <f>"2026-06-14 21:39:58.749"</f>
        <v>2026-06-14 21:39:58.749</v>
      </c>
      <c r="H47" s="3" t="s">
        <v>22</v>
      </c>
    </row>
    <row r="48" spans="1:10" s="3" customFormat="1" x14ac:dyDescent="0.25">
      <c r="A48" s="2">
        <v>0</v>
      </c>
      <c r="B48" s="3" t="s">
        <v>27</v>
      </c>
      <c r="C48" s="3">
        <v>647</v>
      </c>
      <c r="D48" s="3">
        <v>1</v>
      </c>
      <c r="E48" s="3" t="s">
        <v>34</v>
      </c>
      <c r="F48" s="3" t="s">
        <v>35</v>
      </c>
      <c r="G48" s="3" t="str">
        <f>"2026-06-14 21:39:55.849"</f>
        <v>2026-06-14 21:39:55.849</v>
      </c>
      <c r="H48" s="3" t="s">
        <v>22</v>
      </c>
      <c r="I48" s="3">
        <v>18.12</v>
      </c>
      <c r="J48" s="3" t="s">
        <v>36</v>
      </c>
    </row>
    <row r="49" spans="1:10" s="3" customFormat="1" x14ac:dyDescent="0.25">
      <c r="A49" s="2">
        <v>1</v>
      </c>
      <c r="B49" s="3" t="s">
        <v>24</v>
      </c>
      <c r="C49" s="3">
        <v>647</v>
      </c>
      <c r="D49" s="3">
        <v>1</v>
      </c>
      <c r="E49" s="3" t="s">
        <v>34</v>
      </c>
      <c r="F49" s="3" t="s">
        <v>35</v>
      </c>
      <c r="G49" s="3" t="str">
        <f>"2026-06-14 21:37:04.149"</f>
        <v>2026-06-14 21:37:04.149</v>
      </c>
      <c r="H49" s="3" t="s">
        <v>22</v>
      </c>
    </row>
    <row r="50" spans="1:10" s="3" customFormat="1" x14ac:dyDescent="0.25">
      <c r="A50" s="2">
        <v>2</v>
      </c>
      <c r="B50" s="3" t="s">
        <v>27</v>
      </c>
      <c r="C50" s="3">
        <v>647</v>
      </c>
      <c r="D50" s="3">
        <v>1</v>
      </c>
      <c r="E50" s="3" t="s">
        <v>34</v>
      </c>
      <c r="F50" s="3" t="s">
        <v>35</v>
      </c>
      <c r="G50" s="3" t="str">
        <f>"2026-06-14 21:36:57.049"</f>
        <v>2026-06-14 21:36:57.049</v>
      </c>
      <c r="H50" s="3" t="s">
        <v>22</v>
      </c>
      <c r="I50" s="3">
        <v>9.9</v>
      </c>
      <c r="J50" s="3" t="s">
        <v>36</v>
      </c>
    </row>
    <row r="51" spans="1:10" s="3" customFormat="1" x14ac:dyDescent="0.25">
      <c r="A51" s="2">
        <v>3</v>
      </c>
      <c r="B51" s="3" t="s">
        <v>24</v>
      </c>
      <c r="C51" s="3">
        <v>647</v>
      </c>
      <c r="D51" s="3">
        <v>1</v>
      </c>
      <c r="E51" s="3" t="s">
        <v>34</v>
      </c>
      <c r="F51" s="3" t="s">
        <v>35</v>
      </c>
      <c r="G51" s="3" t="str">
        <f>"2026-06-14 21:36:28.949"</f>
        <v>2026-06-14 21:36:28.949</v>
      </c>
      <c r="H51" s="3" t="s">
        <v>22</v>
      </c>
    </row>
    <row r="52" spans="1:10" s="3" customFormat="1" x14ac:dyDescent="0.25">
      <c r="A52" s="2">
        <v>4</v>
      </c>
      <c r="B52" s="3" t="s">
        <v>27</v>
      </c>
      <c r="C52" s="3">
        <v>647</v>
      </c>
      <c r="D52" s="3">
        <v>1</v>
      </c>
      <c r="E52" s="3" t="s">
        <v>34</v>
      </c>
      <c r="F52" s="3" t="s">
        <v>35</v>
      </c>
      <c r="G52" s="3" t="str">
        <f>"2026-06-14 21:36:25.049"</f>
        <v>2026-06-14 21:36:25.049</v>
      </c>
      <c r="H52" s="3" t="s">
        <v>22</v>
      </c>
      <c r="I52" s="3">
        <v>10.98</v>
      </c>
      <c r="J52" s="3" t="s">
        <v>36</v>
      </c>
    </row>
    <row r="53" spans="1:10" s="3" customFormat="1" x14ac:dyDescent="0.25">
      <c r="A53" s="2">
        <v>5</v>
      </c>
      <c r="B53" s="3" t="s">
        <v>24</v>
      </c>
      <c r="C53" s="3">
        <v>647</v>
      </c>
      <c r="D53" s="3">
        <v>1</v>
      </c>
      <c r="E53" s="3" t="s">
        <v>34</v>
      </c>
      <c r="F53" s="3" t="s">
        <v>35</v>
      </c>
      <c r="G53" s="3" t="str">
        <f>"2026-06-14 04:47:02.349"</f>
        <v>2026-06-14 04:47:02.349</v>
      </c>
      <c r="H53" s="3" t="s">
        <v>22</v>
      </c>
    </row>
    <row r="54" spans="1:10" s="3" customFormat="1" x14ac:dyDescent="0.25">
      <c r="A54" s="2">
        <v>6</v>
      </c>
      <c r="B54" s="3" t="s">
        <v>27</v>
      </c>
      <c r="C54" s="3">
        <v>647</v>
      </c>
      <c r="D54" s="3">
        <v>1</v>
      </c>
      <c r="E54" s="3" t="s">
        <v>34</v>
      </c>
      <c r="F54" s="3" t="s">
        <v>35</v>
      </c>
      <c r="G54" s="3" t="str">
        <f>"2026-06-14 04:46:44.049"</f>
        <v>2026-06-14 04:46:44.049</v>
      </c>
      <c r="H54" s="3" t="s">
        <v>22</v>
      </c>
      <c r="I54" s="3">
        <v>9.1</v>
      </c>
      <c r="J54" s="3" t="s">
        <v>36</v>
      </c>
    </row>
    <row r="55" spans="1:10" x14ac:dyDescent="0.25">
      <c r="A55" s="1">
        <v>7</v>
      </c>
      <c r="B55" t="s">
        <v>24</v>
      </c>
      <c r="C55">
        <v>630</v>
      </c>
      <c r="D55">
        <v>5</v>
      </c>
      <c r="E55" t="s">
        <v>29</v>
      </c>
      <c r="F55" t="s">
        <v>30</v>
      </c>
      <c r="G55" t="str">
        <f>"2026-06-13 11:15:39.649"</f>
        <v>2026-06-13 11:15:39.649</v>
      </c>
      <c r="H55" t="s">
        <v>31</v>
      </c>
    </row>
    <row r="56" spans="1:10" x14ac:dyDescent="0.25">
      <c r="A56" s="1">
        <v>8</v>
      </c>
      <c r="B56" t="s">
        <v>19</v>
      </c>
      <c r="C56">
        <v>706</v>
      </c>
      <c r="D56">
        <v>2</v>
      </c>
      <c r="E56" t="s">
        <v>20</v>
      </c>
      <c r="F56" t="s">
        <v>21</v>
      </c>
      <c r="G56" t="str">
        <f>"2026-06-13 11:15:09.581"</f>
        <v>2026-06-13 11:15:09.581</v>
      </c>
      <c r="H56" t="s">
        <v>22</v>
      </c>
      <c r="I56">
        <v>0</v>
      </c>
      <c r="J56" t="s">
        <v>23</v>
      </c>
    </row>
    <row r="57" spans="1:10" x14ac:dyDescent="0.25">
      <c r="A57" s="1">
        <v>9</v>
      </c>
      <c r="B57" t="s">
        <v>32</v>
      </c>
      <c r="C57">
        <v>630</v>
      </c>
      <c r="D57">
        <v>5</v>
      </c>
      <c r="E57" t="s">
        <v>29</v>
      </c>
      <c r="F57" t="s">
        <v>30</v>
      </c>
      <c r="G57" t="str">
        <f>"2026-06-13 11:04:39.749"</f>
        <v>2026-06-13 11:04:39.749</v>
      </c>
      <c r="H57" t="s">
        <v>31</v>
      </c>
      <c r="I57">
        <v>0</v>
      </c>
      <c r="J57" t="s">
        <v>23</v>
      </c>
    </row>
    <row r="58" spans="1:10" s="3" customFormat="1" x14ac:dyDescent="0.25">
      <c r="A58" s="2">
        <v>0</v>
      </c>
      <c r="B58" s="3" t="s">
        <v>24</v>
      </c>
      <c r="C58" s="3">
        <v>647</v>
      </c>
      <c r="D58" s="3">
        <v>1</v>
      </c>
      <c r="E58" s="3" t="s">
        <v>34</v>
      </c>
      <c r="F58" s="3" t="s">
        <v>35</v>
      </c>
      <c r="G58" s="3" t="str">
        <f>"2026-06-13 01:39:57.249"</f>
        <v>2026-06-13 01:39:57.249</v>
      </c>
      <c r="H58" s="3" t="s">
        <v>22</v>
      </c>
    </row>
    <row r="59" spans="1:10" s="3" customFormat="1" x14ac:dyDescent="0.25">
      <c r="A59" s="2">
        <v>1</v>
      </c>
      <c r="B59" s="3" t="s">
        <v>27</v>
      </c>
      <c r="C59" s="3">
        <v>647</v>
      </c>
      <c r="D59" s="3">
        <v>1</v>
      </c>
      <c r="E59" s="3" t="s">
        <v>34</v>
      </c>
      <c r="F59" s="3" t="s">
        <v>35</v>
      </c>
      <c r="G59" s="3" t="str">
        <f>"2026-06-13 01:39:53.549"</f>
        <v>2026-06-13 01:39:53.549</v>
      </c>
      <c r="H59" s="3" t="s">
        <v>22</v>
      </c>
      <c r="I59" s="3">
        <v>17.46</v>
      </c>
      <c r="J59" s="3" t="s">
        <v>36</v>
      </c>
    </row>
    <row r="60" spans="1:10" s="3" customFormat="1" x14ac:dyDescent="0.25">
      <c r="A60" s="2">
        <v>2</v>
      </c>
      <c r="B60" s="3" t="s">
        <v>24</v>
      </c>
      <c r="C60" s="3">
        <v>647</v>
      </c>
      <c r="D60" s="3">
        <v>1</v>
      </c>
      <c r="E60" s="3" t="s">
        <v>34</v>
      </c>
      <c r="F60" s="3" t="s">
        <v>35</v>
      </c>
      <c r="G60" s="3" t="str">
        <f>"2026-06-12 22:48:18.549"</f>
        <v>2026-06-12 22:48:18.549</v>
      </c>
      <c r="H60" s="3" t="s">
        <v>22</v>
      </c>
    </row>
    <row r="61" spans="1:10" s="3" customFormat="1" x14ac:dyDescent="0.25">
      <c r="A61" s="2">
        <v>3</v>
      </c>
      <c r="B61" s="3" t="s">
        <v>27</v>
      </c>
      <c r="C61" s="3">
        <v>647</v>
      </c>
      <c r="D61" s="3">
        <v>1</v>
      </c>
      <c r="E61" s="3" t="s">
        <v>34</v>
      </c>
      <c r="F61" s="3" t="s">
        <v>35</v>
      </c>
      <c r="G61" s="3" t="str">
        <f>"2026-06-12 22:48:07.249"</f>
        <v>2026-06-12 22:48:07.249</v>
      </c>
      <c r="H61" s="3" t="s">
        <v>22</v>
      </c>
      <c r="I61" s="3">
        <v>17.32</v>
      </c>
      <c r="J61" s="3" t="s">
        <v>36</v>
      </c>
    </row>
    <row r="62" spans="1:10" s="3" customFormat="1" x14ac:dyDescent="0.25">
      <c r="A62" s="2">
        <v>4</v>
      </c>
      <c r="B62" s="3" t="s">
        <v>24</v>
      </c>
      <c r="C62" s="3">
        <v>647</v>
      </c>
      <c r="D62" s="3">
        <v>1</v>
      </c>
      <c r="E62" s="3" t="s">
        <v>34</v>
      </c>
      <c r="F62" s="3" t="s">
        <v>35</v>
      </c>
      <c r="G62" s="3" t="str">
        <f>"2026-06-12 06:36:09.849"</f>
        <v>2026-06-12 06:36:09.849</v>
      </c>
      <c r="H62" s="3" t="s">
        <v>22</v>
      </c>
    </row>
    <row r="63" spans="1:10" s="3" customFormat="1" x14ac:dyDescent="0.25">
      <c r="A63" s="2">
        <v>5</v>
      </c>
      <c r="B63" s="3" t="s">
        <v>27</v>
      </c>
      <c r="C63" s="3">
        <v>647</v>
      </c>
      <c r="D63" s="3">
        <v>1</v>
      </c>
      <c r="E63" s="3" t="s">
        <v>34</v>
      </c>
      <c r="F63" s="3" t="s">
        <v>35</v>
      </c>
      <c r="G63" s="3" t="str">
        <f>"2026-06-12 06:36:06.749"</f>
        <v>2026-06-12 06:36:06.749</v>
      </c>
      <c r="H63" s="3" t="s">
        <v>22</v>
      </c>
      <c r="I63" s="3">
        <v>13.99</v>
      </c>
      <c r="J63" s="3" t="s">
        <v>36</v>
      </c>
    </row>
    <row r="64" spans="1:10" x14ac:dyDescent="0.25">
      <c r="A64" s="1">
        <v>6</v>
      </c>
      <c r="B64" t="s">
        <v>24</v>
      </c>
      <c r="C64">
        <v>98</v>
      </c>
      <c r="D64">
        <v>1</v>
      </c>
      <c r="E64" t="s">
        <v>38</v>
      </c>
      <c r="F64" t="s">
        <v>39</v>
      </c>
      <c r="G64" t="str">
        <f>"2026-06-11 13:37:24.882"</f>
        <v>2026-06-11 13:37:24.882</v>
      </c>
      <c r="H64" t="s">
        <v>22</v>
      </c>
    </row>
    <row r="65" spans="1:10" x14ac:dyDescent="0.25">
      <c r="A65" s="1">
        <v>7</v>
      </c>
      <c r="B65" t="s">
        <v>27</v>
      </c>
      <c r="C65">
        <v>98</v>
      </c>
      <c r="D65">
        <v>1</v>
      </c>
      <c r="E65" t="s">
        <v>38</v>
      </c>
      <c r="F65" t="s">
        <v>39</v>
      </c>
      <c r="G65" t="str">
        <f>"2026-06-11 13:37:23.482"</f>
        <v>2026-06-11 13:37:23.482</v>
      </c>
      <c r="H65" t="s">
        <v>22</v>
      </c>
      <c r="I65">
        <v>0</v>
      </c>
      <c r="J65" t="s">
        <v>37</v>
      </c>
    </row>
    <row r="66" spans="1:10" x14ac:dyDescent="0.25">
      <c r="A66" s="1">
        <v>8</v>
      </c>
      <c r="B66" t="s">
        <v>24</v>
      </c>
      <c r="C66">
        <v>630</v>
      </c>
      <c r="D66">
        <v>5</v>
      </c>
      <c r="E66" t="s">
        <v>29</v>
      </c>
      <c r="F66" t="s">
        <v>30</v>
      </c>
      <c r="G66" t="str">
        <f>"2026-06-11 12:12:03.049"</f>
        <v>2026-06-11 12:12:03.049</v>
      </c>
      <c r="H66" t="s">
        <v>31</v>
      </c>
    </row>
    <row r="67" spans="1:10" x14ac:dyDescent="0.25">
      <c r="A67" s="1">
        <v>9</v>
      </c>
      <c r="B67" t="s">
        <v>19</v>
      </c>
      <c r="C67">
        <v>706</v>
      </c>
      <c r="D67">
        <v>4</v>
      </c>
      <c r="E67" t="s">
        <v>20</v>
      </c>
      <c r="F67" t="s">
        <v>40</v>
      </c>
      <c r="G67" t="str">
        <f>"2026-06-11 12:11:32.931"</f>
        <v>2026-06-11 12:11:32.931</v>
      </c>
      <c r="H67" t="s">
        <v>22</v>
      </c>
      <c r="I67">
        <v>0</v>
      </c>
      <c r="J67" t="s">
        <v>23</v>
      </c>
    </row>
    <row r="68" spans="1:10" x14ac:dyDescent="0.25">
      <c r="A68" s="1">
        <v>0</v>
      </c>
      <c r="B68" t="s">
        <v>32</v>
      </c>
      <c r="C68">
        <v>630</v>
      </c>
      <c r="D68">
        <v>5</v>
      </c>
      <c r="E68" t="s">
        <v>29</v>
      </c>
      <c r="F68" t="s">
        <v>30</v>
      </c>
      <c r="G68" t="str">
        <f>"2026-06-11 11:45:44.249"</f>
        <v>2026-06-11 11:45:44.249</v>
      </c>
      <c r="H68" t="s">
        <v>31</v>
      </c>
      <c r="I68">
        <v>0</v>
      </c>
      <c r="J68" t="s">
        <v>23</v>
      </c>
    </row>
    <row r="69" spans="1:10" x14ac:dyDescent="0.25">
      <c r="A69" s="1">
        <v>1</v>
      </c>
      <c r="B69" t="s">
        <v>24</v>
      </c>
      <c r="C69">
        <v>635</v>
      </c>
      <c r="D69">
        <v>1</v>
      </c>
      <c r="E69" t="s">
        <v>25</v>
      </c>
      <c r="F69" t="s">
        <v>26</v>
      </c>
      <c r="G69" t="str">
        <f>"2026-06-11 09:41:59.401"</f>
        <v>2026-06-11 09:41:59.401</v>
      </c>
      <c r="H69" t="s">
        <v>22</v>
      </c>
    </row>
    <row r="70" spans="1:10" x14ac:dyDescent="0.25">
      <c r="A70" s="1">
        <v>2</v>
      </c>
      <c r="B70" t="s">
        <v>27</v>
      </c>
      <c r="C70">
        <v>635</v>
      </c>
      <c r="D70">
        <v>1</v>
      </c>
      <c r="E70" t="s">
        <v>25</v>
      </c>
      <c r="F70" t="s">
        <v>26</v>
      </c>
      <c r="G70" t="str">
        <f>"2026-06-11 09:38:47.401"</f>
        <v>2026-06-11 09:38:47.401</v>
      </c>
      <c r="H70" t="s">
        <v>22</v>
      </c>
      <c r="I70">
        <v>2.4700000000000002</v>
      </c>
      <c r="J70" t="s">
        <v>28</v>
      </c>
    </row>
    <row r="71" spans="1:10" s="3" customFormat="1" x14ac:dyDescent="0.25">
      <c r="A71" s="2">
        <v>3</v>
      </c>
      <c r="B71" s="3" t="s">
        <v>24</v>
      </c>
      <c r="C71" s="3">
        <v>647</v>
      </c>
      <c r="D71" s="3">
        <v>1</v>
      </c>
      <c r="E71" s="3" t="s">
        <v>34</v>
      </c>
      <c r="F71" s="3" t="s">
        <v>35</v>
      </c>
      <c r="G71" s="3" t="str">
        <f>"2026-06-09 22:54:35.849"</f>
        <v>2026-06-09 22:54:35.849</v>
      </c>
      <c r="H71" s="3" t="s">
        <v>22</v>
      </c>
    </row>
    <row r="72" spans="1:10" s="3" customFormat="1" x14ac:dyDescent="0.25">
      <c r="A72" s="2">
        <v>4</v>
      </c>
      <c r="B72" s="3" t="s">
        <v>27</v>
      </c>
      <c r="C72" s="3">
        <v>647</v>
      </c>
      <c r="D72" s="3">
        <v>1</v>
      </c>
      <c r="E72" s="3" t="s">
        <v>34</v>
      </c>
      <c r="F72" s="3" t="s">
        <v>35</v>
      </c>
      <c r="G72" s="3" t="str">
        <f>"2026-06-09 22:54:30.349"</f>
        <v>2026-06-09 22:54:30.349</v>
      </c>
      <c r="H72" s="3" t="s">
        <v>22</v>
      </c>
      <c r="I72" s="3">
        <v>12.29</v>
      </c>
      <c r="J72" s="3" t="s">
        <v>36</v>
      </c>
    </row>
    <row r="73" spans="1:10" x14ac:dyDescent="0.25">
      <c r="A73" s="1">
        <v>5</v>
      </c>
      <c r="B73" t="s">
        <v>24</v>
      </c>
      <c r="C73">
        <v>630</v>
      </c>
      <c r="D73">
        <v>5</v>
      </c>
      <c r="E73" t="s">
        <v>29</v>
      </c>
      <c r="F73" t="s">
        <v>30</v>
      </c>
      <c r="G73" t="str">
        <f>"2026-06-09 09:31:57.649"</f>
        <v>2026-06-09 09:31:57.649</v>
      </c>
      <c r="H73" t="s">
        <v>31</v>
      </c>
    </row>
    <row r="74" spans="1:10" x14ac:dyDescent="0.25">
      <c r="A74" s="1">
        <v>6</v>
      </c>
      <c r="B74" t="s">
        <v>19</v>
      </c>
      <c r="C74">
        <v>706</v>
      </c>
      <c r="D74">
        <v>2</v>
      </c>
      <c r="E74" t="s">
        <v>20</v>
      </c>
      <c r="F74" t="s">
        <v>21</v>
      </c>
      <c r="G74" t="str">
        <f>"2026-06-09 09:31:27.581"</f>
        <v>2026-06-09 09:31:27.581</v>
      </c>
      <c r="H74" t="s">
        <v>22</v>
      </c>
      <c r="I74">
        <v>0</v>
      </c>
      <c r="J74" t="s">
        <v>23</v>
      </c>
    </row>
    <row r="75" spans="1:10" x14ac:dyDescent="0.25">
      <c r="A75" s="1">
        <v>7</v>
      </c>
      <c r="B75" t="s">
        <v>32</v>
      </c>
      <c r="C75">
        <v>630</v>
      </c>
      <c r="D75">
        <v>5</v>
      </c>
      <c r="E75" t="s">
        <v>29</v>
      </c>
      <c r="F75" t="s">
        <v>30</v>
      </c>
      <c r="G75" t="str">
        <f>"2026-06-09 09:29:19.349"</f>
        <v>2026-06-09 09:29:19.349</v>
      </c>
      <c r="H75" t="s">
        <v>31</v>
      </c>
      <c r="I75">
        <v>0</v>
      </c>
      <c r="J75" t="s">
        <v>23</v>
      </c>
    </row>
    <row r="76" spans="1:10" s="3" customFormat="1" x14ac:dyDescent="0.25">
      <c r="A76" s="2">
        <v>8</v>
      </c>
      <c r="B76" s="3" t="s">
        <v>24</v>
      </c>
      <c r="C76" s="3">
        <v>647</v>
      </c>
      <c r="D76" s="3">
        <v>1</v>
      </c>
      <c r="E76" s="3" t="s">
        <v>34</v>
      </c>
      <c r="F76" s="3" t="s">
        <v>35</v>
      </c>
      <c r="G76" s="3" t="str">
        <f>"2026-06-09 06:24:20.849"</f>
        <v>2026-06-09 06:24:20.849</v>
      </c>
      <c r="H76" s="3" t="s">
        <v>22</v>
      </c>
    </row>
    <row r="77" spans="1:10" s="3" customFormat="1" x14ac:dyDescent="0.25">
      <c r="A77" s="2">
        <v>9</v>
      </c>
      <c r="B77" s="3" t="s">
        <v>27</v>
      </c>
      <c r="C77" s="3">
        <v>647</v>
      </c>
      <c r="D77" s="3">
        <v>1</v>
      </c>
      <c r="E77" s="3" t="s">
        <v>34</v>
      </c>
      <c r="F77" s="3" t="s">
        <v>35</v>
      </c>
      <c r="G77" s="3" t="str">
        <f>"2026-06-09 06:24:14.949"</f>
        <v>2026-06-09 06:24:14.949</v>
      </c>
      <c r="H77" s="3" t="s">
        <v>22</v>
      </c>
      <c r="I77" s="3">
        <v>8.9600000000000009</v>
      </c>
      <c r="J77" s="3" t="s">
        <v>36</v>
      </c>
    </row>
    <row r="78" spans="1:10" s="3" customFormat="1" x14ac:dyDescent="0.25">
      <c r="A78" s="2">
        <v>0</v>
      </c>
      <c r="B78" s="3" t="s">
        <v>24</v>
      </c>
      <c r="C78" s="3">
        <v>647</v>
      </c>
      <c r="D78" s="3">
        <v>1</v>
      </c>
      <c r="E78" s="3" t="s">
        <v>34</v>
      </c>
      <c r="F78" s="3" t="s">
        <v>35</v>
      </c>
      <c r="G78" s="3" t="str">
        <f>"2026-06-08 04:05:40.549"</f>
        <v>2026-06-08 04:05:40.549</v>
      </c>
      <c r="H78" s="3" t="s">
        <v>22</v>
      </c>
    </row>
    <row r="79" spans="1:10" s="3" customFormat="1" x14ac:dyDescent="0.25">
      <c r="A79" s="2">
        <v>1</v>
      </c>
      <c r="B79" s="3" t="s">
        <v>27</v>
      </c>
      <c r="C79" s="3">
        <v>647</v>
      </c>
      <c r="D79" s="3">
        <v>1</v>
      </c>
      <c r="E79" s="3" t="s">
        <v>34</v>
      </c>
      <c r="F79" s="3" t="s">
        <v>35</v>
      </c>
      <c r="G79" s="3" t="str">
        <f>"2026-06-08 04:05:35.649"</f>
        <v>2026-06-08 04:05:35.649</v>
      </c>
      <c r="H79" s="3" t="s">
        <v>22</v>
      </c>
      <c r="I79" s="3">
        <v>11.8</v>
      </c>
      <c r="J79" s="3" t="s">
        <v>36</v>
      </c>
    </row>
    <row r="80" spans="1:10" s="3" customFormat="1" x14ac:dyDescent="0.25">
      <c r="A80" s="2">
        <v>2</v>
      </c>
      <c r="B80" s="3" t="s">
        <v>24</v>
      </c>
      <c r="C80" s="3">
        <v>647</v>
      </c>
      <c r="D80" s="3">
        <v>1</v>
      </c>
      <c r="E80" s="3" t="s">
        <v>34</v>
      </c>
      <c r="F80" s="3" t="s">
        <v>35</v>
      </c>
      <c r="G80" s="3" t="str">
        <f>"2026-06-08 01:34:41.449"</f>
        <v>2026-06-08 01:34:41.449</v>
      </c>
      <c r="H80" s="3" t="s">
        <v>22</v>
      </c>
    </row>
    <row r="81" spans="1:10" s="3" customFormat="1" x14ac:dyDescent="0.25">
      <c r="A81" s="2">
        <v>3</v>
      </c>
      <c r="B81" s="3" t="s">
        <v>27</v>
      </c>
      <c r="C81" s="3">
        <v>647</v>
      </c>
      <c r="D81" s="3">
        <v>1</v>
      </c>
      <c r="E81" s="3" t="s">
        <v>34</v>
      </c>
      <c r="F81" s="3" t="s">
        <v>35</v>
      </c>
      <c r="G81" s="3" t="str">
        <f>"2026-06-08 01:34:28.950"</f>
        <v>2026-06-08 01:34:28.950</v>
      </c>
      <c r="H81" s="3" t="s">
        <v>22</v>
      </c>
      <c r="I81" s="3">
        <v>24.3</v>
      </c>
      <c r="J81" s="3" t="s">
        <v>36</v>
      </c>
    </row>
    <row r="82" spans="1:10" x14ac:dyDescent="0.25">
      <c r="A82" s="1">
        <v>5</v>
      </c>
      <c r="B82" t="s">
        <v>19</v>
      </c>
      <c r="C82">
        <v>700</v>
      </c>
      <c r="D82">
        <v>0</v>
      </c>
      <c r="E82" t="s">
        <v>33</v>
      </c>
      <c r="F82" t="s">
        <v>33</v>
      </c>
      <c r="G82" t="str">
        <f>"2026-06-07 13:37:38.021"</f>
        <v>2026-06-07 13:37:38.021</v>
      </c>
      <c r="H82" t="s">
        <v>22</v>
      </c>
    </row>
    <row r="83" spans="1:10" x14ac:dyDescent="0.25">
      <c r="A83" s="1">
        <v>6</v>
      </c>
      <c r="B83" t="s">
        <v>19</v>
      </c>
      <c r="C83">
        <v>700</v>
      </c>
      <c r="D83">
        <v>0</v>
      </c>
      <c r="E83" t="s">
        <v>33</v>
      </c>
      <c r="F83" t="s">
        <v>33</v>
      </c>
      <c r="G83" t="str">
        <f>"2026-06-07 06:02:26.027"</f>
        <v>2026-06-07 06:02:26.027</v>
      </c>
      <c r="H83" t="s">
        <v>22</v>
      </c>
    </row>
    <row r="84" spans="1:10" x14ac:dyDescent="0.25">
      <c r="A84" s="1">
        <v>7</v>
      </c>
      <c r="B84" t="s">
        <v>24</v>
      </c>
      <c r="C84">
        <v>630</v>
      </c>
      <c r="D84">
        <v>5</v>
      </c>
      <c r="E84" t="s">
        <v>29</v>
      </c>
      <c r="F84" t="s">
        <v>30</v>
      </c>
      <c r="G84" t="str">
        <f>"2026-06-07 05:41:02.737"</f>
        <v>2026-06-07 05:41:02.737</v>
      </c>
      <c r="H84" t="s">
        <v>31</v>
      </c>
    </row>
    <row r="85" spans="1:10" x14ac:dyDescent="0.25">
      <c r="A85" s="1">
        <v>8</v>
      </c>
      <c r="B85" t="s">
        <v>19</v>
      </c>
      <c r="C85">
        <v>706</v>
      </c>
      <c r="D85">
        <v>2</v>
      </c>
      <c r="E85" t="s">
        <v>20</v>
      </c>
      <c r="F85" t="s">
        <v>21</v>
      </c>
      <c r="G85" t="str">
        <f>"2026-06-07 05:40:32.731"</f>
        <v>2026-06-07 05:40:32.731</v>
      </c>
      <c r="H85" t="s">
        <v>22</v>
      </c>
      <c r="I85">
        <v>0</v>
      </c>
      <c r="J85" t="s">
        <v>23</v>
      </c>
    </row>
    <row r="86" spans="1:10" x14ac:dyDescent="0.25">
      <c r="A86" s="1">
        <v>9</v>
      </c>
      <c r="B86" t="s">
        <v>32</v>
      </c>
      <c r="C86">
        <v>630</v>
      </c>
      <c r="D86">
        <v>5</v>
      </c>
      <c r="E86" t="s">
        <v>29</v>
      </c>
      <c r="F86" t="s">
        <v>30</v>
      </c>
      <c r="G86" t="str">
        <f>"2026-06-07 05:37:39.237"</f>
        <v>2026-06-07 05:37:39.237</v>
      </c>
      <c r="H86" t="s">
        <v>31</v>
      </c>
      <c r="I86">
        <v>0</v>
      </c>
      <c r="J86" t="s">
        <v>23</v>
      </c>
    </row>
    <row r="87" spans="1:10" x14ac:dyDescent="0.25">
      <c r="A87" s="1">
        <v>0</v>
      </c>
      <c r="B87" t="s">
        <v>19</v>
      </c>
      <c r="C87">
        <v>706</v>
      </c>
      <c r="D87">
        <v>4</v>
      </c>
      <c r="E87" t="s">
        <v>20</v>
      </c>
      <c r="F87" t="s">
        <v>40</v>
      </c>
      <c r="G87" t="str">
        <f>"2026-06-07 05:32:32.291"</f>
        <v>2026-06-07 05:32:32.291</v>
      </c>
      <c r="H87" t="s">
        <v>22</v>
      </c>
      <c r="I87">
        <v>0</v>
      </c>
      <c r="J87" t="s">
        <v>23</v>
      </c>
    </row>
    <row r="88" spans="1:10" x14ac:dyDescent="0.25">
      <c r="A88" s="1">
        <v>1</v>
      </c>
      <c r="B88" t="s">
        <v>19</v>
      </c>
      <c r="C88">
        <v>700</v>
      </c>
      <c r="D88">
        <v>0</v>
      </c>
      <c r="E88" t="s">
        <v>33</v>
      </c>
      <c r="F88" t="s">
        <v>33</v>
      </c>
      <c r="G88" t="str">
        <f>"2026-06-07 05:29:53.261"</f>
        <v>2026-06-07 05:29:53.261</v>
      </c>
      <c r="H88" t="s">
        <v>22</v>
      </c>
    </row>
    <row r="89" spans="1:10" x14ac:dyDescent="0.25">
      <c r="A89" s="1">
        <v>2</v>
      </c>
      <c r="B89" t="s">
        <v>32</v>
      </c>
      <c r="C89">
        <v>630</v>
      </c>
      <c r="D89">
        <v>5</v>
      </c>
      <c r="E89" t="s">
        <v>29</v>
      </c>
      <c r="F89" t="s">
        <v>30</v>
      </c>
      <c r="G89" t="str">
        <f>"2026-06-07 05:24:46.782"</f>
        <v>2026-06-07 05:24:46.782</v>
      </c>
      <c r="H89" t="s">
        <v>31</v>
      </c>
      <c r="I89">
        <v>0</v>
      </c>
      <c r="J89" t="s">
        <v>23</v>
      </c>
    </row>
    <row r="90" spans="1:10" x14ac:dyDescent="0.25">
      <c r="A90" s="1">
        <v>3</v>
      </c>
      <c r="B90" t="s">
        <v>19</v>
      </c>
      <c r="C90">
        <v>700</v>
      </c>
      <c r="D90">
        <v>0</v>
      </c>
      <c r="E90" t="s">
        <v>33</v>
      </c>
      <c r="F90" t="s">
        <v>33</v>
      </c>
      <c r="G90" t="str">
        <f>"2026-06-07 05:19:44.038"</f>
        <v>2026-06-07 05:19:44.038</v>
      </c>
      <c r="H90" t="s">
        <v>22</v>
      </c>
    </row>
    <row r="91" spans="1:10" x14ac:dyDescent="0.25">
      <c r="A91" s="1">
        <v>4</v>
      </c>
      <c r="B91" t="s">
        <v>19</v>
      </c>
      <c r="C91">
        <v>706</v>
      </c>
      <c r="D91">
        <v>4</v>
      </c>
      <c r="E91" t="s">
        <v>20</v>
      </c>
      <c r="F91" t="s">
        <v>40</v>
      </c>
      <c r="G91" t="str">
        <f>"2026-06-06 21:17:41.044"</f>
        <v>2026-06-06 21:17:41.044</v>
      </c>
      <c r="H91" t="s">
        <v>22</v>
      </c>
      <c r="I91">
        <v>0</v>
      </c>
      <c r="J91" t="s">
        <v>23</v>
      </c>
    </row>
    <row r="92" spans="1:10" x14ac:dyDescent="0.25">
      <c r="A92" s="1">
        <v>5</v>
      </c>
      <c r="B92" t="s">
        <v>19</v>
      </c>
      <c r="C92">
        <v>700</v>
      </c>
      <c r="D92">
        <v>0</v>
      </c>
      <c r="E92" t="s">
        <v>33</v>
      </c>
      <c r="F92" t="s">
        <v>33</v>
      </c>
      <c r="G92" t="str">
        <f>"2026-06-06 21:17:20.184"</f>
        <v>2026-06-06 21:17:20.184</v>
      </c>
      <c r="H92" t="s">
        <v>22</v>
      </c>
    </row>
    <row r="93" spans="1:10" x14ac:dyDescent="0.25">
      <c r="A93" s="1">
        <v>6</v>
      </c>
      <c r="B93" t="s">
        <v>19</v>
      </c>
      <c r="C93">
        <v>706</v>
      </c>
      <c r="D93">
        <v>2</v>
      </c>
      <c r="E93" t="s">
        <v>20</v>
      </c>
      <c r="F93" t="s">
        <v>21</v>
      </c>
      <c r="G93" t="str">
        <f>"2026-06-06 14:25:30.089"</f>
        <v>2026-06-06 14:25:30.089</v>
      </c>
      <c r="H93" t="s">
        <v>22</v>
      </c>
      <c r="I93">
        <v>0</v>
      </c>
      <c r="J93" t="s">
        <v>23</v>
      </c>
    </row>
    <row r="94" spans="1:10" x14ac:dyDescent="0.25">
      <c r="A94" s="1">
        <v>7</v>
      </c>
      <c r="B94" t="s">
        <v>19</v>
      </c>
      <c r="C94">
        <v>700</v>
      </c>
      <c r="D94">
        <v>0</v>
      </c>
      <c r="E94" t="s">
        <v>33</v>
      </c>
      <c r="F94" t="s">
        <v>33</v>
      </c>
      <c r="G94" t="str">
        <f>"2026-06-06 14:25:08.989"</f>
        <v>2026-06-06 14:25:08.989</v>
      </c>
      <c r="H94" t="s">
        <v>22</v>
      </c>
    </row>
    <row r="95" spans="1:10" x14ac:dyDescent="0.25">
      <c r="A95" s="1">
        <v>8</v>
      </c>
      <c r="B95" t="s">
        <v>19</v>
      </c>
      <c r="C95">
        <v>706</v>
      </c>
      <c r="D95">
        <v>2</v>
      </c>
      <c r="E95" t="s">
        <v>20</v>
      </c>
      <c r="F95" t="s">
        <v>21</v>
      </c>
      <c r="G95" t="str">
        <f>"2026-06-05 11:09:43.541"</f>
        <v>2026-06-05 11:09:43.541</v>
      </c>
      <c r="H95" t="s">
        <v>22</v>
      </c>
      <c r="I95">
        <v>0</v>
      </c>
      <c r="J95" t="s">
        <v>23</v>
      </c>
    </row>
    <row r="96" spans="1:10" x14ac:dyDescent="0.25">
      <c r="A96" s="1">
        <v>9</v>
      </c>
      <c r="B96" t="s">
        <v>19</v>
      </c>
      <c r="C96">
        <v>700</v>
      </c>
      <c r="D96">
        <v>0</v>
      </c>
      <c r="E96" t="s">
        <v>33</v>
      </c>
      <c r="F96" t="s">
        <v>33</v>
      </c>
      <c r="G96" t="str">
        <f>"2026-06-05 11:09:24.791"</f>
        <v>2026-06-05 11:09:24.791</v>
      </c>
      <c r="H96" t="s">
        <v>22</v>
      </c>
      <c r="I96">
        <v>0</v>
      </c>
      <c r="J96" t="s">
        <v>41</v>
      </c>
    </row>
    <row r="97" spans="1:10" x14ac:dyDescent="0.25">
      <c r="A97" s="1">
        <v>0</v>
      </c>
      <c r="B97" t="s">
        <v>19</v>
      </c>
      <c r="C97">
        <v>700</v>
      </c>
      <c r="D97">
        <v>0</v>
      </c>
      <c r="E97" t="s">
        <v>33</v>
      </c>
      <c r="F97" t="s">
        <v>33</v>
      </c>
      <c r="G97" t="str">
        <f>"2026-06-04 13:41:54.789"</f>
        <v>2026-06-04 13:41:54.789</v>
      </c>
      <c r="H97" t="s">
        <v>22</v>
      </c>
      <c r="I97">
        <v>0</v>
      </c>
      <c r="J97" t="s">
        <v>41</v>
      </c>
    </row>
    <row r="98" spans="1:10" x14ac:dyDescent="0.25">
      <c r="A98" s="1">
        <v>1</v>
      </c>
      <c r="B98" t="s">
        <v>19</v>
      </c>
      <c r="C98">
        <v>700</v>
      </c>
      <c r="D98">
        <v>0</v>
      </c>
      <c r="E98" t="s">
        <v>33</v>
      </c>
      <c r="F98" t="s">
        <v>33</v>
      </c>
      <c r="G98" t="str">
        <f>"2026-06-03 10:35:59.793"</f>
        <v>2026-06-03 10:35:59.793</v>
      </c>
      <c r="H98" t="s">
        <v>22</v>
      </c>
      <c r="I98">
        <v>0</v>
      </c>
      <c r="J98" t="s">
        <v>41</v>
      </c>
    </row>
    <row r="99" spans="1:10" s="3" customFormat="1" x14ac:dyDescent="0.25">
      <c r="A99" s="2">
        <v>2</v>
      </c>
      <c r="B99" s="3" t="s">
        <v>24</v>
      </c>
      <c r="C99" s="3">
        <v>647</v>
      </c>
      <c r="D99" s="3">
        <v>1</v>
      </c>
      <c r="E99" s="3" t="s">
        <v>34</v>
      </c>
      <c r="F99" s="3" t="s">
        <v>35</v>
      </c>
      <c r="G99" s="3" t="str">
        <f>"2026-06-03 04:05:54.787"</f>
        <v>2026-06-03 04:05:54.787</v>
      </c>
      <c r="H99" s="3" t="s">
        <v>22</v>
      </c>
    </row>
    <row r="100" spans="1:10" s="3" customFormat="1" x14ac:dyDescent="0.25">
      <c r="A100" s="2">
        <v>3</v>
      </c>
      <c r="B100" s="3" t="s">
        <v>27</v>
      </c>
      <c r="C100" s="3">
        <v>647</v>
      </c>
      <c r="D100" s="3">
        <v>1</v>
      </c>
      <c r="E100" s="3" t="s">
        <v>34</v>
      </c>
      <c r="F100" s="3" t="s">
        <v>35</v>
      </c>
      <c r="G100" s="3" t="str">
        <f>"2026-06-03 04:05:40.087"</f>
        <v>2026-06-03 04:05:40.087</v>
      </c>
      <c r="H100" s="3" t="s">
        <v>22</v>
      </c>
      <c r="I100" s="3">
        <v>14.94</v>
      </c>
      <c r="J100" s="3" t="s">
        <v>36</v>
      </c>
    </row>
    <row r="101" spans="1:10" s="3" customFormat="1" x14ac:dyDescent="0.25">
      <c r="A101" s="2">
        <v>4</v>
      </c>
      <c r="B101" s="3" t="s">
        <v>24</v>
      </c>
      <c r="C101" s="3">
        <v>647</v>
      </c>
      <c r="D101" s="3">
        <v>1</v>
      </c>
      <c r="E101" s="3" t="s">
        <v>34</v>
      </c>
      <c r="F101" s="3" t="s">
        <v>35</v>
      </c>
      <c r="G101" s="3" t="str">
        <f>"2026-06-03 04:03:55.187"</f>
        <v>2026-06-03 04:03:55.187</v>
      </c>
      <c r="H101" s="3" t="s">
        <v>22</v>
      </c>
    </row>
    <row r="102" spans="1:10" s="3" customFormat="1" x14ac:dyDescent="0.25">
      <c r="A102" s="2">
        <v>5</v>
      </c>
      <c r="B102" s="3" t="s">
        <v>27</v>
      </c>
      <c r="C102" s="3">
        <v>647</v>
      </c>
      <c r="D102" s="3">
        <v>1</v>
      </c>
      <c r="E102" s="3" t="s">
        <v>34</v>
      </c>
      <c r="F102" s="3" t="s">
        <v>35</v>
      </c>
      <c r="G102" s="3" t="str">
        <f>"2026-06-03 04:03:51.087"</f>
        <v>2026-06-03 04:03:51.087</v>
      </c>
      <c r="H102" s="3" t="s">
        <v>22</v>
      </c>
      <c r="I102" s="3">
        <v>22.43</v>
      </c>
      <c r="J102" s="3" t="s">
        <v>36</v>
      </c>
    </row>
    <row r="103" spans="1:10" s="3" customFormat="1" x14ac:dyDescent="0.25">
      <c r="A103" s="2">
        <v>6</v>
      </c>
      <c r="B103" s="3" t="s">
        <v>24</v>
      </c>
      <c r="C103" s="3">
        <v>647</v>
      </c>
      <c r="D103" s="3">
        <v>1</v>
      </c>
      <c r="E103" s="3" t="s">
        <v>34</v>
      </c>
      <c r="F103" s="3" t="s">
        <v>35</v>
      </c>
      <c r="G103" s="3" t="str">
        <f>"2026-06-03 02:00:27.987"</f>
        <v>2026-06-03 02:00:27.987</v>
      </c>
      <c r="H103" s="3" t="s">
        <v>22</v>
      </c>
    </row>
    <row r="104" spans="1:10" s="3" customFormat="1" x14ac:dyDescent="0.25">
      <c r="A104" s="2">
        <v>7</v>
      </c>
      <c r="B104" s="3" t="s">
        <v>27</v>
      </c>
      <c r="C104" s="3">
        <v>647</v>
      </c>
      <c r="D104" s="3">
        <v>1</v>
      </c>
      <c r="E104" s="3" t="s">
        <v>34</v>
      </c>
      <c r="F104" s="3" t="s">
        <v>35</v>
      </c>
      <c r="G104" s="3" t="str">
        <f>"2026-06-03 02:00:26.887"</f>
        <v>2026-06-03 02:00:26.887</v>
      </c>
      <c r="H104" s="3" t="s">
        <v>22</v>
      </c>
      <c r="I104" s="3">
        <v>16.93</v>
      </c>
      <c r="J104" s="3" t="s">
        <v>37</v>
      </c>
    </row>
    <row r="105" spans="1:10" s="3" customFormat="1" x14ac:dyDescent="0.25">
      <c r="A105" s="2">
        <v>8</v>
      </c>
      <c r="B105" s="3" t="s">
        <v>24</v>
      </c>
      <c r="C105" s="3">
        <v>647</v>
      </c>
      <c r="D105" s="3">
        <v>1</v>
      </c>
      <c r="E105" s="3" t="s">
        <v>34</v>
      </c>
      <c r="F105" s="3" t="s">
        <v>35</v>
      </c>
      <c r="G105" s="3" t="str">
        <f>"2026-06-03 02:00:15.787"</f>
        <v>2026-06-03 02:00:15.787</v>
      </c>
      <c r="H105" s="3" t="s">
        <v>22</v>
      </c>
    </row>
    <row r="106" spans="1:10" s="3" customFormat="1" x14ac:dyDescent="0.25">
      <c r="A106" s="2">
        <v>9</v>
      </c>
      <c r="B106" s="3" t="s">
        <v>27</v>
      </c>
      <c r="C106" s="3">
        <v>647</v>
      </c>
      <c r="D106" s="3">
        <v>1</v>
      </c>
      <c r="E106" s="3" t="s">
        <v>34</v>
      </c>
      <c r="F106" s="3" t="s">
        <v>35</v>
      </c>
      <c r="G106" s="3" t="str">
        <f>"2026-06-03 02:00:13.487"</f>
        <v>2026-06-03 02:00:13.487</v>
      </c>
      <c r="H106" s="3" t="s">
        <v>22</v>
      </c>
      <c r="I106" s="3">
        <v>15.55</v>
      </c>
      <c r="J106" s="3" t="s">
        <v>36</v>
      </c>
    </row>
    <row r="107" spans="1:10" s="3" customFormat="1" x14ac:dyDescent="0.25">
      <c r="A107" s="2">
        <v>0</v>
      </c>
      <c r="B107" s="3" t="s">
        <v>24</v>
      </c>
      <c r="C107" s="3">
        <v>647</v>
      </c>
      <c r="D107" s="3">
        <v>1</v>
      </c>
      <c r="E107" s="3" t="s">
        <v>34</v>
      </c>
      <c r="F107" s="3" t="s">
        <v>35</v>
      </c>
      <c r="G107" s="3" t="str">
        <f>"2026-06-03 01:36:22.887"</f>
        <v>2026-06-03 01:36:22.887</v>
      </c>
      <c r="H107" s="3" t="s">
        <v>22</v>
      </c>
    </row>
    <row r="108" spans="1:10" s="3" customFormat="1" x14ac:dyDescent="0.25">
      <c r="A108" s="2">
        <v>1</v>
      </c>
      <c r="B108" s="3" t="s">
        <v>27</v>
      </c>
      <c r="C108" s="3">
        <v>647</v>
      </c>
      <c r="D108" s="3">
        <v>1</v>
      </c>
      <c r="E108" s="3" t="s">
        <v>34</v>
      </c>
      <c r="F108" s="3" t="s">
        <v>35</v>
      </c>
      <c r="G108" s="3" t="str">
        <f>"2026-06-03 01:36:19.787"</f>
        <v>2026-06-03 01:36:19.787</v>
      </c>
      <c r="H108" s="3" t="s">
        <v>22</v>
      </c>
      <c r="I108" s="3">
        <v>11.72</v>
      </c>
      <c r="J108" s="3" t="s">
        <v>36</v>
      </c>
    </row>
    <row r="109" spans="1:10" s="3" customFormat="1" x14ac:dyDescent="0.25">
      <c r="A109" s="2">
        <v>2</v>
      </c>
      <c r="B109" s="3" t="s">
        <v>24</v>
      </c>
      <c r="C109" s="3">
        <v>647</v>
      </c>
      <c r="D109" s="3">
        <v>1</v>
      </c>
      <c r="E109" s="3" t="s">
        <v>34</v>
      </c>
      <c r="F109" s="3" t="s">
        <v>35</v>
      </c>
      <c r="G109" s="3" t="str">
        <f>"2026-06-02 21:54:24.687"</f>
        <v>2026-06-02 21:54:24.687</v>
      </c>
      <c r="H109" s="3" t="s">
        <v>22</v>
      </c>
    </row>
    <row r="110" spans="1:10" s="3" customFormat="1" x14ac:dyDescent="0.25">
      <c r="A110" s="2">
        <v>3</v>
      </c>
      <c r="B110" s="3" t="s">
        <v>27</v>
      </c>
      <c r="C110" s="3">
        <v>647</v>
      </c>
      <c r="D110" s="3">
        <v>1</v>
      </c>
      <c r="E110" s="3" t="s">
        <v>34</v>
      </c>
      <c r="F110" s="3" t="s">
        <v>35</v>
      </c>
      <c r="G110" s="3" t="str">
        <f>"2026-06-02 21:54:19.587"</f>
        <v>2026-06-02 21:54:19.587</v>
      </c>
      <c r="H110" s="3" t="s">
        <v>22</v>
      </c>
      <c r="I110" s="3">
        <v>12.49</v>
      </c>
      <c r="J110" s="3" t="s">
        <v>36</v>
      </c>
    </row>
    <row r="111" spans="1:10" s="3" customFormat="1" x14ac:dyDescent="0.25">
      <c r="A111" s="2">
        <v>4</v>
      </c>
      <c r="B111" s="3" t="s">
        <v>24</v>
      </c>
      <c r="C111" s="3">
        <v>647</v>
      </c>
      <c r="D111" s="3">
        <v>1</v>
      </c>
      <c r="E111" s="3" t="s">
        <v>34</v>
      </c>
      <c r="F111" s="3" t="s">
        <v>35</v>
      </c>
      <c r="G111" s="3" t="str">
        <f>"2026-06-02 21:50:34.387"</f>
        <v>2026-06-02 21:50:34.387</v>
      </c>
      <c r="H111" s="3" t="s">
        <v>22</v>
      </c>
    </row>
    <row r="112" spans="1:10" s="3" customFormat="1" x14ac:dyDescent="0.25">
      <c r="A112" s="2">
        <v>5</v>
      </c>
      <c r="B112" s="3" t="s">
        <v>27</v>
      </c>
      <c r="C112" s="3">
        <v>647</v>
      </c>
      <c r="D112" s="3">
        <v>1</v>
      </c>
      <c r="E112" s="3" t="s">
        <v>34</v>
      </c>
      <c r="F112" s="3" t="s">
        <v>35</v>
      </c>
      <c r="G112" s="3" t="str">
        <f>"2026-06-02 21:50:29.487"</f>
        <v>2026-06-02 21:50:29.487</v>
      </c>
      <c r="H112" s="3" t="s">
        <v>22</v>
      </c>
      <c r="I112" s="3">
        <v>15.12</v>
      </c>
      <c r="J112" s="3" t="s">
        <v>36</v>
      </c>
    </row>
    <row r="113" spans="1:10" s="3" customFormat="1" x14ac:dyDescent="0.25">
      <c r="A113" s="2">
        <v>6</v>
      </c>
      <c r="B113" s="3" t="s">
        <v>24</v>
      </c>
      <c r="C113" s="3">
        <v>647</v>
      </c>
      <c r="D113" s="3">
        <v>1</v>
      </c>
      <c r="E113" s="3" t="s">
        <v>34</v>
      </c>
      <c r="F113" s="3" t="s">
        <v>35</v>
      </c>
      <c r="G113" s="3" t="str">
        <f>"2026-06-02 21:18:09.987"</f>
        <v>2026-06-02 21:18:09.987</v>
      </c>
      <c r="H113" s="3" t="s">
        <v>22</v>
      </c>
    </row>
    <row r="114" spans="1:10" s="3" customFormat="1" x14ac:dyDescent="0.25">
      <c r="A114" s="2">
        <v>7</v>
      </c>
      <c r="B114" s="3" t="s">
        <v>27</v>
      </c>
      <c r="C114" s="3">
        <v>647</v>
      </c>
      <c r="D114" s="3">
        <v>1</v>
      </c>
      <c r="E114" s="3" t="s">
        <v>34</v>
      </c>
      <c r="F114" s="3" t="s">
        <v>35</v>
      </c>
      <c r="G114" s="3" t="str">
        <f>"2026-06-02 21:18:06.687"</f>
        <v>2026-06-02 21:18:06.687</v>
      </c>
      <c r="H114" s="3" t="s">
        <v>22</v>
      </c>
      <c r="I114" s="3">
        <v>12.95</v>
      </c>
      <c r="J114" s="3" t="s">
        <v>37</v>
      </c>
    </row>
    <row r="115" spans="1:10" s="3" customFormat="1" x14ac:dyDescent="0.25">
      <c r="A115" s="2">
        <v>8</v>
      </c>
      <c r="B115" s="3" t="s">
        <v>24</v>
      </c>
      <c r="C115" s="3">
        <v>647</v>
      </c>
      <c r="D115" s="3">
        <v>1</v>
      </c>
      <c r="E115" s="3" t="s">
        <v>34</v>
      </c>
      <c r="F115" s="3" t="s">
        <v>35</v>
      </c>
      <c r="G115" s="3" t="str">
        <f>"2026-06-02 21:18:03.387"</f>
        <v>2026-06-02 21:18:03.387</v>
      </c>
      <c r="H115" s="3" t="s">
        <v>22</v>
      </c>
    </row>
    <row r="116" spans="1:10" s="3" customFormat="1" x14ac:dyDescent="0.25">
      <c r="A116" s="2">
        <v>9</v>
      </c>
      <c r="B116" s="3" t="s">
        <v>27</v>
      </c>
      <c r="C116" s="3">
        <v>647</v>
      </c>
      <c r="D116" s="3">
        <v>1</v>
      </c>
      <c r="E116" s="3" t="s">
        <v>34</v>
      </c>
      <c r="F116" s="3" t="s">
        <v>35</v>
      </c>
      <c r="G116" s="3" t="str">
        <f>"2026-06-02 21:18:02.287"</f>
        <v>2026-06-02 21:18:02.287</v>
      </c>
      <c r="H116" s="3" t="s">
        <v>22</v>
      </c>
      <c r="I116" s="3">
        <v>14.03</v>
      </c>
      <c r="J116" s="3" t="s">
        <v>37</v>
      </c>
    </row>
    <row r="117" spans="1:10" s="3" customFormat="1" x14ac:dyDescent="0.25">
      <c r="A117" s="2">
        <v>10</v>
      </c>
      <c r="B117" s="3" t="s">
        <v>24</v>
      </c>
      <c r="C117" s="3">
        <v>647</v>
      </c>
      <c r="D117" s="3">
        <v>1</v>
      </c>
      <c r="E117" s="3" t="s">
        <v>34</v>
      </c>
      <c r="F117" s="3" t="s">
        <v>35</v>
      </c>
      <c r="G117" s="3" t="str">
        <f>"2026-06-02 20:51:18.887"</f>
        <v>2026-06-02 20:51:18.887</v>
      </c>
      <c r="H117" s="3" t="s">
        <v>22</v>
      </c>
    </row>
    <row r="118" spans="1:10" s="3" customFormat="1" x14ac:dyDescent="0.25">
      <c r="A118" s="2">
        <v>11</v>
      </c>
      <c r="B118" s="3" t="s">
        <v>27</v>
      </c>
      <c r="C118" s="3">
        <v>647</v>
      </c>
      <c r="D118" s="3">
        <v>1</v>
      </c>
      <c r="E118" s="3" t="s">
        <v>34</v>
      </c>
      <c r="F118" s="3" t="s">
        <v>35</v>
      </c>
      <c r="G118" s="3" t="str">
        <f>"2026-06-02 20:51:01.387"</f>
        <v>2026-06-02 20:51:01.387</v>
      </c>
      <c r="H118" s="3" t="s">
        <v>22</v>
      </c>
      <c r="I118" s="3">
        <v>9.6199999999999992</v>
      </c>
      <c r="J118" s="3" t="s">
        <v>36</v>
      </c>
    </row>
    <row r="119" spans="1:10" s="3" customFormat="1" x14ac:dyDescent="0.25">
      <c r="A119" s="2">
        <v>12</v>
      </c>
      <c r="B119" s="3" t="s">
        <v>24</v>
      </c>
      <c r="C119" s="3">
        <v>647</v>
      </c>
      <c r="D119" s="3">
        <v>1</v>
      </c>
      <c r="E119" s="3" t="s">
        <v>34</v>
      </c>
      <c r="F119" s="3" t="s">
        <v>35</v>
      </c>
      <c r="G119" s="3" t="str">
        <f>"2026-06-02 20:50:16.487"</f>
        <v>2026-06-02 20:50:16.487</v>
      </c>
      <c r="H119" s="3" t="s">
        <v>22</v>
      </c>
    </row>
    <row r="120" spans="1:10" s="3" customFormat="1" x14ac:dyDescent="0.25">
      <c r="A120" s="2">
        <v>13</v>
      </c>
      <c r="B120" s="3" t="s">
        <v>27</v>
      </c>
      <c r="C120" s="3">
        <v>647</v>
      </c>
      <c r="D120" s="3">
        <v>1</v>
      </c>
      <c r="E120" s="3" t="s">
        <v>34</v>
      </c>
      <c r="F120" s="3" t="s">
        <v>35</v>
      </c>
      <c r="G120" s="3" t="str">
        <f>"2026-06-02 20:50:10.987"</f>
        <v>2026-06-02 20:50:10.987</v>
      </c>
      <c r="H120" s="3" t="s">
        <v>22</v>
      </c>
      <c r="I120" s="3">
        <v>14.75</v>
      </c>
      <c r="J120" s="3" t="s">
        <v>36</v>
      </c>
    </row>
    <row r="121" spans="1:10" s="3" customFormat="1" x14ac:dyDescent="0.25">
      <c r="A121" s="2">
        <v>14</v>
      </c>
      <c r="B121" s="3" t="s">
        <v>24</v>
      </c>
      <c r="C121" s="3">
        <v>647</v>
      </c>
      <c r="D121" s="3">
        <v>1</v>
      </c>
      <c r="E121" s="3" t="s">
        <v>34</v>
      </c>
      <c r="F121" s="3" t="s">
        <v>35</v>
      </c>
      <c r="G121" s="3" t="str">
        <f>"2026-06-02 20:11:45.587"</f>
        <v>2026-06-02 20:11:45.587</v>
      </c>
      <c r="H121" s="3" t="s">
        <v>22</v>
      </c>
    </row>
    <row r="122" spans="1:10" s="3" customFormat="1" x14ac:dyDescent="0.25">
      <c r="A122" s="2">
        <v>15</v>
      </c>
      <c r="B122" s="3" t="s">
        <v>27</v>
      </c>
      <c r="C122" s="3">
        <v>647</v>
      </c>
      <c r="D122" s="3">
        <v>1</v>
      </c>
      <c r="E122" s="3" t="s">
        <v>34</v>
      </c>
      <c r="F122" s="3" t="s">
        <v>35</v>
      </c>
      <c r="G122" s="3" t="str">
        <f>"2026-06-02 20:11:42.687"</f>
        <v>2026-06-02 20:11:42.687</v>
      </c>
      <c r="H122" s="3" t="s">
        <v>22</v>
      </c>
      <c r="I122" s="3">
        <v>13.18</v>
      </c>
      <c r="J122" s="3" t="s">
        <v>36</v>
      </c>
    </row>
    <row r="123" spans="1:10" s="3" customFormat="1" x14ac:dyDescent="0.25">
      <c r="A123" s="2">
        <v>16</v>
      </c>
      <c r="B123" s="3" t="s">
        <v>24</v>
      </c>
      <c r="C123" s="3">
        <v>647</v>
      </c>
      <c r="D123" s="3">
        <v>1</v>
      </c>
      <c r="E123" s="3" t="s">
        <v>34</v>
      </c>
      <c r="F123" s="3" t="s">
        <v>35</v>
      </c>
      <c r="G123" s="3" t="str">
        <f>"2026-06-02 20:11:27.987"</f>
        <v>2026-06-02 20:11:27.987</v>
      </c>
      <c r="H123" s="3" t="s">
        <v>22</v>
      </c>
    </row>
    <row r="124" spans="1:10" s="3" customFormat="1" x14ac:dyDescent="0.25">
      <c r="A124" s="2">
        <v>17</v>
      </c>
      <c r="B124" s="3" t="s">
        <v>27</v>
      </c>
      <c r="C124" s="3">
        <v>647</v>
      </c>
      <c r="D124" s="3">
        <v>1</v>
      </c>
      <c r="E124" s="3" t="s">
        <v>34</v>
      </c>
      <c r="F124" s="3" t="s">
        <v>35</v>
      </c>
      <c r="G124" s="3" t="str">
        <f>"2026-06-02 20:11:25.687"</f>
        <v>2026-06-02 20:11:25.687</v>
      </c>
      <c r="H124" s="3" t="s">
        <v>22</v>
      </c>
      <c r="I124" s="3">
        <v>11.33</v>
      </c>
      <c r="J124" s="3" t="s">
        <v>36</v>
      </c>
    </row>
    <row r="125" spans="1:10" s="3" customFormat="1" x14ac:dyDescent="0.25">
      <c r="A125" s="2">
        <v>18</v>
      </c>
      <c r="B125" s="3" t="s">
        <v>24</v>
      </c>
      <c r="C125" s="3">
        <v>647</v>
      </c>
      <c r="D125" s="3">
        <v>1</v>
      </c>
      <c r="E125" s="3" t="s">
        <v>34</v>
      </c>
      <c r="F125" s="3" t="s">
        <v>35</v>
      </c>
      <c r="G125" s="3" t="str">
        <f>"2026-06-02 20:11:01.987"</f>
        <v>2026-06-02 20:11:01.987</v>
      </c>
      <c r="H125" s="3" t="s">
        <v>22</v>
      </c>
    </row>
    <row r="126" spans="1:10" s="3" customFormat="1" x14ac:dyDescent="0.25">
      <c r="A126" s="2">
        <v>19</v>
      </c>
      <c r="B126" s="3" t="s">
        <v>27</v>
      </c>
      <c r="C126" s="3">
        <v>647</v>
      </c>
      <c r="D126" s="3">
        <v>1</v>
      </c>
      <c r="E126" s="3" t="s">
        <v>34</v>
      </c>
      <c r="F126" s="3" t="s">
        <v>35</v>
      </c>
      <c r="G126" s="3" t="str">
        <f>"2026-06-02 20:10:59.087"</f>
        <v>2026-06-02 20:10:59.087</v>
      </c>
      <c r="H126" s="3" t="s">
        <v>22</v>
      </c>
      <c r="I126" s="3">
        <v>12.12</v>
      </c>
      <c r="J126" s="3" t="s">
        <v>36</v>
      </c>
    </row>
    <row r="127" spans="1:10" s="3" customFormat="1" x14ac:dyDescent="0.25">
      <c r="A127" s="2">
        <v>20</v>
      </c>
      <c r="B127" s="3" t="s">
        <v>24</v>
      </c>
      <c r="C127" s="3">
        <v>647</v>
      </c>
      <c r="D127" s="3">
        <v>1</v>
      </c>
      <c r="E127" s="3" t="s">
        <v>34</v>
      </c>
      <c r="F127" s="3" t="s">
        <v>35</v>
      </c>
      <c r="G127" s="3" t="str">
        <f>"2026-06-02 20:10:50.587"</f>
        <v>2026-06-02 20:10:50.587</v>
      </c>
      <c r="H127" s="3" t="s">
        <v>22</v>
      </c>
    </row>
    <row r="128" spans="1:10" s="3" customFormat="1" x14ac:dyDescent="0.25">
      <c r="A128" s="2">
        <v>21</v>
      </c>
      <c r="B128" s="3" t="s">
        <v>27</v>
      </c>
      <c r="C128" s="3">
        <v>647</v>
      </c>
      <c r="D128" s="3">
        <v>1</v>
      </c>
      <c r="E128" s="3" t="s">
        <v>34</v>
      </c>
      <c r="F128" s="3" t="s">
        <v>35</v>
      </c>
      <c r="G128" s="3" t="str">
        <f>"2026-06-02 20:10:46.687"</f>
        <v>2026-06-02 20:10:46.687</v>
      </c>
      <c r="H128" s="3" t="s">
        <v>22</v>
      </c>
      <c r="I128" s="3">
        <v>12.67</v>
      </c>
      <c r="J128" s="3" t="s">
        <v>36</v>
      </c>
    </row>
    <row r="129" spans="1:10" s="3" customFormat="1" x14ac:dyDescent="0.25">
      <c r="A129" s="2">
        <v>22</v>
      </c>
      <c r="B129" s="3" t="s">
        <v>24</v>
      </c>
      <c r="C129" s="3">
        <v>647</v>
      </c>
      <c r="D129" s="3">
        <v>1</v>
      </c>
      <c r="E129" s="3" t="s">
        <v>34</v>
      </c>
      <c r="F129" s="3" t="s">
        <v>35</v>
      </c>
      <c r="G129" s="3" t="str">
        <f>"2026-06-02 20:10:35.187"</f>
        <v>2026-06-02 20:10:35.187</v>
      </c>
      <c r="H129" s="3" t="s">
        <v>22</v>
      </c>
    </row>
    <row r="130" spans="1:10" s="3" customFormat="1" x14ac:dyDescent="0.25">
      <c r="A130" s="2">
        <v>23</v>
      </c>
      <c r="B130" s="3" t="s">
        <v>27</v>
      </c>
      <c r="C130" s="3">
        <v>647</v>
      </c>
      <c r="D130" s="3">
        <v>1</v>
      </c>
      <c r="E130" s="3" t="s">
        <v>34</v>
      </c>
      <c r="F130" s="3" t="s">
        <v>35</v>
      </c>
      <c r="G130" s="3" t="str">
        <f>"2026-06-02 20:10:32.887"</f>
        <v>2026-06-02 20:10:32.887</v>
      </c>
      <c r="H130" s="3" t="s">
        <v>22</v>
      </c>
      <c r="I130" s="3">
        <v>11.34</v>
      </c>
      <c r="J130" s="3" t="s">
        <v>36</v>
      </c>
    </row>
    <row r="131" spans="1:10" s="3" customFormat="1" x14ac:dyDescent="0.25">
      <c r="A131" s="2">
        <v>24</v>
      </c>
      <c r="B131" s="3" t="s">
        <v>24</v>
      </c>
      <c r="C131" s="3">
        <v>647</v>
      </c>
      <c r="D131" s="3">
        <v>1</v>
      </c>
      <c r="E131" s="3" t="s">
        <v>34</v>
      </c>
      <c r="F131" s="3" t="s">
        <v>35</v>
      </c>
      <c r="G131" s="3" t="str">
        <f>"2026-06-02 20:10:24.787"</f>
        <v>2026-06-02 20:10:24.787</v>
      </c>
      <c r="H131" s="3" t="s">
        <v>22</v>
      </c>
    </row>
    <row r="132" spans="1:10" s="3" customFormat="1" x14ac:dyDescent="0.25">
      <c r="A132" s="2">
        <v>25</v>
      </c>
      <c r="B132" s="3" t="s">
        <v>27</v>
      </c>
      <c r="C132" s="3">
        <v>647</v>
      </c>
      <c r="D132" s="3">
        <v>1</v>
      </c>
      <c r="E132" s="3" t="s">
        <v>34</v>
      </c>
      <c r="F132" s="3" t="s">
        <v>35</v>
      </c>
      <c r="G132" s="3" t="str">
        <f>"2026-06-02 20:10:20.287"</f>
        <v>2026-06-02 20:10:20.287</v>
      </c>
      <c r="H132" s="3" t="s">
        <v>22</v>
      </c>
      <c r="I132" s="3">
        <v>11.43</v>
      </c>
      <c r="J132" s="3" t="s">
        <v>36</v>
      </c>
    </row>
    <row r="133" spans="1:10" s="3" customFormat="1" x14ac:dyDescent="0.25">
      <c r="A133" s="2">
        <v>26</v>
      </c>
      <c r="B133" s="3" t="s">
        <v>24</v>
      </c>
      <c r="C133" s="3">
        <v>647</v>
      </c>
      <c r="D133" s="3">
        <v>1</v>
      </c>
      <c r="E133" s="3" t="s">
        <v>34</v>
      </c>
      <c r="F133" s="3" t="s">
        <v>35</v>
      </c>
      <c r="G133" s="3" t="str">
        <f>"2026-06-02 20:08:55.687"</f>
        <v>2026-06-02 20:08:55.687</v>
      </c>
      <c r="H133" s="3" t="s">
        <v>22</v>
      </c>
    </row>
    <row r="134" spans="1:10" s="3" customFormat="1" x14ac:dyDescent="0.25">
      <c r="A134" s="2">
        <v>27</v>
      </c>
      <c r="B134" s="3" t="s">
        <v>27</v>
      </c>
      <c r="C134" s="3">
        <v>647</v>
      </c>
      <c r="D134" s="3">
        <v>1</v>
      </c>
      <c r="E134" s="3" t="s">
        <v>34</v>
      </c>
      <c r="F134" s="3" t="s">
        <v>35</v>
      </c>
      <c r="G134" s="3" t="str">
        <f>"2026-06-02 20:08:53.687"</f>
        <v>2026-06-02 20:08:53.687</v>
      </c>
      <c r="H134" s="3" t="s">
        <v>22</v>
      </c>
      <c r="I134" s="3">
        <v>10.35</v>
      </c>
      <c r="J134" s="3" t="s">
        <v>36</v>
      </c>
    </row>
    <row r="135" spans="1:10" x14ac:dyDescent="0.25">
      <c r="A135" s="1">
        <v>28</v>
      </c>
      <c r="B135" t="s">
        <v>19</v>
      </c>
      <c r="C135">
        <v>700</v>
      </c>
      <c r="D135">
        <v>0</v>
      </c>
      <c r="E135" t="s">
        <v>33</v>
      </c>
      <c r="F135" t="s">
        <v>33</v>
      </c>
      <c r="G135" t="str">
        <f>"2026-06-02 11:47:37.010"</f>
        <v>2026-06-02 11:47:37.010</v>
      </c>
      <c r="H135" t="s">
        <v>22</v>
      </c>
    </row>
    <row r="136" spans="1:10" s="3" customFormat="1" x14ac:dyDescent="0.25">
      <c r="A136" s="2">
        <v>29</v>
      </c>
      <c r="B136" s="3" t="s">
        <v>24</v>
      </c>
      <c r="C136" s="3">
        <v>647</v>
      </c>
      <c r="D136" s="3">
        <v>1</v>
      </c>
      <c r="E136" s="3" t="s">
        <v>34</v>
      </c>
      <c r="F136" s="3" t="s">
        <v>35</v>
      </c>
      <c r="G136" s="3" t="str">
        <f>"2026-06-02 03:09:53.533"</f>
        <v>2026-06-02 03:09:53.533</v>
      </c>
      <c r="H136" s="3" t="s">
        <v>22</v>
      </c>
    </row>
    <row r="137" spans="1:10" s="3" customFormat="1" x14ac:dyDescent="0.25">
      <c r="A137" s="2">
        <v>30</v>
      </c>
      <c r="B137" s="3" t="s">
        <v>27</v>
      </c>
      <c r="C137" s="3">
        <v>647</v>
      </c>
      <c r="D137" s="3">
        <v>1</v>
      </c>
      <c r="E137" s="3" t="s">
        <v>34</v>
      </c>
      <c r="F137" s="3" t="s">
        <v>35</v>
      </c>
      <c r="G137" s="3" t="str">
        <f>"2026-06-02 03:09:48.033"</f>
        <v>2026-06-02 03:09:48.033</v>
      </c>
      <c r="H137" s="3" t="s">
        <v>22</v>
      </c>
      <c r="I137" s="3">
        <v>10.87</v>
      </c>
      <c r="J137" s="3" t="s">
        <v>36</v>
      </c>
    </row>
    <row r="138" spans="1:10" s="3" customFormat="1" x14ac:dyDescent="0.25">
      <c r="A138" s="2">
        <v>31</v>
      </c>
      <c r="B138" s="3" t="s">
        <v>24</v>
      </c>
      <c r="C138" s="3">
        <v>647</v>
      </c>
      <c r="D138" s="3">
        <v>1</v>
      </c>
      <c r="E138" s="3" t="s">
        <v>34</v>
      </c>
      <c r="F138" s="3" t="s">
        <v>35</v>
      </c>
      <c r="G138" s="3" t="str">
        <f>"2026-06-02 03:08:39.733"</f>
        <v>2026-06-02 03:08:39.733</v>
      </c>
      <c r="H138" s="3" t="s">
        <v>22</v>
      </c>
    </row>
    <row r="139" spans="1:10" s="3" customFormat="1" x14ac:dyDescent="0.25">
      <c r="A139" s="2">
        <v>32</v>
      </c>
      <c r="B139" s="3" t="s">
        <v>27</v>
      </c>
      <c r="C139" s="3">
        <v>647</v>
      </c>
      <c r="D139" s="3">
        <v>1</v>
      </c>
      <c r="E139" s="3" t="s">
        <v>34</v>
      </c>
      <c r="F139" s="3" t="s">
        <v>35</v>
      </c>
      <c r="G139" s="3" t="str">
        <f>"2026-06-02 03:08:36.633"</f>
        <v>2026-06-02 03:08:36.633</v>
      </c>
      <c r="H139" s="3" t="s">
        <v>22</v>
      </c>
      <c r="I139" s="3">
        <v>11.39</v>
      </c>
      <c r="J139" s="3" t="s">
        <v>36</v>
      </c>
    </row>
    <row r="140" spans="1:10" s="3" customFormat="1" x14ac:dyDescent="0.25">
      <c r="A140" s="2">
        <v>33</v>
      </c>
      <c r="B140" s="3" t="s">
        <v>24</v>
      </c>
      <c r="C140" s="3">
        <v>647</v>
      </c>
      <c r="D140" s="3">
        <v>1</v>
      </c>
      <c r="E140" s="3" t="s">
        <v>34</v>
      </c>
      <c r="F140" s="3" t="s">
        <v>35</v>
      </c>
      <c r="G140" s="3" t="str">
        <f>"2026-06-02 03:08:24.733"</f>
        <v>2026-06-02 03:08:24.733</v>
      </c>
      <c r="H140" s="3" t="s">
        <v>22</v>
      </c>
    </row>
    <row r="141" spans="1:10" s="3" customFormat="1" x14ac:dyDescent="0.25">
      <c r="A141" s="2">
        <v>34</v>
      </c>
      <c r="B141" s="3" t="s">
        <v>27</v>
      </c>
      <c r="C141" s="3">
        <v>647</v>
      </c>
      <c r="D141" s="3">
        <v>1</v>
      </c>
      <c r="E141" s="3" t="s">
        <v>34</v>
      </c>
      <c r="F141" s="3" t="s">
        <v>35</v>
      </c>
      <c r="G141" s="3" t="str">
        <f>"2026-06-02 03:08:19.833"</f>
        <v>2026-06-02 03:08:19.833</v>
      </c>
      <c r="H141" s="3" t="s">
        <v>22</v>
      </c>
      <c r="I141" s="3">
        <v>11.56</v>
      </c>
      <c r="J141" s="3" t="s">
        <v>36</v>
      </c>
    </row>
    <row r="142" spans="1:10" s="3" customFormat="1" x14ac:dyDescent="0.25">
      <c r="A142" s="2">
        <v>35</v>
      </c>
      <c r="B142" s="3" t="s">
        <v>24</v>
      </c>
      <c r="C142" s="3">
        <v>647</v>
      </c>
      <c r="D142" s="3">
        <v>1</v>
      </c>
      <c r="E142" s="3" t="s">
        <v>34</v>
      </c>
      <c r="F142" s="3" t="s">
        <v>35</v>
      </c>
      <c r="G142" s="3" t="str">
        <f>"2026-06-02 03:08:17.333"</f>
        <v>2026-06-02 03:08:17.333</v>
      </c>
      <c r="H142" s="3" t="s">
        <v>22</v>
      </c>
    </row>
    <row r="143" spans="1:10" s="3" customFormat="1" x14ac:dyDescent="0.25">
      <c r="A143" s="2">
        <v>36</v>
      </c>
      <c r="B143" s="3" t="s">
        <v>27</v>
      </c>
      <c r="C143" s="3">
        <v>647</v>
      </c>
      <c r="D143" s="3">
        <v>1</v>
      </c>
      <c r="E143" s="3" t="s">
        <v>34</v>
      </c>
      <c r="F143" s="3" t="s">
        <v>35</v>
      </c>
      <c r="G143" s="3" t="str">
        <f>"2026-06-02 03:08:13.033"</f>
        <v>2026-06-02 03:08:13.033</v>
      </c>
      <c r="H143" s="3" t="s">
        <v>22</v>
      </c>
      <c r="I143" s="3">
        <v>11.46</v>
      </c>
      <c r="J143" s="3" t="s">
        <v>36</v>
      </c>
    </row>
    <row r="144" spans="1:10" s="3" customFormat="1" x14ac:dyDescent="0.25">
      <c r="A144" s="2">
        <v>37</v>
      </c>
      <c r="B144" s="3" t="s">
        <v>24</v>
      </c>
      <c r="C144" s="3">
        <v>647</v>
      </c>
      <c r="D144" s="3">
        <v>1</v>
      </c>
      <c r="E144" s="3" t="s">
        <v>34</v>
      </c>
      <c r="F144" s="3" t="s">
        <v>35</v>
      </c>
      <c r="G144" s="3" t="str">
        <f>"2026-06-02 03:06:35.933"</f>
        <v>2026-06-02 03:06:35.933</v>
      </c>
      <c r="H144" s="3" t="s">
        <v>22</v>
      </c>
    </row>
    <row r="145" spans="1:10" s="3" customFormat="1" x14ac:dyDescent="0.25">
      <c r="A145" s="2">
        <v>38</v>
      </c>
      <c r="B145" s="3" t="s">
        <v>27</v>
      </c>
      <c r="C145" s="3">
        <v>647</v>
      </c>
      <c r="D145" s="3">
        <v>1</v>
      </c>
      <c r="E145" s="3" t="s">
        <v>34</v>
      </c>
      <c r="F145" s="3" t="s">
        <v>35</v>
      </c>
      <c r="G145" s="3" t="str">
        <f>"2026-06-02 03:06:32.433"</f>
        <v>2026-06-02 03:06:32.433</v>
      </c>
      <c r="H145" s="3" t="s">
        <v>22</v>
      </c>
      <c r="I145" s="3">
        <v>11</v>
      </c>
      <c r="J145" s="3" t="s">
        <v>36</v>
      </c>
    </row>
    <row r="146" spans="1:10" s="3" customFormat="1" x14ac:dyDescent="0.25">
      <c r="A146" s="2">
        <v>39</v>
      </c>
      <c r="B146" s="3" t="s">
        <v>24</v>
      </c>
      <c r="C146" s="3">
        <v>647</v>
      </c>
      <c r="D146" s="3">
        <v>1</v>
      </c>
      <c r="E146" s="3" t="s">
        <v>34</v>
      </c>
      <c r="F146" s="3" t="s">
        <v>35</v>
      </c>
      <c r="G146" s="3" t="str">
        <f>"2026-06-02 03:06:05.533"</f>
        <v>2026-06-02 03:06:05.533</v>
      </c>
      <c r="H146" s="3" t="s">
        <v>22</v>
      </c>
    </row>
    <row r="147" spans="1:10" s="3" customFormat="1" x14ac:dyDescent="0.25">
      <c r="A147" s="2">
        <v>40</v>
      </c>
      <c r="B147" s="3" t="s">
        <v>27</v>
      </c>
      <c r="C147" s="3">
        <v>647</v>
      </c>
      <c r="D147" s="3">
        <v>1</v>
      </c>
      <c r="E147" s="3" t="s">
        <v>34</v>
      </c>
      <c r="F147" s="3" t="s">
        <v>35</v>
      </c>
      <c r="G147" s="3" t="str">
        <f>"2026-06-02 03:06:03.433"</f>
        <v>2026-06-02 03:06:03.433</v>
      </c>
      <c r="H147" s="3" t="s">
        <v>22</v>
      </c>
      <c r="I147" s="3">
        <v>11.9</v>
      </c>
      <c r="J147" s="3" t="s">
        <v>36</v>
      </c>
    </row>
    <row r="148" spans="1:10" s="3" customFormat="1" x14ac:dyDescent="0.25">
      <c r="A148" s="2">
        <v>41</v>
      </c>
      <c r="B148" s="3" t="s">
        <v>24</v>
      </c>
      <c r="C148" s="3">
        <v>647</v>
      </c>
      <c r="D148" s="3">
        <v>1</v>
      </c>
      <c r="E148" s="3" t="s">
        <v>34</v>
      </c>
      <c r="F148" s="3" t="s">
        <v>35</v>
      </c>
      <c r="G148" s="3" t="str">
        <f>"2026-06-02 03:06:01.333"</f>
        <v>2026-06-02 03:06:01.333</v>
      </c>
      <c r="H148" s="3" t="s">
        <v>22</v>
      </c>
    </row>
    <row r="149" spans="1:10" s="3" customFormat="1" x14ac:dyDescent="0.25">
      <c r="A149" s="2">
        <v>42</v>
      </c>
      <c r="B149" s="3" t="s">
        <v>27</v>
      </c>
      <c r="C149" s="3">
        <v>647</v>
      </c>
      <c r="D149" s="3">
        <v>1</v>
      </c>
      <c r="E149" s="3" t="s">
        <v>34</v>
      </c>
      <c r="F149" s="3" t="s">
        <v>35</v>
      </c>
      <c r="G149" s="3" t="str">
        <f>"2026-06-02 03:05:59.533"</f>
        <v>2026-06-02 03:05:59.533</v>
      </c>
      <c r="H149" s="3" t="s">
        <v>22</v>
      </c>
      <c r="I149" s="3">
        <v>10.97</v>
      </c>
      <c r="J149" s="3" t="s">
        <v>36</v>
      </c>
    </row>
    <row r="150" spans="1:10" s="3" customFormat="1" x14ac:dyDescent="0.25">
      <c r="A150" s="2">
        <v>43</v>
      </c>
      <c r="B150" s="3" t="s">
        <v>24</v>
      </c>
      <c r="C150" s="3">
        <v>647</v>
      </c>
      <c r="D150" s="3">
        <v>1</v>
      </c>
      <c r="E150" s="3" t="s">
        <v>34</v>
      </c>
      <c r="F150" s="3" t="s">
        <v>35</v>
      </c>
      <c r="G150" s="3" t="str">
        <f>"2026-06-02 03:05:56.933"</f>
        <v>2026-06-02 03:05:56.933</v>
      </c>
      <c r="H150" s="3" t="s">
        <v>22</v>
      </c>
    </row>
    <row r="151" spans="1:10" s="3" customFormat="1" x14ac:dyDescent="0.25">
      <c r="A151" s="2">
        <v>44</v>
      </c>
      <c r="B151" s="3" t="s">
        <v>27</v>
      </c>
      <c r="C151" s="3">
        <v>647</v>
      </c>
      <c r="D151" s="3">
        <v>1</v>
      </c>
      <c r="E151" s="3" t="s">
        <v>34</v>
      </c>
      <c r="F151" s="3" t="s">
        <v>35</v>
      </c>
      <c r="G151" s="3" t="str">
        <f>"2026-06-02 03:05:55.033"</f>
        <v>2026-06-02 03:05:55.033</v>
      </c>
      <c r="H151" s="3" t="s">
        <v>22</v>
      </c>
      <c r="I151" s="3">
        <v>11.31</v>
      </c>
      <c r="J151" s="3" t="s">
        <v>36</v>
      </c>
    </row>
    <row r="152" spans="1:10" s="3" customFormat="1" x14ac:dyDescent="0.25">
      <c r="A152" s="2">
        <v>45</v>
      </c>
      <c r="B152" s="3" t="s">
        <v>24</v>
      </c>
      <c r="C152" s="3">
        <v>647</v>
      </c>
      <c r="D152" s="3">
        <v>1</v>
      </c>
      <c r="E152" s="3" t="s">
        <v>34</v>
      </c>
      <c r="F152" s="3" t="s">
        <v>35</v>
      </c>
      <c r="G152" s="3" t="str">
        <f>"2026-06-02 03:04:50.533"</f>
        <v>2026-06-02 03:04:50.533</v>
      </c>
      <c r="H152" s="3" t="s">
        <v>22</v>
      </c>
    </row>
    <row r="153" spans="1:10" s="3" customFormat="1" x14ac:dyDescent="0.25">
      <c r="A153" s="2">
        <v>46</v>
      </c>
      <c r="B153" s="3" t="s">
        <v>27</v>
      </c>
      <c r="C153" s="3">
        <v>647</v>
      </c>
      <c r="D153" s="3">
        <v>1</v>
      </c>
      <c r="E153" s="3" t="s">
        <v>34</v>
      </c>
      <c r="F153" s="3" t="s">
        <v>35</v>
      </c>
      <c r="G153" s="3" t="str">
        <f>"2026-06-02 03:04:49.033"</f>
        <v>2026-06-02 03:04:49.033</v>
      </c>
      <c r="H153" s="3" t="s">
        <v>22</v>
      </c>
      <c r="I153" s="3">
        <v>13.2</v>
      </c>
      <c r="J153" s="3" t="s">
        <v>36</v>
      </c>
    </row>
    <row r="154" spans="1:10" s="3" customFormat="1" x14ac:dyDescent="0.25">
      <c r="A154" s="2">
        <v>47</v>
      </c>
      <c r="B154" s="3" t="s">
        <v>24</v>
      </c>
      <c r="C154" s="3">
        <v>647</v>
      </c>
      <c r="D154" s="3">
        <v>1</v>
      </c>
      <c r="E154" s="3" t="s">
        <v>34</v>
      </c>
      <c r="F154" s="3" t="s">
        <v>35</v>
      </c>
      <c r="G154" s="3" t="str">
        <f>"2026-06-02 03:04:46.933"</f>
        <v>2026-06-02 03:04:46.933</v>
      </c>
      <c r="H154" s="3" t="s">
        <v>22</v>
      </c>
    </row>
    <row r="155" spans="1:10" s="3" customFormat="1" x14ac:dyDescent="0.25">
      <c r="A155" s="2">
        <v>48</v>
      </c>
      <c r="B155" s="3" t="s">
        <v>27</v>
      </c>
      <c r="C155" s="3">
        <v>647</v>
      </c>
      <c r="D155" s="3">
        <v>1</v>
      </c>
      <c r="E155" s="3" t="s">
        <v>34</v>
      </c>
      <c r="F155" s="3" t="s">
        <v>35</v>
      </c>
      <c r="G155" s="3" t="str">
        <f>"2026-06-02 03:04:44.833"</f>
        <v>2026-06-02 03:04:44.833</v>
      </c>
      <c r="H155" s="3" t="s">
        <v>22</v>
      </c>
      <c r="I155" s="3">
        <v>13.26</v>
      </c>
      <c r="J155" s="3" t="s">
        <v>36</v>
      </c>
    </row>
    <row r="156" spans="1:10" s="3" customFormat="1" x14ac:dyDescent="0.25">
      <c r="A156" s="2">
        <v>49</v>
      </c>
      <c r="B156" s="3" t="s">
        <v>24</v>
      </c>
      <c r="C156" s="3">
        <v>647</v>
      </c>
      <c r="D156" s="3">
        <v>1</v>
      </c>
      <c r="E156" s="3" t="s">
        <v>34</v>
      </c>
      <c r="F156" s="3" t="s">
        <v>35</v>
      </c>
      <c r="G156" s="3" t="str">
        <f>"2026-06-02 03:02:07.133"</f>
        <v>2026-06-02 03:02:07.133</v>
      </c>
      <c r="H156" s="3" t="s">
        <v>22</v>
      </c>
    </row>
    <row r="157" spans="1:10" s="3" customFormat="1" x14ac:dyDescent="0.25">
      <c r="A157" s="2">
        <v>50</v>
      </c>
      <c r="B157" s="3" t="s">
        <v>27</v>
      </c>
      <c r="C157" s="3">
        <v>647</v>
      </c>
      <c r="D157" s="3">
        <v>1</v>
      </c>
      <c r="E157" s="3" t="s">
        <v>34</v>
      </c>
      <c r="F157" s="3" t="s">
        <v>35</v>
      </c>
      <c r="G157" s="3" t="str">
        <f>"2026-06-02 03:02:05.233"</f>
        <v>2026-06-02 03:02:05.233</v>
      </c>
      <c r="H157" s="3" t="s">
        <v>22</v>
      </c>
      <c r="I157" s="3">
        <v>16</v>
      </c>
      <c r="J157" s="3" t="s">
        <v>36</v>
      </c>
    </row>
    <row r="158" spans="1:10" s="3" customFormat="1" x14ac:dyDescent="0.25">
      <c r="A158" s="2">
        <v>51</v>
      </c>
      <c r="B158" s="3" t="s">
        <v>24</v>
      </c>
      <c r="C158" s="3">
        <v>647</v>
      </c>
      <c r="D158" s="3">
        <v>1</v>
      </c>
      <c r="E158" s="3" t="s">
        <v>34</v>
      </c>
      <c r="F158" s="3" t="s">
        <v>35</v>
      </c>
      <c r="G158" s="3" t="str">
        <f>"2026-06-02 03:02:02.133"</f>
        <v>2026-06-02 03:02:02.133</v>
      </c>
      <c r="H158" s="3" t="s">
        <v>22</v>
      </c>
    </row>
    <row r="159" spans="1:10" s="3" customFormat="1" x14ac:dyDescent="0.25">
      <c r="A159" s="2">
        <v>52</v>
      </c>
      <c r="B159" s="3" t="s">
        <v>27</v>
      </c>
      <c r="C159" s="3">
        <v>647</v>
      </c>
      <c r="D159" s="3">
        <v>1</v>
      </c>
      <c r="E159" s="3" t="s">
        <v>34</v>
      </c>
      <c r="F159" s="3" t="s">
        <v>35</v>
      </c>
      <c r="G159" s="3" t="str">
        <f>"2026-06-02 03:01:59.433"</f>
        <v>2026-06-02 03:01:59.433</v>
      </c>
      <c r="H159" s="3" t="s">
        <v>22</v>
      </c>
      <c r="I159" s="3">
        <v>17.239999999999998</v>
      </c>
      <c r="J159" s="3" t="s">
        <v>36</v>
      </c>
    </row>
    <row r="160" spans="1:10" s="3" customFormat="1" x14ac:dyDescent="0.25">
      <c r="A160" s="2">
        <v>53</v>
      </c>
      <c r="B160" s="3" t="s">
        <v>24</v>
      </c>
      <c r="C160" s="3">
        <v>647</v>
      </c>
      <c r="D160" s="3">
        <v>1</v>
      </c>
      <c r="E160" s="3" t="s">
        <v>34</v>
      </c>
      <c r="F160" s="3" t="s">
        <v>35</v>
      </c>
      <c r="G160" s="3" t="str">
        <f>"2026-06-02 02:59:31.332"</f>
        <v>2026-06-02 02:59:31.332</v>
      </c>
      <c r="H160" s="3" t="s">
        <v>22</v>
      </c>
    </row>
    <row r="161" spans="1:10" s="3" customFormat="1" x14ac:dyDescent="0.25">
      <c r="A161" s="2">
        <v>54</v>
      </c>
      <c r="B161" s="3" t="s">
        <v>27</v>
      </c>
      <c r="C161" s="3">
        <v>647</v>
      </c>
      <c r="D161" s="3">
        <v>1</v>
      </c>
      <c r="E161" s="3" t="s">
        <v>34</v>
      </c>
      <c r="F161" s="3" t="s">
        <v>35</v>
      </c>
      <c r="G161" s="3" t="str">
        <f>"2026-06-02 02:59:27.833"</f>
        <v>2026-06-02 02:59:27.833</v>
      </c>
      <c r="H161" s="3" t="s">
        <v>22</v>
      </c>
      <c r="I161" s="3">
        <v>17.2</v>
      </c>
      <c r="J161" s="3" t="s">
        <v>37</v>
      </c>
    </row>
    <row r="162" spans="1:10" s="3" customFormat="1" x14ac:dyDescent="0.25">
      <c r="A162" s="2">
        <v>55</v>
      </c>
      <c r="B162" s="3" t="s">
        <v>24</v>
      </c>
      <c r="C162" s="3">
        <v>647</v>
      </c>
      <c r="D162" s="3">
        <v>1</v>
      </c>
      <c r="E162" s="3" t="s">
        <v>34</v>
      </c>
      <c r="F162" s="3" t="s">
        <v>35</v>
      </c>
      <c r="G162" s="3" t="str">
        <f>"2026-06-02 02:59:24.033"</f>
        <v>2026-06-02 02:59:24.033</v>
      </c>
      <c r="H162" s="3" t="s">
        <v>22</v>
      </c>
    </row>
    <row r="163" spans="1:10" s="3" customFormat="1" x14ac:dyDescent="0.25">
      <c r="A163" s="2">
        <v>56</v>
      </c>
      <c r="B163" s="3" t="s">
        <v>27</v>
      </c>
      <c r="C163" s="3">
        <v>647</v>
      </c>
      <c r="D163" s="3">
        <v>1</v>
      </c>
      <c r="E163" s="3" t="s">
        <v>34</v>
      </c>
      <c r="F163" s="3" t="s">
        <v>35</v>
      </c>
      <c r="G163" s="3" t="str">
        <f>"2026-06-02 02:59:22.433"</f>
        <v>2026-06-02 02:59:22.433</v>
      </c>
      <c r="H163" s="3" t="s">
        <v>22</v>
      </c>
      <c r="I163" s="3">
        <v>15.19</v>
      </c>
      <c r="J163" s="3" t="s">
        <v>37</v>
      </c>
    </row>
    <row r="164" spans="1:10" s="3" customFormat="1" x14ac:dyDescent="0.25">
      <c r="A164" s="2">
        <v>57</v>
      </c>
      <c r="B164" s="3" t="s">
        <v>24</v>
      </c>
      <c r="C164" s="3">
        <v>647</v>
      </c>
      <c r="D164" s="3">
        <v>1</v>
      </c>
      <c r="E164" s="3" t="s">
        <v>34</v>
      </c>
      <c r="F164" s="3" t="s">
        <v>35</v>
      </c>
      <c r="G164" s="3" t="str">
        <f>"2026-06-02 02:59:16.133"</f>
        <v>2026-06-02 02:59:16.133</v>
      </c>
      <c r="H164" s="3" t="s">
        <v>22</v>
      </c>
    </row>
    <row r="165" spans="1:10" s="3" customFormat="1" x14ac:dyDescent="0.25">
      <c r="A165" s="2">
        <v>58</v>
      </c>
      <c r="B165" s="3" t="s">
        <v>27</v>
      </c>
      <c r="C165" s="3">
        <v>647</v>
      </c>
      <c r="D165" s="3">
        <v>1</v>
      </c>
      <c r="E165" s="3" t="s">
        <v>34</v>
      </c>
      <c r="F165" s="3" t="s">
        <v>35</v>
      </c>
      <c r="G165" s="3" t="str">
        <f>"2026-06-02 02:59:14.233"</f>
        <v>2026-06-02 02:59:14.233</v>
      </c>
      <c r="H165" s="3" t="s">
        <v>22</v>
      </c>
      <c r="I165" s="3">
        <v>11.34</v>
      </c>
      <c r="J165" s="3" t="s">
        <v>37</v>
      </c>
    </row>
    <row r="166" spans="1:10" s="3" customFormat="1" x14ac:dyDescent="0.25">
      <c r="A166" s="2">
        <v>59</v>
      </c>
      <c r="B166" s="3" t="s">
        <v>24</v>
      </c>
      <c r="C166" s="3">
        <v>647</v>
      </c>
      <c r="D166" s="3">
        <v>1</v>
      </c>
      <c r="E166" s="3" t="s">
        <v>34</v>
      </c>
      <c r="F166" s="3" t="s">
        <v>35</v>
      </c>
      <c r="G166" s="3" t="str">
        <f>"2026-06-02 02:59:10.333"</f>
        <v>2026-06-02 02:59:10.333</v>
      </c>
      <c r="H166" s="3" t="s">
        <v>22</v>
      </c>
    </row>
    <row r="167" spans="1:10" s="3" customFormat="1" x14ac:dyDescent="0.25">
      <c r="A167" s="2">
        <v>60</v>
      </c>
      <c r="B167" s="3" t="s">
        <v>27</v>
      </c>
      <c r="C167" s="3">
        <v>647</v>
      </c>
      <c r="D167" s="3">
        <v>1</v>
      </c>
      <c r="E167" s="3" t="s">
        <v>34</v>
      </c>
      <c r="F167" s="3" t="s">
        <v>35</v>
      </c>
      <c r="G167" s="3" t="str">
        <f>"2026-06-02 02:59:07.633"</f>
        <v>2026-06-02 02:59:07.633</v>
      </c>
      <c r="H167" s="3" t="s">
        <v>22</v>
      </c>
      <c r="I167" s="3">
        <v>10.65</v>
      </c>
      <c r="J167" s="3" t="s">
        <v>36</v>
      </c>
    </row>
    <row r="168" spans="1:10" s="3" customFormat="1" x14ac:dyDescent="0.25">
      <c r="A168" s="2">
        <v>61</v>
      </c>
      <c r="B168" s="3" t="s">
        <v>24</v>
      </c>
      <c r="C168" s="3">
        <v>647</v>
      </c>
      <c r="D168" s="3">
        <v>1</v>
      </c>
      <c r="E168" s="3" t="s">
        <v>34</v>
      </c>
      <c r="F168" s="3" t="s">
        <v>35</v>
      </c>
      <c r="G168" s="3" t="str">
        <f>"2026-06-02 02:21:32.833"</f>
        <v>2026-06-02 02:21:32.833</v>
      </c>
      <c r="H168" s="3" t="s">
        <v>22</v>
      </c>
    </row>
    <row r="169" spans="1:10" s="3" customFormat="1" x14ac:dyDescent="0.25">
      <c r="A169" s="2">
        <v>62</v>
      </c>
      <c r="B169" s="3" t="s">
        <v>27</v>
      </c>
      <c r="C169" s="3">
        <v>647</v>
      </c>
      <c r="D169" s="3">
        <v>1</v>
      </c>
      <c r="E169" s="3" t="s">
        <v>34</v>
      </c>
      <c r="F169" s="3" t="s">
        <v>35</v>
      </c>
      <c r="G169" s="3" t="str">
        <f>"2026-06-02 02:21:17.333"</f>
        <v>2026-06-02 02:21:17.333</v>
      </c>
      <c r="H169" s="3" t="s">
        <v>22</v>
      </c>
      <c r="I169" s="3">
        <v>11.49</v>
      </c>
      <c r="J169" s="3" t="s">
        <v>36</v>
      </c>
    </row>
    <row r="170" spans="1:10" s="3" customFormat="1" x14ac:dyDescent="0.25">
      <c r="A170" s="2">
        <v>63</v>
      </c>
      <c r="B170" s="3" t="s">
        <v>24</v>
      </c>
      <c r="C170" s="3">
        <v>647</v>
      </c>
      <c r="D170" s="3">
        <v>1</v>
      </c>
      <c r="E170" s="3" t="s">
        <v>34</v>
      </c>
      <c r="F170" s="3" t="s">
        <v>35</v>
      </c>
      <c r="G170" s="3" t="str">
        <f>"2026-06-02 02:21:03.033"</f>
        <v>2026-06-02 02:21:03.033</v>
      </c>
      <c r="H170" s="3" t="s">
        <v>22</v>
      </c>
    </row>
    <row r="171" spans="1:10" s="3" customFormat="1" x14ac:dyDescent="0.25">
      <c r="A171" s="2">
        <v>64</v>
      </c>
      <c r="B171" s="3" t="s">
        <v>27</v>
      </c>
      <c r="C171" s="3">
        <v>647</v>
      </c>
      <c r="D171" s="3">
        <v>1</v>
      </c>
      <c r="E171" s="3" t="s">
        <v>34</v>
      </c>
      <c r="F171" s="3" t="s">
        <v>35</v>
      </c>
      <c r="G171" s="3" t="str">
        <f>"2026-06-02 02:20:56.133"</f>
        <v>2026-06-02 02:20:56.133</v>
      </c>
      <c r="H171" s="3" t="s">
        <v>22</v>
      </c>
      <c r="I171" s="3">
        <v>20.81</v>
      </c>
      <c r="J171" s="3" t="s">
        <v>36</v>
      </c>
    </row>
    <row r="172" spans="1:10" s="3" customFormat="1" x14ac:dyDescent="0.25">
      <c r="A172" s="2">
        <v>65</v>
      </c>
      <c r="B172" s="3" t="s">
        <v>24</v>
      </c>
      <c r="C172" s="3">
        <v>647</v>
      </c>
      <c r="D172" s="3">
        <v>1</v>
      </c>
      <c r="E172" s="3" t="s">
        <v>34</v>
      </c>
      <c r="F172" s="3" t="s">
        <v>35</v>
      </c>
      <c r="G172" s="3" t="str">
        <f>"2026-06-02 02:20:53.633"</f>
        <v>2026-06-02 02:20:53.633</v>
      </c>
      <c r="H172" s="3" t="s">
        <v>22</v>
      </c>
    </row>
    <row r="173" spans="1:10" s="3" customFormat="1" x14ac:dyDescent="0.25">
      <c r="A173" s="2">
        <v>66</v>
      </c>
      <c r="B173" s="3" t="s">
        <v>27</v>
      </c>
      <c r="C173" s="3">
        <v>647</v>
      </c>
      <c r="D173" s="3">
        <v>1</v>
      </c>
      <c r="E173" s="3" t="s">
        <v>34</v>
      </c>
      <c r="F173" s="3" t="s">
        <v>35</v>
      </c>
      <c r="G173" s="3" t="str">
        <f>"2026-06-02 02:20:52.333"</f>
        <v>2026-06-02 02:20:52.333</v>
      </c>
      <c r="H173" s="3" t="s">
        <v>22</v>
      </c>
      <c r="I173" s="3">
        <v>21.57</v>
      </c>
      <c r="J173" s="3" t="s">
        <v>36</v>
      </c>
    </row>
    <row r="174" spans="1:10" s="3" customFormat="1" x14ac:dyDescent="0.25">
      <c r="A174" s="2">
        <v>67</v>
      </c>
      <c r="B174" s="3" t="s">
        <v>24</v>
      </c>
      <c r="C174" s="3">
        <v>647</v>
      </c>
      <c r="D174" s="3">
        <v>1</v>
      </c>
      <c r="E174" s="3" t="s">
        <v>34</v>
      </c>
      <c r="F174" s="3" t="s">
        <v>35</v>
      </c>
      <c r="G174" s="3" t="str">
        <f>"2026-06-02 02:20:46.233"</f>
        <v>2026-06-02 02:20:46.233</v>
      </c>
      <c r="H174" s="3" t="s">
        <v>22</v>
      </c>
    </row>
    <row r="175" spans="1:10" s="3" customFormat="1" x14ac:dyDescent="0.25">
      <c r="A175" s="2">
        <v>68</v>
      </c>
      <c r="B175" s="3" t="s">
        <v>27</v>
      </c>
      <c r="C175" s="3">
        <v>647</v>
      </c>
      <c r="D175" s="3">
        <v>1</v>
      </c>
      <c r="E175" s="3" t="s">
        <v>34</v>
      </c>
      <c r="F175" s="3" t="s">
        <v>35</v>
      </c>
      <c r="G175" s="3" t="str">
        <f>"2026-06-02 02:20:41.933"</f>
        <v>2026-06-02 02:20:41.933</v>
      </c>
      <c r="H175" s="3" t="s">
        <v>22</v>
      </c>
      <c r="I175" s="3">
        <v>19.7</v>
      </c>
      <c r="J175" s="3" t="s">
        <v>36</v>
      </c>
    </row>
    <row r="176" spans="1:10" s="3" customFormat="1" x14ac:dyDescent="0.25">
      <c r="A176" s="2">
        <v>69</v>
      </c>
      <c r="B176" s="3" t="s">
        <v>24</v>
      </c>
      <c r="C176" s="3">
        <v>647</v>
      </c>
      <c r="D176" s="3">
        <v>1</v>
      </c>
      <c r="E176" s="3" t="s">
        <v>34</v>
      </c>
      <c r="F176" s="3" t="s">
        <v>35</v>
      </c>
      <c r="G176" s="3" t="str">
        <f>"2026-06-02 02:20:37.033"</f>
        <v>2026-06-02 02:20:37.033</v>
      </c>
      <c r="H176" s="3" t="s">
        <v>22</v>
      </c>
    </row>
    <row r="177" spans="1:10" s="3" customFormat="1" x14ac:dyDescent="0.25">
      <c r="A177" s="2">
        <v>70</v>
      </c>
      <c r="B177" s="3" t="s">
        <v>27</v>
      </c>
      <c r="C177" s="3">
        <v>647</v>
      </c>
      <c r="D177" s="3">
        <v>1</v>
      </c>
      <c r="E177" s="3" t="s">
        <v>34</v>
      </c>
      <c r="F177" s="3" t="s">
        <v>35</v>
      </c>
      <c r="G177" s="3" t="str">
        <f>"2026-06-02 02:20:34.933"</f>
        <v>2026-06-02 02:20:34.933</v>
      </c>
      <c r="H177" s="3" t="s">
        <v>22</v>
      </c>
      <c r="I177" s="3">
        <v>19.100000000000001</v>
      </c>
      <c r="J177" s="3" t="s">
        <v>36</v>
      </c>
    </row>
    <row r="178" spans="1:10" s="3" customFormat="1" x14ac:dyDescent="0.25">
      <c r="A178" s="2">
        <v>71</v>
      </c>
      <c r="B178" s="3" t="s">
        <v>24</v>
      </c>
      <c r="C178" s="3">
        <v>647</v>
      </c>
      <c r="D178" s="3">
        <v>1</v>
      </c>
      <c r="E178" s="3" t="s">
        <v>34</v>
      </c>
      <c r="F178" s="3" t="s">
        <v>35</v>
      </c>
      <c r="G178" s="3" t="str">
        <f>"2026-06-02 01:21:44.733"</f>
        <v>2026-06-02 01:21:44.733</v>
      </c>
      <c r="H178" s="3" t="s">
        <v>22</v>
      </c>
    </row>
    <row r="179" spans="1:10" s="3" customFormat="1" x14ac:dyDescent="0.25">
      <c r="A179" s="2">
        <v>72</v>
      </c>
      <c r="B179" s="3" t="s">
        <v>27</v>
      </c>
      <c r="C179" s="3">
        <v>647</v>
      </c>
      <c r="D179" s="3">
        <v>1</v>
      </c>
      <c r="E179" s="3" t="s">
        <v>34</v>
      </c>
      <c r="F179" s="3" t="s">
        <v>35</v>
      </c>
      <c r="G179" s="3" t="str">
        <f>"2026-06-02 01:21:43.033"</f>
        <v>2026-06-02 01:21:43.033</v>
      </c>
      <c r="H179" s="3" t="s">
        <v>22</v>
      </c>
      <c r="I179" s="3">
        <v>16.399999999999999</v>
      </c>
      <c r="J179" s="3" t="s">
        <v>36</v>
      </c>
    </row>
    <row r="180" spans="1:10" s="3" customFormat="1" x14ac:dyDescent="0.25">
      <c r="A180" s="2">
        <v>73</v>
      </c>
      <c r="B180" s="3" t="s">
        <v>24</v>
      </c>
      <c r="C180" s="3">
        <v>647</v>
      </c>
      <c r="D180" s="3">
        <v>1</v>
      </c>
      <c r="E180" s="3" t="s">
        <v>34</v>
      </c>
      <c r="F180" s="3" t="s">
        <v>35</v>
      </c>
      <c r="G180" s="3" t="str">
        <f>"2026-06-02 01:21:28.133"</f>
        <v>2026-06-02 01:21:28.133</v>
      </c>
      <c r="H180" s="3" t="s">
        <v>22</v>
      </c>
    </row>
    <row r="181" spans="1:10" s="3" customFormat="1" x14ac:dyDescent="0.25">
      <c r="A181" s="2">
        <v>74</v>
      </c>
      <c r="B181" s="3" t="s">
        <v>27</v>
      </c>
      <c r="C181" s="3">
        <v>647</v>
      </c>
      <c r="D181" s="3">
        <v>1</v>
      </c>
      <c r="E181" s="3" t="s">
        <v>34</v>
      </c>
      <c r="F181" s="3" t="s">
        <v>35</v>
      </c>
      <c r="G181" s="3" t="str">
        <f>"2026-06-02 01:21:18.033"</f>
        <v>2026-06-02 01:21:18.033</v>
      </c>
      <c r="H181" s="3" t="s">
        <v>22</v>
      </c>
      <c r="I181" s="3">
        <v>10.81</v>
      </c>
      <c r="J181" s="3" t="s">
        <v>36</v>
      </c>
    </row>
    <row r="182" spans="1:10" s="3" customFormat="1" x14ac:dyDescent="0.25">
      <c r="A182" s="2">
        <v>75</v>
      </c>
      <c r="B182" s="3" t="s">
        <v>24</v>
      </c>
      <c r="C182" s="3">
        <v>647</v>
      </c>
      <c r="D182" s="3">
        <v>1</v>
      </c>
      <c r="E182" s="3" t="s">
        <v>34</v>
      </c>
      <c r="F182" s="3" t="s">
        <v>35</v>
      </c>
      <c r="G182" s="3" t="str">
        <f>"2026-06-02 01:21:12.333"</f>
        <v>2026-06-02 01:21:12.333</v>
      </c>
      <c r="H182" s="3" t="s">
        <v>22</v>
      </c>
    </row>
    <row r="183" spans="1:10" s="3" customFormat="1" x14ac:dyDescent="0.25">
      <c r="A183" s="2">
        <v>76</v>
      </c>
      <c r="B183" s="3" t="s">
        <v>27</v>
      </c>
      <c r="C183" s="3">
        <v>647</v>
      </c>
      <c r="D183" s="3">
        <v>1</v>
      </c>
      <c r="E183" s="3" t="s">
        <v>34</v>
      </c>
      <c r="F183" s="3" t="s">
        <v>35</v>
      </c>
      <c r="G183" s="3" t="str">
        <f>"2026-06-02 01:21:03.533"</f>
        <v>2026-06-02 01:21:03.533</v>
      </c>
      <c r="H183" s="3" t="s">
        <v>22</v>
      </c>
      <c r="I183" s="3">
        <v>10.76</v>
      </c>
      <c r="J183" s="3" t="s">
        <v>36</v>
      </c>
    </row>
    <row r="184" spans="1:10" x14ac:dyDescent="0.25">
      <c r="A184" s="1">
        <v>78</v>
      </c>
      <c r="B184" t="s">
        <v>24</v>
      </c>
      <c r="C184">
        <v>635</v>
      </c>
      <c r="D184">
        <v>1</v>
      </c>
      <c r="E184" t="s">
        <v>25</v>
      </c>
      <c r="F184" t="s">
        <v>26</v>
      </c>
      <c r="G184" t="str">
        <f>"2026-06-01 21:57:35.032"</f>
        <v>2026-06-01 21:57:35.032</v>
      </c>
      <c r="H184" t="s">
        <v>22</v>
      </c>
    </row>
    <row r="185" spans="1:10" x14ac:dyDescent="0.25">
      <c r="A185" s="1">
        <v>79</v>
      </c>
      <c r="B185" t="s">
        <v>27</v>
      </c>
      <c r="C185">
        <v>635</v>
      </c>
      <c r="D185">
        <v>1</v>
      </c>
      <c r="E185" t="s">
        <v>25</v>
      </c>
      <c r="F185" t="s">
        <v>26</v>
      </c>
      <c r="G185" t="str">
        <f>"2026-06-01 21:54:25.532"</f>
        <v>2026-06-01 21:54:25.532</v>
      </c>
      <c r="H185" t="s">
        <v>22</v>
      </c>
      <c r="I185">
        <v>2.81</v>
      </c>
      <c r="J185" t="s">
        <v>36</v>
      </c>
    </row>
    <row r="186" spans="1:10" s="3" customFormat="1" x14ac:dyDescent="0.25">
      <c r="A186" s="2">
        <v>80</v>
      </c>
      <c r="B186" s="3" t="s">
        <v>24</v>
      </c>
      <c r="C186" s="3">
        <v>647</v>
      </c>
      <c r="D186" s="3">
        <v>1</v>
      </c>
      <c r="E186" s="3" t="s">
        <v>34</v>
      </c>
      <c r="F186" s="3" t="s">
        <v>35</v>
      </c>
      <c r="G186" s="3" t="str">
        <f>"2026-06-01 21:09:02.333"</f>
        <v>2026-06-01 21:09:02.333</v>
      </c>
      <c r="H186" s="3" t="s">
        <v>22</v>
      </c>
    </row>
    <row r="187" spans="1:10" s="3" customFormat="1" x14ac:dyDescent="0.25">
      <c r="A187" s="2">
        <v>81</v>
      </c>
      <c r="B187" s="3" t="s">
        <v>27</v>
      </c>
      <c r="C187" s="3">
        <v>647</v>
      </c>
      <c r="D187" s="3">
        <v>1</v>
      </c>
      <c r="E187" s="3" t="s">
        <v>34</v>
      </c>
      <c r="F187" s="3" t="s">
        <v>35</v>
      </c>
      <c r="G187" s="3" t="str">
        <f>"2026-06-01 21:08:58.433"</f>
        <v>2026-06-01 21:08:58.433</v>
      </c>
      <c r="H187" s="3" t="s">
        <v>22</v>
      </c>
      <c r="I187" s="3">
        <v>16.22</v>
      </c>
      <c r="J187" s="3" t="s">
        <v>36</v>
      </c>
    </row>
    <row r="188" spans="1:10" s="3" customFormat="1" x14ac:dyDescent="0.25">
      <c r="A188" s="2">
        <v>82</v>
      </c>
      <c r="B188" s="3" t="s">
        <v>24</v>
      </c>
      <c r="C188" s="3">
        <v>647</v>
      </c>
      <c r="D188" s="3">
        <v>1</v>
      </c>
      <c r="E188" s="3" t="s">
        <v>34</v>
      </c>
      <c r="F188" s="3" t="s">
        <v>35</v>
      </c>
      <c r="G188" s="3" t="str">
        <f>"2026-06-01 21:04:24.133"</f>
        <v>2026-06-01 21:04:24.133</v>
      </c>
      <c r="H188" s="3" t="s">
        <v>22</v>
      </c>
    </row>
    <row r="189" spans="1:10" s="3" customFormat="1" x14ac:dyDescent="0.25">
      <c r="A189" s="2">
        <v>83</v>
      </c>
      <c r="B189" s="3" t="s">
        <v>27</v>
      </c>
      <c r="C189" s="3">
        <v>647</v>
      </c>
      <c r="D189" s="3">
        <v>1</v>
      </c>
      <c r="E189" s="3" t="s">
        <v>34</v>
      </c>
      <c r="F189" s="3" t="s">
        <v>35</v>
      </c>
      <c r="G189" s="3" t="str">
        <f>"2026-06-01 21:04:21.633"</f>
        <v>2026-06-01 21:04:21.633</v>
      </c>
      <c r="H189" s="3" t="s">
        <v>22</v>
      </c>
      <c r="I189" s="3">
        <v>14.13</v>
      </c>
      <c r="J189" s="3" t="s">
        <v>36</v>
      </c>
    </row>
    <row r="190" spans="1:10" s="3" customFormat="1" x14ac:dyDescent="0.25">
      <c r="A190" s="2">
        <v>84</v>
      </c>
      <c r="B190" s="3" t="s">
        <v>24</v>
      </c>
      <c r="C190" s="3">
        <v>647</v>
      </c>
      <c r="D190" s="3">
        <v>1</v>
      </c>
      <c r="E190" s="3" t="s">
        <v>34</v>
      </c>
      <c r="F190" s="3" t="s">
        <v>35</v>
      </c>
      <c r="G190" s="3" t="str">
        <f>"2026-06-01 21:04:19.733"</f>
        <v>2026-06-01 21:04:19.733</v>
      </c>
      <c r="H190" s="3" t="s">
        <v>22</v>
      </c>
    </row>
    <row r="191" spans="1:10" s="3" customFormat="1" x14ac:dyDescent="0.25">
      <c r="A191" s="2">
        <v>85</v>
      </c>
      <c r="B191" s="3" t="s">
        <v>27</v>
      </c>
      <c r="C191" s="3">
        <v>647</v>
      </c>
      <c r="D191" s="3">
        <v>1</v>
      </c>
      <c r="E191" s="3" t="s">
        <v>34</v>
      </c>
      <c r="F191" s="3" t="s">
        <v>35</v>
      </c>
      <c r="G191" s="3" t="str">
        <f>"2026-06-01 21:04:16.033"</f>
        <v>2026-06-01 21:04:16.033</v>
      </c>
      <c r="H191" s="3" t="s">
        <v>22</v>
      </c>
      <c r="I191" s="3">
        <v>12.69</v>
      </c>
      <c r="J191" s="3" t="s">
        <v>36</v>
      </c>
    </row>
    <row r="192" spans="1:10" x14ac:dyDescent="0.25">
      <c r="A192" s="1">
        <v>86</v>
      </c>
      <c r="B192" t="s">
        <v>19</v>
      </c>
      <c r="C192">
        <v>700</v>
      </c>
      <c r="D192">
        <v>0</v>
      </c>
      <c r="E192" t="s">
        <v>33</v>
      </c>
      <c r="F192" t="s">
        <v>33</v>
      </c>
      <c r="G192" t="str">
        <f>"2026-05-31 19:19:44.891"</f>
        <v>2026-05-31 19:19:44.891</v>
      </c>
      <c r="H192" t="s">
        <v>22</v>
      </c>
      <c r="I192">
        <v>0</v>
      </c>
      <c r="J192" t="s">
        <v>41</v>
      </c>
    </row>
    <row r="193" spans="1:10" x14ac:dyDescent="0.25">
      <c r="A193" s="1">
        <v>87</v>
      </c>
      <c r="B193" t="s">
        <v>24</v>
      </c>
      <c r="C193">
        <v>635</v>
      </c>
      <c r="D193">
        <v>1</v>
      </c>
      <c r="E193" t="s">
        <v>25</v>
      </c>
      <c r="F193" t="s">
        <v>26</v>
      </c>
      <c r="G193" t="str">
        <f>"2026-05-31 15:44:52.127"</f>
        <v>2026-05-31 15:44:52.127</v>
      </c>
      <c r="H193" t="s">
        <v>22</v>
      </c>
    </row>
    <row r="194" spans="1:10" x14ac:dyDescent="0.25">
      <c r="A194" s="1">
        <v>88</v>
      </c>
      <c r="B194" t="s">
        <v>27</v>
      </c>
      <c r="C194">
        <v>635</v>
      </c>
      <c r="D194">
        <v>1</v>
      </c>
      <c r="E194" t="s">
        <v>25</v>
      </c>
      <c r="F194" t="s">
        <v>26</v>
      </c>
      <c r="G194" t="str">
        <f>"2026-05-31 15:41:41.127"</f>
        <v>2026-05-31 15:41:41.127</v>
      </c>
      <c r="H194" t="s">
        <v>22</v>
      </c>
      <c r="I194">
        <v>2.71</v>
      </c>
      <c r="J194" t="s">
        <v>36</v>
      </c>
    </row>
    <row r="195" spans="1:10" x14ac:dyDescent="0.25">
      <c r="A195" s="1">
        <v>89</v>
      </c>
      <c r="B195" t="s">
        <v>19</v>
      </c>
      <c r="C195">
        <v>706</v>
      </c>
      <c r="D195">
        <v>4</v>
      </c>
      <c r="E195" t="s">
        <v>20</v>
      </c>
      <c r="F195" t="s">
        <v>40</v>
      </c>
      <c r="G195" t="str">
        <f>"2026-05-31 12:53:51.041"</f>
        <v>2026-05-31 12:53:51.041</v>
      </c>
      <c r="H195" t="s">
        <v>22</v>
      </c>
      <c r="I195">
        <v>0</v>
      </c>
      <c r="J195" t="s">
        <v>23</v>
      </c>
    </row>
    <row r="196" spans="1:10" x14ac:dyDescent="0.25">
      <c r="A196" s="1">
        <v>90</v>
      </c>
      <c r="B196" t="s">
        <v>19</v>
      </c>
      <c r="C196">
        <v>700</v>
      </c>
      <c r="D196">
        <v>0</v>
      </c>
      <c r="E196" t="s">
        <v>33</v>
      </c>
      <c r="F196" t="s">
        <v>33</v>
      </c>
      <c r="G196" t="str">
        <f>"2026-05-31 12:53:27.961"</f>
        <v>2026-05-31 12:53:27.961</v>
      </c>
      <c r="H196" t="s">
        <v>22</v>
      </c>
      <c r="I196">
        <v>0</v>
      </c>
      <c r="J196" t="s">
        <v>41</v>
      </c>
    </row>
    <row r="197" spans="1:10" s="3" customFormat="1" x14ac:dyDescent="0.25">
      <c r="A197" s="2">
        <v>91</v>
      </c>
      <c r="B197" s="3" t="s">
        <v>24</v>
      </c>
      <c r="C197" s="3">
        <v>647</v>
      </c>
      <c r="D197" s="3">
        <v>1</v>
      </c>
      <c r="E197" s="3" t="s">
        <v>34</v>
      </c>
      <c r="F197" s="3" t="s">
        <v>35</v>
      </c>
      <c r="G197" s="3" t="str">
        <f>"2026-05-31 07:23:49.831"</f>
        <v>2026-05-31 07:23:49.831</v>
      </c>
      <c r="H197" s="3" t="s">
        <v>22</v>
      </c>
    </row>
    <row r="198" spans="1:10" s="3" customFormat="1" x14ac:dyDescent="0.25">
      <c r="A198" s="2">
        <v>92</v>
      </c>
      <c r="B198" s="3" t="s">
        <v>27</v>
      </c>
      <c r="C198" s="3">
        <v>647</v>
      </c>
      <c r="D198" s="3">
        <v>1</v>
      </c>
      <c r="E198" s="3" t="s">
        <v>34</v>
      </c>
      <c r="F198" s="3" t="s">
        <v>35</v>
      </c>
      <c r="G198" s="3" t="str">
        <f>"2026-05-31 07:23:47.531"</f>
        <v>2026-05-31 07:23:47.531</v>
      </c>
      <c r="H198" s="3" t="s">
        <v>22</v>
      </c>
      <c r="I198" s="3">
        <v>9.2899999999999991</v>
      </c>
      <c r="J198" s="3" t="s">
        <v>37</v>
      </c>
    </row>
    <row r="199" spans="1:10" s="3" customFormat="1" x14ac:dyDescent="0.25">
      <c r="A199" s="2">
        <v>93</v>
      </c>
      <c r="B199" s="3" t="s">
        <v>24</v>
      </c>
      <c r="C199" s="3">
        <v>647</v>
      </c>
      <c r="D199" s="3">
        <v>1</v>
      </c>
      <c r="E199" s="3" t="s">
        <v>34</v>
      </c>
      <c r="F199" s="3" t="s">
        <v>35</v>
      </c>
      <c r="G199" s="3" t="str">
        <f>"2026-05-30 07:18:02.331"</f>
        <v>2026-05-30 07:18:02.331</v>
      </c>
      <c r="H199" s="3" t="s">
        <v>22</v>
      </c>
    </row>
    <row r="200" spans="1:10" s="3" customFormat="1" x14ac:dyDescent="0.25">
      <c r="A200" s="2">
        <v>94</v>
      </c>
      <c r="B200" s="3" t="s">
        <v>27</v>
      </c>
      <c r="C200" s="3">
        <v>647</v>
      </c>
      <c r="D200" s="3">
        <v>1</v>
      </c>
      <c r="E200" s="3" t="s">
        <v>34</v>
      </c>
      <c r="F200" s="3" t="s">
        <v>35</v>
      </c>
      <c r="G200" s="3" t="str">
        <f>"2026-05-30 07:17:57.031"</f>
        <v>2026-05-30 07:17:57.031</v>
      </c>
      <c r="H200" s="3" t="s">
        <v>22</v>
      </c>
      <c r="I200" s="3">
        <v>19.78</v>
      </c>
      <c r="J200" s="3" t="s">
        <v>36</v>
      </c>
    </row>
    <row r="201" spans="1:10" x14ac:dyDescent="0.25">
      <c r="A201" s="1">
        <v>95</v>
      </c>
      <c r="B201" t="s">
        <v>24</v>
      </c>
      <c r="C201">
        <v>635</v>
      </c>
      <c r="D201">
        <v>1</v>
      </c>
      <c r="E201" t="s">
        <v>25</v>
      </c>
      <c r="F201" t="s">
        <v>26</v>
      </c>
      <c r="G201" t="str">
        <f>"2026-05-29 18:38:03.382"</f>
        <v>2026-05-29 18:38:03.382</v>
      </c>
      <c r="H201" t="s">
        <v>22</v>
      </c>
    </row>
    <row r="202" spans="1:10" x14ac:dyDescent="0.25">
      <c r="A202" s="1">
        <v>96</v>
      </c>
      <c r="B202" t="s">
        <v>27</v>
      </c>
      <c r="C202">
        <v>635</v>
      </c>
      <c r="D202">
        <v>1</v>
      </c>
      <c r="E202" t="s">
        <v>25</v>
      </c>
      <c r="F202" t="s">
        <v>26</v>
      </c>
      <c r="G202" t="str">
        <f>"2026-05-29 18:35:24.884"</f>
        <v>2026-05-29 18:35:24.884</v>
      </c>
      <c r="H202" t="s">
        <v>22</v>
      </c>
      <c r="I202">
        <v>3.19</v>
      </c>
      <c r="J202" t="s">
        <v>28</v>
      </c>
    </row>
    <row r="203" spans="1:10" x14ac:dyDescent="0.25">
      <c r="A203" s="1">
        <v>97</v>
      </c>
      <c r="B203" t="s">
        <v>19</v>
      </c>
      <c r="C203">
        <v>706</v>
      </c>
      <c r="D203">
        <v>2</v>
      </c>
      <c r="E203" t="s">
        <v>20</v>
      </c>
      <c r="F203" t="s">
        <v>21</v>
      </c>
      <c r="G203" t="str">
        <f>"2026-05-28 22:05:22.157"</f>
        <v>2026-05-28 22:05:22.157</v>
      </c>
      <c r="H203" t="s">
        <v>22</v>
      </c>
      <c r="I203">
        <v>0</v>
      </c>
      <c r="J203" t="s">
        <v>23</v>
      </c>
    </row>
    <row r="204" spans="1:10" x14ac:dyDescent="0.25">
      <c r="A204" s="1">
        <v>98</v>
      </c>
      <c r="B204" t="s">
        <v>19</v>
      </c>
      <c r="C204">
        <v>700</v>
      </c>
      <c r="D204">
        <v>0</v>
      </c>
      <c r="E204" t="s">
        <v>33</v>
      </c>
      <c r="F204" t="s">
        <v>33</v>
      </c>
      <c r="G204" t="str">
        <f>"2026-05-28 22:04:44.977"</f>
        <v>2026-05-28 22:04:44.977</v>
      </c>
      <c r="H204" t="s">
        <v>22</v>
      </c>
    </row>
    <row r="205" spans="1:10" s="3" customFormat="1" x14ac:dyDescent="0.25">
      <c r="A205" s="2">
        <v>99</v>
      </c>
      <c r="B205" s="3" t="s">
        <v>24</v>
      </c>
      <c r="C205" s="3">
        <v>647</v>
      </c>
      <c r="D205" s="3">
        <v>1</v>
      </c>
      <c r="E205" s="3" t="s">
        <v>34</v>
      </c>
      <c r="F205" s="3" t="s">
        <v>35</v>
      </c>
      <c r="G205" s="3" t="str">
        <f>"2026-05-28 03:20:58.007"</f>
        <v>2026-05-28 03:20:58.007</v>
      </c>
      <c r="H205" s="3" t="s">
        <v>22</v>
      </c>
    </row>
    <row r="206" spans="1:10" s="3" customFormat="1" x14ac:dyDescent="0.25">
      <c r="A206" s="2">
        <v>0</v>
      </c>
      <c r="B206" s="3" t="s">
        <v>27</v>
      </c>
      <c r="C206" s="3">
        <v>647</v>
      </c>
      <c r="D206" s="3">
        <v>1</v>
      </c>
      <c r="E206" s="3" t="s">
        <v>34</v>
      </c>
      <c r="F206" s="3" t="s">
        <v>35</v>
      </c>
      <c r="G206" s="3" t="str">
        <f>"2026-05-28 03:20:51.307"</f>
        <v>2026-05-28 03:20:51.307</v>
      </c>
      <c r="H206" s="3" t="s">
        <v>22</v>
      </c>
      <c r="I206" s="3">
        <v>25.7</v>
      </c>
      <c r="J206" s="3" t="s">
        <v>36</v>
      </c>
    </row>
    <row r="207" spans="1:10" s="3" customFormat="1" x14ac:dyDescent="0.25">
      <c r="A207" s="2">
        <v>1</v>
      </c>
      <c r="B207" s="3" t="s">
        <v>24</v>
      </c>
      <c r="C207" s="3">
        <v>647</v>
      </c>
      <c r="D207" s="3">
        <v>1</v>
      </c>
      <c r="E207" s="3" t="s">
        <v>34</v>
      </c>
      <c r="F207" s="3" t="s">
        <v>35</v>
      </c>
      <c r="G207" s="3" t="str">
        <f>"2026-05-28 02:24:29.607"</f>
        <v>2026-05-28 02:24:29.607</v>
      </c>
      <c r="H207" s="3" t="s">
        <v>22</v>
      </c>
    </row>
    <row r="208" spans="1:10" s="3" customFormat="1" x14ac:dyDescent="0.25">
      <c r="A208" s="2">
        <v>2</v>
      </c>
      <c r="B208" s="3" t="s">
        <v>27</v>
      </c>
      <c r="C208" s="3">
        <v>647</v>
      </c>
      <c r="D208" s="3">
        <v>1</v>
      </c>
      <c r="E208" s="3" t="s">
        <v>34</v>
      </c>
      <c r="F208" s="3" t="s">
        <v>35</v>
      </c>
      <c r="G208" s="3" t="str">
        <f>"2026-05-28 02:24:27.807"</f>
        <v>2026-05-28 02:24:27.807</v>
      </c>
      <c r="H208" s="3" t="s">
        <v>22</v>
      </c>
      <c r="I208" s="3">
        <v>13.85</v>
      </c>
      <c r="J208" s="3" t="s">
        <v>36</v>
      </c>
    </row>
    <row r="209" spans="1:10" s="3" customFormat="1" x14ac:dyDescent="0.25">
      <c r="A209" s="2">
        <v>3</v>
      </c>
      <c r="B209" s="3" t="s">
        <v>24</v>
      </c>
      <c r="C209" s="3">
        <v>647</v>
      </c>
      <c r="D209" s="3">
        <v>1</v>
      </c>
      <c r="E209" s="3" t="s">
        <v>34</v>
      </c>
      <c r="F209" s="3" t="s">
        <v>35</v>
      </c>
      <c r="G209" s="3" t="str">
        <f>"2026-05-28 02:22:00.107"</f>
        <v>2026-05-28 02:22:00.107</v>
      </c>
      <c r="H209" s="3" t="s">
        <v>22</v>
      </c>
    </row>
    <row r="210" spans="1:10" s="3" customFormat="1" x14ac:dyDescent="0.25">
      <c r="A210" s="2">
        <v>4</v>
      </c>
      <c r="B210" s="3" t="s">
        <v>27</v>
      </c>
      <c r="C210" s="3">
        <v>647</v>
      </c>
      <c r="D210" s="3">
        <v>1</v>
      </c>
      <c r="E210" s="3" t="s">
        <v>34</v>
      </c>
      <c r="F210" s="3" t="s">
        <v>35</v>
      </c>
      <c r="G210" s="3" t="str">
        <f>"2026-05-28 02:21:58.807"</f>
        <v>2026-05-28 02:21:58.807</v>
      </c>
      <c r="H210" s="3" t="s">
        <v>22</v>
      </c>
      <c r="I210" s="3">
        <v>15.92</v>
      </c>
      <c r="J210" s="3" t="s">
        <v>36</v>
      </c>
    </row>
    <row r="211" spans="1:10" s="3" customFormat="1" x14ac:dyDescent="0.25">
      <c r="A211" s="2">
        <v>5</v>
      </c>
      <c r="B211" s="3" t="s">
        <v>24</v>
      </c>
      <c r="C211" s="3">
        <v>647</v>
      </c>
      <c r="D211" s="3">
        <v>1</v>
      </c>
      <c r="E211" s="3" t="s">
        <v>34</v>
      </c>
      <c r="F211" s="3" t="s">
        <v>35</v>
      </c>
      <c r="G211" s="3" t="str">
        <f>"2026-05-28 00:46:01.507"</f>
        <v>2026-05-28 00:46:01.507</v>
      </c>
      <c r="H211" s="3" t="s">
        <v>22</v>
      </c>
    </row>
    <row r="212" spans="1:10" s="3" customFormat="1" x14ac:dyDescent="0.25">
      <c r="A212" s="2">
        <v>6</v>
      </c>
      <c r="B212" s="3" t="s">
        <v>27</v>
      </c>
      <c r="C212" s="3">
        <v>647</v>
      </c>
      <c r="D212" s="3">
        <v>1</v>
      </c>
      <c r="E212" s="3" t="s">
        <v>34</v>
      </c>
      <c r="F212" s="3" t="s">
        <v>35</v>
      </c>
      <c r="G212" s="3" t="str">
        <f>"2026-05-28 00:45:59.207"</f>
        <v>2026-05-28 00:45:59.207</v>
      </c>
      <c r="H212" s="3" t="s">
        <v>22</v>
      </c>
      <c r="I212" s="3">
        <v>17.45</v>
      </c>
      <c r="J212" s="3" t="s">
        <v>36</v>
      </c>
    </row>
    <row r="213" spans="1:10" s="3" customFormat="1" x14ac:dyDescent="0.25">
      <c r="A213" s="2">
        <v>7</v>
      </c>
      <c r="B213" s="3" t="s">
        <v>24</v>
      </c>
      <c r="C213" s="3">
        <v>647</v>
      </c>
      <c r="D213" s="3">
        <v>1</v>
      </c>
      <c r="E213" s="3" t="s">
        <v>34</v>
      </c>
      <c r="F213" s="3" t="s">
        <v>35</v>
      </c>
      <c r="G213" s="3" t="str">
        <f>"2026-05-28 00:11:30.607"</f>
        <v>2026-05-28 00:11:30.607</v>
      </c>
      <c r="H213" s="3" t="s">
        <v>22</v>
      </c>
    </row>
    <row r="214" spans="1:10" s="3" customFormat="1" x14ac:dyDescent="0.25">
      <c r="A214" s="2">
        <v>8</v>
      </c>
      <c r="B214" s="3" t="s">
        <v>27</v>
      </c>
      <c r="C214" s="3">
        <v>647</v>
      </c>
      <c r="D214" s="3">
        <v>1</v>
      </c>
      <c r="E214" s="3" t="s">
        <v>34</v>
      </c>
      <c r="F214" s="3" t="s">
        <v>35</v>
      </c>
      <c r="G214" s="3" t="str">
        <f>"2026-05-28 00:11:16.708"</f>
        <v>2026-05-28 00:11:16.708</v>
      </c>
      <c r="H214" s="3" t="s">
        <v>22</v>
      </c>
      <c r="I214" s="3">
        <v>15.84</v>
      </c>
      <c r="J214" s="3" t="s">
        <v>36</v>
      </c>
    </row>
    <row r="215" spans="1:10" x14ac:dyDescent="0.25">
      <c r="A215" s="1">
        <v>9</v>
      </c>
      <c r="B215" t="s">
        <v>19</v>
      </c>
      <c r="C215">
        <v>706</v>
      </c>
      <c r="D215">
        <v>2</v>
      </c>
      <c r="E215" t="s">
        <v>20</v>
      </c>
      <c r="F215" t="s">
        <v>21</v>
      </c>
      <c r="G215" t="str">
        <f>"2026-05-27 15:27:04.909"</f>
        <v>2026-05-27 15:27:04.909</v>
      </c>
      <c r="H215" t="s">
        <v>22</v>
      </c>
      <c r="I215">
        <v>0</v>
      </c>
      <c r="J215" t="s">
        <v>23</v>
      </c>
    </row>
    <row r="216" spans="1:10" x14ac:dyDescent="0.25">
      <c r="A216" s="1">
        <v>10</v>
      </c>
      <c r="B216" t="s">
        <v>19</v>
      </c>
      <c r="C216">
        <v>700</v>
      </c>
      <c r="D216">
        <v>0</v>
      </c>
      <c r="E216" t="s">
        <v>33</v>
      </c>
      <c r="F216" t="s">
        <v>33</v>
      </c>
      <c r="G216" t="str">
        <f>"2026-05-27 15:26:34.749"</f>
        <v>2026-05-27 15:26:34.749</v>
      </c>
      <c r="H216" t="s">
        <v>22</v>
      </c>
      <c r="I216">
        <v>0</v>
      </c>
      <c r="J216" t="s">
        <v>41</v>
      </c>
    </row>
    <row r="217" spans="1:10" x14ac:dyDescent="0.25">
      <c r="A217" s="1">
        <v>11</v>
      </c>
      <c r="B217" t="s">
        <v>24</v>
      </c>
      <c r="C217">
        <v>630</v>
      </c>
      <c r="D217">
        <v>5</v>
      </c>
      <c r="E217" t="s">
        <v>29</v>
      </c>
      <c r="F217" t="s">
        <v>30</v>
      </c>
      <c r="G217" t="str">
        <f>"2026-05-27 14:03:05.935"</f>
        <v>2026-05-27 14:03:05.935</v>
      </c>
      <c r="H217" t="s">
        <v>31</v>
      </c>
    </row>
    <row r="218" spans="1:10" x14ac:dyDescent="0.25">
      <c r="A218" s="1">
        <v>12</v>
      </c>
      <c r="B218" t="s">
        <v>19</v>
      </c>
      <c r="C218">
        <v>706</v>
      </c>
      <c r="D218">
        <v>2</v>
      </c>
      <c r="E218" t="s">
        <v>20</v>
      </c>
      <c r="F218" t="s">
        <v>21</v>
      </c>
      <c r="G218" t="str">
        <f>"2026-05-27 14:02:35.784"</f>
        <v>2026-05-27 14:02:35.784</v>
      </c>
      <c r="H218" t="s">
        <v>22</v>
      </c>
      <c r="I218">
        <v>0</v>
      </c>
      <c r="J218" t="s">
        <v>23</v>
      </c>
    </row>
    <row r="219" spans="1:10" x14ac:dyDescent="0.25">
      <c r="A219" s="1">
        <v>13</v>
      </c>
      <c r="B219" t="s">
        <v>32</v>
      </c>
      <c r="C219">
        <v>630</v>
      </c>
      <c r="D219">
        <v>5</v>
      </c>
      <c r="E219" t="s">
        <v>29</v>
      </c>
      <c r="F219" t="s">
        <v>30</v>
      </c>
      <c r="G219" t="str">
        <f>"2026-05-27 12:32:39.535"</f>
        <v>2026-05-27 12:32:39.535</v>
      </c>
      <c r="H219" t="s">
        <v>31</v>
      </c>
      <c r="I219">
        <v>0</v>
      </c>
      <c r="J219" t="s">
        <v>23</v>
      </c>
    </row>
    <row r="220" spans="1:10" x14ac:dyDescent="0.25">
      <c r="A220" s="1">
        <v>14</v>
      </c>
      <c r="B220" t="s">
        <v>24</v>
      </c>
      <c r="C220">
        <v>630</v>
      </c>
      <c r="D220">
        <v>5</v>
      </c>
      <c r="E220" t="s">
        <v>29</v>
      </c>
      <c r="F220" t="s">
        <v>30</v>
      </c>
      <c r="G220" t="str">
        <f>"2026-05-27 11:54:14.135"</f>
        <v>2026-05-27 11:54:14.135</v>
      </c>
      <c r="H220" t="s">
        <v>31</v>
      </c>
    </row>
    <row r="221" spans="1:10" x14ac:dyDescent="0.25">
      <c r="A221" s="1">
        <v>15</v>
      </c>
      <c r="B221" t="s">
        <v>19</v>
      </c>
      <c r="C221">
        <v>706</v>
      </c>
      <c r="D221">
        <v>4</v>
      </c>
      <c r="E221" t="s">
        <v>20</v>
      </c>
      <c r="F221" t="s">
        <v>40</v>
      </c>
      <c r="G221" t="str">
        <f>"2026-05-27 11:53:44.014"</f>
        <v>2026-05-27 11:53:44.014</v>
      </c>
      <c r="H221" t="s">
        <v>22</v>
      </c>
      <c r="I221">
        <v>0</v>
      </c>
      <c r="J221" t="s">
        <v>23</v>
      </c>
    </row>
    <row r="222" spans="1:10" x14ac:dyDescent="0.25">
      <c r="A222" s="1">
        <v>16</v>
      </c>
      <c r="B222" t="s">
        <v>32</v>
      </c>
      <c r="C222">
        <v>630</v>
      </c>
      <c r="D222">
        <v>5</v>
      </c>
      <c r="E222" t="s">
        <v>29</v>
      </c>
      <c r="F222" t="s">
        <v>30</v>
      </c>
      <c r="G222" t="str">
        <f>"2026-05-27 11:36:41.535"</f>
        <v>2026-05-27 11:36:41.535</v>
      </c>
      <c r="H222" t="s">
        <v>31</v>
      </c>
      <c r="I222">
        <v>0</v>
      </c>
      <c r="J222" t="s">
        <v>23</v>
      </c>
    </row>
    <row r="223" spans="1:10" x14ac:dyDescent="0.25">
      <c r="A223" s="1">
        <v>17</v>
      </c>
      <c r="B223" t="s">
        <v>19</v>
      </c>
      <c r="C223">
        <v>700</v>
      </c>
      <c r="D223">
        <v>0</v>
      </c>
      <c r="E223" t="s">
        <v>33</v>
      </c>
      <c r="F223" t="s">
        <v>33</v>
      </c>
      <c r="G223" t="str">
        <f>"2026-05-27 11:31:38.724"</f>
        <v>2026-05-27 11:31:38.724</v>
      </c>
      <c r="H223" t="s">
        <v>22</v>
      </c>
    </row>
    <row r="224" spans="1:10" x14ac:dyDescent="0.25">
      <c r="A224" s="1">
        <v>18</v>
      </c>
      <c r="B224" t="s">
        <v>19</v>
      </c>
      <c r="C224">
        <v>700</v>
      </c>
      <c r="D224">
        <v>0</v>
      </c>
      <c r="E224" t="s">
        <v>33</v>
      </c>
      <c r="F224" t="s">
        <v>33</v>
      </c>
      <c r="G224" t="str">
        <f>"2026-05-27 09:32:07.762"</f>
        <v>2026-05-27 09:32:07.762</v>
      </c>
      <c r="H224" t="s">
        <v>22</v>
      </c>
      <c r="I224">
        <v>0</v>
      </c>
      <c r="J224" t="s">
        <v>41</v>
      </c>
    </row>
    <row r="225" spans="1:10" x14ac:dyDescent="0.25">
      <c r="A225" s="1">
        <v>19</v>
      </c>
      <c r="B225" t="s">
        <v>19</v>
      </c>
      <c r="C225">
        <v>706</v>
      </c>
      <c r="D225">
        <v>4</v>
      </c>
      <c r="E225" t="s">
        <v>20</v>
      </c>
      <c r="F225" t="s">
        <v>40</v>
      </c>
      <c r="G225" t="str">
        <f>"2026-05-27 09:21:54.557"</f>
        <v>2026-05-27 09:21:54.557</v>
      </c>
      <c r="H225" t="s">
        <v>22</v>
      </c>
      <c r="I225">
        <v>0</v>
      </c>
      <c r="J225" t="s">
        <v>23</v>
      </c>
    </row>
    <row r="226" spans="1:10" x14ac:dyDescent="0.25">
      <c r="A226" s="1">
        <v>20</v>
      </c>
      <c r="B226" t="s">
        <v>19</v>
      </c>
      <c r="C226">
        <v>700</v>
      </c>
      <c r="D226">
        <v>0</v>
      </c>
      <c r="E226" t="s">
        <v>33</v>
      </c>
      <c r="F226" t="s">
        <v>33</v>
      </c>
      <c r="G226" t="str">
        <f>"2026-05-27 09:21:08.767"</f>
        <v>2026-05-27 09:21:08.767</v>
      </c>
      <c r="H226" t="s">
        <v>22</v>
      </c>
    </row>
    <row r="227" spans="1:10" s="3" customFormat="1" x14ac:dyDescent="0.25">
      <c r="A227" s="2">
        <v>21</v>
      </c>
      <c r="B227" s="3" t="s">
        <v>24</v>
      </c>
      <c r="C227" s="3">
        <v>647</v>
      </c>
      <c r="D227" s="3">
        <v>1</v>
      </c>
      <c r="E227" s="3" t="s">
        <v>34</v>
      </c>
      <c r="F227" s="3" t="s">
        <v>35</v>
      </c>
      <c r="G227" s="3" t="str">
        <f>"2026-05-27 04:22:02.502"</f>
        <v>2026-05-27 04:22:02.502</v>
      </c>
      <c r="H227" s="3" t="s">
        <v>22</v>
      </c>
    </row>
    <row r="228" spans="1:10" s="3" customFormat="1" x14ac:dyDescent="0.25">
      <c r="A228" s="2">
        <v>22</v>
      </c>
      <c r="B228" s="3" t="s">
        <v>27</v>
      </c>
      <c r="C228" s="3">
        <v>647</v>
      </c>
      <c r="D228" s="3">
        <v>1</v>
      </c>
      <c r="E228" s="3" t="s">
        <v>34</v>
      </c>
      <c r="F228" s="3" t="s">
        <v>35</v>
      </c>
      <c r="G228" s="3" t="str">
        <f>"2026-05-27 04:22:01.403"</f>
        <v>2026-05-27 04:22:01.403</v>
      </c>
      <c r="H228" s="3" t="s">
        <v>22</v>
      </c>
      <c r="I228" s="3">
        <v>10.9</v>
      </c>
      <c r="J228" s="3" t="s">
        <v>36</v>
      </c>
    </row>
    <row r="229" spans="1:10" x14ac:dyDescent="0.25">
      <c r="A229" s="1">
        <v>23</v>
      </c>
      <c r="B229" t="s">
        <v>19</v>
      </c>
      <c r="C229">
        <v>706</v>
      </c>
      <c r="D229">
        <v>4</v>
      </c>
      <c r="E229" t="s">
        <v>20</v>
      </c>
      <c r="F229" t="s">
        <v>40</v>
      </c>
      <c r="G229" t="str">
        <f>"2026-05-26 20:48:40.874"</f>
        <v>2026-05-26 20:48:40.874</v>
      </c>
      <c r="H229" t="s">
        <v>22</v>
      </c>
      <c r="I229">
        <v>0</v>
      </c>
      <c r="J229" t="s">
        <v>23</v>
      </c>
    </row>
    <row r="230" spans="1:10" x14ac:dyDescent="0.25">
      <c r="A230" s="1">
        <v>24</v>
      </c>
      <c r="B230" t="s">
        <v>19</v>
      </c>
      <c r="C230">
        <v>700</v>
      </c>
      <c r="D230">
        <v>0</v>
      </c>
      <c r="E230" t="s">
        <v>33</v>
      </c>
      <c r="F230" t="s">
        <v>33</v>
      </c>
      <c r="G230" t="str">
        <f>"2026-05-26 20:48:14.734"</f>
        <v>2026-05-26 20:48:14.734</v>
      </c>
      <c r="H230" t="s">
        <v>22</v>
      </c>
    </row>
    <row r="231" spans="1:10" x14ac:dyDescent="0.25">
      <c r="A231" s="1">
        <v>26</v>
      </c>
      <c r="B231" t="s">
        <v>19</v>
      </c>
      <c r="C231">
        <v>700</v>
      </c>
      <c r="D231">
        <v>0</v>
      </c>
      <c r="E231" t="s">
        <v>33</v>
      </c>
      <c r="F231" t="s">
        <v>33</v>
      </c>
      <c r="G231" t="str">
        <f>"2026-05-26 13:29:50.992"</f>
        <v>2026-05-26 13:29:50.992</v>
      </c>
      <c r="H231" t="s">
        <v>22</v>
      </c>
      <c r="I231">
        <v>0</v>
      </c>
      <c r="J231" t="s">
        <v>41</v>
      </c>
    </row>
    <row r="232" spans="1:10" x14ac:dyDescent="0.25">
      <c r="A232" s="1">
        <v>27</v>
      </c>
      <c r="B232" t="s">
        <v>24</v>
      </c>
      <c r="C232">
        <v>635</v>
      </c>
      <c r="D232">
        <v>1</v>
      </c>
      <c r="E232" t="s">
        <v>25</v>
      </c>
      <c r="F232" t="s">
        <v>26</v>
      </c>
      <c r="G232" t="str">
        <f>"2026-05-26 12:18:31.879"</f>
        <v>2026-05-26 12:18:31.879</v>
      </c>
      <c r="H232" t="s">
        <v>22</v>
      </c>
    </row>
    <row r="233" spans="1:10" x14ac:dyDescent="0.25">
      <c r="A233" s="1">
        <v>28</v>
      </c>
      <c r="B233" t="s">
        <v>27</v>
      </c>
      <c r="C233">
        <v>635</v>
      </c>
      <c r="D233">
        <v>1</v>
      </c>
      <c r="E233" t="s">
        <v>25</v>
      </c>
      <c r="F233" t="s">
        <v>26</v>
      </c>
      <c r="G233" t="str">
        <f>"2026-05-26 11:49:16.479"</f>
        <v>2026-05-26 11:49:16.479</v>
      </c>
      <c r="H233" t="s">
        <v>22</v>
      </c>
      <c r="I233">
        <v>3.19</v>
      </c>
      <c r="J233" t="s">
        <v>28</v>
      </c>
    </row>
    <row r="234" spans="1:10" x14ac:dyDescent="0.25">
      <c r="A234" s="1">
        <v>29</v>
      </c>
      <c r="B234" t="s">
        <v>19</v>
      </c>
      <c r="C234">
        <v>706</v>
      </c>
      <c r="D234">
        <v>4</v>
      </c>
      <c r="E234" t="s">
        <v>20</v>
      </c>
      <c r="F234" t="s">
        <v>40</v>
      </c>
      <c r="G234" t="str">
        <f>"2026-05-25 12:45:27.251"</f>
        <v>2026-05-25 12:45:27.251</v>
      </c>
      <c r="H234" t="s">
        <v>22</v>
      </c>
      <c r="I234">
        <v>0</v>
      </c>
      <c r="J234" t="s">
        <v>23</v>
      </c>
    </row>
    <row r="235" spans="1:10" x14ac:dyDescent="0.25">
      <c r="A235" s="1">
        <v>30</v>
      </c>
      <c r="B235" t="s">
        <v>19</v>
      </c>
      <c r="C235">
        <v>700</v>
      </c>
      <c r="D235">
        <v>0</v>
      </c>
      <c r="E235" t="s">
        <v>33</v>
      </c>
      <c r="F235" t="s">
        <v>33</v>
      </c>
      <c r="G235" t="str">
        <f>"2026-05-25 12:45:12.001"</f>
        <v>2026-05-25 12:45:12.001</v>
      </c>
      <c r="H235" t="s">
        <v>22</v>
      </c>
      <c r="I235">
        <v>0</v>
      </c>
      <c r="J235" t="s">
        <v>41</v>
      </c>
    </row>
    <row r="236" spans="1:10" x14ac:dyDescent="0.25">
      <c r="A236" s="1">
        <v>31</v>
      </c>
      <c r="B236" t="s">
        <v>19</v>
      </c>
      <c r="C236">
        <v>706</v>
      </c>
      <c r="D236">
        <v>4</v>
      </c>
      <c r="E236" t="s">
        <v>20</v>
      </c>
      <c r="F236" t="s">
        <v>40</v>
      </c>
      <c r="G236" t="str">
        <f>"2026-05-24 18:38:21.393"</f>
        <v>2026-05-24 18:38:21.393</v>
      </c>
      <c r="H236" t="s">
        <v>22</v>
      </c>
      <c r="I236">
        <v>0</v>
      </c>
      <c r="J236" t="s">
        <v>23</v>
      </c>
    </row>
    <row r="237" spans="1:10" x14ac:dyDescent="0.25">
      <c r="A237" s="1">
        <v>32</v>
      </c>
      <c r="B237" t="s">
        <v>19</v>
      </c>
      <c r="C237">
        <v>706</v>
      </c>
      <c r="D237">
        <v>4</v>
      </c>
      <c r="E237" t="s">
        <v>20</v>
      </c>
      <c r="F237" t="s">
        <v>40</v>
      </c>
      <c r="G237" t="str">
        <f>"2026-05-24 13:34:53.253"</f>
        <v>2026-05-24 13:34:53.253</v>
      </c>
      <c r="H237" t="s">
        <v>22</v>
      </c>
      <c r="I237">
        <v>0</v>
      </c>
      <c r="J237" t="s">
        <v>23</v>
      </c>
    </row>
    <row r="238" spans="1:10" x14ac:dyDescent="0.25">
      <c r="A238" s="1">
        <v>33</v>
      </c>
      <c r="B238" t="s">
        <v>19</v>
      </c>
      <c r="C238">
        <v>700</v>
      </c>
      <c r="D238">
        <v>0</v>
      </c>
      <c r="E238" t="s">
        <v>33</v>
      </c>
      <c r="F238" t="s">
        <v>33</v>
      </c>
      <c r="G238" t="str">
        <f>"2026-05-24 13:34:30.003"</f>
        <v>2026-05-24 13:34:30.003</v>
      </c>
      <c r="H238" t="s">
        <v>22</v>
      </c>
      <c r="I238">
        <v>0</v>
      </c>
      <c r="J238" t="s">
        <v>41</v>
      </c>
    </row>
    <row r="239" spans="1:10" x14ac:dyDescent="0.25">
      <c r="A239" s="1">
        <v>34</v>
      </c>
      <c r="B239" t="s">
        <v>19</v>
      </c>
      <c r="C239">
        <v>700</v>
      </c>
      <c r="D239">
        <v>0</v>
      </c>
      <c r="E239" t="s">
        <v>33</v>
      </c>
      <c r="F239" t="s">
        <v>33</v>
      </c>
      <c r="G239" t="str">
        <f>"2026-05-23 21:28:08.866"</f>
        <v>2026-05-23 21:28:08.866</v>
      </c>
      <c r="H239" t="s">
        <v>22</v>
      </c>
    </row>
    <row r="240" spans="1:10" x14ac:dyDescent="0.25">
      <c r="A240" s="1">
        <v>35</v>
      </c>
      <c r="B240" t="s">
        <v>19</v>
      </c>
      <c r="C240">
        <v>706</v>
      </c>
      <c r="D240">
        <v>4</v>
      </c>
      <c r="E240" t="s">
        <v>20</v>
      </c>
      <c r="F240" t="s">
        <v>40</v>
      </c>
      <c r="G240" t="str">
        <f>"2026-05-23 12:53:05.238"</f>
        <v>2026-05-23 12:53:05.238</v>
      </c>
      <c r="H240" t="s">
        <v>22</v>
      </c>
      <c r="I240">
        <v>0</v>
      </c>
      <c r="J240" t="s">
        <v>23</v>
      </c>
    </row>
    <row r="241" spans="1:10" x14ac:dyDescent="0.25">
      <c r="A241" s="1">
        <v>36</v>
      </c>
      <c r="B241" t="s">
        <v>19</v>
      </c>
      <c r="C241">
        <v>700</v>
      </c>
      <c r="D241">
        <v>0</v>
      </c>
      <c r="E241" t="s">
        <v>33</v>
      </c>
      <c r="F241" t="s">
        <v>33</v>
      </c>
      <c r="G241" t="str">
        <f>"2026-05-23 12:52:46.948"</f>
        <v>2026-05-23 12:52:46.948</v>
      </c>
      <c r="H241" t="s">
        <v>22</v>
      </c>
    </row>
    <row r="242" spans="1:10" x14ac:dyDescent="0.25">
      <c r="A242" s="1">
        <v>37</v>
      </c>
      <c r="B242" t="s">
        <v>19</v>
      </c>
      <c r="C242">
        <v>706</v>
      </c>
      <c r="D242">
        <v>4</v>
      </c>
      <c r="E242" t="s">
        <v>20</v>
      </c>
      <c r="F242" t="s">
        <v>40</v>
      </c>
      <c r="G242" t="str">
        <f>"2026-05-22 13:37:36.442"</f>
        <v>2026-05-22 13:37:36.442</v>
      </c>
      <c r="H242" t="s">
        <v>22</v>
      </c>
      <c r="I242">
        <v>0</v>
      </c>
      <c r="J242" t="s">
        <v>23</v>
      </c>
    </row>
    <row r="243" spans="1:10" x14ac:dyDescent="0.25">
      <c r="A243" s="1">
        <v>38</v>
      </c>
      <c r="B243" t="s">
        <v>19</v>
      </c>
      <c r="C243">
        <v>700</v>
      </c>
      <c r="D243">
        <v>0</v>
      </c>
      <c r="E243" t="s">
        <v>33</v>
      </c>
      <c r="F243" t="s">
        <v>33</v>
      </c>
      <c r="G243" t="str">
        <f>"2026-05-22 13:35:29.942"</f>
        <v>2026-05-22 13:35:29.942</v>
      </c>
      <c r="H243" t="s">
        <v>22</v>
      </c>
    </row>
    <row r="244" spans="1:10" x14ac:dyDescent="0.25">
      <c r="A244" s="1">
        <v>39</v>
      </c>
      <c r="B244" t="s">
        <v>24</v>
      </c>
      <c r="C244">
        <v>635</v>
      </c>
      <c r="D244">
        <v>1</v>
      </c>
      <c r="E244" t="s">
        <v>25</v>
      </c>
      <c r="F244" t="s">
        <v>26</v>
      </c>
      <c r="G244" t="str">
        <f>"2026-05-21 18:53:51.287"</f>
        <v>2026-05-21 18:53:51.287</v>
      </c>
      <c r="H244" t="s">
        <v>22</v>
      </c>
    </row>
    <row r="245" spans="1:10" x14ac:dyDescent="0.25">
      <c r="A245" s="1">
        <v>40</v>
      </c>
      <c r="B245" t="s">
        <v>27</v>
      </c>
      <c r="C245">
        <v>635</v>
      </c>
      <c r="D245">
        <v>1</v>
      </c>
      <c r="E245" t="s">
        <v>25</v>
      </c>
      <c r="F245" t="s">
        <v>26</v>
      </c>
      <c r="G245" t="str">
        <f>"2026-05-21 18:25:36.787"</f>
        <v>2026-05-21 18:25:36.787</v>
      </c>
      <c r="H245" t="s">
        <v>22</v>
      </c>
      <c r="I245">
        <v>7.93</v>
      </c>
      <c r="J245" t="s">
        <v>28</v>
      </c>
    </row>
    <row r="246" spans="1:10" x14ac:dyDescent="0.25">
      <c r="A246" s="1">
        <v>41</v>
      </c>
      <c r="B246" t="s">
        <v>19</v>
      </c>
      <c r="C246">
        <v>706</v>
      </c>
      <c r="D246">
        <v>2</v>
      </c>
      <c r="E246" t="s">
        <v>20</v>
      </c>
      <c r="F246" t="s">
        <v>21</v>
      </c>
      <c r="G246" t="str">
        <f>"2026-05-21 13:43:56.286"</f>
        <v>2026-05-21 13:43:56.286</v>
      </c>
      <c r="H246" t="s">
        <v>22</v>
      </c>
      <c r="I246">
        <v>0</v>
      </c>
      <c r="J246" t="s">
        <v>23</v>
      </c>
    </row>
    <row r="247" spans="1:10" x14ac:dyDescent="0.25">
      <c r="A247" s="1">
        <v>42</v>
      </c>
      <c r="B247" t="s">
        <v>19</v>
      </c>
      <c r="C247">
        <v>700</v>
      </c>
      <c r="D247">
        <v>0</v>
      </c>
      <c r="E247" t="s">
        <v>33</v>
      </c>
      <c r="F247" t="s">
        <v>33</v>
      </c>
      <c r="G247" t="str">
        <f>"2026-05-21 13:43:22.746"</f>
        <v>2026-05-21 13:43:22.746</v>
      </c>
      <c r="H247" t="s">
        <v>22</v>
      </c>
    </row>
    <row r="248" spans="1:10" x14ac:dyDescent="0.25">
      <c r="A248" s="1">
        <v>43</v>
      </c>
      <c r="B248" t="s">
        <v>32</v>
      </c>
      <c r="C248">
        <v>630</v>
      </c>
      <c r="D248">
        <v>5</v>
      </c>
      <c r="E248" t="s">
        <v>29</v>
      </c>
      <c r="F248" t="s">
        <v>30</v>
      </c>
      <c r="G248" t="str">
        <f>"2026-05-21 12:51:04.508"</f>
        <v>2026-05-21 12:51:04.508</v>
      </c>
      <c r="H248" t="s">
        <v>31</v>
      </c>
      <c r="I248">
        <v>0</v>
      </c>
      <c r="J248" t="s">
        <v>23</v>
      </c>
    </row>
    <row r="249" spans="1:10" x14ac:dyDescent="0.25">
      <c r="A249" s="1">
        <v>44</v>
      </c>
      <c r="B249" t="s">
        <v>19</v>
      </c>
      <c r="C249">
        <v>706</v>
      </c>
      <c r="D249">
        <v>4</v>
      </c>
      <c r="E249" t="s">
        <v>20</v>
      </c>
      <c r="F249" t="s">
        <v>40</v>
      </c>
      <c r="G249" t="str">
        <f>"2026-05-20 12:44:00.856"</f>
        <v>2026-05-20 12:44:00.856</v>
      </c>
      <c r="H249" t="s">
        <v>22</v>
      </c>
      <c r="I249">
        <v>0</v>
      </c>
      <c r="J249" t="s">
        <v>23</v>
      </c>
    </row>
    <row r="250" spans="1:10" x14ac:dyDescent="0.25">
      <c r="A250" s="1">
        <v>45</v>
      </c>
      <c r="B250" t="s">
        <v>19</v>
      </c>
      <c r="C250">
        <v>700</v>
      </c>
      <c r="D250">
        <v>0</v>
      </c>
      <c r="E250" t="s">
        <v>33</v>
      </c>
      <c r="F250" t="s">
        <v>33</v>
      </c>
      <c r="G250" t="str">
        <f>"2026-05-20 12:43:16.816"</f>
        <v>2026-05-20 12:43:16.816</v>
      </c>
      <c r="H250" t="s">
        <v>22</v>
      </c>
    </row>
    <row r="251" spans="1:10" x14ac:dyDescent="0.25">
      <c r="A251" s="1">
        <v>46</v>
      </c>
      <c r="B251" t="s">
        <v>24</v>
      </c>
      <c r="C251">
        <v>630</v>
      </c>
      <c r="D251">
        <v>5</v>
      </c>
      <c r="E251" t="s">
        <v>29</v>
      </c>
      <c r="F251" t="s">
        <v>30</v>
      </c>
      <c r="G251" t="str">
        <f>"2026-05-19 15:32:47.984"</f>
        <v>2026-05-19 15:32:47.984</v>
      </c>
      <c r="H251" t="s">
        <v>31</v>
      </c>
    </row>
    <row r="252" spans="1:10" x14ac:dyDescent="0.25">
      <c r="A252" s="1">
        <v>47</v>
      </c>
      <c r="B252" t="s">
        <v>19</v>
      </c>
      <c r="C252">
        <v>706</v>
      </c>
      <c r="D252">
        <v>2</v>
      </c>
      <c r="E252" t="s">
        <v>20</v>
      </c>
      <c r="F252" t="s">
        <v>21</v>
      </c>
      <c r="G252" t="str">
        <f>"2026-05-19 15:32:17.909"</f>
        <v>2026-05-19 15:32:17.909</v>
      </c>
      <c r="H252" t="s">
        <v>22</v>
      </c>
      <c r="I252">
        <v>0</v>
      </c>
      <c r="J252" t="s">
        <v>23</v>
      </c>
    </row>
    <row r="253" spans="1:10" x14ac:dyDescent="0.25">
      <c r="A253" s="1">
        <v>48</v>
      </c>
      <c r="B253" t="s">
        <v>32</v>
      </c>
      <c r="C253">
        <v>630</v>
      </c>
      <c r="D253">
        <v>5</v>
      </c>
      <c r="E253" t="s">
        <v>29</v>
      </c>
      <c r="F253" t="s">
        <v>30</v>
      </c>
      <c r="G253" t="str">
        <f>"2026-05-19 15:12:06.984"</f>
        <v>2026-05-19 15:12:06.984</v>
      </c>
      <c r="H253" t="s">
        <v>31</v>
      </c>
      <c r="I253">
        <v>0</v>
      </c>
      <c r="J253" t="s">
        <v>23</v>
      </c>
    </row>
    <row r="254" spans="1:10" x14ac:dyDescent="0.25">
      <c r="A254" s="1">
        <v>50</v>
      </c>
      <c r="B254" t="s">
        <v>24</v>
      </c>
      <c r="C254">
        <v>635</v>
      </c>
      <c r="D254">
        <v>1</v>
      </c>
      <c r="E254" t="s">
        <v>25</v>
      </c>
      <c r="F254" t="s">
        <v>26</v>
      </c>
      <c r="G254" t="str">
        <f>"2026-05-19 11:04:26.336"</f>
        <v>2026-05-19 11:04:26.336</v>
      </c>
      <c r="H254" t="s">
        <v>22</v>
      </c>
    </row>
    <row r="255" spans="1:10" x14ac:dyDescent="0.25">
      <c r="A255" s="1">
        <v>51</v>
      </c>
      <c r="B255" t="s">
        <v>27</v>
      </c>
      <c r="C255">
        <v>635</v>
      </c>
      <c r="D255">
        <v>1</v>
      </c>
      <c r="E255" t="s">
        <v>25</v>
      </c>
      <c r="F255" t="s">
        <v>26</v>
      </c>
      <c r="G255" t="str">
        <f>"2026-05-19 10:50:09.836"</f>
        <v>2026-05-19 10:50:09.836</v>
      </c>
      <c r="H255" t="s">
        <v>22</v>
      </c>
      <c r="I255">
        <v>8.6999999999999993</v>
      </c>
      <c r="J255" t="s">
        <v>28</v>
      </c>
    </row>
    <row r="256" spans="1:10" x14ac:dyDescent="0.25">
      <c r="A256" s="1">
        <v>52</v>
      </c>
      <c r="B256" t="s">
        <v>24</v>
      </c>
      <c r="C256">
        <v>98</v>
      </c>
      <c r="D256">
        <v>1</v>
      </c>
      <c r="E256" t="s">
        <v>38</v>
      </c>
      <c r="F256" t="s">
        <v>39</v>
      </c>
      <c r="G256" t="str">
        <f>"2026-05-18 23:59:33.096"</f>
        <v>2026-05-18 23:59:33.096</v>
      </c>
      <c r="H256" t="s">
        <v>22</v>
      </c>
    </row>
    <row r="257" spans="1:10" x14ac:dyDescent="0.25">
      <c r="A257" s="1">
        <v>53</v>
      </c>
      <c r="B257" t="s">
        <v>27</v>
      </c>
      <c r="C257">
        <v>98</v>
      </c>
      <c r="D257">
        <v>1</v>
      </c>
      <c r="E257" t="s">
        <v>38</v>
      </c>
      <c r="F257" t="s">
        <v>39</v>
      </c>
      <c r="G257" t="str">
        <f>"2026-05-18 23:59:32.097"</f>
        <v>2026-05-18 23:59:32.097</v>
      </c>
      <c r="H257" t="s">
        <v>22</v>
      </c>
      <c r="I257">
        <v>0</v>
      </c>
      <c r="J257" t="s">
        <v>37</v>
      </c>
    </row>
    <row r="258" spans="1:10" x14ac:dyDescent="0.25">
      <c r="A258" s="1">
        <v>54</v>
      </c>
      <c r="B258" t="s">
        <v>19</v>
      </c>
      <c r="C258">
        <v>700</v>
      </c>
      <c r="D258">
        <v>0</v>
      </c>
      <c r="E258" t="s">
        <v>33</v>
      </c>
      <c r="F258" t="s">
        <v>33</v>
      </c>
      <c r="G258" t="str">
        <f>"2026-05-18 13:43:42.999"</f>
        <v>2026-05-18 13:43:42.999</v>
      </c>
      <c r="H258" t="s">
        <v>22</v>
      </c>
      <c r="I258">
        <v>0</v>
      </c>
      <c r="J258" t="s">
        <v>41</v>
      </c>
    </row>
    <row r="259" spans="1:10" x14ac:dyDescent="0.25">
      <c r="A259" s="1">
        <v>55</v>
      </c>
      <c r="B259" t="s">
        <v>19</v>
      </c>
      <c r="C259">
        <v>706</v>
      </c>
      <c r="D259">
        <v>2</v>
      </c>
      <c r="E259" t="s">
        <v>20</v>
      </c>
      <c r="F259" t="s">
        <v>21</v>
      </c>
      <c r="G259" t="str">
        <f>"2026-05-18 06:40:21.962"</f>
        <v>2026-05-18 06:40:21.962</v>
      </c>
      <c r="H259" t="s">
        <v>22</v>
      </c>
      <c r="I259">
        <v>0</v>
      </c>
      <c r="J259" t="s">
        <v>23</v>
      </c>
    </row>
    <row r="260" spans="1:10" x14ac:dyDescent="0.25">
      <c r="A260" s="1">
        <v>56</v>
      </c>
      <c r="B260" t="s">
        <v>19</v>
      </c>
      <c r="C260">
        <v>700</v>
      </c>
      <c r="D260">
        <v>0</v>
      </c>
      <c r="E260" t="s">
        <v>33</v>
      </c>
      <c r="F260" t="s">
        <v>33</v>
      </c>
      <c r="G260" t="str">
        <f>"2026-05-18 06:40:04.752"</f>
        <v>2026-05-18 06:40:04.752</v>
      </c>
      <c r="H260" t="s">
        <v>22</v>
      </c>
    </row>
    <row r="261" spans="1:10" x14ac:dyDescent="0.25">
      <c r="A261" s="1">
        <v>57</v>
      </c>
      <c r="B261" t="s">
        <v>19</v>
      </c>
      <c r="C261">
        <v>706</v>
      </c>
      <c r="D261">
        <v>4</v>
      </c>
      <c r="E261" t="s">
        <v>20</v>
      </c>
      <c r="F261" t="s">
        <v>40</v>
      </c>
      <c r="G261" t="str">
        <f>"2026-05-17 22:16:58.249"</f>
        <v>2026-05-17 22:16:58.249</v>
      </c>
      <c r="H261" t="s">
        <v>22</v>
      </c>
      <c r="I261">
        <v>0</v>
      </c>
      <c r="J261" t="s">
        <v>23</v>
      </c>
    </row>
    <row r="262" spans="1:10" x14ac:dyDescent="0.25">
      <c r="A262" s="1">
        <v>58</v>
      </c>
      <c r="B262" t="s">
        <v>19</v>
      </c>
      <c r="C262">
        <v>700</v>
      </c>
      <c r="D262">
        <v>0</v>
      </c>
      <c r="E262" t="s">
        <v>33</v>
      </c>
      <c r="F262" t="s">
        <v>33</v>
      </c>
      <c r="G262" t="str">
        <f>"2026-05-17 22:15:50.719"</f>
        <v>2026-05-17 22:15:50.719</v>
      </c>
      <c r="H262" t="s">
        <v>22</v>
      </c>
    </row>
    <row r="263" spans="1:10" x14ac:dyDescent="0.25">
      <c r="A263" s="1">
        <v>59</v>
      </c>
      <c r="B263" t="s">
        <v>19</v>
      </c>
      <c r="C263">
        <v>706</v>
      </c>
      <c r="D263">
        <v>2</v>
      </c>
      <c r="E263" t="s">
        <v>20</v>
      </c>
      <c r="F263" t="s">
        <v>21</v>
      </c>
      <c r="G263" t="str">
        <f>"2026-05-17 22:06:10.334"</f>
        <v>2026-05-17 22:06:10.334</v>
      </c>
      <c r="H263" t="s">
        <v>22</v>
      </c>
      <c r="I263">
        <v>0</v>
      </c>
      <c r="J263" t="s">
        <v>23</v>
      </c>
    </row>
    <row r="264" spans="1:10" x14ac:dyDescent="0.25">
      <c r="A264" s="1">
        <v>60</v>
      </c>
      <c r="B264" t="s">
        <v>24</v>
      </c>
      <c r="C264">
        <v>635</v>
      </c>
      <c r="D264">
        <v>1</v>
      </c>
      <c r="E264" t="s">
        <v>25</v>
      </c>
      <c r="F264" t="s">
        <v>26</v>
      </c>
      <c r="G264" t="str">
        <f>"2026-05-17 21:30:38.752"</f>
        <v>2026-05-17 21:30:38.752</v>
      </c>
      <c r="H264" t="s">
        <v>22</v>
      </c>
    </row>
    <row r="265" spans="1:10" x14ac:dyDescent="0.25">
      <c r="A265" s="1">
        <v>61</v>
      </c>
      <c r="B265" t="s">
        <v>27</v>
      </c>
      <c r="C265">
        <v>635</v>
      </c>
      <c r="D265">
        <v>1</v>
      </c>
      <c r="E265" t="s">
        <v>25</v>
      </c>
      <c r="F265" t="s">
        <v>26</v>
      </c>
      <c r="G265" t="str">
        <f>"2026-05-17 21:22:58.353"</f>
        <v>2026-05-17 21:22:58.353</v>
      </c>
      <c r="H265" t="s">
        <v>22</v>
      </c>
      <c r="I265">
        <v>7.35</v>
      </c>
      <c r="J265" t="s">
        <v>36</v>
      </c>
    </row>
    <row r="266" spans="1:10" x14ac:dyDescent="0.25">
      <c r="A266" s="1">
        <v>62</v>
      </c>
      <c r="B266" t="s">
        <v>19</v>
      </c>
      <c r="C266">
        <v>700</v>
      </c>
      <c r="D266">
        <v>0</v>
      </c>
      <c r="E266" t="s">
        <v>33</v>
      </c>
      <c r="F266" t="s">
        <v>33</v>
      </c>
      <c r="G266" t="str">
        <f>"2026-05-16 15:41:30.964"</f>
        <v>2026-05-16 15:41:30.964</v>
      </c>
      <c r="H266" t="s">
        <v>22</v>
      </c>
      <c r="I266">
        <v>0</v>
      </c>
      <c r="J266" t="s">
        <v>41</v>
      </c>
    </row>
    <row r="267" spans="1:10" x14ac:dyDescent="0.25">
      <c r="A267" s="1">
        <v>63</v>
      </c>
      <c r="B267" t="s">
        <v>19</v>
      </c>
      <c r="C267">
        <v>706</v>
      </c>
      <c r="D267">
        <v>4</v>
      </c>
      <c r="E267" t="s">
        <v>20</v>
      </c>
      <c r="F267" t="s">
        <v>40</v>
      </c>
      <c r="G267" t="str">
        <f>"2026-05-16 15:15:03.451"</f>
        <v>2026-05-16 15:15:03.451</v>
      </c>
      <c r="H267" t="s">
        <v>22</v>
      </c>
      <c r="I267">
        <v>0</v>
      </c>
      <c r="J267" t="s">
        <v>23</v>
      </c>
    </row>
    <row r="268" spans="1:10" x14ac:dyDescent="0.25">
      <c r="A268" s="1">
        <v>64</v>
      </c>
      <c r="B268" t="s">
        <v>19</v>
      </c>
      <c r="C268">
        <v>700</v>
      </c>
      <c r="D268">
        <v>0</v>
      </c>
      <c r="E268" t="s">
        <v>33</v>
      </c>
      <c r="F268" t="s">
        <v>33</v>
      </c>
      <c r="G268" t="str">
        <f>"2026-05-16 15:10:49.761"</f>
        <v>2026-05-16 15:10:49.761</v>
      </c>
      <c r="H268" t="s">
        <v>22</v>
      </c>
      <c r="I268">
        <v>0</v>
      </c>
      <c r="J268" t="s">
        <v>41</v>
      </c>
    </row>
    <row r="269" spans="1:10" x14ac:dyDescent="0.25">
      <c r="A269" s="1">
        <v>65</v>
      </c>
      <c r="B269" t="s">
        <v>19</v>
      </c>
      <c r="C269">
        <v>706</v>
      </c>
      <c r="D269">
        <v>4</v>
      </c>
      <c r="E269" t="s">
        <v>20</v>
      </c>
      <c r="F269" t="s">
        <v>40</v>
      </c>
      <c r="G269" t="str">
        <f>"2026-05-16 15:09:10.680"</f>
        <v>2026-05-16 15:09:10.680</v>
      </c>
      <c r="H269" t="s">
        <v>22</v>
      </c>
      <c r="I269">
        <v>0</v>
      </c>
      <c r="J269" t="s">
        <v>23</v>
      </c>
    </row>
    <row r="270" spans="1:10" x14ac:dyDescent="0.25">
      <c r="A270" s="1">
        <v>66</v>
      </c>
      <c r="B270" t="s">
        <v>19</v>
      </c>
      <c r="C270">
        <v>706</v>
      </c>
      <c r="D270">
        <v>2</v>
      </c>
      <c r="E270" t="s">
        <v>20</v>
      </c>
      <c r="F270" t="s">
        <v>21</v>
      </c>
      <c r="G270" t="str">
        <f>"2026-05-16 15:08:43.570"</f>
        <v>2026-05-16 15:08:43.570</v>
      </c>
      <c r="H270" t="s">
        <v>22</v>
      </c>
      <c r="I270">
        <v>0</v>
      </c>
      <c r="J270" t="s">
        <v>23</v>
      </c>
    </row>
    <row r="271" spans="1:10" x14ac:dyDescent="0.25">
      <c r="A271" s="1">
        <v>67</v>
      </c>
      <c r="B271" t="s">
        <v>19</v>
      </c>
      <c r="C271">
        <v>706</v>
      </c>
      <c r="D271">
        <v>2</v>
      </c>
      <c r="E271" t="s">
        <v>20</v>
      </c>
      <c r="F271" t="s">
        <v>21</v>
      </c>
      <c r="G271" t="str">
        <f>"2026-05-16 15:08:32.570"</f>
        <v>2026-05-16 15:08:32.570</v>
      </c>
      <c r="H271" t="s">
        <v>22</v>
      </c>
      <c r="I271">
        <v>0</v>
      </c>
      <c r="J271" t="s">
        <v>23</v>
      </c>
    </row>
    <row r="272" spans="1:10" x14ac:dyDescent="0.25">
      <c r="A272" s="1">
        <v>68</v>
      </c>
      <c r="B272" t="s">
        <v>32</v>
      </c>
      <c r="C272">
        <v>630</v>
      </c>
      <c r="D272">
        <v>5</v>
      </c>
      <c r="E272" t="s">
        <v>29</v>
      </c>
      <c r="F272" t="s">
        <v>30</v>
      </c>
      <c r="G272" t="str">
        <f>"2026-05-16 15:00:54.559"</f>
        <v>2026-05-16 15:00:54.559</v>
      </c>
      <c r="H272" t="s">
        <v>31</v>
      </c>
      <c r="I272">
        <v>0</v>
      </c>
      <c r="J272" t="s">
        <v>23</v>
      </c>
    </row>
    <row r="273" spans="1:10" x14ac:dyDescent="0.25">
      <c r="A273" s="1">
        <v>69</v>
      </c>
      <c r="B273" t="s">
        <v>19</v>
      </c>
      <c r="C273">
        <v>700</v>
      </c>
      <c r="D273">
        <v>0</v>
      </c>
      <c r="E273" t="s">
        <v>33</v>
      </c>
      <c r="F273" t="s">
        <v>33</v>
      </c>
      <c r="G273" t="str">
        <f>"2026-05-16 14:55:51.740"</f>
        <v>2026-05-16 14:55:51.740</v>
      </c>
      <c r="H273" t="s">
        <v>22</v>
      </c>
    </row>
    <row r="274" spans="1:10" x14ac:dyDescent="0.25">
      <c r="A274" s="1">
        <v>70</v>
      </c>
      <c r="B274" t="s">
        <v>24</v>
      </c>
      <c r="C274">
        <v>635</v>
      </c>
      <c r="D274">
        <v>1</v>
      </c>
      <c r="E274" t="s">
        <v>25</v>
      </c>
      <c r="F274" t="s">
        <v>26</v>
      </c>
      <c r="G274" t="str">
        <f>"2026-05-16 00:38:21.245"</f>
        <v>2026-05-16 00:38:21.245</v>
      </c>
      <c r="H274" t="s">
        <v>22</v>
      </c>
    </row>
    <row r="275" spans="1:10" x14ac:dyDescent="0.25">
      <c r="A275" s="1">
        <v>71</v>
      </c>
      <c r="B275" t="s">
        <v>27</v>
      </c>
      <c r="C275">
        <v>635</v>
      </c>
      <c r="D275">
        <v>1</v>
      </c>
      <c r="E275" t="s">
        <v>25</v>
      </c>
      <c r="F275" t="s">
        <v>26</v>
      </c>
      <c r="G275" t="str">
        <f>"2026-05-16 00:15:57.246"</f>
        <v>2026-05-16 00:15:57.246</v>
      </c>
      <c r="H275" t="s">
        <v>22</v>
      </c>
      <c r="I275">
        <v>9.51</v>
      </c>
      <c r="J275" t="s">
        <v>36</v>
      </c>
    </row>
    <row r="276" spans="1:10" x14ac:dyDescent="0.25">
      <c r="A276" s="1">
        <v>75</v>
      </c>
      <c r="B276" t="s">
        <v>19</v>
      </c>
      <c r="C276">
        <v>700</v>
      </c>
      <c r="D276">
        <v>0</v>
      </c>
      <c r="E276" t="s">
        <v>33</v>
      </c>
      <c r="F276" t="s">
        <v>33</v>
      </c>
      <c r="G276" t="str">
        <f>"2026-05-14 13:58:36.723"</f>
        <v>2026-05-14 13:58:36.723</v>
      </c>
      <c r="H276" t="s">
        <v>22</v>
      </c>
    </row>
    <row r="277" spans="1:10" x14ac:dyDescent="0.25">
      <c r="A277" s="1">
        <v>76</v>
      </c>
      <c r="B277" t="s">
        <v>19</v>
      </c>
      <c r="C277">
        <v>700</v>
      </c>
      <c r="D277">
        <v>0</v>
      </c>
      <c r="E277" t="s">
        <v>33</v>
      </c>
      <c r="F277" t="s">
        <v>33</v>
      </c>
      <c r="G277" t="str">
        <f>"2026-05-13 13:39:04.932"</f>
        <v>2026-05-13 13:39:04.932</v>
      </c>
      <c r="H277" t="s">
        <v>22</v>
      </c>
      <c r="I277">
        <v>0</v>
      </c>
      <c r="J277" t="s">
        <v>41</v>
      </c>
    </row>
    <row r="278" spans="1:10" x14ac:dyDescent="0.25">
      <c r="A278" s="1">
        <v>77</v>
      </c>
      <c r="B278" t="s">
        <v>19</v>
      </c>
      <c r="C278">
        <v>700</v>
      </c>
      <c r="D278">
        <v>0</v>
      </c>
      <c r="E278" t="s">
        <v>33</v>
      </c>
      <c r="F278" t="s">
        <v>33</v>
      </c>
      <c r="G278" t="str">
        <f>"2026-05-13 13:13:07.942"</f>
        <v>2026-05-13 13:13:07.942</v>
      </c>
      <c r="H278" t="s">
        <v>22</v>
      </c>
    </row>
    <row r="279" spans="1:10" x14ac:dyDescent="0.25">
      <c r="A279" s="1">
        <v>78</v>
      </c>
      <c r="B279" t="s">
        <v>32</v>
      </c>
      <c r="C279">
        <v>630</v>
      </c>
      <c r="D279">
        <v>5</v>
      </c>
      <c r="E279" t="s">
        <v>29</v>
      </c>
      <c r="F279" t="s">
        <v>30</v>
      </c>
      <c r="G279" t="str">
        <f>"2026-05-13 12:57:33.574"</f>
        <v>2026-05-13 12:57:33.574</v>
      </c>
      <c r="H279" t="s">
        <v>31</v>
      </c>
      <c r="I279">
        <v>0</v>
      </c>
      <c r="J279" t="s">
        <v>23</v>
      </c>
    </row>
    <row r="280" spans="1:10" x14ac:dyDescent="0.25">
      <c r="A280" s="1">
        <v>79</v>
      </c>
      <c r="B280" t="s">
        <v>19</v>
      </c>
      <c r="C280">
        <v>700</v>
      </c>
      <c r="D280">
        <v>0</v>
      </c>
      <c r="E280" t="s">
        <v>33</v>
      </c>
      <c r="F280" t="s">
        <v>33</v>
      </c>
      <c r="G280" t="str">
        <f>"2026-05-13 12:52:30.893"</f>
        <v>2026-05-13 12:52:30.893</v>
      </c>
      <c r="H280" t="s">
        <v>22</v>
      </c>
    </row>
    <row r="281" spans="1:10" x14ac:dyDescent="0.25">
      <c r="A281" s="1">
        <v>80</v>
      </c>
      <c r="B281" t="s">
        <v>19</v>
      </c>
      <c r="C281">
        <v>700</v>
      </c>
      <c r="D281">
        <v>0</v>
      </c>
      <c r="E281" t="s">
        <v>33</v>
      </c>
      <c r="F281" t="s">
        <v>33</v>
      </c>
      <c r="G281" t="str">
        <f>"2026-05-12 13:48:06.718"</f>
        <v>2026-05-12 13:48:06.718</v>
      </c>
      <c r="H281" t="s">
        <v>22</v>
      </c>
      <c r="I281">
        <v>0</v>
      </c>
      <c r="J281" t="s">
        <v>41</v>
      </c>
    </row>
    <row r="282" spans="1:10" x14ac:dyDescent="0.25">
      <c r="A282" s="1">
        <v>81</v>
      </c>
      <c r="B282" t="s">
        <v>24</v>
      </c>
      <c r="C282">
        <v>635</v>
      </c>
      <c r="D282">
        <v>1</v>
      </c>
      <c r="E282" t="s">
        <v>25</v>
      </c>
      <c r="F282" t="s">
        <v>26</v>
      </c>
      <c r="G282" t="str">
        <f>"2026-05-12 01:08:37.146"</f>
        <v>2026-05-12 01:08:37.146</v>
      </c>
      <c r="H282" t="s">
        <v>22</v>
      </c>
    </row>
    <row r="283" spans="1:10" x14ac:dyDescent="0.25">
      <c r="A283" s="1">
        <v>82</v>
      </c>
      <c r="B283" t="s">
        <v>27</v>
      </c>
      <c r="C283">
        <v>635</v>
      </c>
      <c r="D283">
        <v>1</v>
      </c>
      <c r="E283" t="s">
        <v>25</v>
      </c>
      <c r="F283" t="s">
        <v>26</v>
      </c>
      <c r="G283" t="str">
        <f>"2026-05-12 01:05:36.646"</f>
        <v>2026-05-12 01:05:36.646</v>
      </c>
      <c r="H283" t="s">
        <v>22</v>
      </c>
      <c r="I283">
        <v>1.23</v>
      </c>
      <c r="J283" t="s">
        <v>36</v>
      </c>
    </row>
    <row r="284" spans="1:10" x14ac:dyDescent="0.25">
      <c r="A284" s="1">
        <v>83</v>
      </c>
      <c r="B284" t="s">
        <v>19</v>
      </c>
      <c r="C284">
        <v>700</v>
      </c>
      <c r="D284">
        <v>0</v>
      </c>
      <c r="E284" t="s">
        <v>33</v>
      </c>
      <c r="F284" t="s">
        <v>33</v>
      </c>
      <c r="G284" t="str">
        <f>"2026-05-09 13:09:43.765"</f>
        <v>2026-05-09 13:09:43.765</v>
      </c>
      <c r="H284" t="s">
        <v>22</v>
      </c>
      <c r="I284">
        <v>0</v>
      </c>
      <c r="J284" t="s">
        <v>41</v>
      </c>
    </row>
    <row r="285" spans="1:10" x14ac:dyDescent="0.25">
      <c r="A285" s="1">
        <v>84</v>
      </c>
      <c r="B285" t="s">
        <v>19</v>
      </c>
      <c r="C285">
        <v>700</v>
      </c>
      <c r="D285">
        <v>0</v>
      </c>
      <c r="E285" t="s">
        <v>33</v>
      </c>
      <c r="F285" t="s">
        <v>33</v>
      </c>
      <c r="G285" t="str">
        <f>"2026-05-08 13:58:30.972"</f>
        <v>2026-05-08 13:58:30.972</v>
      </c>
      <c r="H285" t="s">
        <v>22</v>
      </c>
    </row>
    <row r="286" spans="1:10" x14ac:dyDescent="0.25">
      <c r="A286" s="1">
        <v>85</v>
      </c>
      <c r="B286" t="s">
        <v>24</v>
      </c>
      <c r="C286">
        <v>635</v>
      </c>
      <c r="D286">
        <v>1</v>
      </c>
      <c r="E286" t="s">
        <v>25</v>
      </c>
      <c r="F286" t="s">
        <v>26</v>
      </c>
      <c r="G286" t="str">
        <f>"2026-05-08 04:08:39.647"</f>
        <v>2026-05-08 04:08:39.647</v>
      </c>
      <c r="H286" t="s">
        <v>22</v>
      </c>
    </row>
    <row r="287" spans="1:10" x14ac:dyDescent="0.25">
      <c r="A287" s="1">
        <v>86</v>
      </c>
      <c r="B287" t="s">
        <v>27</v>
      </c>
      <c r="C287">
        <v>635</v>
      </c>
      <c r="D287">
        <v>1</v>
      </c>
      <c r="E287" t="s">
        <v>25</v>
      </c>
      <c r="F287" t="s">
        <v>26</v>
      </c>
      <c r="G287" t="str">
        <f>"2026-05-08 03:41:16.247"</f>
        <v>2026-05-08 03:41:16.247</v>
      </c>
      <c r="H287" t="s">
        <v>22</v>
      </c>
      <c r="I287">
        <v>8.17</v>
      </c>
      <c r="J287" t="s">
        <v>28</v>
      </c>
    </row>
    <row r="288" spans="1:10" x14ac:dyDescent="0.25">
      <c r="A288" s="1">
        <v>87</v>
      </c>
      <c r="B288" t="s">
        <v>19</v>
      </c>
      <c r="C288">
        <v>700</v>
      </c>
      <c r="D288">
        <v>0</v>
      </c>
      <c r="E288" t="s">
        <v>33</v>
      </c>
      <c r="F288" t="s">
        <v>33</v>
      </c>
      <c r="G288" t="str">
        <f>"2026-05-07 13:44:27.753"</f>
        <v>2026-05-07 13:44:27.753</v>
      </c>
      <c r="H288" t="s">
        <v>22</v>
      </c>
      <c r="I288">
        <v>0</v>
      </c>
      <c r="J288" t="s">
        <v>41</v>
      </c>
    </row>
    <row r="289" spans="1:10" x14ac:dyDescent="0.25">
      <c r="A289" s="1">
        <v>88</v>
      </c>
      <c r="B289" t="s">
        <v>24</v>
      </c>
      <c r="C289">
        <v>635</v>
      </c>
      <c r="D289">
        <v>1</v>
      </c>
      <c r="E289" t="s">
        <v>25</v>
      </c>
      <c r="F289" t="s">
        <v>26</v>
      </c>
      <c r="G289" t="str">
        <f>"2026-05-06 21:36:58.127"</f>
        <v>2026-05-06 21:36:58.127</v>
      </c>
      <c r="H289" t="s">
        <v>22</v>
      </c>
    </row>
    <row r="290" spans="1:10" x14ac:dyDescent="0.25">
      <c r="A290" s="1">
        <v>89</v>
      </c>
      <c r="B290" t="s">
        <v>27</v>
      </c>
      <c r="C290">
        <v>635</v>
      </c>
      <c r="D290">
        <v>1</v>
      </c>
      <c r="E290" t="s">
        <v>25</v>
      </c>
      <c r="F290" t="s">
        <v>26</v>
      </c>
      <c r="G290" t="str">
        <f>"2026-05-06 21:34:48.127"</f>
        <v>2026-05-06 21:34:48.127</v>
      </c>
      <c r="H290" t="s">
        <v>22</v>
      </c>
      <c r="I290">
        <v>1.1399999999999999</v>
      </c>
      <c r="J290" t="s">
        <v>28</v>
      </c>
    </row>
    <row r="291" spans="1:10" x14ac:dyDescent="0.25">
      <c r="A291" s="1">
        <v>91</v>
      </c>
      <c r="B291" t="s">
        <v>19</v>
      </c>
      <c r="C291">
        <v>700</v>
      </c>
      <c r="D291">
        <v>0</v>
      </c>
      <c r="E291" t="s">
        <v>33</v>
      </c>
      <c r="F291" t="s">
        <v>33</v>
      </c>
      <c r="G291" t="str">
        <f>"2026-05-05 18:29:36.984"</f>
        <v>2026-05-05 18:29:36.984</v>
      </c>
      <c r="H291" t="s">
        <v>22</v>
      </c>
      <c r="I291">
        <v>0</v>
      </c>
      <c r="J291" t="s">
        <v>41</v>
      </c>
    </row>
    <row r="292" spans="1:10" x14ac:dyDescent="0.25">
      <c r="A292" s="1">
        <v>92</v>
      </c>
      <c r="B292" t="s">
        <v>24</v>
      </c>
      <c r="C292">
        <v>630</v>
      </c>
      <c r="D292">
        <v>5</v>
      </c>
      <c r="E292" t="s">
        <v>29</v>
      </c>
      <c r="F292" t="s">
        <v>30</v>
      </c>
      <c r="G292" t="str">
        <f>"2026-05-05 18:11:05.169"</f>
        <v>2026-05-05 18:11:05.169</v>
      </c>
      <c r="H292" t="s">
        <v>31</v>
      </c>
    </row>
    <row r="293" spans="1:10" x14ac:dyDescent="0.25">
      <c r="A293" s="1">
        <v>93</v>
      </c>
      <c r="B293" t="s">
        <v>19</v>
      </c>
      <c r="C293">
        <v>706</v>
      </c>
      <c r="D293">
        <v>4</v>
      </c>
      <c r="E293" t="s">
        <v>20</v>
      </c>
      <c r="F293" t="s">
        <v>40</v>
      </c>
      <c r="G293" t="str">
        <f>"2026-05-05 18:10:35.054"</f>
        <v>2026-05-05 18:10:35.054</v>
      </c>
      <c r="H293" t="s">
        <v>22</v>
      </c>
      <c r="I293">
        <v>0</v>
      </c>
      <c r="J293" t="s">
        <v>23</v>
      </c>
    </row>
    <row r="294" spans="1:10" x14ac:dyDescent="0.25">
      <c r="A294" s="1">
        <v>94</v>
      </c>
      <c r="B294" t="s">
        <v>32</v>
      </c>
      <c r="C294">
        <v>630</v>
      </c>
      <c r="D294">
        <v>5</v>
      </c>
      <c r="E294" t="s">
        <v>29</v>
      </c>
      <c r="F294" t="s">
        <v>30</v>
      </c>
      <c r="G294" t="str">
        <f>"2026-05-05 18:04:10.569"</f>
        <v>2026-05-05 18:04:10.569</v>
      </c>
      <c r="H294" t="s">
        <v>31</v>
      </c>
      <c r="I294">
        <v>0</v>
      </c>
      <c r="J294" t="s">
        <v>23</v>
      </c>
    </row>
    <row r="295" spans="1:10" x14ac:dyDescent="0.25">
      <c r="A295" s="1">
        <v>95</v>
      </c>
      <c r="B295" t="s">
        <v>19</v>
      </c>
      <c r="C295">
        <v>700</v>
      </c>
      <c r="D295">
        <v>0</v>
      </c>
      <c r="E295" t="s">
        <v>33</v>
      </c>
      <c r="F295" t="s">
        <v>33</v>
      </c>
      <c r="G295" t="str">
        <f>"2026-05-05 17:59:07.734"</f>
        <v>2026-05-05 17:59:07.734</v>
      </c>
      <c r="H295" t="s">
        <v>22</v>
      </c>
      <c r="I295">
        <v>0</v>
      </c>
      <c r="J295" t="s">
        <v>41</v>
      </c>
    </row>
    <row r="296" spans="1:10" x14ac:dyDescent="0.25">
      <c r="A296" s="1">
        <v>96</v>
      </c>
      <c r="B296" t="s">
        <v>19</v>
      </c>
      <c r="C296">
        <v>700</v>
      </c>
      <c r="D296">
        <v>0</v>
      </c>
      <c r="E296" t="s">
        <v>33</v>
      </c>
      <c r="F296" t="s">
        <v>33</v>
      </c>
      <c r="G296" t="str">
        <f>"2026-05-04 13:28:10.740"</f>
        <v>2026-05-04 13:28:10.740</v>
      </c>
      <c r="H296" t="s">
        <v>22</v>
      </c>
    </row>
    <row r="297" spans="1:10" x14ac:dyDescent="0.25">
      <c r="A297" s="1">
        <v>97</v>
      </c>
      <c r="B297" t="s">
        <v>19</v>
      </c>
      <c r="C297">
        <v>700</v>
      </c>
      <c r="D297">
        <v>0</v>
      </c>
      <c r="E297" t="s">
        <v>33</v>
      </c>
      <c r="F297" t="s">
        <v>33</v>
      </c>
      <c r="G297" t="str">
        <f>"2026-05-04 08:31:25.755"</f>
        <v>2026-05-04 08:31:25.755</v>
      </c>
      <c r="H297" t="s">
        <v>22</v>
      </c>
    </row>
    <row r="298" spans="1:10" x14ac:dyDescent="0.25">
      <c r="A298" s="1">
        <v>98</v>
      </c>
      <c r="B298" t="s">
        <v>19</v>
      </c>
      <c r="C298">
        <v>700</v>
      </c>
      <c r="D298">
        <v>0</v>
      </c>
      <c r="E298" t="s">
        <v>33</v>
      </c>
      <c r="F298" t="s">
        <v>33</v>
      </c>
      <c r="G298" t="str">
        <f>"2026-05-03 13:24:17.732"</f>
        <v>2026-05-03 13:24:17.732</v>
      </c>
      <c r="H298" t="s">
        <v>22</v>
      </c>
      <c r="I298">
        <v>0</v>
      </c>
      <c r="J298" t="s">
        <v>41</v>
      </c>
    </row>
    <row r="299" spans="1:10" x14ac:dyDescent="0.25">
      <c r="A299" s="1">
        <v>99</v>
      </c>
      <c r="B299" t="s">
        <v>19</v>
      </c>
      <c r="C299">
        <v>700</v>
      </c>
      <c r="D299">
        <v>0</v>
      </c>
      <c r="E299" t="s">
        <v>33</v>
      </c>
      <c r="F299" t="s">
        <v>33</v>
      </c>
      <c r="G299" t="str">
        <f>"2026-05-03 02:48:00.956"</f>
        <v>2026-05-03 02:48:00.956</v>
      </c>
      <c r="H299" t="s">
        <v>22</v>
      </c>
      <c r="I299">
        <v>0</v>
      </c>
      <c r="J299" t="s">
        <v>41</v>
      </c>
    </row>
    <row r="300" spans="1:10" x14ac:dyDescent="0.25">
      <c r="A300" s="1">
        <v>0</v>
      </c>
      <c r="B300" t="s">
        <v>19</v>
      </c>
      <c r="C300">
        <v>706</v>
      </c>
      <c r="D300">
        <v>4</v>
      </c>
      <c r="E300" t="s">
        <v>20</v>
      </c>
      <c r="F300" t="s">
        <v>40</v>
      </c>
      <c r="G300" t="str">
        <f>"2026-05-03 01:46:07.061"</f>
        <v>2026-05-03 01:46:07.061</v>
      </c>
      <c r="H300" t="s">
        <v>22</v>
      </c>
      <c r="I300">
        <v>0</v>
      </c>
      <c r="J300" t="s">
        <v>23</v>
      </c>
    </row>
    <row r="301" spans="1:10" x14ac:dyDescent="0.25">
      <c r="A301" s="1">
        <v>1</v>
      </c>
      <c r="B301" t="s">
        <v>19</v>
      </c>
      <c r="C301">
        <v>700</v>
      </c>
      <c r="D301">
        <v>0</v>
      </c>
      <c r="E301" t="s">
        <v>33</v>
      </c>
      <c r="F301" t="s">
        <v>33</v>
      </c>
      <c r="G301" t="str">
        <f>"2026-05-03 01:45:01.761"</f>
        <v>2026-05-03 01:45:01.761</v>
      </c>
      <c r="H301" t="s">
        <v>22</v>
      </c>
      <c r="I301">
        <v>0</v>
      </c>
      <c r="J301" t="s">
        <v>41</v>
      </c>
    </row>
    <row r="302" spans="1:10" x14ac:dyDescent="0.25">
      <c r="A302" s="1">
        <v>2</v>
      </c>
      <c r="B302" t="s">
        <v>19</v>
      </c>
      <c r="C302">
        <v>700</v>
      </c>
      <c r="D302">
        <v>0</v>
      </c>
      <c r="E302" t="s">
        <v>33</v>
      </c>
      <c r="F302" t="s">
        <v>33</v>
      </c>
      <c r="G302" t="str">
        <f>"2026-05-02 13:44:43.977"</f>
        <v>2026-05-02 13:44:43.977</v>
      </c>
      <c r="H302" t="s">
        <v>22</v>
      </c>
    </row>
    <row r="303" spans="1:10" x14ac:dyDescent="0.25">
      <c r="A303" s="1">
        <v>3</v>
      </c>
      <c r="B303" t="s">
        <v>19</v>
      </c>
      <c r="C303">
        <v>700</v>
      </c>
      <c r="D303">
        <v>0</v>
      </c>
      <c r="E303" t="s">
        <v>33</v>
      </c>
      <c r="F303" t="s">
        <v>33</v>
      </c>
      <c r="G303" t="str">
        <f>"2026-05-02 07:58:50.736"</f>
        <v>2026-05-02 07:58:50.736</v>
      </c>
      <c r="H303" t="s">
        <v>22</v>
      </c>
      <c r="I303">
        <v>0</v>
      </c>
      <c r="J303" t="s">
        <v>41</v>
      </c>
    </row>
    <row r="304" spans="1:10" x14ac:dyDescent="0.25">
      <c r="A304" s="1">
        <v>4</v>
      </c>
      <c r="B304" t="s">
        <v>24</v>
      </c>
      <c r="C304">
        <v>635</v>
      </c>
      <c r="D304">
        <v>1</v>
      </c>
      <c r="E304" t="s">
        <v>25</v>
      </c>
      <c r="F304" t="s">
        <v>26</v>
      </c>
      <c r="G304" t="str">
        <f>"2026-05-02 03:23:40.326"</f>
        <v>2026-05-02 03:23:40.326</v>
      </c>
      <c r="H304" t="s">
        <v>22</v>
      </c>
    </row>
    <row r="305" spans="1:10" x14ac:dyDescent="0.25">
      <c r="A305" s="1">
        <v>5</v>
      </c>
      <c r="B305" t="s">
        <v>27</v>
      </c>
      <c r="C305">
        <v>635</v>
      </c>
      <c r="D305">
        <v>1</v>
      </c>
      <c r="E305" t="s">
        <v>25</v>
      </c>
      <c r="F305" t="s">
        <v>26</v>
      </c>
      <c r="G305" t="str">
        <f>"2026-05-02 02:59:00.826"</f>
        <v>2026-05-02 02:59:00.826</v>
      </c>
      <c r="H305" t="s">
        <v>22</v>
      </c>
      <c r="I305">
        <v>7.89</v>
      </c>
      <c r="J305" t="s">
        <v>28</v>
      </c>
    </row>
    <row r="306" spans="1:10" x14ac:dyDescent="0.25">
      <c r="A306" s="1">
        <v>6</v>
      </c>
      <c r="B306" t="s">
        <v>19</v>
      </c>
      <c r="C306">
        <v>700</v>
      </c>
      <c r="D306">
        <v>0</v>
      </c>
      <c r="E306" t="s">
        <v>33</v>
      </c>
      <c r="F306" t="s">
        <v>33</v>
      </c>
      <c r="G306" t="str">
        <f>"2026-05-01 13:57:05.724"</f>
        <v>2026-05-01 13:57:05.724</v>
      </c>
      <c r="H306" t="s">
        <v>22</v>
      </c>
      <c r="I306">
        <v>0</v>
      </c>
      <c r="J306" t="s">
        <v>41</v>
      </c>
    </row>
    <row r="307" spans="1:10" x14ac:dyDescent="0.25">
      <c r="A307" s="1">
        <v>7</v>
      </c>
      <c r="B307" t="s">
        <v>19</v>
      </c>
      <c r="C307">
        <v>700</v>
      </c>
      <c r="D307">
        <v>0</v>
      </c>
      <c r="E307" t="s">
        <v>33</v>
      </c>
      <c r="F307" t="s">
        <v>33</v>
      </c>
      <c r="G307" t="str">
        <f>"2026-04-30 13:50:56.734"</f>
        <v>2026-04-30 13:50:56.734</v>
      </c>
      <c r="H307" t="s">
        <v>22</v>
      </c>
      <c r="I307">
        <v>0</v>
      </c>
      <c r="J307" t="s">
        <v>41</v>
      </c>
    </row>
    <row r="308" spans="1:10" x14ac:dyDescent="0.25">
      <c r="A308" s="1">
        <v>8</v>
      </c>
      <c r="B308" t="s">
        <v>19</v>
      </c>
      <c r="C308">
        <v>700</v>
      </c>
      <c r="D308">
        <v>0</v>
      </c>
      <c r="E308" t="s">
        <v>33</v>
      </c>
      <c r="F308" t="s">
        <v>33</v>
      </c>
      <c r="G308" t="str">
        <f>"2026-04-30 13:16:49.926"</f>
        <v>2026-04-30 13:16:49.926</v>
      </c>
      <c r="H308" t="s">
        <v>22</v>
      </c>
    </row>
    <row r="309" spans="1:10" x14ac:dyDescent="0.25">
      <c r="A309" s="1">
        <v>9</v>
      </c>
      <c r="B309" t="s">
        <v>24</v>
      </c>
      <c r="C309">
        <v>635</v>
      </c>
      <c r="D309">
        <v>1</v>
      </c>
      <c r="E309" t="s">
        <v>25</v>
      </c>
      <c r="F309" t="s">
        <v>26</v>
      </c>
      <c r="G309" t="str">
        <f>"2026-04-30 04:46:23.723"</f>
        <v>2026-04-30 04:46:23.723</v>
      </c>
      <c r="H309" t="s">
        <v>22</v>
      </c>
    </row>
    <row r="310" spans="1:10" x14ac:dyDescent="0.25">
      <c r="A310" s="1">
        <v>10</v>
      </c>
      <c r="B310" t="s">
        <v>27</v>
      </c>
      <c r="C310">
        <v>635</v>
      </c>
      <c r="D310">
        <v>1</v>
      </c>
      <c r="E310" t="s">
        <v>25</v>
      </c>
      <c r="F310" t="s">
        <v>26</v>
      </c>
      <c r="G310" t="str">
        <f>"2026-04-30 04:17:39.823"</f>
        <v>2026-04-30 04:17:39.823</v>
      </c>
      <c r="H310" t="s">
        <v>22</v>
      </c>
      <c r="I310">
        <v>7.44</v>
      </c>
      <c r="J310" t="s">
        <v>28</v>
      </c>
    </row>
    <row r="311" spans="1:10" x14ac:dyDescent="0.25">
      <c r="A311" s="1">
        <v>11</v>
      </c>
      <c r="B311" t="s">
        <v>24</v>
      </c>
      <c r="C311">
        <v>635</v>
      </c>
      <c r="D311">
        <v>1</v>
      </c>
      <c r="E311" t="s">
        <v>25</v>
      </c>
      <c r="F311" t="s">
        <v>26</v>
      </c>
      <c r="G311" t="str">
        <f>"2026-04-30 03:30:04.423"</f>
        <v>2026-04-30 03:30:04.423</v>
      </c>
      <c r="H311" t="s">
        <v>22</v>
      </c>
    </row>
    <row r="312" spans="1:10" x14ac:dyDescent="0.25">
      <c r="A312" s="1">
        <v>12</v>
      </c>
      <c r="B312" t="s">
        <v>27</v>
      </c>
      <c r="C312">
        <v>635</v>
      </c>
      <c r="D312">
        <v>1</v>
      </c>
      <c r="E312" t="s">
        <v>25</v>
      </c>
      <c r="F312" t="s">
        <v>26</v>
      </c>
      <c r="G312" t="str">
        <f>"2026-04-30 03:26:36.423"</f>
        <v>2026-04-30 03:26:36.423</v>
      </c>
      <c r="H312" t="s">
        <v>22</v>
      </c>
      <c r="I312">
        <v>3.73</v>
      </c>
      <c r="J312" t="s">
        <v>37</v>
      </c>
    </row>
    <row r="313" spans="1:10" x14ac:dyDescent="0.25">
      <c r="A313" s="1">
        <v>13</v>
      </c>
      <c r="B313" t="s">
        <v>19</v>
      </c>
      <c r="C313">
        <v>700</v>
      </c>
      <c r="D313">
        <v>0</v>
      </c>
      <c r="E313" t="s">
        <v>33</v>
      </c>
      <c r="F313" t="s">
        <v>33</v>
      </c>
      <c r="G313" t="str">
        <f>"2026-04-29 10:20:50.734"</f>
        <v>2026-04-29 10:20:50.734</v>
      </c>
      <c r="H313" t="s">
        <v>22</v>
      </c>
      <c r="I313">
        <v>0</v>
      </c>
      <c r="J313" t="s">
        <v>41</v>
      </c>
    </row>
    <row r="314" spans="1:10" x14ac:dyDescent="0.25">
      <c r="A314" s="1">
        <v>14</v>
      </c>
      <c r="B314" t="s">
        <v>19</v>
      </c>
      <c r="C314">
        <v>700</v>
      </c>
      <c r="D314">
        <v>0</v>
      </c>
      <c r="E314" t="s">
        <v>33</v>
      </c>
      <c r="F314" t="s">
        <v>33</v>
      </c>
      <c r="G314" t="str">
        <f>"2026-04-28 09:51:01.896"</f>
        <v>2026-04-28 09:51:01.896</v>
      </c>
      <c r="H314" t="s">
        <v>22</v>
      </c>
      <c r="I314">
        <v>0</v>
      </c>
      <c r="J314" t="s">
        <v>41</v>
      </c>
    </row>
    <row r="315" spans="1:10" x14ac:dyDescent="0.25">
      <c r="A315" s="1">
        <v>15</v>
      </c>
      <c r="B315" t="s">
        <v>19</v>
      </c>
      <c r="C315">
        <v>706</v>
      </c>
      <c r="D315">
        <v>2</v>
      </c>
      <c r="E315" t="s">
        <v>20</v>
      </c>
      <c r="F315" t="s">
        <v>21</v>
      </c>
      <c r="G315" t="str">
        <f>"2026-04-26 19:52:47.521"</f>
        <v>2026-04-26 19:52:47.521</v>
      </c>
      <c r="H315" t="s">
        <v>22</v>
      </c>
      <c r="I315">
        <v>0</v>
      </c>
      <c r="J315" t="s">
        <v>23</v>
      </c>
    </row>
    <row r="316" spans="1:10" x14ac:dyDescent="0.25">
      <c r="A316" s="1">
        <v>16</v>
      </c>
      <c r="B316" t="s">
        <v>19</v>
      </c>
      <c r="C316">
        <v>700</v>
      </c>
      <c r="D316">
        <v>0</v>
      </c>
      <c r="E316" t="s">
        <v>33</v>
      </c>
      <c r="F316" t="s">
        <v>33</v>
      </c>
      <c r="G316" t="str">
        <f>"2026-04-26 19:52:09.731"</f>
        <v>2026-04-26 19:52:09.731</v>
      </c>
      <c r="H316" t="s">
        <v>22</v>
      </c>
    </row>
    <row r="317" spans="1:10" x14ac:dyDescent="0.25">
      <c r="A317" s="1">
        <v>17</v>
      </c>
      <c r="B317" t="s">
        <v>19</v>
      </c>
      <c r="C317">
        <v>700</v>
      </c>
      <c r="D317">
        <v>0</v>
      </c>
      <c r="E317" t="s">
        <v>33</v>
      </c>
      <c r="F317" t="s">
        <v>33</v>
      </c>
      <c r="G317" t="str">
        <f>"2026-04-26 19:11:43.783"</f>
        <v>2026-04-26 19:11:43.783</v>
      </c>
      <c r="H317" t="s">
        <v>22</v>
      </c>
      <c r="I317">
        <v>0</v>
      </c>
      <c r="J317" t="s">
        <v>41</v>
      </c>
    </row>
    <row r="318" spans="1:10" x14ac:dyDescent="0.25">
      <c r="A318" s="1">
        <v>18</v>
      </c>
      <c r="B318" t="s">
        <v>32</v>
      </c>
      <c r="C318">
        <v>630</v>
      </c>
      <c r="D318">
        <v>5</v>
      </c>
      <c r="E318" t="s">
        <v>29</v>
      </c>
      <c r="F318" t="s">
        <v>30</v>
      </c>
      <c r="G318" t="str">
        <f>"2026-04-26 18:54:20.076"</f>
        <v>2026-04-26 18:54:20.076</v>
      </c>
      <c r="H318" t="s">
        <v>31</v>
      </c>
      <c r="I318">
        <v>0</v>
      </c>
      <c r="J318" t="s">
        <v>23</v>
      </c>
    </row>
    <row r="319" spans="1:10" x14ac:dyDescent="0.25">
      <c r="A319" s="1">
        <v>19</v>
      </c>
      <c r="B319" t="s">
        <v>24</v>
      </c>
      <c r="C319">
        <v>635</v>
      </c>
      <c r="D319">
        <v>1</v>
      </c>
      <c r="E319" t="s">
        <v>25</v>
      </c>
      <c r="F319" t="s">
        <v>26</v>
      </c>
      <c r="G319" t="str">
        <f>"2026-04-26 05:50:55.376"</f>
        <v>2026-04-26 05:50:55.376</v>
      </c>
      <c r="H319" t="s">
        <v>22</v>
      </c>
    </row>
    <row r="320" spans="1:10" x14ac:dyDescent="0.25">
      <c r="A320" s="1">
        <v>20</v>
      </c>
      <c r="B320" t="s">
        <v>27</v>
      </c>
      <c r="C320">
        <v>635</v>
      </c>
      <c r="D320">
        <v>1</v>
      </c>
      <c r="E320" t="s">
        <v>25</v>
      </c>
      <c r="F320" t="s">
        <v>26</v>
      </c>
      <c r="G320" t="str">
        <f>"2026-04-26 05:45:50.376"</f>
        <v>2026-04-26 05:45:50.376</v>
      </c>
      <c r="H320" t="s">
        <v>22</v>
      </c>
      <c r="I320">
        <v>2.95</v>
      </c>
      <c r="J320" t="s">
        <v>28</v>
      </c>
    </row>
    <row r="321" spans="1:10" x14ac:dyDescent="0.25">
      <c r="A321" s="1">
        <v>21</v>
      </c>
      <c r="B321" t="s">
        <v>24</v>
      </c>
      <c r="C321">
        <v>630</v>
      </c>
      <c r="D321">
        <v>5</v>
      </c>
      <c r="E321" t="s">
        <v>29</v>
      </c>
      <c r="F321" t="s">
        <v>30</v>
      </c>
      <c r="G321" t="str">
        <f>"2026-04-25 16:39:32.876"</f>
        <v>2026-04-25 16:39:32.876</v>
      </c>
      <c r="H321" t="s">
        <v>31</v>
      </c>
    </row>
    <row r="322" spans="1:10" x14ac:dyDescent="0.25">
      <c r="A322" s="1">
        <v>22</v>
      </c>
      <c r="B322" t="s">
        <v>19</v>
      </c>
      <c r="C322">
        <v>706</v>
      </c>
      <c r="D322">
        <v>4</v>
      </c>
      <c r="E322" t="s">
        <v>20</v>
      </c>
      <c r="F322" t="s">
        <v>40</v>
      </c>
      <c r="G322" t="str">
        <f>"2026-04-25 16:39:02.834"</f>
        <v>2026-04-25 16:39:02.834</v>
      </c>
      <c r="H322" t="s">
        <v>22</v>
      </c>
      <c r="I322">
        <v>0</v>
      </c>
      <c r="J322" t="s">
        <v>23</v>
      </c>
    </row>
    <row r="323" spans="1:10" x14ac:dyDescent="0.25">
      <c r="A323" s="1">
        <v>23</v>
      </c>
      <c r="B323" t="s">
        <v>32</v>
      </c>
      <c r="C323">
        <v>630</v>
      </c>
      <c r="D323">
        <v>5</v>
      </c>
      <c r="E323" t="s">
        <v>29</v>
      </c>
      <c r="F323" t="s">
        <v>30</v>
      </c>
      <c r="G323" t="str">
        <f>"2026-04-25 16:30:02.577"</f>
        <v>2026-04-25 16:30:02.577</v>
      </c>
      <c r="H323" t="s">
        <v>31</v>
      </c>
      <c r="I323">
        <v>0</v>
      </c>
      <c r="J323" t="s">
        <v>23</v>
      </c>
    </row>
    <row r="324" spans="1:10" x14ac:dyDescent="0.25">
      <c r="A324" s="1">
        <v>24</v>
      </c>
      <c r="B324" t="s">
        <v>19</v>
      </c>
      <c r="C324">
        <v>700</v>
      </c>
      <c r="D324">
        <v>0</v>
      </c>
      <c r="E324" t="s">
        <v>33</v>
      </c>
      <c r="F324" t="s">
        <v>33</v>
      </c>
      <c r="G324" t="str">
        <f>"2026-04-25 16:24:59.774"</f>
        <v>2026-04-25 16:24:59.774</v>
      </c>
      <c r="H324" t="s">
        <v>22</v>
      </c>
    </row>
    <row r="325" spans="1:10" x14ac:dyDescent="0.25">
      <c r="A325" s="1">
        <v>25</v>
      </c>
      <c r="B325" t="s">
        <v>19</v>
      </c>
      <c r="C325">
        <v>700</v>
      </c>
      <c r="D325">
        <v>0</v>
      </c>
      <c r="E325" t="s">
        <v>33</v>
      </c>
      <c r="F325" t="s">
        <v>33</v>
      </c>
      <c r="G325" t="str">
        <f>"2026-04-25 16:17:59.737"</f>
        <v>2026-04-25 16:17:59.737</v>
      </c>
      <c r="H325" t="s">
        <v>22</v>
      </c>
      <c r="I325">
        <v>0</v>
      </c>
      <c r="J325" t="s">
        <v>41</v>
      </c>
    </row>
    <row r="326" spans="1:10" x14ac:dyDescent="0.25">
      <c r="A326" s="1">
        <v>26</v>
      </c>
      <c r="B326" t="s">
        <v>19</v>
      </c>
      <c r="C326">
        <v>700</v>
      </c>
      <c r="D326">
        <v>0</v>
      </c>
      <c r="E326" t="s">
        <v>33</v>
      </c>
      <c r="F326" t="s">
        <v>33</v>
      </c>
      <c r="G326" t="str">
        <f>"2026-04-25 14:23:24.729"</f>
        <v>2026-04-25 14:23:24.729</v>
      </c>
      <c r="H326" t="s">
        <v>22</v>
      </c>
    </row>
    <row r="327" spans="1:10" x14ac:dyDescent="0.25">
      <c r="A327" s="1">
        <v>27</v>
      </c>
      <c r="B327" t="s">
        <v>24</v>
      </c>
      <c r="C327">
        <v>635</v>
      </c>
      <c r="D327">
        <v>1</v>
      </c>
      <c r="E327" t="s">
        <v>25</v>
      </c>
      <c r="F327" t="s">
        <v>26</v>
      </c>
      <c r="G327" t="str">
        <f>"2026-04-25 10:25:28.147"</f>
        <v>2026-04-25 10:25:28.147</v>
      </c>
      <c r="H327" t="s">
        <v>22</v>
      </c>
    </row>
    <row r="328" spans="1:10" x14ac:dyDescent="0.25">
      <c r="A328" s="1">
        <v>28</v>
      </c>
      <c r="B328" t="s">
        <v>27</v>
      </c>
      <c r="C328">
        <v>635</v>
      </c>
      <c r="D328">
        <v>1</v>
      </c>
      <c r="E328" t="s">
        <v>25</v>
      </c>
      <c r="F328" t="s">
        <v>26</v>
      </c>
      <c r="G328" t="str">
        <f>"2026-04-25 10:18:27.148"</f>
        <v>2026-04-25 10:18:27.148</v>
      </c>
      <c r="H328" t="s">
        <v>22</v>
      </c>
      <c r="I328">
        <v>9.81</v>
      </c>
      <c r="J328" t="s">
        <v>36</v>
      </c>
    </row>
    <row r="329" spans="1:10" x14ac:dyDescent="0.25">
      <c r="A329" s="1">
        <v>29</v>
      </c>
      <c r="B329" t="s">
        <v>19</v>
      </c>
      <c r="C329">
        <v>706</v>
      </c>
      <c r="D329">
        <v>4</v>
      </c>
      <c r="E329" t="s">
        <v>20</v>
      </c>
      <c r="F329" t="s">
        <v>40</v>
      </c>
      <c r="G329" t="str">
        <f>"2026-04-25 03:36:32.260"</f>
        <v>2026-04-25 03:36:32.260</v>
      </c>
      <c r="H329" t="s">
        <v>22</v>
      </c>
      <c r="I329">
        <v>0</v>
      </c>
      <c r="J329" t="s">
        <v>23</v>
      </c>
    </row>
    <row r="330" spans="1:10" x14ac:dyDescent="0.25">
      <c r="A330" s="1">
        <v>30</v>
      </c>
      <c r="B330" t="s">
        <v>19</v>
      </c>
      <c r="C330">
        <v>700</v>
      </c>
      <c r="D330">
        <v>0</v>
      </c>
      <c r="E330" t="s">
        <v>33</v>
      </c>
      <c r="F330" t="s">
        <v>33</v>
      </c>
      <c r="G330" t="str">
        <f>"2026-04-25 03:35:43.750"</f>
        <v>2026-04-25 03:35:43.750</v>
      </c>
      <c r="H330" t="s">
        <v>22</v>
      </c>
      <c r="I330">
        <v>0</v>
      </c>
      <c r="J330" t="s">
        <v>41</v>
      </c>
    </row>
    <row r="331" spans="1:10" x14ac:dyDescent="0.25">
      <c r="A331" s="1">
        <v>31</v>
      </c>
      <c r="B331" t="s">
        <v>19</v>
      </c>
      <c r="C331">
        <v>700</v>
      </c>
      <c r="D331">
        <v>0</v>
      </c>
      <c r="E331" t="s">
        <v>33</v>
      </c>
      <c r="F331" t="s">
        <v>33</v>
      </c>
      <c r="G331" t="str">
        <f>"2026-04-24 17:31:03.800"</f>
        <v>2026-04-24 17:31:03.800</v>
      </c>
      <c r="H331" t="s">
        <v>22</v>
      </c>
      <c r="I331">
        <v>0</v>
      </c>
      <c r="J331" t="s">
        <v>41</v>
      </c>
    </row>
    <row r="332" spans="1:10" x14ac:dyDescent="0.25">
      <c r="A332" s="1">
        <v>32</v>
      </c>
      <c r="B332" t="s">
        <v>24</v>
      </c>
      <c r="C332">
        <v>630</v>
      </c>
      <c r="D332">
        <v>5</v>
      </c>
      <c r="E332" t="s">
        <v>29</v>
      </c>
      <c r="F332" t="s">
        <v>30</v>
      </c>
      <c r="G332" t="str">
        <f>"2026-04-24 17:13:46.382"</f>
        <v>2026-04-24 17:13:46.382</v>
      </c>
      <c r="H332" t="s">
        <v>31</v>
      </c>
    </row>
    <row r="333" spans="1:10" x14ac:dyDescent="0.25">
      <c r="A333" s="1">
        <v>33</v>
      </c>
      <c r="B333" t="s">
        <v>19</v>
      </c>
      <c r="C333">
        <v>706</v>
      </c>
      <c r="D333">
        <v>4</v>
      </c>
      <c r="E333" t="s">
        <v>20</v>
      </c>
      <c r="F333" t="s">
        <v>40</v>
      </c>
      <c r="G333" t="str">
        <f>"2026-04-24 17:13:16.252"</f>
        <v>2026-04-24 17:13:16.252</v>
      </c>
      <c r="H333" t="s">
        <v>22</v>
      </c>
      <c r="I333">
        <v>0</v>
      </c>
      <c r="J333" t="s">
        <v>23</v>
      </c>
    </row>
    <row r="334" spans="1:10" x14ac:dyDescent="0.25">
      <c r="A334" s="1">
        <v>34</v>
      </c>
      <c r="B334" t="s">
        <v>32</v>
      </c>
      <c r="C334">
        <v>630</v>
      </c>
      <c r="D334">
        <v>5</v>
      </c>
      <c r="E334" t="s">
        <v>29</v>
      </c>
      <c r="F334" t="s">
        <v>30</v>
      </c>
      <c r="G334" t="str">
        <f>"2026-04-24 17:12:14.683"</f>
        <v>2026-04-24 17:12:14.683</v>
      </c>
      <c r="H334" t="s">
        <v>31</v>
      </c>
      <c r="I334">
        <v>0</v>
      </c>
      <c r="J334" t="s">
        <v>23</v>
      </c>
    </row>
    <row r="335" spans="1:10" x14ac:dyDescent="0.25">
      <c r="A335" s="1">
        <v>35</v>
      </c>
      <c r="B335" t="s">
        <v>19</v>
      </c>
      <c r="C335">
        <v>700</v>
      </c>
      <c r="D335">
        <v>0</v>
      </c>
      <c r="E335" t="s">
        <v>33</v>
      </c>
      <c r="F335" t="s">
        <v>33</v>
      </c>
      <c r="G335" t="str">
        <f>"2026-04-24 17:07:11.842"</f>
        <v>2026-04-24 17:07:11.842</v>
      </c>
      <c r="H335" t="s">
        <v>22</v>
      </c>
    </row>
    <row r="336" spans="1:10" x14ac:dyDescent="0.25">
      <c r="A336" s="1">
        <v>36</v>
      </c>
      <c r="B336" t="s">
        <v>32</v>
      </c>
      <c r="C336">
        <v>630</v>
      </c>
      <c r="D336">
        <v>5</v>
      </c>
      <c r="E336" t="s">
        <v>29</v>
      </c>
      <c r="F336" t="s">
        <v>30</v>
      </c>
      <c r="G336" t="str">
        <f>"2026-04-24 16:16:35.112"</f>
        <v>2026-04-24 16:16:35.112</v>
      </c>
      <c r="H336" t="s">
        <v>31</v>
      </c>
      <c r="I336">
        <v>0</v>
      </c>
      <c r="J336" t="s">
        <v>23</v>
      </c>
    </row>
    <row r="337" spans="1:10" x14ac:dyDescent="0.25">
      <c r="A337" s="1">
        <v>37</v>
      </c>
      <c r="B337" t="s">
        <v>19</v>
      </c>
      <c r="C337">
        <v>700</v>
      </c>
      <c r="D337">
        <v>0</v>
      </c>
      <c r="E337" t="s">
        <v>33</v>
      </c>
      <c r="F337" t="s">
        <v>33</v>
      </c>
      <c r="G337" t="str">
        <f>"2026-04-24 16:11:32.253"</f>
        <v>2026-04-24 16:11:32.253</v>
      </c>
      <c r="H337" t="s">
        <v>22</v>
      </c>
      <c r="I337">
        <v>0</v>
      </c>
      <c r="J337" t="s">
        <v>41</v>
      </c>
    </row>
    <row r="338" spans="1:10" x14ac:dyDescent="0.25">
      <c r="A338" s="1">
        <v>38</v>
      </c>
      <c r="B338" t="s">
        <v>19</v>
      </c>
      <c r="C338">
        <v>700</v>
      </c>
      <c r="D338">
        <v>0</v>
      </c>
      <c r="E338" t="s">
        <v>33</v>
      </c>
      <c r="F338" t="s">
        <v>33</v>
      </c>
      <c r="G338" t="str">
        <f>"2026-04-23 13:33:05.733"</f>
        <v>2026-04-23 13:33:05.733</v>
      </c>
      <c r="H338" t="s">
        <v>22</v>
      </c>
    </row>
    <row r="339" spans="1:10" x14ac:dyDescent="0.25">
      <c r="A339" s="1">
        <v>40</v>
      </c>
      <c r="B339" t="s">
        <v>19</v>
      </c>
      <c r="C339">
        <v>700</v>
      </c>
      <c r="D339">
        <v>0</v>
      </c>
      <c r="E339" t="s">
        <v>33</v>
      </c>
      <c r="F339" t="s">
        <v>33</v>
      </c>
      <c r="G339" t="str">
        <f>"2026-04-22 09:20:56.721"</f>
        <v>2026-04-22 09:20:56.721</v>
      </c>
      <c r="H339" t="s">
        <v>22</v>
      </c>
    </row>
    <row r="340" spans="1:10" x14ac:dyDescent="0.25">
      <c r="A340" s="1">
        <v>41</v>
      </c>
      <c r="B340" t="s">
        <v>19</v>
      </c>
      <c r="C340">
        <v>700</v>
      </c>
      <c r="D340">
        <v>0</v>
      </c>
      <c r="E340" t="s">
        <v>33</v>
      </c>
      <c r="F340" t="s">
        <v>33</v>
      </c>
      <c r="G340" t="str">
        <f>"2026-04-20 08:03:49.764"</f>
        <v>2026-04-20 08:03:49.764</v>
      </c>
      <c r="H340" t="s">
        <v>22</v>
      </c>
    </row>
    <row r="341" spans="1:10" x14ac:dyDescent="0.25">
      <c r="A341" s="1">
        <v>42</v>
      </c>
      <c r="B341" t="s">
        <v>24</v>
      </c>
      <c r="C341">
        <v>635</v>
      </c>
      <c r="D341">
        <v>1</v>
      </c>
      <c r="E341" t="s">
        <v>25</v>
      </c>
      <c r="F341" t="s">
        <v>26</v>
      </c>
      <c r="G341" t="str">
        <f>"2026-04-20 00:05:19.797"</f>
        <v>2026-04-20 00:05:19.797</v>
      </c>
      <c r="H341" t="s">
        <v>22</v>
      </c>
    </row>
    <row r="342" spans="1:10" x14ac:dyDescent="0.25">
      <c r="A342" s="1">
        <v>43</v>
      </c>
      <c r="B342" t="s">
        <v>27</v>
      </c>
      <c r="C342">
        <v>635</v>
      </c>
      <c r="D342">
        <v>1</v>
      </c>
      <c r="E342" t="s">
        <v>25</v>
      </c>
      <c r="F342" t="s">
        <v>26</v>
      </c>
      <c r="G342" t="str">
        <f>"2026-04-20 00:03:05.297"</f>
        <v>2026-04-20 00:03:05.297</v>
      </c>
      <c r="H342" t="s">
        <v>22</v>
      </c>
      <c r="I342">
        <v>1.59</v>
      </c>
      <c r="J342" t="s">
        <v>28</v>
      </c>
    </row>
    <row r="343" spans="1:10" s="3" customFormat="1" x14ac:dyDescent="0.25">
      <c r="A343" s="2">
        <v>44</v>
      </c>
      <c r="B343" s="3" t="s">
        <v>24</v>
      </c>
      <c r="C343" s="3">
        <v>647</v>
      </c>
      <c r="D343" s="3">
        <v>1</v>
      </c>
      <c r="E343" s="3" t="s">
        <v>34</v>
      </c>
      <c r="F343" s="3" t="s">
        <v>35</v>
      </c>
      <c r="G343" s="3" t="str">
        <f>"2026-04-19 02:52:35.698"</f>
        <v>2026-04-19 02:52:35.698</v>
      </c>
      <c r="H343" s="3" t="s">
        <v>22</v>
      </c>
    </row>
    <row r="344" spans="1:10" s="3" customFormat="1" x14ac:dyDescent="0.25">
      <c r="A344" s="2">
        <v>45</v>
      </c>
      <c r="B344" s="3" t="s">
        <v>27</v>
      </c>
      <c r="C344" s="3">
        <v>647</v>
      </c>
      <c r="D344" s="3">
        <v>1</v>
      </c>
      <c r="E344" s="3" t="s">
        <v>34</v>
      </c>
      <c r="F344" s="3" t="s">
        <v>35</v>
      </c>
      <c r="G344" s="3" t="str">
        <f>"2026-04-19 02:52:34.598"</f>
        <v>2026-04-19 02:52:34.598</v>
      </c>
      <c r="H344" s="3" t="s">
        <v>22</v>
      </c>
      <c r="I344" s="3">
        <v>18.100000000000001</v>
      </c>
      <c r="J344" s="3" t="s">
        <v>36</v>
      </c>
    </row>
    <row r="345" spans="1:10" x14ac:dyDescent="0.25">
      <c r="A345" s="1">
        <v>46</v>
      </c>
      <c r="B345" t="s">
        <v>19</v>
      </c>
      <c r="C345">
        <v>700</v>
      </c>
      <c r="D345">
        <v>0</v>
      </c>
      <c r="E345" t="s">
        <v>33</v>
      </c>
      <c r="F345" t="s">
        <v>33</v>
      </c>
      <c r="G345" t="str">
        <f>"2026-04-18 17:11:51.735"</f>
        <v>2026-04-18 17:11:51.735</v>
      </c>
      <c r="H345" t="s">
        <v>22</v>
      </c>
      <c r="I345">
        <v>0</v>
      </c>
      <c r="J345" t="s">
        <v>41</v>
      </c>
    </row>
    <row r="346" spans="1:10" x14ac:dyDescent="0.25">
      <c r="A346" s="1">
        <v>48</v>
      </c>
      <c r="B346" t="s">
        <v>24</v>
      </c>
      <c r="C346">
        <v>630</v>
      </c>
      <c r="D346">
        <v>5</v>
      </c>
      <c r="E346" t="s">
        <v>29</v>
      </c>
      <c r="F346" t="s">
        <v>30</v>
      </c>
      <c r="G346" t="str">
        <f>"2026-04-17 16:08:34.314"</f>
        <v>2026-04-17 16:08:34.314</v>
      </c>
      <c r="H346" t="s">
        <v>31</v>
      </c>
    </row>
    <row r="347" spans="1:10" x14ac:dyDescent="0.25">
      <c r="A347" s="1">
        <v>49</v>
      </c>
      <c r="B347" t="s">
        <v>19</v>
      </c>
      <c r="C347">
        <v>706</v>
      </c>
      <c r="D347">
        <v>2</v>
      </c>
      <c r="E347" t="s">
        <v>20</v>
      </c>
      <c r="F347" t="s">
        <v>21</v>
      </c>
      <c r="G347" t="str">
        <f>"2026-04-17 16:08:04.100"</f>
        <v>2026-04-17 16:08:04.100</v>
      </c>
      <c r="H347" t="s">
        <v>22</v>
      </c>
      <c r="I347">
        <v>0</v>
      </c>
      <c r="J347" t="s">
        <v>23</v>
      </c>
    </row>
    <row r="348" spans="1:10" x14ac:dyDescent="0.25">
      <c r="A348" s="1">
        <v>50</v>
      </c>
      <c r="B348" t="s">
        <v>32</v>
      </c>
      <c r="C348">
        <v>630</v>
      </c>
      <c r="D348">
        <v>5</v>
      </c>
      <c r="E348" t="s">
        <v>29</v>
      </c>
      <c r="F348" t="s">
        <v>30</v>
      </c>
      <c r="G348" t="str">
        <f>"2026-04-17 15:57:45.914"</f>
        <v>2026-04-17 15:57:45.914</v>
      </c>
      <c r="H348" t="s">
        <v>31</v>
      </c>
      <c r="I348">
        <v>0</v>
      </c>
      <c r="J348" t="s">
        <v>23</v>
      </c>
    </row>
    <row r="349" spans="1:10" x14ac:dyDescent="0.25">
      <c r="A349" s="1">
        <v>51</v>
      </c>
      <c r="B349" t="s">
        <v>24</v>
      </c>
      <c r="C349">
        <v>630</v>
      </c>
      <c r="D349">
        <v>5</v>
      </c>
      <c r="E349" t="s">
        <v>29</v>
      </c>
      <c r="F349" t="s">
        <v>30</v>
      </c>
      <c r="G349" t="str">
        <f>"2026-04-16 13:46:19.214"</f>
        <v>2026-04-16 13:46:19.214</v>
      </c>
      <c r="H349" t="s">
        <v>31</v>
      </c>
    </row>
    <row r="350" spans="1:10" x14ac:dyDescent="0.25">
      <c r="A350" s="1">
        <v>52</v>
      </c>
      <c r="B350" t="s">
        <v>19</v>
      </c>
      <c r="C350">
        <v>706</v>
      </c>
      <c r="D350">
        <v>2</v>
      </c>
      <c r="E350" t="s">
        <v>20</v>
      </c>
      <c r="F350" t="s">
        <v>21</v>
      </c>
      <c r="G350" t="str">
        <f>"2026-04-16 13:45:49.100"</f>
        <v>2026-04-16 13:45:49.100</v>
      </c>
      <c r="H350" t="s">
        <v>22</v>
      </c>
      <c r="I350">
        <v>0</v>
      </c>
      <c r="J350" t="s">
        <v>23</v>
      </c>
    </row>
    <row r="351" spans="1:10" x14ac:dyDescent="0.25">
      <c r="A351" s="1">
        <v>53</v>
      </c>
      <c r="B351" t="s">
        <v>32</v>
      </c>
      <c r="C351">
        <v>630</v>
      </c>
      <c r="D351">
        <v>5</v>
      </c>
      <c r="E351" t="s">
        <v>29</v>
      </c>
      <c r="F351" t="s">
        <v>30</v>
      </c>
      <c r="G351" t="str">
        <f>"2026-04-16 13:21:57.715"</f>
        <v>2026-04-16 13:21:57.715</v>
      </c>
      <c r="H351" t="s">
        <v>31</v>
      </c>
      <c r="I351">
        <v>0</v>
      </c>
      <c r="J351" t="s">
        <v>23</v>
      </c>
    </row>
    <row r="352" spans="1:10" x14ac:dyDescent="0.25">
      <c r="A352" s="1">
        <v>54</v>
      </c>
      <c r="B352" t="s">
        <v>19</v>
      </c>
      <c r="C352">
        <v>700</v>
      </c>
      <c r="D352">
        <v>0</v>
      </c>
      <c r="E352" t="s">
        <v>33</v>
      </c>
      <c r="F352" t="s">
        <v>33</v>
      </c>
      <c r="G352" t="str">
        <f>"2026-04-16 13:16:54.920"</f>
        <v>2026-04-16 13:16:54.920</v>
      </c>
      <c r="H352" t="s">
        <v>22</v>
      </c>
      <c r="I352">
        <v>0</v>
      </c>
      <c r="J352" t="s">
        <v>41</v>
      </c>
    </row>
    <row r="353" spans="1:10" s="3" customFormat="1" x14ac:dyDescent="0.25">
      <c r="A353" s="2">
        <v>55</v>
      </c>
      <c r="B353" s="3" t="s">
        <v>24</v>
      </c>
      <c r="C353" s="3">
        <v>647</v>
      </c>
      <c r="D353" s="3">
        <v>1</v>
      </c>
      <c r="E353" s="3" t="s">
        <v>34</v>
      </c>
      <c r="F353" s="3" t="s">
        <v>35</v>
      </c>
      <c r="G353" s="3" t="str">
        <f>"2026-04-16 11:21:20.653"</f>
        <v>2026-04-16 11:21:20.653</v>
      </c>
      <c r="H353" s="3" t="s">
        <v>22</v>
      </c>
    </row>
    <row r="354" spans="1:10" s="3" customFormat="1" x14ac:dyDescent="0.25">
      <c r="A354" s="2">
        <v>56</v>
      </c>
      <c r="B354" s="3" t="s">
        <v>27</v>
      </c>
      <c r="C354" s="3">
        <v>647</v>
      </c>
      <c r="D354" s="3">
        <v>1</v>
      </c>
      <c r="E354" s="3" t="s">
        <v>34</v>
      </c>
      <c r="F354" s="3" t="s">
        <v>35</v>
      </c>
      <c r="G354" s="3" t="str">
        <f>"2026-04-16 11:21:11.753"</f>
        <v>2026-04-16 11:21:11.753</v>
      </c>
      <c r="H354" s="3" t="s">
        <v>22</v>
      </c>
      <c r="I354" s="3">
        <v>13.22</v>
      </c>
      <c r="J354" s="3" t="s">
        <v>36</v>
      </c>
    </row>
    <row r="355" spans="1:10" x14ac:dyDescent="0.25">
      <c r="A355" s="1">
        <v>57</v>
      </c>
      <c r="B355" t="s">
        <v>24</v>
      </c>
      <c r="C355">
        <v>635</v>
      </c>
      <c r="D355">
        <v>1</v>
      </c>
      <c r="E355" t="s">
        <v>25</v>
      </c>
      <c r="F355" t="s">
        <v>26</v>
      </c>
      <c r="G355" t="str">
        <f>"2026-04-16 02:34:32.252"</f>
        <v>2026-04-16 02:34:32.252</v>
      </c>
      <c r="H355" t="s">
        <v>22</v>
      </c>
    </row>
    <row r="356" spans="1:10" x14ac:dyDescent="0.25">
      <c r="A356" s="1">
        <v>58</v>
      </c>
      <c r="B356" t="s">
        <v>27</v>
      </c>
      <c r="C356">
        <v>635</v>
      </c>
      <c r="D356">
        <v>1</v>
      </c>
      <c r="E356" t="s">
        <v>25</v>
      </c>
      <c r="F356" t="s">
        <v>26</v>
      </c>
      <c r="G356" t="str">
        <f>"2026-04-16 02:28:15.252"</f>
        <v>2026-04-16 02:28:15.252</v>
      </c>
      <c r="H356" t="s">
        <v>22</v>
      </c>
      <c r="I356">
        <v>7.13</v>
      </c>
      <c r="J356" t="s">
        <v>28</v>
      </c>
    </row>
    <row r="357" spans="1:10" x14ac:dyDescent="0.25">
      <c r="A357" s="1">
        <v>59</v>
      </c>
      <c r="B357" t="s">
        <v>19</v>
      </c>
      <c r="C357">
        <v>700</v>
      </c>
      <c r="D357">
        <v>0</v>
      </c>
      <c r="E357" t="s">
        <v>33</v>
      </c>
      <c r="F357" t="s">
        <v>33</v>
      </c>
      <c r="G357" t="str">
        <f>"2026-04-15 16:36:15.732"</f>
        <v>2026-04-15 16:36:15.732</v>
      </c>
      <c r="H357" t="s">
        <v>22</v>
      </c>
    </row>
    <row r="358" spans="1:10" x14ac:dyDescent="0.25">
      <c r="A358" s="1">
        <v>60</v>
      </c>
      <c r="B358" t="s">
        <v>24</v>
      </c>
      <c r="C358">
        <v>635</v>
      </c>
      <c r="D358">
        <v>1</v>
      </c>
      <c r="E358" t="s">
        <v>25</v>
      </c>
      <c r="F358" t="s">
        <v>26</v>
      </c>
      <c r="G358" t="str">
        <f>"2026-04-14 15:34:34.804"</f>
        <v>2026-04-14 15:34:34.804</v>
      </c>
      <c r="H358" t="s">
        <v>22</v>
      </c>
    </row>
    <row r="359" spans="1:10" x14ac:dyDescent="0.25">
      <c r="A359" s="1">
        <v>61</v>
      </c>
      <c r="B359" t="s">
        <v>27</v>
      </c>
      <c r="C359">
        <v>635</v>
      </c>
      <c r="D359">
        <v>1</v>
      </c>
      <c r="E359" t="s">
        <v>25</v>
      </c>
      <c r="F359" t="s">
        <v>26</v>
      </c>
      <c r="G359" t="str">
        <f>"2026-04-14 15:27:51.805"</f>
        <v>2026-04-14 15:27:51.805</v>
      </c>
      <c r="H359" t="s">
        <v>22</v>
      </c>
      <c r="I359">
        <v>2.83</v>
      </c>
      <c r="J359" t="s">
        <v>28</v>
      </c>
    </row>
    <row r="360" spans="1:10" x14ac:dyDescent="0.25">
      <c r="A360" s="1">
        <v>62</v>
      </c>
      <c r="B360" t="s">
        <v>19</v>
      </c>
      <c r="C360">
        <v>706</v>
      </c>
      <c r="D360">
        <v>2</v>
      </c>
      <c r="E360" t="s">
        <v>20</v>
      </c>
      <c r="F360" t="s">
        <v>21</v>
      </c>
      <c r="G360" t="str">
        <f>"2026-04-13 21:32:59.495"</f>
        <v>2026-04-13 21:32:59.495</v>
      </c>
      <c r="H360" t="s">
        <v>22</v>
      </c>
      <c r="I360">
        <v>0</v>
      </c>
      <c r="J360" t="s">
        <v>23</v>
      </c>
    </row>
    <row r="361" spans="1:10" x14ac:dyDescent="0.25">
      <c r="A361" s="1">
        <v>63</v>
      </c>
      <c r="B361" t="s">
        <v>19</v>
      </c>
      <c r="C361">
        <v>706</v>
      </c>
      <c r="D361">
        <v>4</v>
      </c>
      <c r="E361" t="s">
        <v>20</v>
      </c>
      <c r="F361" t="s">
        <v>40</v>
      </c>
      <c r="G361" t="str">
        <f>"2026-04-13 21:32:44.225"</f>
        <v>2026-04-13 21:32:44.225</v>
      </c>
      <c r="H361" t="s">
        <v>22</v>
      </c>
      <c r="I361">
        <v>0</v>
      </c>
      <c r="J361" t="s">
        <v>23</v>
      </c>
    </row>
    <row r="362" spans="1:10" x14ac:dyDescent="0.25">
      <c r="A362" s="1">
        <v>64</v>
      </c>
      <c r="B362" t="s">
        <v>19</v>
      </c>
      <c r="C362">
        <v>700</v>
      </c>
      <c r="D362">
        <v>0</v>
      </c>
      <c r="E362" t="s">
        <v>33</v>
      </c>
      <c r="F362" t="s">
        <v>33</v>
      </c>
      <c r="G362" t="str">
        <f>"2026-04-13 21:28:58.975"</f>
        <v>2026-04-13 21:28:58.975</v>
      </c>
      <c r="H362" t="s">
        <v>22</v>
      </c>
    </row>
    <row r="363" spans="1:10" x14ac:dyDescent="0.25">
      <c r="A363" s="1">
        <v>65</v>
      </c>
      <c r="B363" t="s">
        <v>24</v>
      </c>
      <c r="C363">
        <v>630</v>
      </c>
      <c r="D363">
        <v>5</v>
      </c>
      <c r="E363" t="s">
        <v>29</v>
      </c>
      <c r="F363" t="s">
        <v>30</v>
      </c>
      <c r="G363" t="str">
        <f>"2026-04-13 21:16:40.040"</f>
        <v>2026-04-13 21:16:40.040</v>
      </c>
      <c r="H363" t="s">
        <v>31</v>
      </c>
    </row>
    <row r="364" spans="1:10" x14ac:dyDescent="0.25">
      <c r="A364" s="1">
        <v>66</v>
      </c>
      <c r="B364" t="s">
        <v>19</v>
      </c>
      <c r="C364">
        <v>706</v>
      </c>
      <c r="D364">
        <v>4</v>
      </c>
      <c r="E364" t="s">
        <v>20</v>
      </c>
      <c r="F364" t="s">
        <v>40</v>
      </c>
      <c r="G364" t="str">
        <f>"2026-04-13 21:16:09.972"</f>
        <v>2026-04-13 21:16:09.972</v>
      </c>
      <c r="H364" t="s">
        <v>22</v>
      </c>
      <c r="I364">
        <v>0</v>
      </c>
      <c r="J364" t="s">
        <v>23</v>
      </c>
    </row>
    <row r="365" spans="1:10" x14ac:dyDescent="0.25">
      <c r="A365" s="1">
        <v>67</v>
      </c>
      <c r="B365" t="s">
        <v>32</v>
      </c>
      <c r="C365">
        <v>630</v>
      </c>
      <c r="D365">
        <v>5</v>
      </c>
      <c r="E365" t="s">
        <v>29</v>
      </c>
      <c r="F365" t="s">
        <v>30</v>
      </c>
      <c r="G365" t="str">
        <f>"2026-04-13 21:13:00.140"</f>
        <v>2026-04-13 21:13:00.140</v>
      </c>
      <c r="H365" t="s">
        <v>31</v>
      </c>
      <c r="I365">
        <v>0</v>
      </c>
      <c r="J365" t="s">
        <v>23</v>
      </c>
    </row>
    <row r="366" spans="1:10" x14ac:dyDescent="0.25">
      <c r="A366" s="1">
        <v>68</v>
      </c>
      <c r="B366" t="s">
        <v>24</v>
      </c>
      <c r="C366">
        <v>630</v>
      </c>
      <c r="D366">
        <v>5</v>
      </c>
      <c r="E366" t="s">
        <v>29</v>
      </c>
      <c r="F366" t="s">
        <v>30</v>
      </c>
      <c r="G366" t="str">
        <f>"2026-04-13 21:05:06.440"</f>
        <v>2026-04-13 21:05:06.440</v>
      </c>
      <c r="H366" t="s">
        <v>31</v>
      </c>
    </row>
    <row r="367" spans="1:10" x14ac:dyDescent="0.25">
      <c r="A367" s="1">
        <v>69</v>
      </c>
      <c r="B367" t="s">
        <v>19</v>
      </c>
      <c r="C367">
        <v>706</v>
      </c>
      <c r="D367">
        <v>4</v>
      </c>
      <c r="E367" t="s">
        <v>20</v>
      </c>
      <c r="F367" t="s">
        <v>40</v>
      </c>
      <c r="G367" t="str">
        <f>"2026-04-13 21:04:36.412"</f>
        <v>2026-04-13 21:04:36.412</v>
      </c>
      <c r="H367" t="s">
        <v>22</v>
      </c>
      <c r="I367">
        <v>0</v>
      </c>
      <c r="J367" t="s">
        <v>23</v>
      </c>
    </row>
    <row r="368" spans="1:10" x14ac:dyDescent="0.25">
      <c r="A368" s="1">
        <v>70</v>
      </c>
      <c r="B368" t="s">
        <v>19</v>
      </c>
      <c r="C368">
        <v>706</v>
      </c>
      <c r="D368">
        <v>4</v>
      </c>
      <c r="E368" t="s">
        <v>20</v>
      </c>
      <c r="F368" t="s">
        <v>40</v>
      </c>
      <c r="G368" t="str">
        <f>"2026-04-13 21:04:09.412"</f>
        <v>2026-04-13 21:04:09.412</v>
      </c>
      <c r="H368" t="s">
        <v>22</v>
      </c>
      <c r="I368">
        <v>0</v>
      </c>
      <c r="J368" t="s">
        <v>23</v>
      </c>
    </row>
    <row r="369" spans="1:10" x14ac:dyDescent="0.25">
      <c r="A369" s="1">
        <v>71</v>
      </c>
      <c r="B369" t="s">
        <v>32</v>
      </c>
      <c r="C369">
        <v>630</v>
      </c>
      <c r="D369">
        <v>5</v>
      </c>
      <c r="E369" t="s">
        <v>29</v>
      </c>
      <c r="F369" t="s">
        <v>30</v>
      </c>
      <c r="G369" t="str">
        <f>"2026-04-13 20:57:34.741"</f>
        <v>2026-04-13 20:57:34.741</v>
      </c>
      <c r="H369" t="s">
        <v>31</v>
      </c>
      <c r="I369">
        <v>0</v>
      </c>
      <c r="J369" t="s">
        <v>23</v>
      </c>
    </row>
    <row r="370" spans="1:10" x14ac:dyDescent="0.25">
      <c r="A370" s="1">
        <v>72</v>
      </c>
      <c r="B370" t="s">
        <v>19</v>
      </c>
      <c r="C370">
        <v>700</v>
      </c>
      <c r="D370">
        <v>0</v>
      </c>
      <c r="E370" t="s">
        <v>33</v>
      </c>
      <c r="F370" t="s">
        <v>33</v>
      </c>
      <c r="G370" t="str">
        <f>"2026-04-13 20:52:31.972"</f>
        <v>2026-04-13 20:52:31.972</v>
      </c>
      <c r="H370" t="s">
        <v>22</v>
      </c>
    </row>
    <row r="371" spans="1:10" x14ac:dyDescent="0.25">
      <c r="A371" s="1">
        <v>73</v>
      </c>
      <c r="B371" t="s">
        <v>24</v>
      </c>
      <c r="C371">
        <v>630</v>
      </c>
      <c r="D371">
        <v>5</v>
      </c>
      <c r="E371" t="s">
        <v>29</v>
      </c>
      <c r="F371" t="s">
        <v>30</v>
      </c>
      <c r="G371" t="str">
        <f>"2026-04-12 16:35:49.818"</f>
        <v>2026-04-12 16:35:49.818</v>
      </c>
      <c r="H371" t="s">
        <v>31</v>
      </c>
    </row>
    <row r="372" spans="1:10" x14ac:dyDescent="0.25">
      <c r="A372" s="1">
        <v>74</v>
      </c>
      <c r="B372" t="s">
        <v>19</v>
      </c>
      <c r="C372">
        <v>706</v>
      </c>
      <c r="D372">
        <v>2</v>
      </c>
      <c r="E372" t="s">
        <v>20</v>
      </c>
      <c r="F372" t="s">
        <v>21</v>
      </c>
      <c r="G372" t="str">
        <f>"2026-04-12 16:35:19.702"</f>
        <v>2026-04-12 16:35:19.702</v>
      </c>
      <c r="H372" t="s">
        <v>22</v>
      </c>
      <c r="I372">
        <v>0</v>
      </c>
      <c r="J372" t="s">
        <v>23</v>
      </c>
    </row>
    <row r="373" spans="1:10" x14ac:dyDescent="0.25">
      <c r="A373" s="1">
        <v>75</v>
      </c>
      <c r="B373" t="s">
        <v>32</v>
      </c>
      <c r="C373">
        <v>630</v>
      </c>
      <c r="D373">
        <v>5</v>
      </c>
      <c r="E373" t="s">
        <v>29</v>
      </c>
      <c r="F373" t="s">
        <v>30</v>
      </c>
      <c r="G373" t="str">
        <f>"2026-04-12 16:10:37.319"</f>
        <v>2026-04-12 16:10:37.319</v>
      </c>
      <c r="H373" t="s">
        <v>31</v>
      </c>
      <c r="I373">
        <v>0</v>
      </c>
      <c r="J373" t="s">
        <v>23</v>
      </c>
    </row>
    <row r="374" spans="1:10" x14ac:dyDescent="0.25">
      <c r="A374" s="1">
        <v>76</v>
      </c>
      <c r="B374" t="s">
        <v>19</v>
      </c>
      <c r="C374">
        <v>700</v>
      </c>
      <c r="D374">
        <v>0</v>
      </c>
      <c r="E374" t="s">
        <v>33</v>
      </c>
      <c r="F374" t="s">
        <v>33</v>
      </c>
      <c r="G374" t="str">
        <f>"2026-04-11 21:41:43.722"</f>
        <v>2026-04-11 21:41:43.722</v>
      </c>
      <c r="H374" t="s">
        <v>22</v>
      </c>
    </row>
    <row r="375" spans="1:10" x14ac:dyDescent="0.25">
      <c r="A375" s="1">
        <v>77</v>
      </c>
      <c r="B375" t="s">
        <v>24</v>
      </c>
      <c r="C375">
        <v>635</v>
      </c>
      <c r="D375">
        <v>1</v>
      </c>
      <c r="E375" t="s">
        <v>25</v>
      </c>
      <c r="F375" t="s">
        <v>26</v>
      </c>
      <c r="G375" t="str">
        <f>"2026-04-11 11:58:46.549"</f>
        <v>2026-04-11 11:58:46.549</v>
      </c>
      <c r="H375" t="s">
        <v>22</v>
      </c>
    </row>
    <row r="376" spans="1:10" x14ac:dyDescent="0.25">
      <c r="A376" s="1">
        <v>78</v>
      </c>
      <c r="B376" t="s">
        <v>27</v>
      </c>
      <c r="C376">
        <v>635</v>
      </c>
      <c r="D376">
        <v>1</v>
      </c>
      <c r="E376" t="s">
        <v>25</v>
      </c>
      <c r="F376" t="s">
        <v>26</v>
      </c>
      <c r="G376" t="str">
        <f>"2026-04-11 11:52:01.049"</f>
        <v>2026-04-11 11:52:01.049</v>
      </c>
      <c r="H376" t="s">
        <v>22</v>
      </c>
      <c r="I376">
        <v>6.47</v>
      </c>
      <c r="J376" t="s">
        <v>28</v>
      </c>
    </row>
    <row r="377" spans="1:10" x14ac:dyDescent="0.25">
      <c r="A377" s="1">
        <v>79</v>
      </c>
      <c r="B377" t="s">
        <v>24</v>
      </c>
      <c r="C377">
        <v>630</v>
      </c>
      <c r="D377">
        <v>5</v>
      </c>
      <c r="E377" t="s">
        <v>29</v>
      </c>
      <c r="F377" t="s">
        <v>30</v>
      </c>
      <c r="G377" t="str">
        <f>"2026-04-10 13:57:27.249"</f>
        <v>2026-04-10 13:57:27.249</v>
      </c>
      <c r="H377" t="s">
        <v>31</v>
      </c>
    </row>
    <row r="378" spans="1:10" x14ac:dyDescent="0.25">
      <c r="A378" s="1">
        <v>80</v>
      </c>
      <c r="B378" t="s">
        <v>19</v>
      </c>
      <c r="C378">
        <v>706</v>
      </c>
      <c r="D378">
        <v>4</v>
      </c>
      <c r="E378" t="s">
        <v>20</v>
      </c>
      <c r="F378" t="s">
        <v>40</v>
      </c>
      <c r="G378" t="str">
        <f>"2026-04-10 13:56:57.127"</f>
        <v>2026-04-10 13:56:57.127</v>
      </c>
      <c r="H378" t="s">
        <v>22</v>
      </c>
      <c r="I378">
        <v>0</v>
      </c>
      <c r="J378" t="s">
        <v>23</v>
      </c>
    </row>
    <row r="379" spans="1:10" x14ac:dyDescent="0.25">
      <c r="A379" s="1">
        <v>81</v>
      </c>
      <c r="B379" t="s">
        <v>32</v>
      </c>
      <c r="C379">
        <v>630</v>
      </c>
      <c r="D379">
        <v>5</v>
      </c>
      <c r="E379" t="s">
        <v>29</v>
      </c>
      <c r="F379" t="s">
        <v>30</v>
      </c>
      <c r="G379" t="str">
        <f>"2026-04-10 13:21:23.549"</f>
        <v>2026-04-10 13:21:23.549</v>
      </c>
      <c r="H379" t="s">
        <v>31</v>
      </c>
      <c r="I379">
        <v>0</v>
      </c>
      <c r="J379" t="s">
        <v>23</v>
      </c>
    </row>
    <row r="380" spans="1:10" x14ac:dyDescent="0.25">
      <c r="A380" s="1">
        <v>82</v>
      </c>
      <c r="B380" t="s">
        <v>24</v>
      </c>
      <c r="C380">
        <v>635</v>
      </c>
      <c r="D380">
        <v>1</v>
      </c>
      <c r="E380" t="s">
        <v>25</v>
      </c>
      <c r="F380" t="s">
        <v>26</v>
      </c>
      <c r="G380" t="str">
        <f>"2026-04-10 10:26:27.549"</f>
        <v>2026-04-10 10:26:27.549</v>
      </c>
      <c r="H380" t="s">
        <v>22</v>
      </c>
    </row>
    <row r="381" spans="1:10" x14ac:dyDescent="0.25">
      <c r="A381" s="1">
        <v>83</v>
      </c>
      <c r="B381" t="s">
        <v>27</v>
      </c>
      <c r="C381">
        <v>635</v>
      </c>
      <c r="D381">
        <v>1</v>
      </c>
      <c r="E381" t="s">
        <v>25</v>
      </c>
      <c r="F381" t="s">
        <v>26</v>
      </c>
      <c r="G381" t="str">
        <f>"2026-04-10 10:21:56.549"</f>
        <v>2026-04-10 10:21:56.549</v>
      </c>
      <c r="H381" t="s">
        <v>22</v>
      </c>
      <c r="I381">
        <v>6.5</v>
      </c>
      <c r="J381" t="s">
        <v>28</v>
      </c>
    </row>
    <row r="382" spans="1:10" x14ac:dyDescent="0.25">
      <c r="A382" s="1">
        <v>84</v>
      </c>
      <c r="B382" t="s">
        <v>24</v>
      </c>
      <c r="C382">
        <v>630</v>
      </c>
      <c r="D382">
        <v>5</v>
      </c>
      <c r="E382" t="s">
        <v>29</v>
      </c>
      <c r="F382" t="s">
        <v>30</v>
      </c>
      <c r="G382" t="str">
        <f>"2026-04-09 16:29:16.849"</f>
        <v>2026-04-09 16:29:16.849</v>
      </c>
      <c r="H382" t="s">
        <v>31</v>
      </c>
    </row>
    <row r="383" spans="1:10" x14ac:dyDescent="0.25">
      <c r="A383" s="1">
        <v>85</v>
      </c>
      <c r="B383" t="s">
        <v>19</v>
      </c>
      <c r="C383">
        <v>706</v>
      </c>
      <c r="D383">
        <v>4</v>
      </c>
      <c r="E383" t="s">
        <v>20</v>
      </c>
      <c r="F383" t="s">
        <v>40</v>
      </c>
      <c r="G383" t="str">
        <f>"2026-04-09 16:28:46.807"</f>
        <v>2026-04-09 16:28:46.807</v>
      </c>
      <c r="H383" t="s">
        <v>22</v>
      </c>
      <c r="I383">
        <v>0</v>
      </c>
      <c r="J383" t="s">
        <v>23</v>
      </c>
    </row>
    <row r="384" spans="1:10" x14ac:dyDescent="0.25">
      <c r="A384" s="1">
        <v>86</v>
      </c>
      <c r="B384" t="s">
        <v>32</v>
      </c>
      <c r="C384">
        <v>630</v>
      </c>
      <c r="D384">
        <v>5</v>
      </c>
      <c r="E384" t="s">
        <v>29</v>
      </c>
      <c r="F384" t="s">
        <v>30</v>
      </c>
      <c r="G384" t="str">
        <f>"2026-04-09 16:24:48.049"</f>
        <v>2026-04-09 16:24:48.049</v>
      </c>
      <c r="H384" t="s">
        <v>31</v>
      </c>
      <c r="I384">
        <v>0</v>
      </c>
      <c r="J384" t="s">
        <v>23</v>
      </c>
    </row>
    <row r="385" spans="1:10" x14ac:dyDescent="0.25">
      <c r="A385" s="1">
        <v>87</v>
      </c>
      <c r="B385" t="s">
        <v>24</v>
      </c>
      <c r="C385">
        <v>630</v>
      </c>
      <c r="D385">
        <v>5</v>
      </c>
      <c r="E385" t="s">
        <v>29</v>
      </c>
      <c r="F385" t="s">
        <v>30</v>
      </c>
      <c r="G385" t="str">
        <f>"2026-04-07 14:00:49.049"</f>
        <v>2026-04-07 14:00:49.049</v>
      </c>
      <c r="H385" t="s">
        <v>31</v>
      </c>
    </row>
    <row r="386" spans="1:10" x14ac:dyDescent="0.25">
      <c r="A386" s="1">
        <v>88</v>
      </c>
      <c r="B386" t="s">
        <v>19</v>
      </c>
      <c r="C386">
        <v>706</v>
      </c>
      <c r="D386">
        <v>2</v>
      </c>
      <c r="E386" t="s">
        <v>20</v>
      </c>
      <c r="F386" t="s">
        <v>21</v>
      </c>
      <c r="G386" t="str">
        <f>"2026-04-07 14:00:18.917"</f>
        <v>2026-04-07 14:00:18.917</v>
      </c>
      <c r="H386" t="s">
        <v>22</v>
      </c>
      <c r="I386">
        <v>0</v>
      </c>
      <c r="J386" t="s">
        <v>23</v>
      </c>
    </row>
    <row r="387" spans="1:10" x14ac:dyDescent="0.25">
      <c r="A387" s="1">
        <v>89</v>
      </c>
      <c r="B387" t="s">
        <v>32</v>
      </c>
      <c r="C387">
        <v>630</v>
      </c>
      <c r="D387">
        <v>5</v>
      </c>
      <c r="E387" t="s">
        <v>29</v>
      </c>
      <c r="F387" t="s">
        <v>30</v>
      </c>
      <c r="G387" t="str">
        <f>"2026-04-07 13:56:00.550"</f>
        <v>2026-04-07 13:56:00.550</v>
      </c>
      <c r="H387" t="s">
        <v>31</v>
      </c>
      <c r="I387">
        <v>0</v>
      </c>
      <c r="J387" t="s">
        <v>23</v>
      </c>
    </row>
    <row r="388" spans="1:10" x14ac:dyDescent="0.25">
      <c r="A388" s="1">
        <v>90</v>
      </c>
      <c r="B388" t="s">
        <v>19</v>
      </c>
      <c r="C388">
        <v>700</v>
      </c>
      <c r="D388">
        <v>0</v>
      </c>
      <c r="E388" t="s">
        <v>33</v>
      </c>
      <c r="F388" t="s">
        <v>33</v>
      </c>
      <c r="G388" t="str">
        <f>"2026-04-07 13:50:57.737"</f>
        <v>2026-04-07 13:50:57.737</v>
      </c>
      <c r="H388" t="s">
        <v>22</v>
      </c>
      <c r="I388">
        <v>0</v>
      </c>
      <c r="J388" t="s">
        <v>41</v>
      </c>
    </row>
    <row r="389" spans="1:10" x14ac:dyDescent="0.25">
      <c r="A389" s="1">
        <v>91</v>
      </c>
      <c r="B389" t="s">
        <v>19</v>
      </c>
      <c r="C389">
        <v>700</v>
      </c>
      <c r="D389">
        <v>0</v>
      </c>
      <c r="E389" t="s">
        <v>33</v>
      </c>
      <c r="F389" t="s">
        <v>33</v>
      </c>
      <c r="G389" t="str">
        <f>"2026-04-07 13:25:43.772"</f>
        <v>2026-04-07 13:25:43.772</v>
      </c>
      <c r="H389" t="s">
        <v>22</v>
      </c>
    </row>
    <row r="390" spans="1:10" x14ac:dyDescent="0.25">
      <c r="A390" s="1">
        <v>92</v>
      </c>
      <c r="B390" t="s">
        <v>19</v>
      </c>
      <c r="C390">
        <v>706</v>
      </c>
      <c r="D390">
        <v>2</v>
      </c>
      <c r="E390" t="s">
        <v>20</v>
      </c>
      <c r="F390" t="s">
        <v>21</v>
      </c>
      <c r="G390" t="str">
        <f>"2026-04-05 14:56:05.287"</f>
        <v>2026-04-05 14:56:05.287</v>
      </c>
      <c r="H390" t="s">
        <v>22</v>
      </c>
      <c r="I390">
        <v>0</v>
      </c>
      <c r="J390" t="s">
        <v>23</v>
      </c>
    </row>
    <row r="391" spans="1:10" x14ac:dyDescent="0.25">
      <c r="A391" s="1">
        <v>93</v>
      </c>
      <c r="B391" t="s">
        <v>19</v>
      </c>
      <c r="C391">
        <v>706</v>
      </c>
      <c r="D391">
        <v>3</v>
      </c>
      <c r="E391" t="s">
        <v>20</v>
      </c>
      <c r="F391" t="s">
        <v>42</v>
      </c>
      <c r="G391" t="str">
        <f>"2026-04-05 14:55:56.127"</f>
        <v>2026-04-05 14:55:56.127</v>
      </c>
      <c r="H391" t="s">
        <v>22</v>
      </c>
      <c r="I391">
        <v>0</v>
      </c>
      <c r="J391" t="s">
        <v>23</v>
      </c>
    </row>
    <row r="392" spans="1:10" x14ac:dyDescent="0.25">
      <c r="A392" s="1">
        <v>94</v>
      </c>
      <c r="B392" t="s">
        <v>19</v>
      </c>
      <c r="C392">
        <v>700</v>
      </c>
      <c r="D392">
        <v>0</v>
      </c>
      <c r="E392" t="s">
        <v>33</v>
      </c>
      <c r="F392" t="s">
        <v>33</v>
      </c>
      <c r="G392" t="str">
        <f>"2026-04-04 16:35:45.747"</f>
        <v>2026-04-04 16:35:45.747</v>
      </c>
      <c r="H392" t="s">
        <v>22</v>
      </c>
    </row>
    <row r="393" spans="1:10" x14ac:dyDescent="0.25">
      <c r="A393" s="1">
        <v>95</v>
      </c>
      <c r="B393" t="s">
        <v>19</v>
      </c>
      <c r="C393">
        <v>706</v>
      </c>
      <c r="D393">
        <v>4</v>
      </c>
      <c r="E393" t="s">
        <v>20</v>
      </c>
      <c r="F393" t="s">
        <v>40</v>
      </c>
      <c r="G393" t="str">
        <f>"2026-04-03 16:18:48.400"</f>
        <v>2026-04-03 16:18:48.400</v>
      </c>
      <c r="H393" t="s">
        <v>22</v>
      </c>
      <c r="I393">
        <v>0</v>
      </c>
      <c r="J393" t="s">
        <v>23</v>
      </c>
    </row>
    <row r="394" spans="1:10" x14ac:dyDescent="0.25">
      <c r="A394" s="1">
        <v>96</v>
      </c>
      <c r="B394" t="s">
        <v>19</v>
      </c>
      <c r="C394">
        <v>700</v>
      </c>
      <c r="D394">
        <v>0</v>
      </c>
      <c r="E394" t="s">
        <v>33</v>
      </c>
      <c r="F394" t="s">
        <v>33</v>
      </c>
      <c r="G394" t="str">
        <f>"2026-04-03 16:16:54.760"</f>
        <v>2026-04-03 16:16:54.760</v>
      </c>
      <c r="H394" t="s">
        <v>22</v>
      </c>
      <c r="I394">
        <v>0</v>
      </c>
      <c r="J394" t="s">
        <v>41</v>
      </c>
    </row>
    <row r="395" spans="1:10" x14ac:dyDescent="0.25">
      <c r="A395" s="1">
        <v>97</v>
      </c>
      <c r="B395" t="s">
        <v>32</v>
      </c>
      <c r="C395">
        <v>630</v>
      </c>
      <c r="D395">
        <v>5</v>
      </c>
      <c r="E395" t="s">
        <v>29</v>
      </c>
      <c r="F395" t="s">
        <v>30</v>
      </c>
      <c r="G395" t="str">
        <f>"2026-04-03 14:12:38.749"</f>
        <v>2026-04-03 14:12:38.749</v>
      </c>
      <c r="H395" t="s">
        <v>31</v>
      </c>
      <c r="I395">
        <v>0</v>
      </c>
      <c r="J395" t="s">
        <v>23</v>
      </c>
    </row>
    <row r="396" spans="1:10" x14ac:dyDescent="0.25">
      <c r="A396" s="1">
        <v>98</v>
      </c>
      <c r="B396" t="s">
        <v>19</v>
      </c>
      <c r="C396">
        <v>700</v>
      </c>
      <c r="D396">
        <v>0</v>
      </c>
      <c r="E396" t="s">
        <v>33</v>
      </c>
      <c r="F396" t="s">
        <v>33</v>
      </c>
      <c r="G396" t="str">
        <f>"2026-04-03 14:07:35.970"</f>
        <v>2026-04-03 14:07:35.970</v>
      </c>
      <c r="H396" t="s">
        <v>22</v>
      </c>
    </row>
    <row r="397" spans="1:10" x14ac:dyDescent="0.25">
      <c r="A397" s="1">
        <v>99</v>
      </c>
      <c r="B397" t="s">
        <v>19</v>
      </c>
      <c r="C397">
        <v>700</v>
      </c>
      <c r="D397">
        <v>0</v>
      </c>
      <c r="E397" t="s">
        <v>33</v>
      </c>
      <c r="F397" t="s">
        <v>33</v>
      </c>
      <c r="G397" t="str">
        <f>"2026-04-03 11:57:42.973"</f>
        <v>2026-04-03 11:57:42.973</v>
      </c>
      <c r="H397" t="s">
        <v>22</v>
      </c>
    </row>
    <row r="398" spans="1:10" x14ac:dyDescent="0.25">
      <c r="A398" s="1">
        <v>0</v>
      </c>
      <c r="B398" t="s">
        <v>24</v>
      </c>
      <c r="C398">
        <v>635</v>
      </c>
      <c r="D398">
        <v>1</v>
      </c>
      <c r="E398" t="s">
        <v>25</v>
      </c>
      <c r="F398" t="s">
        <v>26</v>
      </c>
      <c r="G398" t="str">
        <f>"2026-04-03 10:27:06.002"</f>
        <v>2026-04-03 10:27:06.002</v>
      </c>
      <c r="H398" t="s">
        <v>22</v>
      </c>
    </row>
    <row r="399" spans="1:10" x14ac:dyDescent="0.25">
      <c r="A399" s="1">
        <v>1</v>
      </c>
      <c r="B399" t="s">
        <v>27</v>
      </c>
      <c r="C399">
        <v>635</v>
      </c>
      <c r="D399">
        <v>1</v>
      </c>
      <c r="E399" t="s">
        <v>25</v>
      </c>
      <c r="F399" t="s">
        <v>26</v>
      </c>
      <c r="G399" t="str">
        <f>"2026-04-03 10:24:37.502"</f>
        <v>2026-04-03 10:24:37.502</v>
      </c>
      <c r="H399" t="s">
        <v>22</v>
      </c>
      <c r="I399">
        <v>7.75</v>
      </c>
      <c r="J399" t="s">
        <v>28</v>
      </c>
    </row>
    <row r="400" spans="1:10" x14ac:dyDescent="0.25">
      <c r="A400" s="1">
        <v>3</v>
      </c>
      <c r="B400" t="s">
        <v>24</v>
      </c>
      <c r="C400">
        <v>630</v>
      </c>
      <c r="D400">
        <v>5</v>
      </c>
      <c r="E400" t="s">
        <v>29</v>
      </c>
      <c r="F400" t="s">
        <v>30</v>
      </c>
      <c r="G400" t="str">
        <f>"2026-04-02 13:46:37.002"</f>
        <v>2026-04-02 13:46:37.002</v>
      </c>
      <c r="H400" t="s">
        <v>31</v>
      </c>
    </row>
    <row r="401" spans="1:10" x14ac:dyDescent="0.25">
      <c r="A401" s="1">
        <v>4</v>
      </c>
      <c r="B401" t="s">
        <v>19</v>
      </c>
      <c r="C401">
        <v>706</v>
      </c>
      <c r="D401">
        <v>4</v>
      </c>
      <c r="E401" t="s">
        <v>20</v>
      </c>
      <c r="F401" t="s">
        <v>40</v>
      </c>
      <c r="G401" t="str">
        <f>"2026-04-02 13:46:06.934"</f>
        <v>2026-04-02 13:46:06.934</v>
      </c>
      <c r="H401" t="s">
        <v>22</v>
      </c>
      <c r="I401">
        <v>0</v>
      </c>
      <c r="J401" t="s">
        <v>23</v>
      </c>
    </row>
    <row r="402" spans="1:10" x14ac:dyDescent="0.25">
      <c r="A402" s="1">
        <v>5</v>
      </c>
      <c r="B402" t="s">
        <v>32</v>
      </c>
      <c r="C402">
        <v>630</v>
      </c>
      <c r="D402">
        <v>5</v>
      </c>
      <c r="E402" t="s">
        <v>29</v>
      </c>
      <c r="F402" t="s">
        <v>30</v>
      </c>
      <c r="G402" t="str">
        <f>"2026-04-02 13:12:56.703"</f>
        <v>2026-04-02 13:12:56.703</v>
      </c>
      <c r="H402" t="s">
        <v>31</v>
      </c>
      <c r="I402">
        <v>0</v>
      </c>
      <c r="J402" t="s">
        <v>23</v>
      </c>
    </row>
    <row r="403" spans="1:10" x14ac:dyDescent="0.25">
      <c r="A403" s="1">
        <v>6</v>
      </c>
      <c r="B403" t="s">
        <v>19</v>
      </c>
      <c r="C403">
        <v>700</v>
      </c>
      <c r="D403">
        <v>0</v>
      </c>
      <c r="E403" t="s">
        <v>33</v>
      </c>
      <c r="F403" t="s">
        <v>33</v>
      </c>
      <c r="G403" t="str">
        <f>"2026-04-02 09:24:30.764"</f>
        <v>2026-04-02 09:24:30.764</v>
      </c>
      <c r="H403" t="s">
        <v>22</v>
      </c>
    </row>
    <row r="404" spans="1:10" x14ac:dyDescent="0.25">
      <c r="A404" s="1">
        <v>7</v>
      </c>
      <c r="B404" t="s">
        <v>19</v>
      </c>
      <c r="C404">
        <v>700</v>
      </c>
      <c r="D404">
        <v>0</v>
      </c>
      <c r="E404" t="s">
        <v>33</v>
      </c>
      <c r="F404" t="s">
        <v>33</v>
      </c>
      <c r="G404" t="str">
        <f>"2026-04-02 05:21:52.872"</f>
        <v>2026-04-02 05:21:52.872</v>
      </c>
      <c r="H404" t="s">
        <v>22</v>
      </c>
    </row>
    <row r="405" spans="1:10" x14ac:dyDescent="0.25">
      <c r="A405" s="1">
        <v>8</v>
      </c>
      <c r="B405" t="s">
        <v>19</v>
      </c>
      <c r="C405">
        <v>700</v>
      </c>
      <c r="D405">
        <v>0</v>
      </c>
      <c r="E405" t="s">
        <v>33</v>
      </c>
      <c r="F405" t="s">
        <v>33</v>
      </c>
      <c r="G405" t="str">
        <f>"2026-04-01 22:10:51.781"</f>
        <v>2026-04-01 22:10:51.781</v>
      </c>
      <c r="H405" t="s">
        <v>22</v>
      </c>
    </row>
    <row r="406" spans="1:10" x14ac:dyDescent="0.25">
      <c r="A406" s="1">
        <v>9</v>
      </c>
      <c r="B406" t="s">
        <v>24</v>
      </c>
      <c r="C406">
        <v>630</v>
      </c>
      <c r="D406">
        <v>5</v>
      </c>
      <c r="E406" t="s">
        <v>29</v>
      </c>
      <c r="F406" t="s">
        <v>30</v>
      </c>
      <c r="G406" t="str">
        <f>"2026-04-01 08:54:26.491"</f>
        <v>2026-04-01 08:54:26.491</v>
      </c>
      <c r="H406" t="s">
        <v>31</v>
      </c>
    </row>
    <row r="407" spans="1:10" x14ac:dyDescent="0.25">
      <c r="A407" s="1">
        <v>10</v>
      </c>
      <c r="B407" t="s">
        <v>19</v>
      </c>
      <c r="C407">
        <v>706</v>
      </c>
      <c r="D407">
        <v>4</v>
      </c>
      <c r="E407" t="s">
        <v>20</v>
      </c>
      <c r="F407" t="s">
        <v>40</v>
      </c>
      <c r="G407" t="str">
        <f>"2026-04-01 08:53:56.534"</f>
        <v>2026-04-01 08:53:56.534</v>
      </c>
      <c r="H407" t="s">
        <v>22</v>
      </c>
      <c r="I407">
        <v>0</v>
      </c>
      <c r="J407" t="s">
        <v>23</v>
      </c>
    </row>
    <row r="408" spans="1:10" x14ac:dyDescent="0.25">
      <c r="A408" s="1">
        <v>11</v>
      </c>
      <c r="B408" t="s">
        <v>32</v>
      </c>
      <c r="C408">
        <v>630</v>
      </c>
      <c r="D408">
        <v>5</v>
      </c>
      <c r="E408" t="s">
        <v>29</v>
      </c>
      <c r="F408" t="s">
        <v>30</v>
      </c>
      <c r="G408" t="str">
        <f>"2026-04-01 08:43:30.992"</f>
        <v>2026-04-01 08:43:30.992</v>
      </c>
      <c r="H408" t="s">
        <v>31</v>
      </c>
      <c r="I408">
        <v>0</v>
      </c>
      <c r="J408" t="s">
        <v>23</v>
      </c>
    </row>
    <row r="409" spans="1:10" x14ac:dyDescent="0.25">
      <c r="A409" s="1">
        <v>12</v>
      </c>
      <c r="B409" t="s">
        <v>19</v>
      </c>
      <c r="C409">
        <v>700</v>
      </c>
      <c r="D409">
        <v>0</v>
      </c>
      <c r="E409" t="s">
        <v>33</v>
      </c>
      <c r="F409" t="s">
        <v>33</v>
      </c>
      <c r="G409" t="str">
        <f>"2026-04-01 06:11:55.764"</f>
        <v>2026-04-01 06:11:55.764</v>
      </c>
      <c r="H409" t="s">
        <v>22</v>
      </c>
      <c r="I409">
        <v>0</v>
      </c>
      <c r="J409" t="s">
        <v>41</v>
      </c>
    </row>
    <row r="410" spans="1:10" x14ac:dyDescent="0.25">
      <c r="A410" s="1">
        <v>13</v>
      </c>
      <c r="B410" t="s">
        <v>24</v>
      </c>
      <c r="C410">
        <v>635</v>
      </c>
      <c r="D410">
        <v>1</v>
      </c>
      <c r="E410" t="s">
        <v>25</v>
      </c>
      <c r="F410" t="s">
        <v>26</v>
      </c>
      <c r="G410" t="str">
        <f>"2026-03-31 21:22:06.965"</f>
        <v>2026-03-31 21:22:06.965</v>
      </c>
      <c r="H410" t="s">
        <v>22</v>
      </c>
    </row>
    <row r="411" spans="1:10" x14ac:dyDescent="0.25">
      <c r="A411" s="1">
        <v>14</v>
      </c>
      <c r="B411" t="s">
        <v>27</v>
      </c>
      <c r="C411">
        <v>635</v>
      </c>
      <c r="D411">
        <v>1</v>
      </c>
      <c r="E411" t="s">
        <v>25</v>
      </c>
      <c r="F411" t="s">
        <v>26</v>
      </c>
      <c r="G411" t="str">
        <f>"2026-03-31 21:19:40.465"</f>
        <v>2026-03-31 21:19:40.465</v>
      </c>
      <c r="H411" t="s">
        <v>22</v>
      </c>
      <c r="I411">
        <v>-0.14000000000000001</v>
      </c>
      <c r="J411" t="s">
        <v>37</v>
      </c>
    </row>
    <row r="412" spans="1:10" s="3" customFormat="1" x14ac:dyDescent="0.25">
      <c r="A412" s="2">
        <v>16</v>
      </c>
      <c r="B412" s="3" t="s">
        <v>24</v>
      </c>
      <c r="C412" s="3">
        <v>647</v>
      </c>
      <c r="D412" s="3">
        <v>1</v>
      </c>
      <c r="E412" s="3" t="s">
        <v>34</v>
      </c>
      <c r="F412" s="3" t="s">
        <v>35</v>
      </c>
      <c r="G412" s="3" t="str">
        <f>"2026-03-30 18:33:49.919"</f>
        <v>2026-03-30 18:33:49.919</v>
      </c>
      <c r="H412" s="3" t="s">
        <v>22</v>
      </c>
    </row>
    <row r="413" spans="1:10" s="3" customFormat="1" x14ac:dyDescent="0.25">
      <c r="A413" s="2">
        <v>17</v>
      </c>
      <c r="B413" s="3" t="s">
        <v>27</v>
      </c>
      <c r="C413" s="3">
        <v>647</v>
      </c>
      <c r="D413" s="3">
        <v>1</v>
      </c>
      <c r="E413" s="3" t="s">
        <v>34</v>
      </c>
      <c r="F413" s="3" t="s">
        <v>35</v>
      </c>
      <c r="G413" s="3" t="str">
        <f>"2026-03-30 18:33:46.119"</f>
        <v>2026-03-30 18:33:46.119</v>
      </c>
      <c r="H413" s="3" t="s">
        <v>22</v>
      </c>
      <c r="I413" s="3">
        <v>10.130000000000001</v>
      </c>
      <c r="J413" s="3" t="s">
        <v>36</v>
      </c>
    </row>
    <row r="414" spans="1:10" x14ac:dyDescent="0.25">
      <c r="A414" s="1">
        <v>18</v>
      </c>
      <c r="B414" t="s">
        <v>24</v>
      </c>
      <c r="C414">
        <v>630</v>
      </c>
      <c r="D414">
        <v>5</v>
      </c>
      <c r="E414" t="s">
        <v>29</v>
      </c>
      <c r="F414" t="s">
        <v>30</v>
      </c>
      <c r="G414" t="str">
        <f>"2026-03-30 11:24:48.919"</f>
        <v>2026-03-30 11:24:48.919</v>
      </c>
      <c r="H414" t="s">
        <v>31</v>
      </c>
    </row>
    <row r="415" spans="1:10" x14ac:dyDescent="0.25">
      <c r="A415" s="1">
        <v>19</v>
      </c>
      <c r="B415" t="s">
        <v>19</v>
      </c>
      <c r="C415">
        <v>706</v>
      </c>
      <c r="D415">
        <v>2</v>
      </c>
      <c r="E415" t="s">
        <v>20</v>
      </c>
      <c r="F415" t="s">
        <v>21</v>
      </c>
      <c r="G415" t="str">
        <f>"2026-03-30 11:24:18.754"</f>
        <v>2026-03-30 11:24:18.754</v>
      </c>
      <c r="H415" t="s">
        <v>22</v>
      </c>
      <c r="I415">
        <v>0</v>
      </c>
      <c r="J415" t="s">
        <v>23</v>
      </c>
    </row>
    <row r="416" spans="1:10" x14ac:dyDescent="0.25">
      <c r="A416" s="1">
        <v>20</v>
      </c>
      <c r="B416" t="s">
        <v>32</v>
      </c>
      <c r="C416">
        <v>630</v>
      </c>
      <c r="D416">
        <v>5</v>
      </c>
      <c r="E416" t="s">
        <v>29</v>
      </c>
      <c r="F416" t="s">
        <v>30</v>
      </c>
      <c r="G416" t="str">
        <f>"2026-03-30 11:13:14.419"</f>
        <v>2026-03-30 11:13:14.419</v>
      </c>
      <c r="H416" t="s">
        <v>31</v>
      </c>
      <c r="I416">
        <v>0</v>
      </c>
      <c r="J416" t="s">
        <v>23</v>
      </c>
    </row>
    <row r="417" spans="1:10" x14ac:dyDescent="0.25">
      <c r="A417" s="1">
        <v>21</v>
      </c>
      <c r="B417" t="s">
        <v>24</v>
      </c>
      <c r="C417">
        <v>630</v>
      </c>
      <c r="D417">
        <v>5</v>
      </c>
      <c r="E417" t="s">
        <v>29</v>
      </c>
      <c r="F417" t="s">
        <v>30</v>
      </c>
      <c r="G417" t="str">
        <f>"2026-03-29 13:43:55.419"</f>
        <v>2026-03-29 13:43:55.419</v>
      </c>
      <c r="H417" t="s">
        <v>31</v>
      </c>
    </row>
    <row r="418" spans="1:10" x14ac:dyDescent="0.25">
      <c r="A418" s="1">
        <v>22</v>
      </c>
      <c r="B418" t="s">
        <v>19</v>
      </c>
      <c r="C418">
        <v>706</v>
      </c>
      <c r="D418">
        <v>2</v>
      </c>
      <c r="E418" t="s">
        <v>20</v>
      </c>
      <c r="F418" t="s">
        <v>21</v>
      </c>
      <c r="G418" t="str">
        <f>"2026-03-29 13:43:25.354"</f>
        <v>2026-03-29 13:43:25.354</v>
      </c>
      <c r="H418" t="s">
        <v>22</v>
      </c>
      <c r="I418">
        <v>0</v>
      </c>
      <c r="J418" t="s">
        <v>23</v>
      </c>
    </row>
    <row r="419" spans="1:10" x14ac:dyDescent="0.25">
      <c r="A419" s="1">
        <v>23</v>
      </c>
      <c r="B419" t="s">
        <v>32</v>
      </c>
      <c r="C419">
        <v>630</v>
      </c>
      <c r="D419">
        <v>5</v>
      </c>
      <c r="E419" t="s">
        <v>29</v>
      </c>
      <c r="F419" t="s">
        <v>30</v>
      </c>
      <c r="G419" t="str">
        <f>"2026-03-29 12:44:12.319"</f>
        <v>2026-03-29 12:44:12.319</v>
      </c>
      <c r="H419" t="s">
        <v>31</v>
      </c>
      <c r="I419">
        <v>0</v>
      </c>
      <c r="J419" t="s">
        <v>23</v>
      </c>
    </row>
    <row r="420" spans="1:10" x14ac:dyDescent="0.25">
      <c r="A420" s="1">
        <v>24</v>
      </c>
      <c r="B420" t="s">
        <v>24</v>
      </c>
      <c r="C420">
        <v>635</v>
      </c>
      <c r="D420">
        <v>1</v>
      </c>
      <c r="E420" t="s">
        <v>25</v>
      </c>
      <c r="F420" t="s">
        <v>26</v>
      </c>
      <c r="G420" t="str">
        <f>"2026-03-29 09:50:55.465"</f>
        <v>2026-03-29 09:50:55.465</v>
      </c>
      <c r="H420" t="s">
        <v>22</v>
      </c>
    </row>
    <row r="421" spans="1:10" x14ac:dyDescent="0.25">
      <c r="A421" s="1">
        <v>25</v>
      </c>
      <c r="B421" t="s">
        <v>27</v>
      </c>
      <c r="C421">
        <v>635</v>
      </c>
      <c r="D421">
        <v>1</v>
      </c>
      <c r="E421" t="s">
        <v>25</v>
      </c>
      <c r="F421" t="s">
        <v>26</v>
      </c>
      <c r="G421" t="str">
        <f>"2026-03-29 09:48:13.465"</f>
        <v>2026-03-29 09:48:13.465</v>
      </c>
      <c r="H421" t="s">
        <v>22</v>
      </c>
      <c r="I421">
        <v>3.71</v>
      </c>
      <c r="J421" t="s">
        <v>28</v>
      </c>
    </row>
    <row r="422" spans="1:10" x14ac:dyDescent="0.25">
      <c r="A422" s="1">
        <v>26</v>
      </c>
      <c r="B422" t="s">
        <v>24</v>
      </c>
      <c r="C422">
        <v>98</v>
      </c>
      <c r="D422">
        <v>1</v>
      </c>
      <c r="E422" t="s">
        <v>38</v>
      </c>
      <c r="F422" t="s">
        <v>39</v>
      </c>
      <c r="G422" t="str">
        <f>"2026-03-29 02:45:57.318"</f>
        <v>2026-03-29 02:45:57.318</v>
      </c>
      <c r="H422" t="s">
        <v>22</v>
      </c>
    </row>
    <row r="423" spans="1:10" x14ac:dyDescent="0.25">
      <c r="A423" s="1">
        <v>27</v>
      </c>
      <c r="B423" t="s">
        <v>27</v>
      </c>
      <c r="C423">
        <v>98</v>
      </c>
      <c r="D423">
        <v>1</v>
      </c>
      <c r="E423" t="s">
        <v>38</v>
      </c>
      <c r="F423" t="s">
        <v>39</v>
      </c>
      <c r="G423" t="str">
        <f>"2026-03-29 02:45:56.319"</f>
        <v>2026-03-29 02:45:56.319</v>
      </c>
      <c r="H423" t="s">
        <v>22</v>
      </c>
      <c r="I423">
        <v>3.29</v>
      </c>
      <c r="J423" t="s">
        <v>28</v>
      </c>
    </row>
    <row r="424" spans="1:10" x14ac:dyDescent="0.25">
      <c r="A424" s="1">
        <v>28</v>
      </c>
      <c r="B424" t="s">
        <v>24</v>
      </c>
      <c r="C424">
        <v>630</v>
      </c>
      <c r="D424">
        <v>5</v>
      </c>
      <c r="E424" t="s">
        <v>29</v>
      </c>
      <c r="F424" t="s">
        <v>30</v>
      </c>
      <c r="G424" t="str">
        <f>"2026-03-28 12:37:04.819"</f>
        <v>2026-03-28 12:37:04.819</v>
      </c>
      <c r="H424" t="s">
        <v>31</v>
      </c>
    </row>
    <row r="425" spans="1:10" x14ac:dyDescent="0.25">
      <c r="A425" s="1">
        <v>29</v>
      </c>
      <c r="B425" t="s">
        <v>19</v>
      </c>
      <c r="C425">
        <v>706</v>
      </c>
      <c r="D425">
        <v>2</v>
      </c>
      <c r="E425" t="s">
        <v>20</v>
      </c>
      <c r="F425" t="s">
        <v>21</v>
      </c>
      <c r="G425" t="str">
        <f>"2026-03-28 12:36:34.654"</f>
        <v>2026-03-28 12:36:34.654</v>
      </c>
      <c r="H425" t="s">
        <v>22</v>
      </c>
      <c r="I425">
        <v>0</v>
      </c>
      <c r="J425" t="s">
        <v>23</v>
      </c>
    </row>
    <row r="426" spans="1:10" x14ac:dyDescent="0.25">
      <c r="A426" s="1">
        <v>30</v>
      </c>
      <c r="B426" t="s">
        <v>32</v>
      </c>
      <c r="C426">
        <v>630</v>
      </c>
      <c r="D426">
        <v>5</v>
      </c>
      <c r="E426" t="s">
        <v>29</v>
      </c>
      <c r="F426" t="s">
        <v>30</v>
      </c>
      <c r="G426" t="str">
        <f>"2026-03-28 12:14:48.619"</f>
        <v>2026-03-28 12:14:48.619</v>
      </c>
      <c r="H426" t="s">
        <v>31</v>
      </c>
      <c r="I426">
        <v>0</v>
      </c>
      <c r="J426" t="s">
        <v>23</v>
      </c>
    </row>
    <row r="427" spans="1:10" s="3" customFormat="1" x14ac:dyDescent="0.25">
      <c r="A427" s="2">
        <v>31</v>
      </c>
      <c r="B427" s="3" t="s">
        <v>24</v>
      </c>
      <c r="C427" s="3">
        <v>647</v>
      </c>
      <c r="D427" s="3">
        <v>1</v>
      </c>
      <c r="E427" s="3" t="s">
        <v>34</v>
      </c>
      <c r="F427" s="3" t="s">
        <v>35</v>
      </c>
      <c r="G427" s="3" t="str">
        <f>"2026-03-28 09:17:45.119"</f>
        <v>2026-03-28 09:17:45.119</v>
      </c>
      <c r="H427" s="3" t="s">
        <v>22</v>
      </c>
    </row>
    <row r="428" spans="1:10" s="3" customFormat="1" x14ac:dyDescent="0.25">
      <c r="A428" s="2">
        <v>32</v>
      </c>
      <c r="B428" s="3" t="s">
        <v>27</v>
      </c>
      <c r="C428" s="3">
        <v>647</v>
      </c>
      <c r="D428" s="3">
        <v>1</v>
      </c>
      <c r="E428" s="3" t="s">
        <v>34</v>
      </c>
      <c r="F428" s="3" t="s">
        <v>35</v>
      </c>
      <c r="G428" s="3" t="str">
        <f>"2026-03-28 09:17:41.319"</f>
        <v>2026-03-28 09:17:41.319</v>
      </c>
      <c r="H428" s="3" t="s">
        <v>22</v>
      </c>
      <c r="I428" s="3">
        <v>9.6300000000000008</v>
      </c>
      <c r="J428" s="3" t="s">
        <v>36</v>
      </c>
    </row>
    <row r="429" spans="1:10" x14ac:dyDescent="0.25">
      <c r="A429" s="1">
        <v>33</v>
      </c>
      <c r="B429" t="s">
        <v>24</v>
      </c>
      <c r="C429">
        <v>630</v>
      </c>
      <c r="D429">
        <v>5</v>
      </c>
      <c r="E429" t="s">
        <v>29</v>
      </c>
      <c r="F429" t="s">
        <v>30</v>
      </c>
      <c r="G429" t="str">
        <f>"2026-03-27 14:16:34.319"</f>
        <v>2026-03-27 14:16:34.319</v>
      </c>
      <c r="H429" t="s">
        <v>31</v>
      </c>
    </row>
    <row r="430" spans="1:10" x14ac:dyDescent="0.25">
      <c r="A430" s="1">
        <v>34</v>
      </c>
      <c r="B430" t="s">
        <v>19</v>
      </c>
      <c r="C430">
        <v>706</v>
      </c>
      <c r="D430">
        <v>4</v>
      </c>
      <c r="E430" t="s">
        <v>20</v>
      </c>
      <c r="F430" t="s">
        <v>40</v>
      </c>
      <c r="G430" t="str">
        <f>"2026-03-27 14:16:04.254"</f>
        <v>2026-03-27 14:16:04.254</v>
      </c>
      <c r="H430" t="s">
        <v>22</v>
      </c>
      <c r="I430">
        <v>0</v>
      </c>
      <c r="J430" t="s">
        <v>23</v>
      </c>
    </row>
    <row r="431" spans="1:10" x14ac:dyDescent="0.25">
      <c r="A431" s="1">
        <v>35</v>
      </c>
      <c r="B431" t="s">
        <v>32</v>
      </c>
      <c r="C431">
        <v>630</v>
      </c>
      <c r="D431">
        <v>5</v>
      </c>
      <c r="E431" t="s">
        <v>29</v>
      </c>
      <c r="F431" t="s">
        <v>30</v>
      </c>
      <c r="G431" t="str">
        <f>"2026-03-27 13:33:23.619"</f>
        <v>2026-03-27 13:33:23.619</v>
      </c>
      <c r="H431" t="s">
        <v>31</v>
      </c>
      <c r="I431">
        <v>0</v>
      </c>
      <c r="J431" t="s">
        <v>23</v>
      </c>
    </row>
    <row r="432" spans="1:10" s="3" customFormat="1" x14ac:dyDescent="0.25">
      <c r="A432" s="2">
        <v>36</v>
      </c>
      <c r="B432" s="3" t="s">
        <v>24</v>
      </c>
      <c r="C432" s="3">
        <v>647</v>
      </c>
      <c r="D432" s="3">
        <v>1</v>
      </c>
      <c r="E432" s="3" t="s">
        <v>34</v>
      </c>
      <c r="F432" s="3" t="s">
        <v>35</v>
      </c>
      <c r="G432" s="3" t="str">
        <f>"2026-03-27 09:34:19.819"</f>
        <v>2026-03-27 09:34:19.819</v>
      </c>
      <c r="H432" s="3" t="s">
        <v>22</v>
      </c>
    </row>
    <row r="433" spans="1:10" s="3" customFormat="1" x14ac:dyDescent="0.25">
      <c r="A433" s="2">
        <v>37</v>
      </c>
      <c r="B433" s="3" t="s">
        <v>27</v>
      </c>
      <c r="C433" s="3">
        <v>647</v>
      </c>
      <c r="D433" s="3">
        <v>1</v>
      </c>
      <c r="E433" s="3" t="s">
        <v>34</v>
      </c>
      <c r="F433" s="3" t="s">
        <v>35</v>
      </c>
      <c r="G433" s="3" t="str">
        <f>"2026-03-27 09:34:09.919"</f>
        <v>2026-03-27 09:34:09.919</v>
      </c>
      <c r="H433" s="3" t="s">
        <v>22</v>
      </c>
      <c r="I433" s="3">
        <v>10.91</v>
      </c>
      <c r="J433" s="3" t="s">
        <v>36</v>
      </c>
    </row>
    <row r="434" spans="1:10" x14ac:dyDescent="0.25">
      <c r="A434" s="1">
        <v>38</v>
      </c>
      <c r="B434" t="s">
        <v>24</v>
      </c>
      <c r="C434">
        <v>630</v>
      </c>
      <c r="D434">
        <v>5</v>
      </c>
      <c r="E434" t="s">
        <v>29</v>
      </c>
      <c r="F434" t="s">
        <v>30</v>
      </c>
      <c r="G434" t="str">
        <f>"2026-03-26 14:50:10.219"</f>
        <v>2026-03-26 14:50:10.219</v>
      </c>
      <c r="H434" t="s">
        <v>31</v>
      </c>
    </row>
    <row r="435" spans="1:10" x14ac:dyDescent="0.25">
      <c r="A435" s="1">
        <v>39</v>
      </c>
      <c r="B435" t="s">
        <v>19</v>
      </c>
      <c r="C435">
        <v>706</v>
      </c>
      <c r="D435">
        <v>2</v>
      </c>
      <c r="E435" t="s">
        <v>20</v>
      </c>
      <c r="F435" t="s">
        <v>21</v>
      </c>
      <c r="G435" t="str">
        <f>"2026-03-26 14:49:40.054"</f>
        <v>2026-03-26 14:49:40.054</v>
      </c>
      <c r="H435" t="s">
        <v>22</v>
      </c>
      <c r="I435">
        <v>0</v>
      </c>
      <c r="J435" t="s">
        <v>23</v>
      </c>
    </row>
    <row r="436" spans="1:10" x14ac:dyDescent="0.25">
      <c r="A436" s="1">
        <v>40</v>
      </c>
      <c r="B436" t="s">
        <v>32</v>
      </c>
      <c r="C436">
        <v>630</v>
      </c>
      <c r="D436">
        <v>5</v>
      </c>
      <c r="E436" t="s">
        <v>29</v>
      </c>
      <c r="F436" t="s">
        <v>30</v>
      </c>
      <c r="G436" t="str">
        <f>"2026-03-26 14:28:57.519"</f>
        <v>2026-03-26 14:28:57.519</v>
      </c>
      <c r="H436" t="s">
        <v>31</v>
      </c>
      <c r="I436">
        <v>0</v>
      </c>
      <c r="J436" t="s">
        <v>23</v>
      </c>
    </row>
    <row r="437" spans="1:10" x14ac:dyDescent="0.25">
      <c r="A437" s="1">
        <v>41</v>
      </c>
      <c r="B437" t="s">
        <v>19</v>
      </c>
      <c r="C437">
        <v>700</v>
      </c>
      <c r="D437">
        <v>0</v>
      </c>
      <c r="E437" t="s">
        <v>33</v>
      </c>
      <c r="F437" t="s">
        <v>33</v>
      </c>
      <c r="G437" t="str">
        <f>"2026-03-26 14:23:54.784"</f>
        <v>2026-03-26 14:23:54.784</v>
      </c>
      <c r="H437" t="s">
        <v>22</v>
      </c>
      <c r="I437">
        <v>0</v>
      </c>
      <c r="J437" t="s">
        <v>41</v>
      </c>
    </row>
    <row r="438" spans="1:10" x14ac:dyDescent="0.25">
      <c r="A438" s="1">
        <v>42</v>
      </c>
      <c r="B438" t="s">
        <v>24</v>
      </c>
      <c r="C438">
        <v>635</v>
      </c>
      <c r="D438">
        <v>1</v>
      </c>
      <c r="E438" t="s">
        <v>25</v>
      </c>
      <c r="F438" t="s">
        <v>26</v>
      </c>
      <c r="G438" t="str">
        <f>"2026-03-26 10:06:38.367"</f>
        <v>2026-03-26 10:06:38.367</v>
      </c>
      <c r="H438" t="s">
        <v>22</v>
      </c>
    </row>
    <row r="439" spans="1:10" x14ac:dyDescent="0.25">
      <c r="A439" s="1">
        <v>43</v>
      </c>
      <c r="B439" t="s">
        <v>27</v>
      </c>
      <c r="C439">
        <v>635</v>
      </c>
      <c r="D439">
        <v>1</v>
      </c>
      <c r="E439" t="s">
        <v>25</v>
      </c>
      <c r="F439" t="s">
        <v>26</v>
      </c>
      <c r="G439" t="str">
        <f>"2026-03-26 10:01:25.867"</f>
        <v>2026-03-26 10:01:25.867</v>
      </c>
      <c r="H439" t="s">
        <v>22</v>
      </c>
      <c r="I439">
        <v>6.87</v>
      </c>
      <c r="J439" t="s">
        <v>28</v>
      </c>
    </row>
    <row r="440" spans="1:10" x14ac:dyDescent="0.25">
      <c r="A440" s="1">
        <v>45</v>
      </c>
      <c r="B440" t="s">
        <v>24</v>
      </c>
      <c r="C440">
        <v>630</v>
      </c>
      <c r="D440">
        <v>5</v>
      </c>
      <c r="E440" t="s">
        <v>29</v>
      </c>
      <c r="F440" t="s">
        <v>30</v>
      </c>
      <c r="G440" t="str">
        <f>"2026-03-25 16:36:17.767"</f>
        <v>2026-03-25 16:36:17.767</v>
      </c>
      <c r="H440" t="s">
        <v>31</v>
      </c>
    </row>
    <row r="441" spans="1:10" x14ac:dyDescent="0.25">
      <c r="A441" s="1">
        <v>46</v>
      </c>
      <c r="B441" t="s">
        <v>19</v>
      </c>
      <c r="C441">
        <v>706</v>
      </c>
      <c r="D441">
        <v>2</v>
      </c>
      <c r="E441" t="s">
        <v>20</v>
      </c>
      <c r="F441" t="s">
        <v>21</v>
      </c>
      <c r="G441" t="str">
        <f>"2026-03-25 16:35:47.659"</f>
        <v>2026-03-25 16:35:47.659</v>
      </c>
      <c r="H441" t="s">
        <v>22</v>
      </c>
      <c r="I441">
        <v>0</v>
      </c>
      <c r="J441" t="s">
        <v>23</v>
      </c>
    </row>
    <row r="442" spans="1:10" x14ac:dyDescent="0.25">
      <c r="A442" s="1">
        <v>47</v>
      </c>
      <c r="B442" t="s">
        <v>32</v>
      </c>
      <c r="C442">
        <v>630</v>
      </c>
      <c r="D442">
        <v>5</v>
      </c>
      <c r="E442" t="s">
        <v>29</v>
      </c>
      <c r="F442" t="s">
        <v>30</v>
      </c>
      <c r="G442" t="str">
        <f>"2026-03-25 16:29:29.468"</f>
        <v>2026-03-25 16:29:29.468</v>
      </c>
      <c r="H442" t="s">
        <v>31</v>
      </c>
      <c r="I442">
        <v>0</v>
      </c>
      <c r="J442" t="s">
        <v>23</v>
      </c>
    </row>
    <row r="443" spans="1:10" x14ac:dyDescent="0.25">
      <c r="A443" s="1">
        <v>48</v>
      </c>
      <c r="B443" t="s">
        <v>19</v>
      </c>
      <c r="C443">
        <v>700</v>
      </c>
      <c r="D443">
        <v>0</v>
      </c>
      <c r="E443" t="s">
        <v>33</v>
      </c>
      <c r="F443" t="s">
        <v>33</v>
      </c>
      <c r="G443" t="str">
        <f>"2026-03-25 16:24:26.739"</f>
        <v>2026-03-25 16:24:26.739</v>
      </c>
      <c r="H443" t="s">
        <v>22</v>
      </c>
    </row>
    <row r="444" spans="1:10" x14ac:dyDescent="0.25">
      <c r="A444" s="1">
        <v>49</v>
      </c>
      <c r="B444" t="s">
        <v>19</v>
      </c>
      <c r="C444">
        <v>700</v>
      </c>
      <c r="D444">
        <v>0</v>
      </c>
      <c r="E444" t="s">
        <v>33</v>
      </c>
      <c r="F444" t="s">
        <v>33</v>
      </c>
      <c r="G444" t="str">
        <f>"2026-03-25 16:18:47.977"</f>
        <v>2026-03-25 16:18:47.977</v>
      </c>
      <c r="H444" t="s">
        <v>22</v>
      </c>
      <c r="I444">
        <v>0</v>
      </c>
      <c r="J444" t="s">
        <v>41</v>
      </c>
    </row>
    <row r="445" spans="1:10" x14ac:dyDescent="0.25">
      <c r="A445" s="1">
        <v>50</v>
      </c>
      <c r="B445" t="s">
        <v>19</v>
      </c>
      <c r="C445">
        <v>700</v>
      </c>
      <c r="D445">
        <v>0</v>
      </c>
      <c r="E445" t="s">
        <v>33</v>
      </c>
      <c r="F445" t="s">
        <v>33</v>
      </c>
      <c r="G445" t="str">
        <f>"2026-03-25 14:27:16.778"</f>
        <v>2026-03-25 14:27:16.778</v>
      </c>
      <c r="H445" t="s">
        <v>22</v>
      </c>
    </row>
    <row r="446" spans="1:10" x14ac:dyDescent="0.25">
      <c r="A446" s="1">
        <v>51</v>
      </c>
      <c r="B446" t="s">
        <v>19</v>
      </c>
      <c r="C446">
        <v>700</v>
      </c>
      <c r="D446">
        <v>0</v>
      </c>
      <c r="E446" t="s">
        <v>33</v>
      </c>
      <c r="F446" t="s">
        <v>33</v>
      </c>
      <c r="G446" t="str">
        <f>"2026-03-23 19:53:11.754"</f>
        <v>2026-03-23 19:53:11.754</v>
      </c>
      <c r="H446" t="s">
        <v>22</v>
      </c>
      <c r="I446">
        <v>0</v>
      </c>
      <c r="J446" t="s">
        <v>41</v>
      </c>
    </row>
    <row r="447" spans="1:10" x14ac:dyDescent="0.25">
      <c r="A447" s="1">
        <v>52</v>
      </c>
      <c r="B447" t="s">
        <v>24</v>
      </c>
      <c r="C447">
        <v>630</v>
      </c>
      <c r="D447">
        <v>5</v>
      </c>
      <c r="E447" t="s">
        <v>29</v>
      </c>
      <c r="F447" t="s">
        <v>30</v>
      </c>
      <c r="G447" t="str">
        <f>"2026-03-23 17:49:28.371"</f>
        <v>2026-03-23 17:49:28.371</v>
      </c>
      <c r="H447" t="s">
        <v>31</v>
      </c>
    </row>
    <row r="448" spans="1:10" x14ac:dyDescent="0.25">
      <c r="A448" s="1">
        <v>53</v>
      </c>
      <c r="B448" t="s">
        <v>19</v>
      </c>
      <c r="C448">
        <v>706</v>
      </c>
      <c r="D448">
        <v>2</v>
      </c>
      <c r="E448" t="s">
        <v>20</v>
      </c>
      <c r="F448" t="s">
        <v>21</v>
      </c>
      <c r="G448" t="str">
        <f>"2026-03-23 17:48:58.340"</f>
        <v>2026-03-23 17:48:58.340</v>
      </c>
      <c r="H448" t="s">
        <v>22</v>
      </c>
      <c r="I448">
        <v>0</v>
      </c>
      <c r="J448" t="s">
        <v>23</v>
      </c>
    </row>
    <row r="449" spans="1:10" x14ac:dyDescent="0.25">
      <c r="A449" s="1">
        <v>54</v>
      </c>
      <c r="B449" t="s">
        <v>32</v>
      </c>
      <c r="C449">
        <v>630</v>
      </c>
      <c r="D449">
        <v>5</v>
      </c>
      <c r="E449" t="s">
        <v>29</v>
      </c>
      <c r="F449" t="s">
        <v>30</v>
      </c>
      <c r="G449" t="str">
        <f>"2026-03-23 17:44:11.571"</f>
        <v>2026-03-23 17:44:11.571</v>
      </c>
      <c r="H449" t="s">
        <v>31</v>
      </c>
      <c r="I449">
        <v>0</v>
      </c>
      <c r="J449" t="s">
        <v>23</v>
      </c>
    </row>
    <row r="450" spans="1:10" x14ac:dyDescent="0.25">
      <c r="A450" s="1">
        <v>55</v>
      </c>
      <c r="B450" t="s">
        <v>19</v>
      </c>
      <c r="C450">
        <v>700</v>
      </c>
      <c r="D450">
        <v>0</v>
      </c>
      <c r="E450" t="s">
        <v>33</v>
      </c>
      <c r="F450" t="s">
        <v>33</v>
      </c>
      <c r="G450" t="str">
        <f>"2026-03-23 17:39:08.750"</f>
        <v>2026-03-23 17:39:08.750</v>
      </c>
      <c r="H450" t="s">
        <v>22</v>
      </c>
      <c r="I450">
        <v>0</v>
      </c>
      <c r="J450" t="s">
        <v>41</v>
      </c>
    </row>
    <row r="451" spans="1:10" x14ac:dyDescent="0.25">
      <c r="A451" s="1">
        <v>56</v>
      </c>
      <c r="B451" t="s">
        <v>19</v>
      </c>
      <c r="C451">
        <v>700</v>
      </c>
      <c r="D451">
        <v>0</v>
      </c>
      <c r="E451" t="s">
        <v>33</v>
      </c>
      <c r="F451" t="s">
        <v>33</v>
      </c>
      <c r="G451" t="str">
        <f>"2026-03-23 16:35:09.794"</f>
        <v>2026-03-23 16:35:09.794</v>
      </c>
      <c r="H451" t="s">
        <v>22</v>
      </c>
      <c r="I451">
        <v>0</v>
      </c>
      <c r="J451" t="s">
        <v>41</v>
      </c>
    </row>
    <row r="452" spans="1:10" x14ac:dyDescent="0.25">
      <c r="A452" s="1">
        <v>57</v>
      </c>
      <c r="B452" t="s">
        <v>19</v>
      </c>
      <c r="C452">
        <v>700</v>
      </c>
      <c r="D452">
        <v>0</v>
      </c>
      <c r="E452" t="s">
        <v>33</v>
      </c>
      <c r="F452" t="s">
        <v>33</v>
      </c>
      <c r="G452" t="str">
        <f>"2026-03-23 15:06:56.986"</f>
        <v>2026-03-23 15:06:56.986</v>
      </c>
      <c r="H452" t="s">
        <v>22</v>
      </c>
    </row>
    <row r="453" spans="1:10" x14ac:dyDescent="0.25">
      <c r="A453" s="1">
        <v>58</v>
      </c>
      <c r="B453" t="s">
        <v>24</v>
      </c>
      <c r="C453">
        <v>630</v>
      </c>
      <c r="D453">
        <v>5</v>
      </c>
      <c r="E453" t="s">
        <v>29</v>
      </c>
      <c r="F453" t="s">
        <v>30</v>
      </c>
      <c r="G453" t="str">
        <f>"2026-03-23 14:55:52.712"</f>
        <v>2026-03-23 14:55:52.712</v>
      </c>
      <c r="H453" t="s">
        <v>31</v>
      </c>
    </row>
    <row r="454" spans="1:10" x14ac:dyDescent="0.25">
      <c r="A454" s="1">
        <v>59</v>
      </c>
      <c r="B454" t="s">
        <v>19</v>
      </c>
      <c r="C454">
        <v>706</v>
      </c>
      <c r="D454">
        <v>4</v>
      </c>
      <c r="E454" t="s">
        <v>20</v>
      </c>
      <c r="F454" t="s">
        <v>40</v>
      </c>
      <c r="G454" t="str">
        <f>"2026-03-23 14:55:22.625"</f>
        <v>2026-03-23 14:55:22.625</v>
      </c>
      <c r="H454" t="s">
        <v>22</v>
      </c>
      <c r="I454">
        <v>0</v>
      </c>
      <c r="J454" t="s">
        <v>23</v>
      </c>
    </row>
    <row r="455" spans="1:10" x14ac:dyDescent="0.25">
      <c r="A455" s="1">
        <v>60</v>
      </c>
      <c r="B455" t="s">
        <v>32</v>
      </c>
      <c r="C455">
        <v>630</v>
      </c>
      <c r="D455">
        <v>5</v>
      </c>
      <c r="E455" t="s">
        <v>29</v>
      </c>
      <c r="F455" t="s">
        <v>30</v>
      </c>
      <c r="G455" t="str">
        <f>"2026-03-23 14:46:22.713"</f>
        <v>2026-03-23 14:46:22.713</v>
      </c>
      <c r="H455" t="s">
        <v>31</v>
      </c>
      <c r="I455">
        <v>0</v>
      </c>
      <c r="J455" t="s">
        <v>23</v>
      </c>
    </row>
    <row r="456" spans="1:10" x14ac:dyDescent="0.25">
      <c r="A456" s="1">
        <v>61</v>
      </c>
      <c r="B456" t="s">
        <v>19</v>
      </c>
      <c r="C456">
        <v>700</v>
      </c>
      <c r="D456">
        <v>0</v>
      </c>
      <c r="E456" t="s">
        <v>33</v>
      </c>
      <c r="F456" t="s">
        <v>33</v>
      </c>
      <c r="G456" t="str">
        <f>"2026-03-23 14:41:19.975"</f>
        <v>2026-03-23 14:41:19.975</v>
      </c>
      <c r="H456" t="s">
        <v>22</v>
      </c>
      <c r="I456">
        <v>0</v>
      </c>
      <c r="J456" t="s">
        <v>41</v>
      </c>
    </row>
    <row r="457" spans="1:10" x14ac:dyDescent="0.25">
      <c r="A457" s="1">
        <v>62</v>
      </c>
      <c r="B457" t="s">
        <v>19</v>
      </c>
      <c r="C457">
        <v>700</v>
      </c>
      <c r="D457">
        <v>0</v>
      </c>
      <c r="E457" t="s">
        <v>33</v>
      </c>
      <c r="F457" t="s">
        <v>33</v>
      </c>
      <c r="G457" t="str">
        <f>"2026-03-23 11:56:38.741"</f>
        <v>2026-03-23 11:56:38.741</v>
      </c>
      <c r="H457" t="s">
        <v>22</v>
      </c>
    </row>
    <row r="458" spans="1:10" x14ac:dyDescent="0.25">
      <c r="A458" s="1">
        <v>63</v>
      </c>
      <c r="B458" t="s">
        <v>19</v>
      </c>
      <c r="C458">
        <v>700</v>
      </c>
      <c r="D458">
        <v>0</v>
      </c>
      <c r="E458" t="s">
        <v>33</v>
      </c>
      <c r="F458" t="s">
        <v>33</v>
      </c>
      <c r="G458" t="str">
        <f>"2026-03-23 11:51:42.022"</f>
        <v>2026-03-23 11:51:42.022</v>
      </c>
      <c r="H458" t="s">
        <v>22</v>
      </c>
    </row>
    <row r="459" spans="1:10" x14ac:dyDescent="0.25">
      <c r="A459" s="1">
        <v>64</v>
      </c>
      <c r="B459" t="s">
        <v>19</v>
      </c>
      <c r="C459">
        <v>700</v>
      </c>
      <c r="D459">
        <v>0</v>
      </c>
      <c r="E459" t="s">
        <v>33</v>
      </c>
      <c r="F459" t="s">
        <v>33</v>
      </c>
      <c r="G459" t="str">
        <f>"2026-03-22 17:49:31.753"</f>
        <v>2026-03-22 17:49:31.753</v>
      </c>
      <c r="H459" t="s">
        <v>22</v>
      </c>
      <c r="I459">
        <v>0</v>
      </c>
      <c r="J459" t="s">
        <v>41</v>
      </c>
    </row>
    <row r="460" spans="1:10" x14ac:dyDescent="0.25">
      <c r="A460" s="1">
        <v>65</v>
      </c>
      <c r="B460" t="s">
        <v>24</v>
      </c>
      <c r="C460">
        <v>630</v>
      </c>
      <c r="D460">
        <v>5</v>
      </c>
      <c r="E460" t="s">
        <v>29</v>
      </c>
      <c r="F460" t="s">
        <v>30</v>
      </c>
      <c r="G460" t="str">
        <f>"2026-03-21 13:19:06.325"</f>
        <v>2026-03-21 13:19:06.325</v>
      </c>
      <c r="H460" t="s">
        <v>31</v>
      </c>
    </row>
    <row r="461" spans="1:10" x14ac:dyDescent="0.25">
      <c r="A461" s="1">
        <v>66</v>
      </c>
      <c r="B461" t="s">
        <v>19</v>
      </c>
      <c r="C461">
        <v>706</v>
      </c>
      <c r="D461">
        <v>2</v>
      </c>
      <c r="E461" t="s">
        <v>20</v>
      </c>
      <c r="F461" t="s">
        <v>21</v>
      </c>
      <c r="G461" t="str">
        <f>"2026-03-21 13:18:36.194"</f>
        <v>2026-03-21 13:18:36.194</v>
      </c>
      <c r="H461" t="s">
        <v>22</v>
      </c>
      <c r="I461">
        <v>0</v>
      </c>
      <c r="J461" t="s">
        <v>23</v>
      </c>
    </row>
    <row r="462" spans="1:10" x14ac:dyDescent="0.25">
      <c r="A462" s="1">
        <v>67</v>
      </c>
      <c r="B462" t="s">
        <v>32</v>
      </c>
      <c r="C462">
        <v>630</v>
      </c>
      <c r="D462">
        <v>5</v>
      </c>
      <c r="E462" t="s">
        <v>29</v>
      </c>
      <c r="F462" t="s">
        <v>30</v>
      </c>
      <c r="G462" t="str">
        <f>"2026-03-21 13:02:09.525"</f>
        <v>2026-03-21 13:02:09.525</v>
      </c>
      <c r="H462" t="s">
        <v>31</v>
      </c>
      <c r="I462">
        <v>0</v>
      </c>
      <c r="J462" t="s">
        <v>23</v>
      </c>
    </row>
    <row r="463" spans="1:10" s="3" customFormat="1" x14ac:dyDescent="0.25">
      <c r="A463" s="2">
        <v>68</v>
      </c>
      <c r="B463" s="3" t="s">
        <v>24</v>
      </c>
      <c r="C463" s="3">
        <v>647</v>
      </c>
      <c r="D463" s="3">
        <v>1</v>
      </c>
      <c r="E463" s="3" t="s">
        <v>34</v>
      </c>
      <c r="F463" s="3" t="s">
        <v>35</v>
      </c>
      <c r="G463" s="3" t="str">
        <f>"2026-03-21 07:50:51.225"</f>
        <v>2026-03-21 07:50:51.225</v>
      </c>
      <c r="H463" s="3" t="s">
        <v>22</v>
      </c>
    </row>
    <row r="464" spans="1:10" s="3" customFormat="1" x14ac:dyDescent="0.25">
      <c r="A464" s="2">
        <v>69</v>
      </c>
      <c r="B464" s="3" t="s">
        <v>27</v>
      </c>
      <c r="C464" s="3">
        <v>647</v>
      </c>
      <c r="D464" s="3">
        <v>1</v>
      </c>
      <c r="E464" s="3" t="s">
        <v>34</v>
      </c>
      <c r="F464" s="3" t="s">
        <v>35</v>
      </c>
      <c r="G464" s="3" t="str">
        <f>"2026-03-21 07:50:48.325"</f>
        <v>2026-03-21 07:50:48.325</v>
      </c>
      <c r="H464" s="3" t="s">
        <v>22</v>
      </c>
      <c r="I464" s="3">
        <v>21.51</v>
      </c>
      <c r="J464" s="3" t="s">
        <v>36</v>
      </c>
    </row>
    <row r="465" spans="1:10" x14ac:dyDescent="0.25">
      <c r="A465" s="1">
        <v>70</v>
      </c>
      <c r="B465" t="s">
        <v>24</v>
      </c>
      <c r="C465">
        <v>630</v>
      </c>
      <c r="D465">
        <v>5</v>
      </c>
      <c r="E465" t="s">
        <v>29</v>
      </c>
      <c r="F465" t="s">
        <v>30</v>
      </c>
      <c r="G465" t="str">
        <f>"2026-03-20 16:00:39.225"</f>
        <v>2026-03-20 16:00:39.225</v>
      </c>
      <c r="H465" t="s">
        <v>31</v>
      </c>
    </row>
    <row r="466" spans="1:10" x14ac:dyDescent="0.25">
      <c r="A466" s="1">
        <v>71</v>
      </c>
      <c r="B466" t="s">
        <v>19</v>
      </c>
      <c r="C466">
        <v>706</v>
      </c>
      <c r="D466">
        <v>4</v>
      </c>
      <c r="E466" t="s">
        <v>20</v>
      </c>
      <c r="F466" t="s">
        <v>40</v>
      </c>
      <c r="G466" t="str">
        <f>"2026-03-20 16:00:09.184"</f>
        <v>2026-03-20 16:00:09.184</v>
      </c>
      <c r="H466" t="s">
        <v>22</v>
      </c>
      <c r="I466">
        <v>0</v>
      </c>
      <c r="J466" t="s">
        <v>23</v>
      </c>
    </row>
    <row r="467" spans="1:10" x14ac:dyDescent="0.25">
      <c r="A467" s="1">
        <v>72</v>
      </c>
      <c r="B467" t="s">
        <v>32</v>
      </c>
      <c r="C467">
        <v>630</v>
      </c>
      <c r="D467">
        <v>5</v>
      </c>
      <c r="E467" t="s">
        <v>29</v>
      </c>
      <c r="F467" t="s">
        <v>30</v>
      </c>
      <c r="G467" t="str">
        <f>"2026-03-20 15:47:33.225"</f>
        <v>2026-03-20 15:47:33.225</v>
      </c>
      <c r="H467" t="s">
        <v>31</v>
      </c>
      <c r="I467">
        <v>0</v>
      </c>
      <c r="J467" t="s">
        <v>23</v>
      </c>
    </row>
    <row r="468" spans="1:10" x14ac:dyDescent="0.25">
      <c r="A468" s="1">
        <v>73</v>
      </c>
      <c r="B468" t="s">
        <v>19</v>
      </c>
      <c r="C468">
        <v>700</v>
      </c>
      <c r="D468">
        <v>0</v>
      </c>
      <c r="E468" t="s">
        <v>33</v>
      </c>
      <c r="F468" t="s">
        <v>33</v>
      </c>
      <c r="G468" t="str">
        <f>"2026-03-19 13:30:52.784"</f>
        <v>2026-03-19 13:30:52.784</v>
      </c>
      <c r="H468" t="s">
        <v>22</v>
      </c>
      <c r="I468">
        <v>0</v>
      </c>
      <c r="J468" t="s">
        <v>41</v>
      </c>
    </row>
    <row r="469" spans="1:10" x14ac:dyDescent="0.25">
      <c r="A469" s="1">
        <v>74</v>
      </c>
      <c r="B469" t="s">
        <v>24</v>
      </c>
      <c r="C469">
        <v>635</v>
      </c>
      <c r="D469">
        <v>1</v>
      </c>
      <c r="E469" t="s">
        <v>25</v>
      </c>
      <c r="F469" t="s">
        <v>26</v>
      </c>
      <c r="G469" t="str">
        <f>"2026-03-19 04:34:25.656"</f>
        <v>2026-03-19 04:34:25.656</v>
      </c>
      <c r="H469" t="s">
        <v>22</v>
      </c>
    </row>
    <row r="470" spans="1:10" x14ac:dyDescent="0.25">
      <c r="A470" s="1">
        <v>75</v>
      </c>
      <c r="B470" t="s">
        <v>27</v>
      </c>
      <c r="C470">
        <v>635</v>
      </c>
      <c r="D470">
        <v>1</v>
      </c>
      <c r="E470" t="s">
        <v>25</v>
      </c>
      <c r="F470" t="s">
        <v>26</v>
      </c>
      <c r="G470" t="str">
        <f>"2026-03-19 04:28:02.656"</f>
        <v>2026-03-19 04:28:02.656</v>
      </c>
      <c r="H470" t="s">
        <v>22</v>
      </c>
      <c r="I470">
        <v>-0.46</v>
      </c>
      <c r="J470" t="s">
        <v>37</v>
      </c>
    </row>
    <row r="471" spans="1:10" x14ac:dyDescent="0.25">
      <c r="A471" s="1">
        <v>76</v>
      </c>
      <c r="B471" t="s">
        <v>19</v>
      </c>
      <c r="C471">
        <v>700</v>
      </c>
      <c r="D471">
        <v>0</v>
      </c>
      <c r="E471" t="s">
        <v>33</v>
      </c>
      <c r="F471" t="s">
        <v>33</v>
      </c>
      <c r="G471" t="str">
        <f>"2026-03-18 09:06:25.768"</f>
        <v>2026-03-18 09:06:25.768</v>
      </c>
      <c r="H471" t="s">
        <v>22</v>
      </c>
      <c r="I471">
        <v>0</v>
      </c>
      <c r="J471" t="s">
        <v>41</v>
      </c>
    </row>
    <row r="472" spans="1:10" s="3" customFormat="1" x14ac:dyDescent="0.25">
      <c r="A472" s="2">
        <v>77</v>
      </c>
      <c r="B472" s="3" t="s">
        <v>24</v>
      </c>
      <c r="C472" s="3">
        <v>647</v>
      </c>
      <c r="D472" s="3">
        <v>1</v>
      </c>
      <c r="E472" s="3" t="s">
        <v>34</v>
      </c>
      <c r="F472" s="3" t="s">
        <v>35</v>
      </c>
      <c r="G472" s="3" t="str">
        <f>"2026-03-17 17:29:44.920"</f>
        <v>2026-03-17 17:29:44.920</v>
      </c>
      <c r="H472" s="3" t="s">
        <v>22</v>
      </c>
    </row>
    <row r="473" spans="1:10" s="3" customFormat="1" x14ac:dyDescent="0.25">
      <c r="A473" s="2">
        <v>78</v>
      </c>
      <c r="B473" s="3" t="s">
        <v>27</v>
      </c>
      <c r="C473" s="3">
        <v>647</v>
      </c>
      <c r="D473" s="3">
        <v>1</v>
      </c>
      <c r="E473" s="3" t="s">
        <v>34</v>
      </c>
      <c r="F473" s="3" t="s">
        <v>35</v>
      </c>
      <c r="G473" s="3" t="str">
        <f>"2026-03-17 17:29:30.820"</f>
        <v>2026-03-17 17:29:30.820</v>
      </c>
      <c r="H473" s="3" t="s">
        <v>22</v>
      </c>
      <c r="I473" s="3">
        <v>10.8</v>
      </c>
      <c r="J473" s="3" t="s">
        <v>37</v>
      </c>
    </row>
    <row r="474" spans="1:10" s="3" customFormat="1" x14ac:dyDescent="0.25">
      <c r="A474" s="2">
        <v>79</v>
      </c>
      <c r="B474" s="3" t="s">
        <v>24</v>
      </c>
      <c r="C474" s="3">
        <v>647</v>
      </c>
      <c r="D474" s="3">
        <v>1</v>
      </c>
      <c r="E474" s="3" t="s">
        <v>34</v>
      </c>
      <c r="F474" s="3" t="s">
        <v>35</v>
      </c>
      <c r="G474" s="3" t="str">
        <f>"2026-03-17 16:48:13.920"</f>
        <v>2026-03-17 16:48:13.920</v>
      </c>
      <c r="H474" s="3" t="s">
        <v>22</v>
      </c>
    </row>
    <row r="475" spans="1:10" s="3" customFormat="1" x14ac:dyDescent="0.25">
      <c r="A475" s="2">
        <v>80</v>
      </c>
      <c r="B475" s="3" t="s">
        <v>27</v>
      </c>
      <c r="C475" s="3">
        <v>647</v>
      </c>
      <c r="D475" s="3">
        <v>1</v>
      </c>
      <c r="E475" s="3" t="s">
        <v>34</v>
      </c>
      <c r="F475" s="3" t="s">
        <v>35</v>
      </c>
      <c r="G475" s="3" t="str">
        <f>"2026-03-17 16:47:58.320"</f>
        <v>2026-03-17 16:47:58.320</v>
      </c>
      <c r="H475" s="3" t="s">
        <v>22</v>
      </c>
      <c r="I475" s="3">
        <v>8.51</v>
      </c>
      <c r="J475" s="3" t="s">
        <v>36</v>
      </c>
    </row>
    <row r="476" spans="1:10" s="3" customFormat="1" x14ac:dyDescent="0.25">
      <c r="A476" s="2">
        <v>81</v>
      </c>
      <c r="B476" s="3" t="s">
        <v>24</v>
      </c>
      <c r="C476" s="3">
        <v>647</v>
      </c>
      <c r="D476" s="3">
        <v>1</v>
      </c>
      <c r="E476" s="3" t="s">
        <v>34</v>
      </c>
      <c r="F476" s="3" t="s">
        <v>35</v>
      </c>
      <c r="G476" s="3" t="str">
        <f>"2026-03-17 16:47:54.620"</f>
        <v>2026-03-17 16:47:54.620</v>
      </c>
      <c r="H476" s="3" t="s">
        <v>22</v>
      </c>
    </row>
    <row r="477" spans="1:10" s="3" customFormat="1" x14ac:dyDescent="0.25">
      <c r="A477" s="2">
        <v>82</v>
      </c>
      <c r="B477" s="3" t="s">
        <v>27</v>
      </c>
      <c r="C477" s="3">
        <v>647</v>
      </c>
      <c r="D477" s="3">
        <v>1</v>
      </c>
      <c r="E477" s="3" t="s">
        <v>34</v>
      </c>
      <c r="F477" s="3" t="s">
        <v>35</v>
      </c>
      <c r="G477" s="3" t="str">
        <f>"2026-03-17 16:47:52.120"</f>
        <v>2026-03-17 16:47:52.120</v>
      </c>
      <c r="H477" s="3" t="s">
        <v>22</v>
      </c>
      <c r="I477" s="3">
        <v>8.27</v>
      </c>
      <c r="J477" s="3" t="s">
        <v>36</v>
      </c>
    </row>
    <row r="478" spans="1:10" x14ac:dyDescent="0.25">
      <c r="A478" s="1">
        <v>83</v>
      </c>
      <c r="B478" t="s">
        <v>24</v>
      </c>
      <c r="C478">
        <v>635</v>
      </c>
      <c r="D478">
        <v>1</v>
      </c>
      <c r="E478" t="s">
        <v>25</v>
      </c>
      <c r="F478" t="s">
        <v>26</v>
      </c>
      <c r="G478" t="str">
        <f>"2026-03-17 14:18:01.666"</f>
        <v>2026-03-17 14:18:01.666</v>
      </c>
      <c r="H478" t="s">
        <v>22</v>
      </c>
    </row>
    <row r="479" spans="1:10" x14ac:dyDescent="0.25">
      <c r="A479" s="1">
        <v>84</v>
      </c>
      <c r="B479" t="s">
        <v>27</v>
      </c>
      <c r="C479">
        <v>635</v>
      </c>
      <c r="D479">
        <v>1</v>
      </c>
      <c r="E479" t="s">
        <v>25</v>
      </c>
      <c r="F479" t="s">
        <v>26</v>
      </c>
      <c r="G479" t="str">
        <f>"2026-03-17 14:11:06.666"</f>
        <v>2026-03-17 14:11:06.666</v>
      </c>
      <c r="H479" t="s">
        <v>22</v>
      </c>
      <c r="I479">
        <v>8.3800000000000008</v>
      </c>
      <c r="J479" t="s">
        <v>36</v>
      </c>
    </row>
    <row r="480" spans="1:10" x14ac:dyDescent="0.25">
      <c r="A480" s="1">
        <v>85</v>
      </c>
      <c r="B480" t="s">
        <v>24</v>
      </c>
      <c r="C480">
        <v>635</v>
      </c>
      <c r="D480">
        <v>1</v>
      </c>
      <c r="E480" t="s">
        <v>25</v>
      </c>
      <c r="F480" t="s">
        <v>26</v>
      </c>
      <c r="G480" t="str">
        <f>"2026-03-17 13:30:47.766"</f>
        <v>2026-03-17 13:30:47.766</v>
      </c>
      <c r="H480" t="s">
        <v>22</v>
      </c>
    </row>
    <row r="481" spans="1:10" x14ac:dyDescent="0.25">
      <c r="A481" s="1">
        <v>86</v>
      </c>
      <c r="B481" t="s">
        <v>27</v>
      </c>
      <c r="C481">
        <v>635</v>
      </c>
      <c r="D481">
        <v>1</v>
      </c>
      <c r="E481" t="s">
        <v>25</v>
      </c>
      <c r="F481" t="s">
        <v>26</v>
      </c>
      <c r="G481" t="str">
        <f>"2026-03-17 13:18:50.766"</f>
        <v>2026-03-17 13:18:50.766</v>
      </c>
      <c r="H481" t="s">
        <v>22</v>
      </c>
      <c r="I481">
        <v>8.2799999999999994</v>
      </c>
      <c r="J481" t="s">
        <v>36</v>
      </c>
    </row>
    <row r="482" spans="1:10" x14ac:dyDescent="0.25">
      <c r="A482" s="1">
        <v>87</v>
      </c>
      <c r="B482" t="s">
        <v>24</v>
      </c>
      <c r="C482">
        <v>635</v>
      </c>
      <c r="D482">
        <v>1</v>
      </c>
      <c r="E482" t="s">
        <v>25</v>
      </c>
      <c r="F482" t="s">
        <v>26</v>
      </c>
      <c r="G482" t="str">
        <f>"2026-03-17 10:28:50.666"</f>
        <v>2026-03-17 10:28:50.666</v>
      </c>
      <c r="H482" t="s">
        <v>22</v>
      </c>
    </row>
    <row r="483" spans="1:10" x14ac:dyDescent="0.25">
      <c r="A483" s="1">
        <v>88</v>
      </c>
      <c r="B483" t="s">
        <v>27</v>
      </c>
      <c r="C483">
        <v>635</v>
      </c>
      <c r="D483">
        <v>1</v>
      </c>
      <c r="E483" t="s">
        <v>25</v>
      </c>
      <c r="F483" t="s">
        <v>26</v>
      </c>
      <c r="G483" t="str">
        <f>"2026-03-17 10:19:32.666"</f>
        <v>2026-03-17 10:19:32.666</v>
      </c>
      <c r="H483" t="s">
        <v>22</v>
      </c>
      <c r="I483">
        <v>8.6199999999999992</v>
      </c>
      <c r="J483" t="s">
        <v>36</v>
      </c>
    </row>
    <row r="484" spans="1:10" x14ac:dyDescent="0.25">
      <c r="A484" s="1">
        <v>89</v>
      </c>
      <c r="B484" t="s">
        <v>19</v>
      </c>
      <c r="C484">
        <v>700</v>
      </c>
      <c r="D484">
        <v>0</v>
      </c>
      <c r="E484" t="s">
        <v>33</v>
      </c>
      <c r="F484" t="s">
        <v>33</v>
      </c>
      <c r="G484" t="str">
        <f>"2026-03-17 08:00:10.768"</f>
        <v>2026-03-17 08:00:10.768</v>
      </c>
      <c r="H484" t="s">
        <v>22</v>
      </c>
    </row>
    <row r="485" spans="1:10" x14ac:dyDescent="0.25">
      <c r="A485" s="1">
        <v>90</v>
      </c>
      <c r="B485" t="s">
        <v>19</v>
      </c>
      <c r="C485">
        <v>700</v>
      </c>
      <c r="D485">
        <v>0</v>
      </c>
      <c r="E485" t="s">
        <v>33</v>
      </c>
      <c r="F485" t="s">
        <v>33</v>
      </c>
      <c r="G485" t="str">
        <f>"2026-03-16 10:22:58.747"</f>
        <v>2026-03-16 10:22:58.747</v>
      </c>
      <c r="H485" t="s">
        <v>22</v>
      </c>
      <c r="I485">
        <v>0</v>
      </c>
      <c r="J485" t="s">
        <v>41</v>
      </c>
    </row>
    <row r="486" spans="1:10" s="3" customFormat="1" x14ac:dyDescent="0.25">
      <c r="A486" s="2">
        <v>91</v>
      </c>
      <c r="B486" s="3" t="s">
        <v>24</v>
      </c>
      <c r="C486" s="3">
        <v>647</v>
      </c>
      <c r="D486" s="3">
        <v>1</v>
      </c>
      <c r="E486" s="3" t="s">
        <v>34</v>
      </c>
      <c r="F486" s="3" t="s">
        <v>35</v>
      </c>
      <c r="G486" s="3" t="str">
        <f>"2026-03-16 09:17:05.129"</f>
        <v>2026-03-16 09:17:05.129</v>
      </c>
      <c r="H486" s="3" t="s">
        <v>22</v>
      </c>
    </row>
    <row r="487" spans="1:10" s="3" customFormat="1" x14ac:dyDescent="0.25">
      <c r="A487" s="2">
        <v>92</v>
      </c>
      <c r="B487" s="3" t="s">
        <v>27</v>
      </c>
      <c r="C487" s="3">
        <v>647</v>
      </c>
      <c r="D487" s="3">
        <v>1</v>
      </c>
      <c r="E487" s="3" t="s">
        <v>34</v>
      </c>
      <c r="F487" s="3" t="s">
        <v>35</v>
      </c>
      <c r="G487" s="3" t="str">
        <f>"2026-03-16 09:16:55.529"</f>
        <v>2026-03-16 09:16:55.529</v>
      </c>
      <c r="H487" s="3" t="s">
        <v>22</v>
      </c>
      <c r="I487" s="3">
        <v>10.29</v>
      </c>
      <c r="J487" s="3" t="s">
        <v>36</v>
      </c>
    </row>
    <row r="488" spans="1:10" x14ac:dyDescent="0.25">
      <c r="A488" s="1">
        <v>93</v>
      </c>
      <c r="B488" t="s">
        <v>24</v>
      </c>
      <c r="C488">
        <v>630</v>
      </c>
      <c r="D488">
        <v>5</v>
      </c>
      <c r="E488" t="s">
        <v>29</v>
      </c>
      <c r="F488" t="s">
        <v>30</v>
      </c>
      <c r="G488" t="str">
        <f>"2026-03-15 20:02:16.229"</f>
        <v>2026-03-15 20:02:16.229</v>
      </c>
      <c r="H488" t="s">
        <v>31</v>
      </c>
    </row>
    <row r="489" spans="1:10" x14ac:dyDescent="0.25">
      <c r="A489" s="1">
        <v>94</v>
      </c>
      <c r="B489" t="s">
        <v>19</v>
      </c>
      <c r="C489">
        <v>706</v>
      </c>
      <c r="D489">
        <v>2</v>
      </c>
      <c r="E489" t="s">
        <v>20</v>
      </c>
      <c r="F489" t="s">
        <v>21</v>
      </c>
      <c r="G489" t="str">
        <f>"2026-03-15 20:01:46.097"</f>
        <v>2026-03-15 20:01:46.097</v>
      </c>
      <c r="H489" t="s">
        <v>22</v>
      </c>
      <c r="I489">
        <v>0</v>
      </c>
      <c r="J489" t="s">
        <v>23</v>
      </c>
    </row>
    <row r="490" spans="1:10" x14ac:dyDescent="0.25">
      <c r="A490" s="1">
        <v>95</v>
      </c>
      <c r="B490" t="s">
        <v>32</v>
      </c>
      <c r="C490">
        <v>630</v>
      </c>
      <c r="D490">
        <v>5</v>
      </c>
      <c r="E490" t="s">
        <v>29</v>
      </c>
      <c r="F490" t="s">
        <v>30</v>
      </c>
      <c r="G490" t="str">
        <f>"2026-03-15 19:50:19.329"</f>
        <v>2026-03-15 19:50:19.329</v>
      </c>
      <c r="H490" t="s">
        <v>31</v>
      </c>
      <c r="I490">
        <v>0</v>
      </c>
      <c r="J490" t="s">
        <v>23</v>
      </c>
    </row>
    <row r="491" spans="1:10" s="3" customFormat="1" x14ac:dyDescent="0.25">
      <c r="A491" s="2">
        <v>96</v>
      </c>
      <c r="B491" s="3" t="s">
        <v>24</v>
      </c>
      <c r="C491" s="3">
        <v>647</v>
      </c>
      <c r="D491" s="3">
        <v>1</v>
      </c>
      <c r="E491" s="3" t="s">
        <v>34</v>
      </c>
      <c r="F491" s="3" t="s">
        <v>35</v>
      </c>
      <c r="G491" s="3" t="str">
        <f>"2026-03-15 11:13:57.629"</f>
        <v>2026-03-15 11:13:57.629</v>
      </c>
      <c r="H491" s="3" t="s">
        <v>22</v>
      </c>
    </row>
    <row r="492" spans="1:10" s="3" customFormat="1" x14ac:dyDescent="0.25">
      <c r="A492" s="2">
        <v>97</v>
      </c>
      <c r="B492" s="3" t="s">
        <v>27</v>
      </c>
      <c r="C492" s="3">
        <v>647</v>
      </c>
      <c r="D492" s="3">
        <v>1</v>
      </c>
      <c r="E492" s="3" t="s">
        <v>34</v>
      </c>
      <c r="F492" s="3" t="s">
        <v>35</v>
      </c>
      <c r="G492" s="3" t="str">
        <f>"2026-03-15 11:13:55.929"</f>
        <v>2026-03-15 11:13:55.929</v>
      </c>
      <c r="H492" s="3" t="s">
        <v>22</v>
      </c>
      <c r="I492" s="3">
        <v>29.48</v>
      </c>
      <c r="J492" s="3" t="s">
        <v>36</v>
      </c>
    </row>
    <row r="493" spans="1:10" s="3" customFormat="1" x14ac:dyDescent="0.25">
      <c r="A493" s="2">
        <v>99</v>
      </c>
      <c r="B493" s="3" t="s">
        <v>24</v>
      </c>
      <c r="C493" s="3">
        <v>647</v>
      </c>
      <c r="D493" s="3">
        <v>1</v>
      </c>
      <c r="E493" s="3" t="s">
        <v>34</v>
      </c>
      <c r="F493" s="3" t="s">
        <v>35</v>
      </c>
      <c r="G493" s="3" t="str">
        <f>"2026-03-14 13:29:16.629"</f>
        <v>2026-03-14 13:29:16.629</v>
      </c>
      <c r="H493" s="3" t="s">
        <v>22</v>
      </c>
    </row>
    <row r="494" spans="1:10" s="3" customFormat="1" x14ac:dyDescent="0.25">
      <c r="A494" s="2">
        <v>0</v>
      </c>
      <c r="B494" s="3" t="s">
        <v>27</v>
      </c>
      <c r="C494" s="3">
        <v>647</v>
      </c>
      <c r="D494" s="3">
        <v>1</v>
      </c>
      <c r="E494" s="3" t="s">
        <v>34</v>
      </c>
      <c r="F494" s="3" t="s">
        <v>35</v>
      </c>
      <c r="G494" s="3" t="str">
        <f>"2026-03-14 13:29:14.729"</f>
        <v>2026-03-14 13:29:14.729</v>
      </c>
      <c r="H494" s="3" t="s">
        <v>22</v>
      </c>
      <c r="I494" s="3">
        <v>19.170000000000002</v>
      </c>
      <c r="J494" s="3" t="s">
        <v>36</v>
      </c>
    </row>
    <row r="495" spans="1:10" x14ac:dyDescent="0.25">
      <c r="A495" s="1">
        <v>3</v>
      </c>
      <c r="B495" t="s">
        <v>19</v>
      </c>
      <c r="C495">
        <v>700</v>
      </c>
      <c r="D495">
        <v>0</v>
      </c>
      <c r="E495" t="s">
        <v>33</v>
      </c>
      <c r="F495" t="s">
        <v>33</v>
      </c>
      <c r="G495" t="str">
        <f>"2026-03-13 14:27:35.777"</f>
        <v>2026-03-13 14:27:35.777</v>
      </c>
      <c r="H495" t="s">
        <v>22</v>
      </c>
      <c r="I495">
        <v>0</v>
      </c>
      <c r="J495" t="s">
        <v>41</v>
      </c>
    </row>
    <row r="496" spans="1:10" s="3" customFormat="1" x14ac:dyDescent="0.25">
      <c r="A496" s="2">
        <v>4</v>
      </c>
      <c r="B496" s="3" t="s">
        <v>24</v>
      </c>
      <c r="C496" s="3">
        <v>647</v>
      </c>
      <c r="D496" s="3">
        <v>1</v>
      </c>
      <c r="E496" s="3" t="s">
        <v>34</v>
      </c>
      <c r="F496" s="3" t="s">
        <v>35</v>
      </c>
      <c r="G496" s="3" t="str">
        <f>"2026-03-13 11:39:21.487"</f>
        <v>2026-03-13 11:39:21.487</v>
      </c>
      <c r="H496" s="3" t="s">
        <v>22</v>
      </c>
    </row>
    <row r="497" spans="1:10" s="3" customFormat="1" x14ac:dyDescent="0.25">
      <c r="A497" s="2">
        <v>5</v>
      </c>
      <c r="B497" s="3" t="s">
        <v>27</v>
      </c>
      <c r="C497" s="3">
        <v>647</v>
      </c>
      <c r="D497" s="3">
        <v>1</v>
      </c>
      <c r="E497" s="3" t="s">
        <v>34</v>
      </c>
      <c r="F497" s="3" t="s">
        <v>35</v>
      </c>
      <c r="G497" s="3" t="str">
        <f>"2026-03-13 11:39:19.187"</f>
        <v>2026-03-13 11:39:19.187</v>
      </c>
      <c r="H497" s="3" t="s">
        <v>22</v>
      </c>
      <c r="I497" s="3">
        <v>11.98</v>
      </c>
      <c r="J497" s="3" t="s">
        <v>36</v>
      </c>
    </row>
    <row r="498" spans="1:10" x14ac:dyDescent="0.25">
      <c r="A498" s="1">
        <v>6</v>
      </c>
      <c r="B498" t="s">
        <v>19</v>
      </c>
      <c r="C498">
        <v>700</v>
      </c>
      <c r="D498">
        <v>0</v>
      </c>
      <c r="E498" t="s">
        <v>33</v>
      </c>
      <c r="F498" t="s">
        <v>33</v>
      </c>
      <c r="G498" t="str">
        <f>"2026-03-13 04:58:33.815"</f>
        <v>2026-03-13 04:58:33.815</v>
      </c>
      <c r="H498" t="s">
        <v>22</v>
      </c>
      <c r="I498">
        <v>0</v>
      </c>
      <c r="J498" t="s">
        <v>41</v>
      </c>
    </row>
    <row r="499" spans="1:10" x14ac:dyDescent="0.25">
      <c r="A499" s="1">
        <v>7</v>
      </c>
      <c r="B499" t="s">
        <v>24</v>
      </c>
      <c r="C499">
        <v>630</v>
      </c>
      <c r="D499">
        <v>5</v>
      </c>
      <c r="E499" t="s">
        <v>29</v>
      </c>
      <c r="F499" t="s">
        <v>30</v>
      </c>
      <c r="G499" t="str">
        <f>"2026-03-13 04:27:53.920"</f>
        <v>2026-03-13 04:27:53.920</v>
      </c>
      <c r="H499" t="s">
        <v>31</v>
      </c>
    </row>
    <row r="500" spans="1:10" x14ac:dyDescent="0.25">
      <c r="A500" s="1">
        <v>8</v>
      </c>
      <c r="B500" t="s">
        <v>19</v>
      </c>
      <c r="C500">
        <v>706</v>
      </c>
      <c r="D500">
        <v>2</v>
      </c>
      <c r="E500" t="s">
        <v>20</v>
      </c>
      <c r="F500" t="s">
        <v>21</v>
      </c>
      <c r="G500" t="str">
        <f>"2026-03-13 04:27:23.738"</f>
        <v>2026-03-13 04:27:23.738</v>
      </c>
      <c r="H500" t="s">
        <v>22</v>
      </c>
      <c r="I500">
        <v>0</v>
      </c>
      <c r="J500" t="s">
        <v>23</v>
      </c>
    </row>
    <row r="501" spans="1:10" x14ac:dyDescent="0.25">
      <c r="A501" s="1">
        <v>9</v>
      </c>
      <c r="B501" t="s">
        <v>32</v>
      </c>
      <c r="C501">
        <v>630</v>
      </c>
      <c r="D501">
        <v>5</v>
      </c>
      <c r="E501" t="s">
        <v>29</v>
      </c>
      <c r="F501" t="s">
        <v>30</v>
      </c>
      <c r="G501" t="str">
        <f>"2026-03-13 03:10:04.520"</f>
        <v>2026-03-13 03:10:04.520</v>
      </c>
      <c r="H501" t="s">
        <v>31</v>
      </c>
      <c r="I501">
        <v>0</v>
      </c>
      <c r="J501" t="s">
        <v>23</v>
      </c>
    </row>
    <row r="502" spans="1:10" x14ac:dyDescent="0.25">
      <c r="A502" s="1">
        <v>10</v>
      </c>
      <c r="B502" t="s">
        <v>19</v>
      </c>
      <c r="C502">
        <v>700</v>
      </c>
      <c r="D502">
        <v>0</v>
      </c>
      <c r="E502" t="s">
        <v>33</v>
      </c>
      <c r="F502" t="s">
        <v>33</v>
      </c>
      <c r="G502" t="str">
        <f>"2026-03-13 03:05:01.718"</f>
        <v>2026-03-13 03:05:01.718</v>
      </c>
      <c r="H502" t="s">
        <v>22</v>
      </c>
    </row>
    <row r="503" spans="1:10" x14ac:dyDescent="0.25">
      <c r="A503" s="1">
        <v>11</v>
      </c>
      <c r="B503" t="s">
        <v>32</v>
      </c>
      <c r="C503">
        <v>630</v>
      </c>
      <c r="D503">
        <v>5</v>
      </c>
      <c r="E503" t="s">
        <v>29</v>
      </c>
      <c r="F503" t="s">
        <v>30</v>
      </c>
      <c r="G503" t="str">
        <f>"2026-03-13 02:49:30.628"</f>
        <v>2026-03-13 02:49:30.628</v>
      </c>
      <c r="H503" t="s">
        <v>31</v>
      </c>
      <c r="I503">
        <v>0</v>
      </c>
      <c r="J503" t="s">
        <v>23</v>
      </c>
    </row>
    <row r="504" spans="1:10" x14ac:dyDescent="0.25">
      <c r="A504" s="1">
        <v>12</v>
      </c>
      <c r="B504" t="s">
        <v>19</v>
      </c>
      <c r="C504">
        <v>700</v>
      </c>
      <c r="D504">
        <v>0</v>
      </c>
      <c r="E504" t="s">
        <v>33</v>
      </c>
      <c r="F504" t="s">
        <v>33</v>
      </c>
      <c r="G504" t="str">
        <f>"2026-03-13 02:44:27.844"</f>
        <v>2026-03-13 02:44:27.844</v>
      </c>
      <c r="H504" t="s">
        <v>22</v>
      </c>
    </row>
    <row r="505" spans="1:10" x14ac:dyDescent="0.25">
      <c r="A505" s="1">
        <v>14</v>
      </c>
      <c r="B505" t="s">
        <v>24</v>
      </c>
      <c r="C505">
        <v>630</v>
      </c>
      <c r="D505">
        <v>5</v>
      </c>
      <c r="E505" t="s">
        <v>29</v>
      </c>
      <c r="F505" t="s">
        <v>30</v>
      </c>
      <c r="G505" t="str">
        <f>"2026-03-12 23:44:33.008"</f>
        <v>2026-03-12 23:44:33.008</v>
      </c>
      <c r="H505" t="s">
        <v>31</v>
      </c>
    </row>
    <row r="506" spans="1:10" x14ac:dyDescent="0.25">
      <c r="A506" s="1">
        <v>15</v>
      </c>
      <c r="B506" t="s">
        <v>19</v>
      </c>
      <c r="C506">
        <v>706</v>
      </c>
      <c r="D506">
        <v>2</v>
      </c>
      <c r="E506" t="s">
        <v>20</v>
      </c>
      <c r="F506" t="s">
        <v>21</v>
      </c>
      <c r="G506" t="str">
        <f>"2026-03-12 23:44:02.867"</f>
        <v>2026-03-12 23:44:02.867</v>
      </c>
      <c r="H506" t="s">
        <v>22</v>
      </c>
      <c r="I506">
        <v>0</v>
      </c>
      <c r="J506" t="s">
        <v>23</v>
      </c>
    </row>
    <row r="507" spans="1:10" x14ac:dyDescent="0.25">
      <c r="A507" s="1">
        <v>16</v>
      </c>
      <c r="B507" t="s">
        <v>32</v>
      </c>
      <c r="C507">
        <v>630</v>
      </c>
      <c r="D507">
        <v>5</v>
      </c>
      <c r="E507" t="s">
        <v>29</v>
      </c>
      <c r="F507" t="s">
        <v>30</v>
      </c>
      <c r="G507" t="str">
        <f>"2026-03-12 23:34:39.308"</f>
        <v>2026-03-12 23:34:39.308</v>
      </c>
      <c r="H507" t="s">
        <v>31</v>
      </c>
      <c r="I507">
        <v>0</v>
      </c>
      <c r="J507" t="s">
        <v>23</v>
      </c>
    </row>
    <row r="508" spans="1:10" x14ac:dyDescent="0.25">
      <c r="A508" s="1">
        <v>17</v>
      </c>
      <c r="B508" t="s">
        <v>24</v>
      </c>
      <c r="C508">
        <v>635</v>
      </c>
      <c r="D508">
        <v>1</v>
      </c>
      <c r="E508" t="s">
        <v>25</v>
      </c>
      <c r="F508" t="s">
        <v>26</v>
      </c>
      <c r="G508" t="str">
        <f>"2026-03-12 20:15:53.707"</f>
        <v>2026-03-12 20:15:53.707</v>
      </c>
      <c r="H508" t="s">
        <v>22</v>
      </c>
    </row>
    <row r="509" spans="1:10" x14ac:dyDescent="0.25">
      <c r="A509" s="1">
        <v>18</v>
      </c>
      <c r="B509" t="s">
        <v>27</v>
      </c>
      <c r="C509">
        <v>635</v>
      </c>
      <c r="D509">
        <v>1</v>
      </c>
      <c r="E509" t="s">
        <v>25</v>
      </c>
      <c r="F509" t="s">
        <v>26</v>
      </c>
      <c r="G509" t="str">
        <f>"2026-03-12 20:13:47.707"</f>
        <v>2026-03-12 20:13:47.707</v>
      </c>
      <c r="H509" t="s">
        <v>22</v>
      </c>
      <c r="I509">
        <v>5.38</v>
      </c>
      <c r="J509" t="s">
        <v>28</v>
      </c>
    </row>
    <row r="510" spans="1:10" s="3" customFormat="1" x14ac:dyDescent="0.25">
      <c r="A510" s="2">
        <v>19</v>
      </c>
      <c r="B510" s="3" t="s">
        <v>24</v>
      </c>
      <c r="C510" s="3">
        <v>647</v>
      </c>
      <c r="D510" s="3">
        <v>1</v>
      </c>
      <c r="E510" s="3" t="s">
        <v>34</v>
      </c>
      <c r="F510" s="3" t="s">
        <v>35</v>
      </c>
      <c r="G510" s="3" t="str">
        <f>"2026-03-12 19:23:39.108"</f>
        <v>2026-03-12 19:23:39.108</v>
      </c>
      <c r="H510" s="3" t="s">
        <v>22</v>
      </c>
    </row>
    <row r="511" spans="1:10" s="3" customFormat="1" x14ac:dyDescent="0.25">
      <c r="A511" s="2">
        <v>20</v>
      </c>
      <c r="B511" s="3" t="s">
        <v>27</v>
      </c>
      <c r="C511" s="3">
        <v>647</v>
      </c>
      <c r="D511" s="3">
        <v>1</v>
      </c>
      <c r="E511" s="3" t="s">
        <v>34</v>
      </c>
      <c r="F511" s="3" t="s">
        <v>35</v>
      </c>
      <c r="G511" s="3" t="str">
        <f>"2026-03-12 19:23:37.608"</f>
        <v>2026-03-12 19:23:37.608</v>
      </c>
      <c r="H511" s="3" t="s">
        <v>22</v>
      </c>
      <c r="I511" s="3">
        <v>8.4700000000000006</v>
      </c>
      <c r="J511" s="3" t="s">
        <v>37</v>
      </c>
    </row>
    <row r="512" spans="1:10" s="3" customFormat="1" x14ac:dyDescent="0.25">
      <c r="A512" s="2">
        <v>21</v>
      </c>
      <c r="B512" s="3" t="s">
        <v>24</v>
      </c>
      <c r="C512" s="3">
        <v>647</v>
      </c>
      <c r="D512" s="3">
        <v>1</v>
      </c>
      <c r="E512" s="3" t="s">
        <v>34</v>
      </c>
      <c r="F512" s="3" t="s">
        <v>35</v>
      </c>
      <c r="G512" s="3" t="str">
        <f>"2026-03-11 17:16:42.408"</f>
        <v>2026-03-11 17:16:42.408</v>
      </c>
      <c r="H512" s="3" t="s">
        <v>22</v>
      </c>
    </row>
    <row r="513" spans="1:10" s="3" customFormat="1" x14ac:dyDescent="0.25">
      <c r="A513" s="2">
        <v>22</v>
      </c>
      <c r="B513" s="3" t="s">
        <v>27</v>
      </c>
      <c r="C513" s="3">
        <v>647</v>
      </c>
      <c r="D513" s="3">
        <v>1</v>
      </c>
      <c r="E513" s="3" t="s">
        <v>34</v>
      </c>
      <c r="F513" s="3" t="s">
        <v>35</v>
      </c>
      <c r="G513" s="3" t="str">
        <f>"2026-03-11 17:16:38.308"</f>
        <v>2026-03-11 17:16:38.308</v>
      </c>
      <c r="H513" s="3" t="s">
        <v>22</v>
      </c>
      <c r="I513" s="3">
        <v>8.3000000000000007</v>
      </c>
      <c r="J513" s="3" t="s">
        <v>36</v>
      </c>
    </row>
    <row r="514" spans="1:10" s="3" customFormat="1" x14ac:dyDescent="0.25">
      <c r="A514" s="2">
        <v>23</v>
      </c>
      <c r="B514" s="3" t="s">
        <v>24</v>
      </c>
      <c r="C514" s="3">
        <v>647</v>
      </c>
      <c r="D514" s="3">
        <v>1</v>
      </c>
      <c r="E514" s="3" t="s">
        <v>34</v>
      </c>
      <c r="F514" s="3" t="s">
        <v>35</v>
      </c>
      <c r="G514" s="3" t="str">
        <f>"2026-03-11 11:06:01.408"</f>
        <v>2026-03-11 11:06:01.408</v>
      </c>
      <c r="H514" s="3" t="s">
        <v>22</v>
      </c>
    </row>
    <row r="515" spans="1:10" s="3" customFormat="1" x14ac:dyDescent="0.25">
      <c r="A515" s="2">
        <v>24</v>
      </c>
      <c r="B515" s="3" t="s">
        <v>27</v>
      </c>
      <c r="C515" s="3">
        <v>647</v>
      </c>
      <c r="D515" s="3">
        <v>1</v>
      </c>
      <c r="E515" s="3" t="s">
        <v>34</v>
      </c>
      <c r="F515" s="3" t="s">
        <v>35</v>
      </c>
      <c r="G515" s="3" t="str">
        <f>"2026-03-11 11:05:59.808"</f>
        <v>2026-03-11 11:05:59.808</v>
      </c>
      <c r="H515" s="3" t="s">
        <v>22</v>
      </c>
      <c r="I515" s="3">
        <v>10.130000000000001</v>
      </c>
      <c r="J515" s="3" t="s">
        <v>37</v>
      </c>
    </row>
    <row r="516" spans="1:10" x14ac:dyDescent="0.25">
      <c r="A516" s="1">
        <v>25</v>
      </c>
      <c r="B516" t="s">
        <v>19</v>
      </c>
      <c r="C516">
        <v>706</v>
      </c>
      <c r="D516">
        <v>4</v>
      </c>
      <c r="E516" t="s">
        <v>20</v>
      </c>
      <c r="F516" t="s">
        <v>40</v>
      </c>
      <c r="G516" t="str">
        <f>"2026-03-11 08:02:21.867"</f>
        <v>2026-03-11 08:02:21.867</v>
      </c>
      <c r="H516" t="s">
        <v>22</v>
      </c>
      <c r="I516">
        <v>0</v>
      </c>
      <c r="J516" t="s">
        <v>23</v>
      </c>
    </row>
    <row r="517" spans="1:10" x14ac:dyDescent="0.25">
      <c r="A517" s="1">
        <v>26</v>
      </c>
      <c r="B517" t="s">
        <v>19</v>
      </c>
      <c r="C517">
        <v>700</v>
      </c>
      <c r="D517">
        <v>0</v>
      </c>
      <c r="E517" t="s">
        <v>33</v>
      </c>
      <c r="F517" t="s">
        <v>33</v>
      </c>
      <c r="G517" t="str">
        <f>"2026-03-11 08:01:57.837"</f>
        <v>2026-03-11 08:01:57.837</v>
      </c>
      <c r="H517" t="s">
        <v>22</v>
      </c>
    </row>
    <row r="518" spans="1:10" x14ac:dyDescent="0.25">
      <c r="A518" s="1">
        <v>28</v>
      </c>
      <c r="B518" t="s">
        <v>24</v>
      </c>
      <c r="C518">
        <v>635</v>
      </c>
      <c r="D518">
        <v>1</v>
      </c>
      <c r="E518" t="s">
        <v>25</v>
      </c>
      <c r="F518" t="s">
        <v>26</v>
      </c>
      <c r="G518" t="str">
        <f>"2026-03-10 23:28:22.778"</f>
        <v>2026-03-10 23:28:22.778</v>
      </c>
      <c r="H518" t="s">
        <v>22</v>
      </c>
    </row>
    <row r="519" spans="1:10" x14ac:dyDescent="0.25">
      <c r="A519" s="1">
        <v>29</v>
      </c>
      <c r="B519" t="s">
        <v>27</v>
      </c>
      <c r="C519">
        <v>635</v>
      </c>
      <c r="D519">
        <v>1</v>
      </c>
      <c r="E519" t="s">
        <v>25</v>
      </c>
      <c r="F519" t="s">
        <v>26</v>
      </c>
      <c r="G519" t="str">
        <f>"2026-03-10 23:23:47.778"</f>
        <v>2026-03-10 23:23:47.778</v>
      </c>
      <c r="H519" t="s">
        <v>22</v>
      </c>
      <c r="I519">
        <v>7.02</v>
      </c>
      <c r="J519" t="s">
        <v>28</v>
      </c>
    </row>
    <row r="520" spans="1:10" x14ac:dyDescent="0.25">
      <c r="A520" s="1">
        <v>30</v>
      </c>
      <c r="B520" t="s">
        <v>19</v>
      </c>
      <c r="C520">
        <v>700</v>
      </c>
      <c r="D520">
        <v>0</v>
      </c>
      <c r="E520" t="s">
        <v>33</v>
      </c>
      <c r="F520" t="s">
        <v>33</v>
      </c>
      <c r="G520" t="str">
        <f>"2026-03-10 17:31:19.720"</f>
        <v>2026-03-10 17:31:19.720</v>
      </c>
      <c r="H520" t="s">
        <v>22</v>
      </c>
      <c r="I520">
        <v>0</v>
      </c>
      <c r="J520" t="s">
        <v>41</v>
      </c>
    </row>
    <row r="521" spans="1:10" x14ac:dyDescent="0.25">
      <c r="A521" s="1">
        <v>33</v>
      </c>
      <c r="B521" t="s">
        <v>19</v>
      </c>
      <c r="C521">
        <v>782</v>
      </c>
      <c r="D521">
        <v>7</v>
      </c>
      <c r="E521" t="s">
        <v>43</v>
      </c>
      <c r="F521" t="s">
        <v>44</v>
      </c>
      <c r="G521" t="str">
        <f>"2026-03-10 16:17:11.919"</f>
        <v>2026-03-10 16:17:11.919</v>
      </c>
      <c r="H521" t="s">
        <v>22</v>
      </c>
      <c r="I521">
        <v>0</v>
      </c>
      <c r="J521" t="s">
        <v>37</v>
      </c>
    </row>
    <row r="522" spans="1:10" x14ac:dyDescent="0.25">
      <c r="A522" s="1">
        <v>36</v>
      </c>
      <c r="B522" t="s">
        <v>24</v>
      </c>
      <c r="C522">
        <v>79</v>
      </c>
      <c r="D522">
        <v>9</v>
      </c>
      <c r="E522" t="s">
        <v>45</v>
      </c>
      <c r="F522" t="s">
        <v>46</v>
      </c>
      <c r="G522" t="str">
        <f>"2026-03-10 16:17:11.913"</f>
        <v>2026-03-10 16:17:11.913</v>
      </c>
      <c r="H522" t="s">
        <v>47</v>
      </c>
    </row>
    <row r="523" spans="1:10" x14ac:dyDescent="0.25">
      <c r="A523" s="1">
        <v>37</v>
      </c>
      <c r="B523" t="s">
        <v>19</v>
      </c>
      <c r="C523">
        <v>782</v>
      </c>
      <c r="D523">
        <v>7</v>
      </c>
      <c r="E523" t="s">
        <v>43</v>
      </c>
      <c r="F523" t="s">
        <v>44</v>
      </c>
      <c r="G523" t="str">
        <f>"2026-03-10 16:17:11.911"</f>
        <v>2026-03-10 16:17:11.911</v>
      </c>
      <c r="H523" t="s">
        <v>22</v>
      </c>
      <c r="I523">
        <v>0</v>
      </c>
      <c r="J523" t="s">
        <v>37</v>
      </c>
    </row>
    <row r="524" spans="1:10" x14ac:dyDescent="0.25">
      <c r="A524" s="1">
        <v>38</v>
      </c>
      <c r="B524" t="s">
        <v>19</v>
      </c>
      <c r="C524">
        <v>700</v>
      </c>
      <c r="D524">
        <v>0</v>
      </c>
      <c r="E524" t="s">
        <v>33</v>
      </c>
      <c r="F524" t="s">
        <v>33</v>
      </c>
      <c r="G524" t="str">
        <f>"2026-03-10 16:16:41.934"</f>
        <v>2026-03-10 16:16:41.934</v>
      </c>
      <c r="H524" t="s">
        <v>22</v>
      </c>
    </row>
    <row r="525" spans="1:10" x14ac:dyDescent="0.25">
      <c r="A525" s="1">
        <v>39</v>
      </c>
      <c r="B525" t="s">
        <v>19</v>
      </c>
      <c r="C525">
        <v>700</v>
      </c>
      <c r="D525">
        <v>0</v>
      </c>
      <c r="E525" t="s">
        <v>33</v>
      </c>
      <c r="F525" t="s">
        <v>33</v>
      </c>
      <c r="G525" t="str">
        <f>"2026-03-10 15:30:50.713"</f>
        <v>2026-03-10 15:30:50.713</v>
      </c>
      <c r="H525" t="s">
        <v>22</v>
      </c>
      <c r="I525">
        <v>0</v>
      </c>
      <c r="J525" t="s">
        <v>41</v>
      </c>
    </row>
    <row r="526" spans="1:10" x14ac:dyDescent="0.25">
      <c r="A526" s="1">
        <v>40</v>
      </c>
      <c r="B526" t="s">
        <v>19</v>
      </c>
      <c r="C526">
        <v>700</v>
      </c>
      <c r="D526">
        <v>0</v>
      </c>
      <c r="E526" t="s">
        <v>33</v>
      </c>
      <c r="F526" t="s">
        <v>33</v>
      </c>
      <c r="G526" t="str">
        <f>"2026-03-10 15:26:20.710"</f>
        <v>2026-03-10 15:26:20.710</v>
      </c>
      <c r="H526" t="s">
        <v>22</v>
      </c>
    </row>
    <row r="527" spans="1:10" x14ac:dyDescent="0.25">
      <c r="A527" s="1">
        <v>41</v>
      </c>
      <c r="B527" t="s">
        <v>24</v>
      </c>
      <c r="C527">
        <v>14</v>
      </c>
      <c r="D527">
        <v>10</v>
      </c>
      <c r="E527" t="s">
        <v>48</v>
      </c>
      <c r="F527" t="s">
        <v>49</v>
      </c>
      <c r="G527" t="str">
        <f>"2026-03-10 15:23:56.298"</f>
        <v>2026-03-10 15:23:56.298</v>
      </c>
      <c r="H527" t="s">
        <v>31</v>
      </c>
    </row>
    <row r="528" spans="1:10" x14ac:dyDescent="0.25">
      <c r="A528" s="1">
        <v>42</v>
      </c>
      <c r="B528" t="s">
        <v>50</v>
      </c>
      <c r="C528">
        <v>205</v>
      </c>
      <c r="D528">
        <v>3</v>
      </c>
      <c r="E528" t="s">
        <v>51</v>
      </c>
      <c r="F528" t="s">
        <v>52</v>
      </c>
      <c r="G528" t="str">
        <f>"2026-03-10 15:23:37.689"</f>
        <v>2026-03-10 15:23:37.689</v>
      </c>
      <c r="H528" t="s">
        <v>53</v>
      </c>
    </row>
    <row r="529" spans="1:10" x14ac:dyDescent="0.25">
      <c r="A529" s="1">
        <v>43</v>
      </c>
      <c r="B529" t="s">
        <v>50</v>
      </c>
      <c r="C529">
        <v>204</v>
      </c>
      <c r="D529">
        <v>8</v>
      </c>
      <c r="E529" t="s">
        <v>54</v>
      </c>
      <c r="F529" t="s">
        <v>55</v>
      </c>
      <c r="G529" t="str">
        <f>"2026-03-10 15:23:37.687"</f>
        <v>2026-03-10 15:23:37.687</v>
      </c>
      <c r="H529" t="s">
        <v>53</v>
      </c>
    </row>
    <row r="530" spans="1:10" x14ac:dyDescent="0.25">
      <c r="A530" s="1">
        <v>44</v>
      </c>
      <c r="B530" t="s">
        <v>50</v>
      </c>
      <c r="C530">
        <v>204</v>
      </c>
      <c r="D530">
        <v>6</v>
      </c>
      <c r="E530" t="s">
        <v>54</v>
      </c>
      <c r="F530" t="s">
        <v>56</v>
      </c>
      <c r="G530" t="str">
        <f>"2026-03-10 15:23:37.684"</f>
        <v>2026-03-10 15:23:37.684</v>
      </c>
      <c r="H530" t="s">
        <v>53</v>
      </c>
    </row>
    <row r="531" spans="1:10" x14ac:dyDescent="0.25">
      <c r="A531" s="1">
        <v>45</v>
      </c>
      <c r="B531" t="s">
        <v>50</v>
      </c>
      <c r="C531">
        <v>204</v>
      </c>
      <c r="D531">
        <v>5</v>
      </c>
      <c r="E531" t="s">
        <v>54</v>
      </c>
      <c r="F531" t="s">
        <v>57</v>
      </c>
      <c r="G531" t="str">
        <f>"2026-03-10 15:23:37.683"</f>
        <v>2026-03-10 15:23:37.683</v>
      </c>
      <c r="H531" t="s">
        <v>53</v>
      </c>
    </row>
    <row r="532" spans="1:10" x14ac:dyDescent="0.25">
      <c r="A532" s="1">
        <v>46</v>
      </c>
      <c r="B532" t="s">
        <v>50</v>
      </c>
      <c r="C532">
        <v>204</v>
      </c>
      <c r="D532">
        <v>1</v>
      </c>
      <c r="E532" t="s">
        <v>54</v>
      </c>
      <c r="F532" t="s">
        <v>58</v>
      </c>
      <c r="G532" t="str">
        <f>"2026-03-10 15:23:37.681"</f>
        <v>2026-03-10 15:23:37.681</v>
      </c>
      <c r="H532" t="s">
        <v>53</v>
      </c>
    </row>
    <row r="533" spans="1:10" x14ac:dyDescent="0.25">
      <c r="A533" s="1">
        <v>47</v>
      </c>
      <c r="B533" t="s">
        <v>50</v>
      </c>
      <c r="C533">
        <v>105</v>
      </c>
      <c r="D533">
        <v>3</v>
      </c>
      <c r="E533" t="s">
        <v>59</v>
      </c>
      <c r="F533" t="s">
        <v>52</v>
      </c>
      <c r="G533" t="str">
        <f>"2026-03-10 15:23:37.679"</f>
        <v>2026-03-10 15:23:37.679</v>
      </c>
      <c r="H533" t="s">
        <v>60</v>
      </c>
    </row>
    <row r="534" spans="1:10" x14ac:dyDescent="0.25">
      <c r="A534" s="1">
        <v>48</v>
      </c>
      <c r="B534" t="s">
        <v>50</v>
      </c>
      <c r="C534">
        <v>104</v>
      </c>
      <c r="D534">
        <v>8</v>
      </c>
      <c r="E534" t="s">
        <v>61</v>
      </c>
      <c r="F534" t="s">
        <v>55</v>
      </c>
      <c r="G534" t="str">
        <f>"2026-03-10 15:23:37.676"</f>
        <v>2026-03-10 15:23:37.676</v>
      </c>
      <c r="H534" t="s">
        <v>60</v>
      </c>
    </row>
    <row r="535" spans="1:10" x14ac:dyDescent="0.25">
      <c r="A535" s="1">
        <v>49</v>
      </c>
      <c r="B535" t="s">
        <v>50</v>
      </c>
      <c r="C535">
        <v>104</v>
      </c>
      <c r="D535">
        <v>6</v>
      </c>
      <c r="E535" t="s">
        <v>61</v>
      </c>
      <c r="F535" t="s">
        <v>56</v>
      </c>
      <c r="G535" t="str">
        <f>"2026-03-10 15:23:37.674"</f>
        <v>2026-03-10 15:23:37.674</v>
      </c>
      <c r="H535" t="s">
        <v>60</v>
      </c>
    </row>
    <row r="536" spans="1:10" x14ac:dyDescent="0.25">
      <c r="A536" s="1">
        <v>50</v>
      </c>
      <c r="B536" t="s">
        <v>50</v>
      </c>
      <c r="C536">
        <v>104</v>
      </c>
      <c r="D536">
        <v>5</v>
      </c>
      <c r="E536" t="s">
        <v>61</v>
      </c>
      <c r="F536" t="s">
        <v>57</v>
      </c>
      <c r="G536" t="str">
        <f>"2026-03-10 15:23:37.670"</f>
        <v>2026-03-10 15:23:37.670</v>
      </c>
      <c r="H536" t="s">
        <v>60</v>
      </c>
    </row>
    <row r="537" spans="1:10" x14ac:dyDescent="0.25">
      <c r="A537" s="1">
        <v>51</v>
      </c>
      <c r="B537" t="s">
        <v>50</v>
      </c>
      <c r="C537">
        <v>104</v>
      </c>
      <c r="D537">
        <v>1</v>
      </c>
      <c r="E537" t="s">
        <v>61</v>
      </c>
      <c r="F537" t="s">
        <v>58</v>
      </c>
      <c r="G537" t="str">
        <f>"2026-03-10 15:23:37.668"</f>
        <v>2026-03-10 15:23:37.668</v>
      </c>
      <c r="H537" t="s">
        <v>60</v>
      </c>
    </row>
    <row r="538" spans="1:10" x14ac:dyDescent="0.25">
      <c r="A538" s="1">
        <v>52</v>
      </c>
      <c r="B538" t="s">
        <v>50</v>
      </c>
      <c r="C538">
        <v>23</v>
      </c>
      <c r="D538">
        <v>1</v>
      </c>
      <c r="E538" t="s">
        <v>62</v>
      </c>
      <c r="F538" t="s">
        <v>63</v>
      </c>
      <c r="G538" t="str">
        <f>"2026-03-10 15:23:37.667"</f>
        <v>2026-03-10 15:23:37.667</v>
      </c>
      <c r="H538" t="s">
        <v>64</v>
      </c>
    </row>
    <row r="539" spans="1:10" x14ac:dyDescent="0.25">
      <c r="A539" s="1">
        <v>53</v>
      </c>
      <c r="B539" t="s">
        <v>27</v>
      </c>
      <c r="C539">
        <v>79</v>
      </c>
      <c r="D539">
        <v>9</v>
      </c>
      <c r="E539" t="s">
        <v>45</v>
      </c>
      <c r="F539" t="s">
        <v>46</v>
      </c>
      <c r="G539" t="str">
        <f>"2026-03-10 15:23:35.202"</f>
        <v>2026-03-10 15:23:35.202</v>
      </c>
      <c r="H539" t="s">
        <v>47</v>
      </c>
      <c r="I539">
        <v>6.56</v>
      </c>
      <c r="J539" t="s">
        <v>37</v>
      </c>
    </row>
    <row r="540" spans="1:10" x14ac:dyDescent="0.25">
      <c r="A540" s="1">
        <v>54</v>
      </c>
      <c r="B540" t="s">
        <v>27</v>
      </c>
      <c r="C540">
        <v>14</v>
      </c>
      <c r="D540">
        <v>10</v>
      </c>
      <c r="E540" t="s">
        <v>48</v>
      </c>
      <c r="F540" t="s">
        <v>49</v>
      </c>
      <c r="G540" t="str">
        <f>"2026-03-10 15:23:35.198"</f>
        <v>2026-03-10 15:23:35.198</v>
      </c>
      <c r="H540" t="s">
        <v>31</v>
      </c>
      <c r="I540">
        <v>6.56</v>
      </c>
      <c r="J540" t="s">
        <v>37</v>
      </c>
    </row>
    <row r="541" spans="1:10" x14ac:dyDescent="0.25">
      <c r="A541" s="1">
        <v>55</v>
      </c>
      <c r="B541" t="s">
        <v>32</v>
      </c>
      <c r="C541">
        <v>205</v>
      </c>
      <c r="D541">
        <v>3</v>
      </c>
      <c r="E541" t="s">
        <v>51</v>
      </c>
      <c r="F541" t="s">
        <v>52</v>
      </c>
      <c r="G541" t="str">
        <f>"2026-03-10 15:23:34.857"</f>
        <v>2026-03-10 15:23:34.857</v>
      </c>
      <c r="H541" t="s">
        <v>53</v>
      </c>
      <c r="I541">
        <v>6.57</v>
      </c>
      <c r="J541" t="s">
        <v>37</v>
      </c>
    </row>
    <row r="542" spans="1:10" x14ac:dyDescent="0.25">
      <c r="A542" s="1">
        <v>56</v>
      </c>
      <c r="B542" t="s">
        <v>32</v>
      </c>
      <c r="C542">
        <v>105</v>
      </c>
      <c r="D542">
        <v>3</v>
      </c>
      <c r="E542" t="s">
        <v>59</v>
      </c>
      <c r="F542" t="s">
        <v>52</v>
      </c>
      <c r="G542" t="str">
        <f>"2026-03-10 15:23:34.852"</f>
        <v>2026-03-10 15:23:34.852</v>
      </c>
      <c r="H542" t="s">
        <v>60</v>
      </c>
      <c r="I542">
        <v>6.57</v>
      </c>
      <c r="J542" t="s">
        <v>37</v>
      </c>
    </row>
    <row r="543" spans="1:10" x14ac:dyDescent="0.25">
      <c r="A543" s="1">
        <v>57</v>
      </c>
      <c r="B543" t="s">
        <v>32</v>
      </c>
      <c r="C543">
        <v>104</v>
      </c>
      <c r="D543">
        <v>8</v>
      </c>
      <c r="E543" t="s">
        <v>61</v>
      </c>
      <c r="F543" t="s">
        <v>55</v>
      </c>
      <c r="G543" t="str">
        <f>"2026-03-10 15:23:34.721"</f>
        <v>2026-03-10 15:23:34.721</v>
      </c>
      <c r="H543" t="s">
        <v>60</v>
      </c>
      <c r="I543">
        <v>6.57</v>
      </c>
      <c r="J543" t="s">
        <v>37</v>
      </c>
    </row>
    <row r="544" spans="1:10" x14ac:dyDescent="0.25">
      <c r="A544" s="1">
        <v>58</v>
      </c>
      <c r="B544" t="s">
        <v>32</v>
      </c>
      <c r="C544">
        <v>104</v>
      </c>
      <c r="D544">
        <v>6</v>
      </c>
      <c r="E544" t="s">
        <v>61</v>
      </c>
      <c r="F544" t="s">
        <v>56</v>
      </c>
      <c r="G544" t="str">
        <f>"2026-03-10 15:23:34.717"</f>
        <v>2026-03-10 15:23:34.717</v>
      </c>
      <c r="H544" t="s">
        <v>60</v>
      </c>
      <c r="I544">
        <v>6.57</v>
      </c>
      <c r="J544" t="s">
        <v>37</v>
      </c>
    </row>
    <row r="545" spans="1:10" x14ac:dyDescent="0.25">
      <c r="A545" s="1">
        <v>59</v>
      </c>
      <c r="B545" t="s">
        <v>32</v>
      </c>
      <c r="C545">
        <v>104</v>
      </c>
      <c r="D545">
        <v>5</v>
      </c>
      <c r="E545" t="s">
        <v>61</v>
      </c>
      <c r="F545" t="s">
        <v>57</v>
      </c>
      <c r="G545" t="str">
        <f>"2026-03-10 15:23:34.712"</f>
        <v>2026-03-10 15:23:34.712</v>
      </c>
      <c r="H545" t="s">
        <v>60</v>
      </c>
      <c r="I545">
        <v>6.57</v>
      </c>
      <c r="J545" t="s">
        <v>37</v>
      </c>
    </row>
    <row r="546" spans="1:10" x14ac:dyDescent="0.25">
      <c r="A546" s="1">
        <v>60</v>
      </c>
      <c r="B546" t="s">
        <v>32</v>
      </c>
      <c r="C546">
        <v>204</v>
      </c>
      <c r="D546">
        <v>8</v>
      </c>
      <c r="E546" t="s">
        <v>54</v>
      </c>
      <c r="F546" t="s">
        <v>55</v>
      </c>
      <c r="G546" t="str">
        <f>"2026-03-10 15:23:34.661"</f>
        <v>2026-03-10 15:23:34.661</v>
      </c>
      <c r="H546" t="s">
        <v>53</v>
      </c>
      <c r="I546">
        <v>6.57</v>
      </c>
      <c r="J546" t="s">
        <v>37</v>
      </c>
    </row>
    <row r="547" spans="1:10" x14ac:dyDescent="0.25">
      <c r="A547" s="1">
        <v>61</v>
      </c>
      <c r="B547" t="s">
        <v>32</v>
      </c>
      <c r="C547">
        <v>204</v>
      </c>
      <c r="D547">
        <v>6</v>
      </c>
      <c r="E547" t="s">
        <v>54</v>
      </c>
      <c r="F547" t="s">
        <v>56</v>
      </c>
      <c r="G547" t="str">
        <f>"2026-03-10 15:23:34.657"</f>
        <v>2026-03-10 15:23:34.657</v>
      </c>
      <c r="H547" t="s">
        <v>53</v>
      </c>
      <c r="I547">
        <v>6.57</v>
      </c>
      <c r="J547" t="s">
        <v>37</v>
      </c>
    </row>
    <row r="548" spans="1:10" x14ac:dyDescent="0.25">
      <c r="A548" s="1">
        <v>62</v>
      </c>
      <c r="B548" t="s">
        <v>32</v>
      </c>
      <c r="C548">
        <v>204</v>
      </c>
      <c r="D548">
        <v>5</v>
      </c>
      <c r="E548" t="s">
        <v>54</v>
      </c>
      <c r="F548" t="s">
        <v>57</v>
      </c>
      <c r="G548" t="str">
        <f>"2026-03-10 15:23:34.652"</f>
        <v>2026-03-10 15:23:34.652</v>
      </c>
      <c r="H548" t="s">
        <v>53</v>
      </c>
      <c r="I548">
        <v>6.57</v>
      </c>
      <c r="J548" t="s">
        <v>37</v>
      </c>
    </row>
    <row r="549" spans="1:10" x14ac:dyDescent="0.25">
      <c r="A549" s="1">
        <v>63</v>
      </c>
      <c r="B549" t="s">
        <v>32</v>
      </c>
      <c r="C549">
        <v>23</v>
      </c>
      <c r="D549">
        <v>1</v>
      </c>
      <c r="E549" t="s">
        <v>62</v>
      </c>
      <c r="F549" t="s">
        <v>63</v>
      </c>
      <c r="G549" t="str">
        <f>"2026-03-10 15:23:34.378"</f>
        <v>2026-03-10 15:23:34.378</v>
      </c>
      <c r="H549" t="s">
        <v>64</v>
      </c>
      <c r="I549">
        <v>6.57</v>
      </c>
      <c r="J549" t="s">
        <v>28</v>
      </c>
    </row>
    <row r="550" spans="1:10" x14ac:dyDescent="0.25">
      <c r="A550" s="1">
        <v>64</v>
      </c>
      <c r="B550" t="s">
        <v>32</v>
      </c>
      <c r="C550">
        <v>204</v>
      </c>
      <c r="D550">
        <v>1</v>
      </c>
      <c r="E550" t="s">
        <v>54</v>
      </c>
      <c r="F550" t="s">
        <v>58</v>
      </c>
      <c r="G550" t="str">
        <f>"2026-03-10 15:23:34.318"</f>
        <v>2026-03-10 15:23:34.318</v>
      </c>
      <c r="H550" t="s">
        <v>53</v>
      </c>
      <c r="I550">
        <v>6.57</v>
      </c>
      <c r="J550" t="s">
        <v>28</v>
      </c>
    </row>
    <row r="551" spans="1:10" x14ac:dyDescent="0.25">
      <c r="A551" s="1">
        <v>65</v>
      </c>
      <c r="B551" t="s">
        <v>32</v>
      </c>
      <c r="C551">
        <v>104</v>
      </c>
      <c r="D551">
        <v>1</v>
      </c>
      <c r="E551" t="s">
        <v>61</v>
      </c>
      <c r="F551" t="s">
        <v>58</v>
      </c>
      <c r="G551" t="str">
        <f>"2026-03-10 15:23:34.312"</f>
        <v>2026-03-10 15:23:34.312</v>
      </c>
      <c r="H551" t="s">
        <v>60</v>
      </c>
      <c r="I551">
        <v>6.57</v>
      </c>
      <c r="J551" t="s">
        <v>28</v>
      </c>
    </row>
    <row r="552" spans="1:10" x14ac:dyDescent="0.25">
      <c r="A552" s="1">
        <v>66</v>
      </c>
      <c r="B552" t="s">
        <v>19</v>
      </c>
      <c r="C552">
        <v>706</v>
      </c>
      <c r="D552">
        <v>4</v>
      </c>
      <c r="E552" t="s">
        <v>20</v>
      </c>
      <c r="F552" t="s">
        <v>40</v>
      </c>
      <c r="G552" t="str">
        <f>"2026-03-10 15:23:34.209"</f>
        <v>2026-03-10 15:23:34.209</v>
      </c>
      <c r="H552" t="s">
        <v>22</v>
      </c>
      <c r="I552">
        <v>6.56</v>
      </c>
      <c r="J552" t="s">
        <v>28</v>
      </c>
    </row>
    <row r="553" spans="1:10" x14ac:dyDescent="0.25">
      <c r="A553" s="1">
        <v>67</v>
      </c>
      <c r="B553" t="s">
        <v>19</v>
      </c>
      <c r="C553">
        <v>700</v>
      </c>
      <c r="D553">
        <v>0</v>
      </c>
      <c r="E553" t="s">
        <v>33</v>
      </c>
      <c r="F553" t="s">
        <v>33</v>
      </c>
      <c r="G553" t="str">
        <f>"2026-03-10 13:31:37.699"</f>
        <v>2026-03-10 13:31:37.699</v>
      </c>
      <c r="H553" t="s">
        <v>22</v>
      </c>
      <c r="I553">
        <v>0</v>
      </c>
      <c r="J553" t="s">
        <v>41</v>
      </c>
    </row>
    <row r="554" spans="1:10" s="3" customFormat="1" x14ac:dyDescent="0.25">
      <c r="A554" s="2">
        <v>68</v>
      </c>
      <c r="B554" s="3" t="s">
        <v>24</v>
      </c>
      <c r="C554" s="3">
        <v>647</v>
      </c>
      <c r="D554" s="3">
        <v>1</v>
      </c>
      <c r="E554" s="3" t="s">
        <v>34</v>
      </c>
      <c r="F554" s="3" t="s">
        <v>35</v>
      </c>
      <c r="G554" s="3" t="str">
        <f>"2026-03-10 09:23:30.132"</f>
        <v>2026-03-10 09:23:30.132</v>
      </c>
      <c r="H554" s="3" t="s">
        <v>22</v>
      </c>
    </row>
    <row r="555" spans="1:10" s="3" customFormat="1" x14ac:dyDescent="0.25">
      <c r="A555" s="2">
        <v>69</v>
      </c>
      <c r="B555" s="3" t="s">
        <v>27</v>
      </c>
      <c r="C555" s="3">
        <v>647</v>
      </c>
      <c r="D555" s="3">
        <v>1</v>
      </c>
      <c r="E555" s="3" t="s">
        <v>34</v>
      </c>
      <c r="F555" s="3" t="s">
        <v>35</v>
      </c>
      <c r="G555" s="3" t="str">
        <f>"2026-03-10 09:23:28.632"</f>
        <v>2026-03-10 09:23:28.632</v>
      </c>
      <c r="H555" s="3" t="s">
        <v>22</v>
      </c>
      <c r="I555" s="3">
        <v>9.1</v>
      </c>
      <c r="J555" s="3" t="s">
        <v>37</v>
      </c>
    </row>
    <row r="556" spans="1:10" x14ac:dyDescent="0.25">
      <c r="A556" s="1">
        <v>70</v>
      </c>
      <c r="B556" t="s">
        <v>24</v>
      </c>
      <c r="C556">
        <v>635</v>
      </c>
      <c r="D556">
        <v>1</v>
      </c>
      <c r="E556" t="s">
        <v>25</v>
      </c>
      <c r="F556" t="s">
        <v>26</v>
      </c>
      <c r="G556" t="str">
        <f>"2026-03-10 08:42:40.730"</f>
        <v>2026-03-10 08:42:40.730</v>
      </c>
      <c r="H556" t="s">
        <v>22</v>
      </c>
    </row>
    <row r="557" spans="1:10" x14ac:dyDescent="0.25">
      <c r="A557" s="1">
        <v>71</v>
      </c>
      <c r="B557" t="s">
        <v>27</v>
      </c>
      <c r="C557">
        <v>635</v>
      </c>
      <c r="D557">
        <v>1</v>
      </c>
      <c r="E557" t="s">
        <v>25</v>
      </c>
      <c r="F557" t="s">
        <v>26</v>
      </c>
      <c r="G557" t="str">
        <f>"2026-03-10 08:39:08.731"</f>
        <v>2026-03-10 08:39:08.731</v>
      </c>
      <c r="H557" t="s">
        <v>22</v>
      </c>
      <c r="I557">
        <v>4.93</v>
      </c>
      <c r="J557" t="s">
        <v>37</v>
      </c>
    </row>
    <row r="558" spans="1:10" x14ac:dyDescent="0.25">
      <c r="A558" s="1">
        <v>72</v>
      </c>
      <c r="B558" t="s">
        <v>24</v>
      </c>
      <c r="C558">
        <v>630</v>
      </c>
      <c r="D558">
        <v>5</v>
      </c>
      <c r="E558" t="s">
        <v>29</v>
      </c>
      <c r="F558" t="s">
        <v>30</v>
      </c>
      <c r="G558" t="str">
        <f>"2026-03-10 06:13:48.832"</f>
        <v>2026-03-10 06:13:48.832</v>
      </c>
      <c r="H558" t="s">
        <v>31</v>
      </c>
    </row>
    <row r="559" spans="1:10" x14ac:dyDescent="0.25">
      <c r="A559" s="1">
        <v>73</v>
      </c>
      <c r="B559" t="s">
        <v>19</v>
      </c>
      <c r="C559">
        <v>706</v>
      </c>
      <c r="D559">
        <v>4</v>
      </c>
      <c r="E559" t="s">
        <v>20</v>
      </c>
      <c r="F559" t="s">
        <v>40</v>
      </c>
      <c r="G559" t="str">
        <f>"2026-03-10 06:13:18.726"</f>
        <v>2026-03-10 06:13:18.726</v>
      </c>
      <c r="H559" t="s">
        <v>22</v>
      </c>
      <c r="I559">
        <v>0</v>
      </c>
      <c r="J559" t="s">
        <v>23</v>
      </c>
    </row>
    <row r="560" spans="1:10" x14ac:dyDescent="0.25">
      <c r="A560" s="1">
        <v>74</v>
      </c>
      <c r="B560" t="s">
        <v>32</v>
      </c>
      <c r="C560">
        <v>630</v>
      </c>
      <c r="D560">
        <v>5</v>
      </c>
      <c r="E560" t="s">
        <v>29</v>
      </c>
      <c r="F560" t="s">
        <v>30</v>
      </c>
      <c r="G560" t="str">
        <f>"2026-03-10 06:04:06.132"</f>
        <v>2026-03-10 06:04:06.132</v>
      </c>
      <c r="H560" t="s">
        <v>31</v>
      </c>
      <c r="I560">
        <v>0</v>
      </c>
      <c r="J560" t="s">
        <v>23</v>
      </c>
    </row>
    <row r="561" spans="1:10" x14ac:dyDescent="0.25">
      <c r="A561" s="1">
        <v>77</v>
      </c>
      <c r="B561" t="s">
        <v>19</v>
      </c>
      <c r="C561">
        <v>782</v>
      </c>
      <c r="D561">
        <v>7</v>
      </c>
      <c r="E561" t="s">
        <v>43</v>
      </c>
      <c r="F561" t="s">
        <v>44</v>
      </c>
      <c r="G561" t="str">
        <f>"2026-03-10 03:51:11.842"</f>
        <v>2026-03-10 03:51:11.842</v>
      </c>
      <c r="H561" t="s">
        <v>22</v>
      </c>
      <c r="I561">
        <v>0</v>
      </c>
      <c r="J561" t="s">
        <v>37</v>
      </c>
    </row>
    <row r="562" spans="1:10" x14ac:dyDescent="0.25">
      <c r="A562" s="1">
        <v>80</v>
      </c>
      <c r="B562" t="s">
        <v>24</v>
      </c>
      <c r="C562">
        <v>79</v>
      </c>
      <c r="D562">
        <v>9</v>
      </c>
      <c r="E562" t="s">
        <v>45</v>
      </c>
      <c r="F562" t="s">
        <v>46</v>
      </c>
      <c r="G562" t="str">
        <f>"2026-03-10 03:51:11.836"</f>
        <v>2026-03-10 03:51:11.836</v>
      </c>
      <c r="H562" t="s">
        <v>47</v>
      </c>
    </row>
    <row r="563" spans="1:10" x14ac:dyDescent="0.25">
      <c r="A563" s="1">
        <v>81</v>
      </c>
      <c r="B563" t="s">
        <v>24</v>
      </c>
      <c r="C563">
        <v>14</v>
      </c>
      <c r="D563">
        <v>13</v>
      </c>
      <c r="E563" t="s">
        <v>48</v>
      </c>
      <c r="F563" t="s">
        <v>65</v>
      </c>
      <c r="G563" t="str">
        <f>"2026-03-10 03:51:11.833"</f>
        <v>2026-03-10 03:51:11.833</v>
      </c>
      <c r="H563" t="s">
        <v>31</v>
      </c>
    </row>
    <row r="564" spans="1:10" x14ac:dyDescent="0.25">
      <c r="A564" s="1">
        <v>82</v>
      </c>
      <c r="B564" t="s">
        <v>24</v>
      </c>
      <c r="C564">
        <v>14</v>
      </c>
      <c r="D564">
        <v>10</v>
      </c>
      <c r="E564" t="s">
        <v>48</v>
      </c>
      <c r="F564" t="s">
        <v>49</v>
      </c>
      <c r="G564" t="str">
        <f>"2026-03-10 03:51:11.832"</f>
        <v>2026-03-10 03:51:11.832</v>
      </c>
      <c r="H564" t="s">
        <v>31</v>
      </c>
    </row>
    <row r="565" spans="1:10" x14ac:dyDescent="0.25">
      <c r="A565" s="1">
        <v>83</v>
      </c>
      <c r="B565" t="s">
        <v>19</v>
      </c>
      <c r="C565">
        <v>782</v>
      </c>
      <c r="D565">
        <v>7</v>
      </c>
      <c r="E565" t="s">
        <v>43</v>
      </c>
      <c r="F565" t="s">
        <v>44</v>
      </c>
      <c r="G565" t="str">
        <f>"2026-03-10 03:51:11.831"</f>
        <v>2026-03-10 03:51:11.831</v>
      </c>
      <c r="H565" t="s">
        <v>22</v>
      </c>
      <c r="I565">
        <v>0</v>
      </c>
      <c r="J565" t="s">
        <v>37</v>
      </c>
    </row>
    <row r="566" spans="1:10" x14ac:dyDescent="0.25">
      <c r="A566" s="1">
        <v>84</v>
      </c>
      <c r="B566" t="s">
        <v>50</v>
      </c>
      <c r="C566">
        <v>205</v>
      </c>
      <c r="D566">
        <v>3</v>
      </c>
      <c r="E566" t="s">
        <v>51</v>
      </c>
      <c r="F566" t="s">
        <v>52</v>
      </c>
      <c r="G566" t="str">
        <f>"2026-03-10 03:50:57.178"</f>
        <v>2026-03-10 03:50:57.178</v>
      </c>
      <c r="H566" t="s">
        <v>53</v>
      </c>
    </row>
    <row r="567" spans="1:10" x14ac:dyDescent="0.25">
      <c r="A567" s="1">
        <v>85</v>
      </c>
      <c r="B567" t="s">
        <v>32</v>
      </c>
      <c r="C567">
        <v>205</v>
      </c>
      <c r="D567">
        <v>3</v>
      </c>
      <c r="E567" t="s">
        <v>51</v>
      </c>
      <c r="F567" t="s">
        <v>52</v>
      </c>
      <c r="G567" t="str">
        <f>"2026-03-10 03:50:55.614"</f>
        <v>2026-03-10 03:50:55.614</v>
      </c>
      <c r="H567" t="s">
        <v>53</v>
      </c>
      <c r="I567">
        <v>0.79</v>
      </c>
      <c r="J567" t="s">
        <v>37</v>
      </c>
    </row>
    <row r="568" spans="1:10" x14ac:dyDescent="0.25">
      <c r="A568" s="1">
        <v>86</v>
      </c>
      <c r="B568" t="s">
        <v>50</v>
      </c>
      <c r="C568">
        <v>205</v>
      </c>
      <c r="D568">
        <v>3</v>
      </c>
      <c r="E568" t="s">
        <v>51</v>
      </c>
      <c r="F568" t="s">
        <v>52</v>
      </c>
      <c r="G568" t="str">
        <f>"2026-03-10 03:50:55.453"</f>
        <v>2026-03-10 03:50:55.453</v>
      </c>
      <c r="H568" t="s">
        <v>53</v>
      </c>
    </row>
    <row r="569" spans="1:10" x14ac:dyDescent="0.25">
      <c r="A569" s="1">
        <v>87</v>
      </c>
      <c r="B569" t="s">
        <v>50</v>
      </c>
      <c r="C569">
        <v>204</v>
      </c>
      <c r="D569">
        <v>8</v>
      </c>
      <c r="E569" t="s">
        <v>54</v>
      </c>
      <c r="F569" t="s">
        <v>55</v>
      </c>
      <c r="G569" t="str">
        <f>"2026-03-10 03:50:55.451"</f>
        <v>2026-03-10 03:50:55.451</v>
      </c>
      <c r="H569" t="s">
        <v>53</v>
      </c>
    </row>
    <row r="570" spans="1:10" x14ac:dyDescent="0.25">
      <c r="A570" s="1">
        <v>88</v>
      </c>
      <c r="B570" t="s">
        <v>50</v>
      </c>
      <c r="C570">
        <v>204</v>
      </c>
      <c r="D570">
        <v>6</v>
      </c>
      <c r="E570" t="s">
        <v>54</v>
      </c>
      <c r="F570" t="s">
        <v>56</v>
      </c>
      <c r="G570" t="str">
        <f>"2026-03-10 03:50:55.449"</f>
        <v>2026-03-10 03:50:55.449</v>
      </c>
      <c r="H570" t="s">
        <v>53</v>
      </c>
    </row>
    <row r="571" spans="1:10" x14ac:dyDescent="0.25">
      <c r="A571" s="1">
        <v>89</v>
      </c>
      <c r="B571" t="s">
        <v>50</v>
      </c>
      <c r="C571">
        <v>204</v>
      </c>
      <c r="D571">
        <v>5</v>
      </c>
      <c r="E571" t="s">
        <v>54</v>
      </c>
      <c r="F571" t="s">
        <v>57</v>
      </c>
      <c r="G571" t="str">
        <f>"2026-03-10 03:50:55.448"</f>
        <v>2026-03-10 03:50:55.448</v>
      </c>
      <c r="H571" t="s">
        <v>53</v>
      </c>
    </row>
    <row r="572" spans="1:10" x14ac:dyDescent="0.25">
      <c r="A572" s="1">
        <v>90</v>
      </c>
      <c r="B572" t="s">
        <v>50</v>
      </c>
      <c r="C572">
        <v>204</v>
      </c>
      <c r="D572">
        <v>1</v>
      </c>
      <c r="E572" t="s">
        <v>54</v>
      </c>
      <c r="F572" t="s">
        <v>58</v>
      </c>
      <c r="G572" t="str">
        <f>"2026-03-10 03:50:55.445"</f>
        <v>2026-03-10 03:50:55.445</v>
      </c>
      <c r="H572" t="s">
        <v>53</v>
      </c>
    </row>
    <row r="573" spans="1:10" x14ac:dyDescent="0.25">
      <c r="A573" s="1">
        <v>91</v>
      </c>
      <c r="B573" t="s">
        <v>50</v>
      </c>
      <c r="C573">
        <v>105</v>
      </c>
      <c r="D573">
        <v>3</v>
      </c>
      <c r="E573" t="s">
        <v>59</v>
      </c>
      <c r="F573" t="s">
        <v>52</v>
      </c>
      <c r="G573" t="str">
        <f>"2026-03-10 03:50:55.443"</f>
        <v>2026-03-10 03:50:55.443</v>
      </c>
      <c r="H573" t="s">
        <v>60</v>
      </c>
    </row>
    <row r="574" spans="1:10" x14ac:dyDescent="0.25">
      <c r="A574" s="1">
        <v>92</v>
      </c>
      <c r="B574" t="s">
        <v>50</v>
      </c>
      <c r="C574">
        <v>104</v>
      </c>
      <c r="D574">
        <v>8</v>
      </c>
      <c r="E574" t="s">
        <v>61</v>
      </c>
      <c r="F574" t="s">
        <v>55</v>
      </c>
      <c r="G574" t="str">
        <f>"2026-03-10 03:50:55.440"</f>
        <v>2026-03-10 03:50:55.440</v>
      </c>
      <c r="H574" t="s">
        <v>60</v>
      </c>
    </row>
    <row r="575" spans="1:10" x14ac:dyDescent="0.25">
      <c r="A575" s="1">
        <v>93</v>
      </c>
      <c r="B575" t="s">
        <v>50</v>
      </c>
      <c r="C575">
        <v>104</v>
      </c>
      <c r="D575">
        <v>6</v>
      </c>
      <c r="E575" t="s">
        <v>61</v>
      </c>
      <c r="F575" t="s">
        <v>56</v>
      </c>
      <c r="G575" t="str">
        <f>"2026-03-10 03:50:55.439"</f>
        <v>2026-03-10 03:50:55.439</v>
      </c>
      <c r="H575" t="s">
        <v>60</v>
      </c>
    </row>
    <row r="576" spans="1:10" x14ac:dyDescent="0.25">
      <c r="A576" s="1">
        <v>94</v>
      </c>
      <c r="B576" t="s">
        <v>50</v>
      </c>
      <c r="C576">
        <v>104</v>
      </c>
      <c r="D576">
        <v>5</v>
      </c>
      <c r="E576" t="s">
        <v>61</v>
      </c>
      <c r="F576" t="s">
        <v>57</v>
      </c>
      <c r="G576" t="str">
        <f>"2026-03-10 03:50:55.436"</f>
        <v>2026-03-10 03:50:55.436</v>
      </c>
      <c r="H576" t="s">
        <v>60</v>
      </c>
    </row>
    <row r="577" spans="1:10" x14ac:dyDescent="0.25">
      <c r="A577" s="1">
        <v>95</v>
      </c>
      <c r="B577" t="s">
        <v>50</v>
      </c>
      <c r="C577">
        <v>104</v>
      </c>
      <c r="D577">
        <v>1</v>
      </c>
      <c r="E577" t="s">
        <v>61</v>
      </c>
      <c r="F577" t="s">
        <v>58</v>
      </c>
      <c r="G577" t="str">
        <f>"2026-03-10 03:50:55.433"</f>
        <v>2026-03-10 03:50:55.433</v>
      </c>
      <c r="H577" t="s">
        <v>60</v>
      </c>
    </row>
    <row r="578" spans="1:10" x14ac:dyDescent="0.25">
      <c r="A578" s="1">
        <v>96</v>
      </c>
      <c r="B578" t="s">
        <v>50</v>
      </c>
      <c r="C578">
        <v>23</v>
      </c>
      <c r="D578">
        <v>1</v>
      </c>
      <c r="E578" t="s">
        <v>62</v>
      </c>
      <c r="F578" t="s">
        <v>63</v>
      </c>
      <c r="G578" t="str">
        <f>"2026-03-10 03:50:55.431"</f>
        <v>2026-03-10 03:50:55.431</v>
      </c>
      <c r="H578" t="s">
        <v>64</v>
      </c>
    </row>
    <row r="579" spans="1:10" x14ac:dyDescent="0.25">
      <c r="A579" s="1">
        <v>97</v>
      </c>
      <c r="B579" t="s">
        <v>27</v>
      </c>
      <c r="C579">
        <v>14</v>
      </c>
      <c r="D579">
        <v>13</v>
      </c>
      <c r="E579" t="s">
        <v>48</v>
      </c>
      <c r="F579" t="s">
        <v>65</v>
      </c>
      <c r="G579" t="str">
        <f>"2026-03-10 03:50:54.131"</f>
        <v>2026-03-10 03:50:54.131</v>
      </c>
      <c r="H579" t="s">
        <v>31</v>
      </c>
      <c r="I579">
        <v>7.74</v>
      </c>
      <c r="J579" t="s">
        <v>37</v>
      </c>
    </row>
    <row r="580" spans="1:10" x14ac:dyDescent="0.25">
      <c r="A580" s="1">
        <v>98</v>
      </c>
      <c r="B580" t="s">
        <v>27</v>
      </c>
      <c r="C580">
        <v>79</v>
      </c>
      <c r="D580">
        <v>9</v>
      </c>
      <c r="E580" t="s">
        <v>45</v>
      </c>
      <c r="F580" t="s">
        <v>46</v>
      </c>
      <c r="G580" t="str">
        <f>"2026-03-10 03:50:53.130"</f>
        <v>2026-03-10 03:50:53.130</v>
      </c>
      <c r="H580" t="s">
        <v>47</v>
      </c>
      <c r="I580">
        <v>7.52</v>
      </c>
      <c r="J580" t="s">
        <v>37</v>
      </c>
    </row>
    <row r="581" spans="1:10" x14ac:dyDescent="0.25">
      <c r="A581" s="1">
        <v>99</v>
      </c>
      <c r="B581" t="s">
        <v>27</v>
      </c>
      <c r="C581">
        <v>14</v>
      </c>
      <c r="D581">
        <v>10</v>
      </c>
      <c r="E581" t="s">
        <v>48</v>
      </c>
      <c r="F581" t="s">
        <v>49</v>
      </c>
      <c r="G581" t="str">
        <f>"2026-03-10 03:50:53.078"</f>
        <v>2026-03-10 03:50:53.078</v>
      </c>
      <c r="H581" t="s">
        <v>31</v>
      </c>
      <c r="I581">
        <v>7.73</v>
      </c>
      <c r="J581" t="s">
        <v>37</v>
      </c>
    </row>
    <row r="582" spans="1:10" x14ac:dyDescent="0.25">
      <c r="A582" s="1">
        <v>0</v>
      </c>
      <c r="B582" t="s">
        <v>32</v>
      </c>
      <c r="C582">
        <v>105</v>
      </c>
      <c r="D582">
        <v>3</v>
      </c>
      <c r="E582" t="s">
        <v>59</v>
      </c>
      <c r="F582" t="s">
        <v>52</v>
      </c>
      <c r="G582" t="str">
        <f>"2026-03-10 03:50:52.734"</f>
        <v>2026-03-10 03:50:52.734</v>
      </c>
      <c r="H582" t="s">
        <v>60</v>
      </c>
      <c r="I582">
        <v>7.74</v>
      </c>
      <c r="J582" t="s">
        <v>37</v>
      </c>
    </row>
    <row r="583" spans="1:10" x14ac:dyDescent="0.25">
      <c r="A583" s="1">
        <v>1</v>
      </c>
      <c r="B583" t="s">
        <v>32</v>
      </c>
      <c r="C583">
        <v>205</v>
      </c>
      <c r="D583">
        <v>3</v>
      </c>
      <c r="E583" t="s">
        <v>51</v>
      </c>
      <c r="F583" t="s">
        <v>52</v>
      </c>
      <c r="G583" t="str">
        <f>"2026-03-10 03:50:52.714"</f>
        <v>2026-03-10 03:50:52.714</v>
      </c>
      <c r="H583" t="s">
        <v>53</v>
      </c>
      <c r="I583">
        <v>7.74</v>
      </c>
      <c r="J583" t="s">
        <v>37</v>
      </c>
    </row>
    <row r="584" spans="1:10" x14ac:dyDescent="0.25">
      <c r="A584" s="1">
        <v>2</v>
      </c>
      <c r="B584" t="s">
        <v>32</v>
      </c>
      <c r="C584">
        <v>104</v>
      </c>
      <c r="D584">
        <v>8</v>
      </c>
      <c r="E584" t="s">
        <v>61</v>
      </c>
      <c r="F584" t="s">
        <v>55</v>
      </c>
      <c r="G584" t="str">
        <f>"2026-03-10 03:50:52.543"</f>
        <v>2026-03-10 03:50:52.543</v>
      </c>
      <c r="H584" t="s">
        <v>60</v>
      </c>
      <c r="I584">
        <v>7.75</v>
      </c>
      <c r="J584" t="s">
        <v>37</v>
      </c>
    </row>
    <row r="585" spans="1:10" x14ac:dyDescent="0.25">
      <c r="A585" s="1">
        <v>3</v>
      </c>
      <c r="B585" t="s">
        <v>32</v>
      </c>
      <c r="C585">
        <v>104</v>
      </c>
      <c r="D585">
        <v>6</v>
      </c>
      <c r="E585" t="s">
        <v>61</v>
      </c>
      <c r="F585" t="s">
        <v>56</v>
      </c>
      <c r="G585" t="str">
        <f>"2026-03-10 03:50:52.539"</f>
        <v>2026-03-10 03:50:52.539</v>
      </c>
      <c r="H585" t="s">
        <v>60</v>
      </c>
      <c r="I585">
        <v>7.75</v>
      </c>
      <c r="J585" t="s">
        <v>37</v>
      </c>
    </row>
    <row r="586" spans="1:10" x14ac:dyDescent="0.25">
      <c r="A586" s="1">
        <v>4</v>
      </c>
      <c r="B586" t="s">
        <v>32</v>
      </c>
      <c r="C586">
        <v>104</v>
      </c>
      <c r="D586">
        <v>5</v>
      </c>
      <c r="E586" t="s">
        <v>61</v>
      </c>
      <c r="F586" t="s">
        <v>57</v>
      </c>
      <c r="G586" t="str">
        <f>"2026-03-10 03:50:52.534"</f>
        <v>2026-03-10 03:50:52.534</v>
      </c>
      <c r="H586" t="s">
        <v>60</v>
      </c>
      <c r="I586">
        <v>7.75</v>
      </c>
      <c r="J586" t="s">
        <v>37</v>
      </c>
    </row>
    <row r="587" spans="1:10" x14ac:dyDescent="0.25">
      <c r="A587" s="1">
        <v>5</v>
      </c>
      <c r="B587" t="s">
        <v>32</v>
      </c>
      <c r="C587">
        <v>204</v>
      </c>
      <c r="D587">
        <v>8</v>
      </c>
      <c r="E587" t="s">
        <v>54</v>
      </c>
      <c r="F587" t="s">
        <v>55</v>
      </c>
      <c r="G587" t="str">
        <f>"2026-03-10 03:50:52.523"</f>
        <v>2026-03-10 03:50:52.523</v>
      </c>
      <c r="H587" t="s">
        <v>53</v>
      </c>
      <c r="I587">
        <v>7.75</v>
      </c>
      <c r="J587" t="s">
        <v>37</v>
      </c>
    </row>
    <row r="588" spans="1:10" x14ac:dyDescent="0.25">
      <c r="A588" s="1">
        <v>6</v>
      </c>
      <c r="B588" t="s">
        <v>32</v>
      </c>
      <c r="C588">
        <v>204</v>
      </c>
      <c r="D588">
        <v>6</v>
      </c>
      <c r="E588" t="s">
        <v>54</v>
      </c>
      <c r="F588" t="s">
        <v>56</v>
      </c>
      <c r="G588" t="str">
        <f>"2026-03-10 03:50:52.519"</f>
        <v>2026-03-10 03:50:52.519</v>
      </c>
      <c r="H588" t="s">
        <v>53</v>
      </c>
      <c r="I588">
        <v>7.75</v>
      </c>
      <c r="J588" t="s">
        <v>37</v>
      </c>
    </row>
    <row r="589" spans="1:10" x14ac:dyDescent="0.25">
      <c r="A589" s="1">
        <v>7</v>
      </c>
      <c r="B589" t="s">
        <v>32</v>
      </c>
      <c r="C589">
        <v>204</v>
      </c>
      <c r="D589">
        <v>5</v>
      </c>
      <c r="E589" t="s">
        <v>54</v>
      </c>
      <c r="F589" t="s">
        <v>57</v>
      </c>
      <c r="G589" t="str">
        <f>"2026-03-10 03:50:52.514"</f>
        <v>2026-03-10 03:50:52.514</v>
      </c>
      <c r="H589" t="s">
        <v>53</v>
      </c>
      <c r="I589">
        <v>7.75</v>
      </c>
      <c r="J589" t="s">
        <v>37</v>
      </c>
    </row>
    <row r="590" spans="1:10" x14ac:dyDescent="0.25">
      <c r="A590" s="1">
        <v>8</v>
      </c>
      <c r="B590" t="s">
        <v>32</v>
      </c>
      <c r="C590">
        <v>204</v>
      </c>
      <c r="D590">
        <v>1</v>
      </c>
      <c r="E590" t="s">
        <v>54</v>
      </c>
      <c r="F590" t="s">
        <v>58</v>
      </c>
      <c r="G590" t="str">
        <f>"2026-03-10 03:50:52.294"</f>
        <v>2026-03-10 03:50:52.294</v>
      </c>
      <c r="H590" t="s">
        <v>53</v>
      </c>
      <c r="I590">
        <v>7.77</v>
      </c>
      <c r="J590" t="s">
        <v>28</v>
      </c>
    </row>
    <row r="591" spans="1:10" x14ac:dyDescent="0.25">
      <c r="A591" s="1">
        <v>9</v>
      </c>
      <c r="B591" t="s">
        <v>32</v>
      </c>
      <c r="C591">
        <v>23</v>
      </c>
      <c r="D591">
        <v>1</v>
      </c>
      <c r="E591" t="s">
        <v>62</v>
      </c>
      <c r="F591" t="s">
        <v>63</v>
      </c>
      <c r="G591" t="str">
        <f>"2026-03-10 03:50:52.258"</f>
        <v>2026-03-10 03:50:52.258</v>
      </c>
      <c r="H591" t="s">
        <v>64</v>
      </c>
      <c r="I591">
        <v>7.77</v>
      </c>
      <c r="J591" t="s">
        <v>28</v>
      </c>
    </row>
    <row r="592" spans="1:10" x14ac:dyDescent="0.25">
      <c r="A592" s="1">
        <v>10</v>
      </c>
      <c r="B592" t="s">
        <v>32</v>
      </c>
      <c r="C592">
        <v>104</v>
      </c>
      <c r="D592">
        <v>1</v>
      </c>
      <c r="E592" t="s">
        <v>61</v>
      </c>
      <c r="F592" t="s">
        <v>58</v>
      </c>
      <c r="G592" t="str">
        <f>"2026-03-10 03:50:52.214"</f>
        <v>2026-03-10 03:50:52.214</v>
      </c>
      <c r="H592" t="s">
        <v>60</v>
      </c>
      <c r="I592">
        <v>7.78</v>
      </c>
      <c r="J592" t="s">
        <v>28</v>
      </c>
    </row>
    <row r="593" spans="1:10" x14ac:dyDescent="0.25">
      <c r="A593" s="1">
        <v>11</v>
      </c>
      <c r="B593" t="s">
        <v>19</v>
      </c>
      <c r="C593">
        <v>706</v>
      </c>
      <c r="D593">
        <v>4</v>
      </c>
      <c r="E593" t="s">
        <v>20</v>
      </c>
      <c r="F593" t="s">
        <v>40</v>
      </c>
      <c r="G593" t="str">
        <f>"2026-03-10 03:50:52.106"</f>
        <v>2026-03-10 03:50:52.106</v>
      </c>
      <c r="H593" t="s">
        <v>22</v>
      </c>
      <c r="I593">
        <v>7.79</v>
      </c>
      <c r="J593" t="s">
        <v>28</v>
      </c>
    </row>
    <row r="594" spans="1:10" x14ac:dyDescent="0.25">
      <c r="A594" s="1">
        <v>14</v>
      </c>
      <c r="B594" t="s">
        <v>19</v>
      </c>
      <c r="C594">
        <v>782</v>
      </c>
      <c r="D594">
        <v>7</v>
      </c>
      <c r="E594" t="s">
        <v>43</v>
      </c>
      <c r="F594" t="s">
        <v>44</v>
      </c>
      <c r="G594" t="str">
        <f>"2026-03-10 01:36:02.818"</f>
        <v>2026-03-10 01:36:02.818</v>
      </c>
      <c r="H594" t="s">
        <v>22</v>
      </c>
      <c r="I594">
        <v>0</v>
      </c>
      <c r="J594" t="s">
        <v>37</v>
      </c>
    </row>
    <row r="595" spans="1:10" x14ac:dyDescent="0.25">
      <c r="A595" s="1">
        <v>17</v>
      </c>
      <c r="B595" t="s">
        <v>24</v>
      </c>
      <c r="C595">
        <v>79</v>
      </c>
      <c r="D595">
        <v>9</v>
      </c>
      <c r="E595" t="s">
        <v>45</v>
      </c>
      <c r="F595" t="s">
        <v>46</v>
      </c>
      <c r="G595" t="str">
        <f>"2026-03-10 01:36:02.812"</f>
        <v>2026-03-10 01:36:02.812</v>
      </c>
      <c r="H595" t="s">
        <v>47</v>
      </c>
    </row>
    <row r="596" spans="1:10" x14ac:dyDescent="0.25">
      <c r="A596" s="1">
        <v>18</v>
      </c>
      <c r="B596" t="s">
        <v>19</v>
      </c>
      <c r="C596">
        <v>782</v>
      </c>
      <c r="D596">
        <v>7</v>
      </c>
      <c r="E596" t="s">
        <v>43</v>
      </c>
      <c r="F596" t="s">
        <v>44</v>
      </c>
      <c r="G596" t="str">
        <f>"2026-03-10 01:36:02.811"</f>
        <v>2026-03-10 01:36:02.811</v>
      </c>
      <c r="H596" t="s">
        <v>22</v>
      </c>
      <c r="I596">
        <v>0</v>
      </c>
      <c r="J596" t="s">
        <v>37</v>
      </c>
    </row>
    <row r="597" spans="1:10" x14ac:dyDescent="0.25">
      <c r="A597" s="1">
        <v>19</v>
      </c>
      <c r="B597" t="s">
        <v>24</v>
      </c>
      <c r="C597">
        <v>14</v>
      </c>
      <c r="D597">
        <v>13</v>
      </c>
      <c r="E597" t="s">
        <v>48</v>
      </c>
      <c r="F597" t="s">
        <v>65</v>
      </c>
      <c r="G597" t="str">
        <f>"2026-03-10 01:34:31.113"</f>
        <v>2026-03-10 01:34:31.113</v>
      </c>
      <c r="H597" t="s">
        <v>31</v>
      </c>
    </row>
    <row r="598" spans="1:10" x14ac:dyDescent="0.25">
      <c r="A598" s="1">
        <v>20</v>
      </c>
      <c r="B598" t="s">
        <v>24</v>
      </c>
      <c r="C598">
        <v>14</v>
      </c>
      <c r="D598">
        <v>10</v>
      </c>
      <c r="E598" t="s">
        <v>48</v>
      </c>
      <c r="F598" t="s">
        <v>49</v>
      </c>
      <c r="G598" t="str">
        <f>"2026-03-10 01:34:31.111"</f>
        <v>2026-03-10 01:34:31.111</v>
      </c>
      <c r="H598" t="s">
        <v>31</v>
      </c>
    </row>
    <row r="599" spans="1:10" x14ac:dyDescent="0.25">
      <c r="A599" s="1">
        <v>21</v>
      </c>
      <c r="B599" t="s">
        <v>50</v>
      </c>
      <c r="C599">
        <v>205</v>
      </c>
      <c r="D599">
        <v>3</v>
      </c>
      <c r="E599" t="s">
        <v>51</v>
      </c>
      <c r="F599" t="s">
        <v>52</v>
      </c>
      <c r="G599" t="str">
        <f>"2026-03-10 01:34:14.058"</f>
        <v>2026-03-10 01:34:14.058</v>
      </c>
      <c r="H599" t="s">
        <v>53</v>
      </c>
    </row>
    <row r="600" spans="1:10" x14ac:dyDescent="0.25">
      <c r="A600" s="1">
        <v>22</v>
      </c>
      <c r="B600" t="s">
        <v>32</v>
      </c>
      <c r="C600">
        <v>205</v>
      </c>
      <c r="D600">
        <v>3</v>
      </c>
      <c r="E600" t="s">
        <v>51</v>
      </c>
      <c r="F600" t="s">
        <v>52</v>
      </c>
      <c r="G600" t="str">
        <f>"2026-03-10 01:34:13.294"</f>
        <v>2026-03-10 01:34:13.294</v>
      </c>
      <c r="H600" t="s">
        <v>53</v>
      </c>
      <c r="I600">
        <v>0.74</v>
      </c>
      <c r="J600" t="s">
        <v>37</v>
      </c>
    </row>
    <row r="601" spans="1:10" x14ac:dyDescent="0.25">
      <c r="A601" s="1">
        <v>23</v>
      </c>
      <c r="B601" t="s">
        <v>50</v>
      </c>
      <c r="C601">
        <v>205</v>
      </c>
      <c r="D601">
        <v>3</v>
      </c>
      <c r="E601" t="s">
        <v>51</v>
      </c>
      <c r="F601" t="s">
        <v>52</v>
      </c>
      <c r="G601" t="str">
        <f>"2026-03-10 01:34:13.133"</f>
        <v>2026-03-10 01:34:13.133</v>
      </c>
      <c r="H601" t="s">
        <v>53</v>
      </c>
    </row>
    <row r="602" spans="1:10" x14ac:dyDescent="0.25">
      <c r="A602" s="1">
        <v>24</v>
      </c>
      <c r="B602" t="s">
        <v>50</v>
      </c>
      <c r="C602">
        <v>204</v>
      </c>
      <c r="D602">
        <v>8</v>
      </c>
      <c r="E602" t="s">
        <v>54</v>
      </c>
      <c r="F602" t="s">
        <v>55</v>
      </c>
      <c r="G602" t="str">
        <f>"2026-03-10 01:34:13.131"</f>
        <v>2026-03-10 01:34:13.131</v>
      </c>
      <c r="H602" t="s">
        <v>53</v>
      </c>
    </row>
    <row r="603" spans="1:10" x14ac:dyDescent="0.25">
      <c r="A603" s="1">
        <v>25</v>
      </c>
      <c r="B603" t="s">
        <v>50</v>
      </c>
      <c r="C603">
        <v>204</v>
      </c>
      <c r="D603">
        <v>6</v>
      </c>
      <c r="E603" t="s">
        <v>54</v>
      </c>
      <c r="F603" t="s">
        <v>56</v>
      </c>
      <c r="G603" t="str">
        <f>"2026-03-10 01:34:13.129"</f>
        <v>2026-03-10 01:34:13.129</v>
      </c>
      <c r="H603" t="s">
        <v>53</v>
      </c>
    </row>
    <row r="604" spans="1:10" x14ac:dyDescent="0.25">
      <c r="A604" s="1">
        <v>26</v>
      </c>
      <c r="B604" t="s">
        <v>50</v>
      </c>
      <c r="C604">
        <v>204</v>
      </c>
      <c r="D604">
        <v>5</v>
      </c>
      <c r="E604" t="s">
        <v>54</v>
      </c>
      <c r="F604" t="s">
        <v>57</v>
      </c>
      <c r="G604" t="str">
        <f>"2026-03-10 01:34:13.128"</f>
        <v>2026-03-10 01:34:13.128</v>
      </c>
      <c r="H604" t="s">
        <v>53</v>
      </c>
    </row>
    <row r="605" spans="1:10" x14ac:dyDescent="0.25">
      <c r="A605" s="1">
        <v>27</v>
      </c>
      <c r="B605" t="s">
        <v>50</v>
      </c>
      <c r="C605">
        <v>204</v>
      </c>
      <c r="D605">
        <v>1</v>
      </c>
      <c r="E605" t="s">
        <v>54</v>
      </c>
      <c r="F605" t="s">
        <v>58</v>
      </c>
      <c r="G605" t="str">
        <f>"2026-03-10 01:34:13.125"</f>
        <v>2026-03-10 01:34:13.125</v>
      </c>
      <c r="H605" t="s">
        <v>53</v>
      </c>
    </row>
    <row r="606" spans="1:10" x14ac:dyDescent="0.25">
      <c r="A606" s="1">
        <v>28</v>
      </c>
      <c r="B606" t="s">
        <v>50</v>
      </c>
      <c r="C606">
        <v>105</v>
      </c>
      <c r="D606">
        <v>3</v>
      </c>
      <c r="E606" t="s">
        <v>59</v>
      </c>
      <c r="F606" t="s">
        <v>52</v>
      </c>
      <c r="G606" t="str">
        <f>"2026-03-10 01:34:13.123"</f>
        <v>2026-03-10 01:34:13.123</v>
      </c>
      <c r="H606" t="s">
        <v>60</v>
      </c>
    </row>
    <row r="607" spans="1:10" x14ac:dyDescent="0.25">
      <c r="A607" s="1">
        <v>29</v>
      </c>
      <c r="B607" t="s">
        <v>50</v>
      </c>
      <c r="C607">
        <v>104</v>
      </c>
      <c r="D607">
        <v>8</v>
      </c>
      <c r="E607" t="s">
        <v>61</v>
      </c>
      <c r="F607" t="s">
        <v>55</v>
      </c>
      <c r="G607" t="str">
        <f>"2026-03-10 01:34:13.121"</f>
        <v>2026-03-10 01:34:13.121</v>
      </c>
      <c r="H607" t="s">
        <v>60</v>
      </c>
    </row>
    <row r="608" spans="1:10" x14ac:dyDescent="0.25">
      <c r="A608" s="1">
        <v>30</v>
      </c>
      <c r="B608" t="s">
        <v>50</v>
      </c>
      <c r="C608">
        <v>104</v>
      </c>
      <c r="D608">
        <v>6</v>
      </c>
      <c r="E608" t="s">
        <v>61</v>
      </c>
      <c r="F608" t="s">
        <v>56</v>
      </c>
      <c r="G608" t="str">
        <f>"2026-03-10 01:34:13.119"</f>
        <v>2026-03-10 01:34:13.119</v>
      </c>
      <c r="H608" t="s">
        <v>60</v>
      </c>
    </row>
    <row r="609" spans="1:10" x14ac:dyDescent="0.25">
      <c r="A609" s="1">
        <v>31</v>
      </c>
      <c r="B609" t="s">
        <v>50</v>
      </c>
      <c r="C609">
        <v>104</v>
      </c>
      <c r="D609">
        <v>5</v>
      </c>
      <c r="E609" t="s">
        <v>61</v>
      </c>
      <c r="F609" t="s">
        <v>57</v>
      </c>
      <c r="G609" t="str">
        <f>"2026-03-10 01:34:13.116"</f>
        <v>2026-03-10 01:34:13.116</v>
      </c>
      <c r="H609" t="s">
        <v>60</v>
      </c>
    </row>
    <row r="610" spans="1:10" x14ac:dyDescent="0.25">
      <c r="A610" s="1">
        <v>32</v>
      </c>
      <c r="B610" t="s">
        <v>50</v>
      </c>
      <c r="C610">
        <v>104</v>
      </c>
      <c r="D610">
        <v>1</v>
      </c>
      <c r="E610" t="s">
        <v>61</v>
      </c>
      <c r="F610" t="s">
        <v>58</v>
      </c>
      <c r="G610" t="str">
        <f>"2026-03-10 01:34:13.113"</f>
        <v>2026-03-10 01:34:13.113</v>
      </c>
      <c r="H610" t="s">
        <v>60</v>
      </c>
    </row>
    <row r="611" spans="1:10" x14ac:dyDescent="0.25">
      <c r="A611" s="1">
        <v>33</v>
      </c>
      <c r="B611" t="s">
        <v>50</v>
      </c>
      <c r="C611">
        <v>23</v>
      </c>
      <c r="D611">
        <v>1</v>
      </c>
      <c r="E611" t="s">
        <v>62</v>
      </c>
      <c r="F611" t="s">
        <v>63</v>
      </c>
      <c r="G611" t="str">
        <f>"2026-03-10 01:34:13.111"</f>
        <v>2026-03-10 01:34:13.111</v>
      </c>
      <c r="H611" t="s">
        <v>64</v>
      </c>
    </row>
    <row r="612" spans="1:10" x14ac:dyDescent="0.25">
      <c r="A612" s="1">
        <v>34</v>
      </c>
      <c r="B612" t="s">
        <v>27</v>
      </c>
      <c r="C612">
        <v>14</v>
      </c>
      <c r="D612">
        <v>13</v>
      </c>
      <c r="E612" t="s">
        <v>48</v>
      </c>
      <c r="F612" t="s">
        <v>65</v>
      </c>
      <c r="G612" t="str">
        <f>"2026-03-10 01:34:11.111"</f>
        <v>2026-03-10 01:34:11.111</v>
      </c>
      <c r="H612" t="s">
        <v>31</v>
      </c>
      <c r="I612">
        <v>7.89</v>
      </c>
      <c r="J612" t="s">
        <v>37</v>
      </c>
    </row>
    <row r="613" spans="1:10" x14ac:dyDescent="0.25">
      <c r="A613" s="1">
        <v>35</v>
      </c>
      <c r="B613" t="s">
        <v>27</v>
      </c>
      <c r="C613">
        <v>79</v>
      </c>
      <c r="D613">
        <v>9</v>
      </c>
      <c r="E613" t="s">
        <v>45</v>
      </c>
      <c r="F613" t="s">
        <v>46</v>
      </c>
      <c r="G613" t="str">
        <f>"2026-03-10 01:34:10.158"</f>
        <v>2026-03-10 01:34:10.158</v>
      </c>
      <c r="H613" t="s">
        <v>47</v>
      </c>
      <c r="I613">
        <v>7.44</v>
      </c>
      <c r="J613" t="s">
        <v>37</v>
      </c>
    </row>
    <row r="614" spans="1:10" x14ac:dyDescent="0.25">
      <c r="A614" s="1">
        <v>36</v>
      </c>
      <c r="B614" t="s">
        <v>27</v>
      </c>
      <c r="C614">
        <v>14</v>
      </c>
      <c r="D614">
        <v>10</v>
      </c>
      <c r="E614" t="s">
        <v>48</v>
      </c>
      <c r="F614" t="s">
        <v>49</v>
      </c>
      <c r="G614" t="str">
        <f>"2026-03-10 01:34:10.058"</f>
        <v>2026-03-10 01:34:10.058</v>
      </c>
      <c r="H614" t="s">
        <v>31</v>
      </c>
      <c r="I614">
        <v>7.84</v>
      </c>
      <c r="J614" t="s">
        <v>37</v>
      </c>
    </row>
    <row r="615" spans="1:10" x14ac:dyDescent="0.25">
      <c r="A615" s="1">
        <v>37</v>
      </c>
      <c r="B615" t="s">
        <v>32</v>
      </c>
      <c r="C615">
        <v>205</v>
      </c>
      <c r="D615">
        <v>3</v>
      </c>
      <c r="E615" t="s">
        <v>51</v>
      </c>
      <c r="F615" t="s">
        <v>52</v>
      </c>
      <c r="G615" t="str">
        <f>"2026-03-10 01:34:09.869"</f>
        <v>2026-03-10 01:34:09.869</v>
      </c>
      <c r="H615" t="s">
        <v>53</v>
      </c>
      <c r="I615">
        <v>7.84</v>
      </c>
      <c r="J615" t="s">
        <v>37</v>
      </c>
    </row>
    <row r="616" spans="1:10" x14ac:dyDescent="0.25">
      <c r="A616" s="1">
        <v>38</v>
      </c>
      <c r="B616" t="s">
        <v>32</v>
      </c>
      <c r="C616">
        <v>204</v>
      </c>
      <c r="D616">
        <v>8</v>
      </c>
      <c r="E616" t="s">
        <v>54</v>
      </c>
      <c r="F616" t="s">
        <v>55</v>
      </c>
      <c r="G616" t="str">
        <f>"2026-03-10 01:34:09.863"</f>
        <v>2026-03-10 01:34:09.863</v>
      </c>
      <c r="H616" t="s">
        <v>53</v>
      </c>
      <c r="I616">
        <v>7.84</v>
      </c>
      <c r="J616" t="s">
        <v>37</v>
      </c>
    </row>
    <row r="617" spans="1:10" x14ac:dyDescent="0.25">
      <c r="A617" s="1">
        <v>39</v>
      </c>
      <c r="B617" t="s">
        <v>32</v>
      </c>
      <c r="C617">
        <v>204</v>
      </c>
      <c r="D617">
        <v>6</v>
      </c>
      <c r="E617" t="s">
        <v>54</v>
      </c>
      <c r="F617" t="s">
        <v>56</v>
      </c>
      <c r="G617" t="str">
        <f>"2026-03-10 01:34:09.859"</f>
        <v>2026-03-10 01:34:09.859</v>
      </c>
      <c r="H617" t="s">
        <v>53</v>
      </c>
      <c r="I617">
        <v>7.84</v>
      </c>
      <c r="J617" t="s">
        <v>37</v>
      </c>
    </row>
    <row r="618" spans="1:10" x14ac:dyDescent="0.25">
      <c r="A618" s="1">
        <v>40</v>
      </c>
      <c r="B618" t="s">
        <v>32</v>
      </c>
      <c r="C618">
        <v>204</v>
      </c>
      <c r="D618">
        <v>5</v>
      </c>
      <c r="E618" t="s">
        <v>54</v>
      </c>
      <c r="F618" t="s">
        <v>57</v>
      </c>
      <c r="G618" t="str">
        <f>"2026-03-10 01:34:09.854"</f>
        <v>2026-03-10 01:34:09.854</v>
      </c>
      <c r="H618" t="s">
        <v>53</v>
      </c>
      <c r="I618">
        <v>7.84</v>
      </c>
      <c r="J618" t="s">
        <v>37</v>
      </c>
    </row>
    <row r="619" spans="1:10" x14ac:dyDescent="0.25">
      <c r="A619" s="1">
        <v>41</v>
      </c>
      <c r="B619" t="s">
        <v>32</v>
      </c>
      <c r="C619">
        <v>105</v>
      </c>
      <c r="D619">
        <v>3</v>
      </c>
      <c r="E619" t="s">
        <v>59</v>
      </c>
      <c r="F619" t="s">
        <v>52</v>
      </c>
      <c r="G619" t="str">
        <f>"2026-03-10 01:34:09.754"</f>
        <v>2026-03-10 01:34:09.754</v>
      </c>
      <c r="H619" t="s">
        <v>60</v>
      </c>
      <c r="I619">
        <v>7.84</v>
      </c>
      <c r="J619" t="s">
        <v>37</v>
      </c>
    </row>
    <row r="620" spans="1:10" x14ac:dyDescent="0.25">
      <c r="A620" s="1">
        <v>42</v>
      </c>
      <c r="B620" t="s">
        <v>32</v>
      </c>
      <c r="C620">
        <v>104</v>
      </c>
      <c r="D620">
        <v>8</v>
      </c>
      <c r="E620" t="s">
        <v>61</v>
      </c>
      <c r="F620" t="s">
        <v>55</v>
      </c>
      <c r="G620" t="str">
        <f>"2026-03-10 01:34:09.523"</f>
        <v>2026-03-10 01:34:09.523</v>
      </c>
      <c r="H620" t="s">
        <v>60</v>
      </c>
      <c r="I620">
        <v>7.84</v>
      </c>
      <c r="J620" t="s">
        <v>28</v>
      </c>
    </row>
    <row r="621" spans="1:10" x14ac:dyDescent="0.25">
      <c r="A621" s="1">
        <v>43</v>
      </c>
      <c r="B621" t="s">
        <v>32</v>
      </c>
      <c r="C621">
        <v>104</v>
      </c>
      <c r="D621">
        <v>6</v>
      </c>
      <c r="E621" t="s">
        <v>61</v>
      </c>
      <c r="F621" t="s">
        <v>56</v>
      </c>
      <c r="G621" t="str">
        <f>"2026-03-10 01:34:09.519"</f>
        <v>2026-03-10 01:34:09.519</v>
      </c>
      <c r="H621" t="s">
        <v>60</v>
      </c>
      <c r="I621">
        <v>7.84</v>
      </c>
      <c r="J621" t="s">
        <v>28</v>
      </c>
    </row>
    <row r="622" spans="1:10" x14ac:dyDescent="0.25">
      <c r="A622" s="1">
        <v>44</v>
      </c>
      <c r="B622" t="s">
        <v>32</v>
      </c>
      <c r="C622">
        <v>104</v>
      </c>
      <c r="D622">
        <v>5</v>
      </c>
      <c r="E622" t="s">
        <v>61</v>
      </c>
      <c r="F622" t="s">
        <v>57</v>
      </c>
      <c r="G622" t="str">
        <f>"2026-03-10 01:34:09.514"</f>
        <v>2026-03-10 01:34:09.514</v>
      </c>
      <c r="H622" t="s">
        <v>60</v>
      </c>
      <c r="I622">
        <v>7.84</v>
      </c>
      <c r="J622" t="s">
        <v>28</v>
      </c>
    </row>
    <row r="623" spans="1:10" x14ac:dyDescent="0.25">
      <c r="A623" s="1">
        <v>45</v>
      </c>
      <c r="B623" t="s">
        <v>32</v>
      </c>
      <c r="C623">
        <v>23</v>
      </c>
      <c r="D623">
        <v>1</v>
      </c>
      <c r="E623" t="s">
        <v>62</v>
      </c>
      <c r="F623" t="s">
        <v>63</v>
      </c>
      <c r="G623" t="str">
        <f>"2026-03-10 01:34:09.291"</f>
        <v>2026-03-10 01:34:09.291</v>
      </c>
      <c r="H623" t="s">
        <v>64</v>
      </c>
      <c r="I623">
        <v>7.83</v>
      </c>
      <c r="J623" t="s">
        <v>28</v>
      </c>
    </row>
    <row r="624" spans="1:10" x14ac:dyDescent="0.25">
      <c r="A624" s="1">
        <v>46</v>
      </c>
      <c r="B624" t="s">
        <v>32</v>
      </c>
      <c r="C624">
        <v>204</v>
      </c>
      <c r="D624">
        <v>1</v>
      </c>
      <c r="E624" t="s">
        <v>54</v>
      </c>
      <c r="F624" t="s">
        <v>58</v>
      </c>
      <c r="G624" t="str">
        <f>"2026-03-10 01:34:09.234"</f>
        <v>2026-03-10 01:34:09.234</v>
      </c>
      <c r="H624" t="s">
        <v>53</v>
      </c>
      <c r="I624">
        <v>7.83</v>
      </c>
      <c r="J624" t="s">
        <v>28</v>
      </c>
    </row>
    <row r="625" spans="1:10" x14ac:dyDescent="0.25">
      <c r="A625" s="1">
        <v>47</v>
      </c>
      <c r="B625" t="s">
        <v>32</v>
      </c>
      <c r="C625">
        <v>104</v>
      </c>
      <c r="D625">
        <v>1</v>
      </c>
      <c r="E625" t="s">
        <v>61</v>
      </c>
      <c r="F625" t="s">
        <v>58</v>
      </c>
      <c r="G625" t="str">
        <f>"2026-03-10 01:34:09.214"</f>
        <v>2026-03-10 01:34:09.214</v>
      </c>
      <c r="H625" t="s">
        <v>60</v>
      </c>
      <c r="I625">
        <v>7.83</v>
      </c>
      <c r="J625" t="s">
        <v>28</v>
      </c>
    </row>
    <row r="626" spans="1:10" x14ac:dyDescent="0.25">
      <c r="A626" s="1">
        <v>48</v>
      </c>
      <c r="B626" t="s">
        <v>19</v>
      </c>
      <c r="C626">
        <v>706</v>
      </c>
      <c r="D626">
        <v>4</v>
      </c>
      <c r="E626" t="s">
        <v>20</v>
      </c>
      <c r="F626" t="s">
        <v>40</v>
      </c>
      <c r="G626" t="str">
        <f>"2026-03-10 01:34:09.096"</f>
        <v>2026-03-10 01:34:09.096</v>
      </c>
      <c r="H626" t="s">
        <v>22</v>
      </c>
      <c r="I626">
        <v>7.82</v>
      </c>
      <c r="J626" t="s">
        <v>28</v>
      </c>
    </row>
    <row r="627" spans="1:10" x14ac:dyDescent="0.25">
      <c r="A627" s="1">
        <v>49</v>
      </c>
      <c r="B627" t="s">
        <v>24</v>
      </c>
      <c r="C627">
        <v>635</v>
      </c>
      <c r="D627">
        <v>1</v>
      </c>
      <c r="E627" t="s">
        <v>25</v>
      </c>
      <c r="F627" t="s">
        <v>26</v>
      </c>
      <c r="G627" t="str">
        <f>"2026-03-09 20:14:06.191"</f>
        <v>2026-03-09 20:14:06.191</v>
      </c>
      <c r="H627" t="s">
        <v>22</v>
      </c>
    </row>
    <row r="628" spans="1:10" x14ac:dyDescent="0.25">
      <c r="A628" s="1">
        <v>50</v>
      </c>
      <c r="B628" t="s">
        <v>27</v>
      </c>
      <c r="C628">
        <v>635</v>
      </c>
      <c r="D628">
        <v>1</v>
      </c>
      <c r="E628" t="s">
        <v>25</v>
      </c>
      <c r="F628" t="s">
        <v>26</v>
      </c>
      <c r="G628" t="str">
        <f>"2026-03-09 20:11:21.138"</f>
        <v>2026-03-09 20:11:21.138</v>
      </c>
      <c r="H628" t="s">
        <v>22</v>
      </c>
      <c r="I628">
        <v>5.33</v>
      </c>
      <c r="J628" t="s">
        <v>28</v>
      </c>
    </row>
    <row r="629" spans="1:10" s="3" customFormat="1" x14ac:dyDescent="0.25">
      <c r="A629" s="2">
        <v>51</v>
      </c>
      <c r="B629" s="3" t="s">
        <v>24</v>
      </c>
      <c r="C629" s="3">
        <v>647</v>
      </c>
      <c r="D629" s="3">
        <v>1</v>
      </c>
      <c r="E629" s="3" t="s">
        <v>34</v>
      </c>
      <c r="F629" s="3" t="s">
        <v>35</v>
      </c>
      <c r="G629" s="3" t="str">
        <f>"2026-03-09 05:27:30.192"</f>
        <v>2026-03-09 05:27:30.192</v>
      </c>
      <c r="H629" s="3" t="s">
        <v>22</v>
      </c>
    </row>
    <row r="630" spans="1:10" s="3" customFormat="1" x14ac:dyDescent="0.25">
      <c r="A630" s="2">
        <v>52</v>
      </c>
      <c r="B630" s="3" t="s">
        <v>27</v>
      </c>
      <c r="C630" s="3">
        <v>647</v>
      </c>
      <c r="D630" s="3">
        <v>1</v>
      </c>
      <c r="E630" s="3" t="s">
        <v>34</v>
      </c>
      <c r="F630" s="3" t="s">
        <v>35</v>
      </c>
      <c r="G630" s="3" t="str">
        <f>"2026-03-09 05:27:28.292"</f>
        <v>2026-03-09 05:27:28.292</v>
      </c>
      <c r="H630" s="3" t="s">
        <v>22</v>
      </c>
      <c r="I630" s="3">
        <v>11.11</v>
      </c>
      <c r="J630" s="3" t="s">
        <v>37</v>
      </c>
    </row>
    <row r="631" spans="1:10" x14ac:dyDescent="0.25">
      <c r="A631" s="1">
        <v>53</v>
      </c>
      <c r="B631" t="s">
        <v>24</v>
      </c>
      <c r="C631">
        <v>635</v>
      </c>
      <c r="D631">
        <v>1</v>
      </c>
      <c r="E631" t="s">
        <v>25</v>
      </c>
      <c r="F631" t="s">
        <v>26</v>
      </c>
      <c r="G631" t="str">
        <f>"2026-03-07 21:01:36.538"</f>
        <v>2026-03-07 21:01:36.538</v>
      </c>
      <c r="H631" t="s">
        <v>22</v>
      </c>
    </row>
    <row r="632" spans="1:10" x14ac:dyDescent="0.25">
      <c r="A632" s="1">
        <v>54</v>
      </c>
      <c r="B632" t="s">
        <v>27</v>
      </c>
      <c r="C632">
        <v>635</v>
      </c>
      <c r="D632">
        <v>1</v>
      </c>
      <c r="E632" t="s">
        <v>25</v>
      </c>
      <c r="F632" t="s">
        <v>26</v>
      </c>
      <c r="G632" t="str">
        <f>"2026-03-07 20:59:07.038"</f>
        <v>2026-03-07 20:59:07.038</v>
      </c>
      <c r="H632" t="s">
        <v>22</v>
      </c>
      <c r="I632">
        <v>2.77</v>
      </c>
      <c r="J632" t="s">
        <v>28</v>
      </c>
    </row>
    <row r="633" spans="1:10" s="3" customFormat="1" x14ac:dyDescent="0.25">
      <c r="A633" s="2">
        <v>55</v>
      </c>
      <c r="B633" s="3" t="s">
        <v>24</v>
      </c>
      <c r="C633" s="3">
        <v>647</v>
      </c>
      <c r="D633" s="3">
        <v>1</v>
      </c>
      <c r="E633" s="3" t="s">
        <v>34</v>
      </c>
      <c r="F633" s="3" t="s">
        <v>35</v>
      </c>
      <c r="G633" s="3" t="str">
        <f>"2026-03-07 16:56:32.492"</f>
        <v>2026-03-07 16:56:32.492</v>
      </c>
      <c r="H633" s="3" t="s">
        <v>22</v>
      </c>
    </row>
    <row r="634" spans="1:10" s="3" customFormat="1" x14ac:dyDescent="0.25">
      <c r="A634" s="2">
        <v>56</v>
      </c>
      <c r="B634" s="3" t="s">
        <v>27</v>
      </c>
      <c r="C634" s="3">
        <v>647</v>
      </c>
      <c r="D634" s="3">
        <v>1</v>
      </c>
      <c r="E634" s="3" t="s">
        <v>34</v>
      </c>
      <c r="F634" s="3" t="s">
        <v>35</v>
      </c>
      <c r="G634" s="3" t="str">
        <f>"2026-03-07 16:56:31.192"</f>
        <v>2026-03-07 16:56:31.192</v>
      </c>
      <c r="H634" s="3" t="s">
        <v>22</v>
      </c>
      <c r="I634" s="3">
        <v>12.14</v>
      </c>
      <c r="J634" s="3" t="s">
        <v>37</v>
      </c>
    </row>
    <row r="635" spans="1:10" x14ac:dyDescent="0.25">
      <c r="A635" s="1">
        <v>57</v>
      </c>
      <c r="B635" t="s">
        <v>19</v>
      </c>
      <c r="C635">
        <v>706</v>
      </c>
      <c r="D635">
        <v>4</v>
      </c>
      <c r="E635" t="s">
        <v>20</v>
      </c>
      <c r="F635" t="s">
        <v>40</v>
      </c>
      <c r="G635" t="str">
        <f>"2026-03-07 08:46:21.256"</f>
        <v>2026-03-07 08:46:21.256</v>
      </c>
      <c r="H635" t="s">
        <v>22</v>
      </c>
      <c r="I635">
        <v>0</v>
      </c>
      <c r="J635" t="s">
        <v>23</v>
      </c>
    </row>
    <row r="636" spans="1:10" x14ac:dyDescent="0.25">
      <c r="A636" s="1">
        <v>58</v>
      </c>
      <c r="B636" t="s">
        <v>19</v>
      </c>
      <c r="C636">
        <v>700</v>
      </c>
      <c r="D636">
        <v>0</v>
      </c>
      <c r="E636" t="s">
        <v>33</v>
      </c>
      <c r="F636" t="s">
        <v>33</v>
      </c>
      <c r="G636" t="str">
        <f>"2026-03-07 08:46:06.676"</f>
        <v>2026-03-07 08:46:06.676</v>
      </c>
      <c r="H636" t="s">
        <v>22</v>
      </c>
    </row>
    <row r="637" spans="1:10" x14ac:dyDescent="0.25">
      <c r="A637" s="1">
        <v>59</v>
      </c>
      <c r="B637" t="s">
        <v>24</v>
      </c>
      <c r="C637">
        <v>635</v>
      </c>
      <c r="D637">
        <v>1</v>
      </c>
      <c r="E637" t="s">
        <v>25</v>
      </c>
      <c r="F637" t="s">
        <v>26</v>
      </c>
      <c r="G637" t="str">
        <f>"2026-03-07 08:02:36.699"</f>
        <v>2026-03-07 08:02:36.699</v>
      </c>
      <c r="H637" t="s">
        <v>22</v>
      </c>
    </row>
    <row r="638" spans="1:10" x14ac:dyDescent="0.25">
      <c r="A638" s="1">
        <v>60</v>
      </c>
      <c r="B638" t="s">
        <v>27</v>
      </c>
      <c r="C638">
        <v>635</v>
      </c>
      <c r="D638">
        <v>1</v>
      </c>
      <c r="E638" t="s">
        <v>25</v>
      </c>
      <c r="F638" t="s">
        <v>26</v>
      </c>
      <c r="G638" t="str">
        <f>"2026-03-07 07:56:40.699"</f>
        <v>2026-03-07 07:56:40.699</v>
      </c>
      <c r="H638" t="s">
        <v>22</v>
      </c>
      <c r="I638">
        <v>3.51</v>
      </c>
      <c r="J638" t="s">
        <v>28</v>
      </c>
    </row>
    <row r="639" spans="1:10" x14ac:dyDescent="0.25">
      <c r="A639" s="1">
        <v>61</v>
      </c>
      <c r="B639" t="s">
        <v>24</v>
      </c>
      <c r="C639">
        <v>630</v>
      </c>
      <c r="D639">
        <v>5</v>
      </c>
      <c r="E639" t="s">
        <v>29</v>
      </c>
      <c r="F639" t="s">
        <v>30</v>
      </c>
      <c r="G639" t="str">
        <f>"2026-03-07 04:54:06.847"</f>
        <v>2026-03-07 04:54:06.847</v>
      </c>
      <c r="H639" t="s">
        <v>31</v>
      </c>
    </row>
    <row r="640" spans="1:10" x14ac:dyDescent="0.25">
      <c r="A640" s="1">
        <v>62</v>
      </c>
      <c r="B640" t="s">
        <v>19</v>
      </c>
      <c r="C640">
        <v>706</v>
      </c>
      <c r="D640">
        <v>4</v>
      </c>
      <c r="E640" t="s">
        <v>20</v>
      </c>
      <c r="F640" t="s">
        <v>40</v>
      </c>
      <c r="G640" t="str">
        <f>"2026-03-07 04:53:36.740"</f>
        <v>2026-03-07 04:53:36.740</v>
      </c>
      <c r="H640" t="s">
        <v>22</v>
      </c>
      <c r="I640">
        <v>0</v>
      </c>
      <c r="J640" t="s">
        <v>23</v>
      </c>
    </row>
    <row r="641" spans="1:10" x14ac:dyDescent="0.25">
      <c r="A641" s="1">
        <v>63</v>
      </c>
      <c r="B641" t="s">
        <v>32</v>
      </c>
      <c r="C641">
        <v>630</v>
      </c>
      <c r="D641">
        <v>5</v>
      </c>
      <c r="E641" t="s">
        <v>29</v>
      </c>
      <c r="F641" t="s">
        <v>30</v>
      </c>
      <c r="G641" t="str">
        <f>"2026-03-07 04:42:35.047"</f>
        <v>2026-03-07 04:42:35.047</v>
      </c>
      <c r="H641" t="s">
        <v>31</v>
      </c>
      <c r="I641">
        <v>0</v>
      </c>
      <c r="J641" t="s">
        <v>23</v>
      </c>
    </row>
    <row r="642" spans="1:10" x14ac:dyDescent="0.25">
      <c r="A642" s="1">
        <v>64</v>
      </c>
      <c r="B642" t="s">
        <v>24</v>
      </c>
      <c r="C642">
        <v>635</v>
      </c>
      <c r="D642">
        <v>1</v>
      </c>
      <c r="E642" t="s">
        <v>25</v>
      </c>
      <c r="F642" t="s">
        <v>26</v>
      </c>
      <c r="G642" t="str">
        <f>"2026-03-07 03:08:06.699"</f>
        <v>2026-03-07 03:08:06.699</v>
      </c>
      <c r="H642" t="s">
        <v>22</v>
      </c>
    </row>
    <row r="643" spans="1:10" x14ac:dyDescent="0.25">
      <c r="A643" s="1">
        <v>65</v>
      </c>
      <c r="B643" t="s">
        <v>27</v>
      </c>
      <c r="C643">
        <v>635</v>
      </c>
      <c r="D643">
        <v>1</v>
      </c>
      <c r="E643" t="s">
        <v>25</v>
      </c>
      <c r="F643" t="s">
        <v>26</v>
      </c>
      <c r="G643" t="str">
        <f>"2026-03-07 03:03:19.299"</f>
        <v>2026-03-07 03:03:19.299</v>
      </c>
      <c r="H643" t="s">
        <v>22</v>
      </c>
      <c r="I643">
        <v>6.67</v>
      </c>
      <c r="J643" t="s">
        <v>28</v>
      </c>
    </row>
    <row r="644" spans="1:10" x14ac:dyDescent="0.25">
      <c r="A644" s="1">
        <v>66</v>
      </c>
      <c r="B644" t="s">
        <v>19</v>
      </c>
      <c r="C644">
        <v>700</v>
      </c>
      <c r="D644">
        <v>0</v>
      </c>
      <c r="E644" t="s">
        <v>33</v>
      </c>
      <c r="F644" t="s">
        <v>33</v>
      </c>
      <c r="G644" t="str">
        <f>"2026-03-06 20:58:52.850"</f>
        <v>2026-03-06 20:58:52.850</v>
      </c>
      <c r="H644" t="s">
        <v>22</v>
      </c>
      <c r="I644">
        <v>0</v>
      </c>
      <c r="J644" t="s">
        <v>41</v>
      </c>
    </row>
    <row r="645" spans="1:10" x14ac:dyDescent="0.25">
      <c r="A645" s="1">
        <v>67</v>
      </c>
      <c r="B645" t="s">
        <v>19</v>
      </c>
      <c r="C645">
        <v>700</v>
      </c>
      <c r="D645">
        <v>0</v>
      </c>
      <c r="E645" t="s">
        <v>33</v>
      </c>
      <c r="F645" t="s">
        <v>33</v>
      </c>
      <c r="G645" t="str">
        <f>"2026-03-06 15:11:28.632"</f>
        <v>2026-03-06 15:11:28.632</v>
      </c>
      <c r="H645" t="s">
        <v>22</v>
      </c>
    </row>
    <row r="646" spans="1:10" x14ac:dyDescent="0.25">
      <c r="A646" s="1">
        <v>68</v>
      </c>
      <c r="B646" t="s">
        <v>19</v>
      </c>
      <c r="C646">
        <v>700</v>
      </c>
      <c r="D646">
        <v>0</v>
      </c>
      <c r="E646" t="s">
        <v>33</v>
      </c>
      <c r="F646" t="s">
        <v>33</v>
      </c>
      <c r="G646" t="str">
        <f>"2026-03-06 14:57:59.883"</f>
        <v>2026-03-06 14:57:59.883</v>
      </c>
      <c r="H646" t="s">
        <v>22</v>
      </c>
    </row>
    <row r="647" spans="1:10" s="3" customFormat="1" x14ac:dyDescent="0.25">
      <c r="A647" s="2">
        <v>69</v>
      </c>
      <c r="B647" s="3" t="s">
        <v>24</v>
      </c>
      <c r="C647" s="3">
        <v>647</v>
      </c>
      <c r="D647" s="3">
        <v>1</v>
      </c>
      <c r="E647" s="3" t="s">
        <v>34</v>
      </c>
      <c r="F647" s="3" t="s">
        <v>35</v>
      </c>
      <c r="G647" s="3" t="str">
        <f>"2026-03-06 13:05:19.134"</f>
        <v>2026-03-06 13:05:19.134</v>
      </c>
      <c r="H647" s="3" t="s">
        <v>22</v>
      </c>
    </row>
    <row r="648" spans="1:10" s="3" customFormat="1" x14ac:dyDescent="0.25">
      <c r="A648" s="2">
        <v>70</v>
      </c>
      <c r="B648" s="3" t="s">
        <v>27</v>
      </c>
      <c r="C648" s="3">
        <v>647</v>
      </c>
      <c r="D648" s="3">
        <v>1</v>
      </c>
      <c r="E648" s="3" t="s">
        <v>34</v>
      </c>
      <c r="F648" s="3" t="s">
        <v>35</v>
      </c>
      <c r="G648" s="3" t="str">
        <f>"2026-03-06 13:05:10.534"</f>
        <v>2026-03-06 13:05:10.534</v>
      </c>
      <c r="H648" s="3" t="s">
        <v>22</v>
      </c>
      <c r="I648" s="3">
        <v>12.01</v>
      </c>
      <c r="J648" s="3" t="s">
        <v>36</v>
      </c>
    </row>
    <row r="649" spans="1:10" x14ac:dyDescent="0.25">
      <c r="A649" s="1">
        <v>71</v>
      </c>
      <c r="B649" t="s">
        <v>24</v>
      </c>
      <c r="C649">
        <v>635</v>
      </c>
      <c r="D649">
        <v>1</v>
      </c>
      <c r="E649" t="s">
        <v>25</v>
      </c>
      <c r="F649" t="s">
        <v>26</v>
      </c>
      <c r="G649" t="str">
        <f>"2026-03-06 11:46:00.333"</f>
        <v>2026-03-06 11:46:00.333</v>
      </c>
      <c r="H649" t="s">
        <v>22</v>
      </c>
    </row>
    <row r="650" spans="1:10" x14ac:dyDescent="0.25">
      <c r="A650" s="1">
        <v>72</v>
      </c>
      <c r="B650" t="s">
        <v>27</v>
      </c>
      <c r="C650">
        <v>635</v>
      </c>
      <c r="D650">
        <v>1</v>
      </c>
      <c r="E650" t="s">
        <v>25</v>
      </c>
      <c r="F650" t="s">
        <v>26</v>
      </c>
      <c r="G650" t="str">
        <f>"2026-03-06 11:40:54.933"</f>
        <v>2026-03-06 11:40:54.933</v>
      </c>
      <c r="H650" t="s">
        <v>22</v>
      </c>
      <c r="I650">
        <v>6.34</v>
      </c>
      <c r="J650" t="s">
        <v>28</v>
      </c>
    </row>
    <row r="651" spans="1:10" x14ac:dyDescent="0.25">
      <c r="A651" s="1">
        <v>73</v>
      </c>
      <c r="B651" t="s">
        <v>19</v>
      </c>
      <c r="C651">
        <v>706</v>
      </c>
      <c r="D651">
        <v>4</v>
      </c>
      <c r="E651" t="s">
        <v>20</v>
      </c>
      <c r="F651" t="s">
        <v>40</v>
      </c>
      <c r="G651" t="str">
        <f>"2026-03-05 08:36:00.055"</f>
        <v>2026-03-05 08:36:00.055</v>
      </c>
      <c r="H651" t="s">
        <v>22</v>
      </c>
      <c r="I651">
        <v>0</v>
      </c>
      <c r="J651" t="s">
        <v>23</v>
      </c>
    </row>
    <row r="652" spans="1:10" x14ac:dyDescent="0.25">
      <c r="A652" s="1">
        <v>74</v>
      </c>
      <c r="B652" t="s">
        <v>19</v>
      </c>
      <c r="C652">
        <v>700</v>
      </c>
      <c r="D652">
        <v>0</v>
      </c>
      <c r="E652" t="s">
        <v>33</v>
      </c>
      <c r="F652" t="s">
        <v>33</v>
      </c>
      <c r="G652" t="str">
        <f>"2026-03-05 08:34:59.725"</f>
        <v>2026-03-05 08:34:59.725</v>
      </c>
      <c r="H652" t="s">
        <v>22</v>
      </c>
      <c r="I652">
        <v>0</v>
      </c>
      <c r="J652" t="s">
        <v>41</v>
      </c>
    </row>
    <row r="653" spans="1:10" x14ac:dyDescent="0.25">
      <c r="A653" s="1">
        <v>75</v>
      </c>
      <c r="B653" t="s">
        <v>19</v>
      </c>
      <c r="C653">
        <v>700</v>
      </c>
      <c r="D653">
        <v>0</v>
      </c>
      <c r="E653" t="s">
        <v>33</v>
      </c>
      <c r="F653" t="s">
        <v>33</v>
      </c>
      <c r="G653" t="str">
        <f>"2026-03-04 10:39:53.822"</f>
        <v>2026-03-04 10:39:53.822</v>
      </c>
      <c r="H653" t="s">
        <v>22</v>
      </c>
      <c r="I653">
        <v>0</v>
      </c>
      <c r="J653" t="s">
        <v>41</v>
      </c>
    </row>
    <row r="654" spans="1:10" x14ac:dyDescent="0.25">
      <c r="A654" s="1">
        <v>76</v>
      </c>
      <c r="B654" t="s">
        <v>24</v>
      </c>
      <c r="C654">
        <v>635</v>
      </c>
      <c r="D654">
        <v>1</v>
      </c>
      <c r="E654" t="s">
        <v>25</v>
      </c>
      <c r="F654" t="s">
        <v>26</v>
      </c>
      <c r="G654" t="str">
        <f>"2026-03-04 05:04:22.451"</f>
        <v>2026-03-04 05:04:22.451</v>
      </c>
      <c r="H654" t="s">
        <v>22</v>
      </c>
    </row>
    <row r="655" spans="1:10" x14ac:dyDescent="0.25">
      <c r="A655" s="1">
        <v>77</v>
      </c>
      <c r="B655" t="s">
        <v>27</v>
      </c>
      <c r="C655">
        <v>635</v>
      </c>
      <c r="D655">
        <v>1</v>
      </c>
      <c r="E655" t="s">
        <v>25</v>
      </c>
      <c r="F655" t="s">
        <v>26</v>
      </c>
      <c r="G655" t="str">
        <f>"2026-03-04 05:00:25.451"</f>
        <v>2026-03-04 05:00:25.451</v>
      </c>
      <c r="H655" t="s">
        <v>22</v>
      </c>
      <c r="I655">
        <v>7.19</v>
      </c>
      <c r="J655" t="s">
        <v>28</v>
      </c>
    </row>
    <row r="656" spans="1:10" x14ac:dyDescent="0.25">
      <c r="A656" s="1">
        <v>78</v>
      </c>
      <c r="B656" t="s">
        <v>19</v>
      </c>
      <c r="C656">
        <v>706</v>
      </c>
      <c r="D656">
        <v>2</v>
      </c>
      <c r="E656" t="s">
        <v>20</v>
      </c>
      <c r="F656" t="s">
        <v>21</v>
      </c>
      <c r="G656" t="str">
        <f>"2026-03-03 16:17:47.537"</f>
        <v>2026-03-03 16:17:47.537</v>
      </c>
      <c r="H656" t="s">
        <v>22</v>
      </c>
      <c r="I656">
        <v>0</v>
      </c>
      <c r="J656" t="s">
        <v>23</v>
      </c>
    </row>
    <row r="657" spans="1:10" x14ac:dyDescent="0.25">
      <c r="A657" s="1">
        <v>79</v>
      </c>
      <c r="B657" t="s">
        <v>19</v>
      </c>
      <c r="C657">
        <v>700</v>
      </c>
      <c r="D657">
        <v>0</v>
      </c>
      <c r="E657" t="s">
        <v>33</v>
      </c>
      <c r="F657" t="s">
        <v>33</v>
      </c>
      <c r="G657" t="str">
        <f>"2026-03-03 16:16:39.687"</f>
        <v>2026-03-03 16:16:39.687</v>
      </c>
      <c r="H657" t="s">
        <v>22</v>
      </c>
    </row>
    <row r="658" spans="1:10" s="3" customFormat="1" x14ac:dyDescent="0.25">
      <c r="A658" s="2">
        <v>81</v>
      </c>
      <c r="B658" s="3" t="s">
        <v>24</v>
      </c>
      <c r="C658" s="3">
        <v>647</v>
      </c>
      <c r="D658" s="3">
        <v>1</v>
      </c>
      <c r="E658" s="3" t="s">
        <v>34</v>
      </c>
      <c r="F658" s="3" t="s">
        <v>35</v>
      </c>
      <c r="G658" s="3" t="str">
        <f>"2026-03-03 11:27:13.746"</f>
        <v>2026-03-03 11:27:13.746</v>
      </c>
      <c r="H658" s="3" t="s">
        <v>22</v>
      </c>
    </row>
    <row r="659" spans="1:10" s="3" customFormat="1" x14ac:dyDescent="0.25">
      <c r="A659" s="2">
        <v>82</v>
      </c>
      <c r="B659" s="3" t="s">
        <v>27</v>
      </c>
      <c r="C659" s="3">
        <v>647</v>
      </c>
      <c r="D659" s="3">
        <v>1</v>
      </c>
      <c r="E659" s="3" t="s">
        <v>34</v>
      </c>
      <c r="F659" s="3" t="s">
        <v>35</v>
      </c>
      <c r="G659" s="3" t="str">
        <f>"2026-03-03 11:27:11.446"</f>
        <v>2026-03-03 11:27:11.446</v>
      </c>
      <c r="H659" s="3" t="s">
        <v>22</v>
      </c>
      <c r="I659" s="3">
        <v>19.670000000000002</v>
      </c>
      <c r="J659" s="3" t="s">
        <v>36</v>
      </c>
    </row>
    <row r="660" spans="1:10" x14ac:dyDescent="0.25">
      <c r="A660" s="1">
        <v>83</v>
      </c>
      <c r="B660" t="s">
        <v>24</v>
      </c>
      <c r="C660">
        <v>630</v>
      </c>
      <c r="D660">
        <v>5</v>
      </c>
      <c r="E660" t="s">
        <v>29</v>
      </c>
      <c r="F660" t="s">
        <v>30</v>
      </c>
      <c r="G660" t="str">
        <f>"2026-03-02 15:59:26.646"</f>
        <v>2026-03-02 15:59:26.646</v>
      </c>
      <c r="H660" t="s">
        <v>31</v>
      </c>
    </row>
    <row r="661" spans="1:10" x14ac:dyDescent="0.25">
      <c r="A661" s="1">
        <v>84</v>
      </c>
      <c r="B661" t="s">
        <v>19</v>
      </c>
      <c r="C661">
        <v>706</v>
      </c>
      <c r="D661">
        <v>2</v>
      </c>
      <c r="E661" t="s">
        <v>20</v>
      </c>
      <c r="F661" t="s">
        <v>21</v>
      </c>
      <c r="G661" t="str">
        <f>"2026-03-02 15:58:56.493"</f>
        <v>2026-03-02 15:58:56.493</v>
      </c>
      <c r="H661" t="s">
        <v>22</v>
      </c>
      <c r="I661">
        <v>0</v>
      </c>
      <c r="J661" t="s">
        <v>23</v>
      </c>
    </row>
    <row r="662" spans="1:10" x14ac:dyDescent="0.25">
      <c r="A662" s="1">
        <v>85</v>
      </c>
      <c r="B662" t="s">
        <v>32</v>
      </c>
      <c r="C662">
        <v>630</v>
      </c>
      <c r="D662">
        <v>5</v>
      </c>
      <c r="E662" t="s">
        <v>29</v>
      </c>
      <c r="F662" t="s">
        <v>30</v>
      </c>
      <c r="G662" t="str">
        <f>"2026-03-02 15:56:37.446"</f>
        <v>2026-03-02 15:56:37.446</v>
      </c>
      <c r="H662" t="s">
        <v>31</v>
      </c>
      <c r="I662">
        <v>0</v>
      </c>
      <c r="J662" t="s">
        <v>23</v>
      </c>
    </row>
    <row r="663" spans="1:10" x14ac:dyDescent="0.25">
      <c r="A663" s="1">
        <v>86</v>
      </c>
      <c r="B663" t="s">
        <v>19</v>
      </c>
      <c r="C663">
        <v>700</v>
      </c>
      <c r="D663">
        <v>0</v>
      </c>
      <c r="E663" t="s">
        <v>33</v>
      </c>
      <c r="F663" t="s">
        <v>33</v>
      </c>
      <c r="G663" t="str">
        <f>"2026-03-02 15:51:34.633"</f>
        <v>2026-03-02 15:51:34.633</v>
      </c>
      <c r="H663" t="s">
        <v>22</v>
      </c>
      <c r="I663">
        <v>0</v>
      </c>
      <c r="J663" t="s">
        <v>41</v>
      </c>
    </row>
    <row r="664" spans="1:10" x14ac:dyDescent="0.25">
      <c r="A664" s="1">
        <v>87</v>
      </c>
      <c r="B664" t="s">
        <v>19</v>
      </c>
      <c r="C664">
        <v>706</v>
      </c>
      <c r="D664">
        <v>4</v>
      </c>
      <c r="E664" t="s">
        <v>20</v>
      </c>
      <c r="F664" t="s">
        <v>40</v>
      </c>
      <c r="G664" t="str">
        <f>"2026-03-02 15:43:02.554"</f>
        <v>2026-03-02 15:43:02.554</v>
      </c>
      <c r="H664" t="s">
        <v>22</v>
      </c>
      <c r="I664">
        <v>0</v>
      </c>
      <c r="J664" t="s">
        <v>23</v>
      </c>
    </row>
    <row r="665" spans="1:10" x14ac:dyDescent="0.25">
      <c r="A665" s="1">
        <v>88</v>
      </c>
      <c r="B665" t="s">
        <v>19</v>
      </c>
      <c r="C665">
        <v>700</v>
      </c>
      <c r="D665">
        <v>0</v>
      </c>
      <c r="E665" t="s">
        <v>33</v>
      </c>
      <c r="F665" t="s">
        <v>33</v>
      </c>
      <c r="G665" t="str">
        <f>"2026-03-02 15:41:38.624"</f>
        <v>2026-03-02 15:41:38.624</v>
      </c>
      <c r="H665" t="s">
        <v>22</v>
      </c>
    </row>
    <row r="666" spans="1:10" x14ac:dyDescent="0.25">
      <c r="A666" s="1">
        <v>89</v>
      </c>
      <c r="B666" t="s">
        <v>19</v>
      </c>
      <c r="C666">
        <v>700</v>
      </c>
      <c r="D666">
        <v>0</v>
      </c>
      <c r="E666" t="s">
        <v>33</v>
      </c>
      <c r="F666" t="s">
        <v>33</v>
      </c>
      <c r="G666" t="str">
        <f>"2026-03-02 15:18:15.636"</f>
        <v>2026-03-02 15:18:15.636</v>
      </c>
      <c r="H666" t="s">
        <v>22</v>
      </c>
      <c r="I666">
        <v>0</v>
      </c>
      <c r="J666" t="s">
        <v>41</v>
      </c>
    </row>
    <row r="667" spans="1:10" x14ac:dyDescent="0.25">
      <c r="A667" s="1">
        <v>90</v>
      </c>
      <c r="B667" t="s">
        <v>19</v>
      </c>
      <c r="C667">
        <v>706</v>
      </c>
      <c r="D667">
        <v>4</v>
      </c>
      <c r="E667" t="s">
        <v>20</v>
      </c>
      <c r="F667" t="s">
        <v>40</v>
      </c>
      <c r="G667" t="str">
        <f>"2026-03-02 15:15:59.441"</f>
        <v>2026-03-02 15:15:59.441</v>
      </c>
      <c r="H667" t="s">
        <v>22</v>
      </c>
      <c r="I667">
        <v>0</v>
      </c>
      <c r="J667" t="s">
        <v>23</v>
      </c>
    </row>
    <row r="668" spans="1:10" x14ac:dyDescent="0.25">
      <c r="A668" s="1">
        <v>91</v>
      </c>
      <c r="B668" t="s">
        <v>19</v>
      </c>
      <c r="C668">
        <v>706</v>
      </c>
      <c r="D668">
        <v>4</v>
      </c>
      <c r="E668" t="s">
        <v>20</v>
      </c>
      <c r="F668" t="s">
        <v>40</v>
      </c>
      <c r="G668" t="str">
        <f>"2026-03-02 15:15:43.441"</f>
        <v>2026-03-02 15:15:43.441</v>
      </c>
      <c r="H668" t="s">
        <v>22</v>
      </c>
      <c r="I668">
        <v>0</v>
      </c>
      <c r="J668" t="s">
        <v>23</v>
      </c>
    </row>
    <row r="669" spans="1:10" x14ac:dyDescent="0.25">
      <c r="A669" s="1">
        <v>92</v>
      </c>
      <c r="B669" t="s">
        <v>24</v>
      </c>
      <c r="C669">
        <v>49</v>
      </c>
      <c r="D669">
        <v>1</v>
      </c>
      <c r="E669" t="s">
        <v>66</v>
      </c>
      <c r="F669" t="s">
        <v>67</v>
      </c>
      <c r="G669" t="str">
        <f>"2026-03-02 15:15:40.443"</f>
        <v>2026-03-02 15:15:40.443</v>
      </c>
      <c r="H669" t="s">
        <v>68</v>
      </c>
    </row>
    <row r="670" spans="1:10" x14ac:dyDescent="0.25">
      <c r="A670" s="1">
        <v>94</v>
      </c>
      <c r="B670" t="s">
        <v>19</v>
      </c>
      <c r="C670">
        <v>700</v>
      </c>
      <c r="D670">
        <v>0</v>
      </c>
      <c r="E670" t="s">
        <v>33</v>
      </c>
      <c r="F670" t="s">
        <v>33</v>
      </c>
      <c r="G670" t="str">
        <f>"2026-03-02 15:15:10.621"</f>
        <v>2026-03-02 15:15:10.621</v>
      </c>
      <c r="H670" t="s">
        <v>22</v>
      </c>
    </row>
    <row r="671" spans="1:10" x14ac:dyDescent="0.25">
      <c r="A671" s="1">
        <v>95</v>
      </c>
      <c r="B671" t="s">
        <v>19</v>
      </c>
      <c r="C671">
        <v>700</v>
      </c>
      <c r="D671">
        <v>0</v>
      </c>
      <c r="E671" t="s">
        <v>33</v>
      </c>
      <c r="F671" t="s">
        <v>33</v>
      </c>
      <c r="G671" t="str">
        <f>"2026-03-02 15:08:32.616"</f>
        <v>2026-03-02 15:08:32.616</v>
      </c>
      <c r="H671" t="s">
        <v>22</v>
      </c>
    </row>
    <row r="672" spans="1:10" x14ac:dyDescent="0.25">
      <c r="A672" s="1">
        <v>96</v>
      </c>
      <c r="B672" t="s">
        <v>19</v>
      </c>
      <c r="C672">
        <v>700</v>
      </c>
      <c r="D672">
        <v>0</v>
      </c>
      <c r="E672" t="s">
        <v>33</v>
      </c>
      <c r="F672" t="s">
        <v>33</v>
      </c>
      <c r="G672" t="str">
        <f>"2026-03-02 15:07:25.636"</f>
        <v>2026-03-02 15:07:25.636</v>
      </c>
      <c r="H672" t="s">
        <v>22</v>
      </c>
      <c r="I672">
        <v>0</v>
      </c>
      <c r="J672" t="s">
        <v>41</v>
      </c>
    </row>
    <row r="673" spans="1:10" x14ac:dyDescent="0.25">
      <c r="A673" s="1">
        <v>97</v>
      </c>
      <c r="B673" t="s">
        <v>32</v>
      </c>
      <c r="C673">
        <v>630</v>
      </c>
      <c r="D673">
        <v>5</v>
      </c>
      <c r="E673" t="s">
        <v>29</v>
      </c>
      <c r="F673" t="s">
        <v>30</v>
      </c>
      <c r="G673" t="str">
        <f>"2026-03-02 14:49:44.335"</f>
        <v>2026-03-02 14:49:44.335</v>
      </c>
      <c r="H673" t="s">
        <v>31</v>
      </c>
      <c r="I673">
        <v>0</v>
      </c>
      <c r="J673" t="s">
        <v>69</v>
      </c>
    </row>
    <row r="674" spans="1:10" x14ac:dyDescent="0.25">
      <c r="A674" s="1">
        <v>98</v>
      </c>
      <c r="B674" t="s">
        <v>19</v>
      </c>
      <c r="C674">
        <v>700</v>
      </c>
      <c r="D674">
        <v>0</v>
      </c>
      <c r="E674" t="s">
        <v>33</v>
      </c>
      <c r="F674" t="s">
        <v>33</v>
      </c>
      <c r="G674" t="str">
        <f>"2026-03-02 14:44:41.654"</f>
        <v>2026-03-02 14:44:41.654</v>
      </c>
      <c r="H674" t="s">
        <v>22</v>
      </c>
      <c r="I674">
        <v>0</v>
      </c>
      <c r="J674" t="s">
        <v>41</v>
      </c>
    </row>
    <row r="675" spans="1:10" x14ac:dyDescent="0.25">
      <c r="A675" s="1">
        <v>99</v>
      </c>
      <c r="B675" t="s">
        <v>32</v>
      </c>
      <c r="C675">
        <v>630</v>
      </c>
      <c r="D675">
        <v>5</v>
      </c>
      <c r="E675" t="s">
        <v>29</v>
      </c>
      <c r="F675" t="s">
        <v>30</v>
      </c>
      <c r="G675" t="str">
        <f>"2026-03-02 14:41:01.741"</f>
        <v>2026-03-02 14:41:01.741</v>
      </c>
      <c r="H675" t="s">
        <v>31</v>
      </c>
      <c r="I675">
        <v>0</v>
      </c>
      <c r="J675" t="s">
        <v>23</v>
      </c>
    </row>
    <row r="676" spans="1:10" x14ac:dyDescent="0.25">
      <c r="A676" s="1">
        <v>2</v>
      </c>
      <c r="B676" t="s">
        <v>19</v>
      </c>
      <c r="C676">
        <v>706</v>
      </c>
      <c r="D676">
        <v>3</v>
      </c>
      <c r="E676" t="s">
        <v>20</v>
      </c>
      <c r="F676" t="s">
        <v>42</v>
      </c>
      <c r="G676" t="str">
        <f>"2026-03-02 14:35:59.550"</f>
        <v>2026-03-02 14:35:59.550</v>
      </c>
      <c r="H676" t="s">
        <v>22</v>
      </c>
      <c r="I676">
        <v>0</v>
      </c>
      <c r="J676" t="s">
        <v>23</v>
      </c>
    </row>
    <row r="677" spans="1:10" x14ac:dyDescent="0.25">
      <c r="A677" s="1">
        <v>3</v>
      </c>
      <c r="B677" t="s">
        <v>32</v>
      </c>
      <c r="C677">
        <v>47</v>
      </c>
      <c r="D677">
        <v>2</v>
      </c>
      <c r="E677" t="s">
        <v>70</v>
      </c>
      <c r="F677" t="s">
        <v>71</v>
      </c>
      <c r="G677" t="str">
        <f>"2026-03-02 14:35:18.641"</f>
        <v>2026-03-02 14:35:18.641</v>
      </c>
      <c r="H677" t="s">
        <v>64</v>
      </c>
      <c r="I677">
        <v>0</v>
      </c>
      <c r="J677" t="s">
        <v>37</v>
      </c>
    </row>
    <row r="678" spans="1:10" x14ac:dyDescent="0.25">
      <c r="A678" s="1">
        <v>4</v>
      </c>
      <c r="B678" t="s">
        <v>27</v>
      </c>
      <c r="C678">
        <v>49</v>
      </c>
      <c r="D678">
        <v>1</v>
      </c>
      <c r="E678" t="s">
        <v>66</v>
      </c>
      <c r="F678" t="s">
        <v>67</v>
      </c>
      <c r="G678" t="str">
        <f>"2026-03-02 13:49:31.341"</f>
        <v>2026-03-02 13:49:31.341</v>
      </c>
      <c r="H678" t="s">
        <v>68</v>
      </c>
      <c r="I678">
        <v>0</v>
      </c>
      <c r="J678" t="s">
        <v>37</v>
      </c>
    </row>
    <row r="679" spans="1:10" x14ac:dyDescent="0.25">
      <c r="A679" s="1">
        <v>6</v>
      </c>
      <c r="B679" t="s">
        <v>19</v>
      </c>
      <c r="C679">
        <v>700</v>
      </c>
      <c r="D679">
        <v>0</v>
      </c>
      <c r="E679" t="s">
        <v>33</v>
      </c>
      <c r="F679" t="s">
        <v>33</v>
      </c>
      <c r="G679" t="str">
        <f>"2026-03-02 08:22:59.720"</f>
        <v>2026-03-02 08:22:59.720</v>
      </c>
      <c r="H679" t="s">
        <v>22</v>
      </c>
    </row>
    <row r="680" spans="1:10" x14ac:dyDescent="0.25">
      <c r="A680" s="1">
        <v>7</v>
      </c>
      <c r="B680" t="s">
        <v>24</v>
      </c>
      <c r="C680">
        <v>630</v>
      </c>
      <c r="D680">
        <v>5</v>
      </c>
      <c r="E680" t="s">
        <v>29</v>
      </c>
      <c r="F680" t="s">
        <v>30</v>
      </c>
      <c r="G680" t="str">
        <f>"2026-03-02 05:07:54.470"</f>
        <v>2026-03-02 05:07:54.470</v>
      </c>
      <c r="H680" t="s">
        <v>31</v>
      </c>
    </row>
    <row r="681" spans="1:10" x14ac:dyDescent="0.25">
      <c r="A681" s="1">
        <v>8</v>
      </c>
      <c r="B681" t="s">
        <v>19</v>
      </c>
      <c r="C681">
        <v>706</v>
      </c>
      <c r="D681">
        <v>4</v>
      </c>
      <c r="E681" t="s">
        <v>20</v>
      </c>
      <c r="F681" t="s">
        <v>40</v>
      </c>
      <c r="G681" t="str">
        <f>"2026-03-02 05:07:24.432"</f>
        <v>2026-03-02 05:07:24.432</v>
      </c>
      <c r="H681" t="s">
        <v>22</v>
      </c>
      <c r="I681">
        <v>0</v>
      </c>
      <c r="J681" t="s">
        <v>23</v>
      </c>
    </row>
    <row r="682" spans="1:10" x14ac:dyDescent="0.25">
      <c r="A682" s="1">
        <v>9</v>
      </c>
      <c r="B682" t="s">
        <v>19</v>
      </c>
      <c r="C682">
        <v>706</v>
      </c>
      <c r="D682">
        <v>2</v>
      </c>
      <c r="E682" t="s">
        <v>20</v>
      </c>
      <c r="F682" t="s">
        <v>21</v>
      </c>
      <c r="G682" t="str">
        <f>"2026-03-02 05:05:02.672"</f>
        <v>2026-03-02 05:05:02.672</v>
      </c>
      <c r="H682" t="s">
        <v>22</v>
      </c>
      <c r="I682">
        <v>0</v>
      </c>
      <c r="J682" t="s">
        <v>23</v>
      </c>
    </row>
    <row r="683" spans="1:10" x14ac:dyDescent="0.25">
      <c r="A683" s="1">
        <v>10</v>
      </c>
      <c r="B683" t="s">
        <v>19</v>
      </c>
      <c r="C683">
        <v>706</v>
      </c>
      <c r="D683">
        <v>2</v>
      </c>
      <c r="E683" t="s">
        <v>20</v>
      </c>
      <c r="F683" t="s">
        <v>21</v>
      </c>
      <c r="G683" t="str">
        <f>"2026-03-02 05:04:53.672"</f>
        <v>2026-03-02 05:04:53.672</v>
      </c>
      <c r="H683" t="s">
        <v>22</v>
      </c>
      <c r="I683">
        <v>0</v>
      </c>
      <c r="J683" t="s">
        <v>23</v>
      </c>
    </row>
    <row r="684" spans="1:10" x14ac:dyDescent="0.25">
      <c r="A684" s="1">
        <v>11</v>
      </c>
      <c r="B684" t="s">
        <v>32</v>
      </c>
      <c r="C684">
        <v>630</v>
      </c>
      <c r="D684">
        <v>5</v>
      </c>
      <c r="E684" t="s">
        <v>29</v>
      </c>
      <c r="F684" t="s">
        <v>30</v>
      </c>
      <c r="G684" t="str">
        <f>"2026-03-02 05:00:14.471"</f>
        <v>2026-03-02 05:00:14.471</v>
      </c>
      <c r="H684" t="s">
        <v>31</v>
      </c>
      <c r="I684">
        <v>0</v>
      </c>
      <c r="J684" t="s">
        <v>23</v>
      </c>
    </row>
    <row r="685" spans="1:10" x14ac:dyDescent="0.25">
      <c r="A685" s="1">
        <v>12</v>
      </c>
      <c r="B685" t="s">
        <v>19</v>
      </c>
      <c r="C685">
        <v>700</v>
      </c>
      <c r="D685">
        <v>0</v>
      </c>
      <c r="E685" t="s">
        <v>33</v>
      </c>
      <c r="F685" t="s">
        <v>33</v>
      </c>
      <c r="G685" t="str">
        <f>"2026-03-02 04:55:11.632"</f>
        <v>2026-03-02 04:55:11.632</v>
      </c>
      <c r="H685" t="s">
        <v>22</v>
      </c>
    </row>
    <row r="686" spans="1:10" x14ac:dyDescent="0.25">
      <c r="A686" s="1">
        <v>13</v>
      </c>
      <c r="B686" t="s">
        <v>32</v>
      </c>
      <c r="C686">
        <v>630</v>
      </c>
      <c r="D686">
        <v>5</v>
      </c>
      <c r="E686" t="s">
        <v>29</v>
      </c>
      <c r="F686" t="s">
        <v>30</v>
      </c>
      <c r="G686" t="str">
        <f>"2026-03-02 03:06:09.460"</f>
        <v>2026-03-02 03:06:09.460</v>
      </c>
      <c r="H686" t="s">
        <v>31</v>
      </c>
      <c r="I686">
        <v>0</v>
      </c>
      <c r="J686" t="s">
        <v>23</v>
      </c>
    </row>
    <row r="687" spans="1:10" x14ac:dyDescent="0.25">
      <c r="A687" s="1">
        <v>14</v>
      </c>
      <c r="B687" t="s">
        <v>19</v>
      </c>
      <c r="C687">
        <v>700</v>
      </c>
      <c r="D687">
        <v>0</v>
      </c>
      <c r="E687" t="s">
        <v>33</v>
      </c>
      <c r="F687" t="s">
        <v>33</v>
      </c>
      <c r="G687" t="str">
        <f>"2026-03-02 03:01:06.652"</f>
        <v>2026-03-02 03:01:06.652</v>
      </c>
      <c r="H687" t="s">
        <v>22</v>
      </c>
      <c r="I687">
        <v>0</v>
      </c>
      <c r="J687" t="s">
        <v>41</v>
      </c>
    </row>
    <row r="688" spans="1:10" x14ac:dyDescent="0.25">
      <c r="A688" s="1">
        <v>16</v>
      </c>
      <c r="B688" t="s">
        <v>24</v>
      </c>
      <c r="C688">
        <v>61</v>
      </c>
      <c r="D688">
        <v>2</v>
      </c>
      <c r="E688" t="s">
        <v>72</v>
      </c>
      <c r="F688" t="s">
        <v>73</v>
      </c>
      <c r="G688" t="str">
        <f>"2026-03-01 19:26:06.088"</f>
        <v>2026-03-01 19:26:06.088</v>
      </c>
      <c r="H688" t="s">
        <v>22</v>
      </c>
    </row>
    <row r="689" spans="1:10" x14ac:dyDescent="0.25">
      <c r="A689" s="1">
        <v>17</v>
      </c>
      <c r="B689" t="s">
        <v>32</v>
      </c>
      <c r="C689">
        <v>61</v>
      </c>
      <c r="D689">
        <v>2</v>
      </c>
      <c r="E689" t="s">
        <v>72</v>
      </c>
      <c r="F689" t="s">
        <v>73</v>
      </c>
      <c r="G689" t="str">
        <f>"2026-03-01 19:25:54.388"</f>
        <v>2026-03-01 19:25:54.388</v>
      </c>
      <c r="H689" t="s">
        <v>22</v>
      </c>
      <c r="I689">
        <v>29.48</v>
      </c>
      <c r="J689" t="s">
        <v>36</v>
      </c>
    </row>
    <row r="690" spans="1:10" x14ac:dyDescent="0.25">
      <c r="A690" s="1">
        <v>18</v>
      </c>
      <c r="B690" t="s">
        <v>19</v>
      </c>
      <c r="C690">
        <v>700</v>
      </c>
      <c r="D690">
        <v>0</v>
      </c>
      <c r="E690" t="s">
        <v>33</v>
      </c>
      <c r="F690" t="s">
        <v>33</v>
      </c>
      <c r="G690" t="str">
        <f>"2026-03-01 13:53:46.667"</f>
        <v>2026-03-01 13:53:46.667</v>
      </c>
      <c r="H690" t="s">
        <v>22</v>
      </c>
      <c r="I690">
        <v>0</v>
      </c>
      <c r="J690" t="s">
        <v>41</v>
      </c>
    </row>
    <row r="691" spans="1:10" s="3" customFormat="1" x14ac:dyDescent="0.25">
      <c r="A691" s="2">
        <v>19</v>
      </c>
      <c r="B691" s="3" t="s">
        <v>24</v>
      </c>
      <c r="C691" s="3">
        <v>647</v>
      </c>
      <c r="D691" s="3">
        <v>1</v>
      </c>
      <c r="E691" s="3" t="s">
        <v>34</v>
      </c>
      <c r="F691" s="3" t="s">
        <v>35</v>
      </c>
      <c r="G691" s="3" t="str">
        <f>"2026-03-01 08:39:40.880"</f>
        <v>2026-03-01 08:39:40.880</v>
      </c>
      <c r="H691" s="3" t="s">
        <v>22</v>
      </c>
    </row>
    <row r="692" spans="1:10" s="3" customFormat="1" x14ac:dyDescent="0.25">
      <c r="A692" s="2">
        <v>20</v>
      </c>
      <c r="B692" s="3" t="s">
        <v>27</v>
      </c>
      <c r="C692" s="3">
        <v>647</v>
      </c>
      <c r="D692" s="3">
        <v>1</v>
      </c>
      <c r="E692" s="3" t="s">
        <v>34</v>
      </c>
      <c r="F692" s="3" t="s">
        <v>35</v>
      </c>
      <c r="G692" s="3" t="str">
        <f>"2026-03-01 08:39:25.180"</f>
        <v>2026-03-01 08:39:25.180</v>
      </c>
      <c r="H692" s="3" t="s">
        <v>22</v>
      </c>
      <c r="I692" s="3">
        <v>10.33</v>
      </c>
      <c r="J692" s="3" t="s">
        <v>36</v>
      </c>
    </row>
    <row r="693" spans="1:10" s="3" customFormat="1" x14ac:dyDescent="0.25">
      <c r="A693" s="2">
        <v>21</v>
      </c>
      <c r="B693" s="3" t="s">
        <v>24</v>
      </c>
      <c r="C693" s="3">
        <v>647</v>
      </c>
      <c r="D693" s="3">
        <v>1</v>
      </c>
      <c r="E693" s="3" t="s">
        <v>34</v>
      </c>
      <c r="F693" s="3" t="s">
        <v>35</v>
      </c>
      <c r="G693" s="3" t="str">
        <f>"2026-03-01 08:30:24.980"</f>
        <v>2026-03-01 08:30:24.980</v>
      </c>
      <c r="H693" s="3" t="s">
        <v>22</v>
      </c>
    </row>
    <row r="694" spans="1:10" s="3" customFormat="1" x14ac:dyDescent="0.25">
      <c r="A694" s="2">
        <v>22</v>
      </c>
      <c r="B694" s="3" t="s">
        <v>27</v>
      </c>
      <c r="C694" s="3">
        <v>647</v>
      </c>
      <c r="D694" s="3">
        <v>1</v>
      </c>
      <c r="E694" s="3" t="s">
        <v>34</v>
      </c>
      <c r="F694" s="3" t="s">
        <v>35</v>
      </c>
      <c r="G694" s="3" t="str">
        <f>"2026-03-01 08:30:23.180"</f>
        <v>2026-03-01 08:30:23.180</v>
      </c>
      <c r="H694" s="3" t="s">
        <v>22</v>
      </c>
      <c r="I694" s="3">
        <v>14.52</v>
      </c>
      <c r="J694" s="3" t="s">
        <v>36</v>
      </c>
    </row>
    <row r="695" spans="1:10" x14ac:dyDescent="0.25">
      <c r="A695" s="1">
        <v>23</v>
      </c>
      <c r="B695" t="s">
        <v>24</v>
      </c>
      <c r="C695">
        <v>630</v>
      </c>
      <c r="D695">
        <v>5</v>
      </c>
      <c r="E695" t="s">
        <v>29</v>
      </c>
      <c r="F695" t="s">
        <v>30</v>
      </c>
      <c r="G695" t="str">
        <f>"2026-03-01 04:36:42.080"</f>
        <v>2026-03-01 04:36:42.080</v>
      </c>
      <c r="H695" t="s">
        <v>31</v>
      </c>
    </row>
    <row r="696" spans="1:10" x14ac:dyDescent="0.25">
      <c r="A696" s="1">
        <v>24</v>
      </c>
      <c r="B696" t="s">
        <v>19</v>
      </c>
      <c r="C696">
        <v>706</v>
      </c>
      <c r="D696">
        <v>2</v>
      </c>
      <c r="E696" t="s">
        <v>20</v>
      </c>
      <c r="F696" t="s">
        <v>21</v>
      </c>
      <c r="G696" t="str">
        <f>"2026-03-01 04:36:11.938"</f>
        <v>2026-03-01 04:36:11.938</v>
      </c>
      <c r="H696" t="s">
        <v>22</v>
      </c>
      <c r="I696">
        <v>0</v>
      </c>
      <c r="J696" t="s">
        <v>23</v>
      </c>
    </row>
    <row r="697" spans="1:10" x14ac:dyDescent="0.25">
      <c r="A697" s="1">
        <v>25</v>
      </c>
      <c r="B697" t="s">
        <v>32</v>
      </c>
      <c r="C697">
        <v>630</v>
      </c>
      <c r="D697">
        <v>5</v>
      </c>
      <c r="E697" t="s">
        <v>29</v>
      </c>
      <c r="F697" t="s">
        <v>30</v>
      </c>
      <c r="G697" t="str">
        <f>"2026-03-01 04:16:51.780"</f>
        <v>2026-03-01 04:16:51.780</v>
      </c>
      <c r="H697" t="s">
        <v>31</v>
      </c>
      <c r="I697">
        <v>0</v>
      </c>
      <c r="J697" t="s">
        <v>23</v>
      </c>
    </row>
    <row r="698" spans="1:10" x14ac:dyDescent="0.25">
      <c r="A698" s="1">
        <v>26</v>
      </c>
      <c r="B698" t="s">
        <v>24</v>
      </c>
      <c r="C698">
        <v>635</v>
      </c>
      <c r="D698">
        <v>1</v>
      </c>
      <c r="E698" t="s">
        <v>25</v>
      </c>
      <c r="F698" t="s">
        <v>26</v>
      </c>
      <c r="G698" t="str">
        <f>"2026-03-01 01:34:47.580"</f>
        <v>2026-03-01 01:34:47.580</v>
      </c>
      <c r="H698" t="s">
        <v>22</v>
      </c>
    </row>
    <row r="699" spans="1:10" x14ac:dyDescent="0.25">
      <c r="A699" s="1">
        <v>27</v>
      </c>
      <c r="B699" t="s">
        <v>27</v>
      </c>
      <c r="C699">
        <v>635</v>
      </c>
      <c r="D699">
        <v>1</v>
      </c>
      <c r="E699" t="s">
        <v>25</v>
      </c>
      <c r="F699" t="s">
        <v>26</v>
      </c>
      <c r="G699" t="str">
        <f>"2026-03-01 01:31:23.580"</f>
        <v>2026-03-01 01:31:23.580</v>
      </c>
      <c r="H699" t="s">
        <v>22</v>
      </c>
      <c r="I699">
        <v>3.7</v>
      </c>
      <c r="J699" t="s">
        <v>28</v>
      </c>
    </row>
    <row r="700" spans="1:10" x14ac:dyDescent="0.25">
      <c r="A700" s="1">
        <v>28</v>
      </c>
      <c r="B700" t="s">
        <v>19</v>
      </c>
      <c r="C700">
        <v>700</v>
      </c>
      <c r="D700">
        <v>0</v>
      </c>
      <c r="E700" t="s">
        <v>33</v>
      </c>
      <c r="F700" t="s">
        <v>33</v>
      </c>
      <c r="G700" t="str">
        <f>"2026-02-28 13:10:25.648"</f>
        <v>2026-02-28 13:10:25.648</v>
      </c>
      <c r="H700" t="s">
        <v>22</v>
      </c>
      <c r="I700">
        <v>0</v>
      </c>
      <c r="J700" t="s">
        <v>41</v>
      </c>
    </row>
    <row r="701" spans="1:10" s="3" customFormat="1" x14ac:dyDescent="0.25">
      <c r="A701" s="2">
        <v>29</v>
      </c>
      <c r="B701" s="3" t="s">
        <v>24</v>
      </c>
      <c r="C701" s="3">
        <v>647</v>
      </c>
      <c r="D701" s="3">
        <v>1</v>
      </c>
      <c r="E701" s="3" t="s">
        <v>34</v>
      </c>
      <c r="F701" s="3" t="s">
        <v>35</v>
      </c>
      <c r="G701" s="3" t="str">
        <f>"2026-02-28 11:30:41.645"</f>
        <v>2026-02-28 11:30:41.645</v>
      </c>
      <c r="H701" s="3" t="s">
        <v>22</v>
      </c>
    </row>
    <row r="702" spans="1:10" s="3" customFormat="1" x14ac:dyDescent="0.25">
      <c r="A702" s="2">
        <v>30</v>
      </c>
      <c r="B702" s="3" t="s">
        <v>27</v>
      </c>
      <c r="C702" s="3">
        <v>647</v>
      </c>
      <c r="D702" s="3">
        <v>1</v>
      </c>
      <c r="E702" s="3" t="s">
        <v>34</v>
      </c>
      <c r="F702" s="3" t="s">
        <v>35</v>
      </c>
      <c r="G702" s="3" t="str">
        <f>"2026-02-28 11:30:40.145"</f>
        <v>2026-02-28 11:30:40.145</v>
      </c>
      <c r="H702" s="3" t="s">
        <v>22</v>
      </c>
      <c r="I702" s="3">
        <v>17.920000000000002</v>
      </c>
      <c r="J702" s="3" t="s">
        <v>36</v>
      </c>
    </row>
    <row r="703" spans="1:10" s="3" customFormat="1" x14ac:dyDescent="0.25">
      <c r="A703" s="2">
        <v>31</v>
      </c>
      <c r="B703" s="3" t="s">
        <v>24</v>
      </c>
      <c r="C703" s="3">
        <v>647</v>
      </c>
      <c r="D703" s="3">
        <v>1</v>
      </c>
      <c r="E703" s="3" t="s">
        <v>34</v>
      </c>
      <c r="F703" s="3" t="s">
        <v>35</v>
      </c>
      <c r="G703" s="3" t="str">
        <f>"2026-02-28 10:54:46.945"</f>
        <v>2026-02-28 10:54:46.945</v>
      </c>
      <c r="H703" s="3" t="s">
        <v>22</v>
      </c>
    </row>
    <row r="704" spans="1:10" s="3" customFormat="1" x14ac:dyDescent="0.25">
      <c r="A704" s="2">
        <v>32</v>
      </c>
      <c r="B704" s="3" t="s">
        <v>27</v>
      </c>
      <c r="C704" s="3">
        <v>647</v>
      </c>
      <c r="D704" s="3">
        <v>1</v>
      </c>
      <c r="E704" s="3" t="s">
        <v>34</v>
      </c>
      <c r="F704" s="3" t="s">
        <v>35</v>
      </c>
      <c r="G704" s="3" t="str">
        <f>"2026-02-28 10:54:41.845"</f>
        <v>2026-02-28 10:54:41.845</v>
      </c>
      <c r="H704" s="3" t="s">
        <v>22</v>
      </c>
      <c r="I704" s="3">
        <v>19.89</v>
      </c>
      <c r="J704" s="3" t="s">
        <v>36</v>
      </c>
    </row>
    <row r="705" spans="1:10" x14ac:dyDescent="0.25">
      <c r="A705" s="1">
        <v>33</v>
      </c>
      <c r="B705" t="s">
        <v>24</v>
      </c>
      <c r="C705">
        <v>61</v>
      </c>
      <c r="D705">
        <v>2</v>
      </c>
      <c r="E705" t="s">
        <v>72</v>
      </c>
      <c r="F705" t="s">
        <v>73</v>
      </c>
      <c r="G705" t="str">
        <f>"2026-02-28 10:38:31.345"</f>
        <v>2026-02-28 10:38:31.345</v>
      </c>
      <c r="H705" t="s">
        <v>22</v>
      </c>
    </row>
    <row r="706" spans="1:10" x14ac:dyDescent="0.25">
      <c r="A706" s="1">
        <v>34</v>
      </c>
      <c r="B706" t="s">
        <v>32</v>
      </c>
      <c r="C706">
        <v>61</v>
      </c>
      <c r="D706">
        <v>2</v>
      </c>
      <c r="E706" t="s">
        <v>72</v>
      </c>
      <c r="F706" t="s">
        <v>73</v>
      </c>
      <c r="G706" t="str">
        <f>"2026-02-28 10:38:17.345"</f>
        <v>2026-02-28 10:38:17.345</v>
      </c>
      <c r="H706" t="s">
        <v>22</v>
      </c>
      <c r="I706">
        <v>30.46</v>
      </c>
      <c r="J706" t="s">
        <v>36</v>
      </c>
    </row>
    <row r="707" spans="1:10" s="3" customFormat="1" x14ac:dyDescent="0.25">
      <c r="A707" s="2">
        <v>35</v>
      </c>
      <c r="B707" s="3" t="s">
        <v>24</v>
      </c>
      <c r="C707" s="3">
        <v>647</v>
      </c>
      <c r="D707" s="3">
        <v>1</v>
      </c>
      <c r="E707" s="3" t="s">
        <v>34</v>
      </c>
      <c r="F707" s="3" t="s">
        <v>35</v>
      </c>
      <c r="G707" s="3" t="str">
        <f>"2026-02-28 10:12:40.645"</f>
        <v>2026-02-28 10:12:40.645</v>
      </c>
      <c r="H707" s="3" t="s">
        <v>22</v>
      </c>
    </row>
    <row r="708" spans="1:10" s="3" customFormat="1" x14ac:dyDescent="0.25">
      <c r="A708" s="2">
        <v>36</v>
      </c>
      <c r="B708" s="3" t="s">
        <v>27</v>
      </c>
      <c r="C708" s="3">
        <v>647</v>
      </c>
      <c r="D708" s="3">
        <v>1</v>
      </c>
      <c r="E708" s="3" t="s">
        <v>34</v>
      </c>
      <c r="F708" s="3" t="s">
        <v>35</v>
      </c>
      <c r="G708" s="3" t="str">
        <f>"2026-02-28 10:12:36.945"</f>
        <v>2026-02-28 10:12:36.945</v>
      </c>
      <c r="H708" s="3" t="s">
        <v>22</v>
      </c>
      <c r="I708" s="3">
        <v>18.97</v>
      </c>
      <c r="J708" s="3" t="s">
        <v>36</v>
      </c>
    </row>
    <row r="709" spans="1:10" s="3" customFormat="1" x14ac:dyDescent="0.25">
      <c r="A709" s="2">
        <v>37</v>
      </c>
      <c r="B709" s="3" t="s">
        <v>24</v>
      </c>
      <c r="C709" s="3">
        <v>647</v>
      </c>
      <c r="D709" s="3">
        <v>1</v>
      </c>
      <c r="E709" s="3" t="s">
        <v>34</v>
      </c>
      <c r="F709" s="3" t="s">
        <v>35</v>
      </c>
      <c r="G709" s="3" t="str">
        <f>"2026-02-28 08:32:37.745"</f>
        <v>2026-02-28 08:32:37.745</v>
      </c>
      <c r="H709" s="3" t="s">
        <v>22</v>
      </c>
    </row>
    <row r="710" spans="1:10" s="3" customFormat="1" x14ac:dyDescent="0.25">
      <c r="A710" s="2">
        <v>38</v>
      </c>
      <c r="B710" s="3" t="s">
        <v>27</v>
      </c>
      <c r="C710" s="3">
        <v>647</v>
      </c>
      <c r="D710" s="3">
        <v>1</v>
      </c>
      <c r="E710" s="3" t="s">
        <v>34</v>
      </c>
      <c r="F710" s="3" t="s">
        <v>35</v>
      </c>
      <c r="G710" s="3" t="str">
        <f>"2026-02-28 08:32:36.245"</f>
        <v>2026-02-28 08:32:36.245</v>
      </c>
      <c r="H710" s="3" t="s">
        <v>22</v>
      </c>
      <c r="I710" s="3">
        <v>16.73</v>
      </c>
      <c r="J710" s="3" t="s">
        <v>36</v>
      </c>
    </row>
    <row r="711" spans="1:10" s="3" customFormat="1" x14ac:dyDescent="0.25">
      <c r="A711" s="2">
        <v>40</v>
      </c>
      <c r="B711" s="3" t="s">
        <v>24</v>
      </c>
      <c r="C711" s="3">
        <v>647</v>
      </c>
      <c r="D711" s="3">
        <v>1</v>
      </c>
      <c r="E711" s="3" t="s">
        <v>34</v>
      </c>
      <c r="F711" s="3" t="s">
        <v>35</v>
      </c>
      <c r="G711" s="3" t="str">
        <f>"2026-02-27 17:51:12.345"</f>
        <v>2026-02-27 17:51:12.345</v>
      </c>
      <c r="H711" s="3" t="s">
        <v>22</v>
      </c>
    </row>
    <row r="712" spans="1:10" s="3" customFormat="1" x14ac:dyDescent="0.25">
      <c r="A712" s="2">
        <v>41</v>
      </c>
      <c r="B712" s="3" t="s">
        <v>27</v>
      </c>
      <c r="C712" s="3">
        <v>647</v>
      </c>
      <c r="D712" s="3">
        <v>1</v>
      </c>
      <c r="E712" s="3" t="s">
        <v>34</v>
      </c>
      <c r="F712" s="3" t="s">
        <v>35</v>
      </c>
      <c r="G712" s="3" t="str">
        <f>"2026-02-27 17:51:10.345"</f>
        <v>2026-02-27 17:51:10.345</v>
      </c>
      <c r="H712" s="3" t="s">
        <v>22</v>
      </c>
      <c r="I712" s="3">
        <v>22.35</v>
      </c>
      <c r="J712" s="3" t="s">
        <v>36</v>
      </c>
    </row>
    <row r="713" spans="1:10" x14ac:dyDescent="0.25">
      <c r="A713" s="1">
        <v>42</v>
      </c>
      <c r="B713" t="s">
        <v>19</v>
      </c>
      <c r="C713">
        <v>700</v>
      </c>
      <c r="D713">
        <v>0</v>
      </c>
      <c r="E713" t="s">
        <v>33</v>
      </c>
      <c r="F713" t="s">
        <v>33</v>
      </c>
      <c r="G713" t="str">
        <f>"2026-02-27 14:20:19.614"</f>
        <v>2026-02-27 14:20:19.614</v>
      </c>
      <c r="H713" t="s">
        <v>22</v>
      </c>
      <c r="I713">
        <v>0</v>
      </c>
      <c r="J713" t="s">
        <v>41</v>
      </c>
    </row>
    <row r="714" spans="1:10" x14ac:dyDescent="0.25">
      <c r="A714" s="1">
        <v>44</v>
      </c>
      <c r="B714" t="s">
        <v>19</v>
      </c>
      <c r="C714">
        <v>700</v>
      </c>
      <c r="D714">
        <v>0</v>
      </c>
      <c r="E714" t="s">
        <v>33</v>
      </c>
      <c r="F714" t="s">
        <v>33</v>
      </c>
      <c r="G714" t="str">
        <f>"2026-02-26 17:05:17.693"</f>
        <v>2026-02-26 17:05:17.693</v>
      </c>
      <c r="H714" t="s">
        <v>22</v>
      </c>
      <c r="I714">
        <v>0</v>
      </c>
      <c r="J714" t="s">
        <v>41</v>
      </c>
    </row>
    <row r="715" spans="1:10" s="3" customFormat="1" x14ac:dyDescent="0.25">
      <c r="A715" s="2">
        <v>45</v>
      </c>
      <c r="B715" s="3" t="s">
        <v>24</v>
      </c>
      <c r="C715" s="3">
        <v>647</v>
      </c>
      <c r="D715" s="3">
        <v>1</v>
      </c>
      <c r="E715" s="3" t="s">
        <v>34</v>
      </c>
      <c r="F715" s="3" t="s">
        <v>35</v>
      </c>
      <c r="G715" s="3" t="str">
        <f>"2026-02-26 16:48:05.270"</f>
        <v>2026-02-26 16:48:05.270</v>
      </c>
      <c r="H715" s="3" t="s">
        <v>22</v>
      </c>
    </row>
    <row r="716" spans="1:10" s="3" customFormat="1" x14ac:dyDescent="0.25">
      <c r="A716" s="2">
        <v>46</v>
      </c>
      <c r="B716" s="3" t="s">
        <v>27</v>
      </c>
      <c r="C716" s="3">
        <v>647</v>
      </c>
      <c r="D716" s="3">
        <v>1</v>
      </c>
      <c r="E716" s="3" t="s">
        <v>34</v>
      </c>
      <c r="F716" s="3" t="s">
        <v>35</v>
      </c>
      <c r="G716" s="3" t="str">
        <f>"2026-02-26 16:48:03.370"</f>
        <v>2026-02-26 16:48:03.370</v>
      </c>
      <c r="H716" s="3" t="s">
        <v>22</v>
      </c>
      <c r="I716" s="3">
        <v>21.93</v>
      </c>
      <c r="J716" s="3" t="s">
        <v>36</v>
      </c>
    </row>
    <row r="717" spans="1:10" s="3" customFormat="1" x14ac:dyDescent="0.25">
      <c r="A717" s="2">
        <v>47</v>
      </c>
      <c r="B717" s="3" t="s">
        <v>24</v>
      </c>
      <c r="C717" s="3">
        <v>647</v>
      </c>
      <c r="D717" s="3">
        <v>1</v>
      </c>
      <c r="E717" s="3" t="s">
        <v>34</v>
      </c>
      <c r="F717" s="3" t="s">
        <v>35</v>
      </c>
      <c r="G717" s="3" t="str">
        <f>"2026-02-26 13:39:10.670"</f>
        <v>2026-02-26 13:39:10.670</v>
      </c>
      <c r="H717" s="3" t="s">
        <v>22</v>
      </c>
    </row>
    <row r="718" spans="1:10" s="3" customFormat="1" x14ac:dyDescent="0.25">
      <c r="A718" s="2">
        <v>48</v>
      </c>
      <c r="B718" s="3" t="s">
        <v>27</v>
      </c>
      <c r="C718" s="3">
        <v>647</v>
      </c>
      <c r="D718" s="3">
        <v>1</v>
      </c>
      <c r="E718" s="3" t="s">
        <v>34</v>
      </c>
      <c r="F718" s="3" t="s">
        <v>35</v>
      </c>
      <c r="G718" s="3" t="str">
        <f>"2026-02-26 13:39:07.770"</f>
        <v>2026-02-26 13:39:07.770</v>
      </c>
      <c r="H718" s="3" t="s">
        <v>22</v>
      </c>
      <c r="I718" s="3">
        <v>8.5500000000000007</v>
      </c>
      <c r="J718" s="3" t="s">
        <v>37</v>
      </c>
    </row>
    <row r="719" spans="1:10" x14ac:dyDescent="0.25">
      <c r="A719" s="1">
        <v>49</v>
      </c>
      <c r="B719" t="s">
        <v>74</v>
      </c>
      <c r="C719">
        <v>128</v>
      </c>
      <c r="D719">
        <v>4</v>
      </c>
      <c r="E719" t="s">
        <v>75</v>
      </c>
      <c r="F719" t="s">
        <v>76</v>
      </c>
      <c r="G719" t="str">
        <f>"2026-02-26 10:17:01.049"</f>
        <v>2026-02-26 10:17:01.049</v>
      </c>
      <c r="H719" t="s">
        <v>60</v>
      </c>
    </row>
    <row r="720" spans="1:10" x14ac:dyDescent="0.25">
      <c r="A720" s="1">
        <v>50</v>
      </c>
      <c r="B720" t="s">
        <v>32</v>
      </c>
      <c r="C720">
        <v>128</v>
      </c>
      <c r="D720">
        <v>4</v>
      </c>
      <c r="E720" t="s">
        <v>75</v>
      </c>
      <c r="F720" t="s">
        <v>76</v>
      </c>
      <c r="G720" t="str">
        <f>"2026-02-26 10:16:55.972"</f>
        <v>2026-02-26 10:16:55.972</v>
      </c>
      <c r="H720" t="s">
        <v>60</v>
      </c>
      <c r="I720">
        <v>8.52</v>
      </c>
      <c r="J720" t="s">
        <v>28</v>
      </c>
    </row>
    <row r="721" spans="1:10" s="3" customFormat="1" x14ac:dyDescent="0.25">
      <c r="A721" s="2">
        <v>51</v>
      </c>
      <c r="B721" s="3" t="s">
        <v>24</v>
      </c>
      <c r="C721" s="3">
        <v>647</v>
      </c>
      <c r="D721" s="3">
        <v>1</v>
      </c>
      <c r="E721" s="3" t="s">
        <v>34</v>
      </c>
      <c r="F721" s="3" t="s">
        <v>35</v>
      </c>
      <c r="G721" s="3" t="str">
        <f>"2026-02-26 08:23:36.470"</f>
        <v>2026-02-26 08:23:36.470</v>
      </c>
      <c r="H721" s="3" t="s">
        <v>22</v>
      </c>
    </row>
    <row r="722" spans="1:10" s="3" customFormat="1" x14ac:dyDescent="0.25">
      <c r="A722" s="2">
        <v>52</v>
      </c>
      <c r="B722" s="3" t="s">
        <v>27</v>
      </c>
      <c r="C722" s="3">
        <v>647</v>
      </c>
      <c r="D722" s="3">
        <v>1</v>
      </c>
      <c r="E722" s="3" t="s">
        <v>34</v>
      </c>
      <c r="F722" s="3" t="s">
        <v>35</v>
      </c>
      <c r="G722" s="3" t="str">
        <f>"2026-02-26 08:23:32.770"</f>
        <v>2026-02-26 08:23:32.770</v>
      </c>
      <c r="H722" s="3" t="s">
        <v>22</v>
      </c>
      <c r="I722" s="3">
        <v>20.399999999999999</v>
      </c>
      <c r="J722" s="3" t="s">
        <v>36</v>
      </c>
    </row>
    <row r="723" spans="1:10" x14ac:dyDescent="0.25">
      <c r="A723" s="1">
        <v>53</v>
      </c>
      <c r="B723" t="s">
        <v>24</v>
      </c>
      <c r="C723">
        <v>635</v>
      </c>
      <c r="D723">
        <v>1</v>
      </c>
      <c r="E723" t="s">
        <v>25</v>
      </c>
      <c r="F723" t="s">
        <v>26</v>
      </c>
      <c r="G723" t="str">
        <f>"2026-02-26 06:15:13.416"</f>
        <v>2026-02-26 06:15:13.416</v>
      </c>
      <c r="H723" t="s">
        <v>22</v>
      </c>
    </row>
    <row r="724" spans="1:10" x14ac:dyDescent="0.25">
      <c r="A724" s="1">
        <v>54</v>
      </c>
      <c r="B724" t="s">
        <v>27</v>
      </c>
      <c r="C724">
        <v>635</v>
      </c>
      <c r="D724">
        <v>1</v>
      </c>
      <c r="E724" t="s">
        <v>25</v>
      </c>
      <c r="F724" t="s">
        <v>26</v>
      </c>
      <c r="G724" t="str">
        <f>"2026-02-26 06:11:31.416"</f>
        <v>2026-02-26 06:11:31.416</v>
      </c>
      <c r="H724" t="s">
        <v>22</v>
      </c>
      <c r="I724">
        <v>2.19</v>
      </c>
      <c r="J724" t="s">
        <v>28</v>
      </c>
    </row>
    <row r="725" spans="1:10" s="3" customFormat="1" x14ac:dyDescent="0.25">
      <c r="A725" s="2">
        <v>55</v>
      </c>
      <c r="B725" s="3" t="s">
        <v>24</v>
      </c>
      <c r="C725" s="3">
        <v>647</v>
      </c>
      <c r="D725" s="3">
        <v>1</v>
      </c>
      <c r="E725" s="3" t="s">
        <v>34</v>
      </c>
      <c r="F725" s="3" t="s">
        <v>35</v>
      </c>
      <c r="G725" s="3" t="str">
        <f>"2026-02-25 16:44:02.970"</f>
        <v>2026-02-25 16:44:02.970</v>
      </c>
      <c r="H725" s="3" t="s">
        <v>22</v>
      </c>
    </row>
    <row r="726" spans="1:10" s="3" customFormat="1" x14ac:dyDescent="0.25">
      <c r="A726" s="2">
        <v>56</v>
      </c>
      <c r="B726" s="3" t="s">
        <v>27</v>
      </c>
      <c r="C726" s="3">
        <v>647</v>
      </c>
      <c r="D726" s="3">
        <v>1</v>
      </c>
      <c r="E726" s="3" t="s">
        <v>34</v>
      </c>
      <c r="F726" s="3" t="s">
        <v>35</v>
      </c>
      <c r="G726" s="3" t="str">
        <f>"2026-02-25 16:43:59.870"</f>
        <v>2026-02-25 16:43:59.870</v>
      </c>
      <c r="H726" s="3" t="s">
        <v>22</v>
      </c>
      <c r="I726" s="3">
        <v>10.55</v>
      </c>
      <c r="J726" s="3" t="s">
        <v>36</v>
      </c>
    </row>
    <row r="727" spans="1:10" x14ac:dyDescent="0.25">
      <c r="A727" s="1">
        <v>57</v>
      </c>
      <c r="B727" t="s">
        <v>24</v>
      </c>
      <c r="C727">
        <v>42</v>
      </c>
      <c r="D727">
        <v>1</v>
      </c>
      <c r="E727" t="s">
        <v>77</v>
      </c>
      <c r="F727" t="s">
        <v>78</v>
      </c>
      <c r="G727" t="str">
        <f>"2026-02-25 14:09:29.967"</f>
        <v>2026-02-25 14:09:29.967</v>
      </c>
      <c r="H727" t="s">
        <v>47</v>
      </c>
    </row>
    <row r="728" spans="1:10" x14ac:dyDescent="0.25">
      <c r="A728" s="1">
        <v>58</v>
      </c>
      <c r="B728" t="s">
        <v>27</v>
      </c>
      <c r="C728">
        <v>42</v>
      </c>
      <c r="D728">
        <v>1</v>
      </c>
      <c r="E728" t="s">
        <v>77</v>
      </c>
      <c r="F728" t="s">
        <v>78</v>
      </c>
      <c r="G728" t="str">
        <f>"2026-02-25 14:09:00.247"</f>
        <v>2026-02-25 14:09:00.247</v>
      </c>
      <c r="H728" t="s">
        <v>47</v>
      </c>
      <c r="I728">
        <v>0</v>
      </c>
      <c r="J728" t="s">
        <v>23</v>
      </c>
    </row>
    <row r="729" spans="1:10" x14ac:dyDescent="0.25">
      <c r="A729" s="1">
        <v>59</v>
      </c>
      <c r="B729" t="s">
        <v>19</v>
      </c>
      <c r="C729">
        <v>706</v>
      </c>
      <c r="D729">
        <v>4</v>
      </c>
      <c r="E729" t="s">
        <v>20</v>
      </c>
      <c r="F729" t="s">
        <v>40</v>
      </c>
      <c r="G729" t="str">
        <f>"2026-02-25 13:36:30.127"</f>
        <v>2026-02-25 13:36:30.127</v>
      </c>
      <c r="H729" t="s">
        <v>22</v>
      </c>
      <c r="I729">
        <v>0</v>
      </c>
      <c r="J729" t="s">
        <v>23</v>
      </c>
    </row>
    <row r="730" spans="1:10" x14ac:dyDescent="0.25">
      <c r="A730" s="1">
        <v>60</v>
      </c>
      <c r="B730" t="s">
        <v>19</v>
      </c>
      <c r="C730">
        <v>706</v>
      </c>
      <c r="D730">
        <v>3</v>
      </c>
      <c r="E730" t="s">
        <v>20</v>
      </c>
      <c r="F730" t="s">
        <v>42</v>
      </c>
      <c r="G730" t="str">
        <f>"2026-02-25 13:36:15.847"</f>
        <v>2026-02-25 13:36:15.847</v>
      </c>
      <c r="H730" t="s">
        <v>22</v>
      </c>
      <c r="I730">
        <v>0</v>
      </c>
      <c r="J730" t="s">
        <v>23</v>
      </c>
    </row>
    <row r="731" spans="1:10" x14ac:dyDescent="0.25">
      <c r="A731" s="1">
        <v>61</v>
      </c>
      <c r="B731" t="s">
        <v>19</v>
      </c>
      <c r="C731">
        <v>706</v>
      </c>
      <c r="D731">
        <v>4</v>
      </c>
      <c r="E731" t="s">
        <v>20</v>
      </c>
      <c r="F731" t="s">
        <v>40</v>
      </c>
      <c r="G731" t="str">
        <f>"2026-02-25 13:24:10.857"</f>
        <v>2026-02-25 13:24:10.857</v>
      </c>
      <c r="H731" t="s">
        <v>22</v>
      </c>
      <c r="I731">
        <v>0</v>
      </c>
      <c r="J731" t="s">
        <v>23</v>
      </c>
    </row>
    <row r="732" spans="1:10" x14ac:dyDescent="0.25">
      <c r="A732" s="1">
        <v>62</v>
      </c>
      <c r="B732" t="s">
        <v>19</v>
      </c>
      <c r="C732">
        <v>700</v>
      </c>
      <c r="D732">
        <v>0</v>
      </c>
      <c r="E732" t="s">
        <v>33</v>
      </c>
      <c r="F732" t="s">
        <v>33</v>
      </c>
      <c r="G732" t="str">
        <f>"2026-02-25 13:23:46.647"</f>
        <v>2026-02-25 13:23:46.647</v>
      </c>
      <c r="H732" t="s">
        <v>22</v>
      </c>
      <c r="I732">
        <v>0</v>
      </c>
      <c r="J732" t="s">
        <v>41</v>
      </c>
    </row>
    <row r="733" spans="1:10" x14ac:dyDescent="0.25">
      <c r="A733" s="1">
        <v>63</v>
      </c>
      <c r="B733" t="s">
        <v>19</v>
      </c>
      <c r="C733">
        <v>700</v>
      </c>
      <c r="D733">
        <v>0</v>
      </c>
      <c r="E733" t="s">
        <v>33</v>
      </c>
      <c r="F733" t="s">
        <v>33</v>
      </c>
      <c r="G733" t="str">
        <f>"2026-02-25 13:04:25.639"</f>
        <v>2026-02-25 13:04:25.639</v>
      </c>
      <c r="H733" t="s">
        <v>22</v>
      </c>
      <c r="I733">
        <v>0</v>
      </c>
      <c r="J733" t="s">
        <v>41</v>
      </c>
    </row>
    <row r="734" spans="1:10" x14ac:dyDescent="0.25">
      <c r="A734" s="1">
        <v>64</v>
      </c>
      <c r="B734" t="s">
        <v>24</v>
      </c>
      <c r="C734">
        <v>630</v>
      </c>
      <c r="D734">
        <v>5</v>
      </c>
      <c r="E734" t="s">
        <v>29</v>
      </c>
      <c r="F734" t="s">
        <v>30</v>
      </c>
      <c r="G734" t="str">
        <f>"2026-02-25 02:57:21.042"</f>
        <v>2026-02-25 02:57:21.042</v>
      </c>
      <c r="H734" t="s">
        <v>31</v>
      </c>
    </row>
    <row r="735" spans="1:10" x14ac:dyDescent="0.25">
      <c r="A735" s="1">
        <v>65</v>
      </c>
      <c r="B735" t="s">
        <v>19</v>
      </c>
      <c r="C735">
        <v>706</v>
      </c>
      <c r="D735">
        <v>2</v>
      </c>
      <c r="E735" t="s">
        <v>20</v>
      </c>
      <c r="F735" t="s">
        <v>21</v>
      </c>
      <c r="G735" t="str">
        <f>"2026-02-25 02:56:50.934"</f>
        <v>2026-02-25 02:56:50.934</v>
      </c>
      <c r="H735" t="s">
        <v>22</v>
      </c>
      <c r="I735">
        <v>0</v>
      </c>
      <c r="J735" t="s">
        <v>23</v>
      </c>
    </row>
    <row r="736" spans="1:10" x14ac:dyDescent="0.25">
      <c r="A736" s="1">
        <v>66</v>
      </c>
      <c r="B736" t="s">
        <v>32</v>
      </c>
      <c r="C736">
        <v>630</v>
      </c>
      <c r="D736">
        <v>5</v>
      </c>
      <c r="E736" t="s">
        <v>29</v>
      </c>
      <c r="F736" t="s">
        <v>30</v>
      </c>
      <c r="G736" t="str">
        <f>"2026-02-25 02:53:22.443"</f>
        <v>2026-02-25 02:53:22.443</v>
      </c>
      <c r="H736" t="s">
        <v>31</v>
      </c>
      <c r="I736">
        <v>0</v>
      </c>
      <c r="J736" t="s">
        <v>23</v>
      </c>
    </row>
    <row r="737" spans="1:10" x14ac:dyDescent="0.25">
      <c r="A737" s="1">
        <v>67</v>
      </c>
      <c r="B737" t="s">
        <v>19</v>
      </c>
      <c r="C737">
        <v>700</v>
      </c>
      <c r="D737">
        <v>0</v>
      </c>
      <c r="E737" t="s">
        <v>33</v>
      </c>
      <c r="F737" t="s">
        <v>33</v>
      </c>
      <c r="G737" t="str">
        <f>"2026-02-25 02:48:19.634"</f>
        <v>2026-02-25 02:48:19.634</v>
      </c>
      <c r="H737" t="s">
        <v>22</v>
      </c>
      <c r="I737">
        <v>0</v>
      </c>
      <c r="J737" t="s">
        <v>41</v>
      </c>
    </row>
    <row r="738" spans="1:10" x14ac:dyDescent="0.25">
      <c r="A738" s="1">
        <v>68</v>
      </c>
      <c r="B738" t="s">
        <v>74</v>
      </c>
      <c r="C738">
        <v>128</v>
      </c>
      <c r="D738">
        <v>4</v>
      </c>
      <c r="E738" t="s">
        <v>75</v>
      </c>
      <c r="F738" t="s">
        <v>76</v>
      </c>
      <c r="G738" t="str">
        <f>"2026-02-24 20:52:08.211"</f>
        <v>2026-02-24 20:52:08.211</v>
      </c>
      <c r="H738" t="s">
        <v>60</v>
      </c>
    </row>
    <row r="739" spans="1:10" x14ac:dyDescent="0.25">
      <c r="A739" s="1">
        <v>69</v>
      </c>
      <c r="B739" t="s">
        <v>32</v>
      </c>
      <c r="C739">
        <v>128</v>
      </c>
      <c r="D739">
        <v>4</v>
      </c>
      <c r="E739" t="s">
        <v>75</v>
      </c>
      <c r="F739" t="s">
        <v>76</v>
      </c>
      <c r="G739" t="str">
        <f>"2026-02-24 20:52:03.195"</f>
        <v>2026-02-24 20:52:03.195</v>
      </c>
      <c r="H739" t="s">
        <v>60</v>
      </c>
      <c r="I739">
        <v>7.29</v>
      </c>
      <c r="J739" t="s">
        <v>28</v>
      </c>
    </row>
    <row r="740" spans="1:10" s="3" customFormat="1" x14ac:dyDescent="0.25">
      <c r="A740" s="2">
        <v>70</v>
      </c>
      <c r="B740" s="3" t="s">
        <v>24</v>
      </c>
      <c r="C740" s="3">
        <v>647</v>
      </c>
      <c r="D740" s="3">
        <v>1</v>
      </c>
      <c r="E740" s="3" t="s">
        <v>34</v>
      </c>
      <c r="F740" s="3" t="s">
        <v>35</v>
      </c>
      <c r="G740" s="3" t="str">
        <f>"2026-02-24 16:48:45.532"</f>
        <v>2026-02-24 16:48:45.532</v>
      </c>
      <c r="H740" s="3" t="s">
        <v>22</v>
      </c>
    </row>
    <row r="741" spans="1:10" s="3" customFormat="1" x14ac:dyDescent="0.25">
      <c r="A741" s="2">
        <v>71</v>
      </c>
      <c r="B741" s="3" t="s">
        <v>27</v>
      </c>
      <c r="C741" s="3">
        <v>647</v>
      </c>
      <c r="D741" s="3">
        <v>1</v>
      </c>
      <c r="E741" s="3" t="s">
        <v>34</v>
      </c>
      <c r="F741" s="3" t="s">
        <v>35</v>
      </c>
      <c r="G741" s="3" t="str">
        <f>"2026-02-24 16:48:42.832"</f>
        <v>2026-02-24 16:48:42.832</v>
      </c>
      <c r="H741" s="3" t="s">
        <v>22</v>
      </c>
      <c r="I741" s="3">
        <v>25</v>
      </c>
      <c r="J741" s="3" t="s">
        <v>36</v>
      </c>
    </row>
    <row r="742" spans="1:10" x14ac:dyDescent="0.25">
      <c r="A742" s="1">
        <v>72</v>
      </c>
      <c r="B742" t="s">
        <v>19</v>
      </c>
      <c r="C742">
        <v>700</v>
      </c>
      <c r="D742">
        <v>0</v>
      </c>
      <c r="E742" t="s">
        <v>33</v>
      </c>
      <c r="F742" t="s">
        <v>33</v>
      </c>
      <c r="G742" t="str">
        <f>"2026-02-24 12:21:29.590"</f>
        <v>2026-02-24 12:21:29.590</v>
      </c>
      <c r="H742" t="s">
        <v>22</v>
      </c>
    </row>
    <row r="743" spans="1:10" x14ac:dyDescent="0.25">
      <c r="A743" s="1">
        <v>73</v>
      </c>
      <c r="B743" t="s">
        <v>19</v>
      </c>
      <c r="C743">
        <v>700</v>
      </c>
      <c r="D743">
        <v>0</v>
      </c>
      <c r="E743" t="s">
        <v>33</v>
      </c>
      <c r="F743" t="s">
        <v>33</v>
      </c>
      <c r="G743" t="str">
        <f>"2026-02-24 09:30:04.717"</f>
        <v>2026-02-24 09:30:04.717</v>
      </c>
      <c r="H743" t="s">
        <v>22</v>
      </c>
      <c r="I743">
        <v>0</v>
      </c>
      <c r="J743" t="s">
        <v>41</v>
      </c>
    </row>
    <row r="744" spans="1:10" x14ac:dyDescent="0.25">
      <c r="A744" s="1">
        <v>75</v>
      </c>
      <c r="B744" t="s">
        <v>19</v>
      </c>
      <c r="C744">
        <v>700</v>
      </c>
      <c r="D744">
        <v>0</v>
      </c>
      <c r="E744" t="s">
        <v>33</v>
      </c>
      <c r="F744" t="s">
        <v>33</v>
      </c>
      <c r="G744" t="str">
        <f>"2026-02-23 10:28:30.773"</f>
        <v>2026-02-23 10:28:30.773</v>
      </c>
      <c r="H744" t="s">
        <v>22</v>
      </c>
    </row>
    <row r="745" spans="1:10" x14ac:dyDescent="0.25">
      <c r="A745" s="1">
        <v>76</v>
      </c>
      <c r="B745" t="s">
        <v>74</v>
      </c>
      <c r="C745">
        <v>128</v>
      </c>
      <c r="D745">
        <v>4</v>
      </c>
      <c r="E745" t="s">
        <v>75</v>
      </c>
      <c r="F745" t="s">
        <v>76</v>
      </c>
      <c r="G745" t="str">
        <f>"2026-02-23 05:24:42.207"</f>
        <v>2026-02-23 05:24:42.207</v>
      </c>
      <c r="H745" t="s">
        <v>60</v>
      </c>
    </row>
    <row r="746" spans="1:10" x14ac:dyDescent="0.25">
      <c r="A746" s="1">
        <v>77</v>
      </c>
      <c r="B746" t="s">
        <v>32</v>
      </c>
      <c r="C746">
        <v>128</v>
      </c>
      <c r="D746">
        <v>4</v>
      </c>
      <c r="E746" t="s">
        <v>75</v>
      </c>
      <c r="F746" t="s">
        <v>76</v>
      </c>
      <c r="G746" t="str">
        <f>"2026-02-23 05:24:37.130"</f>
        <v>2026-02-23 05:24:37.130</v>
      </c>
      <c r="H746" t="s">
        <v>60</v>
      </c>
      <c r="I746">
        <v>10.54</v>
      </c>
      <c r="J746" t="s">
        <v>28</v>
      </c>
    </row>
    <row r="747" spans="1:10" x14ac:dyDescent="0.25">
      <c r="A747" s="1">
        <v>78</v>
      </c>
      <c r="B747" t="s">
        <v>24</v>
      </c>
      <c r="C747">
        <v>635</v>
      </c>
      <c r="D747">
        <v>1</v>
      </c>
      <c r="E747" t="s">
        <v>25</v>
      </c>
      <c r="F747" t="s">
        <v>26</v>
      </c>
      <c r="G747" t="str">
        <f>"2026-02-23 04:22:51.074"</f>
        <v>2026-02-23 04:22:51.074</v>
      </c>
      <c r="H747" t="s">
        <v>22</v>
      </c>
    </row>
    <row r="748" spans="1:10" x14ac:dyDescent="0.25">
      <c r="A748" s="1">
        <v>79</v>
      </c>
      <c r="B748" t="s">
        <v>27</v>
      </c>
      <c r="C748">
        <v>635</v>
      </c>
      <c r="D748">
        <v>1</v>
      </c>
      <c r="E748" t="s">
        <v>25</v>
      </c>
      <c r="F748" t="s">
        <v>26</v>
      </c>
      <c r="G748" t="str">
        <f>"2026-02-23 04:19:17.574"</f>
        <v>2026-02-23 04:19:17.574</v>
      </c>
      <c r="H748" t="s">
        <v>22</v>
      </c>
      <c r="I748">
        <v>5.49</v>
      </c>
      <c r="J748" t="s">
        <v>28</v>
      </c>
    </row>
    <row r="749" spans="1:10" x14ac:dyDescent="0.25">
      <c r="A749" s="1">
        <v>80</v>
      </c>
      <c r="B749" t="s">
        <v>19</v>
      </c>
      <c r="C749">
        <v>700</v>
      </c>
      <c r="D749">
        <v>0</v>
      </c>
      <c r="E749" t="s">
        <v>33</v>
      </c>
      <c r="F749" t="s">
        <v>33</v>
      </c>
      <c r="G749" t="str">
        <f>"2026-02-22 11:44:05.596"</f>
        <v>2026-02-22 11:44:05.596</v>
      </c>
      <c r="H749" t="s">
        <v>22</v>
      </c>
      <c r="I749">
        <v>0</v>
      </c>
      <c r="J749" t="s">
        <v>41</v>
      </c>
    </row>
    <row r="750" spans="1:10" x14ac:dyDescent="0.25">
      <c r="A750" s="1">
        <v>81</v>
      </c>
      <c r="B750" t="s">
        <v>19</v>
      </c>
      <c r="C750">
        <v>706</v>
      </c>
      <c r="D750">
        <v>4</v>
      </c>
      <c r="E750" t="s">
        <v>20</v>
      </c>
      <c r="F750" t="s">
        <v>40</v>
      </c>
      <c r="G750" t="str">
        <f>"2026-02-22 00:31:49.611"</f>
        <v>2026-02-22 00:31:49.611</v>
      </c>
      <c r="H750" t="s">
        <v>22</v>
      </c>
      <c r="I750">
        <v>0</v>
      </c>
      <c r="J750" t="s">
        <v>23</v>
      </c>
    </row>
    <row r="751" spans="1:10" s="3" customFormat="1" x14ac:dyDescent="0.25">
      <c r="A751" s="2">
        <v>82</v>
      </c>
      <c r="B751" s="3" t="s">
        <v>24</v>
      </c>
      <c r="C751" s="3">
        <v>647</v>
      </c>
      <c r="D751" s="3">
        <v>1</v>
      </c>
      <c r="E751" s="3" t="s">
        <v>34</v>
      </c>
      <c r="F751" s="3" t="s">
        <v>35</v>
      </c>
      <c r="G751" s="3" t="str">
        <f>"2026-02-21 20:31:19.941"</f>
        <v>2026-02-21 20:31:19.941</v>
      </c>
      <c r="H751" s="3" t="s">
        <v>22</v>
      </c>
    </row>
    <row r="752" spans="1:10" s="3" customFormat="1" x14ac:dyDescent="0.25">
      <c r="A752" s="2">
        <v>83</v>
      </c>
      <c r="B752" s="3" t="s">
        <v>27</v>
      </c>
      <c r="C752" s="3">
        <v>647</v>
      </c>
      <c r="D752" s="3">
        <v>1</v>
      </c>
      <c r="E752" s="3" t="s">
        <v>34</v>
      </c>
      <c r="F752" s="3" t="s">
        <v>35</v>
      </c>
      <c r="G752" s="3" t="str">
        <f>"2026-02-21 20:31:13.141"</f>
        <v>2026-02-21 20:31:13.141</v>
      </c>
      <c r="H752" s="3" t="s">
        <v>22</v>
      </c>
      <c r="I752" s="3">
        <v>8.9600000000000009</v>
      </c>
      <c r="J752" s="3" t="s">
        <v>37</v>
      </c>
    </row>
    <row r="753" spans="1:10" s="3" customFormat="1" x14ac:dyDescent="0.25">
      <c r="A753" s="2">
        <v>84</v>
      </c>
      <c r="B753" s="3" t="s">
        <v>24</v>
      </c>
      <c r="C753" s="3">
        <v>647</v>
      </c>
      <c r="D753" s="3">
        <v>1</v>
      </c>
      <c r="E753" s="3" t="s">
        <v>34</v>
      </c>
      <c r="F753" s="3" t="s">
        <v>35</v>
      </c>
      <c r="G753" s="3" t="str">
        <f>"2026-02-21 17:20:38.941"</f>
        <v>2026-02-21 17:20:38.941</v>
      </c>
      <c r="H753" s="3" t="s">
        <v>22</v>
      </c>
    </row>
    <row r="754" spans="1:10" s="3" customFormat="1" x14ac:dyDescent="0.25">
      <c r="A754" s="2">
        <v>85</v>
      </c>
      <c r="B754" s="3" t="s">
        <v>27</v>
      </c>
      <c r="C754" s="3">
        <v>647</v>
      </c>
      <c r="D754" s="3">
        <v>1</v>
      </c>
      <c r="E754" s="3" t="s">
        <v>34</v>
      </c>
      <c r="F754" s="3" t="s">
        <v>35</v>
      </c>
      <c r="G754" s="3" t="str">
        <f>"2026-02-21 17:20:34.441"</f>
        <v>2026-02-21 17:20:34.441</v>
      </c>
      <c r="H754" s="3" t="s">
        <v>22</v>
      </c>
      <c r="I754" s="3">
        <v>9.91</v>
      </c>
      <c r="J754" s="3" t="s">
        <v>37</v>
      </c>
    </row>
    <row r="755" spans="1:10" x14ac:dyDescent="0.25">
      <c r="A755" s="1">
        <v>86</v>
      </c>
      <c r="B755" t="s">
        <v>24</v>
      </c>
      <c r="C755">
        <v>635</v>
      </c>
      <c r="D755">
        <v>1</v>
      </c>
      <c r="E755" t="s">
        <v>25</v>
      </c>
      <c r="F755" t="s">
        <v>26</v>
      </c>
      <c r="G755" t="str">
        <f>"2026-02-21 16:06:13.740"</f>
        <v>2026-02-21 16:06:13.740</v>
      </c>
      <c r="H755" t="s">
        <v>22</v>
      </c>
    </row>
    <row r="756" spans="1:10" x14ac:dyDescent="0.25">
      <c r="A756" s="1">
        <v>87</v>
      </c>
      <c r="B756" t="s">
        <v>27</v>
      </c>
      <c r="C756">
        <v>635</v>
      </c>
      <c r="D756">
        <v>1</v>
      </c>
      <c r="E756" t="s">
        <v>25</v>
      </c>
      <c r="F756" t="s">
        <v>26</v>
      </c>
      <c r="G756" t="str">
        <f>"2026-02-21 16:01:53.241"</f>
        <v>2026-02-21 16:01:53.241</v>
      </c>
      <c r="H756" t="s">
        <v>22</v>
      </c>
      <c r="I756">
        <v>2.5099999999999998</v>
      </c>
      <c r="J756" t="s">
        <v>28</v>
      </c>
    </row>
    <row r="757" spans="1:10" x14ac:dyDescent="0.25">
      <c r="A757" s="1">
        <v>88</v>
      </c>
      <c r="B757" t="s">
        <v>19</v>
      </c>
      <c r="C757">
        <v>700</v>
      </c>
      <c r="D757">
        <v>0</v>
      </c>
      <c r="E757" t="s">
        <v>33</v>
      </c>
      <c r="F757" t="s">
        <v>33</v>
      </c>
      <c r="G757" t="str">
        <f>"2026-02-21 14:20:32.631"</f>
        <v>2026-02-21 14:20:32.631</v>
      </c>
      <c r="H757" t="s">
        <v>22</v>
      </c>
      <c r="I757">
        <v>0</v>
      </c>
      <c r="J757" t="s">
        <v>41</v>
      </c>
    </row>
    <row r="758" spans="1:10" x14ac:dyDescent="0.25">
      <c r="A758" s="1">
        <v>89</v>
      </c>
      <c r="B758" t="s">
        <v>50</v>
      </c>
      <c r="C758">
        <v>125</v>
      </c>
      <c r="D758">
        <v>5</v>
      </c>
      <c r="E758" t="s">
        <v>79</v>
      </c>
      <c r="F758" t="s">
        <v>80</v>
      </c>
      <c r="G758" t="str">
        <f>"2026-02-21 05:22:33.247"</f>
        <v>2026-02-21 05:22:33.247</v>
      </c>
      <c r="H758" t="s">
        <v>60</v>
      </c>
    </row>
    <row r="759" spans="1:10" x14ac:dyDescent="0.25">
      <c r="A759" s="1">
        <v>90</v>
      </c>
      <c r="B759" t="s">
        <v>32</v>
      </c>
      <c r="C759">
        <v>125</v>
      </c>
      <c r="D759">
        <v>5</v>
      </c>
      <c r="E759" t="s">
        <v>79</v>
      </c>
      <c r="F759" t="s">
        <v>80</v>
      </c>
      <c r="G759" t="str">
        <f>"2026-02-21 05:22:30.389"</f>
        <v>2026-02-21 05:22:30.389</v>
      </c>
      <c r="H759" t="s">
        <v>60</v>
      </c>
      <c r="I759">
        <v>7.74</v>
      </c>
      <c r="J759" t="s">
        <v>28</v>
      </c>
    </row>
    <row r="760" spans="1:10" x14ac:dyDescent="0.25">
      <c r="A760" s="1">
        <v>91</v>
      </c>
      <c r="B760" t="s">
        <v>19</v>
      </c>
      <c r="C760">
        <v>700</v>
      </c>
      <c r="D760">
        <v>0</v>
      </c>
      <c r="E760" t="s">
        <v>33</v>
      </c>
      <c r="F760" t="s">
        <v>33</v>
      </c>
      <c r="G760" t="str">
        <f>"2026-02-21 03:48:00.635"</f>
        <v>2026-02-21 03:48:00.635</v>
      </c>
      <c r="H760" t="s">
        <v>22</v>
      </c>
      <c r="I760">
        <v>0</v>
      </c>
      <c r="J760" t="s">
        <v>41</v>
      </c>
    </row>
    <row r="761" spans="1:10" x14ac:dyDescent="0.25">
      <c r="A761" s="1">
        <v>92</v>
      </c>
      <c r="B761" t="s">
        <v>24</v>
      </c>
      <c r="C761">
        <v>635</v>
      </c>
      <c r="D761">
        <v>1</v>
      </c>
      <c r="E761" t="s">
        <v>25</v>
      </c>
      <c r="F761" t="s">
        <v>26</v>
      </c>
      <c r="G761" t="str">
        <f>"2026-02-20 14:41:35.413"</f>
        <v>2026-02-20 14:41:35.413</v>
      </c>
      <c r="H761" t="s">
        <v>22</v>
      </c>
    </row>
    <row r="762" spans="1:10" x14ac:dyDescent="0.25">
      <c r="A762" s="1">
        <v>93</v>
      </c>
      <c r="B762" t="s">
        <v>27</v>
      </c>
      <c r="C762">
        <v>635</v>
      </c>
      <c r="D762">
        <v>1</v>
      </c>
      <c r="E762" t="s">
        <v>25</v>
      </c>
      <c r="F762" t="s">
        <v>26</v>
      </c>
      <c r="G762" t="str">
        <f>"2026-02-20 14:37:29.913"</f>
        <v>2026-02-20 14:37:29.913</v>
      </c>
      <c r="H762" t="s">
        <v>22</v>
      </c>
      <c r="I762">
        <v>4.1100000000000003</v>
      </c>
      <c r="J762" t="s">
        <v>28</v>
      </c>
    </row>
    <row r="763" spans="1:10" x14ac:dyDescent="0.25">
      <c r="A763" s="1">
        <v>94</v>
      </c>
      <c r="B763" t="s">
        <v>19</v>
      </c>
      <c r="C763">
        <v>700</v>
      </c>
      <c r="D763">
        <v>0</v>
      </c>
      <c r="E763" t="s">
        <v>33</v>
      </c>
      <c r="F763" t="s">
        <v>33</v>
      </c>
      <c r="G763" t="str">
        <f>"2026-02-20 10:22:28.763"</f>
        <v>2026-02-20 10:22:28.763</v>
      </c>
      <c r="H763" t="s">
        <v>22</v>
      </c>
    </row>
    <row r="764" spans="1:10" x14ac:dyDescent="0.25">
      <c r="A764" s="1">
        <v>95</v>
      </c>
      <c r="B764" t="s">
        <v>19</v>
      </c>
      <c r="C764">
        <v>700</v>
      </c>
      <c r="D764">
        <v>0</v>
      </c>
      <c r="E764" t="s">
        <v>33</v>
      </c>
      <c r="F764" t="s">
        <v>33</v>
      </c>
      <c r="G764" t="str">
        <f>"2026-02-20 07:39:45.614"</f>
        <v>2026-02-20 07:39:45.614</v>
      </c>
      <c r="H764" t="s">
        <v>22</v>
      </c>
    </row>
    <row r="765" spans="1:10" x14ac:dyDescent="0.25">
      <c r="A765" s="1">
        <v>96</v>
      </c>
      <c r="B765" t="s">
        <v>24</v>
      </c>
      <c r="C765">
        <v>61</v>
      </c>
      <c r="D765">
        <v>2</v>
      </c>
      <c r="E765" t="s">
        <v>72</v>
      </c>
      <c r="F765" t="s">
        <v>73</v>
      </c>
      <c r="G765" t="str">
        <f>"2026-02-19 19:43:53.644"</f>
        <v>2026-02-19 19:43:53.644</v>
      </c>
      <c r="H765" t="s">
        <v>22</v>
      </c>
    </row>
    <row r="766" spans="1:10" x14ac:dyDescent="0.25">
      <c r="A766" s="1">
        <v>97</v>
      </c>
      <c r="B766" t="s">
        <v>32</v>
      </c>
      <c r="C766">
        <v>61</v>
      </c>
      <c r="D766">
        <v>2</v>
      </c>
      <c r="E766" t="s">
        <v>72</v>
      </c>
      <c r="F766" t="s">
        <v>73</v>
      </c>
      <c r="G766" t="str">
        <f>"2026-02-19 19:43:42.544"</f>
        <v>2026-02-19 19:43:42.544</v>
      </c>
      <c r="H766" t="s">
        <v>22</v>
      </c>
      <c r="I766">
        <v>29.09</v>
      </c>
      <c r="J766" t="s">
        <v>36</v>
      </c>
    </row>
    <row r="767" spans="1:10" x14ac:dyDescent="0.25">
      <c r="A767" s="1">
        <v>98</v>
      </c>
      <c r="B767" t="s">
        <v>24</v>
      </c>
      <c r="C767">
        <v>635</v>
      </c>
      <c r="D767">
        <v>1</v>
      </c>
      <c r="E767" t="s">
        <v>25</v>
      </c>
      <c r="F767" t="s">
        <v>26</v>
      </c>
      <c r="G767" t="str">
        <f>"2026-02-19 18:46:06.443"</f>
        <v>2026-02-19 18:46:06.443</v>
      </c>
      <c r="H767" t="s">
        <v>22</v>
      </c>
    </row>
    <row r="768" spans="1:10" x14ac:dyDescent="0.25">
      <c r="A768" s="1">
        <v>99</v>
      </c>
      <c r="B768" t="s">
        <v>27</v>
      </c>
      <c r="C768">
        <v>635</v>
      </c>
      <c r="D768">
        <v>1</v>
      </c>
      <c r="E768" t="s">
        <v>25</v>
      </c>
      <c r="F768" t="s">
        <v>26</v>
      </c>
      <c r="G768" t="str">
        <f>"2026-02-19 18:38:34.943"</f>
        <v>2026-02-19 18:38:34.943</v>
      </c>
      <c r="H768" t="s">
        <v>22</v>
      </c>
      <c r="I768">
        <v>1.1200000000000001</v>
      </c>
      <c r="J768" t="s">
        <v>28</v>
      </c>
    </row>
    <row r="769" spans="1:10" x14ac:dyDescent="0.25">
      <c r="A769" s="1">
        <v>0</v>
      </c>
      <c r="B769" t="s">
        <v>19</v>
      </c>
      <c r="C769">
        <v>700</v>
      </c>
      <c r="D769">
        <v>0</v>
      </c>
      <c r="E769" t="s">
        <v>33</v>
      </c>
      <c r="F769" t="s">
        <v>33</v>
      </c>
      <c r="G769" t="str">
        <f>"2026-02-19 18:18:02.589"</f>
        <v>2026-02-19 18:18:02.589</v>
      </c>
      <c r="H769" t="s">
        <v>22</v>
      </c>
    </row>
    <row r="770" spans="1:10" x14ac:dyDescent="0.25">
      <c r="A770" s="1">
        <v>1</v>
      </c>
      <c r="B770" t="s">
        <v>24</v>
      </c>
      <c r="C770">
        <v>630</v>
      </c>
      <c r="D770">
        <v>5</v>
      </c>
      <c r="E770" t="s">
        <v>29</v>
      </c>
      <c r="F770" t="s">
        <v>30</v>
      </c>
      <c r="G770" t="str">
        <f>"2026-02-19 17:55:10.375"</f>
        <v>2026-02-19 17:55:10.375</v>
      </c>
      <c r="H770" t="s">
        <v>31</v>
      </c>
    </row>
    <row r="771" spans="1:10" x14ac:dyDescent="0.25">
      <c r="A771" s="1">
        <v>2</v>
      </c>
      <c r="B771" t="s">
        <v>19</v>
      </c>
      <c r="C771">
        <v>706</v>
      </c>
      <c r="D771">
        <v>4</v>
      </c>
      <c r="E771" t="s">
        <v>20</v>
      </c>
      <c r="F771" t="s">
        <v>40</v>
      </c>
      <c r="G771" t="str">
        <f>"2026-02-19 17:54:40.248"</f>
        <v>2026-02-19 17:54:40.248</v>
      </c>
      <c r="H771" t="s">
        <v>22</v>
      </c>
      <c r="I771">
        <v>0</v>
      </c>
      <c r="J771" t="s">
        <v>23</v>
      </c>
    </row>
    <row r="772" spans="1:10" x14ac:dyDescent="0.25">
      <c r="A772" s="1">
        <v>3</v>
      </c>
      <c r="B772" t="s">
        <v>32</v>
      </c>
      <c r="C772">
        <v>630</v>
      </c>
      <c r="D772">
        <v>5</v>
      </c>
      <c r="E772" t="s">
        <v>29</v>
      </c>
      <c r="F772" t="s">
        <v>30</v>
      </c>
      <c r="G772" t="str">
        <f>"2026-02-19 17:44:54.376"</f>
        <v>2026-02-19 17:44:54.376</v>
      </c>
      <c r="H772" t="s">
        <v>31</v>
      </c>
      <c r="I772">
        <v>0</v>
      </c>
      <c r="J772" t="s">
        <v>23</v>
      </c>
    </row>
    <row r="773" spans="1:10" x14ac:dyDescent="0.25">
      <c r="A773" s="1">
        <v>4</v>
      </c>
      <c r="B773" t="s">
        <v>19</v>
      </c>
      <c r="C773">
        <v>700</v>
      </c>
      <c r="D773">
        <v>0</v>
      </c>
      <c r="E773" t="s">
        <v>33</v>
      </c>
      <c r="F773" t="s">
        <v>33</v>
      </c>
      <c r="G773" t="str">
        <f>"2026-02-19 17:39:51.598"</f>
        <v>2026-02-19 17:39:51.598</v>
      </c>
      <c r="H773" t="s">
        <v>22</v>
      </c>
    </row>
    <row r="774" spans="1:10" x14ac:dyDescent="0.25">
      <c r="A774" s="1">
        <v>5</v>
      </c>
      <c r="B774" t="s">
        <v>24</v>
      </c>
      <c r="C774">
        <v>14</v>
      </c>
      <c r="D774">
        <v>4</v>
      </c>
      <c r="E774" t="s">
        <v>48</v>
      </c>
      <c r="F774" t="s">
        <v>81</v>
      </c>
      <c r="G774" t="str">
        <f>"2026-02-19 16:18:54.295"</f>
        <v>2026-02-19 16:18:54.295</v>
      </c>
      <c r="H774" t="s">
        <v>31</v>
      </c>
    </row>
    <row r="775" spans="1:10" x14ac:dyDescent="0.25">
      <c r="A775" s="1">
        <v>6</v>
      </c>
      <c r="B775" t="s">
        <v>27</v>
      </c>
      <c r="C775">
        <v>14</v>
      </c>
      <c r="D775">
        <v>4</v>
      </c>
      <c r="E775" t="s">
        <v>48</v>
      </c>
      <c r="F775" t="s">
        <v>81</v>
      </c>
      <c r="G775" t="str">
        <f>"2026-02-19 16:18:31.195"</f>
        <v>2026-02-19 16:18:31.195</v>
      </c>
      <c r="H775" t="s">
        <v>31</v>
      </c>
      <c r="I775">
        <v>0</v>
      </c>
      <c r="J775" t="s">
        <v>23</v>
      </c>
    </row>
    <row r="776" spans="1:10" x14ac:dyDescent="0.25">
      <c r="A776" s="1">
        <v>7</v>
      </c>
      <c r="B776" t="s">
        <v>32</v>
      </c>
      <c r="C776">
        <v>630</v>
      </c>
      <c r="D776">
        <v>5</v>
      </c>
      <c r="E776" t="s">
        <v>29</v>
      </c>
      <c r="F776" t="s">
        <v>30</v>
      </c>
      <c r="G776" t="str">
        <f>"2026-02-19 16:12:44.575"</f>
        <v>2026-02-19 16:12:44.575</v>
      </c>
      <c r="H776" t="s">
        <v>31</v>
      </c>
      <c r="I776">
        <v>0</v>
      </c>
      <c r="J776" t="s">
        <v>23</v>
      </c>
    </row>
    <row r="777" spans="1:10" x14ac:dyDescent="0.25">
      <c r="A777" s="1">
        <v>8</v>
      </c>
      <c r="B777" t="s">
        <v>19</v>
      </c>
      <c r="C777">
        <v>700</v>
      </c>
      <c r="D777">
        <v>0</v>
      </c>
      <c r="E777" t="s">
        <v>33</v>
      </c>
      <c r="F777" t="s">
        <v>33</v>
      </c>
      <c r="G777" t="str">
        <f>"2026-02-19 16:07:41.777"</f>
        <v>2026-02-19 16:07:41.777</v>
      </c>
      <c r="H777" t="s">
        <v>22</v>
      </c>
    </row>
    <row r="778" spans="1:10" x14ac:dyDescent="0.25">
      <c r="A778" s="1">
        <v>9</v>
      </c>
      <c r="B778" t="s">
        <v>19</v>
      </c>
      <c r="C778">
        <v>706</v>
      </c>
      <c r="D778">
        <v>2</v>
      </c>
      <c r="E778" t="s">
        <v>20</v>
      </c>
      <c r="F778" t="s">
        <v>21</v>
      </c>
      <c r="G778" t="str">
        <f>"2026-02-19 13:26:37.298"</f>
        <v>2026-02-19 13:26:37.298</v>
      </c>
      <c r="H778" t="s">
        <v>22</v>
      </c>
      <c r="I778">
        <v>0</v>
      </c>
      <c r="J778" t="s">
        <v>23</v>
      </c>
    </row>
    <row r="779" spans="1:10" x14ac:dyDescent="0.25">
      <c r="A779" s="1">
        <v>10</v>
      </c>
      <c r="B779" t="s">
        <v>19</v>
      </c>
      <c r="C779">
        <v>700</v>
      </c>
      <c r="D779">
        <v>0</v>
      </c>
      <c r="E779" t="s">
        <v>33</v>
      </c>
      <c r="F779" t="s">
        <v>33</v>
      </c>
      <c r="G779" t="str">
        <f>"2026-02-19 13:26:19.798"</f>
        <v>2026-02-19 13:26:19.798</v>
      </c>
      <c r="H779" t="s">
        <v>22</v>
      </c>
      <c r="I779">
        <v>0</v>
      </c>
      <c r="J779" t="s">
        <v>41</v>
      </c>
    </row>
    <row r="780" spans="1:10" x14ac:dyDescent="0.25">
      <c r="A780" s="1">
        <v>12</v>
      </c>
      <c r="B780" t="s">
        <v>74</v>
      </c>
      <c r="C780">
        <v>228</v>
      </c>
      <c r="D780">
        <v>7</v>
      </c>
      <c r="E780" t="s">
        <v>82</v>
      </c>
      <c r="F780" t="s">
        <v>83</v>
      </c>
      <c r="G780" t="str">
        <f>"2026-02-19 10:00:46.222"</f>
        <v>2026-02-19 10:00:46.222</v>
      </c>
      <c r="H780" t="s">
        <v>53</v>
      </c>
    </row>
    <row r="781" spans="1:10" x14ac:dyDescent="0.25">
      <c r="A781" s="1">
        <v>13</v>
      </c>
      <c r="B781" t="s">
        <v>32</v>
      </c>
      <c r="C781">
        <v>228</v>
      </c>
      <c r="D781">
        <v>7</v>
      </c>
      <c r="E781" t="s">
        <v>82</v>
      </c>
      <c r="F781" t="s">
        <v>83</v>
      </c>
      <c r="G781" t="str">
        <f>"2026-02-19 10:00:41.186"</f>
        <v>2026-02-19 10:00:41.186</v>
      </c>
      <c r="H781" t="s">
        <v>53</v>
      </c>
      <c r="I781">
        <v>1.87</v>
      </c>
      <c r="J781" t="s">
        <v>37</v>
      </c>
    </row>
    <row r="782" spans="1:10" x14ac:dyDescent="0.25">
      <c r="A782" s="1">
        <v>14</v>
      </c>
      <c r="B782" t="s">
        <v>74</v>
      </c>
      <c r="C782">
        <v>228</v>
      </c>
      <c r="D782">
        <v>7</v>
      </c>
      <c r="E782" t="s">
        <v>82</v>
      </c>
      <c r="F782" t="s">
        <v>83</v>
      </c>
      <c r="G782" t="str">
        <f>"2026-02-19 03:09:46.822"</f>
        <v>2026-02-19 03:09:46.822</v>
      </c>
      <c r="H782" t="s">
        <v>53</v>
      </c>
    </row>
    <row r="783" spans="1:10" x14ac:dyDescent="0.25">
      <c r="A783" s="1">
        <v>15</v>
      </c>
      <c r="B783" t="s">
        <v>32</v>
      </c>
      <c r="C783">
        <v>228</v>
      </c>
      <c r="D783">
        <v>7</v>
      </c>
      <c r="E783" t="s">
        <v>82</v>
      </c>
      <c r="F783" t="s">
        <v>83</v>
      </c>
      <c r="G783" t="str">
        <f>"2026-02-19 03:09:41.726"</f>
        <v>2026-02-19 03:09:41.726</v>
      </c>
      <c r="H783" t="s">
        <v>53</v>
      </c>
      <c r="I783">
        <v>9.1999999999999993</v>
      </c>
      <c r="J783" t="s">
        <v>28</v>
      </c>
    </row>
    <row r="784" spans="1:10" s="3" customFormat="1" x14ac:dyDescent="0.25">
      <c r="A784" s="2">
        <v>16</v>
      </c>
      <c r="B784" s="3" t="s">
        <v>24</v>
      </c>
      <c r="C784" s="3">
        <v>647</v>
      </c>
      <c r="D784" s="3">
        <v>1</v>
      </c>
      <c r="E784" s="3" t="s">
        <v>34</v>
      </c>
      <c r="F784" s="3" t="s">
        <v>35</v>
      </c>
      <c r="G784" s="3" t="str">
        <f>"2026-02-19 01:46:46.030"</f>
        <v>2026-02-19 01:46:46.030</v>
      </c>
      <c r="H784" s="3" t="s">
        <v>22</v>
      </c>
    </row>
    <row r="785" spans="1:10" s="3" customFormat="1" x14ac:dyDescent="0.25">
      <c r="A785" s="2">
        <v>17</v>
      </c>
      <c r="B785" s="3" t="s">
        <v>27</v>
      </c>
      <c r="C785" s="3">
        <v>647</v>
      </c>
      <c r="D785" s="3">
        <v>1</v>
      </c>
      <c r="E785" s="3" t="s">
        <v>34</v>
      </c>
      <c r="F785" s="3" t="s">
        <v>35</v>
      </c>
      <c r="G785" s="3" t="str">
        <f>"2026-02-19 01:46:41.431"</f>
        <v>2026-02-19 01:46:41.431</v>
      </c>
      <c r="H785" s="3" t="s">
        <v>22</v>
      </c>
      <c r="I785" s="3">
        <v>8.77</v>
      </c>
      <c r="J785" s="3" t="s">
        <v>36</v>
      </c>
    </row>
    <row r="786" spans="1:10" x14ac:dyDescent="0.25">
      <c r="A786" s="1">
        <v>18</v>
      </c>
      <c r="B786" t="s">
        <v>19</v>
      </c>
      <c r="C786">
        <v>706</v>
      </c>
      <c r="D786">
        <v>4</v>
      </c>
      <c r="E786" t="s">
        <v>20</v>
      </c>
      <c r="F786" t="s">
        <v>40</v>
      </c>
      <c r="G786" t="str">
        <f>"2026-02-18 21:56:28.262"</f>
        <v>2026-02-18 21:56:28.262</v>
      </c>
      <c r="H786" t="s">
        <v>22</v>
      </c>
      <c r="I786">
        <v>0</v>
      </c>
      <c r="J786" t="s">
        <v>23</v>
      </c>
    </row>
    <row r="787" spans="1:10" x14ac:dyDescent="0.25">
      <c r="A787" s="1">
        <v>19</v>
      </c>
      <c r="B787" t="s">
        <v>19</v>
      </c>
      <c r="C787">
        <v>700</v>
      </c>
      <c r="D787">
        <v>0</v>
      </c>
      <c r="E787" t="s">
        <v>33</v>
      </c>
      <c r="F787" t="s">
        <v>33</v>
      </c>
      <c r="G787" t="str">
        <f>"2026-02-18 21:56:03.602"</f>
        <v>2026-02-18 21:56:03.602</v>
      </c>
      <c r="H787" t="s">
        <v>22</v>
      </c>
      <c r="I787">
        <v>0</v>
      </c>
      <c r="J787" t="s">
        <v>41</v>
      </c>
    </row>
    <row r="788" spans="1:10" x14ac:dyDescent="0.25">
      <c r="A788" s="1">
        <v>20</v>
      </c>
      <c r="B788" t="s">
        <v>24</v>
      </c>
      <c r="C788">
        <v>6</v>
      </c>
      <c r="D788">
        <v>1</v>
      </c>
      <c r="E788" t="s">
        <v>84</v>
      </c>
      <c r="F788" t="s">
        <v>85</v>
      </c>
      <c r="G788" t="str">
        <f>"2026-02-18 12:46:38.445"</f>
        <v>2026-02-18 12:46:38.445</v>
      </c>
      <c r="H788" t="s">
        <v>64</v>
      </c>
    </row>
    <row r="789" spans="1:10" x14ac:dyDescent="0.25">
      <c r="A789" s="1">
        <v>21</v>
      </c>
      <c r="B789" t="s">
        <v>24</v>
      </c>
      <c r="C789">
        <v>75</v>
      </c>
      <c r="D789">
        <v>1</v>
      </c>
      <c r="E789" t="s">
        <v>86</v>
      </c>
      <c r="F789" t="s">
        <v>87</v>
      </c>
      <c r="G789" t="str">
        <f>"2026-02-18 12:46:38.443"</f>
        <v>2026-02-18 12:46:38.443</v>
      </c>
      <c r="H789" t="s">
        <v>53</v>
      </c>
    </row>
    <row r="790" spans="1:10" x14ac:dyDescent="0.25">
      <c r="A790" s="1">
        <v>22</v>
      </c>
      <c r="B790" t="s">
        <v>24</v>
      </c>
      <c r="C790">
        <v>74</v>
      </c>
      <c r="D790">
        <v>1</v>
      </c>
      <c r="E790" t="s">
        <v>88</v>
      </c>
      <c r="F790" t="s">
        <v>89</v>
      </c>
      <c r="G790" t="str">
        <f>"2026-02-18 12:46:38.442"</f>
        <v>2026-02-18 12:46:38.442</v>
      </c>
      <c r="H790" t="s">
        <v>60</v>
      </c>
    </row>
    <row r="791" spans="1:10" x14ac:dyDescent="0.25">
      <c r="A791" s="1">
        <v>23</v>
      </c>
      <c r="B791" t="s">
        <v>27</v>
      </c>
      <c r="C791">
        <v>75</v>
      </c>
      <c r="D791">
        <v>1</v>
      </c>
      <c r="E791" t="s">
        <v>86</v>
      </c>
      <c r="F791" t="s">
        <v>87</v>
      </c>
      <c r="G791" t="str">
        <f>"2026-02-18 12:46:27.053"</f>
        <v>2026-02-18 12:46:27.053</v>
      </c>
      <c r="H791" t="s">
        <v>53</v>
      </c>
      <c r="I791">
        <v>0</v>
      </c>
      <c r="J791" t="s">
        <v>23</v>
      </c>
    </row>
    <row r="792" spans="1:10" x14ac:dyDescent="0.25">
      <c r="A792" s="1">
        <v>24</v>
      </c>
      <c r="B792" t="s">
        <v>27</v>
      </c>
      <c r="C792">
        <v>74</v>
      </c>
      <c r="D792">
        <v>1</v>
      </c>
      <c r="E792" t="s">
        <v>88</v>
      </c>
      <c r="F792" t="s">
        <v>89</v>
      </c>
      <c r="G792" t="str">
        <f>"2026-02-18 12:46:27.047"</f>
        <v>2026-02-18 12:46:27.047</v>
      </c>
      <c r="H792" t="s">
        <v>60</v>
      </c>
      <c r="I792">
        <v>0</v>
      </c>
      <c r="J792" t="s">
        <v>23</v>
      </c>
    </row>
    <row r="793" spans="1:10" x14ac:dyDescent="0.25">
      <c r="A793" s="1">
        <v>25</v>
      </c>
      <c r="B793" t="s">
        <v>32</v>
      </c>
      <c r="C793">
        <v>6</v>
      </c>
      <c r="D793">
        <v>1</v>
      </c>
      <c r="E793" t="s">
        <v>84</v>
      </c>
      <c r="F793" t="s">
        <v>85</v>
      </c>
      <c r="G793" t="str">
        <f>"2026-02-18 12:46:27.042"</f>
        <v>2026-02-18 12:46:27.042</v>
      </c>
      <c r="H793" t="s">
        <v>64</v>
      </c>
      <c r="I793">
        <v>0</v>
      </c>
      <c r="J793" t="s">
        <v>23</v>
      </c>
    </row>
    <row r="794" spans="1:10" x14ac:dyDescent="0.25">
      <c r="A794" s="1">
        <v>30</v>
      </c>
      <c r="B794" t="s">
        <v>50</v>
      </c>
      <c r="C794">
        <v>225</v>
      </c>
      <c r="D794">
        <v>5</v>
      </c>
      <c r="E794" t="s">
        <v>90</v>
      </c>
      <c r="F794" t="s">
        <v>80</v>
      </c>
      <c r="G794" t="str">
        <f>"2026-02-17 21:02:59.004"</f>
        <v>2026-02-17 21:02:59.004</v>
      </c>
      <c r="H794" t="s">
        <v>53</v>
      </c>
    </row>
    <row r="795" spans="1:10" x14ac:dyDescent="0.25">
      <c r="A795" s="1">
        <v>31</v>
      </c>
      <c r="B795" t="s">
        <v>32</v>
      </c>
      <c r="C795">
        <v>225</v>
      </c>
      <c r="D795">
        <v>5</v>
      </c>
      <c r="E795" t="s">
        <v>90</v>
      </c>
      <c r="F795" t="s">
        <v>80</v>
      </c>
      <c r="G795" t="str">
        <f>"2026-02-17 21:02:56.099"</f>
        <v>2026-02-17 21:02:56.099</v>
      </c>
      <c r="H795" t="s">
        <v>53</v>
      </c>
      <c r="I795">
        <v>5.94</v>
      </c>
      <c r="J795" t="s">
        <v>28</v>
      </c>
    </row>
    <row r="796" spans="1:10" x14ac:dyDescent="0.25">
      <c r="A796" s="1">
        <v>32</v>
      </c>
      <c r="B796" t="s">
        <v>74</v>
      </c>
      <c r="C796">
        <v>228</v>
      </c>
      <c r="D796">
        <v>4</v>
      </c>
      <c r="E796" t="s">
        <v>82</v>
      </c>
      <c r="F796" t="s">
        <v>76</v>
      </c>
      <c r="G796" t="str">
        <f>"2026-02-17 08:04:25.104"</f>
        <v>2026-02-17 08:04:25.104</v>
      </c>
      <c r="H796" t="s">
        <v>53</v>
      </c>
    </row>
    <row r="797" spans="1:10" x14ac:dyDescent="0.25">
      <c r="A797" s="1">
        <v>33</v>
      </c>
      <c r="B797" t="s">
        <v>32</v>
      </c>
      <c r="C797">
        <v>228</v>
      </c>
      <c r="D797">
        <v>4</v>
      </c>
      <c r="E797" t="s">
        <v>82</v>
      </c>
      <c r="F797" t="s">
        <v>76</v>
      </c>
      <c r="G797" t="str">
        <f>"2026-02-17 08:04:20.099"</f>
        <v>2026-02-17 08:04:20.099</v>
      </c>
      <c r="H797" t="s">
        <v>53</v>
      </c>
      <c r="I797">
        <v>5.79</v>
      </c>
      <c r="J797" t="s">
        <v>28</v>
      </c>
    </row>
    <row r="798" spans="1:10" x14ac:dyDescent="0.25">
      <c r="A798" s="1">
        <v>34</v>
      </c>
      <c r="B798" t="s">
        <v>74</v>
      </c>
      <c r="C798">
        <v>228</v>
      </c>
      <c r="D798">
        <v>4</v>
      </c>
      <c r="E798" t="s">
        <v>82</v>
      </c>
      <c r="F798" t="s">
        <v>76</v>
      </c>
      <c r="G798" t="str">
        <f>"2026-02-16 23:42:04.704"</f>
        <v>2026-02-16 23:42:04.704</v>
      </c>
      <c r="H798" t="s">
        <v>53</v>
      </c>
    </row>
    <row r="799" spans="1:10" x14ac:dyDescent="0.25">
      <c r="A799" s="1">
        <v>35</v>
      </c>
      <c r="B799" t="s">
        <v>32</v>
      </c>
      <c r="C799">
        <v>228</v>
      </c>
      <c r="D799">
        <v>4</v>
      </c>
      <c r="E799" t="s">
        <v>82</v>
      </c>
      <c r="F799" t="s">
        <v>76</v>
      </c>
      <c r="G799" t="str">
        <f>"2026-02-16 23:41:59.639"</f>
        <v>2026-02-16 23:41:59.639</v>
      </c>
      <c r="H799" t="s">
        <v>53</v>
      </c>
      <c r="I799">
        <v>7.51</v>
      </c>
      <c r="J799" t="s">
        <v>28</v>
      </c>
    </row>
    <row r="800" spans="1:10" x14ac:dyDescent="0.25">
      <c r="A800" s="1">
        <v>36</v>
      </c>
      <c r="B800" t="s">
        <v>24</v>
      </c>
      <c r="C800">
        <v>630</v>
      </c>
      <c r="D800">
        <v>5</v>
      </c>
      <c r="E800" t="s">
        <v>29</v>
      </c>
      <c r="F800" t="s">
        <v>30</v>
      </c>
      <c r="G800" t="str">
        <f>"2026-02-16 16:50:09.416"</f>
        <v>2026-02-16 16:50:09.416</v>
      </c>
      <c r="H800" t="s">
        <v>31</v>
      </c>
    </row>
    <row r="801" spans="1:10" x14ac:dyDescent="0.25">
      <c r="A801" s="1">
        <v>37</v>
      </c>
      <c r="B801" t="s">
        <v>19</v>
      </c>
      <c r="C801">
        <v>706</v>
      </c>
      <c r="D801">
        <v>4</v>
      </c>
      <c r="E801" t="s">
        <v>20</v>
      </c>
      <c r="F801" t="s">
        <v>40</v>
      </c>
      <c r="G801" t="str">
        <f>"2026-02-16 16:49:39.325"</f>
        <v>2026-02-16 16:49:39.325</v>
      </c>
      <c r="H801" t="s">
        <v>22</v>
      </c>
      <c r="I801">
        <v>0</v>
      </c>
      <c r="J801" t="s">
        <v>23</v>
      </c>
    </row>
    <row r="802" spans="1:10" x14ac:dyDescent="0.25">
      <c r="A802" s="1">
        <v>38</v>
      </c>
      <c r="B802" t="s">
        <v>32</v>
      </c>
      <c r="C802">
        <v>630</v>
      </c>
      <c r="D802">
        <v>5</v>
      </c>
      <c r="E802" t="s">
        <v>29</v>
      </c>
      <c r="F802" t="s">
        <v>30</v>
      </c>
      <c r="G802" t="str">
        <f>"2026-02-16 16:41:03.516"</f>
        <v>2026-02-16 16:41:03.516</v>
      </c>
      <c r="H802" t="s">
        <v>31</v>
      </c>
      <c r="I802">
        <v>0</v>
      </c>
      <c r="J802" t="s">
        <v>23</v>
      </c>
    </row>
    <row r="803" spans="1:10" x14ac:dyDescent="0.25">
      <c r="A803" s="1">
        <v>39</v>
      </c>
      <c r="B803" t="s">
        <v>24</v>
      </c>
      <c r="C803">
        <v>635</v>
      </c>
      <c r="D803">
        <v>1</v>
      </c>
      <c r="E803" t="s">
        <v>25</v>
      </c>
      <c r="F803" t="s">
        <v>26</v>
      </c>
      <c r="G803" t="str">
        <f>"2026-02-16 09:38:21.115"</f>
        <v>2026-02-16 09:38:21.115</v>
      </c>
      <c r="H803" t="s">
        <v>22</v>
      </c>
    </row>
    <row r="804" spans="1:10" x14ac:dyDescent="0.25">
      <c r="A804" s="1">
        <v>40</v>
      </c>
      <c r="B804" t="s">
        <v>27</v>
      </c>
      <c r="C804">
        <v>635</v>
      </c>
      <c r="D804">
        <v>1</v>
      </c>
      <c r="E804" t="s">
        <v>25</v>
      </c>
      <c r="F804" t="s">
        <v>26</v>
      </c>
      <c r="G804" t="str">
        <f>"2026-02-16 09:30:44.215"</f>
        <v>2026-02-16 09:30:44.215</v>
      </c>
      <c r="H804" t="s">
        <v>22</v>
      </c>
      <c r="I804">
        <v>5.21</v>
      </c>
      <c r="J804" t="s">
        <v>28</v>
      </c>
    </row>
    <row r="805" spans="1:10" x14ac:dyDescent="0.25">
      <c r="A805" s="1">
        <v>41</v>
      </c>
      <c r="B805" t="s">
        <v>50</v>
      </c>
      <c r="C805">
        <v>33</v>
      </c>
      <c r="D805">
        <v>1</v>
      </c>
      <c r="E805" t="s">
        <v>91</v>
      </c>
      <c r="F805" t="s">
        <v>92</v>
      </c>
      <c r="G805" t="str">
        <f>"2026-02-16 02:34:05.215"</f>
        <v>2026-02-16 02:34:05.215</v>
      </c>
      <c r="H805" t="s">
        <v>93</v>
      </c>
    </row>
    <row r="806" spans="1:10" x14ac:dyDescent="0.25">
      <c r="A806" s="1">
        <v>42</v>
      </c>
      <c r="B806" t="s">
        <v>32</v>
      </c>
      <c r="C806">
        <v>33</v>
      </c>
      <c r="D806">
        <v>1</v>
      </c>
      <c r="E806" t="s">
        <v>91</v>
      </c>
      <c r="F806" t="s">
        <v>92</v>
      </c>
      <c r="G806" t="str">
        <f>"2026-02-16 02:33:32.953"</f>
        <v>2026-02-16 02:33:32.953</v>
      </c>
      <c r="H806" t="s">
        <v>93</v>
      </c>
      <c r="I806">
        <v>10.27</v>
      </c>
      <c r="J806" t="s">
        <v>28</v>
      </c>
    </row>
    <row r="807" spans="1:10" x14ac:dyDescent="0.25">
      <c r="A807" s="1">
        <v>43</v>
      </c>
      <c r="B807" t="s">
        <v>24</v>
      </c>
      <c r="C807">
        <v>61</v>
      </c>
      <c r="D807">
        <v>2</v>
      </c>
      <c r="E807" t="s">
        <v>72</v>
      </c>
      <c r="F807" t="s">
        <v>73</v>
      </c>
      <c r="G807" t="str">
        <f>"2026-02-15 07:38:34.315"</f>
        <v>2026-02-15 07:38:34.315</v>
      </c>
      <c r="H807" t="s">
        <v>22</v>
      </c>
    </row>
    <row r="808" spans="1:10" x14ac:dyDescent="0.25">
      <c r="A808" s="1">
        <v>44</v>
      </c>
      <c r="B808" t="s">
        <v>32</v>
      </c>
      <c r="C808">
        <v>61</v>
      </c>
      <c r="D808">
        <v>2</v>
      </c>
      <c r="E808" t="s">
        <v>72</v>
      </c>
      <c r="F808" t="s">
        <v>73</v>
      </c>
      <c r="G808" t="str">
        <f>"2026-02-15 07:38:18.716"</f>
        <v>2026-02-15 07:38:18.716</v>
      </c>
      <c r="H808" t="s">
        <v>22</v>
      </c>
      <c r="I808">
        <v>30.3</v>
      </c>
      <c r="J808" t="s">
        <v>36</v>
      </c>
    </row>
    <row r="809" spans="1:10" x14ac:dyDescent="0.25">
      <c r="A809" s="1">
        <v>45</v>
      </c>
      <c r="B809" t="s">
        <v>50</v>
      </c>
      <c r="C809">
        <v>225</v>
      </c>
      <c r="D809">
        <v>5</v>
      </c>
      <c r="E809" t="s">
        <v>90</v>
      </c>
      <c r="F809" t="s">
        <v>80</v>
      </c>
      <c r="G809" t="str">
        <f>"2026-02-15 06:29:57.505"</f>
        <v>2026-02-15 06:29:57.505</v>
      </c>
      <c r="H809" t="s">
        <v>53</v>
      </c>
    </row>
    <row r="810" spans="1:10" x14ac:dyDescent="0.25">
      <c r="A810" s="1">
        <v>46</v>
      </c>
      <c r="B810" t="s">
        <v>32</v>
      </c>
      <c r="C810">
        <v>225</v>
      </c>
      <c r="D810">
        <v>5</v>
      </c>
      <c r="E810" t="s">
        <v>90</v>
      </c>
      <c r="F810" t="s">
        <v>80</v>
      </c>
      <c r="G810" t="str">
        <f>"2026-02-15 06:29:54.839"</f>
        <v>2026-02-15 06:29:54.839</v>
      </c>
      <c r="H810" t="s">
        <v>53</v>
      </c>
      <c r="I810">
        <v>19.25</v>
      </c>
      <c r="J810" t="s">
        <v>28</v>
      </c>
    </row>
    <row r="811" spans="1:10" s="3" customFormat="1" x14ac:dyDescent="0.25">
      <c r="A811" s="2">
        <v>48</v>
      </c>
      <c r="B811" s="3" t="s">
        <v>24</v>
      </c>
      <c r="C811" s="3">
        <v>647</v>
      </c>
      <c r="D811" s="3">
        <v>1</v>
      </c>
      <c r="E811" s="3" t="s">
        <v>34</v>
      </c>
      <c r="F811" s="3" t="s">
        <v>35</v>
      </c>
      <c r="G811" s="3" t="str">
        <f>"2026-02-14 20:31:10.216"</f>
        <v>2026-02-14 20:31:10.216</v>
      </c>
      <c r="H811" s="3" t="s">
        <v>22</v>
      </c>
    </row>
    <row r="812" spans="1:10" s="3" customFormat="1" x14ac:dyDescent="0.25">
      <c r="A812" s="2">
        <v>49</v>
      </c>
      <c r="B812" s="3" t="s">
        <v>27</v>
      </c>
      <c r="C812" s="3">
        <v>647</v>
      </c>
      <c r="D812" s="3">
        <v>1</v>
      </c>
      <c r="E812" s="3" t="s">
        <v>34</v>
      </c>
      <c r="F812" s="3" t="s">
        <v>35</v>
      </c>
      <c r="G812" s="3" t="str">
        <f>"2026-02-14 20:31:08.516"</f>
        <v>2026-02-14 20:31:08.516</v>
      </c>
      <c r="H812" s="3" t="s">
        <v>22</v>
      </c>
      <c r="I812" s="3">
        <v>18.489999999999998</v>
      </c>
      <c r="J812" s="3" t="s">
        <v>36</v>
      </c>
    </row>
    <row r="813" spans="1:10" x14ac:dyDescent="0.25">
      <c r="A813" s="1">
        <v>50</v>
      </c>
      <c r="B813" t="s">
        <v>24</v>
      </c>
      <c r="C813">
        <v>61</v>
      </c>
      <c r="D813">
        <v>2</v>
      </c>
      <c r="E813" t="s">
        <v>72</v>
      </c>
      <c r="F813" t="s">
        <v>73</v>
      </c>
      <c r="G813" t="str">
        <f>"2026-02-14 11:18:17.115"</f>
        <v>2026-02-14 11:18:17.115</v>
      </c>
      <c r="H813" t="s">
        <v>22</v>
      </c>
    </row>
    <row r="814" spans="1:10" x14ac:dyDescent="0.25">
      <c r="A814" s="1">
        <v>51</v>
      </c>
      <c r="B814" t="s">
        <v>32</v>
      </c>
      <c r="C814">
        <v>61</v>
      </c>
      <c r="D814">
        <v>2</v>
      </c>
      <c r="E814" t="s">
        <v>72</v>
      </c>
      <c r="F814" t="s">
        <v>73</v>
      </c>
      <c r="G814" t="str">
        <f>"2026-02-14 11:18:12.115"</f>
        <v>2026-02-14 11:18:12.115</v>
      </c>
      <c r="H814" t="s">
        <v>22</v>
      </c>
      <c r="I814">
        <v>29.95</v>
      </c>
      <c r="J814" t="s">
        <v>36</v>
      </c>
    </row>
    <row r="815" spans="1:10" x14ac:dyDescent="0.25">
      <c r="A815" s="1">
        <v>52</v>
      </c>
      <c r="B815" t="s">
        <v>24</v>
      </c>
      <c r="C815">
        <v>61</v>
      </c>
      <c r="D815">
        <v>2</v>
      </c>
      <c r="E815" t="s">
        <v>72</v>
      </c>
      <c r="F815" t="s">
        <v>73</v>
      </c>
      <c r="G815" t="str">
        <f>"2026-02-14 07:13:58.016"</f>
        <v>2026-02-14 07:13:58.016</v>
      </c>
      <c r="H815" t="s">
        <v>22</v>
      </c>
    </row>
    <row r="816" spans="1:10" x14ac:dyDescent="0.25">
      <c r="A816" s="1">
        <v>53</v>
      </c>
      <c r="B816" t="s">
        <v>32</v>
      </c>
      <c r="C816">
        <v>61</v>
      </c>
      <c r="D816">
        <v>2</v>
      </c>
      <c r="E816" t="s">
        <v>72</v>
      </c>
      <c r="F816" t="s">
        <v>73</v>
      </c>
      <c r="G816" t="str">
        <f>"2026-02-14 07:13:46.516"</f>
        <v>2026-02-14 07:13:46.516</v>
      </c>
      <c r="H816" t="s">
        <v>22</v>
      </c>
      <c r="I816">
        <v>29.27</v>
      </c>
      <c r="J816" t="s">
        <v>36</v>
      </c>
    </row>
    <row r="817" spans="1:10" s="3" customFormat="1" x14ac:dyDescent="0.25">
      <c r="A817" s="2">
        <v>55</v>
      </c>
      <c r="B817" s="3" t="s">
        <v>24</v>
      </c>
      <c r="C817" s="3">
        <v>647</v>
      </c>
      <c r="D817" s="3">
        <v>1</v>
      </c>
      <c r="E817" s="3" t="s">
        <v>34</v>
      </c>
      <c r="F817" s="3" t="s">
        <v>35</v>
      </c>
      <c r="G817" s="3" t="str">
        <f>"2026-02-13 20:31:02.116"</f>
        <v>2026-02-13 20:31:02.116</v>
      </c>
      <c r="H817" s="3" t="s">
        <v>22</v>
      </c>
    </row>
    <row r="818" spans="1:10" s="3" customFormat="1" x14ac:dyDescent="0.25">
      <c r="A818" s="2">
        <v>56</v>
      </c>
      <c r="B818" s="3" t="s">
        <v>27</v>
      </c>
      <c r="C818" s="3">
        <v>647</v>
      </c>
      <c r="D818" s="3">
        <v>1</v>
      </c>
      <c r="E818" s="3" t="s">
        <v>34</v>
      </c>
      <c r="F818" s="3" t="s">
        <v>35</v>
      </c>
      <c r="G818" s="3" t="str">
        <f>"2026-02-13 20:30:59.016"</f>
        <v>2026-02-13 20:30:59.016</v>
      </c>
      <c r="H818" s="3" t="s">
        <v>22</v>
      </c>
      <c r="I818" s="3">
        <v>10.35</v>
      </c>
      <c r="J818" s="3" t="s">
        <v>36</v>
      </c>
    </row>
    <row r="819" spans="1:10" x14ac:dyDescent="0.25">
      <c r="A819" s="1">
        <v>57</v>
      </c>
      <c r="B819" t="s">
        <v>24</v>
      </c>
      <c r="C819">
        <v>630</v>
      </c>
      <c r="D819">
        <v>5</v>
      </c>
      <c r="E819" t="s">
        <v>29</v>
      </c>
      <c r="F819" t="s">
        <v>30</v>
      </c>
      <c r="G819" t="str">
        <f>"2026-02-13 08:46:48.516"</f>
        <v>2026-02-13 08:46:48.516</v>
      </c>
      <c r="H819" t="s">
        <v>31</v>
      </c>
    </row>
    <row r="820" spans="1:10" x14ac:dyDescent="0.25">
      <c r="A820" s="1">
        <v>58</v>
      </c>
      <c r="B820" t="s">
        <v>19</v>
      </c>
      <c r="C820">
        <v>706</v>
      </c>
      <c r="D820">
        <v>4</v>
      </c>
      <c r="E820" t="s">
        <v>20</v>
      </c>
      <c r="F820" t="s">
        <v>40</v>
      </c>
      <c r="G820" t="str">
        <f>"2026-02-13 08:46:18.445"</f>
        <v>2026-02-13 08:46:18.445</v>
      </c>
      <c r="H820" t="s">
        <v>22</v>
      </c>
      <c r="I820">
        <v>0</v>
      </c>
      <c r="J820" t="s">
        <v>23</v>
      </c>
    </row>
    <row r="821" spans="1:10" x14ac:dyDescent="0.25">
      <c r="A821" s="1">
        <v>59</v>
      </c>
      <c r="B821" t="s">
        <v>32</v>
      </c>
      <c r="C821">
        <v>630</v>
      </c>
      <c r="D821">
        <v>5</v>
      </c>
      <c r="E821" t="s">
        <v>29</v>
      </c>
      <c r="F821" t="s">
        <v>30</v>
      </c>
      <c r="G821" t="str">
        <f>"2026-02-13 08:39:46.616"</f>
        <v>2026-02-13 08:39:46.616</v>
      </c>
      <c r="H821" t="s">
        <v>31</v>
      </c>
      <c r="I821">
        <v>0</v>
      </c>
      <c r="J821" t="s">
        <v>23</v>
      </c>
    </row>
    <row r="822" spans="1:10" s="3" customFormat="1" x14ac:dyDescent="0.25">
      <c r="A822" s="2">
        <v>60</v>
      </c>
      <c r="B822" s="3" t="s">
        <v>24</v>
      </c>
      <c r="C822" s="3">
        <v>647</v>
      </c>
      <c r="D822" s="3">
        <v>1</v>
      </c>
      <c r="E822" s="3" t="s">
        <v>34</v>
      </c>
      <c r="F822" s="3" t="s">
        <v>35</v>
      </c>
      <c r="G822" s="3" t="str">
        <f>"2026-02-12 20:49:31.016"</f>
        <v>2026-02-12 20:49:31.016</v>
      </c>
      <c r="H822" s="3" t="s">
        <v>22</v>
      </c>
    </row>
    <row r="823" spans="1:10" s="3" customFormat="1" x14ac:dyDescent="0.25">
      <c r="A823" s="2">
        <v>61</v>
      </c>
      <c r="B823" s="3" t="s">
        <v>27</v>
      </c>
      <c r="C823" s="3">
        <v>647</v>
      </c>
      <c r="D823" s="3">
        <v>1</v>
      </c>
      <c r="E823" s="3" t="s">
        <v>34</v>
      </c>
      <c r="F823" s="3" t="s">
        <v>35</v>
      </c>
      <c r="G823" s="3" t="str">
        <f>"2026-02-12 20:49:25.116"</f>
        <v>2026-02-12 20:49:25.116</v>
      </c>
      <c r="H823" s="3" t="s">
        <v>22</v>
      </c>
      <c r="I823" s="3">
        <v>9.43</v>
      </c>
      <c r="J823" s="3" t="s">
        <v>36</v>
      </c>
    </row>
    <row r="824" spans="1:10" x14ac:dyDescent="0.25">
      <c r="A824" s="1">
        <v>62</v>
      </c>
      <c r="B824" t="s">
        <v>24</v>
      </c>
      <c r="C824">
        <v>635</v>
      </c>
      <c r="D824">
        <v>1</v>
      </c>
      <c r="E824" t="s">
        <v>25</v>
      </c>
      <c r="F824" t="s">
        <v>26</v>
      </c>
      <c r="G824" t="str">
        <f>"2026-02-12 08:39:34.215"</f>
        <v>2026-02-12 08:39:34.215</v>
      </c>
      <c r="H824" t="s">
        <v>22</v>
      </c>
    </row>
    <row r="825" spans="1:10" x14ac:dyDescent="0.25">
      <c r="A825" s="1">
        <v>63</v>
      </c>
      <c r="B825" t="s">
        <v>27</v>
      </c>
      <c r="C825">
        <v>635</v>
      </c>
      <c r="D825">
        <v>1</v>
      </c>
      <c r="E825" t="s">
        <v>25</v>
      </c>
      <c r="F825" t="s">
        <v>26</v>
      </c>
      <c r="G825" t="str">
        <f>"2026-02-12 08:35:23.215"</f>
        <v>2026-02-12 08:35:23.215</v>
      </c>
      <c r="H825" t="s">
        <v>22</v>
      </c>
      <c r="I825">
        <v>7.58</v>
      </c>
      <c r="J825" t="s">
        <v>28</v>
      </c>
    </row>
    <row r="826" spans="1:10" s="3" customFormat="1" x14ac:dyDescent="0.25">
      <c r="A826" s="2">
        <v>64</v>
      </c>
      <c r="B826" s="3" t="s">
        <v>24</v>
      </c>
      <c r="C826" s="3">
        <v>647</v>
      </c>
      <c r="D826" s="3">
        <v>1</v>
      </c>
      <c r="E826" s="3" t="s">
        <v>34</v>
      </c>
      <c r="F826" s="3" t="s">
        <v>35</v>
      </c>
      <c r="G826" s="3" t="str">
        <f>"2026-02-12 05:10:06.216"</f>
        <v>2026-02-12 05:10:06.216</v>
      </c>
      <c r="H826" s="3" t="s">
        <v>22</v>
      </c>
    </row>
    <row r="827" spans="1:10" s="3" customFormat="1" x14ac:dyDescent="0.25">
      <c r="A827" s="2">
        <v>65</v>
      </c>
      <c r="B827" s="3" t="s">
        <v>27</v>
      </c>
      <c r="C827" s="3">
        <v>647</v>
      </c>
      <c r="D827" s="3">
        <v>1</v>
      </c>
      <c r="E827" s="3" t="s">
        <v>34</v>
      </c>
      <c r="F827" s="3" t="s">
        <v>35</v>
      </c>
      <c r="G827" s="3" t="str">
        <f>"2026-02-12 05:10:04.116"</f>
        <v>2026-02-12 05:10:04.116</v>
      </c>
      <c r="H827" s="3" t="s">
        <v>22</v>
      </c>
      <c r="I827" s="3">
        <v>11.34</v>
      </c>
      <c r="J827" s="3" t="s">
        <v>36</v>
      </c>
    </row>
    <row r="828" spans="1:10" s="3" customFormat="1" x14ac:dyDescent="0.25">
      <c r="A828" s="2">
        <v>66</v>
      </c>
      <c r="B828" s="3" t="s">
        <v>24</v>
      </c>
      <c r="C828" s="3">
        <v>647</v>
      </c>
      <c r="D828" s="3">
        <v>1</v>
      </c>
      <c r="E828" s="3" t="s">
        <v>34</v>
      </c>
      <c r="F828" s="3" t="s">
        <v>35</v>
      </c>
      <c r="G828" s="3" t="str">
        <f>"2026-02-11 20:32:20.416"</f>
        <v>2026-02-11 20:32:20.416</v>
      </c>
      <c r="H828" s="3" t="s">
        <v>22</v>
      </c>
    </row>
    <row r="829" spans="1:10" s="3" customFormat="1" x14ac:dyDescent="0.25">
      <c r="A829" s="2">
        <v>67</v>
      </c>
      <c r="B829" s="3" t="s">
        <v>27</v>
      </c>
      <c r="C829" s="3">
        <v>647</v>
      </c>
      <c r="D829" s="3">
        <v>1</v>
      </c>
      <c r="E829" s="3" t="s">
        <v>34</v>
      </c>
      <c r="F829" s="3" t="s">
        <v>35</v>
      </c>
      <c r="G829" s="3" t="str">
        <f>"2026-02-11 20:32:14.516"</f>
        <v>2026-02-11 20:32:14.516</v>
      </c>
      <c r="H829" s="3" t="s">
        <v>22</v>
      </c>
      <c r="I829" s="3">
        <v>11.42</v>
      </c>
      <c r="J829" s="3" t="s">
        <v>37</v>
      </c>
    </row>
    <row r="830" spans="1:10" s="3" customFormat="1" x14ac:dyDescent="0.25">
      <c r="A830" s="2">
        <v>68</v>
      </c>
      <c r="B830" s="3" t="s">
        <v>24</v>
      </c>
      <c r="C830" s="3">
        <v>647</v>
      </c>
      <c r="D830" s="3">
        <v>1</v>
      </c>
      <c r="E830" s="3" t="s">
        <v>34</v>
      </c>
      <c r="F830" s="3" t="s">
        <v>35</v>
      </c>
      <c r="G830" s="3" t="str">
        <f>"2026-02-11 19:46:32.116"</f>
        <v>2026-02-11 19:46:32.116</v>
      </c>
      <c r="H830" s="3" t="s">
        <v>22</v>
      </c>
    </row>
    <row r="831" spans="1:10" s="3" customFormat="1" x14ac:dyDescent="0.25">
      <c r="A831" s="2">
        <v>69</v>
      </c>
      <c r="B831" s="3" t="s">
        <v>27</v>
      </c>
      <c r="C831" s="3">
        <v>647</v>
      </c>
      <c r="D831" s="3">
        <v>1</v>
      </c>
      <c r="E831" s="3" t="s">
        <v>34</v>
      </c>
      <c r="F831" s="3" t="s">
        <v>35</v>
      </c>
      <c r="G831" s="3" t="str">
        <f>"2026-02-11 19:46:28.816"</f>
        <v>2026-02-11 19:46:28.816</v>
      </c>
      <c r="H831" s="3" t="s">
        <v>22</v>
      </c>
      <c r="I831" s="3">
        <v>8.6999999999999993</v>
      </c>
      <c r="J831" s="3" t="s">
        <v>37</v>
      </c>
    </row>
    <row r="832" spans="1:10" x14ac:dyDescent="0.25">
      <c r="A832" s="1">
        <v>70</v>
      </c>
      <c r="B832" t="s">
        <v>24</v>
      </c>
      <c r="C832">
        <v>630</v>
      </c>
      <c r="D832">
        <v>5</v>
      </c>
      <c r="E832" t="s">
        <v>29</v>
      </c>
      <c r="F832" t="s">
        <v>30</v>
      </c>
      <c r="G832" t="str">
        <f>"2026-02-11 13:20:27.616"</f>
        <v>2026-02-11 13:20:27.616</v>
      </c>
      <c r="H832" t="s">
        <v>31</v>
      </c>
    </row>
    <row r="833" spans="1:10" x14ac:dyDescent="0.25">
      <c r="A833" s="1">
        <v>71</v>
      </c>
      <c r="B833" t="s">
        <v>19</v>
      </c>
      <c r="C833">
        <v>706</v>
      </c>
      <c r="D833">
        <v>2</v>
      </c>
      <c r="E833" t="s">
        <v>20</v>
      </c>
      <c r="F833" t="s">
        <v>21</v>
      </c>
      <c r="G833" t="str">
        <f>"2026-02-11 13:19:57.465"</f>
        <v>2026-02-11 13:19:57.465</v>
      </c>
      <c r="H833" t="s">
        <v>22</v>
      </c>
      <c r="I833">
        <v>0</v>
      </c>
      <c r="J833" t="s">
        <v>23</v>
      </c>
    </row>
    <row r="834" spans="1:10" x14ac:dyDescent="0.25">
      <c r="A834" s="1">
        <v>72</v>
      </c>
      <c r="B834" t="s">
        <v>32</v>
      </c>
      <c r="C834">
        <v>630</v>
      </c>
      <c r="D834">
        <v>5</v>
      </c>
      <c r="E834" t="s">
        <v>29</v>
      </c>
      <c r="F834" t="s">
        <v>30</v>
      </c>
      <c r="G834" t="str">
        <f>"2026-02-11 13:00:20.616"</f>
        <v>2026-02-11 13:00:20.616</v>
      </c>
      <c r="H834" t="s">
        <v>31</v>
      </c>
      <c r="I834">
        <v>0</v>
      </c>
      <c r="J834" t="s">
        <v>23</v>
      </c>
    </row>
    <row r="835" spans="1:10" s="3" customFormat="1" x14ac:dyDescent="0.25">
      <c r="A835" s="2">
        <v>73</v>
      </c>
      <c r="B835" s="3" t="s">
        <v>24</v>
      </c>
      <c r="C835" s="3">
        <v>647</v>
      </c>
      <c r="D835" s="3">
        <v>1</v>
      </c>
      <c r="E835" s="3" t="s">
        <v>34</v>
      </c>
      <c r="F835" s="3" t="s">
        <v>35</v>
      </c>
      <c r="G835" s="3" t="str">
        <f>"2026-02-10 23:26:39.816"</f>
        <v>2026-02-10 23:26:39.816</v>
      </c>
      <c r="H835" s="3" t="s">
        <v>22</v>
      </c>
    </row>
    <row r="836" spans="1:10" s="3" customFormat="1" x14ac:dyDescent="0.25">
      <c r="A836" s="2">
        <v>74</v>
      </c>
      <c r="B836" s="3" t="s">
        <v>27</v>
      </c>
      <c r="C836" s="3">
        <v>647</v>
      </c>
      <c r="D836" s="3">
        <v>1</v>
      </c>
      <c r="E836" s="3" t="s">
        <v>34</v>
      </c>
      <c r="F836" s="3" t="s">
        <v>35</v>
      </c>
      <c r="G836" s="3" t="str">
        <f>"2026-02-10 23:26:36.316"</f>
        <v>2026-02-10 23:26:36.316</v>
      </c>
      <c r="H836" s="3" t="s">
        <v>22</v>
      </c>
      <c r="I836" s="3">
        <v>20.69</v>
      </c>
      <c r="J836" s="3" t="s">
        <v>36</v>
      </c>
    </row>
    <row r="837" spans="1:10" x14ac:dyDescent="0.25">
      <c r="A837" s="1">
        <v>75</v>
      </c>
      <c r="B837" t="s">
        <v>74</v>
      </c>
      <c r="C837">
        <v>228</v>
      </c>
      <c r="D837">
        <v>4</v>
      </c>
      <c r="E837" t="s">
        <v>82</v>
      </c>
      <c r="F837" t="s">
        <v>76</v>
      </c>
      <c r="G837" t="str">
        <f>"2026-02-10 20:21:19.962"</f>
        <v>2026-02-10 20:21:19.962</v>
      </c>
      <c r="H837" t="s">
        <v>53</v>
      </c>
    </row>
    <row r="838" spans="1:10" x14ac:dyDescent="0.25">
      <c r="A838" s="1">
        <v>76</v>
      </c>
      <c r="B838" t="s">
        <v>32</v>
      </c>
      <c r="C838">
        <v>228</v>
      </c>
      <c r="D838">
        <v>4</v>
      </c>
      <c r="E838" t="s">
        <v>82</v>
      </c>
      <c r="F838" t="s">
        <v>76</v>
      </c>
      <c r="G838" t="str">
        <f>"2026-02-10 20:21:14.899"</f>
        <v>2026-02-10 20:21:14.899</v>
      </c>
      <c r="H838" t="s">
        <v>53</v>
      </c>
      <c r="I838">
        <v>0</v>
      </c>
      <c r="J838" t="s">
        <v>28</v>
      </c>
    </row>
    <row r="839" spans="1:10" x14ac:dyDescent="0.25">
      <c r="A839" s="1">
        <v>78</v>
      </c>
      <c r="B839" t="s">
        <v>74</v>
      </c>
      <c r="C839">
        <v>228</v>
      </c>
      <c r="D839">
        <v>4</v>
      </c>
      <c r="E839" t="s">
        <v>82</v>
      </c>
      <c r="F839" t="s">
        <v>76</v>
      </c>
      <c r="G839" t="str">
        <f>"2026-02-09 08:38:17.227"</f>
        <v>2026-02-09 08:38:17.227</v>
      </c>
      <c r="H839" t="s">
        <v>53</v>
      </c>
    </row>
    <row r="840" spans="1:10" x14ac:dyDescent="0.25">
      <c r="A840" s="1">
        <v>79</v>
      </c>
      <c r="B840" t="s">
        <v>32</v>
      </c>
      <c r="C840">
        <v>228</v>
      </c>
      <c r="D840">
        <v>4</v>
      </c>
      <c r="E840" t="s">
        <v>82</v>
      </c>
      <c r="F840" t="s">
        <v>76</v>
      </c>
      <c r="G840" t="str">
        <f>"2026-02-09 08:38:12.199"</f>
        <v>2026-02-09 08:38:12.199</v>
      </c>
      <c r="H840" t="s">
        <v>53</v>
      </c>
      <c r="I840">
        <v>0</v>
      </c>
      <c r="J840" t="s">
        <v>37</v>
      </c>
    </row>
    <row r="841" spans="1:10" x14ac:dyDescent="0.25">
      <c r="A841" s="1">
        <v>81</v>
      </c>
      <c r="B841" t="s">
        <v>19</v>
      </c>
      <c r="C841">
        <v>700</v>
      </c>
      <c r="D841">
        <v>0</v>
      </c>
      <c r="E841" t="s">
        <v>33</v>
      </c>
      <c r="F841" t="s">
        <v>33</v>
      </c>
      <c r="G841" t="str">
        <f>"2026-02-08 14:12:42.545"</f>
        <v>2026-02-08 14:12:42.545</v>
      </c>
      <c r="H841" t="s">
        <v>22</v>
      </c>
    </row>
    <row r="842" spans="1:10" x14ac:dyDescent="0.25">
      <c r="A842" s="1">
        <v>82</v>
      </c>
      <c r="B842" t="s">
        <v>19</v>
      </c>
      <c r="C842">
        <v>700</v>
      </c>
      <c r="D842">
        <v>0</v>
      </c>
      <c r="E842" t="s">
        <v>33</v>
      </c>
      <c r="F842" t="s">
        <v>33</v>
      </c>
      <c r="G842" t="str">
        <f>"2026-02-08 13:52:05.545"</f>
        <v>2026-02-08 13:52:05.545</v>
      </c>
      <c r="H842" t="s">
        <v>22</v>
      </c>
      <c r="I842">
        <v>0</v>
      </c>
      <c r="J842" t="s">
        <v>41</v>
      </c>
    </row>
    <row r="843" spans="1:10" x14ac:dyDescent="0.25">
      <c r="A843" s="1">
        <v>83</v>
      </c>
      <c r="B843" t="s">
        <v>24</v>
      </c>
      <c r="C843">
        <v>630</v>
      </c>
      <c r="D843">
        <v>5</v>
      </c>
      <c r="E843" t="s">
        <v>29</v>
      </c>
      <c r="F843" t="s">
        <v>30</v>
      </c>
      <c r="G843" t="str">
        <f>"2026-02-08 11:54:20.826"</f>
        <v>2026-02-08 11:54:20.826</v>
      </c>
      <c r="H843" t="s">
        <v>31</v>
      </c>
    </row>
    <row r="844" spans="1:10" x14ac:dyDescent="0.25">
      <c r="A844" s="1">
        <v>84</v>
      </c>
      <c r="B844" t="s">
        <v>19</v>
      </c>
      <c r="C844">
        <v>706</v>
      </c>
      <c r="D844">
        <v>4</v>
      </c>
      <c r="E844" t="s">
        <v>20</v>
      </c>
      <c r="F844" t="s">
        <v>40</v>
      </c>
      <c r="G844" t="str">
        <f>"2026-02-08 11:53:50.757"</f>
        <v>2026-02-08 11:53:50.757</v>
      </c>
      <c r="H844" t="s">
        <v>22</v>
      </c>
      <c r="I844">
        <v>0</v>
      </c>
      <c r="J844" t="s">
        <v>23</v>
      </c>
    </row>
    <row r="845" spans="1:10" x14ac:dyDescent="0.25">
      <c r="A845" s="1">
        <v>85</v>
      </c>
      <c r="B845" t="s">
        <v>19</v>
      </c>
      <c r="C845">
        <v>706</v>
      </c>
      <c r="D845">
        <v>3</v>
      </c>
      <c r="E845" t="s">
        <v>20</v>
      </c>
      <c r="F845" t="s">
        <v>42</v>
      </c>
      <c r="G845" t="str">
        <f>"2026-02-08 11:16:00.107"</f>
        <v>2026-02-08 11:16:00.107</v>
      </c>
      <c r="H845" t="s">
        <v>22</v>
      </c>
      <c r="I845">
        <v>0</v>
      </c>
      <c r="J845" t="s">
        <v>23</v>
      </c>
    </row>
    <row r="846" spans="1:10" x14ac:dyDescent="0.25">
      <c r="A846" s="1">
        <v>86</v>
      </c>
      <c r="B846" t="s">
        <v>32</v>
      </c>
      <c r="C846">
        <v>630</v>
      </c>
      <c r="D846">
        <v>5</v>
      </c>
      <c r="E846" t="s">
        <v>29</v>
      </c>
      <c r="F846" t="s">
        <v>30</v>
      </c>
      <c r="G846" t="str">
        <f>"2026-02-08 10:58:56.327"</f>
        <v>2026-02-08 10:58:56.327</v>
      </c>
      <c r="H846" t="s">
        <v>31</v>
      </c>
      <c r="I846">
        <v>0</v>
      </c>
      <c r="J846" t="s">
        <v>23</v>
      </c>
    </row>
    <row r="847" spans="1:10" x14ac:dyDescent="0.25">
      <c r="A847" s="1">
        <v>87</v>
      </c>
      <c r="B847" t="s">
        <v>19</v>
      </c>
      <c r="C847">
        <v>700</v>
      </c>
      <c r="D847">
        <v>0</v>
      </c>
      <c r="E847" t="s">
        <v>33</v>
      </c>
      <c r="F847" t="s">
        <v>33</v>
      </c>
      <c r="G847" t="str">
        <f>"2026-02-08 10:53:53.637"</f>
        <v>2026-02-08 10:53:53.637</v>
      </c>
      <c r="H847" t="s">
        <v>22</v>
      </c>
      <c r="I847">
        <v>0</v>
      </c>
      <c r="J847" t="s">
        <v>41</v>
      </c>
    </row>
    <row r="848" spans="1:10" x14ac:dyDescent="0.25">
      <c r="A848" s="1">
        <v>88</v>
      </c>
      <c r="B848" t="s">
        <v>32</v>
      </c>
      <c r="C848">
        <v>630</v>
      </c>
      <c r="D848">
        <v>5</v>
      </c>
      <c r="E848" t="s">
        <v>29</v>
      </c>
      <c r="F848" t="s">
        <v>30</v>
      </c>
      <c r="G848" t="str">
        <f>"2026-02-08 10:09:15.909"</f>
        <v>2026-02-08 10:09:15.909</v>
      </c>
      <c r="H848" t="s">
        <v>31</v>
      </c>
      <c r="I848">
        <v>0</v>
      </c>
      <c r="J848" t="s">
        <v>23</v>
      </c>
    </row>
    <row r="849" spans="1:10" s="3" customFormat="1" x14ac:dyDescent="0.25">
      <c r="A849" s="2">
        <v>89</v>
      </c>
      <c r="B849" s="3" t="s">
        <v>24</v>
      </c>
      <c r="C849" s="3">
        <v>647</v>
      </c>
      <c r="D849" s="3">
        <v>1</v>
      </c>
      <c r="E849" s="3" t="s">
        <v>34</v>
      </c>
      <c r="F849" s="3" t="s">
        <v>35</v>
      </c>
      <c r="G849" s="3" t="str">
        <f>"2026-02-08 06:48:06.209"</f>
        <v>2026-02-08 06:48:06.209</v>
      </c>
      <c r="H849" s="3" t="s">
        <v>22</v>
      </c>
    </row>
    <row r="850" spans="1:10" s="3" customFormat="1" x14ac:dyDescent="0.25">
      <c r="A850" s="2">
        <v>90</v>
      </c>
      <c r="B850" s="3" t="s">
        <v>27</v>
      </c>
      <c r="C850" s="3">
        <v>647</v>
      </c>
      <c r="D850" s="3">
        <v>1</v>
      </c>
      <c r="E850" s="3" t="s">
        <v>34</v>
      </c>
      <c r="F850" s="3" t="s">
        <v>35</v>
      </c>
      <c r="G850" s="3" t="str">
        <f>"2026-02-08 06:48:02.909"</f>
        <v>2026-02-08 06:48:02.909</v>
      </c>
      <c r="H850" s="3" t="s">
        <v>22</v>
      </c>
      <c r="I850" s="3">
        <v>9.4600000000000009</v>
      </c>
      <c r="J850" s="3" t="s">
        <v>36</v>
      </c>
    </row>
    <row r="851" spans="1:10" s="3" customFormat="1" x14ac:dyDescent="0.25">
      <c r="A851" s="2">
        <v>91</v>
      </c>
      <c r="B851" s="3" t="s">
        <v>24</v>
      </c>
      <c r="C851" s="3">
        <v>647</v>
      </c>
      <c r="D851" s="3">
        <v>1</v>
      </c>
      <c r="E851" s="3" t="s">
        <v>34</v>
      </c>
      <c r="F851" s="3" t="s">
        <v>35</v>
      </c>
      <c r="G851" s="3" t="str">
        <f>"2026-02-08 06:45:11.809"</f>
        <v>2026-02-08 06:45:11.809</v>
      </c>
      <c r="H851" s="3" t="s">
        <v>22</v>
      </c>
    </row>
    <row r="852" spans="1:10" s="3" customFormat="1" x14ac:dyDescent="0.25">
      <c r="A852" s="2">
        <v>92</v>
      </c>
      <c r="B852" s="3" t="s">
        <v>27</v>
      </c>
      <c r="C852" s="3">
        <v>647</v>
      </c>
      <c r="D852" s="3">
        <v>1</v>
      </c>
      <c r="E852" s="3" t="s">
        <v>34</v>
      </c>
      <c r="F852" s="3" t="s">
        <v>35</v>
      </c>
      <c r="G852" s="3" t="str">
        <f>"2026-02-08 06:45:08.709"</f>
        <v>2026-02-08 06:45:08.709</v>
      </c>
      <c r="H852" s="3" t="s">
        <v>22</v>
      </c>
      <c r="I852" s="3">
        <v>26.09</v>
      </c>
      <c r="J852" s="3" t="s">
        <v>36</v>
      </c>
    </row>
    <row r="853" spans="1:10" s="3" customFormat="1" x14ac:dyDescent="0.25">
      <c r="A853" s="2">
        <v>93</v>
      </c>
      <c r="B853" s="3" t="s">
        <v>24</v>
      </c>
      <c r="C853" s="3">
        <v>647</v>
      </c>
      <c r="D853" s="3">
        <v>1</v>
      </c>
      <c r="E853" s="3" t="s">
        <v>34</v>
      </c>
      <c r="F853" s="3" t="s">
        <v>35</v>
      </c>
      <c r="G853" s="3" t="str">
        <f>"2026-02-08 06:02:52.109"</f>
        <v>2026-02-08 06:02:52.109</v>
      </c>
      <c r="H853" s="3" t="s">
        <v>22</v>
      </c>
    </row>
    <row r="854" spans="1:10" s="3" customFormat="1" x14ac:dyDescent="0.25">
      <c r="A854" s="2">
        <v>94</v>
      </c>
      <c r="B854" s="3" t="s">
        <v>27</v>
      </c>
      <c r="C854" s="3">
        <v>647</v>
      </c>
      <c r="D854" s="3">
        <v>1</v>
      </c>
      <c r="E854" s="3" t="s">
        <v>34</v>
      </c>
      <c r="F854" s="3" t="s">
        <v>35</v>
      </c>
      <c r="G854" s="3" t="str">
        <f>"2026-02-08 06:02:50.609"</f>
        <v>2026-02-08 06:02:50.609</v>
      </c>
      <c r="H854" s="3" t="s">
        <v>22</v>
      </c>
      <c r="I854" s="3">
        <v>21.25</v>
      </c>
      <c r="J854" s="3" t="s">
        <v>36</v>
      </c>
    </row>
    <row r="855" spans="1:10" s="3" customFormat="1" x14ac:dyDescent="0.25">
      <c r="A855" s="2">
        <v>95</v>
      </c>
      <c r="B855" s="3" t="s">
        <v>24</v>
      </c>
      <c r="C855" s="3">
        <v>647</v>
      </c>
      <c r="D855" s="3">
        <v>1</v>
      </c>
      <c r="E855" s="3" t="s">
        <v>34</v>
      </c>
      <c r="F855" s="3" t="s">
        <v>35</v>
      </c>
      <c r="G855" s="3" t="str">
        <f>"2026-02-08 03:16:43.809"</f>
        <v>2026-02-08 03:16:43.809</v>
      </c>
      <c r="H855" s="3" t="s">
        <v>22</v>
      </c>
    </row>
    <row r="856" spans="1:10" s="3" customFormat="1" x14ac:dyDescent="0.25">
      <c r="A856" s="2">
        <v>96</v>
      </c>
      <c r="B856" s="3" t="s">
        <v>27</v>
      </c>
      <c r="C856" s="3">
        <v>647</v>
      </c>
      <c r="D856" s="3">
        <v>1</v>
      </c>
      <c r="E856" s="3" t="s">
        <v>34</v>
      </c>
      <c r="F856" s="3" t="s">
        <v>35</v>
      </c>
      <c r="G856" s="3" t="str">
        <f>"2026-02-08 03:16:38.109"</f>
        <v>2026-02-08 03:16:38.109</v>
      </c>
      <c r="H856" s="3" t="s">
        <v>22</v>
      </c>
      <c r="I856" s="3">
        <v>8.4</v>
      </c>
      <c r="J856" s="3" t="s">
        <v>37</v>
      </c>
    </row>
    <row r="857" spans="1:10" s="3" customFormat="1" x14ac:dyDescent="0.25">
      <c r="A857" s="2">
        <v>97</v>
      </c>
      <c r="B857" s="3" t="s">
        <v>24</v>
      </c>
      <c r="C857" s="3">
        <v>647</v>
      </c>
      <c r="D857" s="3">
        <v>1</v>
      </c>
      <c r="E857" s="3" t="s">
        <v>34</v>
      </c>
      <c r="F857" s="3" t="s">
        <v>35</v>
      </c>
      <c r="G857" s="3" t="str">
        <f>"2026-02-08 02:38:53.509"</f>
        <v>2026-02-08 02:38:53.509</v>
      </c>
      <c r="H857" s="3" t="s">
        <v>22</v>
      </c>
    </row>
    <row r="858" spans="1:10" s="3" customFormat="1" x14ac:dyDescent="0.25">
      <c r="A858" s="2">
        <v>98</v>
      </c>
      <c r="B858" s="3" t="s">
        <v>27</v>
      </c>
      <c r="C858" s="3">
        <v>647</v>
      </c>
      <c r="D858" s="3">
        <v>1</v>
      </c>
      <c r="E858" s="3" t="s">
        <v>34</v>
      </c>
      <c r="F858" s="3" t="s">
        <v>35</v>
      </c>
      <c r="G858" s="3" t="str">
        <f>"2026-02-08 02:38:51.809"</f>
        <v>2026-02-08 02:38:51.809</v>
      </c>
      <c r="H858" s="3" t="s">
        <v>22</v>
      </c>
      <c r="I858" s="3">
        <v>11.75</v>
      </c>
      <c r="J858" s="3" t="s">
        <v>37</v>
      </c>
    </row>
    <row r="859" spans="1:10" s="3" customFormat="1" x14ac:dyDescent="0.25">
      <c r="A859" s="2">
        <v>99</v>
      </c>
      <c r="B859" s="3" t="s">
        <v>24</v>
      </c>
      <c r="C859" s="3">
        <v>647</v>
      </c>
      <c r="D859" s="3">
        <v>1</v>
      </c>
      <c r="E859" s="3" t="s">
        <v>34</v>
      </c>
      <c r="F859" s="3" t="s">
        <v>35</v>
      </c>
      <c r="G859" s="3" t="str">
        <f>"2026-02-08 01:46:29.609"</f>
        <v>2026-02-08 01:46:29.609</v>
      </c>
      <c r="H859" s="3" t="s">
        <v>22</v>
      </c>
    </row>
    <row r="860" spans="1:10" s="3" customFormat="1" x14ac:dyDescent="0.25">
      <c r="A860" s="2">
        <v>0</v>
      </c>
      <c r="B860" s="3" t="s">
        <v>27</v>
      </c>
      <c r="C860" s="3">
        <v>647</v>
      </c>
      <c r="D860" s="3">
        <v>1</v>
      </c>
      <c r="E860" s="3" t="s">
        <v>34</v>
      </c>
      <c r="F860" s="3" t="s">
        <v>35</v>
      </c>
      <c r="G860" s="3" t="str">
        <f>"2026-02-08 01:46:26.509"</f>
        <v>2026-02-08 01:46:26.509</v>
      </c>
      <c r="H860" s="3" t="s">
        <v>22</v>
      </c>
      <c r="I860" s="3">
        <v>8.85</v>
      </c>
      <c r="J860" s="3" t="s">
        <v>36</v>
      </c>
    </row>
    <row r="861" spans="1:10" x14ac:dyDescent="0.25">
      <c r="A861" s="1">
        <v>1</v>
      </c>
      <c r="B861" t="s">
        <v>74</v>
      </c>
      <c r="C861">
        <v>228</v>
      </c>
      <c r="D861">
        <v>4</v>
      </c>
      <c r="E861" t="s">
        <v>82</v>
      </c>
      <c r="F861" t="s">
        <v>76</v>
      </c>
      <c r="G861" t="str">
        <f>"2026-02-07 20:29:43.902"</f>
        <v>2026-02-07 20:29:43.902</v>
      </c>
      <c r="H861" t="s">
        <v>53</v>
      </c>
    </row>
    <row r="862" spans="1:10" x14ac:dyDescent="0.25">
      <c r="A862" s="1">
        <v>2</v>
      </c>
      <c r="B862" t="s">
        <v>32</v>
      </c>
      <c r="C862">
        <v>228</v>
      </c>
      <c r="D862">
        <v>4</v>
      </c>
      <c r="E862" t="s">
        <v>82</v>
      </c>
      <c r="F862" t="s">
        <v>76</v>
      </c>
      <c r="G862" t="str">
        <f>"2026-02-07 20:29:38.830"</f>
        <v>2026-02-07 20:29:38.830</v>
      </c>
      <c r="H862" t="s">
        <v>53</v>
      </c>
      <c r="I862">
        <v>0</v>
      </c>
      <c r="J862" t="s">
        <v>37</v>
      </c>
    </row>
    <row r="863" spans="1:10" x14ac:dyDescent="0.25">
      <c r="A863" s="1">
        <v>3</v>
      </c>
      <c r="B863" t="s">
        <v>24</v>
      </c>
      <c r="C863">
        <v>635</v>
      </c>
      <c r="D863">
        <v>1</v>
      </c>
      <c r="E863" t="s">
        <v>25</v>
      </c>
      <c r="F863" t="s">
        <v>26</v>
      </c>
      <c r="G863" t="str">
        <f>"2026-02-07 14:46:19.609"</f>
        <v>2026-02-07 14:46:19.609</v>
      </c>
      <c r="H863" t="s">
        <v>22</v>
      </c>
    </row>
    <row r="864" spans="1:10" x14ac:dyDescent="0.25">
      <c r="A864" s="1">
        <v>4</v>
      </c>
      <c r="B864" t="s">
        <v>27</v>
      </c>
      <c r="C864">
        <v>635</v>
      </c>
      <c r="D864">
        <v>1</v>
      </c>
      <c r="E864" t="s">
        <v>25</v>
      </c>
      <c r="F864" t="s">
        <v>26</v>
      </c>
      <c r="G864" t="str">
        <f>"2026-02-07 14:41:53.109"</f>
        <v>2026-02-07 14:41:53.109</v>
      </c>
      <c r="H864" t="s">
        <v>22</v>
      </c>
      <c r="I864">
        <v>3.15</v>
      </c>
      <c r="J864" t="s">
        <v>28</v>
      </c>
    </row>
    <row r="865" spans="1:10" s="3" customFormat="1" x14ac:dyDescent="0.25">
      <c r="A865" s="2">
        <v>7</v>
      </c>
      <c r="B865" s="3" t="s">
        <v>24</v>
      </c>
      <c r="C865" s="3">
        <v>647</v>
      </c>
      <c r="D865" s="3">
        <v>1</v>
      </c>
      <c r="E865" s="3" t="s">
        <v>34</v>
      </c>
      <c r="F865" s="3" t="s">
        <v>35</v>
      </c>
      <c r="G865" s="3" t="str">
        <f>"2026-02-07 05:06:57.509"</f>
        <v>2026-02-07 05:06:57.509</v>
      </c>
      <c r="H865" s="3" t="s">
        <v>22</v>
      </c>
    </row>
    <row r="866" spans="1:10" s="3" customFormat="1" x14ac:dyDescent="0.25">
      <c r="A866" s="2">
        <v>8</v>
      </c>
      <c r="B866" s="3" t="s">
        <v>27</v>
      </c>
      <c r="C866" s="3">
        <v>647</v>
      </c>
      <c r="D866" s="3">
        <v>1</v>
      </c>
      <c r="E866" s="3" t="s">
        <v>34</v>
      </c>
      <c r="F866" s="3" t="s">
        <v>35</v>
      </c>
      <c r="G866" s="3" t="str">
        <f>"2026-02-07 05:06:55.009"</f>
        <v>2026-02-07 05:06:55.009</v>
      </c>
      <c r="H866" s="3" t="s">
        <v>22</v>
      </c>
      <c r="I866" s="3">
        <v>23.56</v>
      </c>
      <c r="J866" s="3" t="s">
        <v>36</v>
      </c>
    </row>
    <row r="867" spans="1:10" x14ac:dyDescent="0.25">
      <c r="A867" s="1">
        <v>9</v>
      </c>
      <c r="B867" t="s">
        <v>24</v>
      </c>
      <c r="C867">
        <v>635</v>
      </c>
      <c r="D867">
        <v>1</v>
      </c>
      <c r="E867" t="s">
        <v>25</v>
      </c>
      <c r="F867" t="s">
        <v>26</v>
      </c>
      <c r="G867" t="str">
        <f>"2026-02-06 17:53:04.509"</f>
        <v>2026-02-06 17:53:04.509</v>
      </c>
      <c r="H867" t="s">
        <v>22</v>
      </c>
    </row>
    <row r="868" spans="1:10" x14ac:dyDescent="0.25">
      <c r="A868" s="1">
        <v>10</v>
      </c>
      <c r="B868" t="s">
        <v>27</v>
      </c>
      <c r="C868">
        <v>635</v>
      </c>
      <c r="D868">
        <v>1</v>
      </c>
      <c r="E868" t="s">
        <v>25</v>
      </c>
      <c r="F868" t="s">
        <v>26</v>
      </c>
      <c r="G868" t="str">
        <f>"2026-02-06 17:48:13.509"</f>
        <v>2026-02-06 17:48:13.509</v>
      </c>
      <c r="H868" t="s">
        <v>22</v>
      </c>
      <c r="I868">
        <v>1.98</v>
      </c>
      <c r="J868" t="s">
        <v>28</v>
      </c>
    </row>
    <row r="869" spans="1:10" s="3" customFormat="1" x14ac:dyDescent="0.25">
      <c r="A869" s="2">
        <v>11</v>
      </c>
      <c r="B869" s="3" t="s">
        <v>24</v>
      </c>
      <c r="C869" s="3">
        <v>647</v>
      </c>
      <c r="D869" s="3">
        <v>1</v>
      </c>
      <c r="E869" s="3" t="s">
        <v>34</v>
      </c>
      <c r="F869" s="3" t="s">
        <v>35</v>
      </c>
      <c r="G869" s="3" t="str">
        <f>"2026-02-06 04:12:44.709"</f>
        <v>2026-02-06 04:12:44.709</v>
      </c>
      <c r="H869" s="3" t="s">
        <v>22</v>
      </c>
    </row>
    <row r="870" spans="1:10" s="3" customFormat="1" x14ac:dyDescent="0.25">
      <c r="A870" s="2">
        <v>12</v>
      </c>
      <c r="B870" s="3" t="s">
        <v>27</v>
      </c>
      <c r="C870" s="3">
        <v>647</v>
      </c>
      <c r="D870" s="3">
        <v>1</v>
      </c>
      <c r="E870" s="3" t="s">
        <v>34</v>
      </c>
      <c r="F870" s="3" t="s">
        <v>35</v>
      </c>
      <c r="G870" s="3" t="str">
        <f>"2026-02-06 04:12:43.209"</f>
        <v>2026-02-06 04:12:43.209</v>
      </c>
      <c r="H870" s="3" t="s">
        <v>22</v>
      </c>
      <c r="I870" s="3">
        <v>8.14</v>
      </c>
      <c r="J870" s="3" t="s">
        <v>36</v>
      </c>
    </row>
    <row r="871" spans="1:10" s="3" customFormat="1" x14ac:dyDescent="0.25">
      <c r="A871" s="2">
        <v>13</v>
      </c>
      <c r="B871" s="3" t="s">
        <v>24</v>
      </c>
      <c r="C871" s="3">
        <v>647</v>
      </c>
      <c r="D871" s="3">
        <v>1</v>
      </c>
      <c r="E871" s="3" t="s">
        <v>34</v>
      </c>
      <c r="F871" s="3" t="s">
        <v>35</v>
      </c>
      <c r="G871" s="3" t="str">
        <f>"2026-02-06 04:00:44.609"</f>
        <v>2026-02-06 04:00:44.609</v>
      </c>
      <c r="H871" s="3" t="s">
        <v>22</v>
      </c>
    </row>
    <row r="872" spans="1:10" s="3" customFormat="1" x14ac:dyDescent="0.25">
      <c r="A872" s="2">
        <v>14</v>
      </c>
      <c r="B872" s="3" t="s">
        <v>27</v>
      </c>
      <c r="C872" s="3">
        <v>647</v>
      </c>
      <c r="D872" s="3">
        <v>1</v>
      </c>
      <c r="E872" s="3" t="s">
        <v>34</v>
      </c>
      <c r="F872" s="3" t="s">
        <v>35</v>
      </c>
      <c r="G872" s="3" t="str">
        <f>"2026-02-06 04:00:43.309"</f>
        <v>2026-02-06 04:00:43.309</v>
      </c>
      <c r="H872" s="3" t="s">
        <v>22</v>
      </c>
      <c r="I872" s="3">
        <v>22.14</v>
      </c>
      <c r="J872" s="3" t="s">
        <v>36</v>
      </c>
    </row>
    <row r="873" spans="1:10" s="3" customFormat="1" x14ac:dyDescent="0.25">
      <c r="A873" s="2">
        <v>15</v>
      </c>
      <c r="B873" s="3" t="s">
        <v>24</v>
      </c>
      <c r="C873" s="3">
        <v>647</v>
      </c>
      <c r="D873" s="3">
        <v>1</v>
      </c>
      <c r="E873" s="3" t="s">
        <v>34</v>
      </c>
      <c r="F873" s="3" t="s">
        <v>35</v>
      </c>
      <c r="G873" s="3" t="str">
        <f>"2026-02-06 03:29:57.609"</f>
        <v>2026-02-06 03:29:57.609</v>
      </c>
      <c r="H873" s="3" t="s">
        <v>22</v>
      </c>
    </row>
    <row r="874" spans="1:10" s="3" customFormat="1" x14ac:dyDescent="0.25">
      <c r="A874" s="2">
        <v>16</v>
      </c>
      <c r="B874" s="3" t="s">
        <v>27</v>
      </c>
      <c r="C874" s="3">
        <v>647</v>
      </c>
      <c r="D874" s="3">
        <v>1</v>
      </c>
      <c r="E874" s="3" t="s">
        <v>34</v>
      </c>
      <c r="F874" s="3" t="s">
        <v>35</v>
      </c>
      <c r="G874" s="3" t="str">
        <f>"2026-02-06 03:29:54.709"</f>
        <v>2026-02-06 03:29:54.709</v>
      </c>
      <c r="H874" s="3" t="s">
        <v>22</v>
      </c>
      <c r="I874" s="3">
        <v>9.5299999999999994</v>
      </c>
      <c r="J874" s="3" t="s">
        <v>37</v>
      </c>
    </row>
    <row r="875" spans="1:10" s="3" customFormat="1" x14ac:dyDescent="0.25">
      <c r="A875" s="2">
        <v>17</v>
      </c>
      <c r="B875" s="3" t="s">
        <v>24</v>
      </c>
      <c r="C875" s="3">
        <v>647</v>
      </c>
      <c r="D875" s="3">
        <v>1</v>
      </c>
      <c r="E875" s="3" t="s">
        <v>34</v>
      </c>
      <c r="F875" s="3" t="s">
        <v>35</v>
      </c>
      <c r="G875" s="3" t="str">
        <f>"2026-02-06 01:12:59.109"</f>
        <v>2026-02-06 01:12:59.109</v>
      </c>
      <c r="H875" s="3" t="s">
        <v>22</v>
      </c>
    </row>
    <row r="876" spans="1:10" s="3" customFormat="1" x14ac:dyDescent="0.25">
      <c r="A876" s="2">
        <v>18</v>
      </c>
      <c r="B876" s="3" t="s">
        <v>27</v>
      </c>
      <c r="C876" s="3">
        <v>647</v>
      </c>
      <c r="D876" s="3">
        <v>1</v>
      </c>
      <c r="E876" s="3" t="s">
        <v>34</v>
      </c>
      <c r="F876" s="3" t="s">
        <v>35</v>
      </c>
      <c r="G876" s="3" t="str">
        <f>"2026-02-06 01:12:54.009"</f>
        <v>2026-02-06 01:12:54.009</v>
      </c>
      <c r="H876" s="3" t="s">
        <v>22</v>
      </c>
      <c r="I876" s="3">
        <v>10.74</v>
      </c>
      <c r="J876" s="3" t="s">
        <v>37</v>
      </c>
    </row>
    <row r="877" spans="1:10" s="3" customFormat="1" x14ac:dyDescent="0.25">
      <c r="A877" s="2">
        <v>19</v>
      </c>
      <c r="B877" s="3" t="s">
        <v>24</v>
      </c>
      <c r="C877" s="3">
        <v>647</v>
      </c>
      <c r="D877" s="3">
        <v>1</v>
      </c>
      <c r="E877" s="3" t="s">
        <v>34</v>
      </c>
      <c r="F877" s="3" t="s">
        <v>35</v>
      </c>
      <c r="G877" s="3" t="str">
        <f>"2026-02-06 00:22:51.209"</f>
        <v>2026-02-06 00:22:51.209</v>
      </c>
      <c r="H877" s="3" t="s">
        <v>22</v>
      </c>
    </row>
    <row r="878" spans="1:10" s="3" customFormat="1" x14ac:dyDescent="0.25">
      <c r="A878" s="2">
        <v>20</v>
      </c>
      <c r="B878" s="3" t="s">
        <v>27</v>
      </c>
      <c r="C878" s="3">
        <v>647</v>
      </c>
      <c r="D878" s="3">
        <v>1</v>
      </c>
      <c r="E878" s="3" t="s">
        <v>34</v>
      </c>
      <c r="F878" s="3" t="s">
        <v>35</v>
      </c>
      <c r="G878" s="3" t="str">
        <f>"2026-02-06 00:22:46.109"</f>
        <v>2026-02-06 00:22:46.109</v>
      </c>
      <c r="H878" s="3" t="s">
        <v>22</v>
      </c>
      <c r="I878" s="3">
        <v>23.16</v>
      </c>
      <c r="J878" s="3" t="s">
        <v>36</v>
      </c>
    </row>
    <row r="879" spans="1:10" s="3" customFormat="1" x14ac:dyDescent="0.25">
      <c r="A879" s="2">
        <v>21</v>
      </c>
      <c r="B879" s="3" t="s">
        <v>24</v>
      </c>
      <c r="C879" s="3">
        <v>647</v>
      </c>
      <c r="D879" s="3">
        <v>1</v>
      </c>
      <c r="E879" s="3" t="s">
        <v>34</v>
      </c>
      <c r="F879" s="3" t="s">
        <v>35</v>
      </c>
      <c r="G879" s="3" t="str">
        <f>"2026-02-05 21:50:51.409"</f>
        <v>2026-02-05 21:50:51.409</v>
      </c>
      <c r="H879" s="3" t="s">
        <v>22</v>
      </c>
    </row>
    <row r="880" spans="1:10" s="3" customFormat="1" x14ac:dyDescent="0.25">
      <c r="A880" s="2">
        <v>22</v>
      </c>
      <c r="B880" s="3" t="s">
        <v>27</v>
      </c>
      <c r="C880" s="3">
        <v>647</v>
      </c>
      <c r="D880" s="3">
        <v>1</v>
      </c>
      <c r="E880" s="3" t="s">
        <v>34</v>
      </c>
      <c r="F880" s="3" t="s">
        <v>35</v>
      </c>
      <c r="G880" s="3" t="str">
        <f>"2026-02-05 21:50:47.909"</f>
        <v>2026-02-05 21:50:47.909</v>
      </c>
      <c r="H880" s="3" t="s">
        <v>22</v>
      </c>
      <c r="I880" s="3">
        <v>13.02</v>
      </c>
      <c r="J880" s="3" t="s">
        <v>36</v>
      </c>
    </row>
    <row r="881" spans="1:10" x14ac:dyDescent="0.25">
      <c r="A881" s="1">
        <v>24</v>
      </c>
      <c r="B881" t="s">
        <v>24</v>
      </c>
      <c r="C881">
        <v>630</v>
      </c>
      <c r="D881">
        <v>5</v>
      </c>
      <c r="E881" t="s">
        <v>29</v>
      </c>
      <c r="F881" t="s">
        <v>30</v>
      </c>
      <c r="G881" t="str">
        <f>"2026-02-05 13:31:38.509"</f>
        <v>2026-02-05 13:31:38.509</v>
      </c>
      <c r="H881" t="s">
        <v>31</v>
      </c>
    </row>
    <row r="882" spans="1:10" x14ac:dyDescent="0.25">
      <c r="A882" s="1">
        <v>25</v>
      </c>
      <c r="B882" t="s">
        <v>19</v>
      </c>
      <c r="C882">
        <v>706</v>
      </c>
      <c r="D882">
        <v>4</v>
      </c>
      <c r="E882" t="s">
        <v>20</v>
      </c>
      <c r="F882" t="s">
        <v>40</v>
      </c>
      <c r="G882" t="str">
        <f>"2026-02-05 13:31:08.431"</f>
        <v>2026-02-05 13:31:08.431</v>
      </c>
      <c r="H882" t="s">
        <v>22</v>
      </c>
      <c r="I882">
        <v>0</v>
      </c>
      <c r="J882" t="s">
        <v>23</v>
      </c>
    </row>
    <row r="883" spans="1:10" x14ac:dyDescent="0.25">
      <c r="A883" s="1">
        <v>26</v>
      </c>
      <c r="B883" t="s">
        <v>32</v>
      </c>
      <c r="C883">
        <v>630</v>
      </c>
      <c r="D883">
        <v>5</v>
      </c>
      <c r="E883" t="s">
        <v>29</v>
      </c>
      <c r="F883" t="s">
        <v>30</v>
      </c>
      <c r="G883" t="str">
        <f>"2026-02-05 13:01:09.509"</f>
        <v>2026-02-05 13:01:09.509</v>
      </c>
      <c r="H883" t="s">
        <v>31</v>
      </c>
      <c r="I883">
        <v>0</v>
      </c>
      <c r="J883" t="s">
        <v>23</v>
      </c>
    </row>
    <row r="884" spans="1:10" x14ac:dyDescent="0.25">
      <c r="A884" s="1">
        <v>27</v>
      </c>
      <c r="B884" t="s">
        <v>24</v>
      </c>
      <c r="C884">
        <v>635</v>
      </c>
      <c r="D884">
        <v>1</v>
      </c>
      <c r="E884" t="s">
        <v>25</v>
      </c>
      <c r="F884" t="s">
        <v>26</v>
      </c>
      <c r="G884" t="str">
        <f>"2026-02-05 12:49:48.809"</f>
        <v>2026-02-05 12:49:48.809</v>
      </c>
      <c r="H884" t="s">
        <v>22</v>
      </c>
    </row>
    <row r="885" spans="1:10" x14ac:dyDescent="0.25">
      <c r="A885" s="1">
        <v>28</v>
      </c>
      <c r="B885" t="s">
        <v>27</v>
      </c>
      <c r="C885">
        <v>635</v>
      </c>
      <c r="D885">
        <v>1</v>
      </c>
      <c r="E885" t="s">
        <v>25</v>
      </c>
      <c r="F885" t="s">
        <v>26</v>
      </c>
      <c r="G885" t="str">
        <f>"2026-02-05 12:40:53.309"</f>
        <v>2026-02-05 12:40:53.309</v>
      </c>
      <c r="H885" t="s">
        <v>22</v>
      </c>
      <c r="I885">
        <v>8.68</v>
      </c>
      <c r="J885" t="s">
        <v>28</v>
      </c>
    </row>
    <row r="886" spans="1:10" s="3" customFormat="1" x14ac:dyDescent="0.25">
      <c r="A886" s="2">
        <v>30</v>
      </c>
      <c r="B886" s="3" t="s">
        <v>24</v>
      </c>
      <c r="C886" s="3">
        <v>647</v>
      </c>
      <c r="D886" s="3">
        <v>1</v>
      </c>
      <c r="E886" s="3" t="s">
        <v>34</v>
      </c>
      <c r="F886" s="3" t="s">
        <v>35</v>
      </c>
      <c r="G886" s="3" t="str">
        <f>"2026-02-04 23:01:55.509"</f>
        <v>2026-02-04 23:01:55.509</v>
      </c>
      <c r="H886" s="3" t="s">
        <v>22</v>
      </c>
    </row>
    <row r="887" spans="1:10" s="3" customFormat="1" x14ac:dyDescent="0.25">
      <c r="A887" s="2">
        <v>31</v>
      </c>
      <c r="B887" s="3" t="s">
        <v>27</v>
      </c>
      <c r="C887" s="3">
        <v>647</v>
      </c>
      <c r="D887" s="3">
        <v>1</v>
      </c>
      <c r="E887" s="3" t="s">
        <v>34</v>
      </c>
      <c r="F887" s="3" t="s">
        <v>35</v>
      </c>
      <c r="G887" s="3" t="str">
        <f>"2026-02-04 23:01:52.809"</f>
        <v>2026-02-04 23:01:52.809</v>
      </c>
      <c r="H887" s="3" t="s">
        <v>22</v>
      </c>
      <c r="I887" s="3">
        <v>8.6300000000000008</v>
      </c>
      <c r="J887" s="3" t="s">
        <v>37</v>
      </c>
    </row>
    <row r="888" spans="1:10" s="3" customFormat="1" x14ac:dyDescent="0.25">
      <c r="A888" s="2">
        <v>32</v>
      </c>
      <c r="B888" s="3" t="s">
        <v>24</v>
      </c>
      <c r="C888" s="3">
        <v>647</v>
      </c>
      <c r="D888" s="3">
        <v>1</v>
      </c>
      <c r="E888" s="3" t="s">
        <v>34</v>
      </c>
      <c r="F888" s="3" t="s">
        <v>35</v>
      </c>
      <c r="G888" s="3" t="str">
        <f>"2026-02-04 22:44:03.709"</f>
        <v>2026-02-04 22:44:03.709</v>
      </c>
      <c r="H888" s="3" t="s">
        <v>22</v>
      </c>
    </row>
    <row r="889" spans="1:10" s="3" customFormat="1" x14ac:dyDescent="0.25">
      <c r="A889" s="2">
        <v>33</v>
      </c>
      <c r="B889" s="3" t="s">
        <v>27</v>
      </c>
      <c r="C889" s="3">
        <v>647</v>
      </c>
      <c r="D889" s="3">
        <v>1</v>
      </c>
      <c r="E889" s="3" t="s">
        <v>34</v>
      </c>
      <c r="F889" s="3" t="s">
        <v>35</v>
      </c>
      <c r="G889" s="3" t="str">
        <f>"2026-02-04 22:44:01.209"</f>
        <v>2026-02-04 22:44:01.209</v>
      </c>
      <c r="H889" s="3" t="s">
        <v>22</v>
      </c>
      <c r="I889" s="3">
        <v>8.5500000000000007</v>
      </c>
      <c r="J889" s="3" t="s">
        <v>37</v>
      </c>
    </row>
    <row r="890" spans="1:10" s="3" customFormat="1" x14ac:dyDescent="0.25">
      <c r="A890" s="2">
        <v>34</v>
      </c>
      <c r="B890" s="3" t="s">
        <v>24</v>
      </c>
      <c r="C890" s="3">
        <v>647</v>
      </c>
      <c r="D890" s="3">
        <v>1</v>
      </c>
      <c r="E890" s="3" t="s">
        <v>34</v>
      </c>
      <c r="F890" s="3" t="s">
        <v>35</v>
      </c>
      <c r="G890" s="3" t="str">
        <f>"2026-02-04 22:17:13.609"</f>
        <v>2026-02-04 22:17:13.609</v>
      </c>
      <c r="H890" s="3" t="s">
        <v>22</v>
      </c>
    </row>
    <row r="891" spans="1:10" s="3" customFormat="1" x14ac:dyDescent="0.25">
      <c r="A891" s="2">
        <v>35</v>
      </c>
      <c r="B891" s="3" t="s">
        <v>27</v>
      </c>
      <c r="C891" s="3">
        <v>647</v>
      </c>
      <c r="D891" s="3">
        <v>1</v>
      </c>
      <c r="E891" s="3" t="s">
        <v>34</v>
      </c>
      <c r="F891" s="3" t="s">
        <v>35</v>
      </c>
      <c r="G891" s="3" t="str">
        <f>"2026-02-04 22:17:11.609"</f>
        <v>2026-02-04 22:17:11.609</v>
      </c>
      <c r="H891" s="3" t="s">
        <v>22</v>
      </c>
      <c r="I891" s="3">
        <v>8.0399999999999991</v>
      </c>
      <c r="J891" s="3" t="s">
        <v>37</v>
      </c>
    </row>
    <row r="892" spans="1:10" s="3" customFormat="1" x14ac:dyDescent="0.25">
      <c r="A892" s="2">
        <v>36</v>
      </c>
      <c r="B892" s="3" t="s">
        <v>24</v>
      </c>
      <c r="C892" s="3">
        <v>647</v>
      </c>
      <c r="D892" s="3">
        <v>1</v>
      </c>
      <c r="E892" s="3" t="s">
        <v>34</v>
      </c>
      <c r="F892" s="3" t="s">
        <v>35</v>
      </c>
      <c r="G892" s="3" t="str">
        <f>"2026-02-04 21:59:15.009"</f>
        <v>2026-02-04 21:59:15.009</v>
      </c>
      <c r="H892" s="3" t="s">
        <v>22</v>
      </c>
    </row>
    <row r="893" spans="1:10" s="3" customFormat="1" x14ac:dyDescent="0.25">
      <c r="A893" s="2">
        <v>37</v>
      </c>
      <c r="B893" s="3" t="s">
        <v>27</v>
      </c>
      <c r="C893" s="3">
        <v>647</v>
      </c>
      <c r="D893" s="3">
        <v>1</v>
      </c>
      <c r="E893" s="3" t="s">
        <v>34</v>
      </c>
      <c r="F893" s="3" t="s">
        <v>35</v>
      </c>
      <c r="G893" s="3" t="str">
        <f>"2026-02-04 21:59:11.709"</f>
        <v>2026-02-04 21:59:11.709</v>
      </c>
      <c r="H893" s="3" t="s">
        <v>22</v>
      </c>
      <c r="I893" s="3">
        <v>11.57</v>
      </c>
      <c r="J893" s="3" t="s">
        <v>36</v>
      </c>
    </row>
    <row r="894" spans="1:10" s="3" customFormat="1" x14ac:dyDescent="0.25">
      <c r="A894" s="2">
        <v>38</v>
      </c>
      <c r="B894" s="3" t="s">
        <v>24</v>
      </c>
      <c r="C894" s="3">
        <v>647</v>
      </c>
      <c r="D894" s="3">
        <v>1</v>
      </c>
      <c r="E894" s="3" t="s">
        <v>34</v>
      </c>
      <c r="F894" s="3" t="s">
        <v>35</v>
      </c>
      <c r="G894" s="3" t="str">
        <f>"2026-02-04 21:59:10.209"</f>
        <v>2026-02-04 21:59:10.209</v>
      </c>
      <c r="H894" s="3" t="s">
        <v>22</v>
      </c>
    </row>
    <row r="895" spans="1:10" s="3" customFormat="1" x14ac:dyDescent="0.25">
      <c r="A895" s="2">
        <v>39</v>
      </c>
      <c r="B895" s="3" t="s">
        <v>27</v>
      </c>
      <c r="C895" s="3">
        <v>647</v>
      </c>
      <c r="D895" s="3">
        <v>1</v>
      </c>
      <c r="E895" s="3" t="s">
        <v>34</v>
      </c>
      <c r="F895" s="3" t="s">
        <v>35</v>
      </c>
      <c r="G895" s="3" t="str">
        <f>"2026-02-04 21:59:08.309"</f>
        <v>2026-02-04 21:59:08.309</v>
      </c>
      <c r="H895" s="3" t="s">
        <v>22</v>
      </c>
      <c r="I895" s="3">
        <v>16.8</v>
      </c>
      <c r="J895" s="3" t="s">
        <v>36</v>
      </c>
    </row>
    <row r="896" spans="1:10" x14ac:dyDescent="0.25">
      <c r="A896" s="1">
        <v>40</v>
      </c>
      <c r="B896" t="s">
        <v>74</v>
      </c>
      <c r="C896">
        <v>215</v>
      </c>
      <c r="D896">
        <v>6</v>
      </c>
      <c r="E896" t="s">
        <v>94</v>
      </c>
      <c r="F896" t="s">
        <v>95</v>
      </c>
      <c r="G896" t="str">
        <f>"2026-02-04 16:57:38.830"</f>
        <v>2026-02-04 16:57:38.830</v>
      </c>
      <c r="H896" t="s">
        <v>22</v>
      </c>
    </row>
    <row r="897" spans="1:10" x14ac:dyDescent="0.25">
      <c r="A897" s="1">
        <v>41</v>
      </c>
      <c r="B897" t="s">
        <v>74</v>
      </c>
      <c r="C897">
        <v>115</v>
      </c>
      <c r="D897">
        <v>6</v>
      </c>
      <c r="E897" t="s">
        <v>96</v>
      </c>
      <c r="F897" t="s">
        <v>95</v>
      </c>
      <c r="G897" t="str">
        <f>"2026-02-04 16:57:38.702"</f>
        <v>2026-02-04 16:57:38.702</v>
      </c>
      <c r="H897" t="s">
        <v>22</v>
      </c>
    </row>
    <row r="898" spans="1:10" x14ac:dyDescent="0.25">
      <c r="A898" s="1">
        <v>42</v>
      </c>
      <c r="B898" t="s">
        <v>32</v>
      </c>
      <c r="C898">
        <v>215</v>
      </c>
      <c r="D898">
        <v>6</v>
      </c>
      <c r="E898" t="s">
        <v>94</v>
      </c>
      <c r="F898" t="s">
        <v>95</v>
      </c>
      <c r="G898" t="str">
        <f>"2026-02-04 16:57:33.636"</f>
        <v>2026-02-04 16:57:33.636</v>
      </c>
      <c r="H898" t="s">
        <v>22</v>
      </c>
      <c r="I898">
        <v>0</v>
      </c>
      <c r="J898" t="s">
        <v>23</v>
      </c>
    </row>
    <row r="899" spans="1:10" x14ac:dyDescent="0.25">
      <c r="A899" s="1">
        <v>43</v>
      </c>
      <c r="B899" t="s">
        <v>32</v>
      </c>
      <c r="C899">
        <v>115</v>
      </c>
      <c r="D899">
        <v>6</v>
      </c>
      <c r="E899" t="s">
        <v>96</v>
      </c>
      <c r="F899" t="s">
        <v>95</v>
      </c>
      <c r="G899" t="str">
        <f>"2026-02-04 16:57:33.631"</f>
        <v>2026-02-04 16:57:33.631</v>
      </c>
      <c r="H899" t="s">
        <v>22</v>
      </c>
      <c r="I899">
        <v>0</v>
      </c>
      <c r="J899" t="s">
        <v>23</v>
      </c>
    </row>
    <row r="900" spans="1:10" x14ac:dyDescent="0.25">
      <c r="A900" s="1">
        <v>44</v>
      </c>
      <c r="B900" t="s">
        <v>24</v>
      </c>
      <c r="C900">
        <v>6</v>
      </c>
      <c r="D900">
        <v>1</v>
      </c>
      <c r="E900" t="s">
        <v>84</v>
      </c>
      <c r="F900" t="s">
        <v>85</v>
      </c>
      <c r="G900" t="str">
        <f>"2026-02-04 16:57:33.512"</f>
        <v>2026-02-04 16:57:33.512</v>
      </c>
      <c r="H900" t="s">
        <v>64</v>
      </c>
    </row>
    <row r="901" spans="1:10" x14ac:dyDescent="0.25">
      <c r="A901" s="1">
        <v>45</v>
      </c>
      <c r="B901" t="s">
        <v>24</v>
      </c>
      <c r="C901">
        <v>75</v>
      </c>
      <c r="D901">
        <v>1</v>
      </c>
      <c r="E901" t="s">
        <v>86</v>
      </c>
      <c r="F901" t="s">
        <v>87</v>
      </c>
      <c r="G901" t="str">
        <f>"2026-02-04 16:57:33.510"</f>
        <v>2026-02-04 16:57:33.510</v>
      </c>
      <c r="H901" t="s">
        <v>53</v>
      </c>
    </row>
    <row r="902" spans="1:10" x14ac:dyDescent="0.25">
      <c r="A902" s="1">
        <v>46</v>
      </c>
      <c r="B902" t="s">
        <v>24</v>
      </c>
      <c r="C902">
        <v>74</v>
      </c>
      <c r="D902">
        <v>1</v>
      </c>
      <c r="E902" t="s">
        <v>88</v>
      </c>
      <c r="F902" t="s">
        <v>89</v>
      </c>
      <c r="G902" t="str">
        <f>"2026-02-04 16:57:33.508"</f>
        <v>2026-02-04 16:57:33.508</v>
      </c>
      <c r="H902" t="s">
        <v>60</v>
      </c>
    </row>
    <row r="903" spans="1:10" x14ac:dyDescent="0.25">
      <c r="A903" s="1">
        <v>47</v>
      </c>
      <c r="B903" t="s">
        <v>27</v>
      </c>
      <c r="C903">
        <v>75</v>
      </c>
      <c r="D903">
        <v>1</v>
      </c>
      <c r="E903" t="s">
        <v>86</v>
      </c>
      <c r="F903" t="s">
        <v>87</v>
      </c>
      <c r="G903" t="str">
        <f>"2026-02-04 16:57:22.120"</f>
        <v>2026-02-04 16:57:22.120</v>
      </c>
      <c r="H903" t="s">
        <v>53</v>
      </c>
      <c r="I903">
        <v>0</v>
      </c>
      <c r="J903" t="s">
        <v>23</v>
      </c>
    </row>
    <row r="904" spans="1:10" x14ac:dyDescent="0.25">
      <c r="A904" s="1">
        <v>48</v>
      </c>
      <c r="B904" t="s">
        <v>27</v>
      </c>
      <c r="C904">
        <v>74</v>
      </c>
      <c r="D904">
        <v>1</v>
      </c>
      <c r="E904" t="s">
        <v>88</v>
      </c>
      <c r="F904" t="s">
        <v>89</v>
      </c>
      <c r="G904" t="str">
        <f>"2026-02-04 16:57:22.115"</f>
        <v>2026-02-04 16:57:22.115</v>
      </c>
      <c r="H904" t="s">
        <v>60</v>
      </c>
      <c r="I904">
        <v>0</v>
      </c>
      <c r="J904" t="s">
        <v>23</v>
      </c>
    </row>
    <row r="905" spans="1:10" x14ac:dyDescent="0.25">
      <c r="A905" s="1">
        <v>49</v>
      </c>
      <c r="B905" t="s">
        <v>32</v>
      </c>
      <c r="C905">
        <v>6</v>
      </c>
      <c r="D905">
        <v>1</v>
      </c>
      <c r="E905" t="s">
        <v>84</v>
      </c>
      <c r="F905" t="s">
        <v>85</v>
      </c>
      <c r="G905" t="str">
        <f>"2026-02-04 16:57:22.109"</f>
        <v>2026-02-04 16:57:22.109</v>
      </c>
      <c r="H905" t="s">
        <v>64</v>
      </c>
      <c r="I905">
        <v>0</v>
      </c>
      <c r="J905" t="s">
        <v>23</v>
      </c>
    </row>
    <row r="906" spans="1:10" s="3" customFormat="1" x14ac:dyDescent="0.25">
      <c r="A906" s="2">
        <v>54</v>
      </c>
      <c r="B906" s="3" t="s">
        <v>24</v>
      </c>
      <c r="C906" s="3">
        <v>647</v>
      </c>
      <c r="D906" s="3">
        <v>1</v>
      </c>
      <c r="E906" s="3" t="s">
        <v>34</v>
      </c>
      <c r="F906" s="3" t="s">
        <v>35</v>
      </c>
      <c r="G906" s="3" t="str">
        <f>"2026-02-04 07:34:27.418"</f>
        <v>2026-02-04 07:34:27.418</v>
      </c>
      <c r="H906" s="3" t="s">
        <v>22</v>
      </c>
    </row>
    <row r="907" spans="1:10" s="3" customFormat="1" x14ac:dyDescent="0.25">
      <c r="A907" s="2">
        <v>55</v>
      </c>
      <c r="B907" s="3" t="s">
        <v>27</v>
      </c>
      <c r="C907" s="3">
        <v>647</v>
      </c>
      <c r="D907" s="3">
        <v>1</v>
      </c>
      <c r="E907" s="3" t="s">
        <v>34</v>
      </c>
      <c r="F907" s="3" t="s">
        <v>35</v>
      </c>
      <c r="G907" s="3" t="str">
        <f>"2026-02-04 07:34:23.918"</f>
        <v>2026-02-04 07:34:23.918</v>
      </c>
      <c r="H907" s="3" t="s">
        <v>22</v>
      </c>
      <c r="I907" s="3">
        <v>24.76</v>
      </c>
      <c r="J907" s="3" t="s">
        <v>36</v>
      </c>
    </row>
    <row r="908" spans="1:10" s="3" customFormat="1" x14ac:dyDescent="0.25">
      <c r="A908" s="2">
        <v>56</v>
      </c>
      <c r="B908" s="3" t="s">
        <v>24</v>
      </c>
      <c r="C908" s="3">
        <v>647</v>
      </c>
      <c r="D908" s="3">
        <v>1</v>
      </c>
      <c r="E908" s="3" t="s">
        <v>34</v>
      </c>
      <c r="F908" s="3" t="s">
        <v>35</v>
      </c>
      <c r="G908" s="3" t="str">
        <f>"2026-02-04 07:34:19.818"</f>
        <v>2026-02-04 07:34:19.818</v>
      </c>
      <c r="H908" s="3" t="s">
        <v>22</v>
      </c>
    </row>
    <row r="909" spans="1:10" s="3" customFormat="1" x14ac:dyDescent="0.25">
      <c r="A909" s="2">
        <v>57</v>
      </c>
      <c r="B909" s="3" t="s">
        <v>27</v>
      </c>
      <c r="C909" s="3">
        <v>647</v>
      </c>
      <c r="D909" s="3">
        <v>1</v>
      </c>
      <c r="E909" s="3" t="s">
        <v>34</v>
      </c>
      <c r="F909" s="3" t="s">
        <v>35</v>
      </c>
      <c r="G909" s="3" t="str">
        <f>"2026-02-04 07:34:18.318"</f>
        <v>2026-02-04 07:34:18.318</v>
      </c>
      <c r="H909" s="3" t="s">
        <v>22</v>
      </c>
      <c r="I909" s="3">
        <v>22.44</v>
      </c>
      <c r="J909" s="3" t="s">
        <v>36</v>
      </c>
    </row>
    <row r="910" spans="1:10" s="3" customFormat="1" x14ac:dyDescent="0.25">
      <c r="A910" s="2">
        <v>58</v>
      </c>
      <c r="B910" s="3" t="s">
        <v>24</v>
      </c>
      <c r="C910" s="3">
        <v>647</v>
      </c>
      <c r="D910" s="3">
        <v>1</v>
      </c>
      <c r="E910" s="3" t="s">
        <v>34</v>
      </c>
      <c r="F910" s="3" t="s">
        <v>35</v>
      </c>
      <c r="G910" s="3" t="str">
        <f>"2026-02-04 04:39:57.018"</f>
        <v>2026-02-04 04:39:57.018</v>
      </c>
      <c r="H910" s="3" t="s">
        <v>22</v>
      </c>
    </row>
    <row r="911" spans="1:10" s="3" customFormat="1" x14ac:dyDescent="0.25">
      <c r="A911" s="2">
        <v>59</v>
      </c>
      <c r="B911" s="3" t="s">
        <v>27</v>
      </c>
      <c r="C911" s="3">
        <v>647</v>
      </c>
      <c r="D911" s="3">
        <v>1</v>
      </c>
      <c r="E911" s="3" t="s">
        <v>34</v>
      </c>
      <c r="F911" s="3" t="s">
        <v>35</v>
      </c>
      <c r="G911" s="3" t="str">
        <f>"2026-02-04 04:39:54.918"</f>
        <v>2026-02-04 04:39:54.918</v>
      </c>
      <c r="H911" s="3" t="s">
        <v>22</v>
      </c>
      <c r="I911" s="3">
        <v>8.91</v>
      </c>
      <c r="J911" s="3" t="s">
        <v>37</v>
      </c>
    </row>
    <row r="912" spans="1:10" s="3" customFormat="1" x14ac:dyDescent="0.25">
      <c r="A912" s="2">
        <v>61</v>
      </c>
      <c r="B912" s="3" t="s">
        <v>24</v>
      </c>
      <c r="C912" s="3">
        <v>647</v>
      </c>
      <c r="D912" s="3">
        <v>1</v>
      </c>
      <c r="E912" s="3" t="s">
        <v>34</v>
      </c>
      <c r="F912" s="3" t="s">
        <v>35</v>
      </c>
      <c r="G912" s="3" t="str">
        <f>"2026-02-03 23:09:42.018"</f>
        <v>2026-02-03 23:09:42.018</v>
      </c>
      <c r="H912" s="3" t="s">
        <v>22</v>
      </c>
    </row>
    <row r="913" spans="1:10" s="3" customFormat="1" x14ac:dyDescent="0.25">
      <c r="A913" s="2">
        <v>62</v>
      </c>
      <c r="B913" s="3" t="s">
        <v>27</v>
      </c>
      <c r="C913" s="3">
        <v>647</v>
      </c>
      <c r="D913" s="3">
        <v>1</v>
      </c>
      <c r="E913" s="3" t="s">
        <v>34</v>
      </c>
      <c r="F913" s="3" t="s">
        <v>35</v>
      </c>
      <c r="G913" s="3" t="str">
        <f>"2026-02-03 23:09:38.118"</f>
        <v>2026-02-03 23:09:38.118</v>
      </c>
      <c r="H913" s="3" t="s">
        <v>22</v>
      </c>
      <c r="I913" s="3">
        <v>8.77</v>
      </c>
      <c r="J913" s="3" t="s">
        <v>37</v>
      </c>
    </row>
    <row r="914" spans="1:10" s="3" customFormat="1" x14ac:dyDescent="0.25">
      <c r="A914" s="2">
        <v>63</v>
      </c>
      <c r="B914" s="3" t="s">
        <v>24</v>
      </c>
      <c r="C914" s="3">
        <v>647</v>
      </c>
      <c r="D914" s="3">
        <v>1</v>
      </c>
      <c r="E914" s="3" t="s">
        <v>34</v>
      </c>
      <c r="F914" s="3" t="s">
        <v>35</v>
      </c>
      <c r="G914" s="3" t="str">
        <f>"2026-02-03 22:43:03.018"</f>
        <v>2026-02-03 22:43:03.018</v>
      </c>
      <c r="H914" s="3" t="s">
        <v>22</v>
      </c>
    </row>
    <row r="915" spans="1:10" s="3" customFormat="1" x14ac:dyDescent="0.25">
      <c r="A915" s="2">
        <v>64</v>
      </c>
      <c r="B915" s="3" t="s">
        <v>27</v>
      </c>
      <c r="C915" s="3">
        <v>647</v>
      </c>
      <c r="D915" s="3">
        <v>1</v>
      </c>
      <c r="E915" s="3" t="s">
        <v>34</v>
      </c>
      <c r="F915" s="3" t="s">
        <v>35</v>
      </c>
      <c r="G915" s="3" t="str">
        <f>"2026-02-03 22:42:58.918"</f>
        <v>2026-02-03 22:42:58.918</v>
      </c>
      <c r="H915" s="3" t="s">
        <v>22</v>
      </c>
      <c r="I915" s="3">
        <v>10.82</v>
      </c>
      <c r="J915" s="3" t="s">
        <v>37</v>
      </c>
    </row>
    <row r="916" spans="1:10" s="3" customFormat="1" x14ac:dyDescent="0.25">
      <c r="A916" s="2">
        <v>65</v>
      </c>
      <c r="B916" s="3" t="s">
        <v>24</v>
      </c>
      <c r="C916" s="3">
        <v>647</v>
      </c>
      <c r="D916" s="3">
        <v>1</v>
      </c>
      <c r="E916" s="3" t="s">
        <v>34</v>
      </c>
      <c r="F916" s="3" t="s">
        <v>35</v>
      </c>
      <c r="G916" s="3" t="str">
        <f>"2026-02-03 22:11:00.718"</f>
        <v>2026-02-03 22:11:00.718</v>
      </c>
      <c r="H916" s="3" t="s">
        <v>22</v>
      </c>
    </row>
    <row r="917" spans="1:10" s="3" customFormat="1" x14ac:dyDescent="0.25">
      <c r="A917" s="2">
        <v>66</v>
      </c>
      <c r="B917" s="3" t="s">
        <v>27</v>
      </c>
      <c r="C917" s="3">
        <v>647</v>
      </c>
      <c r="D917" s="3">
        <v>1</v>
      </c>
      <c r="E917" s="3" t="s">
        <v>34</v>
      </c>
      <c r="F917" s="3" t="s">
        <v>35</v>
      </c>
      <c r="G917" s="3" t="str">
        <f>"2026-02-03 22:10:51.418"</f>
        <v>2026-02-03 22:10:51.418</v>
      </c>
      <c r="H917" s="3" t="s">
        <v>22</v>
      </c>
      <c r="I917" s="3">
        <v>8.89</v>
      </c>
      <c r="J917" s="3" t="s">
        <v>37</v>
      </c>
    </row>
    <row r="918" spans="1:10" s="3" customFormat="1" x14ac:dyDescent="0.25">
      <c r="A918" s="2">
        <v>67</v>
      </c>
      <c r="B918" s="3" t="s">
        <v>24</v>
      </c>
      <c r="C918" s="3">
        <v>647</v>
      </c>
      <c r="D918" s="3">
        <v>1</v>
      </c>
      <c r="E918" s="3" t="s">
        <v>34</v>
      </c>
      <c r="F918" s="3" t="s">
        <v>35</v>
      </c>
      <c r="G918" s="3" t="str">
        <f>"2026-02-03 22:02:10.918"</f>
        <v>2026-02-03 22:02:10.918</v>
      </c>
      <c r="H918" s="3" t="s">
        <v>22</v>
      </c>
    </row>
    <row r="919" spans="1:10" s="3" customFormat="1" x14ac:dyDescent="0.25">
      <c r="A919" s="2">
        <v>68</v>
      </c>
      <c r="B919" s="3" t="s">
        <v>27</v>
      </c>
      <c r="C919" s="3">
        <v>647</v>
      </c>
      <c r="D919" s="3">
        <v>1</v>
      </c>
      <c r="E919" s="3" t="s">
        <v>34</v>
      </c>
      <c r="F919" s="3" t="s">
        <v>35</v>
      </c>
      <c r="G919" s="3" t="str">
        <f>"2026-02-03 22:02:08.618"</f>
        <v>2026-02-03 22:02:08.618</v>
      </c>
      <c r="H919" s="3" t="s">
        <v>22</v>
      </c>
      <c r="I919" s="3">
        <v>19.5</v>
      </c>
      <c r="J919" s="3" t="s">
        <v>36</v>
      </c>
    </row>
    <row r="920" spans="1:10" s="3" customFormat="1" x14ac:dyDescent="0.25">
      <c r="A920" s="2">
        <v>69</v>
      </c>
      <c r="B920" s="3" t="s">
        <v>24</v>
      </c>
      <c r="C920" s="3">
        <v>647</v>
      </c>
      <c r="D920" s="3">
        <v>1</v>
      </c>
      <c r="E920" s="3" t="s">
        <v>34</v>
      </c>
      <c r="F920" s="3" t="s">
        <v>35</v>
      </c>
      <c r="G920" s="3" t="str">
        <f>"2026-02-03 07:35:20.418"</f>
        <v>2026-02-03 07:35:20.418</v>
      </c>
      <c r="H920" s="3" t="s">
        <v>22</v>
      </c>
    </row>
    <row r="921" spans="1:10" s="3" customFormat="1" x14ac:dyDescent="0.25">
      <c r="A921" s="2">
        <v>70</v>
      </c>
      <c r="B921" s="3" t="s">
        <v>27</v>
      </c>
      <c r="C921" s="3">
        <v>647</v>
      </c>
      <c r="D921" s="3">
        <v>1</v>
      </c>
      <c r="E921" s="3" t="s">
        <v>34</v>
      </c>
      <c r="F921" s="3" t="s">
        <v>35</v>
      </c>
      <c r="G921" s="3" t="str">
        <f>"2026-02-03 07:35:05.818"</f>
        <v>2026-02-03 07:35:05.818</v>
      </c>
      <c r="H921" s="3" t="s">
        <v>22</v>
      </c>
      <c r="I921" s="3">
        <v>9.75</v>
      </c>
      <c r="J921" s="3" t="s">
        <v>37</v>
      </c>
    </row>
    <row r="922" spans="1:10" s="3" customFormat="1" x14ac:dyDescent="0.25">
      <c r="A922" s="2">
        <v>71</v>
      </c>
      <c r="B922" s="3" t="s">
        <v>24</v>
      </c>
      <c r="C922" s="3">
        <v>647</v>
      </c>
      <c r="D922" s="3">
        <v>1</v>
      </c>
      <c r="E922" s="3" t="s">
        <v>34</v>
      </c>
      <c r="F922" s="3" t="s">
        <v>35</v>
      </c>
      <c r="G922" s="3" t="str">
        <f>"2026-02-03 06:48:23.018"</f>
        <v>2026-02-03 06:48:23.018</v>
      </c>
      <c r="H922" s="3" t="s">
        <v>22</v>
      </c>
    </row>
    <row r="923" spans="1:10" s="3" customFormat="1" x14ac:dyDescent="0.25">
      <c r="A923" s="2">
        <v>72</v>
      </c>
      <c r="B923" s="3" t="s">
        <v>27</v>
      </c>
      <c r="C923" s="3">
        <v>647</v>
      </c>
      <c r="D923" s="3">
        <v>1</v>
      </c>
      <c r="E923" s="3" t="s">
        <v>34</v>
      </c>
      <c r="F923" s="3" t="s">
        <v>35</v>
      </c>
      <c r="G923" s="3" t="str">
        <f>"2026-02-03 06:48:13.518"</f>
        <v>2026-02-03 06:48:13.518</v>
      </c>
      <c r="H923" s="3" t="s">
        <v>22</v>
      </c>
      <c r="I923" s="3">
        <v>14</v>
      </c>
      <c r="J923" s="3" t="s">
        <v>36</v>
      </c>
    </row>
    <row r="924" spans="1:10" s="3" customFormat="1" x14ac:dyDescent="0.25">
      <c r="A924" s="2">
        <v>74</v>
      </c>
      <c r="B924" s="3" t="s">
        <v>24</v>
      </c>
      <c r="C924" s="3">
        <v>647</v>
      </c>
      <c r="D924" s="3">
        <v>1</v>
      </c>
      <c r="E924" s="3" t="s">
        <v>34</v>
      </c>
      <c r="F924" s="3" t="s">
        <v>35</v>
      </c>
      <c r="G924" s="3" t="str">
        <f>"2026-02-03 06:11:40.518"</f>
        <v>2026-02-03 06:11:40.518</v>
      </c>
      <c r="H924" s="3" t="s">
        <v>22</v>
      </c>
    </row>
    <row r="925" spans="1:10" s="3" customFormat="1" x14ac:dyDescent="0.25">
      <c r="A925" s="2">
        <v>75</v>
      </c>
      <c r="B925" s="3" t="s">
        <v>27</v>
      </c>
      <c r="C925" s="3">
        <v>647</v>
      </c>
      <c r="D925" s="3">
        <v>1</v>
      </c>
      <c r="E925" s="3" t="s">
        <v>34</v>
      </c>
      <c r="F925" s="3" t="s">
        <v>35</v>
      </c>
      <c r="G925" s="3" t="str">
        <f>"2026-02-03 06:11:31.618"</f>
        <v>2026-02-03 06:11:31.618</v>
      </c>
      <c r="H925" s="3" t="s">
        <v>22</v>
      </c>
      <c r="I925" s="3">
        <v>8.8699999999999992</v>
      </c>
      <c r="J925" s="3" t="s">
        <v>37</v>
      </c>
    </row>
    <row r="926" spans="1:10" s="3" customFormat="1" x14ac:dyDescent="0.25">
      <c r="A926" s="2">
        <v>76</v>
      </c>
      <c r="B926" s="3" t="s">
        <v>24</v>
      </c>
      <c r="C926" s="3">
        <v>647</v>
      </c>
      <c r="D926" s="3">
        <v>1</v>
      </c>
      <c r="E926" s="3" t="s">
        <v>34</v>
      </c>
      <c r="F926" s="3" t="s">
        <v>35</v>
      </c>
      <c r="G926" s="3" t="str">
        <f>"2026-02-03 06:02:15.318"</f>
        <v>2026-02-03 06:02:15.318</v>
      </c>
      <c r="H926" s="3" t="s">
        <v>22</v>
      </c>
    </row>
    <row r="927" spans="1:10" s="3" customFormat="1" x14ac:dyDescent="0.25">
      <c r="A927" s="2">
        <v>77</v>
      </c>
      <c r="B927" s="3" t="s">
        <v>27</v>
      </c>
      <c r="C927" s="3">
        <v>647</v>
      </c>
      <c r="D927" s="3">
        <v>1</v>
      </c>
      <c r="E927" s="3" t="s">
        <v>34</v>
      </c>
      <c r="F927" s="3" t="s">
        <v>35</v>
      </c>
      <c r="G927" s="3" t="str">
        <f>"2026-02-03 06:02:11.418"</f>
        <v>2026-02-03 06:02:11.418</v>
      </c>
      <c r="H927" s="3" t="s">
        <v>22</v>
      </c>
      <c r="I927" s="3">
        <v>13.65</v>
      </c>
      <c r="J927" s="3" t="s">
        <v>36</v>
      </c>
    </row>
    <row r="928" spans="1:10" s="3" customFormat="1" x14ac:dyDescent="0.25">
      <c r="A928" s="2">
        <v>78</v>
      </c>
      <c r="B928" s="3" t="s">
        <v>24</v>
      </c>
      <c r="C928" s="3">
        <v>647</v>
      </c>
      <c r="D928" s="3">
        <v>1</v>
      </c>
      <c r="E928" s="3" t="s">
        <v>34</v>
      </c>
      <c r="F928" s="3" t="s">
        <v>35</v>
      </c>
      <c r="G928" s="3" t="str">
        <f>"2026-02-03 05:16:21.018"</f>
        <v>2026-02-03 05:16:21.018</v>
      </c>
      <c r="H928" s="3" t="s">
        <v>22</v>
      </c>
    </row>
    <row r="929" spans="1:10" s="3" customFormat="1" x14ac:dyDescent="0.25">
      <c r="A929" s="2">
        <v>79</v>
      </c>
      <c r="B929" s="3" t="s">
        <v>27</v>
      </c>
      <c r="C929" s="3">
        <v>647</v>
      </c>
      <c r="D929" s="3">
        <v>1</v>
      </c>
      <c r="E929" s="3" t="s">
        <v>34</v>
      </c>
      <c r="F929" s="3" t="s">
        <v>35</v>
      </c>
      <c r="G929" s="3" t="str">
        <f>"2026-02-03 05:16:17.118"</f>
        <v>2026-02-03 05:16:17.118</v>
      </c>
      <c r="H929" s="3" t="s">
        <v>22</v>
      </c>
      <c r="I929" s="3">
        <v>8.44</v>
      </c>
      <c r="J929" s="3" t="s">
        <v>36</v>
      </c>
    </row>
    <row r="930" spans="1:10" s="3" customFormat="1" x14ac:dyDescent="0.25">
      <c r="A930" s="2">
        <v>80</v>
      </c>
      <c r="B930" s="3" t="s">
        <v>24</v>
      </c>
      <c r="C930" s="3">
        <v>647</v>
      </c>
      <c r="D930" s="3">
        <v>1</v>
      </c>
      <c r="E930" s="3" t="s">
        <v>34</v>
      </c>
      <c r="F930" s="3" t="s">
        <v>35</v>
      </c>
      <c r="G930" s="3" t="str">
        <f>"2026-02-03 04:29:22.718"</f>
        <v>2026-02-03 04:29:22.718</v>
      </c>
      <c r="H930" s="3" t="s">
        <v>22</v>
      </c>
    </row>
    <row r="931" spans="1:10" s="3" customFormat="1" x14ac:dyDescent="0.25">
      <c r="A931" s="2">
        <v>81</v>
      </c>
      <c r="B931" s="3" t="s">
        <v>27</v>
      </c>
      <c r="C931" s="3">
        <v>647</v>
      </c>
      <c r="D931" s="3">
        <v>1</v>
      </c>
      <c r="E931" s="3" t="s">
        <v>34</v>
      </c>
      <c r="F931" s="3" t="s">
        <v>35</v>
      </c>
      <c r="G931" s="3" t="str">
        <f>"2026-02-03 04:29:15.418"</f>
        <v>2026-02-03 04:29:15.418</v>
      </c>
      <c r="H931" s="3" t="s">
        <v>22</v>
      </c>
      <c r="I931" s="3">
        <v>12.47</v>
      </c>
      <c r="J931" s="3" t="s">
        <v>36</v>
      </c>
    </row>
    <row r="932" spans="1:10" s="3" customFormat="1" x14ac:dyDescent="0.25">
      <c r="A932" s="2">
        <v>82</v>
      </c>
      <c r="B932" s="3" t="s">
        <v>24</v>
      </c>
      <c r="C932" s="3">
        <v>647</v>
      </c>
      <c r="D932" s="3">
        <v>1</v>
      </c>
      <c r="E932" s="3" t="s">
        <v>34</v>
      </c>
      <c r="F932" s="3" t="s">
        <v>35</v>
      </c>
      <c r="G932" s="3" t="str">
        <f>"2026-02-03 03:46:35.618"</f>
        <v>2026-02-03 03:46:35.618</v>
      </c>
      <c r="H932" s="3" t="s">
        <v>22</v>
      </c>
    </row>
    <row r="933" spans="1:10" s="3" customFormat="1" x14ac:dyDescent="0.25">
      <c r="A933" s="2">
        <v>83</v>
      </c>
      <c r="B933" s="3" t="s">
        <v>27</v>
      </c>
      <c r="C933" s="3">
        <v>647</v>
      </c>
      <c r="D933" s="3">
        <v>1</v>
      </c>
      <c r="E933" s="3" t="s">
        <v>34</v>
      </c>
      <c r="F933" s="3" t="s">
        <v>35</v>
      </c>
      <c r="G933" s="3" t="str">
        <f>"2026-02-03 03:46:25.318"</f>
        <v>2026-02-03 03:46:25.318</v>
      </c>
      <c r="H933" s="3" t="s">
        <v>22</v>
      </c>
      <c r="I933" s="3">
        <v>13.13</v>
      </c>
      <c r="J933" s="3" t="s">
        <v>37</v>
      </c>
    </row>
    <row r="934" spans="1:10" s="3" customFormat="1" x14ac:dyDescent="0.25">
      <c r="A934" s="2">
        <v>84</v>
      </c>
      <c r="B934" s="3" t="s">
        <v>24</v>
      </c>
      <c r="C934" s="3">
        <v>647</v>
      </c>
      <c r="D934" s="3">
        <v>1</v>
      </c>
      <c r="E934" s="3" t="s">
        <v>34</v>
      </c>
      <c r="F934" s="3" t="s">
        <v>35</v>
      </c>
      <c r="G934" s="3" t="str">
        <f>"2026-02-03 02:41:10.718"</f>
        <v>2026-02-03 02:41:10.718</v>
      </c>
      <c r="H934" s="3" t="s">
        <v>22</v>
      </c>
    </row>
    <row r="935" spans="1:10" s="3" customFormat="1" x14ac:dyDescent="0.25">
      <c r="A935" s="2">
        <v>85</v>
      </c>
      <c r="B935" s="3" t="s">
        <v>27</v>
      </c>
      <c r="C935" s="3">
        <v>647</v>
      </c>
      <c r="D935" s="3">
        <v>1</v>
      </c>
      <c r="E935" s="3" t="s">
        <v>34</v>
      </c>
      <c r="F935" s="3" t="s">
        <v>35</v>
      </c>
      <c r="G935" s="3" t="str">
        <f>"2026-02-03 02:41:01.818"</f>
        <v>2026-02-03 02:41:01.818</v>
      </c>
      <c r="H935" s="3" t="s">
        <v>22</v>
      </c>
      <c r="I935" s="3">
        <v>14.28</v>
      </c>
      <c r="J935" s="3" t="s">
        <v>36</v>
      </c>
    </row>
    <row r="936" spans="1:10" s="3" customFormat="1" x14ac:dyDescent="0.25">
      <c r="A936" s="2">
        <v>86</v>
      </c>
      <c r="B936" s="3" t="s">
        <v>24</v>
      </c>
      <c r="C936" s="3">
        <v>647</v>
      </c>
      <c r="D936" s="3">
        <v>1</v>
      </c>
      <c r="E936" s="3" t="s">
        <v>34</v>
      </c>
      <c r="F936" s="3" t="s">
        <v>35</v>
      </c>
      <c r="G936" s="3" t="str">
        <f>"2026-02-03 01:39:09.018"</f>
        <v>2026-02-03 01:39:09.018</v>
      </c>
      <c r="H936" s="3" t="s">
        <v>22</v>
      </c>
    </row>
    <row r="937" spans="1:10" s="3" customFormat="1" x14ac:dyDescent="0.25">
      <c r="A937" s="2">
        <v>87</v>
      </c>
      <c r="B937" s="3" t="s">
        <v>27</v>
      </c>
      <c r="C937" s="3">
        <v>647</v>
      </c>
      <c r="D937" s="3">
        <v>1</v>
      </c>
      <c r="E937" s="3" t="s">
        <v>34</v>
      </c>
      <c r="F937" s="3" t="s">
        <v>35</v>
      </c>
      <c r="G937" s="3" t="str">
        <f>"2026-02-03 01:38:56.718"</f>
        <v>2026-02-03 01:38:56.718</v>
      </c>
      <c r="H937" s="3" t="s">
        <v>22</v>
      </c>
      <c r="I937" s="3">
        <v>9.52</v>
      </c>
      <c r="J937" s="3" t="s">
        <v>37</v>
      </c>
    </row>
    <row r="938" spans="1:10" s="3" customFormat="1" x14ac:dyDescent="0.25">
      <c r="A938" s="2">
        <v>88</v>
      </c>
      <c r="B938" s="3" t="s">
        <v>24</v>
      </c>
      <c r="C938" s="3">
        <v>647</v>
      </c>
      <c r="D938" s="3">
        <v>1</v>
      </c>
      <c r="E938" s="3" t="s">
        <v>34</v>
      </c>
      <c r="F938" s="3" t="s">
        <v>35</v>
      </c>
      <c r="G938" s="3" t="str">
        <f>"2026-02-03 01:38:18.218"</f>
        <v>2026-02-03 01:38:18.218</v>
      </c>
      <c r="H938" s="3" t="s">
        <v>22</v>
      </c>
    </row>
    <row r="939" spans="1:10" s="3" customFormat="1" x14ac:dyDescent="0.25">
      <c r="A939" s="2">
        <v>89</v>
      </c>
      <c r="B939" s="3" t="s">
        <v>27</v>
      </c>
      <c r="C939" s="3">
        <v>647</v>
      </c>
      <c r="D939" s="3">
        <v>1</v>
      </c>
      <c r="E939" s="3" t="s">
        <v>34</v>
      </c>
      <c r="F939" s="3" t="s">
        <v>35</v>
      </c>
      <c r="G939" s="3" t="str">
        <f>"2026-02-03 01:38:09.118"</f>
        <v>2026-02-03 01:38:09.118</v>
      </c>
      <c r="H939" s="3" t="s">
        <v>22</v>
      </c>
      <c r="I939" s="3">
        <v>16.05</v>
      </c>
      <c r="J939" s="3" t="s">
        <v>36</v>
      </c>
    </row>
    <row r="940" spans="1:10" s="3" customFormat="1" x14ac:dyDescent="0.25">
      <c r="A940" s="2">
        <v>90</v>
      </c>
      <c r="B940" s="3" t="s">
        <v>24</v>
      </c>
      <c r="C940" s="3">
        <v>647</v>
      </c>
      <c r="D940" s="3">
        <v>1</v>
      </c>
      <c r="E940" s="3" t="s">
        <v>34</v>
      </c>
      <c r="F940" s="3" t="s">
        <v>35</v>
      </c>
      <c r="G940" s="3" t="str">
        <f>"2026-02-03 00:42:08.718"</f>
        <v>2026-02-03 00:42:08.718</v>
      </c>
      <c r="H940" s="3" t="s">
        <v>22</v>
      </c>
    </row>
    <row r="941" spans="1:10" s="3" customFormat="1" x14ac:dyDescent="0.25">
      <c r="A941" s="2">
        <v>91</v>
      </c>
      <c r="B941" s="3" t="s">
        <v>27</v>
      </c>
      <c r="C941" s="3">
        <v>647</v>
      </c>
      <c r="D941" s="3">
        <v>1</v>
      </c>
      <c r="E941" s="3" t="s">
        <v>34</v>
      </c>
      <c r="F941" s="3" t="s">
        <v>35</v>
      </c>
      <c r="G941" s="3" t="str">
        <f>"2026-02-03 00:42:07.218"</f>
        <v>2026-02-03 00:42:07.218</v>
      </c>
      <c r="H941" s="3" t="s">
        <v>22</v>
      </c>
      <c r="I941" s="3">
        <v>12.28</v>
      </c>
      <c r="J941" s="3" t="s">
        <v>36</v>
      </c>
    </row>
    <row r="942" spans="1:10" s="3" customFormat="1" x14ac:dyDescent="0.25">
      <c r="A942" s="2">
        <v>92</v>
      </c>
      <c r="B942" s="3" t="s">
        <v>24</v>
      </c>
      <c r="C942" s="3">
        <v>647</v>
      </c>
      <c r="D942" s="3">
        <v>1</v>
      </c>
      <c r="E942" s="3" t="s">
        <v>34</v>
      </c>
      <c r="F942" s="3" t="s">
        <v>35</v>
      </c>
      <c r="G942" s="3" t="str">
        <f>"2026-02-02 22:05:00.418"</f>
        <v>2026-02-02 22:05:00.418</v>
      </c>
      <c r="H942" s="3" t="s">
        <v>22</v>
      </c>
    </row>
    <row r="943" spans="1:10" s="3" customFormat="1" x14ac:dyDescent="0.25">
      <c r="A943" s="2">
        <v>93</v>
      </c>
      <c r="B943" s="3" t="s">
        <v>27</v>
      </c>
      <c r="C943" s="3">
        <v>647</v>
      </c>
      <c r="D943" s="3">
        <v>1</v>
      </c>
      <c r="E943" s="3" t="s">
        <v>34</v>
      </c>
      <c r="F943" s="3" t="s">
        <v>35</v>
      </c>
      <c r="G943" s="3" t="str">
        <f>"2026-02-02 22:04:57.918"</f>
        <v>2026-02-02 22:04:57.918</v>
      </c>
      <c r="H943" s="3" t="s">
        <v>22</v>
      </c>
      <c r="I943" s="3">
        <v>12.34</v>
      </c>
      <c r="J943" s="3" t="s">
        <v>36</v>
      </c>
    </row>
    <row r="944" spans="1:10" s="3" customFormat="1" x14ac:dyDescent="0.25">
      <c r="A944" s="2">
        <v>94</v>
      </c>
      <c r="B944" s="3" t="s">
        <v>24</v>
      </c>
      <c r="C944" s="3">
        <v>647</v>
      </c>
      <c r="D944" s="3">
        <v>1</v>
      </c>
      <c r="E944" s="3" t="s">
        <v>34</v>
      </c>
      <c r="F944" s="3" t="s">
        <v>35</v>
      </c>
      <c r="G944" s="3" t="str">
        <f>"2026-02-02 20:30:20.218"</f>
        <v>2026-02-02 20:30:20.218</v>
      </c>
      <c r="H944" s="3" t="s">
        <v>22</v>
      </c>
    </row>
    <row r="945" spans="1:10" s="3" customFormat="1" x14ac:dyDescent="0.25">
      <c r="A945" s="2">
        <v>95</v>
      </c>
      <c r="B945" s="3" t="s">
        <v>27</v>
      </c>
      <c r="C945" s="3">
        <v>647</v>
      </c>
      <c r="D945" s="3">
        <v>1</v>
      </c>
      <c r="E945" s="3" t="s">
        <v>34</v>
      </c>
      <c r="F945" s="3" t="s">
        <v>35</v>
      </c>
      <c r="G945" s="3" t="str">
        <f>"2026-02-02 20:30:17.318"</f>
        <v>2026-02-02 20:30:17.318</v>
      </c>
      <c r="H945" s="3" t="s">
        <v>22</v>
      </c>
      <c r="I945" s="3">
        <v>10.91</v>
      </c>
      <c r="J945" s="3" t="s">
        <v>36</v>
      </c>
    </row>
    <row r="946" spans="1:10" x14ac:dyDescent="0.25">
      <c r="A946" s="1">
        <v>96</v>
      </c>
      <c r="B946" t="s">
        <v>24</v>
      </c>
      <c r="C946">
        <v>630</v>
      </c>
      <c r="D946">
        <v>5</v>
      </c>
      <c r="E946" t="s">
        <v>29</v>
      </c>
      <c r="F946" t="s">
        <v>30</v>
      </c>
      <c r="G946" t="str">
        <f>"2026-02-02 15:41:22.918"</f>
        <v>2026-02-02 15:41:22.918</v>
      </c>
      <c r="H946" t="s">
        <v>31</v>
      </c>
    </row>
    <row r="947" spans="1:10" x14ac:dyDescent="0.25">
      <c r="A947" s="1">
        <v>97</v>
      </c>
      <c r="B947" t="s">
        <v>19</v>
      </c>
      <c r="C947">
        <v>706</v>
      </c>
      <c r="D947">
        <v>4</v>
      </c>
      <c r="E947" t="s">
        <v>20</v>
      </c>
      <c r="F947" t="s">
        <v>40</v>
      </c>
      <c r="G947" t="str">
        <f>"2026-02-02 15:40:52.761"</f>
        <v>2026-02-02 15:40:52.761</v>
      </c>
      <c r="H947" t="s">
        <v>22</v>
      </c>
      <c r="I947">
        <v>0</v>
      </c>
      <c r="J947" t="s">
        <v>23</v>
      </c>
    </row>
    <row r="948" spans="1:10" x14ac:dyDescent="0.25">
      <c r="A948" s="1">
        <v>98</v>
      </c>
      <c r="B948" t="s">
        <v>32</v>
      </c>
      <c r="C948">
        <v>630</v>
      </c>
      <c r="D948">
        <v>5</v>
      </c>
      <c r="E948" t="s">
        <v>29</v>
      </c>
      <c r="F948" t="s">
        <v>30</v>
      </c>
      <c r="G948" t="str">
        <f>"2026-02-02 15:31:55.718"</f>
        <v>2026-02-02 15:31:55.718</v>
      </c>
      <c r="H948" t="s">
        <v>31</v>
      </c>
      <c r="I948">
        <v>0</v>
      </c>
      <c r="J948" t="s">
        <v>23</v>
      </c>
    </row>
    <row r="949" spans="1:10" s="3" customFormat="1" x14ac:dyDescent="0.25">
      <c r="A949" s="2">
        <v>99</v>
      </c>
      <c r="B949" s="3" t="s">
        <v>24</v>
      </c>
      <c r="C949" s="3">
        <v>647</v>
      </c>
      <c r="D949" s="3">
        <v>1</v>
      </c>
      <c r="E949" s="3" t="s">
        <v>34</v>
      </c>
      <c r="F949" s="3" t="s">
        <v>35</v>
      </c>
      <c r="G949" s="3" t="str">
        <f>"2026-02-02 03:52:32.318"</f>
        <v>2026-02-02 03:52:32.318</v>
      </c>
      <c r="H949" s="3" t="s">
        <v>22</v>
      </c>
    </row>
    <row r="950" spans="1:10" s="3" customFormat="1" x14ac:dyDescent="0.25">
      <c r="A950" s="2">
        <v>0</v>
      </c>
      <c r="B950" s="3" t="s">
        <v>27</v>
      </c>
      <c r="C950" s="3">
        <v>647</v>
      </c>
      <c r="D950" s="3">
        <v>1</v>
      </c>
      <c r="E950" s="3" t="s">
        <v>34</v>
      </c>
      <c r="F950" s="3" t="s">
        <v>35</v>
      </c>
      <c r="G950" s="3" t="str">
        <f>"2026-02-02 03:52:29.818"</f>
        <v>2026-02-02 03:52:29.818</v>
      </c>
      <c r="H950" s="3" t="s">
        <v>22</v>
      </c>
      <c r="I950" s="3">
        <v>21.75</v>
      </c>
      <c r="J950" s="3" t="s">
        <v>36</v>
      </c>
    </row>
    <row r="951" spans="1:10" s="3" customFormat="1" x14ac:dyDescent="0.25">
      <c r="A951" s="2">
        <v>2</v>
      </c>
      <c r="B951" s="3" t="s">
        <v>24</v>
      </c>
      <c r="C951" s="3">
        <v>647</v>
      </c>
      <c r="D951" s="3">
        <v>1</v>
      </c>
      <c r="E951" s="3" t="s">
        <v>34</v>
      </c>
      <c r="F951" s="3" t="s">
        <v>35</v>
      </c>
      <c r="G951" s="3" t="str">
        <f>"2026-02-01 23:14:38.618"</f>
        <v>2026-02-01 23:14:38.618</v>
      </c>
      <c r="H951" s="3" t="s">
        <v>22</v>
      </c>
    </row>
    <row r="952" spans="1:10" s="3" customFormat="1" x14ac:dyDescent="0.25">
      <c r="A952" s="2">
        <v>3</v>
      </c>
      <c r="B952" s="3" t="s">
        <v>27</v>
      </c>
      <c r="C952" s="3">
        <v>647</v>
      </c>
      <c r="D952" s="3">
        <v>1</v>
      </c>
      <c r="E952" s="3" t="s">
        <v>34</v>
      </c>
      <c r="F952" s="3" t="s">
        <v>35</v>
      </c>
      <c r="G952" s="3" t="str">
        <f>"2026-02-01 23:14:37.318"</f>
        <v>2026-02-01 23:14:37.318</v>
      </c>
      <c r="H952" s="3" t="s">
        <v>22</v>
      </c>
      <c r="I952" s="3">
        <v>25.82</v>
      </c>
      <c r="J952" s="3" t="s">
        <v>36</v>
      </c>
    </row>
    <row r="953" spans="1:10" s="3" customFormat="1" x14ac:dyDescent="0.25">
      <c r="A953" s="2">
        <v>4</v>
      </c>
      <c r="B953" s="3" t="s">
        <v>24</v>
      </c>
      <c r="C953" s="3">
        <v>647</v>
      </c>
      <c r="D953" s="3">
        <v>1</v>
      </c>
      <c r="E953" s="3" t="s">
        <v>34</v>
      </c>
      <c r="F953" s="3" t="s">
        <v>35</v>
      </c>
      <c r="G953" s="3" t="str">
        <f>"2026-02-01 19:47:49.818"</f>
        <v>2026-02-01 19:47:49.818</v>
      </c>
      <c r="H953" s="3" t="s">
        <v>22</v>
      </c>
    </row>
    <row r="954" spans="1:10" s="3" customFormat="1" x14ac:dyDescent="0.25">
      <c r="A954" s="2">
        <v>5</v>
      </c>
      <c r="B954" s="3" t="s">
        <v>27</v>
      </c>
      <c r="C954" s="3">
        <v>647</v>
      </c>
      <c r="D954" s="3">
        <v>1</v>
      </c>
      <c r="E954" s="3" t="s">
        <v>34</v>
      </c>
      <c r="F954" s="3" t="s">
        <v>35</v>
      </c>
      <c r="G954" s="3" t="str">
        <f>"2026-02-01 19:47:44.818"</f>
        <v>2026-02-01 19:47:44.818</v>
      </c>
      <c r="H954" s="3" t="s">
        <v>22</v>
      </c>
      <c r="I954" s="3">
        <v>8.42</v>
      </c>
      <c r="J954" s="3" t="s">
        <v>37</v>
      </c>
    </row>
    <row r="955" spans="1:10" x14ac:dyDescent="0.25">
      <c r="A955" s="1">
        <v>6</v>
      </c>
      <c r="B955" t="s">
        <v>24</v>
      </c>
      <c r="C955">
        <v>635</v>
      </c>
      <c r="D955">
        <v>1</v>
      </c>
      <c r="E955" t="s">
        <v>25</v>
      </c>
      <c r="F955" t="s">
        <v>26</v>
      </c>
      <c r="G955" t="str">
        <f>"2026-02-01 18:28:19.018"</f>
        <v>2026-02-01 18:28:19.018</v>
      </c>
      <c r="H955" t="s">
        <v>22</v>
      </c>
    </row>
    <row r="956" spans="1:10" x14ac:dyDescent="0.25">
      <c r="A956" s="1">
        <v>7</v>
      </c>
      <c r="B956" t="s">
        <v>27</v>
      </c>
      <c r="C956">
        <v>635</v>
      </c>
      <c r="D956">
        <v>1</v>
      </c>
      <c r="E956" t="s">
        <v>25</v>
      </c>
      <c r="F956" t="s">
        <v>26</v>
      </c>
      <c r="G956" t="str">
        <f>"2026-02-01 18:20:53.618"</f>
        <v>2026-02-01 18:20:53.618</v>
      </c>
      <c r="H956" t="s">
        <v>22</v>
      </c>
      <c r="I956">
        <v>4.32</v>
      </c>
      <c r="J956" t="s">
        <v>28</v>
      </c>
    </row>
    <row r="957" spans="1:10" s="3" customFormat="1" x14ac:dyDescent="0.25">
      <c r="A957" s="2">
        <v>8</v>
      </c>
      <c r="B957" s="3" t="s">
        <v>24</v>
      </c>
      <c r="C957" s="3">
        <v>647</v>
      </c>
      <c r="D957" s="3">
        <v>1</v>
      </c>
      <c r="E957" s="3" t="s">
        <v>34</v>
      </c>
      <c r="F957" s="3" t="s">
        <v>35</v>
      </c>
      <c r="G957" s="3" t="str">
        <f>"2026-02-01 06:00:58.818"</f>
        <v>2026-02-01 06:00:58.818</v>
      </c>
      <c r="H957" s="3" t="s">
        <v>22</v>
      </c>
    </row>
    <row r="958" spans="1:10" s="3" customFormat="1" x14ac:dyDescent="0.25">
      <c r="A958" s="2">
        <v>9</v>
      </c>
      <c r="B958" s="3" t="s">
        <v>27</v>
      </c>
      <c r="C958" s="3">
        <v>647</v>
      </c>
      <c r="D958" s="3">
        <v>1</v>
      </c>
      <c r="E958" s="3" t="s">
        <v>34</v>
      </c>
      <c r="F958" s="3" t="s">
        <v>35</v>
      </c>
      <c r="G958" s="3" t="str">
        <f>"2026-02-01 06:00:47.518"</f>
        <v>2026-02-01 06:00:47.518</v>
      </c>
      <c r="H958" s="3" t="s">
        <v>22</v>
      </c>
      <c r="I958" s="3">
        <v>11.67</v>
      </c>
      <c r="J958" s="3" t="s">
        <v>36</v>
      </c>
    </row>
    <row r="959" spans="1:10" s="3" customFormat="1" x14ac:dyDescent="0.25">
      <c r="A959" s="2">
        <v>10</v>
      </c>
      <c r="B959" s="3" t="s">
        <v>24</v>
      </c>
      <c r="C959" s="3">
        <v>647</v>
      </c>
      <c r="D959" s="3">
        <v>1</v>
      </c>
      <c r="E959" s="3" t="s">
        <v>34</v>
      </c>
      <c r="F959" s="3" t="s">
        <v>35</v>
      </c>
      <c r="G959" s="3" t="str">
        <f>"2026-02-01 03:59:32.018"</f>
        <v>2026-02-01 03:59:32.018</v>
      </c>
      <c r="H959" s="3" t="s">
        <v>22</v>
      </c>
    </row>
    <row r="960" spans="1:10" s="3" customFormat="1" x14ac:dyDescent="0.25">
      <c r="A960" s="2">
        <v>11</v>
      </c>
      <c r="B960" s="3" t="s">
        <v>27</v>
      </c>
      <c r="C960" s="3">
        <v>647</v>
      </c>
      <c r="D960" s="3">
        <v>1</v>
      </c>
      <c r="E960" s="3" t="s">
        <v>34</v>
      </c>
      <c r="F960" s="3" t="s">
        <v>35</v>
      </c>
      <c r="G960" s="3" t="str">
        <f>"2026-02-01 03:59:29.118"</f>
        <v>2026-02-01 03:59:29.118</v>
      </c>
      <c r="H960" s="3" t="s">
        <v>22</v>
      </c>
      <c r="I960" s="3">
        <v>9.23</v>
      </c>
      <c r="J960" s="3" t="s">
        <v>37</v>
      </c>
    </row>
    <row r="961" spans="1:10" s="3" customFormat="1" x14ac:dyDescent="0.25">
      <c r="A961" s="2">
        <v>12</v>
      </c>
      <c r="B961" s="3" t="s">
        <v>24</v>
      </c>
      <c r="C961" s="3">
        <v>647</v>
      </c>
      <c r="D961" s="3">
        <v>1</v>
      </c>
      <c r="E961" s="3" t="s">
        <v>34</v>
      </c>
      <c r="F961" s="3" t="s">
        <v>35</v>
      </c>
      <c r="G961" s="3" t="str">
        <f>"2026-02-01 02:55:35.318"</f>
        <v>2026-02-01 02:55:35.318</v>
      </c>
      <c r="H961" s="3" t="s">
        <v>22</v>
      </c>
    </row>
    <row r="962" spans="1:10" s="3" customFormat="1" x14ac:dyDescent="0.25">
      <c r="A962" s="2">
        <v>13</v>
      </c>
      <c r="B962" s="3" t="s">
        <v>27</v>
      </c>
      <c r="C962" s="3">
        <v>647</v>
      </c>
      <c r="D962" s="3">
        <v>1</v>
      </c>
      <c r="E962" s="3" t="s">
        <v>34</v>
      </c>
      <c r="F962" s="3" t="s">
        <v>35</v>
      </c>
      <c r="G962" s="3" t="str">
        <f>"2026-02-01 02:55:32.418"</f>
        <v>2026-02-01 02:55:32.418</v>
      </c>
      <c r="H962" s="3" t="s">
        <v>22</v>
      </c>
      <c r="I962" s="3">
        <v>21.64</v>
      </c>
      <c r="J962" s="3" t="s">
        <v>36</v>
      </c>
    </row>
    <row r="963" spans="1:10" s="3" customFormat="1" x14ac:dyDescent="0.25">
      <c r="A963" s="2">
        <v>14</v>
      </c>
      <c r="B963" s="3" t="s">
        <v>24</v>
      </c>
      <c r="C963" s="3">
        <v>647</v>
      </c>
      <c r="D963" s="3">
        <v>1</v>
      </c>
      <c r="E963" s="3" t="s">
        <v>34</v>
      </c>
      <c r="F963" s="3" t="s">
        <v>35</v>
      </c>
      <c r="G963" s="3" t="str">
        <f>"2026-02-01 02:51:48.518"</f>
        <v>2026-02-01 02:51:48.518</v>
      </c>
      <c r="H963" s="3" t="s">
        <v>22</v>
      </c>
    </row>
    <row r="964" spans="1:10" s="3" customFormat="1" x14ac:dyDescent="0.25">
      <c r="A964" s="2">
        <v>15</v>
      </c>
      <c r="B964" s="3" t="s">
        <v>27</v>
      </c>
      <c r="C964" s="3">
        <v>647</v>
      </c>
      <c r="D964" s="3">
        <v>1</v>
      </c>
      <c r="E964" s="3" t="s">
        <v>34</v>
      </c>
      <c r="F964" s="3" t="s">
        <v>35</v>
      </c>
      <c r="G964" s="3" t="str">
        <f>"2026-02-01 02:51:46.218"</f>
        <v>2026-02-01 02:51:46.218</v>
      </c>
      <c r="H964" s="3" t="s">
        <v>22</v>
      </c>
      <c r="I964" s="3">
        <v>25.98</v>
      </c>
      <c r="J964" s="3" t="s">
        <v>36</v>
      </c>
    </row>
    <row r="965" spans="1:10" s="3" customFormat="1" x14ac:dyDescent="0.25">
      <c r="A965" s="2">
        <v>16</v>
      </c>
      <c r="B965" s="3" t="s">
        <v>24</v>
      </c>
      <c r="C965" s="3">
        <v>647</v>
      </c>
      <c r="D965" s="3">
        <v>1</v>
      </c>
      <c r="E965" s="3" t="s">
        <v>34</v>
      </c>
      <c r="F965" s="3" t="s">
        <v>35</v>
      </c>
      <c r="G965" s="3" t="str">
        <f>"2026-02-01 02:11:05.018"</f>
        <v>2026-02-01 02:11:05.018</v>
      </c>
      <c r="H965" s="3" t="s">
        <v>22</v>
      </c>
    </row>
    <row r="966" spans="1:10" s="3" customFormat="1" x14ac:dyDescent="0.25">
      <c r="A966" s="2">
        <v>17</v>
      </c>
      <c r="B966" s="3" t="s">
        <v>27</v>
      </c>
      <c r="C966" s="3">
        <v>647</v>
      </c>
      <c r="D966" s="3">
        <v>1</v>
      </c>
      <c r="E966" s="3" t="s">
        <v>34</v>
      </c>
      <c r="F966" s="3" t="s">
        <v>35</v>
      </c>
      <c r="G966" s="3" t="str">
        <f>"2026-02-01 02:11:03.918"</f>
        <v>2026-02-01 02:11:03.918</v>
      </c>
      <c r="H966" s="3" t="s">
        <v>22</v>
      </c>
      <c r="I966" s="3">
        <v>15.68</v>
      </c>
      <c r="J966" s="3" t="s">
        <v>36</v>
      </c>
    </row>
    <row r="967" spans="1:10" s="3" customFormat="1" x14ac:dyDescent="0.25">
      <c r="A967" s="2">
        <v>18</v>
      </c>
      <c r="B967" s="3" t="s">
        <v>24</v>
      </c>
      <c r="C967" s="3">
        <v>647</v>
      </c>
      <c r="D967" s="3">
        <v>1</v>
      </c>
      <c r="E967" s="3" t="s">
        <v>34</v>
      </c>
      <c r="F967" s="3" t="s">
        <v>35</v>
      </c>
      <c r="G967" s="3" t="str">
        <f>"2026-02-01 02:09:55.018"</f>
        <v>2026-02-01 02:09:55.018</v>
      </c>
      <c r="H967" s="3" t="s">
        <v>22</v>
      </c>
    </row>
    <row r="968" spans="1:10" s="3" customFormat="1" x14ac:dyDescent="0.25">
      <c r="A968" s="2">
        <v>19</v>
      </c>
      <c r="B968" s="3" t="s">
        <v>27</v>
      </c>
      <c r="C968" s="3">
        <v>647</v>
      </c>
      <c r="D968" s="3">
        <v>1</v>
      </c>
      <c r="E968" s="3" t="s">
        <v>34</v>
      </c>
      <c r="F968" s="3" t="s">
        <v>35</v>
      </c>
      <c r="G968" s="3" t="str">
        <f>"2026-02-01 02:09:52.318"</f>
        <v>2026-02-01 02:09:52.318</v>
      </c>
      <c r="H968" s="3" t="s">
        <v>22</v>
      </c>
      <c r="I968" s="3">
        <v>22.14</v>
      </c>
      <c r="J968" s="3" t="s">
        <v>36</v>
      </c>
    </row>
    <row r="969" spans="1:10" s="3" customFormat="1" x14ac:dyDescent="0.25">
      <c r="A969" s="2">
        <v>20</v>
      </c>
      <c r="B969" s="3" t="s">
        <v>24</v>
      </c>
      <c r="C969" s="3">
        <v>647</v>
      </c>
      <c r="D969" s="3">
        <v>1</v>
      </c>
      <c r="E969" s="3" t="s">
        <v>34</v>
      </c>
      <c r="F969" s="3" t="s">
        <v>35</v>
      </c>
      <c r="G969" s="3" t="str">
        <f>"2026-02-01 01:20:40.318"</f>
        <v>2026-02-01 01:20:40.318</v>
      </c>
      <c r="H969" s="3" t="s">
        <v>22</v>
      </c>
    </row>
    <row r="970" spans="1:10" s="3" customFormat="1" x14ac:dyDescent="0.25">
      <c r="A970" s="2">
        <v>21</v>
      </c>
      <c r="B970" s="3" t="s">
        <v>27</v>
      </c>
      <c r="C970" s="3">
        <v>647</v>
      </c>
      <c r="D970" s="3">
        <v>1</v>
      </c>
      <c r="E970" s="3" t="s">
        <v>34</v>
      </c>
      <c r="F970" s="3" t="s">
        <v>35</v>
      </c>
      <c r="G970" s="3" t="str">
        <f>"2026-02-01 01:20:37.418"</f>
        <v>2026-02-01 01:20:37.418</v>
      </c>
      <c r="H970" s="3" t="s">
        <v>22</v>
      </c>
      <c r="I970" s="3">
        <v>9.2799999999999994</v>
      </c>
      <c r="J970" s="3" t="s">
        <v>37</v>
      </c>
    </row>
    <row r="971" spans="1:10" s="3" customFormat="1" x14ac:dyDescent="0.25">
      <c r="A971" s="2">
        <v>23</v>
      </c>
      <c r="B971" s="3" t="s">
        <v>24</v>
      </c>
      <c r="C971" s="3">
        <v>647</v>
      </c>
      <c r="D971" s="3">
        <v>1</v>
      </c>
      <c r="E971" s="3" t="s">
        <v>34</v>
      </c>
      <c r="F971" s="3" t="s">
        <v>35</v>
      </c>
      <c r="G971" s="3" t="str">
        <f>"2026-01-31 23:26:23.118"</f>
        <v>2026-01-31 23:26:23.118</v>
      </c>
      <c r="H971" s="3" t="s">
        <v>22</v>
      </c>
    </row>
    <row r="972" spans="1:10" s="3" customFormat="1" x14ac:dyDescent="0.25">
      <c r="A972" s="2">
        <v>24</v>
      </c>
      <c r="B972" s="3" t="s">
        <v>27</v>
      </c>
      <c r="C972" s="3">
        <v>647</v>
      </c>
      <c r="D972" s="3">
        <v>1</v>
      </c>
      <c r="E972" s="3" t="s">
        <v>34</v>
      </c>
      <c r="F972" s="3" t="s">
        <v>35</v>
      </c>
      <c r="G972" s="3" t="str">
        <f>"2026-01-31 23:26:17.818"</f>
        <v>2026-01-31 23:26:17.818</v>
      </c>
      <c r="H972" s="3" t="s">
        <v>22</v>
      </c>
      <c r="I972" s="3">
        <v>8.68</v>
      </c>
      <c r="J972" s="3" t="s">
        <v>37</v>
      </c>
    </row>
    <row r="973" spans="1:10" s="3" customFormat="1" x14ac:dyDescent="0.25">
      <c r="A973" s="2">
        <v>25</v>
      </c>
      <c r="B973" s="3" t="s">
        <v>24</v>
      </c>
      <c r="C973" s="3">
        <v>647</v>
      </c>
      <c r="D973" s="3">
        <v>1</v>
      </c>
      <c r="E973" s="3" t="s">
        <v>34</v>
      </c>
      <c r="F973" s="3" t="s">
        <v>35</v>
      </c>
      <c r="G973" s="3" t="str">
        <f>"2026-01-31 22:33:30.818"</f>
        <v>2026-01-31 22:33:30.818</v>
      </c>
      <c r="H973" s="3" t="s">
        <v>22</v>
      </c>
    </row>
    <row r="974" spans="1:10" s="3" customFormat="1" x14ac:dyDescent="0.25">
      <c r="A974" s="2">
        <v>26</v>
      </c>
      <c r="B974" s="3" t="s">
        <v>27</v>
      </c>
      <c r="C974" s="3">
        <v>647</v>
      </c>
      <c r="D974" s="3">
        <v>1</v>
      </c>
      <c r="E974" s="3" t="s">
        <v>34</v>
      </c>
      <c r="F974" s="3" t="s">
        <v>35</v>
      </c>
      <c r="G974" s="3" t="str">
        <f>"2026-01-31 22:33:25.718"</f>
        <v>2026-01-31 22:33:25.718</v>
      </c>
      <c r="H974" s="3" t="s">
        <v>22</v>
      </c>
      <c r="I974" s="3">
        <v>23.77</v>
      </c>
      <c r="J974" s="3" t="s">
        <v>36</v>
      </c>
    </row>
    <row r="975" spans="1:10" s="3" customFormat="1" x14ac:dyDescent="0.25">
      <c r="A975" s="2">
        <v>27</v>
      </c>
      <c r="B975" s="3" t="s">
        <v>24</v>
      </c>
      <c r="C975" s="3">
        <v>647</v>
      </c>
      <c r="D975" s="3">
        <v>1</v>
      </c>
      <c r="E975" s="3" t="s">
        <v>34</v>
      </c>
      <c r="F975" s="3" t="s">
        <v>35</v>
      </c>
      <c r="G975" s="3" t="str">
        <f>"2026-01-31 20:49:55.018"</f>
        <v>2026-01-31 20:49:55.018</v>
      </c>
      <c r="H975" s="3" t="s">
        <v>22</v>
      </c>
    </row>
    <row r="976" spans="1:10" s="3" customFormat="1" x14ac:dyDescent="0.25">
      <c r="A976" s="2">
        <v>28</v>
      </c>
      <c r="B976" s="3" t="s">
        <v>27</v>
      </c>
      <c r="C976" s="3">
        <v>647</v>
      </c>
      <c r="D976" s="3">
        <v>1</v>
      </c>
      <c r="E976" s="3" t="s">
        <v>34</v>
      </c>
      <c r="F976" s="3" t="s">
        <v>35</v>
      </c>
      <c r="G976" s="3" t="str">
        <f>"2026-01-31 20:49:53.518"</f>
        <v>2026-01-31 20:49:53.518</v>
      </c>
      <c r="H976" s="3" t="s">
        <v>22</v>
      </c>
      <c r="I976" s="3">
        <v>20.149999999999999</v>
      </c>
      <c r="J976" s="3" t="s">
        <v>36</v>
      </c>
    </row>
    <row r="977" spans="1:10" s="3" customFormat="1" x14ac:dyDescent="0.25">
      <c r="A977" s="2">
        <v>29</v>
      </c>
      <c r="B977" s="3" t="s">
        <v>24</v>
      </c>
      <c r="C977" s="3">
        <v>647</v>
      </c>
      <c r="D977" s="3">
        <v>1</v>
      </c>
      <c r="E977" s="3" t="s">
        <v>34</v>
      </c>
      <c r="F977" s="3" t="s">
        <v>35</v>
      </c>
      <c r="G977" s="3" t="str">
        <f>"2026-01-31 20:18:03.118"</f>
        <v>2026-01-31 20:18:03.118</v>
      </c>
      <c r="H977" s="3" t="s">
        <v>22</v>
      </c>
    </row>
    <row r="978" spans="1:10" s="3" customFormat="1" x14ac:dyDescent="0.25">
      <c r="A978" s="2">
        <v>30</v>
      </c>
      <c r="B978" s="3" t="s">
        <v>27</v>
      </c>
      <c r="C978" s="3">
        <v>647</v>
      </c>
      <c r="D978" s="3">
        <v>1</v>
      </c>
      <c r="E978" s="3" t="s">
        <v>34</v>
      </c>
      <c r="F978" s="3" t="s">
        <v>35</v>
      </c>
      <c r="G978" s="3" t="str">
        <f>"2026-01-31 20:18:01.419"</f>
        <v>2026-01-31 20:18:01.419</v>
      </c>
      <c r="H978" s="3" t="s">
        <v>22</v>
      </c>
      <c r="I978" s="3">
        <v>20.329999999999998</v>
      </c>
      <c r="J978" s="3" t="s">
        <v>36</v>
      </c>
    </row>
    <row r="979" spans="1:10" x14ac:dyDescent="0.25">
      <c r="A979" s="1">
        <v>31</v>
      </c>
      <c r="B979" t="s">
        <v>19</v>
      </c>
      <c r="C979">
        <v>700</v>
      </c>
      <c r="D979">
        <v>0</v>
      </c>
      <c r="E979" t="s">
        <v>33</v>
      </c>
      <c r="F979" t="s">
        <v>33</v>
      </c>
      <c r="G979" t="str">
        <f>"2026-01-31 08:27:20.701"</f>
        <v>2026-01-31 08:27:20.701</v>
      </c>
      <c r="H979" t="s">
        <v>22</v>
      </c>
    </row>
    <row r="980" spans="1:10" s="3" customFormat="1" x14ac:dyDescent="0.25">
      <c r="A980" s="2">
        <v>33</v>
      </c>
      <c r="B980" s="3" t="s">
        <v>24</v>
      </c>
      <c r="C980" s="3">
        <v>647</v>
      </c>
      <c r="D980" s="3">
        <v>1</v>
      </c>
      <c r="E980" s="3" t="s">
        <v>34</v>
      </c>
      <c r="F980" s="3" t="s">
        <v>35</v>
      </c>
      <c r="G980" s="3" t="str">
        <f>"2026-01-30 20:53:01.364"</f>
        <v>2026-01-30 20:53:01.364</v>
      </c>
      <c r="H980" s="3" t="s">
        <v>22</v>
      </c>
    </row>
    <row r="981" spans="1:10" s="3" customFormat="1" x14ac:dyDescent="0.25">
      <c r="A981" s="2">
        <v>34</v>
      </c>
      <c r="B981" s="3" t="s">
        <v>27</v>
      </c>
      <c r="C981" s="3">
        <v>647</v>
      </c>
      <c r="D981" s="3">
        <v>1</v>
      </c>
      <c r="E981" s="3" t="s">
        <v>34</v>
      </c>
      <c r="F981" s="3" t="s">
        <v>35</v>
      </c>
      <c r="G981" s="3" t="str">
        <f>"2026-01-30 20:52:59.264"</f>
        <v>2026-01-30 20:52:59.264</v>
      </c>
      <c r="H981" s="3" t="s">
        <v>22</v>
      </c>
      <c r="I981" s="3">
        <v>16.559999999999999</v>
      </c>
      <c r="J981" s="3" t="s">
        <v>37</v>
      </c>
    </row>
    <row r="982" spans="1:10" x14ac:dyDescent="0.25">
      <c r="A982" s="1">
        <v>35</v>
      </c>
      <c r="B982" t="s">
        <v>19</v>
      </c>
      <c r="C982">
        <v>706</v>
      </c>
      <c r="D982">
        <v>4</v>
      </c>
      <c r="E982" t="s">
        <v>20</v>
      </c>
      <c r="F982" t="s">
        <v>40</v>
      </c>
      <c r="G982" t="str">
        <f>"2026-01-30 05:34:09.492"</f>
        <v>2026-01-30 05:34:09.492</v>
      </c>
      <c r="H982" t="s">
        <v>22</v>
      </c>
      <c r="I982">
        <v>0</v>
      </c>
      <c r="J982" t="s">
        <v>23</v>
      </c>
    </row>
    <row r="983" spans="1:10" s="3" customFormat="1" x14ac:dyDescent="0.25">
      <c r="A983" s="2">
        <v>36</v>
      </c>
      <c r="B983" s="3" t="s">
        <v>24</v>
      </c>
      <c r="C983" s="3">
        <v>647</v>
      </c>
      <c r="D983" s="3">
        <v>1</v>
      </c>
      <c r="E983" s="3" t="s">
        <v>34</v>
      </c>
      <c r="F983" s="3" t="s">
        <v>35</v>
      </c>
      <c r="G983" s="3" t="str">
        <f>"2026-01-30 05:18:44.164"</f>
        <v>2026-01-30 05:18:44.164</v>
      </c>
      <c r="H983" s="3" t="s">
        <v>22</v>
      </c>
    </row>
    <row r="984" spans="1:10" s="3" customFormat="1" x14ac:dyDescent="0.25">
      <c r="A984" s="2">
        <v>37</v>
      </c>
      <c r="B984" s="3" t="s">
        <v>27</v>
      </c>
      <c r="C984" s="3">
        <v>647</v>
      </c>
      <c r="D984" s="3">
        <v>1</v>
      </c>
      <c r="E984" s="3" t="s">
        <v>34</v>
      </c>
      <c r="F984" s="3" t="s">
        <v>35</v>
      </c>
      <c r="G984" s="3" t="str">
        <f>"2026-01-30 05:18:41.664"</f>
        <v>2026-01-30 05:18:41.664</v>
      </c>
      <c r="H984" s="3" t="s">
        <v>22</v>
      </c>
      <c r="I984" s="3">
        <v>8.77</v>
      </c>
      <c r="J984" s="3" t="s">
        <v>36</v>
      </c>
    </row>
    <row r="985" spans="1:10" s="3" customFormat="1" x14ac:dyDescent="0.25">
      <c r="A985" s="2">
        <v>38</v>
      </c>
      <c r="B985" s="3" t="s">
        <v>24</v>
      </c>
      <c r="C985" s="3">
        <v>647</v>
      </c>
      <c r="D985" s="3">
        <v>1</v>
      </c>
      <c r="E985" s="3" t="s">
        <v>34</v>
      </c>
      <c r="F985" s="3" t="s">
        <v>35</v>
      </c>
      <c r="G985" s="3" t="str">
        <f>"2026-01-29 23:35:29.064"</f>
        <v>2026-01-29 23:35:29.064</v>
      </c>
      <c r="H985" s="3" t="s">
        <v>22</v>
      </c>
    </row>
    <row r="986" spans="1:10" s="3" customFormat="1" x14ac:dyDescent="0.25">
      <c r="A986" s="2">
        <v>39</v>
      </c>
      <c r="B986" s="3" t="s">
        <v>27</v>
      </c>
      <c r="C986" s="3">
        <v>647</v>
      </c>
      <c r="D986" s="3">
        <v>1</v>
      </c>
      <c r="E986" s="3" t="s">
        <v>34</v>
      </c>
      <c r="F986" s="3" t="s">
        <v>35</v>
      </c>
      <c r="G986" s="3" t="str">
        <f>"2026-01-29 23:35:25.564"</f>
        <v>2026-01-29 23:35:25.564</v>
      </c>
      <c r="H986" s="3" t="s">
        <v>22</v>
      </c>
      <c r="I986" s="3">
        <v>16.29</v>
      </c>
      <c r="J986" s="3" t="s">
        <v>36</v>
      </c>
    </row>
    <row r="987" spans="1:10" s="3" customFormat="1" x14ac:dyDescent="0.25">
      <c r="A987" s="2">
        <v>40</v>
      </c>
      <c r="B987" s="3" t="s">
        <v>24</v>
      </c>
      <c r="C987" s="3">
        <v>647</v>
      </c>
      <c r="D987" s="3">
        <v>1</v>
      </c>
      <c r="E987" s="3" t="s">
        <v>34</v>
      </c>
      <c r="F987" s="3" t="s">
        <v>35</v>
      </c>
      <c r="G987" s="3" t="str">
        <f>"2026-01-29 22:40:40.764"</f>
        <v>2026-01-29 22:40:40.764</v>
      </c>
      <c r="H987" s="3" t="s">
        <v>22</v>
      </c>
    </row>
    <row r="988" spans="1:10" s="3" customFormat="1" x14ac:dyDescent="0.25">
      <c r="A988" s="2">
        <v>41</v>
      </c>
      <c r="B988" s="3" t="s">
        <v>27</v>
      </c>
      <c r="C988" s="3">
        <v>647</v>
      </c>
      <c r="D988" s="3">
        <v>1</v>
      </c>
      <c r="E988" s="3" t="s">
        <v>34</v>
      </c>
      <c r="F988" s="3" t="s">
        <v>35</v>
      </c>
      <c r="G988" s="3" t="str">
        <f>"2026-01-29 22:40:38.064"</f>
        <v>2026-01-29 22:40:38.064</v>
      </c>
      <c r="H988" s="3" t="s">
        <v>22</v>
      </c>
      <c r="I988" s="3">
        <v>9.93</v>
      </c>
      <c r="J988" s="3" t="s">
        <v>36</v>
      </c>
    </row>
    <row r="989" spans="1:10" s="3" customFormat="1" x14ac:dyDescent="0.25">
      <c r="A989" s="2">
        <v>43</v>
      </c>
      <c r="B989" s="3" t="s">
        <v>24</v>
      </c>
      <c r="C989" s="3">
        <v>647</v>
      </c>
      <c r="D989" s="3">
        <v>1</v>
      </c>
      <c r="E989" s="3" t="s">
        <v>34</v>
      </c>
      <c r="F989" s="3" t="s">
        <v>35</v>
      </c>
      <c r="G989" s="3" t="str">
        <f>"2026-01-29 04:24:38.264"</f>
        <v>2026-01-29 04:24:38.264</v>
      </c>
      <c r="H989" s="3" t="s">
        <v>22</v>
      </c>
    </row>
    <row r="990" spans="1:10" s="3" customFormat="1" x14ac:dyDescent="0.25">
      <c r="A990" s="2">
        <v>44</v>
      </c>
      <c r="B990" s="3" t="s">
        <v>27</v>
      </c>
      <c r="C990" s="3">
        <v>647</v>
      </c>
      <c r="D990" s="3">
        <v>1</v>
      </c>
      <c r="E990" s="3" t="s">
        <v>34</v>
      </c>
      <c r="F990" s="3" t="s">
        <v>35</v>
      </c>
      <c r="G990" s="3" t="str">
        <f>"2026-01-29 04:24:35.964"</f>
        <v>2026-01-29 04:24:35.964</v>
      </c>
      <c r="H990" s="3" t="s">
        <v>22</v>
      </c>
      <c r="I990" s="3">
        <v>19.71</v>
      </c>
      <c r="J990" s="3" t="s">
        <v>36</v>
      </c>
    </row>
    <row r="991" spans="1:10" x14ac:dyDescent="0.25">
      <c r="A991" s="1">
        <v>45</v>
      </c>
      <c r="B991" t="s">
        <v>19</v>
      </c>
      <c r="C991">
        <v>700</v>
      </c>
      <c r="D991">
        <v>0</v>
      </c>
      <c r="E991" t="s">
        <v>33</v>
      </c>
      <c r="F991" t="s">
        <v>33</v>
      </c>
      <c r="G991" t="str">
        <f>"2026-01-29 02:07:02.452"</f>
        <v>2026-01-29 02:07:02.452</v>
      </c>
      <c r="H991" t="s">
        <v>22</v>
      </c>
      <c r="I991">
        <v>0</v>
      </c>
      <c r="J991" t="s">
        <v>41</v>
      </c>
    </row>
    <row r="992" spans="1:10" x14ac:dyDescent="0.25">
      <c r="A992" s="1">
        <v>46</v>
      </c>
      <c r="B992" t="s">
        <v>24</v>
      </c>
      <c r="C992">
        <v>49</v>
      </c>
      <c r="D992">
        <v>1</v>
      </c>
      <c r="E992" t="s">
        <v>66</v>
      </c>
      <c r="F992" t="s">
        <v>67</v>
      </c>
      <c r="G992" t="str">
        <f>"2026-01-29 02:00:41.304"</f>
        <v>2026-01-29 02:00:41.304</v>
      </c>
      <c r="H992" t="s">
        <v>68</v>
      </c>
    </row>
    <row r="993" spans="1:10" x14ac:dyDescent="0.25">
      <c r="A993" s="1">
        <v>48</v>
      </c>
      <c r="B993" t="s">
        <v>19</v>
      </c>
      <c r="C993">
        <v>700</v>
      </c>
      <c r="D993">
        <v>0</v>
      </c>
      <c r="E993" t="s">
        <v>33</v>
      </c>
      <c r="F993" t="s">
        <v>33</v>
      </c>
      <c r="G993" t="str">
        <f>"2026-01-29 02:00:11.492"</f>
        <v>2026-01-29 02:00:11.492</v>
      </c>
      <c r="H993" t="s">
        <v>22</v>
      </c>
    </row>
    <row r="994" spans="1:10" x14ac:dyDescent="0.25">
      <c r="A994" s="1">
        <v>49</v>
      </c>
      <c r="B994" t="s">
        <v>32</v>
      </c>
      <c r="C994">
        <v>47</v>
      </c>
      <c r="D994">
        <v>2</v>
      </c>
      <c r="E994" t="s">
        <v>70</v>
      </c>
      <c r="F994" t="s">
        <v>71</v>
      </c>
      <c r="G994" t="str">
        <f>"2026-01-29 01:54:20.458"</f>
        <v>2026-01-29 01:54:20.458</v>
      </c>
      <c r="H994" t="s">
        <v>64</v>
      </c>
      <c r="I994">
        <v>0</v>
      </c>
      <c r="J994" t="s">
        <v>37</v>
      </c>
    </row>
    <row r="995" spans="1:10" x14ac:dyDescent="0.25">
      <c r="A995" s="1">
        <v>50</v>
      </c>
      <c r="B995" t="s">
        <v>24</v>
      </c>
      <c r="C995">
        <v>4</v>
      </c>
      <c r="D995">
        <v>1</v>
      </c>
      <c r="E995" t="s">
        <v>97</v>
      </c>
      <c r="F995" t="s">
        <v>98</v>
      </c>
      <c r="G995" t="str">
        <f>"2026-01-29 01:46:43.796"</f>
        <v>2026-01-29 01:46:43.796</v>
      </c>
      <c r="H995" t="s">
        <v>99</v>
      </c>
    </row>
    <row r="996" spans="1:10" x14ac:dyDescent="0.25">
      <c r="A996" s="1">
        <v>51</v>
      </c>
      <c r="B996" t="s">
        <v>27</v>
      </c>
      <c r="C996">
        <v>4</v>
      </c>
      <c r="D996">
        <v>1</v>
      </c>
      <c r="E996" t="s">
        <v>97</v>
      </c>
      <c r="F996" t="s">
        <v>98</v>
      </c>
      <c r="G996" t="str">
        <f>"2026-01-29 01:46:29.396"</f>
        <v>2026-01-29 01:46:29.396</v>
      </c>
      <c r="H996" t="s">
        <v>99</v>
      </c>
      <c r="I996">
        <v>0</v>
      </c>
      <c r="J996" t="s">
        <v>23</v>
      </c>
    </row>
    <row r="997" spans="1:10" x14ac:dyDescent="0.25">
      <c r="A997" s="1">
        <v>54</v>
      </c>
      <c r="B997" t="s">
        <v>19</v>
      </c>
      <c r="C997">
        <v>706</v>
      </c>
      <c r="D997">
        <v>4</v>
      </c>
      <c r="E997" t="s">
        <v>20</v>
      </c>
      <c r="F997" t="s">
        <v>40</v>
      </c>
      <c r="G997" t="str">
        <f>"2026-01-29 01:45:23.057"</f>
        <v>2026-01-29 01:45:23.057</v>
      </c>
      <c r="H997" t="s">
        <v>22</v>
      </c>
      <c r="I997">
        <v>0</v>
      </c>
      <c r="J997" t="s">
        <v>23</v>
      </c>
    </row>
    <row r="998" spans="1:10" x14ac:dyDescent="0.25">
      <c r="A998" s="1">
        <v>55</v>
      </c>
      <c r="B998" t="s">
        <v>19</v>
      </c>
      <c r="C998">
        <v>700</v>
      </c>
      <c r="D998">
        <v>0</v>
      </c>
      <c r="E998" t="s">
        <v>33</v>
      </c>
      <c r="F998" t="s">
        <v>33</v>
      </c>
      <c r="G998" t="str">
        <f>"2026-01-29 01:45:08.457"</f>
        <v>2026-01-29 01:45:08.457</v>
      </c>
      <c r="H998" t="s">
        <v>22</v>
      </c>
      <c r="I998">
        <v>0</v>
      </c>
      <c r="J998" t="s">
        <v>41</v>
      </c>
    </row>
    <row r="999" spans="1:10" x14ac:dyDescent="0.25">
      <c r="A999" s="1">
        <v>56</v>
      </c>
      <c r="B999" t="s">
        <v>32</v>
      </c>
      <c r="C999">
        <v>47</v>
      </c>
      <c r="D999">
        <v>2</v>
      </c>
      <c r="E999" t="s">
        <v>70</v>
      </c>
      <c r="F999" t="s">
        <v>71</v>
      </c>
      <c r="G999" t="str">
        <f>"2026-01-29 00:47:17.234"</f>
        <v>2026-01-29 00:47:17.234</v>
      </c>
      <c r="H999" t="s">
        <v>64</v>
      </c>
      <c r="I999">
        <v>0</v>
      </c>
      <c r="J999" t="s">
        <v>69</v>
      </c>
    </row>
    <row r="1000" spans="1:10" x14ac:dyDescent="0.25">
      <c r="A1000" s="1">
        <v>57</v>
      </c>
      <c r="B1000" t="s">
        <v>19</v>
      </c>
      <c r="C1000">
        <v>700</v>
      </c>
      <c r="D1000">
        <v>0</v>
      </c>
      <c r="E1000" t="s">
        <v>33</v>
      </c>
      <c r="F1000" t="s">
        <v>33</v>
      </c>
      <c r="G1000" t="str">
        <f>"2026-01-29 00:46:43.452"</f>
        <v>2026-01-29 00:46:43.452</v>
      </c>
      <c r="H1000" t="s">
        <v>22</v>
      </c>
      <c r="I1000">
        <v>0</v>
      </c>
      <c r="J1000" t="s">
        <v>41</v>
      </c>
    </row>
    <row r="1001" spans="1:10" x14ac:dyDescent="0.25">
      <c r="A1001" s="1">
        <v>58</v>
      </c>
      <c r="B1001" t="s">
        <v>32</v>
      </c>
      <c r="C1001">
        <v>47</v>
      </c>
      <c r="D1001">
        <v>2</v>
      </c>
      <c r="E1001" t="s">
        <v>70</v>
      </c>
      <c r="F1001" t="s">
        <v>71</v>
      </c>
      <c r="G1001" t="str">
        <f>"2026-01-28 23:14:41.424"</f>
        <v>2026-01-28 23:14:41.424</v>
      </c>
      <c r="H1001" t="s">
        <v>64</v>
      </c>
      <c r="I1001">
        <v>0</v>
      </c>
      <c r="J1001" t="s">
        <v>37</v>
      </c>
    </row>
    <row r="1002" spans="1:10" x14ac:dyDescent="0.25">
      <c r="A1002" s="1">
        <v>61</v>
      </c>
      <c r="B1002" t="s">
        <v>27</v>
      </c>
      <c r="C1002">
        <v>49</v>
      </c>
      <c r="D1002">
        <v>1</v>
      </c>
      <c r="E1002" t="s">
        <v>66</v>
      </c>
      <c r="F1002" t="s">
        <v>67</v>
      </c>
      <c r="G1002" t="str">
        <f>"2026-01-28 23:13:45.039"</f>
        <v>2026-01-28 23:13:45.039</v>
      </c>
      <c r="H1002" t="s">
        <v>68</v>
      </c>
      <c r="I1002">
        <v>0</v>
      </c>
      <c r="J1002" t="s">
        <v>37</v>
      </c>
    </row>
    <row r="1003" spans="1:10" x14ac:dyDescent="0.25">
      <c r="A1003" s="1">
        <v>63</v>
      </c>
      <c r="B1003" t="s">
        <v>19</v>
      </c>
      <c r="C1003">
        <v>782</v>
      </c>
      <c r="D1003">
        <v>7</v>
      </c>
      <c r="E1003" t="s">
        <v>43</v>
      </c>
      <c r="F1003" t="s">
        <v>44</v>
      </c>
      <c r="G1003" t="str">
        <f>"2026-01-28 23:13:45.032"</f>
        <v>2026-01-28 23:13:45.032</v>
      </c>
      <c r="H1003" t="s">
        <v>22</v>
      </c>
      <c r="I1003">
        <v>0</v>
      </c>
      <c r="J1003" t="s">
        <v>37</v>
      </c>
    </row>
    <row r="1004" spans="1:10" x14ac:dyDescent="0.25">
      <c r="A1004" s="1">
        <v>67</v>
      </c>
      <c r="B1004" t="s">
        <v>24</v>
      </c>
      <c r="C1004">
        <v>49</v>
      </c>
      <c r="D1004">
        <v>1</v>
      </c>
      <c r="E1004" t="s">
        <v>66</v>
      </c>
      <c r="F1004" t="s">
        <v>67</v>
      </c>
      <c r="G1004" t="str">
        <f>"2026-01-28 23:13:45.025"</f>
        <v>2026-01-28 23:13:45.025</v>
      </c>
      <c r="H1004" t="s">
        <v>68</v>
      </c>
    </row>
    <row r="1005" spans="1:10" x14ac:dyDescent="0.25">
      <c r="A1005" s="1">
        <v>68</v>
      </c>
      <c r="B1005" t="s">
        <v>19</v>
      </c>
      <c r="C1005">
        <v>782</v>
      </c>
      <c r="D1005">
        <v>7</v>
      </c>
      <c r="E1005" t="s">
        <v>43</v>
      </c>
      <c r="F1005" t="s">
        <v>44</v>
      </c>
      <c r="G1005" t="str">
        <f>"2026-01-28 23:13:45.024"</f>
        <v>2026-01-28 23:13:45.024</v>
      </c>
      <c r="H1005" t="s">
        <v>22</v>
      </c>
      <c r="I1005">
        <v>0</v>
      </c>
      <c r="J1005" t="s">
        <v>37</v>
      </c>
    </row>
    <row r="1006" spans="1:10" x14ac:dyDescent="0.25">
      <c r="A1006" s="1">
        <v>71</v>
      </c>
      <c r="B1006" t="s">
        <v>27</v>
      </c>
      <c r="C1006">
        <v>49</v>
      </c>
      <c r="D1006">
        <v>1</v>
      </c>
      <c r="E1006" t="s">
        <v>66</v>
      </c>
      <c r="F1006" t="s">
        <v>67</v>
      </c>
      <c r="G1006" t="str">
        <f>"2026-01-28 23:13:37.637"</f>
        <v>2026-01-28 23:13:37.637</v>
      </c>
      <c r="H1006" t="s">
        <v>68</v>
      </c>
      <c r="I1006">
        <v>0</v>
      </c>
      <c r="J1006" t="s">
        <v>37</v>
      </c>
    </row>
    <row r="1007" spans="1:10" x14ac:dyDescent="0.25">
      <c r="A1007" s="1">
        <v>73</v>
      </c>
      <c r="B1007" t="s">
        <v>19</v>
      </c>
      <c r="C1007">
        <v>782</v>
      </c>
      <c r="D1007">
        <v>7</v>
      </c>
      <c r="E1007" t="s">
        <v>43</v>
      </c>
      <c r="F1007" t="s">
        <v>44</v>
      </c>
      <c r="G1007" t="str">
        <f>"2026-01-28 23:13:37.633"</f>
        <v>2026-01-28 23:13:37.633</v>
      </c>
      <c r="H1007" t="s">
        <v>22</v>
      </c>
      <c r="I1007">
        <v>0</v>
      </c>
      <c r="J1007" t="s">
        <v>37</v>
      </c>
    </row>
    <row r="1008" spans="1:10" x14ac:dyDescent="0.25">
      <c r="A1008" s="1">
        <v>77</v>
      </c>
      <c r="B1008" t="s">
        <v>24</v>
      </c>
      <c r="C1008">
        <v>49</v>
      </c>
      <c r="D1008">
        <v>1</v>
      </c>
      <c r="E1008" t="s">
        <v>66</v>
      </c>
      <c r="F1008" t="s">
        <v>67</v>
      </c>
      <c r="G1008" t="str">
        <f>"2026-01-28 23:13:37.625"</f>
        <v>2026-01-28 23:13:37.625</v>
      </c>
      <c r="H1008" t="s">
        <v>68</v>
      </c>
    </row>
    <row r="1009" spans="1:10" x14ac:dyDescent="0.25">
      <c r="A1009" s="1">
        <v>78</v>
      </c>
      <c r="B1009" t="s">
        <v>19</v>
      </c>
      <c r="C1009">
        <v>782</v>
      </c>
      <c r="D1009">
        <v>7</v>
      </c>
      <c r="E1009" t="s">
        <v>43</v>
      </c>
      <c r="F1009" t="s">
        <v>44</v>
      </c>
      <c r="G1009" t="str">
        <f>"2026-01-28 23:13:37.624"</f>
        <v>2026-01-28 23:13:37.624</v>
      </c>
      <c r="H1009" t="s">
        <v>22</v>
      </c>
      <c r="I1009">
        <v>0</v>
      </c>
      <c r="J1009" t="s">
        <v>37</v>
      </c>
    </row>
    <row r="1010" spans="1:10" x14ac:dyDescent="0.25">
      <c r="A1010" s="1">
        <v>79</v>
      </c>
      <c r="B1010" t="s">
        <v>27</v>
      </c>
      <c r="C1010">
        <v>49</v>
      </c>
      <c r="D1010">
        <v>1</v>
      </c>
      <c r="E1010" t="s">
        <v>66</v>
      </c>
      <c r="F1010" t="s">
        <v>67</v>
      </c>
      <c r="G1010" t="str">
        <f>"2026-01-28 23:13:02.225"</f>
        <v>2026-01-28 23:13:02.225</v>
      </c>
      <c r="H1010" t="s">
        <v>68</v>
      </c>
      <c r="I1010">
        <v>0</v>
      </c>
      <c r="J1010" t="s">
        <v>37</v>
      </c>
    </row>
    <row r="1011" spans="1:10" x14ac:dyDescent="0.25">
      <c r="A1011" s="1">
        <v>81</v>
      </c>
      <c r="B1011" t="s">
        <v>19</v>
      </c>
      <c r="C1011">
        <v>706</v>
      </c>
      <c r="D1011">
        <v>4</v>
      </c>
      <c r="E1011" t="s">
        <v>20</v>
      </c>
      <c r="F1011" t="s">
        <v>40</v>
      </c>
      <c r="G1011" t="str">
        <f>"2026-01-28 23:12:06.354"</f>
        <v>2026-01-28 23:12:06.354</v>
      </c>
      <c r="H1011" t="s">
        <v>22</v>
      </c>
      <c r="I1011">
        <v>0</v>
      </c>
      <c r="J1011" t="s">
        <v>23</v>
      </c>
    </row>
    <row r="1012" spans="1:10" x14ac:dyDescent="0.25">
      <c r="A1012" s="1">
        <v>83</v>
      </c>
      <c r="B1012" t="s">
        <v>19</v>
      </c>
      <c r="C1012">
        <v>706</v>
      </c>
      <c r="D1012">
        <v>3</v>
      </c>
      <c r="E1012" t="s">
        <v>20</v>
      </c>
      <c r="F1012" t="s">
        <v>42</v>
      </c>
      <c r="G1012" t="str">
        <f>"2026-01-28 23:11:57.034"</f>
        <v>2026-01-28 23:11:57.034</v>
      </c>
      <c r="H1012" t="s">
        <v>22</v>
      </c>
      <c r="I1012">
        <v>0</v>
      </c>
      <c r="J1012" t="s">
        <v>69</v>
      </c>
    </row>
    <row r="1013" spans="1:10" x14ac:dyDescent="0.25">
      <c r="A1013" s="1">
        <v>84</v>
      </c>
      <c r="B1013" t="s">
        <v>19</v>
      </c>
      <c r="C1013">
        <v>700</v>
      </c>
      <c r="D1013">
        <v>0</v>
      </c>
      <c r="E1013" t="s">
        <v>33</v>
      </c>
      <c r="F1013" t="s">
        <v>33</v>
      </c>
      <c r="G1013" t="str">
        <f>"2026-01-28 23:11:20.434"</f>
        <v>2026-01-28 23:11:20.434</v>
      </c>
      <c r="H1013" t="s">
        <v>22</v>
      </c>
      <c r="I1013">
        <v>0</v>
      </c>
      <c r="J1013" t="s">
        <v>41</v>
      </c>
    </row>
    <row r="1014" spans="1:10" x14ac:dyDescent="0.25">
      <c r="A1014" s="1">
        <v>85</v>
      </c>
      <c r="B1014" t="s">
        <v>19</v>
      </c>
      <c r="C1014">
        <v>700</v>
      </c>
      <c r="D1014">
        <v>0</v>
      </c>
      <c r="E1014" t="s">
        <v>33</v>
      </c>
      <c r="F1014" t="s">
        <v>33</v>
      </c>
      <c r="G1014" t="str">
        <f>"2026-01-28 22:50:19.444"</f>
        <v>2026-01-28 22:50:19.444</v>
      </c>
      <c r="H1014" t="s">
        <v>22</v>
      </c>
      <c r="I1014">
        <v>0</v>
      </c>
      <c r="J1014" t="s">
        <v>41</v>
      </c>
    </row>
    <row r="1015" spans="1:10" x14ac:dyDescent="0.25">
      <c r="A1015" s="1">
        <v>86</v>
      </c>
      <c r="B1015" t="s">
        <v>19</v>
      </c>
      <c r="C1015">
        <v>700</v>
      </c>
      <c r="D1015">
        <v>0</v>
      </c>
      <c r="E1015" t="s">
        <v>33</v>
      </c>
      <c r="F1015" t="s">
        <v>33</v>
      </c>
      <c r="G1015" t="str">
        <f>"2026-01-28 22:28:36.436"</f>
        <v>2026-01-28 22:28:36.436</v>
      </c>
      <c r="H1015" t="s">
        <v>22</v>
      </c>
    </row>
    <row r="1016" spans="1:10" x14ac:dyDescent="0.25">
      <c r="A1016" s="1">
        <v>90</v>
      </c>
      <c r="B1016" t="s">
        <v>19</v>
      </c>
      <c r="C1016">
        <v>782</v>
      </c>
      <c r="D1016">
        <v>7</v>
      </c>
      <c r="E1016" t="s">
        <v>43</v>
      </c>
      <c r="F1016" t="s">
        <v>44</v>
      </c>
      <c r="G1016" t="str">
        <f>"2026-01-28 22:22:44.671"</f>
        <v>2026-01-28 22:22:44.671</v>
      </c>
      <c r="H1016" t="s">
        <v>22</v>
      </c>
      <c r="I1016">
        <v>0</v>
      </c>
      <c r="J1016" t="s">
        <v>69</v>
      </c>
    </row>
    <row r="1017" spans="1:10" x14ac:dyDescent="0.25">
      <c r="A1017" s="1">
        <v>94</v>
      </c>
      <c r="B1017" t="s">
        <v>24</v>
      </c>
      <c r="C1017">
        <v>49</v>
      </c>
      <c r="D1017">
        <v>1</v>
      </c>
      <c r="E1017" t="s">
        <v>66</v>
      </c>
      <c r="F1017" t="s">
        <v>67</v>
      </c>
      <c r="G1017" t="str">
        <f>"2026-01-28 22:22:44.663"</f>
        <v>2026-01-28 22:22:44.663</v>
      </c>
      <c r="H1017" t="s">
        <v>68</v>
      </c>
    </row>
    <row r="1018" spans="1:10" x14ac:dyDescent="0.25">
      <c r="A1018" s="1">
        <v>95</v>
      </c>
      <c r="B1018" t="s">
        <v>19</v>
      </c>
      <c r="C1018">
        <v>782</v>
      </c>
      <c r="D1018">
        <v>7</v>
      </c>
      <c r="E1018" t="s">
        <v>43</v>
      </c>
      <c r="F1018" t="s">
        <v>44</v>
      </c>
      <c r="G1018" t="str">
        <f>"2026-01-28 22:22:44.662"</f>
        <v>2026-01-28 22:22:44.662</v>
      </c>
      <c r="H1018" t="s">
        <v>22</v>
      </c>
      <c r="I1018">
        <v>0</v>
      </c>
      <c r="J1018" t="s">
        <v>69</v>
      </c>
    </row>
    <row r="1019" spans="1:10" x14ac:dyDescent="0.25">
      <c r="A1019" s="1">
        <v>96</v>
      </c>
      <c r="B1019" t="s">
        <v>19</v>
      </c>
      <c r="C1019">
        <v>700</v>
      </c>
      <c r="D1019">
        <v>0</v>
      </c>
      <c r="E1019" t="s">
        <v>33</v>
      </c>
      <c r="F1019" t="s">
        <v>33</v>
      </c>
      <c r="G1019" t="str">
        <f>"2026-01-28 22:22:23.440"</f>
        <v>2026-01-28 22:22:23.440</v>
      </c>
      <c r="H1019" t="s">
        <v>22</v>
      </c>
      <c r="I1019">
        <v>0</v>
      </c>
      <c r="J1019" t="s">
        <v>41</v>
      </c>
    </row>
    <row r="1020" spans="1:10" x14ac:dyDescent="0.25">
      <c r="A1020" s="1">
        <v>97</v>
      </c>
      <c r="B1020" t="s">
        <v>32</v>
      </c>
      <c r="C1020">
        <v>630</v>
      </c>
      <c r="D1020">
        <v>5</v>
      </c>
      <c r="E1020" t="s">
        <v>29</v>
      </c>
      <c r="F1020" t="s">
        <v>30</v>
      </c>
      <c r="G1020" t="str">
        <f>"2026-01-28 22:17:41.131"</f>
        <v>2026-01-28 22:17:41.131</v>
      </c>
      <c r="H1020" t="s">
        <v>31</v>
      </c>
      <c r="I1020">
        <v>0</v>
      </c>
      <c r="J1020" t="s">
        <v>69</v>
      </c>
    </row>
    <row r="1021" spans="1:10" x14ac:dyDescent="0.25">
      <c r="A1021" s="1">
        <v>98</v>
      </c>
      <c r="B1021" t="s">
        <v>27</v>
      </c>
      <c r="C1021">
        <v>49</v>
      </c>
      <c r="D1021">
        <v>1</v>
      </c>
      <c r="E1021" t="s">
        <v>66</v>
      </c>
      <c r="F1021" t="s">
        <v>67</v>
      </c>
      <c r="G1021" t="str">
        <f>"2026-01-28 22:13:58.131"</f>
        <v>2026-01-28 22:13:58.131</v>
      </c>
      <c r="H1021" t="s">
        <v>68</v>
      </c>
      <c r="I1021">
        <v>0</v>
      </c>
      <c r="J1021" t="s">
        <v>69</v>
      </c>
    </row>
    <row r="1022" spans="1:10" x14ac:dyDescent="0.25">
      <c r="A1022" s="1">
        <v>99</v>
      </c>
      <c r="B1022" t="s">
        <v>19</v>
      </c>
      <c r="C1022">
        <v>700</v>
      </c>
      <c r="D1022">
        <v>0</v>
      </c>
      <c r="E1022" t="s">
        <v>33</v>
      </c>
      <c r="F1022" t="s">
        <v>33</v>
      </c>
      <c r="G1022" t="str">
        <f>"2026-01-28 22:12:38.439"</f>
        <v>2026-01-28 22:12:38.439</v>
      </c>
      <c r="H1022" t="s">
        <v>22</v>
      </c>
    </row>
    <row r="1023" spans="1:10" x14ac:dyDescent="0.25">
      <c r="A1023" s="1">
        <v>100</v>
      </c>
      <c r="B1023" t="s">
        <v>19</v>
      </c>
      <c r="C1023">
        <v>700</v>
      </c>
      <c r="D1023">
        <v>0</v>
      </c>
      <c r="E1023" t="s">
        <v>33</v>
      </c>
      <c r="F1023" t="s">
        <v>33</v>
      </c>
      <c r="G1023" t="str">
        <f>"2026-01-28 22:10:43.429"</f>
        <v>2026-01-28 22:10:43.429</v>
      </c>
      <c r="H1023" t="s">
        <v>22</v>
      </c>
    </row>
    <row r="1024" spans="1:10" x14ac:dyDescent="0.25">
      <c r="A1024" s="1">
        <v>104</v>
      </c>
      <c r="B1024" t="s">
        <v>19</v>
      </c>
      <c r="C1024">
        <v>782</v>
      </c>
      <c r="D1024">
        <v>7</v>
      </c>
      <c r="E1024" t="s">
        <v>43</v>
      </c>
      <c r="F1024" t="s">
        <v>44</v>
      </c>
      <c r="G1024" t="str">
        <f>"2026-01-28 22:10:06.839"</f>
        <v>2026-01-28 22:10:06.839</v>
      </c>
      <c r="H1024" t="s">
        <v>22</v>
      </c>
      <c r="I1024">
        <v>0</v>
      </c>
      <c r="J1024" t="s">
        <v>69</v>
      </c>
    </row>
    <row r="1025" spans="1:10" x14ac:dyDescent="0.25">
      <c r="A1025" s="1">
        <v>108</v>
      </c>
      <c r="B1025" t="s">
        <v>24</v>
      </c>
      <c r="C1025">
        <v>49</v>
      </c>
      <c r="D1025">
        <v>1</v>
      </c>
      <c r="E1025" t="s">
        <v>66</v>
      </c>
      <c r="F1025" t="s">
        <v>67</v>
      </c>
      <c r="G1025" t="str">
        <f>"2026-01-28 22:10:06.833"</f>
        <v>2026-01-28 22:10:06.833</v>
      </c>
      <c r="H1025" t="s">
        <v>68</v>
      </c>
    </row>
    <row r="1026" spans="1:10" x14ac:dyDescent="0.25">
      <c r="A1026" s="1">
        <v>109</v>
      </c>
      <c r="B1026" t="s">
        <v>19</v>
      </c>
      <c r="C1026">
        <v>782</v>
      </c>
      <c r="D1026">
        <v>7</v>
      </c>
      <c r="E1026" t="s">
        <v>43</v>
      </c>
      <c r="F1026" t="s">
        <v>44</v>
      </c>
      <c r="G1026" t="str">
        <f>"2026-01-28 22:10:06.831"</f>
        <v>2026-01-28 22:10:06.831</v>
      </c>
      <c r="H1026" t="s">
        <v>22</v>
      </c>
      <c r="I1026">
        <v>0</v>
      </c>
      <c r="J1026" t="s">
        <v>69</v>
      </c>
    </row>
    <row r="1027" spans="1:10" x14ac:dyDescent="0.25">
      <c r="A1027" s="1">
        <v>110</v>
      </c>
      <c r="B1027" t="s">
        <v>19</v>
      </c>
      <c r="C1027">
        <v>700</v>
      </c>
      <c r="D1027">
        <v>0</v>
      </c>
      <c r="E1027" t="s">
        <v>33</v>
      </c>
      <c r="F1027" t="s">
        <v>33</v>
      </c>
      <c r="G1027" t="str">
        <f>"2026-01-28 22:09:07.443"</f>
        <v>2026-01-28 22:09:07.443</v>
      </c>
      <c r="H1027" t="s">
        <v>22</v>
      </c>
      <c r="I1027">
        <v>0</v>
      </c>
      <c r="J1027" t="s">
        <v>41</v>
      </c>
    </row>
    <row r="1028" spans="1:10" x14ac:dyDescent="0.25">
      <c r="A1028" s="1">
        <v>113</v>
      </c>
      <c r="B1028" t="s">
        <v>32</v>
      </c>
      <c r="C1028">
        <v>630</v>
      </c>
      <c r="D1028">
        <v>5</v>
      </c>
      <c r="E1028" t="s">
        <v>29</v>
      </c>
      <c r="F1028" t="s">
        <v>30</v>
      </c>
      <c r="G1028" t="str">
        <f>"2026-01-28 22:08:43.052"</f>
        <v>2026-01-28 22:08:43.052</v>
      </c>
      <c r="H1028" t="s">
        <v>31</v>
      </c>
      <c r="I1028">
        <v>0</v>
      </c>
      <c r="J1028" t="s">
        <v>23</v>
      </c>
    </row>
    <row r="1029" spans="1:10" x14ac:dyDescent="0.25">
      <c r="A1029" s="1">
        <v>114</v>
      </c>
      <c r="B1029" t="s">
        <v>27</v>
      </c>
      <c r="C1029">
        <v>49</v>
      </c>
      <c r="D1029">
        <v>1</v>
      </c>
      <c r="E1029" t="s">
        <v>66</v>
      </c>
      <c r="F1029" t="s">
        <v>67</v>
      </c>
      <c r="G1029" t="str">
        <f>"2026-01-28 22:08:43.047"</f>
        <v>2026-01-28 22:08:43.047</v>
      </c>
      <c r="H1029" t="s">
        <v>68</v>
      </c>
      <c r="I1029">
        <v>0</v>
      </c>
      <c r="J1029" t="s">
        <v>23</v>
      </c>
    </row>
    <row r="1030" spans="1:10" x14ac:dyDescent="0.25">
      <c r="A1030" s="1">
        <v>116</v>
      </c>
      <c r="B1030" t="s">
        <v>19</v>
      </c>
      <c r="C1030">
        <v>782</v>
      </c>
      <c r="D1030">
        <v>7</v>
      </c>
      <c r="E1030" t="s">
        <v>43</v>
      </c>
      <c r="F1030" t="s">
        <v>44</v>
      </c>
      <c r="G1030" t="str">
        <f>"2026-01-28 22:08:43.037"</f>
        <v>2026-01-28 22:08:43.037</v>
      </c>
      <c r="H1030" t="s">
        <v>22</v>
      </c>
      <c r="I1030">
        <v>0</v>
      </c>
      <c r="J1030" t="s">
        <v>23</v>
      </c>
    </row>
    <row r="1031" spans="1:10" x14ac:dyDescent="0.25">
      <c r="A1031" s="1">
        <v>119</v>
      </c>
      <c r="B1031" t="s">
        <v>24</v>
      </c>
      <c r="C1031">
        <v>630</v>
      </c>
      <c r="D1031">
        <v>5</v>
      </c>
      <c r="E1031" t="s">
        <v>29</v>
      </c>
      <c r="F1031" t="s">
        <v>30</v>
      </c>
      <c r="G1031" t="str">
        <f>"2026-01-28 22:08:43.031"</f>
        <v>2026-01-28 22:08:43.031</v>
      </c>
      <c r="H1031" t="s">
        <v>31</v>
      </c>
    </row>
    <row r="1032" spans="1:10" x14ac:dyDescent="0.25">
      <c r="A1032" s="1">
        <v>121</v>
      </c>
      <c r="B1032" t="s">
        <v>24</v>
      </c>
      <c r="C1032">
        <v>49</v>
      </c>
      <c r="D1032">
        <v>1</v>
      </c>
      <c r="E1032" t="s">
        <v>66</v>
      </c>
      <c r="F1032" t="s">
        <v>67</v>
      </c>
      <c r="G1032" t="str">
        <f>"2026-01-28 22:08:43.028"</f>
        <v>2026-01-28 22:08:43.028</v>
      </c>
      <c r="H1032" t="s">
        <v>68</v>
      </c>
    </row>
    <row r="1033" spans="1:10" x14ac:dyDescent="0.25">
      <c r="A1033" s="1">
        <v>122</v>
      </c>
      <c r="B1033" t="s">
        <v>19</v>
      </c>
      <c r="C1033">
        <v>782</v>
      </c>
      <c r="D1033">
        <v>7</v>
      </c>
      <c r="E1033" t="s">
        <v>43</v>
      </c>
      <c r="F1033" t="s">
        <v>44</v>
      </c>
      <c r="G1033" t="str">
        <f>"2026-01-28 22:08:43.027"</f>
        <v>2026-01-28 22:08:43.027</v>
      </c>
      <c r="H1033" t="s">
        <v>22</v>
      </c>
      <c r="I1033">
        <v>0</v>
      </c>
      <c r="J1033" t="s">
        <v>23</v>
      </c>
    </row>
    <row r="1034" spans="1:10" x14ac:dyDescent="0.25">
      <c r="A1034" s="1">
        <v>125</v>
      </c>
      <c r="B1034" t="s">
        <v>32</v>
      </c>
      <c r="C1034">
        <v>630</v>
      </c>
      <c r="D1034">
        <v>5</v>
      </c>
      <c r="E1034" t="s">
        <v>29</v>
      </c>
      <c r="F1034" t="s">
        <v>30</v>
      </c>
      <c r="G1034" t="str">
        <f>"2026-01-28 22:08:01.851"</f>
        <v>2026-01-28 22:08:01.851</v>
      </c>
      <c r="H1034" t="s">
        <v>31</v>
      </c>
      <c r="I1034">
        <v>0</v>
      </c>
      <c r="J1034" t="s">
        <v>23</v>
      </c>
    </row>
    <row r="1035" spans="1:10" x14ac:dyDescent="0.25">
      <c r="A1035" s="1">
        <v>126</v>
      </c>
      <c r="B1035" t="s">
        <v>27</v>
      </c>
      <c r="C1035">
        <v>49</v>
      </c>
      <c r="D1035">
        <v>1</v>
      </c>
      <c r="E1035" t="s">
        <v>66</v>
      </c>
      <c r="F1035" t="s">
        <v>67</v>
      </c>
      <c r="G1035" t="str">
        <f>"2026-01-28 22:08:01.846"</f>
        <v>2026-01-28 22:08:01.846</v>
      </c>
      <c r="H1035" t="s">
        <v>68</v>
      </c>
      <c r="I1035">
        <v>0</v>
      </c>
      <c r="J1035" t="s">
        <v>23</v>
      </c>
    </row>
    <row r="1036" spans="1:10" x14ac:dyDescent="0.25">
      <c r="A1036" s="1">
        <v>128</v>
      </c>
      <c r="B1036" t="s">
        <v>19</v>
      </c>
      <c r="C1036">
        <v>782</v>
      </c>
      <c r="D1036">
        <v>7</v>
      </c>
      <c r="E1036" t="s">
        <v>43</v>
      </c>
      <c r="F1036" t="s">
        <v>44</v>
      </c>
      <c r="G1036" t="str">
        <f>"2026-01-28 22:08:01.837"</f>
        <v>2026-01-28 22:08:01.837</v>
      </c>
      <c r="H1036" t="s">
        <v>22</v>
      </c>
      <c r="I1036">
        <v>0</v>
      </c>
      <c r="J1036" t="s">
        <v>23</v>
      </c>
    </row>
    <row r="1037" spans="1:10" x14ac:dyDescent="0.25">
      <c r="A1037" s="1">
        <v>131</v>
      </c>
      <c r="B1037" t="s">
        <v>24</v>
      </c>
      <c r="C1037">
        <v>630</v>
      </c>
      <c r="D1037">
        <v>5</v>
      </c>
      <c r="E1037" t="s">
        <v>29</v>
      </c>
      <c r="F1037" t="s">
        <v>30</v>
      </c>
      <c r="G1037" t="str">
        <f>"2026-01-28 22:08:01.831"</f>
        <v>2026-01-28 22:08:01.831</v>
      </c>
      <c r="H1037" t="s">
        <v>31</v>
      </c>
    </row>
    <row r="1038" spans="1:10" x14ac:dyDescent="0.25">
      <c r="A1038" s="1">
        <v>133</v>
      </c>
      <c r="B1038" t="s">
        <v>24</v>
      </c>
      <c r="C1038">
        <v>49</v>
      </c>
      <c r="D1038">
        <v>1</v>
      </c>
      <c r="E1038" t="s">
        <v>66</v>
      </c>
      <c r="F1038" t="s">
        <v>67</v>
      </c>
      <c r="G1038" t="str">
        <f>"2026-01-28 22:08:01.828"</f>
        <v>2026-01-28 22:08:01.828</v>
      </c>
      <c r="H1038" t="s">
        <v>68</v>
      </c>
    </row>
    <row r="1039" spans="1:10" x14ac:dyDescent="0.25">
      <c r="A1039" s="1">
        <v>134</v>
      </c>
      <c r="B1039" t="s">
        <v>19</v>
      </c>
      <c r="C1039">
        <v>782</v>
      </c>
      <c r="D1039">
        <v>7</v>
      </c>
      <c r="E1039" t="s">
        <v>43</v>
      </c>
      <c r="F1039" t="s">
        <v>44</v>
      </c>
      <c r="G1039" t="str">
        <f>"2026-01-28 22:08:01.827"</f>
        <v>2026-01-28 22:08:01.827</v>
      </c>
      <c r="H1039" t="s">
        <v>22</v>
      </c>
      <c r="I1039">
        <v>0</v>
      </c>
      <c r="J1039" t="s">
        <v>23</v>
      </c>
    </row>
    <row r="1040" spans="1:10" x14ac:dyDescent="0.25">
      <c r="A1040" s="1">
        <v>135</v>
      </c>
      <c r="B1040" t="s">
        <v>32</v>
      </c>
      <c r="C1040">
        <v>630</v>
      </c>
      <c r="D1040">
        <v>5</v>
      </c>
      <c r="E1040" t="s">
        <v>29</v>
      </c>
      <c r="F1040" t="s">
        <v>30</v>
      </c>
      <c r="G1040" t="str">
        <f>"2026-01-28 22:03:26.127"</f>
        <v>2026-01-28 22:03:26.127</v>
      </c>
      <c r="H1040" t="s">
        <v>31</v>
      </c>
      <c r="I1040">
        <v>0</v>
      </c>
      <c r="J1040" t="s">
        <v>23</v>
      </c>
    </row>
    <row r="1041" spans="1:10" x14ac:dyDescent="0.25">
      <c r="A1041" s="1">
        <v>136</v>
      </c>
      <c r="B1041" t="s">
        <v>27</v>
      </c>
      <c r="C1041">
        <v>49</v>
      </c>
      <c r="D1041">
        <v>1</v>
      </c>
      <c r="E1041" t="s">
        <v>66</v>
      </c>
      <c r="F1041" t="s">
        <v>67</v>
      </c>
      <c r="G1041" t="str">
        <f>"2026-01-28 22:03:08.840"</f>
        <v>2026-01-28 22:03:08.840</v>
      </c>
      <c r="H1041" t="s">
        <v>68</v>
      </c>
      <c r="I1041">
        <v>0</v>
      </c>
      <c r="J1041" t="s">
        <v>23</v>
      </c>
    </row>
    <row r="1042" spans="1:10" x14ac:dyDescent="0.25">
      <c r="A1042" s="1">
        <v>137</v>
      </c>
      <c r="B1042" t="s">
        <v>24</v>
      </c>
      <c r="C1042">
        <v>49</v>
      </c>
      <c r="D1042">
        <v>1</v>
      </c>
      <c r="E1042" t="s">
        <v>66</v>
      </c>
      <c r="F1042" t="s">
        <v>67</v>
      </c>
      <c r="G1042" t="str">
        <f>"2026-01-28 22:03:08.827"</f>
        <v>2026-01-28 22:03:08.827</v>
      </c>
      <c r="H1042" t="s">
        <v>68</v>
      </c>
    </row>
    <row r="1043" spans="1:10" x14ac:dyDescent="0.25">
      <c r="A1043" s="1">
        <v>140</v>
      </c>
      <c r="B1043" t="s">
        <v>27</v>
      </c>
      <c r="C1043">
        <v>49</v>
      </c>
      <c r="D1043">
        <v>1</v>
      </c>
      <c r="E1043" t="s">
        <v>66</v>
      </c>
      <c r="F1043" t="s">
        <v>67</v>
      </c>
      <c r="G1043" t="str">
        <f>"2026-01-28 22:01:17.044"</f>
        <v>2026-01-28 22:01:17.044</v>
      </c>
      <c r="H1043" t="s">
        <v>68</v>
      </c>
      <c r="I1043">
        <v>0</v>
      </c>
      <c r="J1043" t="s">
        <v>23</v>
      </c>
    </row>
    <row r="1044" spans="1:10" x14ac:dyDescent="0.25">
      <c r="A1044" s="1">
        <v>142</v>
      </c>
      <c r="B1044" t="s">
        <v>19</v>
      </c>
      <c r="C1044">
        <v>782</v>
      </c>
      <c r="D1044">
        <v>7</v>
      </c>
      <c r="E1044" t="s">
        <v>43</v>
      </c>
      <c r="F1044" t="s">
        <v>44</v>
      </c>
      <c r="G1044" t="str">
        <f>"2026-01-28 22:01:17.034"</f>
        <v>2026-01-28 22:01:17.034</v>
      </c>
      <c r="H1044" t="s">
        <v>22</v>
      </c>
      <c r="I1044">
        <v>0</v>
      </c>
      <c r="J1044" t="s">
        <v>23</v>
      </c>
    </row>
    <row r="1045" spans="1:10" x14ac:dyDescent="0.25">
      <c r="A1045" s="1">
        <v>146</v>
      </c>
      <c r="B1045" t="s">
        <v>24</v>
      </c>
      <c r="C1045">
        <v>49</v>
      </c>
      <c r="D1045">
        <v>1</v>
      </c>
      <c r="E1045" t="s">
        <v>66</v>
      </c>
      <c r="F1045" t="s">
        <v>67</v>
      </c>
      <c r="G1045" t="str">
        <f>"2026-01-28 22:01:17.028"</f>
        <v>2026-01-28 22:01:17.028</v>
      </c>
      <c r="H1045" t="s">
        <v>68</v>
      </c>
    </row>
    <row r="1046" spans="1:10" x14ac:dyDescent="0.25">
      <c r="A1046" s="1">
        <v>147</v>
      </c>
      <c r="B1046" t="s">
        <v>19</v>
      </c>
      <c r="C1046">
        <v>782</v>
      </c>
      <c r="D1046">
        <v>7</v>
      </c>
      <c r="E1046" t="s">
        <v>43</v>
      </c>
      <c r="F1046" t="s">
        <v>44</v>
      </c>
      <c r="G1046" t="str">
        <f>"2026-01-28 22:01:17.027"</f>
        <v>2026-01-28 22:01:17.027</v>
      </c>
      <c r="H1046" t="s">
        <v>22</v>
      </c>
      <c r="I1046">
        <v>0</v>
      </c>
      <c r="J1046" t="s">
        <v>23</v>
      </c>
    </row>
    <row r="1047" spans="1:10" x14ac:dyDescent="0.25">
      <c r="A1047" s="1">
        <v>150</v>
      </c>
      <c r="B1047" t="s">
        <v>27</v>
      </c>
      <c r="C1047">
        <v>49</v>
      </c>
      <c r="D1047">
        <v>1</v>
      </c>
      <c r="E1047" t="s">
        <v>66</v>
      </c>
      <c r="F1047" t="s">
        <v>67</v>
      </c>
      <c r="G1047" t="str">
        <f>"2026-01-28 22:00:33.643"</f>
        <v>2026-01-28 22:00:33.643</v>
      </c>
      <c r="H1047" t="s">
        <v>68</v>
      </c>
      <c r="I1047">
        <v>0</v>
      </c>
      <c r="J1047" t="s">
        <v>23</v>
      </c>
    </row>
    <row r="1048" spans="1:10" x14ac:dyDescent="0.25">
      <c r="A1048" s="1">
        <v>152</v>
      </c>
      <c r="B1048" t="s">
        <v>19</v>
      </c>
      <c r="C1048">
        <v>782</v>
      </c>
      <c r="D1048">
        <v>7</v>
      </c>
      <c r="E1048" t="s">
        <v>43</v>
      </c>
      <c r="F1048" t="s">
        <v>44</v>
      </c>
      <c r="G1048" t="str">
        <f>"2026-01-28 22:00:33.635"</f>
        <v>2026-01-28 22:00:33.635</v>
      </c>
      <c r="H1048" t="s">
        <v>22</v>
      </c>
      <c r="I1048">
        <v>0</v>
      </c>
      <c r="J1048" t="s">
        <v>23</v>
      </c>
    </row>
    <row r="1049" spans="1:10" x14ac:dyDescent="0.25">
      <c r="A1049" s="1">
        <v>156</v>
      </c>
      <c r="B1049" t="s">
        <v>24</v>
      </c>
      <c r="C1049">
        <v>49</v>
      </c>
      <c r="D1049">
        <v>1</v>
      </c>
      <c r="E1049" t="s">
        <v>66</v>
      </c>
      <c r="F1049" t="s">
        <v>67</v>
      </c>
      <c r="G1049" t="str">
        <f>"2026-01-28 22:00:33.629"</f>
        <v>2026-01-28 22:00:33.629</v>
      </c>
      <c r="H1049" t="s">
        <v>68</v>
      </c>
    </row>
    <row r="1050" spans="1:10" x14ac:dyDescent="0.25">
      <c r="A1050" s="1">
        <v>157</v>
      </c>
      <c r="B1050" t="s">
        <v>19</v>
      </c>
      <c r="C1050">
        <v>782</v>
      </c>
      <c r="D1050">
        <v>7</v>
      </c>
      <c r="E1050" t="s">
        <v>43</v>
      </c>
      <c r="F1050" t="s">
        <v>44</v>
      </c>
      <c r="G1050" t="str">
        <f>"2026-01-28 22:00:33.627"</f>
        <v>2026-01-28 22:00:33.627</v>
      </c>
      <c r="H1050" t="s">
        <v>22</v>
      </c>
      <c r="I1050">
        <v>0</v>
      </c>
      <c r="J1050" t="s">
        <v>23</v>
      </c>
    </row>
    <row r="1051" spans="1:10" x14ac:dyDescent="0.25">
      <c r="A1051" s="1">
        <v>160</v>
      </c>
      <c r="B1051" t="s">
        <v>19</v>
      </c>
      <c r="C1051">
        <v>700</v>
      </c>
      <c r="D1051">
        <v>0</v>
      </c>
      <c r="E1051" t="s">
        <v>33</v>
      </c>
      <c r="F1051" t="s">
        <v>33</v>
      </c>
      <c r="G1051" t="str">
        <f>"2026-01-28 21:58:23.409"</f>
        <v>2026-01-28 21:58:23.409</v>
      </c>
      <c r="H1051" t="s">
        <v>22</v>
      </c>
    </row>
    <row r="1052" spans="1:10" x14ac:dyDescent="0.25">
      <c r="A1052" s="1">
        <v>161</v>
      </c>
      <c r="B1052" t="s">
        <v>19</v>
      </c>
      <c r="C1052">
        <v>700</v>
      </c>
      <c r="D1052">
        <v>0</v>
      </c>
      <c r="E1052" t="s">
        <v>33</v>
      </c>
      <c r="F1052" t="s">
        <v>33</v>
      </c>
      <c r="G1052" t="str">
        <f>"2026-01-28 21:56:13.645"</f>
        <v>2026-01-28 21:56:13.645</v>
      </c>
      <c r="H1052" t="s">
        <v>22</v>
      </c>
    </row>
    <row r="1053" spans="1:10" x14ac:dyDescent="0.25">
      <c r="A1053" s="1">
        <v>162</v>
      </c>
      <c r="B1053" t="s">
        <v>19</v>
      </c>
      <c r="C1053">
        <v>700</v>
      </c>
      <c r="D1053">
        <v>0</v>
      </c>
      <c r="E1053" t="s">
        <v>33</v>
      </c>
      <c r="F1053" t="s">
        <v>33</v>
      </c>
      <c r="G1053" t="str">
        <f>"2026-01-28 21:51:02.622"</f>
        <v>2026-01-28 21:51:02.622</v>
      </c>
      <c r="H1053" t="s">
        <v>22</v>
      </c>
      <c r="I1053">
        <v>0</v>
      </c>
      <c r="J1053" t="s">
        <v>41</v>
      </c>
    </row>
    <row r="1054" spans="1:10" x14ac:dyDescent="0.25">
      <c r="A1054" s="1">
        <v>163</v>
      </c>
      <c r="B1054" t="s">
        <v>19</v>
      </c>
      <c r="C1054">
        <v>700</v>
      </c>
      <c r="D1054">
        <v>0</v>
      </c>
      <c r="E1054" t="s">
        <v>33</v>
      </c>
      <c r="F1054" t="s">
        <v>33</v>
      </c>
      <c r="G1054" t="str">
        <f>"2026-01-28 21:47:34.401"</f>
        <v>2026-01-28 21:47:34.401</v>
      </c>
      <c r="H1054" t="s">
        <v>22</v>
      </c>
    </row>
    <row r="1055" spans="1:10" x14ac:dyDescent="0.25">
      <c r="A1055" s="1">
        <v>164</v>
      </c>
      <c r="B1055" t="s">
        <v>19</v>
      </c>
      <c r="C1055">
        <v>700</v>
      </c>
      <c r="D1055">
        <v>0</v>
      </c>
      <c r="E1055" t="s">
        <v>33</v>
      </c>
      <c r="F1055" t="s">
        <v>33</v>
      </c>
      <c r="G1055" t="str">
        <f>"2026-01-28 21:45:42.449"</f>
        <v>2026-01-28 21:45:42.449</v>
      </c>
      <c r="H1055" t="s">
        <v>22</v>
      </c>
      <c r="I1055">
        <v>0</v>
      </c>
      <c r="J1055" t="s">
        <v>41</v>
      </c>
    </row>
    <row r="1056" spans="1:10" x14ac:dyDescent="0.25">
      <c r="A1056" s="1">
        <v>165</v>
      </c>
      <c r="B1056" t="s">
        <v>27</v>
      </c>
      <c r="C1056">
        <v>49</v>
      </c>
      <c r="D1056">
        <v>1</v>
      </c>
      <c r="E1056" t="s">
        <v>66</v>
      </c>
      <c r="F1056" t="s">
        <v>67</v>
      </c>
      <c r="G1056" t="str">
        <f>"2026-01-28 21:44:28.529"</f>
        <v>2026-01-28 21:44:28.529</v>
      </c>
      <c r="H1056" t="s">
        <v>68</v>
      </c>
      <c r="I1056">
        <v>0</v>
      </c>
      <c r="J1056" t="s">
        <v>23</v>
      </c>
    </row>
    <row r="1057" spans="1:10" x14ac:dyDescent="0.25">
      <c r="A1057" s="1">
        <v>166</v>
      </c>
      <c r="B1057" t="s">
        <v>32</v>
      </c>
      <c r="C1057">
        <v>47</v>
      </c>
      <c r="D1057">
        <v>2</v>
      </c>
      <c r="E1057" t="s">
        <v>70</v>
      </c>
      <c r="F1057" t="s">
        <v>71</v>
      </c>
      <c r="G1057" t="str">
        <f>"2026-01-28 21:44:07.028"</f>
        <v>2026-01-28 21:44:07.028</v>
      </c>
      <c r="H1057" t="s">
        <v>64</v>
      </c>
      <c r="I1057">
        <v>0</v>
      </c>
      <c r="J1057" t="s">
        <v>37</v>
      </c>
    </row>
    <row r="1058" spans="1:10" x14ac:dyDescent="0.25">
      <c r="A1058" s="1">
        <v>168</v>
      </c>
      <c r="B1058" t="s">
        <v>24</v>
      </c>
      <c r="C1058">
        <v>630</v>
      </c>
      <c r="D1058">
        <v>5</v>
      </c>
      <c r="E1058" t="s">
        <v>29</v>
      </c>
      <c r="F1058" t="s">
        <v>30</v>
      </c>
      <c r="G1058" t="str">
        <f>"2026-01-28 18:16:37.229"</f>
        <v>2026-01-28 18:16:37.229</v>
      </c>
      <c r="H1058" t="s">
        <v>31</v>
      </c>
    </row>
    <row r="1059" spans="1:10" x14ac:dyDescent="0.25">
      <c r="A1059" s="1">
        <v>169</v>
      </c>
      <c r="B1059" t="s">
        <v>19</v>
      </c>
      <c r="C1059">
        <v>706</v>
      </c>
      <c r="D1059">
        <v>4</v>
      </c>
      <c r="E1059" t="s">
        <v>20</v>
      </c>
      <c r="F1059" t="s">
        <v>40</v>
      </c>
      <c r="G1059" t="str">
        <f>"2026-01-28 18:16:07.157"</f>
        <v>2026-01-28 18:16:07.157</v>
      </c>
      <c r="H1059" t="s">
        <v>22</v>
      </c>
      <c r="I1059">
        <v>0</v>
      </c>
      <c r="J1059" t="s">
        <v>23</v>
      </c>
    </row>
    <row r="1060" spans="1:10" x14ac:dyDescent="0.25">
      <c r="A1060" s="1">
        <v>170</v>
      </c>
      <c r="B1060" t="s">
        <v>32</v>
      </c>
      <c r="C1060">
        <v>630</v>
      </c>
      <c r="D1060">
        <v>5</v>
      </c>
      <c r="E1060" t="s">
        <v>29</v>
      </c>
      <c r="F1060" t="s">
        <v>30</v>
      </c>
      <c r="G1060" t="str">
        <f>"2026-01-28 18:07:14.829"</f>
        <v>2026-01-28 18:07:14.829</v>
      </c>
      <c r="H1060" t="s">
        <v>31</v>
      </c>
      <c r="I1060">
        <v>0</v>
      </c>
      <c r="J1060" t="s">
        <v>23</v>
      </c>
    </row>
    <row r="1061" spans="1:10" x14ac:dyDescent="0.25">
      <c r="A1061" s="1">
        <v>171</v>
      </c>
      <c r="B1061" t="s">
        <v>24</v>
      </c>
      <c r="C1061">
        <v>630</v>
      </c>
      <c r="D1061">
        <v>5</v>
      </c>
      <c r="E1061" t="s">
        <v>29</v>
      </c>
      <c r="F1061" t="s">
        <v>30</v>
      </c>
      <c r="G1061" t="str">
        <f>"2026-01-28 18:01:08.529"</f>
        <v>2026-01-28 18:01:08.529</v>
      </c>
      <c r="H1061" t="s">
        <v>31</v>
      </c>
    </row>
    <row r="1062" spans="1:10" x14ac:dyDescent="0.25">
      <c r="A1062" s="1">
        <v>172</v>
      </c>
      <c r="B1062" t="s">
        <v>19</v>
      </c>
      <c r="C1062">
        <v>706</v>
      </c>
      <c r="D1062">
        <v>2</v>
      </c>
      <c r="E1062" t="s">
        <v>20</v>
      </c>
      <c r="F1062" t="s">
        <v>21</v>
      </c>
      <c r="G1062" t="str">
        <f>"2026-01-28 18:00:38.437"</f>
        <v>2026-01-28 18:00:38.437</v>
      </c>
      <c r="H1062" t="s">
        <v>22</v>
      </c>
      <c r="I1062">
        <v>0</v>
      </c>
      <c r="J1062" t="s">
        <v>23</v>
      </c>
    </row>
    <row r="1063" spans="1:10" x14ac:dyDescent="0.25">
      <c r="A1063" s="1">
        <v>173</v>
      </c>
      <c r="B1063" t="s">
        <v>19</v>
      </c>
      <c r="C1063">
        <v>706</v>
      </c>
      <c r="D1063">
        <v>4</v>
      </c>
      <c r="E1063" t="s">
        <v>20</v>
      </c>
      <c r="F1063" t="s">
        <v>40</v>
      </c>
      <c r="G1063" t="str">
        <f>"2026-01-28 18:00:25.187"</f>
        <v>2026-01-28 18:00:25.187</v>
      </c>
      <c r="H1063" t="s">
        <v>22</v>
      </c>
      <c r="I1063">
        <v>0</v>
      </c>
      <c r="J1063" t="s">
        <v>23</v>
      </c>
    </row>
    <row r="1064" spans="1:10" x14ac:dyDescent="0.25">
      <c r="A1064" s="1">
        <v>174</v>
      </c>
      <c r="B1064" t="s">
        <v>32</v>
      </c>
      <c r="C1064">
        <v>630</v>
      </c>
      <c r="D1064">
        <v>5</v>
      </c>
      <c r="E1064" t="s">
        <v>29</v>
      </c>
      <c r="F1064" t="s">
        <v>30</v>
      </c>
      <c r="G1064" t="str">
        <f>"2026-01-28 17:39:34.929"</f>
        <v>2026-01-28 17:39:34.929</v>
      </c>
      <c r="H1064" t="s">
        <v>31</v>
      </c>
      <c r="I1064">
        <v>0</v>
      </c>
      <c r="J1064" t="s">
        <v>23</v>
      </c>
    </row>
    <row r="1065" spans="1:10" x14ac:dyDescent="0.25">
      <c r="A1065" s="1">
        <v>175</v>
      </c>
      <c r="B1065" t="s">
        <v>19</v>
      </c>
      <c r="C1065">
        <v>706</v>
      </c>
      <c r="D1065">
        <v>2</v>
      </c>
      <c r="E1065" t="s">
        <v>20</v>
      </c>
      <c r="F1065" t="s">
        <v>21</v>
      </c>
      <c r="G1065" t="str">
        <f>"2026-01-28 17:32:53.537"</f>
        <v>2026-01-28 17:32:53.537</v>
      </c>
      <c r="H1065" t="s">
        <v>22</v>
      </c>
      <c r="I1065">
        <v>0</v>
      </c>
      <c r="J1065" t="s">
        <v>23</v>
      </c>
    </row>
    <row r="1066" spans="1:10" x14ac:dyDescent="0.25">
      <c r="A1066" s="1">
        <v>176</v>
      </c>
      <c r="B1066" t="s">
        <v>19</v>
      </c>
      <c r="C1066">
        <v>700</v>
      </c>
      <c r="D1066">
        <v>0</v>
      </c>
      <c r="E1066" t="s">
        <v>33</v>
      </c>
      <c r="F1066" t="s">
        <v>33</v>
      </c>
      <c r="G1066" t="str">
        <f>"2026-01-28 17:29:58.447"</f>
        <v>2026-01-28 17:29:58.447</v>
      </c>
      <c r="H1066" t="s">
        <v>22</v>
      </c>
      <c r="I1066">
        <v>0</v>
      </c>
      <c r="J1066" t="s">
        <v>41</v>
      </c>
    </row>
    <row r="1067" spans="1:10" x14ac:dyDescent="0.25">
      <c r="A1067" s="1">
        <v>177</v>
      </c>
      <c r="B1067" t="s">
        <v>32</v>
      </c>
      <c r="C1067">
        <v>630</v>
      </c>
      <c r="D1067">
        <v>5</v>
      </c>
      <c r="E1067" t="s">
        <v>29</v>
      </c>
      <c r="F1067" t="s">
        <v>30</v>
      </c>
      <c r="G1067" t="str">
        <f>"2026-01-28 16:06:10.147"</f>
        <v>2026-01-28 16:06:10.147</v>
      </c>
      <c r="H1067" t="s">
        <v>31</v>
      </c>
      <c r="I1067">
        <v>0</v>
      </c>
      <c r="J1067" t="s">
        <v>23</v>
      </c>
    </row>
    <row r="1068" spans="1:10" x14ac:dyDescent="0.25">
      <c r="A1068" s="1">
        <v>179</v>
      </c>
      <c r="B1068" t="s">
        <v>24</v>
      </c>
      <c r="C1068">
        <v>635</v>
      </c>
      <c r="D1068">
        <v>1</v>
      </c>
      <c r="E1068" t="s">
        <v>25</v>
      </c>
      <c r="F1068" t="s">
        <v>26</v>
      </c>
      <c r="G1068" t="str">
        <f>"2026-01-28 04:00:01.947"</f>
        <v>2026-01-28 04:00:01.947</v>
      </c>
      <c r="H1068" t="s">
        <v>22</v>
      </c>
    </row>
    <row r="1069" spans="1:10" x14ac:dyDescent="0.25">
      <c r="A1069" s="1">
        <v>180</v>
      </c>
      <c r="B1069" t="s">
        <v>27</v>
      </c>
      <c r="C1069">
        <v>635</v>
      </c>
      <c r="D1069">
        <v>1</v>
      </c>
      <c r="E1069" t="s">
        <v>25</v>
      </c>
      <c r="F1069" t="s">
        <v>26</v>
      </c>
      <c r="G1069" t="str">
        <f>"2026-01-28 03:50:53.947"</f>
        <v>2026-01-28 03:50:53.947</v>
      </c>
      <c r="H1069" t="s">
        <v>22</v>
      </c>
      <c r="I1069">
        <v>10.24</v>
      </c>
      <c r="J1069" t="s">
        <v>36</v>
      </c>
    </row>
    <row r="1070" spans="1:10" x14ac:dyDescent="0.25">
      <c r="A1070" s="1">
        <v>181</v>
      </c>
      <c r="B1070" t="s">
        <v>24</v>
      </c>
      <c r="C1070">
        <v>630</v>
      </c>
      <c r="D1070">
        <v>5</v>
      </c>
      <c r="E1070" t="s">
        <v>29</v>
      </c>
      <c r="F1070" t="s">
        <v>30</v>
      </c>
      <c r="G1070" t="str">
        <f>"2026-01-27 13:48:48.947"</f>
        <v>2026-01-27 13:48:48.947</v>
      </c>
      <c r="H1070" t="s">
        <v>31</v>
      </c>
    </row>
    <row r="1071" spans="1:10" x14ac:dyDescent="0.25">
      <c r="A1071" s="1">
        <v>182</v>
      </c>
      <c r="B1071" t="s">
        <v>19</v>
      </c>
      <c r="C1071">
        <v>706</v>
      </c>
      <c r="D1071">
        <v>4</v>
      </c>
      <c r="E1071" t="s">
        <v>20</v>
      </c>
      <c r="F1071" t="s">
        <v>40</v>
      </c>
      <c r="G1071" t="str">
        <f>"2026-01-27 13:48:18.856"</f>
        <v>2026-01-27 13:48:18.856</v>
      </c>
      <c r="H1071" t="s">
        <v>22</v>
      </c>
      <c r="I1071">
        <v>0</v>
      </c>
      <c r="J1071" t="s">
        <v>23</v>
      </c>
    </row>
    <row r="1072" spans="1:10" x14ac:dyDescent="0.25">
      <c r="A1072" s="1">
        <v>183</v>
      </c>
      <c r="B1072" t="s">
        <v>32</v>
      </c>
      <c r="C1072">
        <v>630</v>
      </c>
      <c r="D1072">
        <v>5</v>
      </c>
      <c r="E1072" t="s">
        <v>29</v>
      </c>
      <c r="F1072" t="s">
        <v>30</v>
      </c>
      <c r="G1072" t="str">
        <f>"2026-01-27 13:40:44.447"</f>
        <v>2026-01-27 13:40:44.447</v>
      </c>
      <c r="H1072" t="s">
        <v>31</v>
      </c>
      <c r="I1072">
        <v>0</v>
      </c>
      <c r="J1072" t="s">
        <v>23</v>
      </c>
    </row>
    <row r="1073" spans="1:10" x14ac:dyDescent="0.25">
      <c r="A1073" s="1">
        <v>184</v>
      </c>
      <c r="B1073" t="s">
        <v>24</v>
      </c>
      <c r="C1073">
        <v>630</v>
      </c>
      <c r="D1073">
        <v>5</v>
      </c>
      <c r="E1073" t="s">
        <v>29</v>
      </c>
      <c r="F1073" t="s">
        <v>30</v>
      </c>
      <c r="G1073" t="str">
        <f>"2026-01-25 08:37:57.247"</f>
        <v>2026-01-25 08:37:57.247</v>
      </c>
      <c r="H1073" t="s">
        <v>31</v>
      </c>
    </row>
    <row r="1074" spans="1:10" x14ac:dyDescent="0.25">
      <c r="A1074" s="1">
        <v>185</v>
      </c>
      <c r="B1074" t="s">
        <v>19</v>
      </c>
      <c r="C1074">
        <v>706</v>
      </c>
      <c r="D1074">
        <v>4</v>
      </c>
      <c r="E1074" t="s">
        <v>20</v>
      </c>
      <c r="F1074" t="s">
        <v>40</v>
      </c>
      <c r="G1074" t="str">
        <f>"2026-01-25 08:37:27.126"</f>
        <v>2026-01-25 08:37:27.126</v>
      </c>
      <c r="H1074" t="s">
        <v>22</v>
      </c>
      <c r="I1074">
        <v>0</v>
      </c>
      <c r="J1074" t="s">
        <v>23</v>
      </c>
    </row>
    <row r="1075" spans="1:10" x14ac:dyDescent="0.25">
      <c r="A1075" s="1">
        <v>186</v>
      </c>
      <c r="B1075" t="s">
        <v>32</v>
      </c>
      <c r="C1075">
        <v>630</v>
      </c>
      <c r="D1075">
        <v>5</v>
      </c>
      <c r="E1075" t="s">
        <v>29</v>
      </c>
      <c r="F1075" t="s">
        <v>30</v>
      </c>
      <c r="G1075" t="str">
        <f>"2026-01-25 08:32:13.547"</f>
        <v>2026-01-25 08:32:13.547</v>
      </c>
      <c r="H1075" t="s">
        <v>31</v>
      </c>
      <c r="I1075">
        <v>0</v>
      </c>
      <c r="J1075" t="s">
        <v>23</v>
      </c>
    </row>
    <row r="1076" spans="1:10" x14ac:dyDescent="0.25">
      <c r="A1076" s="1">
        <v>187</v>
      </c>
      <c r="B1076" t="s">
        <v>24</v>
      </c>
      <c r="C1076">
        <v>635</v>
      </c>
      <c r="D1076">
        <v>1</v>
      </c>
      <c r="E1076" t="s">
        <v>25</v>
      </c>
      <c r="F1076" t="s">
        <v>26</v>
      </c>
      <c r="G1076" t="str">
        <f>"2026-01-24 16:20:46.447"</f>
        <v>2026-01-24 16:20:46.447</v>
      </c>
      <c r="H1076" t="s">
        <v>22</v>
      </c>
    </row>
    <row r="1077" spans="1:10" x14ac:dyDescent="0.25">
      <c r="A1077" s="1">
        <v>188</v>
      </c>
      <c r="B1077" t="s">
        <v>27</v>
      </c>
      <c r="C1077">
        <v>635</v>
      </c>
      <c r="D1077">
        <v>1</v>
      </c>
      <c r="E1077" t="s">
        <v>25</v>
      </c>
      <c r="F1077" t="s">
        <v>26</v>
      </c>
      <c r="G1077" t="str">
        <f>"2026-01-24 16:17:59.447"</f>
        <v>2026-01-24 16:17:59.447</v>
      </c>
      <c r="H1077" t="s">
        <v>22</v>
      </c>
      <c r="I1077">
        <v>10.130000000000001</v>
      </c>
      <c r="J1077" t="s">
        <v>36</v>
      </c>
    </row>
    <row r="1078" spans="1:10" x14ac:dyDescent="0.25">
      <c r="A1078" s="1">
        <v>189</v>
      </c>
      <c r="B1078" t="s">
        <v>24</v>
      </c>
      <c r="C1078">
        <v>635</v>
      </c>
      <c r="D1078">
        <v>1</v>
      </c>
      <c r="E1078" t="s">
        <v>25</v>
      </c>
      <c r="F1078" t="s">
        <v>26</v>
      </c>
      <c r="G1078" t="str">
        <f>"2026-01-24 05:33:13.247"</f>
        <v>2026-01-24 05:33:13.247</v>
      </c>
      <c r="H1078" t="s">
        <v>22</v>
      </c>
    </row>
    <row r="1079" spans="1:10" x14ac:dyDescent="0.25">
      <c r="A1079" s="1">
        <v>190</v>
      </c>
      <c r="B1079" t="s">
        <v>27</v>
      </c>
      <c r="C1079">
        <v>635</v>
      </c>
      <c r="D1079">
        <v>1</v>
      </c>
      <c r="E1079" t="s">
        <v>25</v>
      </c>
      <c r="F1079" t="s">
        <v>26</v>
      </c>
      <c r="G1079" t="str">
        <f>"2026-01-24 05:24:03.247"</f>
        <v>2026-01-24 05:24:03.247</v>
      </c>
      <c r="H1079" t="s">
        <v>22</v>
      </c>
      <c r="I1079">
        <v>5.92</v>
      </c>
      <c r="J1079" t="s">
        <v>28</v>
      </c>
    </row>
    <row r="1080" spans="1:10" x14ac:dyDescent="0.25">
      <c r="A1080" s="1">
        <v>191</v>
      </c>
      <c r="B1080" t="s">
        <v>24</v>
      </c>
      <c r="C1080">
        <v>635</v>
      </c>
      <c r="D1080">
        <v>1</v>
      </c>
      <c r="E1080" t="s">
        <v>25</v>
      </c>
      <c r="F1080" t="s">
        <v>26</v>
      </c>
      <c r="G1080" t="str">
        <f>"2026-01-23 09:27:08.447"</f>
        <v>2026-01-23 09:27:08.447</v>
      </c>
      <c r="H1080" t="s">
        <v>22</v>
      </c>
    </row>
    <row r="1081" spans="1:10" x14ac:dyDescent="0.25">
      <c r="A1081" s="1">
        <v>192</v>
      </c>
      <c r="B1081" t="s">
        <v>27</v>
      </c>
      <c r="C1081">
        <v>635</v>
      </c>
      <c r="D1081">
        <v>1</v>
      </c>
      <c r="E1081" t="s">
        <v>25</v>
      </c>
      <c r="F1081" t="s">
        <v>26</v>
      </c>
      <c r="G1081" t="str">
        <f>"2026-01-23 09:22:06.547"</f>
        <v>2026-01-23 09:22:06.547</v>
      </c>
      <c r="H1081" t="s">
        <v>22</v>
      </c>
      <c r="I1081">
        <v>1.5</v>
      </c>
      <c r="J1081" t="s">
        <v>36</v>
      </c>
    </row>
    <row r="1082" spans="1:10" x14ac:dyDescent="0.25">
      <c r="A1082" s="1">
        <v>193</v>
      </c>
      <c r="B1082" t="s">
        <v>74</v>
      </c>
      <c r="C1082">
        <v>228</v>
      </c>
      <c r="D1082">
        <v>4</v>
      </c>
      <c r="E1082" t="s">
        <v>82</v>
      </c>
      <c r="F1082" t="s">
        <v>76</v>
      </c>
      <c r="G1082" t="str">
        <f>"2026-01-22 18:45:24.739"</f>
        <v>2026-01-22 18:45:24.739</v>
      </c>
      <c r="H1082" t="s">
        <v>53</v>
      </c>
    </row>
    <row r="1083" spans="1:10" x14ac:dyDescent="0.25">
      <c r="A1083" s="1">
        <v>194</v>
      </c>
      <c r="B1083" t="s">
        <v>32</v>
      </c>
      <c r="C1083">
        <v>228</v>
      </c>
      <c r="D1083">
        <v>4</v>
      </c>
      <c r="E1083" t="s">
        <v>82</v>
      </c>
      <c r="F1083" t="s">
        <v>76</v>
      </c>
      <c r="G1083" t="str">
        <f>"2026-01-22 18:45:19.703"</f>
        <v>2026-01-22 18:45:19.703</v>
      </c>
      <c r="H1083" t="s">
        <v>53</v>
      </c>
      <c r="I1083">
        <v>13.78</v>
      </c>
      <c r="J1083" t="s">
        <v>36</v>
      </c>
    </row>
    <row r="1084" spans="1:10" x14ac:dyDescent="0.25">
      <c r="A1084" s="1">
        <v>195</v>
      </c>
      <c r="B1084" t="s">
        <v>24</v>
      </c>
      <c r="C1084">
        <v>98</v>
      </c>
      <c r="D1084">
        <v>1</v>
      </c>
      <c r="E1084" t="s">
        <v>38</v>
      </c>
      <c r="F1084" t="s">
        <v>39</v>
      </c>
      <c r="G1084" t="str">
        <f>"2026-01-22 04:43:00.460"</f>
        <v>2026-01-22 04:43:00.460</v>
      </c>
      <c r="H1084" t="s">
        <v>22</v>
      </c>
    </row>
    <row r="1085" spans="1:10" x14ac:dyDescent="0.25">
      <c r="A1085" s="1">
        <v>196</v>
      </c>
      <c r="B1085" t="s">
        <v>27</v>
      </c>
      <c r="C1085">
        <v>98</v>
      </c>
      <c r="D1085">
        <v>1</v>
      </c>
      <c r="E1085" t="s">
        <v>38</v>
      </c>
      <c r="F1085" t="s">
        <v>39</v>
      </c>
      <c r="G1085" t="str">
        <f>"2026-01-22 04:42:59.460"</f>
        <v>2026-01-22 04:42:59.460</v>
      </c>
      <c r="H1085" t="s">
        <v>22</v>
      </c>
      <c r="I1085">
        <v>7.25</v>
      </c>
      <c r="J1085" t="s">
        <v>28</v>
      </c>
    </row>
    <row r="1086" spans="1:10" x14ac:dyDescent="0.25">
      <c r="A1086" s="1">
        <v>197</v>
      </c>
      <c r="B1086" t="s">
        <v>24</v>
      </c>
      <c r="C1086">
        <v>98</v>
      </c>
      <c r="D1086">
        <v>1</v>
      </c>
      <c r="E1086" t="s">
        <v>38</v>
      </c>
      <c r="F1086" t="s">
        <v>39</v>
      </c>
      <c r="G1086" t="str">
        <f>"2026-01-22 04:40:31.860"</f>
        <v>2026-01-22 04:40:31.860</v>
      </c>
      <c r="H1086" t="s">
        <v>22</v>
      </c>
    </row>
    <row r="1087" spans="1:10" x14ac:dyDescent="0.25">
      <c r="A1087" s="1">
        <v>198</v>
      </c>
      <c r="B1087" t="s">
        <v>27</v>
      </c>
      <c r="C1087">
        <v>98</v>
      </c>
      <c r="D1087">
        <v>1</v>
      </c>
      <c r="E1087" t="s">
        <v>38</v>
      </c>
      <c r="F1087" t="s">
        <v>39</v>
      </c>
      <c r="G1087" t="str">
        <f>"2026-01-22 04:40:30.860"</f>
        <v>2026-01-22 04:40:30.860</v>
      </c>
      <c r="H1087" t="s">
        <v>22</v>
      </c>
      <c r="I1087">
        <v>10.039999999999999</v>
      </c>
      <c r="J1087" t="s">
        <v>28</v>
      </c>
    </row>
    <row r="1088" spans="1:10" x14ac:dyDescent="0.25">
      <c r="A1088" s="1">
        <v>199</v>
      </c>
      <c r="B1088" t="s">
        <v>24</v>
      </c>
      <c r="C1088">
        <v>98</v>
      </c>
      <c r="D1088">
        <v>1</v>
      </c>
      <c r="E1088" t="s">
        <v>38</v>
      </c>
      <c r="F1088" t="s">
        <v>39</v>
      </c>
      <c r="G1088" t="str">
        <f>"2026-01-21 22:16:20.960"</f>
        <v>2026-01-21 22:16:20.960</v>
      </c>
      <c r="H1088" t="s">
        <v>22</v>
      </c>
    </row>
    <row r="1089" spans="1:10" x14ac:dyDescent="0.25">
      <c r="A1089" s="1">
        <v>200</v>
      </c>
      <c r="B1089" t="s">
        <v>27</v>
      </c>
      <c r="C1089">
        <v>98</v>
      </c>
      <c r="D1089">
        <v>1</v>
      </c>
      <c r="E1089" t="s">
        <v>38</v>
      </c>
      <c r="F1089" t="s">
        <v>39</v>
      </c>
      <c r="G1089" t="str">
        <f>"2026-01-21 22:16:19.960"</f>
        <v>2026-01-21 22:16:19.960</v>
      </c>
      <c r="H1089" t="s">
        <v>22</v>
      </c>
      <c r="I1089">
        <v>7.15</v>
      </c>
      <c r="J1089" t="s">
        <v>28</v>
      </c>
    </row>
    <row r="1090" spans="1:10" x14ac:dyDescent="0.25">
      <c r="A1090" s="1">
        <v>201</v>
      </c>
      <c r="B1090" t="s">
        <v>24</v>
      </c>
      <c r="C1090">
        <v>98</v>
      </c>
      <c r="D1090">
        <v>1</v>
      </c>
      <c r="E1090" t="s">
        <v>38</v>
      </c>
      <c r="F1090" t="s">
        <v>39</v>
      </c>
      <c r="G1090" t="str">
        <f>"2026-01-21 22:16:19.360"</f>
        <v>2026-01-21 22:16:19.360</v>
      </c>
      <c r="H1090" t="s">
        <v>22</v>
      </c>
    </row>
    <row r="1091" spans="1:10" x14ac:dyDescent="0.25">
      <c r="A1091" s="1">
        <v>202</v>
      </c>
      <c r="B1091" t="s">
        <v>27</v>
      </c>
      <c r="C1091">
        <v>98</v>
      </c>
      <c r="D1091">
        <v>1</v>
      </c>
      <c r="E1091" t="s">
        <v>38</v>
      </c>
      <c r="F1091" t="s">
        <v>39</v>
      </c>
      <c r="G1091" t="str">
        <f>"2026-01-21 22:16:18.360"</f>
        <v>2026-01-21 22:16:18.360</v>
      </c>
      <c r="H1091" t="s">
        <v>22</v>
      </c>
      <c r="I1091">
        <v>7.1</v>
      </c>
      <c r="J1091" t="s">
        <v>28</v>
      </c>
    </row>
    <row r="1092" spans="1:10" x14ac:dyDescent="0.25">
      <c r="A1092" s="1">
        <v>203</v>
      </c>
      <c r="B1092" t="s">
        <v>24</v>
      </c>
      <c r="C1092">
        <v>98</v>
      </c>
      <c r="D1092">
        <v>1</v>
      </c>
      <c r="E1092" t="s">
        <v>38</v>
      </c>
      <c r="F1092" t="s">
        <v>39</v>
      </c>
      <c r="G1092" t="str">
        <f>"2026-01-21 22:16:17.760"</f>
        <v>2026-01-21 22:16:17.760</v>
      </c>
      <c r="H1092" t="s">
        <v>22</v>
      </c>
    </row>
    <row r="1093" spans="1:10" x14ac:dyDescent="0.25">
      <c r="A1093" s="1">
        <v>204</v>
      </c>
      <c r="B1093" t="s">
        <v>27</v>
      </c>
      <c r="C1093">
        <v>98</v>
      </c>
      <c r="D1093">
        <v>1</v>
      </c>
      <c r="E1093" t="s">
        <v>38</v>
      </c>
      <c r="F1093" t="s">
        <v>39</v>
      </c>
      <c r="G1093" t="str">
        <f>"2026-01-21 22:16:16.760"</f>
        <v>2026-01-21 22:16:16.760</v>
      </c>
      <c r="H1093" t="s">
        <v>22</v>
      </c>
      <c r="I1093">
        <v>7.11</v>
      </c>
      <c r="J1093" t="s">
        <v>28</v>
      </c>
    </row>
    <row r="1094" spans="1:10" x14ac:dyDescent="0.25">
      <c r="A1094" s="1">
        <v>205</v>
      </c>
      <c r="B1094" t="s">
        <v>24</v>
      </c>
      <c r="C1094">
        <v>98</v>
      </c>
      <c r="D1094">
        <v>1</v>
      </c>
      <c r="E1094" t="s">
        <v>38</v>
      </c>
      <c r="F1094" t="s">
        <v>39</v>
      </c>
      <c r="G1094" t="str">
        <f>"2026-01-21 22:16:15.960"</f>
        <v>2026-01-21 22:16:15.960</v>
      </c>
      <c r="H1094" t="s">
        <v>22</v>
      </c>
    </row>
    <row r="1095" spans="1:10" x14ac:dyDescent="0.25">
      <c r="A1095" s="1">
        <v>206</v>
      </c>
      <c r="B1095" t="s">
        <v>27</v>
      </c>
      <c r="C1095">
        <v>98</v>
      </c>
      <c r="D1095">
        <v>1</v>
      </c>
      <c r="E1095" t="s">
        <v>38</v>
      </c>
      <c r="F1095" t="s">
        <v>39</v>
      </c>
      <c r="G1095" t="str">
        <f>"2026-01-21 22:16:14.960"</f>
        <v>2026-01-21 22:16:14.960</v>
      </c>
      <c r="H1095" t="s">
        <v>22</v>
      </c>
      <c r="I1095">
        <v>7.05</v>
      </c>
      <c r="J1095" t="s">
        <v>28</v>
      </c>
    </row>
    <row r="1096" spans="1:10" x14ac:dyDescent="0.25">
      <c r="A1096" s="1">
        <v>207</v>
      </c>
      <c r="B1096" t="s">
        <v>24</v>
      </c>
      <c r="C1096">
        <v>98</v>
      </c>
      <c r="D1096">
        <v>1</v>
      </c>
      <c r="E1096" t="s">
        <v>38</v>
      </c>
      <c r="F1096" t="s">
        <v>39</v>
      </c>
      <c r="G1096" t="str">
        <f>"2026-01-21 20:01:48.260"</f>
        <v>2026-01-21 20:01:48.260</v>
      </c>
      <c r="H1096" t="s">
        <v>22</v>
      </c>
    </row>
    <row r="1097" spans="1:10" x14ac:dyDescent="0.25">
      <c r="A1097" s="1">
        <v>208</v>
      </c>
      <c r="B1097" t="s">
        <v>27</v>
      </c>
      <c r="C1097">
        <v>98</v>
      </c>
      <c r="D1097">
        <v>1</v>
      </c>
      <c r="E1097" t="s">
        <v>38</v>
      </c>
      <c r="F1097" t="s">
        <v>39</v>
      </c>
      <c r="G1097" t="str">
        <f>"2026-01-21 20:01:47.160"</f>
        <v>2026-01-21 20:01:47.160</v>
      </c>
      <c r="H1097" t="s">
        <v>22</v>
      </c>
      <c r="I1097">
        <v>11.65</v>
      </c>
      <c r="J1097" t="s">
        <v>28</v>
      </c>
    </row>
    <row r="1098" spans="1:10" x14ac:dyDescent="0.25">
      <c r="A1098" s="1">
        <v>209</v>
      </c>
      <c r="B1098" t="s">
        <v>24</v>
      </c>
      <c r="C1098">
        <v>98</v>
      </c>
      <c r="D1098">
        <v>1</v>
      </c>
      <c r="E1098" t="s">
        <v>38</v>
      </c>
      <c r="F1098" t="s">
        <v>39</v>
      </c>
      <c r="G1098" t="str">
        <f>"2026-01-21 20:01:46.460"</f>
        <v>2026-01-21 20:01:46.460</v>
      </c>
      <c r="H1098" t="s">
        <v>22</v>
      </c>
    </row>
    <row r="1099" spans="1:10" x14ac:dyDescent="0.25">
      <c r="A1099" s="1">
        <v>210</v>
      </c>
      <c r="B1099" t="s">
        <v>27</v>
      </c>
      <c r="C1099">
        <v>98</v>
      </c>
      <c r="D1099">
        <v>1</v>
      </c>
      <c r="E1099" t="s">
        <v>38</v>
      </c>
      <c r="F1099" t="s">
        <v>39</v>
      </c>
      <c r="G1099" t="str">
        <f>"2026-01-21 20:01:45.260"</f>
        <v>2026-01-21 20:01:45.260</v>
      </c>
      <c r="H1099" t="s">
        <v>22</v>
      </c>
      <c r="I1099">
        <v>11.24</v>
      </c>
      <c r="J1099" t="s">
        <v>28</v>
      </c>
    </row>
    <row r="1100" spans="1:10" x14ac:dyDescent="0.25">
      <c r="A1100" s="1">
        <v>211</v>
      </c>
      <c r="B1100" t="s">
        <v>24</v>
      </c>
      <c r="C1100">
        <v>630</v>
      </c>
      <c r="D1100">
        <v>5</v>
      </c>
      <c r="E1100" t="s">
        <v>29</v>
      </c>
      <c r="F1100" t="s">
        <v>30</v>
      </c>
      <c r="G1100" t="str">
        <f>"2026-01-21 14:49:43.947"</f>
        <v>2026-01-21 14:49:43.947</v>
      </c>
      <c r="H1100" t="s">
        <v>31</v>
      </c>
    </row>
    <row r="1101" spans="1:10" x14ac:dyDescent="0.25">
      <c r="A1101" s="1">
        <v>212</v>
      </c>
      <c r="B1101" t="s">
        <v>19</v>
      </c>
      <c r="C1101">
        <v>706</v>
      </c>
      <c r="D1101">
        <v>2</v>
      </c>
      <c r="E1101" t="s">
        <v>20</v>
      </c>
      <c r="F1101" t="s">
        <v>21</v>
      </c>
      <c r="G1101" t="str">
        <f>"2026-01-21 14:49:13.806"</f>
        <v>2026-01-21 14:49:13.806</v>
      </c>
      <c r="H1101" t="s">
        <v>22</v>
      </c>
      <c r="I1101">
        <v>0</v>
      </c>
      <c r="J1101" t="s">
        <v>23</v>
      </c>
    </row>
    <row r="1102" spans="1:10" x14ac:dyDescent="0.25">
      <c r="A1102" s="1">
        <v>213</v>
      </c>
      <c r="B1102" t="s">
        <v>32</v>
      </c>
      <c r="C1102">
        <v>630</v>
      </c>
      <c r="D1102">
        <v>5</v>
      </c>
      <c r="E1102" t="s">
        <v>29</v>
      </c>
      <c r="F1102" t="s">
        <v>30</v>
      </c>
      <c r="G1102" t="str">
        <f>"2026-01-21 14:42:21.347"</f>
        <v>2026-01-21 14:42:21.347</v>
      </c>
      <c r="H1102" t="s">
        <v>31</v>
      </c>
      <c r="I1102">
        <v>0</v>
      </c>
      <c r="J1102" t="s">
        <v>23</v>
      </c>
    </row>
    <row r="1103" spans="1:10" x14ac:dyDescent="0.25">
      <c r="A1103" s="1">
        <v>214</v>
      </c>
      <c r="B1103" t="s">
        <v>24</v>
      </c>
      <c r="C1103">
        <v>635</v>
      </c>
      <c r="D1103">
        <v>1</v>
      </c>
      <c r="E1103" t="s">
        <v>25</v>
      </c>
      <c r="F1103" t="s">
        <v>26</v>
      </c>
      <c r="G1103" t="str">
        <f>"2026-01-19 22:02:20.347"</f>
        <v>2026-01-19 22:02:20.347</v>
      </c>
      <c r="H1103" t="s">
        <v>22</v>
      </c>
    </row>
    <row r="1104" spans="1:10" x14ac:dyDescent="0.25">
      <c r="A1104" s="1">
        <v>215</v>
      </c>
      <c r="B1104" t="s">
        <v>27</v>
      </c>
      <c r="C1104">
        <v>635</v>
      </c>
      <c r="D1104">
        <v>1</v>
      </c>
      <c r="E1104" t="s">
        <v>25</v>
      </c>
      <c r="F1104" t="s">
        <v>26</v>
      </c>
      <c r="G1104" t="str">
        <f>"2026-01-19 21:55:06.947"</f>
        <v>2026-01-19 21:55:06.947</v>
      </c>
      <c r="H1104" t="s">
        <v>22</v>
      </c>
      <c r="I1104">
        <v>4.1100000000000003</v>
      </c>
      <c r="J1104" t="s">
        <v>28</v>
      </c>
    </row>
    <row r="1105" spans="1:10" x14ac:dyDescent="0.25">
      <c r="A1105" s="1">
        <v>216</v>
      </c>
      <c r="B1105" t="s">
        <v>24</v>
      </c>
      <c r="C1105">
        <v>61</v>
      </c>
      <c r="D1105">
        <v>2</v>
      </c>
      <c r="E1105" t="s">
        <v>72</v>
      </c>
      <c r="F1105" t="s">
        <v>73</v>
      </c>
      <c r="G1105" t="str">
        <f>"2026-01-18 10:24:37.460"</f>
        <v>2026-01-18 10:24:37.460</v>
      </c>
      <c r="H1105" t="s">
        <v>22</v>
      </c>
    </row>
    <row r="1106" spans="1:10" x14ac:dyDescent="0.25">
      <c r="A1106" s="1">
        <v>217</v>
      </c>
      <c r="B1106" t="s">
        <v>32</v>
      </c>
      <c r="C1106">
        <v>61</v>
      </c>
      <c r="D1106">
        <v>2</v>
      </c>
      <c r="E1106" t="s">
        <v>72</v>
      </c>
      <c r="F1106" t="s">
        <v>73</v>
      </c>
      <c r="G1106" t="str">
        <f>"2026-01-18 10:24:28.660"</f>
        <v>2026-01-18 10:24:28.660</v>
      </c>
      <c r="H1106" t="s">
        <v>22</v>
      </c>
      <c r="I1106">
        <v>32.22</v>
      </c>
      <c r="J1106" t="s">
        <v>36</v>
      </c>
    </row>
    <row r="1107" spans="1:10" x14ac:dyDescent="0.25">
      <c r="A1107" s="1">
        <v>218</v>
      </c>
      <c r="B1107" t="s">
        <v>24</v>
      </c>
      <c r="C1107">
        <v>630</v>
      </c>
      <c r="D1107">
        <v>5</v>
      </c>
      <c r="E1107" t="s">
        <v>29</v>
      </c>
      <c r="F1107" t="s">
        <v>30</v>
      </c>
      <c r="G1107" t="str">
        <f>"2026-01-18 06:07:42.247"</f>
        <v>2026-01-18 06:07:42.247</v>
      </c>
      <c r="H1107" t="s">
        <v>31</v>
      </c>
    </row>
    <row r="1108" spans="1:10" x14ac:dyDescent="0.25">
      <c r="A1108" s="1">
        <v>219</v>
      </c>
      <c r="B1108" t="s">
        <v>19</v>
      </c>
      <c r="C1108">
        <v>706</v>
      </c>
      <c r="D1108">
        <v>2</v>
      </c>
      <c r="E1108" t="s">
        <v>20</v>
      </c>
      <c r="F1108" t="s">
        <v>21</v>
      </c>
      <c r="G1108" t="str">
        <f>"2026-01-18 06:07:12.206"</f>
        <v>2026-01-18 06:07:12.206</v>
      </c>
      <c r="H1108" t="s">
        <v>22</v>
      </c>
      <c r="I1108">
        <v>0</v>
      </c>
      <c r="J1108" t="s">
        <v>23</v>
      </c>
    </row>
    <row r="1109" spans="1:10" x14ac:dyDescent="0.25">
      <c r="A1109" s="1">
        <v>220</v>
      </c>
      <c r="B1109" t="s">
        <v>32</v>
      </c>
      <c r="C1109">
        <v>630</v>
      </c>
      <c r="D1109">
        <v>5</v>
      </c>
      <c r="E1109" t="s">
        <v>29</v>
      </c>
      <c r="F1109" t="s">
        <v>30</v>
      </c>
      <c r="G1109" t="str">
        <f>"2026-01-18 05:57:05.147"</f>
        <v>2026-01-18 05:57:05.147</v>
      </c>
      <c r="H1109" t="s">
        <v>31</v>
      </c>
      <c r="I1109">
        <v>0</v>
      </c>
      <c r="J1109" t="s">
        <v>23</v>
      </c>
    </row>
    <row r="1110" spans="1:10" x14ac:dyDescent="0.25">
      <c r="A1110" s="1">
        <v>221</v>
      </c>
      <c r="B1110" t="s">
        <v>24</v>
      </c>
      <c r="C1110">
        <v>630</v>
      </c>
      <c r="D1110">
        <v>5</v>
      </c>
      <c r="E1110" t="s">
        <v>29</v>
      </c>
      <c r="F1110" t="s">
        <v>30</v>
      </c>
      <c r="G1110" t="str">
        <f>"2026-01-18 05:51:10.147"</f>
        <v>2026-01-18 05:51:10.147</v>
      </c>
      <c r="H1110" t="s">
        <v>31</v>
      </c>
    </row>
    <row r="1111" spans="1:10" x14ac:dyDescent="0.25">
      <c r="A1111" s="1">
        <v>222</v>
      </c>
      <c r="B1111" t="s">
        <v>19</v>
      </c>
      <c r="C1111">
        <v>706</v>
      </c>
      <c r="D1111">
        <v>2</v>
      </c>
      <c r="E1111" t="s">
        <v>20</v>
      </c>
      <c r="F1111" t="s">
        <v>21</v>
      </c>
      <c r="G1111" t="str">
        <f>"2026-01-18 05:50:40.106"</f>
        <v>2026-01-18 05:50:40.106</v>
      </c>
      <c r="H1111" t="s">
        <v>22</v>
      </c>
      <c r="I1111">
        <v>0</v>
      </c>
      <c r="J1111" t="s">
        <v>23</v>
      </c>
    </row>
    <row r="1112" spans="1:10" x14ac:dyDescent="0.25">
      <c r="A1112" s="1">
        <v>223</v>
      </c>
      <c r="B1112" t="s">
        <v>32</v>
      </c>
      <c r="C1112">
        <v>630</v>
      </c>
      <c r="D1112">
        <v>5</v>
      </c>
      <c r="E1112" t="s">
        <v>29</v>
      </c>
      <c r="F1112" t="s">
        <v>30</v>
      </c>
      <c r="G1112" t="str">
        <f>"2026-01-18 05:18:10.148"</f>
        <v>2026-01-18 05:18:10.148</v>
      </c>
      <c r="H1112" t="s">
        <v>31</v>
      </c>
      <c r="I1112">
        <v>0</v>
      </c>
      <c r="J1112" t="s">
        <v>23</v>
      </c>
    </row>
    <row r="1113" spans="1:10" x14ac:dyDescent="0.25">
      <c r="A1113" s="1">
        <v>224</v>
      </c>
      <c r="B1113" t="s">
        <v>19</v>
      </c>
      <c r="C1113">
        <v>700</v>
      </c>
      <c r="D1113">
        <v>0</v>
      </c>
      <c r="E1113" t="s">
        <v>33</v>
      </c>
      <c r="F1113" t="s">
        <v>33</v>
      </c>
      <c r="G1113" t="str">
        <f>"2026-01-18 05:13:07.366"</f>
        <v>2026-01-18 05:13:07.366</v>
      </c>
      <c r="H1113" t="s">
        <v>22</v>
      </c>
    </row>
    <row r="1114" spans="1:10" x14ac:dyDescent="0.25">
      <c r="A1114" s="1">
        <v>225</v>
      </c>
      <c r="B1114" t="s">
        <v>19</v>
      </c>
      <c r="C1114">
        <v>700</v>
      </c>
      <c r="D1114">
        <v>0</v>
      </c>
      <c r="E1114" t="s">
        <v>33</v>
      </c>
      <c r="F1114" t="s">
        <v>33</v>
      </c>
      <c r="G1114" t="str">
        <f>"2026-01-18 04:00:08.391"</f>
        <v>2026-01-18 04:00:08.391</v>
      </c>
      <c r="H1114" t="s">
        <v>22</v>
      </c>
      <c r="I1114">
        <v>0</v>
      </c>
      <c r="J1114" t="s">
        <v>41</v>
      </c>
    </row>
    <row r="1115" spans="1:10" x14ac:dyDescent="0.25">
      <c r="A1115" s="1">
        <v>226</v>
      </c>
      <c r="B1115" t="s">
        <v>32</v>
      </c>
      <c r="C1115">
        <v>630</v>
      </c>
      <c r="D1115">
        <v>5</v>
      </c>
      <c r="E1115" t="s">
        <v>29</v>
      </c>
      <c r="F1115" t="s">
        <v>30</v>
      </c>
      <c r="G1115" t="str">
        <f>"2026-01-18 03:49:49.912"</f>
        <v>2026-01-18 03:49:49.912</v>
      </c>
      <c r="H1115" t="s">
        <v>31</v>
      </c>
      <c r="I1115">
        <v>0</v>
      </c>
      <c r="J1115" t="s">
        <v>23</v>
      </c>
    </row>
    <row r="1116" spans="1:10" x14ac:dyDescent="0.25">
      <c r="A1116" s="1">
        <v>227</v>
      </c>
      <c r="B1116" t="s">
        <v>74</v>
      </c>
      <c r="C1116">
        <v>228</v>
      </c>
      <c r="D1116">
        <v>4</v>
      </c>
      <c r="E1116" t="s">
        <v>82</v>
      </c>
      <c r="F1116" t="s">
        <v>76</v>
      </c>
      <c r="G1116" t="str">
        <f>"2026-01-17 07:09:02.125"</f>
        <v>2026-01-17 07:09:02.125</v>
      </c>
      <c r="H1116" t="s">
        <v>53</v>
      </c>
    </row>
    <row r="1117" spans="1:10" x14ac:dyDescent="0.25">
      <c r="A1117" s="1">
        <v>228</v>
      </c>
      <c r="B1117" t="s">
        <v>32</v>
      </c>
      <c r="C1117">
        <v>228</v>
      </c>
      <c r="D1117">
        <v>4</v>
      </c>
      <c r="E1117" t="s">
        <v>82</v>
      </c>
      <c r="F1117" t="s">
        <v>76</v>
      </c>
      <c r="G1117" t="str">
        <f>"2026-01-17 07:08:57.054"</f>
        <v>2026-01-17 07:08:57.054</v>
      </c>
      <c r="H1117" t="s">
        <v>53</v>
      </c>
      <c r="I1117">
        <v>7.55</v>
      </c>
      <c r="J1117" t="s">
        <v>28</v>
      </c>
    </row>
    <row r="1118" spans="1:10" x14ac:dyDescent="0.25">
      <c r="A1118" s="1">
        <v>230</v>
      </c>
      <c r="B1118" t="s">
        <v>19</v>
      </c>
      <c r="C1118">
        <v>700</v>
      </c>
      <c r="D1118">
        <v>0</v>
      </c>
      <c r="E1118" t="s">
        <v>33</v>
      </c>
      <c r="F1118" t="s">
        <v>33</v>
      </c>
      <c r="G1118" t="str">
        <f>"2026-01-16 14:57:59.390"</f>
        <v>2026-01-16 14:57:59.390</v>
      </c>
      <c r="H1118" t="s">
        <v>22</v>
      </c>
      <c r="I1118">
        <v>0</v>
      </c>
      <c r="J1118" t="s">
        <v>41</v>
      </c>
    </row>
    <row r="1119" spans="1:10" x14ac:dyDescent="0.25">
      <c r="A1119" s="1">
        <v>231</v>
      </c>
      <c r="B1119" t="s">
        <v>19</v>
      </c>
      <c r="C1119">
        <v>700</v>
      </c>
      <c r="D1119">
        <v>0</v>
      </c>
      <c r="E1119" t="s">
        <v>33</v>
      </c>
      <c r="F1119" t="s">
        <v>33</v>
      </c>
      <c r="G1119" t="str">
        <f>"2026-01-16 14:50:41.387"</f>
        <v>2026-01-16 14:50:41.387</v>
      </c>
      <c r="H1119" t="s">
        <v>22</v>
      </c>
    </row>
    <row r="1120" spans="1:10" x14ac:dyDescent="0.25">
      <c r="A1120" s="1">
        <v>232</v>
      </c>
      <c r="B1120" t="s">
        <v>24</v>
      </c>
      <c r="C1120">
        <v>650</v>
      </c>
      <c r="D1120">
        <v>5</v>
      </c>
      <c r="E1120" t="s">
        <v>100</v>
      </c>
      <c r="F1120" t="s">
        <v>101</v>
      </c>
      <c r="G1120" t="str">
        <f>"2026-01-16 14:35:59.962"</f>
        <v>2026-01-16 14:35:59.962</v>
      </c>
      <c r="H1120" t="s">
        <v>22</v>
      </c>
    </row>
    <row r="1121" spans="1:10" x14ac:dyDescent="0.25">
      <c r="A1121" s="1">
        <v>235</v>
      </c>
      <c r="B1121" t="s">
        <v>27</v>
      </c>
      <c r="C1121">
        <v>650</v>
      </c>
      <c r="D1121">
        <v>5</v>
      </c>
      <c r="E1121" t="s">
        <v>100</v>
      </c>
      <c r="F1121" t="s">
        <v>101</v>
      </c>
      <c r="G1121" t="str">
        <f>"2026-01-16 14:35:32.362"</f>
        <v>2026-01-16 14:35:32.362</v>
      </c>
      <c r="H1121" t="s">
        <v>22</v>
      </c>
      <c r="I1121">
        <v>0</v>
      </c>
      <c r="J1121" t="s">
        <v>37</v>
      </c>
    </row>
    <row r="1122" spans="1:10" x14ac:dyDescent="0.25">
      <c r="A1122" s="1">
        <v>236</v>
      </c>
      <c r="B1122" t="s">
        <v>19</v>
      </c>
      <c r="C1122">
        <v>782</v>
      </c>
      <c r="D1122">
        <v>7</v>
      </c>
      <c r="E1122" t="s">
        <v>43</v>
      </c>
      <c r="F1122" t="s">
        <v>44</v>
      </c>
      <c r="G1122" t="str">
        <f>"2026-01-16 14:35:32.318"</f>
        <v>2026-01-16 14:35:32.318</v>
      </c>
      <c r="H1122" t="s">
        <v>22</v>
      </c>
      <c r="I1122">
        <v>0</v>
      </c>
      <c r="J1122" t="s">
        <v>37</v>
      </c>
    </row>
    <row r="1123" spans="1:10" x14ac:dyDescent="0.25">
      <c r="A1123" s="1">
        <v>239</v>
      </c>
      <c r="B1123" t="s">
        <v>24</v>
      </c>
      <c r="C1123">
        <v>650</v>
      </c>
      <c r="D1123">
        <v>5</v>
      </c>
      <c r="E1123" t="s">
        <v>100</v>
      </c>
      <c r="F1123" t="s">
        <v>101</v>
      </c>
      <c r="G1123" t="str">
        <f>"2026-01-16 14:35:32.314"</f>
        <v>2026-01-16 14:35:32.314</v>
      </c>
      <c r="H1123" t="s">
        <v>22</v>
      </c>
    </row>
    <row r="1124" spans="1:10" x14ac:dyDescent="0.25">
      <c r="A1124" s="1">
        <v>240</v>
      </c>
      <c r="B1124" t="s">
        <v>19</v>
      </c>
      <c r="C1124">
        <v>782</v>
      </c>
      <c r="D1124">
        <v>7</v>
      </c>
      <c r="E1124" t="s">
        <v>43</v>
      </c>
      <c r="F1124" t="s">
        <v>44</v>
      </c>
      <c r="G1124" t="str">
        <f>"2026-01-16 14:35:32.313"</f>
        <v>2026-01-16 14:35:32.313</v>
      </c>
      <c r="H1124" t="s">
        <v>22</v>
      </c>
      <c r="I1124">
        <v>0</v>
      </c>
      <c r="J1124" t="s">
        <v>37</v>
      </c>
    </row>
    <row r="1125" spans="1:10" x14ac:dyDescent="0.25">
      <c r="A1125" s="1">
        <v>241</v>
      </c>
      <c r="B1125" t="s">
        <v>27</v>
      </c>
      <c r="C1125">
        <v>650</v>
      </c>
      <c r="D1125">
        <v>5</v>
      </c>
      <c r="E1125" t="s">
        <v>100</v>
      </c>
      <c r="F1125" t="s">
        <v>101</v>
      </c>
      <c r="G1125" t="str">
        <f>"2026-01-16 11:02:08.362"</f>
        <v>2026-01-16 11:02:08.362</v>
      </c>
      <c r="H1125" t="s">
        <v>22</v>
      </c>
      <c r="I1125">
        <v>0</v>
      </c>
      <c r="J1125" t="s">
        <v>37</v>
      </c>
    </row>
    <row r="1126" spans="1:10" x14ac:dyDescent="0.25">
      <c r="A1126" s="1">
        <v>242</v>
      </c>
      <c r="B1126" t="s">
        <v>24</v>
      </c>
      <c r="C1126">
        <v>635</v>
      </c>
      <c r="D1126">
        <v>1</v>
      </c>
      <c r="E1126" t="s">
        <v>25</v>
      </c>
      <c r="F1126" t="s">
        <v>26</v>
      </c>
      <c r="G1126" t="str">
        <f>"2026-01-14 10:58:13.161"</f>
        <v>2026-01-14 10:58:13.161</v>
      </c>
      <c r="H1126" t="s">
        <v>22</v>
      </c>
    </row>
    <row r="1127" spans="1:10" x14ac:dyDescent="0.25">
      <c r="A1127" s="1">
        <v>243</v>
      </c>
      <c r="B1127" t="s">
        <v>27</v>
      </c>
      <c r="C1127">
        <v>635</v>
      </c>
      <c r="D1127">
        <v>1</v>
      </c>
      <c r="E1127" t="s">
        <v>25</v>
      </c>
      <c r="F1127" t="s">
        <v>26</v>
      </c>
      <c r="G1127" t="str">
        <f>"2026-01-14 10:54:32.761"</f>
        <v>2026-01-14 10:54:32.761</v>
      </c>
      <c r="H1127" t="s">
        <v>22</v>
      </c>
      <c r="I1127">
        <v>4.75</v>
      </c>
      <c r="J1127" t="s">
        <v>28</v>
      </c>
    </row>
    <row r="1128" spans="1:10" x14ac:dyDescent="0.25">
      <c r="A1128" s="1">
        <v>244</v>
      </c>
      <c r="B1128" t="s">
        <v>24</v>
      </c>
      <c r="C1128">
        <v>650</v>
      </c>
      <c r="D1128">
        <v>5</v>
      </c>
      <c r="E1128" t="s">
        <v>100</v>
      </c>
      <c r="F1128" t="s">
        <v>101</v>
      </c>
      <c r="G1128" t="str">
        <f>"2026-01-14 09:03:37.962"</f>
        <v>2026-01-14 09:03:37.962</v>
      </c>
      <c r="H1128" t="s">
        <v>22</v>
      </c>
    </row>
    <row r="1129" spans="1:10" x14ac:dyDescent="0.25">
      <c r="A1129" s="1">
        <v>245</v>
      </c>
      <c r="B1129" t="s">
        <v>19</v>
      </c>
      <c r="C1129">
        <v>700</v>
      </c>
      <c r="D1129">
        <v>0</v>
      </c>
      <c r="E1129" t="s">
        <v>33</v>
      </c>
      <c r="F1129" t="s">
        <v>33</v>
      </c>
      <c r="G1129" t="str">
        <f>"2026-01-14 09:03:34.371"</f>
        <v>2026-01-14 09:03:34.371</v>
      </c>
      <c r="H1129" t="s">
        <v>22</v>
      </c>
    </row>
    <row r="1130" spans="1:10" x14ac:dyDescent="0.25">
      <c r="A1130" s="1">
        <v>246</v>
      </c>
      <c r="B1130" t="s">
        <v>27</v>
      </c>
      <c r="C1130">
        <v>650</v>
      </c>
      <c r="D1130">
        <v>5</v>
      </c>
      <c r="E1130" t="s">
        <v>100</v>
      </c>
      <c r="F1130" t="s">
        <v>101</v>
      </c>
      <c r="G1130" t="str">
        <f>"2026-01-14 07:46:16.369"</f>
        <v>2026-01-14 07:46:16.369</v>
      </c>
      <c r="H1130" t="s">
        <v>22</v>
      </c>
      <c r="I1130">
        <v>0</v>
      </c>
      <c r="J1130" t="s">
        <v>37</v>
      </c>
    </row>
    <row r="1131" spans="1:10" x14ac:dyDescent="0.25">
      <c r="A1131" s="1">
        <v>247</v>
      </c>
      <c r="B1131" t="s">
        <v>24</v>
      </c>
      <c r="C1131">
        <v>650</v>
      </c>
      <c r="D1131">
        <v>5</v>
      </c>
      <c r="E1131" t="s">
        <v>100</v>
      </c>
      <c r="F1131" t="s">
        <v>101</v>
      </c>
      <c r="G1131" t="str">
        <f>"2026-01-14 07:46:16.367"</f>
        <v>2026-01-14 07:46:16.367</v>
      </c>
      <c r="H1131" t="s">
        <v>22</v>
      </c>
    </row>
    <row r="1132" spans="1:10" x14ac:dyDescent="0.25">
      <c r="A1132" s="1">
        <v>250</v>
      </c>
      <c r="B1132" t="s">
        <v>27</v>
      </c>
      <c r="C1132">
        <v>650</v>
      </c>
      <c r="D1132">
        <v>5</v>
      </c>
      <c r="E1132" t="s">
        <v>100</v>
      </c>
      <c r="F1132" t="s">
        <v>101</v>
      </c>
      <c r="G1132" t="str">
        <f>"2026-01-14 07:46:00.977"</f>
        <v>2026-01-14 07:46:00.977</v>
      </c>
      <c r="H1132" t="s">
        <v>22</v>
      </c>
      <c r="I1132">
        <v>0</v>
      </c>
      <c r="J1132" t="s">
        <v>37</v>
      </c>
    </row>
    <row r="1133" spans="1:10" x14ac:dyDescent="0.25">
      <c r="A1133" s="1">
        <v>251</v>
      </c>
      <c r="B1133" t="s">
        <v>19</v>
      </c>
      <c r="C1133">
        <v>782</v>
      </c>
      <c r="D1133">
        <v>7</v>
      </c>
      <c r="E1133" t="s">
        <v>43</v>
      </c>
      <c r="F1133" t="s">
        <v>44</v>
      </c>
      <c r="G1133" t="str">
        <f>"2026-01-14 07:46:00.975"</f>
        <v>2026-01-14 07:46:00.975</v>
      </c>
      <c r="H1133" t="s">
        <v>22</v>
      </c>
      <c r="I1133">
        <v>0</v>
      </c>
      <c r="J1133" t="s">
        <v>37</v>
      </c>
    </row>
    <row r="1134" spans="1:10" x14ac:dyDescent="0.25">
      <c r="A1134" s="1">
        <v>254</v>
      </c>
      <c r="B1134" t="s">
        <v>24</v>
      </c>
      <c r="C1134">
        <v>650</v>
      </c>
      <c r="D1134">
        <v>5</v>
      </c>
      <c r="E1134" t="s">
        <v>100</v>
      </c>
      <c r="F1134" t="s">
        <v>101</v>
      </c>
      <c r="G1134" t="str">
        <f>"2026-01-14 07:46:00.969"</f>
        <v>2026-01-14 07:46:00.969</v>
      </c>
      <c r="H1134" t="s">
        <v>22</v>
      </c>
    </row>
    <row r="1135" spans="1:10" x14ac:dyDescent="0.25">
      <c r="A1135" s="1">
        <v>255</v>
      </c>
      <c r="B1135" t="s">
        <v>19</v>
      </c>
      <c r="C1135">
        <v>782</v>
      </c>
      <c r="D1135">
        <v>7</v>
      </c>
      <c r="E1135" t="s">
        <v>43</v>
      </c>
      <c r="F1135" t="s">
        <v>44</v>
      </c>
      <c r="G1135" t="str">
        <f>"2026-01-14 07:46:00.967"</f>
        <v>2026-01-14 07:46:00.967</v>
      </c>
      <c r="H1135" t="s">
        <v>22</v>
      </c>
      <c r="I1135">
        <v>0</v>
      </c>
      <c r="J1135" t="s">
        <v>37</v>
      </c>
    </row>
    <row r="1136" spans="1:10" x14ac:dyDescent="0.25">
      <c r="A1136" s="1">
        <v>258</v>
      </c>
      <c r="B1136" t="s">
        <v>27</v>
      </c>
      <c r="C1136">
        <v>650</v>
      </c>
      <c r="D1136">
        <v>5</v>
      </c>
      <c r="E1136" t="s">
        <v>100</v>
      </c>
      <c r="F1136" t="s">
        <v>101</v>
      </c>
      <c r="G1136" t="str">
        <f>"2026-01-14 07:45:54.777"</f>
        <v>2026-01-14 07:45:54.777</v>
      </c>
      <c r="H1136" t="s">
        <v>22</v>
      </c>
      <c r="I1136">
        <v>0</v>
      </c>
      <c r="J1136" t="s">
        <v>37</v>
      </c>
    </row>
    <row r="1137" spans="1:10" x14ac:dyDescent="0.25">
      <c r="A1137" s="1">
        <v>259</v>
      </c>
      <c r="B1137" t="s">
        <v>19</v>
      </c>
      <c r="C1137">
        <v>782</v>
      </c>
      <c r="D1137">
        <v>7</v>
      </c>
      <c r="E1137" t="s">
        <v>43</v>
      </c>
      <c r="F1137" t="s">
        <v>44</v>
      </c>
      <c r="G1137" t="str">
        <f>"2026-01-14 07:45:54.775"</f>
        <v>2026-01-14 07:45:54.775</v>
      </c>
      <c r="H1137" t="s">
        <v>22</v>
      </c>
      <c r="I1137">
        <v>0</v>
      </c>
      <c r="J1137" t="s">
        <v>37</v>
      </c>
    </row>
    <row r="1138" spans="1:10" x14ac:dyDescent="0.25">
      <c r="A1138" s="1">
        <v>262</v>
      </c>
      <c r="B1138" t="s">
        <v>24</v>
      </c>
      <c r="C1138">
        <v>650</v>
      </c>
      <c r="D1138">
        <v>5</v>
      </c>
      <c r="E1138" t="s">
        <v>100</v>
      </c>
      <c r="F1138" t="s">
        <v>101</v>
      </c>
      <c r="G1138" t="str">
        <f>"2026-01-14 07:45:54.769"</f>
        <v>2026-01-14 07:45:54.769</v>
      </c>
      <c r="H1138" t="s">
        <v>22</v>
      </c>
    </row>
    <row r="1139" spans="1:10" x14ac:dyDescent="0.25">
      <c r="A1139" s="1">
        <v>263</v>
      </c>
      <c r="B1139" t="s">
        <v>19</v>
      </c>
      <c r="C1139">
        <v>782</v>
      </c>
      <c r="D1139">
        <v>7</v>
      </c>
      <c r="E1139" t="s">
        <v>43</v>
      </c>
      <c r="F1139" t="s">
        <v>44</v>
      </c>
      <c r="G1139" t="str">
        <f>"2026-01-14 07:45:54.767"</f>
        <v>2026-01-14 07:45:54.767</v>
      </c>
      <c r="H1139" t="s">
        <v>22</v>
      </c>
      <c r="I1139">
        <v>0</v>
      </c>
      <c r="J1139" t="s">
        <v>37</v>
      </c>
    </row>
    <row r="1140" spans="1:10" x14ac:dyDescent="0.25">
      <c r="A1140" s="1">
        <v>264</v>
      </c>
      <c r="B1140" t="s">
        <v>27</v>
      </c>
      <c r="C1140">
        <v>650</v>
      </c>
      <c r="D1140">
        <v>5</v>
      </c>
      <c r="E1140" t="s">
        <v>100</v>
      </c>
      <c r="F1140" t="s">
        <v>101</v>
      </c>
      <c r="G1140" t="str">
        <f>"2026-01-14 07:45:36.969"</f>
        <v>2026-01-14 07:45:36.969</v>
      </c>
      <c r="H1140" t="s">
        <v>22</v>
      </c>
      <c r="I1140">
        <v>0</v>
      </c>
      <c r="J1140" t="s">
        <v>37</v>
      </c>
    </row>
    <row r="1141" spans="1:10" x14ac:dyDescent="0.25">
      <c r="A1141" s="1">
        <v>265</v>
      </c>
      <c r="B1141" t="s">
        <v>24</v>
      </c>
      <c r="C1141">
        <v>650</v>
      </c>
      <c r="D1141">
        <v>5</v>
      </c>
      <c r="E1141" t="s">
        <v>100</v>
      </c>
      <c r="F1141" t="s">
        <v>101</v>
      </c>
      <c r="G1141" t="str">
        <f>"2026-01-14 07:45:36.967"</f>
        <v>2026-01-14 07:45:36.967</v>
      </c>
      <c r="H1141" t="s">
        <v>22</v>
      </c>
    </row>
    <row r="1142" spans="1:10" x14ac:dyDescent="0.25">
      <c r="A1142" s="1">
        <v>268</v>
      </c>
      <c r="B1142" t="s">
        <v>27</v>
      </c>
      <c r="C1142">
        <v>650</v>
      </c>
      <c r="D1142">
        <v>5</v>
      </c>
      <c r="E1142" t="s">
        <v>100</v>
      </c>
      <c r="F1142" t="s">
        <v>101</v>
      </c>
      <c r="G1142" t="str">
        <f>"2026-01-14 07:45:30.577"</f>
        <v>2026-01-14 07:45:30.577</v>
      </c>
      <c r="H1142" t="s">
        <v>22</v>
      </c>
      <c r="I1142">
        <v>0</v>
      </c>
      <c r="J1142" t="s">
        <v>37</v>
      </c>
    </row>
    <row r="1143" spans="1:10" x14ac:dyDescent="0.25">
      <c r="A1143" s="1">
        <v>269</v>
      </c>
      <c r="B1143" t="s">
        <v>19</v>
      </c>
      <c r="C1143">
        <v>782</v>
      </c>
      <c r="D1143">
        <v>7</v>
      </c>
      <c r="E1143" t="s">
        <v>43</v>
      </c>
      <c r="F1143" t="s">
        <v>44</v>
      </c>
      <c r="G1143" t="str">
        <f>"2026-01-14 07:45:30.575"</f>
        <v>2026-01-14 07:45:30.575</v>
      </c>
      <c r="H1143" t="s">
        <v>22</v>
      </c>
      <c r="I1143">
        <v>0</v>
      </c>
      <c r="J1143" t="s">
        <v>37</v>
      </c>
    </row>
    <row r="1144" spans="1:10" x14ac:dyDescent="0.25">
      <c r="A1144" s="1">
        <v>272</v>
      </c>
      <c r="B1144" t="s">
        <v>24</v>
      </c>
      <c r="C1144">
        <v>650</v>
      </c>
      <c r="D1144">
        <v>5</v>
      </c>
      <c r="E1144" t="s">
        <v>100</v>
      </c>
      <c r="F1144" t="s">
        <v>101</v>
      </c>
      <c r="G1144" t="str">
        <f>"2026-01-14 07:45:30.569"</f>
        <v>2026-01-14 07:45:30.569</v>
      </c>
      <c r="H1144" t="s">
        <v>22</v>
      </c>
    </row>
    <row r="1145" spans="1:10" x14ac:dyDescent="0.25">
      <c r="A1145" s="1">
        <v>273</v>
      </c>
      <c r="B1145" t="s">
        <v>19</v>
      </c>
      <c r="C1145">
        <v>782</v>
      </c>
      <c r="D1145">
        <v>7</v>
      </c>
      <c r="E1145" t="s">
        <v>43</v>
      </c>
      <c r="F1145" t="s">
        <v>44</v>
      </c>
      <c r="G1145" t="str">
        <f>"2026-01-14 07:45:30.567"</f>
        <v>2026-01-14 07:45:30.567</v>
      </c>
      <c r="H1145" t="s">
        <v>22</v>
      </c>
      <c r="I1145">
        <v>0</v>
      </c>
      <c r="J1145" t="s">
        <v>37</v>
      </c>
    </row>
    <row r="1146" spans="1:10" x14ac:dyDescent="0.25">
      <c r="A1146" s="1">
        <v>274</v>
      </c>
      <c r="B1146" t="s">
        <v>24</v>
      </c>
      <c r="C1146">
        <v>635</v>
      </c>
      <c r="D1146">
        <v>1</v>
      </c>
      <c r="E1146" t="s">
        <v>25</v>
      </c>
      <c r="F1146" t="s">
        <v>26</v>
      </c>
      <c r="G1146" t="str">
        <f>"2026-01-13 19:24:40.615"</f>
        <v>2026-01-13 19:24:40.615</v>
      </c>
      <c r="H1146" t="s">
        <v>22</v>
      </c>
    </row>
    <row r="1147" spans="1:10" x14ac:dyDescent="0.25">
      <c r="A1147" s="1">
        <v>275</v>
      </c>
      <c r="B1147" t="s">
        <v>27</v>
      </c>
      <c r="C1147">
        <v>635</v>
      </c>
      <c r="D1147">
        <v>1</v>
      </c>
      <c r="E1147" t="s">
        <v>25</v>
      </c>
      <c r="F1147" t="s">
        <v>26</v>
      </c>
      <c r="G1147" t="str">
        <f>"2026-01-13 19:20:52.115"</f>
        <v>2026-01-13 19:20:52.115</v>
      </c>
      <c r="H1147" t="s">
        <v>22</v>
      </c>
      <c r="I1147">
        <v>6.6</v>
      </c>
      <c r="J1147" t="s">
        <v>28</v>
      </c>
    </row>
    <row r="1148" spans="1:10" x14ac:dyDescent="0.25">
      <c r="A1148" s="1">
        <v>276</v>
      </c>
      <c r="B1148" t="s">
        <v>27</v>
      </c>
      <c r="C1148">
        <v>650</v>
      </c>
      <c r="D1148">
        <v>5</v>
      </c>
      <c r="E1148" t="s">
        <v>100</v>
      </c>
      <c r="F1148" t="s">
        <v>101</v>
      </c>
      <c r="G1148" t="str">
        <f>"2026-01-13 15:36:33.468"</f>
        <v>2026-01-13 15:36:33.468</v>
      </c>
      <c r="H1148" t="s">
        <v>22</v>
      </c>
      <c r="I1148">
        <v>6.6</v>
      </c>
      <c r="J1148" t="s">
        <v>36</v>
      </c>
    </row>
    <row r="1149" spans="1:10" x14ac:dyDescent="0.25">
      <c r="A1149" s="1">
        <v>277</v>
      </c>
      <c r="B1149" t="s">
        <v>24</v>
      </c>
      <c r="C1149">
        <v>635</v>
      </c>
      <c r="D1149">
        <v>1</v>
      </c>
      <c r="E1149" t="s">
        <v>25</v>
      </c>
      <c r="F1149" t="s">
        <v>26</v>
      </c>
      <c r="G1149" t="str">
        <f>"2026-01-13 10:08:23.115"</f>
        <v>2026-01-13 10:08:23.115</v>
      </c>
      <c r="H1149" t="s">
        <v>22</v>
      </c>
    </row>
    <row r="1150" spans="1:10" x14ac:dyDescent="0.25">
      <c r="A1150" s="1">
        <v>278</v>
      </c>
      <c r="B1150" t="s">
        <v>27</v>
      </c>
      <c r="C1150">
        <v>635</v>
      </c>
      <c r="D1150">
        <v>1</v>
      </c>
      <c r="E1150" t="s">
        <v>25</v>
      </c>
      <c r="F1150" t="s">
        <v>26</v>
      </c>
      <c r="G1150" t="str">
        <f>"2026-01-13 10:04:35.615"</f>
        <v>2026-01-13 10:04:35.615</v>
      </c>
      <c r="H1150" t="s">
        <v>22</v>
      </c>
      <c r="I1150">
        <v>4.33</v>
      </c>
      <c r="J1150" t="s">
        <v>36</v>
      </c>
    </row>
    <row r="1151" spans="1:10" x14ac:dyDescent="0.25">
      <c r="A1151" s="1">
        <v>281</v>
      </c>
      <c r="B1151" t="s">
        <v>19</v>
      </c>
      <c r="C1151">
        <v>782</v>
      </c>
      <c r="D1151">
        <v>7</v>
      </c>
      <c r="E1151" t="s">
        <v>43</v>
      </c>
      <c r="F1151" t="s">
        <v>44</v>
      </c>
      <c r="G1151" t="str">
        <f>"2026-01-11 16:16:07.175"</f>
        <v>2026-01-11 16:16:07.175</v>
      </c>
      <c r="H1151" t="s">
        <v>22</v>
      </c>
      <c r="I1151">
        <v>0</v>
      </c>
      <c r="J1151" t="s">
        <v>37</v>
      </c>
    </row>
    <row r="1152" spans="1:10" x14ac:dyDescent="0.25">
      <c r="A1152" s="1">
        <v>284</v>
      </c>
      <c r="B1152" t="s">
        <v>24</v>
      </c>
      <c r="C1152">
        <v>79</v>
      </c>
      <c r="D1152">
        <v>9</v>
      </c>
      <c r="E1152" t="s">
        <v>45</v>
      </c>
      <c r="F1152" t="s">
        <v>46</v>
      </c>
      <c r="G1152" t="str">
        <f>"2026-01-11 16:16:07.168"</f>
        <v>2026-01-11 16:16:07.168</v>
      </c>
      <c r="H1152" t="s">
        <v>47</v>
      </c>
    </row>
    <row r="1153" spans="1:10" x14ac:dyDescent="0.25">
      <c r="A1153" s="1">
        <v>285</v>
      </c>
      <c r="B1153" t="s">
        <v>19</v>
      </c>
      <c r="C1153">
        <v>782</v>
      </c>
      <c r="D1153">
        <v>7</v>
      </c>
      <c r="E1153" t="s">
        <v>43</v>
      </c>
      <c r="F1153" t="s">
        <v>44</v>
      </c>
      <c r="G1153" t="str">
        <f>"2026-01-11 16:16:07.167"</f>
        <v>2026-01-11 16:16:07.167</v>
      </c>
      <c r="H1153" t="s">
        <v>22</v>
      </c>
      <c r="I1153">
        <v>0</v>
      </c>
      <c r="J1153" t="s">
        <v>37</v>
      </c>
    </row>
    <row r="1154" spans="1:10" x14ac:dyDescent="0.25">
      <c r="A1154" s="1">
        <v>286</v>
      </c>
      <c r="B1154" t="s">
        <v>24</v>
      </c>
      <c r="C1154">
        <v>650</v>
      </c>
      <c r="D1154">
        <v>5</v>
      </c>
      <c r="E1154" t="s">
        <v>100</v>
      </c>
      <c r="F1154" t="s">
        <v>101</v>
      </c>
      <c r="G1154" t="str">
        <f>"2026-01-11 16:15:27.168"</f>
        <v>2026-01-11 16:15:27.168</v>
      </c>
      <c r="H1154" t="s">
        <v>22</v>
      </c>
    </row>
    <row r="1155" spans="1:10" x14ac:dyDescent="0.25">
      <c r="A1155" s="1">
        <v>287</v>
      </c>
      <c r="B1155" t="s">
        <v>19</v>
      </c>
      <c r="C1155">
        <v>700</v>
      </c>
      <c r="D1155">
        <v>0</v>
      </c>
      <c r="E1155" t="s">
        <v>33</v>
      </c>
      <c r="F1155" t="s">
        <v>33</v>
      </c>
      <c r="G1155" t="str">
        <f>"2026-01-11 16:15:23.571"</f>
        <v>2026-01-11 16:15:23.571</v>
      </c>
      <c r="H1155" t="s">
        <v>22</v>
      </c>
      <c r="I1155">
        <v>0</v>
      </c>
      <c r="J1155" t="s">
        <v>41</v>
      </c>
    </row>
    <row r="1156" spans="1:10" x14ac:dyDescent="0.25">
      <c r="A1156" s="1">
        <v>288</v>
      </c>
      <c r="B1156" t="s">
        <v>24</v>
      </c>
      <c r="C1156">
        <v>14</v>
      </c>
      <c r="D1156">
        <v>10</v>
      </c>
      <c r="E1156" t="s">
        <v>48</v>
      </c>
      <c r="F1156" t="s">
        <v>49</v>
      </c>
      <c r="G1156" t="str">
        <f>"2026-01-11 16:10:53.737"</f>
        <v>2026-01-11 16:10:53.737</v>
      </c>
      <c r="H1156" t="s">
        <v>31</v>
      </c>
    </row>
    <row r="1157" spans="1:10" x14ac:dyDescent="0.25">
      <c r="A1157" s="1">
        <v>289</v>
      </c>
      <c r="B1157" t="s">
        <v>50</v>
      </c>
      <c r="C1157">
        <v>205</v>
      </c>
      <c r="D1157">
        <v>3</v>
      </c>
      <c r="E1157" t="s">
        <v>51</v>
      </c>
      <c r="F1157" t="s">
        <v>52</v>
      </c>
      <c r="G1157" t="str">
        <f>"2026-01-11 16:10:35.997"</f>
        <v>2026-01-11 16:10:35.997</v>
      </c>
      <c r="H1157" t="s">
        <v>53</v>
      </c>
    </row>
    <row r="1158" spans="1:10" x14ac:dyDescent="0.25">
      <c r="A1158" s="1">
        <v>290</v>
      </c>
      <c r="B1158" t="s">
        <v>50</v>
      </c>
      <c r="C1158">
        <v>204</v>
      </c>
      <c r="D1158">
        <v>8</v>
      </c>
      <c r="E1158" t="s">
        <v>54</v>
      </c>
      <c r="F1158" t="s">
        <v>55</v>
      </c>
      <c r="G1158" t="str">
        <f>"2026-01-11 16:10:35.995"</f>
        <v>2026-01-11 16:10:35.995</v>
      </c>
      <c r="H1158" t="s">
        <v>53</v>
      </c>
    </row>
    <row r="1159" spans="1:10" x14ac:dyDescent="0.25">
      <c r="A1159" s="1">
        <v>291</v>
      </c>
      <c r="B1159" t="s">
        <v>50</v>
      </c>
      <c r="C1159">
        <v>204</v>
      </c>
      <c r="D1159">
        <v>6</v>
      </c>
      <c r="E1159" t="s">
        <v>54</v>
      </c>
      <c r="F1159" t="s">
        <v>56</v>
      </c>
      <c r="G1159" t="str">
        <f>"2026-01-11 16:10:35.992"</f>
        <v>2026-01-11 16:10:35.992</v>
      </c>
      <c r="H1159" t="s">
        <v>53</v>
      </c>
    </row>
    <row r="1160" spans="1:10" x14ac:dyDescent="0.25">
      <c r="A1160" s="1">
        <v>292</v>
      </c>
      <c r="B1160" t="s">
        <v>50</v>
      </c>
      <c r="C1160">
        <v>204</v>
      </c>
      <c r="D1160">
        <v>5</v>
      </c>
      <c r="E1160" t="s">
        <v>54</v>
      </c>
      <c r="F1160" t="s">
        <v>57</v>
      </c>
      <c r="G1160" t="str">
        <f>"2026-01-11 16:10:35.991"</f>
        <v>2026-01-11 16:10:35.991</v>
      </c>
      <c r="H1160" t="s">
        <v>53</v>
      </c>
    </row>
    <row r="1161" spans="1:10" x14ac:dyDescent="0.25">
      <c r="A1161" s="1">
        <v>293</v>
      </c>
      <c r="B1161" t="s">
        <v>50</v>
      </c>
      <c r="C1161">
        <v>204</v>
      </c>
      <c r="D1161">
        <v>1</v>
      </c>
      <c r="E1161" t="s">
        <v>54</v>
      </c>
      <c r="F1161" t="s">
        <v>58</v>
      </c>
      <c r="G1161" t="str">
        <f>"2026-01-11 16:10:35.989"</f>
        <v>2026-01-11 16:10:35.989</v>
      </c>
      <c r="H1161" t="s">
        <v>53</v>
      </c>
    </row>
    <row r="1162" spans="1:10" x14ac:dyDescent="0.25">
      <c r="A1162" s="1">
        <v>294</v>
      </c>
      <c r="B1162" t="s">
        <v>50</v>
      </c>
      <c r="C1162">
        <v>105</v>
      </c>
      <c r="D1162">
        <v>3</v>
      </c>
      <c r="E1162" t="s">
        <v>59</v>
      </c>
      <c r="F1162" t="s">
        <v>52</v>
      </c>
      <c r="G1162" t="str">
        <f>"2026-01-11 16:10:35.987"</f>
        <v>2026-01-11 16:10:35.987</v>
      </c>
      <c r="H1162" t="s">
        <v>60</v>
      </c>
    </row>
    <row r="1163" spans="1:10" x14ac:dyDescent="0.25">
      <c r="A1163" s="1">
        <v>295</v>
      </c>
      <c r="B1163" t="s">
        <v>50</v>
      </c>
      <c r="C1163">
        <v>104</v>
      </c>
      <c r="D1163">
        <v>8</v>
      </c>
      <c r="E1163" t="s">
        <v>61</v>
      </c>
      <c r="F1163" t="s">
        <v>55</v>
      </c>
      <c r="G1163" t="str">
        <f>"2026-01-11 16:10:35.985"</f>
        <v>2026-01-11 16:10:35.985</v>
      </c>
      <c r="H1163" t="s">
        <v>60</v>
      </c>
    </row>
    <row r="1164" spans="1:10" x14ac:dyDescent="0.25">
      <c r="A1164" s="1">
        <v>296</v>
      </c>
      <c r="B1164" t="s">
        <v>50</v>
      </c>
      <c r="C1164">
        <v>104</v>
      </c>
      <c r="D1164">
        <v>6</v>
      </c>
      <c r="E1164" t="s">
        <v>61</v>
      </c>
      <c r="F1164" t="s">
        <v>56</v>
      </c>
      <c r="G1164" t="str">
        <f>"2026-01-11 16:10:35.984"</f>
        <v>2026-01-11 16:10:35.984</v>
      </c>
      <c r="H1164" t="s">
        <v>60</v>
      </c>
    </row>
    <row r="1165" spans="1:10" x14ac:dyDescent="0.25">
      <c r="A1165" s="1">
        <v>297</v>
      </c>
      <c r="B1165" t="s">
        <v>50</v>
      </c>
      <c r="C1165">
        <v>104</v>
      </c>
      <c r="D1165">
        <v>5</v>
      </c>
      <c r="E1165" t="s">
        <v>61</v>
      </c>
      <c r="F1165" t="s">
        <v>57</v>
      </c>
      <c r="G1165" t="str">
        <f>"2026-01-11 16:10:35.981"</f>
        <v>2026-01-11 16:10:35.981</v>
      </c>
      <c r="H1165" t="s">
        <v>60</v>
      </c>
    </row>
    <row r="1166" spans="1:10" x14ac:dyDescent="0.25">
      <c r="A1166" s="1">
        <v>298</v>
      </c>
      <c r="B1166" t="s">
        <v>50</v>
      </c>
      <c r="C1166">
        <v>104</v>
      </c>
      <c r="D1166">
        <v>1</v>
      </c>
      <c r="E1166" t="s">
        <v>61</v>
      </c>
      <c r="F1166" t="s">
        <v>58</v>
      </c>
      <c r="G1166" t="str">
        <f>"2026-01-11 16:10:35.978"</f>
        <v>2026-01-11 16:10:35.978</v>
      </c>
      <c r="H1166" t="s">
        <v>60</v>
      </c>
    </row>
    <row r="1167" spans="1:10" x14ac:dyDescent="0.25">
      <c r="A1167" s="1">
        <v>299</v>
      </c>
      <c r="B1167" t="s">
        <v>50</v>
      </c>
      <c r="C1167">
        <v>23</v>
      </c>
      <c r="D1167">
        <v>1</v>
      </c>
      <c r="E1167" t="s">
        <v>62</v>
      </c>
      <c r="F1167" t="s">
        <v>63</v>
      </c>
      <c r="G1167" t="str">
        <f>"2026-01-11 16:10:35.977"</f>
        <v>2026-01-11 16:10:35.977</v>
      </c>
      <c r="H1167" t="s">
        <v>64</v>
      </c>
    </row>
    <row r="1168" spans="1:10" x14ac:dyDescent="0.25">
      <c r="A1168" s="1">
        <v>300</v>
      </c>
      <c r="B1168" t="s">
        <v>27</v>
      </c>
      <c r="C1168">
        <v>79</v>
      </c>
      <c r="D1168">
        <v>9</v>
      </c>
      <c r="E1168" t="s">
        <v>45</v>
      </c>
      <c r="F1168" t="s">
        <v>46</v>
      </c>
      <c r="G1168" t="str">
        <f>"2026-01-11 16:10:32.736"</f>
        <v>2026-01-11 16:10:32.736</v>
      </c>
      <c r="H1168" t="s">
        <v>47</v>
      </c>
      <c r="I1168">
        <v>9.3000000000000007</v>
      </c>
      <c r="J1168" t="s">
        <v>37</v>
      </c>
    </row>
    <row r="1169" spans="1:10" x14ac:dyDescent="0.25">
      <c r="A1169" s="1">
        <v>301</v>
      </c>
      <c r="B1169" t="s">
        <v>27</v>
      </c>
      <c r="C1169">
        <v>14</v>
      </c>
      <c r="D1169">
        <v>10</v>
      </c>
      <c r="E1169" t="s">
        <v>48</v>
      </c>
      <c r="F1169" t="s">
        <v>49</v>
      </c>
      <c r="G1169" t="str">
        <f>"2026-01-11 16:10:32.636"</f>
        <v>2026-01-11 16:10:32.636</v>
      </c>
      <c r="H1169" t="s">
        <v>31</v>
      </c>
      <c r="I1169">
        <v>10.07</v>
      </c>
      <c r="J1169" t="s">
        <v>37</v>
      </c>
    </row>
    <row r="1170" spans="1:10" x14ac:dyDescent="0.25">
      <c r="A1170" s="1">
        <v>302</v>
      </c>
      <c r="B1170" t="s">
        <v>32</v>
      </c>
      <c r="C1170">
        <v>205</v>
      </c>
      <c r="D1170">
        <v>3</v>
      </c>
      <c r="E1170" t="s">
        <v>51</v>
      </c>
      <c r="F1170" t="s">
        <v>52</v>
      </c>
      <c r="G1170" t="str">
        <f>"2026-01-11 16:10:32.300"</f>
        <v>2026-01-11 16:10:32.300</v>
      </c>
      <c r="H1170" t="s">
        <v>53</v>
      </c>
      <c r="I1170">
        <v>10.11</v>
      </c>
      <c r="J1170" t="s">
        <v>37</v>
      </c>
    </row>
    <row r="1171" spans="1:10" x14ac:dyDescent="0.25">
      <c r="A1171" s="1">
        <v>303</v>
      </c>
      <c r="B1171" t="s">
        <v>32</v>
      </c>
      <c r="C1171">
        <v>105</v>
      </c>
      <c r="D1171">
        <v>3</v>
      </c>
      <c r="E1171" t="s">
        <v>59</v>
      </c>
      <c r="F1171" t="s">
        <v>52</v>
      </c>
      <c r="G1171" t="str">
        <f>"2026-01-11 16:10:32.280"</f>
        <v>2026-01-11 16:10:32.280</v>
      </c>
      <c r="H1171" t="s">
        <v>60</v>
      </c>
      <c r="I1171">
        <v>10.11</v>
      </c>
      <c r="J1171" t="s">
        <v>37</v>
      </c>
    </row>
    <row r="1172" spans="1:10" x14ac:dyDescent="0.25">
      <c r="A1172" s="1">
        <v>304</v>
      </c>
      <c r="B1172" t="s">
        <v>32</v>
      </c>
      <c r="C1172">
        <v>204</v>
      </c>
      <c r="D1172">
        <v>8</v>
      </c>
      <c r="E1172" t="s">
        <v>54</v>
      </c>
      <c r="F1172" t="s">
        <v>55</v>
      </c>
      <c r="G1172" t="str">
        <f>"2026-01-11 16:10:32.103"</f>
        <v>2026-01-11 16:10:32.103</v>
      </c>
      <c r="H1172" t="s">
        <v>53</v>
      </c>
      <c r="I1172">
        <v>10.16</v>
      </c>
      <c r="J1172" t="s">
        <v>28</v>
      </c>
    </row>
    <row r="1173" spans="1:10" x14ac:dyDescent="0.25">
      <c r="A1173" s="1">
        <v>305</v>
      </c>
      <c r="B1173" t="s">
        <v>32</v>
      </c>
      <c r="C1173">
        <v>204</v>
      </c>
      <c r="D1173">
        <v>6</v>
      </c>
      <c r="E1173" t="s">
        <v>54</v>
      </c>
      <c r="F1173" t="s">
        <v>56</v>
      </c>
      <c r="G1173" t="str">
        <f>"2026-01-11 16:10:32.099"</f>
        <v>2026-01-11 16:10:32.099</v>
      </c>
      <c r="H1173" t="s">
        <v>53</v>
      </c>
      <c r="I1173">
        <v>10.16</v>
      </c>
      <c r="J1173" t="s">
        <v>28</v>
      </c>
    </row>
    <row r="1174" spans="1:10" x14ac:dyDescent="0.25">
      <c r="A1174" s="1">
        <v>306</v>
      </c>
      <c r="B1174" t="s">
        <v>32</v>
      </c>
      <c r="C1174">
        <v>204</v>
      </c>
      <c r="D1174">
        <v>5</v>
      </c>
      <c r="E1174" t="s">
        <v>54</v>
      </c>
      <c r="F1174" t="s">
        <v>57</v>
      </c>
      <c r="G1174" t="str">
        <f>"2026-01-11 16:10:32.094"</f>
        <v>2026-01-11 16:10:32.094</v>
      </c>
      <c r="H1174" t="s">
        <v>53</v>
      </c>
      <c r="I1174">
        <v>10.16</v>
      </c>
      <c r="J1174" t="s">
        <v>28</v>
      </c>
    </row>
    <row r="1175" spans="1:10" x14ac:dyDescent="0.25">
      <c r="A1175" s="1">
        <v>307</v>
      </c>
      <c r="B1175" t="s">
        <v>32</v>
      </c>
      <c r="C1175">
        <v>104</v>
      </c>
      <c r="D1175">
        <v>8</v>
      </c>
      <c r="E1175" t="s">
        <v>61</v>
      </c>
      <c r="F1175" t="s">
        <v>55</v>
      </c>
      <c r="G1175" t="str">
        <f>"2026-01-11 16:10:32.089"</f>
        <v>2026-01-11 16:10:32.089</v>
      </c>
      <c r="H1175" t="s">
        <v>60</v>
      </c>
      <c r="I1175">
        <v>10.16</v>
      </c>
      <c r="J1175" t="s">
        <v>28</v>
      </c>
    </row>
    <row r="1176" spans="1:10" x14ac:dyDescent="0.25">
      <c r="A1176" s="1">
        <v>308</v>
      </c>
      <c r="B1176" t="s">
        <v>32</v>
      </c>
      <c r="C1176">
        <v>104</v>
      </c>
      <c r="D1176">
        <v>6</v>
      </c>
      <c r="E1176" t="s">
        <v>61</v>
      </c>
      <c r="F1176" t="s">
        <v>56</v>
      </c>
      <c r="G1176" t="str">
        <f>"2026-01-11 16:10:32.085"</f>
        <v>2026-01-11 16:10:32.085</v>
      </c>
      <c r="H1176" t="s">
        <v>60</v>
      </c>
      <c r="I1176">
        <v>10.16</v>
      </c>
      <c r="J1176" t="s">
        <v>28</v>
      </c>
    </row>
    <row r="1177" spans="1:10" x14ac:dyDescent="0.25">
      <c r="A1177" s="1">
        <v>309</v>
      </c>
      <c r="B1177" t="s">
        <v>32</v>
      </c>
      <c r="C1177">
        <v>104</v>
      </c>
      <c r="D1177">
        <v>5</v>
      </c>
      <c r="E1177" t="s">
        <v>61</v>
      </c>
      <c r="F1177" t="s">
        <v>57</v>
      </c>
      <c r="G1177" t="str">
        <f>"2026-01-11 16:10:32.080"</f>
        <v>2026-01-11 16:10:32.080</v>
      </c>
      <c r="H1177" t="s">
        <v>60</v>
      </c>
      <c r="I1177">
        <v>10.16</v>
      </c>
      <c r="J1177" t="s">
        <v>28</v>
      </c>
    </row>
    <row r="1178" spans="1:10" x14ac:dyDescent="0.25">
      <c r="A1178" s="1">
        <v>310</v>
      </c>
      <c r="B1178" t="s">
        <v>32</v>
      </c>
      <c r="C1178">
        <v>23</v>
      </c>
      <c r="D1178">
        <v>1</v>
      </c>
      <c r="E1178" t="s">
        <v>62</v>
      </c>
      <c r="F1178" t="s">
        <v>63</v>
      </c>
      <c r="G1178" t="str">
        <f>"2026-01-11 16:10:31.864"</f>
        <v>2026-01-11 16:10:31.864</v>
      </c>
      <c r="H1178" t="s">
        <v>64</v>
      </c>
      <c r="I1178">
        <v>10.26</v>
      </c>
      <c r="J1178" t="s">
        <v>28</v>
      </c>
    </row>
    <row r="1179" spans="1:10" x14ac:dyDescent="0.25">
      <c r="A1179" s="1">
        <v>311</v>
      </c>
      <c r="B1179" t="s">
        <v>32</v>
      </c>
      <c r="C1179">
        <v>204</v>
      </c>
      <c r="D1179">
        <v>1</v>
      </c>
      <c r="E1179" t="s">
        <v>54</v>
      </c>
      <c r="F1179" t="s">
        <v>58</v>
      </c>
      <c r="G1179" t="str">
        <f>"2026-01-11 16:10:31.783"</f>
        <v>2026-01-11 16:10:31.783</v>
      </c>
      <c r="H1179" t="s">
        <v>53</v>
      </c>
      <c r="I1179">
        <v>10.31</v>
      </c>
      <c r="J1179" t="s">
        <v>28</v>
      </c>
    </row>
    <row r="1180" spans="1:10" x14ac:dyDescent="0.25">
      <c r="A1180" s="1">
        <v>312</v>
      </c>
      <c r="B1180" t="s">
        <v>32</v>
      </c>
      <c r="C1180">
        <v>104</v>
      </c>
      <c r="D1180">
        <v>1</v>
      </c>
      <c r="E1180" t="s">
        <v>61</v>
      </c>
      <c r="F1180" t="s">
        <v>58</v>
      </c>
      <c r="G1180" t="str">
        <f>"2026-01-11 16:10:31.780"</f>
        <v>2026-01-11 16:10:31.780</v>
      </c>
      <c r="H1180" t="s">
        <v>60</v>
      </c>
      <c r="I1180">
        <v>10.31</v>
      </c>
      <c r="J1180" t="s">
        <v>28</v>
      </c>
    </row>
    <row r="1181" spans="1:10" x14ac:dyDescent="0.25">
      <c r="A1181" s="1">
        <v>313</v>
      </c>
      <c r="B1181" t="s">
        <v>19</v>
      </c>
      <c r="C1181">
        <v>706</v>
      </c>
      <c r="D1181">
        <v>4</v>
      </c>
      <c r="E1181" t="s">
        <v>20</v>
      </c>
      <c r="F1181" t="s">
        <v>40</v>
      </c>
      <c r="G1181" t="str">
        <f>"2026-01-11 16:10:31.664"</f>
        <v>2026-01-11 16:10:31.664</v>
      </c>
      <c r="H1181" t="s">
        <v>22</v>
      </c>
      <c r="I1181">
        <v>10.41</v>
      </c>
      <c r="J1181" t="s">
        <v>28</v>
      </c>
    </row>
    <row r="1182" spans="1:10" x14ac:dyDescent="0.25">
      <c r="A1182" s="1">
        <v>314</v>
      </c>
      <c r="B1182" t="s">
        <v>27</v>
      </c>
      <c r="C1182">
        <v>650</v>
      </c>
      <c r="D1182">
        <v>5</v>
      </c>
      <c r="E1182" t="s">
        <v>100</v>
      </c>
      <c r="F1182" t="s">
        <v>101</v>
      </c>
      <c r="G1182" t="str">
        <f>"2026-01-11 07:23:01.904"</f>
        <v>2026-01-11 07:23:01.904</v>
      </c>
      <c r="H1182" t="s">
        <v>22</v>
      </c>
      <c r="I1182">
        <v>19.12</v>
      </c>
      <c r="J1182" t="s">
        <v>36</v>
      </c>
    </row>
    <row r="1183" spans="1:10" x14ac:dyDescent="0.25">
      <c r="A1183" s="1">
        <v>315</v>
      </c>
      <c r="B1183" t="s">
        <v>24</v>
      </c>
      <c r="C1183">
        <v>635</v>
      </c>
      <c r="D1183">
        <v>1</v>
      </c>
      <c r="E1183" t="s">
        <v>25</v>
      </c>
      <c r="F1183" t="s">
        <v>26</v>
      </c>
      <c r="G1183" t="str">
        <f>"2026-01-08 21:48:34.004"</f>
        <v>2026-01-08 21:48:34.004</v>
      </c>
      <c r="H1183" t="s">
        <v>22</v>
      </c>
    </row>
    <row r="1184" spans="1:10" x14ac:dyDescent="0.25">
      <c r="A1184" s="1">
        <v>316</v>
      </c>
      <c r="B1184" t="s">
        <v>27</v>
      </c>
      <c r="C1184">
        <v>635</v>
      </c>
      <c r="D1184">
        <v>1</v>
      </c>
      <c r="E1184" t="s">
        <v>25</v>
      </c>
      <c r="F1184" t="s">
        <v>26</v>
      </c>
      <c r="G1184" t="str">
        <f>"2026-01-08 21:43:14.505"</f>
        <v>2026-01-08 21:43:14.505</v>
      </c>
      <c r="H1184" t="s">
        <v>22</v>
      </c>
      <c r="I1184">
        <v>2.92</v>
      </c>
      <c r="J1184" t="s">
        <v>28</v>
      </c>
    </row>
    <row r="1185" spans="1:10" x14ac:dyDescent="0.25">
      <c r="A1185" s="1">
        <v>317</v>
      </c>
      <c r="B1185" t="s">
        <v>19</v>
      </c>
      <c r="C1185">
        <v>700</v>
      </c>
      <c r="D1185">
        <v>0</v>
      </c>
      <c r="E1185" t="s">
        <v>33</v>
      </c>
      <c r="F1185" t="s">
        <v>33</v>
      </c>
      <c r="G1185" t="str">
        <f>"2026-01-08 04:16:59.314"</f>
        <v>2026-01-08 04:16:59.314</v>
      </c>
      <c r="H1185" t="s">
        <v>22</v>
      </c>
      <c r="I1185">
        <v>0</v>
      </c>
      <c r="J1185" t="s">
        <v>41</v>
      </c>
    </row>
    <row r="1186" spans="1:10" x14ac:dyDescent="0.25">
      <c r="A1186" s="1">
        <v>318</v>
      </c>
      <c r="B1186" t="s">
        <v>24</v>
      </c>
      <c r="C1186">
        <v>630</v>
      </c>
      <c r="D1186">
        <v>5</v>
      </c>
      <c r="E1186" t="s">
        <v>29</v>
      </c>
      <c r="F1186" t="s">
        <v>30</v>
      </c>
      <c r="G1186" t="str">
        <f>"2026-01-08 03:13:24.360"</f>
        <v>2026-01-08 03:13:24.360</v>
      </c>
      <c r="H1186" t="s">
        <v>31</v>
      </c>
    </row>
    <row r="1187" spans="1:10" x14ac:dyDescent="0.25">
      <c r="A1187" s="1">
        <v>319</v>
      </c>
      <c r="B1187" t="s">
        <v>19</v>
      </c>
      <c r="C1187">
        <v>706</v>
      </c>
      <c r="D1187">
        <v>4</v>
      </c>
      <c r="E1187" t="s">
        <v>20</v>
      </c>
      <c r="F1187" t="s">
        <v>40</v>
      </c>
      <c r="G1187" t="str">
        <f>"2026-01-08 03:12:54.230"</f>
        <v>2026-01-08 03:12:54.230</v>
      </c>
      <c r="H1187" t="s">
        <v>22</v>
      </c>
      <c r="I1187">
        <v>0</v>
      </c>
      <c r="J1187" t="s">
        <v>23</v>
      </c>
    </row>
    <row r="1188" spans="1:10" x14ac:dyDescent="0.25">
      <c r="A1188" s="1">
        <v>320</v>
      </c>
      <c r="B1188" t="s">
        <v>24</v>
      </c>
      <c r="C1188">
        <v>14</v>
      </c>
      <c r="D1188">
        <v>4</v>
      </c>
      <c r="E1188" t="s">
        <v>48</v>
      </c>
      <c r="F1188" t="s">
        <v>81</v>
      </c>
      <c r="G1188" t="str">
        <f>"2026-01-08 03:08:33.373"</f>
        <v>2026-01-08 03:08:33.373</v>
      </c>
      <c r="H1188" t="s">
        <v>31</v>
      </c>
    </row>
    <row r="1189" spans="1:10" x14ac:dyDescent="0.25">
      <c r="A1189" s="1">
        <v>321</v>
      </c>
      <c r="B1189" t="s">
        <v>27</v>
      </c>
      <c r="C1189">
        <v>14</v>
      </c>
      <c r="D1189">
        <v>4</v>
      </c>
      <c r="E1189" t="s">
        <v>48</v>
      </c>
      <c r="F1189" t="s">
        <v>81</v>
      </c>
      <c r="G1189" t="str">
        <f>"2026-01-08 03:08:12.473"</f>
        <v>2026-01-08 03:08:12.473</v>
      </c>
      <c r="H1189" t="s">
        <v>31</v>
      </c>
      <c r="I1189">
        <v>0</v>
      </c>
      <c r="J1189" t="s">
        <v>23</v>
      </c>
    </row>
    <row r="1190" spans="1:10" x14ac:dyDescent="0.25">
      <c r="A1190" s="1">
        <v>322</v>
      </c>
      <c r="B1190" t="s">
        <v>32</v>
      </c>
      <c r="C1190">
        <v>630</v>
      </c>
      <c r="D1190">
        <v>5</v>
      </c>
      <c r="E1190" t="s">
        <v>29</v>
      </c>
      <c r="F1190" t="s">
        <v>30</v>
      </c>
      <c r="G1190" t="str">
        <f>"2026-01-08 03:05:45.161"</f>
        <v>2026-01-08 03:05:45.161</v>
      </c>
      <c r="H1190" t="s">
        <v>31</v>
      </c>
      <c r="I1190">
        <v>0</v>
      </c>
      <c r="J1190" t="s">
        <v>23</v>
      </c>
    </row>
    <row r="1191" spans="1:10" x14ac:dyDescent="0.25">
      <c r="A1191" s="1">
        <v>323</v>
      </c>
      <c r="B1191" t="s">
        <v>19</v>
      </c>
      <c r="C1191">
        <v>700</v>
      </c>
      <c r="D1191">
        <v>0</v>
      </c>
      <c r="E1191" t="s">
        <v>33</v>
      </c>
      <c r="F1191" t="s">
        <v>33</v>
      </c>
      <c r="G1191" t="str">
        <f>"2026-01-08 03:00:42.340"</f>
        <v>2026-01-08 03:00:42.340</v>
      </c>
      <c r="H1191" t="s">
        <v>22</v>
      </c>
      <c r="I1191">
        <v>0</v>
      </c>
      <c r="J1191" t="s">
        <v>41</v>
      </c>
    </row>
    <row r="1192" spans="1:10" x14ac:dyDescent="0.25">
      <c r="A1192" s="1">
        <v>324</v>
      </c>
      <c r="B1192" t="s">
        <v>32</v>
      </c>
      <c r="C1192">
        <v>630</v>
      </c>
      <c r="D1192">
        <v>5</v>
      </c>
      <c r="E1192" t="s">
        <v>29</v>
      </c>
      <c r="F1192" t="s">
        <v>30</v>
      </c>
      <c r="G1192" t="str">
        <f>"2026-01-08 02:13:51.401"</f>
        <v>2026-01-08 02:13:51.401</v>
      </c>
      <c r="H1192" t="s">
        <v>31</v>
      </c>
      <c r="I1192">
        <v>0</v>
      </c>
      <c r="J1192" t="s">
        <v>23</v>
      </c>
    </row>
    <row r="1193" spans="1:10" x14ac:dyDescent="0.25">
      <c r="A1193" s="1">
        <v>325</v>
      </c>
      <c r="B1193" t="s">
        <v>74</v>
      </c>
      <c r="C1193">
        <v>228</v>
      </c>
      <c r="D1193">
        <v>4</v>
      </c>
      <c r="E1193" t="s">
        <v>82</v>
      </c>
      <c r="F1193" t="s">
        <v>76</v>
      </c>
      <c r="G1193" t="str">
        <f>"2026-01-08 02:07:26.383"</f>
        <v>2026-01-08 02:07:26.383</v>
      </c>
      <c r="H1193" t="s">
        <v>53</v>
      </c>
    </row>
    <row r="1194" spans="1:10" x14ac:dyDescent="0.25">
      <c r="A1194" s="1">
        <v>326</v>
      </c>
      <c r="B1194" t="s">
        <v>32</v>
      </c>
      <c r="C1194">
        <v>228</v>
      </c>
      <c r="D1194">
        <v>4</v>
      </c>
      <c r="E1194" t="s">
        <v>82</v>
      </c>
      <c r="F1194" t="s">
        <v>76</v>
      </c>
      <c r="G1194" t="str">
        <f>"2026-01-08 02:07:21.287"</f>
        <v>2026-01-08 02:07:21.287</v>
      </c>
      <c r="H1194" t="s">
        <v>53</v>
      </c>
      <c r="I1194">
        <v>0</v>
      </c>
      <c r="J1194" t="s">
        <v>37</v>
      </c>
    </row>
    <row r="1195" spans="1:10" x14ac:dyDescent="0.25">
      <c r="A1195" s="1">
        <v>327</v>
      </c>
      <c r="B1195" t="s">
        <v>19</v>
      </c>
      <c r="C1195">
        <v>700</v>
      </c>
      <c r="D1195">
        <v>0</v>
      </c>
      <c r="E1195" t="s">
        <v>33</v>
      </c>
      <c r="F1195" t="s">
        <v>33</v>
      </c>
      <c r="G1195" t="str">
        <f>"2026-01-07 11:45:39.292"</f>
        <v>2026-01-07 11:45:39.292</v>
      </c>
      <c r="H1195" t="s">
        <v>22</v>
      </c>
    </row>
    <row r="1196" spans="1:10" x14ac:dyDescent="0.25">
      <c r="A1196" s="1">
        <v>329</v>
      </c>
      <c r="B1196" t="s">
        <v>19</v>
      </c>
      <c r="C1196">
        <v>700</v>
      </c>
      <c r="D1196">
        <v>0</v>
      </c>
      <c r="E1196" t="s">
        <v>33</v>
      </c>
      <c r="F1196" t="s">
        <v>33</v>
      </c>
      <c r="G1196" t="str">
        <f>"2026-01-05 15:15:43.331"</f>
        <v>2026-01-05 15:15:43.331</v>
      </c>
      <c r="H1196" t="s">
        <v>22</v>
      </c>
    </row>
    <row r="1197" spans="1:10" x14ac:dyDescent="0.25">
      <c r="A1197" s="1">
        <v>330</v>
      </c>
      <c r="B1197" t="s">
        <v>24</v>
      </c>
      <c r="C1197">
        <v>635</v>
      </c>
      <c r="D1197">
        <v>1</v>
      </c>
      <c r="E1197" t="s">
        <v>25</v>
      </c>
      <c r="F1197" t="s">
        <v>26</v>
      </c>
      <c r="G1197" t="str">
        <f>"2026-01-05 09:15:31.940"</f>
        <v>2026-01-05 09:15:31.940</v>
      </c>
      <c r="H1197" t="s">
        <v>22</v>
      </c>
    </row>
    <row r="1198" spans="1:10" x14ac:dyDescent="0.25">
      <c r="A1198" s="1">
        <v>331</v>
      </c>
      <c r="B1198" t="s">
        <v>27</v>
      </c>
      <c r="C1198">
        <v>635</v>
      </c>
      <c r="D1198">
        <v>1</v>
      </c>
      <c r="E1198" t="s">
        <v>25</v>
      </c>
      <c r="F1198" t="s">
        <v>26</v>
      </c>
      <c r="G1198" t="str">
        <f>"2026-01-05 09:02:07.440"</f>
        <v>2026-01-05 09:02:07.440</v>
      </c>
      <c r="H1198" t="s">
        <v>22</v>
      </c>
      <c r="I1198">
        <v>2.98</v>
      </c>
      <c r="J1198" t="s">
        <v>28</v>
      </c>
    </row>
    <row r="1199" spans="1:10" x14ac:dyDescent="0.25">
      <c r="A1199" s="1">
        <v>332</v>
      </c>
      <c r="B1199" t="s">
        <v>24</v>
      </c>
      <c r="C1199">
        <v>98</v>
      </c>
      <c r="D1199">
        <v>1</v>
      </c>
      <c r="E1199" t="s">
        <v>38</v>
      </c>
      <c r="F1199" t="s">
        <v>39</v>
      </c>
      <c r="G1199" t="str">
        <f>"2026-01-05 06:46:55.441"</f>
        <v>2026-01-05 06:46:55.441</v>
      </c>
      <c r="H1199" t="s">
        <v>22</v>
      </c>
    </row>
    <row r="1200" spans="1:10" x14ac:dyDescent="0.25">
      <c r="A1200" s="1">
        <v>333</v>
      </c>
      <c r="B1200" t="s">
        <v>27</v>
      </c>
      <c r="C1200">
        <v>98</v>
      </c>
      <c r="D1200">
        <v>1</v>
      </c>
      <c r="E1200" t="s">
        <v>38</v>
      </c>
      <c r="F1200" t="s">
        <v>39</v>
      </c>
      <c r="G1200" t="str">
        <f>"2026-01-05 06:46:54.341"</f>
        <v>2026-01-05 06:46:54.341</v>
      </c>
      <c r="H1200" t="s">
        <v>22</v>
      </c>
      <c r="I1200">
        <v>2.79</v>
      </c>
      <c r="J1200" t="s">
        <v>36</v>
      </c>
    </row>
    <row r="1201" spans="1:10" x14ac:dyDescent="0.25">
      <c r="A1201" s="1">
        <v>334</v>
      </c>
      <c r="B1201" t="s">
        <v>19</v>
      </c>
      <c r="C1201">
        <v>700</v>
      </c>
      <c r="D1201">
        <v>0</v>
      </c>
      <c r="E1201" t="s">
        <v>33</v>
      </c>
      <c r="F1201" t="s">
        <v>33</v>
      </c>
      <c r="G1201" t="str">
        <f>"2026-01-04 11:00:45.329"</f>
        <v>2026-01-04 11:00:45.329</v>
      </c>
      <c r="H1201" t="s">
        <v>22</v>
      </c>
      <c r="I1201">
        <v>0</v>
      </c>
      <c r="J1201" t="s">
        <v>41</v>
      </c>
    </row>
    <row r="1202" spans="1:10" x14ac:dyDescent="0.25">
      <c r="A1202" s="1">
        <v>336</v>
      </c>
      <c r="B1202" t="s">
        <v>19</v>
      </c>
      <c r="C1202">
        <v>700</v>
      </c>
      <c r="D1202">
        <v>0</v>
      </c>
      <c r="E1202" t="s">
        <v>33</v>
      </c>
      <c r="F1202" t="s">
        <v>33</v>
      </c>
      <c r="G1202" t="str">
        <f>"2026-01-01 13:32:07.321"</f>
        <v>2026-01-01 13:32:07.321</v>
      </c>
      <c r="H1202" t="s">
        <v>22</v>
      </c>
      <c r="I1202">
        <v>0</v>
      </c>
      <c r="J1202" t="s">
        <v>41</v>
      </c>
    </row>
    <row r="1203" spans="1:10" x14ac:dyDescent="0.25">
      <c r="A1203" s="1">
        <v>337</v>
      </c>
      <c r="B1203" t="s">
        <v>19</v>
      </c>
      <c r="C1203">
        <v>700</v>
      </c>
      <c r="D1203">
        <v>0</v>
      </c>
      <c r="E1203" t="s">
        <v>33</v>
      </c>
      <c r="F1203" t="s">
        <v>33</v>
      </c>
      <c r="G1203" t="str">
        <f>"2025-12-31 23:37:07.300"</f>
        <v>2025-12-31 23:37:07.300</v>
      </c>
      <c r="H1203" t="s">
        <v>22</v>
      </c>
      <c r="I1203">
        <v>0</v>
      </c>
      <c r="J1203" t="s">
        <v>41</v>
      </c>
    </row>
    <row r="1204" spans="1:10" x14ac:dyDescent="0.25">
      <c r="A1204" s="1">
        <v>338</v>
      </c>
      <c r="B1204" t="s">
        <v>19</v>
      </c>
      <c r="C1204">
        <v>700</v>
      </c>
      <c r="D1204">
        <v>0</v>
      </c>
      <c r="E1204" t="s">
        <v>33</v>
      </c>
      <c r="F1204" t="s">
        <v>33</v>
      </c>
      <c r="G1204" t="str">
        <f>"2025-12-31 20:31:03.317"</f>
        <v>2025-12-31 20:31:03.317</v>
      </c>
      <c r="H1204" t="s">
        <v>22</v>
      </c>
      <c r="I1204">
        <v>0</v>
      </c>
      <c r="J1204" t="s">
        <v>41</v>
      </c>
    </row>
    <row r="1205" spans="1:10" x14ac:dyDescent="0.25">
      <c r="A1205" s="1">
        <v>339</v>
      </c>
      <c r="B1205" t="s">
        <v>19</v>
      </c>
      <c r="C1205">
        <v>700</v>
      </c>
      <c r="D1205">
        <v>0</v>
      </c>
      <c r="E1205" t="s">
        <v>33</v>
      </c>
      <c r="F1205" t="s">
        <v>33</v>
      </c>
      <c r="G1205" t="str">
        <f>"2025-12-28 00:18:22.274"</f>
        <v>2025-12-28 00:18:22.274</v>
      </c>
      <c r="H1205" t="s">
        <v>22</v>
      </c>
    </row>
    <row r="1206" spans="1:10" x14ac:dyDescent="0.25">
      <c r="A1206" s="1">
        <v>340</v>
      </c>
      <c r="B1206" t="s">
        <v>19</v>
      </c>
      <c r="C1206">
        <v>706</v>
      </c>
      <c r="D1206">
        <v>4</v>
      </c>
      <c r="E1206" t="s">
        <v>20</v>
      </c>
      <c r="F1206" t="s">
        <v>40</v>
      </c>
      <c r="G1206" t="str">
        <f>"2025-12-27 23:32:28.252"</f>
        <v>2025-12-27 23:32:28.252</v>
      </c>
      <c r="H1206" t="s">
        <v>22</v>
      </c>
      <c r="I1206">
        <v>0</v>
      </c>
      <c r="J1206" t="s">
        <v>23</v>
      </c>
    </row>
    <row r="1207" spans="1:10" x14ac:dyDescent="0.25">
      <c r="A1207" s="1">
        <v>341</v>
      </c>
      <c r="B1207" t="s">
        <v>19</v>
      </c>
      <c r="C1207">
        <v>700</v>
      </c>
      <c r="D1207">
        <v>0</v>
      </c>
      <c r="E1207" t="s">
        <v>33</v>
      </c>
      <c r="F1207" t="s">
        <v>33</v>
      </c>
      <c r="G1207" t="str">
        <f>"2025-12-27 23:19:35.362"</f>
        <v>2025-12-27 23:19:35.362</v>
      </c>
      <c r="H1207" t="s">
        <v>22</v>
      </c>
      <c r="I1207">
        <v>0</v>
      </c>
      <c r="J1207" t="s">
        <v>41</v>
      </c>
    </row>
    <row r="1208" spans="1:10" x14ac:dyDescent="0.25">
      <c r="A1208" s="1">
        <v>342</v>
      </c>
      <c r="B1208" t="s">
        <v>19</v>
      </c>
      <c r="C1208">
        <v>700</v>
      </c>
      <c r="D1208">
        <v>0</v>
      </c>
      <c r="E1208" t="s">
        <v>33</v>
      </c>
      <c r="F1208" t="s">
        <v>33</v>
      </c>
      <c r="G1208" t="str">
        <f>"2025-12-27 22:23:12.273"</f>
        <v>2025-12-27 22:23:12.273</v>
      </c>
      <c r="H1208" t="s">
        <v>22</v>
      </c>
    </row>
    <row r="1209" spans="1:10" x14ac:dyDescent="0.25">
      <c r="A1209" s="1">
        <v>343</v>
      </c>
      <c r="B1209" t="s">
        <v>19</v>
      </c>
      <c r="C1209">
        <v>700</v>
      </c>
      <c r="D1209">
        <v>0</v>
      </c>
      <c r="E1209" t="s">
        <v>33</v>
      </c>
      <c r="F1209" t="s">
        <v>33</v>
      </c>
      <c r="G1209" t="str">
        <f>"2025-12-27 22:04:39.316"</f>
        <v>2025-12-27 22:04:39.316</v>
      </c>
      <c r="H1209" t="s">
        <v>22</v>
      </c>
      <c r="I1209">
        <v>0</v>
      </c>
      <c r="J1209" t="s">
        <v>41</v>
      </c>
    </row>
    <row r="1210" spans="1:10" x14ac:dyDescent="0.25">
      <c r="A1210" s="1">
        <v>344</v>
      </c>
      <c r="B1210" t="s">
        <v>24</v>
      </c>
      <c r="C1210">
        <v>635</v>
      </c>
      <c r="D1210">
        <v>1</v>
      </c>
      <c r="E1210" t="s">
        <v>25</v>
      </c>
      <c r="F1210" t="s">
        <v>26</v>
      </c>
      <c r="G1210" t="str">
        <f>"2025-12-26 19:18:26.517"</f>
        <v>2025-12-26 19:18:26.517</v>
      </c>
      <c r="H1210" t="s">
        <v>22</v>
      </c>
    </row>
    <row r="1211" spans="1:10" x14ac:dyDescent="0.25">
      <c r="A1211" s="1">
        <v>345</v>
      </c>
      <c r="B1211" t="s">
        <v>27</v>
      </c>
      <c r="C1211">
        <v>635</v>
      </c>
      <c r="D1211">
        <v>1</v>
      </c>
      <c r="E1211" t="s">
        <v>25</v>
      </c>
      <c r="F1211" t="s">
        <v>26</v>
      </c>
      <c r="G1211" t="str">
        <f>"2025-12-26 18:52:09.517"</f>
        <v>2025-12-26 18:52:09.517</v>
      </c>
      <c r="H1211" t="s">
        <v>22</v>
      </c>
      <c r="I1211">
        <v>5.61</v>
      </c>
      <c r="J1211" t="s">
        <v>28</v>
      </c>
    </row>
    <row r="1212" spans="1:10" x14ac:dyDescent="0.25">
      <c r="A1212" s="1">
        <v>346</v>
      </c>
      <c r="B1212" t="s">
        <v>24</v>
      </c>
      <c r="C1212">
        <v>635</v>
      </c>
      <c r="D1212">
        <v>1</v>
      </c>
      <c r="E1212" t="s">
        <v>25</v>
      </c>
      <c r="F1212" t="s">
        <v>26</v>
      </c>
      <c r="G1212" t="str">
        <f>"2025-12-26 16:30:25.317"</f>
        <v>2025-12-26 16:30:25.317</v>
      </c>
      <c r="H1212" t="s">
        <v>22</v>
      </c>
    </row>
    <row r="1213" spans="1:10" x14ac:dyDescent="0.25">
      <c r="A1213" s="1">
        <v>347</v>
      </c>
      <c r="B1213" t="s">
        <v>27</v>
      </c>
      <c r="C1213">
        <v>635</v>
      </c>
      <c r="D1213">
        <v>1</v>
      </c>
      <c r="E1213" t="s">
        <v>25</v>
      </c>
      <c r="F1213" t="s">
        <v>26</v>
      </c>
      <c r="G1213" t="str">
        <f>"2025-12-26 16:23:34.817"</f>
        <v>2025-12-26 16:23:34.817</v>
      </c>
      <c r="H1213" t="s">
        <v>22</v>
      </c>
      <c r="I1213">
        <v>0</v>
      </c>
      <c r="J1213" t="s">
        <v>37</v>
      </c>
    </row>
    <row r="1214" spans="1:10" x14ac:dyDescent="0.25">
      <c r="A1214" s="1">
        <v>348</v>
      </c>
      <c r="B1214" t="s">
        <v>19</v>
      </c>
      <c r="C1214">
        <v>700</v>
      </c>
      <c r="D1214">
        <v>0</v>
      </c>
      <c r="E1214" t="s">
        <v>33</v>
      </c>
      <c r="F1214" t="s">
        <v>33</v>
      </c>
      <c r="G1214" t="str">
        <f>"2025-12-26 11:08:11.300"</f>
        <v>2025-12-26 11:08:11.300</v>
      </c>
      <c r="H1214" t="s">
        <v>22</v>
      </c>
      <c r="I1214">
        <v>0</v>
      </c>
      <c r="J1214" t="s">
        <v>41</v>
      </c>
    </row>
    <row r="1215" spans="1:10" x14ac:dyDescent="0.25">
      <c r="A1215" s="1">
        <v>349</v>
      </c>
      <c r="B1215" t="s">
        <v>24</v>
      </c>
      <c r="C1215">
        <v>635</v>
      </c>
      <c r="D1215">
        <v>1</v>
      </c>
      <c r="E1215" t="s">
        <v>25</v>
      </c>
      <c r="F1215" t="s">
        <v>26</v>
      </c>
      <c r="G1215" t="str">
        <f>"2025-12-25 10:03:23.933"</f>
        <v>2025-12-25 10:03:23.933</v>
      </c>
      <c r="H1215" t="s">
        <v>22</v>
      </c>
    </row>
    <row r="1216" spans="1:10" x14ac:dyDescent="0.25">
      <c r="A1216" s="1">
        <v>350</v>
      </c>
      <c r="B1216" t="s">
        <v>27</v>
      </c>
      <c r="C1216">
        <v>635</v>
      </c>
      <c r="D1216">
        <v>1</v>
      </c>
      <c r="E1216" t="s">
        <v>25</v>
      </c>
      <c r="F1216" t="s">
        <v>26</v>
      </c>
      <c r="G1216" t="str">
        <f>"2025-12-25 10:00:55.933"</f>
        <v>2025-12-25 10:00:55.933</v>
      </c>
      <c r="H1216" t="s">
        <v>22</v>
      </c>
      <c r="I1216">
        <v>3.06</v>
      </c>
      <c r="J1216" t="s">
        <v>36</v>
      </c>
    </row>
    <row r="1217" spans="1:10" x14ac:dyDescent="0.25">
      <c r="A1217" s="1">
        <v>351</v>
      </c>
      <c r="B1217" t="s">
        <v>19</v>
      </c>
      <c r="C1217">
        <v>700</v>
      </c>
      <c r="D1217">
        <v>0</v>
      </c>
      <c r="E1217" t="s">
        <v>33</v>
      </c>
      <c r="F1217" t="s">
        <v>33</v>
      </c>
      <c r="G1217" t="str">
        <f>"2025-12-25 09:39:19.314"</f>
        <v>2025-12-25 09:39:19.314</v>
      </c>
      <c r="H1217" t="s">
        <v>22</v>
      </c>
      <c r="I1217">
        <v>0</v>
      </c>
      <c r="J1217" t="s">
        <v>41</v>
      </c>
    </row>
    <row r="1218" spans="1:10" x14ac:dyDescent="0.25">
      <c r="A1218" s="1">
        <v>352</v>
      </c>
      <c r="B1218" t="s">
        <v>19</v>
      </c>
      <c r="C1218">
        <v>706</v>
      </c>
      <c r="D1218">
        <v>4</v>
      </c>
      <c r="E1218" t="s">
        <v>20</v>
      </c>
      <c r="F1218" t="s">
        <v>40</v>
      </c>
      <c r="G1218" t="str">
        <f>"2025-12-24 22:17:12.742"</f>
        <v>2025-12-24 22:17:12.742</v>
      </c>
      <c r="H1218" t="s">
        <v>22</v>
      </c>
      <c r="I1218">
        <v>0</v>
      </c>
      <c r="J1218" t="s">
        <v>23</v>
      </c>
    </row>
    <row r="1219" spans="1:10" x14ac:dyDescent="0.25">
      <c r="A1219" s="1">
        <v>353</v>
      </c>
      <c r="B1219" t="s">
        <v>19</v>
      </c>
      <c r="C1219">
        <v>700</v>
      </c>
      <c r="D1219">
        <v>0</v>
      </c>
      <c r="E1219" t="s">
        <v>33</v>
      </c>
      <c r="F1219" t="s">
        <v>33</v>
      </c>
      <c r="G1219" t="str">
        <f>"2025-12-24 22:15:06.312"</f>
        <v>2025-12-24 22:15:06.312</v>
      </c>
      <c r="H1219" t="s">
        <v>22</v>
      </c>
      <c r="I1219">
        <v>0</v>
      </c>
      <c r="J1219" t="s">
        <v>41</v>
      </c>
    </row>
    <row r="1220" spans="1:10" x14ac:dyDescent="0.25">
      <c r="A1220" s="1">
        <v>354</v>
      </c>
      <c r="B1220" t="s">
        <v>24</v>
      </c>
      <c r="C1220">
        <v>635</v>
      </c>
      <c r="D1220">
        <v>1</v>
      </c>
      <c r="E1220" t="s">
        <v>25</v>
      </c>
      <c r="F1220" t="s">
        <v>26</v>
      </c>
      <c r="G1220" t="str">
        <f>"2025-12-24 09:05:15.756"</f>
        <v>2025-12-24 09:05:15.756</v>
      </c>
      <c r="H1220" t="s">
        <v>22</v>
      </c>
    </row>
    <row r="1221" spans="1:10" x14ac:dyDescent="0.25">
      <c r="A1221" s="1">
        <v>355</v>
      </c>
      <c r="B1221" t="s">
        <v>27</v>
      </c>
      <c r="C1221">
        <v>635</v>
      </c>
      <c r="D1221">
        <v>1</v>
      </c>
      <c r="E1221" t="s">
        <v>25</v>
      </c>
      <c r="F1221" t="s">
        <v>26</v>
      </c>
      <c r="G1221" t="str">
        <f>"2025-12-24 08:57:41.257"</f>
        <v>2025-12-24 08:57:41.257</v>
      </c>
      <c r="H1221" t="s">
        <v>22</v>
      </c>
      <c r="I1221">
        <v>0</v>
      </c>
      <c r="J1221" t="s">
        <v>37</v>
      </c>
    </row>
    <row r="1222" spans="1:10" x14ac:dyDescent="0.25">
      <c r="A1222" s="1">
        <v>358</v>
      </c>
      <c r="B1222" t="s">
        <v>19</v>
      </c>
      <c r="C1222">
        <v>700</v>
      </c>
      <c r="D1222">
        <v>0</v>
      </c>
      <c r="E1222" t="s">
        <v>33</v>
      </c>
      <c r="F1222" t="s">
        <v>33</v>
      </c>
      <c r="G1222" t="str">
        <f>"2025-12-23 08:55:27.287"</f>
        <v>2025-12-23 08:55:27.287</v>
      </c>
      <c r="H1222" t="s">
        <v>22</v>
      </c>
      <c r="I1222">
        <v>0</v>
      </c>
      <c r="J1222" t="s">
        <v>41</v>
      </c>
    </row>
    <row r="1223" spans="1:10" x14ac:dyDescent="0.25">
      <c r="A1223" s="1">
        <v>359</v>
      </c>
      <c r="B1223" t="s">
        <v>24</v>
      </c>
      <c r="C1223">
        <v>635</v>
      </c>
      <c r="D1223">
        <v>1</v>
      </c>
      <c r="E1223" t="s">
        <v>25</v>
      </c>
      <c r="F1223" t="s">
        <v>26</v>
      </c>
      <c r="G1223" t="str">
        <f>"2025-12-22 03:09:52.510"</f>
        <v>2025-12-22 03:09:52.510</v>
      </c>
      <c r="H1223" t="s">
        <v>22</v>
      </c>
    </row>
    <row r="1224" spans="1:10" x14ac:dyDescent="0.25">
      <c r="A1224" s="1">
        <v>360</v>
      </c>
      <c r="B1224" t="s">
        <v>27</v>
      </c>
      <c r="C1224">
        <v>635</v>
      </c>
      <c r="D1224">
        <v>1</v>
      </c>
      <c r="E1224" t="s">
        <v>25</v>
      </c>
      <c r="F1224" t="s">
        <v>26</v>
      </c>
      <c r="G1224" t="str">
        <f>"2025-12-22 03:04:00.011"</f>
        <v>2025-12-22 03:04:00.011</v>
      </c>
      <c r="H1224" t="s">
        <v>22</v>
      </c>
      <c r="I1224">
        <v>6.66</v>
      </c>
      <c r="J1224" t="s">
        <v>28</v>
      </c>
    </row>
    <row r="1225" spans="1:10" x14ac:dyDescent="0.25">
      <c r="A1225" s="1">
        <v>361</v>
      </c>
      <c r="B1225" t="s">
        <v>19</v>
      </c>
      <c r="C1225">
        <v>706</v>
      </c>
      <c r="D1225">
        <v>4</v>
      </c>
      <c r="E1225" t="s">
        <v>20</v>
      </c>
      <c r="F1225" t="s">
        <v>40</v>
      </c>
      <c r="G1225" t="str">
        <f>"2025-12-21 00:38:15.060"</f>
        <v>2025-12-21 00:38:15.060</v>
      </c>
      <c r="H1225" t="s">
        <v>22</v>
      </c>
      <c r="I1225">
        <v>0</v>
      </c>
      <c r="J1225" t="s">
        <v>23</v>
      </c>
    </row>
    <row r="1226" spans="1:10" x14ac:dyDescent="0.25">
      <c r="A1226" s="1">
        <v>362</v>
      </c>
      <c r="B1226" t="s">
        <v>19</v>
      </c>
      <c r="C1226">
        <v>700</v>
      </c>
      <c r="D1226">
        <v>0</v>
      </c>
      <c r="E1226" t="s">
        <v>33</v>
      </c>
      <c r="F1226" t="s">
        <v>33</v>
      </c>
      <c r="G1226" t="str">
        <f>"2025-12-21 00:37:55.300"</f>
        <v>2025-12-21 00:37:55.300</v>
      </c>
      <c r="H1226" t="s">
        <v>22</v>
      </c>
      <c r="I1226">
        <v>0</v>
      </c>
      <c r="J1226" t="s">
        <v>41</v>
      </c>
    </row>
    <row r="1227" spans="1:10" x14ac:dyDescent="0.25">
      <c r="A1227" s="1">
        <v>363</v>
      </c>
      <c r="B1227" t="s">
        <v>19</v>
      </c>
      <c r="C1227">
        <v>700</v>
      </c>
      <c r="D1227">
        <v>0</v>
      </c>
      <c r="E1227" t="s">
        <v>33</v>
      </c>
      <c r="F1227" t="s">
        <v>33</v>
      </c>
      <c r="G1227" t="str">
        <f>"2025-12-20 20:29:08.264"</f>
        <v>2025-12-20 20:29:08.264</v>
      </c>
      <c r="H1227" t="s">
        <v>22</v>
      </c>
      <c r="I1227">
        <v>0</v>
      </c>
      <c r="J1227" t="s">
        <v>41</v>
      </c>
    </row>
    <row r="1228" spans="1:10" x14ac:dyDescent="0.25">
      <c r="A1228" s="1">
        <v>364</v>
      </c>
      <c r="B1228" t="s">
        <v>19</v>
      </c>
      <c r="C1228">
        <v>700</v>
      </c>
      <c r="D1228">
        <v>0</v>
      </c>
      <c r="E1228" t="s">
        <v>33</v>
      </c>
      <c r="F1228" t="s">
        <v>33</v>
      </c>
      <c r="G1228" t="str">
        <f>"2025-12-20 17:14:11.277"</f>
        <v>2025-12-20 17:14:11.277</v>
      </c>
      <c r="H1228" t="s">
        <v>22</v>
      </c>
    </row>
    <row r="1229" spans="1:10" x14ac:dyDescent="0.25">
      <c r="A1229" s="1">
        <v>365</v>
      </c>
      <c r="B1229" t="s">
        <v>19</v>
      </c>
      <c r="C1229">
        <v>700</v>
      </c>
      <c r="D1229">
        <v>0</v>
      </c>
      <c r="E1229" t="s">
        <v>33</v>
      </c>
      <c r="F1229" t="s">
        <v>33</v>
      </c>
      <c r="G1229" t="str">
        <f>"2025-12-20 14:28:38.270"</f>
        <v>2025-12-20 14:28:38.270</v>
      </c>
      <c r="H1229" t="s">
        <v>22</v>
      </c>
      <c r="I1229">
        <v>0</v>
      </c>
      <c r="J1229" t="s">
        <v>41</v>
      </c>
    </row>
    <row r="1230" spans="1:10" x14ac:dyDescent="0.25">
      <c r="A1230" s="1">
        <v>366</v>
      </c>
      <c r="B1230" t="s">
        <v>19</v>
      </c>
      <c r="C1230">
        <v>700</v>
      </c>
      <c r="D1230">
        <v>0</v>
      </c>
      <c r="E1230" t="s">
        <v>33</v>
      </c>
      <c r="F1230" t="s">
        <v>33</v>
      </c>
      <c r="G1230" t="str">
        <f>"2025-12-20 14:17:49.268"</f>
        <v>2025-12-20 14:17:49.268</v>
      </c>
      <c r="H1230" t="s">
        <v>22</v>
      </c>
    </row>
    <row r="1231" spans="1:10" x14ac:dyDescent="0.25">
      <c r="A1231" s="1">
        <v>367</v>
      </c>
      <c r="B1231" t="s">
        <v>19</v>
      </c>
      <c r="C1231">
        <v>706</v>
      </c>
      <c r="D1231">
        <v>2</v>
      </c>
      <c r="E1231" t="s">
        <v>20</v>
      </c>
      <c r="F1231" t="s">
        <v>21</v>
      </c>
      <c r="G1231" t="str">
        <f>"2025-12-20 12:34:52.287"</f>
        <v>2025-12-20 12:34:52.287</v>
      </c>
      <c r="H1231" t="s">
        <v>22</v>
      </c>
      <c r="I1231">
        <v>0</v>
      </c>
      <c r="J1231" t="s">
        <v>23</v>
      </c>
    </row>
    <row r="1232" spans="1:10" x14ac:dyDescent="0.25">
      <c r="A1232" s="1">
        <v>368</v>
      </c>
      <c r="B1232" t="s">
        <v>19</v>
      </c>
      <c r="C1232">
        <v>700</v>
      </c>
      <c r="D1232">
        <v>0</v>
      </c>
      <c r="E1232" t="s">
        <v>33</v>
      </c>
      <c r="F1232" t="s">
        <v>33</v>
      </c>
      <c r="G1232" t="str">
        <f>"2025-12-20 12:32:13.287"</f>
        <v>2025-12-20 12:32:13.287</v>
      </c>
      <c r="H1232" t="s">
        <v>22</v>
      </c>
      <c r="I1232">
        <v>0</v>
      </c>
      <c r="J1232" t="s">
        <v>41</v>
      </c>
    </row>
    <row r="1233" spans="1:10" x14ac:dyDescent="0.25">
      <c r="A1233" s="1">
        <v>369</v>
      </c>
      <c r="B1233" t="s">
        <v>19</v>
      </c>
      <c r="C1233">
        <v>700</v>
      </c>
      <c r="D1233">
        <v>0</v>
      </c>
      <c r="E1233" t="s">
        <v>33</v>
      </c>
      <c r="F1233" t="s">
        <v>33</v>
      </c>
      <c r="G1233" t="str">
        <f>"2025-12-20 12:19:08.261"</f>
        <v>2025-12-20 12:19:08.261</v>
      </c>
      <c r="H1233" t="s">
        <v>22</v>
      </c>
      <c r="I1233">
        <v>0</v>
      </c>
      <c r="J1233" t="s">
        <v>41</v>
      </c>
    </row>
    <row r="1234" spans="1:10" x14ac:dyDescent="0.25">
      <c r="A1234" s="1">
        <v>370</v>
      </c>
      <c r="B1234" t="s">
        <v>32</v>
      </c>
      <c r="C1234">
        <v>630</v>
      </c>
      <c r="D1234">
        <v>5</v>
      </c>
      <c r="E1234" t="s">
        <v>29</v>
      </c>
      <c r="F1234" t="s">
        <v>30</v>
      </c>
      <c r="G1234" t="str">
        <f>"2025-12-20 11:58:47.707"</f>
        <v>2025-12-20 11:58:47.707</v>
      </c>
      <c r="H1234" t="s">
        <v>31</v>
      </c>
      <c r="I1234">
        <v>0</v>
      </c>
      <c r="J1234" t="s">
        <v>23</v>
      </c>
    </row>
    <row r="1235" spans="1:10" x14ac:dyDescent="0.25">
      <c r="A1235" s="1">
        <v>371</v>
      </c>
      <c r="B1235" t="s">
        <v>19</v>
      </c>
      <c r="C1235">
        <v>700</v>
      </c>
      <c r="D1235">
        <v>0</v>
      </c>
      <c r="E1235" t="s">
        <v>33</v>
      </c>
      <c r="F1235" t="s">
        <v>33</v>
      </c>
      <c r="G1235" t="str">
        <f>"2025-12-20 11:50:49.258"</f>
        <v>2025-12-20 11:50:49.258</v>
      </c>
      <c r="H1235" t="s">
        <v>22</v>
      </c>
      <c r="I1235">
        <v>0</v>
      </c>
      <c r="J1235" t="s">
        <v>41</v>
      </c>
    </row>
    <row r="1236" spans="1:10" x14ac:dyDescent="0.25">
      <c r="A1236" s="1">
        <v>372</v>
      </c>
      <c r="B1236" t="s">
        <v>19</v>
      </c>
      <c r="C1236">
        <v>706</v>
      </c>
      <c r="D1236">
        <v>2</v>
      </c>
      <c r="E1236" t="s">
        <v>20</v>
      </c>
      <c r="F1236" t="s">
        <v>21</v>
      </c>
      <c r="G1236" t="str">
        <f>"2025-12-20 10:17:34.718"</f>
        <v>2025-12-20 10:17:34.718</v>
      </c>
      <c r="H1236" t="s">
        <v>22</v>
      </c>
      <c r="I1236">
        <v>0</v>
      </c>
      <c r="J1236" t="s">
        <v>23</v>
      </c>
    </row>
    <row r="1237" spans="1:10" x14ac:dyDescent="0.25">
      <c r="A1237" s="1">
        <v>373</v>
      </c>
      <c r="B1237" t="s">
        <v>19</v>
      </c>
      <c r="C1237">
        <v>706</v>
      </c>
      <c r="D1237">
        <v>2</v>
      </c>
      <c r="E1237" t="s">
        <v>20</v>
      </c>
      <c r="F1237" t="s">
        <v>21</v>
      </c>
      <c r="G1237" t="str">
        <f>"2025-12-20 10:14:07.518"</f>
        <v>2025-12-20 10:14:07.518</v>
      </c>
      <c r="H1237" t="s">
        <v>22</v>
      </c>
      <c r="I1237">
        <v>0</v>
      </c>
      <c r="J1237" t="s">
        <v>23</v>
      </c>
    </row>
    <row r="1238" spans="1:10" x14ac:dyDescent="0.25">
      <c r="A1238" s="1">
        <v>374</v>
      </c>
      <c r="B1238" t="s">
        <v>19</v>
      </c>
      <c r="C1238">
        <v>700</v>
      </c>
      <c r="D1238">
        <v>0</v>
      </c>
      <c r="E1238" t="s">
        <v>33</v>
      </c>
      <c r="F1238" t="s">
        <v>33</v>
      </c>
      <c r="G1238" t="str">
        <f>"2025-12-20 10:08:35.268"</f>
        <v>2025-12-20 10:08:35.268</v>
      </c>
      <c r="H1238" t="s">
        <v>22</v>
      </c>
      <c r="I1238">
        <v>0</v>
      </c>
      <c r="J1238" t="s">
        <v>41</v>
      </c>
    </row>
    <row r="1239" spans="1:10" x14ac:dyDescent="0.25">
      <c r="A1239" s="1">
        <v>375</v>
      </c>
      <c r="B1239" t="s">
        <v>19</v>
      </c>
      <c r="C1239">
        <v>700</v>
      </c>
      <c r="D1239">
        <v>0</v>
      </c>
      <c r="E1239" t="s">
        <v>33</v>
      </c>
      <c r="F1239" t="s">
        <v>33</v>
      </c>
      <c r="G1239" t="str">
        <f>"2025-12-20 10:02:53.257"</f>
        <v>2025-12-20 10:02:53.257</v>
      </c>
      <c r="H1239" t="s">
        <v>22</v>
      </c>
      <c r="I1239">
        <v>0</v>
      </c>
      <c r="J1239" t="s">
        <v>41</v>
      </c>
    </row>
    <row r="1240" spans="1:10" x14ac:dyDescent="0.25">
      <c r="A1240" s="1">
        <v>376</v>
      </c>
      <c r="B1240" t="s">
        <v>19</v>
      </c>
      <c r="C1240">
        <v>700</v>
      </c>
      <c r="D1240">
        <v>0</v>
      </c>
      <c r="E1240" t="s">
        <v>33</v>
      </c>
      <c r="F1240" t="s">
        <v>33</v>
      </c>
      <c r="G1240" t="str">
        <f>"2025-12-20 09:59:56.254"</f>
        <v>2025-12-20 09:59:56.254</v>
      </c>
      <c r="H1240" t="s">
        <v>22</v>
      </c>
      <c r="I1240">
        <v>0</v>
      </c>
      <c r="J1240" t="s">
        <v>41</v>
      </c>
    </row>
    <row r="1241" spans="1:10" x14ac:dyDescent="0.25">
      <c r="A1241" s="1">
        <v>377</v>
      </c>
      <c r="B1241" t="s">
        <v>19</v>
      </c>
      <c r="C1241">
        <v>700</v>
      </c>
      <c r="D1241">
        <v>0</v>
      </c>
      <c r="E1241" t="s">
        <v>33</v>
      </c>
      <c r="F1241" t="s">
        <v>33</v>
      </c>
      <c r="G1241" t="str">
        <f>"2025-12-20 09:56:07.391"</f>
        <v>2025-12-20 09:56:07.391</v>
      </c>
      <c r="H1241" t="s">
        <v>22</v>
      </c>
    </row>
    <row r="1242" spans="1:10" x14ac:dyDescent="0.25">
      <c r="A1242" s="1">
        <v>378</v>
      </c>
      <c r="B1242" t="s">
        <v>19</v>
      </c>
      <c r="C1242">
        <v>706</v>
      </c>
      <c r="D1242">
        <v>4</v>
      </c>
      <c r="E1242" t="s">
        <v>20</v>
      </c>
      <c r="F1242" t="s">
        <v>40</v>
      </c>
      <c r="G1242" t="str">
        <f>"2025-12-20 07:55:52.333"</f>
        <v>2025-12-20 07:55:52.333</v>
      </c>
      <c r="H1242" t="s">
        <v>22</v>
      </c>
      <c r="I1242">
        <v>0</v>
      </c>
      <c r="J1242" t="s">
        <v>23</v>
      </c>
    </row>
    <row r="1243" spans="1:10" x14ac:dyDescent="0.25">
      <c r="A1243" s="1">
        <v>379</v>
      </c>
      <c r="B1243" t="s">
        <v>19</v>
      </c>
      <c r="C1243">
        <v>706</v>
      </c>
      <c r="D1243">
        <v>3</v>
      </c>
      <c r="E1243" t="s">
        <v>20</v>
      </c>
      <c r="F1243" t="s">
        <v>42</v>
      </c>
      <c r="G1243" t="str">
        <f>"2025-12-20 07:51:28.923"</f>
        <v>2025-12-20 07:51:28.923</v>
      </c>
      <c r="H1243" t="s">
        <v>22</v>
      </c>
      <c r="I1243">
        <v>0</v>
      </c>
      <c r="J1243" t="s">
        <v>23</v>
      </c>
    </row>
    <row r="1244" spans="1:10" x14ac:dyDescent="0.25">
      <c r="A1244" s="1">
        <v>380</v>
      </c>
      <c r="B1244" t="s">
        <v>19</v>
      </c>
      <c r="C1244">
        <v>706</v>
      </c>
      <c r="D1244">
        <v>2</v>
      </c>
      <c r="E1244" t="s">
        <v>20</v>
      </c>
      <c r="F1244" t="s">
        <v>21</v>
      </c>
      <c r="G1244" t="str">
        <f>"2025-12-20 07:49:18.013"</f>
        <v>2025-12-20 07:49:18.013</v>
      </c>
      <c r="H1244" t="s">
        <v>22</v>
      </c>
      <c r="I1244">
        <v>0</v>
      </c>
      <c r="J1244" t="s">
        <v>23</v>
      </c>
    </row>
    <row r="1245" spans="1:10" x14ac:dyDescent="0.25">
      <c r="A1245" s="1">
        <v>381</v>
      </c>
      <c r="B1245" t="s">
        <v>19</v>
      </c>
      <c r="C1245">
        <v>700</v>
      </c>
      <c r="D1245">
        <v>0</v>
      </c>
      <c r="E1245" t="s">
        <v>33</v>
      </c>
      <c r="F1245" t="s">
        <v>33</v>
      </c>
      <c r="G1245" t="str">
        <f>"2025-12-19 18:34:48.333"</f>
        <v>2025-12-19 18:34:48.333</v>
      </c>
      <c r="H1245" t="s">
        <v>22</v>
      </c>
      <c r="I1245">
        <v>0</v>
      </c>
      <c r="J1245" t="s">
        <v>41</v>
      </c>
    </row>
    <row r="1246" spans="1:10" x14ac:dyDescent="0.25">
      <c r="A1246" s="1">
        <v>382</v>
      </c>
      <c r="B1246" t="s">
        <v>19</v>
      </c>
      <c r="C1246">
        <v>700</v>
      </c>
      <c r="D1246">
        <v>0</v>
      </c>
      <c r="E1246" t="s">
        <v>33</v>
      </c>
      <c r="F1246" t="s">
        <v>33</v>
      </c>
      <c r="G1246" t="str">
        <f>"2025-12-19 17:20:35.255"</f>
        <v>2025-12-19 17:20:35.255</v>
      </c>
      <c r="H1246" t="s">
        <v>22</v>
      </c>
    </row>
    <row r="1247" spans="1:10" x14ac:dyDescent="0.25">
      <c r="A1247" s="1">
        <v>383</v>
      </c>
      <c r="B1247" t="s">
        <v>19</v>
      </c>
      <c r="C1247">
        <v>700</v>
      </c>
      <c r="D1247">
        <v>0</v>
      </c>
      <c r="E1247" t="s">
        <v>33</v>
      </c>
      <c r="F1247" t="s">
        <v>33</v>
      </c>
      <c r="G1247" t="str">
        <f>"2025-12-19 16:32:31.270"</f>
        <v>2025-12-19 16:32:31.270</v>
      </c>
      <c r="H1247" t="s">
        <v>22</v>
      </c>
      <c r="I1247">
        <v>0</v>
      </c>
      <c r="J1247" t="s">
        <v>41</v>
      </c>
    </row>
    <row r="1248" spans="1:10" x14ac:dyDescent="0.25">
      <c r="A1248" s="1">
        <v>384</v>
      </c>
      <c r="B1248" t="s">
        <v>19</v>
      </c>
      <c r="C1248">
        <v>700</v>
      </c>
      <c r="D1248">
        <v>0</v>
      </c>
      <c r="E1248" t="s">
        <v>33</v>
      </c>
      <c r="F1248" t="s">
        <v>33</v>
      </c>
      <c r="G1248" t="str">
        <f>"2025-12-19 15:15:29.265"</f>
        <v>2025-12-19 15:15:29.265</v>
      </c>
      <c r="H1248" t="s">
        <v>22</v>
      </c>
      <c r="I1248">
        <v>0</v>
      </c>
      <c r="J1248" t="s">
        <v>41</v>
      </c>
    </row>
    <row r="1249" spans="1:10" x14ac:dyDescent="0.25">
      <c r="A1249" s="1">
        <v>385</v>
      </c>
      <c r="B1249" t="s">
        <v>19</v>
      </c>
      <c r="C1249">
        <v>706</v>
      </c>
      <c r="D1249">
        <v>2</v>
      </c>
      <c r="E1249" t="s">
        <v>20</v>
      </c>
      <c r="F1249" t="s">
        <v>21</v>
      </c>
      <c r="G1249" t="str">
        <f>"2025-12-19 12:07:24.359"</f>
        <v>2025-12-19 12:07:24.359</v>
      </c>
      <c r="H1249" t="s">
        <v>22</v>
      </c>
      <c r="I1249">
        <v>0</v>
      </c>
      <c r="J1249" t="s">
        <v>23</v>
      </c>
    </row>
    <row r="1250" spans="1:10" x14ac:dyDescent="0.25">
      <c r="A1250" s="1">
        <v>386</v>
      </c>
      <c r="B1250" t="s">
        <v>19</v>
      </c>
      <c r="C1250">
        <v>700</v>
      </c>
      <c r="D1250">
        <v>0</v>
      </c>
      <c r="E1250" t="s">
        <v>33</v>
      </c>
      <c r="F1250" t="s">
        <v>33</v>
      </c>
      <c r="G1250" t="str">
        <f>"2025-12-19 12:07:07.259"</f>
        <v>2025-12-19 12:07:07.259</v>
      </c>
      <c r="H1250" t="s">
        <v>22</v>
      </c>
      <c r="I1250">
        <v>0</v>
      </c>
      <c r="J1250" t="s">
        <v>41</v>
      </c>
    </row>
    <row r="1251" spans="1:10" x14ac:dyDescent="0.25">
      <c r="A1251" s="1">
        <v>387</v>
      </c>
      <c r="B1251" t="s">
        <v>19</v>
      </c>
      <c r="C1251">
        <v>706</v>
      </c>
      <c r="D1251">
        <v>4</v>
      </c>
      <c r="E1251" t="s">
        <v>20</v>
      </c>
      <c r="F1251" t="s">
        <v>40</v>
      </c>
      <c r="G1251" t="str">
        <f>"2025-12-18 17:38:35.875"</f>
        <v>2025-12-18 17:38:35.875</v>
      </c>
      <c r="H1251" t="s">
        <v>22</v>
      </c>
      <c r="I1251">
        <v>0</v>
      </c>
      <c r="J1251" t="s">
        <v>23</v>
      </c>
    </row>
    <row r="1252" spans="1:10" x14ac:dyDescent="0.25">
      <c r="A1252" s="1">
        <v>388</v>
      </c>
      <c r="B1252" t="s">
        <v>19</v>
      </c>
      <c r="C1252">
        <v>706</v>
      </c>
      <c r="D1252">
        <v>4</v>
      </c>
      <c r="E1252" t="s">
        <v>20</v>
      </c>
      <c r="F1252" t="s">
        <v>40</v>
      </c>
      <c r="G1252" t="str">
        <f>"2025-12-18 17:33:23.195"</f>
        <v>2025-12-18 17:33:23.195</v>
      </c>
      <c r="H1252" t="s">
        <v>22</v>
      </c>
      <c r="I1252">
        <v>0</v>
      </c>
      <c r="J1252" t="s">
        <v>23</v>
      </c>
    </row>
    <row r="1253" spans="1:10" x14ac:dyDescent="0.25">
      <c r="A1253" s="1">
        <v>389</v>
      </c>
      <c r="B1253" t="s">
        <v>19</v>
      </c>
      <c r="C1253">
        <v>700</v>
      </c>
      <c r="D1253">
        <v>0</v>
      </c>
      <c r="E1253" t="s">
        <v>33</v>
      </c>
      <c r="F1253" t="s">
        <v>33</v>
      </c>
      <c r="G1253" t="str">
        <f>"2025-12-18 17:06:57.285"</f>
        <v>2025-12-18 17:06:57.285</v>
      </c>
      <c r="H1253" t="s">
        <v>22</v>
      </c>
      <c r="I1253">
        <v>0</v>
      </c>
      <c r="J1253" t="s">
        <v>41</v>
      </c>
    </row>
    <row r="1254" spans="1:10" x14ac:dyDescent="0.25">
      <c r="A1254" s="1">
        <v>390</v>
      </c>
      <c r="B1254" t="s">
        <v>19</v>
      </c>
      <c r="C1254">
        <v>706</v>
      </c>
      <c r="D1254">
        <v>4</v>
      </c>
      <c r="E1254" t="s">
        <v>20</v>
      </c>
      <c r="F1254" t="s">
        <v>40</v>
      </c>
      <c r="G1254" t="str">
        <f>"2025-12-18 15:10:40.954"</f>
        <v>2025-12-18 15:10:40.954</v>
      </c>
      <c r="H1254" t="s">
        <v>22</v>
      </c>
      <c r="I1254">
        <v>0</v>
      </c>
      <c r="J1254" t="s">
        <v>23</v>
      </c>
    </row>
    <row r="1255" spans="1:10" x14ac:dyDescent="0.25">
      <c r="A1255" s="1">
        <v>391</v>
      </c>
      <c r="B1255" t="s">
        <v>19</v>
      </c>
      <c r="C1255">
        <v>700</v>
      </c>
      <c r="D1255">
        <v>0</v>
      </c>
      <c r="E1255" t="s">
        <v>33</v>
      </c>
      <c r="F1255" t="s">
        <v>33</v>
      </c>
      <c r="G1255" t="str">
        <f>"2025-12-18 10:33:03.284"</f>
        <v>2025-12-18 10:33:03.284</v>
      </c>
      <c r="H1255" t="s">
        <v>22</v>
      </c>
      <c r="I1255">
        <v>0</v>
      </c>
      <c r="J1255" t="s">
        <v>41</v>
      </c>
    </row>
    <row r="1256" spans="1:10" x14ac:dyDescent="0.25">
      <c r="A1256" s="1">
        <v>392</v>
      </c>
      <c r="B1256" t="s">
        <v>74</v>
      </c>
      <c r="C1256">
        <v>228</v>
      </c>
      <c r="D1256">
        <v>4</v>
      </c>
      <c r="E1256" t="s">
        <v>82</v>
      </c>
      <c r="F1256" t="s">
        <v>76</v>
      </c>
      <c r="G1256" t="str">
        <f>"2025-12-17 06:01:15.322"</f>
        <v>2025-12-17 06:01:15.322</v>
      </c>
      <c r="H1256" t="s">
        <v>53</v>
      </c>
    </row>
    <row r="1257" spans="1:10" x14ac:dyDescent="0.25">
      <c r="A1257" s="1">
        <v>393</v>
      </c>
      <c r="B1257" t="s">
        <v>32</v>
      </c>
      <c r="C1257">
        <v>228</v>
      </c>
      <c r="D1257">
        <v>4</v>
      </c>
      <c r="E1257" t="s">
        <v>82</v>
      </c>
      <c r="F1257" t="s">
        <v>76</v>
      </c>
      <c r="G1257" t="str">
        <f>"2025-12-17 06:01:10.286"</f>
        <v>2025-12-17 06:01:10.286</v>
      </c>
      <c r="H1257" t="s">
        <v>53</v>
      </c>
      <c r="I1257">
        <v>7.11</v>
      </c>
      <c r="J1257" t="s">
        <v>28</v>
      </c>
    </row>
    <row r="1258" spans="1:10" x14ac:dyDescent="0.25">
      <c r="A1258" s="1">
        <v>394</v>
      </c>
      <c r="B1258" t="s">
        <v>24</v>
      </c>
      <c r="C1258">
        <v>630</v>
      </c>
      <c r="D1258">
        <v>5</v>
      </c>
      <c r="E1258" t="s">
        <v>29</v>
      </c>
      <c r="F1258" t="s">
        <v>30</v>
      </c>
      <c r="G1258" t="str">
        <f>"2025-12-16 13:55:36.630"</f>
        <v>2025-12-16 13:55:36.630</v>
      </c>
      <c r="H1258" t="s">
        <v>31</v>
      </c>
    </row>
    <row r="1259" spans="1:10" x14ac:dyDescent="0.25">
      <c r="A1259" s="1">
        <v>395</v>
      </c>
      <c r="B1259" t="s">
        <v>19</v>
      </c>
      <c r="C1259">
        <v>706</v>
      </c>
      <c r="D1259">
        <v>2</v>
      </c>
      <c r="E1259" t="s">
        <v>20</v>
      </c>
      <c r="F1259" t="s">
        <v>21</v>
      </c>
      <c r="G1259" t="str">
        <f>"2025-12-16 13:55:06.532"</f>
        <v>2025-12-16 13:55:06.532</v>
      </c>
      <c r="H1259" t="s">
        <v>22</v>
      </c>
      <c r="I1259">
        <v>0</v>
      </c>
      <c r="J1259" t="s">
        <v>23</v>
      </c>
    </row>
    <row r="1260" spans="1:10" x14ac:dyDescent="0.25">
      <c r="A1260" s="1">
        <v>396</v>
      </c>
      <c r="B1260" t="s">
        <v>19</v>
      </c>
      <c r="C1260">
        <v>706</v>
      </c>
      <c r="D1260">
        <v>4</v>
      </c>
      <c r="E1260" t="s">
        <v>20</v>
      </c>
      <c r="F1260" t="s">
        <v>40</v>
      </c>
      <c r="G1260" t="str">
        <f>"2025-12-16 13:54:59.652"</f>
        <v>2025-12-16 13:54:59.652</v>
      </c>
      <c r="H1260" t="s">
        <v>22</v>
      </c>
      <c r="I1260">
        <v>0</v>
      </c>
      <c r="J1260" t="s">
        <v>23</v>
      </c>
    </row>
    <row r="1261" spans="1:10" x14ac:dyDescent="0.25">
      <c r="A1261" s="1">
        <v>397</v>
      </c>
      <c r="B1261" t="s">
        <v>32</v>
      </c>
      <c r="C1261">
        <v>630</v>
      </c>
      <c r="D1261">
        <v>5</v>
      </c>
      <c r="E1261" t="s">
        <v>29</v>
      </c>
      <c r="F1261" t="s">
        <v>30</v>
      </c>
      <c r="G1261" t="str">
        <f>"2025-12-16 12:15:08.031"</f>
        <v>2025-12-16 12:15:08.031</v>
      </c>
      <c r="H1261" t="s">
        <v>31</v>
      </c>
      <c r="I1261">
        <v>0</v>
      </c>
      <c r="J1261" t="s">
        <v>23</v>
      </c>
    </row>
    <row r="1262" spans="1:10" x14ac:dyDescent="0.25">
      <c r="A1262" s="1">
        <v>398</v>
      </c>
      <c r="B1262" t="s">
        <v>19</v>
      </c>
      <c r="C1262">
        <v>700</v>
      </c>
      <c r="D1262">
        <v>0</v>
      </c>
      <c r="E1262" t="s">
        <v>33</v>
      </c>
      <c r="F1262" t="s">
        <v>33</v>
      </c>
      <c r="G1262" t="str">
        <f>"2025-12-16 12:10:05.252"</f>
        <v>2025-12-16 12:10:05.252</v>
      </c>
      <c r="H1262" t="s">
        <v>22</v>
      </c>
    </row>
    <row r="1263" spans="1:10" x14ac:dyDescent="0.25">
      <c r="A1263" s="1">
        <v>399</v>
      </c>
      <c r="B1263" t="s">
        <v>19</v>
      </c>
      <c r="C1263">
        <v>700</v>
      </c>
      <c r="D1263">
        <v>0</v>
      </c>
      <c r="E1263" t="s">
        <v>33</v>
      </c>
      <c r="F1263" t="s">
        <v>33</v>
      </c>
      <c r="G1263" t="str">
        <f>"2025-12-16 11:58:04.510"</f>
        <v>2025-12-16 11:58:04.510</v>
      </c>
      <c r="H1263" t="s">
        <v>22</v>
      </c>
    </row>
    <row r="1264" spans="1:10" x14ac:dyDescent="0.25">
      <c r="A1264" s="1">
        <v>400</v>
      </c>
      <c r="B1264" t="s">
        <v>24</v>
      </c>
      <c r="C1264">
        <v>635</v>
      </c>
      <c r="D1264">
        <v>1</v>
      </c>
      <c r="E1264" t="s">
        <v>25</v>
      </c>
      <c r="F1264" t="s">
        <v>26</v>
      </c>
      <c r="G1264" t="str">
        <f>"2025-12-16 01:03:06.811"</f>
        <v>2025-12-16 01:03:06.811</v>
      </c>
      <c r="H1264" t="s">
        <v>22</v>
      </c>
    </row>
    <row r="1265" spans="1:10" x14ac:dyDescent="0.25">
      <c r="A1265" s="1">
        <v>401</v>
      </c>
      <c r="B1265" t="s">
        <v>27</v>
      </c>
      <c r="C1265">
        <v>635</v>
      </c>
      <c r="D1265">
        <v>1</v>
      </c>
      <c r="E1265" t="s">
        <v>25</v>
      </c>
      <c r="F1265" t="s">
        <v>26</v>
      </c>
      <c r="G1265" t="str">
        <f>"2025-12-16 00:56:44.911"</f>
        <v>2025-12-16 00:56:44.911</v>
      </c>
      <c r="H1265" t="s">
        <v>22</v>
      </c>
      <c r="I1265">
        <v>0.38</v>
      </c>
      <c r="J1265" t="s">
        <v>28</v>
      </c>
    </row>
    <row r="1266" spans="1:10" x14ac:dyDescent="0.25">
      <c r="A1266" s="1">
        <v>402</v>
      </c>
      <c r="B1266" t="s">
        <v>19</v>
      </c>
      <c r="C1266">
        <v>700</v>
      </c>
      <c r="D1266">
        <v>0</v>
      </c>
      <c r="E1266" t="s">
        <v>33</v>
      </c>
      <c r="F1266" t="s">
        <v>33</v>
      </c>
      <c r="G1266" t="str">
        <f>"2025-12-16 00:15:20.250"</f>
        <v>2025-12-16 00:15:20.250</v>
      </c>
      <c r="H1266" t="s">
        <v>22</v>
      </c>
      <c r="I1266">
        <v>0</v>
      </c>
      <c r="J1266" t="s">
        <v>41</v>
      </c>
    </row>
    <row r="1267" spans="1:10" x14ac:dyDescent="0.25">
      <c r="A1267" s="1">
        <v>404</v>
      </c>
      <c r="B1267" t="s">
        <v>24</v>
      </c>
      <c r="C1267">
        <v>635</v>
      </c>
      <c r="D1267">
        <v>1</v>
      </c>
      <c r="E1267" t="s">
        <v>25</v>
      </c>
      <c r="F1267" t="s">
        <v>26</v>
      </c>
      <c r="G1267" t="str">
        <f>"2025-12-14 05:37:23.520"</f>
        <v>2025-12-14 05:37:23.520</v>
      </c>
      <c r="H1267" t="s">
        <v>22</v>
      </c>
    </row>
    <row r="1268" spans="1:10" x14ac:dyDescent="0.25">
      <c r="A1268" s="1">
        <v>405</v>
      </c>
      <c r="B1268" t="s">
        <v>27</v>
      </c>
      <c r="C1268">
        <v>635</v>
      </c>
      <c r="D1268">
        <v>1</v>
      </c>
      <c r="E1268" t="s">
        <v>25</v>
      </c>
      <c r="F1268" t="s">
        <v>26</v>
      </c>
      <c r="G1268" t="str">
        <f>"2025-12-14 05:30:26.020"</f>
        <v>2025-12-14 05:30:26.020</v>
      </c>
      <c r="H1268" t="s">
        <v>22</v>
      </c>
      <c r="I1268">
        <v>2.59</v>
      </c>
      <c r="J1268" t="s">
        <v>28</v>
      </c>
    </row>
    <row r="1269" spans="1:10" x14ac:dyDescent="0.25">
      <c r="A1269" s="1">
        <v>406</v>
      </c>
      <c r="B1269" t="s">
        <v>19</v>
      </c>
      <c r="C1269">
        <v>706</v>
      </c>
      <c r="D1269">
        <v>2</v>
      </c>
      <c r="E1269" t="s">
        <v>20</v>
      </c>
      <c r="F1269" t="s">
        <v>21</v>
      </c>
      <c r="G1269" t="str">
        <f>"2025-12-14 04:12:39.498"</f>
        <v>2025-12-14 04:12:39.498</v>
      </c>
      <c r="H1269" t="s">
        <v>22</v>
      </c>
      <c r="I1269">
        <v>0</v>
      </c>
      <c r="J1269" t="s">
        <v>23</v>
      </c>
    </row>
    <row r="1270" spans="1:10" x14ac:dyDescent="0.25">
      <c r="A1270" s="1">
        <v>407</v>
      </c>
      <c r="B1270" t="s">
        <v>24</v>
      </c>
      <c r="C1270">
        <v>98</v>
      </c>
      <c r="D1270">
        <v>1</v>
      </c>
      <c r="E1270" t="s">
        <v>38</v>
      </c>
      <c r="F1270" t="s">
        <v>39</v>
      </c>
      <c r="G1270" t="str">
        <f>"2025-12-13 00:59:50.332"</f>
        <v>2025-12-13 00:59:50.332</v>
      </c>
      <c r="H1270" t="s">
        <v>22</v>
      </c>
    </row>
    <row r="1271" spans="1:10" x14ac:dyDescent="0.25">
      <c r="A1271" s="1">
        <v>408</v>
      </c>
      <c r="B1271" t="s">
        <v>27</v>
      </c>
      <c r="C1271">
        <v>98</v>
      </c>
      <c r="D1271">
        <v>1</v>
      </c>
      <c r="E1271" t="s">
        <v>38</v>
      </c>
      <c r="F1271" t="s">
        <v>39</v>
      </c>
      <c r="G1271" t="str">
        <f>"2025-12-13 00:59:49.333"</f>
        <v>2025-12-13 00:59:49.333</v>
      </c>
      <c r="H1271" t="s">
        <v>22</v>
      </c>
      <c r="I1271">
        <v>3.78</v>
      </c>
      <c r="J1271" t="s">
        <v>28</v>
      </c>
    </row>
    <row r="1272" spans="1:10" x14ac:dyDescent="0.25">
      <c r="A1272" s="1">
        <v>409</v>
      </c>
      <c r="B1272" t="s">
        <v>24</v>
      </c>
      <c r="C1272">
        <v>635</v>
      </c>
      <c r="D1272">
        <v>1</v>
      </c>
      <c r="E1272" t="s">
        <v>25</v>
      </c>
      <c r="F1272" t="s">
        <v>26</v>
      </c>
      <c r="G1272" t="str">
        <f>"2025-12-12 04:23:29.520"</f>
        <v>2025-12-12 04:23:29.520</v>
      </c>
      <c r="H1272" t="s">
        <v>22</v>
      </c>
    </row>
    <row r="1273" spans="1:10" x14ac:dyDescent="0.25">
      <c r="A1273" s="1">
        <v>410</v>
      </c>
      <c r="B1273" t="s">
        <v>27</v>
      </c>
      <c r="C1273">
        <v>635</v>
      </c>
      <c r="D1273">
        <v>1</v>
      </c>
      <c r="E1273" t="s">
        <v>25</v>
      </c>
      <c r="F1273" t="s">
        <v>26</v>
      </c>
      <c r="G1273" t="str">
        <f>"2025-12-12 04:20:15.019"</f>
        <v>2025-12-12 04:20:15.019</v>
      </c>
      <c r="H1273" t="s">
        <v>22</v>
      </c>
      <c r="I1273">
        <v>5.94</v>
      </c>
      <c r="J1273" t="s">
        <v>28</v>
      </c>
    </row>
    <row r="1274" spans="1:10" x14ac:dyDescent="0.25">
      <c r="A1274" s="1">
        <v>411</v>
      </c>
      <c r="B1274" t="s">
        <v>19</v>
      </c>
      <c r="C1274">
        <v>700</v>
      </c>
      <c r="D1274">
        <v>0</v>
      </c>
      <c r="E1274" t="s">
        <v>33</v>
      </c>
      <c r="F1274" t="s">
        <v>33</v>
      </c>
      <c r="G1274" t="str">
        <f>"2025-12-11 11:07:02.238"</f>
        <v>2025-12-11 11:07:02.238</v>
      </c>
      <c r="H1274" t="s">
        <v>22</v>
      </c>
      <c r="I1274">
        <v>0</v>
      </c>
      <c r="J1274" t="s">
        <v>41</v>
      </c>
    </row>
    <row r="1275" spans="1:10" x14ac:dyDescent="0.25">
      <c r="A1275" s="1">
        <v>412</v>
      </c>
      <c r="B1275" t="s">
        <v>24</v>
      </c>
      <c r="C1275">
        <v>55</v>
      </c>
      <c r="D1275">
        <v>1</v>
      </c>
      <c r="E1275" t="s">
        <v>102</v>
      </c>
      <c r="F1275" t="s">
        <v>103</v>
      </c>
      <c r="G1275" t="str">
        <f>"2025-12-11 05:14:08.435"</f>
        <v>2025-12-11 05:14:08.435</v>
      </c>
      <c r="H1275" t="s">
        <v>22</v>
      </c>
    </row>
    <row r="1276" spans="1:10" x14ac:dyDescent="0.25">
      <c r="A1276" s="1">
        <v>413</v>
      </c>
      <c r="B1276" t="s">
        <v>24</v>
      </c>
      <c r="C1276">
        <v>635</v>
      </c>
      <c r="D1276">
        <v>1</v>
      </c>
      <c r="E1276" t="s">
        <v>25</v>
      </c>
      <c r="F1276" t="s">
        <v>26</v>
      </c>
      <c r="G1276" t="str">
        <f>"2025-12-08 22:22:18.982"</f>
        <v>2025-12-08 22:22:18.982</v>
      </c>
      <c r="H1276" t="s">
        <v>22</v>
      </c>
    </row>
    <row r="1277" spans="1:10" x14ac:dyDescent="0.25">
      <c r="A1277" s="1">
        <v>414</v>
      </c>
      <c r="B1277" t="s">
        <v>27</v>
      </c>
      <c r="C1277">
        <v>635</v>
      </c>
      <c r="D1277">
        <v>1</v>
      </c>
      <c r="E1277" t="s">
        <v>25</v>
      </c>
      <c r="F1277" t="s">
        <v>26</v>
      </c>
      <c r="G1277" t="str">
        <f>"2025-12-08 22:19:24.582"</f>
        <v>2025-12-08 22:19:24.582</v>
      </c>
      <c r="H1277" t="s">
        <v>22</v>
      </c>
      <c r="I1277">
        <v>0.51</v>
      </c>
      <c r="J1277" t="s">
        <v>28</v>
      </c>
    </row>
    <row r="1278" spans="1:10" x14ac:dyDescent="0.25">
      <c r="A1278" s="1">
        <v>415</v>
      </c>
      <c r="B1278" t="s">
        <v>19</v>
      </c>
      <c r="C1278">
        <v>700</v>
      </c>
      <c r="D1278">
        <v>0</v>
      </c>
      <c r="E1278" t="s">
        <v>33</v>
      </c>
      <c r="F1278" t="s">
        <v>33</v>
      </c>
      <c r="G1278" t="str">
        <f>"2025-12-08 05:44:50.414"</f>
        <v>2025-12-08 05:44:50.414</v>
      </c>
      <c r="H1278" t="s">
        <v>22</v>
      </c>
      <c r="I1278">
        <v>0</v>
      </c>
      <c r="J1278" t="s">
        <v>41</v>
      </c>
    </row>
    <row r="1279" spans="1:10" x14ac:dyDescent="0.25">
      <c r="A1279" s="1">
        <v>416</v>
      </c>
      <c r="B1279" t="s">
        <v>27</v>
      </c>
      <c r="C1279">
        <v>55</v>
      </c>
      <c r="D1279">
        <v>1</v>
      </c>
      <c r="E1279" t="s">
        <v>102</v>
      </c>
      <c r="F1279" t="s">
        <v>103</v>
      </c>
      <c r="G1279" t="str">
        <f>"2025-12-08 05:35:43.610"</f>
        <v>2025-12-08 05:35:43.610</v>
      </c>
      <c r="H1279" t="s">
        <v>22</v>
      </c>
      <c r="I1279">
        <v>7.14</v>
      </c>
      <c r="J1279" t="s">
        <v>37</v>
      </c>
    </row>
    <row r="1280" spans="1:10" x14ac:dyDescent="0.25">
      <c r="A1280" s="1">
        <v>417</v>
      </c>
      <c r="B1280" t="s">
        <v>19</v>
      </c>
      <c r="C1280">
        <v>700</v>
      </c>
      <c r="D1280">
        <v>0</v>
      </c>
      <c r="E1280" t="s">
        <v>33</v>
      </c>
      <c r="F1280" t="s">
        <v>33</v>
      </c>
      <c r="G1280" t="str">
        <f>"2025-12-08 05:34:39.190"</f>
        <v>2025-12-08 05:34:39.190</v>
      </c>
      <c r="H1280" t="s">
        <v>22</v>
      </c>
    </row>
    <row r="1281" spans="1:10" x14ac:dyDescent="0.25">
      <c r="A1281" s="1">
        <v>418</v>
      </c>
      <c r="B1281" t="s">
        <v>19</v>
      </c>
      <c r="C1281">
        <v>706</v>
      </c>
      <c r="D1281">
        <v>2</v>
      </c>
      <c r="E1281" t="s">
        <v>20</v>
      </c>
      <c r="F1281" t="s">
        <v>21</v>
      </c>
      <c r="G1281" t="str">
        <f>"2025-12-08 05:30:50.675"</f>
        <v>2025-12-08 05:30:50.675</v>
      </c>
      <c r="H1281" t="s">
        <v>22</v>
      </c>
      <c r="I1281">
        <v>0</v>
      </c>
      <c r="J1281" t="s">
        <v>23</v>
      </c>
    </row>
    <row r="1282" spans="1:10" x14ac:dyDescent="0.25">
      <c r="A1282" s="1">
        <v>419</v>
      </c>
      <c r="B1282" t="s">
        <v>19</v>
      </c>
      <c r="C1282">
        <v>700</v>
      </c>
      <c r="D1282">
        <v>0</v>
      </c>
      <c r="E1282" t="s">
        <v>33</v>
      </c>
      <c r="F1282" t="s">
        <v>33</v>
      </c>
      <c r="G1282" t="str">
        <f>"2025-12-08 05:29:25.425"</f>
        <v>2025-12-08 05:29:25.425</v>
      </c>
      <c r="H1282" t="s">
        <v>22</v>
      </c>
    </row>
    <row r="1283" spans="1:10" x14ac:dyDescent="0.25">
      <c r="A1283" s="1">
        <v>420</v>
      </c>
      <c r="B1283" t="s">
        <v>19</v>
      </c>
      <c r="C1283">
        <v>706</v>
      </c>
      <c r="D1283">
        <v>2</v>
      </c>
      <c r="E1283" t="s">
        <v>20</v>
      </c>
      <c r="F1283" t="s">
        <v>21</v>
      </c>
      <c r="G1283" t="str">
        <f>"2025-12-08 05:18:50.676"</f>
        <v>2025-12-08 05:18:50.676</v>
      </c>
      <c r="H1283" t="s">
        <v>22</v>
      </c>
      <c r="I1283">
        <v>0</v>
      </c>
      <c r="J1283" t="s">
        <v>23</v>
      </c>
    </row>
    <row r="1284" spans="1:10" x14ac:dyDescent="0.25">
      <c r="A1284" s="1">
        <v>421</v>
      </c>
      <c r="B1284" t="s">
        <v>19</v>
      </c>
      <c r="C1284">
        <v>700</v>
      </c>
      <c r="D1284">
        <v>0</v>
      </c>
      <c r="E1284" t="s">
        <v>33</v>
      </c>
      <c r="F1284" t="s">
        <v>33</v>
      </c>
      <c r="G1284" t="str">
        <f>"2025-12-08 04:56:24.196"</f>
        <v>2025-12-08 04:56:24.196</v>
      </c>
      <c r="H1284" t="s">
        <v>22</v>
      </c>
      <c r="I1284">
        <v>0</v>
      </c>
      <c r="J1284" t="s">
        <v>41</v>
      </c>
    </row>
    <row r="1285" spans="1:10" x14ac:dyDescent="0.25">
      <c r="A1285" s="1">
        <v>422</v>
      </c>
      <c r="B1285" t="s">
        <v>19</v>
      </c>
      <c r="C1285">
        <v>706</v>
      </c>
      <c r="D1285">
        <v>2</v>
      </c>
      <c r="E1285" t="s">
        <v>20</v>
      </c>
      <c r="F1285" t="s">
        <v>21</v>
      </c>
      <c r="G1285" t="str">
        <f>"2025-12-08 04:23:52.622"</f>
        <v>2025-12-08 04:23:52.622</v>
      </c>
      <c r="H1285" t="s">
        <v>22</v>
      </c>
      <c r="I1285">
        <v>0</v>
      </c>
      <c r="J1285" t="s">
        <v>23</v>
      </c>
    </row>
    <row r="1286" spans="1:10" x14ac:dyDescent="0.25">
      <c r="A1286" s="1">
        <v>423</v>
      </c>
      <c r="B1286" t="s">
        <v>19</v>
      </c>
      <c r="C1286">
        <v>700</v>
      </c>
      <c r="D1286">
        <v>0</v>
      </c>
      <c r="E1286" t="s">
        <v>33</v>
      </c>
      <c r="F1286" t="s">
        <v>33</v>
      </c>
      <c r="G1286" t="str">
        <f>"2025-12-08 03:44:02.452"</f>
        <v>2025-12-08 03:44:02.452</v>
      </c>
      <c r="H1286" t="s">
        <v>22</v>
      </c>
      <c r="I1286">
        <v>0</v>
      </c>
      <c r="J1286" t="s">
        <v>41</v>
      </c>
    </row>
    <row r="1287" spans="1:10" x14ac:dyDescent="0.25">
      <c r="A1287" s="1">
        <v>424</v>
      </c>
      <c r="B1287" t="s">
        <v>19</v>
      </c>
      <c r="C1287">
        <v>706</v>
      </c>
      <c r="D1287">
        <v>2</v>
      </c>
      <c r="E1287" t="s">
        <v>20</v>
      </c>
      <c r="F1287" t="s">
        <v>21</v>
      </c>
      <c r="G1287" t="str">
        <f>"2025-12-08 00:43:47.792"</f>
        <v>2025-12-08 00:43:47.792</v>
      </c>
      <c r="H1287" t="s">
        <v>22</v>
      </c>
      <c r="I1287">
        <v>0</v>
      </c>
      <c r="J1287" t="s">
        <v>23</v>
      </c>
    </row>
    <row r="1288" spans="1:10" x14ac:dyDescent="0.25">
      <c r="A1288" s="1">
        <v>425</v>
      </c>
      <c r="B1288" t="s">
        <v>19</v>
      </c>
      <c r="C1288">
        <v>700</v>
      </c>
      <c r="D1288">
        <v>0</v>
      </c>
      <c r="E1288" t="s">
        <v>33</v>
      </c>
      <c r="F1288" t="s">
        <v>33</v>
      </c>
      <c r="G1288" t="str">
        <f>"2025-12-07 12:43:18.192"</f>
        <v>2025-12-07 12:43:18.192</v>
      </c>
      <c r="H1288" t="s">
        <v>22</v>
      </c>
    </row>
    <row r="1289" spans="1:10" x14ac:dyDescent="0.25">
      <c r="A1289" s="1">
        <v>426</v>
      </c>
      <c r="B1289" t="s">
        <v>19</v>
      </c>
      <c r="C1289">
        <v>700</v>
      </c>
      <c r="D1289">
        <v>0</v>
      </c>
      <c r="E1289" t="s">
        <v>33</v>
      </c>
      <c r="F1289" t="s">
        <v>33</v>
      </c>
      <c r="G1289" t="str">
        <f>"2025-12-06 22:04:01.167"</f>
        <v>2025-12-06 22:04:01.167</v>
      </c>
      <c r="H1289" t="s">
        <v>22</v>
      </c>
    </row>
    <row r="1290" spans="1:10" x14ac:dyDescent="0.25">
      <c r="A1290" s="1">
        <v>427</v>
      </c>
      <c r="B1290" t="s">
        <v>19</v>
      </c>
      <c r="C1290">
        <v>700</v>
      </c>
      <c r="D1290">
        <v>0</v>
      </c>
      <c r="E1290" t="s">
        <v>33</v>
      </c>
      <c r="F1290" t="s">
        <v>33</v>
      </c>
      <c r="G1290" t="str">
        <f>"2025-12-06 21:09:27.164"</f>
        <v>2025-12-06 21:09:27.164</v>
      </c>
      <c r="H1290" t="s">
        <v>22</v>
      </c>
    </row>
    <row r="1291" spans="1:10" x14ac:dyDescent="0.25">
      <c r="A1291" s="1">
        <v>428</v>
      </c>
      <c r="B1291" t="s">
        <v>19</v>
      </c>
      <c r="C1291">
        <v>700</v>
      </c>
      <c r="D1291">
        <v>0</v>
      </c>
      <c r="E1291" t="s">
        <v>33</v>
      </c>
      <c r="F1291" t="s">
        <v>33</v>
      </c>
      <c r="G1291" t="str">
        <f>"2025-12-06 11:36:30.183"</f>
        <v>2025-12-06 11:36:30.183</v>
      </c>
      <c r="H1291" t="s">
        <v>22</v>
      </c>
      <c r="I1291">
        <v>0</v>
      </c>
      <c r="J1291" t="s">
        <v>41</v>
      </c>
    </row>
    <row r="1292" spans="1:10" x14ac:dyDescent="0.25">
      <c r="A1292" s="1">
        <v>429</v>
      </c>
      <c r="B1292" t="s">
        <v>19</v>
      </c>
      <c r="C1292">
        <v>700</v>
      </c>
      <c r="D1292">
        <v>0</v>
      </c>
      <c r="E1292" t="s">
        <v>33</v>
      </c>
      <c r="F1292" t="s">
        <v>33</v>
      </c>
      <c r="G1292" t="str">
        <f>"2025-12-06 08:53:42.209"</f>
        <v>2025-12-06 08:53:42.209</v>
      </c>
      <c r="H1292" t="s">
        <v>22</v>
      </c>
      <c r="I1292">
        <v>0</v>
      </c>
      <c r="J1292" t="s">
        <v>41</v>
      </c>
    </row>
    <row r="1293" spans="1:10" x14ac:dyDescent="0.25">
      <c r="A1293" s="1">
        <v>430</v>
      </c>
      <c r="B1293" t="s">
        <v>19</v>
      </c>
      <c r="C1293">
        <v>706</v>
      </c>
      <c r="D1293">
        <v>4</v>
      </c>
      <c r="E1293" t="s">
        <v>20</v>
      </c>
      <c r="F1293" t="s">
        <v>40</v>
      </c>
      <c r="G1293" t="str">
        <f>"2025-12-06 08:40:12.548"</f>
        <v>2025-12-06 08:40:12.548</v>
      </c>
      <c r="H1293" t="s">
        <v>22</v>
      </c>
      <c r="I1293">
        <v>0</v>
      </c>
      <c r="J1293" t="s">
        <v>23</v>
      </c>
    </row>
    <row r="1294" spans="1:10" x14ac:dyDescent="0.25">
      <c r="A1294" s="1">
        <v>431</v>
      </c>
      <c r="B1294" t="s">
        <v>74</v>
      </c>
      <c r="C1294">
        <v>115</v>
      </c>
      <c r="D1294">
        <v>6</v>
      </c>
      <c r="E1294" t="s">
        <v>96</v>
      </c>
      <c r="F1294" t="s">
        <v>95</v>
      </c>
      <c r="G1294" t="str">
        <f>"2025-12-06 08:00:21.861"</f>
        <v>2025-12-06 08:00:21.861</v>
      </c>
      <c r="H1294" t="s">
        <v>22</v>
      </c>
    </row>
    <row r="1295" spans="1:10" x14ac:dyDescent="0.25">
      <c r="A1295" s="1">
        <v>432</v>
      </c>
      <c r="B1295" t="s">
        <v>74</v>
      </c>
      <c r="C1295">
        <v>215</v>
      </c>
      <c r="D1295">
        <v>6</v>
      </c>
      <c r="E1295" t="s">
        <v>94</v>
      </c>
      <c r="F1295" t="s">
        <v>95</v>
      </c>
      <c r="G1295" t="str">
        <f>"2025-12-06 08:00:21.261"</f>
        <v>2025-12-06 08:00:21.261</v>
      </c>
      <c r="H1295" t="s">
        <v>22</v>
      </c>
    </row>
    <row r="1296" spans="1:10" x14ac:dyDescent="0.25">
      <c r="A1296" s="1">
        <v>433</v>
      </c>
      <c r="B1296" t="s">
        <v>32</v>
      </c>
      <c r="C1296">
        <v>115</v>
      </c>
      <c r="D1296">
        <v>6</v>
      </c>
      <c r="E1296" t="s">
        <v>96</v>
      </c>
      <c r="F1296" t="s">
        <v>95</v>
      </c>
      <c r="G1296" t="str">
        <f>"2025-12-06 08:00:16.817"</f>
        <v>2025-12-06 08:00:16.817</v>
      </c>
      <c r="H1296" t="s">
        <v>22</v>
      </c>
      <c r="I1296">
        <v>0</v>
      </c>
      <c r="J1296" t="s">
        <v>23</v>
      </c>
    </row>
    <row r="1297" spans="1:10" x14ac:dyDescent="0.25">
      <c r="A1297" s="1">
        <v>434</v>
      </c>
      <c r="B1297" t="s">
        <v>32</v>
      </c>
      <c r="C1297">
        <v>215</v>
      </c>
      <c r="D1297">
        <v>6</v>
      </c>
      <c r="E1297" t="s">
        <v>94</v>
      </c>
      <c r="F1297" t="s">
        <v>95</v>
      </c>
      <c r="G1297" t="str">
        <f>"2025-12-06 08:00:16.257"</f>
        <v>2025-12-06 08:00:16.257</v>
      </c>
      <c r="H1297" t="s">
        <v>22</v>
      </c>
      <c r="I1297">
        <v>0</v>
      </c>
      <c r="J1297" t="s">
        <v>23</v>
      </c>
    </row>
    <row r="1298" spans="1:10" x14ac:dyDescent="0.25">
      <c r="A1298" s="1">
        <v>435</v>
      </c>
      <c r="B1298" t="s">
        <v>24</v>
      </c>
      <c r="C1298">
        <v>6</v>
      </c>
      <c r="D1298">
        <v>1</v>
      </c>
      <c r="E1298" t="s">
        <v>84</v>
      </c>
      <c r="F1298" t="s">
        <v>85</v>
      </c>
      <c r="G1298" t="str">
        <f>"2025-12-06 08:00:16.108"</f>
        <v>2025-12-06 08:00:16.108</v>
      </c>
      <c r="H1298" t="s">
        <v>64</v>
      </c>
    </row>
    <row r="1299" spans="1:10" x14ac:dyDescent="0.25">
      <c r="A1299" s="1">
        <v>436</v>
      </c>
      <c r="B1299" t="s">
        <v>24</v>
      </c>
      <c r="C1299">
        <v>75</v>
      </c>
      <c r="D1299">
        <v>1</v>
      </c>
      <c r="E1299" t="s">
        <v>86</v>
      </c>
      <c r="F1299" t="s">
        <v>87</v>
      </c>
      <c r="G1299" t="str">
        <f>"2025-12-06 08:00:16.107"</f>
        <v>2025-12-06 08:00:16.107</v>
      </c>
      <c r="H1299" t="s">
        <v>53</v>
      </c>
    </row>
    <row r="1300" spans="1:10" x14ac:dyDescent="0.25">
      <c r="A1300" s="1">
        <v>437</v>
      </c>
      <c r="B1300" t="s">
        <v>24</v>
      </c>
      <c r="C1300">
        <v>74</v>
      </c>
      <c r="D1300">
        <v>1</v>
      </c>
      <c r="E1300" t="s">
        <v>88</v>
      </c>
      <c r="F1300" t="s">
        <v>89</v>
      </c>
      <c r="G1300" t="str">
        <f>"2025-12-06 08:00:16.106"</f>
        <v>2025-12-06 08:00:16.106</v>
      </c>
      <c r="H1300" t="s">
        <v>60</v>
      </c>
    </row>
    <row r="1301" spans="1:10" x14ac:dyDescent="0.25">
      <c r="A1301" s="1">
        <v>438</v>
      </c>
      <c r="B1301" t="s">
        <v>27</v>
      </c>
      <c r="C1301">
        <v>75</v>
      </c>
      <c r="D1301">
        <v>1</v>
      </c>
      <c r="E1301" t="s">
        <v>86</v>
      </c>
      <c r="F1301" t="s">
        <v>87</v>
      </c>
      <c r="G1301" t="str">
        <f>"2025-12-06 08:00:04.770"</f>
        <v>2025-12-06 08:00:04.770</v>
      </c>
      <c r="H1301" t="s">
        <v>53</v>
      </c>
      <c r="I1301">
        <v>0</v>
      </c>
      <c r="J1301" t="s">
        <v>23</v>
      </c>
    </row>
    <row r="1302" spans="1:10" x14ac:dyDescent="0.25">
      <c r="A1302" s="1">
        <v>439</v>
      </c>
      <c r="B1302" t="s">
        <v>27</v>
      </c>
      <c r="C1302">
        <v>74</v>
      </c>
      <c r="D1302">
        <v>1</v>
      </c>
      <c r="E1302" t="s">
        <v>88</v>
      </c>
      <c r="F1302" t="s">
        <v>89</v>
      </c>
      <c r="G1302" t="str">
        <f>"2025-12-06 08:00:04.766"</f>
        <v>2025-12-06 08:00:04.766</v>
      </c>
      <c r="H1302" t="s">
        <v>60</v>
      </c>
      <c r="I1302">
        <v>0</v>
      </c>
      <c r="J1302" t="s">
        <v>23</v>
      </c>
    </row>
    <row r="1303" spans="1:10" x14ac:dyDescent="0.25">
      <c r="A1303" s="1">
        <v>440</v>
      </c>
      <c r="B1303" t="s">
        <v>32</v>
      </c>
      <c r="C1303">
        <v>6</v>
      </c>
      <c r="D1303">
        <v>1</v>
      </c>
      <c r="E1303" t="s">
        <v>84</v>
      </c>
      <c r="F1303" t="s">
        <v>85</v>
      </c>
      <c r="G1303" t="str">
        <f>"2025-12-06 08:00:04.760"</f>
        <v>2025-12-06 08:00:04.760</v>
      </c>
      <c r="H1303" t="s">
        <v>64</v>
      </c>
      <c r="I1303">
        <v>0</v>
      </c>
      <c r="J1303" t="s">
        <v>23</v>
      </c>
    </row>
    <row r="1304" spans="1:10" x14ac:dyDescent="0.25">
      <c r="A1304" s="1">
        <v>444</v>
      </c>
      <c r="B1304" t="s">
        <v>19</v>
      </c>
      <c r="C1304">
        <v>700</v>
      </c>
      <c r="D1304">
        <v>0</v>
      </c>
      <c r="E1304" t="s">
        <v>33</v>
      </c>
      <c r="F1304" t="s">
        <v>33</v>
      </c>
      <c r="G1304" t="str">
        <f>"2025-12-05 20:47:54.138"</f>
        <v>2025-12-05 20:47:54.138</v>
      </c>
      <c r="H1304" t="s">
        <v>22</v>
      </c>
      <c r="I1304">
        <v>0</v>
      </c>
      <c r="J1304" t="s">
        <v>41</v>
      </c>
    </row>
    <row r="1305" spans="1:10" x14ac:dyDescent="0.25">
      <c r="A1305" s="1">
        <v>445</v>
      </c>
      <c r="B1305" t="s">
        <v>19</v>
      </c>
      <c r="C1305">
        <v>700</v>
      </c>
      <c r="D1305">
        <v>0</v>
      </c>
      <c r="E1305" t="s">
        <v>33</v>
      </c>
      <c r="F1305" t="s">
        <v>33</v>
      </c>
      <c r="G1305" t="str">
        <f>"2025-12-05 19:03:57.153"</f>
        <v>2025-12-05 19:03:57.153</v>
      </c>
      <c r="H1305" t="s">
        <v>22</v>
      </c>
      <c r="I1305">
        <v>0</v>
      </c>
      <c r="J1305" t="s">
        <v>41</v>
      </c>
    </row>
    <row r="1306" spans="1:10" x14ac:dyDescent="0.25">
      <c r="A1306" s="1">
        <v>446</v>
      </c>
      <c r="B1306" t="s">
        <v>19</v>
      </c>
      <c r="C1306">
        <v>706</v>
      </c>
      <c r="D1306">
        <v>2</v>
      </c>
      <c r="E1306" t="s">
        <v>20</v>
      </c>
      <c r="F1306" t="s">
        <v>21</v>
      </c>
      <c r="G1306" t="str">
        <f>"2025-12-05 14:21:46.104"</f>
        <v>2025-12-05 14:21:46.104</v>
      </c>
      <c r="H1306" t="s">
        <v>22</v>
      </c>
      <c r="I1306">
        <v>0</v>
      </c>
      <c r="J1306" t="s">
        <v>23</v>
      </c>
    </row>
    <row r="1307" spans="1:10" x14ac:dyDescent="0.25">
      <c r="A1307" s="1">
        <v>447</v>
      </c>
      <c r="B1307" t="s">
        <v>19</v>
      </c>
      <c r="C1307">
        <v>700</v>
      </c>
      <c r="D1307">
        <v>0</v>
      </c>
      <c r="E1307" t="s">
        <v>33</v>
      </c>
      <c r="F1307" t="s">
        <v>33</v>
      </c>
      <c r="G1307" t="str">
        <f>"2025-12-05 14:21:02.114"</f>
        <v>2025-12-05 14:21:02.114</v>
      </c>
      <c r="H1307" t="s">
        <v>22</v>
      </c>
    </row>
    <row r="1308" spans="1:10" x14ac:dyDescent="0.25">
      <c r="A1308" s="1">
        <v>448</v>
      </c>
      <c r="B1308" t="s">
        <v>19</v>
      </c>
      <c r="C1308">
        <v>700</v>
      </c>
      <c r="D1308">
        <v>0</v>
      </c>
      <c r="E1308" t="s">
        <v>33</v>
      </c>
      <c r="F1308" t="s">
        <v>33</v>
      </c>
      <c r="G1308" t="str">
        <f>"2025-12-05 13:37:14.110"</f>
        <v>2025-12-05 13:37:14.110</v>
      </c>
      <c r="H1308" t="s">
        <v>22</v>
      </c>
    </row>
    <row r="1309" spans="1:10" x14ac:dyDescent="0.25">
      <c r="A1309" s="1">
        <v>449</v>
      </c>
      <c r="B1309" t="s">
        <v>19</v>
      </c>
      <c r="C1309">
        <v>700</v>
      </c>
      <c r="D1309">
        <v>0</v>
      </c>
      <c r="E1309" t="s">
        <v>33</v>
      </c>
      <c r="F1309" t="s">
        <v>33</v>
      </c>
      <c r="G1309" t="str">
        <f>"2025-12-05 09:49:34.104"</f>
        <v>2025-12-05 09:49:34.104</v>
      </c>
      <c r="H1309" t="s">
        <v>22</v>
      </c>
    </row>
    <row r="1310" spans="1:10" x14ac:dyDescent="0.25">
      <c r="A1310" s="1">
        <v>450</v>
      </c>
      <c r="B1310" t="s">
        <v>19</v>
      </c>
      <c r="C1310">
        <v>700</v>
      </c>
      <c r="D1310">
        <v>0</v>
      </c>
      <c r="E1310" t="s">
        <v>33</v>
      </c>
      <c r="F1310" t="s">
        <v>33</v>
      </c>
      <c r="G1310" t="str">
        <f>"2025-12-05 09:37:37.339"</f>
        <v>2025-12-05 09:37:37.339</v>
      </c>
      <c r="H1310" t="s">
        <v>22</v>
      </c>
      <c r="I1310">
        <v>0</v>
      </c>
      <c r="J1310" t="s">
        <v>41</v>
      </c>
    </row>
    <row r="1311" spans="1:10" x14ac:dyDescent="0.25">
      <c r="A1311" s="1">
        <v>451</v>
      </c>
      <c r="B1311" t="s">
        <v>19</v>
      </c>
      <c r="C1311">
        <v>700</v>
      </c>
      <c r="D1311">
        <v>0</v>
      </c>
      <c r="E1311" t="s">
        <v>33</v>
      </c>
      <c r="F1311" t="s">
        <v>33</v>
      </c>
      <c r="G1311" t="str">
        <f>"2025-12-05 09:27:14.328"</f>
        <v>2025-12-05 09:27:14.328</v>
      </c>
      <c r="H1311" t="s">
        <v>22</v>
      </c>
      <c r="I1311">
        <v>0</v>
      </c>
      <c r="J1311" t="s">
        <v>41</v>
      </c>
    </row>
    <row r="1312" spans="1:10" x14ac:dyDescent="0.25">
      <c r="A1312" s="1">
        <v>452</v>
      </c>
      <c r="B1312" t="s">
        <v>19</v>
      </c>
      <c r="C1312">
        <v>700</v>
      </c>
      <c r="D1312">
        <v>0</v>
      </c>
      <c r="E1312" t="s">
        <v>33</v>
      </c>
      <c r="F1312" t="s">
        <v>33</v>
      </c>
      <c r="G1312" t="str">
        <f>"2025-12-05 09:18:44.102"</f>
        <v>2025-12-05 09:18:44.102</v>
      </c>
      <c r="H1312" t="s">
        <v>22</v>
      </c>
      <c r="I1312">
        <v>0</v>
      </c>
      <c r="J1312" t="s">
        <v>41</v>
      </c>
    </row>
    <row r="1313" spans="1:10" x14ac:dyDescent="0.25">
      <c r="A1313" s="1">
        <v>453</v>
      </c>
      <c r="B1313" t="s">
        <v>19</v>
      </c>
      <c r="C1313">
        <v>706</v>
      </c>
      <c r="D1313">
        <v>4</v>
      </c>
      <c r="E1313" t="s">
        <v>20</v>
      </c>
      <c r="F1313" t="s">
        <v>40</v>
      </c>
      <c r="G1313" t="str">
        <f>"2025-12-05 02:51:29.449"</f>
        <v>2025-12-05 02:51:29.449</v>
      </c>
      <c r="H1313" t="s">
        <v>22</v>
      </c>
      <c r="I1313">
        <v>0</v>
      </c>
      <c r="J1313" t="s">
        <v>23</v>
      </c>
    </row>
    <row r="1314" spans="1:10" x14ac:dyDescent="0.25">
      <c r="A1314" s="1">
        <v>454</v>
      </c>
      <c r="B1314" t="s">
        <v>19</v>
      </c>
      <c r="C1314">
        <v>700</v>
      </c>
      <c r="D1314">
        <v>0</v>
      </c>
      <c r="E1314" t="s">
        <v>33</v>
      </c>
      <c r="F1314" t="s">
        <v>33</v>
      </c>
      <c r="G1314" t="str">
        <f>"2025-12-05 02:50:00.099"</f>
        <v>2025-12-05 02:50:00.099</v>
      </c>
      <c r="H1314" t="s">
        <v>22</v>
      </c>
      <c r="I1314">
        <v>0</v>
      </c>
      <c r="J1314" t="s">
        <v>41</v>
      </c>
    </row>
    <row r="1315" spans="1:10" x14ac:dyDescent="0.25">
      <c r="A1315" s="1">
        <v>455</v>
      </c>
      <c r="B1315" t="s">
        <v>19</v>
      </c>
      <c r="C1315">
        <v>700</v>
      </c>
      <c r="D1315">
        <v>0</v>
      </c>
      <c r="E1315" t="s">
        <v>33</v>
      </c>
      <c r="F1315" t="s">
        <v>33</v>
      </c>
      <c r="G1315" t="str">
        <f>"2025-12-05 02:48:49.105"</f>
        <v>2025-12-05 02:48:49.105</v>
      </c>
      <c r="H1315" t="s">
        <v>22</v>
      </c>
      <c r="I1315">
        <v>0</v>
      </c>
      <c r="J1315" t="s">
        <v>41</v>
      </c>
    </row>
    <row r="1316" spans="1:10" x14ac:dyDescent="0.25">
      <c r="A1316" s="1">
        <v>456</v>
      </c>
      <c r="B1316" t="s">
        <v>19</v>
      </c>
      <c r="C1316">
        <v>700</v>
      </c>
      <c r="D1316">
        <v>0</v>
      </c>
      <c r="E1316" t="s">
        <v>33</v>
      </c>
      <c r="F1316" t="s">
        <v>33</v>
      </c>
      <c r="G1316" t="str">
        <f>"2025-12-04 23:21:13.111"</f>
        <v>2025-12-04 23:21:13.111</v>
      </c>
      <c r="H1316" t="s">
        <v>22</v>
      </c>
    </row>
    <row r="1317" spans="1:10" x14ac:dyDescent="0.25">
      <c r="A1317" s="1">
        <v>457</v>
      </c>
      <c r="B1317" t="s">
        <v>19</v>
      </c>
      <c r="C1317">
        <v>706</v>
      </c>
      <c r="D1317">
        <v>2</v>
      </c>
      <c r="E1317" t="s">
        <v>20</v>
      </c>
      <c r="F1317" t="s">
        <v>21</v>
      </c>
      <c r="G1317" t="str">
        <f>"2025-12-04 23:09:07.544"</f>
        <v>2025-12-04 23:09:07.544</v>
      </c>
      <c r="H1317" t="s">
        <v>22</v>
      </c>
      <c r="I1317">
        <v>0</v>
      </c>
      <c r="J1317" t="s">
        <v>23</v>
      </c>
    </row>
    <row r="1318" spans="1:10" x14ac:dyDescent="0.25">
      <c r="A1318" s="1">
        <v>458</v>
      </c>
      <c r="B1318" t="s">
        <v>19</v>
      </c>
      <c r="C1318">
        <v>700</v>
      </c>
      <c r="D1318">
        <v>0</v>
      </c>
      <c r="E1318" t="s">
        <v>33</v>
      </c>
      <c r="F1318" t="s">
        <v>33</v>
      </c>
      <c r="G1318" t="str">
        <f>"2025-12-04 23:05:33.094"</f>
        <v>2025-12-04 23:05:33.094</v>
      </c>
      <c r="H1318" t="s">
        <v>22</v>
      </c>
      <c r="I1318">
        <v>0</v>
      </c>
      <c r="J1318" t="s">
        <v>41</v>
      </c>
    </row>
    <row r="1319" spans="1:10" x14ac:dyDescent="0.25">
      <c r="A1319" s="1">
        <v>459</v>
      </c>
      <c r="B1319" t="s">
        <v>19</v>
      </c>
      <c r="C1319">
        <v>700</v>
      </c>
      <c r="D1319">
        <v>0</v>
      </c>
      <c r="E1319" t="s">
        <v>33</v>
      </c>
      <c r="F1319" t="s">
        <v>33</v>
      </c>
      <c r="G1319" t="str">
        <f>"2025-12-04 23:02:42.328"</f>
        <v>2025-12-04 23:02:42.328</v>
      </c>
      <c r="H1319" t="s">
        <v>22</v>
      </c>
    </row>
    <row r="1320" spans="1:10" x14ac:dyDescent="0.25">
      <c r="A1320" s="1">
        <v>460</v>
      </c>
      <c r="B1320" t="s">
        <v>19</v>
      </c>
      <c r="C1320">
        <v>700</v>
      </c>
      <c r="D1320">
        <v>0</v>
      </c>
      <c r="E1320" t="s">
        <v>33</v>
      </c>
      <c r="F1320" t="s">
        <v>33</v>
      </c>
      <c r="G1320" t="str">
        <f>"2025-12-04 21:09:38.104"</f>
        <v>2025-12-04 21:09:38.104</v>
      </c>
      <c r="H1320" t="s">
        <v>22</v>
      </c>
      <c r="I1320">
        <v>0</v>
      </c>
      <c r="J1320" t="s">
        <v>41</v>
      </c>
    </row>
    <row r="1321" spans="1:10" x14ac:dyDescent="0.25">
      <c r="A1321" s="1">
        <v>461</v>
      </c>
      <c r="B1321" t="s">
        <v>19</v>
      </c>
      <c r="C1321">
        <v>700</v>
      </c>
      <c r="D1321">
        <v>0</v>
      </c>
      <c r="E1321" t="s">
        <v>33</v>
      </c>
      <c r="F1321" t="s">
        <v>33</v>
      </c>
      <c r="G1321" t="str">
        <f>"2025-12-04 20:20:50.096"</f>
        <v>2025-12-04 20:20:50.096</v>
      </c>
      <c r="H1321" t="s">
        <v>22</v>
      </c>
      <c r="I1321">
        <v>0</v>
      </c>
      <c r="J1321" t="s">
        <v>41</v>
      </c>
    </row>
    <row r="1322" spans="1:10" x14ac:dyDescent="0.25">
      <c r="A1322" s="1">
        <v>462</v>
      </c>
      <c r="B1322" t="s">
        <v>19</v>
      </c>
      <c r="C1322">
        <v>700</v>
      </c>
      <c r="D1322">
        <v>0</v>
      </c>
      <c r="E1322" t="s">
        <v>33</v>
      </c>
      <c r="F1322" t="s">
        <v>33</v>
      </c>
      <c r="G1322" t="str">
        <f>"2025-12-04 11:49:14.098"</f>
        <v>2025-12-04 11:49:14.098</v>
      </c>
      <c r="H1322" t="s">
        <v>22</v>
      </c>
      <c r="I1322">
        <v>0</v>
      </c>
      <c r="J1322" t="s">
        <v>41</v>
      </c>
    </row>
    <row r="1323" spans="1:10" x14ac:dyDescent="0.25">
      <c r="A1323" s="1">
        <v>463</v>
      </c>
      <c r="B1323" t="s">
        <v>19</v>
      </c>
      <c r="C1323">
        <v>706</v>
      </c>
      <c r="D1323">
        <v>4</v>
      </c>
      <c r="E1323" t="s">
        <v>20</v>
      </c>
      <c r="F1323" t="s">
        <v>40</v>
      </c>
      <c r="G1323" t="str">
        <f>"2025-12-04 11:21:36.147"</f>
        <v>2025-12-04 11:21:36.147</v>
      </c>
      <c r="H1323" t="s">
        <v>22</v>
      </c>
      <c r="I1323">
        <v>0</v>
      </c>
      <c r="J1323" t="s">
        <v>23</v>
      </c>
    </row>
    <row r="1324" spans="1:10" x14ac:dyDescent="0.25">
      <c r="A1324" s="1">
        <v>464</v>
      </c>
      <c r="B1324" t="s">
        <v>19</v>
      </c>
      <c r="C1324">
        <v>700</v>
      </c>
      <c r="D1324">
        <v>0</v>
      </c>
      <c r="E1324" t="s">
        <v>33</v>
      </c>
      <c r="F1324" t="s">
        <v>33</v>
      </c>
      <c r="G1324" t="str">
        <f>"2025-12-04 11:16:41.097"</f>
        <v>2025-12-04 11:16:41.097</v>
      </c>
      <c r="H1324" t="s">
        <v>22</v>
      </c>
      <c r="I1324">
        <v>0</v>
      </c>
      <c r="J1324" t="s">
        <v>41</v>
      </c>
    </row>
    <row r="1325" spans="1:10" x14ac:dyDescent="0.25">
      <c r="A1325" s="1">
        <v>465</v>
      </c>
      <c r="B1325" t="s">
        <v>19</v>
      </c>
      <c r="C1325">
        <v>700</v>
      </c>
      <c r="D1325">
        <v>0</v>
      </c>
      <c r="E1325" t="s">
        <v>33</v>
      </c>
      <c r="F1325" t="s">
        <v>33</v>
      </c>
      <c r="G1325" t="str">
        <f>"2025-12-04 11:02:38.098"</f>
        <v>2025-12-04 11:02:38.098</v>
      </c>
      <c r="H1325" t="s">
        <v>22</v>
      </c>
      <c r="I1325">
        <v>0</v>
      </c>
      <c r="J1325" t="s">
        <v>41</v>
      </c>
    </row>
    <row r="1326" spans="1:10" x14ac:dyDescent="0.25">
      <c r="A1326" s="1">
        <v>466</v>
      </c>
      <c r="B1326" t="s">
        <v>19</v>
      </c>
      <c r="C1326">
        <v>700</v>
      </c>
      <c r="D1326">
        <v>0</v>
      </c>
      <c r="E1326" t="s">
        <v>33</v>
      </c>
      <c r="F1326" t="s">
        <v>33</v>
      </c>
      <c r="G1326" t="str">
        <f>"2025-12-04 10:43:04.103"</f>
        <v>2025-12-04 10:43:04.103</v>
      </c>
      <c r="H1326" t="s">
        <v>22</v>
      </c>
      <c r="I1326">
        <v>0</v>
      </c>
      <c r="J1326" t="s">
        <v>41</v>
      </c>
    </row>
    <row r="1327" spans="1:10" x14ac:dyDescent="0.25">
      <c r="A1327" s="1">
        <v>467</v>
      </c>
      <c r="B1327" t="s">
        <v>19</v>
      </c>
      <c r="C1327">
        <v>706</v>
      </c>
      <c r="D1327">
        <v>4</v>
      </c>
      <c r="E1327" t="s">
        <v>20</v>
      </c>
      <c r="F1327" t="s">
        <v>40</v>
      </c>
      <c r="G1327" t="str">
        <f>"2025-12-04 10:21:14.474"</f>
        <v>2025-12-04 10:21:14.474</v>
      </c>
      <c r="H1327" t="s">
        <v>22</v>
      </c>
      <c r="I1327">
        <v>0</v>
      </c>
      <c r="J1327" t="s">
        <v>23</v>
      </c>
    </row>
    <row r="1328" spans="1:10" x14ac:dyDescent="0.25">
      <c r="A1328" s="1">
        <v>468</v>
      </c>
      <c r="B1328" t="s">
        <v>19</v>
      </c>
      <c r="C1328">
        <v>700</v>
      </c>
      <c r="D1328">
        <v>0</v>
      </c>
      <c r="E1328" t="s">
        <v>33</v>
      </c>
      <c r="F1328" t="s">
        <v>33</v>
      </c>
      <c r="G1328" t="str">
        <f>"2025-12-04 10:20:32.094"</f>
        <v>2025-12-04 10:20:32.094</v>
      </c>
      <c r="H1328" t="s">
        <v>22</v>
      </c>
      <c r="I1328">
        <v>0</v>
      </c>
      <c r="J1328" t="s">
        <v>41</v>
      </c>
    </row>
    <row r="1329" spans="1:10" x14ac:dyDescent="0.25">
      <c r="A1329" s="1">
        <v>469</v>
      </c>
      <c r="B1329" t="s">
        <v>19</v>
      </c>
      <c r="C1329">
        <v>706</v>
      </c>
      <c r="D1329">
        <v>2</v>
      </c>
      <c r="E1329" t="s">
        <v>20</v>
      </c>
      <c r="F1329" t="s">
        <v>21</v>
      </c>
      <c r="G1329" t="str">
        <f>"2025-12-04 09:55:40.953"</f>
        <v>2025-12-04 09:55:40.953</v>
      </c>
      <c r="H1329" t="s">
        <v>22</v>
      </c>
      <c r="I1329">
        <v>0</v>
      </c>
      <c r="J1329" t="s">
        <v>23</v>
      </c>
    </row>
    <row r="1330" spans="1:10" x14ac:dyDescent="0.25">
      <c r="A1330" s="1">
        <v>470</v>
      </c>
      <c r="B1330" t="s">
        <v>19</v>
      </c>
      <c r="C1330">
        <v>700</v>
      </c>
      <c r="D1330">
        <v>0</v>
      </c>
      <c r="E1330" t="s">
        <v>33</v>
      </c>
      <c r="F1330" t="s">
        <v>33</v>
      </c>
      <c r="G1330" t="str">
        <f>"2025-12-04 09:52:49.093"</f>
        <v>2025-12-04 09:52:49.093</v>
      </c>
      <c r="H1330" t="s">
        <v>22</v>
      </c>
      <c r="I1330">
        <v>0</v>
      </c>
      <c r="J1330" t="s">
        <v>41</v>
      </c>
    </row>
    <row r="1331" spans="1:10" x14ac:dyDescent="0.25">
      <c r="A1331" s="1">
        <v>471</v>
      </c>
      <c r="B1331" t="s">
        <v>19</v>
      </c>
      <c r="C1331">
        <v>706</v>
      </c>
      <c r="D1331">
        <v>4</v>
      </c>
      <c r="E1331" t="s">
        <v>20</v>
      </c>
      <c r="F1331" t="s">
        <v>40</v>
      </c>
      <c r="G1331" t="str">
        <f>"2025-12-04 09:42:28.347"</f>
        <v>2025-12-04 09:42:28.347</v>
      </c>
      <c r="H1331" t="s">
        <v>22</v>
      </c>
      <c r="I1331">
        <v>0</v>
      </c>
      <c r="J1331" t="s">
        <v>23</v>
      </c>
    </row>
    <row r="1332" spans="1:10" x14ac:dyDescent="0.25">
      <c r="A1332" s="1">
        <v>472</v>
      </c>
      <c r="B1332" t="s">
        <v>19</v>
      </c>
      <c r="C1332">
        <v>700</v>
      </c>
      <c r="D1332">
        <v>0</v>
      </c>
      <c r="E1332" t="s">
        <v>33</v>
      </c>
      <c r="F1332" t="s">
        <v>33</v>
      </c>
      <c r="G1332" t="str">
        <f>"2025-12-04 09:40:29.087"</f>
        <v>2025-12-04 09:40:29.087</v>
      </c>
      <c r="H1332" t="s">
        <v>22</v>
      </c>
    </row>
    <row r="1333" spans="1:10" x14ac:dyDescent="0.25">
      <c r="A1333" s="1">
        <v>473</v>
      </c>
      <c r="B1333" t="s">
        <v>19</v>
      </c>
      <c r="C1333">
        <v>700</v>
      </c>
      <c r="D1333">
        <v>0</v>
      </c>
      <c r="E1333" t="s">
        <v>33</v>
      </c>
      <c r="F1333" t="s">
        <v>33</v>
      </c>
      <c r="G1333" t="str">
        <f>"2025-12-04 09:24:58.318"</f>
        <v>2025-12-04 09:24:58.318</v>
      </c>
      <c r="H1333" t="s">
        <v>22</v>
      </c>
    </row>
    <row r="1334" spans="1:10" x14ac:dyDescent="0.25">
      <c r="A1334" s="1">
        <v>474</v>
      </c>
      <c r="B1334" t="s">
        <v>19</v>
      </c>
      <c r="C1334">
        <v>700</v>
      </c>
      <c r="D1334">
        <v>0</v>
      </c>
      <c r="E1334" t="s">
        <v>33</v>
      </c>
      <c r="F1334" t="s">
        <v>33</v>
      </c>
      <c r="G1334" t="str">
        <f>"2025-12-04 09:22:44.110"</f>
        <v>2025-12-04 09:22:44.110</v>
      </c>
      <c r="H1334" t="s">
        <v>22</v>
      </c>
      <c r="I1334">
        <v>0</v>
      </c>
      <c r="J1334" t="s">
        <v>41</v>
      </c>
    </row>
    <row r="1335" spans="1:10" x14ac:dyDescent="0.25">
      <c r="A1335" s="1">
        <v>475</v>
      </c>
      <c r="B1335" t="s">
        <v>19</v>
      </c>
      <c r="C1335">
        <v>706</v>
      </c>
      <c r="D1335">
        <v>4</v>
      </c>
      <c r="E1335" t="s">
        <v>20</v>
      </c>
      <c r="F1335" t="s">
        <v>40</v>
      </c>
      <c r="G1335" t="str">
        <f>"2025-12-04 09:17:00.134"</f>
        <v>2025-12-04 09:17:00.134</v>
      </c>
      <c r="H1335" t="s">
        <v>22</v>
      </c>
      <c r="I1335">
        <v>0</v>
      </c>
      <c r="J1335" t="s">
        <v>23</v>
      </c>
    </row>
    <row r="1336" spans="1:10" x14ac:dyDescent="0.25">
      <c r="A1336" s="1">
        <v>476</v>
      </c>
      <c r="B1336" t="s">
        <v>19</v>
      </c>
      <c r="C1336">
        <v>700</v>
      </c>
      <c r="D1336">
        <v>0</v>
      </c>
      <c r="E1336" t="s">
        <v>33</v>
      </c>
      <c r="F1336" t="s">
        <v>33</v>
      </c>
      <c r="G1336" t="str">
        <f>"2025-12-04 09:13:36.314"</f>
        <v>2025-12-04 09:13:36.314</v>
      </c>
      <c r="H1336" t="s">
        <v>22</v>
      </c>
    </row>
    <row r="1337" spans="1:10" x14ac:dyDescent="0.25">
      <c r="A1337" s="1">
        <v>477</v>
      </c>
      <c r="B1337" t="s">
        <v>19</v>
      </c>
      <c r="C1337">
        <v>700</v>
      </c>
      <c r="D1337">
        <v>0</v>
      </c>
      <c r="E1337" t="s">
        <v>33</v>
      </c>
      <c r="F1337" t="s">
        <v>33</v>
      </c>
      <c r="G1337" t="str">
        <f>"2025-12-04 08:54:22.092"</f>
        <v>2025-12-04 08:54:22.092</v>
      </c>
      <c r="H1337" t="s">
        <v>22</v>
      </c>
    </row>
    <row r="1338" spans="1:10" x14ac:dyDescent="0.25">
      <c r="A1338" s="1">
        <v>478</v>
      </c>
      <c r="B1338" t="s">
        <v>19</v>
      </c>
      <c r="C1338">
        <v>706</v>
      </c>
      <c r="D1338">
        <v>4</v>
      </c>
      <c r="E1338" t="s">
        <v>20</v>
      </c>
      <c r="F1338" t="s">
        <v>40</v>
      </c>
      <c r="G1338" t="str">
        <f>"2025-12-03 16:03:51.745"</f>
        <v>2025-12-03 16:03:51.745</v>
      </c>
      <c r="H1338" t="s">
        <v>22</v>
      </c>
      <c r="I1338">
        <v>0</v>
      </c>
      <c r="J1338" t="s">
        <v>23</v>
      </c>
    </row>
    <row r="1339" spans="1:10" x14ac:dyDescent="0.25">
      <c r="A1339" s="1">
        <v>479</v>
      </c>
      <c r="B1339" t="s">
        <v>19</v>
      </c>
      <c r="C1339">
        <v>700</v>
      </c>
      <c r="D1339">
        <v>0</v>
      </c>
      <c r="E1339" t="s">
        <v>33</v>
      </c>
      <c r="F1339" t="s">
        <v>33</v>
      </c>
      <c r="G1339" t="str">
        <f>"2025-12-03 16:00:28.085"</f>
        <v>2025-12-03 16:00:28.085</v>
      </c>
      <c r="H1339" t="s">
        <v>22</v>
      </c>
    </row>
    <row r="1340" spans="1:10" x14ac:dyDescent="0.25">
      <c r="A1340" s="1">
        <v>480</v>
      </c>
      <c r="B1340" t="s">
        <v>19</v>
      </c>
      <c r="C1340">
        <v>706</v>
      </c>
      <c r="D1340">
        <v>4</v>
      </c>
      <c r="E1340" t="s">
        <v>20</v>
      </c>
      <c r="F1340" t="s">
        <v>40</v>
      </c>
      <c r="G1340" t="str">
        <f>"2025-12-03 15:44:54.421"</f>
        <v>2025-12-03 15:44:54.421</v>
      </c>
      <c r="H1340" t="s">
        <v>22</v>
      </c>
      <c r="I1340">
        <v>0</v>
      </c>
      <c r="J1340" t="s">
        <v>23</v>
      </c>
    </row>
    <row r="1341" spans="1:10" x14ac:dyDescent="0.25">
      <c r="A1341" s="1">
        <v>481</v>
      </c>
      <c r="B1341" t="s">
        <v>19</v>
      </c>
      <c r="C1341">
        <v>700</v>
      </c>
      <c r="D1341">
        <v>0</v>
      </c>
      <c r="E1341" t="s">
        <v>33</v>
      </c>
      <c r="F1341" t="s">
        <v>33</v>
      </c>
      <c r="G1341" t="str">
        <f>"2025-12-03 15:41:51.311"</f>
        <v>2025-12-03 15:41:51.311</v>
      </c>
      <c r="H1341" t="s">
        <v>22</v>
      </c>
    </row>
    <row r="1342" spans="1:10" x14ac:dyDescent="0.25">
      <c r="A1342" s="1">
        <v>482</v>
      </c>
      <c r="B1342" t="s">
        <v>19</v>
      </c>
      <c r="C1342">
        <v>706</v>
      </c>
      <c r="D1342">
        <v>4</v>
      </c>
      <c r="E1342" t="s">
        <v>20</v>
      </c>
      <c r="F1342" t="s">
        <v>40</v>
      </c>
      <c r="G1342" t="str">
        <f>"2025-12-03 15:31:47.787"</f>
        <v>2025-12-03 15:31:47.787</v>
      </c>
      <c r="H1342" t="s">
        <v>22</v>
      </c>
      <c r="I1342">
        <v>0</v>
      </c>
      <c r="J1342" t="s">
        <v>23</v>
      </c>
    </row>
    <row r="1343" spans="1:10" x14ac:dyDescent="0.25">
      <c r="A1343" s="1">
        <v>483</v>
      </c>
      <c r="B1343" t="s">
        <v>19</v>
      </c>
      <c r="C1343">
        <v>706</v>
      </c>
      <c r="D1343">
        <v>2</v>
      </c>
      <c r="E1343" t="s">
        <v>20</v>
      </c>
      <c r="F1343" t="s">
        <v>21</v>
      </c>
      <c r="G1343" t="str">
        <f>"2025-12-03 15:15:57.297"</f>
        <v>2025-12-03 15:15:57.297</v>
      </c>
      <c r="H1343" t="s">
        <v>22</v>
      </c>
      <c r="I1343">
        <v>0</v>
      </c>
      <c r="J1343" t="s">
        <v>23</v>
      </c>
    </row>
    <row r="1344" spans="1:10" x14ac:dyDescent="0.25">
      <c r="A1344" s="1">
        <v>484</v>
      </c>
      <c r="B1344" t="s">
        <v>19</v>
      </c>
      <c r="C1344">
        <v>700</v>
      </c>
      <c r="D1344">
        <v>0</v>
      </c>
      <c r="E1344" t="s">
        <v>33</v>
      </c>
      <c r="F1344" t="s">
        <v>33</v>
      </c>
      <c r="G1344" t="str">
        <f>"2025-12-03 14:59:38.077"</f>
        <v>2025-12-03 14:59:38.077</v>
      </c>
      <c r="H1344" t="s">
        <v>22</v>
      </c>
    </row>
    <row r="1345" spans="1:10" x14ac:dyDescent="0.25">
      <c r="A1345" s="1">
        <v>485</v>
      </c>
      <c r="B1345" t="s">
        <v>19</v>
      </c>
      <c r="C1345">
        <v>706</v>
      </c>
      <c r="D1345">
        <v>4</v>
      </c>
      <c r="E1345" t="s">
        <v>20</v>
      </c>
      <c r="F1345" t="s">
        <v>40</v>
      </c>
      <c r="G1345" t="str">
        <f>"2025-12-03 14:52:35.047"</f>
        <v>2025-12-03 14:52:35.047</v>
      </c>
      <c r="H1345" t="s">
        <v>22</v>
      </c>
      <c r="I1345">
        <v>0</v>
      </c>
      <c r="J1345" t="s">
        <v>23</v>
      </c>
    </row>
    <row r="1346" spans="1:10" x14ac:dyDescent="0.25">
      <c r="A1346" s="1">
        <v>486</v>
      </c>
      <c r="B1346" t="s">
        <v>19</v>
      </c>
      <c r="C1346">
        <v>700</v>
      </c>
      <c r="D1346">
        <v>0</v>
      </c>
      <c r="E1346" t="s">
        <v>33</v>
      </c>
      <c r="F1346" t="s">
        <v>33</v>
      </c>
      <c r="G1346" t="str">
        <f>"2025-12-03 14:50:24.117"</f>
        <v>2025-12-03 14:50:24.117</v>
      </c>
      <c r="H1346" t="s">
        <v>22</v>
      </c>
    </row>
    <row r="1347" spans="1:10" x14ac:dyDescent="0.25">
      <c r="A1347" s="1">
        <v>487</v>
      </c>
      <c r="B1347" t="s">
        <v>24</v>
      </c>
      <c r="C1347">
        <v>89</v>
      </c>
      <c r="D1347">
        <v>3</v>
      </c>
      <c r="E1347" t="s">
        <v>104</v>
      </c>
      <c r="F1347" t="s">
        <v>105</v>
      </c>
      <c r="G1347" t="str">
        <f>"2025-12-03 14:40:41.715"</f>
        <v>2025-12-03 14:40:41.715</v>
      </c>
      <c r="H1347" t="s">
        <v>22</v>
      </c>
    </row>
    <row r="1348" spans="1:10" x14ac:dyDescent="0.25">
      <c r="A1348" s="1">
        <v>488</v>
      </c>
      <c r="B1348" t="s">
        <v>32</v>
      </c>
      <c r="C1348">
        <v>89</v>
      </c>
      <c r="D1348">
        <v>3</v>
      </c>
      <c r="E1348" t="s">
        <v>104</v>
      </c>
      <c r="F1348" t="s">
        <v>105</v>
      </c>
      <c r="G1348" t="str">
        <f>"2025-12-03 14:40:18.416"</f>
        <v>2025-12-03 14:40:18.416</v>
      </c>
      <c r="H1348" t="s">
        <v>22</v>
      </c>
      <c r="I1348">
        <v>0</v>
      </c>
      <c r="J1348" t="s">
        <v>23</v>
      </c>
    </row>
    <row r="1349" spans="1:10" x14ac:dyDescent="0.25">
      <c r="A1349" s="1">
        <v>489</v>
      </c>
      <c r="B1349" t="s">
        <v>19</v>
      </c>
      <c r="C1349">
        <v>706</v>
      </c>
      <c r="D1349">
        <v>4</v>
      </c>
      <c r="E1349" t="s">
        <v>20</v>
      </c>
      <c r="F1349" t="s">
        <v>40</v>
      </c>
      <c r="G1349" t="str">
        <f>"2025-12-03 14:39:58.038"</f>
        <v>2025-12-03 14:39:58.038</v>
      </c>
      <c r="H1349" t="s">
        <v>22</v>
      </c>
      <c r="I1349">
        <v>0</v>
      </c>
      <c r="J1349" t="s">
        <v>23</v>
      </c>
    </row>
    <row r="1350" spans="1:10" x14ac:dyDescent="0.25">
      <c r="A1350" s="1">
        <v>490</v>
      </c>
      <c r="B1350" t="s">
        <v>19</v>
      </c>
      <c r="C1350">
        <v>700</v>
      </c>
      <c r="D1350">
        <v>0</v>
      </c>
      <c r="E1350" t="s">
        <v>33</v>
      </c>
      <c r="F1350" t="s">
        <v>33</v>
      </c>
      <c r="G1350" t="str">
        <f>"2025-12-03 11:33:28.298"</f>
        <v>2025-12-03 11:33:28.298</v>
      </c>
      <c r="H1350" t="s">
        <v>22</v>
      </c>
      <c r="I1350">
        <v>0</v>
      </c>
      <c r="J1350" t="s">
        <v>41</v>
      </c>
    </row>
    <row r="1351" spans="1:10" x14ac:dyDescent="0.25">
      <c r="A1351" s="1">
        <v>491</v>
      </c>
      <c r="B1351" t="s">
        <v>19</v>
      </c>
      <c r="C1351">
        <v>700</v>
      </c>
      <c r="D1351">
        <v>0</v>
      </c>
      <c r="E1351" t="s">
        <v>33</v>
      </c>
      <c r="F1351" t="s">
        <v>33</v>
      </c>
      <c r="G1351" t="str">
        <f>"2025-12-03 11:20:50.076"</f>
        <v>2025-12-03 11:20:50.076</v>
      </c>
      <c r="H1351" t="s">
        <v>22</v>
      </c>
      <c r="I1351">
        <v>0</v>
      </c>
      <c r="J1351" t="s">
        <v>41</v>
      </c>
    </row>
    <row r="1352" spans="1:10" x14ac:dyDescent="0.25">
      <c r="A1352" s="1">
        <v>492</v>
      </c>
      <c r="B1352" t="s">
        <v>19</v>
      </c>
      <c r="C1352">
        <v>706</v>
      </c>
      <c r="D1352">
        <v>4</v>
      </c>
      <c r="E1352" t="s">
        <v>20</v>
      </c>
      <c r="F1352" t="s">
        <v>40</v>
      </c>
      <c r="G1352" t="str">
        <f>"2025-12-03 09:34:51.070"</f>
        <v>2025-12-03 09:34:51.070</v>
      </c>
      <c r="H1352" t="s">
        <v>22</v>
      </c>
      <c r="I1352">
        <v>0</v>
      </c>
      <c r="J1352" t="s">
        <v>23</v>
      </c>
    </row>
    <row r="1353" spans="1:10" x14ac:dyDescent="0.25">
      <c r="A1353" s="1">
        <v>493</v>
      </c>
      <c r="B1353" t="s">
        <v>19</v>
      </c>
      <c r="C1353">
        <v>700</v>
      </c>
      <c r="D1353">
        <v>0</v>
      </c>
      <c r="E1353" t="s">
        <v>33</v>
      </c>
      <c r="F1353" t="s">
        <v>33</v>
      </c>
      <c r="G1353" t="str">
        <f>"2025-12-03 09:34:31.080"</f>
        <v>2025-12-03 09:34:31.080</v>
      </c>
      <c r="H1353" t="s">
        <v>22</v>
      </c>
    </row>
    <row r="1354" spans="1:10" x14ac:dyDescent="0.25">
      <c r="A1354" s="1">
        <v>494</v>
      </c>
      <c r="B1354" t="s">
        <v>19</v>
      </c>
      <c r="C1354">
        <v>700</v>
      </c>
      <c r="D1354">
        <v>0</v>
      </c>
      <c r="E1354" t="s">
        <v>33</v>
      </c>
      <c r="F1354" t="s">
        <v>33</v>
      </c>
      <c r="G1354" t="str">
        <f>"2025-12-03 01:26:22.081"</f>
        <v>2025-12-03 01:26:22.081</v>
      </c>
      <c r="H1354" t="s">
        <v>22</v>
      </c>
      <c r="I1354">
        <v>0</v>
      </c>
      <c r="J1354" t="s">
        <v>41</v>
      </c>
    </row>
    <row r="1355" spans="1:10" x14ac:dyDescent="0.25">
      <c r="A1355" s="1">
        <v>495</v>
      </c>
      <c r="B1355" t="s">
        <v>19</v>
      </c>
      <c r="C1355">
        <v>700</v>
      </c>
      <c r="D1355">
        <v>0</v>
      </c>
      <c r="E1355" t="s">
        <v>33</v>
      </c>
      <c r="F1355" t="s">
        <v>33</v>
      </c>
      <c r="G1355" t="str">
        <f>"2025-12-02 17:00:49.083"</f>
        <v>2025-12-02 17:00:49.083</v>
      </c>
      <c r="H1355" t="s">
        <v>22</v>
      </c>
    </row>
    <row r="1356" spans="1:10" x14ac:dyDescent="0.25">
      <c r="A1356" s="1">
        <v>496</v>
      </c>
      <c r="B1356" t="s">
        <v>19</v>
      </c>
      <c r="C1356">
        <v>700</v>
      </c>
      <c r="D1356">
        <v>0</v>
      </c>
      <c r="E1356" t="s">
        <v>33</v>
      </c>
      <c r="F1356" t="s">
        <v>33</v>
      </c>
      <c r="G1356" t="str">
        <f>"2025-12-02 16:57:20.077"</f>
        <v>2025-12-02 16:57:20.077</v>
      </c>
      <c r="H1356" t="s">
        <v>22</v>
      </c>
      <c r="I1356">
        <v>0</v>
      </c>
      <c r="J1356" t="s">
        <v>41</v>
      </c>
    </row>
    <row r="1357" spans="1:10" x14ac:dyDescent="0.25">
      <c r="A1357" s="1">
        <v>497</v>
      </c>
      <c r="B1357" t="s">
        <v>19</v>
      </c>
      <c r="C1357">
        <v>700</v>
      </c>
      <c r="D1357">
        <v>0</v>
      </c>
      <c r="E1357" t="s">
        <v>33</v>
      </c>
      <c r="F1357" t="s">
        <v>33</v>
      </c>
      <c r="G1357" t="str">
        <f>"2025-12-02 16:48:24.077"</f>
        <v>2025-12-02 16:48:24.077</v>
      </c>
      <c r="H1357" t="s">
        <v>22</v>
      </c>
      <c r="I1357">
        <v>0</v>
      </c>
      <c r="J1357" t="s">
        <v>41</v>
      </c>
    </row>
    <row r="1358" spans="1:10" x14ac:dyDescent="0.25">
      <c r="A1358" s="1">
        <v>498</v>
      </c>
      <c r="B1358" t="s">
        <v>19</v>
      </c>
      <c r="C1358">
        <v>700</v>
      </c>
      <c r="D1358">
        <v>0</v>
      </c>
      <c r="E1358" t="s">
        <v>33</v>
      </c>
      <c r="F1358" t="s">
        <v>33</v>
      </c>
      <c r="G1358" t="str">
        <f>"2025-12-02 16:04:34.074"</f>
        <v>2025-12-02 16:04:34.074</v>
      </c>
      <c r="H1358" t="s">
        <v>22</v>
      </c>
      <c r="I1358">
        <v>0</v>
      </c>
      <c r="J1358" t="s">
        <v>41</v>
      </c>
    </row>
    <row r="1359" spans="1:10" x14ac:dyDescent="0.25">
      <c r="A1359" s="1">
        <v>499</v>
      </c>
      <c r="B1359" t="s">
        <v>19</v>
      </c>
      <c r="C1359">
        <v>700</v>
      </c>
      <c r="D1359">
        <v>0</v>
      </c>
      <c r="E1359" t="s">
        <v>33</v>
      </c>
      <c r="F1359" t="s">
        <v>33</v>
      </c>
      <c r="G1359" t="str">
        <f>"2025-12-02 11:52:16.082"</f>
        <v>2025-12-02 11:52:16.082</v>
      </c>
      <c r="H1359" t="s">
        <v>22</v>
      </c>
      <c r="I1359">
        <v>0</v>
      </c>
      <c r="J1359" t="s">
        <v>41</v>
      </c>
    </row>
    <row r="1360" spans="1:10" x14ac:dyDescent="0.25">
      <c r="A1360" s="1">
        <v>500</v>
      </c>
      <c r="B1360" t="s">
        <v>19</v>
      </c>
      <c r="C1360">
        <v>700</v>
      </c>
      <c r="D1360">
        <v>0</v>
      </c>
      <c r="E1360" t="s">
        <v>33</v>
      </c>
      <c r="F1360" t="s">
        <v>33</v>
      </c>
      <c r="G1360" t="str">
        <f>"2025-12-02 09:00:32.085"</f>
        <v>2025-12-02 09:00:32.085</v>
      </c>
      <c r="H1360" t="s">
        <v>22</v>
      </c>
      <c r="I1360">
        <v>0</v>
      </c>
      <c r="J1360" t="s">
        <v>41</v>
      </c>
    </row>
    <row r="1361" spans="1:10" x14ac:dyDescent="0.25">
      <c r="A1361" s="1">
        <v>501</v>
      </c>
      <c r="B1361" t="s">
        <v>19</v>
      </c>
      <c r="C1361">
        <v>700</v>
      </c>
      <c r="D1361">
        <v>0</v>
      </c>
      <c r="E1361" t="s">
        <v>33</v>
      </c>
      <c r="F1361" t="s">
        <v>33</v>
      </c>
      <c r="G1361" t="str">
        <f>"2025-12-01 16:37:29.098"</f>
        <v>2025-12-01 16:37:29.098</v>
      </c>
      <c r="H1361" t="s">
        <v>22</v>
      </c>
      <c r="I1361">
        <v>0</v>
      </c>
      <c r="J1361" t="s">
        <v>41</v>
      </c>
    </row>
    <row r="1362" spans="1:10" x14ac:dyDescent="0.25">
      <c r="A1362" s="1">
        <v>502</v>
      </c>
      <c r="B1362" t="s">
        <v>74</v>
      </c>
      <c r="C1362">
        <v>77</v>
      </c>
      <c r="D1362">
        <v>1</v>
      </c>
      <c r="E1362" t="s">
        <v>106</v>
      </c>
      <c r="F1362" t="s">
        <v>107</v>
      </c>
      <c r="G1362" t="str">
        <f>"2025-12-01 14:19:12.543"</f>
        <v>2025-12-01 14:19:12.543</v>
      </c>
      <c r="H1362" t="s">
        <v>64</v>
      </c>
    </row>
    <row r="1363" spans="1:10" x14ac:dyDescent="0.25">
      <c r="A1363" s="1">
        <v>503</v>
      </c>
      <c r="B1363" t="s">
        <v>32</v>
      </c>
      <c r="C1363">
        <v>77</v>
      </c>
      <c r="D1363">
        <v>1</v>
      </c>
      <c r="E1363" t="s">
        <v>106</v>
      </c>
      <c r="F1363" t="s">
        <v>107</v>
      </c>
      <c r="G1363" t="str">
        <f>"2025-12-01 14:19:07.473"</f>
        <v>2025-12-01 14:19:07.473</v>
      </c>
      <c r="H1363" t="s">
        <v>64</v>
      </c>
      <c r="I1363">
        <v>0</v>
      </c>
      <c r="J1363" t="s">
        <v>23</v>
      </c>
    </row>
    <row r="1364" spans="1:10" x14ac:dyDescent="0.25">
      <c r="A1364" s="1">
        <v>504</v>
      </c>
      <c r="B1364" t="s">
        <v>19</v>
      </c>
      <c r="C1364">
        <v>700</v>
      </c>
      <c r="D1364">
        <v>0</v>
      </c>
      <c r="E1364" t="s">
        <v>33</v>
      </c>
      <c r="F1364" t="s">
        <v>33</v>
      </c>
      <c r="G1364" t="str">
        <f>"2025-12-01 14:18:31.043"</f>
        <v>2025-12-01 14:18:31.043</v>
      </c>
      <c r="H1364" t="s">
        <v>22</v>
      </c>
    </row>
    <row r="1365" spans="1:10" x14ac:dyDescent="0.25">
      <c r="A1365" s="1">
        <v>505</v>
      </c>
      <c r="B1365" t="s">
        <v>19</v>
      </c>
      <c r="C1365">
        <v>700</v>
      </c>
      <c r="D1365">
        <v>0</v>
      </c>
      <c r="E1365" t="s">
        <v>33</v>
      </c>
      <c r="F1365" t="s">
        <v>33</v>
      </c>
      <c r="G1365" t="str">
        <f>"2025-12-01 10:44:11.054"</f>
        <v>2025-12-01 10:44:11.054</v>
      </c>
      <c r="H1365" t="s">
        <v>22</v>
      </c>
      <c r="I1365">
        <v>0</v>
      </c>
      <c r="J1365" t="s">
        <v>41</v>
      </c>
    </row>
    <row r="1366" spans="1:10" x14ac:dyDescent="0.25">
      <c r="A1366" s="1">
        <v>506</v>
      </c>
      <c r="B1366" t="s">
        <v>19</v>
      </c>
      <c r="C1366">
        <v>700</v>
      </c>
      <c r="D1366">
        <v>0</v>
      </c>
      <c r="E1366" t="s">
        <v>33</v>
      </c>
      <c r="F1366" t="s">
        <v>33</v>
      </c>
      <c r="G1366" t="str">
        <f>"2025-12-01 10:35:16.034"</f>
        <v>2025-12-01 10:35:16.034</v>
      </c>
      <c r="H1366" t="s">
        <v>22</v>
      </c>
    </row>
    <row r="1367" spans="1:10" x14ac:dyDescent="0.25">
      <c r="A1367" s="1">
        <v>507</v>
      </c>
      <c r="B1367" t="s">
        <v>19</v>
      </c>
      <c r="C1367">
        <v>706</v>
      </c>
      <c r="D1367">
        <v>4</v>
      </c>
      <c r="E1367" t="s">
        <v>20</v>
      </c>
      <c r="F1367" t="s">
        <v>40</v>
      </c>
      <c r="G1367" t="str">
        <f>"2025-12-01 10:19:17.778"</f>
        <v>2025-12-01 10:19:17.778</v>
      </c>
      <c r="H1367" t="s">
        <v>22</v>
      </c>
      <c r="I1367">
        <v>0</v>
      </c>
      <c r="J1367" t="s">
        <v>23</v>
      </c>
    </row>
    <row r="1368" spans="1:10" x14ac:dyDescent="0.25">
      <c r="A1368" s="1">
        <v>508</v>
      </c>
      <c r="B1368" t="s">
        <v>19</v>
      </c>
      <c r="C1368">
        <v>700</v>
      </c>
      <c r="D1368">
        <v>0</v>
      </c>
      <c r="E1368" t="s">
        <v>33</v>
      </c>
      <c r="F1368" t="s">
        <v>33</v>
      </c>
      <c r="G1368" t="str">
        <f>"2025-12-01 09:45:45.038"</f>
        <v>2025-12-01 09:45:45.038</v>
      </c>
      <c r="H1368" t="s">
        <v>22</v>
      </c>
    </row>
    <row r="1369" spans="1:10" x14ac:dyDescent="0.25">
      <c r="A1369" s="1">
        <v>509</v>
      </c>
      <c r="B1369" t="s">
        <v>19</v>
      </c>
      <c r="C1369">
        <v>700</v>
      </c>
      <c r="D1369">
        <v>0</v>
      </c>
      <c r="E1369" t="s">
        <v>33</v>
      </c>
      <c r="F1369" t="s">
        <v>33</v>
      </c>
      <c r="G1369" t="str">
        <f>"2025-12-01 09:12:25.045"</f>
        <v>2025-12-01 09:12:25.045</v>
      </c>
      <c r="H1369" t="s">
        <v>22</v>
      </c>
      <c r="I1369">
        <v>0</v>
      </c>
      <c r="J1369" t="s">
        <v>41</v>
      </c>
    </row>
    <row r="1370" spans="1:10" x14ac:dyDescent="0.25">
      <c r="A1370" s="1">
        <v>510</v>
      </c>
      <c r="B1370" t="s">
        <v>19</v>
      </c>
      <c r="C1370">
        <v>700</v>
      </c>
      <c r="D1370">
        <v>0</v>
      </c>
      <c r="E1370" t="s">
        <v>33</v>
      </c>
      <c r="F1370" t="s">
        <v>33</v>
      </c>
      <c r="G1370" t="str">
        <f>"2025-11-30 18:44:54.041"</f>
        <v>2025-11-30 18:44:54.041</v>
      </c>
      <c r="H1370" t="s">
        <v>22</v>
      </c>
      <c r="I1370">
        <v>0</v>
      </c>
      <c r="J1370" t="s">
        <v>41</v>
      </c>
    </row>
    <row r="1371" spans="1:10" x14ac:dyDescent="0.25">
      <c r="A1371" s="1">
        <v>511</v>
      </c>
      <c r="B1371" t="s">
        <v>19</v>
      </c>
      <c r="C1371">
        <v>700</v>
      </c>
      <c r="D1371">
        <v>0</v>
      </c>
      <c r="E1371" t="s">
        <v>33</v>
      </c>
      <c r="F1371" t="s">
        <v>33</v>
      </c>
      <c r="G1371" t="str">
        <f>"2025-11-30 18:35:55.046"</f>
        <v>2025-11-30 18:35:55.046</v>
      </c>
      <c r="H1371" t="s">
        <v>22</v>
      </c>
    </row>
    <row r="1372" spans="1:10" x14ac:dyDescent="0.25">
      <c r="A1372" s="1">
        <v>512</v>
      </c>
      <c r="B1372" t="s">
        <v>19</v>
      </c>
      <c r="C1372">
        <v>700</v>
      </c>
      <c r="D1372">
        <v>0</v>
      </c>
      <c r="E1372" t="s">
        <v>33</v>
      </c>
      <c r="F1372" t="s">
        <v>33</v>
      </c>
      <c r="G1372" t="str">
        <f>"2025-11-30 18:15:29.033"</f>
        <v>2025-11-30 18:15:29.033</v>
      </c>
      <c r="H1372" t="s">
        <v>22</v>
      </c>
      <c r="I1372">
        <v>0</v>
      </c>
      <c r="J1372" t="s">
        <v>41</v>
      </c>
    </row>
    <row r="1373" spans="1:10" x14ac:dyDescent="0.25">
      <c r="A1373" s="1">
        <v>513</v>
      </c>
      <c r="B1373" t="s">
        <v>19</v>
      </c>
      <c r="C1373">
        <v>706</v>
      </c>
      <c r="D1373">
        <v>2</v>
      </c>
      <c r="E1373" t="s">
        <v>20</v>
      </c>
      <c r="F1373" t="s">
        <v>21</v>
      </c>
      <c r="G1373" t="str">
        <f>"2025-11-30 18:12:41.729"</f>
        <v>2025-11-30 18:12:41.729</v>
      </c>
      <c r="H1373" t="s">
        <v>22</v>
      </c>
      <c r="I1373">
        <v>0</v>
      </c>
      <c r="J1373" t="s">
        <v>23</v>
      </c>
    </row>
    <row r="1374" spans="1:10" x14ac:dyDescent="0.25">
      <c r="A1374" s="1">
        <v>514</v>
      </c>
      <c r="B1374" t="s">
        <v>19</v>
      </c>
      <c r="C1374">
        <v>706</v>
      </c>
      <c r="D1374">
        <v>2</v>
      </c>
      <c r="E1374" t="s">
        <v>20</v>
      </c>
      <c r="F1374" t="s">
        <v>21</v>
      </c>
      <c r="G1374" t="str">
        <f>"2025-11-30 18:12:09.329"</f>
        <v>2025-11-30 18:12:09.329</v>
      </c>
      <c r="H1374" t="s">
        <v>22</v>
      </c>
      <c r="I1374">
        <v>0</v>
      </c>
      <c r="J1374" t="s">
        <v>23</v>
      </c>
    </row>
    <row r="1375" spans="1:10" x14ac:dyDescent="0.25">
      <c r="A1375" s="1">
        <v>515</v>
      </c>
      <c r="B1375" t="s">
        <v>19</v>
      </c>
      <c r="C1375">
        <v>700</v>
      </c>
      <c r="D1375">
        <v>0</v>
      </c>
      <c r="E1375" t="s">
        <v>33</v>
      </c>
      <c r="F1375" t="s">
        <v>33</v>
      </c>
      <c r="G1375" t="str">
        <f>"2025-11-30 18:11:47.039"</f>
        <v>2025-11-30 18:11:47.039</v>
      </c>
      <c r="H1375" t="s">
        <v>22</v>
      </c>
    </row>
    <row r="1376" spans="1:10" x14ac:dyDescent="0.25">
      <c r="A1376" s="1">
        <v>516</v>
      </c>
      <c r="B1376" t="s">
        <v>19</v>
      </c>
      <c r="C1376">
        <v>700</v>
      </c>
      <c r="D1376">
        <v>0</v>
      </c>
      <c r="E1376" t="s">
        <v>33</v>
      </c>
      <c r="F1376" t="s">
        <v>33</v>
      </c>
      <c r="G1376" t="str">
        <f>"2025-11-30 18:09:05.248"</f>
        <v>2025-11-30 18:09:05.248</v>
      </c>
      <c r="H1376" t="s">
        <v>22</v>
      </c>
      <c r="I1376">
        <v>0</v>
      </c>
      <c r="J1376" t="s">
        <v>41</v>
      </c>
    </row>
    <row r="1377" spans="1:10" x14ac:dyDescent="0.25">
      <c r="A1377" s="1">
        <v>517</v>
      </c>
      <c r="B1377" t="s">
        <v>24</v>
      </c>
      <c r="C1377">
        <v>98</v>
      </c>
      <c r="D1377">
        <v>1</v>
      </c>
      <c r="E1377" t="s">
        <v>38</v>
      </c>
      <c r="F1377" t="s">
        <v>39</v>
      </c>
      <c r="G1377" t="str">
        <f>"2025-11-30 18:02:49.054"</f>
        <v>2025-11-30 18:02:49.054</v>
      </c>
      <c r="H1377" t="s">
        <v>22</v>
      </c>
    </row>
    <row r="1378" spans="1:10" x14ac:dyDescent="0.25">
      <c r="A1378" s="1">
        <v>518</v>
      </c>
      <c r="B1378" t="s">
        <v>27</v>
      </c>
      <c r="C1378">
        <v>98</v>
      </c>
      <c r="D1378">
        <v>1</v>
      </c>
      <c r="E1378" t="s">
        <v>38</v>
      </c>
      <c r="F1378" t="s">
        <v>39</v>
      </c>
      <c r="G1378" t="str">
        <f>"2025-11-30 18:02:47.954"</f>
        <v>2025-11-30 18:02:47.954</v>
      </c>
      <c r="H1378" t="s">
        <v>22</v>
      </c>
      <c r="I1378">
        <v>0</v>
      </c>
      <c r="J1378" t="s">
        <v>23</v>
      </c>
    </row>
    <row r="1379" spans="1:10" x14ac:dyDescent="0.25">
      <c r="A1379" s="1">
        <v>519</v>
      </c>
      <c r="B1379" t="s">
        <v>19</v>
      </c>
      <c r="C1379">
        <v>700</v>
      </c>
      <c r="D1379">
        <v>0</v>
      </c>
      <c r="E1379" t="s">
        <v>33</v>
      </c>
      <c r="F1379" t="s">
        <v>33</v>
      </c>
      <c r="G1379" t="str">
        <f>"2025-11-30 18:01:30.042"</f>
        <v>2025-11-30 18:01:30.042</v>
      </c>
      <c r="H1379" t="s">
        <v>22</v>
      </c>
      <c r="I1379">
        <v>0</v>
      </c>
      <c r="J1379" t="s">
        <v>41</v>
      </c>
    </row>
    <row r="1380" spans="1:10" x14ac:dyDescent="0.25">
      <c r="A1380" s="1">
        <v>520</v>
      </c>
      <c r="B1380" t="s">
        <v>24</v>
      </c>
      <c r="C1380">
        <v>98</v>
      </c>
      <c r="D1380">
        <v>1</v>
      </c>
      <c r="E1380" t="s">
        <v>38</v>
      </c>
      <c r="F1380" t="s">
        <v>39</v>
      </c>
      <c r="G1380" t="str">
        <f>"2025-11-30 17:52:45.819"</f>
        <v>2025-11-30 17:52:45.819</v>
      </c>
      <c r="H1380" t="s">
        <v>22</v>
      </c>
    </row>
    <row r="1381" spans="1:10" x14ac:dyDescent="0.25">
      <c r="A1381" s="1">
        <v>521</v>
      </c>
      <c r="B1381" t="s">
        <v>27</v>
      </c>
      <c r="C1381">
        <v>98</v>
      </c>
      <c r="D1381">
        <v>1</v>
      </c>
      <c r="E1381" t="s">
        <v>38</v>
      </c>
      <c r="F1381" t="s">
        <v>39</v>
      </c>
      <c r="G1381" t="str">
        <f>"2025-11-30 17:52:44.819"</f>
        <v>2025-11-30 17:52:44.819</v>
      </c>
      <c r="H1381" t="s">
        <v>22</v>
      </c>
      <c r="I1381">
        <v>0</v>
      </c>
      <c r="J1381" t="s">
        <v>23</v>
      </c>
    </row>
    <row r="1382" spans="1:10" x14ac:dyDescent="0.25">
      <c r="A1382" s="1">
        <v>522</v>
      </c>
      <c r="B1382" t="s">
        <v>24</v>
      </c>
      <c r="C1382">
        <v>98</v>
      </c>
      <c r="D1382">
        <v>1</v>
      </c>
      <c r="E1382" t="s">
        <v>38</v>
      </c>
      <c r="F1382" t="s">
        <v>39</v>
      </c>
      <c r="G1382" t="str">
        <f>"2025-11-30 17:52:12.819"</f>
        <v>2025-11-30 17:52:12.819</v>
      </c>
      <c r="H1382" t="s">
        <v>22</v>
      </c>
    </row>
    <row r="1383" spans="1:10" x14ac:dyDescent="0.25">
      <c r="A1383" s="1">
        <v>523</v>
      </c>
      <c r="B1383" t="s">
        <v>27</v>
      </c>
      <c r="C1383">
        <v>98</v>
      </c>
      <c r="D1383">
        <v>1</v>
      </c>
      <c r="E1383" t="s">
        <v>38</v>
      </c>
      <c r="F1383" t="s">
        <v>39</v>
      </c>
      <c r="G1383" t="str">
        <f>"2025-11-30 17:52:11.819"</f>
        <v>2025-11-30 17:52:11.819</v>
      </c>
      <c r="H1383" t="s">
        <v>22</v>
      </c>
      <c r="I1383">
        <v>0</v>
      </c>
      <c r="J1383" t="s">
        <v>23</v>
      </c>
    </row>
    <row r="1384" spans="1:10" x14ac:dyDescent="0.25">
      <c r="A1384" s="1">
        <v>524</v>
      </c>
      <c r="B1384" t="s">
        <v>24</v>
      </c>
      <c r="C1384">
        <v>98</v>
      </c>
      <c r="D1384">
        <v>1</v>
      </c>
      <c r="E1384" t="s">
        <v>38</v>
      </c>
      <c r="F1384" t="s">
        <v>39</v>
      </c>
      <c r="G1384" t="str">
        <f>"2025-11-30 17:52:11.219"</f>
        <v>2025-11-30 17:52:11.219</v>
      </c>
      <c r="H1384" t="s">
        <v>22</v>
      </c>
    </row>
    <row r="1385" spans="1:10" x14ac:dyDescent="0.25">
      <c r="A1385" s="1">
        <v>525</v>
      </c>
      <c r="B1385" t="s">
        <v>27</v>
      </c>
      <c r="C1385">
        <v>98</v>
      </c>
      <c r="D1385">
        <v>1</v>
      </c>
      <c r="E1385" t="s">
        <v>38</v>
      </c>
      <c r="F1385" t="s">
        <v>39</v>
      </c>
      <c r="G1385" t="str">
        <f>"2025-11-30 17:52:09.819"</f>
        <v>2025-11-30 17:52:09.819</v>
      </c>
      <c r="H1385" t="s">
        <v>22</v>
      </c>
      <c r="I1385">
        <v>0</v>
      </c>
      <c r="J1385" t="s">
        <v>23</v>
      </c>
    </row>
    <row r="1386" spans="1:10" x14ac:dyDescent="0.25">
      <c r="A1386" s="1">
        <v>526</v>
      </c>
      <c r="B1386" t="s">
        <v>24</v>
      </c>
      <c r="C1386">
        <v>98</v>
      </c>
      <c r="D1386">
        <v>1</v>
      </c>
      <c r="E1386" t="s">
        <v>38</v>
      </c>
      <c r="F1386" t="s">
        <v>39</v>
      </c>
      <c r="G1386" t="str">
        <f>"2025-11-30 17:52:03.219"</f>
        <v>2025-11-30 17:52:03.219</v>
      </c>
      <c r="H1386" t="s">
        <v>22</v>
      </c>
    </row>
    <row r="1387" spans="1:10" x14ac:dyDescent="0.25">
      <c r="A1387" s="1">
        <v>527</v>
      </c>
      <c r="B1387" t="s">
        <v>27</v>
      </c>
      <c r="C1387">
        <v>98</v>
      </c>
      <c r="D1387">
        <v>1</v>
      </c>
      <c r="E1387" t="s">
        <v>38</v>
      </c>
      <c r="F1387" t="s">
        <v>39</v>
      </c>
      <c r="G1387" t="str">
        <f>"2025-11-30 17:52:02.219"</f>
        <v>2025-11-30 17:52:02.219</v>
      </c>
      <c r="H1387" t="s">
        <v>22</v>
      </c>
      <c r="I1387">
        <v>0</v>
      </c>
      <c r="J1387" t="s">
        <v>23</v>
      </c>
    </row>
    <row r="1388" spans="1:10" x14ac:dyDescent="0.25">
      <c r="A1388" s="1">
        <v>528</v>
      </c>
      <c r="B1388" t="s">
        <v>24</v>
      </c>
      <c r="C1388">
        <v>98</v>
      </c>
      <c r="D1388">
        <v>1</v>
      </c>
      <c r="E1388" t="s">
        <v>38</v>
      </c>
      <c r="F1388" t="s">
        <v>39</v>
      </c>
      <c r="G1388" t="str">
        <f>"2025-11-30 17:52:01.619"</f>
        <v>2025-11-30 17:52:01.619</v>
      </c>
      <c r="H1388" t="s">
        <v>22</v>
      </c>
    </row>
    <row r="1389" spans="1:10" x14ac:dyDescent="0.25">
      <c r="A1389" s="1">
        <v>529</v>
      </c>
      <c r="B1389" t="s">
        <v>27</v>
      </c>
      <c r="C1389">
        <v>98</v>
      </c>
      <c r="D1389">
        <v>1</v>
      </c>
      <c r="E1389" t="s">
        <v>38</v>
      </c>
      <c r="F1389" t="s">
        <v>39</v>
      </c>
      <c r="G1389" t="str">
        <f>"2025-11-30 17:52:00.619"</f>
        <v>2025-11-30 17:52:00.619</v>
      </c>
      <c r="H1389" t="s">
        <v>22</v>
      </c>
      <c r="I1389">
        <v>0</v>
      </c>
      <c r="J1389" t="s">
        <v>23</v>
      </c>
    </row>
    <row r="1390" spans="1:10" x14ac:dyDescent="0.25">
      <c r="A1390" s="1">
        <v>530</v>
      </c>
      <c r="B1390" t="s">
        <v>24</v>
      </c>
      <c r="C1390">
        <v>650</v>
      </c>
      <c r="D1390">
        <v>4</v>
      </c>
      <c r="E1390" t="s">
        <v>100</v>
      </c>
      <c r="F1390" t="s">
        <v>108</v>
      </c>
      <c r="G1390" t="str">
        <f>"2025-11-30 17:47:28.520"</f>
        <v>2025-11-30 17:47:28.520</v>
      </c>
      <c r="H1390" t="s">
        <v>22</v>
      </c>
    </row>
    <row r="1391" spans="1:10" x14ac:dyDescent="0.25">
      <c r="A1391" s="1">
        <v>533</v>
      </c>
      <c r="B1391" t="s">
        <v>27</v>
      </c>
      <c r="C1391">
        <v>650</v>
      </c>
      <c r="D1391">
        <v>4</v>
      </c>
      <c r="E1391" t="s">
        <v>100</v>
      </c>
      <c r="F1391" t="s">
        <v>108</v>
      </c>
      <c r="G1391" t="str">
        <f>"2025-11-30 17:46:06.829"</f>
        <v>2025-11-30 17:46:06.829</v>
      </c>
      <c r="H1391" t="s">
        <v>22</v>
      </c>
      <c r="I1391">
        <v>0</v>
      </c>
      <c r="J1391" t="s">
        <v>23</v>
      </c>
    </row>
    <row r="1392" spans="1:10" x14ac:dyDescent="0.25">
      <c r="A1392" s="1">
        <v>534</v>
      </c>
      <c r="B1392" t="s">
        <v>19</v>
      </c>
      <c r="C1392">
        <v>782</v>
      </c>
      <c r="D1392">
        <v>7</v>
      </c>
      <c r="E1392" t="s">
        <v>43</v>
      </c>
      <c r="F1392" t="s">
        <v>44</v>
      </c>
      <c r="G1392" t="str">
        <f>"2025-11-30 17:46:06.826"</f>
        <v>2025-11-30 17:46:06.826</v>
      </c>
      <c r="H1392" t="s">
        <v>22</v>
      </c>
      <c r="I1392">
        <v>0</v>
      </c>
      <c r="J1392" t="s">
        <v>23</v>
      </c>
    </row>
    <row r="1393" spans="1:10" x14ac:dyDescent="0.25">
      <c r="A1393" s="1">
        <v>537</v>
      </c>
      <c r="B1393" t="s">
        <v>24</v>
      </c>
      <c r="C1393">
        <v>650</v>
      </c>
      <c r="D1393">
        <v>4</v>
      </c>
      <c r="E1393" t="s">
        <v>100</v>
      </c>
      <c r="F1393" t="s">
        <v>108</v>
      </c>
      <c r="G1393" t="str">
        <f>"2025-11-30 17:46:06.820"</f>
        <v>2025-11-30 17:46:06.820</v>
      </c>
      <c r="H1393" t="s">
        <v>22</v>
      </c>
    </row>
    <row r="1394" spans="1:10" x14ac:dyDescent="0.25">
      <c r="A1394" s="1">
        <v>538</v>
      </c>
      <c r="B1394" t="s">
        <v>19</v>
      </c>
      <c r="C1394">
        <v>782</v>
      </c>
      <c r="D1394">
        <v>7</v>
      </c>
      <c r="E1394" t="s">
        <v>43</v>
      </c>
      <c r="F1394" t="s">
        <v>44</v>
      </c>
      <c r="G1394" t="str">
        <f>"2025-11-30 17:46:06.819"</f>
        <v>2025-11-30 17:46:06.819</v>
      </c>
      <c r="H1394" t="s">
        <v>22</v>
      </c>
      <c r="I1394">
        <v>0</v>
      </c>
      <c r="J1394" t="s">
        <v>23</v>
      </c>
    </row>
    <row r="1395" spans="1:10" x14ac:dyDescent="0.25">
      <c r="A1395" s="1">
        <v>539</v>
      </c>
      <c r="B1395" t="s">
        <v>24</v>
      </c>
      <c r="C1395">
        <v>49</v>
      </c>
      <c r="D1395">
        <v>1</v>
      </c>
      <c r="E1395" t="s">
        <v>66</v>
      </c>
      <c r="F1395" t="s">
        <v>67</v>
      </c>
      <c r="G1395" t="str">
        <f>"2025-11-30 17:45:57.719"</f>
        <v>2025-11-30 17:45:57.719</v>
      </c>
      <c r="H1395" t="s">
        <v>68</v>
      </c>
    </row>
    <row r="1396" spans="1:10" x14ac:dyDescent="0.25">
      <c r="A1396" s="1">
        <v>543</v>
      </c>
      <c r="B1396" t="s">
        <v>27</v>
      </c>
      <c r="C1396">
        <v>650</v>
      </c>
      <c r="D1396">
        <v>4</v>
      </c>
      <c r="E1396" t="s">
        <v>100</v>
      </c>
      <c r="F1396" t="s">
        <v>108</v>
      </c>
      <c r="G1396" t="str">
        <f>"2025-11-30 17:45:32.027"</f>
        <v>2025-11-30 17:45:32.027</v>
      </c>
      <c r="H1396" t="s">
        <v>22</v>
      </c>
      <c r="I1396">
        <v>0</v>
      </c>
      <c r="J1396" t="s">
        <v>69</v>
      </c>
    </row>
    <row r="1397" spans="1:10" x14ac:dyDescent="0.25">
      <c r="A1397" s="1">
        <v>544</v>
      </c>
      <c r="B1397" t="s">
        <v>27</v>
      </c>
      <c r="C1397">
        <v>49</v>
      </c>
      <c r="D1397">
        <v>1</v>
      </c>
      <c r="E1397" t="s">
        <v>66</v>
      </c>
      <c r="F1397" t="s">
        <v>67</v>
      </c>
      <c r="G1397" t="str">
        <f>"2025-11-30 17:45:32.021"</f>
        <v>2025-11-30 17:45:32.021</v>
      </c>
      <c r="H1397" t="s">
        <v>68</v>
      </c>
      <c r="I1397">
        <v>0</v>
      </c>
      <c r="J1397" t="s">
        <v>69</v>
      </c>
    </row>
    <row r="1398" spans="1:10" x14ac:dyDescent="0.25">
      <c r="A1398" s="1">
        <v>546</v>
      </c>
      <c r="B1398" t="s">
        <v>19</v>
      </c>
      <c r="C1398">
        <v>782</v>
      </c>
      <c r="D1398">
        <v>7</v>
      </c>
      <c r="E1398" t="s">
        <v>43</v>
      </c>
      <c r="F1398" t="s">
        <v>44</v>
      </c>
      <c r="G1398" t="str">
        <f>"2025-11-30 17:45:31.977"</f>
        <v>2025-11-30 17:45:31.977</v>
      </c>
      <c r="H1398" t="s">
        <v>22</v>
      </c>
      <c r="I1398">
        <v>0</v>
      </c>
      <c r="J1398" t="s">
        <v>69</v>
      </c>
    </row>
    <row r="1399" spans="1:10" x14ac:dyDescent="0.25">
      <c r="A1399" s="1">
        <v>549</v>
      </c>
      <c r="B1399" t="s">
        <v>24</v>
      </c>
      <c r="C1399">
        <v>650</v>
      </c>
      <c r="D1399">
        <v>4</v>
      </c>
      <c r="E1399" t="s">
        <v>100</v>
      </c>
      <c r="F1399" t="s">
        <v>108</v>
      </c>
      <c r="G1399" t="str">
        <f>"2025-11-30 17:45:31.973"</f>
        <v>2025-11-30 17:45:31.973</v>
      </c>
      <c r="H1399" t="s">
        <v>22</v>
      </c>
    </row>
    <row r="1400" spans="1:10" x14ac:dyDescent="0.25">
      <c r="A1400" s="1">
        <v>551</v>
      </c>
      <c r="B1400" t="s">
        <v>24</v>
      </c>
      <c r="C1400">
        <v>49</v>
      </c>
      <c r="D1400">
        <v>1</v>
      </c>
      <c r="E1400" t="s">
        <v>66</v>
      </c>
      <c r="F1400" t="s">
        <v>67</v>
      </c>
      <c r="G1400" t="str">
        <f>"2025-11-30 17:45:31.970"</f>
        <v>2025-11-30 17:45:31.970</v>
      </c>
      <c r="H1400" t="s">
        <v>68</v>
      </c>
    </row>
    <row r="1401" spans="1:10" x14ac:dyDescent="0.25">
      <c r="A1401" s="1">
        <v>552</v>
      </c>
      <c r="B1401" t="s">
        <v>24</v>
      </c>
      <c r="C1401">
        <v>12</v>
      </c>
      <c r="D1401">
        <v>2</v>
      </c>
      <c r="E1401" t="s">
        <v>109</v>
      </c>
      <c r="F1401" t="s">
        <v>110</v>
      </c>
      <c r="G1401" t="str">
        <f>"2025-11-30 17:45:31.969"</f>
        <v>2025-11-30 17:45:31.969</v>
      </c>
      <c r="H1401" t="s">
        <v>22</v>
      </c>
    </row>
    <row r="1402" spans="1:10" x14ac:dyDescent="0.25">
      <c r="A1402" s="1">
        <v>553</v>
      </c>
      <c r="B1402" t="s">
        <v>24</v>
      </c>
      <c r="C1402">
        <v>12</v>
      </c>
      <c r="D1402">
        <v>1</v>
      </c>
      <c r="E1402" t="s">
        <v>109</v>
      </c>
      <c r="F1402" t="s">
        <v>111</v>
      </c>
      <c r="G1402" t="str">
        <f>"2025-11-30 17:45:31.968"</f>
        <v>2025-11-30 17:45:31.968</v>
      </c>
      <c r="H1402" t="s">
        <v>22</v>
      </c>
    </row>
    <row r="1403" spans="1:10" x14ac:dyDescent="0.25">
      <c r="A1403" s="1">
        <v>554</v>
      </c>
      <c r="B1403" t="s">
        <v>19</v>
      </c>
      <c r="C1403">
        <v>782</v>
      </c>
      <c r="D1403">
        <v>7</v>
      </c>
      <c r="E1403" t="s">
        <v>43</v>
      </c>
      <c r="F1403" t="s">
        <v>44</v>
      </c>
      <c r="G1403" t="str">
        <f>"2025-11-30 17:45:31.966"</f>
        <v>2025-11-30 17:45:31.966</v>
      </c>
      <c r="H1403" t="s">
        <v>22</v>
      </c>
      <c r="I1403">
        <v>0</v>
      </c>
      <c r="J1403" t="s">
        <v>69</v>
      </c>
    </row>
    <row r="1404" spans="1:10" x14ac:dyDescent="0.25">
      <c r="A1404" s="1">
        <v>555</v>
      </c>
      <c r="B1404" t="s">
        <v>19</v>
      </c>
      <c r="C1404">
        <v>757</v>
      </c>
      <c r="D1404">
        <v>0</v>
      </c>
      <c r="E1404" t="s">
        <v>112</v>
      </c>
      <c r="F1404" t="s">
        <v>112</v>
      </c>
      <c r="G1404" t="str">
        <f>"2025-11-30 17:45:19.524"</f>
        <v>2025-11-30 17:45:19.524</v>
      </c>
      <c r="H1404" t="s">
        <v>22</v>
      </c>
      <c r="I1404">
        <v>0</v>
      </c>
      <c r="J1404" t="s">
        <v>69</v>
      </c>
    </row>
    <row r="1405" spans="1:10" x14ac:dyDescent="0.25">
      <c r="A1405" s="1">
        <v>556</v>
      </c>
      <c r="B1405" t="s">
        <v>27</v>
      </c>
      <c r="C1405">
        <v>49</v>
      </c>
      <c r="D1405">
        <v>1</v>
      </c>
      <c r="E1405" t="s">
        <v>66</v>
      </c>
      <c r="F1405" t="s">
        <v>67</v>
      </c>
      <c r="G1405" t="str">
        <f>"2025-11-30 17:42:09.719"</f>
        <v>2025-11-30 17:42:09.719</v>
      </c>
      <c r="H1405" t="s">
        <v>68</v>
      </c>
      <c r="I1405">
        <v>0</v>
      </c>
      <c r="J1405" t="s">
        <v>69</v>
      </c>
    </row>
    <row r="1406" spans="1:10" x14ac:dyDescent="0.25">
      <c r="A1406" s="1">
        <v>557</v>
      </c>
      <c r="B1406" t="s">
        <v>19</v>
      </c>
      <c r="C1406">
        <v>719</v>
      </c>
      <c r="D1406">
        <v>5</v>
      </c>
      <c r="E1406" t="s">
        <v>113</v>
      </c>
      <c r="F1406" t="s">
        <v>114</v>
      </c>
      <c r="G1406" t="str">
        <f>"2025-11-30 17:41:30.753"</f>
        <v>2025-11-30 17:41:30.753</v>
      </c>
      <c r="H1406" t="s">
        <v>22</v>
      </c>
      <c r="I1406">
        <v>0</v>
      </c>
      <c r="J1406" t="s">
        <v>69</v>
      </c>
    </row>
    <row r="1407" spans="1:10" x14ac:dyDescent="0.25">
      <c r="A1407" s="1">
        <v>559</v>
      </c>
      <c r="B1407" t="s">
        <v>19</v>
      </c>
      <c r="C1407">
        <v>700</v>
      </c>
      <c r="D1407">
        <v>0</v>
      </c>
      <c r="E1407" t="s">
        <v>33</v>
      </c>
      <c r="F1407" t="s">
        <v>33</v>
      </c>
      <c r="G1407" t="str">
        <f>"2025-11-30 14:39:54.019"</f>
        <v>2025-11-30 14:39:54.019</v>
      </c>
      <c r="H1407" t="s">
        <v>22</v>
      </c>
    </row>
    <row r="1408" spans="1:10" x14ac:dyDescent="0.25">
      <c r="A1408" s="1">
        <v>562</v>
      </c>
      <c r="B1408" t="s">
        <v>19</v>
      </c>
      <c r="C1408">
        <v>753</v>
      </c>
      <c r="D1408">
        <v>1</v>
      </c>
      <c r="E1408" t="s">
        <v>115</v>
      </c>
      <c r="F1408" t="s">
        <v>116</v>
      </c>
      <c r="G1408" t="str">
        <f>"2025-11-30 14:34:24.496"</f>
        <v>2025-11-30 14:34:24.496</v>
      </c>
      <c r="H1408" t="s">
        <v>22</v>
      </c>
      <c r="I1408">
        <v>0</v>
      </c>
      <c r="J1408" t="s">
        <v>23</v>
      </c>
    </row>
    <row r="1409" spans="1:10" x14ac:dyDescent="0.25">
      <c r="A1409" s="1">
        <v>563</v>
      </c>
      <c r="B1409" t="s">
        <v>32</v>
      </c>
      <c r="C1409">
        <v>641</v>
      </c>
      <c r="D1409">
        <v>1</v>
      </c>
      <c r="E1409" t="s">
        <v>117</v>
      </c>
      <c r="F1409" t="s">
        <v>110</v>
      </c>
      <c r="G1409" t="str">
        <f>"2025-11-30 14:34:18.815"</f>
        <v>2025-11-30 14:34:18.815</v>
      </c>
      <c r="H1409" t="s">
        <v>22</v>
      </c>
      <c r="I1409">
        <v>0</v>
      </c>
      <c r="J1409" t="s">
        <v>23</v>
      </c>
    </row>
    <row r="1410" spans="1:10" x14ac:dyDescent="0.25">
      <c r="A1410" s="1">
        <v>564</v>
      </c>
      <c r="B1410" t="s">
        <v>32</v>
      </c>
      <c r="C1410">
        <v>640</v>
      </c>
      <c r="D1410">
        <v>1</v>
      </c>
      <c r="E1410" t="s">
        <v>118</v>
      </c>
      <c r="F1410" t="s">
        <v>111</v>
      </c>
      <c r="G1410" t="str">
        <f>"2025-11-30 14:34:18.807"</f>
        <v>2025-11-30 14:34:18.807</v>
      </c>
      <c r="H1410" t="s">
        <v>119</v>
      </c>
      <c r="I1410">
        <v>0</v>
      </c>
      <c r="J1410" t="s">
        <v>23</v>
      </c>
    </row>
    <row r="1411" spans="1:10" x14ac:dyDescent="0.25">
      <c r="A1411" s="1">
        <v>565</v>
      </c>
      <c r="B1411" t="s">
        <v>27</v>
      </c>
      <c r="C1411">
        <v>12</v>
      </c>
      <c r="D1411">
        <v>1</v>
      </c>
      <c r="E1411" t="s">
        <v>109</v>
      </c>
      <c r="F1411" t="s">
        <v>111</v>
      </c>
      <c r="G1411" t="str">
        <f>"2025-11-30 14:34:12.607"</f>
        <v>2025-11-30 14:34:12.607</v>
      </c>
      <c r="H1411" t="s">
        <v>22</v>
      </c>
      <c r="I1411">
        <v>0</v>
      </c>
      <c r="J1411" t="s">
        <v>23</v>
      </c>
    </row>
    <row r="1412" spans="1:10" x14ac:dyDescent="0.25">
      <c r="A1412" s="1">
        <v>566</v>
      </c>
      <c r="B1412" t="s">
        <v>27</v>
      </c>
      <c r="C1412">
        <v>12</v>
      </c>
      <c r="D1412">
        <v>2</v>
      </c>
      <c r="E1412" t="s">
        <v>109</v>
      </c>
      <c r="F1412" t="s">
        <v>110</v>
      </c>
      <c r="G1412" t="str">
        <f>"2025-11-30 14:34:12.514"</f>
        <v>2025-11-30 14:34:12.514</v>
      </c>
      <c r="H1412" t="s">
        <v>22</v>
      </c>
      <c r="I1412">
        <v>0</v>
      </c>
      <c r="J1412" t="s">
        <v>23</v>
      </c>
    </row>
    <row r="1413" spans="1:10" x14ac:dyDescent="0.25">
      <c r="A1413" s="1">
        <v>567</v>
      </c>
      <c r="B1413" t="s">
        <v>27</v>
      </c>
      <c r="C1413">
        <v>650</v>
      </c>
      <c r="D1413">
        <v>4</v>
      </c>
      <c r="E1413" t="s">
        <v>100</v>
      </c>
      <c r="F1413" t="s">
        <v>108</v>
      </c>
      <c r="G1413" t="str">
        <f>"2025-11-30 14:34:11.223"</f>
        <v>2025-11-30 14:34:11.223</v>
      </c>
      <c r="H1413" t="s">
        <v>22</v>
      </c>
      <c r="I1413">
        <v>0</v>
      </c>
      <c r="J1413" t="s">
        <v>41</v>
      </c>
    </row>
    <row r="1414" spans="1:10" x14ac:dyDescent="0.25">
      <c r="A1414" s="1">
        <v>568</v>
      </c>
      <c r="B1414" t="s">
        <v>19</v>
      </c>
      <c r="C1414">
        <v>700</v>
      </c>
      <c r="D1414">
        <v>0</v>
      </c>
      <c r="E1414" t="s">
        <v>33</v>
      </c>
      <c r="F1414" t="s">
        <v>33</v>
      </c>
      <c r="G1414" t="str">
        <f>"2025-11-30 14:34:08.616"</f>
        <v>2025-11-30 14:34:08.616</v>
      </c>
      <c r="H1414" t="s">
        <v>22</v>
      </c>
      <c r="I1414">
        <v>0</v>
      </c>
      <c r="J1414" t="s">
        <v>41</v>
      </c>
    </row>
  </sheetData>
  <autoFilter ref="C1:C1414" xr:uid="{EC8AC8A1-DAAB-458A-9C60-2B61E06F2A6F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912F42-89EE-495E-A61E-01761B8972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events_ru_87_20260617-001229 38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2026-06-16T21:52:51Z</dcterms:modified>
</cp:coreProperties>
</file>
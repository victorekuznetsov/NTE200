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514F7CD-E395-41C6-8979-C6ED23FFDE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7_20260608-135306 60" sheetId="2" r:id="rId1"/>
    <sheet name="Лист1" sheetId="1" r:id="rId2"/>
  </sheets>
  <definedNames>
    <definedName name="_xlnm._FilterDatabase" localSheetId="0" hidden="1">'events_ru_77_20260608-135306 60'!$C$1:$C$2479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6A6920-9B46-43C0-AA6D-7821B14CAD3D}" keepAlive="1" name="Запрос — events_ru_77_20260608-135306 607" description="Соединение с запросом &quot;events_ru_77_20260608-135306 607&quot; в книге." type="5" refreshedVersion="0" background="1">
    <dbPr connection="Provider=Microsoft.Mashup.OleDb.1;Data Source=$Workbook$;Location=&quot;events_ru_77_20260608-135306 607&quot;;Extended Properties=&quot;&quot;" command="SELECT * FROM [events_ru_77_20260608-135306 607]"/>
  </connection>
</connections>
</file>

<file path=xl/sharedStrings.xml><?xml version="1.0" encoding="utf-8"?>
<sst xmlns="http://schemas.openxmlformats.org/spreadsheetml/2006/main" count="11363" uniqueCount="157">
  <si>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</si>
  <si>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</si>
  <si>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</si>
  <si>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</si>
  <si>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</si>
  <si>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</si>
  <si>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</si>
  <si>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</si>
  <si>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</si>
  <si>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</si>
  <si>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</si>
  <si>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</si>
  <si>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</si>
  <si>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</si>
  <si>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</si>
  <si>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</si>
  <si>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</si>
  <si>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</si>
  <si>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</si>
  <si>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</si>
  <si>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</si>
  <si>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</si>
  <si>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</si>
  <si>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Система в безопасном режиме</t>
  </si>
  <si>
    <t>Вход в безопасный режим файловой системы - Запуск двигателя</t>
  </si>
  <si>
    <t>Test</t>
  </si>
  <si>
    <t>Введен безопасный режим файловой системы - Низкий заряд батареи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</si>
  <si>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</si>
  <si>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</si>
  <si>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</si>
  <si>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</si>
  <si>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</si>
  <si>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Самосвал перегружен - NR</t>
  </si>
  <si>
    <t>Не доступно</t>
  </si>
  <si>
    <t>Propel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</si>
  <si>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</si>
  <si>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</si>
  <si>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</si>
  <si>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</si>
  <si>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Log </t>
  </si>
  <si>
    <t>Команда сохранения данных PTU</t>
  </si>
  <si>
    <t>Инициированное водителем сохранение данных</t>
  </si>
  <si>
    <t>Ready</t>
  </si>
  <si>
    <t>Вход в безопасный режим файловой системы - Ключ или CPS</t>
  </si>
  <si>
    <t>Получено предупреждение ДВС</t>
  </si>
  <si>
    <t>Запрет тяги</t>
  </si>
  <si>
    <t>Останов ДВС во время движения</t>
  </si>
  <si>
    <t>Превышении скорости</t>
  </si>
  <si>
    <t>Управление скоростью - превышение</t>
  </si>
  <si>
    <t>ARst</t>
  </si>
  <si>
    <t>TMC2 Фаза В+ ИНВ</t>
  </si>
  <si>
    <t>Модули фаз В+ и В- вкл.</t>
  </si>
  <si>
    <t>Инв2 Выкл</t>
  </si>
  <si>
    <t>TMC2 Фаза С- ИНВ</t>
  </si>
  <si>
    <t>Модули фаз С+ и С- вкл.</t>
  </si>
  <si>
    <t>TMC1 Фаза В- ИНВ</t>
  </si>
  <si>
    <t>Сбой источника питания IGBT фаза В-</t>
  </si>
  <si>
    <t>Инв1 Выкл</t>
  </si>
  <si>
    <t>Сбой источника питания IGBT фаза В+</t>
  </si>
  <si>
    <t xml:space="preserve">TMC2 ИНВ Фаза А+ </t>
  </si>
  <si>
    <t>Сбой источника питания IGBT в A+</t>
  </si>
  <si>
    <t>Самопроизвольный останов ДВС</t>
  </si>
  <si>
    <t>Unrequested Engine Speed Drop - While Stopped</t>
  </si>
  <si>
    <t>Нет питания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</si>
  <si>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</si>
  <si>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</si>
  <si>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</si>
  <si>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Начальная загрузка системы не из-за включения питания</t>
  </si>
  <si>
    <t>Быстрый таймер</t>
  </si>
  <si>
    <t>Изменен серийный номер карты</t>
  </si>
  <si>
    <t>Инвертор №2</t>
  </si>
  <si>
    <t>Инвертор №1</t>
  </si>
  <si>
    <t>Температура окружающего воздуха вне пределов</t>
  </si>
  <si>
    <t>Высокий</t>
  </si>
  <si>
    <t>TMC1 Фаза С- ИНВ</t>
  </si>
  <si>
    <t>Сбой источника питания IGBT фаза С-</t>
  </si>
  <si>
    <t>Ошибка ЗПТ</t>
  </si>
  <si>
    <t>КЗ ЗПТ или отказ цепи возбуждения от АКБ</t>
  </si>
  <si>
    <t>Кластер дельты крутящего момента</t>
  </si>
  <si>
    <t>Множественные большие колебания крутящего момента</t>
  </si>
  <si>
    <t>Предел скорости</t>
  </si>
  <si>
    <t>Reset All Faults</t>
  </si>
  <si>
    <t>Zero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</si>
  <si>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</si>
  <si>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</si>
  <si>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</si>
  <si>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</si>
  <si>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</si>
  <si>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</si>
  <si>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Отказ GDPS1 [FM589]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</si>
  <si>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</si>
  <si>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</si>
  <si>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</si>
  <si>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</si>
  <si>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TMC1 Чоппер 2 ИНВ (NR)</t>
  </si>
  <si>
    <t>TMC1 Чоппер 1 ИНВ (NR)</t>
  </si>
  <si>
    <t>Установка часов реального времени</t>
  </si>
  <si>
    <t>через WebPTU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</si>
  <si>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</si>
  <si>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</si>
  <si>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</si>
  <si>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TMC1 Фаза А- ИНВ</t>
  </si>
  <si>
    <t>Модули фаз A+ и A- вкл.</t>
  </si>
  <si>
    <t>TMC1 Фаза В+ ИНВ</t>
  </si>
  <si>
    <t>TMC1 Фаза С+ ИНВ</t>
  </si>
  <si>
    <t>Сбой источника питания IGBT фаза С+</t>
  </si>
  <si>
    <t>Отказ ЭД вентилятора ретардера</t>
  </si>
  <si>
    <t>Остановка ЭД вентилятора 1</t>
  </si>
  <si>
    <t>Превышение тока третичной обмотки</t>
  </si>
  <si>
    <t>Слишком высокий ток третичной обмотки генератора</t>
  </si>
  <si>
    <t>Отказ аналогового датчика</t>
  </si>
  <si>
    <t>Проверка усиления</t>
  </si>
  <si>
    <t>PSC напряжение ЗПТ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</si>
  <si>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</si>
  <si>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</si>
  <si>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</si>
  <si>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</si>
  <si>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</si>
  <si>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</si>
  <si>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</si>
  <si>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</si>
  <si>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</si>
  <si>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Незатребованное падение частоты вращения двигателя</t>
  </si>
  <si>
    <t>Модуль фазы С- не выключился</t>
  </si>
  <si>
    <t>TMC2 Фазовый модуль ИНВ (NR)</t>
  </si>
  <si>
    <t xml:space="preserve">Низкая частота в VCO VC канале </t>
  </si>
  <si>
    <t xml:space="preserve">Низкая частота в VCO VB канале </t>
  </si>
  <si>
    <t xml:space="preserve">Низкая частота в VCO VA канале </t>
  </si>
  <si>
    <t>Слишком низкое напряжение ЗПТ</t>
  </si>
  <si>
    <t>Низкая частота на фильтре звена VCO</t>
  </si>
  <si>
    <t>Низкая частота в канале IВ</t>
  </si>
  <si>
    <t>Низкая частота в канале IA</t>
  </si>
  <si>
    <t>TMC2 Плата ввода/вывода ИНВ (NR)</t>
  </si>
  <si>
    <t>Низкая частота в канале VCO VTest</t>
  </si>
  <si>
    <t>Неверный тип ПО ИНВЕРТОРА 2</t>
  </si>
  <si>
    <t>Возможное несоответствие версии программного обеспечения</t>
  </si>
  <si>
    <t>Нарушение связи ИНВЕРТОРА 2</t>
  </si>
  <si>
    <t>Нет связи с инвертором 2</t>
  </si>
  <si>
    <t>TMC1 Фаза С+ ИНВ (NR)</t>
  </si>
  <si>
    <t>Фаза С+ не выкл. при напряжении включения/пост. тока</t>
  </si>
  <si>
    <t>Обратная связь фазы С+ не выключена</t>
  </si>
  <si>
    <t>Тест VI не пройден</t>
  </si>
  <si>
    <t>Инвертор</t>
  </si>
  <si>
    <t>Контактор GF</t>
  </si>
  <si>
    <t>Команда - Несоответствие обратной связи</t>
  </si>
  <si>
    <t>Отключено питание гейт драйвера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</si>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</sst>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CC0A-5A95-4230-A06E-D017DB411946}">
  <dimension ref="A1:J2479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31.28515625" customWidth="1"/>
    <col min="6" max="6" width="64.7109375" customWidth="1"/>
    <col min="7" max="7" width="22" bestFit="1" customWidth="1"/>
    <col min="8" max="8" width="28.855468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"2026-06-08 13:53:06.607"</f>
        <v>2026-06-08 13:53:06.607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"2026-06-08 13:51:59.113"</f>
        <v>2026-06-08 13:51:59.113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"2026-06-08 04:05:48.238"</f>
        <v>2026-06-08 04:05:48.238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"2026-06-08 02:25:57.108"</f>
        <v>2026-06-08 02:25:57.108</v>
      </c>
      <c r="H12" t="s">
        <v>21</v>
      </c>
      <c r="I12">
        <v>0</v>
      </c>
      <c r="J12" t="s">
        <v>22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"2026-06-07 12:30:45.205"</f>
        <v>2026-06-07 12:30:45.205</v>
      </c>
      <c r="H13" t="s">
        <v>21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"2026-06-06 19:52:43.116"</f>
        <v>2026-06-06 19:52:43.116</v>
      </c>
      <c r="H14" t="s">
        <v>21</v>
      </c>
    </row>
    <row r="15" spans="1:10" x14ac:dyDescent="0.25">
      <c r="A15" s="1"/>
      <c r="B15" t="s">
        <v>19</v>
      </c>
      <c r="C15">
        <v>706</v>
      </c>
      <c r="D15">
        <v>2</v>
      </c>
      <c r="E15" t="s">
        <v>23</v>
      </c>
      <c r="F15" t="s">
        <v>24</v>
      </c>
      <c r="G15" t="str">
        <f>"2026-06-06 14:10:08.892"</f>
        <v>2026-06-06 14:10:08.892</v>
      </c>
      <c r="H15" t="s">
        <v>21</v>
      </c>
      <c r="I15">
        <v>0</v>
      </c>
      <c r="J15" t="s">
        <v>25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"2026-06-06 14:09:47.362"</f>
        <v>2026-06-06 14:09:47.362</v>
      </c>
      <c r="H16" t="s">
        <v>21</v>
      </c>
      <c r="I16">
        <v>0</v>
      </c>
      <c r="J16" t="s">
        <v>22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"2026-06-06 07:38:16.154"</f>
        <v>2026-06-06 07:38:16.154</v>
      </c>
      <c r="H17" t="s">
        <v>21</v>
      </c>
      <c r="I17">
        <v>0</v>
      </c>
      <c r="J17" t="s">
        <v>22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"2026-06-05 20:15:01.081"</f>
        <v>2026-06-05 20:15:01.081</v>
      </c>
      <c r="H18" t="s">
        <v>21</v>
      </c>
    </row>
    <row r="19" spans="1:10" x14ac:dyDescent="0.25">
      <c r="A19" s="1"/>
      <c r="B19" t="s">
        <v>19</v>
      </c>
      <c r="C19">
        <v>706</v>
      </c>
      <c r="D19">
        <v>2</v>
      </c>
      <c r="E19" t="s">
        <v>23</v>
      </c>
      <c r="F19" t="s">
        <v>24</v>
      </c>
      <c r="G19" t="str">
        <f>"2026-06-05 12:29:04.283"</f>
        <v>2026-06-05 12:29:04.283</v>
      </c>
      <c r="H19" t="s">
        <v>21</v>
      </c>
      <c r="I19">
        <v>0</v>
      </c>
      <c r="J19" t="s">
        <v>25</v>
      </c>
    </row>
    <row r="20" spans="1:10" x14ac:dyDescent="0.25">
      <c r="A20" s="1">
        <v>0</v>
      </c>
      <c r="B20" t="s">
        <v>19</v>
      </c>
      <c r="C20">
        <v>706</v>
      </c>
      <c r="D20">
        <v>4</v>
      </c>
      <c r="E20" t="s">
        <v>23</v>
      </c>
      <c r="F20" t="s">
        <v>26</v>
      </c>
      <c r="G20" t="str">
        <f>"2026-06-05 12:28:54.823"</f>
        <v>2026-06-05 12:28:54.823</v>
      </c>
      <c r="H20" t="s">
        <v>21</v>
      </c>
      <c r="I20">
        <v>0</v>
      </c>
      <c r="J20" t="s">
        <v>25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"2026-06-05 12:24:29.333"</f>
        <v>2026-06-05 12:24:29.333</v>
      </c>
      <c r="H21" t="s">
        <v>21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"2026-06-05 09:05:46.102"</f>
        <v>2026-06-05 09:05:46.102</v>
      </c>
      <c r="H22" t="s">
        <v>21</v>
      </c>
      <c r="I22">
        <v>0</v>
      </c>
      <c r="J22" t="s">
        <v>22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"2026-06-05 05:28:36.078"</f>
        <v>2026-06-05 05:28:36.078</v>
      </c>
      <c r="H23" t="s">
        <v>21</v>
      </c>
      <c r="I23">
        <v>0</v>
      </c>
      <c r="J23" t="s">
        <v>22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"2026-06-05 05:26:54.320"</f>
        <v>2026-06-05 05:26:54.320</v>
      </c>
      <c r="H24" t="s">
        <v>21</v>
      </c>
      <c r="I24">
        <v>0</v>
      </c>
      <c r="J24" t="s">
        <v>22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"2026-06-05 05:18:51.077"</f>
        <v>2026-06-05 05:18:51.077</v>
      </c>
      <c r="H25" t="s">
        <v>21</v>
      </c>
      <c r="I25">
        <v>0</v>
      </c>
      <c r="J25" t="s">
        <v>22</v>
      </c>
    </row>
    <row r="26" spans="1:10" s="3" customFormat="1" x14ac:dyDescent="0.25">
      <c r="A26" s="2">
        <v>6</v>
      </c>
      <c r="B26" s="3" t="s">
        <v>27</v>
      </c>
      <c r="C26" s="3">
        <v>647</v>
      </c>
      <c r="D26" s="3">
        <v>1</v>
      </c>
      <c r="E26" s="3" t="s">
        <v>28</v>
      </c>
      <c r="F26" s="3" t="s">
        <v>29</v>
      </c>
      <c r="G26" s="3" t="str">
        <f>"2026-06-05 02:51:58.089"</f>
        <v>2026-06-05 02:51:58.089</v>
      </c>
      <c r="H26" s="3" t="s">
        <v>21</v>
      </c>
    </row>
    <row r="27" spans="1:10" s="3" customFormat="1" x14ac:dyDescent="0.25">
      <c r="A27" s="2">
        <v>7</v>
      </c>
      <c r="B27" s="3" t="s">
        <v>30</v>
      </c>
      <c r="C27" s="3">
        <v>647</v>
      </c>
      <c r="D27" s="3">
        <v>1</v>
      </c>
      <c r="E27" s="3" t="s">
        <v>28</v>
      </c>
      <c r="F27" s="3" t="s">
        <v>29</v>
      </c>
      <c r="G27" s="3" t="str">
        <f>"2026-06-05 02:51:53.689"</f>
        <v>2026-06-05 02:51:53.689</v>
      </c>
      <c r="H27" s="3" t="s">
        <v>21</v>
      </c>
      <c r="I27" s="3">
        <v>13.22</v>
      </c>
      <c r="J27" s="3" t="s">
        <v>31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"2026-06-05 02:38:30.173"</f>
        <v>2026-06-05 02:38:30.173</v>
      </c>
      <c r="H28" t="s">
        <v>21</v>
      </c>
      <c r="I28">
        <v>0</v>
      </c>
      <c r="J28" t="s">
        <v>22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"2026-06-05 02:17:35.083"</f>
        <v>2026-06-05 02:17:35.083</v>
      </c>
      <c r="H29" t="s">
        <v>21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"2026-06-05 01:03:57.068"</f>
        <v>2026-06-05 01:03:57.068</v>
      </c>
      <c r="H30" t="s">
        <v>21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"2026-06-05 00:01:00.083"</f>
        <v>2026-06-05 00:01:00.083</v>
      </c>
      <c r="H31" t="s">
        <v>21</v>
      </c>
      <c r="I31">
        <v>0</v>
      </c>
      <c r="J31" t="s">
        <v>22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"2026-06-04 15:01:53.091"</f>
        <v>2026-06-04 15:01:53.091</v>
      </c>
      <c r="H32" t="s">
        <v>21</v>
      </c>
      <c r="I32">
        <v>0</v>
      </c>
      <c r="J32" t="s">
        <v>22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"2026-06-04 14:30:42.194"</f>
        <v>2026-06-04 14:30:42.194</v>
      </c>
      <c r="H33" t="s">
        <v>21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"2026-06-04 12:16:30.082"</f>
        <v>2026-06-04 12:16:30.082</v>
      </c>
      <c r="H34" t="s">
        <v>21</v>
      </c>
      <c r="I34">
        <v>0</v>
      </c>
      <c r="J34" t="s">
        <v>22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"2026-06-04 11:57:36.082"</f>
        <v>2026-06-04 11:57:36.082</v>
      </c>
      <c r="H35" t="s">
        <v>21</v>
      </c>
      <c r="I35">
        <v>0</v>
      </c>
      <c r="J35" t="s">
        <v>22</v>
      </c>
    </row>
    <row r="36" spans="1:10" x14ac:dyDescent="0.25">
      <c r="A36" s="1">
        <v>6</v>
      </c>
      <c r="B36" t="s">
        <v>19</v>
      </c>
      <c r="C36">
        <v>706</v>
      </c>
      <c r="D36">
        <v>2</v>
      </c>
      <c r="E36" t="s">
        <v>23</v>
      </c>
      <c r="F36" t="s">
        <v>24</v>
      </c>
      <c r="G36" t="str">
        <f>"2026-06-04 08:13:01.280"</f>
        <v>2026-06-04 08:13:01.280</v>
      </c>
      <c r="H36" t="s">
        <v>21</v>
      </c>
      <c r="I36">
        <v>0</v>
      </c>
      <c r="J36" t="s">
        <v>25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"2026-06-04 07:53:10.100"</f>
        <v>2026-06-04 07:53:10.100</v>
      </c>
      <c r="H37" t="s">
        <v>21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"2026-06-04 06:38:57.107"</f>
        <v>2026-06-04 06:38:57.107</v>
      </c>
      <c r="H38" t="s">
        <v>21</v>
      </c>
      <c r="I38">
        <v>0</v>
      </c>
      <c r="J38" t="s">
        <v>22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"2026-06-04 02:09:11.074"</f>
        <v>2026-06-04 02:09:11.074</v>
      </c>
      <c r="H39" t="s">
        <v>21</v>
      </c>
      <c r="I39">
        <v>0</v>
      </c>
      <c r="J39" t="s">
        <v>22</v>
      </c>
    </row>
    <row r="40" spans="1:10" x14ac:dyDescent="0.25">
      <c r="A40" s="1">
        <v>0</v>
      </c>
      <c r="B40" t="s">
        <v>27</v>
      </c>
      <c r="C40">
        <v>635</v>
      </c>
      <c r="D40">
        <v>1</v>
      </c>
      <c r="E40" t="s">
        <v>32</v>
      </c>
      <c r="F40" t="s">
        <v>33</v>
      </c>
      <c r="G40" t="str">
        <f>"2026-06-03 21:21:07.267"</f>
        <v>2026-06-03 21:21:07.267</v>
      </c>
      <c r="H40" t="s">
        <v>21</v>
      </c>
    </row>
    <row r="41" spans="1:10" x14ac:dyDescent="0.25">
      <c r="A41" s="1">
        <v>1</v>
      </c>
      <c r="B41" t="s">
        <v>30</v>
      </c>
      <c r="C41">
        <v>635</v>
      </c>
      <c r="D41">
        <v>1</v>
      </c>
      <c r="E41" t="s">
        <v>32</v>
      </c>
      <c r="F41" t="s">
        <v>33</v>
      </c>
      <c r="G41" t="str">
        <f>"2026-06-03 21:17:13.267"</f>
        <v>2026-06-03 21:17:13.267</v>
      </c>
      <c r="H41" t="s">
        <v>21</v>
      </c>
      <c r="I41">
        <v>2.97</v>
      </c>
      <c r="J41" t="s">
        <v>31</v>
      </c>
    </row>
    <row r="42" spans="1:10" x14ac:dyDescent="0.25">
      <c r="A42" s="1">
        <v>2</v>
      </c>
      <c r="B42" t="s">
        <v>19</v>
      </c>
      <c r="C42">
        <v>706</v>
      </c>
      <c r="D42">
        <v>4</v>
      </c>
      <c r="E42" t="s">
        <v>23</v>
      </c>
      <c r="F42" t="s">
        <v>26</v>
      </c>
      <c r="G42" t="str">
        <f>"2026-06-03 20:15:07.833"</f>
        <v>2026-06-03 20:15:07.833</v>
      </c>
      <c r="H42" t="s">
        <v>21</v>
      </c>
      <c r="I42">
        <v>0</v>
      </c>
      <c r="J42" t="s">
        <v>25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"2026-06-03 20:13:33.313"</f>
        <v>2026-06-03 20:13:33.313</v>
      </c>
      <c r="H43" t="s">
        <v>21</v>
      </c>
      <c r="I43">
        <v>0</v>
      </c>
      <c r="J43" t="s">
        <v>22</v>
      </c>
    </row>
    <row r="44" spans="1:10" x14ac:dyDescent="0.25">
      <c r="A44" s="1">
        <v>4</v>
      </c>
      <c r="B44" t="s">
        <v>27</v>
      </c>
      <c r="C44">
        <v>635</v>
      </c>
      <c r="D44">
        <v>1</v>
      </c>
      <c r="E44" t="s">
        <v>32</v>
      </c>
      <c r="F44" t="s">
        <v>33</v>
      </c>
      <c r="G44" t="str">
        <f>"2026-06-03 08:46:08.381"</f>
        <v>2026-06-03 08:46:08.381</v>
      </c>
      <c r="H44" t="s">
        <v>21</v>
      </c>
    </row>
    <row r="45" spans="1:10" x14ac:dyDescent="0.25">
      <c r="A45" s="1">
        <v>5</v>
      </c>
      <c r="B45" t="s">
        <v>30</v>
      </c>
      <c r="C45">
        <v>635</v>
      </c>
      <c r="D45">
        <v>1</v>
      </c>
      <c r="E45" t="s">
        <v>32</v>
      </c>
      <c r="F45" t="s">
        <v>33</v>
      </c>
      <c r="G45" t="str">
        <f>"2026-06-03 08:43:58.881"</f>
        <v>2026-06-03 08:43:58.881</v>
      </c>
      <c r="H45" t="s">
        <v>21</v>
      </c>
      <c r="I45">
        <v>6.18</v>
      </c>
      <c r="J45" t="s">
        <v>34</v>
      </c>
    </row>
    <row r="46" spans="1:10" x14ac:dyDescent="0.25">
      <c r="A46" s="1">
        <v>6</v>
      </c>
      <c r="B46" t="s">
        <v>27</v>
      </c>
      <c r="C46">
        <v>635</v>
      </c>
      <c r="D46">
        <v>1</v>
      </c>
      <c r="E46" t="s">
        <v>32</v>
      </c>
      <c r="F46" t="s">
        <v>33</v>
      </c>
      <c r="G46" t="str">
        <f>"2026-06-03 08:05:30.981"</f>
        <v>2026-06-03 08:05:30.981</v>
      </c>
      <c r="H46" t="s">
        <v>21</v>
      </c>
    </row>
    <row r="47" spans="1:10" x14ac:dyDescent="0.25">
      <c r="A47" s="1">
        <v>7</v>
      </c>
      <c r="B47" t="s">
        <v>30</v>
      </c>
      <c r="C47">
        <v>635</v>
      </c>
      <c r="D47">
        <v>1</v>
      </c>
      <c r="E47" t="s">
        <v>32</v>
      </c>
      <c r="F47" t="s">
        <v>33</v>
      </c>
      <c r="G47" t="str">
        <f>"2026-06-03 08:02:36.481"</f>
        <v>2026-06-03 08:02:36.481</v>
      </c>
      <c r="H47" t="s">
        <v>21</v>
      </c>
      <c r="I47">
        <v>1.53</v>
      </c>
      <c r="J47" t="s">
        <v>34</v>
      </c>
    </row>
    <row r="48" spans="1:10" s="3" customFormat="1" x14ac:dyDescent="0.25">
      <c r="A48" s="2">
        <v>8</v>
      </c>
      <c r="B48" s="3" t="s">
        <v>27</v>
      </c>
      <c r="C48" s="3">
        <v>647</v>
      </c>
      <c r="D48" s="3">
        <v>1</v>
      </c>
      <c r="E48" s="3" t="s">
        <v>28</v>
      </c>
      <c r="F48" s="3" t="s">
        <v>29</v>
      </c>
      <c r="G48" s="3" t="str">
        <f>"2026-06-03 02:42:05.582"</f>
        <v>2026-06-03 02:42:05.582</v>
      </c>
      <c r="H48" s="3" t="s">
        <v>21</v>
      </c>
    </row>
    <row r="49" spans="1:10" s="3" customFormat="1" x14ac:dyDescent="0.25">
      <c r="A49" s="2">
        <v>9</v>
      </c>
      <c r="B49" s="3" t="s">
        <v>30</v>
      </c>
      <c r="C49" s="3">
        <v>647</v>
      </c>
      <c r="D49" s="3">
        <v>1</v>
      </c>
      <c r="E49" s="3" t="s">
        <v>28</v>
      </c>
      <c r="F49" s="3" t="s">
        <v>29</v>
      </c>
      <c r="G49" s="3" t="str">
        <f>"2026-06-03 02:42:04.482"</f>
        <v>2026-06-03 02:42:04.482</v>
      </c>
      <c r="H49" s="3" t="s">
        <v>21</v>
      </c>
      <c r="I49" s="3">
        <v>8.8699999999999992</v>
      </c>
      <c r="J49" s="3" t="s">
        <v>31</v>
      </c>
    </row>
    <row r="50" spans="1:10" s="3" customFormat="1" x14ac:dyDescent="0.25">
      <c r="A50" s="2">
        <v>0</v>
      </c>
      <c r="B50" s="3" t="s">
        <v>27</v>
      </c>
      <c r="C50" s="3">
        <v>647</v>
      </c>
      <c r="D50" s="3">
        <v>1</v>
      </c>
      <c r="E50" s="3" t="s">
        <v>28</v>
      </c>
      <c r="F50" s="3" t="s">
        <v>29</v>
      </c>
      <c r="G50" s="3" t="str">
        <f>"2026-06-03 02:05:10.082"</f>
        <v>2026-06-03 02:05:10.082</v>
      </c>
      <c r="H50" s="3" t="s">
        <v>21</v>
      </c>
    </row>
    <row r="51" spans="1:10" s="3" customFormat="1" x14ac:dyDescent="0.25">
      <c r="A51" s="2">
        <v>1</v>
      </c>
      <c r="B51" s="3" t="s">
        <v>30</v>
      </c>
      <c r="C51" s="3">
        <v>647</v>
      </c>
      <c r="D51" s="3">
        <v>1</v>
      </c>
      <c r="E51" s="3" t="s">
        <v>28</v>
      </c>
      <c r="F51" s="3" t="s">
        <v>29</v>
      </c>
      <c r="G51" s="3" t="str">
        <f>"2026-06-03 02:05:07.582"</f>
        <v>2026-06-03 02:05:07.582</v>
      </c>
      <c r="H51" s="3" t="s">
        <v>21</v>
      </c>
      <c r="I51" s="3">
        <v>10.5</v>
      </c>
      <c r="J51" s="3" t="s">
        <v>31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"2026-06-03 00:42:33.055"</f>
        <v>2026-06-03 00:42:33.055</v>
      </c>
      <c r="H52" t="s">
        <v>21</v>
      </c>
      <c r="I52">
        <v>0</v>
      </c>
      <c r="J52" t="s">
        <v>22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"2026-06-03 00:29:32.058"</f>
        <v>2026-06-03 00:29:32.058</v>
      </c>
      <c r="H53" t="s">
        <v>21</v>
      </c>
      <c r="I53">
        <v>0</v>
      </c>
      <c r="J53" t="s">
        <v>22</v>
      </c>
    </row>
    <row r="54" spans="1:10" x14ac:dyDescent="0.25">
      <c r="A54" s="1">
        <v>4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"2026-06-03 00:24:24.061"</f>
        <v>2026-06-03 00:24:24.061</v>
      </c>
      <c r="H54" t="s">
        <v>21</v>
      </c>
    </row>
    <row r="55" spans="1:10" x14ac:dyDescent="0.25">
      <c r="A55" s="1">
        <v>5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"2026-06-02 21:24:30.066"</f>
        <v>2026-06-02 21:24:30.066</v>
      </c>
      <c r="H55" t="s">
        <v>21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"2026-06-02 21:17:54.116"</f>
        <v>2026-06-02 21:17:54.116</v>
      </c>
      <c r="H56" t="s">
        <v>21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"2026-06-02 21:14:49.218"</f>
        <v>2026-06-02 21:14:49.218</v>
      </c>
      <c r="H57" t="s">
        <v>21</v>
      </c>
      <c r="I57">
        <v>0</v>
      </c>
      <c r="J57" t="s">
        <v>22</v>
      </c>
    </row>
    <row r="58" spans="1:10" s="3" customFormat="1" x14ac:dyDescent="0.25">
      <c r="A58" s="2">
        <v>8</v>
      </c>
      <c r="B58" s="3" t="s">
        <v>27</v>
      </c>
      <c r="C58" s="3">
        <v>647</v>
      </c>
      <c r="D58" s="3">
        <v>1</v>
      </c>
      <c r="E58" s="3" t="s">
        <v>28</v>
      </c>
      <c r="F58" s="3" t="s">
        <v>29</v>
      </c>
      <c r="G58" s="3" t="str">
        <f>"2026-06-02 16:23:13.231"</f>
        <v>2026-06-02 16:23:13.231</v>
      </c>
      <c r="H58" s="3" t="s">
        <v>21</v>
      </c>
    </row>
    <row r="59" spans="1:10" s="3" customFormat="1" x14ac:dyDescent="0.25">
      <c r="A59" s="2">
        <v>9</v>
      </c>
      <c r="B59" s="3" t="s">
        <v>30</v>
      </c>
      <c r="C59" s="3">
        <v>647</v>
      </c>
      <c r="D59" s="3">
        <v>1</v>
      </c>
      <c r="E59" s="3" t="s">
        <v>28</v>
      </c>
      <c r="F59" s="3" t="s">
        <v>29</v>
      </c>
      <c r="G59" s="3" t="str">
        <f>"2026-06-02 16:23:07.731"</f>
        <v>2026-06-02 16:23:07.731</v>
      </c>
      <c r="H59" s="3" t="s">
        <v>21</v>
      </c>
      <c r="I59" s="3">
        <v>11.23</v>
      </c>
      <c r="J59" s="3" t="s">
        <v>31</v>
      </c>
    </row>
    <row r="60" spans="1:10" s="3" customFormat="1" x14ac:dyDescent="0.25">
      <c r="A60" s="2">
        <v>0</v>
      </c>
      <c r="B60" s="3" t="s">
        <v>27</v>
      </c>
      <c r="C60" s="3">
        <v>647</v>
      </c>
      <c r="D60" s="3">
        <v>1</v>
      </c>
      <c r="E60" s="3" t="s">
        <v>28</v>
      </c>
      <c r="F60" s="3" t="s">
        <v>29</v>
      </c>
      <c r="G60" s="3" t="str">
        <f>"2026-06-02 16:22:57.431"</f>
        <v>2026-06-02 16:22:57.431</v>
      </c>
      <c r="H60" s="3" t="s">
        <v>21</v>
      </c>
    </row>
    <row r="61" spans="1:10" s="3" customFormat="1" x14ac:dyDescent="0.25">
      <c r="A61" s="2">
        <v>1</v>
      </c>
      <c r="B61" s="3" t="s">
        <v>30</v>
      </c>
      <c r="C61" s="3">
        <v>647</v>
      </c>
      <c r="D61" s="3">
        <v>1</v>
      </c>
      <c r="E61" s="3" t="s">
        <v>28</v>
      </c>
      <c r="F61" s="3" t="s">
        <v>29</v>
      </c>
      <c r="G61" s="3" t="str">
        <f>"2026-06-02 16:22:47.531"</f>
        <v>2026-06-02 16:22:47.531</v>
      </c>
      <c r="H61" s="3" t="s">
        <v>21</v>
      </c>
      <c r="I61" s="3">
        <v>21.66</v>
      </c>
      <c r="J61" s="3" t="s">
        <v>31</v>
      </c>
    </row>
    <row r="62" spans="1:10" x14ac:dyDescent="0.25">
      <c r="A62" s="1">
        <v>2</v>
      </c>
      <c r="B62" t="s">
        <v>19</v>
      </c>
      <c r="C62">
        <v>706</v>
      </c>
      <c r="D62">
        <v>2</v>
      </c>
      <c r="E62" t="s">
        <v>23</v>
      </c>
      <c r="F62" t="s">
        <v>24</v>
      </c>
      <c r="G62" t="str">
        <f>"2026-06-02 13:59:19.526"</f>
        <v>2026-06-02 13:59:19.526</v>
      </c>
      <c r="H62" t="s">
        <v>21</v>
      </c>
      <c r="I62">
        <v>0</v>
      </c>
      <c r="J62" t="s">
        <v>25</v>
      </c>
    </row>
    <row r="63" spans="1:10" x14ac:dyDescent="0.25">
      <c r="A63" s="1">
        <v>3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"2026-06-02 13:54:20.106"</f>
        <v>2026-06-02 13:54:20.106</v>
      </c>
      <c r="H63" t="s">
        <v>21</v>
      </c>
      <c r="I63">
        <v>0</v>
      </c>
      <c r="J63" t="s">
        <v>22</v>
      </c>
    </row>
    <row r="64" spans="1:10" s="3" customFormat="1" x14ac:dyDescent="0.25">
      <c r="A64" s="2">
        <v>4</v>
      </c>
      <c r="B64" s="3" t="s">
        <v>27</v>
      </c>
      <c r="C64" s="3">
        <v>647</v>
      </c>
      <c r="D64" s="3">
        <v>1</v>
      </c>
      <c r="E64" s="3" t="s">
        <v>28</v>
      </c>
      <c r="F64" s="3" t="s">
        <v>29</v>
      </c>
      <c r="G64" s="3" t="str">
        <f>"2026-06-02 04:59:10.345"</f>
        <v>2026-06-02 04:59:10.345</v>
      </c>
      <c r="H64" s="3" t="s">
        <v>21</v>
      </c>
    </row>
    <row r="65" spans="1:10" s="3" customFormat="1" x14ac:dyDescent="0.25">
      <c r="A65" s="2">
        <v>5</v>
      </c>
      <c r="B65" s="3" t="s">
        <v>30</v>
      </c>
      <c r="C65" s="3">
        <v>647</v>
      </c>
      <c r="D65" s="3">
        <v>1</v>
      </c>
      <c r="E65" s="3" t="s">
        <v>28</v>
      </c>
      <c r="F65" s="3" t="s">
        <v>29</v>
      </c>
      <c r="G65" s="3" t="str">
        <f>"2026-06-02 04:59:08.746"</f>
        <v>2026-06-02 04:59:08.746</v>
      </c>
      <c r="H65" s="3" t="s">
        <v>21</v>
      </c>
      <c r="I65" s="3">
        <v>10.52</v>
      </c>
      <c r="J65" s="3" t="s">
        <v>31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"2026-06-01 22:47:33.117"</f>
        <v>2026-06-01 22:47:33.117</v>
      </c>
      <c r="H66" t="s">
        <v>21</v>
      </c>
    </row>
    <row r="67" spans="1:10" x14ac:dyDescent="0.25">
      <c r="A67" s="1">
        <v>7</v>
      </c>
      <c r="B67" t="s">
        <v>19</v>
      </c>
      <c r="C67">
        <v>706</v>
      </c>
      <c r="D67">
        <v>2</v>
      </c>
      <c r="E67" t="s">
        <v>23</v>
      </c>
      <c r="F67" t="s">
        <v>24</v>
      </c>
      <c r="G67" t="str">
        <f>"2026-06-01 13:27:03.751"</f>
        <v>2026-06-01 13:27:03.751</v>
      </c>
      <c r="H67" t="s">
        <v>21</v>
      </c>
      <c r="I67">
        <v>0</v>
      </c>
      <c r="J67" t="s">
        <v>25</v>
      </c>
    </row>
    <row r="68" spans="1:10" x14ac:dyDescent="0.25">
      <c r="A68" s="1">
        <v>8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"2026-06-01 13:25:54.091"</f>
        <v>2026-06-01 13:25:54.091</v>
      </c>
      <c r="H68" t="s">
        <v>21</v>
      </c>
      <c r="I68">
        <v>0</v>
      </c>
      <c r="J68" t="s">
        <v>22</v>
      </c>
    </row>
    <row r="69" spans="1:10" x14ac:dyDescent="0.25">
      <c r="A69" s="1">
        <v>9</v>
      </c>
      <c r="B69" t="s">
        <v>19</v>
      </c>
      <c r="C69">
        <v>706</v>
      </c>
      <c r="D69">
        <v>4</v>
      </c>
      <c r="E69" t="s">
        <v>23</v>
      </c>
      <c r="F69" t="s">
        <v>26</v>
      </c>
      <c r="G69" t="str">
        <f>"2026-06-01 05:06:20.652"</f>
        <v>2026-06-01 05:06:20.652</v>
      </c>
      <c r="H69" t="s">
        <v>21</v>
      </c>
      <c r="I69">
        <v>0</v>
      </c>
      <c r="J69" t="s">
        <v>25</v>
      </c>
    </row>
    <row r="70" spans="1:10" x14ac:dyDescent="0.25">
      <c r="A70" s="1">
        <v>0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"2026-06-01 05:06:05.082"</f>
        <v>2026-06-01 05:06:05.082</v>
      </c>
      <c r="H70" t="s">
        <v>21</v>
      </c>
    </row>
    <row r="71" spans="1:10" x14ac:dyDescent="0.25">
      <c r="A71" s="1">
        <v>1</v>
      </c>
      <c r="B71" t="s">
        <v>35</v>
      </c>
      <c r="C71">
        <v>33</v>
      </c>
      <c r="D71">
        <v>1</v>
      </c>
      <c r="E71" t="s">
        <v>36</v>
      </c>
      <c r="F71" t="s">
        <v>37</v>
      </c>
      <c r="G71" t="str">
        <f>"2026-05-31 23:22:37.120"</f>
        <v>2026-05-31 23:22:37.120</v>
      </c>
      <c r="H71" t="s">
        <v>38</v>
      </c>
    </row>
    <row r="72" spans="1:10" x14ac:dyDescent="0.25">
      <c r="A72" s="1">
        <v>2</v>
      </c>
      <c r="B72" t="s">
        <v>39</v>
      </c>
      <c r="C72">
        <v>33</v>
      </c>
      <c r="D72">
        <v>1</v>
      </c>
      <c r="E72" t="s">
        <v>36</v>
      </c>
      <c r="F72" t="s">
        <v>37</v>
      </c>
      <c r="G72" t="str">
        <f>"2026-05-31 23:21:29.259"</f>
        <v>2026-05-31 23:21:29.259</v>
      </c>
      <c r="H72" t="s">
        <v>38</v>
      </c>
      <c r="I72">
        <v>8.16</v>
      </c>
      <c r="J72" t="s">
        <v>34</v>
      </c>
    </row>
    <row r="73" spans="1:10" x14ac:dyDescent="0.25">
      <c r="A73" s="1">
        <v>3</v>
      </c>
      <c r="B73" t="s">
        <v>19</v>
      </c>
      <c r="C73">
        <v>706</v>
      </c>
      <c r="D73">
        <v>2</v>
      </c>
      <c r="E73" t="s">
        <v>23</v>
      </c>
      <c r="F73" t="s">
        <v>24</v>
      </c>
      <c r="G73" t="str">
        <f>"2026-05-31 14:03:06.074"</f>
        <v>2026-05-31 14:03:06.074</v>
      </c>
      <c r="H73" t="s">
        <v>21</v>
      </c>
      <c r="I73">
        <v>0</v>
      </c>
      <c r="J73" t="s">
        <v>25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"2026-05-31 13:56:20.094"</f>
        <v>2026-05-31 13:56:20.094</v>
      </c>
      <c r="H74" t="s">
        <v>21</v>
      </c>
    </row>
    <row r="75" spans="1:10" s="3" customFormat="1" x14ac:dyDescent="0.25">
      <c r="A75" s="2">
        <v>5</v>
      </c>
      <c r="B75" s="3" t="s">
        <v>27</v>
      </c>
      <c r="C75" s="3">
        <v>647</v>
      </c>
      <c r="D75" s="3">
        <v>1</v>
      </c>
      <c r="E75" s="3" t="s">
        <v>28</v>
      </c>
      <c r="F75" s="3" t="s">
        <v>29</v>
      </c>
      <c r="G75" s="3" t="str">
        <f>"2026-05-31 04:45:48.892"</f>
        <v>2026-05-31 04:45:48.892</v>
      </c>
      <c r="H75" s="3" t="s">
        <v>21</v>
      </c>
    </row>
    <row r="76" spans="1:10" s="3" customFormat="1" x14ac:dyDescent="0.25">
      <c r="A76" s="2">
        <v>6</v>
      </c>
      <c r="B76" s="3" t="s">
        <v>30</v>
      </c>
      <c r="C76" s="3">
        <v>647</v>
      </c>
      <c r="D76" s="3">
        <v>1</v>
      </c>
      <c r="E76" s="3" t="s">
        <v>28</v>
      </c>
      <c r="F76" s="3" t="s">
        <v>29</v>
      </c>
      <c r="G76" s="3" t="str">
        <f>"2026-05-31 04:45:46.492"</f>
        <v>2026-05-31 04:45:46.492</v>
      </c>
      <c r="H76" s="3" t="s">
        <v>21</v>
      </c>
      <c r="I76" s="3">
        <v>8.7799999999999994</v>
      </c>
      <c r="J76" s="3" t="s">
        <v>31</v>
      </c>
    </row>
    <row r="77" spans="1:10" x14ac:dyDescent="0.25">
      <c r="A77" s="1">
        <v>7</v>
      </c>
      <c r="B77" t="s">
        <v>27</v>
      </c>
      <c r="C77">
        <v>98</v>
      </c>
      <c r="D77">
        <v>1</v>
      </c>
      <c r="E77" t="s">
        <v>40</v>
      </c>
      <c r="F77" t="s">
        <v>41</v>
      </c>
      <c r="G77" t="str">
        <f>"2026-05-31 02:12:19.104"</f>
        <v>2026-05-31 02:12:19.104</v>
      </c>
      <c r="H77" t="s">
        <v>21</v>
      </c>
    </row>
    <row r="78" spans="1:10" x14ac:dyDescent="0.25">
      <c r="A78" s="1">
        <v>8</v>
      </c>
      <c r="B78" t="s">
        <v>30</v>
      </c>
      <c r="C78">
        <v>98</v>
      </c>
      <c r="D78">
        <v>1</v>
      </c>
      <c r="E78" t="s">
        <v>40</v>
      </c>
      <c r="F78" t="s">
        <v>41</v>
      </c>
      <c r="G78" t="str">
        <f>"2026-05-31 02:12:18.105"</f>
        <v>2026-05-31 02:12:18.105</v>
      </c>
      <c r="H78" t="s">
        <v>21</v>
      </c>
      <c r="I78">
        <v>0</v>
      </c>
      <c r="J78" t="s">
        <v>42</v>
      </c>
    </row>
    <row r="79" spans="1:10" x14ac:dyDescent="0.25">
      <c r="A79" s="1">
        <v>9</v>
      </c>
      <c r="B79" t="s">
        <v>27</v>
      </c>
      <c r="C79">
        <v>635</v>
      </c>
      <c r="D79">
        <v>1</v>
      </c>
      <c r="E79" t="s">
        <v>32</v>
      </c>
      <c r="F79" t="s">
        <v>33</v>
      </c>
      <c r="G79" t="str">
        <f>"2026-05-30 12:21:35.344"</f>
        <v>2026-05-30 12:21:35.344</v>
      </c>
      <c r="H79" t="s">
        <v>21</v>
      </c>
    </row>
    <row r="80" spans="1:10" x14ac:dyDescent="0.25">
      <c r="A80" s="1">
        <v>0</v>
      </c>
      <c r="B80" t="s">
        <v>30</v>
      </c>
      <c r="C80">
        <v>635</v>
      </c>
      <c r="D80">
        <v>1</v>
      </c>
      <c r="E80" t="s">
        <v>32</v>
      </c>
      <c r="F80" t="s">
        <v>33</v>
      </c>
      <c r="G80" t="str">
        <f>"2026-05-30 12:18:11.344"</f>
        <v>2026-05-30 12:18:11.344</v>
      </c>
      <c r="H80" t="s">
        <v>21</v>
      </c>
      <c r="I80">
        <v>-1.1399999999999999</v>
      </c>
      <c r="J80" t="s">
        <v>42</v>
      </c>
    </row>
    <row r="81" spans="1:10" x14ac:dyDescent="0.25">
      <c r="A81" s="1">
        <v>1</v>
      </c>
      <c r="B81" t="s">
        <v>27</v>
      </c>
      <c r="C81">
        <v>635</v>
      </c>
      <c r="D81">
        <v>1</v>
      </c>
      <c r="E81" t="s">
        <v>32</v>
      </c>
      <c r="F81" t="s">
        <v>33</v>
      </c>
      <c r="G81" t="str">
        <f>"2026-05-30 11:59:30.944"</f>
        <v>2026-05-30 11:59:30.944</v>
      </c>
      <c r="H81" t="s">
        <v>21</v>
      </c>
    </row>
    <row r="82" spans="1:10" x14ac:dyDescent="0.25">
      <c r="A82" s="1">
        <v>2</v>
      </c>
      <c r="B82" t="s">
        <v>30</v>
      </c>
      <c r="C82">
        <v>635</v>
      </c>
      <c r="D82">
        <v>1</v>
      </c>
      <c r="E82" t="s">
        <v>32</v>
      </c>
      <c r="F82" t="s">
        <v>33</v>
      </c>
      <c r="G82" t="str">
        <f>"2026-05-30 11:29:50.044"</f>
        <v>2026-05-30 11:29:50.044</v>
      </c>
      <c r="H82" t="s">
        <v>21</v>
      </c>
      <c r="I82">
        <v>4.34</v>
      </c>
      <c r="J82" t="s">
        <v>34</v>
      </c>
    </row>
    <row r="83" spans="1:10" x14ac:dyDescent="0.25">
      <c r="A83" s="1">
        <v>3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"2026-05-30 00:55:14.064"</f>
        <v>2026-05-30 00:55:14.064</v>
      </c>
      <c r="H83" t="s">
        <v>21</v>
      </c>
    </row>
    <row r="84" spans="1:10" x14ac:dyDescent="0.25">
      <c r="A84" s="1">
        <v>4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"2026-05-29 22:47:16.074"</f>
        <v>2026-05-29 22:47:16.074</v>
      </c>
      <c r="H84" t="s">
        <v>21</v>
      </c>
      <c r="I84">
        <v>0</v>
      </c>
      <c r="J84" t="s">
        <v>22</v>
      </c>
    </row>
    <row r="85" spans="1:10" x14ac:dyDescent="0.25">
      <c r="A85" s="1">
        <v>5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"2026-05-29 21:40:29.073"</f>
        <v>2026-05-29 21:40:29.073</v>
      </c>
      <c r="H85" t="s">
        <v>21</v>
      </c>
      <c r="I85">
        <v>0</v>
      </c>
      <c r="J85" t="s">
        <v>22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"2026-05-29 21:32:10.106"</f>
        <v>2026-05-29 21:32:10.106</v>
      </c>
      <c r="H86" t="s">
        <v>21</v>
      </c>
      <c r="I86">
        <v>0</v>
      </c>
      <c r="J86" t="s">
        <v>22</v>
      </c>
    </row>
    <row r="87" spans="1:10" s="3" customFormat="1" x14ac:dyDescent="0.25">
      <c r="A87" s="2">
        <v>7</v>
      </c>
      <c r="B87" s="3" t="s">
        <v>27</v>
      </c>
      <c r="C87" s="3">
        <v>647</v>
      </c>
      <c r="D87" s="3">
        <v>1</v>
      </c>
      <c r="E87" s="3" t="s">
        <v>28</v>
      </c>
      <c r="F87" s="3" t="s">
        <v>29</v>
      </c>
      <c r="G87" s="3" t="str">
        <f>"2026-05-29 20:54:59.880"</f>
        <v>2026-05-29 20:54:59.880</v>
      </c>
      <c r="H87" s="3" t="s">
        <v>21</v>
      </c>
    </row>
    <row r="88" spans="1:10" s="3" customFormat="1" x14ac:dyDescent="0.25">
      <c r="A88" s="2">
        <v>8</v>
      </c>
      <c r="B88" s="3" t="s">
        <v>30</v>
      </c>
      <c r="C88" s="3">
        <v>647</v>
      </c>
      <c r="D88" s="3">
        <v>1</v>
      </c>
      <c r="E88" s="3" t="s">
        <v>28</v>
      </c>
      <c r="F88" s="3" t="s">
        <v>29</v>
      </c>
      <c r="G88" s="3" t="str">
        <f>"2026-05-29 20:54:54.380"</f>
        <v>2026-05-29 20:54:54.380</v>
      </c>
      <c r="H88" s="3" t="s">
        <v>21</v>
      </c>
      <c r="I88" s="3">
        <v>12.99</v>
      </c>
      <c r="J88" s="3" t="s">
        <v>31</v>
      </c>
    </row>
    <row r="89" spans="1:10" x14ac:dyDescent="0.25">
      <c r="A89" s="1">
        <v>9</v>
      </c>
      <c r="B89" t="s">
        <v>27</v>
      </c>
      <c r="C89">
        <v>635</v>
      </c>
      <c r="D89">
        <v>1</v>
      </c>
      <c r="E89" t="s">
        <v>32</v>
      </c>
      <c r="F89" t="s">
        <v>33</v>
      </c>
      <c r="G89" t="str">
        <f>"2026-05-29 12:05:06.080"</f>
        <v>2026-05-29 12:05:06.080</v>
      </c>
      <c r="H89" t="s">
        <v>21</v>
      </c>
    </row>
    <row r="90" spans="1:10" x14ac:dyDescent="0.25">
      <c r="A90" s="1">
        <v>0</v>
      </c>
      <c r="B90" t="s">
        <v>30</v>
      </c>
      <c r="C90">
        <v>635</v>
      </c>
      <c r="D90">
        <v>1</v>
      </c>
      <c r="E90" t="s">
        <v>32</v>
      </c>
      <c r="F90" t="s">
        <v>33</v>
      </c>
      <c r="G90" t="str">
        <f>"2026-05-29 12:01:37.080"</f>
        <v>2026-05-29 12:01:37.080</v>
      </c>
      <c r="H90" t="s">
        <v>21</v>
      </c>
      <c r="I90">
        <v>3.68</v>
      </c>
      <c r="J90" t="s">
        <v>34</v>
      </c>
    </row>
    <row r="91" spans="1:10" s="3" customFormat="1" x14ac:dyDescent="0.25">
      <c r="A91" s="2">
        <v>1</v>
      </c>
      <c r="B91" s="3" t="s">
        <v>27</v>
      </c>
      <c r="C91" s="3">
        <v>647</v>
      </c>
      <c r="D91" s="3">
        <v>1</v>
      </c>
      <c r="E91" s="3" t="s">
        <v>28</v>
      </c>
      <c r="F91" s="3" t="s">
        <v>29</v>
      </c>
      <c r="G91" s="3" t="str">
        <f>"2026-05-29 00:50:31.980"</f>
        <v>2026-05-29 00:50:31.980</v>
      </c>
      <c r="H91" s="3" t="s">
        <v>21</v>
      </c>
    </row>
    <row r="92" spans="1:10" s="3" customFormat="1" x14ac:dyDescent="0.25">
      <c r="A92" s="2">
        <v>2</v>
      </c>
      <c r="B92" s="3" t="s">
        <v>30</v>
      </c>
      <c r="C92" s="3">
        <v>647</v>
      </c>
      <c r="D92" s="3">
        <v>1</v>
      </c>
      <c r="E92" s="3" t="s">
        <v>28</v>
      </c>
      <c r="F92" s="3" t="s">
        <v>29</v>
      </c>
      <c r="G92" s="3" t="str">
        <f>"2026-05-29 00:50:29.280"</f>
        <v>2026-05-29 00:50:29.280</v>
      </c>
      <c r="H92" s="3" t="s">
        <v>21</v>
      </c>
      <c r="I92" s="3">
        <v>27.21</v>
      </c>
      <c r="J92" s="3" t="s">
        <v>31</v>
      </c>
    </row>
    <row r="93" spans="1:10" s="3" customFormat="1" x14ac:dyDescent="0.25">
      <c r="A93" s="2">
        <v>3</v>
      </c>
      <c r="B93" s="3" t="s">
        <v>27</v>
      </c>
      <c r="C93" s="3">
        <v>647</v>
      </c>
      <c r="D93" s="3">
        <v>1</v>
      </c>
      <c r="E93" s="3" t="s">
        <v>28</v>
      </c>
      <c r="F93" s="3" t="s">
        <v>29</v>
      </c>
      <c r="G93" s="3" t="str">
        <f>"2026-05-29 00:20:17.580"</f>
        <v>2026-05-29 00:20:17.580</v>
      </c>
      <c r="H93" s="3" t="s">
        <v>21</v>
      </c>
    </row>
    <row r="94" spans="1:10" s="3" customFormat="1" x14ac:dyDescent="0.25">
      <c r="A94" s="2">
        <v>4</v>
      </c>
      <c r="B94" s="3" t="s">
        <v>30</v>
      </c>
      <c r="C94" s="3">
        <v>647</v>
      </c>
      <c r="D94" s="3">
        <v>1</v>
      </c>
      <c r="E94" s="3" t="s">
        <v>28</v>
      </c>
      <c r="F94" s="3" t="s">
        <v>29</v>
      </c>
      <c r="G94" s="3" t="str">
        <f>"2026-05-29 00:20:16.581"</f>
        <v>2026-05-29 00:20:16.581</v>
      </c>
      <c r="H94" s="3" t="s">
        <v>21</v>
      </c>
      <c r="I94" s="3">
        <v>10.3</v>
      </c>
      <c r="J94" s="3" t="s">
        <v>31</v>
      </c>
    </row>
    <row r="95" spans="1:10" x14ac:dyDescent="0.25">
      <c r="A95" s="1">
        <v>5</v>
      </c>
      <c r="B95" t="s">
        <v>19</v>
      </c>
      <c r="C95">
        <v>706</v>
      </c>
      <c r="D95">
        <v>2</v>
      </c>
      <c r="E95" t="s">
        <v>23</v>
      </c>
      <c r="F95" t="s">
        <v>24</v>
      </c>
      <c r="G95" t="str">
        <f>"2026-05-28 18:20:48.522"</f>
        <v>2026-05-28 18:20:48.522</v>
      </c>
      <c r="H95" t="s">
        <v>21</v>
      </c>
      <c r="I95">
        <v>0</v>
      </c>
      <c r="J95" t="s">
        <v>25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"2026-05-28 18:17:25.052"</f>
        <v>2026-05-28 18:17:25.052</v>
      </c>
      <c r="H96" t="s">
        <v>21</v>
      </c>
      <c r="I96">
        <v>0</v>
      </c>
      <c r="J96" t="s">
        <v>22</v>
      </c>
    </row>
    <row r="97" spans="1:10" x14ac:dyDescent="0.25">
      <c r="A97" s="1">
        <v>7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"2026-05-28 13:57:49.155"</f>
        <v>2026-05-28 13:57:49.155</v>
      </c>
      <c r="H97" t="s">
        <v>21</v>
      </c>
      <c r="I97">
        <v>0</v>
      </c>
      <c r="J97" t="s">
        <v>22</v>
      </c>
    </row>
    <row r="98" spans="1:10" x14ac:dyDescent="0.25">
      <c r="A98" s="1">
        <v>8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"2026-05-28 11:53:49.054"</f>
        <v>2026-05-28 11:53:49.054</v>
      </c>
      <c r="H98" t="s">
        <v>21</v>
      </c>
      <c r="I98">
        <v>0</v>
      </c>
      <c r="J98" t="s">
        <v>22</v>
      </c>
    </row>
    <row r="99" spans="1:10" x14ac:dyDescent="0.25">
      <c r="A99" s="1">
        <v>9</v>
      </c>
      <c r="B99" t="s">
        <v>19</v>
      </c>
      <c r="C99">
        <v>706</v>
      </c>
      <c r="D99">
        <v>2</v>
      </c>
      <c r="E99" t="s">
        <v>23</v>
      </c>
      <c r="F99" t="s">
        <v>24</v>
      </c>
      <c r="G99" t="str">
        <f>"2026-05-28 11:02:35.300"</f>
        <v>2026-05-28 11:02:35.300</v>
      </c>
      <c r="H99" t="s">
        <v>21</v>
      </c>
      <c r="I99">
        <v>0</v>
      </c>
      <c r="J99" t="s">
        <v>25</v>
      </c>
    </row>
    <row r="100" spans="1:10" x14ac:dyDescent="0.25">
      <c r="A100" s="1">
        <v>0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"2026-05-28 11:02:21.130"</f>
        <v>2026-05-28 11:02:21.130</v>
      </c>
      <c r="H100" t="s">
        <v>21</v>
      </c>
    </row>
    <row r="101" spans="1:10" x14ac:dyDescent="0.25">
      <c r="A101" s="1">
        <v>1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"2026-05-28 10:23:30.057"</f>
        <v>2026-05-28 10:23:30.057</v>
      </c>
      <c r="H101" t="s">
        <v>21</v>
      </c>
      <c r="I101">
        <v>0</v>
      </c>
      <c r="J101" t="s">
        <v>22</v>
      </c>
    </row>
    <row r="102" spans="1:10" x14ac:dyDescent="0.25">
      <c r="A102" s="1">
        <v>2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"2026-05-28 10:05:55.051"</f>
        <v>2026-05-28 10:05:55.051</v>
      </c>
      <c r="H102" t="s">
        <v>21</v>
      </c>
      <c r="I102">
        <v>0</v>
      </c>
      <c r="J102" t="s">
        <v>22</v>
      </c>
    </row>
    <row r="103" spans="1:10" x14ac:dyDescent="0.25">
      <c r="A103" s="1">
        <v>3</v>
      </c>
      <c r="B103" t="s">
        <v>19</v>
      </c>
      <c r="C103">
        <v>706</v>
      </c>
      <c r="D103">
        <v>2</v>
      </c>
      <c r="E103" t="s">
        <v>23</v>
      </c>
      <c r="F103" t="s">
        <v>24</v>
      </c>
      <c r="G103" t="str">
        <f>"2026-05-28 10:03:24.533"</f>
        <v>2026-05-28 10:03:24.533</v>
      </c>
      <c r="H103" t="s">
        <v>21</v>
      </c>
      <c r="I103">
        <v>0</v>
      </c>
      <c r="J103" t="s">
        <v>25</v>
      </c>
    </row>
    <row r="104" spans="1:10" x14ac:dyDescent="0.25">
      <c r="A104" s="1">
        <v>4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"2026-05-28 10:02:36.053"</f>
        <v>2026-05-28 10:02:36.053</v>
      </c>
      <c r="H104" t="s">
        <v>21</v>
      </c>
    </row>
    <row r="105" spans="1:10" x14ac:dyDescent="0.25">
      <c r="A105" s="1">
        <v>5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"2026-05-27 13:04:19.055"</f>
        <v>2026-05-27 13:04:19.055</v>
      </c>
      <c r="H105" t="s">
        <v>21</v>
      </c>
      <c r="I105">
        <v>0</v>
      </c>
      <c r="J105" t="s">
        <v>22</v>
      </c>
    </row>
    <row r="106" spans="1:10" x14ac:dyDescent="0.25">
      <c r="A106" s="1">
        <v>6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"2026-05-26 18:11:36.215"</f>
        <v>2026-05-26 18:11:36.215</v>
      </c>
      <c r="H106" t="s">
        <v>21</v>
      </c>
      <c r="I106">
        <v>0</v>
      </c>
      <c r="J106" t="s">
        <v>22</v>
      </c>
    </row>
    <row r="107" spans="1:10" x14ac:dyDescent="0.25">
      <c r="A107" s="1">
        <v>7</v>
      </c>
      <c r="B107" t="s">
        <v>19</v>
      </c>
      <c r="C107">
        <v>706</v>
      </c>
      <c r="D107">
        <v>4</v>
      </c>
      <c r="E107" t="s">
        <v>23</v>
      </c>
      <c r="F107" t="s">
        <v>26</v>
      </c>
      <c r="G107" t="str">
        <f>"2026-05-26 17:16:02.426"</f>
        <v>2026-05-26 17:16:02.426</v>
      </c>
      <c r="H107" t="s">
        <v>21</v>
      </c>
      <c r="I107">
        <v>0</v>
      </c>
      <c r="J107" t="s">
        <v>25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"2026-05-26 17:05:41.076"</f>
        <v>2026-05-26 17:05:41.076</v>
      </c>
      <c r="H108" t="s">
        <v>21</v>
      </c>
      <c r="I108">
        <v>0</v>
      </c>
      <c r="J108" t="s">
        <v>22</v>
      </c>
    </row>
    <row r="109" spans="1:10" x14ac:dyDescent="0.25">
      <c r="A109" s="1">
        <v>9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"2026-05-26 08:38:27.074"</f>
        <v>2026-05-26 08:38:27.074</v>
      </c>
      <c r="H109" t="s">
        <v>21</v>
      </c>
    </row>
    <row r="110" spans="1:10" x14ac:dyDescent="0.25">
      <c r="A110" s="1">
        <v>0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"2026-05-25 19:56:23.192"</f>
        <v>2026-05-25 19:56:23.192</v>
      </c>
      <c r="H110" t="s">
        <v>21</v>
      </c>
    </row>
    <row r="111" spans="1:10" x14ac:dyDescent="0.25">
      <c r="A111" s="1">
        <v>1</v>
      </c>
      <c r="B111" t="s">
        <v>19</v>
      </c>
      <c r="C111">
        <v>706</v>
      </c>
      <c r="D111">
        <v>4</v>
      </c>
      <c r="E111" t="s">
        <v>23</v>
      </c>
      <c r="F111" t="s">
        <v>26</v>
      </c>
      <c r="G111" t="str">
        <f>"2026-05-25 12:33:46.249"</f>
        <v>2026-05-25 12:33:46.249</v>
      </c>
      <c r="H111" t="s">
        <v>21</v>
      </c>
      <c r="I111">
        <v>0</v>
      </c>
      <c r="J111" t="s">
        <v>25</v>
      </c>
    </row>
    <row r="112" spans="1:10" x14ac:dyDescent="0.25">
      <c r="A112" s="1">
        <v>2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"2026-05-25 12:31:33.049"</f>
        <v>2026-05-25 12:31:33.049</v>
      </c>
      <c r="H112" t="s">
        <v>21</v>
      </c>
      <c r="I112">
        <v>0</v>
      </c>
      <c r="J112" t="s">
        <v>22</v>
      </c>
    </row>
    <row r="113" spans="1:10" x14ac:dyDescent="0.25">
      <c r="A113" s="1">
        <v>3</v>
      </c>
      <c r="B113" t="s">
        <v>27</v>
      </c>
      <c r="C113">
        <v>98</v>
      </c>
      <c r="D113">
        <v>1</v>
      </c>
      <c r="E113" t="s">
        <v>40</v>
      </c>
      <c r="F113" t="s">
        <v>41</v>
      </c>
      <c r="G113" t="str">
        <f>"2026-05-25 01:36:49.408"</f>
        <v>2026-05-25 01:36:49.408</v>
      </c>
      <c r="H113" t="s">
        <v>21</v>
      </c>
    </row>
    <row r="114" spans="1:10" x14ac:dyDescent="0.25">
      <c r="A114" s="1">
        <v>4</v>
      </c>
      <c r="B114" t="s">
        <v>30</v>
      </c>
      <c r="C114">
        <v>98</v>
      </c>
      <c r="D114">
        <v>1</v>
      </c>
      <c r="E114" t="s">
        <v>40</v>
      </c>
      <c r="F114" t="s">
        <v>41</v>
      </c>
      <c r="G114" t="str">
        <f>"2026-05-25 01:36:48.409"</f>
        <v>2026-05-25 01:36:48.409</v>
      </c>
      <c r="H114" t="s">
        <v>21</v>
      </c>
      <c r="I114">
        <v>0</v>
      </c>
      <c r="J114" t="s">
        <v>42</v>
      </c>
    </row>
    <row r="115" spans="1:10" x14ac:dyDescent="0.25">
      <c r="A115" s="1">
        <v>5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"2026-05-24 13:14:17.067"</f>
        <v>2026-05-24 13:14:17.067</v>
      </c>
      <c r="H115" t="s">
        <v>21</v>
      </c>
    </row>
    <row r="116" spans="1:10" s="3" customFormat="1" x14ac:dyDescent="0.25">
      <c r="A116" s="2">
        <v>6</v>
      </c>
      <c r="B116" s="3" t="s">
        <v>27</v>
      </c>
      <c r="C116" s="3">
        <v>647</v>
      </c>
      <c r="D116" s="3">
        <v>1</v>
      </c>
      <c r="E116" s="3" t="s">
        <v>28</v>
      </c>
      <c r="F116" s="3" t="s">
        <v>29</v>
      </c>
      <c r="G116" s="3" t="str">
        <f>"2026-05-24 04:27:57.010"</f>
        <v>2026-05-24 04:27:57.010</v>
      </c>
      <c r="H116" s="3" t="s">
        <v>21</v>
      </c>
    </row>
    <row r="117" spans="1:10" s="3" customFormat="1" x14ac:dyDescent="0.25">
      <c r="A117" s="2">
        <v>7</v>
      </c>
      <c r="B117" s="3" t="s">
        <v>30</v>
      </c>
      <c r="C117" s="3">
        <v>647</v>
      </c>
      <c r="D117" s="3">
        <v>1</v>
      </c>
      <c r="E117" s="3" t="s">
        <v>28</v>
      </c>
      <c r="F117" s="3" t="s">
        <v>29</v>
      </c>
      <c r="G117" s="3" t="str">
        <f>"2026-05-24 04:27:54.710"</f>
        <v>2026-05-24 04:27:54.710</v>
      </c>
      <c r="H117" s="3" t="s">
        <v>21</v>
      </c>
      <c r="I117" s="3">
        <v>17.420000000000002</v>
      </c>
      <c r="J117" s="3" t="s">
        <v>31</v>
      </c>
    </row>
    <row r="118" spans="1:10" s="3" customFormat="1" x14ac:dyDescent="0.25">
      <c r="A118" s="2">
        <v>8</v>
      </c>
      <c r="B118" s="3" t="s">
        <v>27</v>
      </c>
      <c r="C118" s="3">
        <v>647</v>
      </c>
      <c r="D118" s="3">
        <v>1</v>
      </c>
      <c r="E118" s="3" t="s">
        <v>28</v>
      </c>
      <c r="F118" s="3" t="s">
        <v>29</v>
      </c>
      <c r="G118" s="3" t="str">
        <f>"2026-05-24 00:16:06.010"</f>
        <v>2026-05-24 00:16:06.010</v>
      </c>
      <c r="H118" s="3" t="s">
        <v>21</v>
      </c>
    </row>
    <row r="119" spans="1:10" s="3" customFormat="1" x14ac:dyDescent="0.25">
      <c r="A119" s="2">
        <v>9</v>
      </c>
      <c r="B119" s="3" t="s">
        <v>30</v>
      </c>
      <c r="C119" s="3">
        <v>647</v>
      </c>
      <c r="D119" s="3">
        <v>1</v>
      </c>
      <c r="E119" s="3" t="s">
        <v>28</v>
      </c>
      <c r="F119" s="3" t="s">
        <v>29</v>
      </c>
      <c r="G119" s="3" t="str">
        <f>"2026-05-24 00:16:01.510"</f>
        <v>2026-05-24 00:16:01.510</v>
      </c>
      <c r="H119" s="3" t="s">
        <v>21</v>
      </c>
      <c r="I119" s="3">
        <v>29.86</v>
      </c>
      <c r="J119" s="3" t="s">
        <v>31</v>
      </c>
    </row>
    <row r="120" spans="1:10" x14ac:dyDescent="0.25">
      <c r="A120" s="1">
        <v>10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"2026-05-22 22:08:45.177"</f>
        <v>2026-05-22 22:08:45.177</v>
      </c>
      <c r="H120" t="s">
        <v>21</v>
      </c>
      <c r="I120">
        <v>0</v>
      </c>
      <c r="J120" t="s">
        <v>22</v>
      </c>
    </row>
    <row r="121" spans="1:10" x14ac:dyDescent="0.25">
      <c r="A121" s="1">
        <v>11</v>
      </c>
      <c r="B121" t="s">
        <v>27</v>
      </c>
      <c r="C121">
        <v>635</v>
      </c>
      <c r="D121">
        <v>1</v>
      </c>
      <c r="E121" t="s">
        <v>32</v>
      </c>
      <c r="F121" t="s">
        <v>33</v>
      </c>
      <c r="G121" t="str">
        <f>"2026-05-22 11:45:05.398"</f>
        <v>2026-05-22 11:45:05.398</v>
      </c>
      <c r="H121" t="s">
        <v>21</v>
      </c>
    </row>
    <row r="122" spans="1:10" x14ac:dyDescent="0.25">
      <c r="A122" s="1">
        <v>12</v>
      </c>
      <c r="B122" t="s">
        <v>30</v>
      </c>
      <c r="C122">
        <v>635</v>
      </c>
      <c r="D122">
        <v>1</v>
      </c>
      <c r="E122" t="s">
        <v>32</v>
      </c>
      <c r="F122" t="s">
        <v>33</v>
      </c>
      <c r="G122" t="str">
        <f>"2026-05-22 11:39:01.898"</f>
        <v>2026-05-22 11:39:01.898</v>
      </c>
      <c r="H122" t="s">
        <v>21</v>
      </c>
      <c r="I122">
        <v>3.5</v>
      </c>
      <c r="J122" t="s">
        <v>34</v>
      </c>
    </row>
    <row r="123" spans="1:10" x14ac:dyDescent="0.25">
      <c r="A123" s="1">
        <v>13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"2026-05-22 07:39:39.143"</f>
        <v>2026-05-22 07:39:39.143</v>
      </c>
      <c r="H123" t="s">
        <v>21</v>
      </c>
    </row>
    <row r="124" spans="1:10" x14ac:dyDescent="0.25">
      <c r="A124" s="1">
        <v>14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"2026-05-22 03:08:29.056"</f>
        <v>2026-05-22 03:08:29.056</v>
      </c>
      <c r="H124" t="s">
        <v>21</v>
      </c>
      <c r="I124">
        <v>0</v>
      </c>
      <c r="J124" t="s">
        <v>22</v>
      </c>
    </row>
    <row r="125" spans="1:10" x14ac:dyDescent="0.25">
      <c r="A125" s="1">
        <v>15</v>
      </c>
      <c r="B125" t="s">
        <v>19</v>
      </c>
      <c r="C125">
        <v>706</v>
      </c>
      <c r="D125">
        <v>4</v>
      </c>
      <c r="E125" t="s">
        <v>23</v>
      </c>
      <c r="F125" t="s">
        <v>26</v>
      </c>
      <c r="G125" t="str">
        <f>"2026-05-21 13:40:22.978"</f>
        <v>2026-05-21 13:40:22.978</v>
      </c>
      <c r="H125" t="s">
        <v>21</v>
      </c>
      <c r="I125">
        <v>0</v>
      </c>
      <c r="J125" t="s">
        <v>25</v>
      </c>
    </row>
    <row r="126" spans="1:10" x14ac:dyDescent="0.25">
      <c r="A126" s="1">
        <v>16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"2026-05-21 13:04:28.058"</f>
        <v>2026-05-21 13:04:28.058</v>
      </c>
      <c r="H126" t="s">
        <v>21</v>
      </c>
    </row>
    <row r="127" spans="1:10" x14ac:dyDescent="0.25">
      <c r="A127" s="1">
        <v>17</v>
      </c>
      <c r="B127" t="s">
        <v>27</v>
      </c>
      <c r="C127">
        <v>635</v>
      </c>
      <c r="D127">
        <v>1</v>
      </c>
      <c r="E127" t="s">
        <v>32</v>
      </c>
      <c r="F127" t="s">
        <v>33</v>
      </c>
      <c r="G127" t="str">
        <f>"2026-05-20 09:37:24.663"</f>
        <v>2026-05-20 09:37:24.663</v>
      </c>
      <c r="H127" t="s">
        <v>21</v>
      </c>
    </row>
    <row r="128" spans="1:10" x14ac:dyDescent="0.25">
      <c r="A128" s="1">
        <v>18</v>
      </c>
      <c r="B128" t="s">
        <v>30</v>
      </c>
      <c r="C128">
        <v>635</v>
      </c>
      <c r="D128">
        <v>1</v>
      </c>
      <c r="E128" t="s">
        <v>32</v>
      </c>
      <c r="F128" t="s">
        <v>33</v>
      </c>
      <c r="G128" t="str">
        <f>"2026-05-20 09:10:05.263"</f>
        <v>2026-05-20 09:10:05.263</v>
      </c>
      <c r="H128" t="s">
        <v>21</v>
      </c>
      <c r="I128">
        <v>4.1500000000000004</v>
      </c>
      <c r="J128" t="s">
        <v>34</v>
      </c>
    </row>
    <row r="129" spans="1:10" x14ac:dyDescent="0.25">
      <c r="A129" s="1">
        <v>19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"2026-05-20 03:57:58.052"</f>
        <v>2026-05-20 03:57:58.052</v>
      </c>
      <c r="H129" t="s">
        <v>21</v>
      </c>
    </row>
    <row r="130" spans="1:10" x14ac:dyDescent="0.25">
      <c r="A130" s="1">
        <v>20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"2026-05-17 19:41:47.073"</f>
        <v>2026-05-17 19:41:47.073</v>
      </c>
      <c r="H130" t="s">
        <v>21</v>
      </c>
    </row>
    <row r="131" spans="1:10" x14ac:dyDescent="0.25">
      <c r="A131" s="1">
        <v>21</v>
      </c>
      <c r="B131" t="s">
        <v>27</v>
      </c>
      <c r="C131">
        <v>635</v>
      </c>
      <c r="D131">
        <v>1</v>
      </c>
      <c r="E131" t="s">
        <v>32</v>
      </c>
      <c r="F131" t="s">
        <v>33</v>
      </c>
      <c r="G131" t="str">
        <f>"2026-05-17 14:56:02.581"</f>
        <v>2026-05-17 14:56:02.581</v>
      </c>
      <c r="H131" t="s">
        <v>21</v>
      </c>
    </row>
    <row r="132" spans="1:10" x14ac:dyDescent="0.25">
      <c r="A132" s="1">
        <v>22</v>
      </c>
      <c r="B132" t="s">
        <v>30</v>
      </c>
      <c r="C132">
        <v>635</v>
      </c>
      <c r="D132">
        <v>1</v>
      </c>
      <c r="E132" t="s">
        <v>32</v>
      </c>
      <c r="F132" t="s">
        <v>33</v>
      </c>
      <c r="G132" t="str">
        <f>"2026-05-17 14:51:11.081"</f>
        <v>2026-05-17 14:51:11.081</v>
      </c>
      <c r="H132" t="s">
        <v>21</v>
      </c>
      <c r="I132">
        <v>7.03</v>
      </c>
      <c r="J132" t="s">
        <v>34</v>
      </c>
    </row>
    <row r="133" spans="1:10" x14ac:dyDescent="0.25">
      <c r="A133" s="1">
        <v>23</v>
      </c>
      <c r="B133" t="s">
        <v>19</v>
      </c>
      <c r="C133">
        <v>706</v>
      </c>
      <c r="D133">
        <v>4</v>
      </c>
      <c r="E133" t="s">
        <v>23</v>
      </c>
      <c r="F133" t="s">
        <v>26</v>
      </c>
      <c r="G133" t="str">
        <f>"2026-05-17 07:54:45.774"</f>
        <v>2026-05-17 07:54:45.774</v>
      </c>
      <c r="H133" t="s">
        <v>21</v>
      </c>
      <c r="I133">
        <v>0</v>
      </c>
      <c r="J133" t="s">
        <v>25</v>
      </c>
    </row>
    <row r="134" spans="1:10" x14ac:dyDescent="0.25">
      <c r="A134" s="1">
        <v>24</v>
      </c>
      <c r="B134" t="s">
        <v>27</v>
      </c>
      <c r="C134">
        <v>635</v>
      </c>
      <c r="D134">
        <v>1</v>
      </c>
      <c r="E134" t="s">
        <v>32</v>
      </c>
      <c r="F134" t="s">
        <v>33</v>
      </c>
      <c r="G134" t="str">
        <f>"2026-05-16 21:08:35.481"</f>
        <v>2026-05-16 21:08:35.481</v>
      </c>
      <c r="H134" t="s">
        <v>21</v>
      </c>
    </row>
    <row r="135" spans="1:10" x14ac:dyDescent="0.25">
      <c r="A135" s="1">
        <v>25</v>
      </c>
      <c r="B135" t="s">
        <v>30</v>
      </c>
      <c r="C135">
        <v>635</v>
      </c>
      <c r="D135">
        <v>1</v>
      </c>
      <c r="E135" t="s">
        <v>32</v>
      </c>
      <c r="F135" t="s">
        <v>33</v>
      </c>
      <c r="G135" t="str">
        <f>"2026-05-16 21:01:21.481"</f>
        <v>2026-05-16 21:01:21.481</v>
      </c>
      <c r="H135" t="s">
        <v>21</v>
      </c>
      <c r="I135">
        <v>8.2899999999999991</v>
      </c>
      <c r="J135" t="s">
        <v>31</v>
      </c>
    </row>
    <row r="136" spans="1:10" s="3" customFormat="1" x14ac:dyDescent="0.25">
      <c r="A136" s="2">
        <v>26</v>
      </c>
      <c r="B136" s="3" t="s">
        <v>27</v>
      </c>
      <c r="C136" s="3">
        <v>647</v>
      </c>
      <c r="D136" s="3">
        <v>1</v>
      </c>
      <c r="E136" s="3" t="s">
        <v>28</v>
      </c>
      <c r="F136" s="3" t="s">
        <v>29</v>
      </c>
      <c r="G136" s="3" t="str">
        <f>"2026-05-16 07:07:40.681"</f>
        <v>2026-05-16 07:07:40.681</v>
      </c>
      <c r="H136" s="3" t="s">
        <v>21</v>
      </c>
    </row>
    <row r="137" spans="1:10" s="3" customFormat="1" x14ac:dyDescent="0.25">
      <c r="A137" s="2">
        <v>27</v>
      </c>
      <c r="B137" s="3" t="s">
        <v>30</v>
      </c>
      <c r="C137" s="3">
        <v>647</v>
      </c>
      <c r="D137" s="3">
        <v>1</v>
      </c>
      <c r="E137" s="3" t="s">
        <v>28</v>
      </c>
      <c r="F137" s="3" t="s">
        <v>29</v>
      </c>
      <c r="G137" s="3" t="str">
        <f>"2026-05-16 07:07:39.281"</f>
        <v>2026-05-16 07:07:39.281</v>
      </c>
      <c r="H137" s="3" t="s">
        <v>21</v>
      </c>
      <c r="I137" s="3">
        <v>10.25</v>
      </c>
      <c r="J137" s="3" t="s">
        <v>31</v>
      </c>
    </row>
    <row r="138" spans="1:10" s="3" customFormat="1" x14ac:dyDescent="0.25">
      <c r="A138" s="2">
        <v>28</v>
      </c>
      <c r="B138" s="3" t="s">
        <v>27</v>
      </c>
      <c r="C138" s="3">
        <v>647</v>
      </c>
      <c r="D138" s="3">
        <v>1</v>
      </c>
      <c r="E138" s="3" t="s">
        <v>28</v>
      </c>
      <c r="F138" s="3" t="s">
        <v>29</v>
      </c>
      <c r="G138" s="3" t="str">
        <f>"2026-05-16 01:58:16.982"</f>
        <v>2026-05-16 01:58:16.982</v>
      </c>
      <c r="H138" s="3" t="s">
        <v>21</v>
      </c>
    </row>
    <row r="139" spans="1:10" s="3" customFormat="1" x14ac:dyDescent="0.25">
      <c r="A139" s="2">
        <v>29</v>
      </c>
      <c r="B139" s="3" t="s">
        <v>30</v>
      </c>
      <c r="C139" s="3">
        <v>647</v>
      </c>
      <c r="D139" s="3">
        <v>1</v>
      </c>
      <c r="E139" s="3" t="s">
        <v>28</v>
      </c>
      <c r="F139" s="3" t="s">
        <v>29</v>
      </c>
      <c r="G139" s="3" t="str">
        <f>"2026-05-16 01:58:15.181"</f>
        <v>2026-05-16 01:58:15.181</v>
      </c>
      <c r="H139" s="3" t="s">
        <v>21</v>
      </c>
      <c r="I139" s="3">
        <v>17.170000000000002</v>
      </c>
      <c r="J139" s="3" t="s">
        <v>42</v>
      </c>
    </row>
    <row r="140" spans="1:10" s="3" customFormat="1" x14ac:dyDescent="0.25">
      <c r="A140" s="2">
        <v>30</v>
      </c>
      <c r="B140" s="3" t="s">
        <v>27</v>
      </c>
      <c r="C140" s="3">
        <v>647</v>
      </c>
      <c r="D140" s="3">
        <v>1</v>
      </c>
      <c r="E140" s="3" t="s">
        <v>28</v>
      </c>
      <c r="F140" s="3" t="s">
        <v>29</v>
      </c>
      <c r="G140" s="3" t="str">
        <f>"2026-05-15 03:21:06.181"</f>
        <v>2026-05-15 03:21:06.181</v>
      </c>
      <c r="H140" s="3" t="s">
        <v>21</v>
      </c>
    </row>
    <row r="141" spans="1:10" s="3" customFormat="1" x14ac:dyDescent="0.25">
      <c r="A141" s="2">
        <v>31</v>
      </c>
      <c r="B141" s="3" t="s">
        <v>30</v>
      </c>
      <c r="C141" s="3">
        <v>647</v>
      </c>
      <c r="D141" s="3">
        <v>1</v>
      </c>
      <c r="E141" s="3" t="s">
        <v>28</v>
      </c>
      <c r="F141" s="3" t="s">
        <v>29</v>
      </c>
      <c r="G141" s="3" t="str">
        <f>"2026-05-15 03:21:03.682"</f>
        <v>2026-05-15 03:21:03.682</v>
      </c>
      <c r="H141" s="3" t="s">
        <v>21</v>
      </c>
      <c r="I141" s="3">
        <v>12.83</v>
      </c>
      <c r="J141" s="3" t="s">
        <v>31</v>
      </c>
    </row>
    <row r="142" spans="1:10" x14ac:dyDescent="0.25">
      <c r="A142" s="1">
        <v>32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"2026-05-15 02:06:24.034"</f>
        <v>2026-05-15 02:06:24.034</v>
      </c>
      <c r="H142" t="s">
        <v>21</v>
      </c>
      <c r="I142">
        <v>0</v>
      </c>
      <c r="J142" t="s">
        <v>22</v>
      </c>
    </row>
    <row r="143" spans="1:10" x14ac:dyDescent="0.25">
      <c r="A143" s="1">
        <v>33</v>
      </c>
      <c r="B143" t="s">
        <v>19</v>
      </c>
      <c r="C143">
        <v>706</v>
      </c>
      <c r="D143">
        <v>4</v>
      </c>
      <c r="E143" t="s">
        <v>23</v>
      </c>
      <c r="F143" t="s">
        <v>26</v>
      </c>
      <c r="G143" t="str">
        <f>"2026-05-15 00:47:53.839"</f>
        <v>2026-05-15 00:47:53.839</v>
      </c>
      <c r="H143" t="s">
        <v>21</v>
      </c>
      <c r="I143">
        <v>0</v>
      </c>
      <c r="J143" t="s">
        <v>25</v>
      </c>
    </row>
    <row r="144" spans="1:10" x14ac:dyDescent="0.25">
      <c r="A144" s="1">
        <v>34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"2026-05-15 00:43:40.229"</f>
        <v>2026-05-15 00:43:40.229</v>
      </c>
      <c r="H144" t="s">
        <v>21</v>
      </c>
    </row>
    <row r="145" spans="1:10" x14ac:dyDescent="0.25">
      <c r="A145" s="1">
        <v>35</v>
      </c>
      <c r="B145" t="s">
        <v>19</v>
      </c>
      <c r="C145">
        <v>706</v>
      </c>
      <c r="D145">
        <v>2</v>
      </c>
      <c r="E145" t="s">
        <v>23</v>
      </c>
      <c r="F145" t="s">
        <v>24</v>
      </c>
      <c r="G145" t="str">
        <f>"2026-05-14 11:26:16.596"</f>
        <v>2026-05-14 11:26:16.596</v>
      </c>
      <c r="H145" t="s">
        <v>21</v>
      </c>
      <c r="I145">
        <v>0</v>
      </c>
      <c r="J145" t="s">
        <v>25</v>
      </c>
    </row>
    <row r="146" spans="1:10" x14ac:dyDescent="0.25">
      <c r="A146" s="1">
        <v>36</v>
      </c>
      <c r="B146" t="s">
        <v>19</v>
      </c>
      <c r="C146">
        <v>706</v>
      </c>
      <c r="D146">
        <v>4</v>
      </c>
      <c r="E146" t="s">
        <v>23</v>
      </c>
      <c r="F146" t="s">
        <v>26</v>
      </c>
      <c r="G146" t="str">
        <f>"2026-05-13 14:04:24.476"</f>
        <v>2026-05-13 14:04:24.476</v>
      </c>
      <c r="H146" t="s">
        <v>21</v>
      </c>
      <c r="I146">
        <v>0</v>
      </c>
      <c r="J146" t="s">
        <v>25</v>
      </c>
    </row>
    <row r="147" spans="1:10" x14ac:dyDescent="0.25">
      <c r="A147" s="1">
        <v>37</v>
      </c>
      <c r="B147" t="s">
        <v>19</v>
      </c>
      <c r="C147">
        <v>706</v>
      </c>
      <c r="D147">
        <v>2</v>
      </c>
      <c r="E147" t="s">
        <v>23</v>
      </c>
      <c r="F147" t="s">
        <v>24</v>
      </c>
      <c r="G147" t="str">
        <f>"2026-05-13 13:27:46.396"</f>
        <v>2026-05-13 13:27:46.396</v>
      </c>
      <c r="H147" t="s">
        <v>21</v>
      </c>
      <c r="I147">
        <v>0</v>
      </c>
      <c r="J147" t="s">
        <v>25</v>
      </c>
    </row>
    <row r="148" spans="1:10" x14ac:dyDescent="0.25">
      <c r="A148" s="1">
        <v>38</v>
      </c>
      <c r="B148" t="s">
        <v>27</v>
      </c>
      <c r="C148">
        <v>635</v>
      </c>
      <c r="D148">
        <v>1</v>
      </c>
      <c r="E148" t="s">
        <v>32</v>
      </c>
      <c r="F148" t="s">
        <v>33</v>
      </c>
      <c r="G148" t="str">
        <f>"2026-05-12 14:04:23.626"</f>
        <v>2026-05-12 14:04:23.626</v>
      </c>
      <c r="H148" t="s">
        <v>21</v>
      </c>
    </row>
    <row r="149" spans="1:10" x14ac:dyDescent="0.25">
      <c r="A149" s="1">
        <v>39</v>
      </c>
      <c r="B149" t="s">
        <v>30</v>
      </c>
      <c r="C149">
        <v>635</v>
      </c>
      <c r="D149">
        <v>1</v>
      </c>
      <c r="E149" t="s">
        <v>32</v>
      </c>
      <c r="F149" t="s">
        <v>33</v>
      </c>
      <c r="G149" t="str">
        <f>"2026-05-12 14:01:28.626"</f>
        <v>2026-05-12 14:01:28.626</v>
      </c>
      <c r="H149" t="s">
        <v>21</v>
      </c>
      <c r="I149">
        <v>5.13</v>
      </c>
      <c r="J149" t="s">
        <v>42</v>
      </c>
    </row>
    <row r="150" spans="1:10" x14ac:dyDescent="0.25">
      <c r="A150" s="1">
        <v>40</v>
      </c>
      <c r="B150" t="s">
        <v>19</v>
      </c>
      <c r="C150">
        <v>706</v>
      </c>
      <c r="D150">
        <v>2</v>
      </c>
      <c r="E150" t="s">
        <v>23</v>
      </c>
      <c r="F150" t="s">
        <v>24</v>
      </c>
      <c r="G150" t="str">
        <f>"2026-05-12 13:23:02.996"</f>
        <v>2026-05-12 13:23:02.996</v>
      </c>
      <c r="H150" t="s">
        <v>21</v>
      </c>
      <c r="I150">
        <v>0</v>
      </c>
      <c r="J150" t="s">
        <v>25</v>
      </c>
    </row>
    <row r="151" spans="1:10" x14ac:dyDescent="0.25">
      <c r="A151" s="1">
        <v>41</v>
      </c>
      <c r="B151" t="s">
        <v>27</v>
      </c>
      <c r="C151">
        <v>635</v>
      </c>
      <c r="D151">
        <v>1</v>
      </c>
      <c r="E151" t="s">
        <v>32</v>
      </c>
      <c r="F151" t="s">
        <v>33</v>
      </c>
      <c r="G151" t="str">
        <f>"2026-05-11 13:59:16.026"</f>
        <v>2026-05-11 13:59:16.026</v>
      </c>
      <c r="H151" t="s">
        <v>21</v>
      </c>
    </row>
    <row r="152" spans="1:10" x14ac:dyDescent="0.25">
      <c r="A152" s="1">
        <v>42</v>
      </c>
      <c r="B152" t="s">
        <v>30</v>
      </c>
      <c r="C152">
        <v>635</v>
      </c>
      <c r="D152">
        <v>1</v>
      </c>
      <c r="E152" t="s">
        <v>32</v>
      </c>
      <c r="F152" t="s">
        <v>33</v>
      </c>
      <c r="G152" t="str">
        <f>"2026-05-11 13:54:53.026"</f>
        <v>2026-05-11 13:54:53.026</v>
      </c>
      <c r="H152" t="s">
        <v>21</v>
      </c>
      <c r="I152">
        <v>3.04</v>
      </c>
      <c r="J152" t="s">
        <v>34</v>
      </c>
    </row>
    <row r="153" spans="1:10" x14ac:dyDescent="0.25">
      <c r="A153" s="1">
        <v>43</v>
      </c>
      <c r="B153" t="s">
        <v>27</v>
      </c>
      <c r="C153">
        <v>635</v>
      </c>
      <c r="D153">
        <v>1</v>
      </c>
      <c r="E153" t="s">
        <v>32</v>
      </c>
      <c r="F153" t="s">
        <v>33</v>
      </c>
      <c r="G153" t="str">
        <f>"2026-05-11 13:29:56.526"</f>
        <v>2026-05-11 13:29:56.526</v>
      </c>
      <c r="H153" t="s">
        <v>21</v>
      </c>
    </row>
    <row r="154" spans="1:10" x14ac:dyDescent="0.25">
      <c r="A154" s="1">
        <v>44</v>
      </c>
      <c r="B154" t="s">
        <v>30</v>
      </c>
      <c r="C154">
        <v>635</v>
      </c>
      <c r="D154">
        <v>1</v>
      </c>
      <c r="E154" t="s">
        <v>32</v>
      </c>
      <c r="F154" t="s">
        <v>33</v>
      </c>
      <c r="G154" t="str">
        <f>"2026-05-11 13:25:25.626"</f>
        <v>2026-05-11 13:25:25.626</v>
      </c>
      <c r="H154" t="s">
        <v>21</v>
      </c>
      <c r="I154">
        <v>4</v>
      </c>
      <c r="J154" t="s">
        <v>34</v>
      </c>
    </row>
    <row r="155" spans="1:10" x14ac:dyDescent="0.25">
      <c r="A155" s="1">
        <v>45</v>
      </c>
      <c r="B155" t="s">
        <v>19</v>
      </c>
      <c r="C155">
        <v>706</v>
      </c>
      <c r="D155">
        <v>4</v>
      </c>
      <c r="E155" t="s">
        <v>23</v>
      </c>
      <c r="F155" t="s">
        <v>26</v>
      </c>
      <c r="G155" t="str">
        <f>"2026-05-11 12:25:16.436"</f>
        <v>2026-05-11 12:25:16.436</v>
      </c>
      <c r="H155" t="s">
        <v>21</v>
      </c>
      <c r="I155">
        <v>0</v>
      </c>
      <c r="J155" t="s">
        <v>25</v>
      </c>
    </row>
    <row r="156" spans="1:10" x14ac:dyDescent="0.25">
      <c r="A156" s="1">
        <v>46</v>
      </c>
      <c r="B156" t="s">
        <v>19</v>
      </c>
      <c r="C156">
        <v>706</v>
      </c>
      <c r="D156">
        <v>4</v>
      </c>
      <c r="E156" t="s">
        <v>23</v>
      </c>
      <c r="F156" t="s">
        <v>26</v>
      </c>
      <c r="G156" t="str">
        <f>"2026-05-10 17:21:24.266"</f>
        <v>2026-05-10 17:21:24.266</v>
      </c>
      <c r="H156" t="s">
        <v>21</v>
      </c>
      <c r="I156">
        <v>0</v>
      </c>
      <c r="J156" t="s">
        <v>25</v>
      </c>
    </row>
    <row r="157" spans="1:10" x14ac:dyDescent="0.25">
      <c r="A157" s="1">
        <v>47</v>
      </c>
      <c r="B157" t="s">
        <v>19</v>
      </c>
      <c r="C157">
        <v>706</v>
      </c>
      <c r="D157">
        <v>4</v>
      </c>
      <c r="E157" t="s">
        <v>23</v>
      </c>
      <c r="F157" t="s">
        <v>26</v>
      </c>
      <c r="G157" t="str">
        <f>"2026-05-09 12:10:20.686"</f>
        <v>2026-05-09 12:10:20.686</v>
      </c>
      <c r="H157" t="s">
        <v>21</v>
      </c>
      <c r="I157">
        <v>0</v>
      </c>
      <c r="J157" t="s">
        <v>25</v>
      </c>
    </row>
    <row r="158" spans="1:10" x14ac:dyDescent="0.25">
      <c r="A158" s="1">
        <v>48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"2026-05-09 00:47:04.026"</f>
        <v>2026-05-09 00:47:04.026</v>
      </c>
      <c r="H158" t="s">
        <v>21</v>
      </c>
      <c r="I158">
        <v>0</v>
      </c>
      <c r="J158" t="s">
        <v>22</v>
      </c>
    </row>
    <row r="159" spans="1:10" s="3" customFormat="1" x14ac:dyDescent="0.25">
      <c r="A159" s="2">
        <v>49</v>
      </c>
      <c r="B159" s="3" t="s">
        <v>27</v>
      </c>
      <c r="C159" s="3">
        <v>647</v>
      </c>
      <c r="D159" s="3">
        <v>1</v>
      </c>
      <c r="E159" s="3" t="s">
        <v>28</v>
      </c>
      <c r="F159" s="3" t="s">
        <v>29</v>
      </c>
      <c r="G159" s="3" t="str">
        <f>"2026-05-08 23:23:25.293"</f>
        <v>2026-05-08 23:23:25.293</v>
      </c>
      <c r="H159" s="3" t="s">
        <v>21</v>
      </c>
    </row>
    <row r="160" spans="1:10" s="3" customFormat="1" x14ac:dyDescent="0.25">
      <c r="A160" s="2">
        <v>50</v>
      </c>
      <c r="B160" s="3" t="s">
        <v>30</v>
      </c>
      <c r="C160" s="3">
        <v>647</v>
      </c>
      <c r="D160" s="3">
        <v>1</v>
      </c>
      <c r="E160" s="3" t="s">
        <v>28</v>
      </c>
      <c r="F160" s="3" t="s">
        <v>29</v>
      </c>
      <c r="G160" s="3" t="str">
        <f>"2026-05-08 23:23:19.693"</f>
        <v>2026-05-08 23:23:19.693</v>
      </c>
      <c r="H160" s="3" t="s">
        <v>21</v>
      </c>
      <c r="I160" s="3">
        <v>10</v>
      </c>
      <c r="J160" s="3" t="s">
        <v>31</v>
      </c>
    </row>
    <row r="161" spans="1:10" x14ac:dyDescent="0.25">
      <c r="A161" s="1">
        <v>51</v>
      </c>
      <c r="B161" t="s">
        <v>19</v>
      </c>
      <c r="C161">
        <v>706</v>
      </c>
      <c r="D161">
        <v>2</v>
      </c>
      <c r="E161" t="s">
        <v>23</v>
      </c>
      <c r="F161" t="s">
        <v>24</v>
      </c>
      <c r="G161" t="str">
        <f>"2026-05-07 13:30:39.871"</f>
        <v>2026-05-07 13:30:39.871</v>
      </c>
      <c r="H161" t="s">
        <v>21</v>
      </c>
      <c r="I161">
        <v>0</v>
      </c>
      <c r="J161" t="s">
        <v>25</v>
      </c>
    </row>
    <row r="162" spans="1:10" x14ac:dyDescent="0.25">
      <c r="A162" s="1">
        <v>52</v>
      </c>
      <c r="B162" t="s">
        <v>27</v>
      </c>
      <c r="C162">
        <v>635</v>
      </c>
      <c r="D162">
        <v>1</v>
      </c>
      <c r="E162" t="s">
        <v>32</v>
      </c>
      <c r="F162" t="s">
        <v>33</v>
      </c>
      <c r="G162" t="str">
        <f>"2026-05-06 15:05:42.192"</f>
        <v>2026-05-06 15:05:42.192</v>
      </c>
      <c r="H162" t="s">
        <v>21</v>
      </c>
    </row>
    <row r="163" spans="1:10" x14ac:dyDescent="0.25">
      <c r="A163" s="1">
        <v>53</v>
      </c>
      <c r="B163" t="s">
        <v>30</v>
      </c>
      <c r="C163">
        <v>635</v>
      </c>
      <c r="D163">
        <v>1</v>
      </c>
      <c r="E163" t="s">
        <v>32</v>
      </c>
      <c r="F163" t="s">
        <v>33</v>
      </c>
      <c r="G163" t="str">
        <f>"2026-05-06 15:02:13.192"</f>
        <v>2026-05-06 15:02:13.192</v>
      </c>
      <c r="H163" t="s">
        <v>21</v>
      </c>
      <c r="I163">
        <v>3.06</v>
      </c>
      <c r="J163" t="s">
        <v>34</v>
      </c>
    </row>
    <row r="164" spans="1:10" x14ac:dyDescent="0.25">
      <c r="A164" s="1">
        <v>54</v>
      </c>
      <c r="B164" t="s">
        <v>27</v>
      </c>
      <c r="C164">
        <v>635</v>
      </c>
      <c r="D164">
        <v>1</v>
      </c>
      <c r="E164" t="s">
        <v>32</v>
      </c>
      <c r="F164" t="s">
        <v>33</v>
      </c>
      <c r="G164" t="str">
        <f>"2026-05-05 17:52:58.092"</f>
        <v>2026-05-05 17:52:58.092</v>
      </c>
      <c r="H164" t="s">
        <v>21</v>
      </c>
    </row>
    <row r="165" spans="1:10" x14ac:dyDescent="0.25">
      <c r="A165" s="1">
        <v>55</v>
      </c>
      <c r="B165" t="s">
        <v>30</v>
      </c>
      <c r="C165">
        <v>635</v>
      </c>
      <c r="D165">
        <v>1</v>
      </c>
      <c r="E165" t="s">
        <v>32</v>
      </c>
      <c r="F165" t="s">
        <v>33</v>
      </c>
      <c r="G165" t="str">
        <f>"2026-05-05 17:49:46.092"</f>
        <v>2026-05-05 17:49:46.092</v>
      </c>
      <c r="H165" t="s">
        <v>21</v>
      </c>
      <c r="I165">
        <v>5.13</v>
      </c>
      <c r="J165" t="s">
        <v>31</v>
      </c>
    </row>
    <row r="166" spans="1:10" x14ac:dyDescent="0.25">
      <c r="A166" s="1">
        <v>56</v>
      </c>
      <c r="B166" t="s">
        <v>19</v>
      </c>
      <c r="C166">
        <v>706</v>
      </c>
      <c r="D166">
        <v>4</v>
      </c>
      <c r="E166" t="s">
        <v>23</v>
      </c>
      <c r="F166" t="s">
        <v>26</v>
      </c>
      <c r="G166" t="str">
        <f>"2026-05-05 13:27:34.001"</f>
        <v>2026-05-05 13:27:34.001</v>
      </c>
      <c r="H166" t="s">
        <v>21</v>
      </c>
      <c r="I166">
        <v>0</v>
      </c>
      <c r="J166" t="s">
        <v>25</v>
      </c>
    </row>
    <row r="167" spans="1:10" x14ac:dyDescent="0.25">
      <c r="A167" s="1">
        <v>57</v>
      </c>
      <c r="B167" t="s">
        <v>19</v>
      </c>
      <c r="C167">
        <v>706</v>
      </c>
      <c r="D167">
        <v>4</v>
      </c>
      <c r="E167" t="s">
        <v>23</v>
      </c>
      <c r="F167" t="s">
        <v>26</v>
      </c>
      <c r="G167" t="str">
        <f>"2026-05-04 22:34:36.851"</f>
        <v>2026-05-04 22:34:36.851</v>
      </c>
      <c r="H167" t="s">
        <v>21</v>
      </c>
      <c r="I167">
        <v>0</v>
      </c>
      <c r="J167" t="s">
        <v>25</v>
      </c>
    </row>
    <row r="168" spans="1:10" x14ac:dyDescent="0.25">
      <c r="A168" s="1">
        <v>58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"2026-05-04 22:19:48.031"</f>
        <v>2026-05-04 22:19:48.031</v>
      </c>
      <c r="H168" t="s">
        <v>21</v>
      </c>
      <c r="I168">
        <v>0</v>
      </c>
      <c r="J168" t="s">
        <v>22</v>
      </c>
    </row>
    <row r="169" spans="1:10" x14ac:dyDescent="0.25">
      <c r="A169" s="1">
        <v>59</v>
      </c>
      <c r="B169" t="s">
        <v>19</v>
      </c>
      <c r="C169">
        <v>706</v>
      </c>
      <c r="D169">
        <v>4</v>
      </c>
      <c r="E169" t="s">
        <v>23</v>
      </c>
      <c r="F169" t="s">
        <v>26</v>
      </c>
      <c r="G169" t="str">
        <f>"2026-05-04 22:04:51.145"</f>
        <v>2026-05-04 22:04:51.145</v>
      </c>
      <c r="H169" t="s">
        <v>21</v>
      </c>
      <c r="I169">
        <v>0</v>
      </c>
      <c r="J169" t="s">
        <v>25</v>
      </c>
    </row>
    <row r="170" spans="1:10" x14ac:dyDescent="0.25">
      <c r="A170" s="1">
        <v>60</v>
      </c>
      <c r="B170" t="s">
        <v>19</v>
      </c>
      <c r="C170">
        <v>706</v>
      </c>
      <c r="D170">
        <v>3</v>
      </c>
      <c r="E170" t="s">
        <v>23</v>
      </c>
      <c r="F170" t="s">
        <v>43</v>
      </c>
      <c r="G170" t="str">
        <f>"2026-05-04 20:19:17.875"</f>
        <v>2026-05-04 20:19:17.875</v>
      </c>
      <c r="H170" t="s">
        <v>21</v>
      </c>
      <c r="I170">
        <v>0</v>
      </c>
      <c r="J170" t="s">
        <v>25</v>
      </c>
    </row>
    <row r="171" spans="1:10" x14ac:dyDescent="0.25">
      <c r="A171" s="1">
        <v>61</v>
      </c>
      <c r="B171" t="s">
        <v>27</v>
      </c>
      <c r="C171">
        <v>619</v>
      </c>
      <c r="D171">
        <v>1</v>
      </c>
      <c r="E171" t="s">
        <v>44</v>
      </c>
      <c r="F171" t="s">
        <v>33</v>
      </c>
      <c r="G171" t="str">
        <f>"2026-05-04 20:18:52.565"</f>
        <v>2026-05-04 20:18:52.565</v>
      </c>
      <c r="H171" t="s">
        <v>45</v>
      </c>
    </row>
    <row r="172" spans="1:10" x14ac:dyDescent="0.25">
      <c r="A172" s="1">
        <v>62</v>
      </c>
      <c r="B172" t="s">
        <v>30</v>
      </c>
      <c r="C172">
        <v>619</v>
      </c>
      <c r="D172">
        <v>1</v>
      </c>
      <c r="E172" t="s">
        <v>44</v>
      </c>
      <c r="F172" t="s">
        <v>33</v>
      </c>
      <c r="G172" t="str">
        <f>"2026-05-04 20:18:32.413"</f>
        <v>2026-05-04 20:18:32.413</v>
      </c>
      <c r="H172" t="s">
        <v>45</v>
      </c>
      <c r="I172">
        <v>6.71</v>
      </c>
      <c r="J172" t="s">
        <v>34</v>
      </c>
    </row>
    <row r="173" spans="1:10" x14ac:dyDescent="0.25">
      <c r="A173" s="1">
        <v>63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"2026-05-04 10:57:46.045"</f>
        <v>2026-05-04 10:57:46.045</v>
      </c>
      <c r="H173" t="s">
        <v>21</v>
      </c>
    </row>
    <row r="174" spans="1:10" x14ac:dyDescent="0.25">
      <c r="A174" s="1">
        <v>64</v>
      </c>
      <c r="B174" t="s">
        <v>19</v>
      </c>
      <c r="C174">
        <v>706</v>
      </c>
      <c r="D174">
        <v>2</v>
      </c>
      <c r="E174" t="s">
        <v>23</v>
      </c>
      <c r="F174" t="s">
        <v>24</v>
      </c>
      <c r="G174" t="str">
        <f>"2026-05-04 10:43:30.050"</f>
        <v>2026-05-04 10:43:30.050</v>
      </c>
      <c r="H174" t="s">
        <v>21</v>
      </c>
      <c r="I174">
        <v>0</v>
      </c>
      <c r="J174" t="s">
        <v>25</v>
      </c>
    </row>
    <row r="175" spans="1:10" x14ac:dyDescent="0.25">
      <c r="A175" s="1">
        <v>65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"2026-05-04 10:28:01.030"</f>
        <v>2026-05-04 10:28:01.030</v>
      </c>
      <c r="H175" t="s">
        <v>21</v>
      </c>
    </row>
    <row r="176" spans="1:10" x14ac:dyDescent="0.25">
      <c r="A176" s="1">
        <v>66</v>
      </c>
      <c r="B176" t="s">
        <v>27</v>
      </c>
      <c r="C176">
        <v>635</v>
      </c>
      <c r="D176">
        <v>1</v>
      </c>
      <c r="E176" t="s">
        <v>32</v>
      </c>
      <c r="F176" t="s">
        <v>33</v>
      </c>
      <c r="G176" t="str">
        <f>"2026-05-02 21:53:01.659"</f>
        <v>2026-05-02 21:53:01.659</v>
      </c>
      <c r="H176" t="s">
        <v>21</v>
      </c>
    </row>
    <row r="177" spans="1:10" x14ac:dyDescent="0.25">
      <c r="A177" s="1">
        <v>67</v>
      </c>
      <c r="B177" t="s">
        <v>30</v>
      </c>
      <c r="C177">
        <v>635</v>
      </c>
      <c r="D177">
        <v>1</v>
      </c>
      <c r="E177" t="s">
        <v>32</v>
      </c>
      <c r="F177" t="s">
        <v>33</v>
      </c>
      <c r="G177" t="str">
        <f>"2026-05-02 21:49:41.659"</f>
        <v>2026-05-02 21:49:41.659</v>
      </c>
      <c r="H177" t="s">
        <v>21</v>
      </c>
      <c r="I177">
        <v>0.85</v>
      </c>
      <c r="J177" t="s">
        <v>34</v>
      </c>
    </row>
    <row r="178" spans="1:10" x14ac:dyDescent="0.25">
      <c r="A178" s="1">
        <v>68</v>
      </c>
      <c r="B178" t="s">
        <v>19</v>
      </c>
      <c r="C178">
        <v>706</v>
      </c>
      <c r="D178">
        <v>4</v>
      </c>
      <c r="E178" t="s">
        <v>23</v>
      </c>
      <c r="F178" t="s">
        <v>26</v>
      </c>
      <c r="G178" t="str">
        <f>"2026-05-02 10:46:26.662"</f>
        <v>2026-05-02 10:46:26.662</v>
      </c>
      <c r="H178" t="s">
        <v>21</v>
      </c>
      <c r="I178">
        <v>0</v>
      </c>
      <c r="J178" t="s">
        <v>25</v>
      </c>
    </row>
    <row r="179" spans="1:10" x14ac:dyDescent="0.25">
      <c r="A179" s="1">
        <v>69</v>
      </c>
      <c r="B179" t="s">
        <v>19</v>
      </c>
      <c r="C179">
        <v>706</v>
      </c>
      <c r="D179">
        <v>2</v>
      </c>
      <c r="E179" t="s">
        <v>23</v>
      </c>
      <c r="F179" t="s">
        <v>24</v>
      </c>
      <c r="G179" t="str">
        <f>"2026-05-02 09:37:34.852"</f>
        <v>2026-05-02 09:37:34.852</v>
      </c>
      <c r="H179" t="s">
        <v>21</v>
      </c>
      <c r="I179">
        <v>0</v>
      </c>
      <c r="J179" t="s">
        <v>25</v>
      </c>
    </row>
    <row r="180" spans="1:10" x14ac:dyDescent="0.25">
      <c r="A180" s="1">
        <v>70</v>
      </c>
      <c r="B180" t="s">
        <v>19</v>
      </c>
      <c r="C180">
        <v>706</v>
      </c>
      <c r="D180">
        <v>4</v>
      </c>
      <c r="E180" t="s">
        <v>23</v>
      </c>
      <c r="F180" t="s">
        <v>26</v>
      </c>
      <c r="G180" t="str">
        <f>"2026-05-02 00:59:57.202"</f>
        <v>2026-05-02 00:59:57.202</v>
      </c>
      <c r="H180" t="s">
        <v>21</v>
      </c>
      <c r="I180">
        <v>0</v>
      </c>
      <c r="J180" t="s">
        <v>25</v>
      </c>
    </row>
    <row r="181" spans="1:10" x14ac:dyDescent="0.25">
      <c r="A181" s="1">
        <v>71</v>
      </c>
      <c r="B181" t="s">
        <v>19</v>
      </c>
      <c r="C181">
        <v>706</v>
      </c>
      <c r="D181">
        <v>2</v>
      </c>
      <c r="E181" t="s">
        <v>23</v>
      </c>
      <c r="F181" t="s">
        <v>24</v>
      </c>
      <c r="G181" t="str">
        <f>"2026-05-01 13:51:39.252"</f>
        <v>2026-05-01 13:51:39.252</v>
      </c>
      <c r="H181" t="s">
        <v>21</v>
      </c>
      <c r="I181">
        <v>0</v>
      </c>
      <c r="J181" t="s">
        <v>25</v>
      </c>
    </row>
    <row r="182" spans="1:10" x14ac:dyDescent="0.25">
      <c r="A182" s="1">
        <v>72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"2026-04-29 16:02:42.052"</f>
        <v>2026-04-29 16:02:42.052</v>
      </c>
      <c r="H182" t="s">
        <v>21</v>
      </c>
      <c r="I182">
        <v>0</v>
      </c>
      <c r="J182" t="s">
        <v>22</v>
      </c>
    </row>
    <row r="183" spans="1:10" x14ac:dyDescent="0.25">
      <c r="A183" s="1">
        <v>73</v>
      </c>
      <c r="B183" t="s">
        <v>27</v>
      </c>
      <c r="C183">
        <v>635</v>
      </c>
      <c r="D183">
        <v>1</v>
      </c>
      <c r="E183" t="s">
        <v>32</v>
      </c>
      <c r="F183" t="s">
        <v>33</v>
      </c>
      <c r="G183" t="str">
        <f>"2026-04-28 22:21:47.283"</f>
        <v>2026-04-28 22:21:47.283</v>
      </c>
      <c r="H183" t="s">
        <v>21</v>
      </c>
    </row>
    <row r="184" spans="1:10" x14ac:dyDescent="0.25">
      <c r="A184" s="1">
        <v>74</v>
      </c>
      <c r="B184" t="s">
        <v>30</v>
      </c>
      <c r="C184">
        <v>635</v>
      </c>
      <c r="D184">
        <v>1</v>
      </c>
      <c r="E184" t="s">
        <v>32</v>
      </c>
      <c r="F184" t="s">
        <v>33</v>
      </c>
      <c r="G184" t="str">
        <f>"2026-04-28 22:17:48.283"</f>
        <v>2026-04-28 22:17:48.283</v>
      </c>
      <c r="H184" t="s">
        <v>21</v>
      </c>
      <c r="I184">
        <v>-1.93</v>
      </c>
      <c r="J184" t="s">
        <v>34</v>
      </c>
    </row>
    <row r="185" spans="1:10" x14ac:dyDescent="0.25">
      <c r="A185" s="1">
        <v>75</v>
      </c>
      <c r="B185" t="s">
        <v>19</v>
      </c>
      <c r="C185">
        <v>706</v>
      </c>
      <c r="D185">
        <v>4</v>
      </c>
      <c r="E185" t="s">
        <v>23</v>
      </c>
      <c r="F185" t="s">
        <v>26</v>
      </c>
      <c r="G185" t="str">
        <f>"2026-04-27 19:40:14.755"</f>
        <v>2026-04-27 19:40:14.755</v>
      </c>
      <c r="H185" t="s">
        <v>21</v>
      </c>
      <c r="I185">
        <v>0</v>
      </c>
      <c r="J185" t="s">
        <v>25</v>
      </c>
    </row>
    <row r="186" spans="1:10" x14ac:dyDescent="0.25">
      <c r="A186" s="1">
        <v>76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"2026-04-27 19:39:27.035"</f>
        <v>2026-04-27 19:39:27.035</v>
      </c>
      <c r="H186" t="s">
        <v>21</v>
      </c>
      <c r="I186">
        <v>0</v>
      </c>
      <c r="J186" t="s">
        <v>22</v>
      </c>
    </row>
    <row r="187" spans="1:10" x14ac:dyDescent="0.25">
      <c r="A187" s="1">
        <v>77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"2026-04-27 19:25:05.036"</f>
        <v>2026-04-27 19:25:05.036</v>
      </c>
      <c r="H187" t="s">
        <v>21</v>
      </c>
      <c r="I187">
        <v>0</v>
      </c>
      <c r="J187" t="s">
        <v>22</v>
      </c>
    </row>
    <row r="188" spans="1:10" x14ac:dyDescent="0.25">
      <c r="A188" s="1">
        <v>78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"2026-04-27 18:51:58.038"</f>
        <v>2026-04-27 18:51:58.038</v>
      </c>
      <c r="H188" t="s">
        <v>21</v>
      </c>
      <c r="I188">
        <v>0</v>
      </c>
      <c r="J188" t="s">
        <v>22</v>
      </c>
    </row>
    <row r="189" spans="1:10" x14ac:dyDescent="0.25">
      <c r="A189" s="1">
        <v>79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"2026-04-27 17:33:53.033"</f>
        <v>2026-04-27 17:33:53.033</v>
      </c>
      <c r="H189" t="s">
        <v>21</v>
      </c>
      <c r="I189">
        <v>0</v>
      </c>
      <c r="J189" t="s">
        <v>22</v>
      </c>
    </row>
    <row r="190" spans="1:10" x14ac:dyDescent="0.25">
      <c r="A190" s="1">
        <v>80</v>
      </c>
      <c r="B190" t="s">
        <v>19</v>
      </c>
      <c r="C190">
        <v>706</v>
      </c>
      <c r="D190">
        <v>2</v>
      </c>
      <c r="E190" t="s">
        <v>23</v>
      </c>
      <c r="F190" t="s">
        <v>24</v>
      </c>
      <c r="G190" t="str">
        <f>"2026-04-27 17:26:21.622"</f>
        <v>2026-04-27 17:26:21.622</v>
      </c>
      <c r="H190" t="s">
        <v>21</v>
      </c>
      <c r="I190">
        <v>0</v>
      </c>
      <c r="J190" t="s">
        <v>25</v>
      </c>
    </row>
    <row r="191" spans="1:10" x14ac:dyDescent="0.25">
      <c r="A191" s="1">
        <v>81</v>
      </c>
      <c r="B191" t="s">
        <v>19</v>
      </c>
      <c r="C191">
        <v>706</v>
      </c>
      <c r="D191">
        <v>2</v>
      </c>
      <c r="E191" t="s">
        <v>23</v>
      </c>
      <c r="F191" t="s">
        <v>24</v>
      </c>
      <c r="G191" t="str">
        <f>"2026-04-27 15:32:33.322"</f>
        <v>2026-04-27 15:32:33.322</v>
      </c>
      <c r="H191" t="s">
        <v>21</v>
      </c>
      <c r="I191">
        <v>0</v>
      </c>
      <c r="J191" t="s">
        <v>25</v>
      </c>
    </row>
    <row r="192" spans="1:10" x14ac:dyDescent="0.25">
      <c r="A192" s="1">
        <v>82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"2026-04-27 15:31:58.042"</f>
        <v>2026-04-27 15:31:58.042</v>
      </c>
      <c r="H192" t="s">
        <v>21</v>
      </c>
      <c r="I192">
        <v>0</v>
      </c>
      <c r="J192" t="s">
        <v>22</v>
      </c>
    </row>
    <row r="193" spans="1:10" s="3" customFormat="1" x14ac:dyDescent="0.25">
      <c r="A193" s="2">
        <v>83</v>
      </c>
      <c r="B193" s="3" t="s">
        <v>27</v>
      </c>
      <c r="C193" s="3">
        <v>647</v>
      </c>
      <c r="D193" s="3">
        <v>1</v>
      </c>
      <c r="E193" s="3" t="s">
        <v>28</v>
      </c>
      <c r="F193" s="3" t="s">
        <v>29</v>
      </c>
      <c r="G193" s="3" t="str">
        <f>"2026-04-27 15:08:00.312"</f>
        <v>2026-04-27 15:08:00.312</v>
      </c>
      <c r="H193" s="3" t="s">
        <v>21</v>
      </c>
    </row>
    <row r="194" spans="1:10" s="3" customFormat="1" x14ac:dyDescent="0.25">
      <c r="A194" s="2">
        <v>84</v>
      </c>
      <c r="B194" s="3" t="s">
        <v>30</v>
      </c>
      <c r="C194" s="3">
        <v>647</v>
      </c>
      <c r="D194" s="3">
        <v>1</v>
      </c>
      <c r="E194" s="3" t="s">
        <v>28</v>
      </c>
      <c r="F194" s="3" t="s">
        <v>29</v>
      </c>
      <c r="G194" s="3" t="str">
        <f>"2026-04-27 15:07:58.212"</f>
        <v>2026-04-27 15:07:58.212</v>
      </c>
      <c r="H194" s="3" t="s">
        <v>21</v>
      </c>
      <c r="I194" s="3">
        <v>9.7799999999999994</v>
      </c>
      <c r="J194" s="3" t="s">
        <v>42</v>
      </c>
    </row>
    <row r="195" spans="1:10" x14ac:dyDescent="0.25">
      <c r="A195" s="1">
        <v>85</v>
      </c>
      <c r="B195" t="s">
        <v>19</v>
      </c>
      <c r="C195">
        <v>706</v>
      </c>
      <c r="D195">
        <v>4</v>
      </c>
      <c r="E195" t="s">
        <v>23</v>
      </c>
      <c r="F195" t="s">
        <v>26</v>
      </c>
      <c r="G195" t="str">
        <f>"2026-04-27 10:27:19.379"</f>
        <v>2026-04-27 10:27:19.379</v>
      </c>
      <c r="H195" t="s">
        <v>21</v>
      </c>
      <c r="I195">
        <v>0</v>
      </c>
      <c r="J195" t="s">
        <v>25</v>
      </c>
    </row>
    <row r="196" spans="1:10" x14ac:dyDescent="0.25">
      <c r="A196" s="1">
        <v>86</v>
      </c>
      <c r="B196" t="s">
        <v>19</v>
      </c>
      <c r="C196">
        <v>706</v>
      </c>
      <c r="D196">
        <v>2</v>
      </c>
      <c r="E196" t="s">
        <v>23</v>
      </c>
      <c r="F196" t="s">
        <v>24</v>
      </c>
      <c r="G196" t="str">
        <f>"2026-04-27 08:39:42.909"</f>
        <v>2026-04-27 08:39:42.909</v>
      </c>
      <c r="H196" t="s">
        <v>21</v>
      </c>
      <c r="I196">
        <v>0</v>
      </c>
      <c r="J196" t="s">
        <v>25</v>
      </c>
    </row>
    <row r="197" spans="1:10" x14ac:dyDescent="0.25">
      <c r="A197" s="1">
        <v>87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"2026-04-27 08:32:27.139"</f>
        <v>2026-04-27 08:32:27.139</v>
      </c>
      <c r="H197" t="s">
        <v>21</v>
      </c>
    </row>
    <row r="198" spans="1:10" x14ac:dyDescent="0.25">
      <c r="A198" s="1">
        <v>88</v>
      </c>
      <c r="B198" t="s">
        <v>27</v>
      </c>
      <c r="C198">
        <v>635</v>
      </c>
      <c r="D198">
        <v>1</v>
      </c>
      <c r="E198" t="s">
        <v>32</v>
      </c>
      <c r="F198" t="s">
        <v>33</v>
      </c>
      <c r="G198" t="str">
        <f>"2026-04-26 14:14:46.085"</f>
        <v>2026-04-26 14:14:46.085</v>
      </c>
      <c r="H198" t="s">
        <v>21</v>
      </c>
    </row>
    <row r="199" spans="1:10" x14ac:dyDescent="0.25">
      <c r="A199" s="1">
        <v>89</v>
      </c>
      <c r="B199" t="s">
        <v>30</v>
      </c>
      <c r="C199">
        <v>635</v>
      </c>
      <c r="D199">
        <v>1</v>
      </c>
      <c r="E199" t="s">
        <v>32</v>
      </c>
      <c r="F199" t="s">
        <v>33</v>
      </c>
      <c r="G199" t="str">
        <f>"2026-04-26 14:10:05.085"</f>
        <v>2026-04-26 14:10:05.085</v>
      </c>
      <c r="H199" t="s">
        <v>21</v>
      </c>
      <c r="I199">
        <v>7.74</v>
      </c>
      <c r="J199" t="s">
        <v>34</v>
      </c>
    </row>
    <row r="200" spans="1:10" x14ac:dyDescent="0.25">
      <c r="A200" s="1">
        <v>90</v>
      </c>
      <c r="B200" t="s">
        <v>19</v>
      </c>
      <c r="C200">
        <v>706</v>
      </c>
      <c r="D200">
        <v>2</v>
      </c>
      <c r="E200" t="s">
        <v>23</v>
      </c>
      <c r="F200" t="s">
        <v>24</v>
      </c>
      <c r="G200" t="str">
        <f>"2026-04-26 07:58:25.448"</f>
        <v>2026-04-26 07:58:25.448</v>
      </c>
      <c r="H200" t="s">
        <v>21</v>
      </c>
      <c r="I200">
        <v>0</v>
      </c>
      <c r="J200" t="s">
        <v>25</v>
      </c>
    </row>
    <row r="201" spans="1:10" x14ac:dyDescent="0.25">
      <c r="A201" s="1">
        <v>91</v>
      </c>
      <c r="B201" t="s">
        <v>27</v>
      </c>
      <c r="C201">
        <v>635</v>
      </c>
      <c r="D201">
        <v>1</v>
      </c>
      <c r="E201" t="s">
        <v>32</v>
      </c>
      <c r="F201" t="s">
        <v>33</v>
      </c>
      <c r="G201" t="str">
        <f>"2026-04-25 02:41:56.885"</f>
        <v>2026-04-25 02:41:56.885</v>
      </c>
      <c r="H201" t="s">
        <v>21</v>
      </c>
    </row>
    <row r="202" spans="1:10" x14ac:dyDescent="0.25">
      <c r="A202" s="1">
        <v>92</v>
      </c>
      <c r="B202" t="s">
        <v>30</v>
      </c>
      <c r="C202">
        <v>635</v>
      </c>
      <c r="D202">
        <v>1</v>
      </c>
      <c r="E202" t="s">
        <v>32</v>
      </c>
      <c r="F202" t="s">
        <v>33</v>
      </c>
      <c r="G202" t="str">
        <f>"2026-04-25 02:35:25.385"</f>
        <v>2026-04-25 02:35:25.385</v>
      </c>
      <c r="H202" t="s">
        <v>21</v>
      </c>
      <c r="I202">
        <v>4.17</v>
      </c>
      <c r="J202" t="s">
        <v>34</v>
      </c>
    </row>
    <row r="203" spans="1:10" x14ac:dyDescent="0.25">
      <c r="A203" s="1">
        <v>93</v>
      </c>
      <c r="B203" t="s">
        <v>19</v>
      </c>
      <c r="C203">
        <v>706</v>
      </c>
      <c r="D203">
        <v>2</v>
      </c>
      <c r="E203" t="s">
        <v>23</v>
      </c>
      <c r="F203" t="s">
        <v>24</v>
      </c>
      <c r="G203" t="str">
        <f>"2026-04-25 00:47:03.748"</f>
        <v>2026-04-25 00:47:03.748</v>
      </c>
      <c r="H203" t="s">
        <v>21</v>
      </c>
      <c r="I203">
        <v>0</v>
      </c>
      <c r="J203" t="s">
        <v>25</v>
      </c>
    </row>
    <row r="204" spans="1:10" x14ac:dyDescent="0.25">
      <c r="A204" s="1">
        <v>94</v>
      </c>
      <c r="B204" t="s">
        <v>19</v>
      </c>
      <c r="C204">
        <v>706</v>
      </c>
      <c r="D204">
        <v>4</v>
      </c>
      <c r="E204" t="s">
        <v>23</v>
      </c>
      <c r="F204" t="s">
        <v>26</v>
      </c>
      <c r="G204" t="str">
        <f>"2026-04-24 00:23:37.838"</f>
        <v>2026-04-24 00:23:37.838</v>
      </c>
      <c r="H204" t="s">
        <v>21</v>
      </c>
      <c r="I204">
        <v>0</v>
      </c>
      <c r="J204" t="s">
        <v>25</v>
      </c>
    </row>
    <row r="205" spans="1:10" x14ac:dyDescent="0.25">
      <c r="A205" s="1">
        <v>95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"2026-04-24 00:15:00.018"</f>
        <v>2026-04-24 00:15:00.018</v>
      </c>
      <c r="H205" t="s">
        <v>21</v>
      </c>
    </row>
    <row r="206" spans="1:10" x14ac:dyDescent="0.25">
      <c r="A206" s="1">
        <v>96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"2026-04-23 23:55:30.038"</f>
        <v>2026-04-23 23:55:30.038</v>
      </c>
      <c r="H206" t="s">
        <v>21</v>
      </c>
      <c r="I206">
        <v>0</v>
      </c>
      <c r="J206" t="s">
        <v>22</v>
      </c>
    </row>
    <row r="207" spans="1:10" x14ac:dyDescent="0.25">
      <c r="A207" s="1">
        <v>97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"2026-04-23 12:17:11.115"</f>
        <v>2026-04-23 12:17:11.115</v>
      </c>
      <c r="H207" t="s">
        <v>21</v>
      </c>
      <c r="I207">
        <v>0</v>
      </c>
      <c r="J207" t="s">
        <v>22</v>
      </c>
    </row>
    <row r="208" spans="1:10" x14ac:dyDescent="0.25">
      <c r="A208" s="1">
        <v>98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"2026-04-23 12:08:16.025"</f>
        <v>2026-04-23 12:08:16.025</v>
      </c>
      <c r="H208" t="s">
        <v>21</v>
      </c>
      <c r="I208">
        <v>0</v>
      </c>
      <c r="J208" t="s">
        <v>22</v>
      </c>
    </row>
    <row r="209" spans="1:10" x14ac:dyDescent="0.25">
      <c r="A209" s="1">
        <v>99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"2026-04-23 11:47:53.179"</f>
        <v>2026-04-23 11:47:53.179</v>
      </c>
      <c r="H209" t="s">
        <v>21</v>
      </c>
    </row>
    <row r="210" spans="1:10" x14ac:dyDescent="0.25">
      <c r="A210" s="1">
        <v>0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"2026-04-23 09:26:51.026"</f>
        <v>2026-04-23 09:26:51.026</v>
      </c>
      <c r="H210" t="s">
        <v>21</v>
      </c>
    </row>
    <row r="211" spans="1:10" x14ac:dyDescent="0.25">
      <c r="A211" s="1">
        <v>1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"2026-04-23 08:50:06.022"</f>
        <v>2026-04-23 08:50:06.022</v>
      </c>
      <c r="H211" t="s">
        <v>21</v>
      </c>
      <c r="I211">
        <v>0</v>
      </c>
      <c r="J211" t="s">
        <v>22</v>
      </c>
    </row>
    <row r="212" spans="1:10" x14ac:dyDescent="0.25">
      <c r="A212" s="1">
        <v>2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"2026-04-23 06:58:39.026"</f>
        <v>2026-04-23 06:58:39.026</v>
      </c>
      <c r="H212" t="s">
        <v>21</v>
      </c>
      <c r="I212">
        <v>0</v>
      </c>
      <c r="J212" t="s">
        <v>22</v>
      </c>
    </row>
    <row r="213" spans="1:10" x14ac:dyDescent="0.25">
      <c r="A213" s="1">
        <v>3</v>
      </c>
      <c r="B213" t="s">
        <v>19</v>
      </c>
      <c r="C213">
        <v>706</v>
      </c>
      <c r="D213">
        <v>4</v>
      </c>
      <c r="E213" t="s">
        <v>23</v>
      </c>
      <c r="F213" t="s">
        <v>26</v>
      </c>
      <c r="G213" t="str">
        <f>"2026-04-23 06:41:21.026"</f>
        <v>2026-04-23 06:41:21.026</v>
      </c>
      <c r="H213" t="s">
        <v>21</v>
      </c>
      <c r="I213">
        <v>0</v>
      </c>
      <c r="J213" t="s">
        <v>25</v>
      </c>
    </row>
    <row r="214" spans="1:10" x14ac:dyDescent="0.25">
      <c r="A214" s="1">
        <v>4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"2026-04-23 06:27:06.056"</f>
        <v>2026-04-23 06:27:06.056</v>
      </c>
      <c r="H214" t="s">
        <v>21</v>
      </c>
    </row>
    <row r="215" spans="1:10" x14ac:dyDescent="0.25">
      <c r="A215" s="1">
        <v>5</v>
      </c>
      <c r="B215" t="s">
        <v>19</v>
      </c>
      <c r="C215">
        <v>706</v>
      </c>
      <c r="D215">
        <v>2</v>
      </c>
      <c r="E215" t="s">
        <v>23</v>
      </c>
      <c r="F215" t="s">
        <v>24</v>
      </c>
      <c r="G215" t="str">
        <f>"2026-04-23 03:43:13.679"</f>
        <v>2026-04-23 03:43:13.679</v>
      </c>
      <c r="H215" t="s">
        <v>21</v>
      </c>
      <c r="I215">
        <v>0</v>
      </c>
      <c r="J215" t="s">
        <v>25</v>
      </c>
    </row>
    <row r="216" spans="1:10" x14ac:dyDescent="0.25">
      <c r="A216" s="1">
        <v>6</v>
      </c>
      <c r="B216" t="s">
        <v>19</v>
      </c>
      <c r="C216">
        <v>706</v>
      </c>
      <c r="D216">
        <v>2</v>
      </c>
      <c r="E216" t="s">
        <v>23</v>
      </c>
      <c r="F216" t="s">
        <v>24</v>
      </c>
      <c r="G216" t="str">
        <f>"2026-04-23 02:13:24.279"</f>
        <v>2026-04-23 02:13:24.279</v>
      </c>
      <c r="H216" t="s">
        <v>21</v>
      </c>
      <c r="I216">
        <v>0</v>
      </c>
      <c r="J216" t="s">
        <v>25</v>
      </c>
    </row>
    <row r="217" spans="1:10" x14ac:dyDescent="0.25">
      <c r="A217" s="1">
        <v>7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"2026-04-23 02:12:14.039"</f>
        <v>2026-04-23 02:12:14.039</v>
      </c>
      <c r="H217" t="s">
        <v>21</v>
      </c>
      <c r="I217">
        <v>0</v>
      </c>
      <c r="J217" t="s">
        <v>22</v>
      </c>
    </row>
    <row r="218" spans="1:10" x14ac:dyDescent="0.25">
      <c r="A218" s="1">
        <v>8</v>
      </c>
      <c r="B218" t="s">
        <v>19</v>
      </c>
      <c r="C218">
        <v>706</v>
      </c>
      <c r="D218">
        <v>2</v>
      </c>
      <c r="E218" t="s">
        <v>23</v>
      </c>
      <c r="F218" t="s">
        <v>24</v>
      </c>
      <c r="G218" t="str">
        <f>"2026-04-22 22:57:53.387"</f>
        <v>2026-04-22 22:57:53.387</v>
      </c>
      <c r="H218" t="s">
        <v>21</v>
      </c>
      <c r="I218">
        <v>0</v>
      </c>
      <c r="J218" t="s">
        <v>25</v>
      </c>
    </row>
    <row r="219" spans="1:10" x14ac:dyDescent="0.25">
      <c r="A219" s="1">
        <v>9</v>
      </c>
      <c r="B219" t="s">
        <v>27</v>
      </c>
      <c r="C219">
        <v>635</v>
      </c>
      <c r="D219">
        <v>1</v>
      </c>
      <c r="E219" t="s">
        <v>32</v>
      </c>
      <c r="F219" t="s">
        <v>33</v>
      </c>
      <c r="G219" t="str">
        <f>"2026-04-22 16:27:35.907"</f>
        <v>2026-04-22 16:27:35.907</v>
      </c>
      <c r="H219" t="s">
        <v>21</v>
      </c>
    </row>
    <row r="220" spans="1:10" x14ac:dyDescent="0.25">
      <c r="A220" s="1">
        <v>10</v>
      </c>
      <c r="B220" t="s">
        <v>30</v>
      </c>
      <c r="C220">
        <v>635</v>
      </c>
      <c r="D220">
        <v>1</v>
      </c>
      <c r="E220" t="s">
        <v>32</v>
      </c>
      <c r="F220" t="s">
        <v>33</v>
      </c>
      <c r="G220" t="str">
        <f>"2026-04-22 16:22:41.907"</f>
        <v>2026-04-22 16:22:41.907</v>
      </c>
      <c r="H220" t="s">
        <v>21</v>
      </c>
      <c r="I220">
        <v>8.33</v>
      </c>
      <c r="J220" t="s">
        <v>34</v>
      </c>
    </row>
    <row r="221" spans="1:10" x14ac:dyDescent="0.25">
      <c r="A221" s="1">
        <v>12</v>
      </c>
      <c r="B221" t="s">
        <v>19</v>
      </c>
      <c r="C221">
        <v>706</v>
      </c>
      <c r="D221">
        <v>4</v>
      </c>
      <c r="E221" t="s">
        <v>23</v>
      </c>
      <c r="F221" t="s">
        <v>26</v>
      </c>
      <c r="G221" t="str">
        <f>"2026-04-22 00:50:59.247"</f>
        <v>2026-04-22 00:50:59.247</v>
      </c>
      <c r="H221" t="s">
        <v>21</v>
      </c>
      <c r="I221">
        <v>0</v>
      </c>
      <c r="J221" t="s">
        <v>25</v>
      </c>
    </row>
    <row r="222" spans="1:10" x14ac:dyDescent="0.25">
      <c r="A222" s="1">
        <v>13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"2026-04-22 00:48:10.017"</f>
        <v>2026-04-22 00:48:10.017</v>
      </c>
      <c r="H222" t="s">
        <v>21</v>
      </c>
    </row>
    <row r="223" spans="1:10" x14ac:dyDescent="0.25">
      <c r="A223" s="1">
        <v>14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"2026-04-22 00:17:52.016"</f>
        <v>2026-04-22 00:17:52.016</v>
      </c>
      <c r="H223" t="s">
        <v>21</v>
      </c>
    </row>
    <row r="224" spans="1:10" x14ac:dyDescent="0.25">
      <c r="A224" s="1">
        <v>15</v>
      </c>
      <c r="B224" t="s">
        <v>19</v>
      </c>
      <c r="C224">
        <v>706</v>
      </c>
      <c r="D224">
        <v>4</v>
      </c>
      <c r="E224" t="s">
        <v>23</v>
      </c>
      <c r="F224" t="s">
        <v>26</v>
      </c>
      <c r="G224" t="str">
        <f>"2026-04-21 20:19:32.554"</f>
        <v>2026-04-21 20:19:32.554</v>
      </c>
      <c r="H224" t="s">
        <v>21</v>
      </c>
      <c r="I224">
        <v>0</v>
      </c>
      <c r="J224" t="s">
        <v>25</v>
      </c>
    </row>
    <row r="225" spans="1:10" x14ac:dyDescent="0.25">
      <c r="A225" s="1">
        <v>16</v>
      </c>
      <c r="B225" t="s">
        <v>19</v>
      </c>
      <c r="C225">
        <v>706</v>
      </c>
      <c r="D225">
        <v>2</v>
      </c>
      <c r="E225" t="s">
        <v>23</v>
      </c>
      <c r="F225" t="s">
        <v>24</v>
      </c>
      <c r="G225" t="str">
        <f>"2026-04-21 04:34:19.674"</f>
        <v>2026-04-21 04:34:19.674</v>
      </c>
      <c r="H225" t="s">
        <v>21</v>
      </c>
      <c r="I225">
        <v>0</v>
      </c>
      <c r="J225" t="s">
        <v>25</v>
      </c>
    </row>
    <row r="226" spans="1:10" x14ac:dyDescent="0.25">
      <c r="A226" s="1">
        <v>17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"2026-04-21 04:33:22.064"</f>
        <v>2026-04-21 04:33:22.064</v>
      </c>
      <c r="H226" t="s">
        <v>21</v>
      </c>
      <c r="I226">
        <v>0</v>
      </c>
      <c r="J226" t="s">
        <v>22</v>
      </c>
    </row>
    <row r="227" spans="1:10" x14ac:dyDescent="0.25">
      <c r="A227" s="1">
        <v>18</v>
      </c>
      <c r="B227" t="s">
        <v>19</v>
      </c>
      <c r="C227">
        <v>706</v>
      </c>
      <c r="D227">
        <v>4</v>
      </c>
      <c r="E227" t="s">
        <v>23</v>
      </c>
      <c r="F227" t="s">
        <v>26</v>
      </c>
      <c r="G227" t="str">
        <f>"2026-04-21 01:11:44.820"</f>
        <v>2026-04-21 01:11:44.820</v>
      </c>
      <c r="H227" t="s">
        <v>21</v>
      </c>
      <c r="I227">
        <v>0</v>
      </c>
      <c r="J227" t="s">
        <v>25</v>
      </c>
    </row>
    <row r="228" spans="1:10" x14ac:dyDescent="0.25">
      <c r="A228" s="1">
        <v>19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"2026-04-21 00:59:18.060"</f>
        <v>2026-04-21 00:59:18.060</v>
      </c>
      <c r="H228" t="s">
        <v>21</v>
      </c>
      <c r="I228">
        <v>0</v>
      </c>
      <c r="J228" t="s">
        <v>22</v>
      </c>
    </row>
    <row r="229" spans="1:10" x14ac:dyDescent="0.25">
      <c r="A229" s="1">
        <v>20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"2026-04-20 21:14:54.053"</f>
        <v>2026-04-20 21:14:54.053</v>
      </c>
      <c r="H229" t="s">
        <v>21</v>
      </c>
      <c r="I229">
        <v>0</v>
      </c>
      <c r="J229" t="s">
        <v>22</v>
      </c>
    </row>
    <row r="230" spans="1:10" x14ac:dyDescent="0.25">
      <c r="A230" s="1">
        <v>21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"2026-04-20 14:32:53.025"</f>
        <v>2026-04-20 14:32:53.025</v>
      </c>
      <c r="H230" t="s">
        <v>21</v>
      </c>
      <c r="I230">
        <v>0</v>
      </c>
      <c r="J230" t="s">
        <v>22</v>
      </c>
    </row>
    <row r="231" spans="1:10" x14ac:dyDescent="0.25">
      <c r="A231" s="1">
        <v>22</v>
      </c>
      <c r="B231" t="s">
        <v>19</v>
      </c>
      <c r="C231">
        <v>706</v>
      </c>
      <c r="D231">
        <v>2</v>
      </c>
      <c r="E231" t="s">
        <v>23</v>
      </c>
      <c r="F231" t="s">
        <v>24</v>
      </c>
      <c r="G231" t="str">
        <f>"2026-04-20 09:18:27.222"</f>
        <v>2026-04-20 09:18:27.222</v>
      </c>
      <c r="H231" t="s">
        <v>21</v>
      </c>
      <c r="I231">
        <v>0</v>
      </c>
      <c r="J231" t="s">
        <v>25</v>
      </c>
    </row>
    <row r="232" spans="1:10" x14ac:dyDescent="0.25">
      <c r="A232" s="1">
        <v>23</v>
      </c>
      <c r="B232" t="s">
        <v>27</v>
      </c>
      <c r="C232">
        <v>635</v>
      </c>
      <c r="D232">
        <v>1</v>
      </c>
      <c r="E232" t="s">
        <v>32</v>
      </c>
      <c r="F232" t="s">
        <v>33</v>
      </c>
      <c r="G232" t="str">
        <f>"2026-04-19 16:52:41.939"</f>
        <v>2026-04-19 16:52:41.939</v>
      </c>
      <c r="H232" t="s">
        <v>21</v>
      </c>
    </row>
    <row r="233" spans="1:10" x14ac:dyDescent="0.25">
      <c r="A233" s="1">
        <v>24</v>
      </c>
      <c r="B233" t="s">
        <v>30</v>
      </c>
      <c r="C233">
        <v>635</v>
      </c>
      <c r="D233">
        <v>1</v>
      </c>
      <c r="E233" t="s">
        <v>32</v>
      </c>
      <c r="F233" t="s">
        <v>33</v>
      </c>
      <c r="G233" t="str">
        <f>"2026-04-19 16:49:53.939"</f>
        <v>2026-04-19 16:49:53.939</v>
      </c>
      <c r="H233" t="s">
        <v>21</v>
      </c>
      <c r="I233">
        <v>1.59</v>
      </c>
      <c r="J233" t="s">
        <v>42</v>
      </c>
    </row>
    <row r="234" spans="1:10" x14ac:dyDescent="0.25">
      <c r="A234" s="1">
        <v>25</v>
      </c>
      <c r="B234" t="s">
        <v>19</v>
      </c>
      <c r="C234">
        <v>706</v>
      </c>
      <c r="D234">
        <v>2</v>
      </c>
      <c r="E234" t="s">
        <v>23</v>
      </c>
      <c r="F234" t="s">
        <v>24</v>
      </c>
      <c r="G234" t="str">
        <f>"2026-04-19 08:38:04.522"</f>
        <v>2026-04-19 08:38:04.522</v>
      </c>
      <c r="H234" t="s">
        <v>21</v>
      </c>
      <c r="I234">
        <v>0</v>
      </c>
      <c r="J234" t="s">
        <v>25</v>
      </c>
    </row>
    <row r="235" spans="1:10" x14ac:dyDescent="0.25">
      <c r="A235" s="1">
        <v>26</v>
      </c>
      <c r="B235" t="s">
        <v>19</v>
      </c>
      <c r="C235">
        <v>706</v>
      </c>
      <c r="D235">
        <v>3</v>
      </c>
      <c r="E235" t="s">
        <v>23</v>
      </c>
      <c r="F235" t="s">
        <v>43</v>
      </c>
      <c r="G235" t="str">
        <f>"2026-04-19 08:31:13.342"</f>
        <v>2026-04-19 08:31:13.342</v>
      </c>
      <c r="H235" t="s">
        <v>21</v>
      </c>
      <c r="I235">
        <v>0</v>
      </c>
      <c r="J235" t="s">
        <v>25</v>
      </c>
    </row>
    <row r="236" spans="1:10" x14ac:dyDescent="0.25">
      <c r="A236" s="1">
        <v>27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"2026-04-18 12:58:06.032"</f>
        <v>2026-04-18 12:58:06.032</v>
      </c>
      <c r="H236" t="s">
        <v>21</v>
      </c>
      <c r="I236">
        <v>0</v>
      </c>
      <c r="J236" t="s">
        <v>22</v>
      </c>
    </row>
    <row r="237" spans="1:10" x14ac:dyDescent="0.25">
      <c r="A237" s="1">
        <v>30</v>
      </c>
      <c r="B237" t="s">
        <v>27</v>
      </c>
      <c r="C237">
        <v>635</v>
      </c>
      <c r="D237">
        <v>1</v>
      </c>
      <c r="E237" t="s">
        <v>32</v>
      </c>
      <c r="F237" t="s">
        <v>33</v>
      </c>
      <c r="G237" t="str">
        <f>"2026-04-16 06:40:04.440"</f>
        <v>2026-04-16 06:40:04.440</v>
      </c>
      <c r="H237" t="s">
        <v>21</v>
      </c>
    </row>
    <row r="238" spans="1:10" x14ac:dyDescent="0.25">
      <c r="A238" s="1">
        <v>31</v>
      </c>
      <c r="B238" t="s">
        <v>30</v>
      </c>
      <c r="C238">
        <v>635</v>
      </c>
      <c r="D238">
        <v>1</v>
      </c>
      <c r="E238" t="s">
        <v>32</v>
      </c>
      <c r="F238" t="s">
        <v>33</v>
      </c>
      <c r="G238" t="str">
        <f>"2026-04-16 06:37:13.440"</f>
        <v>2026-04-16 06:37:13.440</v>
      </c>
      <c r="H238" t="s">
        <v>21</v>
      </c>
      <c r="I238">
        <v>3.11</v>
      </c>
      <c r="J238" t="s">
        <v>34</v>
      </c>
    </row>
    <row r="239" spans="1:10" x14ac:dyDescent="0.25">
      <c r="A239" s="1">
        <v>32</v>
      </c>
      <c r="B239" t="s">
        <v>19</v>
      </c>
      <c r="C239">
        <v>706</v>
      </c>
      <c r="D239">
        <v>4</v>
      </c>
      <c r="E239" t="s">
        <v>23</v>
      </c>
      <c r="F239" t="s">
        <v>26</v>
      </c>
      <c r="G239" t="str">
        <f>"2026-04-13 20:57:52.840"</f>
        <v>2026-04-13 20:57:52.840</v>
      </c>
      <c r="H239" t="s">
        <v>21</v>
      </c>
      <c r="I239">
        <v>0</v>
      </c>
      <c r="J239" t="s">
        <v>25</v>
      </c>
    </row>
    <row r="240" spans="1:10" x14ac:dyDescent="0.25">
      <c r="A240" s="1">
        <v>33</v>
      </c>
      <c r="B240" t="s">
        <v>27</v>
      </c>
      <c r="C240">
        <v>635</v>
      </c>
      <c r="D240">
        <v>1</v>
      </c>
      <c r="E240" t="s">
        <v>32</v>
      </c>
      <c r="F240" t="s">
        <v>33</v>
      </c>
      <c r="G240" t="str">
        <f>"2026-04-12 20:16:10.640"</f>
        <v>2026-04-12 20:16:10.640</v>
      </c>
      <c r="H240" t="s">
        <v>21</v>
      </c>
    </row>
    <row r="241" spans="1:10" x14ac:dyDescent="0.25">
      <c r="A241" s="1">
        <v>34</v>
      </c>
      <c r="B241" t="s">
        <v>30</v>
      </c>
      <c r="C241">
        <v>635</v>
      </c>
      <c r="D241">
        <v>1</v>
      </c>
      <c r="E241" t="s">
        <v>32</v>
      </c>
      <c r="F241" t="s">
        <v>33</v>
      </c>
      <c r="G241" t="str">
        <f>"2026-04-12 20:10:26.140"</f>
        <v>2026-04-12 20:10:26.140</v>
      </c>
      <c r="H241" t="s">
        <v>21</v>
      </c>
      <c r="I241">
        <v>2.81</v>
      </c>
      <c r="J241" t="s">
        <v>42</v>
      </c>
    </row>
    <row r="242" spans="1:10" x14ac:dyDescent="0.25">
      <c r="A242" s="1">
        <v>35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"2026-04-12 14:16:34.070"</f>
        <v>2026-04-12 14:16:34.070</v>
      </c>
      <c r="H242" t="s">
        <v>21</v>
      </c>
      <c r="I242">
        <v>0</v>
      </c>
      <c r="J242" t="s">
        <v>22</v>
      </c>
    </row>
    <row r="243" spans="1:10" x14ac:dyDescent="0.25">
      <c r="A243" s="1">
        <v>36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"2026-04-12 13:55:07.024"</f>
        <v>2026-04-12 13:55:07.024</v>
      </c>
      <c r="H243" t="s">
        <v>21</v>
      </c>
      <c r="I243">
        <v>0</v>
      </c>
      <c r="J243" t="s">
        <v>22</v>
      </c>
    </row>
    <row r="244" spans="1:10" x14ac:dyDescent="0.25">
      <c r="A244" s="1">
        <v>37</v>
      </c>
      <c r="B244" t="s">
        <v>19</v>
      </c>
      <c r="C244">
        <v>706</v>
      </c>
      <c r="D244">
        <v>4</v>
      </c>
      <c r="E244" t="s">
        <v>23</v>
      </c>
      <c r="F244" t="s">
        <v>26</v>
      </c>
      <c r="G244" t="str">
        <f>"2026-04-12 11:21:57.453"</f>
        <v>2026-04-12 11:21:57.453</v>
      </c>
      <c r="H244" t="s">
        <v>21</v>
      </c>
      <c r="I244">
        <v>0</v>
      </c>
      <c r="J244" t="s">
        <v>25</v>
      </c>
    </row>
    <row r="245" spans="1:10" x14ac:dyDescent="0.25">
      <c r="A245" s="1">
        <v>38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"2026-04-12 11:17:43.023"</f>
        <v>2026-04-12 11:17:43.023</v>
      </c>
      <c r="H245" t="s">
        <v>21</v>
      </c>
      <c r="I245">
        <v>0</v>
      </c>
      <c r="J245" t="s">
        <v>22</v>
      </c>
    </row>
    <row r="246" spans="1:10" x14ac:dyDescent="0.25">
      <c r="A246" s="1">
        <v>39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"2026-04-12 09:05:18.022"</f>
        <v>2026-04-12 09:05:18.022</v>
      </c>
      <c r="H246" t="s">
        <v>21</v>
      </c>
    </row>
    <row r="247" spans="1:10" x14ac:dyDescent="0.25">
      <c r="A247" s="1">
        <v>40</v>
      </c>
      <c r="B247" t="s">
        <v>27</v>
      </c>
      <c r="C247">
        <v>635</v>
      </c>
      <c r="D247">
        <v>1</v>
      </c>
      <c r="E247" t="s">
        <v>32</v>
      </c>
      <c r="F247" t="s">
        <v>33</v>
      </c>
      <c r="G247" t="str">
        <f>"2026-04-12 07:33:44.419"</f>
        <v>2026-04-12 07:33:44.419</v>
      </c>
      <c r="H247" t="s">
        <v>21</v>
      </c>
    </row>
    <row r="248" spans="1:10" x14ac:dyDescent="0.25">
      <c r="A248" s="1">
        <v>41</v>
      </c>
      <c r="B248" t="s">
        <v>30</v>
      </c>
      <c r="C248">
        <v>635</v>
      </c>
      <c r="D248">
        <v>1</v>
      </c>
      <c r="E248" t="s">
        <v>32</v>
      </c>
      <c r="F248" t="s">
        <v>33</v>
      </c>
      <c r="G248" t="str">
        <f>"2026-04-12 07:27:28.019"</f>
        <v>2026-04-12 07:27:28.019</v>
      </c>
      <c r="H248" t="s">
        <v>21</v>
      </c>
      <c r="I248">
        <v>6.17</v>
      </c>
      <c r="J248" t="s">
        <v>34</v>
      </c>
    </row>
    <row r="249" spans="1:10" x14ac:dyDescent="0.25">
      <c r="A249" s="1">
        <v>42</v>
      </c>
      <c r="B249" t="s">
        <v>27</v>
      </c>
      <c r="C249">
        <v>635</v>
      </c>
      <c r="D249">
        <v>1</v>
      </c>
      <c r="E249" t="s">
        <v>32</v>
      </c>
      <c r="F249" t="s">
        <v>33</v>
      </c>
      <c r="G249" t="str">
        <f>"2026-04-11 14:39:56.619"</f>
        <v>2026-04-11 14:39:56.619</v>
      </c>
      <c r="H249" t="s">
        <v>21</v>
      </c>
    </row>
    <row r="250" spans="1:10" x14ac:dyDescent="0.25">
      <c r="A250" s="1">
        <v>43</v>
      </c>
      <c r="B250" t="s">
        <v>30</v>
      </c>
      <c r="C250">
        <v>635</v>
      </c>
      <c r="D250">
        <v>1</v>
      </c>
      <c r="E250" t="s">
        <v>32</v>
      </c>
      <c r="F250" t="s">
        <v>33</v>
      </c>
      <c r="G250" t="str">
        <f>"2026-04-11 14:31:31.119"</f>
        <v>2026-04-11 14:31:31.119</v>
      </c>
      <c r="H250" t="s">
        <v>21</v>
      </c>
      <c r="I250">
        <v>1.36</v>
      </c>
      <c r="J250" t="s">
        <v>34</v>
      </c>
    </row>
    <row r="251" spans="1:10" x14ac:dyDescent="0.25">
      <c r="A251" s="1">
        <v>44</v>
      </c>
      <c r="B251" t="s">
        <v>19</v>
      </c>
      <c r="C251">
        <v>706</v>
      </c>
      <c r="D251">
        <v>4</v>
      </c>
      <c r="E251" t="s">
        <v>23</v>
      </c>
      <c r="F251" t="s">
        <v>26</v>
      </c>
      <c r="G251" t="str">
        <f>"2026-04-11 12:44:44.190"</f>
        <v>2026-04-11 12:44:44.190</v>
      </c>
      <c r="H251" t="s">
        <v>21</v>
      </c>
      <c r="I251">
        <v>0</v>
      </c>
      <c r="J251" t="s">
        <v>25</v>
      </c>
    </row>
    <row r="252" spans="1:10" x14ac:dyDescent="0.25">
      <c r="A252" s="1">
        <v>45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"2026-04-11 12:20:20.050"</f>
        <v>2026-04-11 12:20:20.050</v>
      </c>
      <c r="H252" t="s">
        <v>21</v>
      </c>
      <c r="I252">
        <v>0</v>
      </c>
      <c r="J252" t="s">
        <v>22</v>
      </c>
    </row>
    <row r="253" spans="1:10" s="3" customFormat="1" x14ac:dyDescent="0.25">
      <c r="A253" s="2">
        <v>46</v>
      </c>
      <c r="B253" s="3" t="s">
        <v>27</v>
      </c>
      <c r="C253" s="3">
        <v>647</v>
      </c>
      <c r="D253" s="3">
        <v>1</v>
      </c>
      <c r="E253" s="3" t="s">
        <v>28</v>
      </c>
      <c r="F253" s="3" t="s">
        <v>29</v>
      </c>
      <c r="G253" s="3" t="str">
        <f>"2026-04-10 18:22:57.495"</f>
        <v>2026-04-10 18:22:57.495</v>
      </c>
      <c r="H253" s="3" t="s">
        <v>21</v>
      </c>
    </row>
    <row r="254" spans="1:10" s="3" customFormat="1" x14ac:dyDescent="0.25">
      <c r="A254" s="2">
        <v>47</v>
      </c>
      <c r="B254" s="3" t="s">
        <v>30</v>
      </c>
      <c r="C254" s="3">
        <v>647</v>
      </c>
      <c r="D254" s="3">
        <v>1</v>
      </c>
      <c r="E254" s="3" t="s">
        <v>28</v>
      </c>
      <c r="F254" s="3" t="s">
        <v>29</v>
      </c>
      <c r="G254" s="3" t="str">
        <f>"2026-04-10 18:22:55.395"</f>
        <v>2026-04-10 18:22:55.395</v>
      </c>
      <c r="H254" s="3" t="s">
        <v>21</v>
      </c>
      <c r="I254" s="3">
        <v>13.39</v>
      </c>
      <c r="J254" s="3" t="s">
        <v>31</v>
      </c>
    </row>
    <row r="255" spans="1:10" x14ac:dyDescent="0.25">
      <c r="A255" s="1">
        <v>48</v>
      </c>
      <c r="B255" t="s">
        <v>27</v>
      </c>
      <c r="C255">
        <v>635</v>
      </c>
      <c r="D255">
        <v>1</v>
      </c>
      <c r="E255" t="s">
        <v>32</v>
      </c>
      <c r="F255" t="s">
        <v>33</v>
      </c>
      <c r="G255" t="str">
        <f>"2026-04-10 00:40:10.095"</f>
        <v>2026-04-10 00:40:10.095</v>
      </c>
      <c r="H255" t="s">
        <v>21</v>
      </c>
    </row>
    <row r="256" spans="1:10" x14ac:dyDescent="0.25">
      <c r="A256" s="1">
        <v>49</v>
      </c>
      <c r="B256" t="s">
        <v>30</v>
      </c>
      <c r="C256">
        <v>635</v>
      </c>
      <c r="D256">
        <v>1</v>
      </c>
      <c r="E256" t="s">
        <v>32</v>
      </c>
      <c r="F256" t="s">
        <v>33</v>
      </c>
      <c r="G256" t="str">
        <f>"2026-04-10 00:34:24.595"</f>
        <v>2026-04-10 00:34:24.595</v>
      </c>
      <c r="H256" t="s">
        <v>21</v>
      </c>
      <c r="I256">
        <v>3.49</v>
      </c>
      <c r="J256" t="s">
        <v>42</v>
      </c>
    </row>
    <row r="257" spans="1:10" x14ac:dyDescent="0.25">
      <c r="A257" s="1">
        <v>50</v>
      </c>
      <c r="B257" t="s">
        <v>19</v>
      </c>
      <c r="C257">
        <v>706</v>
      </c>
      <c r="D257">
        <v>4</v>
      </c>
      <c r="E257" t="s">
        <v>23</v>
      </c>
      <c r="F257" t="s">
        <v>26</v>
      </c>
      <c r="G257" t="str">
        <f>"2026-04-09 22:15:35.407"</f>
        <v>2026-04-09 22:15:35.407</v>
      </c>
      <c r="H257" t="s">
        <v>21</v>
      </c>
      <c r="I257">
        <v>0</v>
      </c>
      <c r="J257" t="s">
        <v>25</v>
      </c>
    </row>
    <row r="258" spans="1:10" x14ac:dyDescent="0.25">
      <c r="A258" s="1">
        <v>51</v>
      </c>
      <c r="B258" t="s">
        <v>27</v>
      </c>
      <c r="C258">
        <v>635</v>
      </c>
      <c r="D258">
        <v>1</v>
      </c>
      <c r="E258" t="s">
        <v>32</v>
      </c>
      <c r="F258" t="s">
        <v>33</v>
      </c>
      <c r="G258" t="str">
        <f>"2026-04-09 20:52:47.495"</f>
        <v>2026-04-09 20:52:47.495</v>
      </c>
      <c r="H258" t="s">
        <v>21</v>
      </c>
    </row>
    <row r="259" spans="1:10" x14ac:dyDescent="0.25">
      <c r="A259" s="1">
        <v>52</v>
      </c>
      <c r="B259" t="s">
        <v>30</v>
      </c>
      <c r="C259">
        <v>635</v>
      </c>
      <c r="D259">
        <v>1</v>
      </c>
      <c r="E259" t="s">
        <v>32</v>
      </c>
      <c r="F259" t="s">
        <v>33</v>
      </c>
      <c r="G259" t="str">
        <f>"2026-04-09 20:49:40.595"</f>
        <v>2026-04-09 20:49:40.595</v>
      </c>
      <c r="H259" t="s">
        <v>21</v>
      </c>
      <c r="I259">
        <v>5.25</v>
      </c>
      <c r="J259" t="s">
        <v>31</v>
      </c>
    </row>
    <row r="260" spans="1:10" x14ac:dyDescent="0.25">
      <c r="A260" s="1">
        <v>53</v>
      </c>
      <c r="B260" t="s">
        <v>35</v>
      </c>
      <c r="C260">
        <v>620</v>
      </c>
      <c r="D260">
        <v>1</v>
      </c>
      <c r="E260" t="s">
        <v>46</v>
      </c>
      <c r="F260" t="s">
        <v>33</v>
      </c>
      <c r="G260" t="str">
        <f>"2026-04-09 17:33:49.648"</f>
        <v>2026-04-09 17:33:49.648</v>
      </c>
      <c r="H260" t="s">
        <v>45</v>
      </c>
    </row>
    <row r="261" spans="1:10" x14ac:dyDescent="0.25">
      <c r="A261" s="1">
        <v>54</v>
      </c>
      <c r="B261" t="s">
        <v>39</v>
      </c>
      <c r="C261">
        <v>620</v>
      </c>
      <c r="D261">
        <v>1</v>
      </c>
      <c r="E261" t="s">
        <v>46</v>
      </c>
      <c r="F261" t="s">
        <v>33</v>
      </c>
      <c r="G261" t="str">
        <f>"2026-04-09 17:32:02.095"</f>
        <v>2026-04-09 17:32:02.095</v>
      </c>
      <c r="H261" t="s">
        <v>45</v>
      </c>
      <c r="I261">
        <v>9.73</v>
      </c>
      <c r="J261" t="s">
        <v>34</v>
      </c>
    </row>
    <row r="262" spans="1:10" x14ac:dyDescent="0.25">
      <c r="A262" s="1">
        <v>55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"2026-04-09 14:09:34.207"</f>
        <v>2026-04-09 14:09:34.207</v>
      </c>
      <c r="H262" t="s">
        <v>21</v>
      </c>
    </row>
    <row r="263" spans="1:10" x14ac:dyDescent="0.25">
      <c r="A263" s="1">
        <v>56</v>
      </c>
      <c r="B263" t="s">
        <v>27</v>
      </c>
      <c r="C263">
        <v>635</v>
      </c>
      <c r="D263">
        <v>1</v>
      </c>
      <c r="E263" t="s">
        <v>32</v>
      </c>
      <c r="F263" t="s">
        <v>33</v>
      </c>
      <c r="G263" t="str">
        <f>"2026-04-09 05:29:37.340"</f>
        <v>2026-04-09 05:29:37.340</v>
      </c>
      <c r="H263" t="s">
        <v>21</v>
      </c>
    </row>
    <row r="264" spans="1:10" x14ac:dyDescent="0.25">
      <c r="A264" s="1">
        <v>57</v>
      </c>
      <c r="B264" t="s">
        <v>30</v>
      </c>
      <c r="C264">
        <v>635</v>
      </c>
      <c r="D264">
        <v>1</v>
      </c>
      <c r="E264" t="s">
        <v>32</v>
      </c>
      <c r="F264" t="s">
        <v>33</v>
      </c>
      <c r="G264" t="str">
        <f>"2026-04-09 05:22:57.340"</f>
        <v>2026-04-09 05:22:57.340</v>
      </c>
      <c r="H264" t="s">
        <v>21</v>
      </c>
      <c r="I264">
        <v>3.46</v>
      </c>
      <c r="J264" t="s">
        <v>34</v>
      </c>
    </row>
    <row r="265" spans="1:10" x14ac:dyDescent="0.25">
      <c r="A265" s="1">
        <v>58</v>
      </c>
      <c r="B265" t="s">
        <v>27</v>
      </c>
      <c r="C265">
        <v>635</v>
      </c>
      <c r="D265">
        <v>1</v>
      </c>
      <c r="E265" t="s">
        <v>32</v>
      </c>
      <c r="F265" t="s">
        <v>33</v>
      </c>
      <c r="G265" t="str">
        <f>"2026-04-09 03:30:36.640"</f>
        <v>2026-04-09 03:30:36.640</v>
      </c>
      <c r="H265" t="s">
        <v>21</v>
      </c>
    </row>
    <row r="266" spans="1:10" x14ac:dyDescent="0.25">
      <c r="A266" s="1">
        <v>59</v>
      </c>
      <c r="B266" t="s">
        <v>30</v>
      </c>
      <c r="C266">
        <v>635</v>
      </c>
      <c r="D266">
        <v>1</v>
      </c>
      <c r="E266" t="s">
        <v>32</v>
      </c>
      <c r="F266" t="s">
        <v>33</v>
      </c>
      <c r="G266" t="str">
        <f>"2026-04-09 03:23:54.140"</f>
        <v>2026-04-09 03:23:54.140</v>
      </c>
      <c r="H266" t="s">
        <v>21</v>
      </c>
      <c r="I266">
        <v>2.92</v>
      </c>
      <c r="J266" t="s">
        <v>34</v>
      </c>
    </row>
    <row r="267" spans="1:10" x14ac:dyDescent="0.25">
      <c r="A267" s="1">
        <v>60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"2026-04-08 13:03:36.014"</f>
        <v>2026-04-08 13:03:36.014</v>
      </c>
      <c r="H267" t="s">
        <v>21</v>
      </c>
      <c r="I267">
        <v>0</v>
      </c>
      <c r="J267" t="s">
        <v>22</v>
      </c>
    </row>
    <row r="268" spans="1:10" s="3" customFormat="1" x14ac:dyDescent="0.25">
      <c r="A268" s="2">
        <v>61</v>
      </c>
      <c r="B268" s="3" t="s">
        <v>27</v>
      </c>
      <c r="C268" s="3">
        <v>647</v>
      </c>
      <c r="D268" s="3">
        <v>1</v>
      </c>
      <c r="E268" s="3" t="s">
        <v>28</v>
      </c>
      <c r="F268" s="3" t="s">
        <v>29</v>
      </c>
      <c r="G268" s="3" t="str">
        <f>"2026-04-07 18:01:17.505"</f>
        <v>2026-04-07 18:01:17.505</v>
      </c>
      <c r="H268" s="3" t="s">
        <v>21</v>
      </c>
    </row>
    <row r="269" spans="1:10" s="3" customFormat="1" x14ac:dyDescent="0.25">
      <c r="A269" s="2">
        <v>62</v>
      </c>
      <c r="B269" s="3" t="s">
        <v>30</v>
      </c>
      <c r="C269" s="3">
        <v>647</v>
      </c>
      <c r="D269" s="3">
        <v>1</v>
      </c>
      <c r="E269" s="3" t="s">
        <v>28</v>
      </c>
      <c r="F269" s="3" t="s">
        <v>29</v>
      </c>
      <c r="G269" s="3" t="str">
        <f>"2026-04-07 18:01:13.605"</f>
        <v>2026-04-07 18:01:13.605</v>
      </c>
      <c r="H269" s="3" t="s">
        <v>21</v>
      </c>
      <c r="I269" s="3">
        <v>17.02</v>
      </c>
      <c r="J269" s="3" t="s">
        <v>31</v>
      </c>
    </row>
    <row r="270" spans="1:10" x14ac:dyDescent="0.25">
      <c r="A270" s="1">
        <v>63</v>
      </c>
      <c r="B270" t="s">
        <v>27</v>
      </c>
      <c r="C270">
        <v>635</v>
      </c>
      <c r="D270">
        <v>1</v>
      </c>
      <c r="E270" t="s">
        <v>32</v>
      </c>
      <c r="F270" t="s">
        <v>33</v>
      </c>
      <c r="G270" t="str">
        <f>"2026-04-07 08:56:21.704"</f>
        <v>2026-04-07 08:56:21.704</v>
      </c>
      <c r="H270" t="s">
        <v>21</v>
      </c>
    </row>
    <row r="271" spans="1:10" x14ac:dyDescent="0.25">
      <c r="A271" s="1">
        <v>64</v>
      </c>
      <c r="B271" t="s">
        <v>30</v>
      </c>
      <c r="C271">
        <v>635</v>
      </c>
      <c r="D271">
        <v>1</v>
      </c>
      <c r="E271" t="s">
        <v>32</v>
      </c>
      <c r="F271" t="s">
        <v>33</v>
      </c>
      <c r="G271" t="str">
        <f>"2026-04-07 08:53:41.204"</f>
        <v>2026-04-07 08:53:41.204</v>
      </c>
      <c r="H271" t="s">
        <v>21</v>
      </c>
      <c r="I271">
        <v>0</v>
      </c>
      <c r="J271" t="s">
        <v>42</v>
      </c>
    </row>
    <row r="272" spans="1:10" x14ac:dyDescent="0.25">
      <c r="A272" s="1">
        <v>65</v>
      </c>
      <c r="B272" t="s">
        <v>27</v>
      </c>
      <c r="C272">
        <v>61</v>
      </c>
      <c r="D272">
        <v>2</v>
      </c>
      <c r="E272" t="s">
        <v>47</v>
      </c>
      <c r="F272" t="s">
        <v>48</v>
      </c>
      <c r="G272" t="str">
        <f>"2026-04-06 19:33:57.105"</f>
        <v>2026-04-06 19:33:57.105</v>
      </c>
      <c r="H272" t="s">
        <v>21</v>
      </c>
    </row>
    <row r="273" spans="1:10" x14ac:dyDescent="0.25">
      <c r="A273" s="1">
        <v>66</v>
      </c>
      <c r="B273" t="s">
        <v>39</v>
      </c>
      <c r="C273">
        <v>61</v>
      </c>
      <c r="D273">
        <v>2</v>
      </c>
      <c r="E273" t="s">
        <v>47</v>
      </c>
      <c r="F273" t="s">
        <v>48</v>
      </c>
      <c r="G273" t="str">
        <f>"2026-04-06 19:33:46.505"</f>
        <v>2026-04-06 19:33:46.505</v>
      </c>
      <c r="H273" t="s">
        <v>21</v>
      </c>
      <c r="I273">
        <v>35.28</v>
      </c>
      <c r="J273" t="s">
        <v>31</v>
      </c>
    </row>
    <row r="274" spans="1:10" x14ac:dyDescent="0.25">
      <c r="A274" s="1">
        <v>67</v>
      </c>
      <c r="B274" t="s">
        <v>27</v>
      </c>
      <c r="C274">
        <v>635</v>
      </c>
      <c r="D274">
        <v>1</v>
      </c>
      <c r="E274" t="s">
        <v>32</v>
      </c>
      <c r="F274" t="s">
        <v>33</v>
      </c>
      <c r="G274" t="str">
        <f>"2026-04-06 05:32:11.704"</f>
        <v>2026-04-06 05:32:11.704</v>
      </c>
      <c r="H274" t="s">
        <v>21</v>
      </c>
    </row>
    <row r="275" spans="1:10" x14ac:dyDescent="0.25">
      <c r="A275" s="1">
        <v>68</v>
      </c>
      <c r="B275" t="s">
        <v>30</v>
      </c>
      <c r="C275">
        <v>635</v>
      </c>
      <c r="D275">
        <v>1</v>
      </c>
      <c r="E275" t="s">
        <v>32</v>
      </c>
      <c r="F275" t="s">
        <v>33</v>
      </c>
      <c r="G275" t="str">
        <f>"2026-04-06 05:26:53.304"</f>
        <v>2026-04-06 05:26:53.304</v>
      </c>
      <c r="H275" t="s">
        <v>21</v>
      </c>
      <c r="I275">
        <v>2.2799999999999998</v>
      </c>
      <c r="J275" t="s">
        <v>42</v>
      </c>
    </row>
    <row r="276" spans="1:10" x14ac:dyDescent="0.25">
      <c r="A276" s="1">
        <v>69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"2026-04-05 12:25:28.013"</f>
        <v>2026-04-05 12:25:28.013</v>
      </c>
      <c r="H276" t="s">
        <v>21</v>
      </c>
      <c r="I276">
        <v>0</v>
      </c>
      <c r="J276" t="s">
        <v>22</v>
      </c>
    </row>
    <row r="277" spans="1:10" x14ac:dyDescent="0.25">
      <c r="A277" s="1">
        <v>70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"2026-04-05 09:53:14.009"</f>
        <v>2026-04-05 09:53:14.009</v>
      </c>
      <c r="H277" t="s">
        <v>21</v>
      </c>
      <c r="I277">
        <v>0</v>
      </c>
      <c r="J277" t="s">
        <v>22</v>
      </c>
    </row>
    <row r="278" spans="1:10" x14ac:dyDescent="0.25">
      <c r="A278" s="1">
        <v>71</v>
      </c>
      <c r="B278" t="s">
        <v>27</v>
      </c>
      <c r="C278">
        <v>635</v>
      </c>
      <c r="D278">
        <v>1</v>
      </c>
      <c r="E278" t="s">
        <v>32</v>
      </c>
      <c r="F278" t="s">
        <v>33</v>
      </c>
      <c r="G278" t="str">
        <f>"2026-04-04 16:23:02.888"</f>
        <v>2026-04-04 16:23:02.888</v>
      </c>
      <c r="H278" t="s">
        <v>21</v>
      </c>
    </row>
    <row r="279" spans="1:10" x14ac:dyDescent="0.25">
      <c r="A279" s="1">
        <v>72</v>
      </c>
      <c r="B279" t="s">
        <v>30</v>
      </c>
      <c r="C279">
        <v>635</v>
      </c>
      <c r="D279">
        <v>1</v>
      </c>
      <c r="E279" t="s">
        <v>32</v>
      </c>
      <c r="F279" t="s">
        <v>33</v>
      </c>
      <c r="G279" t="str">
        <f>"2026-04-04 16:19:33.888"</f>
        <v>2026-04-04 16:19:33.888</v>
      </c>
      <c r="H279" t="s">
        <v>21</v>
      </c>
      <c r="I279">
        <v>1.24</v>
      </c>
      <c r="J279" t="s">
        <v>34</v>
      </c>
    </row>
    <row r="280" spans="1:10" x14ac:dyDescent="0.25">
      <c r="A280" s="1">
        <v>73</v>
      </c>
      <c r="B280" t="s">
        <v>19</v>
      </c>
      <c r="C280">
        <v>706</v>
      </c>
      <c r="D280">
        <v>4</v>
      </c>
      <c r="E280" t="s">
        <v>23</v>
      </c>
      <c r="F280" t="s">
        <v>26</v>
      </c>
      <c r="G280" t="str">
        <f>"2026-04-02 03:03:43.455"</f>
        <v>2026-04-02 03:03:43.455</v>
      </c>
      <c r="H280" t="s">
        <v>21</v>
      </c>
      <c r="I280">
        <v>0</v>
      </c>
      <c r="J280" t="s">
        <v>25</v>
      </c>
    </row>
    <row r="281" spans="1:10" x14ac:dyDescent="0.25">
      <c r="A281" s="1">
        <v>74</v>
      </c>
      <c r="B281" t="s">
        <v>19</v>
      </c>
      <c r="C281">
        <v>706</v>
      </c>
      <c r="D281">
        <v>4</v>
      </c>
      <c r="E281" t="s">
        <v>23</v>
      </c>
      <c r="F281" t="s">
        <v>26</v>
      </c>
      <c r="G281" t="str">
        <f>"2026-04-02 03:01:05.355"</f>
        <v>2026-04-02 03:01:05.355</v>
      </c>
      <c r="H281" t="s">
        <v>21</v>
      </c>
      <c r="I281">
        <v>0</v>
      </c>
      <c r="J281" t="s">
        <v>25</v>
      </c>
    </row>
    <row r="282" spans="1:10" x14ac:dyDescent="0.25">
      <c r="A282" s="1">
        <v>75</v>
      </c>
      <c r="B282" t="s">
        <v>19</v>
      </c>
      <c r="C282">
        <v>706</v>
      </c>
      <c r="D282">
        <v>4</v>
      </c>
      <c r="E282" t="s">
        <v>23</v>
      </c>
      <c r="F282" t="s">
        <v>26</v>
      </c>
      <c r="G282" t="str">
        <f>"2026-04-02 03:00:44.465"</f>
        <v>2026-04-02 03:00:44.465</v>
      </c>
      <c r="H282" t="s">
        <v>21</v>
      </c>
      <c r="I282">
        <v>0</v>
      </c>
      <c r="J282" t="s">
        <v>25</v>
      </c>
    </row>
    <row r="283" spans="1:10" x14ac:dyDescent="0.25">
      <c r="A283" s="1">
        <v>76</v>
      </c>
      <c r="B283" t="s">
        <v>19</v>
      </c>
      <c r="C283">
        <v>706</v>
      </c>
      <c r="D283">
        <v>4</v>
      </c>
      <c r="E283" t="s">
        <v>23</v>
      </c>
      <c r="F283" t="s">
        <v>26</v>
      </c>
      <c r="G283" t="str">
        <f>"2026-04-02 03:00:34.355"</f>
        <v>2026-04-02 03:00:34.355</v>
      </c>
      <c r="H283" t="s">
        <v>21</v>
      </c>
      <c r="I283">
        <v>0</v>
      </c>
      <c r="J283" t="s">
        <v>25</v>
      </c>
    </row>
    <row r="284" spans="1:10" x14ac:dyDescent="0.25">
      <c r="A284" s="1">
        <v>77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"2026-04-02 02:59:58.005"</f>
        <v>2026-04-02 02:59:58.005</v>
      </c>
      <c r="H284" t="s">
        <v>21</v>
      </c>
      <c r="I284">
        <v>0</v>
      </c>
      <c r="J284" t="s">
        <v>22</v>
      </c>
    </row>
    <row r="285" spans="1:10" x14ac:dyDescent="0.25">
      <c r="A285" s="1">
        <v>78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"2026-04-02 02:24:47.014"</f>
        <v>2026-04-02 02:24:47.014</v>
      </c>
      <c r="H285" t="s">
        <v>21</v>
      </c>
      <c r="I285">
        <v>0</v>
      </c>
      <c r="J285" t="s">
        <v>22</v>
      </c>
    </row>
    <row r="286" spans="1:10" x14ac:dyDescent="0.25">
      <c r="A286" s="1">
        <v>79</v>
      </c>
      <c r="B286" t="s">
        <v>27</v>
      </c>
      <c r="C286">
        <v>635</v>
      </c>
      <c r="D286">
        <v>1</v>
      </c>
      <c r="E286" t="s">
        <v>32</v>
      </c>
      <c r="F286" t="s">
        <v>33</v>
      </c>
      <c r="G286" t="str">
        <f>"2026-04-01 20:51:35.810"</f>
        <v>2026-04-01 20:51:35.810</v>
      </c>
      <c r="H286" t="s">
        <v>21</v>
      </c>
    </row>
    <row r="287" spans="1:10" x14ac:dyDescent="0.25">
      <c r="A287" s="1">
        <v>80</v>
      </c>
      <c r="B287" t="s">
        <v>30</v>
      </c>
      <c r="C287">
        <v>635</v>
      </c>
      <c r="D287">
        <v>1</v>
      </c>
      <c r="E287" t="s">
        <v>32</v>
      </c>
      <c r="F287" t="s">
        <v>33</v>
      </c>
      <c r="G287" t="str">
        <f>"2026-04-01 20:47:47.309"</f>
        <v>2026-04-01 20:47:47.309</v>
      </c>
      <c r="H287" t="s">
        <v>21</v>
      </c>
      <c r="I287">
        <v>0</v>
      </c>
      <c r="J287" t="s">
        <v>42</v>
      </c>
    </row>
    <row r="288" spans="1:10" x14ac:dyDescent="0.25">
      <c r="A288" s="1">
        <v>81</v>
      </c>
      <c r="B288" t="s">
        <v>27</v>
      </c>
      <c r="C288">
        <v>635</v>
      </c>
      <c r="D288">
        <v>1</v>
      </c>
      <c r="E288" t="s">
        <v>32</v>
      </c>
      <c r="F288" t="s">
        <v>33</v>
      </c>
      <c r="G288" t="str">
        <f>"2026-04-01 16:25:57.410"</f>
        <v>2026-04-01 16:25:57.410</v>
      </c>
      <c r="H288" t="s">
        <v>21</v>
      </c>
    </row>
    <row r="289" spans="1:10" x14ac:dyDescent="0.25">
      <c r="A289" s="1">
        <v>82</v>
      </c>
      <c r="B289" t="s">
        <v>30</v>
      </c>
      <c r="C289">
        <v>635</v>
      </c>
      <c r="D289">
        <v>1</v>
      </c>
      <c r="E289" t="s">
        <v>32</v>
      </c>
      <c r="F289" t="s">
        <v>33</v>
      </c>
      <c r="G289" t="str">
        <f>"2026-04-01 16:22:54.910"</f>
        <v>2026-04-01 16:22:54.910</v>
      </c>
      <c r="H289" t="s">
        <v>21</v>
      </c>
      <c r="I289">
        <v>0.22</v>
      </c>
      <c r="J289" t="s">
        <v>34</v>
      </c>
    </row>
    <row r="290" spans="1:10" x14ac:dyDescent="0.25">
      <c r="A290" s="1">
        <v>83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"2026-03-31 12:51:19.001"</f>
        <v>2026-03-31 12:51:19.001</v>
      </c>
      <c r="H290" t="s">
        <v>21</v>
      </c>
      <c r="I290">
        <v>0</v>
      </c>
      <c r="J290" t="s">
        <v>22</v>
      </c>
    </row>
    <row r="291" spans="1:10" x14ac:dyDescent="0.25">
      <c r="A291" s="1">
        <v>84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"2026-03-30 12:19:31.152"</f>
        <v>2026-03-30 12:19:31.152</v>
      </c>
      <c r="H291" t="s">
        <v>21</v>
      </c>
      <c r="I291">
        <v>0</v>
      </c>
      <c r="J291" t="s">
        <v>22</v>
      </c>
    </row>
    <row r="292" spans="1:10" x14ac:dyDescent="0.25">
      <c r="A292" s="1">
        <v>85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"2026-03-28 13:23:12.019"</f>
        <v>2026-03-28 13:23:12.019</v>
      </c>
      <c r="H292" t="s">
        <v>21</v>
      </c>
      <c r="I292">
        <v>0</v>
      </c>
      <c r="J292" t="s">
        <v>22</v>
      </c>
    </row>
    <row r="293" spans="1:10" x14ac:dyDescent="0.25">
      <c r="A293" s="1">
        <v>86</v>
      </c>
      <c r="B293" t="s">
        <v>27</v>
      </c>
      <c r="C293">
        <v>635</v>
      </c>
      <c r="D293">
        <v>1</v>
      </c>
      <c r="E293" t="s">
        <v>32</v>
      </c>
      <c r="F293" t="s">
        <v>33</v>
      </c>
      <c r="G293" t="str">
        <f>"2026-03-28 09:12:32.557"</f>
        <v>2026-03-28 09:12:32.557</v>
      </c>
      <c r="H293" t="s">
        <v>21</v>
      </c>
    </row>
    <row r="294" spans="1:10" x14ac:dyDescent="0.25">
      <c r="A294" s="1">
        <v>87</v>
      </c>
      <c r="B294" t="s">
        <v>30</v>
      </c>
      <c r="C294">
        <v>635</v>
      </c>
      <c r="D294">
        <v>1</v>
      </c>
      <c r="E294" t="s">
        <v>32</v>
      </c>
      <c r="F294" t="s">
        <v>33</v>
      </c>
      <c r="G294" t="str">
        <f>"2026-03-28 09:05:03.557"</f>
        <v>2026-03-28 09:05:03.557</v>
      </c>
      <c r="H294" t="s">
        <v>21</v>
      </c>
      <c r="I294">
        <v>8.6</v>
      </c>
      <c r="J294" t="s">
        <v>34</v>
      </c>
    </row>
    <row r="295" spans="1:10" x14ac:dyDescent="0.25">
      <c r="A295" s="1">
        <v>88</v>
      </c>
      <c r="B295" t="s">
        <v>19</v>
      </c>
      <c r="C295">
        <v>706</v>
      </c>
      <c r="D295">
        <v>2</v>
      </c>
      <c r="E295" t="s">
        <v>23</v>
      </c>
      <c r="F295" t="s">
        <v>24</v>
      </c>
      <c r="G295" t="str">
        <f>"2026-03-26 20:59:35.340"</f>
        <v>2026-03-26 20:59:35.340</v>
      </c>
      <c r="H295" t="s">
        <v>21</v>
      </c>
      <c r="I295">
        <v>0</v>
      </c>
      <c r="J295" t="s">
        <v>25</v>
      </c>
    </row>
    <row r="296" spans="1:10" x14ac:dyDescent="0.25">
      <c r="A296" s="1">
        <v>89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"2026-03-25 13:30:24.030"</f>
        <v>2026-03-25 13:30:24.030</v>
      </c>
      <c r="H296" t="s">
        <v>21</v>
      </c>
      <c r="I296">
        <v>0</v>
      </c>
      <c r="J296" t="s">
        <v>22</v>
      </c>
    </row>
    <row r="297" spans="1:10" x14ac:dyDescent="0.25">
      <c r="A297" s="1">
        <v>90</v>
      </c>
      <c r="B297" t="s">
        <v>27</v>
      </c>
      <c r="C297">
        <v>635</v>
      </c>
      <c r="D297">
        <v>1</v>
      </c>
      <c r="E297" t="s">
        <v>32</v>
      </c>
      <c r="F297" t="s">
        <v>33</v>
      </c>
      <c r="G297" t="str">
        <f>"2026-03-25 10:01:03.620"</f>
        <v>2026-03-25 10:01:03.620</v>
      </c>
      <c r="H297" t="s">
        <v>21</v>
      </c>
    </row>
    <row r="298" spans="1:10" x14ac:dyDescent="0.25">
      <c r="A298" s="1">
        <v>91</v>
      </c>
      <c r="B298" t="s">
        <v>30</v>
      </c>
      <c r="C298">
        <v>635</v>
      </c>
      <c r="D298">
        <v>1</v>
      </c>
      <c r="E298" t="s">
        <v>32</v>
      </c>
      <c r="F298" t="s">
        <v>33</v>
      </c>
      <c r="G298" t="str">
        <f>"2026-03-25 09:56:28.120"</f>
        <v>2026-03-25 09:56:28.120</v>
      </c>
      <c r="H298" t="s">
        <v>21</v>
      </c>
      <c r="I298">
        <v>4.8499999999999996</v>
      </c>
      <c r="J298" t="s">
        <v>34</v>
      </c>
    </row>
    <row r="299" spans="1:10" s="3" customFormat="1" x14ac:dyDescent="0.25">
      <c r="A299" s="2">
        <v>92</v>
      </c>
      <c r="B299" s="3" t="s">
        <v>27</v>
      </c>
      <c r="C299" s="3">
        <v>647</v>
      </c>
      <c r="D299" s="3">
        <v>1</v>
      </c>
      <c r="E299" s="3" t="s">
        <v>28</v>
      </c>
      <c r="F299" s="3" t="s">
        <v>29</v>
      </c>
      <c r="G299" s="3" t="str">
        <f>"2026-03-24 07:44:48.220"</f>
        <v>2026-03-24 07:44:48.220</v>
      </c>
      <c r="H299" s="3" t="s">
        <v>21</v>
      </c>
    </row>
    <row r="300" spans="1:10" s="3" customFormat="1" x14ac:dyDescent="0.25">
      <c r="A300" s="2">
        <v>93</v>
      </c>
      <c r="B300" s="3" t="s">
        <v>30</v>
      </c>
      <c r="C300" s="3">
        <v>647</v>
      </c>
      <c r="D300" s="3">
        <v>1</v>
      </c>
      <c r="E300" s="3" t="s">
        <v>28</v>
      </c>
      <c r="F300" s="3" t="s">
        <v>29</v>
      </c>
      <c r="G300" s="3" t="str">
        <f>"2026-03-24 07:44:46.321"</f>
        <v>2026-03-24 07:44:46.321</v>
      </c>
      <c r="H300" s="3" t="s">
        <v>21</v>
      </c>
      <c r="I300" s="3">
        <v>15.57</v>
      </c>
      <c r="J300" s="3" t="s">
        <v>31</v>
      </c>
    </row>
    <row r="301" spans="1:10" x14ac:dyDescent="0.25">
      <c r="A301" s="1">
        <v>94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"2026-03-23 10:04:01.042"</f>
        <v>2026-03-23 10:04:01.042</v>
      </c>
      <c r="H301" t="s">
        <v>21</v>
      </c>
      <c r="I301">
        <v>0</v>
      </c>
      <c r="J301" t="s">
        <v>22</v>
      </c>
    </row>
    <row r="302" spans="1:10" s="3" customFormat="1" x14ac:dyDescent="0.25">
      <c r="A302" s="2">
        <v>95</v>
      </c>
      <c r="B302" s="3" t="s">
        <v>27</v>
      </c>
      <c r="C302" s="3">
        <v>647</v>
      </c>
      <c r="D302" s="3">
        <v>1</v>
      </c>
      <c r="E302" s="3" t="s">
        <v>28</v>
      </c>
      <c r="F302" s="3" t="s">
        <v>29</v>
      </c>
      <c r="G302" s="3" t="str">
        <f>"2026-03-23 07:45:51.617"</f>
        <v>2026-03-23 07:45:51.617</v>
      </c>
      <c r="H302" s="3" t="s">
        <v>21</v>
      </c>
    </row>
    <row r="303" spans="1:10" s="3" customFormat="1" x14ac:dyDescent="0.25">
      <c r="A303" s="2">
        <v>96</v>
      </c>
      <c r="B303" s="3" t="s">
        <v>30</v>
      </c>
      <c r="C303" s="3">
        <v>647</v>
      </c>
      <c r="D303" s="3">
        <v>1</v>
      </c>
      <c r="E303" s="3" t="s">
        <v>28</v>
      </c>
      <c r="F303" s="3" t="s">
        <v>29</v>
      </c>
      <c r="G303" s="3" t="str">
        <f>"2026-03-23 07:45:48.517"</f>
        <v>2026-03-23 07:45:48.517</v>
      </c>
      <c r="H303" s="3" t="s">
        <v>21</v>
      </c>
      <c r="I303" s="3">
        <v>13.56</v>
      </c>
      <c r="J303" s="3" t="s">
        <v>31</v>
      </c>
    </row>
    <row r="304" spans="1:10" x14ac:dyDescent="0.25">
      <c r="A304" s="1">
        <v>97</v>
      </c>
      <c r="B304" t="s">
        <v>27</v>
      </c>
      <c r="C304">
        <v>635</v>
      </c>
      <c r="D304">
        <v>1</v>
      </c>
      <c r="E304" t="s">
        <v>32</v>
      </c>
      <c r="F304" t="s">
        <v>33</v>
      </c>
      <c r="G304" t="str">
        <f>"2026-03-23 05:22:50.016"</f>
        <v>2026-03-23 05:22:50.016</v>
      </c>
      <c r="H304" t="s">
        <v>21</v>
      </c>
    </row>
    <row r="305" spans="1:10" x14ac:dyDescent="0.25">
      <c r="A305" s="1">
        <v>98</v>
      </c>
      <c r="B305" t="s">
        <v>30</v>
      </c>
      <c r="C305">
        <v>635</v>
      </c>
      <c r="D305">
        <v>1</v>
      </c>
      <c r="E305" t="s">
        <v>32</v>
      </c>
      <c r="F305" t="s">
        <v>33</v>
      </c>
      <c r="G305" t="str">
        <f>"2026-03-23 05:19:10.016"</f>
        <v>2026-03-23 05:19:10.016</v>
      </c>
      <c r="H305" t="s">
        <v>21</v>
      </c>
      <c r="I305">
        <v>4.4800000000000004</v>
      </c>
      <c r="J305" t="s">
        <v>31</v>
      </c>
    </row>
    <row r="306" spans="1:10" x14ac:dyDescent="0.25">
      <c r="A306" s="1">
        <v>99</v>
      </c>
      <c r="B306" t="s">
        <v>19</v>
      </c>
      <c r="C306">
        <v>706</v>
      </c>
      <c r="D306">
        <v>4</v>
      </c>
      <c r="E306" t="s">
        <v>23</v>
      </c>
      <c r="F306" t="s">
        <v>26</v>
      </c>
      <c r="G306" t="str">
        <f>"2026-03-22 21:05:02.385"</f>
        <v>2026-03-22 21:05:02.385</v>
      </c>
      <c r="H306" t="s">
        <v>21</v>
      </c>
      <c r="I306">
        <v>0</v>
      </c>
      <c r="J306" t="s">
        <v>25</v>
      </c>
    </row>
    <row r="307" spans="1:10" x14ac:dyDescent="0.25">
      <c r="A307" s="1">
        <v>0</v>
      </c>
      <c r="B307" t="s">
        <v>19</v>
      </c>
      <c r="C307">
        <v>706</v>
      </c>
      <c r="D307">
        <v>4</v>
      </c>
      <c r="E307" t="s">
        <v>23</v>
      </c>
      <c r="F307" t="s">
        <v>26</v>
      </c>
      <c r="G307" t="str">
        <f>"2026-03-22 14:39:14.055"</f>
        <v>2026-03-22 14:39:14.055</v>
      </c>
      <c r="H307" t="s">
        <v>21</v>
      </c>
      <c r="I307">
        <v>0</v>
      </c>
      <c r="J307" t="s">
        <v>25</v>
      </c>
    </row>
    <row r="308" spans="1:10" x14ac:dyDescent="0.25">
      <c r="A308" s="1">
        <v>1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"2026-03-22 14:38:28.025"</f>
        <v>2026-03-22 14:38:28.025</v>
      </c>
      <c r="H308" t="s">
        <v>21</v>
      </c>
      <c r="I308">
        <v>0</v>
      </c>
      <c r="J308" t="s">
        <v>22</v>
      </c>
    </row>
    <row r="309" spans="1:10" s="3" customFormat="1" x14ac:dyDescent="0.25">
      <c r="A309" s="2">
        <v>2</v>
      </c>
      <c r="B309" s="3" t="s">
        <v>27</v>
      </c>
      <c r="C309" s="3">
        <v>647</v>
      </c>
      <c r="D309" s="3">
        <v>1</v>
      </c>
      <c r="E309" s="3" t="s">
        <v>28</v>
      </c>
      <c r="F309" s="3" t="s">
        <v>29</v>
      </c>
      <c r="G309" s="3" t="str">
        <f>"2026-03-22 13:57:17.116"</f>
        <v>2026-03-22 13:57:17.116</v>
      </c>
      <c r="H309" s="3" t="s">
        <v>21</v>
      </c>
    </row>
    <row r="310" spans="1:10" s="3" customFormat="1" x14ac:dyDescent="0.25">
      <c r="A310" s="2">
        <v>3</v>
      </c>
      <c r="B310" s="3" t="s">
        <v>30</v>
      </c>
      <c r="C310" s="3">
        <v>647</v>
      </c>
      <c r="D310" s="3">
        <v>1</v>
      </c>
      <c r="E310" s="3" t="s">
        <v>28</v>
      </c>
      <c r="F310" s="3" t="s">
        <v>29</v>
      </c>
      <c r="G310" s="3" t="str">
        <f>"2026-03-22 13:57:14.417"</f>
        <v>2026-03-22 13:57:14.417</v>
      </c>
      <c r="H310" s="3" t="s">
        <v>21</v>
      </c>
      <c r="I310" s="3">
        <v>17.97</v>
      </c>
      <c r="J310" s="3" t="s">
        <v>31</v>
      </c>
    </row>
    <row r="311" spans="1:10" x14ac:dyDescent="0.25">
      <c r="A311" s="1">
        <v>4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"2026-03-22 12:40:44.014"</f>
        <v>2026-03-22 12:40:44.014</v>
      </c>
      <c r="H311" t="s">
        <v>21</v>
      </c>
    </row>
    <row r="312" spans="1:10" x14ac:dyDescent="0.25">
      <c r="A312" s="1">
        <v>5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"2026-03-21 20:08:43.010"</f>
        <v>2026-03-21 20:08:43.010</v>
      </c>
      <c r="H312" t="s">
        <v>21</v>
      </c>
      <c r="I312">
        <v>0</v>
      </c>
      <c r="J312" t="s">
        <v>22</v>
      </c>
    </row>
    <row r="313" spans="1:10" x14ac:dyDescent="0.25">
      <c r="A313" s="1">
        <v>6</v>
      </c>
      <c r="B313" t="s">
        <v>19</v>
      </c>
      <c r="C313">
        <v>706</v>
      </c>
      <c r="D313">
        <v>2</v>
      </c>
      <c r="E313" t="s">
        <v>23</v>
      </c>
      <c r="F313" t="s">
        <v>24</v>
      </c>
      <c r="G313" t="str">
        <f>"2026-03-21 18:22:54.635"</f>
        <v>2026-03-21 18:22:54.635</v>
      </c>
      <c r="H313" t="s">
        <v>21</v>
      </c>
      <c r="I313">
        <v>0</v>
      </c>
      <c r="J313" t="s">
        <v>25</v>
      </c>
    </row>
    <row r="314" spans="1:10" x14ac:dyDescent="0.25">
      <c r="A314" s="1">
        <v>7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"2026-03-21 17:56:31.025"</f>
        <v>2026-03-21 17:56:31.025</v>
      </c>
      <c r="H314" t="s">
        <v>21</v>
      </c>
      <c r="I314">
        <v>0</v>
      </c>
      <c r="J314" t="s">
        <v>22</v>
      </c>
    </row>
    <row r="315" spans="1:10" x14ac:dyDescent="0.25">
      <c r="A315" s="1">
        <v>8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"2026-03-21 16:22:29.045"</f>
        <v>2026-03-21 16:22:29.045</v>
      </c>
      <c r="H315" t="s">
        <v>21</v>
      </c>
    </row>
    <row r="316" spans="1:10" x14ac:dyDescent="0.25">
      <c r="A316" s="1">
        <v>10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"2026-03-21 12:29:55.168"</f>
        <v>2026-03-21 12:29:55.168</v>
      </c>
      <c r="H316" t="s">
        <v>21</v>
      </c>
      <c r="I316">
        <v>0</v>
      </c>
      <c r="J316" t="s">
        <v>22</v>
      </c>
    </row>
    <row r="317" spans="1:10" x14ac:dyDescent="0.25">
      <c r="A317" s="1">
        <v>11</v>
      </c>
      <c r="B317" t="s">
        <v>19</v>
      </c>
      <c r="C317">
        <v>706</v>
      </c>
      <c r="D317">
        <v>2</v>
      </c>
      <c r="E317" t="s">
        <v>23</v>
      </c>
      <c r="F317" t="s">
        <v>24</v>
      </c>
      <c r="G317" t="str">
        <f>"2026-03-20 14:44:07.904"</f>
        <v>2026-03-20 14:44:07.904</v>
      </c>
      <c r="H317" t="s">
        <v>21</v>
      </c>
      <c r="I317">
        <v>0</v>
      </c>
      <c r="J317" t="s">
        <v>25</v>
      </c>
    </row>
    <row r="318" spans="1:10" x14ac:dyDescent="0.25">
      <c r="A318" s="1">
        <v>12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"2026-03-20 14:43:20.014"</f>
        <v>2026-03-20 14:43:20.014</v>
      </c>
      <c r="H318" t="s">
        <v>21</v>
      </c>
    </row>
    <row r="319" spans="1:10" x14ac:dyDescent="0.25">
      <c r="A319" s="1">
        <v>13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"2026-03-20 14:20:43.012"</f>
        <v>2026-03-20 14:20:43.012</v>
      </c>
      <c r="H319" t="s">
        <v>21</v>
      </c>
    </row>
    <row r="320" spans="1:10" x14ac:dyDescent="0.25">
      <c r="A320" s="1">
        <v>14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"2026-03-20 13:46:23.006"</f>
        <v>2026-03-20 13:46:23.006</v>
      </c>
      <c r="H320" t="s">
        <v>21</v>
      </c>
    </row>
    <row r="321" spans="1:10" x14ac:dyDescent="0.25">
      <c r="A321" s="1">
        <v>15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"2026-03-20 10:14:50.992"</f>
        <v>2026-03-20 10:14:50.992</v>
      </c>
      <c r="H321" t="s">
        <v>21</v>
      </c>
      <c r="I321">
        <v>0</v>
      </c>
      <c r="J321" t="s">
        <v>22</v>
      </c>
    </row>
    <row r="322" spans="1:10" x14ac:dyDescent="0.25">
      <c r="A322" s="1">
        <v>16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"2026-03-20 09:43:35.011"</f>
        <v>2026-03-20 09:43:35.011</v>
      </c>
      <c r="H322" t="s">
        <v>21</v>
      </c>
    </row>
    <row r="323" spans="1:10" x14ac:dyDescent="0.25">
      <c r="A323" s="1">
        <v>17</v>
      </c>
      <c r="B323" t="s">
        <v>19</v>
      </c>
      <c r="C323">
        <v>706</v>
      </c>
      <c r="D323">
        <v>4</v>
      </c>
      <c r="E323" t="s">
        <v>23</v>
      </c>
      <c r="F323" t="s">
        <v>26</v>
      </c>
      <c r="G323" t="str">
        <f>"2026-03-20 04:47:22.640"</f>
        <v>2026-03-20 04:47:22.640</v>
      </c>
      <c r="H323" t="s">
        <v>21</v>
      </c>
      <c r="I323">
        <v>0</v>
      </c>
      <c r="J323" t="s">
        <v>25</v>
      </c>
    </row>
    <row r="324" spans="1:10" x14ac:dyDescent="0.25">
      <c r="A324" s="1">
        <v>18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"2026-03-20 04:46:53.010"</f>
        <v>2026-03-20 04:46:53.010</v>
      </c>
      <c r="H324" t="s">
        <v>21</v>
      </c>
      <c r="I324">
        <v>0</v>
      </c>
      <c r="J324" t="s">
        <v>22</v>
      </c>
    </row>
    <row r="325" spans="1:10" x14ac:dyDescent="0.25">
      <c r="A325" s="1">
        <v>19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"2026-03-19 12:54:45.022"</f>
        <v>2026-03-19 12:54:45.022</v>
      </c>
      <c r="H325" t="s">
        <v>21</v>
      </c>
      <c r="I325">
        <v>0</v>
      </c>
      <c r="J325" t="s">
        <v>22</v>
      </c>
    </row>
    <row r="326" spans="1:10" x14ac:dyDescent="0.25">
      <c r="A326" s="1">
        <v>20</v>
      </c>
      <c r="B326" t="s">
        <v>19</v>
      </c>
      <c r="C326">
        <v>706</v>
      </c>
      <c r="D326">
        <v>2</v>
      </c>
      <c r="E326" t="s">
        <v>23</v>
      </c>
      <c r="F326" t="s">
        <v>24</v>
      </c>
      <c r="G326" t="str">
        <f>"2026-03-18 22:55:18.493"</f>
        <v>2026-03-18 22:55:18.493</v>
      </c>
      <c r="H326" t="s">
        <v>21</v>
      </c>
      <c r="I326">
        <v>0</v>
      </c>
      <c r="J326" t="s">
        <v>25</v>
      </c>
    </row>
    <row r="327" spans="1:10" x14ac:dyDescent="0.25">
      <c r="A327" s="1">
        <v>21</v>
      </c>
      <c r="B327" t="s">
        <v>27</v>
      </c>
      <c r="C327">
        <v>635</v>
      </c>
      <c r="D327">
        <v>1</v>
      </c>
      <c r="E327" t="s">
        <v>32</v>
      </c>
      <c r="F327" t="s">
        <v>33</v>
      </c>
      <c r="G327" t="str">
        <f>"2026-03-17 11:07:59.210"</f>
        <v>2026-03-17 11:07:59.210</v>
      </c>
      <c r="H327" t="s">
        <v>21</v>
      </c>
    </row>
    <row r="328" spans="1:10" x14ac:dyDescent="0.25">
      <c r="A328" s="1">
        <v>22</v>
      </c>
      <c r="B328" t="s">
        <v>30</v>
      </c>
      <c r="C328">
        <v>635</v>
      </c>
      <c r="D328">
        <v>1</v>
      </c>
      <c r="E328" t="s">
        <v>32</v>
      </c>
      <c r="F328" t="s">
        <v>33</v>
      </c>
      <c r="G328" t="str">
        <f>"2026-03-17 11:03:03.210"</f>
        <v>2026-03-17 11:03:03.210</v>
      </c>
      <c r="H328" t="s">
        <v>21</v>
      </c>
      <c r="I328">
        <v>5.39</v>
      </c>
      <c r="J328" t="s">
        <v>31</v>
      </c>
    </row>
    <row r="329" spans="1:10" x14ac:dyDescent="0.25">
      <c r="A329" s="1">
        <v>23</v>
      </c>
      <c r="B329" t="s">
        <v>27</v>
      </c>
      <c r="C329">
        <v>61</v>
      </c>
      <c r="D329">
        <v>2</v>
      </c>
      <c r="E329" t="s">
        <v>47</v>
      </c>
      <c r="F329" t="s">
        <v>48</v>
      </c>
      <c r="G329" t="str">
        <f>"2026-03-16 03:13:40.523"</f>
        <v>2026-03-16 03:13:40.523</v>
      </c>
      <c r="H329" t="s">
        <v>21</v>
      </c>
    </row>
    <row r="330" spans="1:10" x14ac:dyDescent="0.25">
      <c r="A330" s="1">
        <v>24</v>
      </c>
      <c r="B330" t="s">
        <v>39</v>
      </c>
      <c r="C330">
        <v>61</v>
      </c>
      <c r="D330">
        <v>2</v>
      </c>
      <c r="E330" t="s">
        <v>47</v>
      </c>
      <c r="F330" t="s">
        <v>48</v>
      </c>
      <c r="G330" t="str">
        <f>"2026-03-16 03:13:30.923"</f>
        <v>2026-03-16 03:13:30.923</v>
      </c>
      <c r="H330" t="s">
        <v>21</v>
      </c>
      <c r="I330">
        <v>35.92</v>
      </c>
      <c r="J330" t="s">
        <v>31</v>
      </c>
    </row>
    <row r="331" spans="1:10" x14ac:dyDescent="0.25">
      <c r="A331" s="1">
        <v>25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"2026-03-15 12:10:33.003"</f>
        <v>2026-03-15 12:10:33.003</v>
      </c>
      <c r="H331" t="s">
        <v>21</v>
      </c>
    </row>
    <row r="332" spans="1:10" x14ac:dyDescent="0.25">
      <c r="A332" s="1">
        <v>26</v>
      </c>
      <c r="B332" t="s">
        <v>27</v>
      </c>
      <c r="C332">
        <v>635</v>
      </c>
      <c r="D332">
        <v>1</v>
      </c>
      <c r="E332" t="s">
        <v>32</v>
      </c>
      <c r="F332" t="s">
        <v>33</v>
      </c>
      <c r="G332" t="str">
        <f>"2026-03-15 11:05:06.640"</f>
        <v>2026-03-15 11:05:06.640</v>
      </c>
      <c r="H332" t="s">
        <v>21</v>
      </c>
    </row>
    <row r="333" spans="1:10" x14ac:dyDescent="0.25">
      <c r="A333" s="1">
        <v>27</v>
      </c>
      <c r="B333" t="s">
        <v>30</v>
      </c>
      <c r="C333">
        <v>635</v>
      </c>
      <c r="D333">
        <v>1</v>
      </c>
      <c r="E333" t="s">
        <v>32</v>
      </c>
      <c r="F333" t="s">
        <v>33</v>
      </c>
      <c r="G333" t="str">
        <f>"2026-03-15 11:01:37.740"</f>
        <v>2026-03-15 11:01:37.740</v>
      </c>
      <c r="H333" t="s">
        <v>21</v>
      </c>
      <c r="I333">
        <v>5.23</v>
      </c>
      <c r="J333" t="s">
        <v>34</v>
      </c>
    </row>
    <row r="334" spans="1:10" s="3" customFormat="1" x14ac:dyDescent="0.25">
      <c r="A334" s="2">
        <v>28</v>
      </c>
      <c r="B334" s="3" t="s">
        <v>27</v>
      </c>
      <c r="C334" s="3">
        <v>647</v>
      </c>
      <c r="D334" s="3">
        <v>1</v>
      </c>
      <c r="E334" s="3" t="s">
        <v>28</v>
      </c>
      <c r="F334" s="3" t="s">
        <v>29</v>
      </c>
      <c r="G334" s="3" t="str">
        <f>"2026-03-15 10:54:14.040"</f>
        <v>2026-03-15 10:54:14.040</v>
      </c>
      <c r="H334" s="3" t="s">
        <v>21</v>
      </c>
    </row>
    <row r="335" spans="1:10" s="3" customFormat="1" x14ac:dyDescent="0.25">
      <c r="A335" s="2">
        <v>29</v>
      </c>
      <c r="B335" s="3" t="s">
        <v>30</v>
      </c>
      <c r="C335" s="3">
        <v>647</v>
      </c>
      <c r="D335" s="3">
        <v>1</v>
      </c>
      <c r="E335" s="3" t="s">
        <v>28</v>
      </c>
      <c r="F335" s="3" t="s">
        <v>29</v>
      </c>
      <c r="G335" s="3" t="str">
        <f>"2026-03-15 10:54:10.941"</f>
        <v>2026-03-15 10:54:10.941</v>
      </c>
      <c r="H335" s="3" t="s">
        <v>21</v>
      </c>
      <c r="I335" s="3">
        <v>26.73</v>
      </c>
      <c r="J335" s="3" t="s">
        <v>31</v>
      </c>
    </row>
    <row r="336" spans="1:10" s="3" customFormat="1" x14ac:dyDescent="0.25">
      <c r="A336" s="2">
        <v>30</v>
      </c>
      <c r="B336" s="3" t="s">
        <v>27</v>
      </c>
      <c r="C336" s="3">
        <v>647</v>
      </c>
      <c r="D336" s="3">
        <v>1</v>
      </c>
      <c r="E336" s="3" t="s">
        <v>28</v>
      </c>
      <c r="F336" s="3" t="s">
        <v>29</v>
      </c>
      <c r="G336" s="3" t="str">
        <f>"2026-03-13 18:44:47.940"</f>
        <v>2026-03-13 18:44:47.940</v>
      </c>
      <c r="H336" s="3" t="s">
        <v>21</v>
      </c>
    </row>
    <row r="337" spans="1:10" s="3" customFormat="1" x14ac:dyDescent="0.25">
      <c r="A337" s="2">
        <v>31</v>
      </c>
      <c r="B337" s="3" t="s">
        <v>30</v>
      </c>
      <c r="C337" s="3">
        <v>647</v>
      </c>
      <c r="D337" s="3">
        <v>1</v>
      </c>
      <c r="E337" s="3" t="s">
        <v>28</v>
      </c>
      <c r="F337" s="3" t="s">
        <v>29</v>
      </c>
      <c r="G337" s="3" t="str">
        <f>"2026-03-13 18:44:42.641"</f>
        <v>2026-03-13 18:44:42.641</v>
      </c>
      <c r="H337" s="3" t="s">
        <v>21</v>
      </c>
      <c r="I337" s="3">
        <v>26.44</v>
      </c>
      <c r="J337" s="3" t="s">
        <v>31</v>
      </c>
    </row>
    <row r="338" spans="1:10" x14ac:dyDescent="0.25">
      <c r="A338" s="1">
        <v>32</v>
      </c>
      <c r="B338" t="s">
        <v>27</v>
      </c>
      <c r="C338">
        <v>635</v>
      </c>
      <c r="D338">
        <v>1</v>
      </c>
      <c r="E338" t="s">
        <v>32</v>
      </c>
      <c r="F338" t="s">
        <v>33</v>
      </c>
      <c r="G338" t="str">
        <f>"2026-03-13 05:18:02.340"</f>
        <v>2026-03-13 05:18:02.340</v>
      </c>
      <c r="H338" t="s">
        <v>21</v>
      </c>
    </row>
    <row r="339" spans="1:10" x14ac:dyDescent="0.25">
      <c r="A339" s="1">
        <v>33</v>
      </c>
      <c r="B339" t="s">
        <v>30</v>
      </c>
      <c r="C339">
        <v>635</v>
      </c>
      <c r="D339">
        <v>1</v>
      </c>
      <c r="E339" t="s">
        <v>32</v>
      </c>
      <c r="F339" t="s">
        <v>33</v>
      </c>
      <c r="G339" t="str">
        <f>"2026-03-13 05:14:12.840"</f>
        <v>2026-03-13 05:14:12.840</v>
      </c>
      <c r="H339" t="s">
        <v>21</v>
      </c>
      <c r="I339">
        <v>4.0199999999999996</v>
      </c>
      <c r="J339" t="s">
        <v>34</v>
      </c>
    </row>
    <row r="340" spans="1:10" s="3" customFormat="1" x14ac:dyDescent="0.25">
      <c r="A340" s="2">
        <v>34</v>
      </c>
      <c r="B340" s="3" t="s">
        <v>27</v>
      </c>
      <c r="C340" s="3">
        <v>647</v>
      </c>
      <c r="D340" s="3">
        <v>1</v>
      </c>
      <c r="E340" s="3" t="s">
        <v>28</v>
      </c>
      <c r="F340" s="3" t="s">
        <v>29</v>
      </c>
      <c r="G340" s="3" t="str">
        <f>"2026-03-12 14:57:58.341"</f>
        <v>2026-03-12 14:57:58.341</v>
      </c>
      <c r="H340" s="3" t="s">
        <v>21</v>
      </c>
    </row>
    <row r="341" spans="1:10" s="3" customFormat="1" x14ac:dyDescent="0.25">
      <c r="A341" s="2">
        <v>35</v>
      </c>
      <c r="B341" s="3" t="s">
        <v>30</v>
      </c>
      <c r="C341" s="3">
        <v>647</v>
      </c>
      <c r="D341" s="3">
        <v>1</v>
      </c>
      <c r="E341" s="3" t="s">
        <v>28</v>
      </c>
      <c r="F341" s="3" t="s">
        <v>29</v>
      </c>
      <c r="G341" s="3" t="str">
        <f>"2026-03-12 14:57:57.041"</f>
        <v>2026-03-12 14:57:57.041</v>
      </c>
      <c r="H341" s="3" t="s">
        <v>21</v>
      </c>
      <c r="I341" s="3">
        <v>16.63</v>
      </c>
      <c r="J341" s="3" t="s">
        <v>31</v>
      </c>
    </row>
    <row r="342" spans="1:10" x14ac:dyDescent="0.25">
      <c r="A342" s="1">
        <v>36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"2026-03-12 13:50:03.042"</f>
        <v>2026-03-12 13:50:03.042</v>
      </c>
      <c r="H342" t="s">
        <v>21</v>
      </c>
      <c r="I342">
        <v>0</v>
      </c>
      <c r="J342" t="s">
        <v>22</v>
      </c>
    </row>
    <row r="343" spans="1:10" s="3" customFormat="1" x14ac:dyDescent="0.25">
      <c r="A343" s="2">
        <v>37</v>
      </c>
      <c r="B343" s="3" t="s">
        <v>27</v>
      </c>
      <c r="C343" s="3">
        <v>647</v>
      </c>
      <c r="D343" s="3">
        <v>1</v>
      </c>
      <c r="E343" s="3" t="s">
        <v>28</v>
      </c>
      <c r="F343" s="3" t="s">
        <v>29</v>
      </c>
      <c r="G343" s="3" t="str">
        <f>"2026-03-11 10:15:27.012"</f>
        <v>2026-03-11 10:15:27.012</v>
      </c>
      <c r="H343" s="3" t="s">
        <v>21</v>
      </c>
    </row>
    <row r="344" spans="1:10" s="3" customFormat="1" x14ac:dyDescent="0.25">
      <c r="A344" s="2">
        <v>38</v>
      </c>
      <c r="B344" s="3" t="s">
        <v>30</v>
      </c>
      <c r="C344" s="3">
        <v>647</v>
      </c>
      <c r="D344" s="3">
        <v>1</v>
      </c>
      <c r="E344" s="3" t="s">
        <v>28</v>
      </c>
      <c r="F344" s="3" t="s">
        <v>29</v>
      </c>
      <c r="G344" s="3" t="str">
        <f>"2026-03-11 10:15:20.513"</f>
        <v>2026-03-11 10:15:20.513</v>
      </c>
      <c r="H344" s="3" t="s">
        <v>21</v>
      </c>
      <c r="I344" s="3">
        <v>14.26</v>
      </c>
      <c r="J344" s="3" t="s">
        <v>31</v>
      </c>
    </row>
    <row r="345" spans="1:10" x14ac:dyDescent="0.25">
      <c r="A345" s="1">
        <v>39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"2026-03-11 02:22:54.013"</f>
        <v>2026-03-11 02:22:54.013</v>
      </c>
      <c r="H345" t="s">
        <v>21</v>
      </c>
      <c r="I345">
        <v>0</v>
      </c>
      <c r="J345" t="s">
        <v>22</v>
      </c>
    </row>
    <row r="346" spans="1:10" x14ac:dyDescent="0.25">
      <c r="A346" s="1">
        <v>40</v>
      </c>
      <c r="B346" t="s">
        <v>19</v>
      </c>
      <c r="C346">
        <v>706</v>
      </c>
      <c r="D346">
        <v>2</v>
      </c>
      <c r="E346" t="s">
        <v>23</v>
      </c>
      <c r="F346" t="s">
        <v>24</v>
      </c>
      <c r="G346" t="str">
        <f>"2026-03-10 23:52:06.269"</f>
        <v>2026-03-10 23:52:06.269</v>
      </c>
      <c r="H346" t="s">
        <v>21</v>
      </c>
      <c r="I346">
        <v>0</v>
      </c>
      <c r="J346" t="s">
        <v>25</v>
      </c>
    </row>
    <row r="347" spans="1:10" x14ac:dyDescent="0.25">
      <c r="A347" s="1">
        <v>41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"2026-03-10 23:38:46.009"</f>
        <v>2026-03-10 23:38:46.009</v>
      </c>
      <c r="H347" t="s">
        <v>21</v>
      </c>
      <c r="I347">
        <v>0</v>
      </c>
      <c r="J347" t="s">
        <v>22</v>
      </c>
    </row>
    <row r="348" spans="1:10" x14ac:dyDescent="0.25">
      <c r="A348" s="1">
        <v>42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"2026-03-10 23:11:54.003"</f>
        <v>2026-03-10 23:11:54.003</v>
      </c>
      <c r="H348" t="s">
        <v>21</v>
      </c>
      <c r="I348">
        <v>0</v>
      </c>
      <c r="J348" t="s">
        <v>22</v>
      </c>
    </row>
    <row r="349" spans="1:10" s="3" customFormat="1" x14ac:dyDescent="0.25">
      <c r="A349" s="2">
        <v>43</v>
      </c>
      <c r="B349" s="3" t="s">
        <v>27</v>
      </c>
      <c r="C349" s="3">
        <v>647</v>
      </c>
      <c r="D349" s="3">
        <v>1</v>
      </c>
      <c r="E349" s="3" t="s">
        <v>28</v>
      </c>
      <c r="F349" s="3" t="s">
        <v>29</v>
      </c>
      <c r="G349" s="3" t="str">
        <f>"2026-03-10 16:48:47.357"</f>
        <v>2026-03-10 16:48:47.357</v>
      </c>
      <c r="H349" s="3" t="s">
        <v>21</v>
      </c>
    </row>
    <row r="350" spans="1:10" s="3" customFormat="1" x14ac:dyDescent="0.25">
      <c r="A350" s="2">
        <v>44</v>
      </c>
      <c r="B350" s="3" t="s">
        <v>30</v>
      </c>
      <c r="C350" s="3">
        <v>647</v>
      </c>
      <c r="D350" s="3">
        <v>1</v>
      </c>
      <c r="E350" s="3" t="s">
        <v>28</v>
      </c>
      <c r="F350" s="3" t="s">
        <v>29</v>
      </c>
      <c r="G350" s="3" t="str">
        <f>"2026-03-10 16:48:43.057"</f>
        <v>2026-03-10 16:48:43.057</v>
      </c>
      <c r="H350" s="3" t="s">
        <v>21</v>
      </c>
      <c r="I350" s="3">
        <v>9.27</v>
      </c>
      <c r="J350" s="3" t="s">
        <v>31</v>
      </c>
    </row>
    <row r="351" spans="1:10" x14ac:dyDescent="0.25">
      <c r="A351" s="1">
        <v>45</v>
      </c>
      <c r="B351" t="s">
        <v>49</v>
      </c>
      <c r="C351">
        <v>226</v>
      </c>
      <c r="D351">
        <v>4</v>
      </c>
      <c r="E351" t="s">
        <v>50</v>
      </c>
      <c r="F351" t="s">
        <v>51</v>
      </c>
      <c r="G351" t="str">
        <f>"2026-03-10 15:52:02.533"</f>
        <v>2026-03-10 15:52:02.533</v>
      </c>
      <c r="H351" t="s">
        <v>52</v>
      </c>
    </row>
    <row r="352" spans="1:10" x14ac:dyDescent="0.25">
      <c r="A352" s="1">
        <v>46</v>
      </c>
      <c r="B352" t="s">
        <v>39</v>
      </c>
      <c r="C352">
        <v>226</v>
      </c>
      <c r="D352">
        <v>4</v>
      </c>
      <c r="E352" t="s">
        <v>50</v>
      </c>
      <c r="F352" t="s">
        <v>51</v>
      </c>
      <c r="G352" t="str">
        <f>"2026-03-10 15:51:57.523"</f>
        <v>2026-03-10 15:51:57.523</v>
      </c>
      <c r="H352" t="s">
        <v>52</v>
      </c>
      <c r="I352">
        <v>22.53</v>
      </c>
      <c r="J352" t="s">
        <v>34</v>
      </c>
    </row>
    <row r="353" spans="1:10" s="3" customFormat="1" x14ac:dyDescent="0.25">
      <c r="A353" s="2">
        <v>47</v>
      </c>
      <c r="B353" s="3" t="s">
        <v>27</v>
      </c>
      <c r="C353" s="3">
        <v>647</v>
      </c>
      <c r="D353" s="3">
        <v>1</v>
      </c>
      <c r="E353" s="3" t="s">
        <v>28</v>
      </c>
      <c r="F353" s="3" t="s">
        <v>29</v>
      </c>
      <c r="G353" s="3" t="str">
        <f>"2026-03-10 12:23:37.957"</f>
        <v>2026-03-10 12:23:37.957</v>
      </c>
      <c r="H353" s="3" t="s">
        <v>21</v>
      </c>
    </row>
    <row r="354" spans="1:10" s="3" customFormat="1" x14ac:dyDescent="0.25">
      <c r="A354" s="2">
        <v>48</v>
      </c>
      <c r="B354" s="3" t="s">
        <v>30</v>
      </c>
      <c r="C354" s="3">
        <v>647</v>
      </c>
      <c r="D354" s="3">
        <v>1</v>
      </c>
      <c r="E354" s="3" t="s">
        <v>28</v>
      </c>
      <c r="F354" s="3" t="s">
        <v>29</v>
      </c>
      <c r="G354" s="3" t="str">
        <f>"2026-03-10 12:23:36.857"</f>
        <v>2026-03-10 12:23:36.857</v>
      </c>
      <c r="H354" s="3" t="s">
        <v>21</v>
      </c>
      <c r="I354" s="3">
        <v>17.05</v>
      </c>
      <c r="J354" s="3" t="s">
        <v>31</v>
      </c>
    </row>
    <row r="355" spans="1:10" x14ac:dyDescent="0.25">
      <c r="A355" s="1">
        <v>49</v>
      </c>
      <c r="B355" t="s">
        <v>27</v>
      </c>
      <c r="C355">
        <v>635</v>
      </c>
      <c r="D355">
        <v>1</v>
      </c>
      <c r="E355" t="s">
        <v>32</v>
      </c>
      <c r="F355" t="s">
        <v>33</v>
      </c>
      <c r="G355" t="str">
        <f>"2026-03-10 07:11:54.457"</f>
        <v>2026-03-10 07:11:54.457</v>
      </c>
      <c r="H355" t="s">
        <v>21</v>
      </c>
    </row>
    <row r="356" spans="1:10" x14ac:dyDescent="0.25">
      <c r="A356" s="1">
        <v>50</v>
      </c>
      <c r="B356" t="s">
        <v>30</v>
      </c>
      <c r="C356">
        <v>635</v>
      </c>
      <c r="D356">
        <v>1</v>
      </c>
      <c r="E356" t="s">
        <v>32</v>
      </c>
      <c r="F356" t="s">
        <v>33</v>
      </c>
      <c r="G356" t="str">
        <f>"2026-03-10 07:08:45.457"</f>
        <v>2026-03-10 07:08:45.457</v>
      </c>
      <c r="H356" t="s">
        <v>21</v>
      </c>
      <c r="I356">
        <v>0</v>
      </c>
      <c r="J356" t="s">
        <v>42</v>
      </c>
    </row>
    <row r="357" spans="1:10" x14ac:dyDescent="0.25">
      <c r="A357" s="1">
        <v>51</v>
      </c>
      <c r="B357" t="s">
        <v>49</v>
      </c>
      <c r="C357">
        <v>237</v>
      </c>
      <c r="D357">
        <v>4</v>
      </c>
      <c r="E357" t="s">
        <v>53</v>
      </c>
      <c r="F357" t="s">
        <v>54</v>
      </c>
      <c r="G357" t="str">
        <f>"2026-03-09 21:27:11.233"</f>
        <v>2026-03-09 21:27:11.233</v>
      </c>
      <c r="H357" t="s">
        <v>52</v>
      </c>
    </row>
    <row r="358" spans="1:10" x14ac:dyDescent="0.25">
      <c r="A358" s="1">
        <v>52</v>
      </c>
      <c r="B358" t="s">
        <v>39</v>
      </c>
      <c r="C358">
        <v>237</v>
      </c>
      <c r="D358">
        <v>4</v>
      </c>
      <c r="E358" t="s">
        <v>53</v>
      </c>
      <c r="F358" t="s">
        <v>54</v>
      </c>
      <c r="G358" t="str">
        <f>"2026-03-09 21:27:06.163"</f>
        <v>2026-03-09 21:27:06.163</v>
      </c>
      <c r="H358" t="s">
        <v>52</v>
      </c>
      <c r="I358">
        <v>8.48</v>
      </c>
      <c r="J358" t="s">
        <v>34</v>
      </c>
    </row>
    <row r="359" spans="1:10" x14ac:dyDescent="0.25">
      <c r="A359" s="1">
        <v>53</v>
      </c>
      <c r="B359" t="s">
        <v>49</v>
      </c>
      <c r="C359">
        <v>237</v>
      </c>
      <c r="D359">
        <v>4</v>
      </c>
      <c r="E359" t="s">
        <v>53</v>
      </c>
      <c r="F359" t="s">
        <v>54</v>
      </c>
      <c r="G359" t="str">
        <f>"2026-03-09 04:01:31.733"</f>
        <v>2026-03-09 04:01:31.733</v>
      </c>
      <c r="H359" t="s">
        <v>52</v>
      </c>
    </row>
    <row r="360" spans="1:10" x14ac:dyDescent="0.25">
      <c r="A360" s="1">
        <v>54</v>
      </c>
      <c r="B360" t="s">
        <v>39</v>
      </c>
      <c r="C360">
        <v>237</v>
      </c>
      <c r="D360">
        <v>4</v>
      </c>
      <c r="E360" t="s">
        <v>53</v>
      </c>
      <c r="F360" t="s">
        <v>54</v>
      </c>
      <c r="G360" t="str">
        <f>"2026-03-09 04:01:26.683"</f>
        <v>2026-03-09 04:01:26.683</v>
      </c>
      <c r="H360" t="s">
        <v>52</v>
      </c>
      <c r="I360">
        <v>10.94</v>
      </c>
      <c r="J360" t="s">
        <v>34</v>
      </c>
    </row>
    <row r="361" spans="1:10" x14ac:dyDescent="0.25">
      <c r="A361" s="1">
        <v>55</v>
      </c>
      <c r="B361" t="s">
        <v>19</v>
      </c>
      <c r="C361">
        <v>706</v>
      </c>
      <c r="D361">
        <v>2</v>
      </c>
      <c r="E361" t="s">
        <v>23</v>
      </c>
      <c r="F361" t="s">
        <v>24</v>
      </c>
      <c r="G361" t="str">
        <f>"2026-03-09 02:15:00.952"</f>
        <v>2026-03-09 02:15:00.952</v>
      </c>
      <c r="H361" t="s">
        <v>21</v>
      </c>
      <c r="I361">
        <v>0</v>
      </c>
      <c r="J361" t="s">
        <v>25</v>
      </c>
    </row>
    <row r="362" spans="1:10" x14ac:dyDescent="0.25">
      <c r="A362" s="1">
        <v>56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"2026-03-09 01:09:13.032"</f>
        <v>2026-03-09 01:09:13.032</v>
      </c>
      <c r="H362" t="s">
        <v>21</v>
      </c>
    </row>
    <row r="363" spans="1:10" x14ac:dyDescent="0.25">
      <c r="A363" s="1">
        <v>57</v>
      </c>
      <c r="B363" t="s">
        <v>27</v>
      </c>
      <c r="C363">
        <v>635</v>
      </c>
      <c r="D363">
        <v>1</v>
      </c>
      <c r="E363" t="s">
        <v>32</v>
      </c>
      <c r="F363" t="s">
        <v>33</v>
      </c>
      <c r="G363" t="str">
        <f>"2026-03-08 14:53:15.810"</f>
        <v>2026-03-08 14:53:15.810</v>
      </c>
      <c r="H363" t="s">
        <v>21</v>
      </c>
    </row>
    <row r="364" spans="1:10" x14ac:dyDescent="0.25">
      <c r="A364" s="1">
        <v>58</v>
      </c>
      <c r="B364" t="s">
        <v>30</v>
      </c>
      <c r="C364">
        <v>635</v>
      </c>
      <c r="D364">
        <v>1</v>
      </c>
      <c r="E364" t="s">
        <v>32</v>
      </c>
      <c r="F364" t="s">
        <v>33</v>
      </c>
      <c r="G364" t="str">
        <f>"2026-03-08 14:50:23.311"</f>
        <v>2026-03-08 14:50:23.311</v>
      </c>
      <c r="H364" t="s">
        <v>21</v>
      </c>
      <c r="I364">
        <v>7.48</v>
      </c>
      <c r="J364" t="s">
        <v>34</v>
      </c>
    </row>
    <row r="365" spans="1:10" x14ac:dyDescent="0.25">
      <c r="A365" s="1">
        <v>59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"2026-03-08 14:02:37.010"</f>
        <v>2026-03-08 14:02:37.010</v>
      </c>
      <c r="H365" t="s">
        <v>21</v>
      </c>
      <c r="I365">
        <v>0</v>
      </c>
      <c r="J365" t="s">
        <v>22</v>
      </c>
    </row>
    <row r="366" spans="1:10" x14ac:dyDescent="0.25">
      <c r="A366" s="1">
        <v>60</v>
      </c>
      <c r="B366" t="s">
        <v>27</v>
      </c>
      <c r="C366">
        <v>635</v>
      </c>
      <c r="D366">
        <v>1</v>
      </c>
      <c r="E366" t="s">
        <v>32</v>
      </c>
      <c r="F366" t="s">
        <v>33</v>
      </c>
      <c r="G366" t="str">
        <f>"2026-03-07 04:38:34.442"</f>
        <v>2026-03-07 04:38:34.442</v>
      </c>
      <c r="H366" t="s">
        <v>21</v>
      </c>
    </row>
    <row r="367" spans="1:10" x14ac:dyDescent="0.25">
      <c r="A367" s="1">
        <v>61</v>
      </c>
      <c r="B367" t="s">
        <v>30</v>
      </c>
      <c r="C367">
        <v>635</v>
      </c>
      <c r="D367">
        <v>1</v>
      </c>
      <c r="E367" t="s">
        <v>32</v>
      </c>
      <c r="F367" t="s">
        <v>33</v>
      </c>
      <c r="G367" t="str">
        <f>"2026-03-07 04:33:35.442"</f>
        <v>2026-03-07 04:33:35.442</v>
      </c>
      <c r="H367" t="s">
        <v>21</v>
      </c>
      <c r="I367">
        <v>2.4500000000000002</v>
      </c>
      <c r="J367" t="s">
        <v>31</v>
      </c>
    </row>
    <row r="368" spans="1:10" s="3" customFormat="1" x14ac:dyDescent="0.25">
      <c r="A368" s="2">
        <v>62</v>
      </c>
      <c r="B368" s="3" t="s">
        <v>27</v>
      </c>
      <c r="C368" s="3">
        <v>647</v>
      </c>
      <c r="D368" s="3">
        <v>1</v>
      </c>
      <c r="E368" s="3" t="s">
        <v>28</v>
      </c>
      <c r="F368" s="3" t="s">
        <v>29</v>
      </c>
      <c r="G368" s="3" t="str">
        <f>"2026-03-06 17:15:10.342"</f>
        <v>2026-03-06 17:15:10.342</v>
      </c>
      <c r="H368" s="3" t="s">
        <v>21</v>
      </c>
    </row>
    <row r="369" spans="1:10" s="3" customFormat="1" x14ac:dyDescent="0.25">
      <c r="A369" s="2">
        <v>63</v>
      </c>
      <c r="B369" s="3" t="s">
        <v>30</v>
      </c>
      <c r="C369" s="3">
        <v>647</v>
      </c>
      <c r="D369" s="3">
        <v>1</v>
      </c>
      <c r="E369" s="3" t="s">
        <v>28</v>
      </c>
      <c r="F369" s="3" t="s">
        <v>29</v>
      </c>
      <c r="G369" s="3" t="str">
        <f>"2026-03-06 17:15:05.842"</f>
        <v>2026-03-06 17:15:05.842</v>
      </c>
      <c r="H369" s="3" t="s">
        <v>21</v>
      </c>
      <c r="I369" s="3">
        <v>30.58</v>
      </c>
      <c r="J369" s="3" t="s">
        <v>31</v>
      </c>
    </row>
    <row r="370" spans="1:10" x14ac:dyDescent="0.25">
      <c r="A370" s="1">
        <v>64</v>
      </c>
      <c r="B370" t="s">
        <v>27</v>
      </c>
      <c r="C370">
        <v>635</v>
      </c>
      <c r="D370">
        <v>1</v>
      </c>
      <c r="E370" t="s">
        <v>32</v>
      </c>
      <c r="F370" t="s">
        <v>33</v>
      </c>
      <c r="G370" t="str">
        <f>"2026-03-06 15:50:57.642"</f>
        <v>2026-03-06 15:50:57.642</v>
      </c>
      <c r="H370" t="s">
        <v>21</v>
      </c>
    </row>
    <row r="371" spans="1:10" x14ac:dyDescent="0.25">
      <c r="A371" s="1">
        <v>65</v>
      </c>
      <c r="B371" t="s">
        <v>30</v>
      </c>
      <c r="C371">
        <v>635</v>
      </c>
      <c r="D371">
        <v>1</v>
      </c>
      <c r="E371" t="s">
        <v>32</v>
      </c>
      <c r="F371" t="s">
        <v>33</v>
      </c>
      <c r="G371" t="str">
        <f>"2026-03-06 15:47:56.142"</f>
        <v>2026-03-06 15:47:56.142</v>
      </c>
      <c r="H371" t="s">
        <v>21</v>
      </c>
      <c r="I371">
        <v>4.3</v>
      </c>
      <c r="J371" t="s">
        <v>34</v>
      </c>
    </row>
    <row r="372" spans="1:10" x14ac:dyDescent="0.25">
      <c r="A372" s="1">
        <v>66</v>
      </c>
      <c r="B372" t="s">
        <v>27</v>
      </c>
      <c r="C372">
        <v>635</v>
      </c>
      <c r="D372">
        <v>1</v>
      </c>
      <c r="E372" t="s">
        <v>32</v>
      </c>
      <c r="F372" t="s">
        <v>33</v>
      </c>
      <c r="G372" t="str">
        <f>"2026-03-05 23:02:41.342"</f>
        <v>2026-03-05 23:02:41.342</v>
      </c>
      <c r="H372" t="s">
        <v>21</v>
      </c>
    </row>
    <row r="373" spans="1:10" x14ac:dyDescent="0.25">
      <c r="A373" s="1">
        <v>67</v>
      </c>
      <c r="B373" t="s">
        <v>30</v>
      </c>
      <c r="C373">
        <v>635</v>
      </c>
      <c r="D373">
        <v>1</v>
      </c>
      <c r="E373" t="s">
        <v>32</v>
      </c>
      <c r="F373" t="s">
        <v>33</v>
      </c>
      <c r="G373" t="str">
        <f>"2026-03-05 22:55:18.842"</f>
        <v>2026-03-05 22:55:18.842</v>
      </c>
      <c r="H373" t="s">
        <v>21</v>
      </c>
      <c r="I373">
        <v>6.5</v>
      </c>
      <c r="J373" t="s">
        <v>34</v>
      </c>
    </row>
    <row r="374" spans="1:10" x14ac:dyDescent="0.25">
      <c r="A374" s="1">
        <v>68</v>
      </c>
      <c r="B374" t="s">
        <v>35</v>
      </c>
      <c r="C374">
        <v>33</v>
      </c>
      <c r="D374">
        <v>1</v>
      </c>
      <c r="E374" t="s">
        <v>36</v>
      </c>
      <c r="F374" t="s">
        <v>37</v>
      </c>
      <c r="G374" t="str">
        <f>"2026-03-05 10:39:51.542"</f>
        <v>2026-03-05 10:39:51.542</v>
      </c>
      <c r="H374" t="s">
        <v>38</v>
      </c>
    </row>
    <row r="375" spans="1:10" x14ac:dyDescent="0.25">
      <c r="A375" s="1">
        <v>69</v>
      </c>
      <c r="B375" t="s">
        <v>39</v>
      </c>
      <c r="C375">
        <v>33</v>
      </c>
      <c r="D375">
        <v>1</v>
      </c>
      <c r="E375" t="s">
        <v>36</v>
      </c>
      <c r="F375" t="s">
        <v>37</v>
      </c>
      <c r="G375" t="str">
        <f>"2026-03-05 10:39:06.814"</f>
        <v>2026-03-05 10:39:06.814</v>
      </c>
      <c r="H375" t="s">
        <v>38</v>
      </c>
      <c r="I375">
        <v>8.35</v>
      </c>
      <c r="J375" t="s">
        <v>34</v>
      </c>
    </row>
    <row r="376" spans="1:10" x14ac:dyDescent="0.25">
      <c r="A376" s="1">
        <v>70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"2026-03-05 07:37:13.028"</f>
        <v>2026-03-05 07:37:13.028</v>
      </c>
      <c r="H376" t="s">
        <v>21</v>
      </c>
    </row>
    <row r="377" spans="1:10" s="3" customFormat="1" x14ac:dyDescent="0.25">
      <c r="A377" s="2">
        <v>71</v>
      </c>
      <c r="B377" s="3" t="s">
        <v>27</v>
      </c>
      <c r="C377" s="3">
        <v>647</v>
      </c>
      <c r="D377" s="3">
        <v>1</v>
      </c>
      <c r="E377" s="3" t="s">
        <v>28</v>
      </c>
      <c r="F377" s="3" t="s">
        <v>29</v>
      </c>
      <c r="G377" s="3" t="str">
        <f>"2026-03-04 12:31:04.919"</f>
        <v>2026-03-04 12:31:04.919</v>
      </c>
      <c r="H377" s="3" t="s">
        <v>21</v>
      </c>
    </row>
    <row r="378" spans="1:10" s="3" customFormat="1" x14ac:dyDescent="0.25">
      <c r="A378" s="2">
        <v>72</v>
      </c>
      <c r="B378" s="3" t="s">
        <v>30</v>
      </c>
      <c r="C378" s="3">
        <v>647</v>
      </c>
      <c r="D378" s="3">
        <v>1</v>
      </c>
      <c r="E378" s="3" t="s">
        <v>28</v>
      </c>
      <c r="F378" s="3" t="s">
        <v>29</v>
      </c>
      <c r="G378" s="3" t="str">
        <f>"2026-03-04 12:31:02.619"</f>
        <v>2026-03-04 12:31:02.619</v>
      </c>
      <c r="H378" s="3" t="s">
        <v>21</v>
      </c>
      <c r="I378" s="3">
        <v>13.02</v>
      </c>
      <c r="J378" s="3" t="s">
        <v>31</v>
      </c>
    </row>
    <row r="379" spans="1:10" x14ac:dyDescent="0.25">
      <c r="A379" s="1">
        <v>73</v>
      </c>
      <c r="B379" t="s">
        <v>19</v>
      </c>
      <c r="C379">
        <v>706</v>
      </c>
      <c r="D379">
        <v>4</v>
      </c>
      <c r="E379" t="s">
        <v>23</v>
      </c>
      <c r="F379" t="s">
        <v>26</v>
      </c>
      <c r="G379" t="str">
        <f>"2026-03-02 14:07:19.852"</f>
        <v>2026-03-02 14:07:19.852</v>
      </c>
      <c r="H379" t="s">
        <v>21</v>
      </c>
      <c r="I379">
        <v>0</v>
      </c>
      <c r="J379" t="s">
        <v>25</v>
      </c>
    </row>
    <row r="380" spans="1:10" x14ac:dyDescent="0.25">
      <c r="A380" s="1">
        <v>74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"2026-03-02 14:03:37.002"</f>
        <v>2026-03-02 14:03:37.002</v>
      </c>
      <c r="H380" t="s">
        <v>21</v>
      </c>
      <c r="I380">
        <v>0</v>
      </c>
      <c r="J380" t="s">
        <v>22</v>
      </c>
    </row>
    <row r="381" spans="1:10" x14ac:dyDescent="0.25">
      <c r="A381" s="1">
        <v>75</v>
      </c>
      <c r="B381" t="s">
        <v>19</v>
      </c>
      <c r="C381">
        <v>706</v>
      </c>
      <c r="D381">
        <v>4</v>
      </c>
      <c r="E381" t="s">
        <v>23</v>
      </c>
      <c r="F381" t="s">
        <v>26</v>
      </c>
      <c r="G381" t="str">
        <f>"2026-03-01 20:32:16.690"</f>
        <v>2026-03-01 20:32:16.690</v>
      </c>
      <c r="H381" t="s">
        <v>21</v>
      </c>
      <c r="I381">
        <v>0</v>
      </c>
      <c r="J381" t="s">
        <v>25</v>
      </c>
    </row>
    <row r="382" spans="1:10" x14ac:dyDescent="0.25">
      <c r="A382" s="1">
        <v>76</v>
      </c>
      <c r="B382" t="s">
        <v>19</v>
      </c>
      <c r="C382">
        <v>706</v>
      </c>
      <c r="D382">
        <v>4</v>
      </c>
      <c r="E382" t="s">
        <v>23</v>
      </c>
      <c r="F382" t="s">
        <v>26</v>
      </c>
      <c r="G382" t="str">
        <f>"2026-03-01 19:55:56.470"</f>
        <v>2026-03-01 19:55:56.470</v>
      </c>
      <c r="H382" t="s">
        <v>21</v>
      </c>
      <c r="I382">
        <v>0</v>
      </c>
      <c r="J382" t="s">
        <v>25</v>
      </c>
    </row>
    <row r="383" spans="1:10" x14ac:dyDescent="0.25">
      <c r="A383" s="1">
        <v>77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"2026-02-28 20:00:22.000"</f>
        <v>2026-02-28 20:00:22.000</v>
      </c>
      <c r="H383" t="s">
        <v>21</v>
      </c>
      <c r="I383">
        <v>0</v>
      </c>
      <c r="J383" t="s">
        <v>22</v>
      </c>
    </row>
    <row r="384" spans="1:10" x14ac:dyDescent="0.25">
      <c r="A384" s="1">
        <v>78</v>
      </c>
      <c r="B384" t="s">
        <v>19</v>
      </c>
      <c r="C384">
        <v>706</v>
      </c>
      <c r="D384">
        <v>3</v>
      </c>
      <c r="E384" t="s">
        <v>23</v>
      </c>
      <c r="F384" t="s">
        <v>43</v>
      </c>
      <c r="G384" t="str">
        <f>"2026-02-28 19:55:03.407"</f>
        <v>2026-02-28 19:55:03.407</v>
      </c>
      <c r="H384" t="s">
        <v>21</v>
      </c>
      <c r="I384">
        <v>0</v>
      </c>
      <c r="J384" t="s">
        <v>25</v>
      </c>
    </row>
    <row r="385" spans="1:10" x14ac:dyDescent="0.25">
      <c r="A385" s="1">
        <v>79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"2026-02-28 19:39:05.007"</f>
        <v>2026-02-28 19:39:05.007</v>
      </c>
      <c r="H385" t="s">
        <v>21</v>
      </c>
      <c r="I385">
        <v>0</v>
      </c>
      <c r="J385" t="s">
        <v>22</v>
      </c>
    </row>
    <row r="386" spans="1:10" x14ac:dyDescent="0.25">
      <c r="A386" s="1">
        <v>80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"2026-02-28 18:57:30.999"</f>
        <v>2026-02-28 18:57:30.999</v>
      </c>
      <c r="H386" t="s">
        <v>21</v>
      </c>
    </row>
    <row r="387" spans="1:10" x14ac:dyDescent="0.25">
      <c r="A387" s="1">
        <v>81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"2026-02-28 18:56:25.014"</f>
        <v>2026-02-28 18:56:25.014</v>
      </c>
      <c r="H387" t="s">
        <v>21</v>
      </c>
      <c r="I387">
        <v>0</v>
      </c>
      <c r="J387" t="s">
        <v>22</v>
      </c>
    </row>
    <row r="388" spans="1:10" x14ac:dyDescent="0.25">
      <c r="A388" s="1">
        <v>82</v>
      </c>
      <c r="B388" t="s">
        <v>19</v>
      </c>
      <c r="C388">
        <v>706</v>
      </c>
      <c r="D388">
        <v>4</v>
      </c>
      <c r="E388" t="s">
        <v>23</v>
      </c>
      <c r="F388" t="s">
        <v>26</v>
      </c>
      <c r="G388" t="str">
        <f>"2026-02-28 16:57:11.439"</f>
        <v>2026-02-28 16:57:11.439</v>
      </c>
      <c r="H388" t="s">
        <v>21</v>
      </c>
      <c r="I388">
        <v>0</v>
      </c>
      <c r="J388" t="s">
        <v>25</v>
      </c>
    </row>
    <row r="389" spans="1:10" x14ac:dyDescent="0.25">
      <c r="A389" s="1">
        <v>83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"2026-02-28 16:51:13.989"</f>
        <v>2026-02-28 16:51:13.989</v>
      </c>
      <c r="H389" t="s">
        <v>21</v>
      </c>
    </row>
    <row r="390" spans="1:10" x14ac:dyDescent="0.25">
      <c r="A390" s="1">
        <v>84</v>
      </c>
      <c r="B390" t="s">
        <v>19</v>
      </c>
      <c r="C390">
        <v>706</v>
      </c>
      <c r="D390">
        <v>2</v>
      </c>
      <c r="E390" t="s">
        <v>23</v>
      </c>
      <c r="F390" t="s">
        <v>24</v>
      </c>
      <c r="G390" t="str">
        <f>"2026-02-28 16:07:20.117"</f>
        <v>2026-02-28 16:07:20.117</v>
      </c>
      <c r="H390" t="s">
        <v>21</v>
      </c>
      <c r="I390">
        <v>0</v>
      </c>
      <c r="J390" t="s">
        <v>25</v>
      </c>
    </row>
    <row r="391" spans="1:10" x14ac:dyDescent="0.25">
      <c r="A391" s="1">
        <v>85</v>
      </c>
      <c r="B391" t="s">
        <v>19</v>
      </c>
      <c r="C391">
        <v>700</v>
      </c>
      <c r="D391">
        <v>0</v>
      </c>
      <c r="E391" t="s">
        <v>20</v>
      </c>
      <c r="F391" t="s">
        <v>20</v>
      </c>
      <c r="G391" t="str">
        <f>"2026-02-28 16:02:30.997"</f>
        <v>2026-02-28 16:02:30.997</v>
      </c>
      <c r="H391" t="s">
        <v>21</v>
      </c>
    </row>
    <row r="392" spans="1:10" x14ac:dyDescent="0.25">
      <c r="A392" s="1">
        <v>86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"2026-02-28 13:24:41.275"</f>
        <v>2026-02-28 13:24:41.275</v>
      </c>
      <c r="H392" t="s">
        <v>21</v>
      </c>
    </row>
    <row r="393" spans="1:10" x14ac:dyDescent="0.25">
      <c r="A393" s="1">
        <v>87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"2026-02-28 13:19:28.015"</f>
        <v>2026-02-28 13:19:28.015</v>
      </c>
      <c r="H393" t="s">
        <v>21</v>
      </c>
      <c r="I393">
        <v>0</v>
      </c>
      <c r="J393" t="s">
        <v>22</v>
      </c>
    </row>
    <row r="394" spans="1:10" x14ac:dyDescent="0.25">
      <c r="A394" s="1">
        <v>88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"2026-02-28 12:53:42.238"</f>
        <v>2026-02-28 12:53:42.238</v>
      </c>
      <c r="H394" t="s">
        <v>21</v>
      </c>
    </row>
    <row r="395" spans="1:10" x14ac:dyDescent="0.25">
      <c r="A395" s="1">
        <v>89</v>
      </c>
      <c r="B395" t="s">
        <v>19</v>
      </c>
      <c r="C395">
        <v>706</v>
      </c>
      <c r="D395">
        <v>4</v>
      </c>
      <c r="E395" t="s">
        <v>23</v>
      </c>
      <c r="F395" t="s">
        <v>26</v>
      </c>
      <c r="G395" t="str">
        <f>"2026-02-28 12:34:17.850"</f>
        <v>2026-02-28 12:34:17.850</v>
      </c>
      <c r="H395" t="s">
        <v>21</v>
      </c>
      <c r="I395">
        <v>0</v>
      </c>
      <c r="J395" t="s">
        <v>25</v>
      </c>
    </row>
    <row r="396" spans="1:10" x14ac:dyDescent="0.25">
      <c r="A396" s="1">
        <v>90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"2026-02-28 12:33:39.190"</f>
        <v>2026-02-28 12:33:39.190</v>
      </c>
      <c r="H396" t="s">
        <v>21</v>
      </c>
    </row>
    <row r="397" spans="1:10" x14ac:dyDescent="0.25">
      <c r="A397" s="1">
        <v>91</v>
      </c>
      <c r="B397" t="s">
        <v>27</v>
      </c>
      <c r="C397">
        <v>61</v>
      </c>
      <c r="D397">
        <v>2</v>
      </c>
      <c r="E397" t="s">
        <v>47</v>
      </c>
      <c r="F397" t="s">
        <v>48</v>
      </c>
      <c r="G397" t="str">
        <f>"2026-02-28 02:40:28.223"</f>
        <v>2026-02-28 02:40:28.223</v>
      </c>
      <c r="H397" t="s">
        <v>21</v>
      </c>
    </row>
    <row r="398" spans="1:10" x14ac:dyDescent="0.25">
      <c r="A398" s="1">
        <v>92</v>
      </c>
      <c r="B398" t="s">
        <v>39</v>
      </c>
      <c r="C398">
        <v>61</v>
      </c>
      <c r="D398">
        <v>2</v>
      </c>
      <c r="E398" t="s">
        <v>47</v>
      </c>
      <c r="F398" t="s">
        <v>48</v>
      </c>
      <c r="G398" t="str">
        <f>"2026-02-28 02:40:20.023"</f>
        <v>2026-02-28 02:40:20.023</v>
      </c>
      <c r="H398" t="s">
        <v>21</v>
      </c>
      <c r="I398">
        <v>35.11</v>
      </c>
      <c r="J398" t="s">
        <v>31</v>
      </c>
    </row>
    <row r="399" spans="1:10" x14ac:dyDescent="0.25">
      <c r="A399" s="1">
        <v>93</v>
      </c>
      <c r="B399" t="s">
        <v>27</v>
      </c>
      <c r="C399">
        <v>635</v>
      </c>
      <c r="D399">
        <v>1</v>
      </c>
      <c r="E399" t="s">
        <v>32</v>
      </c>
      <c r="F399" t="s">
        <v>33</v>
      </c>
      <c r="G399" t="str">
        <f>"2026-02-27 18:51:21.710"</f>
        <v>2026-02-27 18:51:21.710</v>
      </c>
      <c r="H399" t="s">
        <v>21</v>
      </c>
    </row>
    <row r="400" spans="1:10" x14ac:dyDescent="0.25">
      <c r="A400" s="1">
        <v>94</v>
      </c>
      <c r="B400" t="s">
        <v>30</v>
      </c>
      <c r="C400">
        <v>635</v>
      </c>
      <c r="D400">
        <v>1</v>
      </c>
      <c r="E400" t="s">
        <v>32</v>
      </c>
      <c r="F400" t="s">
        <v>33</v>
      </c>
      <c r="G400" t="str">
        <f>"2026-02-27 18:49:39.210"</f>
        <v>2026-02-27 18:49:39.210</v>
      </c>
      <c r="H400" t="s">
        <v>21</v>
      </c>
      <c r="I400">
        <v>9.0399999999999991</v>
      </c>
      <c r="J400" t="s">
        <v>31</v>
      </c>
    </row>
    <row r="401" spans="1:10" x14ac:dyDescent="0.25">
      <c r="A401" s="1">
        <v>95</v>
      </c>
      <c r="B401" t="s">
        <v>19</v>
      </c>
      <c r="C401">
        <v>706</v>
      </c>
      <c r="D401">
        <v>2</v>
      </c>
      <c r="E401" t="s">
        <v>23</v>
      </c>
      <c r="F401" t="s">
        <v>24</v>
      </c>
      <c r="G401" t="str">
        <f>"2026-02-27 13:18:32.178"</f>
        <v>2026-02-27 13:18:32.178</v>
      </c>
      <c r="H401" t="s">
        <v>21</v>
      </c>
      <c r="I401">
        <v>0</v>
      </c>
      <c r="J401" t="s">
        <v>25</v>
      </c>
    </row>
    <row r="402" spans="1:10" s="3" customFormat="1" x14ac:dyDescent="0.25">
      <c r="A402" s="2">
        <v>96</v>
      </c>
      <c r="B402" s="3" t="s">
        <v>27</v>
      </c>
      <c r="C402" s="3">
        <v>647</v>
      </c>
      <c r="D402" s="3">
        <v>1</v>
      </c>
      <c r="E402" s="3" t="s">
        <v>28</v>
      </c>
      <c r="F402" s="3" t="s">
        <v>29</v>
      </c>
      <c r="G402" s="3" t="str">
        <f>"2026-02-27 09:05:12.810"</f>
        <v>2026-02-27 09:05:12.810</v>
      </c>
      <c r="H402" s="3" t="s">
        <v>21</v>
      </c>
    </row>
    <row r="403" spans="1:10" s="3" customFormat="1" x14ac:dyDescent="0.25">
      <c r="A403" s="2">
        <v>97</v>
      </c>
      <c r="B403" s="3" t="s">
        <v>30</v>
      </c>
      <c r="C403" s="3">
        <v>647</v>
      </c>
      <c r="D403" s="3">
        <v>1</v>
      </c>
      <c r="E403" s="3" t="s">
        <v>28</v>
      </c>
      <c r="F403" s="3" t="s">
        <v>29</v>
      </c>
      <c r="G403" s="3" t="str">
        <f>"2026-02-27 09:05:11.310"</f>
        <v>2026-02-27 09:05:11.310</v>
      </c>
      <c r="H403" s="3" t="s">
        <v>21</v>
      </c>
      <c r="I403" s="3">
        <v>21.62</v>
      </c>
      <c r="J403" s="3" t="s">
        <v>31</v>
      </c>
    </row>
    <row r="404" spans="1:10" x14ac:dyDescent="0.25">
      <c r="A404" s="1">
        <v>98</v>
      </c>
      <c r="B404" t="s">
        <v>27</v>
      </c>
      <c r="C404">
        <v>635</v>
      </c>
      <c r="D404">
        <v>1</v>
      </c>
      <c r="E404" t="s">
        <v>32</v>
      </c>
      <c r="F404" t="s">
        <v>33</v>
      </c>
      <c r="G404" t="str">
        <f>"2026-02-26 19:28:34.310"</f>
        <v>2026-02-26 19:28:34.310</v>
      </c>
      <c r="H404" t="s">
        <v>21</v>
      </c>
    </row>
    <row r="405" spans="1:10" x14ac:dyDescent="0.25">
      <c r="A405" s="1">
        <v>99</v>
      </c>
      <c r="B405" t="s">
        <v>30</v>
      </c>
      <c r="C405">
        <v>635</v>
      </c>
      <c r="D405">
        <v>1</v>
      </c>
      <c r="E405" t="s">
        <v>32</v>
      </c>
      <c r="F405" t="s">
        <v>33</v>
      </c>
      <c r="G405" t="str">
        <f>"2026-02-26 19:25:25.310"</f>
        <v>2026-02-26 19:25:25.310</v>
      </c>
      <c r="H405" t="s">
        <v>21</v>
      </c>
      <c r="I405">
        <v>8.83</v>
      </c>
      <c r="J405" t="s">
        <v>31</v>
      </c>
    </row>
    <row r="406" spans="1:10" x14ac:dyDescent="0.25">
      <c r="A406" s="1">
        <v>0</v>
      </c>
      <c r="B406" t="s">
        <v>27</v>
      </c>
      <c r="C406">
        <v>635</v>
      </c>
      <c r="D406">
        <v>1</v>
      </c>
      <c r="E406" t="s">
        <v>32</v>
      </c>
      <c r="F406" t="s">
        <v>33</v>
      </c>
      <c r="G406" t="str">
        <f>"2026-02-25 11:18:15.110"</f>
        <v>2026-02-25 11:18:15.110</v>
      </c>
      <c r="H406" t="s">
        <v>21</v>
      </c>
    </row>
    <row r="407" spans="1:10" x14ac:dyDescent="0.25">
      <c r="A407" s="1">
        <v>1</v>
      </c>
      <c r="B407" t="s">
        <v>30</v>
      </c>
      <c r="C407">
        <v>635</v>
      </c>
      <c r="D407">
        <v>1</v>
      </c>
      <c r="E407" t="s">
        <v>32</v>
      </c>
      <c r="F407" t="s">
        <v>33</v>
      </c>
      <c r="G407" t="str">
        <f>"2026-02-25 11:13:50.110"</f>
        <v>2026-02-25 11:13:50.110</v>
      </c>
      <c r="H407" t="s">
        <v>21</v>
      </c>
      <c r="I407">
        <v>6.53</v>
      </c>
      <c r="J407" t="s">
        <v>34</v>
      </c>
    </row>
    <row r="408" spans="1:10" s="3" customFormat="1" x14ac:dyDescent="0.25">
      <c r="A408" s="2">
        <v>2</v>
      </c>
      <c r="B408" s="3" t="s">
        <v>27</v>
      </c>
      <c r="C408" s="3">
        <v>647</v>
      </c>
      <c r="D408" s="3">
        <v>1</v>
      </c>
      <c r="E408" s="3" t="s">
        <v>28</v>
      </c>
      <c r="F408" s="3" t="s">
        <v>29</v>
      </c>
      <c r="G408" s="3" t="str">
        <f>"2026-02-24 14:56:53.310"</f>
        <v>2026-02-24 14:56:53.310</v>
      </c>
      <c r="H408" s="3" t="s">
        <v>21</v>
      </c>
    </row>
    <row r="409" spans="1:10" s="3" customFormat="1" x14ac:dyDescent="0.25">
      <c r="A409" s="2">
        <v>3</v>
      </c>
      <c r="B409" s="3" t="s">
        <v>30</v>
      </c>
      <c r="C409" s="3">
        <v>647</v>
      </c>
      <c r="D409" s="3">
        <v>1</v>
      </c>
      <c r="E409" s="3" t="s">
        <v>28</v>
      </c>
      <c r="F409" s="3" t="s">
        <v>29</v>
      </c>
      <c r="G409" s="3" t="str">
        <f>"2026-02-24 14:56:50.610"</f>
        <v>2026-02-24 14:56:50.610</v>
      </c>
      <c r="H409" s="3" t="s">
        <v>21</v>
      </c>
      <c r="I409" s="3">
        <v>22.89</v>
      </c>
      <c r="J409" s="3" t="s">
        <v>31</v>
      </c>
    </row>
    <row r="410" spans="1:10" x14ac:dyDescent="0.25">
      <c r="A410" s="1">
        <v>4</v>
      </c>
      <c r="B410" t="s">
        <v>27</v>
      </c>
      <c r="C410">
        <v>635</v>
      </c>
      <c r="D410">
        <v>1</v>
      </c>
      <c r="E410" t="s">
        <v>32</v>
      </c>
      <c r="F410" t="s">
        <v>33</v>
      </c>
      <c r="G410" t="str">
        <f>"2026-02-24 10:09:19.410"</f>
        <v>2026-02-24 10:09:19.410</v>
      </c>
      <c r="H410" t="s">
        <v>21</v>
      </c>
    </row>
    <row r="411" spans="1:10" x14ac:dyDescent="0.25">
      <c r="A411" s="1">
        <v>5</v>
      </c>
      <c r="B411" t="s">
        <v>30</v>
      </c>
      <c r="C411">
        <v>635</v>
      </c>
      <c r="D411">
        <v>1</v>
      </c>
      <c r="E411" t="s">
        <v>32</v>
      </c>
      <c r="F411" t="s">
        <v>33</v>
      </c>
      <c r="G411" t="str">
        <f>"2026-02-24 09:54:37.910"</f>
        <v>2026-02-24 09:54:37.910</v>
      </c>
      <c r="H411" t="s">
        <v>21</v>
      </c>
      <c r="I411">
        <v>9.67</v>
      </c>
      <c r="J411" t="s">
        <v>31</v>
      </c>
    </row>
    <row r="412" spans="1:10" x14ac:dyDescent="0.25">
      <c r="A412" s="1">
        <v>6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"2026-02-23 11:00:12.198"</f>
        <v>2026-02-23 11:00:12.198</v>
      </c>
      <c r="H412" t="s">
        <v>21</v>
      </c>
      <c r="I412">
        <v>0</v>
      </c>
      <c r="J412" t="s">
        <v>22</v>
      </c>
    </row>
    <row r="413" spans="1:10" x14ac:dyDescent="0.25">
      <c r="A413" s="1">
        <v>10</v>
      </c>
      <c r="B413" t="s">
        <v>27</v>
      </c>
      <c r="C413">
        <v>635</v>
      </c>
      <c r="D413">
        <v>1</v>
      </c>
      <c r="E413" t="s">
        <v>32</v>
      </c>
      <c r="F413" t="s">
        <v>33</v>
      </c>
      <c r="G413" t="str">
        <f>"2026-02-22 18:12:43.792"</f>
        <v>2026-02-22 18:12:43.792</v>
      </c>
      <c r="H413" t="s">
        <v>21</v>
      </c>
    </row>
    <row r="414" spans="1:10" x14ac:dyDescent="0.25">
      <c r="A414" s="1">
        <v>11</v>
      </c>
      <c r="B414" t="s">
        <v>30</v>
      </c>
      <c r="C414">
        <v>635</v>
      </c>
      <c r="D414">
        <v>1</v>
      </c>
      <c r="E414" t="s">
        <v>32</v>
      </c>
      <c r="F414" t="s">
        <v>33</v>
      </c>
      <c r="G414" t="str">
        <f>"2026-02-22 18:07:52.392"</f>
        <v>2026-02-22 18:07:52.392</v>
      </c>
      <c r="H414" t="s">
        <v>21</v>
      </c>
      <c r="I414">
        <v>8.26</v>
      </c>
      <c r="J414" t="s">
        <v>31</v>
      </c>
    </row>
    <row r="415" spans="1:10" x14ac:dyDescent="0.25">
      <c r="A415" s="1">
        <v>12</v>
      </c>
      <c r="B415" t="s">
        <v>27</v>
      </c>
      <c r="C415">
        <v>635</v>
      </c>
      <c r="D415">
        <v>1</v>
      </c>
      <c r="E415" t="s">
        <v>32</v>
      </c>
      <c r="F415" t="s">
        <v>33</v>
      </c>
      <c r="G415" t="str">
        <f>"2026-02-22 17:31:39.392"</f>
        <v>2026-02-22 17:31:39.392</v>
      </c>
      <c r="H415" t="s">
        <v>21</v>
      </c>
    </row>
    <row r="416" spans="1:10" x14ac:dyDescent="0.25">
      <c r="A416" s="1">
        <v>13</v>
      </c>
      <c r="B416" t="s">
        <v>30</v>
      </c>
      <c r="C416">
        <v>635</v>
      </c>
      <c r="D416">
        <v>1</v>
      </c>
      <c r="E416" t="s">
        <v>32</v>
      </c>
      <c r="F416" t="s">
        <v>33</v>
      </c>
      <c r="G416" t="str">
        <f>"2026-02-22 17:26:19.392"</f>
        <v>2026-02-22 17:26:19.392</v>
      </c>
      <c r="H416" t="s">
        <v>21</v>
      </c>
      <c r="I416">
        <v>7.78</v>
      </c>
      <c r="J416" t="s">
        <v>34</v>
      </c>
    </row>
    <row r="417" spans="1:10" x14ac:dyDescent="0.25">
      <c r="A417" s="1">
        <v>14</v>
      </c>
      <c r="B417" t="s">
        <v>27</v>
      </c>
      <c r="C417">
        <v>635</v>
      </c>
      <c r="D417">
        <v>1</v>
      </c>
      <c r="E417" t="s">
        <v>32</v>
      </c>
      <c r="F417" t="s">
        <v>33</v>
      </c>
      <c r="G417" t="str">
        <f>"2026-02-22 09:44:45.492"</f>
        <v>2026-02-22 09:44:45.492</v>
      </c>
      <c r="H417" t="s">
        <v>21</v>
      </c>
    </row>
    <row r="418" spans="1:10" x14ac:dyDescent="0.25">
      <c r="A418" s="1">
        <v>15</v>
      </c>
      <c r="B418" t="s">
        <v>30</v>
      </c>
      <c r="C418">
        <v>635</v>
      </c>
      <c r="D418">
        <v>1</v>
      </c>
      <c r="E418" t="s">
        <v>32</v>
      </c>
      <c r="F418" t="s">
        <v>33</v>
      </c>
      <c r="G418" t="str">
        <f>"2026-02-22 09:39:29.492"</f>
        <v>2026-02-22 09:39:29.492</v>
      </c>
      <c r="H418" t="s">
        <v>21</v>
      </c>
      <c r="I418">
        <v>5.27</v>
      </c>
      <c r="J418" t="s">
        <v>34</v>
      </c>
    </row>
    <row r="419" spans="1:10" s="3" customFormat="1" x14ac:dyDescent="0.25">
      <c r="A419" s="2">
        <v>18</v>
      </c>
      <c r="B419" s="3" t="s">
        <v>27</v>
      </c>
      <c r="C419" s="3">
        <v>647</v>
      </c>
      <c r="D419" s="3">
        <v>1</v>
      </c>
      <c r="E419" s="3" t="s">
        <v>28</v>
      </c>
      <c r="F419" s="3" t="s">
        <v>29</v>
      </c>
      <c r="G419" s="3" t="str">
        <f>"2026-02-21 18:55:45.392"</f>
        <v>2026-02-21 18:55:45.392</v>
      </c>
      <c r="H419" s="3" t="s">
        <v>21</v>
      </c>
    </row>
    <row r="420" spans="1:10" s="3" customFormat="1" x14ac:dyDescent="0.25">
      <c r="A420" s="2">
        <v>19</v>
      </c>
      <c r="B420" s="3" t="s">
        <v>30</v>
      </c>
      <c r="C420" s="3">
        <v>647</v>
      </c>
      <c r="D420" s="3">
        <v>1</v>
      </c>
      <c r="E420" s="3" t="s">
        <v>28</v>
      </c>
      <c r="F420" s="3" t="s">
        <v>29</v>
      </c>
      <c r="G420" s="3" t="str">
        <f>"2026-02-21 18:55:44.092"</f>
        <v>2026-02-21 18:55:44.092</v>
      </c>
      <c r="H420" s="3" t="s">
        <v>21</v>
      </c>
      <c r="I420" s="3">
        <v>12.3</v>
      </c>
      <c r="J420" s="3" t="s">
        <v>31</v>
      </c>
    </row>
    <row r="421" spans="1:10" x14ac:dyDescent="0.25">
      <c r="A421" s="1">
        <v>20</v>
      </c>
      <c r="B421" t="s">
        <v>27</v>
      </c>
      <c r="C421">
        <v>635</v>
      </c>
      <c r="D421">
        <v>1</v>
      </c>
      <c r="E421" t="s">
        <v>32</v>
      </c>
      <c r="F421" t="s">
        <v>33</v>
      </c>
      <c r="G421" t="str">
        <f>"2026-02-21 03:26:28.992"</f>
        <v>2026-02-21 03:26:28.992</v>
      </c>
      <c r="H421" t="s">
        <v>21</v>
      </c>
    </row>
    <row r="422" spans="1:10" x14ac:dyDescent="0.25">
      <c r="A422" s="1">
        <v>21</v>
      </c>
      <c r="B422" t="s">
        <v>30</v>
      </c>
      <c r="C422">
        <v>635</v>
      </c>
      <c r="D422">
        <v>1</v>
      </c>
      <c r="E422" t="s">
        <v>32</v>
      </c>
      <c r="F422" t="s">
        <v>33</v>
      </c>
      <c r="G422" t="str">
        <f>"2026-02-21 03:21:01.092"</f>
        <v>2026-02-21 03:21:01.092</v>
      </c>
      <c r="H422" t="s">
        <v>21</v>
      </c>
      <c r="I422">
        <v>3.09</v>
      </c>
      <c r="J422" t="s">
        <v>34</v>
      </c>
    </row>
    <row r="423" spans="1:10" x14ac:dyDescent="0.25">
      <c r="A423" s="1">
        <v>22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"2026-02-20 16:46:51.070"</f>
        <v>2026-02-20 16:46:51.070</v>
      </c>
      <c r="H423" t="s">
        <v>21</v>
      </c>
      <c r="I423">
        <v>0</v>
      </c>
      <c r="J423" t="s">
        <v>22</v>
      </c>
    </row>
    <row r="424" spans="1:10" x14ac:dyDescent="0.25">
      <c r="A424" s="1">
        <v>23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"2026-02-20 16:18:27.985"</f>
        <v>2026-02-20 16:18:27.985</v>
      </c>
      <c r="H424" t="s">
        <v>21</v>
      </c>
    </row>
    <row r="425" spans="1:10" x14ac:dyDescent="0.25">
      <c r="A425" s="1">
        <v>24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"2026-02-20 16:17:03.986"</f>
        <v>2026-02-20 16:17:03.986</v>
      </c>
      <c r="H425" t="s">
        <v>21</v>
      </c>
    </row>
    <row r="426" spans="1:10" x14ac:dyDescent="0.25">
      <c r="A426" s="1">
        <v>25</v>
      </c>
      <c r="B426" t="s">
        <v>19</v>
      </c>
      <c r="C426">
        <v>706</v>
      </c>
      <c r="D426">
        <v>3</v>
      </c>
      <c r="E426" t="s">
        <v>23</v>
      </c>
      <c r="F426" t="s">
        <v>43</v>
      </c>
      <c r="G426" t="str">
        <f>"2026-02-20 16:11:12.098"</f>
        <v>2026-02-20 16:11:12.098</v>
      </c>
      <c r="H426" t="s">
        <v>21</v>
      </c>
      <c r="I426">
        <v>0</v>
      </c>
      <c r="J426" t="s">
        <v>25</v>
      </c>
    </row>
    <row r="427" spans="1:10" x14ac:dyDescent="0.25">
      <c r="A427" s="1">
        <v>26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"2026-02-20 16:07:01.978"</f>
        <v>2026-02-20 16:07:01.978</v>
      </c>
      <c r="H427" t="s">
        <v>21</v>
      </c>
    </row>
    <row r="428" spans="1:10" x14ac:dyDescent="0.25">
      <c r="A428" s="1">
        <v>27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"2026-02-20 16:05:05.984"</f>
        <v>2026-02-20 16:05:05.984</v>
      </c>
      <c r="H428" t="s">
        <v>21</v>
      </c>
      <c r="I428">
        <v>0</v>
      </c>
      <c r="J428" t="s">
        <v>22</v>
      </c>
    </row>
    <row r="429" spans="1:10" x14ac:dyDescent="0.25">
      <c r="A429" s="1">
        <v>28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"2026-02-20 15:51:37.978"</f>
        <v>2026-02-20 15:51:37.978</v>
      </c>
      <c r="H429" t="s">
        <v>21</v>
      </c>
    </row>
    <row r="430" spans="1:10" x14ac:dyDescent="0.25">
      <c r="A430" s="1">
        <v>29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"2026-02-20 14:43:39.988"</f>
        <v>2026-02-20 14:43:39.988</v>
      </c>
      <c r="H430" t="s">
        <v>21</v>
      </c>
    </row>
    <row r="431" spans="1:10" x14ac:dyDescent="0.25">
      <c r="A431" s="1">
        <v>30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"2026-02-20 14:27:36.989"</f>
        <v>2026-02-20 14:27:36.989</v>
      </c>
      <c r="H431" t="s">
        <v>21</v>
      </c>
    </row>
    <row r="432" spans="1:10" s="3" customFormat="1" x14ac:dyDescent="0.25">
      <c r="A432" s="2">
        <v>31</v>
      </c>
      <c r="B432" s="3" t="s">
        <v>27</v>
      </c>
      <c r="C432" s="3">
        <v>647</v>
      </c>
      <c r="D432" s="3">
        <v>1</v>
      </c>
      <c r="E432" s="3" t="s">
        <v>28</v>
      </c>
      <c r="F432" s="3" t="s">
        <v>29</v>
      </c>
      <c r="G432" s="3" t="str">
        <f>"2026-02-20 11:13:30.618"</f>
        <v>2026-02-20 11:13:30.618</v>
      </c>
      <c r="H432" s="3" t="s">
        <v>21</v>
      </c>
    </row>
    <row r="433" spans="1:10" s="3" customFormat="1" x14ac:dyDescent="0.25">
      <c r="A433" s="2">
        <v>32</v>
      </c>
      <c r="B433" s="3" t="s">
        <v>30</v>
      </c>
      <c r="C433" s="3">
        <v>647</v>
      </c>
      <c r="D433" s="3">
        <v>1</v>
      </c>
      <c r="E433" s="3" t="s">
        <v>28</v>
      </c>
      <c r="F433" s="3" t="s">
        <v>29</v>
      </c>
      <c r="G433" s="3" t="str">
        <f>"2026-02-20 11:13:28.918"</f>
        <v>2026-02-20 11:13:28.918</v>
      </c>
      <c r="H433" s="3" t="s">
        <v>21</v>
      </c>
      <c r="I433" s="3">
        <v>20.82</v>
      </c>
      <c r="J433" s="3" t="s">
        <v>31</v>
      </c>
    </row>
    <row r="434" spans="1:10" x14ac:dyDescent="0.25">
      <c r="A434" s="1">
        <v>33</v>
      </c>
      <c r="B434" t="s">
        <v>49</v>
      </c>
      <c r="C434">
        <v>128</v>
      </c>
      <c r="D434">
        <v>7</v>
      </c>
      <c r="E434" t="s">
        <v>55</v>
      </c>
      <c r="F434" t="s">
        <v>56</v>
      </c>
      <c r="G434" t="str">
        <f>"2026-02-20 10:21:05.301"</f>
        <v>2026-02-20 10:21:05.301</v>
      </c>
      <c r="H434" t="s">
        <v>57</v>
      </c>
    </row>
    <row r="435" spans="1:10" x14ac:dyDescent="0.25">
      <c r="A435" s="1">
        <v>34</v>
      </c>
      <c r="B435" t="s">
        <v>39</v>
      </c>
      <c r="C435">
        <v>128</v>
      </c>
      <c r="D435">
        <v>7</v>
      </c>
      <c r="E435" t="s">
        <v>55</v>
      </c>
      <c r="F435" t="s">
        <v>56</v>
      </c>
      <c r="G435" t="str">
        <f>"2026-02-20 10:21:00.244"</f>
        <v>2026-02-20 10:21:00.244</v>
      </c>
      <c r="H435" t="s">
        <v>57</v>
      </c>
      <c r="I435">
        <v>11.29</v>
      </c>
      <c r="J435" t="s">
        <v>34</v>
      </c>
    </row>
    <row r="436" spans="1:10" x14ac:dyDescent="0.25">
      <c r="A436" s="1">
        <v>35</v>
      </c>
      <c r="B436" t="s">
        <v>35</v>
      </c>
      <c r="C436">
        <v>128</v>
      </c>
      <c r="D436">
        <v>4</v>
      </c>
      <c r="E436" t="s">
        <v>55</v>
      </c>
      <c r="F436" t="s">
        <v>51</v>
      </c>
      <c r="G436" t="str">
        <f>"2026-02-20 03:57:23.370"</f>
        <v>2026-02-20 03:57:23.370</v>
      </c>
      <c r="H436" t="s">
        <v>57</v>
      </c>
    </row>
    <row r="437" spans="1:10" x14ac:dyDescent="0.25">
      <c r="A437" s="1">
        <v>36</v>
      </c>
      <c r="B437" t="s">
        <v>39</v>
      </c>
      <c r="C437">
        <v>128</v>
      </c>
      <c r="D437">
        <v>4</v>
      </c>
      <c r="E437" t="s">
        <v>55</v>
      </c>
      <c r="F437" t="s">
        <v>51</v>
      </c>
      <c r="G437" t="str">
        <f>"2026-02-20 03:57:20.564"</f>
        <v>2026-02-20 03:57:20.564</v>
      </c>
      <c r="H437" t="s">
        <v>57</v>
      </c>
      <c r="I437">
        <v>5.54</v>
      </c>
      <c r="J437" t="s">
        <v>34</v>
      </c>
    </row>
    <row r="438" spans="1:10" x14ac:dyDescent="0.25">
      <c r="A438" s="1">
        <v>37</v>
      </c>
      <c r="B438" t="s">
        <v>49</v>
      </c>
      <c r="C438">
        <v>128</v>
      </c>
      <c r="D438">
        <v>4</v>
      </c>
      <c r="E438" t="s">
        <v>55</v>
      </c>
      <c r="F438" t="s">
        <v>51</v>
      </c>
      <c r="G438" t="str">
        <f>"2026-02-19 01:38:01.201"</f>
        <v>2026-02-19 01:38:01.201</v>
      </c>
      <c r="H438" t="s">
        <v>57</v>
      </c>
    </row>
    <row r="439" spans="1:10" x14ac:dyDescent="0.25">
      <c r="A439" s="1">
        <v>38</v>
      </c>
      <c r="B439" t="s">
        <v>39</v>
      </c>
      <c r="C439">
        <v>128</v>
      </c>
      <c r="D439">
        <v>4</v>
      </c>
      <c r="E439" t="s">
        <v>55</v>
      </c>
      <c r="F439" t="s">
        <v>51</v>
      </c>
      <c r="G439" t="str">
        <f>"2026-02-19 01:37:56.124"</f>
        <v>2026-02-19 01:37:56.124</v>
      </c>
      <c r="H439" t="s">
        <v>57</v>
      </c>
      <c r="I439">
        <v>13.88</v>
      </c>
      <c r="J439" t="s">
        <v>31</v>
      </c>
    </row>
    <row r="440" spans="1:10" x14ac:dyDescent="0.25">
      <c r="A440" s="1">
        <v>39</v>
      </c>
      <c r="B440" t="s">
        <v>19</v>
      </c>
      <c r="C440">
        <v>700</v>
      </c>
      <c r="D440">
        <v>0</v>
      </c>
      <c r="E440" t="s">
        <v>20</v>
      </c>
      <c r="F440" t="s">
        <v>20</v>
      </c>
      <c r="G440" t="str">
        <f>"2026-02-17 18:05:47.978"</f>
        <v>2026-02-17 18:05:47.978</v>
      </c>
      <c r="H440" t="s">
        <v>21</v>
      </c>
      <c r="I440">
        <v>0</v>
      </c>
      <c r="J440" t="s">
        <v>22</v>
      </c>
    </row>
    <row r="441" spans="1:10" x14ac:dyDescent="0.25">
      <c r="A441" s="1">
        <v>40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"2026-02-17 16:08:53.990"</f>
        <v>2026-02-17 16:08:53.990</v>
      </c>
      <c r="H441" t="s">
        <v>21</v>
      </c>
    </row>
    <row r="442" spans="1:10" x14ac:dyDescent="0.25">
      <c r="A442" s="1">
        <v>41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"2026-02-17 15:34:07.230"</f>
        <v>2026-02-17 15:34:07.230</v>
      </c>
      <c r="H442" t="s">
        <v>21</v>
      </c>
    </row>
    <row r="443" spans="1:10" x14ac:dyDescent="0.25">
      <c r="A443" s="1">
        <v>42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"2026-02-17 15:29:56.286"</f>
        <v>2026-02-17 15:29:56.286</v>
      </c>
      <c r="H443" t="s">
        <v>21</v>
      </c>
      <c r="I443">
        <v>0</v>
      </c>
      <c r="J443" t="s">
        <v>22</v>
      </c>
    </row>
    <row r="444" spans="1:10" x14ac:dyDescent="0.25">
      <c r="A444" s="1">
        <v>43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"2026-02-17 15:28:09.222"</f>
        <v>2026-02-17 15:28:09.222</v>
      </c>
      <c r="H444" t="s">
        <v>21</v>
      </c>
      <c r="I444">
        <v>0</v>
      </c>
      <c r="J444" t="s">
        <v>22</v>
      </c>
    </row>
    <row r="445" spans="1:10" x14ac:dyDescent="0.25">
      <c r="A445" s="1">
        <v>44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"2026-02-17 15:11:13.229"</f>
        <v>2026-02-17 15:11:13.229</v>
      </c>
      <c r="H445" t="s">
        <v>21</v>
      </c>
      <c r="I445">
        <v>0</v>
      </c>
      <c r="J445" t="s">
        <v>22</v>
      </c>
    </row>
    <row r="446" spans="1:10" x14ac:dyDescent="0.25">
      <c r="A446" s="1">
        <v>45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"2026-02-17 15:10:01.223"</f>
        <v>2026-02-17 15:10:01.223</v>
      </c>
      <c r="H446" t="s">
        <v>21</v>
      </c>
    </row>
    <row r="447" spans="1:10" x14ac:dyDescent="0.25">
      <c r="A447" s="1">
        <v>46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"2026-02-17 14:59:39.238"</f>
        <v>2026-02-17 14:59:39.238</v>
      </c>
      <c r="H447" t="s">
        <v>21</v>
      </c>
      <c r="I447">
        <v>0</v>
      </c>
      <c r="J447" t="s">
        <v>22</v>
      </c>
    </row>
    <row r="448" spans="1:10" x14ac:dyDescent="0.25">
      <c r="A448" s="1">
        <v>47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"2026-02-17 14:54:17.628"</f>
        <v>2026-02-17 14:54:17.628</v>
      </c>
      <c r="H448" t="s">
        <v>21</v>
      </c>
    </row>
    <row r="449" spans="1:10" x14ac:dyDescent="0.25">
      <c r="A449" s="1">
        <v>48</v>
      </c>
      <c r="B449" t="s">
        <v>35</v>
      </c>
      <c r="C449">
        <v>226</v>
      </c>
      <c r="D449">
        <v>7</v>
      </c>
      <c r="E449" t="s">
        <v>50</v>
      </c>
      <c r="F449" t="s">
        <v>58</v>
      </c>
      <c r="G449" t="str">
        <f>"2026-02-17 07:24:33.919"</f>
        <v>2026-02-17 07:24:33.919</v>
      </c>
      <c r="H449" t="s">
        <v>52</v>
      </c>
    </row>
    <row r="450" spans="1:10" x14ac:dyDescent="0.25">
      <c r="A450" s="1">
        <v>49</v>
      </c>
      <c r="B450" t="s">
        <v>39</v>
      </c>
      <c r="C450">
        <v>226</v>
      </c>
      <c r="D450">
        <v>7</v>
      </c>
      <c r="E450" t="s">
        <v>50</v>
      </c>
      <c r="F450" t="s">
        <v>58</v>
      </c>
      <c r="G450" t="str">
        <f>"2026-02-17 07:24:29.224"</f>
        <v>2026-02-17 07:24:29.224</v>
      </c>
      <c r="H450" t="s">
        <v>52</v>
      </c>
      <c r="I450">
        <v>5.44</v>
      </c>
      <c r="J450" t="s">
        <v>34</v>
      </c>
    </row>
    <row r="451" spans="1:10" x14ac:dyDescent="0.25">
      <c r="A451" s="1">
        <v>50</v>
      </c>
      <c r="B451" t="s">
        <v>49</v>
      </c>
      <c r="C451">
        <v>217</v>
      </c>
      <c r="D451">
        <v>7</v>
      </c>
      <c r="E451" t="s">
        <v>59</v>
      </c>
      <c r="F451" t="s">
        <v>60</v>
      </c>
      <c r="G451" t="str">
        <f>"2026-02-17 05:54:04.099"</f>
        <v>2026-02-17 05:54:04.099</v>
      </c>
      <c r="H451" t="s">
        <v>52</v>
      </c>
    </row>
    <row r="452" spans="1:10" x14ac:dyDescent="0.25">
      <c r="A452" s="1">
        <v>51</v>
      </c>
      <c r="B452" t="s">
        <v>39</v>
      </c>
      <c r="C452">
        <v>217</v>
      </c>
      <c r="D452">
        <v>7</v>
      </c>
      <c r="E452" t="s">
        <v>59</v>
      </c>
      <c r="F452" t="s">
        <v>60</v>
      </c>
      <c r="G452" t="str">
        <f>"2026-02-17 05:53:59.064"</f>
        <v>2026-02-17 05:53:59.064</v>
      </c>
      <c r="H452" t="s">
        <v>52</v>
      </c>
      <c r="I452">
        <v>10.09</v>
      </c>
      <c r="J452" t="s">
        <v>34</v>
      </c>
    </row>
    <row r="453" spans="1:10" x14ac:dyDescent="0.25">
      <c r="A453" s="1">
        <v>52</v>
      </c>
      <c r="B453" t="s">
        <v>49</v>
      </c>
      <c r="C453">
        <v>128</v>
      </c>
      <c r="D453">
        <v>4</v>
      </c>
      <c r="E453" t="s">
        <v>55</v>
      </c>
      <c r="F453" t="s">
        <v>51</v>
      </c>
      <c r="G453" t="str">
        <f>"2026-02-15 09:30:09.199"</f>
        <v>2026-02-15 09:30:09.199</v>
      </c>
      <c r="H453" t="s">
        <v>57</v>
      </c>
    </row>
    <row r="454" spans="1:10" x14ac:dyDescent="0.25">
      <c r="A454" s="1">
        <v>53</v>
      </c>
      <c r="B454" t="s">
        <v>39</v>
      </c>
      <c r="C454">
        <v>128</v>
      </c>
      <c r="D454">
        <v>4</v>
      </c>
      <c r="E454" t="s">
        <v>55</v>
      </c>
      <c r="F454" t="s">
        <v>51</v>
      </c>
      <c r="G454" t="str">
        <f>"2026-02-15 09:30:04.124"</f>
        <v>2026-02-15 09:30:04.124</v>
      </c>
      <c r="H454" t="s">
        <v>57</v>
      </c>
      <c r="I454">
        <v>8.66</v>
      </c>
      <c r="J454" t="s">
        <v>34</v>
      </c>
    </row>
    <row r="455" spans="1:10" x14ac:dyDescent="0.25">
      <c r="A455" s="1">
        <v>54</v>
      </c>
      <c r="B455" t="s">
        <v>19</v>
      </c>
      <c r="C455">
        <v>706</v>
      </c>
      <c r="D455">
        <v>4</v>
      </c>
      <c r="E455" t="s">
        <v>23</v>
      </c>
      <c r="F455" t="s">
        <v>26</v>
      </c>
      <c r="G455" t="str">
        <f>"2026-02-14 09:44:54.230"</f>
        <v>2026-02-14 09:44:54.230</v>
      </c>
      <c r="H455" t="s">
        <v>21</v>
      </c>
      <c r="I455">
        <v>0</v>
      </c>
      <c r="J455" t="s">
        <v>25</v>
      </c>
    </row>
    <row r="456" spans="1:10" x14ac:dyDescent="0.25">
      <c r="A456" s="1">
        <v>55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"2026-02-14 09:44:33.990"</f>
        <v>2026-02-14 09:44:33.990</v>
      </c>
      <c r="H456" t="s">
        <v>21</v>
      </c>
      <c r="I456">
        <v>0</v>
      </c>
      <c r="J456" t="s">
        <v>22</v>
      </c>
    </row>
    <row r="457" spans="1:10" x14ac:dyDescent="0.25">
      <c r="A457" s="1">
        <v>56</v>
      </c>
      <c r="B457" t="s">
        <v>27</v>
      </c>
      <c r="C457">
        <v>635</v>
      </c>
      <c r="D457">
        <v>1</v>
      </c>
      <c r="E457" t="s">
        <v>32</v>
      </c>
      <c r="F457" t="s">
        <v>33</v>
      </c>
      <c r="G457" t="str">
        <f>"2026-02-14 06:09:31.288"</f>
        <v>2026-02-14 06:09:31.288</v>
      </c>
      <c r="H457" t="s">
        <v>21</v>
      </c>
    </row>
    <row r="458" spans="1:10" x14ac:dyDescent="0.25">
      <c r="A458" s="1">
        <v>57</v>
      </c>
      <c r="B458" t="s">
        <v>30</v>
      </c>
      <c r="C458">
        <v>635</v>
      </c>
      <c r="D458">
        <v>1</v>
      </c>
      <c r="E458" t="s">
        <v>32</v>
      </c>
      <c r="F458" t="s">
        <v>33</v>
      </c>
      <c r="G458" t="str">
        <f>"2026-02-14 06:04:12.788"</f>
        <v>2026-02-14 06:04:12.788</v>
      </c>
      <c r="H458" t="s">
        <v>21</v>
      </c>
      <c r="I458">
        <v>8.8699999999999992</v>
      </c>
      <c r="J458" t="s">
        <v>42</v>
      </c>
    </row>
    <row r="459" spans="1:10" x14ac:dyDescent="0.25">
      <c r="A459" s="1">
        <v>58</v>
      </c>
      <c r="B459" t="s">
        <v>27</v>
      </c>
      <c r="C459">
        <v>635</v>
      </c>
      <c r="D459">
        <v>1</v>
      </c>
      <c r="E459" t="s">
        <v>32</v>
      </c>
      <c r="F459" t="s">
        <v>33</v>
      </c>
      <c r="G459" t="str">
        <f>"2026-02-14 03:35:45.688"</f>
        <v>2026-02-14 03:35:45.688</v>
      </c>
      <c r="H459" t="s">
        <v>21</v>
      </c>
    </row>
    <row r="460" spans="1:10" x14ac:dyDescent="0.25">
      <c r="A460" s="1">
        <v>59</v>
      </c>
      <c r="B460" t="s">
        <v>30</v>
      </c>
      <c r="C460">
        <v>635</v>
      </c>
      <c r="D460">
        <v>1</v>
      </c>
      <c r="E460" t="s">
        <v>32</v>
      </c>
      <c r="F460" t="s">
        <v>33</v>
      </c>
      <c r="G460" t="str">
        <f>"2026-02-14 03:29:24.688"</f>
        <v>2026-02-14 03:29:24.688</v>
      </c>
      <c r="H460" t="s">
        <v>21</v>
      </c>
      <c r="I460">
        <v>8.16</v>
      </c>
      <c r="J460" t="s">
        <v>31</v>
      </c>
    </row>
    <row r="461" spans="1:10" x14ac:dyDescent="0.25">
      <c r="A461" s="1">
        <v>60</v>
      </c>
      <c r="B461" t="s">
        <v>27</v>
      </c>
      <c r="C461">
        <v>635</v>
      </c>
      <c r="D461">
        <v>1</v>
      </c>
      <c r="E461" t="s">
        <v>32</v>
      </c>
      <c r="F461" t="s">
        <v>33</v>
      </c>
      <c r="G461" t="str">
        <f>"2026-02-13 22:15:02.388"</f>
        <v>2026-02-13 22:15:02.388</v>
      </c>
      <c r="H461" t="s">
        <v>21</v>
      </c>
    </row>
    <row r="462" spans="1:10" x14ac:dyDescent="0.25">
      <c r="A462" s="1">
        <v>61</v>
      </c>
      <c r="B462" t="s">
        <v>30</v>
      </c>
      <c r="C462">
        <v>635</v>
      </c>
      <c r="D462">
        <v>1</v>
      </c>
      <c r="E462" t="s">
        <v>32</v>
      </c>
      <c r="F462" t="s">
        <v>33</v>
      </c>
      <c r="G462" t="str">
        <f>"2026-02-13 22:09:54.388"</f>
        <v>2026-02-13 22:09:54.388</v>
      </c>
      <c r="H462" t="s">
        <v>21</v>
      </c>
      <c r="I462">
        <v>5.67</v>
      </c>
      <c r="J462" t="s">
        <v>34</v>
      </c>
    </row>
    <row r="463" spans="1:10" x14ac:dyDescent="0.25">
      <c r="A463" s="1">
        <v>62</v>
      </c>
      <c r="B463" t="s">
        <v>27</v>
      </c>
      <c r="C463">
        <v>635</v>
      </c>
      <c r="D463">
        <v>1</v>
      </c>
      <c r="E463" t="s">
        <v>32</v>
      </c>
      <c r="F463" t="s">
        <v>33</v>
      </c>
      <c r="G463" t="str">
        <f>"2026-02-12 21:50:03.088"</f>
        <v>2026-02-12 21:50:03.088</v>
      </c>
      <c r="H463" t="s">
        <v>21</v>
      </c>
    </row>
    <row r="464" spans="1:10" x14ac:dyDescent="0.25">
      <c r="A464" s="1">
        <v>63</v>
      </c>
      <c r="B464" t="s">
        <v>30</v>
      </c>
      <c r="C464">
        <v>635</v>
      </c>
      <c r="D464">
        <v>1</v>
      </c>
      <c r="E464" t="s">
        <v>32</v>
      </c>
      <c r="F464" t="s">
        <v>33</v>
      </c>
      <c r="G464" t="str">
        <f>"2026-02-12 21:44:50.588"</f>
        <v>2026-02-12 21:44:50.588</v>
      </c>
      <c r="H464" t="s">
        <v>21</v>
      </c>
      <c r="I464">
        <v>7.45</v>
      </c>
      <c r="J464" t="s">
        <v>34</v>
      </c>
    </row>
    <row r="465" spans="1:10" x14ac:dyDescent="0.25">
      <c r="A465" s="1">
        <v>64</v>
      </c>
      <c r="B465" t="s">
        <v>27</v>
      </c>
      <c r="C465">
        <v>635</v>
      </c>
      <c r="D465">
        <v>1</v>
      </c>
      <c r="E465" t="s">
        <v>32</v>
      </c>
      <c r="F465" t="s">
        <v>33</v>
      </c>
      <c r="G465" t="str">
        <f>"2026-02-12 19:27:46.888"</f>
        <v>2026-02-12 19:27:46.888</v>
      </c>
      <c r="H465" t="s">
        <v>21</v>
      </c>
    </row>
    <row r="466" spans="1:10" x14ac:dyDescent="0.25">
      <c r="A466" s="1">
        <v>65</v>
      </c>
      <c r="B466" t="s">
        <v>30</v>
      </c>
      <c r="C466">
        <v>635</v>
      </c>
      <c r="D466">
        <v>1</v>
      </c>
      <c r="E466" t="s">
        <v>32</v>
      </c>
      <c r="F466" t="s">
        <v>33</v>
      </c>
      <c r="G466" t="str">
        <f>"2026-02-12 19:22:38.888"</f>
        <v>2026-02-12 19:22:38.888</v>
      </c>
      <c r="H466" t="s">
        <v>21</v>
      </c>
      <c r="I466">
        <v>5.18</v>
      </c>
      <c r="J466" t="s">
        <v>34</v>
      </c>
    </row>
    <row r="467" spans="1:10" x14ac:dyDescent="0.25">
      <c r="A467" s="1">
        <v>66</v>
      </c>
      <c r="B467" t="s">
        <v>27</v>
      </c>
      <c r="C467">
        <v>635</v>
      </c>
      <c r="D467">
        <v>1</v>
      </c>
      <c r="E467" t="s">
        <v>32</v>
      </c>
      <c r="F467" t="s">
        <v>33</v>
      </c>
      <c r="G467" t="str">
        <f>"2026-02-12 19:07:48.488"</f>
        <v>2026-02-12 19:07:48.488</v>
      </c>
      <c r="H467" t="s">
        <v>21</v>
      </c>
    </row>
    <row r="468" spans="1:10" x14ac:dyDescent="0.25">
      <c r="A468" s="1">
        <v>67</v>
      </c>
      <c r="B468" t="s">
        <v>30</v>
      </c>
      <c r="C468">
        <v>635</v>
      </c>
      <c r="D468">
        <v>1</v>
      </c>
      <c r="E468" t="s">
        <v>32</v>
      </c>
      <c r="F468" t="s">
        <v>33</v>
      </c>
      <c r="G468" t="str">
        <f>"2026-02-12 18:44:12.488"</f>
        <v>2026-02-12 18:44:12.488</v>
      </c>
      <c r="H468" t="s">
        <v>21</v>
      </c>
      <c r="I468">
        <v>3.58</v>
      </c>
      <c r="J468" t="s">
        <v>34</v>
      </c>
    </row>
    <row r="469" spans="1:10" x14ac:dyDescent="0.25">
      <c r="A469" s="1">
        <v>68</v>
      </c>
      <c r="B469" t="s">
        <v>27</v>
      </c>
      <c r="C469">
        <v>635</v>
      </c>
      <c r="D469">
        <v>1</v>
      </c>
      <c r="E469" t="s">
        <v>32</v>
      </c>
      <c r="F469" t="s">
        <v>33</v>
      </c>
      <c r="G469" t="str">
        <f>"2026-02-12 11:17:58.488"</f>
        <v>2026-02-12 11:17:58.488</v>
      </c>
      <c r="H469" t="s">
        <v>21</v>
      </c>
    </row>
    <row r="470" spans="1:10" x14ac:dyDescent="0.25">
      <c r="A470" s="1">
        <v>69</v>
      </c>
      <c r="B470" t="s">
        <v>30</v>
      </c>
      <c r="C470">
        <v>635</v>
      </c>
      <c r="D470">
        <v>1</v>
      </c>
      <c r="E470" t="s">
        <v>32</v>
      </c>
      <c r="F470" t="s">
        <v>33</v>
      </c>
      <c r="G470" t="str">
        <f>"2026-02-12 11:10:52.988"</f>
        <v>2026-02-12 11:10:52.988</v>
      </c>
      <c r="H470" t="s">
        <v>21</v>
      </c>
      <c r="I470">
        <v>8.35</v>
      </c>
      <c r="J470" t="s">
        <v>34</v>
      </c>
    </row>
    <row r="471" spans="1:10" x14ac:dyDescent="0.25">
      <c r="A471" s="1">
        <v>70</v>
      </c>
      <c r="B471" t="s">
        <v>27</v>
      </c>
      <c r="C471">
        <v>635</v>
      </c>
      <c r="D471">
        <v>1</v>
      </c>
      <c r="E471" t="s">
        <v>32</v>
      </c>
      <c r="F471" t="s">
        <v>33</v>
      </c>
      <c r="G471" t="str">
        <f>"2026-02-12 10:58:01.088"</f>
        <v>2026-02-12 10:58:01.088</v>
      </c>
      <c r="H471" t="s">
        <v>21</v>
      </c>
    </row>
    <row r="472" spans="1:10" x14ac:dyDescent="0.25">
      <c r="A472" s="1">
        <v>71</v>
      </c>
      <c r="B472" t="s">
        <v>30</v>
      </c>
      <c r="C472">
        <v>635</v>
      </c>
      <c r="D472">
        <v>1</v>
      </c>
      <c r="E472" t="s">
        <v>32</v>
      </c>
      <c r="F472" t="s">
        <v>33</v>
      </c>
      <c r="G472" t="str">
        <f>"2026-02-12 10:37:30.088"</f>
        <v>2026-02-12 10:37:30.088</v>
      </c>
      <c r="H472" t="s">
        <v>21</v>
      </c>
      <c r="I472">
        <v>8.2899999999999991</v>
      </c>
      <c r="J472" t="s">
        <v>34</v>
      </c>
    </row>
    <row r="473" spans="1:10" s="3" customFormat="1" x14ac:dyDescent="0.25">
      <c r="A473" s="2">
        <v>73</v>
      </c>
      <c r="B473" s="3" t="s">
        <v>27</v>
      </c>
      <c r="C473" s="3">
        <v>647</v>
      </c>
      <c r="D473" s="3">
        <v>1</v>
      </c>
      <c r="E473" s="3" t="s">
        <v>28</v>
      </c>
      <c r="F473" s="3" t="s">
        <v>29</v>
      </c>
      <c r="G473" s="3" t="str">
        <f>"2026-02-12 04:39:58.142"</f>
        <v>2026-02-12 04:39:58.142</v>
      </c>
      <c r="H473" s="3" t="s">
        <v>21</v>
      </c>
    </row>
    <row r="474" spans="1:10" s="3" customFormat="1" x14ac:dyDescent="0.25">
      <c r="A474" s="2">
        <v>74</v>
      </c>
      <c r="B474" s="3" t="s">
        <v>30</v>
      </c>
      <c r="C474" s="3">
        <v>647</v>
      </c>
      <c r="D474" s="3">
        <v>1</v>
      </c>
      <c r="E474" s="3" t="s">
        <v>28</v>
      </c>
      <c r="F474" s="3" t="s">
        <v>29</v>
      </c>
      <c r="G474" s="3" t="str">
        <f>"2026-02-12 04:39:56.642"</f>
        <v>2026-02-12 04:39:56.642</v>
      </c>
      <c r="H474" s="3" t="s">
        <v>21</v>
      </c>
      <c r="I474" s="3">
        <v>10.38</v>
      </c>
      <c r="J474" s="3" t="s">
        <v>31</v>
      </c>
    </row>
    <row r="475" spans="1:10" x14ac:dyDescent="0.25">
      <c r="A475" s="1">
        <v>75</v>
      </c>
      <c r="B475" t="s">
        <v>27</v>
      </c>
      <c r="C475">
        <v>635</v>
      </c>
      <c r="D475">
        <v>1</v>
      </c>
      <c r="E475" t="s">
        <v>32</v>
      </c>
      <c r="F475" t="s">
        <v>33</v>
      </c>
      <c r="G475" t="str">
        <f>"2026-02-09 23:00:18.488"</f>
        <v>2026-02-09 23:00:18.488</v>
      </c>
      <c r="H475" t="s">
        <v>21</v>
      </c>
    </row>
    <row r="476" spans="1:10" x14ac:dyDescent="0.25">
      <c r="A476" s="1">
        <v>76</v>
      </c>
      <c r="B476" t="s">
        <v>30</v>
      </c>
      <c r="C476">
        <v>635</v>
      </c>
      <c r="D476">
        <v>1</v>
      </c>
      <c r="E476" t="s">
        <v>32</v>
      </c>
      <c r="F476" t="s">
        <v>33</v>
      </c>
      <c r="G476" t="str">
        <f>"2026-02-09 22:55:16.488"</f>
        <v>2026-02-09 22:55:16.488</v>
      </c>
      <c r="H476" t="s">
        <v>21</v>
      </c>
      <c r="I476">
        <v>5.45</v>
      </c>
      <c r="J476" t="s">
        <v>42</v>
      </c>
    </row>
    <row r="477" spans="1:10" x14ac:dyDescent="0.25">
      <c r="A477" s="1">
        <v>77</v>
      </c>
      <c r="B477" t="s">
        <v>27</v>
      </c>
      <c r="C477">
        <v>635</v>
      </c>
      <c r="D477">
        <v>1</v>
      </c>
      <c r="E477" t="s">
        <v>32</v>
      </c>
      <c r="F477" t="s">
        <v>33</v>
      </c>
      <c r="G477" t="str">
        <f>"2026-02-09 20:16:30.888"</f>
        <v>2026-02-09 20:16:30.888</v>
      </c>
      <c r="H477" t="s">
        <v>21</v>
      </c>
    </row>
    <row r="478" spans="1:10" x14ac:dyDescent="0.25">
      <c r="A478" s="1">
        <v>78</v>
      </c>
      <c r="B478" t="s">
        <v>30</v>
      </c>
      <c r="C478">
        <v>635</v>
      </c>
      <c r="D478">
        <v>1</v>
      </c>
      <c r="E478" t="s">
        <v>32</v>
      </c>
      <c r="F478" t="s">
        <v>33</v>
      </c>
      <c r="G478" t="str">
        <f>"2026-02-09 20:10:51.388"</f>
        <v>2026-02-09 20:10:51.388</v>
      </c>
      <c r="H478" t="s">
        <v>21</v>
      </c>
      <c r="I478">
        <v>0.39</v>
      </c>
      <c r="J478" t="s">
        <v>34</v>
      </c>
    </row>
    <row r="479" spans="1:10" x14ac:dyDescent="0.25">
      <c r="A479" s="1">
        <v>79</v>
      </c>
      <c r="B479" t="s">
        <v>27</v>
      </c>
      <c r="C479">
        <v>98</v>
      </c>
      <c r="D479">
        <v>1</v>
      </c>
      <c r="E479" t="s">
        <v>40</v>
      </c>
      <c r="F479" t="s">
        <v>41</v>
      </c>
      <c r="G479" t="str">
        <f>"2026-02-09 18:09:57.841"</f>
        <v>2026-02-09 18:09:57.841</v>
      </c>
      <c r="H479" t="s">
        <v>21</v>
      </c>
    </row>
    <row r="480" spans="1:10" x14ac:dyDescent="0.25">
      <c r="A480" s="1">
        <v>80</v>
      </c>
      <c r="B480" t="s">
        <v>30</v>
      </c>
      <c r="C480">
        <v>98</v>
      </c>
      <c r="D480">
        <v>1</v>
      </c>
      <c r="E480" t="s">
        <v>40</v>
      </c>
      <c r="F480" t="s">
        <v>41</v>
      </c>
      <c r="G480" t="str">
        <f>"2026-02-09 18:09:56.842"</f>
        <v>2026-02-09 18:09:56.842</v>
      </c>
      <c r="H480" t="s">
        <v>21</v>
      </c>
      <c r="I480">
        <v>0</v>
      </c>
      <c r="J480" t="s">
        <v>42</v>
      </c>
    </row>
    <row r="481" spans="1:10" x14ac:dyDescent="0.25">
      <c r="A481" s="1">
        <v>81</v>
      </c>
      <c r="B481" t="s">
        <v>27</v>
      </c>
      <c r="C481">
        <v>635</v>
      </c>
      <c r="D481">
        <v>1</v>
      </c>
      <c r="E481" t="s">
        <v>32</v>
      </c>
      <c r="F481" t="s">
        <v>33</v>
      </c>
      <c r="G481" t="str">
        <f>"2026-02-09 15:59:40.988"</f>
        <v>2026-02-09 15:59:40.988</v>
      </c>
      <c r="H481" t="s">
        <v>21</v>
      </c>
    </row>
    <row r="482" spans="1:10" x14ac:dyDescent="0.25">
      <c r="A482" s="1">
        <v>82</v>
      </c>
      <c r="B482" t="s">
        <v>30</v>
      </c>
      <c r="C482">
        <v>635</v>
      </c>
      <c r="D482">
        <v>1</v>
      </c>
      <c r="E482" t="s">
        <v>32</v>
      </c>
      <c r="F482" t="s">
        <v>33</v>
      </c>
      <c r="G482" t="str">
        <f>"2026-02-09 15:54:27.988"</f>
        <v>2026-02-09 15:54:27.988</v>
      </c>
      <c r="H482" t="s">
        <v>21</v>
      </c>
      <c r="I482">
        <v>2.09</v>
      </c>
      <c r="J482" t="s">
        <v>34</v>
      </c>
    </row>
    <row r="483" spans="1:10" x14ac:dyDescent="0.25">
      <c r="A483" s="1">
        <v>83</v>
      </c>
      <c r="B483" t="s">
        <v>19</v>
      </c>
      <c r="C483">
        <v>706</v>
      </c>
      <c r="D483">
        <v>2</v>
      </c>
      <c r="E483" t="s">
        <v>23</v>
      </c>
      <c r="F483" t="s">
        <v>24</v>
      </c>
      <c r="G483" t="str">
        <f>"2026-02-09 12:45:21.279"</f>
        <v>2026-02-09 12:45:21.279</v>
      </c>
      <c r="H483" t="s">
        <v>21</v>
      </c>
      <c r="I483">
        <v>0</v>
      </c>
      <c r="J483" t="s">
        <v>25</v>
      </c>
    </row>
    <row r="484" spans="1:10" x14ac:dyDescent="0.25">
      <c r="A484" s="1">
        <v>84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"2026-02-09 12:45:00.999"</f>
        <v>2026-02-09 12:45:00.999</v>
      </c>
      <c r="H484" t="s">
        <v>21</v>
      </c>
      <c r="I484">
        <v>0</v>
      </c>
      <c r="J484" t="s">
        <v>22</v>
      </c>
    </row>
    <row r="485" spans="1:10" x14ac:dyDescent="0.25">
      <c r="A485" s="1">
        <v>86</v>
      </c>
      <c r="B485" t="s">
        <v>49</v>
      </c>
      <c r="C485">
        <v>128</v>
      </c>
      <c r="D485">
        <v>4</v>
      </c>
      <c r="E485" t="s">
        <v>55</v>
      </c>
      <c r="F485" t="s">
        <v>51</v>
      </c>
      <c r="G485" t="str">
        <f>"2026-02-09 00:20:39.498"</f>
        <v>2026-02-09 00:20:39.498</v>
      </c>
      <c r="H485" t="s">
        <v>57</v>
      </c>
    </row>
    <row r="486" spans="1:10" x14ac:dyDescent="0.25">
      <c r="A486" s="1">
        <v>87</v>
      </c>
      <c r="B486" t="s">
        <v>39</v>
      </c>
      <c r="C486">
        <v>128</v>
      </c>
      <c r="D486">
        <v>4</v>
      </c>
      <c r="E486" t="s">
        <v>55</v>
      </c>
      <c r="F486" t="s">
        <v>51</v>
      </c>
      <c r="G486" t="str">
        <f>"2026-02-09 00:20:34.482"</f>
        <v>2026-02-09 00:20:34.482</v>
      </c>
      <c r="H486" t="s">
        <v>57</v>
      </c>
      <c r="I486">
        <v>3.35</v>
      </c>
      <c r="J486" t="s">
        <v>34</v>
      </c>
    </row>
    <row r="487" spans="1:10" x14ac:dyDescent="0.25">
      <c r="A487" s="1">
        <v>88</v>
      </c>
      <c r="B487" t="s">
        <v>27</v>
      </c>
      <c r="C487">
        <v>635</v>
      </c>
      <c r="D487">
        <v>1</v>
      </c>
      <c r="E487" t="s">
        <v>32</v>
      </c>
      <c r="F487" t="s">
        <v>33</v>
      </c>
      <c r="G487" t="str">
        <f>"2026-02-08 09:50:58.167"</f>
        <v>2026-02-08 09:50:58.167</v>
      </c>
      <c r="H487" t="s">
        <v>21</v>
      </c>
    </row>
    <row r="488" spans="1:10" x14ac:dyDescent="0.25">
      <c r="A488" s="1">
        <v>89</v>
      </c>
      <c r="B488" t="s">
        <v>30</v>
      </c>
      <c r="C488">
        <v>635</v>
      </c>
      <c r="D488">
        <v>1</v>
      </c>
      <c r="E488" t="s">
        <v>32</v>
      </c>
      <c r="F488" t="s">
        <v>33</v>
      </c>
      <c r="G488" t="str">
        <f>"2026-02-08 09:44:11.167"</f>
        <v>2026-02-08 09:44:11.167</v>
      </c>
      <c r="H488" t="s">
        <v>21</v>
      </c>
      <c r="I488">
        <v>8.2899999999999991</v>
      </c>
      <c r="J488" t="s">
        <v>34</v>
      </c>
    </row>
    <row r="489" spans="1:10" x14ac:dyDescent="0.25">
      <c r="A489" s="1">
        <v>90</v>
      </c>
      <c r="B489" t="s">
        <v>27</v>
      </c>
      <c r="C489">
        <v>635</v>
      </c>
      <c r="D489">
        <v>1</v>
      </c>
      <c r="E489" t="s">
        <v>32</v>
      </c>
      <c r="F489" t="s">
        <v>33</v>
      </c>
      <c r="G489" t="str">
        <f>"2026-02-07 19:29:22.567"</f>
        <v>2026-02-07 19:29:22.567</v>
      </c>
      <c r="H489" t="s">
        <v>21</v>
      </c>
    </row>
    <row r="490" spans="1:10" x14ac:dyDescent="0.25">
      <c r="A490" s="1">
        <v>91</v>
      </c>
      <c r="B490" t="s">
        <v>30</v>
      </c>
      <c r="C490">
        <v>635</v>
      </c>
      <c r="D490">
        <v>1</v>
      </c>
      <c r="E490" t="s">
        <v>32</v>
      </c>
      <c r="F490" t="s">
        <v>33</v>
      </c>
      <c r="G490" t="str">
        <f>"2026-02-07 19:24:45.067"</f>
        <v>2026-02-07 19:24:45.067</v>
      </c>
      <c r="H490" t="s">
        <v>21</v>
      </c>
      <c r="I490">
        <v>7.57</v>
      </c>
      <c r="J490" t="s">
        <v>34</v>
      </c>
    </row>
    <row r="491" spans="1:10" x14ac:dyDescent="0.25">
      <c r="A491" s="1">
        <v>92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"2026-02-07 16:49:34.167"</f>
        <v>2026-02-07 16:49:34.167</v>
      </c>
      <c r="H491" t="s">
        <v>21</v>
      </c>
      <c r="I491">
        <v>0</v>
      </c>
      <c r="J491" t="s">
        <v>22</v>
      </c>
    </row>
    <row r="492" spans="1:10" x14ac:dyDescent="0.25">
      <c r="A492" s="1">
        <v>93</v>
      </c>
      <c r="B492" t="s">
        <v>27</v>
      </c>
      <c r="C492">
        <v>635</v>
      </c>
      <c r="D492">
        <v>1</v>
      </c>
      <c r="E492" t="s">
        <v>32</v>
      </c>
      <c r="F492" t="s">
        <v>33</v>
      </c>
      <c r="G492" t="str">
        <f>"2026-02-07 15:44:42.922"</f>
        <v>2026-02-07 15:44:42.922</v>
      </c>
      <c r="H492" t="s">
        <v>21</v>
      </c>
    </row>
    <row r="493" spans="1:10" x14ac:dyDescent="0.25">
      <c r="A493" s="1">
        <v>94</v>
      </c>
      <c r="B493" t="s">
        <v>30</v>
      </c>
      <c r="C493">
        <v>635</v>
      </c>
      <c r="D493">
        <v>1</v>
      </c>
      <c r="E493" t="s">
        <v>32</v>
      </c>
      <c r="F493" t="s">
        <v>33</v>
      </c>
      <c r="G493" t="str">
        <f>"2026-02-07 15:39:25.923"</f>
        <v>2026-02-07 15:39:25.923</v>
      </c>
      <c r="H493" t="s">
        <v>21</v>
      </c>
      <c r="I493">
        <v>8.0299999999999994</v>
      </c>
      <c r="J493" t="s">
        <v>34</v>
      </c>
    </row>
    <row r="494" spans="1:10" x14ac:dyDescent="0.25">
      <c r="A494" s="1">
        <v>95</v>
      </c>
      <c r="B494" t="s">
        <v>27</v>
      </c>
      <c r="C494">
        <v>98</v>
      </c>
      <c r="D494">
        <v>1</v>
      </c>
      <c r="E494" t="s">
        <v>40</v>
      </c>
      <c r="F494" t="s">
        <v>41</v>
      </c>
      <c r="G494" t="str">
        <f>"2026-02-07 08:03:02.914"</f>
        <v>2026-02-07 08:03:02.914</v>
      </c>
      <c r="H494" t="s">
        <v>21</v>
      </c>
    </row>
    <row r="495" spans="1:10" x14ac:dyDescent="0.25">
      <c r="A495" s="1">
        <v>96</v>
      </c>
      <c r="B495" t="s">
        <v>30</v>
      </c>
      <c r="C495">
        <v>98</v>
      </c>
      <c r="D495">
        <v>1</v>
      </c>
      <c r="E495" t="s">
        <v>40</v>
      </c>
      <c r="F495" t="s">
        <v>41</v>
      </c>
      <c r="G495" t="str">
        <f>"2026-02-07 08:03:01.915"</f>
        <v>2026-02-07 08:03:01.915</v>
      </c>
      <c r="H495" t="s">
        <v>21</v>
      </c>
      <c r="I495">
        <v>0.92</v>
      </c>
      <c r="J495" t="s">
        <v>42</v>
      </c>
    </row>
    <row r="496" spans="1:10" x14ac:dyDescent="0.25">
      <c r="A496" s="1">
        <v>97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"2026-02-07 07:57:02.954"</f>
        <v>2026-02-07 07:57:02.954</v>
      </c>
      <c r="H496" t="s">
        <v>21</v>
      </c>
    </row>
    <row r="497" spans="1:10" x14ac:dyDescent="0.25">
      <c r="A497" s="1">
        <v>98</v>
      </c>
      <c r="B497" t="s">
        <v>27</v>
      </c>
      <c r="C497">
        <v>98</v>
      </c>
      <c r="D497">
        <v>1</v>
      </c>
      <c r="E497" t="s">
        <v>40</v>
      </c>
      <c r="F497" t="s">
        <v>41</v>
      </c>
      <c r="G497" t="str">
        <f>"2026-02-07 07:46:38.096"</f>
        <v>2026-02-07 07:46:38.096</v>
      </c>
      <c r="H497" t="s">
        <v>21</v>
      </c>
    </row>
    <row r="498" spans="1:10" x14ac:dyDescent="0.25">
      <c r="A498" s="1">
        <v>99</v>
      </c>
      <c r="B498" t="s">
        <v>30</v>
      </c>
      <c r="C498">
        <v>98</v>
      </c>
      <c r="D498">
        <v>1</v>
      </c>
      <c r="E498" t="s">
        <v>40</v>
      </c>
      <c r="F498" t="s">
        <v>41</v>
      </c>
      <c r="G498" t="str">
        <f>"2026-02-07 07:46:37.097"</f>
        <v>2026-02-07 07:46:37.097</v>
      </c>
      <c r="H498" t="s">
        <v>21</v>
      </c>
      <c r="I498">
        <v>0</v>
      </c>
      <c r="J498" t="s">
        <v>42</v>
      </c>
    </row>
    <row r="499" spans="1:10" x14ac:dyDescent="0.25">
      <c r="A499" s="1">
        <v>0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"2026-02-07 02:45:55.956"</f>
        <v>2026-02-07 02:45:55.956</v>
      </c>
      <c r="H499" t="s">
        <v>21</v>
      </c>
      <c r="I499">
        <v>0</v>
      </c>
      <c r="J499" t="s">
        <v>22</v>
      </c>
    </row>
    <row r="500" spans="1:10" x14ac:dyDescent="0.25">
      <c r="A500" s="1">
        <v>1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"2026-02-06 22:47:46.955"</f>
        <v>2026-02-06 22:47:46.955</v>
      </c>
      <c r="H500" t="s">
        <v>21</v>
      </c>
      <c r="I500">
        <v>0</v>
      </c>
      <c r="J500" t="s">
        <v>22</v>
      </c>
    </row>
    <row r="501" spans="1:10" x14ac:dyDescent="0.25">
      <c r="A501" s="1">
        <v>2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"2026-02-06 18:54:07.960"</f>
        <v>2026-02-06 18:54:07.960</v>
      </c>
      <c r="H501" t="s">
        <v>21</v>
      </c>
    </row>
    <row r="502" spans="1:10" x14ac:dyDescent="0.25">
      <c r="A502" s="1">
        <v>3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"2026-02-06 17:28:05.955"</f>
        <v>2026-02-06 17:28:05.955</v>
      </c>
      <c r="H502" t="s">
        <v>21</v>
      </c>
      <c r="I502">
        <v>0</v>
      </c>
      <c r="J502" t="s">
        <v>22</v>
      </c>
    </row>
    <row r="503" spans="1:10" x14ac:dyDescent="0.25">
      <c r="A503" s="1">
        <v>4</v>
      </c>
      <c r="B503" t="s">
        <v>19</v>
      </c>
      <c r="C503">
        <v>706</v>
      </c>
      <c r="D503">
        <v>4</v>
      </c>
      <c r="E503" t="s">
        <v>23</v>
      </c>
      <c r="F503" t="s">
        <v>26</v>
      </c>
      <c r="G503" t="str">
        <f>"2026-02-06 15:32:17.351"</f>
        <v>2026-02-06 15:32:17.351</v>
      </c>
      <c r="H503" t="s">
        <v>21</v>
      </c>
      <c r="I503">
        <v>0</v>
      </c>
      <c r="J503" t="s">
        <v>25</v>
      </c>
    </row>
    <row r="504" spans="1:10" x14ac:dyDescent="0.25">
      <c r="A504" s="1">
        <v>5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"2026-02-06 15:31:25.971"</f>
        <v>2026-02-06 15:31:25.971</v>
      </c>
      <c r="H504" t="s">
        <v>21</v>
      </c>
      <c r="I504">
        <v>0</v>
      </c>
      <c r="J504" t="s">
        <v>22</v>
      </c>
    </row>
    <row r="505" spans="1:10" x14ac:dyDescent="0.25">
      <c r="A505" s="1">
        <v>6</v>
      </c>
      <c r="B505" t="s">
        <v>19</v>
      </c>
      <c r="C505">
        <v>706</v>
      </c>
      <c r="D505">
        <v>4</v>
      </c>
      <c r="E505" t="s">
        <v>23</v>
      </c>
      <c r="F505" t="s">
        <v>26</v>
      </c>
      <c r="G505" t="str">
        <f>"2026-02-06 14:46:06.228"</f>
        <v>2026-02-06 14:46:06.228</v>
      </c>
      <c r="H505" t="s">
        <v>21</v>
      </c>
      <c r="I505">
        <v>0</v>
      </c>
      <c r="J505" t="s">
        <v>25</v>
      </c>
    </row>
    <row r="506" spans="1:10" x14ac:dyDescent="0.25">
      <c r="A506" s="1">
        <v>7</v>
      </c>
      <c r="B506" t="s">
        <v>19</v>
      </c>
      <c r="C506">
        <v>706</v>
      </c>
      <c r="D506">
        <v>4</v>
      </c>
      <c r="E506" t="s">
        <v>23</v>
      </c>
      <c r="F506" t="s">
        <v>26</v>
      </c>
      <c r="G506" t="str">
        <f>"2026-02-06 14:45:51.838"</f>
        <v>2026-02-06 14:45:51.838</v>
      </c>
      <c r="H506" t="s">
        <v>21</v>
      </c>
      <c r="I506">
        <v>0</v>
      </c>
      <c r="J506" t="s">
        <v>25</v>
      </c>
    </row>
    <row r="507" spans="1:10" x14ac:dyDescent="0.25">
      <c r="A507" s="1">
        <v>8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"2026-02-06 14:39:27.948"</f>
        <v>2026-02-06 14:39:27.948</v>
      </c>
      <c r="H507" t="s">
        <v>21</v>
      </c>
    </row>
    <row r="508" spans="1:10" x14ac:dyDescent="0.25">
      <c r="A508" s="1">
        <v>9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"2026-02-06 14:37:26.958"</f>
        <v>2026-02-06 14:37:26.958</v>
      </c>
      <c r="H508" t="s">
        <v>21</v>
      </c>
      <c r="I508">
        <v>0</v>
      </c>
      <c r="J508" t="s">
        <v>22</v>
      </c>
    </row>
    <row r="509" spans="1:10" x14ac:dyDescent="0.25">
      <c r="A509" s="1">
        <v>10</v>
      </c>
      <c r="B509" t="s">
        <v>39</v>
      </c>
      <c r="C509">
        <v>47</v>
      </c>
      <c r="D509">
        <v>2</v>
      </c>
      <c r="E509" t="s">
        <v>61</v>
      </c>
      <c r="F509" t="s">
        <v>62</v>
      </c>
      <c r="G509" t="str">
        <f>"2026-02-06 14:36:35.031"</f>
        <v>2026-02-06 14:36:35.031</v>
      </c>
      <c r="H509" t="s">
        <v>63</v>
      </c>
      <c r="I509">
        <v>0</v>
      </c>
      <c r="J509" t="s">
        <v>25</v>
      </c>
    </row>
    <row r="510" spans="1:10" x14ac:dyDescent="0.25">
      <c r="A510" s="1">
        <v>11</v>
      </c>
      <c r="B510" t="s">
        <v>19</v>
      </c>
      <c r="C510">
        <v>706</v>
      </c>
      <c r="D510">
        <v>4</v>
      </c>
      <c r="E510" t="s">
        <v>23</v>
      </c>
      <c r="F510" t="s">
        <v>26</v>
      </c>
      <c r="G510" t="str">
        <f>"2026-02-06 14:36:29.161"</f>
        <v>2026-02-06 14:36:29.161</v>
      </c>
      <c r="H510" t="s">
        <v>21</v>
      </c>
      <c r="I510">
        <v>0</v>
      </c>
      <c r="J510" t="s">
        <v>25</v>
      </c>
    </row>
    <row r="511" spans="1:10" x14ac:dyDescent="0.25">
      <c r="A511" s="1">
        <v>12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"2026-02-06 13:58:52.951"</f>
        <v>2026-02-06 13:58:52.951</v>
      </c>
      <c r="H511" t="s">
        <v>21</v>
      </c>
    </row>
    <row r="512" spans="1:10" x14ac:dyDescent="0.25">
      <c r="A512" s="1">
        <v>13</v>
      </c>
      <c r="B512" t="s">
        <v>19</v>
      </c>
      <c r="C512">
        <v>706</v>
      </c>
      <c r="D512">
        <v>4</v>
      </c>
      <c r="E512" t="s">
        <v>23</v>
      </c>
      <c r="F512" t="s">
        <v>26</v>
      </c>
      <c r="G512" t="str">
        <f>"2026-02-06 12:24:37.649"</f>
        <v>2026-02-06 12:24:37.649</v>
      </c>
      <c r="H512" t="s">
        <v>21</v>
      </c>
      <c r="I512">
        <v>0</v>
      </c>
      <c r="J512" t="s">
        <v>25</v>
      </c>
    </row>
    <row r="513" spans="1:10" x14ac:dyDescent="0.25">
      <c r="A513" s="1">
        <v>14</v>
      </c>
      <c r="B513" t="s">
        <v>27</v>
      </c>
      <c r="C513">
        <v>4</v>
      </c>
      <c r="D513">
        <v>1</v>
      </c>
      <c r="E513" t="s">
        <v>64</v>
      </c>
      <c r="F513" t="s">
        <v>65</v>
      </c>
      <c r="G513" t="str">
        <f>"2026-02-06 12:24:30.697"</f>
        <v>2026-02-06 12:24:30.697</v>
      </c>
      <c r="H513" t="s">
        <v>66</v>
      </c>
    </row>
    <row r="514" spans="1:10" x14ac:dyDescent="0.25">
      <c r="A514" s="1">
        <v>15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"2026-02-06 12:24:22.949"</f>
        <v>2026-02-06 12:24:22.949</v>
      </c>
      <c r="H514" t="s">
        <v>21</v>
      </c>
    </row>
    <row r="515" spans="1:10" x14ac:dyDescent="0.25">
      <c r="A515" s="1">
        <v>16</v>
      </c>
      <c r="B515" t="s">
        <v>19</v>
      </c>
      <c r="C515">
        <v>706</v>
      </c>
      <c r="D515">
        <v>4</v>
      </c>
      <c r="E515" t="s">
        <v>23</v>
      </c>
      <c r="F515" t="s">
        <v>26</v>
      </c>
      <c r="G515" t="str">
        <f>"2026-02-06 12:13:16.145"</f>
        <v>2026-02-06 12:13:16.145</v>
      </c>
      <c r="H515" t="s">
        <v>21</v>
      </c>
      <c r="I515">
        <v>0</v>
      </c>
      <c r="J515" t="s">
        <v>25</v>
      </c>
    </row>
    <row r="516" spans="1:10" x14ac:dyDescent="0.25">
      <c r="A516" s="1">
        <v>17</v>
      </c>
      <c r="B516" t="s">
        <v>30</v>
      </c>
      <c r="C516">
        <v>4</v>
      </c>
      <c r="D516">
        <v>1</v>
      </c>
      <c r="E516" t="s">
        <v>64</v>
      </c>
      <c r="F516" t="s">
        <v>65</v>
      </c>
      <c r="G516" t="str">
        <f>"2026-02-06 12:12:59.804"</f>
        <v>2026-02-06 12:12:59.804</v>
      </c>
      <c r="H516" t="s">
        <v>66</v>
      </c>
      <c r="I516">
        <v>0</v>
      </c>
      <c r="J516" t="s">
        <v>25</v>
      </c>
    </row>
    <row r="517" spans="1:10" x14ac:dyDescent="0.25">
      <c r="A517" s="1">
        <v>18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"2026-02-06 12:12:54.955"</f>
        <v>2026-02-06 12:12:54.955</v>
      </c>
      <c r="H517" t="s">
        <v>21</v>
      </c>
    </row>
    <row r="518" spans="1:10" x14ac:dyDescent="0.25">
      <c r="A518" s="1">
        <v>19</v>
      </c>
      <c r="B518" t="s">
        <v>27</v>
      </c>
      <c r="C518">
        <v>4</v>
      </c>
      <c r="D518">
        <v>1</v>
      </c>
      <c r="E518" t="s">
        <v>64</v>
      </c>
      <c r="F518" t="s">
        <v>65</v>
      </c>
      <c r="G518" t="str">
        <f>"2026-02-06 12:12:08.732"</f>
        <v>2026-02-06 12:12:08.732</v>
      </c>
      <c r="H518" t="s">
        <v>66</v>
      </c>
    </row>
    <row r="519" spans="1:10" x14ac:dyDescent="0.25">
      <c r="A519" s="1">
        <v>20</v>
      </c>
      <c r="B519" t="s">
        <v>30</v>
      </c>
      <c r="C519">
        <v>4</v>
      </c>
      <c r="D519">
        <v>1</v>
      </c>
      <c r="E519" t="s">
        <v>64</v>
      </c>
      <c r="F519" t="s">
        <v>65</v>
      </c>
      <c r="G519" t="str">
        <f>"2026-02-06 12:11:15.092"</f>
        <v>2026-02-06 12:11:15.092</v>
      </c>
      <c r="H519" t="s">
        <v>66</v>
      </c>
      <c r="I519">
        <v>0</v>
      </c>
      <c r="J519" t="s">
        <v>25</v>
      </c>
    </row>
    <row r="520" spans="1:10" x14ac:dyDescent="0.25">
      <c r="A520" s="1">
        <v>21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"2026-02-06 11:51:46.944"</f>
        <v>2026-02-06 11:51:46.944</v>
      </c>
      <c r="H520" t="s">
        <v>21</v>
      </c>
    </row>
    <row r="521" spans="1:10" x14ac:dyDescent="0.25">
      <c r="A521" s="1">
        <v>22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"2026-02-06 11:38:00.954"</f>
        <v>2026-02-06 11:38:00.954</v>
      </c>
      <c r="H521" t="s">
        <v>21</v>
      </c>
    </row>
    <row r="522" spans="1:10" x14ac:dyDescent="0.25">
      <c r="A522" s="1">
        <v>23</v>
      </c>
      <c r="B522" t="s">
        <v>19</v>
      </c>
      <c r="C522">
        <v>700</v>
      </c>
      <c r="D522">
        <v>0</v>
      </c>
      <c r="E522" t="s">
        <v>20</v>
      </c>
      <c r="F522" t="s">
        <v>20</v>
      </c>
      <c r="G522" t="str">
        <f>"2026-02-06 10:01:37.256"</f>
        <v>2026-02-06 10:01:37.256</v>
      </c>
      <c r="H522" t="s">
        <v>21</v>
      </c>
      <c r="I522">
        <v>0</v>
      </c>
      <c r="J522" t="s">
        <v>22</v>
      </c>
    </row>
    <row r="523" spans="1:10" x14ac:dyDescent="0.25">
      <c r="A523" s="1">
        <v>24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"2026-02-05 12:55:15.986"</f>
        <v>2026-02-05 12:55:15.986</v>
      </c>
      <c r="H523" t="s">
        <v>21</v>
      </c>
    </row>
    <row r="524" spans="1:10" x14ac:dyDescent="0.25">
      <c r="A524" s="1">
        <v>25</v>
      </c>
      <c r="B524" t="s">
        <v>27</v>
      </c>
      <c r="C524">
        <v>635</v>
      </c>
      <c r="D524">
        <v>1</v>
      </c>
      <c r="E524" t="s">
        <v>32</v>
      </c>
      <c r="F524" t="s">
        <v>33</v>
      </c>
      <c r="G524" t="str">
        <f>"2026-02-05 04:59:11.779"</f>
        <v>2026-02-05 04:59:11.779</v>
      </c>
      <c r="H524" t="s">
        <v>21</v>
      </c>
    </row>
    <row r="525" spans="1:10" x14ac:dyDescent="0.25">
      <c r="A525" s="1">
        <v>26</v>
      </c>
      <c r="B525" t="s">
        <v>30</v>
      </c>
      <c r="C525">
        <v>635</v>
      </c>
      <c r="D525">
        <v>1</v>
      </c>
      <c r="E525" t="s">
        <v>32</v>
      </c>
      <c r="F525" t="s">
        <v>33</v>
      </c>
      <c r="G525" t="str">
        <f>"2026-02-05 04:55:53.279"</f>
        <v>2026-02-05 04:55:53.279</v>
      </c>
      <c r="H525" t="s">
        <v>21</v>
      </c>
      <c r="I525">
        <v>7.29</v>
      </c>
      <c r="J525" t="s">
        <v>34</v>
      </c>
    </row>
    <row r="526" spans="1:10" x14ac:dyDescent="0.25">
      <c r="A526" s="1">
        <v>27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"2026-02-04 15:45:36.960"</f>
        <v>2026-02-04 15:45:36.960</v>
      </c>
      <c r="H526" t="s">
        <v>21</v>
      </c>
    </row>
    <row r="527" spans="1:10" x14ac:dyDescent="0.25">
      <c r="A527" s="1">
        <v>28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"2026-02-04 12:44:56.132"</f>
        <v>2026-02-04 12:44:56.132</v>
      </c>
      <c r="H527" t="s">
        <v>21</v>
      </c>
      <c r="I527">
        <v>0</v>
      </c>
      <c r="J527" t="s">
        <v>22</v>
      </c>
    </row>
    <row r="528" spans="1:10" x14ac:dyDescent="0.25">
      <c r="A528" s="1">
        <v>29</v>
      </c>
      <c r="B528" t="s">
        <v>19</v>
      </c>
      <c r="C528">
        <v>706</v>
      </c>
      <c r="D528">
        <v>4</v>
      </c>
      <c r="E528" t="s">
        <v>23</v>
      </c>
      <c r="F528" t="s">
        <v>26</v>
      </c>
      <c r="G528" t="str">
        <f>"2026-02-04 10:03:27.835"</f>
        <v>2026-02-04 10:03:27.835</v>
      </c>
      <c r="H528" t="s">
        <v>21</v>
      </c>
      <c r="I528">
        <v>0</v>
      </c>
      <c r="J528" t="s">
        <v>25</v>
      </c>
    </row>
    <row r="529" spans="1:10" x14ac:dyDescent="0.25">
      <c r="A529" s="1">
        <v>30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"2026-02-04 10:03:07.955"</f>
        <v>2026-02-04 10:03:07.955</v>
      </c>
      <c r="H529" t="s">
        <v>21</v>
      </c>
    </row>
    <row r="530" spans="1:10" x14ac:dyDescent="0.25">
      <c r="A530" s="1">
        <v>31</v>
      </c>
      <c r="B530" t="s">
        <v>27</v>
      </c>
      <c r="C530">
        <v>635</v>
      </c>
      <c r="D530">
        <v>1</v>
      </c>
      <c r="E530" t="s">
        <v>32</v>
      </c>
      <c r="F530" t="s">
        <v>33</v>
      </c>
      <c r="G530" t="str">
        <f>"2026-02-03 23:44:21.186"</f>
        <v>2026-02-03 23:44:21.186</v>
      </c>
      <c r="H530" t="s">
        <v>21</v>
      </c>
    </row>
    <row r="531" spans="1:10" x14ac:dyDescent="0.25">
      <c r="A531" s="1">
        <v>32</v>
      </c>
      <c r="B531" t="s">
        <v>30</v>
      </c>
      <c r="C531">
        <v>635</v>
      </c>
      <c r="D531">
        <v>1</v>
      </c>
      <c r="E531" t="s">
        <v>32</v>
      </c>
      <c r="F531" t="s">
        <v>33</v>
      </c>
      <c r="G531" t="str">
        <f>"2026-02-03 23:38:03.186"</f>
        <v>2026-02-03 23:38:03.186</v>
      </c>
      <c r="H531" t="s">
        <v>21</v>
      </c>
      <c r="I531">
        <v>9.3000000000000007</v>
      </c>
      <c r="J531" t="s">
        <v>34</v>
      </c>
    </row>
    <row r="532" spans="1:10" x14ac:dyDescent="0.25">
      <c r="A532" s="1">
        <v>33</v>
      </c>
      <c r="B532" t="s">
        <v>27</v>
      </c>
      <c r="C532">
        <v>635</v>
      </c>
      <c r="D532">
        <v>1</v>
      </c>
      <c r="E532" t="s">
        <v>32</v>
      </c>
      <c r="F532" t="s">
        <v>33</v>
      </c>
      <c r="G532" t="str">
        <f>"2026-02-03 19:06:26.286"</f>
        <v>2026-02-03 19:06:26.286</v>
      </c>
      <c r="H532" t="s">
        <v>21</v>
      </c>
    </row>
    <row r="533" spans="1:10" x14ac:dyDescent="0.25">
      <c r="A533" s="1">
        <v>34</v>
      </c>
      <c r="B533" t="s">
        <v>30</v>
      </c>
      <c r="C533">
        <v>635</v>
      </c>
      <c r="D533">
        <v>1</v>
      </c>
      <c r="E533" t="s">
        <v>32</v>
      </c>
      <c r="F533" t="s">
        <v>33</v>
      </c>
      <c r="G533" t="str">
        <f>"2026-02-03 18:58:27.786"</f>
        <v>2026-02-03 18:58:27.786</v>
      </c>
      <c r="H533" t="s">
        <v>21</v>
      </c>
      <c r="I533">
        <v>6.59</v>
      </c>
      <c r="J533" t="s">
        <v>34</v>
      </c>
    </row>
    <row r="534" spans="1:10" x14ac:dyDescent="0.25">
      <c r="A534" s="1">
        <v>35</v>
      </c>
      <c r="B534" t="s">
        <v>27</v>
      </c>
      <c r="C534">
        <v>635</v>
      </c>
      <c r="D534">
        <v>1</v>
      </c>
      <c r="E534" t="s">
        <v>32</v>
      </c>
      <c r="F534" t="s">
        <v>33</v>
      </c>
      <c r="G534" t="str">
        <f>"2026-02-03 18:51:46.286"</f>
        <v>2026-02-03 18:51:46.286</v>
      </c>
      <c r="H534" t="s">
        <v>21</v>
      </c>
    </row>
    <row r="535" spans="1:10" x14ac:dyDescent="0.25">
      <c r="A535" s="1">
        <v>36</v>
      </c>
      <c r="B535" t="s">
        <v>30</v>
      </c>
      <c r="C535">
        <v>635</v>
      </c>
      <c r="D535">
        <v>1</v>
      </c>
      <c r="E535" t="s">
        <v>32</v>
      </c>
      <c r="F535" t="s">
        <v>33</v>
      </c>
      <c r="G535" t="str">
        <f>"2026-02-03 18:38:27.786"</f>
        <v>2026-02-03 18:38:27.786</v>
      </c>
      <c r="H535" t="s">
        <v>21</v>
      </c>
      <c r="I535">
        <v>7.19</v>
      </c>
      <c r="J535" t="s">
        <v>34</v>
      </c>
    </row>
    <row r="536" spans="1:10" x14ac:dyDescent="0.25">
      <c r="A536" s="1">
        <v>37</v>
      </c>
      <c r="B536" t="s">
        <v>27</v>
      </c>
      <c r="C536">
        <v>635</v>
      </c>
      <c r="D536">
        <v>1</v>
      </c>
      <c r="E536" t="s">
        <v>32</v>
      </c>
      <c r="F536" t="s">
        <v>33</v>
      </c>
      <c r="G536" t="str">
        <f>"2026-02-03 18:30:05.786"</f>
        <v>2026-02-03 18:30:05.786</v>
      </c>
      <c r="H536" t="s">
        <v>21</v>
      </c>
    </row>
    <row r="537" spans="1:10" x14ac:dyDescent="0.25">
      <c r="A537" s="1">
        <v>38</v>
      </c>
      <c r="B537" t="s">
        <v>30</v>
      </c>
      <c r="C537">
        <v>635</v>
      </c>
      <c r="D537">
        <v>1</v>
      </c>
      <c r="E537" t="s">
        <v>32</v>
      </c>
      <c r="F537" t="s">
        <v>33</v>
      </c>
      <c r="G537" t="str">
        <f>"2026-02-03 18:26:05.286"</f>
        <v>2026-02-03 18:26:05.286</v>
      </c>
      <c r="H537" t="s">
        <v>21</v>
      </c>
      <c r="I537">
        <v>7.68</v>
      </c>
      <c r="J537" t="s">
        <v>31</v>
      </c>
    </row>
    <row r="538" spans="1:10" x14ac:dyDescent="0.25">
      <c r="A538" s="1">
        <v>39</v>
      </c>
      <c r="B538" t="s">
        <v>27</v>
      </c>
      <c r="C538">
        <v>635</v>
      </c>
      <c r="D538">
        <v>1</v>
      </c>
      <c r="E538" t="s">
        <v>32</v>
      </c>
      <c r="F538" t="s">
        <v>33</v>
      </c>
      <c r="G538" t="str">
        <f>"2026-02-03 18:18:41.386"</f>
        <v>2026-02-03 18:18:41.386</v>
      </c>
      <c r="H538" t="s">
        <v>21</v>
      </c>
    </row>
    <row r="539" spans="1:10" x14ac:dyDescent="0.25">
      <c r="A539" s="1">
        <v>40</v>
      </c>
      <c r="B539" t="s">
        <v>30</v>
      </c>
      <c r="C539">
        <v>635</v>
      </c>
      <c r="D539">
        <v>1</v>
      </c>
      <c r="E539" t="s">
        <v>32</v>
      </c>
      <c r="F539" t="s">
        <v>33</v>
      </c>
      <c r="G539" t="str">
        <f>"2026-02-03 18:10:00.886"</f>
        <v>2026-02-03 18:10:00.886</v>
      </c>
      <c r="H539" t="s">
        <v>21</v>
      </c>
      <c r="I539">
        <v>8.48</v>
      </c>
      <c r="J539" t="s">
        <v>34</v>
      </c>
    </row>
    <row r="540" spans="1:10" x14ac:dyDescent="0.25">
      <c r="A540" s="1">
        <v>41</v>
      </c>
      <c r="B540" t="s">
        <v>27</v>
      </c>
      <c r="C540">
        <v>635</v>
      </c>
      <c r="D540">
        <v>1</v>
      </c>
      <c r="E540" t="s">
        <v>32</v>
      </c>
      <c r="F540" t="s">
        <v>33</v>
      </c>
      <c r="G540" t="str">
        <f>"2026-02-03 18:00:31.386"</f>
        <v>2026-02-03 18:00:31.386</v>
      </c>
      <c r="H540" t="s">
        <v>21</v>
      </c>
    </row>
    <row r="541" spans="1:10" x14ac:dyDescent="0.25">
      <c r="A541" s="1">
        <v>42</v>
      </c>
      <c r="B541" t="s">
        <v>30</v>
      </c>
      <c r="C541">
        <v>635</v>
      </c>
      <c r="D541">
        <v>1</v>
      </c>
      <c r="E541" t="s">
        <v>32</v>
      </c>
      <c r="F541" t="s">
        <v>33</v>
      </c>
      <c r="G541" t="str">
        <f>"2026-02-03 17:57:05.886"</f>
        <v>2026-02-03 17:57:05.886</v>
      </c>
      <c r="H541" t="s">
        <v>21</v>
      </c>
      <c r="I541">
        <v>8.1300000000000008</v>
      </c>
      <c r="J541" t="s">
        <v>31</v>
      </c>
    </row>
    <row r="542" spans="1:10" x14ac:dyDescent="0.25">
      <c r="A542" s="1">
        <v>43</v>
      </c>
      <c r="B542" t="s">
        <v>27</v>
      </c>
      <c r="C542">
        <v>635</v>
      </c>
      <c r="D542">
        <v>1</v>
      </c>
      <c r="E542" t="s">
        <v>32</v>
      </c>
      <c r="F542" t="s">
        <v>33</v>
      </c>
      <c r="G542" t="str">
        <f>"2026-02-03 17:36:22.886"</f>
        <v>2026-02-03 17:36:22.886</v>
      </c>
      <c r="H542" t="s">
        <v>21</v>
      </c>
    </row>
    <row r="543" spans="1:10" x14ac:dyDescent="0.25">
      <c r="A543" s="1">
        <v>44</v>
      </c>
      <c r="B543" t="s">
        <v>30</v>
      </c>
      <c r="C543">
        <v>635</v>
      </c>
      <c r="D543">
        <v>1</v>
      </c>
      <c r="E543" t="s">
        <v>32</v>
      </c>
      <c r="F543" t="s">
        <v>33</v>
      </c>
      <c r="G543" t="str">
        <f>"2026-02-03 17:32:56.986"</f>
        <v>2026-02-03 17:32:56.986</v>
      </c>
      <c r="H543" t="s">
        <v>21</v>
      </c>
      <c r="I543">
        <v>7.95</v>
      </c>
      <c r="J543" t="s">
        <v>34</v>
      </c>
    </row>
    <row r="544" spans="1:10" s="3" customFormat="1" x14ac:dyDescent="0.25">
      <c r="A544" s="2">
        <v>45</v>
      </c>
      <c r="B544" s="3" t="s">
        <v>27</v>
      </c>
      <c r="C544" s="3">
        <v>647</v>
      </c>
      <c r="D544" s="3">
        <v>1</v>
      </c>
      <c r="E544" s="3" t="s">
        <v>28</v>
      </c>
      <c r="F544" s="3" t="s">
        <v>29</v>
      </c>
      <c r="G544" s="3" t="str">
        <f>"2026-02-03 02:24:18.287"</f>
        <v>2026-02-03 02:24:18.287</v>
      </c>
      <c r="H544" s="3" t="s">
        <v>21</v>
      </c>
    </row>
    <row r="545" spans="1:10" s="3" customFormat="1" x14ac:dyDescent="0.25">
      <c r="A545" s="2">
        <v>46</v>
      </c>
      <c r="B545" s="3" t="s">
        <v>30</v>
      </c>
      <c r="C545" s="3">
        <v>647</v>
      </c>
      <c r="D545" s="3">
        <v>1</v>
      </c>
      <c r="E545" s="3" t="s">
        <v>28</v>
      </c>
      <c r="F545" s="3" t="s">
        <v>29</v>
      </c>
      <c r="G545" s="3" t="str">
        <f>"2026-02-03 02:24:15.187"</f>
        <v>2026-02-03 02:24:15.187</v>
      </c>
      <c r="H545" s="3" t="s">
        <v>21</v>
      </c>
      <c r="I545" s="3">
        <v>13.51</v>
      </c>
      <c r="J545" s="3" t="s">
        <v>31</v>
      </c>
    </row>
    <row r="546" spans="1:10" x14ac:dyDescent="0.25">
      <c r="A546" s="1">
        <v>47</v>
      </c>
      <c r="B546" t="s">
        <v>19</v>
      </c>
      <c r="C546">
        <v>706</v>
      </c>
      <c r="D546">
        <v>2</v>
      </c>
      <c r="E546" t="s">
        <v>23</v>
      </c>
      <c r="F546" t="s">
        <v>24</v>
      </c>
      <c r="G546" t="str">
        <f>"2026-02-01 13:07:21.136"</f>
        <v>2026-02-01 13:07:21.136</v>
      </c>
      <c r="H546" t="s">
        <v>21</v>
      </c>
      <c r="I546">
        <v>0</v>
      </c>
      <c r="J546" t="s">
        <v>25</v>
      </c>
    </row>
    <row r="547" spans="1:10" x14ac:dyDescent="0.25">
      <c r="A547" s="1">
        <v>48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"2026-02-01 13:06:56.026"</f>
        <v>2026-02-01 13:06:56.026</v>
      </c>
      <c r="H547" t="s">
        <v>21</v>
      </c>
      <c r="I547">
        <v>0</v>
      </c>
      <c r="J547" t="s">
        <v>22</v>
      </c>
    </row>
    <row r="548" spans="1:10" s="3" customFormat="1" x14ac:dyDescent="0.25">
      <c r="A548" s="2">
        <v>49</v>
      </c>
      <c r="B548" s="3" t="s">
        <v>27</v>
      </c>
      <c r="C548" s="3">
        <v>647</v>
      </c>
      <c r="D548" s="3">
        <v>1</v>
      </c>
      <c r="E548" s="3" t="s">
        <v>28</v>
      </c>
      <c r="F548" s="3" t="s">
        <v>29</v>
      </c>
      <c r="G548" s="3" t="str">
        <f>"2026-01-31 04:05:39.816"</f>
        <v>2026-01-31 04:05:39.816</v>
      </c>
      <c r="H548" s="3" t="s">
        <v>21</v>
      </c>
    </row>
    <row r="549" spans="1:10" s="3" customFormat="1" x14ac:dyDescent="0.25">
      <c r="A549" s="2">
        <v>50</v>
      </c>
      <c r="B549" s="3" t="s">
        <v>30</v>
      </c>
      <c r="C549" s="3">
        <v>647</v>
      </c>
      <c r="D549" s="3">
        <v>1</v>
      </c>
      <c r="E549" s="3" t="s">
        <v>28</v>
      </c>
      <c r="F549" s="3" t="s">
        <v>29</v>
      </c>
      <c r="G549" s="3" t="str">
        <f>"2026-01-31 04:05:38.416"</f>
        <v>2026-01-31 04:05:38.416</v>
      </c>
      <c r="H549" s="3" t="s">
        <v>21</v>
      </c>
      <c r="I549" s="3">
        <v>13.43</v>
      </c>
      <c r="J549" s="3" t="s">
        <v>31</v>
      </c>
    </row>
    <row r="550" spans="1:10" x14ac:dyDescent="0.25">
      <c r="A550" s="1">
        <v>51</v>
      </c>
      <c r="B550" t="s">
        <v>27</v>
      </c>
      <c r="C550">
        <v>98</v>
      </c>
      <c r="D550">
        <v>1</v>
      </c>
      <c r="E550" t="s">
        <v>40</v>
      </c>
      <c r="F550" t="s">
        <v>41</v>
      </c>
      <c r="G550" t="str">
        <f>"2026-01-31 01:07:37.216"</f>
        <v>2026-01-31 01:07:37.216</v>
      </c>
      <c r="H550" t="s">
        <v>21</v>
      </c>
    </row>
    <row r="551" spans="1:10" x14ac:dyDescent="0.25">
      <c r="A551" s="1">
        <v>52</v>
      </c>
      <c r="B551" t="s">
        <v>30</v>
      </c>
      <c r="C551">
        <v>98</v>
      </c>
      <c r="D551">
        <v>1</v>
      </c>
      <c r="E551" t="s">
        <v>40</v>
      </c>
      <c r="F551" t="s">
        <v>41</v>
      </c>
      <c r="G551" t="str">
        <f>"2026-01-31 01:07:36.216"</f>
        <v>2026-01-31 01:07:36.216</v>
      </c>
      <c r="H551" t="s">
        <v>21</v>
      </c>
      <c r="I551">
        <v>22.71</v>
      </c>
      <c r="J551" t="s">
        <v>34</v>
      </c>
    </row>
    <row r="552" spans="1:10" x14ac:dyDescent="0.25">
      <c r="A552" s="1">
        <v>53</v>
      </c>
      <c r="B552" t="s">
        <v>27</v>
      </c>
      <c r="C552">
        <v>98</v>
      </c>
      <c r="D552">
        <v>1</v>
      </c>
      <c r="E552" t="s">
        <v>40</v>
      </c>
      <c r="F552" t="s">
        <v>41</v>
      </c>
      <c r="G552" t="str">
        <f>"2026-01-31 01:07:34.216"</f>
        <v>2026-01-31 01:07:34.216</v>
      </c>
      <c r="H552" t="s">
        <v>21</v>
      </c>
    </row>
    <row r="553" spans="1:10" x14ac:dyDescent="0.25">
      <c r="A553" s="1">
        <v>54</v>
      </c>
      <c r="B553" t="s">
        <v>30</v>
      </c>
      <c r="C553">
        <v>98</v>
      </c>
      <c r="D553">
        <v>1</v>
      </c>
      <c r="E553" t="s">
        <v>40</v>
      </c>
      <c r="F553" t="s">
        <v>41</v>
      </c>
      <c r="G553" t="str">
        <f>"2026-01-31 01:07:33.216"</f>
        <v>2026-01-31 01:07:33.216</v>
      </c>
      <c r="H553" t="s">
        <v>21</v>
      </c>
      <c r="I553">
        <v>21.94</v>
      </c>
      <c r="J553" t="s">
        <v>34</v>
      </c>
    </row>
    <row r="554" spans="1:10" x14ac:dyDescent="0.25">
      <c r="A554" s="1">
        <v>55</v>
      </c>
      <c r="B554" t="s">
        <v>27</v>
      </c>
      <c r="C554">
        <v>98</v>
      </c>
      <c r="D554">
        <v>1</v>
      </c>
      <c r="E554" t="s">
        <v>40</v>
      </c>
      <c r="F554" t="s">
        <v>41</v>
      </c>
      <c r="G554" t="str">
        <f>"2026-01-31 00:52:17.115"</f>
        <v>2026-01-31 00:52:17.115</v>
      </c>
      <c r="H554" t="s">
        <v>21</v>
      </c>
    </row>
    <row r="555" spans="1:10" x14ac:dyDescent="0.25">
      <c r="A555" s="1">
        <v>56</v>
      </c>
      <c r="B555" t="s">
        <v>30</v>
      </c>
      <c r="C555">
        <v>98</v>
      </c>
      <c r="D555">
        <v>1</v>
      </c>
      <c r="E555" t="s">
        <v>40</v>
      </c>
      <c r="F555" t="s">
        <v>41</v>
      </c>
      <c r="G555" t="str">
        <f>"2026-01-31 00:52:16.115"</f>
        <v>2026-01-31 00:52:16.115</v>
      </c>
      <c r="H555" t="s">
        <v>21</v>
      </c>
      <c r="I555">
        <v>0</v>
      </c>
      <c r="J555" t="s">
        <v>42</v>
      </c>
    </row>
    <row r="556" spans="1:10" x14ac:dyDescent="0.25">
      <c r="A556" s="1">
        <v>57</v>
      </c>
      <c r="B556" t="s">
        <v>27</v>
      </c>
      <c r="C556">
        <v>98</v>
      </c>
      <c r="D556">
        <v>1</v>
      </c>
      <c r="E556" t="s">
        <v>40</v>
      </c>
      <c r="F556" t="s">
        <v>41</v>
      </c>
      <c r="G556" t="str">
        <f>"2026-01-31 00:52:15.915"</f>
        <v>2026-01-31 00:52:15.915</v>
      </c>
      <c r="H556" t="s">
        <v>21</v>
      </c>
    </row>
    <row r="557" spans="1:10" x14ac:dyDescent="0.25">
      <c r="A557" s="1">
        <v>58</v>
      </c>
      <c r="B557" t="s">
        <v>30</v>
      </c>
      <c r="C557">
        <v>98</v>
      </c>
      <c r="D557">
        <v>1</v>
      </c>
      <c r="E557" t="s">
        <v>40</v>
      </c>
      <c r="F557" t="s">
        <v>41</v>
      </c>
      <c r="G557" t="str">
        <f>"2026-01-31 00:52:14.915"</f>
        <v>2026-01-31 00:52:14.915</v>
      </c>
      <c r="H557" t="s">
        <v>21</v>
      </c>
      <c r="I557">
        <v>0</v>
      </c>
      <c r="J557" t="s">
        <v>42</v>
      </c>
    </row>
    <row r="558" spans="1:10" x14ac:dyDescent="0.25">
      <c r="A558" s="1">
        <v>59</v>
      </c>
      <c r="B558" t="s">
        <v>19</v>
      </c>
      <c r="C558">
        <v>706</v>
      </c>
      <c r="D558">
        <v>2</v>
      </c>
      <c r="E558" t="s">
        <v>23</v>
      </c>
      <c r="F558" t="s">
        <v>24</v>
      </c>
      <c r="G558" t="str">
        <f>"2026-01-30 04:07:05.585"</f>
        <v>2026-01-30 04:07:05.585</v>
      </c>
      <c r="H558" t="s">
        <v>21</v>
      </c>
      <c r="I558">
        <v>0</v>
      </c>
      <c r="J558" t="s">
        <v>25</v>
      </c>
    </row>
    <row r="559" spans="1:10" s="3" customFormat="1" x14ac:dyDescent="0.25">
      <c r="A559" s="2">
        <v>60</v>
      </c>
      <c r="B559" s="3" t="s">
        <v>27</v>
      </c>
      <c r="C559" s="3">
        <v>647</v>
      </c>
      <c r="D559" s="3">
        <v>1</v>
      </c>
      <c r="E559" s="3" t="s">
        <v>28</v>
      </c>
      <c r="F559" s="3" t="s">
        <v>29</v>
      </c>
      <c r="G559" s="3" t="str">
        <f>"2026-01-29 22:54:52.216"</f>
        <v>2026-01-29 22:54:52.216</v>
      </c>
      <c r="H559" s="3" t="s">
        <v>21</v>
      </c>
    </row>
    <row r="560" spans="1:10" s="3" customFormat="1" x14ac:dyDescent="0.25">
      <c r="A560" s="2">
        <v>61</v>
      </c>
      <c r="B560" s="3" t="s">
        <v>30</v>
      </c>
      <c r="C560" s="3">
        <v>647</v>
      </c>
      <c r="D560" s="3">
        <v>1</v>
      </c>
      <c r="E560" s="3" t="s">
        <v>28</v>
      </c>
      <c r="F560" s="3" t="s">
        <v>29</v>
      </c>
      <c r="G560" s="3" t="str">
        <f>"2026-01-29 22:54:49.916"</f>
        <v>2026-01-29 22:54:49.916</v>
      </c>
      <c r="H560" s="3" t="s">
        <v>21</v>
      </c>
      <c r="I560" s="3">
        <v>14.24</v>
      </c>
      <c r="J560" s="3" t="s">
        <v>31</v>
      </c>
    </row>
    <row r="561" spans="1:10" s="3" customFormat="1" x14ac:dyDescent="0.25">
      <c r="A561" s="2">
        <v>62</v>
      </c>
      <c r="B561" s="3" t="s">
        <v>27</v>
      </c>
      <c r="C561" s="3">
        <v>647</v>
      </c>
      <c r="D561" s="3">
        <v>1</v>
      </c>
      <c r="E561" s="3" t="s">
        <v>28</v>
      </c>
      <c r="F561" s="3" t="s">
        <v>29</v>
      </c>
      <c r="G561" s="3" t="str">
        <f>"2026-01-29 22:18:40.116"</f>
        <v>2026-01-29 22:18:40.116</v>
      </c>
      <c r="H561" s="3" t="s">
        <v>21</v>
      </c>
    </row>
    <row r="562" spans="1:10" s="3" customFormat="1" x14ac:dyDescent="0.25">
      <c r="A562" s="2">
        <v>63</v>
      </c>
      <c r="B562" s="3" t="s">
        <v>30</v>
      </c>
      <c r="C562" s="3">
        <v>647</v>
      </c>
      <c r="D562" s="3">
        <v>1</v>
      </c>
      <c r="E562" s="3" t="s">
        <v>28</v>
      </c>
      <c r="F562" s="3" t="s">
        <v>29</v>
      </c>
      <c r="G562" s="3" t="str">
        <f>"2026-01-29 22:18:34.816"</f>
        <v>2026-01-29 22:18:34.816</v>
      </c>
      <c r="H562" s="3" t="s">
        <v>21</v>
      </c>
      <c r="I562" s="3">
        <v>16.2</v>
      </c>
      <c r="J562" s="3" t="s">
        <v>31</v>
      </c>
    </row>
    <row r="563" spans="1:10" s="3" customFormat="1" x14ac:dyDescent="0.25">
      <c r="A563" s="2">
        <v>64</v>
      </c>
      <c r="B563" s="3" t="s">
        <v>27</v>
      </c>
      <c r="C563" s="3">
        <v>647</v>
      </c>
      <c r="D563" s="3">
        <v>1</v>
      </c>
      <c r="E563" s="3" t="s">
        <v>28</v>
      </c>
      <c r="F563" s="3" t="s">
        <v>29</v>
      </c>
      <c r="G563" s="3" t="str">
        <f>"2026-01-29 21:45:26.416"</f>
        <v>2026-01-29 21:45:26.416</v>
      </c>
      <c r="H563" s="3" t="s">
        <v>21</v>
      </c>
    </row>
    <row r="564" spans="1:10" s="3" customFormat="1" x14ac:dyDescent="0.25">
      <c r="A564" s="2">
        <v>65</v>
      </c>
      <c r="B564" s="3" t="s">
        <v>30</v>
      </c>
      <c r="C564" s="3">
        <v>647</v>
      </c>
      <c r="D564" s="3">
        <v>1</v>
      </c>
      <c r="E564" s="3" t="s">
        <v>28</v>
      </c>
      <c r="F564" s="3" t="s">
        <v>29</v>
      </c>
      <c r="G564" s="3" t="str">
        <f>"2026-01-29 21:45:19.916"</f>
        <v>2026-01-29 21:45:19.916</v>
      </c>
      <c r="H564" s="3" t="s">
        <v>21</v>
      </c>
      <c r="I564" s="3">
        <v>16.11</v>
      </c>
      <c r="J564" s="3" t="s">
        <v>31</v>
      </c>
    </row>
    <row r="565" spans="1:10" x14ac:dyDescent="0.25">
      <c r="A565" s="1">
        <v>66</v>
      </c>
      <c r="B565" t="s">
        <v>27</v>
      </c>
      <c r="C565">
        <v>98</v>
      </c>
      <c r="D565">
        <v>1</v>
      </c>
      <c r="E565" t="s">
        <v>40</v>
      </c>
      <c r="F565" t="s">
        <v>41</v>
      </c>
      <c r="G565" t="str">
        <f>"2026-01-29 07:28:47.315"</f>
        <v>2026-01-29 07:28:47.315</v>
      </c>
      <c r="H565" t="s">
        <v>21</v>
      </c>
    </row>
    <row r="566" spans="1:10" x14ac:dyDescent="0.25">
      <c r="A566" s="1">
        <v>67</v>
      </c>
      <c r="B566" t="s">
        <v>30</v>
      </c>
      <c r="C566">
        <v>98</v>
      </c>
      <c r="D566">
        <v>1</v>
      </c>
      <c r="E566" t="s">
        <v>40</v>
      </c>
      <c r="F566" t="s">
        <v>41</v>
      </c>
      <c r="G566" t="str">
        <f>"2026-01-29 07:28:46.315"</f>
        <v>2026-01-29 07:28:46.315</v>
      </c>
      <c r="H566" t="s">
        <v>21</v>
      </c>
      <c r="I566">
        <v>0</v>
      </c>
      <c r="J566" t="s">
        <v>42</v>
      </c>
    </row>
    <row r="567" spans="1:10" x14ac:dyDescent="0.25">
      <c r="A567" s="1">
        <v>68</v>
      </c>
      <c r="B567" t="s">
        <v>27</v>
      </c>
      <c r="C567">
        <v>98</v>
      </c>
      <c r="D567">
        <v>1</v>
      </c>
      <c r="E567" t="s">
        <v>40</v>
      </c>
      <c r="F567" t="s">
        <v>41</v>
      </c>
      <c r="G567" t="str">
        <f>"2026-01-29 07:28:46.115"</f>
        <v>2026-01-29 07:28:46.115</v>
      </c>
      <c r="H567" t="s">
        <v>21</v>
      </c>
    </row>
    <row r="568" spans="1:10" x14ac:dyDescent="0.25">
      <c r="A568" s="1">
        <v>69</v>
      </c>
      <c r="B568" t="s">
        <v>30</v>
      </c>
      <c r="C568">
        <v>98</v>
      </c>
      <c r="D568">
        <v>1</v>
      </c>
      <c r="E568" t="s">
        <v>40</v>
      </c>
      <c r="F568" t="s">
        <v>41</v>
      </c>
      <c r="G568" t="str">
        <f>"2026-01-29 07:28:45.115"</f>
        <v>2026-01-29 07:28:45.115</v>
      </c>
      <c r="H568" t="s">
        <v>21</v>
      </c>
      <c r="I568">
        <v>0</v>
      </c>
      <c r="J568" t="s">
        <v>42</v>
      </c>
    </row>
    <row r="569" spans="1:10" x14ac:dyDescent="0.25">
      <c r="A569" s="1">
        <v>70</v>
      </c>
      <c r="B569" t="s">
        <v>27</v>
      </c>
      <c r="C569">
        <v>98</v>
      </c>
      <c r="D569">
        <v>1</v>
      </c>
      <c r="E569" t="s">
        <v>40</v>
      </c>
      <c r="F569" t="s">
        <v>41</v>
      </c>
      <c r="G569" t="str">
        <f>"2026-01-29 07:28:44.915"</f>
        <v>2026-01-29 07:28:44.915</v>
      </c>
      <c r="H569" t="s">
        <v>21</v>
      </c>
    </row>
    <row r="570" spans="1:10" x14ac:dyDescent="0.25">
      <c r="A570" s="1">
        <v>71</v>
      </c>
      <c r="B570" t="s">
        <v>30</v>
      </c>
      <c r="C570">
        <v>98</v>
      </c>
      <c r="D570">
        <v>1</v>
      </c>
      <c r="E570" t="s">
        <v>40</v>
      </c>
      <c r="F570" t="s">
        <v>41</v>
      </c>
      <c r="G570" t="str">
        <f>"2026-01-29 07:28:43.916"</f>
        <v>2026-01-29 07:28:43.916</v>
      </c>
      <c r="H570" t="s">
        <v>21</v>
      </c>
      <c r="I570">
        <v>0</v>
      </c>
      <c r="J570" t="s">
        <v>42</v>
      </c>
    </row>
    <row r="571" spans="1:10" s="3" customFormat="1" x14ac:dyDescent="0.25">
      <c r="A571" s="2">
        <v>72</v>
      </c>
      <c r="B571" s="3" t="s">
        <v>27</v>
      </c>
      <c r="C571" s="3">
        <v>647</v>
      </c>
      <c r="D571" s="3">
        <v>1</v>
      </c>
      <c r="E571" s="3" t="s">
        <v>28</v>
      </c>
      <c r="F571" s="3" t="s">
        <v>29</v>
      </c>
      <c r="G571" s="3" t="str">
        <f>"2026-01-29 05:10:18.116"</f>
        <v>2026-01-29 05:10:18.116</v>
      </c>
      <c r="H571" s="3" t="s">
        <v>21</v>
      </c>
    </row>
    <row r="572" spans="1:10" s="3" customFormat="1" x14ac:dyDescent="0.25">
      <c r="A572" s="2">
        <v>73</v>
      </c>
      <c r="B572" s="3" t="s">
        <v>30</v>
      </c>
      <c r="C572" s="3">
        <v>647</v>
      </c>
      <c r="D572" s="3">
        <v>1</v>
      </c>
      <c r="E572" s="3" t="s">
        <v>28</v>
      </c>
      <c r="F572" s="3" t="s">
        <v>29</v>
      </c>
      <c r="G572" s="3" t="str">
        <f>"2026-01-29 05:10:12.016"</f>
        <v>2026-01-29 05:10:12.016</v>
      </c>
      <c r="H572" s="3" t="s">
        <v>21</v>
      </c>
      <c r="I572" s="3">
        <v>14.47</v>
      </c>
      <c r="J572" s="3" t="s">
        <v>31</v>
      </c>
    </row>
    <row r="573" spans="1:10" x14ac:dyDescent="0.25">
      <c r="A573" s="1">
        <v>74</v>
      </c>
      <c r="B573" t="s">
        <v>27</v>
      </c>
      <c r="C573">
        <v>635</v>
      </c>
      <c r="D573">
        <v>1</v>
      </c>
      <c r="E573" t="s">
        <v>32</v>
      </c>
      <c r="F573" t="s">
        <v>33</v>
      </c>
      <c r="G573" t="str">
        <f>"2026-01-28 16:50:40.115"</f>
        <v>2026-01-28 16:50:40.115</v>
      </c>
      <c r="H573" t="s">
        <v>21</v>
      </c>
    </row>
    <row r="574" spans="1:10" x14ac:dyDescent="0.25">
      <c r="A574" s="1">
        <v>75</v>
      </c>
      <c r="B574" t="s">
        <v>30</v>
      </c>
      <c r="C574">
        <v>635</v>
      </c>
      <c r="D574">
        <v>1</v>
      </c>
      <c r="E574" t="s">
        <v>32</v>
      </c>
      <c r="F574" t="s">
        <v>33</v>
      </c>
      <c r="G574" t="str">
        <f>"2026-01-28 16:44:37.115"</f>
        <v>2026-01-28 16:44:37.115</v>
      </c>
      <c r="H574" t="s">
        <v>21</v>
      </c>
      <c r="I574">
        <v>1.23</v>
      </c>
      <c r="J574" t="s">
        <v>34</v>
      </c>
    </row>
    <row r="575" spans="1:10" x14ac:dyDescent="0.25">
      <c r="A575" s="1">
        <v>76</v>
      </c>
      <c r="B575" t="s">
        <v>19</v>
      </c>
      <c r="C575">
        <v>706</v>
      </c>
      <c r="D575">
        <v>4</v>
      </c>
      <c r="E575" t="s">
        <v>23</v>
      </c>
      <c r="F575" t="s">
        <v>26</v>
      </c>
      <c r="G575" t="str">
        <f>"2026-01-28 14:36:38.845"</f>
        <v>2026-01-28 14:36:38.845</v>
      </c>
      <c r="H575" t="s">
        <v>21</v>
      </c>
      <c r="I575">
        <v>0</v>
      </c>
      <c r="J575" t="s">
        <v>25</v>
      </c>
    </row>
    <row r="576" spans="1:10" x14ac:dyDescent="0.25">
      <c r="A576" s="1">
        <v>77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"2026-01-28 14:34:01.945"</f>
        <v>2026-01-28 14:34:01.945</v>
      </c>
      <c r="H576" t="s">
        <v>21</v>
      </c>
      <c r="I576">
        <v>0</v>
      </c>
      <c r="J576" t="s">
        <v>22</v>
      </c>
    </row>
    <row r="577" spans="1:10" x14ac:dyDescent="0.25">
      <c r="A577" s="1">
        <v>78</v>
      </c>
      <c r="B577" t="s">
        <v>19</v>
      </c>
      <c r="C577">
        <v>706</v>
      </c>
      <c r="D577">
        <v>2</v>
      </c>
      <c r="E577" t="s">
        <v>23</v>
      </c>
      <c r="F577" t="s">
        <v>24</v>
      </c>
      <c r="G577" t="str">
        <f>"2026-01-28 10:59:21.535"</f>
        <v>2026-01-28 10:59:21.535</v>
      </c>
      <c r="H577" t="s">
        <v>21</v>
      </c>
      <c r="I577">
        <v>0</v>
      </c>
      <c r="J577" t="s">
        <v>25</v>
      </c>
    </row>
    <row r="578" spans="1:10" x14ac:dyDescent="0.25">
      <c r="A578" s="1">
        <v>79</v>
      </c>
      <c r="B578" t="s">
        <v>19</v>
      </c>
      <c r="C578">
        <v>700</v>
      </c>
      <c r="D578">
        <v>0</v>
      </c>
      <c r="E578" t="s">
        <v>20</v>
      </c>
      <c r="F578" t="s">
        <v>20</v>
      </c>
      <c r="G578" t="str">
        <f>"2026-01-28 10:57:16.925"</f>
        <v>2026-01-28 10:57:16.925</v>
      </c>
      <c r="H578" t="s">
        <v>21</v>
      </c>
    </row>
    <row r="579" spans="1:10" x14ac:dyDescent="0.25">
      <c r="A579" s="1">
        <v>80</v>
      </c>
      <c r="B579" t="s">
        <v>19</v>
      </c>
      <c r="C579">
        <v>706</v>
      </c>
      <c r="D579">
        <v>4</v>
      </c>
      <c r="E579" t="s">
        <v>23</v>
      </c>
      <c r="F579" t="s">
        <v>26</v>
      </c>
      <c r="G579" t="str">
        <f>"2026-01-28 10:25:00.242"</f>
        <v>2026-01-28 10:25:00.242</v>
      </c>
      <c r="H579" t="s">
        <v>21</v>
      </c>
      <c r="I579">
        <v>0</v>
      </c>
      <c r="J579" t="s">
        <v>25</v>
      </c>
    </row>
    <row r="580" spans="1:10" x14ac:dyDescent="0.25">
      <c r="A580" s="1">
        <v>81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"2026-01-28 10:24:07.022"</f>
        <v>2026-01-28 10:24:07.022</v>
      </c>
      <c r="H580" t="s">
        <v>21</v>
      </c>
      <c r="I580">
        <v>0</v>
      </c>
      <c r="J580" t="s">
        <v>22</v>
      </c>
    </row>
    <row r="581" spans="1:10" x14ac:dyDescent="0.25">
      <c r="A581" s="1">
        <v>82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"2026-01-28 09:05:51.927"</f>
        <v>2026-01-28 09:05:51.927</v>
      </c>
      <c r="H581" t="s">
        <v>21</v>
      </c>
      <c r="I581">
        <v>0</v>
      </c>
      <c r="J581" t="s">
        <v>22</v>
      </c>
    </row>
    <row r="582" spans="1:10" x14ac:dyDescent="0.25">
      <c r="A582" s="1">
        <v>83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"2026-01-28 08:59:19.930"</f>
        <v>2026-01-28 08:59:19.930</v>
      </c>
      <c r="H582" t="s">
        <v>21</v>
      </c>
      <c r="I582">
        <v>0</v>
      </c>
      <c r="J582" t="s">
        <v>22</v>
      </c>
    </row>
    <row r="583" spans="1:10" x14ac:dyDescent="0.25">
      <c r="A583" s="1">
        <v>84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"2026-01-26 17:32:40.930"</f>
        <v>2026-01-26 17:32:40.930</v>
      </c>
      <c r="H583" t="s">
        <v>21</v>
      </c>
    </row>
    <row r="584" spans="1:10" x14ac:dyDescent="0.25">
      <c r="A584" s="1">
        <v>85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"2026-01-26 17:28:40.931"</f>
        <v>2026-01-26 17:28:40.931</v>
      </c>
      <c r="H584" t="s">
        <v>21</v>
      </c>
      <c r="I584">
        <v>0</v>
      </c>
      <c r="J584" t="s">
        <v>22</v>
      </c>
    </row>
    <row r="585" spans="1:10" x14ac:dyDescent="0.25">
      <c r="A585" s="1">
        <v>86</v>
      </c>
      <c r="B585" t="s">
        <v>19</v>
      </c>
      <c r="C585">
        <v>706</v>
      </c>
      <c r="D585">
        <v>4</v>
      </c>
      <c r="E585" t="s">
        <v>23</v>
      </c>
      <c r="F585" t="s">
        <v>26</v>
      </c>
      <c r="G585" t="str">
        <f>"2026-01-26 17:07:52.038"</f>
        <v>2026-01-26 17:07:52.038</v>
      </c>
      <c r="H585" t="s">
        <v>21</v>
      </c>
      <c r="I585">
        <v>0</v>
      </c>
      <c r="J585" t="s">
        <v>25</v>
      </c>
    </row>
    <row r="586" spans="1:10" x14ac:dyDescent="0.25">
      <c r="A586" s="1">
        <v>87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"2026-01-26 17:03:17.928"</f>
        <v>2026-01-26 17:03:17.928</v>
      </c>
      <c r="H586" t="s">
        <v>21</v>
      </c>
      <c r="I586">
        <v>0</v>
      </c>
      <c r="J586" t="s">
        <v>22</v>
      </c>
    </row>
    <row r="587" spans="1:10" x14ac:dyDescent="0.25">
      <c r="A587" s="1">
        <v>88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"2026-01-26 16:24:33.930"</f>
        <v>2026-01-26 16:24:33.930</v>
      </c>
      <c r="H587" t="s">
        <v>21</v>
      </c>
      <c r="I587">
        <v>0</v>
      </c>
      <c r="J587" t="s">
        <v>22</v>
      </c>
    </row>
    <row r="588" spans="1:10" x14ac:dyDescent="0.25">
      <c r="A588" s="1">
        <v>89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"2026-01-26 16:18:48.940"</f>
        <v>2026-01-26 16:18:48.940</v>
      </c>
      <c r="H588" t="s">
        <v>21</v>
      </c>
    </row>
    <row r="589" spans="1:10" x14ac:dyDescent="0.25">
      <c r="A589" s="1">
        <v>90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"2026-01-26 16:04:04.956"</f>
        <v>2026-01-26 16:04:04.956</v>
      </c>
      <c r="H589" t="s">
        <v>21</v>
      </c>
    </row>
    <row r="590" spans="1:10" x14ac:dyDescent="0.25">
      <c r="A590" s="1">
        <v>91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"2026-01-26 13:08:05.924"</f>
        <v>2026-01-26 13:08:05.924</v>
      </c>
      <c r="H590" t="s">
        <v>21</v>
      </c>
    </row>
    <row r="591" spans="1:10" x14ac:dyDescent="0.25">
      <c r="A591" s="1">
        <v>92</v>
      </c>
      <c r="B591" t="s">
        <v>19</v>
      </c>
      <c r="C591">
        <v>706</v>
      </c>
      <c r="D591">
        <v>4</v>
      </c>
      <c r="E591" t="s">
        <v>23</v>
      </c>
      <c r="F591" t="s">
        <v>26</v>
      </c>
      <c r="G591" t="str">
        <f>"2026-01-26 13:05:41.330"</f>
        <v>2026-01-26 13:05:41.330</v>
      </c>
      <c r="H591" t="s">
        <v>21</v>
      </c>
      <c r="I591">
        <v>0</v>
      </c>
      <c r="J591" t="s">
        <v>25</v>
      </c>
    </row>
    <row r="592" spans="1:10" x14ac:dyDescent="0.25">
      <c r="A592" s="1">
        <v>93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"2026-01-26 13:04:44.970"</f>
        <v>2026-01-26 13:04:44.970</v>
      </c>
      <c r="H592" t="s">
        <v>21</v>
      </c>
      <c r="I592">
        <v>0</v>
      </c>
      <c r="J592" t="s">
        <v>22</v>
      </c>
    </row>
    <row r="593" spans="1:10" x14ac:dyDescent="0.25">
      <c r="A593" s="1">
        <v>94</v>
      </c>
      <c r="B593" t="s">
        <v>27</v>
      </c>
      <c r="C593">
        <v>635</v>
      </c>
      <c r="D593">
        <v>1</v>
      </c>
      <c r="E593" t="s">
        <v>32</v>
      </c>
      <c r="F593" t="s">
        <v>33</v>
      </c>
      <c r="G593" t="str">
        <f>"2026-01-26 04:18:20.216"</f>
        <v>2026-01-26 04:18:20.216</v>
      </c>
      <c r="H593" t="s">
        <v>21</v>
      </c>
    </row>
    <row r="594" spans="1:10" x14ac:dyDescent="0.25">
      <c r="A594" s="1">
        <v>95</v>
      </c>
      <c r="B594" t="s">
        <v>30</v>
      </c>
      <c r="C594">
        <v>635</v>
      </c>
      <c r="D594">
        <v>1</v>
      </c>
      <c r="E594" t="s">
        <v>32</v>
      </c>
      <c r="F594" t="s">
        <v>33</v>
      </c>
      <c r="G594" t="str">
        <f>"2026-01-26 04:13:39.216"</f>
        <v>2026-01-26 04:13:39.216</v>
      </c>
      <c r="H594" t="s">
        <v>21</v>
      </c>
      <c r="I594">
        <v>8.34</v>
      </c>
      <c r="J594" t="s">
        <v>34</v>
      </c>
    </row>
    <row r="595" spans="1:10" x14ac:dyDescent="0.25">
      <c r="A595" s="1">
        <v>96</v>
      </c>
      <c r="B595" t="s">
        <v>27</v>
      </c>
      <c r="C595">
        <v>635</v>
      </c>
      <c r="D595">
        <v>1</v>
      </c>
      <c r="E595" t="s">
        <v>32</v>
      </c>
      <c r="F595" t="s">
        <v>33</v>
      </c>
      <c r="G595" t="str">
        <f>"2026-01-26 03:20:54.816"</f>
        <v>2026-01-26 03:20:54.816</v>
      </c>
      <c r="H595" t="s">
        <v>21</v>
      </c>
    </row>
    <row r="596" spans="1:10" x14ac:dyDescent="0.25">
      <c r="A596" s="1">
        <v>97</v>
      </c>
      <c r="B596" t="s">
        <v>30</v>
      </c>
      <c r="C596">
        <v>635</v>
      </c>
      <c r="D596">
        <v>1</v>
      </c>
      <c r="E596" t="s">
        <v>32</v>
      </c>
      <c r="F596" t="s">
        <v>33</v>
      </c>
      <c r="G596" t="str">
        <f>"2026-01-26 03:17:19.316"</f>
        <v>2026-01-26 03:17:19.316</v>
      </c>
      <c r="H596" t="s">
        <v>21</v>
      </c>
      <c r="I596">
        <v>9.18</v>
      </c>
      <c r="J596" t="s">
        <v>34</v>
      </c>
    </row>
    <row r="597" spans="1:10" x14ac:dyDescent="0.25">
      <c r="A597" s="1">
        <v>98</v>
      </c>
      <c r="B597" t="s">
        <v>19</v>
      </c>
      <c r="C597">
        <v>706</v>
      </c>
      <c r="D597">
        <v>2</v>
      </c>
      <c r="E597" t="s">
        <v>23</v>
      </c>
      <c r="F597" t="s">
        <v>24</v>
      </c>
      <c r="G597" t="str">
        <f>"2026-01-25 15:22:14.706"</f>
        <v>2026-01-25 15:22:14.706</v>
      </c>
      <c r="H597" t="s">
        <v>21</v>
      </c>
      <c r="I597">
        <v>0</v>
      </c>
      <c r="J597" t="s">
        <v>25</v>
      </c>
    </row>
    <row r="598" spans="1:10" x14ac:dyDescent="0.25">
      <c r="A598" s="1">
        <v>99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"2026-01-25 15:20:23.936"</f>
        <v>2026-01-25 15:20:23.936</v>
      </c>
      <c r="H598" t="s">
        <v>21</v>
      </c>
      <c r="I598">
        <v>0</v>
      </c>
      <c r="J598" t="s">
        <v>22</v>
      </c>
    </row>
    <row r="599" spans="1:10" x14ac:dyDescent="0.25">
      <c r="A599" s="1">
        <v>0</v>
      </c>
      <c r="B599" t="s">
        <v>27</v>
      </c>
      <c r="C599">
        <v>635</v>
      </c>
      <c r="D599">
        <v>1</v>
      </c>
      <c r="E599" t="s">
        <v>32</v>
      </c>
      <c r="F599" t="s">
        <v>33</v>
      </c>
      <c r="G599" t="str">
        <f>"2026-01-25 07:28:12.209"</f>
        <v>2026-01-25 07:28:12.209</v>
      </c>
      <c r="H599" t="s">
        <v>21</v>
      </c>
    </row>
    <row r="600" spans="1:10" x14ac:dyDescent="0.25">
      <c r="A600" s="1">
        <v>1</v>
      </c>
      <c r="B600" t="s">
        <v>30</v>
      </c>
      <c r="C600">
        <v>635</v>
      </c>
      <c r="D600">
        <v>1</v>
      </c>
      <c r="E600" t="s">
        <v>32</v>
      </c>
      <c r="F600" t="s">
        <v>33</v>
      </c>
      <c r="G600" t="str">
        <f>"2026-01-25 07:22:49.209"</f>
        <v>2026-01-25 07:22:49.209</v>
      </c>
      <c r="H600" t="s">
        <v>21</v>
      </c>
      <c r="I600">
        <v>4.5199999999999996</v>
      </c>
      <c r="J600" t="s">
        <v>34</v>
      </c>
    </row>
    <row r="601" spans="1:10" x14ac:dyDescent="0.25">
      <c r="A601" s="1">
        <v>2</v>
      </c>
      <c r="B601" t="s">
        <v>27</v>
      </c>
      <c r="C601">
        <v>98</v>
      </c>
      <c r="D601">
        <v>1</v>
      </c>
      <c r="E601" t="s">
        <v>40</v>
      </c>
      <c r="F601" t="s">
        <v>41</v>
      </c>
      <c r="G601" t="str">
        <f>"2026-01-25 05:29:40.369"</f>
        <v>2026-01-25 05:29:40.369</v>
      </c>
      <c r="H601" t="s">
        <v>21</v>
      </c>
    </row>
    <row r="602" spans="1:10" x14ac:dyDescent="0.25">
      <c r="A602" s="1">
        <v>3</v>
      </c>
      <c r="B602" t="s">
        <v>30</v>
      </c>
      <c r="C602">
        <v>98</v>
      </c>
      <c r="D602">
        <v>1</v>
      </c>
      <c r="E602" t="s">
        <v>40</v>
      </c>
      <c r="F602" t="s">
        <v>41</v>
      </c>
      <c r="G602" t="str">
        <f>"2026-01-25 05:29:39.370"</f>
        <v>2026-01-25 05:29:39.370</v>
      </c>
      <c r="H602" t="s">
        <v>21</v>
      </c>
      <c r="I602">
        <v>0</v>
      </c>
      <c r="J602" t="s">
        <v>42</v>
      </c>
    </row>
    <row r="603" spans="1:10" x14ac:dyDescent="0.25">
      <c r="A603" s="1">
        <v>4</v>
      </c>
      <c r="B603" t="s">
        <v>27</v>
      </c>
      <c r="C603">
        <v>98</v>
      </c>
      <c r="D603">
        <v>1</v>
      </c>
      <c r="E603" t="s">
        <v>40</v>
      </c>
      <c r="F603" t="s">
        <v>41</v>
      </c>
      <c r="G603" t="str">
        <f>"2026-01-25 05:29:39.169"</f>
        <v>2026-01-25 05:29:39.169</v>
      </c>
      <c r="H603" t="s">
        <v>21</v>
      </c>
    </row>
    <row r="604" spans="1:10" x14ac:dyDescent="0.25">
      <c r="A604" s="1">
        <v>5</v>
      </c>
      <c r="B604" t="s">
        <v>30</v>
      </c>
      <c r="C604">
        <v>98</v>
      </c>
      <c r="D604">
        <v>1</v>
      </c>
      <c r="E604" t="s">
        <v>40</v>
      </c>
      <c r="F604" t="s">
        <v>41</v>
      </c>
      <c r="G604" t="str">
        <f>"2026-01-25 05:29:38.170"</f>
        <v>2026-01-25 05:29:38.170</v>
      </c>
      <c r="H604" t="s">
        <v>21</v>
      </c>
      <c r="I604">
        <v>0</v>
      </c>
      <c r="J604" t="s">
        <v>42</v>
      </c>
    </row>
    <row r="605" spans="1:10" x14ac:dyDescent="0.25">
      <c r="A605" s="1">
        <v>6</v>
      </c>
      <c r="B605" t="s">
        <v>35</v>
      </c>
      <c r="C605">
        <v>33</v>
      </c>
      <c r="D605">
        <v>1</v>
      </c>
      <c r="E605" t="s">
        <v>36</v>
      </c>
      <c r="F605" t="s">
        <v>37</v>
      </c>
      <c r="G605" t="str">
        <f>"2026-01-25 02:50:20.357"</f>
        <v>2026-01-25 02:50:20.357</v>
      </c>
      <c r="H605" t="s">
        <v>38</v>
      </c>
    </row>
    <row r="606" spans="1:10" x14ac:dyDescent="0.25">
      <c r="A606" s="1">
        <v>7</v>
      </c>
      <c r="B606" t="s">
        <v>39</v>
      </c>
      <c r="C606">
        <v>33</v>
      </c>
      <c r="D606">
        <v>1</v>
      </c>
      <c r="E606" t="s">
        <v>36</v>
      </c>
      <c r="F606" t="s">
        <v>37</v>
      </c>
      <c r="G606" t="str">
        <f>"2026-01-25 02:50:00.649"</f>
        <v>2026-01-25 02:50:00.649</v>
      </c>
      <c r="H606" t="s">
        <v>38</v>
      </c>
      <c r="I606">
        <v>8.68</v>
      </c>
      <c r="J606" t="s">
        <v>34</v>
      </c>
    </row>
    <row r="607" spans="1:10" x14ac:dyDescent="0.25">
      <c r="A607" s="1">
        <v>8</v>
      </c>
      <c r="B607" t="s">
        <v>35</v>
      </c>
      <c r="C607">
        <v>33</v>
      </c>
      <c r="D607">
        <v>1</v>
      </c>
      <c r="E607" t="s">
        <v>36</v>
      </c>
      <c r="F607" t="s">
        <v>37</v>
      </c>
      <c r="G607" t="str">
        <f>"2026-01-25 01:32:14.857"</f>
        <v>2026-01-25 01:32:14.857</v>
      </c>
      <c r="H607" t="s">
        <v>38</v>
      </c>
    </row>
    <row r="608" spans="1:10" x14ac:dyDescent="0.25">
      <c r="A608" s="1">
        <v>9</v>
      </c>
      <c r="B608" t="s">
        <v>39</v>
      </c>
      <c r="C608">
        <v>33</v>
      </c>
      <c r="D608">
        <v>1</v>
      </c>
      <c r="E608" t="s">
        <v>36</v>
      </c>
      <c r="F608" t="s">
        <v>37</v>
      </c>
      <c r="G608" t="str">
        <f>"2026-01-25 01:31:46.149"</f>
        <v>2026-01-25 01:31:46.149</v>
      </c>
      <c r="H608" t="s">
        <v>38</v>
      </c>
      <c r="I608">
        <v>11.35</v>
      </c>
      <c r="J608" t="s">
        <v>34</v>
      </c>
    </row>
    <row r="609" spans="1:10" x14ac:dyDescent="0.25">
      <c r="A609" s="1">
        <v>10</v>
      </c>
      <c r="B609" t="s">
        <v>27</v>
      </c>
      <c r="C609">
        <v>635</v>
      </c>
      <c r="D609">
        <v>1</v>
      </c>
      <c r="E609" t="s">
        <v>32</v>
      </c>
      <c r="F609" t="s">
        <v>33</v>
      </c>
      <c r="G609" t="str">
        <f>"2026-01-24 08:41:10.609"</f>
        <v>2026-01-24 08:41:10.609</v>
      </c>
      <c r="H609" t="s">
        <v>21</v>
      </c>
    </row>
    <row r="610" spans="1:10" x14ac:dyDescent="0.25">
      <c r="A610" s="1">
        <v>11</v>
      </c>
      <c r="B610" t="s">
        <v>30</v>
      </c>
      <c r="C610">
        <v>635</v>
      </c>
      <c r="D610">
        <v>1</v>
      </c>
      <c r="E610" t="s">
        <v>32</v>
      </c>
      <c r="F610" t="s">
        <v>33</v>
      </c>
      <c r="G610" t="str">
        <f>"2026-01-24 08:37:02.709"</f>
        <v>2026-01-24 08:37:02.709</v>
      </c>
      <c r="H610" t="s">
        <v>21</v>
      </c>
      <c r="I610">
        <v>5.51</v>
      </c>
      <c r="J610" t="s">
        <v>31</v>
      </c>
    </row>
    <row r="611" spans="1:10" s="3" customFormat="1" x14ac:dyDescent="0.25">
      <c r="A611" s="2">
        <v>12</v>
      </c>
      <c r="B611" s="3" t="s">
        <v>27</v>
      </c>
      <c r="C611" s="3">
        <v>647</v>
      </c>
      <c r="D611" s="3">
        <v>1</v>
      </c>
      <c r="E611" s="3" t="s">
        <v>28</v>
      </c>
      <c r="F611" s="3" t="s">
        <v>29</v>
      </c>
      <c r="G611" s="3" t="str">
        <f>"2026-01-24 05:59:22.157"</f>
        <v>2026-01-24 05:59:22.157</v>
      </c>
      <c r="H611" s="3" t="s">
        <v>21</v>
      </c>
    </row>
    <row r="612" spans="1:10" s="3" customFormat="1" x14ac:dyDescent="0.25">
      <c r="A612" s="2">
        <v>13</v>
      </c>
      <c r="B612" s="3" t="s">
        <v>30</v>
      </c>
      <c r="C612" s="3">
        <v>647</v>
      </c>
      <c r="D612" s="3">
        <v>1</v>
      </c>
      <c r="E612" s="3" t="s">
        <v>28</v>
      </c>
      <c r="F612" s="3" t="s">
        <v>29</v>
      </c>
      <c r="G612" s="3" t="str">
        <f>"2026-01-24 05:59:18.858"</f>
        <v>2026-01-24 05:59:18.858</v>
      </c>
      <c r="H612" s="3" t="s">
        <v>21</v>
      </c>
      <c r="I612" s="3">
        <v>15.24</v>
      </c>
      <c r="J612" s="3" t="s">
        <v>31</v>
      </c>
    </row>
    <row r="613" spans="1:10" x14ac:dyDescent="0.25">
      <c r="A613" s="1">
        <v>14</v>
      </c>
      <c r="B613" t="s">
        <v>49</v>
      </c>
      <c r="C613">
        <v>86</v>
      </c>
      <c r="D613">
        <v>8</v>
      </c>
      <c r="E613" t="s">
        <v>67</v>
      </c>
      <c r="F613" t="s">
        <v>68</v>
      </c>
      <c r="G613" t="str">
        <f>"2026-01-23 21:21:03.549"</f>
        <v>2026-01-23 21:21:03.549</v>
      </c>
      <c r="H613" t="s">
        <v>21</v>
      </c>
    </row>
    <row r="614" spans="1:10" x14ac:dyDescent="0.25">
      <c r="A614" s="1">
        <v>15</v>
      </c>
      <c r="B614" t="s">
        <v>39</v>
      </c>
      <c r="C614">
        <v>86</v>
      </c>
      <c r="D614">
        <v>8</v>
      </c>
      <c r="E614" t="s">
        <v>67</v>
      </c>
      <c r="F614" t="s">
        <v>68</v>
      </c>
      <c r="G614" t="str">
        <f>"2026-01-23 21:20:33.491"</f>
        <v>2026-01-23 21:20:33.491</v>
      </c>
      <c r="H614" t="s">
        <v>21</v>
      </c>
      <c r="I614">
        <v>-0.03</v>
      </c>
      <c r="J614" t="s">
        <v>34</v>
      </c>
    </row>
    <row r="615" spans="1:10" x14ac:dyDescent="0.25">
      <c r="A615" s="1">
        <v>16</v>
      </c>
      <c r="B615" t="s">
        <v>19</v>
      </c>
      <c r="C615">
        <v>700</v>
      </c>
      <c r="D615">
        <v>0</v>
      </c>
      <c r="E615" t="s">
        <v>20</v>
      </c>
      <c r="F615" t="s">
        <v>20</v>
      </c>
      <c r="G615" t="str">
        <f>"2026-01-23 21:20:25.910"</f>
        <v>2026-01-23 21:20:25.910</v>
      </c>
      <c r="H615" t="s">
        <v>21</v>
      </c>
      <c r="I615">
        <v>0</v>
      </c>
      <c r="J615" t="s">
        <v>22</v>
      </c>
    </row>
    <row r="616" spans="1:10" s="3" customFormat="1" x14ac:dyDescent="0.25">
      <c r="A616" s="2">
        <v>17</v>
      </c>
      <c r="B616" s="3" t="s">
        <v>27</v>
      </c>
      <c r="C616" s="3">
        <v>647</v>
      </c>
      <c r="D616" s="3">
        <v>1</v>
      </c>
      <c r="E616" s="3" t="s">
        <v>28</v>
      </c>
      <c r="F616" s="3" t="s">
        <v>29</v>
      </c>
      <c r="G616" s="3" t="str">
        <f>"2026-01-22 02:33:31.404"</f>
        <v>2026-01-22 02:33:31.404</v>
      </c>
      <c r="H616" s="3" t="s">
        <v>21</v>
      </c>
    </row>
    <row r="617" spans="1:10" s="3" customFormat="1" x14ac:dyDescent="0.25">
      <c r="A617" s="2">
        <v>18</v>
      </c>
      <c r="B617" s="3" t="s">
        <v>30</v>
      </c>
      <c r="C617" s="3">
        <v>647</v>
      </c>
      <c r="D617" s="3">
        <v>1</v>
      </c>
      <c r="E617" s="3" t="s">
        <v>28</v>
      </c>
      <c r="F617" s="3" t="s">
        <v>29</v>
      </c>
      <c r="G617" s="3" t="str">
        <f>"2026-01-22 02:33:29.904"</f>
        <v>2026-01-22 02:33:29.904</v>
      </c>
      <c r="H617" s="3" t="s">
        <v>21</v>
      </c>
      <c r="I617" s="3">
        <v>8.0500000000000007</v>
      </c>
      <c r="J617" s="3" t="s">
        <v>42</v>
      </c>
    </row>
    <row r="618" spans="1:10" x14ac:dyDescent="0.25">
      <c r="A618" s="1">
        <v>20</v>
      </c>
      <c r="B618" t="s">
        <v>19</v>
      </c>
      <c r="C618">
        <v>706</v>
      </c>
      <c r="D618">
        <v>4</v>
      </c>
      <c r="E618" t="s">
        <v>23</v>
      </c>
      <c r="F618" t="s">
        <v>26</v>
      </c>
      <c r="G618" t="str">
        <f>"2026-01-21 17:42:02.212"</f>
        <v>2026-01-21 17:42:02.212</v>
      </c>
      <c r="H618" t="s">
        <v>21</v>
      </c>
      <c r="I618">
        <v>0</v>
      </c>
      <c r="J618" t="s">
        <v>25</v>
      </c>
    </row>
    <row r="619" spans="1:10" x14ac:dyDescent="0.25">
      <c r="A619" s="1">
        <v>21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"2026-01-21 17:31:52.902"</f>
        <v>2026-01-21 17:31:52.902</v>
      </c>
      <c r="H619" t="s">
        <v>21</v>
      </c>
    </row>
    <row r="620" spans="1:10" x14ac:dyDescent="0.25">
      <c r="A620" s="1">
        <v>22</v>
      </c>
      <c r="B620" t="s">
        <v>27</v>
      </c>
      <c r="C620">
        <v>635</v>
      </c>
      <c r="D620">
        <v>1</v>
      </c>
      <c r="E620" t="s">
        <v>32</v>
      </c>
      <c r="F620" t="s">
        <v>33</v>
      </c>
      <c r="G620" t="str">
        <f>"2026-01-21 12:18:42.397"</f>
        <v>2026-01-21 12:18:42.397</v>
      </c>
      <c r="H620" t="s">
        <v>21</v>
      </c>
    </row>
    <row r="621" spans="1:10" x14ac:dyDescent="0.25">
      <c r="A621" s="1">
        <v>23</v>
      </c>
      <c r="B621" t="s">
        <v>30</v>
      </c>
      <c r="C621">
        <v>635</v>
      </c>
      <c r="D621">
        <v>1</v>
      </c>
      <c r="E621" t="s">
        <v>32</v>
      </c>
      <c r="F621" t="s">
        <v>33</v>
      </c>
      <c r="G621" t="str">
        <f>"2026-01-21 12:12:31.897"</f>
        <v>2026-01-21 12:12:31.897</v>
      </c>
      <c r="H621" t="s">
        <v>21</v>
      </c>
      <c r="I621">
        <v>3.6</v>
      </c>
      <c r="J621" t="s">
        <v>34</v>
      </c>
    </row>
    <row r="622" spans="1:10" s="3" customFormat="1" x14ac:dyDescent="0.25">
      <c r="A622" s="2">
        <v>24</v>
      </c>
      <c r="B622" s="3" t="s">
        <v>27</v>
      </c>
      <c r="C622" s="3">
        <v>647</v>
      </c>
      <c r="D622" s="3">
        <v>1</v>
      </c>
      <c r="E622" s="3" t="s">
        <v>28</v>
      </c>
      <c r="F622" s="3" t="s">
        <v>29</v>
      </c>
      <c r="G622" s="3" t="str">
        <f>"2026-01-20 23:22:59.697"</f>
        <v>2026-01-20 23:22:59.697</v>
      </c>
      <c r="H622" s="3" t="s">
        <v>21</v>
      </c>
    </row>
    <row r="623" spans="1:10" s="3" customFormat="1" x14ac:dyDescent="0.25">
      <c r="A623" s="2">
        <v>25</v>
      </c>
      <c r="B623" s="3" t="s">
        <v>30</v>
      </c>
      <c r="C623" s="3">
        <v>647</v>
      </c>
      <c r="D623" s="3">
        <v>1</v>
      </c>
      <c r="E623" s="3" t="s">
        <v>28</v>
      </c>
      <c r="F623" s="3" t="s">
        <v>29</v>
      </c>
      <c r="G623" s="3" t="str">
        <f>"2026-01-20 23:22:57.797"</f>
        <v>2026-01-20 23:22:57.797</v>
      </c>
      <c r="H623" s="3" t="s">
        <v>21</v>
      </c>
      <c r="I623" s="3">
        <v>18.420000000000002</v>
      </c>
      <c r="J623" s="3" t="s">
        <v>31</v>
      </c>
    </row>
    <row r="624" spans="1:10" x14ac:dyDescent="0.25">
      <c r="A624" s="1">
        <v>26</v>
      </c>
      <c r="B624" t="s">
        <v>27</v>
      </c>
      <c r="C624">
        <v>98</v>
      </c>
      <c r="D624">
        <v>1</v>
      </c>
      <c r="E624" t="s">
        <v>40</v>
      </c>
      <c r="F624" t="s">
        <v>41</v>
      </c>
      <c r="G624" t="str">
        <f>"2026-01-20 08:13:07.609"</f>
        <v>2026-01-20 08:13:07.609</v>
      </c>
      <c r="H624" t="s">
        <v>21</v>
      </c>
    </row>
    <row r="625" spans="1:10" x14ac:dyDescent="0.25">
      <c r="A625" s="1">
        <v>27</v>
      </c>
      <c r="B625" t="s">
        <v>30</v>
      </c>
      <c r="C625">
        <v>98</v>
      </c>
      <c r="D625">
        <v>1</v>
      </c>
      <c r="E625" t="s">
        <v>40</v>
      </c>
      <c r="F625" t="s">
        <v>41</v>
      </c>
      <c r="G625" t="str">
        <f>"2026-01-20 08:13:06.609"</f>
        <v>2026-01-20 08:13:06.609</v>
      </c>
      <c r="H625" t="s">
        <v>21</v>
      </c>
      <c r="I625">
        <v>0</v>
      </c>
      <c r="J625" t="s">
        <v>42</v>
      </c>
    </row>
    <row r="626" spans="1:10" x14ac:dyDescent="0.25">
      <c r="A626" s="1">
        <v>28</v>
      </c>
      <c r="B626" t="s">
        <v>27</v>
      </c>
      <c r="C626">
        <v>98</v>
      </c>
      <c r="D626">
        <v>1</v>
      </c>
      <c r="E626" t="s">
        <v>40</v>
      </c>
      <c r="F626" t="s">
        <v>41</v>
      </c>
      <c r="G626" t="str">
        <f>"2026-01-20 08:13:06.009"</f>
        <v>2026-01-20 08:13:06.009</v>
      </c>
      <c r="H626" t="s">
        <v>21</v>
      </c>
    </row>
    <row r="627" spans="1:10" x14ac:dyDescent="0.25">
      <c r="A627" s="1">
        <v>29</v>
      </c>
      <c r="B627" t="s">
        <v>30</v>
      </c>
      <c r="C627">
        <v>98</v>
      </c>
      <c r="D627">
        <v>1</v>
      </c>
      <c r="E627" t="s">
        <v>40</v>
      </c>
      <c r="F627" t="s">
        <v>41</v>
      </c>
      <c r="G627" t="str">
        <f>"2026-01-20 08:13:05.010"</f>
        <v>2026-01-20 08:13:05.010</v>
      </c>
      <c r="H627" t="s">
        <v>21</v>
      </c>
      <c r="I627">
        <v>0</v>
      </c>
      <c r="J627" t="s">
        <v>42</v>
      </c>
    </row>
    <row r="628" spans="1:10" s="3" customFormat="1" x14ac:dyDescent="0.25">
      <c r="A628" s="2">
        <v>30</v>
      </c>
      <c r="B628" s="3" t="s">
        <v>27</v>
      </c>
      <c r="C628" s="3">
        <v>647</v>
      </c>
      <c r="D628" s="3">
        <v>1</v>
      </c>
      <c r="E628" s="3" t="s">
        <v>28</v>
      </c>
      <c r="F628" s="3" t="s">
        <v>29</v>
      </c>
      <c r="G628" s="3" t="str">
        <f>"2026-01-20 07:00:58.397"</f>
        <v>2026-01-20 07:00:58.397</v>
      </c>
      <c r="H628" s="3" t="s">
        <v>21</v>
      </c>
    </row>
    <row r="629" spans="1:10" s="3" customFormat="1" x14ac:dyDescent="0.25">
      <c r="A629" s="2">
        <v>31</v>
      </c>
      <c r="B629" s="3" t="s">
        <v>30</v>
      </c>
      <c r="C629" s="3">
        <v>647</v>
      </c>
      <c r="D629" s="3">
        <v>1</v>
      </c>
      <c r="E629" s="3" t="s">
        <v>28</v>
      </c>
      <c r="F629" s="3" t="s">
        <v>29</v>
      </c>
      <c r="G629" s="3" t="str">
        <f>"2026-01-20 07:00:47.797"</f>
        <v>2026-01-20 07:00:47.797</v>
      </c>
      <c r="H629" s="3" t="s">
        <v>21</v>
      </c>
      <c r="I629" s="3">
        <v>8.1199999999999992</v>
      </c>
      <c r="J629" s="3" t="s">
        <v>31</v>
      </c>
    </row>
    <row r="630" spans="1:10" s="3" customFormat="1" x14ac:dyDescent="0.25">
      <c r="A630" s="2">
        <v>32</v>
      </c>
      <c r="B630" s="3" t="s">
        <v>27</v>
      </c>
      <c r="C630" s="3">
        <v>647</v>
      </c>
      <c r="D630" s="3">
        <v>1</v>
      </c>
      <c r="E630" s="3" t="s">
        <v>28</v>
      </c>
      <c r="F630" s="3" t="s">
        <v>29</v>
      </c>
      <c r="G630" s="3" t="str">
        <f>"2026-01-20 06:07:43.197"</f>
        <v>2026-01-20 06:07:43.197</v>
      </c>
      <c r="H630" s="3" t="s">
        <v>21</v>
      </c>
    </row>
    <row r="631" spans="1:10" s="3" customFormat="1" x14ac:dyDescent="0.25">
      <c r="A631" s="2">
        <v>33</v>
      </c>
      <c r="B631" s="3" t="s">
        <v>30</v>
      </c>
      <c r="C631" s="3">
        <v>647</v>
      </c>
      <c r="D631" s="3">
        <v>1</v>
      </c>
      <c r="E631" s="3" t="s">
        <v>28</v>
      </c>
      <c r="F631" s="3" t="s">
        <v>29</v>
      </c>
      <c r="G631" s="3" t="str">
        <f>"2026-01-20 06:07:40.297"</f>
        <v>2026-01-20 06:07:40.297</v>
      </c>
      <c r="H631" s="3" t="s">
        <v>21</v>
      </c>
      <c r="I631" s="3">
        <v>8.35</v>
      </c>
      <c r="J631" s="3" t="s">
        <v>31</v>
      </c>
    </row>
    <row r="632" spans="1:10" s="3" customFormat="1" x14ac:dyDescent="0.25">
      <c r="A632" s="2">
        <v>34</v>
      </c>
      <c r="B632" s="3" t="s">
        <v>27</v>
      </c>
      <c r="C632" s="3">
        <v>647</v>
      </c>
      <c r="D632" s="3">
        <v>1</v>
      </c>
      <c r="E632" s="3" t="s">
        <v>28</v>
      </c>
      <c r="F632" s="3" t="s">
        <v>29</v>
      </c>
      <c r="G632" s="3" t="str">
        <f>"2026-01-20 05:12:36.097"</f>
        <v>2026-01-20 05:12:36.097</v>
      </c>
      <c r="H632" s="3" t="s">
        <v>21</v>
      </c>
    </row>
    <row r="633" spans="1:10" s="3" customFormat="1" x14ac:dyDescent="0.25">
      <c r="A633" s="2">
        <v>35</v>
      </c>
      <c r="B633" s="3" t="s">
        <v>30</v>
      </c>
      <c r="C633" s="3">
        <v>647</v>
      </c>
      <c r="D633" s="3">
        <v>1</v>
      </c>
      <c r="E633" s="3" t="s">
        <v>28</v>
      </c>
      <c r="F633" s="3" t="s">
        <v>29</v>
      </c>
      <c r="G633" s="3" t="str">
        <f>"2026-01-20 05:12:25.997"</f>
        <v>2026-01-20 05:12:25.997</v>
      </c>
      <c r="H633" s="3" t="s">
        <v>21</v>
      </c>
      <c r="I633" s="3">
        <v>13.17</v>
      </c>
      <c r="J633" s="3" t="s">
        <v>31</v>
      </c>
    </row>
    <row r="634" spans="1:10" x14ac:dyDescent="0.25">
      <c r="A634" s="1">
        <v>36</v>
      </c>
      <c r="B634" t="s">
        <v>27</v>
      </c>
      <c r="C634">
        <v>635</v>
      </c>
      <c r="D634">
        <v>1</v>
      </c>
      <c r="E634" t="s">
        <v>32</v>
      </c>
      <c r="F634" t="s">
        <v>33</v>
      </c>
      <c r="G634" t="str">
        <f>"2026-01-17 21:33:21.397"</f>
        <v>2026-01-17 21:33:21.397</v>
      </c>
      <c r="H634" t="s">
        <v>21</v>
      </c>
    </row>
    <row r="635" spans="1:10" x14ac:dyDescent="0.25">
      <c r="A635" s="1">
        <v>37</v>
      </c>
      <c r="B635" t="s">
        <v>30</v>
      </c>
      <c r="C635">
        <v>635</v>
      </c>
      <c r="D635">
        <v>1</v>
      </c>
      <c r="E635" t="s">
        <v>32</v>
      </c>
      <c r="F635" t="s">
        <v>33</v>
      </c>
      <c r="G635" t="str">
        <f>"2026-01-17 21:28:31.897"</f>
        <v>2026-01-17 21:28:31.897</v>
      </c>
      <c r="H635" t="s">
        <v>21</v>
      </c>
      <c r="I635">
        <v>4.62</v>
      </c>
      <c r="J635" t="s">
        <v>31</v>
      </c>
    </row>
    <row r="636" spans="1:10" x14ac:dyDescent="0.25">
      <c r="A636" s="1">
        <v>38</v>
      </c>
      <c r="B636" t="s">
        <v>27</v>
      </c>
      <c r="C636">
        <v>635</v>
      </c>
      <c r="D636">
        <v>1</v>
      </c>
      <c r="E636" t="s">
        <v>32</v>
      </c>
      <c r="F636" t="s">
        <v>33</v>
      </c>
      <c r="G636" t="str">
        <f>"2026-01-17 06:36:40.997"</f>
        <v>2026-01-17 06:36:40.997</v>
      </c>
      <c r="H636" t="s">
        <v>21</v>
      </c>
    </row>
    <row r="637" spans="1:10" x14ac:dyDescent="0.25">
      <c r="A637" s="1">
        <v>39</v>
      </c>
      <c r="B637" t="s">
        <v>30</v>
      </c>
      <c r="C637">
        <v>635</v>
      </c>
      <c r="D637">
        <v>1</v>
      </c>
      <c r="E637" t="s">
        <v>32</v>
      </c>
      <c r="F637" t="s">
        <v>33</v>
      </c>
      <c r="G637" t="str">
        <f>"2026-01-17 06:32:39.497"</f>
        <v>2026-01-17 06:32:39.497</v>
      </c>
      <c r="H637" t="s">
        <v>21</v>
      </c>
      <c r="I637">
        <v>8.09</v>
      </c>
      <c r="J637" t="s">
        <v>34</v>
      </c>
    </row>
    <row r="638" spans="1:10" x14ac:dyDescent="0.25">
      <c r="A638" s="1">
        <v>40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"2026-01-16 16:45:16.910"</f>
        <v>2026-01-16 16:45:16.910</v>
      </c>
      <c r="H638" t="s">
        <v>21</v>
      </c>
      <c r="I638">
        <v>0</v>
      </c>
      <c r="J638" t="s">
        <v>22</v>
      </c>
    </row>
    <row r="639" spans="1:10" x14ac:dyDescent="0.25">
      <c r="A639" s="1">
        <v>41</v>
      </c>
      <c r="B639" t="s">
        <v>19</v>
      </c>
      <c r="C639">
        <v>706</v>
      </c>
      <c r="D639">
        <v>4</v>
      </c>
      <c r="E639" t="s">
        <v>23</v>
      </c>
      <c r="F639" t="s">
        <v>26</v>
      </c>
      <c r="G639" t="str">
        <f>"2026-01-16 16:17:26.832"</f>
        <v>2026-01-16 16:17:26.832</v>
      </c>
      <c r="H639" t="s">
        <v>21</v>
      </c>
      <c r="I639">
        <v>0</v>
      </c>
      <c r="J639" t="s">
        <v>25</v>
      </c>
    </row>
    <row r="640" spans="1:10" x14ac:dyDescent="0.25">
      <c r="A640" s="1">
        <v>42</v>
      </c>
      <c r="B640" t="s">
        <v>19</v>
      </c>
      <c r="C640">
        <v>706</v>
      </c>
      <c r="D640">
        <v>4</v>
      </c>
      <c r="E640" t="s">
        <v>23</v>
      </c>
      <c r="F640" t="s">
        <v>26</v>
      </c>
      <c r="G640" t="str">
        <f>"2026-01-16 16:16:52.422"</f>
        <v>2026-01-16 16:16:52.422</v>
      </c>
      <c r="H640" t="s">
        <v>21</v>
      </c>
      <c r="I640">
        <v>0</v>
      </c>
      <c r="J640" t="s">
        <v>25</v>
      </c>
    </row>
    <row r="641" spans="1:10" x14ac:dyDescent="0.25">
      <c r="A641" s="1">
        <v>43</v>
      </c>
      <c r="B641" t="s">
        <v>19</v>
      </c>
      <c r="C641">
        <v>706</v>
      </c>
      <c r="D641">
        <v>4</v>
      </c>
      <c r="E641" t="s">
        <v>23</v>
      </c>
      <c r="F641" t="s">
        <v>26</v>
      </c>
      <c r="G641" t="str">
        <f>"2026-01-16 16:16:38.732"</f>
        <v>2026-01-16 16:16:38.732</v>
      </c>
      <c r="H641" t="s">
        <v>21</v>
      </c>
      <c r="I641">
        <v>0</v>
      </c>
      <c r="J641" t="s">
        <v>25</v>
      </c>
    </row>
    <row r="642" spans="1:10" x14ac:dyDescent="0.25">
      <c r="A642" s="1">
        <v>44</v>
      </c>
      <c r="B642" t="s">
        <v>19</v>
      </c>
      <c r="C642">
        <v>776</v>
      </c>
      <c r="D642">
        <v>2</v>
      </c>
      <c r="E642" t="s">
        <v>69</v>
      </c>
      <c r="F642" t="s">
        <v>70</v>
      </c>
      <c r="G642" t="str">
        <f>"2026-01-16 16:06:48.906"</f>
        <v>2026-01-16 16:06:48.906</v>
      </c>
      <c r="H642" t="s">
        <v>21</v>
      </c>
      <c r="I642">
        <v>0</v>
      </c>
      <c r="J642" t="s">
        <v>25</v>
      </c>
    </row>
    <row r="643" spans="1:10" x14ac:dyDescent="0.25">
      <c r="A643" s="1">
        <v>45</v>
      </c>
      <c r="B643" t="s">
        <v>19</v>
      </c>
      <c r="C643">
        <v>776</v>
      </c>
      <c r="D643">
        <v>1</v>
      </c>
      <c r="E643" t="s">
        <v>69</v>
      </c>
      <c r="F643" t="s">
        <v>71</v>
      </c>
      <c r="G643" t="str">
        <f>"2026-01-16 16:06:48.886"</f>
        <v>2026-01-16 16:06:48.886</v>
      </c>
      <c r="H643" t="s">
        <v>21</v>
      </c>
      <c r="I643">
        <v>0</v>
      </c>
      <c r="J643" t="s">
        <v>25</v>
      </c>
    </row>
    <row r="644" spans="1:10" x14ac:dyDescent="0.25">
      <c r="A644" s="1">
        <v>46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"2026-01-16 16:06:41.892"</f>
        <v>2026-01-16 16:06:41.892</v>
      </c>
      <c r="H644" t="s">
        <v>21</v>
      </c>
    </row>
    <row r="645" spans="1:10" x14ac:dyDescent="0.25">
      <c r="A645" s="1">
        <v>47</v>
      </c>
      <c r="B645" t="s">
        <v>19</v>
      </c>
      <c r="C645">
        <v>776</v>
      </c>
      <c r="D645">
        <v>2</v>
      </c>
      <c r="E645" t="s">
        <v>69</v>
      </c>
      <c r="F645" t="s">
        <v>70</v>
      </c>
      <c r="G645" t="str">
        <f>"2026-01-16 15:24:59.653"</f>
        <v>2026-01-16 15:24:59.653</v>
      </c>
      <c r="H645" t="s">
        <v>21</v>
      </c>
      <c r="I645">
        <v>0</v>
      </c>
      <c r="J645" t="s">
        <v>25</v>
      </c>
    </row>
    <row r="646" spans="1:10" x14ac:dyDescent="0.25">
      <c r="A646" s="1">
        <v>48</v>
      </c>
      <c r="B646" t="s">
        <v>19</v>
      </c>
      <c r="C646">
        <v>776</v>
      </c>
      <c r="D646">
        <v>1</v>
      </c>
      <c r="E646" t="s">
        <v>69</v>
      </c>
      <c r="F646" t="s">
        <v>71</v>
      </c>
      <c r="G646" t="str">
        <f>"2026-01-16 15:24:59.651"</f>
        <v>2026-01-16 15:24:59.651</v>
      </c>
      <c r="H646" t="s">
        <v>21</v>
      </c>
      <c r="I646">
        <v>0</v>
      </c>
      <c r="J646" t="s">
        <v>25</v>
      </c>
    </row>
    <row r="647" spans="1:10" x14ac:dyDescent="0.25">
      <c r="A647" s="1">
        <v>49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"2026-01-16 15:24:53.897"</f>
        <v>2026-01-16 15:24:53.897</v>
      </c>
      <c r="H647" t="s">
        <v>21</v>
      </c>
      <c r="I647">
        <v>0</v>
      </c>
      <c r="J647" t="s">
        <v>22</v>
      </c>
    </row>
    <row r="648" spans="1:10" x14ac:dyDescent="0.25">
      <c r="A648" s="1">
        <v>50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"2026-01-16 14:10:39.923"</f>
        <v>2026-01-16 14:10:39.923</v>
      </c>
      <c r="H648" t="s">
        <v>21</v>
      </c>
    </row>
    <row r="649" spans="1:10" x14ac:dyDescent="0.25">
      <c r="A649" s="1">
        <v>51</v>
      </c>
      <c r="B649" t="s">
        <v>19</v>
      </c>
      <c r="C649">
        <v>706</v>
      </c>
      <c r="D649">
        <v>2</v>
      </c>
      <c r="E649" t="s">
        <v>23</v>
      </c>
      <c r="F649" t="s">
        <v>24</v>
      </c>
      <c r="G649" t="str">
        <f>"2026-01-16 11:59:18.990"</f>
        <v>2026-01-16 11:59:18.990</v>
      </c>
      <c r="H649" t="s">
        <v>21</v>
      </c>
      <c r="I649">
        <v>0</v>
      </c>
      <c r="J649" t="s">
        <v>25</v>
      </c>
    </row>
    <row r="650" spans="1:10" x14ac:dyDescent="0.25">
      <c r="A650" s="1">
        <v>52</v>
      </c>
      <c r="B650" t="s">
        <v>19</v>
      </c>
      <c r="C650">
        <v>706</v>
      </c>
      <c r="D650">
        <v>4</v>
      </c>
      <c r="E650" t="s">
        <v>23</v>
      </c>
      <c r="F650" t="s">
        <v>26</v>
      </c>
      <c r="G650" t="str">
        <f>"2026-01-15 21:49:12.650"</f>
        <v>2026-01-15 21:49:12.650</v>
      </c>
      <c r="H650" t="s">
        <v>21</v>
      </c>
      <c r="I650">
        <v>0</v>
      </c>
      <c r="J650" t="s">
        <v>25</v>
      </c>
    </row>
    <row r="651" spans="1:10" x14ac:dyDescent="0.25">
      <c r="A651" s="1">
        <v>53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"2026-01-15 21:47:15.910"</f>
        <v>2026-01-15 21:47:15.910</v>
      </c>
      <c r="H651" t="s">
        <v>21</v>
      </c>
      <c r="I651">
        <v>0</v>
      </c>
      <c r="J651" t="s">
        <v>22</v>
      </c>
    </row>
    <row r="652" spans="1:10" x14ac:dyDescent="0.25">
      <c r="A652" s="1">
        <v>54</v>
      </c>
      <c r="B652" t="s">
        <v>19</v>
      </c>
      <c r="C652">
        <v>706</v>
      </c>
      <c r="D652">
        <v>4</v>
      </c>
      <c r="E652" t="s">
        <v>23</v>
      </c>
      <c r="F652" t="s">
        <v>26</v>
      </c>
      <c r="G652" t="str">
        <f>"2026-01-15 11:47:25.975"</f>
        <v>2026-01-15 11:47:25.975</v>
      </c>
      <c r="H652" t="s">
        <v>21</v>
      </c>
      <c r="I652">
        <v>0</v>
      </c>
      <c r="J652" t="s">
        <v>25</v>
      </c>
    </row>
    <row r="653" spans="1:10" x14ac:dyDescent="0.25">
      <c r="A653" s="1">
        <v>55</v>
      </c>
      <c r="B653" t="s">
        <v>27</v>
      </c>
      <c r="C653">
        <v>635</v>
      </c>
      <c r="D653">
        <v>1</v>
      </c>
      <c r="E653" t="s">
        <v>32</v>
      </c>
      <c r="F653" t="s">
        <v>33</v>
      </c>
      <c r="G653" t="str">
        <f>"2026-01-15 08:50:30.685"</f>
        <v>2026-01-15 08:50:30.685</v>
      </c>
      <c r="H653" t="s">
        <v>21</v>
      </c>
    </row>
    <row r="654" spans="1:10" x14ac:dyDescent="0.25">
      <c r="A654" s="1">
        <v>56</v>
      </c>
      <c r="B654" t="s">
        <v>30</v>
      </c>
      <c r="C654">
        <v>635</v>
      </c>
      <c r="D654">
        <v>1</v>
      </c>
      <c r="E654" t="s">
        <v>32</v>
      </c>
      <c r="F654" t="s">
        <v>33</v>
      </c>
      <c r="G654" t="str">
        <f>"2026-01-15 08:45:24.685"</f>
        <v>2026-01-15 08:45:24.685</v>
      </c>
      <c r="H654" t="s">
        <v>21</v>
      </c>
      <c r="I654">
        <v>3.22</v>
      </c>
      <c r="J654" t="s">
        <v>34</v>
      </c>
    </row>
    <row r="655" spans="1:10" x14ac:dyDescent="0.25">
      <c r="A655" s="1">
        <v>57</v>
      </c>
      <c r="B655" t="s">
        <v>19</v>
      </c>
      <c r="C655">
        <v>706</v>
      </c>
      <c r="D655">
        <v>4</v>
      </c>
      <c r="E655" t="s">
        <v>23</v>
      </c>
      <c r="F655" t="s">
        <v>26</v>
      </c>
      <c r="G655" t="str">
        <f>"2026-01-14 10:27:52.185"</f>
        <v>2026-01-14 10:27:52.185</v>
      </c>
      <c r="H655" t="s">
        <v>21</v>
      </c>
      <c r="I655">
        <v>0</v>
      </c>
      <c r="J655" t="s">
        <v>25</v>
      </c>
    </row>
    <row r="656" spans="1:10" x14ac:dyDescent="0.25">
      <c r="A656" s="1">
        <v>58</v>
      </c>
      <c r="B656" t="s">
        <v>27</v>
      </c>
      <c r="C656">
        <v>635</v>
      </c>
      <c r="D656">
        <v>1</v>
      </c>
      <c r="E656" t="s">
        <v>32</v>
      </c>
      <c r="F656" t="s">
        <v>33</v>
      </c>
      <c r="G656" t="str">
        <f>"2026-01-13 20:03:41.685"</f>
        <v>2026-01-13 20:03:41.685</v>
      </c>
      <c r="H656" t="s">
        <v>21</v>
      </c>
    </row>
    <row r="657" spans="1:10" x14ac:dyDescent="0.25">
      <c r="A657" s="1">
        <v>59</v>
      </c>
      <c r="B657" t="s">
        <v>30</v>
      </c>
      <c r="C657">
        <v>635</v>
      </c>
      <c r="D657">
        <v>1</v>
      </c>
      <c r="E657" t="s">
        <v>32</v>
      </c>
      <c r="F657" t="s">
        <v>33</v>
      </c>
      <c r="G657" t="str">
        <f>"2026-01-13 20:00:47.685"</f>
        <v>2026-01-13 20:00:47.685</v>
      </c>
      <c r="H657" t="s">
        <v>21</v>
      </c>
      <c r="I657">
        <v>3.18</v>
      </c>
      <c r="J657" t="s">
        <v>34</v>
      </c>
    </row>
    <row r="658" spans="1:10" x14ac:dyDescent="0.25">
      <c r="A658" s="1">
        <v>60</v>
      </c>
      <c r="B658" t="s">
        <v>27</v>
      </c>
      <c r="C658">
        <v>635</v>
      </c>
      <c r="D658">
        <v>1</v>
      </c>
      <c r="E658" t="s">
        <v>32</v>
      </c>
      <c r="F658" t="s">
        <v>33</v>
      </c>
      <c r="G658" t="str">
        <f>"2026-01-12 23:57:29.885"</f>
        <v>2026-01-12 23:57:29.885</v>
      </c>
      <c r="H658" t="s">
        <v>21</v>
      </c>
    </row>
    <row r="659" spans="1:10" x14ac:dyDescent="0.25">
      <c r="A659" s="1">
        <v>61</v>
      </c>
      <c r="B659" t="s">
        <v>30</v>
      </c>
      <c r="C659">
        <v>635</v>
      </c>
      <c r="D659">
        <v>1</v>
      </c>
      <c r="E659" t="s">
        <v>32</v>
      </c>
      <c r="F659" t="s">
        <v>33</v>
      </c>
      <c r="G659" t="str">
        <f>"2026-01-12 23:54:04.385"</f>
        <v>2026-01-12 23:54:04.385</v>
      </c>
      <c r="H659" t="s">
        <v>21</v>
      </c>
      <c r="I659">
        <v>6.4</v>
      </c>
      <c r="J659" t="s">
        <v>34</v>
      </c>
    </row>
    <row r="660" spans="1:10" x14ac:dyDescent="0.25">
      <c r="A660" s="1">
        <v>62</v>
      </c>
      <c r="B660" t="s">
        <v>19</v>
      </c>
      <c r="C660">
        <v>706</v>
      </c>
      <c r="D660">
        <v>2</v>
      </c>
      <c r="E660" t="s">
        <v>23</v>
      </c>
      <c r="F660" t="s">
        <v>24</v>
      </c>
      <c r="G660" t="str">
        <f>"2026-01-12 19:57:36.665"</f>
        <v>2026-01-12 19:57:36.665</v>
      </c>
      <c r="H660" t="s">
        <v>21</v>
      </c>
      <c r="I660">
        <v>0</v>
      </c>
      <c r="J660" t="s">
        <v>25</v>
      </c>
    </row>
    <row r="661" spans="1:10" x14ac:dyDescent="0.25">
      <c r="A661" s="1">
        <v>63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"2026-01-12 19:48:52.895"</f>
        <v>2026-01-12 19:48:52.895</v>
      </c>
      <c r="H661" t="s">
        <v>21</v>
      </c>
      <c r="I661">
        <v>0</v>
      </c>
      <c r="J661" t="s">
        <v>22</v>
      </c>
    </row>
    <row r="662" spans="1:10" x14ac:dyDescent="0.25">
      <c r="A662" s="1">
        <v>64</v>
      </c>
      <c r="B662" t="s">
        <v>19</v>
      </c>
      <c r="C662">
        <v>706</v>
      </c>
      <c r="D662">
        <v>4</v>
      </c>
      <c r="E662" t="s">
        <v>23</v>
      </c>
      <c r="F662" t="s">
        <v>26</v>
      </c>
      <c r="G662" t="str">
        <f>"2026-01-12 10:42:14.021"</f>
        <v>2026-01-12 10:42:14.021</v>
      </c>
      <c r="H662" t="s">
        <v>21</v>
      </c>
      <c r="I662">
        <v>0</v>
      </c>
      <c r="J662" t="s">
        <v>25</v>
      </c>
    </row>
    <row r="663" spans="1:10" x14ac:dyDescent="0.25">
      <c r="A663" s="1">
        <v>65</v>
      </c>
      <c r="B663" t="s">
        <v>27</v>
      </c>
      <c r="C663">
        <v>635</v>
      </c>
      <c r="D663">
        <v>1</v>
      </c>
      <c r="E663" t="s">
        <v>32</v>
      </c>
      <c r="F663" t="s">
        <v>33</v>
      </c>
      <c r="G663" t="str">
        <f>"2026-01-12 03:10:15.381"</f>
        <v>2026-01-12 03:10:15.381</v>
      </c>
      <c r="H663" t="s">
        <v>21</v>
      </c>
    </row>
    <row r="664" spans="1:10" x14ac:dyDescent="0.25">
      <c r="A664" s="1">
        <v>66</v>
      </c>
      <c r="B664" t="s">
        <v>30</v>
      </c>
      <c r="C664">
        <v>635</v>
      </c>
      <c r="D664">
        <v>1</v>
      </c>
      <c r="E664" t="s">
        <v>32</v>
      </c>
      <c r="F664" t="s">
        <v>33</v>
      </c>
      <c r="G664" t="str">
        <f>"2026-01-12 03:02:00.881"</f>
        <v>2026-01-12 03:02:00.881</v>
      </c>
      <c r="H664" t="s">
        <v>21</v>
      </c>
      <c r="I664">
        <v>5.31</v>
      </c>
      <c r="J664" t="s">
        <v>31</v>
      </c>
    </row>
    <row r="665" spans="1:10" x14ac:dyDescent="0.25">
      <c r="A665" s="1">
        <v>67</v>
      </c>
      <c r="B665" t="s">
        <v>27</v>
      </c>
      <c r="C665">
        <v>635</v>
      </c>
      <c r="D665">
        <v>1</v>
      </c>
      <c r="E665" t="s">
        <v>32</v>
      </c>
      <c r="F665" t="s">
        <v>33</v>
      </c>
      <c r="G665" t="str">
        <f>"2026-01-12 02:50:55.881"</f>
        <v>2026-01-12 02:50:55.881</v>
      </c>
      <c r="H665" t="s">
        <v>21</v>
      </c>
    </row>
    <row r="666" spans="1:10" x14ac:dyDescent="0.25">
      <c r="A666" s="1">
        <v>68</v>
      </c>
      <c r="B666" t="s">
        <v>30</v>
      </c>
      <c r="C666">
        <v>635</v>
      </c>
      <c r="D666">
        <v>1</v>
      </c>
      <c r="E666" t="s">
        <v>32</v>
      </c>
      <c r="F666" t="s">
        <v>33</v>
      </c>
      <c r="G666" t="str">
        <f>"2026-01-12 02:42:55.381"</f>
        <v>2026-01-12 02:42:55.381</v>
      </c>
      <c r="H666" t="s">
        <v>21</v>
      </c>
      <c r="I666">
        <v>5.77</v>
      </c>
      <c r="J666" t="s">
        <v>34</v>
      </c>
    </row>
    <row r="667" spans="1:10" x14ac:dyDescent="0.25">
      <c r="A667" s="1">
        <v>69</v>
      </c>
      <c r="B667" t="s">
        <v>27</v>
      </c>
      <c r="C667">
        <v>635</v>
      </c>
      <c r="D667">
        <v>1</v>
      </c>
      <c r="E667" t="s">
        <v>32</v>
      </c>
      <c r="F667" t="s">
        <v>33</v>
      </c>
      <c r="G667" t="str">
        <f>"2026-01-11 23:15:55.381"</f>
        <v>2026-01-11 23:15:55.381</v>
      </c>
      <c r="H667" t="s">
        <v>21</v>
      </c>
    </row>
    <row r="668" spans="1:10" x14ac:dyDescent="0.25">
      <c r="A668" s="1">
        <v>70</v>
      </c>
      <c r="B668" t="s">
        <v>30</v>
      </c>
      <c r="C668">
        <v>635</v>
      </c>
      <c r="D668">
        <v>1</v>
      </c>
      <c r="E668" t="s">
        <v>32</v>
      </c>
      <c r="F668" t="s">
        <v>33</v>
      </c>
      <c r="G668" t="str">
        <f>"2026-01-11 23:07:58.881"</f>
        <v>2026-01-11 23:07:58.881</v>
      </c>
      <c r="H668" t="s">
        <v>21</v>
      </c>
      <c r="I668">
        <v>8.83</v>
      </c>
      <c r="J668" t="s">
        <v>31</v>
      </c>
    </row>
    <row r="669" spans="1:10" x14ac:dyDescent="0.25">
      <c r="A669" s="1">
        <v>71</v>
      </c>
      <c r="B669" t="s">
        <v>27</v>
      </c>
      <c r="C669">
        <v>635</v>
      </c>
      <c r="D669">
        <v>1</v>
      </c>
      <c r="E669" t="s">
        <v>32</v>
      </c>
      <c r="F669" t="s">
        <v>33</v>
      </c>
      <c r="G669" t="str">
        <f>"2026-01-11 21:25:28.581"</f>
        <v>2026-01-11 21:25:28.581</v>
      </c>
      <c r="H669" t="s">
        <v>21</v>
      </c>
    </row>
    <row r="670" spans="1:10" x14ac:dyDescent="0.25">
      <c r="A670" s="1">
        <v>72</v>
      </c>
      <c r="B670" t="s">
        <v>30</v>
      </c>
      <c r="C670">
        <v>635</v>
      </c>
      <c r="D670">
        <v>1</v>
      </c>
      <c r="E670" t="s">
        <v>32</v>
      </c>
      <c r="F670" t="s">
        <v>33</v>
      </c>
      <c r="G670" t="str">
        <f>"2026-01-11 21:16:44.681"</f>
        <v>2026-01-11 21:16:44.681</v>
      </c>
      <c r="H670" t="s">
        <v>21</v>
      </c>
      <c r="I670">
        <v>7.24</v>
      </c>
      <c r="J670" t="s">
        <v>31</v>
      </c>
    </row>
    <row r="671" spans="1:10" x14ac:dyDescent="0.25">
      <c r="A671" s="1">
        <v>73</v>
      </c>
      <c r="B671" t="s">
        <v>27</v>
      </c>
      <c r="C671">
        <v>635</v>
      </c>
      <c r="D671">
        <v>1</v>
      </c>
      <c r="E671" t="s">
        <v>32</v>
      </c>
      <c r="F671" t="s">
        <v>33</v>
      </c>
      <c r="G671" t="str">
        <f>"2026-01-11 21:06:35.181"</f>
        <v>2026-01-11 21:06:35.181</v>
      </c>
      <c r="H671" t="s">
        <v>21</v>
      </c>
    </row>
    <row r="672" spans="1:10" x14ac:dyDescent="0.25">
      <c r="A672" s="1">
        <v>74</v>
      </c>
      <c r="B672" t="s">
        <v>30</v>
      </c>
      <c r="C672">
        <v>635</v>
      </c>
      <c r="D672">
        <v>1</v>
      </c>
      <c r="E672" t="s">
        <v>32</v>
      </c>
      <c r="F672" t="s">
        <v>33</v>
      </c>
      <c r="G672" t="str">
        <f>"2026-01-11 20:55:24.681"</f>
        <v>2026-01-11 20:55:24.681</v>
      </c>
      <c r="H672" t="s">
        <v>21</v>
      </c>
      <c r="I672">
        <v>6.34</v>
      </c>
      <c r="J672" t="s">
        <v>31</v>
      </c>
    </row>
    <row r="673" spans="1:10" x14ac:dyDescent="0.25">
      <c r="A673" s="1">
        <v>75</v>
      </c>
      <c r="B673" t="s">
        <v>27</v>
      </c>
      <c r="C673">
        <v>635</v>
      </c>
      <c r="D673">
        <v>1</v>
      </c>
      <c r="E673" t="s">
        <v>32</v>
      </c>
      <c r="F673" t="s">
        <v>33</v>
      </c>
      <c r="G673" t="str">
        <f>"2026-01-10 20:26:40.481"</f>
        <v>2026-01-10 20:26:40.481</v>
      </c>
      <c r="H673" t="s">
        <v>21</v>
      </c>
    </row>
    <row r="674" spans="1:10" x14ac:dyDescent="0.25">
      <c r="A674" s="1">
        <v>76</v>
      </c>
      <c r="B674" t="s">
        <v>30</v>
      </c>
      <c r="C674">
        <v>635</v>
      </c>
      <c r="D674">
        <v>1</v>
      </c>
      <c r="E674" t="s">
        <v>32</v>
      </c>
      <c r="F674" t="s">
        <v>33</v>
      </c>
      <c r="G674" t="str">
        <f>"2026-01-10 20:22:35.981"</f>
        <v>2026-01-10 20:22:35.981</v>
      </c>
      <c r="H674" t="s">
        <v>21</v>
      </c>
      <c r="I674">
        <v>3.97</v>
      </c>
      <c r="J674" t="s">
        <v>34</v>
      </c>
    </row>
    <row r="675" spans="1:10" x14ac:dyDescent="0.25">
      <c r="A675" s="1">
        <v>77</v>
      </c>
      <c r="B675" t="s">
        <v>27</v>
      </c>
      <c r="C675">
        <v>635</v>
      </c>
      <c r="D675">
        <v>1</v>
      </c>
      <c r="E675" t="s">
        <v>32</v>
      </c>
      <c r="F675" t="s">
        <v>33</v>
      </c>
      <c r="G675" t="str">
        <f>"2026-01-10 04:19:25.681"</f>
        <v>2026-01-10 04:19:25.681</v>
      </c>
      <c r="H675" t="s">
        <v>21</v>
      </c>
    </row>
    <row r="676" spans="1:10" x14ac:dyDescent="0.25">
      <c r="A676" s="1">
        <v>78</v>
      </c>
      <c r="B676" t="s">
        <v>30</v>
      </c>
      <c r="C676">
        <v>635</v>
      </c>
      <c r="D676">
        <v>1</v>
      </c>
      <c r="E676" t="s">
        <v>32</v>
      </c>
      <c r="F676" t="s">
        <v>33</v>
      </c>
      <c r="G676" t="str">
        <f>"2026-01-10 04:15:39.681"</f>
        <v>2026-01-10 04:15:39.681</v>
      </c>
      <c r="H676" t="s">
        <v>21</v>
      </c>
      <c r="I676">
        <v>5.42</v>
      </c>
      <c r="J676" t="s">
        <v>34</v>
      </c>
    </row>
    <row r="677" spans="1:10" x14ac:dyDescent="0.25">
      <c r="A677" s="1">
        <v>79</v>
      </c>
      <c r="B677" t="s">
        <v>19</v>
      </c>
      <c r="C677">
        <v>706</v>
      </c>
      <c r="D677">
        <v>4</v>
      </c>
      <c r="E677" t="s">
        <v>23</v>
      </c>
      <c r="F677" t="s">
        <v>26</v>
      </c>
      <c r="G677" t="str">
        <f>"2026-01-09 10:24:46.041"</f>
        <v>2026-01-09 10:24:46.041</v>
      </c>
      <c r="H677" t="s">
        <v>21</v>
      </c>
      <c r="I677">
        <v>0</v>
      </c>
      <c r="J677" t="s">
        <v>25</v>
      </c>
    </row>
    <row r="678" spans="1:10" x14ac:dyDescent="0.25">
      <c r="A678" s="1">
        <v>80</v>
      </c>
      <c r="B678" t="s">
        <v>27</v>
      </c>
      <c r="C678">
        <v>635</v>
      </c>
      <c r="D678">
        <v>1</v>
      </c>
      <c r="E678" t="s">
        <v>32</v>
      </c>
      <c r="F678" t="s">
        <v>33</v>
      </c>
      <c r="G678" t="str">
        <f>"2026-01-08 00:30:49.281"</f>
        <v>2026-01-08 00:30:49.281</v>
      </c>
      <c r="H678" t="s">
        <v>21</v>
      </c>
    </row>
    <row r="679" spans="1:10" x14ac:dyDescent="0.25">
      <c r="A679" s="1">
        <v>81</v>
      </c>
      <c r="B679" t="s">
        <v>30</v>
      </c>
      <c r="C679">
        <v>635</v>
      </c>
      <c r="D679">
        <v>1</v>
      </c>
      <c r="E679" t="s">
        <v>32</v>
      </c>
      <c r="F679" t="s">
        <v>33</v>
      </c>
      <c r="G679" t="str">
        <f>"2026-01-08 00:25:30.781"</f>
        <v>2026-01-08 00:25:30.781</v>
      </c>
      <c r="H679" t="s">
        <v>21</v>
      </c>
      <c r="I679">
        <v>4.7</v>
      </c>
      <c r="J679" t="s">
        <v>34</v>
      </c>
    </row>
    <row r="680" spans="1:10" x14ac:dyDescent="0.25">
      <c r="A680" s="1">
        <v>82</v>
      </c>
      <c r="B680" t="s">
        <v>27</v>
      </c>
      <c r="C680">
        <v>635</v>
      </c>
      <c r="D680">
        <v>1</v>
      </c>
      <c r="E680" t="s">
        <v>32</v>
      </c>
      <c r="F680" t="s">
        <v>33</v>
      </c>
      <c r="G680" t="str">
        <f>"2026-01-07 11:10:24.181"</f>
        <v>2026-01-07 11:10:24.181</v>
      </c>
      <c r="H680" t="s">
        <v>21</v>
      </c>
    </row>
    <row r="681" spans="1:10" x14ac:dyDescent="0.25">
      <c r="A681" s="1">
        <v>83</v>
      </c>
      <c r="B681" t="s">
        <v>30</v>
      </c>
      <c r="C681">
        <v>635</v>
      </c>
      <c r="D681">
        <v>1</v>
      </c>
      <c r="E681" t="s">
        <v>32</v>
      </c>
      <c r="F681" t="s">
        <v>33</v>
      </c>
      <c r="G681" t="str">
        <f>"2026-01-07 11:04:01.681"</f>
        <v>2026-01-07 11:04:01.681</v>
      </c>
      <c r="H681" t="s">
        <v>21</v>
      </c>
      <c r="I681">
        <v>2.5</v>
      </c>
      <c r="J681" t="s">
        <v>42</v>
      </c>
    </row>
    <row r="682" spans="1:10" x14ac:dyDescent="0.25">
      <c r="A682" s="1">
        <v>84</v>
      </c>
      <c r="B682" t="s">
        <v>19</v>
      </c>
      <c r="C682">
        <v>706</v>
      </c>
      <c r="D682">
        <v>4</v>
      </c>
      <c r="E682" t="s">
        <v>23</v>
      </c>
      <c r="F682" t="s">
        <v>26</v>
      </c>
      <c r="G682" t="str">
        <f>"2026-01-07 08:53:16.651"</f>
        <v>2026-01-07 08:53:16.651</v>
      </c>
      <c r="H682" t="s">
        <v>21</v>
      </c>
      <c r="I682">
        <v>0</v>
      </c>
      <c r="J682" t="s">
        <v>25</v>
      </c>
    </row>
    <row r="683" spans="1:10" x14ac:dyDescent="0.25">
      <c r="A683" s="1">
        <v>85</v>
      </c>
      <c r="B683" t="s">
        <v>27</v>
      </c>
      <c r="C683">
        <v>635</v>
      </c>
      <c r="D683">
        <v>1</v>
      </c>
      <c r="E683" t="s">
        <v>32</v>
      </c>
      <c r="F683" t="s">
        <v>33</v>
      </c>
      <c r="G683" t="str">
        <f>"2026-01-07 07:36:13.681"</f>
        <v>2026-01-07 07:36:13.681</v>
      </c>
      <c r="H683" t="s">
        <v>21</v>
      </c>
    </row>
    <row r="684" spans="1:10" x14ac:dyDescent="0.25">
      <c r="A684" s="1">
        <v>86</v>
      </c>
      <c r="B684" t="s">
        <v>30</v>
      </c>
      <c r="C684">
        <v>635</v>
      </c>
      <c r="D684">
        <v>1</v>
      </c>
      <c r="E684" t="s">
        <v>32</v>
      </c>
      <c r="F684" t="s">
        <v>33</v>
      </c>
      <c r="G684" t="str">
        <f>"2026-01-07 07:31:50.681"</f>
        <v>2026-01-07 07:31:50.681</v>
      </c>
      <c r="H684" t="s">
        <v>21</v>
      </c>
      <c r="I684">
        <v>8.23</v>
      </c>
      <c r="J684" t="s">
        <v>34</v>
      </c>
    </row>
    <row r="685" spans="1:10" x14ac:dyDescent="0.25">
      <c r="A685" s="1">
        <v>87</v>
      </c>
      <c r="B685" t="s">
        <v>27</v>
      </c>
      <c r="C685">
        <v>631</v>
      </c>
      <c r="D685">
        <v>2</v>
      </c>
      <c r="E685" t="s">
        <v>72</v>
      </c>
      <c r="F685" t="s">
        <v>73</v>
      </c>
      <c r="G685" t="str">
        <f>"2026-01-05 21:16:25.233"</f>
        <v>2026-01-05 21:16:25.233</v>
      </c>
      <c r="H685" t="s">
        <v>21</v>
      </c>
    </row>
    <row r="686" spans="1:10" x14ac:dyDescent="0.25">
      <c r="A686" s="1">
        <v>88</v>
      </c>
      <c r="B686" t="s">
        <v>30</v>
      </c>
      <c r="C686">
        <v>631</v>
      </c>
      <c r="D686">
        <v>2</v>
      </c>
      <c r="E686" t="s">
        <v>72</v>
      </c>
      <c r="F686" t="s">
        <v>73</v>
      </c>
      <c r="G686" t="str">
        <f>"2026-01-05 20:55:36.334"</f>
        <v>2026-01-05 20:55:36.334</v>
      </c>
      <c r="H686" t="s">
        <v>21</v>
      </c>
      <c r="I686">
        <v>0</v>
      </c>
      <c r="J686" t="s">
        <v>42</v>
      </c>
    </row>
    <row r="687" spans="1:10" x14ac:dyDescent="0.25">
      <c r="A687" s="1">
        <v>89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"2026-01-05 20:55:00.891"</f>
        <v>2026-01-05 20:55:00.891</v>
      </c>
      <c r="H687" t="s">
        <v>21</v>
      </c>
      <c r="I687">
        <v>0</v>
      </c>
      <c r="J687" t="s">
        <v>22</v>
      </c>
    </row>
    <row r="688" spans="1:10" x14ac:dyDescent="0.25">
      <c r="A688" s="1">
        <v>90</v>
      </c>
      <c r="B688" t="s">
        <v>19</v>
      </c>
      <c r="C688">
        <v>706</v>
      </c>
      <c r="D688">
        <v>2</v>
      </c>
      <c r="E688" t="s">
        <v>23</v>
      </c>
      <c r="F688" t="s">
        <v>24</v>
      </c>
      <c r="G688" t="str">
        <f>"2026-01-05 14:07:03.910"</f>
        <v>2026-01-05 14:07:03.910</v>
      </c>
      <c r="H688" t="s">
        <v>21</v>
      </c>
      <c r="I688">
        <v>0</v>
      </c>
      <c r="J688" t="s">
        <v>25</v>
      </c>
    </row>
    <row r="689" spans="1:10" x14ac:dyDescent="0.25">
      <c r="A689" s="1">
        <v>91</v>
      </c>
      <c r="B689" t="s">
        <v>19</v>
      </c>
      <c r="C689">
        <v>706</v>
      </c>
      <c r="D689">
        <v>2</v>
      </c>
      <c r="E689" t="s">
        <v>23</v>
      </c>
      <c r="F689" t="s">
        <v>24</v>
      </c>
      <c r="G689" t="str">
        <f>"2026-01-05 14:05:04.910"</f>
        <v>2026-01-05 14:05:04.910</v>
      </c>
      <c r="H689" t="s">
        <v>21</v>
      </c>
      <c r="I689">
        <v>0</v>
      </c>
      <c r="J689" t="s">
        <v>25</v>
      </c>
    </row>
    <row r="690" spans="1:10" x14ac:dyDescent="0.25">
      <c r="A690" s="1">
        <v>92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"2026-01-05 14:00:53.880"</f>
        <v>2026-01-05 14:00:53.880</v>
      </c>
      <c r="H690" t="s">
        <v>21</v>
      </c>
      <c r="I690">
        <v>0</v>
      </c>
      <c r="J690" t="s">
        <v>22</v>
      </c>
    </row>
    <row r="691" spans="1:10" x14ac:dyDescent="0.25">
      <c r="A691" s="1">
        <v>93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"2026-01-05 10:40:20.898"</f>
        <v>2026-01-05 10:40:20.898</v>
      </c>
      <c r="H691" t="s">
        <v>21</v>
      </c>
    </row>
    <row r="692" spans="1:10" x14ac:dyDescent="0.25">
      <c r="A692" s="1">
        <v>94</v>
      </c>
      <c r="B692" t="s">
        <v>27</v>
      </c>
      <c r="C692">
        <v>635</v>
      </c>
      <c r="D692">
        <v>1</v>
      </c>
      <c r="E692" t="s">
        <v>32</v>
      </c>
      <c r="F692" t="s">
        <v>33</v>
      </c>
      <c r="G692" t="str">
        <f>"2026-01-05 05:26:37.601"</f>
        <v>2026-01-05 05:26:37.601</v>
      </c>
      <c r="H692" t="s">
        <v>21</v>
      </c>
    </row>
    <row r="693" spans="1:10" x14ac:dyDescent="0.25">
      <c r="A693" s="1">
        <v>95</v>
      </c>
      <c r="B693" t="s">
        <v>30</v>
      </c>
      <c r="C693">
        <v>635</v>
      </c>
      <c r="D693">
        <v>1</v>
      </c>
      <c r="E693" t="s">
        <v>32</v>
      </c>
      <c r="F693" t="s">
        <v>33</v>
      </c>
      <c r="G693" t="str">
        <f>"2026-01-05 05:23:01.102"</f>
        <v>2026-01-05 05:23:01.102</v>
      </c>
      <c r="H693" t="s">
        <v>21</v>
      </c>
      <c r="I693">
        <v>1.71</v>
      </c>
      <c r="J693" t="s">
        <v>34</v>
      </c>
    </row>
    <row r="694" spans="1:10" x14ac:dyDescent="0.25">
      <c r="A694" s="1">
        <v>96</v>
      </c>
      <c r="B694" t="s">
        <v>19</v>
      </c>
      <c r="C694">
        <v>706</v>
      </c>
      <c r="D694">
        <v>2</v>
      </c>
      <c r="E694" t="s">
        <v>23</v>
      </c>
      <c r="F694" t="s">
        <v>24</v>
      </c>
      <c r="G694" t="str">
        <f>"2026-01-04 23:24:34.089"</f>
        <v>2026-01-04 23:24:34.089</v>
      </c>
      <c r="H694" t="s">
        <v>21</v>
      </c>
      <c r="I694">
        <v>0</v>
      </c>
      <c r="J694" t="s">
        <v>25</v>
      </c>
    </row>
    <row r="695" spans="1:10" x14ac:dyDescent="0.25">
      <c r="A695" s="1">
        <v>97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"2026-01-04 23:24:00.879"</f>
        <v>2026-01-04 23:24:00.879</v>
      </c>
      <c r="H695" t="s">
        <v>21</v>
      </c>
    </row>
    <row r="696" spans="1:10" x14ac:dyDescent="0.25">
      <c r="A696" s="1">
        <v>98</v>
      </c>
      <c r="B696" t="s">
        <v>19</v>
      </c>
      <c r="C696">
        <v>706</v>
      </c>
      <c r="D696">
        <v>2</v>
      </c>
      <c r="E696" t="s">
        <v>23</v>
      </c>
      <c r="F696" t="s">
        <v>24</v>
      </c>
      <c r="G696" t="str">
        <f>"2026-01-04 12:19:10.891"</f>
        <v>2026-01-04 12:19:10.891</v>
      </c>
      <c r="H696" t="s">
        <v>21</v>
      </c>
      <c r="I696">
        <v>0</v>
      </c>
      <c r="J696" t="s">
        <v>25</v>
      </c>
    </row>
    <row r="697" spans="1:10" x14ac:dyDescent="0.25">
      <c r="A697" s="1">
        <v>99</v>
      </c>
      <c r="B697" t="s">
        <v>19</v>
      </c>
      <c r="C697">
        <v>706</v>
      </c>
      <c r="D697">
        <v>2</v>
      </c>
      <c r="E697" t="s">
        <v>23</v>
      </c>
      <c r="F697" t="s">
        <v>24</v>
      </c>
      <c r="G697" t="str">
        <f>"2026-01-04 08:28:05.991"</f>
        <v>2026-01-04 08:28:05.991</v>
      </c>
      <c r="H697" t="s">
        <v>21</v>
      </c>
      <c r="I697">
        <v>0</v>
      </c>
      <c r="J697" t="s">
        <v>25</v>
      </c>
    </row>
    <row r="698" spans="1:10" x14ac:dyDescent="0.25">
      <c r="A698" s="1">
        <v>0</v>
      </c>
      <c r="B698" t="s">
        <v>27</v>
      </c>
      <c r="C698">
        <v>635</v>
      </c>
      <c r="D698">
        <v>1</v>
      </c>
      <c r="E698" t="s">
        <v>32</v>
      </c>
      <c r="F698" t="s">
        <v>33</v>
      </c>
      <c r="G698" t="str">
        <f>"2026-01-04 07:18:11.330"</f>
        <v>2026-01-04 07:18:11.330</v>
      </c>
      <c r="H698" t="s">
        <v>21</v>
      </c>
    </row>
    <row r="699" spans="1:10" x14ac:dyDescent="0.25">
      <c r="A699" s="1">
        <v>1</v>
      </c>
      <c r="B699" t="s">
        <v>30</v>
      </c>
      <c r="C699">
        <v>635</v>
      </c>
      <c r="D699">
        <v>1</v>
      </c>
      <c r="E699" t="s">
        <v>32</v>
      </c>
      <c r="F699" t="s">
        <v>33</v>
      </c>
      <c r="G699" t="str">
        <f>"2026-01-04 07:09:24.330"</f>
        <v>2026-01-04 07:09:24.330</v>
      </c>
      <c r="H699" t="s">
        <v>21</v>
      </c>
      <c r="I699">
        <v>0</v>
      </c>
      <c r="J699" t="s">
        <v>42</v>
      </c>
    </row>
    <row r="700" spans="1:10" x14ac:dyDescent="0.25">
      <c r="A700" s="1">
        <v>2</v>
      </c>
      <c r="B700" t="s">
        <v>19</v>
      </c>
      <c r="C700">
        <v>706</v>
      </c>
      <c r="D700">
        <v>2</v>
      </c>
      <c r="E700" t="s">
        <v>23</v>
      </c>
      <c r="F700" t="s">
        <v>24</v>
      </c>
      <c r="G700" t="str">
        <f>"2026-01-03 08:45:28.291"</f>
        <v>2026-01-03 08:45:28.291</v>
      </c>
      <c r="H700" t="s">
        <v>21</v>
      </c>
      <c r="I700">
        <v>0</v>
      </c>
      <c r="J700" t="s">
        <v>25</v>
      </c>
    </row>
    <row r="701" spans="1:10" x14ac:dyDescent="0.25">
      <c r="A701" s="1">
        <v>3</v>
      </c>
      <c r="B701" t="s">
        <v>27</v>
      </c>
      <c r="C701">
        <v>635</v>
      </c>
      <c r="D701">
        <v>1</v>
      </c>
      <c r="E701" t="s">
        <v>32</v>
      </c>
      <c r="F701" t="s">
        <v>33</v>
      </c>
      <c r="G701" t="str">
        <f>"2026-01-02 15:28:01.330"</f>
        <v>2026-01-02 15:28:01.330</v>
      </c>
      <c r="H701" t="s">
        <v>21</v>
      </c>
    </row>
    <row r="702" spans="1:10" x14ac:dyDescent="0.25">
      <c r="A702" s="1">
        <v>4</v>
      </c>
      <c r="B702" t="s">
        <v>30</v>
      </c>
      <c r="C702">
        <v>635</v>
      </c>
      <c r="D702">
        <v>1</v>
      </c>
      <c r="E702" t="s">
        <v>32</v>
      </c>
      <c r="F702" t="s">
        <v>33</v>
      </c>
      <c r="G702" t="str">
        <f>"2026-01-02 15:20:54.330"</f>
        <v>2026-01-02 15:20:54.330</v>
      </c>
      <c r="H702" t="s">
        <v>21</v>
      </c>
      <c r="I702">
        <v>0.44</v>
      </c>
      <c r="J702" t="s">
        <v>34</v>
      </c>
    </row>
    <row r="703" spans="1:10" x14ac:dyDescent="0.25">
      <c r="A703" s="1">
        <v>5</v>
      </c>
      <c r="B703" t="s">
        <v>27</v>
      </c>
      <c r="C703">
        <v>635</v>
      </c>
      <c r="D703">
        <v>1</v>
      </c>
      <c r="E703" t="s">
        <v>32</v>
      </c>
      <c r="F703" t="s">
        <v>33</v>
      </c>
      <c r="G703" t="str">
        <f>"2026-01-02 13:31:05.630"</f>
        <v>2026-01-02 13:31:05.630</v>
      </c>
      <c r="H703" t="s">
        <v>21</v>
      </c>
    </row>
    <row r="704" spans="1:10" x14ac:dyDescent="0.25">
      <c r="A704" s="1">
        <v>6</v>
      </c>
      <c r="B704" t="s">
        <v>30</v>
      </c>
      <c r="C704">
        <v>635</v>
      </c>
      <c r="D704">
        <v>1</v>
      </c>
      <c r="E704" t="s">
        <v>32</v>
      </c>
      <c r="F704" t="s">
        <v>33</v>
      </c>
      <c r="G704" t="str">
        <f>"2026-01-02 13:25:42.630"</f>
        <v>2026-01-02 13:25:42.630</v>
      </c>
      <c r="H704" t="s">
        <v>21</v>
      </c>
      <c r="I704">
        <v>5.96</v>
      </c>
      <c r="J704" t="s">
        <v>34</v>
      </c>
    </row>
    <row r="705" spans="1:10" x14ac:dyDescent="0.25">
      <c r="A705" s="1">
        <v>7</v>
      </c>
      <c r="B705" t="s">
        <v>19</v>
      </c>
      <c r="C705">
        <v>706</v>
      </c>
      <c r="D705">
        <v>2</v>
      </c>
      <c r="E705" t="s">
        <v>23</v>
      </c>
      <c r="F705" t="s">
        <v>24</v>
      </c>
      <c r="G705" t="str">
        <f>"2026-01-02 08:31:07.691"</f>
        <v>2026-01-02 08:31:07.691</v>
      </c>
      <c r="H705" t="s">
        <v>21</v>
      </c>
      <c r="I705">
        <v>0</v>
      </c>
      <c r="J705" t="s">
        <v>25</v>
      </c>
    </row>
    <row r="706" spans="1:10" x14ac:dyDescent="0.25">
      <c r="A706" s="1">
        <v>8</v>
      </c>
      <c r="B706" t="s">
        <v>49</v>
      </c>
      <c r="C706">
        <v>128</v>
      </c>
      <c r="D706">
        <v>4</v>
      </c>
      <c r="E706" t="s">
        <v>55</v>
      </c>
      <c r="F706" t="s">
        <v>51</v>
      </c>
      <c r="G706" t="str">
        <f>"2026-01-01 22:32:11.613"</f>
        <v>2026-01-01 22:32:11.613</v>
      </c>
      <c r="H706" t="s">
        <v>57</v>
      </c>
    </row>
    <row r="707" spans="1:10" x14ac:dyDescent="0.25">
      <c r="A707" s="1">
        <v>9</v>
      </c>
      <c r="B707" t="s">
        <v>39</v>
      </c>
      <c r="C707">
        <v>128</v>
      </c>
      <c r="D707">
        <v>4</v>
      </c>
      <c r="E707" t="s">
        <v>55</v>
      </c>
      <c r="F707" t="s">
        <v>51</v>
      </c>
      <c r="G707" t="str">
        <f>"2026-01-01 22:32:06.536"</f>
        <v>2026-01-01 22:32:06.536</v>
      </c>
      <c r="H707" t="s">
        <v>57</v>
      </c>
      <c r="I707">
        <v>0.05</v>
      </c>
      <c r="J707" t="s">
        <v>42</v>
      </c>
    </row>
    <row r="708" spans="1:10" x14ac:dyDescent="0.25">
      <c r="A708" s="1">
        <v>10</v>
      </c>
      <c r="B708" t="s">
        <v>27</v>
      </c>
      <c r="C708">
        <v>635</v>
      </c>
      <c r="D708">
        <v>1</v>
      </c>
      <c r="E708" t="s">
        <v>32</v>
      </c>
      <c r="F708" t="s">
        <v>33</v>
      </c>
      <c r="G708" t="str">
        <f>"2026-01-01 12:22:51.230"</f>
        <v>2026-01-01 12:22:51.230</v>
      </c>
      <c r="H708" t="s">
        <v>21</v>
      </c>
    </row>
    <row r="709" spans="1:10" x14ac:dyDescent="0.25">
      <c r="A709" s="1">
        <v>11</v>
      </c>
      <c r="B709" t="s">
        <v>30</v>
      </c>
      <c r="C709">
        <v>635</v>
      </c>
      <c r="D709">
        <v>1</v>
      </c>
      <c r="E709" t="s">
        <v>32</v>
      </c>
      <c r="F709" t="s">
        <v>33</v>
      </c>
      <c r="G709" t="str">
        <f>"2026-01-01 12:18:52.230"</f>
        <v>2026-01-01 12:18:52.230</v>
      </c>
      <c r="H709" t="s">
        <v>21</v>
      </c>
      <c r="I709">
        <v>2.4900000000000002</v>
      </c>
      <c r="J709" t="s">
        <v>34</v>
      </c>
    </row>
    <row r="710" spans="1:10" x14ac:dyDescent="0.25">
      <c r="A710" s="1">
        <v>12</v>
      </c>
      <c r="B710" t="s">
        <v>49</v>
      </c>
      <c r="C710">
        <v>128</v>
      </c>
      <c r="D710">
        <v>7</v>
      </c>
      <c r="E710" t="s">
        <v>55</v>
      </c>
      <c r="F710" t="s">
        <v>56</v>
      </c>
      <c r="G710" t="str">
        <f>"2025-12-31 18:10:41.413"</f>
        <v>2025-12-31 18:10:41.413</v>
      </c>
      <c r="H710" t="s">
        <v>57</v>
      </c>
    </row>
    <row r="711" spans="1:10" x14ac:dyDescent="0.25">
      <c r="A711" s="1">
        <v>13</v>
      </c>
      <c r="B711" t="s">
        <v>39</v>
      </c>
      <c r="C711">
        <v>128</v>
      </c>
      <c r="D711">
        <v>7</v>
      </c>
      <c r="E711" t="s">
        <v>55</v>
      </c>
      <c r="F711" t="s">
        <v>56</v>
      </c>
      <c r="G711" t="str">
        <f>"2025-12-31 18:10:36.356"</f>
        <v>2025-12-31 18:10:36.356</v>
      </c>
      <c r="H711" t="s">
        <v>57</v>
      </c>
      <c r="I711">
        <v>6.4</v>
      </c>
      <c r="J711" t="s">
        <v>34</v>
      </c>
    </row>
    <row r="712" spans="1:10" x14ac:dyDescent="0.25">
      <c r="A712" s="1">
        <v>14</v>
      </c>
      <c r="B712" t="s">
        <v>19</v>
      </c>
      <c r="C712">
        <v>706</v>
      </c>
      <c r="D712">
        <v>2</v>
      </c>
      <c r="E712" t="s">
        <v>23</v>
      </c>
      <c r="F712" t="s">
        <v>24</v>
      </c>
      <c r="G712" t="str">
        <f>"2025-12-31 12:45:38.591"</f>
        <v>2025-12-31 12:45:38.591</v>
      </c>
      <c r="H712" t="s">
        <v>21</v>
      </c>
      <c r="I712">
        <v>0</v>
      </c>
      <c r="J712" t="s">
        <v>25</v>
      </c>
    </row>
    <row r="713" spans="1:10" x14ac:dyDescent="0.25">
      <c r="A713" s="1">
        <v>15</v>
      </c>
      <c r="B713" t="s">
        <v>27</v>
      </c>
      <c r="C713">
        <v>635</v>
      </c>
      <c r="D713">
        <v>1</v>
      </c>
      <c r="E713" t="s">
        <v>32</v>
      </c>
      <c r="F713" t="s">
        <v>33</v>
      </c>
      <c r="G713" t="str">
        <f>"2025-12-31 09:39:52.030"</f>
        <v>2025-12-31 09:39:52.030</v>
      </c>
      <c r="H713" t="s">
        <v>21</v>
      </c>
    </row>
    <row r="714" spans="1:10" x14ac:dyDescent="0.25">
      <c r="A714" s="1">
        <v>16</v>
      </c>
      <c r="B714" t="s">
        <v>30</v>
      </c>
      <c r="C714">
        <v>635</v>
      </c>
      <c r="D714">
        <v>1</v>
      </c>
      <c r="E714" t="s">
        <v>32</v>
      </c>
      <c r="F714" t="s">
        <v>33</v>
      </c>
      <c r="G714" t="str">
        <f>"2025-12-31 09:33:47.530"</f>
        <v>2025-12-31 09:33:47.530</v>
      </c>
      <c r="H714" t="s">
        <v>21</v>
      </c>
      <c r="I714">
        <v>0</v>
      </c>
      <c r="J714" t="s">
        <v>42</v>
      </c>
    </row>
    <row r="715" spans="1:10" x14ac:dyDescent="0.25">
      <c r="A715" s="1">
        <v>17</v>
      </c>
      <c r="B715" t="s">
        <v>49</v>
      </c>
      <c r="C715">
        <v>137</v>
      </c>
      <c r="D715">
        <v>7</v>
      </c>
      <c r="E715" t="s">
        <v>74</v>
      </c>
      <c r="F715" t="s">
        <v>75</v>
      </c>
      <c r="G715" t="str">
        <f>"2025-12-31 03:48:29.313"</f>
        <v>2025-12-31 03:48:29.313</v>
      </c>
      <c r="H715" t="s">
        <v>57</v>
      </c>
    </row>
    <row r="716" spans="1:10" x14ac:dyDescent="0.25">
      <c r="A716" s="1">
        <v>18</v>
      </c>
      <c r="B716" t="s">
        <v>39</v>
      </c>
      <c r="C716">
        <v>137</v>
      </c>
      <c r="D716">
        <v>7</v>
      </c>
      <c r="E716" t="s">
        <v>74</v>
      </c>
      <c r="F716" t="s">
        <v>75</v>
      </c>
      <c r="G716" t="str">
        <f>"2025-12-31 03:48:24.276"</f>
        <v>2025-12-31 03:48:24.276</v>
      </c>
      <c r="H716" t="s">
        <v>57</v>
      </c>
      <c r="I716">
        <v>18.13</v>
      </c>
      <c r="J716" t="s">
        <v>42</v>
      </c>
    </row>
    <row r="717" spans="1:10" x14ac:dyDescent="0.25">
      <c r="A717" s="1">
        <v>19</v>
      </c>
      <c r="B717" t="s">
        <v>27</v>
      </c>
      <c r="C717">
        <v>635</v>
      </c>
      <c r="D717">
        <v>1</v>
      </c>
      <c r="E717" t="s">
        <v>32</v>
      </c>
      <c r="F717" t="s">
        <v>33</v>
      </c>
      <c r="G717" t="str">
        <f>"2025-12-30 22:42:27.630"</f>
        <v>2025-12-30 22:42:27.630</v>
      </c>
      <c r="H717" t="s">
        <v>21</v>
      </c>
    </row>
    <row r="718" spans="1:10" x14ac:dyDescent="0.25">
      <c r="A718" s="1">
        <v>20</v>
      </c>
      <c r="B718" t="s">
        <v>30</v>
      </c>
      <c r="C718">
        <v>635</v>
      </c>
      <c r="D718">
        <v>1</v>
      </c>
      <c r="E718" t="s">
        <v>32</v>
      </c>
      <c r="F718" t="s">
        <v>33</v>
      </c>
      <c r="G718" t="str">
        <f>"2025-12-30 22:38:15.630"</f>
        <v>2025-12-30 22:38:15.630</v>
      </c>
      <c r="H718" t="s">
        <v>21</v>
      </c>
      <c r="I718">
        <v>5.56</v>
      </c>
      <c r="J718" t="s">
        <v>31</v>
      </c>
    </row>
    <row r="719" spans="1:10" x14ac:dyDescent="0.25">
      <c r="A719" s="1">
        <v>21</v>
      </c>
      <c r="B719" t="s">
        <v>49</v>
      </c>
      <c r="C719">
        <v>137</v>
      </c>
      <c r="D719">
        <v>4</v>
      </c>
      <c r="E719" t="s">
        <v>74</v>
      </c>
      <c r="F719" t="s">
        <v>54</v>
      </c>
      <c r="G719" t="str">
        <f>"2025-12-30 18:54:52.613"</f>
        <v>2025-12-30 18:54:52.613</v>
      </c>
      <c r="H719" t="s">
        <v>57</v>
      </c>
    </row>
    <row r="720" spans="1:10" x14ac:dyDescent="0.25">
      <c r="A720" s="1">
        <v>22</v>
      </c>
      <c r="B720" t="s">
        <v>39</v>
      </c>
      <c r="C720">
        <v>137</v>
      </c>
      <c r="D720">
        <v>4</v>
      </c>
      <c r="E720" t="s">
        <v>74</v>
      </c>
      <c r="F720" t="s">
        <v>54</v>
      </c>
      <c r="G720" t="str">
        <f>"2025-12-30 18:54:47.576"</f>
        <v>2025-12-30 18:54:47.576</v>
      </c>
      <c r="H720" t="s">
        <v>57</v>
      </c>
      <c r="I720">
        <v>7.34</v>
      </c>
      <c r="J720" t="s">
        <v>34</v>
      </c>
    </row>
    <row r="721" spans="1:10" x14ac:dyDescent="0.25">
      <c r="A721" s="1">
        <v>23</v>
      </c>
      <c r="B721" t="s">
        <v>19</v>
      </c>
      <c r="C721">
        <v>706</v>
      </c>
      <c r="D721">
        <v>4</v>
      </c>
      <c r="E721" t="s">
        <v>23</v>
      </c>
      <c r="F721" t="s">
        <v>26</v>
      </c>
      <c r="G721" t="str">
        <f>"2025-12-28 09:25:20.101"</f>
        <v>2025-12-28 09:25:20.101</v>
      </c>
      <c r="H721" t="s">
        <v>21</v>
      </c>
      <c r="I721">
        <v>0</v>
      </c>
      <c r="J721" t="s">
        <v>25</v>
      </c>
    </row>
    <row r="722" spans="1:10" x14ac:dyDescent="0.25">
      <c r="A722" s="1">
        <v>24</v>
      </c>
      <c r="B722" t="s">
        <v>27</v>
      </c>
      <c r="C722">
        <v>635</v>
      </c>
      <c r="D722">
        <v>1</v>
      </c>
      <c r="E722" t="s">
        <v>32</v>
      </c>
      <c r="F722" t="s">
        <v>33</v>
      </c>
      <c r="G722" t="str">
        <f>"2025-12-27 00:08:56.530"</f>
        <v>2025-12-27 00:08:56.530</v>
      </c>
      <c r="H722" t="s">
        <v>21</v>
      </c>
    </row>
    <row r="723" spans="1:10" x14ac:dyDescent="0.25">
      <c r="A723" s="1">
        <v>25</v>
      </c>
      <c r="B723" t="s">
        <v>30</v>
      </c>
      <c r="C723">
        <v>635</v>
      </c>
      <c r="D723">
        <v>1</v>
      </c>
      <c r="E723" t="s">
        <v>32</v>
      </c>
      <c r="F723" t="s">
        <v>33</v>
      </c>
      <c r="G723" t="str">
        <f>"2025-12-27 00:02:54.030"</f>
        <v>2025-12-27 00:02:54.030</v>
      </c>
      <c r="H723" t="s">
        <v>21</v>
      </c>
      <c r="I723">
        <v>1.62</v>
      </c>
      <c r="J723" t="s">
        <v>42</v>
      </c>
    </row>
    <row r="724" spans="1:10" x14ac:dyDescent="0.25">
      <c r="A724" s="1">
        <v>26</v>
      </c>
      <c r="B724" t="s">
        <v>27</v>
      </c>
      <c r="C724">
        <v>635</v>
      </c>
      <c r="D724">
        <v>1</v>
      </c>
      <c r="E724" t="s">
        <v>32</v>
      </c>
      <c r="F724" t="s">
        <v>33</v>
      </c>
      <c r="G724" t="str">
        <f>"2025-12-26 22:34:08.730"</f>
        <v>2025-12-26 22:34:08.730</v>
      </c>
      <c r="H724" t="s">
        <v>21</v>
      </c>
    </row>
    <row r="725" spans="1:10" x14ac:dyDescent="0.25">
      <c r="A725" s="1">
        <v>27</v>
      </c>
      <c r="B725" t="s">
        <v>30</v>
      </c>
      <c r="C725">
        <v>635</v>
      </c>
      <c r="D725">
        <v>1</v>
      </c>
      <c r="E725" t="s">
        <v>32</v>
      </c>
      <c r="F725" t="s">
        <v>33</v>
      </c>
      <c r="G725" t="str">
        <f>"2025-12-26 22:27:10.231"</f>
        <v>2025-12-26 22:27:10.231</v>
      </c>
      <c r="H725" t="s">
        <v>21</v>
      </c>
      <c r="I725">
        <v>1.68</v>
      </c>
      <c r="J725" t="s">
        <v>34</v>
      </c>
    </row>
    <row r="726" spans="1:10" x14ac:dyDescent="0.25">
      <c r="A726" s="1">
        <v>28</v>
      </c>
      <c r="B726" t="s">
        <v>19</v>
      </c>
      <c r="C726">
        <v>706</v>
      </c>
      <c r="D726">
        <v>4</v>
      </c>
      <c r="E726" t="s">
        <v>23</v>
      </c>
      <c r="F726" t="s">
        <v>26</v>
      </c>
      <c r="G726" t="str">
        <f>"2025-12-26 09:25:34.421"</f>
        <v>2025-12-26 09:25:34.421</v>
      </c>
      <c r="H726" t="s">
        <v>21</v>
      </c>
      <c r="I726">
        <v>0</v>
      </c>
      <c r="J726" t="s">
        <v>25</v>
      </c>
    </row>
    <row r="727" spans="1:10" x14ac:dyDescent="0.25">
      <c r="A727" s="1">
        <v>29</v>
      </c>
      <c r="B727" t="s">
        <v>19</v>
      </c>
      <c r="C727">
        <v>706</v>
      </c>
      <c r="D727">
        <v>2</v>
      </c>
      <c r="E727" t="s">
        <v>23</v>
      </c>
      <c r="F727" t="s">
        <v>24</v>
      </c>
      <c r="G727" t="str">
        <f>"2025-12-26 06:28:08.891"</f>
        <v>2025-12-26 06:28:08.891</v>
      </c>
      <c r="H727" t="s">
        <v>21</v>
      </c>
      <c r="I727">
        <v>0</v>
      </c>
      <c r="J727" t="s">
        <v>25</v>
      </c>
    </row>
    <row r="728" spans="1:10" x14ac:dyDescent="0.25">
      <c r="A728" s="1">
        <v>30</v>
      </c>
      <c r="B728" t="s">
        <v>19</v>
      </c>
      <c r="C728">
        <v>706</v>
      </c>
      <c r="D728">
        <v>4</v>
      </c>
      <c r="E728" t="s">
        <v>23</v>
      </c>
      <c r="F728" t="s">
        <v>26</v>
      </c>
      <c r="G728" t="str">
        <f>"2025-12-26 06:26:29.851"</f>
        <v>2025-12-26 06:26:29.851</v>
      </c>
      <c r="H728" t="s">
        <v>21</v>
      </c>
      <c r="I728">
        <v>0</v>
      </c>
      <c r="J728" t="s">
        <v>25</v>
      </c>
    </row>
    <row r="729" spans="1:10" x14ac:dyDescent="0.25">
      <c r="A729" s="1">
        <v>31</v>
      </c>
      <c r="B729" t="s">
        <v>19</v>
      </c>
      <c r="C729">
        <v>706</v>
      </c>
      <c r="D729">
        <v>2</v>
      </c>
      <c r="E729" t="s">
        <v>23</v>
      </c>
      <c r="F729" t="s">
        <v>24</v>
      </c>
      <c r="G729" t="str">
        <f>"2025-12-26 06:26:16.891"</f>
        <v>2025-12-26 06:26:16.891</v>
      </c>
      <c r="H729" t="s">
        <v>21</v>
      </c>
      <c r="I729">
        <v>0</v>
      </c>
      <c r="J729" t="s">
        <v>25</v>
      </c>
    </row>
    <row r="730" spans="1:10" x14ac:dyDescent="0.25">
      <c r="A730" s="1">
        <v>32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"2025-12-26 06:25:38.881"</f>
        <v>2025-12-26 06:25:38.881</v>
      </c>
      <c r="H730" t="s">
        <v>21</v>
      </c>
      <c r="I730">
        <v>0</v>
      </c>
      <c r="J730" t="s">
        <v>22</v>
      </c>
    </row>
    <row r="731" spans="1:10" x14ac:dyDescent="0.25">
      <c r="A731" s="1">
        <v>33</v>
      </c>
      <c r="B731" t="s">
        <v>19</v>
      </c>
      <c r="C731">
        <v>706</v>
      </c>
      <c r="D731">
        <v>4</v>
      </c>
      <c r="E731" t="s">
        <v>23</v>
      </c>
      <c r="F731" t="s">
        <v>26</v>
      </c>
      <c r="G731" t="str">
        <f>"2025-12-25 11:40:29.633"</f>
        <v>2025-12-25 11:40:29.633</v>
      </c>
      <c r="H731" t="s">
        <v>21</v>
      </c>
      <c r="I731">
        <v>0</v>
      </c>
      <c r="J731" t="s">
        <v>25</v>
      </c>
    </row>
    <row r="732" spans="1:10" x14ac:dyDescent="0.25">
      <c r="A732" s="1">
        <v>34</v>
      </c>
      <c r="B732" t="s">
        <v>27</v>
      </c>
      <c r="C732">
        <v>635</v>
      </c>
      <c r="D732">
        <v>1</v>
      </c>
      <c r="E732" t="s">
        <v>32</v>
      </c>
      <c r="F732" t="s">
        <v>33</v>
      </c>
      <c r="G732" t="str">
        <f>"2025-12-25 04:30:47.374"</f>
        <v>2025-12-25 04:30:47.374</v>
      </c>
      <c r="H732" t="s">
        <v>21</v>
      </c>
    </row>
    <row r="733" spans="1:10" x14ac:dyDescent="0.25">
      <c r="A733" s="1">
        <v>35</v>
      </c>
      <c r="B733" t="s">
        <v>30</v>
      </c>
      <c r="C733">
        <v>635</v>
      </c>
      <c r="D733">
        <v>1</v>
      </c>
      <c r="E733" t="s">
        <v>32</v>
      </c>
      <c r="F733" t="s">
        <v>33</v>
      </c>
      <c r="G733" t="str">
        <f>"2025-12-25 04:25:10.374"</f>
        <v>2025-12-25 04:25:10.374</v>
      </c>
      <c r="H733" t="s">
        <v>21</v>
      </c>
      <c r="I733">
        <v>0</v>
      </c>
      <c r="J733" t="s">
        <v>42</v>
      </c>
    </row>
    <row r="734" spans="1:10" x14ac:dyDescent="0.25">
      <c r="A734" s="1">
        <v>36</v>
      </c>
      <c r="B734" t="s">
        <v>27</v>
      </c>
      <c r="C734">
        <v>635</v>
      </c>
      <c r="D734">
        <v>1</v>
      </c>
      <c r="E734" t="s">
        <v>32</v>
      </c>
      <c r="F734" t="s">
        <v>33</v>
      </c>
      <c r="G734" t="str">
        <f>"2025-12-25 00:41:05.474"</f>
        <v>2025-12-25 00:41:05.474</v>
      </c>
      <c r="H734" t="s">
        <v>21</v>
      </c>
    </row>
    <row r="735" spans="1:10" x14ac:dyDescent="0.25">
      <c r="A735" s="1">
        <v>37</v>
      </c>
      <c r="B735" t="s">
        <v>30</v>
      </c>
      <c r="C735">
        <v>635</v>
      </c>
      <c r="D735">
        <v>1</v>
      </c>
      <c r="E735" t="s">
        <v>32</v>
      </c>
      <c r="F735" t="s">
        <v>33</v>
      </c>
      <c r="G735" t="str">
        <f>"2025-12-25 00:30:30.474"</f>
        <v>2025-12-25 00:30:30.474</v>
      </c>
      <c r="H735" t="s">
        <v>21</v>
      </c>
      <c r="I735">
        <v>1.55</v>
      </c>
      <c r="J735" t="s">
        <v>34</v>
      </c>
    </row>
    <row r="736" spans="1:10" x14ac:dyDescent="0.25">
      <c r="A736" s="1">
        <v>38</v>
      </c>
      <c r="B736" t="s">
        <v>49</v>
      </c>
      <c r="C736">
        <v>137</v>
      </c>
      <c r="D736">
        <v>4</v>
      </c>
      <c r="E736" t="s">
        <v>74</v>
      </c>
      <c r="F736" t="s">
        <v>54</v>
      </c>
      <c r="G736" t="str">
        <f>"2025-12-24 19:48:29.306"</f>
        <v>2025-12-24 19:48:29.306</v>
      </c>
      <c r="H736" t="s">
        <v>57</v>
      </c>
    </row>
    <row r="737" spans="1:10" x14ac:dyDescent="0.25">
      <c r="A737" s="1">
        <v>39</v>
      </c>
      <c r="B737" t="s">
        <v>39</v>
      </c>
      <c r="C737">
        <v>137</v>
      </c>
      <c r="D737">
        <v>4</v>
      </c>
      <c r="E737" t="s">
        <v>74</v>
      </c>
      <c r="F737" t="s">
        <v>54</v>
      </c>
      <c r="G737" t="str">
        <f>"2025-12-24 19:48:24.290"</f>
        <v>2025-12-24 19:48:24.290</v>
      </c>
      <c r="H737" t="s">
        <v>57</v>
      </c>
      <c r="I737">
        <v>1.1000000000000001</v>
      </c>
      <c r="J737" t="s">
        <v>42</v>
      </c>
    </row>
    <row r="738" spans="1:10" x14ac:dyDescent="0.25">
      <c r="A738" s="1">
        <v>40</v>
      </c>
      <c r="B738" t="s">
        <v>49</v>
      </c>
      <c r="C738">
        <v>137</v>
      </c>
      <c r="D738">
        <v>7</v>
      </c>
      <c r="E738" t="s">
        <v>74</v>
      </c>
      <c r="F738" t="s">
        <v>75</v>
      </c>
      <c r="G738" t="str">
        <f>"2025-12-24 16:31:59.806"</f>
        <v>2025-12-24 16:31:59.806</v>
      </c>
      <c r="H738" t="s">
        <v>57</v>
      </c>
    </row>
    <row r="739" spans="1:10" x14ac:dyDescent="0.25">
      <c r="A739" s="1">
        <v>41</v>
      </c>
      <c r="B739" t="s">
        <v>39</v>
      </c>
      <c r="C739">
        <v>137</v>
      </c>
      <c r="D739">
        <v>7</v>
      </c>
      <c r="E739" t="s">
        <v>74</v>
      </c>
      <c r="F739" t="s">
        <v>75</v>
      </c>
      <c r="G739" t="str">
        <f>"2025-12-24 16:31:54.710"</f>
        <v>2025-12-24 16:31:54.710</v>
      </c>
      <c r="H739" t="s">
        <v>57</v>
      </c>
      <c r="I739">
        <v>0</v>
      </c>
      <c r="J739" t="s">
        <v>42</v>
      </c>
    </row>
    <row r="740" spans="1:10" x14ac:dyDescent="0.25">
      <c r="A740" s="1">
        <v>42</v>
      </c>
      <c r="B740" t="s">
        <v>19</v>
      </c>
      <c r="C740">
        <v>706</v>
      </c>
      <c r="D740">
        <v>2</v>
      </c>
      <c r="E740" t="s">
        <v>23</v>
      </c>
      <c r="F740" t="s">
        <v>24</v>
      </c>
      <c r="G740" t="str">
        <f>"2025-12-24 10:37:55.133"</f>
        <v>2025-12-24 10:37:55.133</v>
      </c>
      <c r="H740" t="s">
        <v>21</v>
      </c>
      <c r="I740">
        <v>0</v>
      </c>
      <c r="J740" t="s">
        <v>25</v>
      </c>
    </row>
    <row r="741" spans="1:10" x14ac:dyDescent="0.25">
      <c r="A741" s="1">
        <v>43</v>
      </c>
      <c r="B741" t="s">
        <v>49</v>
      </c>
      <c r="C741">
        <v>137</v>
      </c>
      <c r="D741">
        <v>4</v>
      </c>
      <c r="E741" t="s">
        <v>74</v>
      </c>
      <c r="F741" t="s">
        <v>54</v>
      </c>
      <c r="G741" t="str">
        <f>"2025-12-24 08:51:25.807"</f>
        <v>2025-12-24 08:51:25.807</v>
      </c>
      <c r="H741" t="s">
        <v>57</v>
      </c>
    </row>
    <row r="742" spans="1:10" x14ac:dyDescent="0.25">
      <c r="A742" s="1">
        <v>44</v>
      </c>
      <c r="B742" t="s">
        <v>39</v>
      </c>
      <c r="C742">
        <v>137</v>
      </c>
      <c r="D742">
        <v>4</v>
      </c>
      <c r="E742" t="s">
        <v>74</v>
      </c>
      <c r="F742" t="s">
        <v>54</v>
      </c>
      <c r="G742" t="str">
        <f>"2025-12-24 08:51:20.750"</f>
        <v>2025-12-24 08:51:20.750</v>
      </c>
      <c r="H742" t="s">
        <v>57</v>
      </c>
      <c r="I742">
        <v>27.71</v>
      </c>
      <c r="J742" t="s">
        <v>42</v>
      </c>
    </row>
    <row r="743" spans="1:10" x14ac:dyDescent="0.25">
      <c r="A743" s="1">
        <v>45</v>
      </c>
      <c r="B743" t="s">
        <v>19</v>
      </c>
      <c r="C743">
        <v>706</v>
      </c>
      <c r="D743">
        <v>4</v>
      </c>
      <c r="E743" t="s">
        <v>23</v>
      </c>
      <c r="F743" t="s">
        <v>26</v>
      </c>
      <c r="G743" t="str">
        <f>"2025-12-23 19:43:42.233"</f>
        <v>2025-12-23 19:43:42.233</v>
      </c>
      <c r="H743" t="s">
        <v>21</v>
      </c>
      <c r="I743">
        <v>0</v>
      </c>
      <c r="J743" t="s">
        <v>25</v>
      </c>
    </row>
    <row r="744" spans="1:10" x14ac:dyDescent="0.25">
      <c r="A744" s="1">
        <v>46</v>
      </c>
      <c r="B744" t="s">
        <v>19</v>
      </c>
      <c r="C744">
        <v>706</v>
      </c>
      <c r="D744">
        <v>4</v>
      </c>
      <c r="E744" t="s">
        <v>23</v>
      </c>
      <c r="F744" t="s">
        <v>26</v>
      </c>
      <c r="G744" t="str">
        <f>"2025-12-23 08:53:23.593"</f>
        <v>2025-12-23 08:53:23.593</v>
      </c>
      <c r="H744" t="s">
        <v>21</v>
      </c>
      <c r="I744">
        <v>0</v>
      </c>
      <c r="J744" t="s">
        <v>25</v>
      </c>
    </row>
    <row r="745" spans="1:10" x14ac:dyDescent="0.25">
      <c r="A745" s="1">
        <v>47</v>
      </c>
      <c r="B745" t="s">
        <v>19</v>
      </c>
      <c r="C745">
        <v>706</v>
      </c>
      <c r="D745">
        <v>4</v>
      </c>
      <c r="E745" t="s">
        <v>23</v>
      </c>
      <c r="F745" t="s">
        <v>26</v>
      </c>
      <c r="G745" t="str">
        <f>"2025-12-23 00:00:22.053"</f>
        <v>2025-12-23 00:00:22.053</v>
      </c>
      <c r="H745" t="s">
        <v>21</v>
      </c>
      <c r="I745">
        <v>0</v>
      </c>
      <c r="J745" t="s">
        <v>25</v>
      </c>
    </row>
    <row r="746" spans="1:10" x14ac:dyDescent="0.25">
      <c r="A746" s="1">
        <v>48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"2025-12-22 23:59:28.903"</f>
        <v>2025-12-22 23:59:28.903</v>
      </c>
      <c r="H746" t="s">
        <v>21</v>
      </c>
      <c r="I746">
        <v>0</v>
      </c>
      <c r="J746" t="s">
        <v>22</v>
      </c>
    </row>
    <row r="747" spans="1:10" x14ac:dyDescent="0.25">
      <c r="A747" s="1">
        <v>49</v>
      </c>
      <c r="B747" t="s">
        <v>19</v>
      </c>
      <c r="C747">
        <v>706</v>
      </c>
      <c r="D747">
        <v>4</v>
      </c>
      <c r="E747" t="s">
        <v>23</v>
      </c>
      <c r="F747" t="s">
        <v>26</v>
      </c>
      <c r="G747" t="str">
        <f>"2025-12-22 09:12:15.418"</f>
        <v>2025-12-22 09:12:15.418</v>
      </c>
      <c r="H747" t="s">
        <v>21</v>
      </c>
      <c r="I747">
        <v>0</v>
      </c>
      <c r="J747" t="s">
        <v>25</v>
      </c>
    </row>
    <row r="748" spans="1:10" s="3" customFormat="1" x14ac:dyDescent="0.25">
      <c r="A748" s="2">
        <v>50</v>
      </c>
      <c r="B748" s="3" t="s">
        <v>27</v>
      </c>
      <c r="C748" s="3">
        <v>647</v>
      </c>
      <c r="D748" s="3">
        <v>1</v>
      </c>
      <c r="E748" s="3" t="s">
        <v>28</v>
      </c>
      <c r="F748" s="3" t="s">
        <v>29</v>
      </c>
      <c r="G748" s="3" t="str">
        <f>"2025-12-21 23:07:14.718"</f>
        <v>2025-12-21 23:07:14.718</v>
      </c>
      <c r="H748" s="3" t="s">
        <v>21</v>
      </c>
    </row>
    <row r="749" spans="1:10" s="3" customFormat="1" x14ac:dyDescent="0.25">
      <c r="A749" s="2">
        <v>51</v>
      </c>
      <c r="B749" s="3" t="s">
        <v>30</v>
      </c>
      <c r="C749" s="3">
        <v>647</v>
      </c>
      <c r="D749" s="3">
        <v>1</v>
      </c>
      <c r="E749" s="3" t="s">
        <v>28</v>
      </c>
      <c r="F749" s="3" t="s">
        <v>29</v>
      </c>
      <c r="G749" s="3" t="str">
        <f>"2025-12-21 23:06:56.619"</f>
        <v>2025-12-21 23:06:56.619</v>
      </c>
      <c r="H749" s="3" t="s">
        <v>21</v>
      </c>
      <c r="I749" s="3">
        <v>8.7200000000000006</v>
      </c>
      <c r="J749" s="3" t="s">
        <v>31</v>
      </c>
    </row>
    <row r="750" spans="1:10" x14ac:dyDescent="0.25">
      <c r="A750" s="1">
        <v>52</v>
      </c>
      <c r="B750" t="s">
        <v>27</v>
      </c>
      <c r="C750">
        <v>635</v>
      </c>
      <c r="D750">
        <v>1</v>
      </c>
      <c r="E750" t="s">
        <v>32</v>
      </c>
      <c r="F750" t="s">
        <v>33</v>
      </c>
      <c r="G750" t="str">
        <f>"2025-12-21 15:24:22.570"</f>
        <v>2025-12-21 15:24:22.570</v>
      </c>
      <c r="H750" t="s">
        <v>21</v>
      </c>
    </row>
    <row r="751" spans="1:10" x14ac:dyDescent="0.25">
      <c r="A751" s="1">
        <v>53</v>
      </c>
      <c r="B751" t="s">
        <v>30</v>
      </c>
      <c r="C751">
        <v>635</v>
      </c>
      <c r="D751">
        <v>1</v>
      </c>
      <c r="E751" t="s">
        <v>32</v>
      </c>
      <c r="F751" t="s">
        <v>33</v>
      </c>
      <c r="G751" t="str">
        <f>"2025-12-21 15:20:59.570"</f>
        <v>2025-12-21 15:20:59.570</v>
      </c>
      <c r="H751" t="s">
        <v>21</v>
      </c>
      <c r="I751">
        <v>6.05</v>
      </c>
      <c r="J751" t="s">
        <v>31</v>
      </c>
    </row>
    <row r="752" spans="1:10" x14ac:dyDescent="0.25">
      <c r="A752" s="1">
        <v>54</v>
      </c>
      <c r="B752" t="s">
        <v>19</v>
      </c>
      <c r="C752">
        <v>706</v>
      </c>
      <c r="D752">
        <v>4</v>
      </c>
      <c r="E752" t="s">
        <v>23</v>
      </c>
      <c r="F752" t="s">
        <v>26</v>
      </c>
      <c r="G752" t="str">
        <f>"2025-12-21 11:15:05.288"</f>
        <v>2025-12-21 11:15:05.288</v>
      </c>
      <c r="H752" t="s">
        <v>21</v>
      </c>
      <c r="I752">
        <v>0</v>
      </c>
      <c r="J752" t="s">
        <v>25</v>
      </c>
    </row>
    <row r="753" spans="1:10" x14ac:dyDescent="0.25">
      <c r="A753" s="1">
        <v>55</v>
      </c>
      <c r="B753" t="s">
        <v>19</v>
      </c>
      <c r="C753">
        <v>706</v>
      </c>
      <c r="D753">
        <v>4</v>
      </c>
      <c r="E753" t="s">
        <v>23</v>
      </c>
      <c r="F753" t="s">
        <v>26</v>
      </c>
      <c r="G753" t="str">
        <f>"2025-12-20 13:15:11.628"</f>
        <v>2025-12-20 13:15:11.628</v>
      </c>
      <c r="H753" t="s">
        <v>21</v>
      </c>
      <c r="I753">
        <v>0</v>
      </c>
      <c r="J753" t="s">
        <v>25</v>
      </c>
    </row>
    <row r="754" spans="1:10" x14ac:dyDescent="0.25">
      <c r="A754" s="1">
        <v>56</v>
      </c>
      <c r="B754" t="s">
        <v>27</v>
      </c>
      <c r="C754">
        <v>635</v>
      </c>
      <c r="D754">
        <v>1</v>
      </c>
      <c r="E754" t="s">
        <v>32</v>
      </c>
      <c r="F754" t="s">
        <v>33</v>
      </c>
      <c r="G754" t="str">
        <f>"2025-12-20 11:41:51.970"</f>
        <v>2025-12-20 11:41:51.970</v>
      </c>
      <c r="H754" t="s">
        <v>21</v>
      </c>
    </row>
    <row r="755" spans="1:10" x14ac:dyDescent="0.25">
      <c r="A755" s="1">
        <v>57</v>
      </c>
      <c r="B755" t="s">
        <v>30</v>
      </c>
      <c r="C755">
        <v>635</v>
      </c>
      <c r="D755">
        <v>1</v>
      </c>
      <c r="E755" t="s">
        <v>32</v>
      </c>
      <c r="F755" t="s">
        <v>33</v>
      </c>
      <c r="G755" t="str">
        <f>"2025-12-20 11:37:12.470"</f>
        <v>2025-12-20 11:37:12.470</v>
      </c>
      <c r="H755" t="s">
        <v>21</v>
      </c>
      <c r="I755">
        <v>6.47</v>
      </c>
      <c r="J755" t="s">
        <v>34</v>
      </c>
    </row>
    <row r="756" spans="1:10" x14ac:dyDescent="0.25">
      <c r="A756" s="1">
        <v>58</v>
      </c>
      <c r="B756" t="s">
        <v>27</v>
      </c>
      <c r="C756">
        <v>635</v>
      </c>
      <c r="D756">
        <v>1</v>
      </c>
      <c r="E756" t="s">
        <v>32</v>
      </c>
      <c r="F756" t="s">
        <v>33</v>
      </c>
      <c r="G756" t="str">
        <f>"2025-12-20 06:31:52.170"</f>
        <v>2025-12-20 06:31:52.170</v>
      </c>
      <c r="H756" t="s">
        <v>21</v>
      </c>
    </row>
    <row r="757" spans="1:10" x14ac:dyDescent="0.25">
      <c r="A757" s="1">
        <v>59</v>
      </c>
      <c r="B757" t="s">
        <v>30</v>
      </c>
      <c r="C757">
        <v>635</v>
      </c>
      <c r="D757">
        <v>1</v>
      </c>
      <c r="E757" t="s">
        <v>32</v>
      </c>
      <c r="F757" t="s">
        <v>33</v>
      </c>
      <c r="G757" t="str">
        <f>"2025-12-20 06:28:09.170"</f>
        <v>2025-12-20 06:28:09.170</v>
      </c>
      <c r="H757" t="s">
        <v>21</v>
      </c>
      <c r="I757">
        <v>7.53</v>
      </c>
      <c r="J757" t="s">
        <v>34</v>
      </c>
    </row>
    <row r="758" spans="1:10" x14ac:dyDescent="0.25">
      <c r="A758" s="1">
        <v>60</v>
      </c>
      <c r="B758" t="s">
        <v>27</v>
      </c>
      <c r="C758">
        <v>635</v>
      </c>
      <c r="D758">
        <v>1</v>
      </c>
      <c r="E758" t="s">
        <v>32</v>
      </c>
      <c r="F758" t="s">
        <v>33</v>
      </c>
      <c r="G758" t="str">
        <f>"2025-12-20 06:12:50.170"</f>
        <v>2025-12-20 06:12:50.170</v>
      </c>
      <c r="H758" t="s">
        <v>21</v>
      </c>
    </row>
    <row r="759" spans="1:10" x14ac:dyDescent="0.25">
      <c r="A759" s="1">
        <v>61</v>
      </c>
      <c r="B759" t="s">
        <v>30</v>
      </c>
      <c r="C759">
        <v>635</v>
      </c>
      <c r="D759">
        <v>1</v>
      </c>
      <c r="E759" t="s">
        <v>32</v>
      </c>
      <c r="F759" t="s">
        <v>33</v>
      </c>
      <c r="G759" t="str">
        <f>"2025-12-20 06:07:14.170"</f>
        <v>2025-12-20 06:07:14.170</v>
      </c>
      <c r="H759" t="s">
        <v>21</v>
      </c>
      <c r="I759">
        <v>2.35</v>
      </c>
      <c r="J759" t="s">
        <v>31</v>
      </c>
    </row>
    <row r="760" spans="1:10" x14ac:dyDescent="0.25">
      <c r="A760" s="1">
        <v>62</v>
      </c>
      <c r="B760" t="s">
        <v>19</v>
      </c>
      <c r="C760">
        <v>706</v>
      </c>
      <c r="D760">
        <v>2</v>
      </c>
      <c r="E760" t="s">
        <v>23</v>
      </c>
      <c r="F760" t="s">
        <v>24</v>
      </c>
      <c r="G760" t="str">
        <f>"2025-12-19 11:19:02.948"</f>
        <v>2025-12-19 11:19:02.948</v>
      </c>
      <c r="H760" t="s">
        <v>21</v>
      </c>
      <c r="I760">
        <v>0</v>
      </c>
      <c r="J760" t="s">
        <v>25</v>
      </c>
    </row>
    <row r="761" spans="1:10" x14ac:dyDescent="0.25">
      <c r="A761" s="1">
        <v>63</v>
      </c>
      <c r="B761" t="s">
        <v>27</v>
      </c>
      <c r="C761">
        <v>635</v>
      </c>
      <c r="D761">
        <v>1</v>
      </c>
      <c r="E761" t="s">
        <v>32</v>
      </c>
      <c r="F761" t="s">
        <v>33</v>
      </c>
      <c r="G761" t="str">
        <f>"2025-12-18 10:07:22.670"</f>
        <v>2025-12-18 10:07:22.670</v>
      </c>
      <c r="H761" t="s">
        <v>21</v>
      </c>
    </row>
    <row r="762" spans="1:10" x14ac:dyDescent="0.25">
      <c r="A762" s="1">
        <v>64</v>
      </c>
      <c r="B762" t="s">
        <v>30</v>
      </c>
      <c r="C762">
        <v>635</v>
      </c>
      <c r="D762">
        <v>1</v>
      </c>
      <c r="E762" t="s">
        <v>32</v>
      </c>
      <c r="F762" t="s">
        <v>33</v>
      </c>
      <c r="G762" t="str">
        <f>"2025-12-18 09:53:24.770"</f>
        <v>2025-12-18 09:53:24.770</v>
      </c>
      <c r="H762" t="s">
        <v>21</v>
      </c>
      <c r="I762">
        <v>7.19</v>
      </c>
      <c r="J762" t="s">
        <v>34</v>
      </c>
    </row>
    <row r="763" spans="1:10" x14ac:dyDescent="0.25">
      <c r="A763" s="1">
        <v>65</v>
      </c>
      <c r="B763" t="s">
        <v>19</v>
      </c>
      <c r="C763">
        <v>706</v>
      </c>
      <c r="D763">
        <v>4</v>
      </c>
      <c r="E763" t="s">
        <v>23</v>
      </c>
      <c r="F763" t="s">
        <v>26</v>
      </c>
      <c r="G763" t="str">
        <f>"2025-12-16 20:43:50.408"</f>
        <v>2025-12-16 20:43:50.408</v>
      </c>
      <c r="H763" t="s">
        <v>21</v>
      </c>
      <c r="I763">
        <v>0</v>
      </c>
      <c r="J763" t="s">
        <v>25</v>
      </c>
    </row>
    <row r="764" spans="1:10" s="3" customFormat="1" x14ac:dyDescent="0.25">
      <c r="A764" s="2">
        <v>66</v>
      </c>
      <c r="B764" s="3" t="s">
        <v>27</v>
      </c>
      <c r="C764" s="3">
        <v>647</v>
      </c>
      <c r="D764" s="3">
        <v>1</v>
      </c>
      <c r="E764" s="3" t="s">
        <v>28</v>
      </c>
      <c r="F764" s="3" t="s">
        <v>29</v>
      </c>
      <c r="G764" s="3" t="str">
        <f>"2025-12-16 13:40:35.418"</f>
        <v>2025-12-16 13:40:35.418</v>
      </c>
      <c r="H764" s="3" t="s">
        <v>21</v>
      </c>
    </row>
    <row r="765" spans="1:10" s="3" customFormat="1" x14ac:dyDescent="0.25">
      <c r="A765" s="2">
        <v>67</v>
      </c>
      <c r="B765" s="3" t="s">
        <v>30</v>
      </c>
      <c r="C765" s="3">
        <v>647</v>
      </c>
      <c r="D765" s="3">
        <v>1</v>
      </c>
      <c r="E765" s="3" t="s">
        <v>28</v>
      </c>
      <c r="F765" s="3" t="s">
        <v>29</v>
      </c>
      <c r="G765" s="3" t="str">
        <f>"2025-12-16 13:40:34.318"</f>
        <v>2025-12-16 13:40:34.318</v>
      </c>
      <c r="H765" s="3" t="s">
        <v>21</v>
      </c>
      <c r="I765" s="3">
        <v>13.77</v>
      </c>
      <c r="J765" s="3" t="s">
        <v>31</v>
      </c>
    </row>
    <row r="766" spans="1:10" x14ac:dyDescent="0.25">
      <c r="A766" s="1">
        <v>68</v>
      </c>
      <c r="B766" t="s">
        <v>19</v>
      </c>
      <c r="C766">
        <v>706</v>
      </c>
      <c r="D766">
        <v>2</v>
      </c>
      <c r="E766" t="s">
        <v>23</v>
      </c>
      <c r="F766" t="s">
        <v>24</v>
      </c>
      <c r="G766" t="str">
        <f>"2025-12-15 11:21:25.448"</f>
        <v>2025-12-15 11:21:25.448</v>
      </c>
      <c r="H766" t="s">
        <v>21</v>
      </c>
      <c r="I766">
        <v>0</v>
      </c>
      <c r="J766" t="s">
        <v>25</v>
      </c>
    </row>
    <row r="767" spans="1:10" x14ac:dyDescent="0.25">
      <c r="A767" s="1">
        <v>69</v>
      </c>
      <c r="B767" t="s">
        <v>19</v>
      </c>
      <c r="C767">
        <v>706</v>
      </c>
      <c r="D767">
        <v>2</v>
      </c>
      <c r="E767" t="s">
        <v>23</v>
      </c>
      <c r="F767" t="s">
        <v>24</v>
      </c>
      <c r="G767" t="str">
        <f>"2025-12-15 11:21:18.048"</f>
        <v>2025-12-15 11:21:18.048</v>
      </c>
      <c r="H767" t="s">
        <v>21</v>
      </c>
      <c r="I767">
        <v>0</v>
      </c>
      <c r="J767" t="s">
        <v>25</v>
      </c>
    </row>
    <row r="768" spans="1:10" x14ac:dyDescent="0.25">
      <c r="A768" s="1">
        <v>70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"2025-12-15 10:44:01.898"</f>
        <v>2025-12-15 10:44:01.898</v>
      </c>
      <c r="H768" t="s">
        <v>21</v>
      </c>
      <c r="I768">
        <v>0</v>
      </c>
      <c r="J768" t="s">
        <v>22</v>
      </c>
    </row>
    <row r="769" spans="1:10" x14ac:dyDescent="0.25">
      <c r="A769" s="1">
        <v>71</v>
      </c>
      <c r="B769" t="s">
        <v>19</v>
      </c>
      <c r="C769">
        <v>706</v>
      </c>
      <c r="D769">
        <v>4</v>
      </c>
      <c r="E769" t="s">
        <v>23</v>
      </c>
      <c r="F769" t="s">
        <v>26</v>
      </c>
      <c r="G769" t="str">
        <f>"2025-12-15 03:42:11.194"</f>
        <v>2025-12-15 03:42:11.194</v>
      </c>
      <c r="H769" t="s">
        <v>21</v>
      </c>
      <c r="I769">
        <v>0</v>
      </c>
      <c r="J769" t="s">
        <v>25</v>
      </c>
    </row>
    <row r="770" spans="1:10" x14ac:dyDescent="0.25">
      <c r="A770" s="1">
        <v>72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"2025-12-15 03:19:28.924"</f>
        <v>2025-12-15 03:19:28.924</v>
      </c>
      <c r="H770" t="s">
        <v>21</v>
      </c>
    </row>
    <row r="771" spans="1:10" x14ac:dyDescent="0.25">
      <c r="A771" s="1">
        <v>73</v>
      </c>
      <c r="B771" t="s">
        <v>27</v>
      </c>
      <c r="C771">
        <v>635</v>
      </c>
      <c r="D771">
        <v>1</v>
      </c>
      <c r="E771" t="s">
        <v>32</v>
      </c>
      <c r="F771" t="s">
        <v>33</v>
      </c>
      <c r="G771" t="str">
        <f>"2025-12-14 23:00:10.530"</f>
        <v>2025-12-14 23:00:10.530</v>
      </c>
      <c r="H771" t="s">
        <v>21</v>
      </c>
    </row>
    <row r="772" spans="1:10" x14ac:dyDescent="0.25">
      <c r="A772" s="1">
        <v>74</v>
      </c>
      <c r="B772" t="s">
        <v>30</v>
      </c>
      <c r="C772">
        <v>635</v>
      </c>
      <c r="D772">
        <v>1</v>
      </c>
      <c r="E772" t="s">
        <v>32</v>
      </c>
      <c r="F772" t="s">
        <v>33</v>
      </c>
      <c r="G772" t="str">
        <f>"2025-12-14 22:55:11.530"</f>
        <v>2025-12-14 22:55:11.530</v>
      </c>
      <c r="H772" t="s">
        <v>21</v>
      </c>
      <c r="I772">
        <v>7.43</v>
      </c>
      <c r="J772" t="s">
        <v>34</v>
      </c>
    </row>
    <row r="773" spans="1:10" x14ac:dyDescent="0.25">
      <c r="A773" s="1">
        <v>75</v>
      </c>
      <c r="B773" t="s">
        <v>19</v>
      </c>
      <c r="C773">
        <v>706</v>
      </c>
      <c r="D773">
        <v>4</v>
      </c>
      <c r="E773" t="s">
        <v>23</v>
      </c>
      <c r="F773" t="s">
        <v>26</v>
      </c>
      <c r="G773" t="str">
        <f>"2025-12-14 22:37:38.147"</f>
        <v>2025-12-14 22:37:38.147</v>
      </c>
      <c r="H773" t="s">
        <v>21</v>
      </c>
      <c r="I773">
        <v>0</v>
      </c>
      <c r="J773" t="s">
        <v>25</v>
      </c>
    </row>
    <row r="774" spans="1:10" x14ac:dyDescent="0.25">
      <c r="A774" s="1">
        <v>76</v>
      </c>
      <c r="B774" t="s">
        <v>35</v>
      </c>
      <c r="C774">
        <v>33</v>
      </c>
      <c r="D774">
        <v>1</v>
      </c>
      <c r="E774" t="s">
        <v>36</v>
      </c>
      <c r="F774" t="s">
        <v>37</v>
      </c>
      <c r="G774" t="str">
        <f>"2025-12-14 20:34:03.577"</f>
        <v>2025-12-14 20:34:03.577</v>
      </c>
      <c r="H774" t="s">
        <v>38</v>
      </c>
    </row>
    <row r="775" spans="1:10" x14ac:dyDescent="0.25">
      <c r="A775" s="1">
        <v>77</v>
      </c>
      <c r="B775" t="s">
        <v>39</v>
      </c>
      <c r="C775">
        <v>33</v>
      </c>
      <c r="D775">
        <v>1</v>
      </c>
      <c r="E775" t="s">
        <v>36</v>
      </c>
      <c r="F775" t="s">
        <v>37</v>
      </c>
      <c r="G775" t="str">
        <f>"2025-12-14 20:33:08.109"</f>
        <v>2025-12-14 20:33:08.109</v>
      </c>
      <c r="H775" t="s">
        <v>38</v>
      </c>
      <c r="I775">
        <v>8.5500000000000007</v>
      </c>
      <c r="J775" t="s">
        <v>34</v>
      </c>
    </row>
    <row r="776" spans="1:10" x14ac:dyDescent="0.25">
      <c r="A776" s="1">
        <v>78</v>
      </c>
      <c r="B776" t="s">
        <v>27</v>
      </c>
      <c r="C776">
        <v>635</v>
      </c>
      <c r="D776">
        <v>1</v>
      </c>
      <c r="E776" t="s">
        <v>32</v>
      </c>
      <c r="F776" t="s">
        <v>33</v>
      </c>
      <c r="G776" t="str">
        <f>"2025-12-14 03:50:12.130"</f>
        <v>2025-12-14 03:50:12.130</v>
      </c>
      <c r="H776" t="s">
        <v>21</v>
      </c>
    </row>
    <row r="777" spans="1:10" x14ac:dyDescent="0.25">
      <c r="A777" s="1">
        <v>79</v>
      </c>
      <c r="B777" t="s">
        <v>30</v>
      </c>
      <c r="C777">
        <v>635</v>
      </c>
      <c r="D777">
        <v>1</v>
      </c>
      <c r="E777" t="s">
        <v>32</v>
      </c>
      <c r="F777" t="s">
        <v>33</v>
      </c>
      <c r="G777" t="str">
        <f>"2025-12-14 03:47:07.630"</f>
        <v>2025-12-14 03:47:07.630</v>
      </c>
      <c r="H777" t="s">
        <v>21</v>
      </c>
      <c r="I777">
        <v>2.81</v>
      </c>
      <c r="J777" t="s">
        <v>31</v>
      </c>
    </row>
    <row r="778" spans="1:10" x14ac:dyDescent="0.25">
      <c r="A778" s="1">
        <v>80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"2025-12-13 17:25:59.887"</f>
        <v>2025-12-13 17:25:59.887</v>
      </c>
      <c r="H778" t="s">
        <v>21</v>
      </c>
    </row>
    <row r="779" spans="1:10" x14ac:dyDescent="0.25">
      <c r="A779" s="1">
        <v>81</v>
      </c>
      <c r="B779" t="s">
        <v>19</v>
      </c>
      <c r="C779">
        <v>706</v>
      </c>
      <c r="D779">
        <v>4</v>
      </c>
      <c r="E779" t="s">
        <v>23</v>
      </c>
      <c r="F779" t="s">
        <v>26</v>
      </c>
      <c r="G779" t="str">
        <f>"2025-12-13 16:40:10.325"</f>
        <v>2025-12-13 16:40:10.325</v>
      </c>
      <c r="H779" t="s">
        <v>21</v>
      </c>
      <c r="I779">
        <v>0</v>
      </c>
      <c r="J779" t="s">
        <v>25</v>
      </c>
    </row>
    <row r="780" spans="1:10" x14ac:dyDescent="0.25">
      <c r="A780" s="1">
        <v>82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"2025-12-13 16:31:00.885"</f>
        <v>2025-12-13 16:31:00.885</v>
      </c>
      <c r="H780" t="s">
        <v>21</v>
      </c>
    </row>
    <row r="781" spans="1:10" x14ac:dyDescent="0.25">
      <c r="A781" s="1">
        <v>83</v>
      </c>
      <c r="B781" t="s">
        <v>19</v>
      </c>
      <c r="C781">
        <v>700</v>
      </c>
      <c r="D781">
        <v>0</v>
      </c>
      <c r="E781" t="s">
        <v>20</v>
      </c>
      <c r="F781" t="s">
        <v>20</v>
      </c>
      <c r="G781" t="str">
        <f>"2025-12-13 15:36:42.868"</f>
        <v>2025-12-13 15:36:42.868</v>
      </c>
      <c r="H781" t="s">
        <v>21</v>
      </c>
      <c r="I781">
        <v>0</v>
      </c>
      <c r="J781" t="s">
        <v>22</v>
      </c>
    </row>
    <row r="782" spans="1:10" x14ac:dyDescent="0.25">
      <c r="A782" s="1">
        <v>84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"2025-12-13 14:19:32.899"</f>
        <v>2025-12-13 14:19:32.899</v>
      </c>
      <c r="H782" t="s">
        <v>21</v>
      </c>
      <c r="I782">
        <v>0</v>
      </c>
      <c r="J782" t="s">
        <v>22</v>
      </c>
    </row>
    <row r="783" spans="1:10" x14ac:dyDescent="0.25">
      <c r="A783" s="1">
        <v>85</v>
      </c>
      <c r="B783" t="s">
        <v>19</v>
      </c>
      <c r="C783">
        <v>706</v>
      </c>
      <c r="D783">
        <v>2</v>
      </c>
      <c r="E783" t="s">
        <v>23</v>
      </c>
      <c r="F783" t="s">
        <v>24</v>
      </c>
      <c r="G783" t="str">
        <f>"2025-12-12 20:21:31.843"</f>
        <v>2025-12-12 20:21:31.843</v>
      </c>
      <c r="H783" t="s">
        <v>21</v>
      </c>
      <c r="I783">
        <v>0</v>
      </c>
      <c r="J783" t="s">
        <v>25</v>
      </c>
    </row>
    <row r="784" spans="1:10" x14ac:dyDescent="0.25">
      <c r="A784" s="1">
        <v>86</v>
      </c>
      <c r="B784" t="s">
        <v>27</v>
      </c>
      <c r="C784">
        <v>635</v>
      </c>
      <c r="D784">
        <v>1</v>
      </c>
      <c r="E784" t="s">
        <v>32</v>
      </c>
      <c r="F784" t="s">
        <v>33</v>
      </c>
      <c r="G784" t="str">
        <f>"2025-12-12 08:28:28.554"</f>
        <v>2025-12-12 08:28:28.554</v>
      </c>
      <c r="H784" t="s">
        <v>21</v>
      </c>
    </row>
    <row r="785" spans="1:10" x14ac:dyDescent="0.25">
      <c r="A785" s="1">
        <v>87</v>
      </c>
      <c r="B785" t="s">
        <v>30</v>
      </c>
      <c r="C785">
        <v>635</v>
      </c>
      <c r="D785">
        <v>1</v>
      </c>
      <c r="E785" t="s">
        <v>32</v>
      </c>
      <c r="F785" t="s">
        <v>33</v>
      </c>
      <c r="G785" t="str">
        <f>"2025-12-12 08:23:13.054"</f>
        <v>2025-12-12 08:23:13.054</v>
      </c>
      <c r="H785" t="s">
        <v>21</v>
      </c>
      <c r="I785">
        <v>-0.02</v>
      </c>
      <c r="J785" t="s">
        <v>34</v>
      </c>
    </row>
    <row r="786" spans="1:10" x14ac:dyDescent="0.25">
      <c r="A786" s="1">
        <v>88</v>
      </c>
      <c r="B786" t="s">
        <v>27</v>
      </c>
      <c r="C786">
        <v>635</v>
      </c>
      <c r="D786">
        <v>1</v>
      </c>
      <c r="E786" t="s">
        <v>32</v>
      </c>
      <c r="F786" t="s">
        <v>33</v>
      </c>
      <c r="G786" t="str">
        <f>"2025-12-12 04:16:43.654"</f>
        <v>2025-12-12 04:16:43.654</v>
      </c>
      <c r="H786" t="s">
        <v>21</v>
      </c>
    </row>
    <row r="787" spans="1:10" x14ac:dyDescent="0.25">
      <c r="A787" s="1">
        <v>89</v>
      </c>
      <c r="B787" t="s">
        <v>30</v>
      </c>
      <c r="C787">
        <v>635</v>
      </c>
      <c r="D787">
        <v>1</v>
      </c>
      <c r="E787" t="s">
        <v>32</v>
      </c>
      <c r="F787" t="s">
        <v>33</v>
      </c>
      <c r="G787" t="str">
        <f>"2025-12-12 04:12:59.154"</f>
        <v>2025-12-12 04:12:59.154</v>
      </c>
      <c r="H787" t="s">
        <v>21</v>
      </c>
      <c r="I787">
        <v>4.1500000000000004</v>
      </c>
      <c r="J787" t="s">
        <v>42</v>
      </c>
    </row>
    <row r="788" spans="1:10" x14ac:dyDescent="0.25">
      <c r="A788" s="1">
        <v>90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"2025-12-12 02:07:31.873"</f>
        <v>2025-12-12 02:07:31.873</v>
      </c>
      <c r="H788" t="s">
        <v>21</v>
      </c>
      <c r="I788">
        <v>0</v>
      </c>
      <c r="J788" t="s">
        <v>22</v>
      </c>
    </row>
    <row r="789" spans="1:10" x14ac:dyDescent="0.25">
      <c r="A789" s="1">
        <v>91</v>
      </c>
      <c r="B789" t="s">
        <v>19</v>
      </c>
      <c r="C789">
        <v>706</v>
      </c>
      <c r="D789">
        <v>2</v>
      </c>
      <c r="E789" t="s">
        <v>23</v>
      </c>
      <c r="F789" t="s">
        <v>24</v>
      </c>
      <c r="G789" t="str">
        <f>"2025-12-11 21:28:23.242"</f>
        <v>2025-12-11 21:28:23.242</v>
      </c>
      <c r="H789" t="s">
        <v>21</v>
      </c>
      <c r="I789">
        <v>0</v>
      </c>
      <c r="J789" t="s">
        <v>25</v>
      </c>
    </row>
    <row r="790" spans="1:10" x14ac:dyDescent="0.25">
      <c r="A790" s="1">
        <v>92</v>
      </c>
      <c r="B790" t="s">
        <v>27</v>
      </c>
      <c r="C790">
        <v>635</v>
      </c>
      <c r="D790">
        <v>1</v>
      </c>
      <c r="E790" t="s">
        <v>32</v>
      </c>
      <c r="F790" t="s">
        <v>33</v>
      </c>
      <c r="G790" t="str">
        <f>"2025-12-11 20:23:22.661"</f>
        <v>2025-12-11 20:23:22.661</v>
      </c>
      <c r="H790" t="s">
        <v>21</v>
      </c>
    </row>
    <row r="791" spans="1:10" x14ac:dyDescent="0.25">
      <c r="A791" s="1">
        <v>93</v>
      </c>
      <c r="B791" t="s">
        <v>30</v>
      </c>
      <c r="C791">
        <v>635</v>
      </c>
      <c r="D791">
        <v>1</v>
      </c>
      <c r="E791" t="s">
        <v>32</v>
      </c>
      <c r="F791" t="s">
        <v>33</v>
      </c>
      <c r="G791" t="str">
        <f>"2025-12-11 20:19:39.661"</f>
        <v>2025-12-11 20:19:39.661</v>
      </c>
      <c r="H791" t="s">
        <v>21</v>
      </c>
      <c r="I791">
        <v>2.5</v>
      </c>
      <c r="J791" t="s">
        <v>31</v>
      </c>
    </row>
    <row r="792" spans="1:10" x14ac:dyDescent="0.25">
      <c r="A792" s="1">
        <v>95</v>
      </c>
      <c r="B792" t="s">
        <v>19</v>
      </c>
      <c r="C792">
        <v>706</v>
      </c>
      <c r="D792">
        <v>4</v>
      </c>
      <c r="E792" t="s">
        <v>23</v>
      </c>
      <c r="F792" t="s">
        <v>26</v>
      </c>
      <c r="G792" t="str">
        <f>"2025-12-11 01:38:47.642"</f>
        <v>2025-12-11 01:38:47.642</v>
      </c>
      <c r="H792" t="s">
        <v>21</v>
      </c>
      <c r="I792">
        <v>0</v>
      </c>
      <c r="J792" t="s">
        <v>25</v>
      </c>
    </row>
    <row r="793" spans="1:10" s="3" customFormat="1" x14ac:dyDescent="0.25">
      <c r="A793" s="2">
        <v>96</v>
      </c>
      <c r="B793" s="3" t="s">
        <v>27</v>
      </c>
      <c r="C793" s="3">
        <v>647</v>
      </c>
      <c r="D793" s="3">
        <v>1</v>
      </c>
      <c r="E793" s="3" t="s">
        <v>28</v>
      </c>
      <c r="F793" s="3" t="s">
        <v>29</v>
      </c>
      <c r="G793" s="3" t="str">
        <f>"2025-12-10 12:17:21.415"</f>
        <v>2025-12-10 12:17:21.415</v>
      </c>
      <c r="H793" s="3" t="s">
        <v>21</v>
      </c>
    </row>
    <row r="794" spans="1:10" s="3" customFormat="1" x14ac:dyDescent="0.25">
      <c r="A794" s="2">
        <v>97</v>
      </c>
      <c r="B794" s="3" t="s">
        <v>30</v>
      </c>
      <c r="C794" s="3">
        <v>647</v>
      </c>
      <c r="D794" s="3">
        <v>1</v>
      </c>
      <c r="E794" s="3" t="s">
        <v>28</v>
      </c>
      <c r="F794" s="3" t="s">
        <v>29</v>
      </c>
      <c r="G794" s="3" t="str">
        <f>"2025-12-10 12:17:18.915"</f>
        <v>2025-12-10 12:17:18.915</v>
      </c>
      <c r="H794" s="3" t="s">
        <v>21</v>
      </c>
      <c r="I794" s="3">
        <v>11.46</v>
      </c>
      <c r="J794" s="3" t="s">
        <v>31</v>
      </c>
    </row>
    <row r="795" spans="1:10" x14ac:dyDescent="0.25">
      <c r="A795" s="1">
        <v>98</v>
      </c>
      <c r="B795" t="s">
        <v>19</v>
      </c>
      <c r="C795">
        <v>706</v>
      </c>
      <c r="D795">
        <v>4</v>
      </c>
      <c r="E795" t="s">
        <v>23</v>
      </c>
      <c r="F795" t="s">
        <v>26</v>
      </c>
      <c r="G795" t="str">
        <f>"2025-12-09 22:26:28.872"</f>
        <v>2025-12-09 22:26:28.872</v>
      </c>
      <c r="H795" t="s">
        <v>21</v>
      </c>
      <c r="I795">
        <v>0</v>
      </c>
      <c r="J795" t="s">
        <v>25</v>
      </c>
    </row>
    <row r="796" spans="1:10" x14ac:dyDescent="0.25">
      <c r="A796" s="1">
        <v>99</v>
      </c>
      <c r="B796" t="s">
        <v>27</v>
      </c>
      <c r="C796">
        <v>635</v>
      </c>
      <c r="D796">
        <v>1</v>
      </c>
      <c r="E796" t="s">
        <v>32</v>
      </c>
      <c r="F796" t="s">
        <v>33</v>
      </c>
      <c r="G796" t="str">
        <f>"2025-12-09 09:49:56.061"</f>
        <v>2025-12-09 09:49:56.061</v>
      </c>
      <c r="H796" t="s">
        <v>21</v>
      </c>
    </row>
    <row r="797" spans="1:10" x14ac:dyDescent="0.25">
      <c r="A797" s="1">
        <v>0</v>
      </c>
      <c r="B797" t="s">
        <v>30</v>
      </c>
      <c r="C797">
        <v>635</v>
      </c>
      <c r="D797">
        <v>1</v>
      </c>
      <c r="E797" t="s">
        <v>32</v>
      </c>
      <c r="F797" t="s">
        <v>33</v>
      </c>
      <c r="G797" t="str">
        <f>"2025-12-09 09:44:50.561"</f>
        <v>2025-12-09 09:44:50.561</v>
      </c>
      <c r="H797" t="s">
        <v>21</v>
      </c>
      <c r="I797">
        <v>10.33</v>
      </c>
      <c r="J797" t="s">
        <v>31</v>
      </c>
    </row>
    <row r="798" spans="1:10" x14ac:dyDescent="0.25">
      <c r="A798" s="1">
        <v>1</v>
      </c>
      <c r="B798" t="s">
        <v>19</v>
      </c>
      <c r="C798">
        <v>706</v>
      </c>
      <c r="D798">
        <v>4</v>
      </c>
      <c r="E798" t="s">
        <v>23</v>
      </c>
      <c r="F798" t="s">
        <v>26</v>
      </c>
      <c r="G798" t="str">
        <f>"2025-12-08 23:46:49.222"</f>
        <v>2025-12-08 23:46:49.222</v>
      </c>
      <c r="H798" t="s">
        <v>21</v>
      </c>
      <c r="I798">
        <v>0</v>
      </c>
      <c r="J798" t="s">
        <v>25</v>
      </c>
    </row>
    <row r="799" spans="1:10" x14ac:dyDescent="0.25">
      <c r="A799" s="1">
        <v>2</v>
      </c>
      <c r="B799" t="s">
        <v>27</v>
      </c>
      <c r="C799">
        <v>635</v>
      </c>
      <c r="D799">
        <v>1</v>
      </c>
      <c r="E799" t="s">
        <v>32</v>
      </c>
      <c r="F799" t="s">
        <v>33</v>
      </c>
      <c r="G799" t="str">
        <f>"2025-12-08 00:48:15.461"</f>
        <v>2025-12-08 00:48:15.461</v>
      </c>
      <c r="H799" t="s">
        <v>21</v>
      </c>
    </row>
    <row r="800" spans="1:10" x14ac:dyDescent="0.25">
      <c r="A800" s="1">
        <v>3</v>
      </c>
      <c r="B800" t="s">
        <v>30</v>
      </c>
      <c r="C800">
        <v>635</v>
      </c>
      <c r="D800">
        <v>1</v>
      </c>
      <c r="E800" t="s">
        <v>32</v>
      </c>
      <c r="F800" t="s">
        <v>33</v>
      </c>
      <c r="G800" t="str">
        <f>"2025-12-08 00:44:42.961"</f>
        <v>2025-12-08 00:44:42.961</v>
      </c>
      <c r="H800" t="s">
        <v>21</v>
      </c>
      <c r="I800">
        <v>1.69</v>
      </c>
      <c r="J800" t="s">
        <v>31</v>
      </c>
    </row>
    <row r="801" spans="1:10" x14ac:dyDescent="0.25">
      <c r="A801" s="1">
        <v>4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"2025-12-07 13:41:24.862"</f>
        <v>2025-12-07 13:41:24.862</v>
      </c>
      <c r="H801" t="s">
        <v>21</v>
      </c>
    </row>
    <row r="802" spans="1:10" x14ac:dyDescent="0.25">
      <c r="A802" s="1">
        <v>5</v>
      </c>
      <c r="B802" t="s">
        <v>27</v>
      </c>
      <c r="C802">
        <v>635</v>
      </c>
      <c r="D802">
        <v>1</v>
      </c>
      <c r="E802" t="s">
        <v>32</v>
      </c>
      <c r="F802" t="s">
        <v>33</v>
      </c>
      <c r="G802" t="str">
        <f>"2025-12-06 23:15:09.662"</f>
        <v>2025-12-06 23:15:09.662</v>
      </c>
      <c r="H802" t="s">
        <v>21</v>
      </c>
    </row>
    <row r="803" spans="1:10" x14ac:dyDescent="0.25">
      <c r="A803" s="1">
        <v>6</v>
      </c>
      <c r="B803" t="s">
        <v>30</v>
      </c>
      <c r="C803">
        <v>635</v>
      </c>
      <c r="D803">
        <v>1</v>
      </c>
      <c r="E803" t="s">
        <v>32</v>
      </c>
      <c r="F803" t="s">
        <v>33</v>
      </c>
      <c r="G803" t="str">
        <f>"2025-12-06 23:10:31.162"</f>
        <v>2025-12-06 23:10:31.162</v>
      </c>
      <c r="H803" t="s">
        <v>21</v>
      </c>
      <c r="I803">
        <v>4.7</v>
      </c>
      <c r="J803" t="s">
        <v>31</v>
      </c>
    </row>
    <row r="804" spans="1:10" x14ac:dyDescent="0.25">
      <c r="A804" s="1">
        <v>8</v>
      </c>
      <c r="B804" t="s">
        <v>19</v>
      </c>
      <c r="C804">
        <v>706</v>
      </c>
      <c r="D804">
        <v>4</v>
      </c>
      <c r="E804" t="s">
        <v>23</v>
      </c>
      <c r="F804" t="s">
        <v>26</v>
      </c>
      <c r="G804" t="str">
        <f>"2025-12-05 19:56:17.833"</f>
        <v>2025-12-05 19:56:17.833</v>
      </c>
      <c r="H804" t="s">
        <v>21</v>
      </c>
      <c r="I804">
        <v>0</v>
      </c>
      <c r="J804" t="s">
        <v>25</v>
      </c>
    </row>
    <row r="805" spans="1:10" x14ac:dyDescent="0.25">
      <c r="A805" s="1">
        <v>9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"2025-12-05 07:59:47.864"</f>
        <v>2025-12-05 07:59:47.864</v>
      </c>
      <c r="H805" t="s">
        <v>21</v>
      </c>
      <c r="I805">
        <v>0</v>
      </c>
      <c r="J805" t="s">
        <v>22</v>
      </c>
    </row>
    <row r="806" spans="1:10" x14ac:dyDescent="0.25">
      <c r="A806" s="1">
        <v>10</v>
      </c>
      <c r="B806" t="s">
        <v>19</v>
      </c>
      <c r="C806">
        <v>706</v>
      </c>
      <c r="D806">
        <v>3</v>
      </c>
      <c r="E806" t="s">
        <v>23</v>
      </c>
      <c r="F806" t="s">
        <v>43</v>
      </c>
      <c r="G806" t="str">
        <f>"2025-12-05 07:46:42.530"</f>
        <v>2025-12-05 07:46:42.530</v>
      </c>
      <c r="H806" t="s">
        <v>21</v>
      </c>
      <c r="I806">
        <v>0</v>
      </c>
      <c r="J806" t="s">
        <v>25</v>
      </c>
    </row>
    <row r="807" spans="1:10" x14ac:dyDescent="0.25">
      <c r="A807" s="1">
        <v>11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"2025-12-04 12:16:18.860"</f>
        <v>2025-12-04 12:16:18.860</v>
      </c>
      <c r="H807" t="s">
        <v>21</v>
      </c>
      <c r="I807">
        <v>0</v>
      </c>
      <c r="J807" t="s">
        <v>22</v>
      </c>
    </row>
    <row r="808" spans="1:10" x14ac:dyDescent="0.25">
      <c r="A808" s="1">
        <v>12</v>
      </c>
      <c r="B808" t="s">
        <v>19</v>
      </c>
      <c r="C808">
        <v>706</v>
      </c>
      <c r="D808">
        <v>2</v>
      </c>
      <c r="E808" t="s">
        <v>23</v>
      </c>
      <c r="F808" t="s">
        <v>24</v>
      </c>
      <c r="G808" t="str">
        <f>"2025-12-04 11:09:31.287"</f>
        <v>2025-12-04 11:09:31.287</v>
      </c>
      <c r="H808" t="s">
        <v>21</v>
      </c>
      <c r="I808">
        <v>0</v>
      </c>
      <c r="J808" t="s">
        <v>25</v>
      </c>
    </row>
    <row r="809" spans="1:10" x14ac:dyDescent="0.25">
      <c r="A809" s="1">
        <v>13</v>
      </c>
      <c r="B809" t="s">
        <v>19</v>
      </c>
      <c r="C809">
        <v>706</v>
      </c>
      <c r="D809">
        <v>2</v>
      </c>
      <c r="E809" t="s">
        <v>23</v>
      </c>
      <c r="F809" t="s">
        <v>24</v>
      </c>
      <c r="G809" t="str">
        <f>"2025-12-04 11:08:23.087"</f>
        <v>2025-12-04 11:08:23.087</v>
      </c>
      <c r="H809" t="s">
        <v>21</v>
      </c>
      <c r="I809">
        <v>0</v>
      </c>
      <c r="J809" t="s">
        <v>25</v>
      </c>
    </row>
    <row r="810" spans="1:10" x14ac:dyDescent="0.25">
      <c r="A810" s="1">
        <v>14</v>
      </c>
      <c r="B810" t="s">
        <v>19</v>
      </c>
      <c r="C810">
        <v>706</v>
      </c>
      <c r="D810">
        <v>2</v>
      </c>
      <c r="E810" t="s">
        <v>23</v>
      </c>
      <c r="F810" t="s">
        <v>24</v>
      </c>
      <c r="G810" t="str">
        <f>"2025-12-04 11:07:42.887"</f>
        <v>2025-12-04 11:07:42.887</v>
      </c>
      <c r="H810" t="s">
        <v>21</v>
      </c>
      <c r="I810">
        <v>0</v>
      </c>
      <c r="J810" t="s">
        <v>25</v>
      </c>
    </row>
    <row r="811" spans="1:10" x14ac:dyDescent="0.25">
      <c r="A811" s="1">
        <v>15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"2025-12-04 11:01:40.867"</f>
        <v>2025-12-04 11:01:40.867</v>
      </c>
      <c r="H811" t="s">
        <v>21</v>
      </c>
      <c r="I811">
        <v>0</v>
      </c>
      <c r="J811" t="s">
        <v>22</v>
      </c>
    </row>
    <row r="812" spans="1:10" x14ac:dyDescent="0.25">
      <c r="A812" s="1">
        <v>16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"2025-12-04 08:31:36.883"</f>
        <v>2025-12-04 08:31:36.883</v>
      </c>
      <c r="H812" t="s">
        <v>21</v>
      </c>
      <c r="I812">
        <v>0</v>
      </c>
      <c r="J812" t="s">
        <v>22</v>
      </c>
    </row>
    <row r="813" spans="1:10" x14ac:dyDescent="0.25">
      <c r="A813" s="1">
        <v>17</v>
      </c>
      <c r="B813" t="s">
        <v>19</v>
      </c>
      <c r="C813">
        <v>706</v>
      </c>
      <c r="D813">
        <v>4</v>
      </c>
      <c r="E813" t="s">
        <v>23</v>
      </c>
      <c r="F813" t="s">
        <v>26</v>
      </c>
      <c r="G813" t="str">
        <f>"2025-12-03 21:01:45.368"</f>
        <v>2025-12-03 21:01:45.368</v>
      </c>
      <c r="H813" t="s">
        <v>21</v>
      </c>
      <c r="I813">
        <v>0</v>
      </c>
      <c r="J813" t="s">
        <v>25</v>
      </c>
    </row>
    <row r="814" spans="1:10" x14ac:dyDescent="0.25">
      <c r="A814" s="1">
        <v>18</v>
      </c>
      <c r="B814" t="s">
        <v>27</v>
      </c>
      <c r="C814">
        <v>98</v>
      </c>
      <c r="D814">
        <v>1</v>
      </c>
      <c r="E814" t="s">
        <v>40</v>
      </c>
      <c r="F814" t="s">
        <v>41</v>
      </c>
      <c r="G814" t="str">
        <f>"2025-12-02 17:37:47.770"</f>
        <v>2025-12-02 17:37:47.770</v>
      </c>
      <c r="H814" t="s">
        <v>21</v>
      </c>
    </row>
    <row r="815" spans="1:10" x14ac:dyDescent="0.25">
      <c r="A815" s="1">
        <v>19</v>
      </c>
      <c r="B815" t="s">
        <v>30</v>
      </c>
      <c r="C815">
        <v>98</v>
      </c>
      <c r="D815">
        <v>1</v>
      </c>
      <c r="E815" t="s">
        <v>40</v>
      </c>
      <c r="F815" t="s">
        <v>41</v>
      </c>
      <c r="G815" t="str">
        <f>"2025-12-02 17:37:46.771"</f>
        <v>2025-12-02 17:37:46.771</v>
      </c>
      <c r="H815" t="s">
        <v>21</v>
      </c>
      <c r="I815">
        <v>0</v>
      </c>
      <c r="J815" t="s">
        <v>42</v>
      </c>
    </row>
    <row r="816" spans="1:10" x14ac:dyDescent="0.25">
      <c r="A816" s="1">
        <v>20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"2025-12-02 10:11:09.868"</f>
        <v>2025-12-02 10:11:09.868</v>
      </c>
      <c r="H816" t="s">
        <v>21</v>
      </c>
      <c r="I816">
        <v>0</v>
      </c>
      <c r="J816" t="s">
        <v>22</v>
      </c>
    </row>
    <row r="817" spans="1:10" x14ac:dyDescent="0.25">
      <c r="A817" s="1">
        <v>21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"2025-12-02 09:53:43.860"</f>
        <v>2025-12-02 09:53:43.860</v>
      </c>
      <c r="H817" t="s">
        <v>21</v>
      </c>
      <c r="I817">
        <v>0</v>
      </c>
      <c r="J817" t="s">
        <v>22</v>
      </c>
    </row>
    <row r="818" spans="1:10" x14ac:dyDescent="0.25">
      <c r="A818" s="1">
        <v>22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"2025-12-02 07:55:36.857"</f>
        <v>2025-12-02 07:55:36.857</v>
      </c>
      <c r="H818" t="s">
        <v>21</v>
      </c>
      <c r="I818">
        <v>0</v>
      </c>
      <c r="J818" t="s">
        <v>22</v>
      </c>
    </row>
    <row r="819" spans="1:10" x14ac:dyDescent="0.25">
      <c r="A819" s="1">
        <v>23</v>
      </c>
      <c r="B819" t="s">
        <v>19</v>
      </c>
      <c r="C819">
        <v>706</v>
      </c>
      <c r="D819">
        <v>2</v>
      </c>
      <c r="E819" t="s">
        <v>23</v>
      </c>
      <c r="F819" t="s">
        <v>24</v>
      </c>
      <c r="G819" t="str">
        <f>"2025-12-01 20:32:24.017"</f>
        <v>2025-12-01 20:32:24.017</v>
      </c>
      <c r="H819" t="s">
        <v>21</v>
      </c>
      <c r="I819">
        <v>0</v>
      </c>
      <c r="J819" t="s">
        <v>25</v>
      </c>
    </row>
    <row r="820" spans="1:10" x14ac:dyDescent="0.25">
      <c r="A820" s="1">
        <v>24</v>
      </c>
      <c r="B820" t="s">
        <v>19</v>
      </c>
      <c r="C820">
        <v>706</v>
      </c>
      <c r="D820">
        <v>2</v>
      </c>
      <c r="E820" t="s">
        <v>23</v>
      </c>
      <c r="F820" t="s">
        <v>24</v>
      </c>
      <c r="G820" t="str">
        <f>"2025-11-30 19:54:58.117"</f>
        <v>2025-11-30 19:54:58.117</v>
      </c>
      <c r="H820" t="s">
        <v>21</v>
      </c>
      <c r="I820">
        <v>0</v>
      </c>
      <c r="J820" t="s">
        <v>25</v>
      </c>
    </row>
    <row r="821" spans="1:10" x14ac:dyDescent="0.25">
      <c r="A821" s="1">
        <v>25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"2025-11-30 07:59:10.857"</f>
        <v>2025-11-30 07:59:10.857</v>
      </c>
      <c r="H821" t="s">
        <v>21</v>
      </c>
      <c r="I821">
        <v>0</v>
      </c>
      <c r="J821" t="s">
        <v>22</v>
      </c>
    </row>
    <row r="822" spans="1:10" x14ac:dyDescent="0.25">
      <c r="A822" s="1">
        <v>26</v>
      </c>
      <c r="B822" t="s">
        <v>19</v>
      </c>
      <c r="C822">
        <v>706</v>
      </c>
      <c r="D822">
        <v>4</v>
      </c>
      <c r="E822" t="s">
        <v>23</v>
      </c>
      <c r="F822" t="s">
        <v>26</v>
      </c>
      <c r="G822" t="str">
        <f>"2025-11-29 20:17:13.381"</f>
        <v>2025-11-29 20:17:13.381</v>
      </c>
      <c r="H822" t="s">
        <v>21</v>
      </c>
      <c r="I822">
        <v>0</v>
      </c>
      <c r="J822" t="s">
        <v>25</v>
      </c>
    </row>
    <row r="823" spans="1:10" x14ac:dyDescent="0.25">
      <c r="A823" s="1">
        <v>27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"2025-11-29 12:48:23.941"</f>
        <v>2025-11-29 12:48:23.941</v>
      </c>
      <c r="H823" t="s">
        <v>21</v>
      </c>
      <c r="I823">
        <v>0</v>
      </c>
      <c r="J823" t="s">
        <v>22</v>
      </c>
    </row>
    <row r="824" spans="1:10" x14ac:dyDescent="0.25">
      <c r="A824" s="1">
        <v>28</v>
      </c>
      <c r="B824" t="s">
        <v>19</v>
      </c>
      <c r="C824">
        <v>706</v>
      </c>
      <c r="D824">
        <v>4</v>
      </c>
      <c r="E824" t="s">
        <v>23</v>
      </c>
      <c r="F824" t="s">
        <v>26</v>
      </c>
      <c r="G824" t="str">
        <f>"2025-11-28 21:14:31.165"</f>
        <v>2025-11-28 21:14:31.165</v>
      </c>
      <c r="H824" t="s">
        <v>21</v>
      </c>
      <c r="I824">
        <v>0</v>
      </c>
      <c r="J824" t="s">
        <v>25</v>
      </c>
    </row>
    <row r="825" spans="1:10" s="3" customFormat="1" x14ac:dyDescent="0.25">
      <c r="A825" s="2">
        <v>29</v>
      </c>
      <c r="B825" s="3" t="s">
        <v>27</v>
      </c>
      <c r="C825" s="3">
        <v>647</v>
      </c>
      <c r="D825" s="3">
        <v>1</v>
      </c>
      <c r="E825" s="3" t="s">
        <v>28</v>
      </c>
      <c r="F825" s="3" t="s">
        <v>29</v>
      </c>
      <c r="G825" s="3" t="str">
        <f>"2025-11-28 15:31:00.803"</f>
        <v>2025-11-28 15:31:00.803</v>
      </c>
      <c r="H825" s="3" t="s">
        <v>21</v>
      </c>
    </row>
    <row r="826" spans="1:10" s="3" customFormat="1" x14ac:dyDescent="0.25">
      <c r="A826" s="2">
        <v>30</v>
      </c>
      <c r="B826" s="3" t="s">
        <v>30</v>
      </c>
      <c r="C826" s="3">
        <v>647</v>
      </c>
      <c r="D826" s="3">
        <v>1</v>
      </c>
      <c r="E826" s="3" t="s">
        <v>28</v>
      </c>
      <c r="F826" s="3" t="s">
        <v>29</v>
      </c>
      <c r="G826" s="3" t="str">
        <f>"2025-11-28 15:30:57.303"</f>
        <v>2025-11-28 15:30:57.303</v>
      </c>
      <c r="H826" s="3" t="s">
        <v>21</v>
      </c>
      <c r="I826" s="3">
        <v>25.29</v>
      </c>
      <c r="J826" s="3" t="s">
        <v>31</v>
      </c>
    </row>
    <row r="827" spans="1:10" s="3" customFormat="1" x14ac:dyDescent="0.25">
      <c r="A827" s="2">
        <v>31</v>
      </c>
      <c r="B827" s="3" t="s">
        <v>27</v>
      </c>
      <c r="C827" s="3">
        <v>647</v>
      </c>
      <c r="D827" s="3">
        <v>1</v>
      </c>
      <c r="E827" s="3" t="s">
        <v>28</v>
      </c>
      <c r="F827" s="3" t="s">
        <v>29</v>
      </c>
      <c r="G827" s="3" t="str">
        <f>"2025-11-28 15:30:34.403"</f>
        <v>2025-11-28 15:30:34.403</v>
      </c>
      <c r="H827" s="3" t="s">
        <v>21</v>
      </c>
    </row>
    <row r="828" spans="1:10" s="3" customFormat="1" x14ac:dyDescent="0.25">
      <c r="A828" s="2">
        <v>32</v>
      </c>
      <c r="B828" s="3" t="s">
        <v>30</v>
      </c>
      <c r="C828" s="3">
        <v>647</v>
      </c>
      <c r="D828" s="3">
        <v>1</v>
      </c>
      <c r="E828" s="3" t="s">
        <v>28</v>
      </c>
      <c r="F828" s="3" t="s">
        <v>29</v>
      </c>
      <c r="G828" s="3" t="str">
        <f>"2025-11-28 15:30:31.903"</f>
        <v>2025-11-28 15:30:31.903</v>
      </c>
      <c r="H828" s="3" t="s">
        <v>21</v>
      </c>
      <c r="I828" s="3">
        <v>30.56</v>
      </c>
      <c r="J828" s="3" t="s">
        <v>31</v>
      </c>
    </row>
    <row r="829" spans="1:10" x14ac:dyDescent="0.25">
      <c r="A829" s="1">
        <v>33</v>
      </c>
      <c r="B829" t="s">
        <v>27</v>
      </c>
      <c r="C829">
        <v>635</v>
      </c>
      <c r="D829">
        <v>1</v>
      </c>
      <c r="E829" t="s">
        <v>32</v>
      </c>
      <c r="F829" t="s">
        <v>33</v>
      </c>
      <c r="G829" t="str">
        <f>"2025-11-27 23:22:40.303"</f>
        <v>2025-11-27 23:22:40.303</v>
      </c>
      <c r="H829" t="s">
        <v>21</v>
      </c>
    </row>
    <row r="830" spans="1:10" x14ac:dyDescent="0.25">
      <c r="A830" s="1">
        <v>34</v>
      </c>
      <c r="B830" t="s">
        <v>30</v>
      </c>
      <c r="C830">
        <v>635</v>
      </c>
      <c r="D830">
        <v>1</v>
      </c>
      <c r="E830" t="s">
        <v>32</v>
      </c>
      <c r="F830" t="s">
        <v>33</v>
      </c>
      <c r="G830" t="str">
        <f>"2025-11-27 23:18:50.804"</f>
        <v>2025-11-27 23:18:50.804</v>
      </c>
      <c r="H830" t="s">
        <v>21</v>
      </c>
      <c r="I830">
        <v>7.98</v>
      </c>
      <c r="J830" t="s">
        <v>42</v>
      </c>
    </row>
    <row r="831" spans="1:10" x14ac:dyDescent="0.25">
      <c r="A831" s="1">
        <v>35</v>
      </c>
      <c r="B831" t="s">
        <v>19</v>
      </c>
      <c r="C831">
        <v>706</v>
      </c>
      <c r="D831">
        <v>2</v>
      </c>
      <c r="E831" t="s">
        <v>23</v>
      </c>
      <c r="F831" t="s">
        <v>24</v>
      </c>
      <c r="G831" t="str">
        <f>"2025-11-27 21:25:58.575"</f>
        <v>2025-11-27 21:25:58.575</v>
      </c>
      <c r="H831" t="s">
        <v>21</v>
      </c>
      <c r="I831">
        <v>0</v>
      </c>
      <c r="J831" t="s">
        <v>25</v>
      </c>
    </row>
    <row r="832" spans="1:10" x14ac:dyDescent="0.25">
      <c r="A832" s="1">
        <v>36</v>
      </c>
      <c r="B832" t="s">
        <v>19</v>
      </c>
      <c r="C832">
        <v>706</v>
      </c>
      <c r="D832">
        <v>4</v>
      </c>
      <c r="E832" t="s">
        <v>23</v>
      </c>
      <c r="F832" t="s">
        <v>26</v>
      </c>
      <c r="G832" t="str">
        <f>"2025-11-26 21:19:13.665"</f>
        <v>2025-11-26 21:19:13.665</v>
      </c>
      <c r="H832" t="s">
        <v>21</v>
      </c>
      <c r="I832">
        <v>0</v>
      </c>
      <c r="J832" t="s">
        <v>25</v>
      </c>
    </row>
    <row r="833" spans="1:10" x14ac:dyDescent="0.25">
      <c r="A833" s="1">
        <v>37</v>
      </c>
      <c r="B833" t="s">
        <v>19</v>
      </c>
      <c r="C833">
        <v>706</v>
      </c>
      <c r="D833">
        <v>4</v>
      </c>
      <c r="E833" t="s">
        <v>23</v>
      </c>
      <c r="F833" t="s">
        <v>26</v>
      </c>
      <c r="G833" t="str">
        <f>"2025-11-24 20:19:10.565"</f>
        <v>2025-11-24 20:19:10.565</v>
      </c>
      <c r="H833" t="s">
        <v>21</v>
      </c>
      <c r="I833">
        <v>0</v>
      </c>
      <c r="J833" t="s">
        <v>25</v>
      </c>
    </row>
    <row r="834" spans="1:10" x14ac:dyDescent="0.25">
      <c r="A834" s="1">
        <v>39</v>
      </c>
      <c r="B834" t="s">
        <v>19</v>
      </c>
      <c r="C834">
        <v>706</v>
      </c>
      <c r="D834">
        <v>2</v>
      </c>
      <c r="E834" t="s">
        <v>23</v>
      </c>
      <c r="F834" t="s">
        <v>24</v>
      </c>
      <c r="G834" t="str">
        <f>"2025-11-23 20:13:02.175"</f>
        <v>2025-11-23 20:13:02.175</v>
      </c>
      <c r="H834" t="s">
        <v>21</v>
      </c>
      <c r="I834">
        <v>0</v>
      </c>
      <c r="J834" t="s">
        <v>25</v>
      </c>
    </row>
    <row r="835" spans="1:10" x14ac:dyDescent="0.25">
      <c r="A835" s="1">
        <v>40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"2025-11-23 19:05:40.855"</f>
        <v>2025-11-23 19:05:40.855</v>
      </c>
      <c r="H835" t="s">
        <v>21</v>
      </c>
      <c r="I835">
        <v>0</v>
      </c>
      <c r="J835" t="s">
        <v>22</v>
      </c>
    </row>
    <row r="836" spans="1:10" x14ac:dyDescent="0.25">
      <c r="A836" s="1">
        <v>41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"2025-11-23 18:50:53.922"</f>
        <v>2025-11-23 18:50:53.922</v>
      </c>
      <c r="H836" t="s">
        <v>21</v>
      </c>
      <c r="I836">
        <v>0</v>
      </c>
      <c r="J836" t="s">
        <v>22</v>
      </c>
    </row>
    <row r="837" spans="1:10" x14ac:dyDescent="0.25">
      <c r="A837" s="1">
        <v>42</v>
      </c>
      <c r="B837" t="s">
        <v>19</v>
      </c>
      <c r="C837">
        <v>706</v>
      </c>
      <c r="D837">
        <v>2</v>
      </c>
      <c r="E837" t="s">
        <v>23</v>
      </c>
      <c r="F837" t="s">
        <v>24</v>
      </c>
      <c r="G837" t="str">
        <f>"2025-11-23 18:32:01.466"</f>
        <v>2025-11-23 18:32:01.466</v>
      </c>
      <c r="H837" t="s">
        <v>21</v>
      </c>
      <c r="I837">
        <v>0</v>
      </c>
      <c r="J837" t="s">
        <v>25</v>
      </c>
    </row>
    <row r="838" spans="1:10" x14ac:dyDescent="0.25">
      <c r="A838" s="1">
        <v>43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"2025-11-23 18:23:04.846"</f>
        <v>2025-11-23 18:23:04.846</v>
      </c>
      <c r="H838" t="s">
        <v>21</v>
      </c>
    </row>
    <row r="839" spans="1:10" x14ac:dyDescent="0.25">
      <c r="A839" s="1">
        <v>44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"2025-11-23 16:44:24.878"</f>
        <v>2025-11-23 16:44:24.878</v>
      </c>
      <c r="H839" t="s">
        <v>21</v>
      </c>
    </row>
    <row r="840" spans="1:10" s="3" customFormat="1" x14ac:dyDescent="0.25">
      <c r="A840" s="2">
        <v>45</v>
      </c>
      <c r="B840" s="3" t="s">
        <v>27</v>
      </c>
      <c r="C840" s="3">
        <v>647</v>
      </c>
      <c r="D840" s="3">
        <v>1</v>
      </c>
      <c r="E840" s="3" t="s">
        <v>28</v>
      </c>
      <c r="F840" s="3" t="s">
        <v>29</v>
      </c>
      <c r="G840" s="3" t="str">
        <f>"2025-11-23 15:08:17.304"</f>
        <v>2025-11-23 15:08:17.304</v>
      </c>
      <c r="H840" s="3" t="s">
        <v>21</v>
      </c>
    </row>
    <row r="841" spans="1:10" s="3" customFormat="1" x14ac:dyDescent="0.25">
      <c r="A841" s="2">
        <v>46</v>
      </c>
      <c r="B841" s="3" t="s">
        <v>30</v>
      </c>
      <c r="C841" s="3">
        <v>647</v>
      </c>
      <c r="D841" s="3">
        <v>1</v>
      </c>
      <c r="E841" s="3" t="s">
        <v>28</v>
      </c>
      <c r="F841" s="3" t="s">
        <v>29</v>
      </c>
      <c r="G841" s="3" t="str">
        <f>"2025-11-23 15:08:15.404"</f>
        <v>2025-11-23 15:08:15.404</v>
      </c>
      <c r="H841" s="3" t="s">
        <v>21</v>
      </c>
      <c r="I841" s="3">
        <v>11.81</v>
      </c>
      <c r="J841" s="3" t="s">
        <v>31</v>
      </c>
    </row>
    <row r="842" spans="1:10" x14ac:dyDescent="0.25">
      <c r="A842" s="1">
        <v>47</v>
      </c>
      <c r="B842" t="s">
        <v>19</v>
      </c>
      <c r="C842">
        <v>706</v>
      </c>
      <c r="D842">
        <v>2</v>
      </c>
      <c r="E842" t="s">
        <v>23</v>
      </c>
      <c r="F842" t="s">
        <v>24</v>
      </c>
      <c r="G842" t="str">
        <f>"2025-11-22 21:49:29.942"</f>
        <v>2025-11-22 21:49:29.942</v>
      </c>
      <c r="H842" t="s">
        <v>21</v>
      </c>
      <c r="I842">
        <v>0</v>
      </c>
      <c r="J842" t="s">
        <v>25</v>
      </c>
    </row>
    <row r="843" spans="1:10" x14ac:dyDescent="0.25">
      <c r="A843" s="1">
        <v>48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"2025-11-22 10:36:35.852"</f>
        <v>2025-11-22 10:36:35.852</v>
      </c>
      <c r="H843" t="s">
        <v>21</v>
      </c>
      <c r="I843">
        <v>0</v>
      </c>
      <c r="J843" t="s">
        <v>22</v>
      </c>
    </row>
    <row r="844" spans="1:10" x14ac:dyDescent="0.25">
      <c r="A844" s="1">
        <v>49</v>
      </c>
      <c r="B844" t="s">
        <v>19</v>
      </c>
      <c r="C844">
        <v>706</v>
      </c>
      <c r="D844">
        <v>4</v>
      </c>
      <c r="E844" t="s">
        <v>23</v>
      </c>
      <c r="F844" t="s">
        <v>26</v>
      </c>
      <c r="G844" t="str">
        <f>"2025-11-21 22:25:57.728"</f>
        <v>2025-11-21 22:25:57.728</v>
      </c>
      <c r="H844" t="s">
        <v>21</v>
      </c>
      <c r="I844">
        <v>0</v>
      </c>
      <c r="J844" t="s">
        <v>25</v>
      </c>
    </row>
    <row r="845" spans="1:10" x14ac:dyDescent="0.25">
      <c r="A845" s="1">
        <v>51</v>
      </c>
      <c r="B845" t="s">
        <v>19</v>
      </c>
      <c r="C845">
        <v>706</v>
      </c>
      <c r="D845">
        <v>4</v>
      </c>
      <c r="E845" t="s">
        <v>23</v>
      </c>
      <c r="F845" t="s">
        <v>26</v>
      </c>
      <c r="G845" t="str">
        <f>"2025-11-20 22:20:19.458"</f>
        <v>2025-11-20 22:20:19.458</v>
      </c>
      <c r="H845" t="s">
        <v>21</v>
      </c>
      <c r="I845">
        <v>0</v>
      </c>
      <c r="J845" t="s">
        <v>25</v>
      </c>
    </row>
    <row r="846" spans="1:10" x14ac:dyDescent="0.25">
      <c r="A846" s="1">
        <v>52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"2025-11-20 10:42:14.888"</f>
        <v>2025-11-20 10:42:14.888</v>
      </c>
      <c r="H846" t="s">
        <v>21</v>
      </c>
      <c r="I846">
        <v>0</v>
      </c>
      <c r="J846" t="s">
        <v>22</v>
      </c>
    </row>
    <row r="847" spans="1:10" s="3" customFormat="1" x14ac:dyDescent="0.25">
      <c r="A847" s="2">
        <v>53</v>
      </c>
      <c r="B847" s="3" t="s">
        <v>27</v>
      </c>
      <c r="C847" s="3">
        <v>647</v>
      </c>
      <c r="D847" s="3">
        <v>1</v>
      </c>
      <c r="E847" s="3" t="s">
        <v>28</v>
      </c>
      <c r="F847" s="3" t="s">
        <v>29</v>
      </c>
      <c r="G847" s="3" t="str">
        <f>"2025-11-20 08:42:16.202"</f>
        <v>2025-11-20 08:42:16.202</v>
      </c>
      <c r="H847" s="3" t="s">
        <v>21</v>
      </c>
    </row>
    <row r="848" spans="1:10" s="3" customFormat="1" x14ac:dyDescent="0.25">
      <c r="A848" s="2">
        <v>54</v>
      </c>
      <c r="B848" s="3" t="s">
        <v>30</v>
      </c>
      <c r="C848" s="3">
        <v>647</v>
      </c>
      <c r="D848" s="3">
        <v>1</v>
      </c>
      <c r="E848" s="3" t="s">
        <v>28</v>
      </c>
      <c r="F848" s="3" t="s">
        <v>29</v>
      </c>
      <c r="G848" s="3" t="str">
        <f>"2025-11-20 08:42:13.902"</f>
        <v>2025-11-20 08:42:13.902</v>
      </c>
      <c r="H848" s="3" t="s">
        <v>21</v>
      </c>
      <c r="I848" s="3">
        <v>12.33</v>
      </c>
      <c r="J848" s="3" t="s">
        <v>31</v>
      </c>
    </row>
    <row r="849" spans="1:10" s="3" customFormat="1" x14ac:dyDescent="0.25">
      <c r="A849" s="2">
        <v>55</v>
      </c>
      <c r="B849" s="3" t="s">
        <v>27</v>
      </c>
      <c r="C849" s="3">
        <v>647</v>
      </c>
      <c r="D849" s="3">
        <v>1</v>
      </c>
      <c r="E849" s="3" t="s">
        <v>28</v>
      </c>
      <c r="F849" s="3" t="s">
        <v>29</v>
      </c>
      <c r="G849" s="3" t="str">
        <f>"2025-11-20 06:25:01.802"</f>
        <v>2025-11-20 06:25:01.802</v>
      </c>
      <c r="H849" s="3" t="s">
        <v>21</v>
      </c>
    </row>
    <row r="850" spans="1:10" s="3" customFormat="1" x14ac:dyDescent="0.25">
      <c r="A850" s="2">
        <v>56</v>
      </c>
      <c r="B850" s="3" t="s">
        <v>30</v>
      </c>
      <c r="C850" s="3">
        <v>647</v>
      </c>
      <c r="D850" s="3">
        <v>1</v>
      </c>
      <c r="E850" s="3" t="s">
        <v>28</v>
      </c>
      <c r="F850" s="3" t="s">
        <v>29</v>
      </c>
      <c r="G850" s="3" t="str">
        <f>"2025-11-20 06:25:00.303"</f>
        <v>2025-11-20 06:25:00.303</v>
      </c>
      <c r="H850" s="3" t="s">
        <v>21</v>
      </c>
      <c r="I850" s="3">
        <v>8.18</v>
      </c>
      <c r="J850" s="3" t="s">
        <v>42</v>
      </c>
    </row>
    <row r="851" spans="1:10" x14ac:dyDescent="0.25">
      <c r="A851" s="1">
        <v>57</v>
      </c>
      <c r="B851" t="s">
        <v>19</v>
      </c>
      <c r="C851">
        <v>706</v>
      </c>
      <c r="D851">
        <v>2</v>
      </c>
      <c r="E851" t="s">
        <v>23</v>
      </c>
      <c r="F851" t="s">
        <v>24</v>
      </c>
      <c r="G851" t="str">
        <f>"2025-11-19 20:18:02.954"</f>
        <v>2025-11-19 20:18:02.954</v>
      </c>
      <c r="H851" t="s">
        <v>21</v>
      </c>
      <c r="I851">
        <v>0</v>
      </c>
      <c r="J851" t="s">
        <v>25</v>
      </c>
    </row>
    <row r="852" spans="1:10" x14ac:dyDescent="0.25">
      <c r="A852" s="1">
        <v>58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"2025-11-18 13:02:30.844"</f>
        <v>2025-11-18 13:02:30.844</v>
      </c>
      <c r="H852" t="s">
        <v>21</v>
      </c>
    </row>
    <row r="853" spans="1:10" s="3" customFormat="1" x14ac:dyDescent="0.25">
      <c r="A853" s="2">
        <v>59</v>
      </c>
      <c r="B853" s="3" t="s">
        <v>27</v>
      </c>
      <c r="C853" s="3">
        <v>647</v>
      </c>
      <c r="D853" s="3">
        <v>1</v>
      </c>
      <c r="E853" s="3" t="s">
        <v>28</v>
      </c>
      <c r="F853" s="3" t="s">
        <v>29</v>
      </c>
      <c r="G853" s="3" t="str">
        <f>"2025-11-16 20:57:26.914"</f>
        <v>2025-11-16 20:57:26.914</v>
      </c>
      <c r="H853" s="3" t="s">
        <v>21</v>
      </c>
    </row>
    <row r="854" spans="1:10" s="3" customFormat="1" x14ac:dyDescent="0.25">
      <c r="A854" s="2">
        <v>60</v>
      </c>
      <c r="B854" s="3" t="s">
        <v>30</v>
      </c>
      <c r="C854" s="3">
        <v>647</v>
      </c>
      <c r="D854" s="3">
        <v>1</v>
      </c>
      <c r="E854" s="3" t="s">
        <v>28</v>
      </c>
      <c r="F854" s="3" t="s">
        <v>29</v>
      </c>
      <c r="G854" s="3" t="str">
        <f>"2025-11-16 20:57:23.214"</f>
        <v>2025-11-16 20:57:23.214</v>
      </c>
      <c r="H854" s="3" t="s">
        <v>21</v>
      </c>
      <c r="I854" s="3">
        <v>14.13</v>
      </c>
      <c r="J854" s="3" t="s">
        <v>31</v>
      </c>
    </row>
    <row r="855" spans="1:10" x14ac:dyDescent="0.25">
      <c r="A855" s="1">
        <v>62</v>
      </c>
      <c r="B855" t="s">
        <v>27</v>
      </c>
      <c r="C855">
        <v>61</v>
      </c>
      <c r="D855">
        <v>2</v>
      </c>
      <c r="E855" t="s">
        <v>47</v>
      </c>
      <c r="F855" t="s">
        <v>48</v>
      </c>
      <c r="G855" t="str">
        <f>"2025-11-16 01:56:54.706"</f>
        <v>2025-11-16 01:56:54.706</v>
      </c>
      <c r="H855" t="s">
        <v>21</v>
      </c>
    </row>
    <row r="856" spans="1:10" x14ac:dyDescent="0.25">
      <c r="A856" s="1">
        <v>63</v>
      </c>
      <c r="B856" t="s">
        <v>39</v>
      </c>
      <c r="C856">
        <v>61</v>
      </c>
      <c r="D856">
        <v>2</v>
      </c>
      <c r="E856" t="s">
        <v>47</v>
      </c>
      <c r="F856" t="s">
        <v>48</v>
      </c>
      <c r="G856" t="str">
        <f>"2025-11-16 01:56:44.806"</f>
        <v>2025-11-16 01:56:44.806</v>
      </c>
      <c r="H856" t="s">
        <v>21</v>
      </c>
      <c r="I856">
        <v>36.979999999999997</v>
      </c>
      <c r="J856" t="s">
        <v>31</v>
      </c>
    </row>
    <row r="857" spans="1:10" x14ac:dyDescent="0.25">
      <c r="A857" s="1">
        <v>64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"2025-11-15 13:50:12.863"</f>
        <v>2025-11-15 13:50:12.863</v>
      </c>
      <c r="H857" t="s">
        <v>21</v>
      </c>
      <c r="I857">
        <v>0</v>
      </c>
      <c r="J857" t="s">
        <v>22</v>
      </c>
    </row>
    <row r="858" spans="1:10" s="3" customFormat="1" x14ac:dyDescent="0.25">
      <c r="A858" s="2">
        <v>65</v>
      </c>
      <c r="B858" s="3" t="s">
        <v>27</v>
      </c>
      <c r="C858" s="3">
        <v>647</v>
      </c>
      <c r="D858" s="3">
        <v>1</v>
      </c>
      <c r="E858" s="3" t="s">
        <v>28</v>
      </c>
      <c r="F858" s="3" t="s">
        <v>29</v>
      </c>
      <c r="G858" s="3" t="str">
        <f>"2025-11-15 04:50:24.217"</f>
        <v>2025-11-15 04:50:24.217</v>
      </c>
      <c r="H858" s="3" t="s">
        <v>21</v>
      </c>
    </row>
    <row r="859" spans="1:10" s="3" customFormat="1" x14ac:dyDescent="0.25">
      <c r="A859" s="2">
        <v>66</v>
      </c>
      <c r="B859" s="3" t="s">
        <v>30</v>
      </c>
      <c r="C859" s="3">
        <v>647</v>
      </c>
      <c r="D859" s="3">
        <v>1</v>
      </c>
      <c r="E859" s="3" t="s">
        <v>28</v>
      </c>
      <c r="F859" s="3" t="s">
        <v>29</v>
      </c>
      <c r="G859" s="3" t="str">
        <f>"2025-11-15 04:50:23.017"</f>
        <v>2025-11-15 04:50:23.017</v>
      </c>
      <c r="H859" s="3" t="s">
        <v>21</v>
      </c>
      <c r="I859" s="3">
        <v>19.809999999999999</v>
      </c>
      <c r="J859" s="3" t="s">
        <v>31</v>
      </c>
    </row>
    <row r="860" spans="1:10" x14ac:dyDescent="0.25">
      <c r="A860" s="1">
        <v>67</v>
      </c>
      <c r="B860" t="s">
        <v>19</v>
      </c>
      <c r="C860">
        <v>706</v>
      </c>
      <c r="D860">
        <v>4</v>
      </c>
      <c r="E860" t="s">
        <v>23</v>
      </c>
      <c r="F860" t="s">
        <v>26</v>
      </c>
      <c r="G860" t="str">
        <f>"2025-11-14 17:08:55.929"</f>
        <v>2025-11-14 17:08:55.929</v>
      </c>
      <c r="H860" t="s">
        <v>21</v>
      </c>
      <c r="I860">
        <v>0</v>
      </c>
      <c r="J860" t="s">
        <v>25</v>
      </c>
    </row>
    <row r="861" spans="1:10" x14ac:dyDescent="0.25">
      <c r="A861" s="1">
        <v>68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"2025-11-14 17:07:29.859"</f>
        <v>2025-11-14 17:07:29.859</v>
      </c>
      <c r="H861" t="s">
        <v>21</v>
      </c>
    </row>
    <row r="862" spans="1:10" x14ac:dyDescent="0.25">
      <c r="A862" s="1">
        <v>69</v>
      </c>
      <c r="B862" t="s">
        <v>27</v>
      </c>
      <c r="C862">
        <v>98</v>
      </c>
      <c r="D862">
        <v>1</v>
      </c>
      <c r="E862" t="s">
        <v>40</v>
      </c>
      <c r="F862" t="s">
        <v>41</v>
      </c>
      <c r="G862" t="str">
        <f>"2025-11-14 16:19:17.565"</f>
        <v>2025-11-14 16:19:17.565</v>
      </c>
      <c r="H862" t="s">
        <v>21</v>
      </c>
    </row>
    <row r="863" spans="1:10" x14ac:dyDescent="0.25">
      <c r="A863" s="1">
        <v>70</v>
      </c>
      <c r="B863" t="s">
        <v>30</v>
      </c>
      <c r="C863">
        <v>98</v>
      </c>
      <c r="D863">
        <v>1</v>
      </c>
      <c r="E863" t="s">
        <v>40</v>
      </c>
      <c r="F863" t="s">
        <v>41</v>
      </c>
      <c r="G863" t="str">
        <f>"2025-11-14 16:19:16.565"</f>
        <v>2025-11-14 16:19:16.565</v>
      </c>
      <c r="H863" t="s">
        <v>21</v>
      </c>
      <c r="I863">
        <v>15.02</v>
      </c>
      <c r="J863" t="s">
        <v>31</v>
      </c>
    </row>
    <row r="864" spans="1:10" s="3" customFormat="1" x14ac:dyDescent="0.25">
      <c r="A864" s="2">
        <v>71</v>
      </c>
      <c r="B864" s="3" t="s">
        <v>27</v>
      </c>
      <c r="C864" s="3">
        <v>647</v>
      </c>
      <c r="D864" s="3">
        <v>1</v>
      </c>
      <c r="E864" s="3" t="s">
        <v>28</v>
      </c>
      <c r="F864" s="3" t="s">
        <v>29</v>
      </c>
      <c r="G864" s="3" t="str">
        <f>"2025-11-14 05:11:11.072"</f>
        <v>2025-11-14 05:11:11.072</v>
      </c>
      <c r="H864" s="3" t="s">
        <v>21</v>
      </c>
    </row>
    <row r="865" spans="1:10" s="3" customFormat="1" x14ac:dyDescent="0.25">
      <c r="A865" s="2">
        <v>72</v>
      </c>
      <c r="B865" s="3" t="s">
        <v>30</v>
      </c>
      <c r="C865" s="3">
        <v>647</v>
      </c>
      <c r="D865" s="3">
        <v>1</v>
      </c>
      <c r="E865" s="3" t="s">
        <v>28</v>
      </c>
      <c r="F865" s="3" t="s">
        <v>29</v>
      </c>
      <c r="G865" s="3" t="str">
        <f>"2025-11-14 05:11:00.472"</f>
        <v>2025-11-14 05:11:00.472</v>
      </c>
      <c r="H865" s="3" t="s">
        <v>21</v>
      </c>
      <c r="I865" s="3">
        <v>16.850000000000001</v>
      </c>
      <c r="J865" s="3" t="s">
        <v>42</v>
      </c>
    </row>
    <row r="866" spans="1:10" x14ac:dyDescent="0.25">
      <c r="A866" s="1">
        <v>73</v>
      </c>
      <c r="B866" t="s">
        <v>19</v>
      </c>
      <c r="C866">
        <v>706</v>
      </c>
      <c r="D866">
        <v>4</v>
      </c>
      <c r="E866" t="s">
        <v>23</v>
      </c>
      <c r="F866" t="s">
        <v>26</v>
      </c>
      <c r="G866" t="str">
        <f>"2025-11-14 03:40:42.794"</f>
        <v>2025-11-14 03:40:42.794</v>
      </c>
      <c r="H866" t="s">
        <v>21</v>
      </c>
      <c r="I866">
        <v>0</v>
      </c>
      <c r="J866" t="s">
        <v>25</v>
      </c>
    </row>
    <row r="867" spans="1:10" s="3" customFormat="1" x14ac:dyDescent="0.25">
      <c r="A867" s="2">
        <v>74</v>
      </c>
      <c r="B867" s="3" t="s">
        <v>27</v>
      </c>
      <c r="C867" s="3">
        <v>647</v>
      </c>
      <c r="D867" s="3">
        <v>1</v>
      </c>
      <c r="E867" s="3" t="s">
        <v>28</v>
      </c>
      <c r="F867" s="3" t="s">
        <v>29</v>
      </c>
      <c r="G867" s="3" t="str">
        <f>"2025-11-13 18:49:12.972"</f>
        <v>2025-11-13 18:49:12.972</v>
      </c>
      <c r="H867" s="3" t="s">
        <v>21</v>
      </c>
    </row>
    <row r="868" spans="1:10" s="3" customFormat="1" x14ac:dyDescent="0.25">
      <c r="A868" s="2">
        <v>75</v>
      </c>
      <c r="B868" s="3" t="s">
        <v>30</v>
      </c>
      <c r="C868" s="3">
        <v>647</v>
      </c>
      <c r="D868" s="3">
        <v>1</v>
      </c>
      <c r="E868" s="3" t="s">
        <v>28</v>
      </c>
      <c r="F868" s="3" t="s">
        <v>29</v>
      </c>
      <c r="G868" s="3" t="str">
        <f>"2025-11-13 18:49:10.872"</f>
        <v>2025-11-13 18:49:10.872</v>
      </c>
      <c r="H868" s="3" t="s">
        <v>21</v>
      </c>
      <c r="I868" s="3">
        <v>11.57</v>
      </c>
      <c r="J868" s="3" t="s">
        <v>31</v>
      </c>
    </row>
    <row r="869" spans="1:10" s="3" customFormat="1" x14ac:dyDescent="0.25">
      <c r="A869" s="2">
        <v>76</v>
      </c>
      <c r="B869" s="3" t="s">
        <v>27</v>
      </c>
      <c r="C869" s="3">
        <v>647</v>
      </c>
      <c r="D869" s="3">
        <v>1</v>
      </c>
      <c r="E869" s="3" t="s">
        <v>28</v>
      </c>
      <c r="F869" s="3" t="s">
        <v>29</v>
      </c>
      <c r="G869" s="3" t="str">
        <f>"2025-11-13 15:17:30.272"</f>
        <v>2025-11-13 15:17:30.272</v>
      </c>
      <c r="H869" s="3" t="s">
        <v>21</v>
      </c>
    </row>
    <row r="870" spans="1:10" s="3" customFormat="1" x14ac:dyDescent="0.25">
      <c r="A870" s="2">
        <v>77</v>
      </c>
      <c r="B870" s="3" t="s">
        <v>30</v>
      </c>
      <c r="C870" s="3">
        <v>647</v>
      </c>
      <c r="D870" s="3">
        <v>1</v>
      </c>
      <c r="E870" s="3" t="s">
        <v>28</v>
      </c>
      <c r="F870" s="3" t="s">
        <v>29</v>
      </c>
      <c r="G870" s="3" t="str">
        <f>"2025-11-13 15:17:26.172"</f>
        <v>2025-11-13 15:17:26.172</v>
      </c>
      <c r="H870" s="3" t="s">
        <v>21</v>
      </c>
      <c r="I870" s="3">
        <v>12.35</v>
      </c>
      <c r="J870" s="3" t="s">
        <v>31</v>
      </c>
    </row>
    <row r="871" spans="1:10" s="3" customFormat="1" x14ac:dyDescent="0.25">
      <c r="A871" s="2">
        <v>78</v>
      </c>
      <c r="B871" s="3" t="s">
        <v>27</v>
      </c>
      <c r="C871" s="3">
        <v>647</v>
      </c>
      <c r="D871" s="3">
        <v>1</v>
      </c>
      <c r="E871" s="3" t="s">
        <v>28</v>
      </c>
      <c r="F871" s="3" t="s">
        <v>29</v>
      </c>
      <c r="G871" s="3" t="str">
        <f>"2025-11-13 13:32:17.072"</f>
        <v>2025-11-13 13:32:17.072</v>
      </c>
      <c r="H871" s="3" t="s">
        <v>21</v>
      </c>
    </row>
    <row r="872" spans="1:10" s="3" customFormat="1" x14ac:dyDescent="0.25">
      <c r="A872" s="2">
        <v>79</v>
      </c>
      <c r="B872" s="3" t="s">
        <v>30</v>
      </c>
      <c r="C872" s="3">
        <v>647</v>
      </c>
      <c r="D872" s="3">
        <v>1</v>
      </c>
      <c r="E872" s="3" t="s">
        <v>28</v>
      </c>
      <c r="F872" s="3" t="s">
        <v>29</v>
      </c>
      <c r="G872" s="3" t="str">
        <f>"2025-11-13 13:32:14.373"</f>
        <v>2025-11-13 13:32:14.373</v>
      </c>
      <c r="H872" s="3" t="s">
        <v>21</v>
      </c>
      <c r="I872" s="3">
        <v>9.06</v>
      </c>
      <c r="J872" s="3" t="s">
        <v>31</v>
      </c>
    </row>
    <row r="873" spans="1:10" x14ac:dyDescent="0.25">
      <c r="A873" s="1">
        <v>80</v>
      </c>
      <c r="B873" t="s">
        <v>19</v>
      </c>
      <c r="C873">
        <v>706</v>
      </c>
      <c r="D873">
        <v>2</v>
      </c>
      <c r="E873" t="s">
        <v>23</v>
      </c>
      <c r="F873" t="s">
        <v>24</v>
      </c>
      <c r="G873" t="str">
        <f>"2025-11-13 12:18:37.714"</f>
        <v>2025-11-13 12:18:37.714</v>
      </c>
      <c r="H873" t="s">
        <v>21</v>
      </c>
      <c r="I873">
        <v>0</v>
      </c>
      <c r="J873" t="s">
        <v>25</v>
      </c>
    </row>
    <row r="874" spans="1:10" x14ac:dyDescent="0.25">
      <c r="A874" s="1">
        <v>81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"2025-11-13 12:16:38.954"</f>
        <v>2025-11-13 12:16:38.954</v>
      </c>
      <c r="H874" t="s">
        <v>21</v>
      </c>
      <c r="I874">
        <v>0</v>
      </c>
      <c r="J874" t="s">
        <v>22</v>
      </c>
    </row>
    <row r="875" spans="1:10" x14ac:dyDescent="0.25">
      <c r="A875" s="1">
        <v>82</v>
      </c>
      <c r="B875" t="s">
        <v>19</v>
      </c>
      <c r="C875">
        <v>706</v>
      </c>
      <c r="D875">
        <v>4</v>
      </c>
      <c r="E875" t="s">
        <v>23</v>
      </c>
      <c r="F875" t="s">
        <v>26</v>
      </c>
      <c r="G875" t="str">
        <f>"2025-11-13 11:41:23.414"</f>
        <v>2025-11-13 11:41:23.414</v>
      </c>
      <c r="H875" t="s">
        <v>21</v>
      </c>
      <c r="I875">
        <v>0</v>
      </c>
      <c r="J875" t="s">
        <v>25</v>
      </c>
    </row>
    <row r="876" spans="1:10" x14ac:dyDescent="0.25">
      <c r="A876" s="1">
        <v>83</v>
      </c>
      <c r="B876" t="s">
        <v>19</v>
      </c>
      <c r="C876">
        <v>706</v>
      </c>
      <c r="D876">
        <v>3</v>
      </c>
      <c r="E876" t="s">
        <v>23</v>
      </c>
      <c r="F876" t="s">
        <v>43</v>
      </c>
      <c r="G876" t="str">
        <f>"2025-11-13 11:28:38.934"</f>
        <v>2025-11-13 11:28:38.934</v>
      </c>
      <c r="H876" t="s">
        <v>21</v>
      </c>
      <c r="I876">
        <v>0</v>
      </c>
      <c r="J876" t="s">
        <v>25</v>
      </c>
    </row>
    <row r="877" spans="1:10" x14ac:dyDescent="0.25">
      <c r="A877" s="1">
        <v>84</v>
      </c>
      <c r="B877" t="s">
        <v>19</v>
      </c>
      <c r="C877">
        <v>706</v>
      </c>
      <c r="D877">
        <v>2</v>
      </c>
      <c r="E877" t="s">
        <v>23</v>
      </c>
      <c r="F877" t="s">
        <v>24</v>
      </c>
      <c r="G877" t="str">
        <f>"2025-11-13 11:26:32.924"</f>
        <v>2025-11-13 11:26:32.924</v>
      </c>
      <c r="H877" t="s">
        <v>21</v>
      </c>
      <c r="I877">
        <v>0</v>
      </c>
      <c r="J877" t="s">
        <v>25</v>
      </c>
    </row>
    <row r="878" spans="1:10" x14ac:dyDescent="0.25">
      <c r="A878" s="1">
        <v>85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"2025-11-13 11:21:40.844"</f>
        <v>2025-11-13 11:21:40.844</v>
      </c>
      <c r="H878" t="s">
        <v>21</v>
      </c>
      <c r="I878">
        <v>0</v>
      </c>
      <c r="J878" t="s">
        <v>22</v>
      </c>
    </row>
    <row r="879" spans="1:10" x14ac:dyDescent="0.25">
      <c r="A879" s="1">
        <v>86</v>
      </c>
      <c r="B879" t="s">
        <v>19</v>
      </c>
      <c r="C879">
        <v>706</v>
      </c>
      <c r="D879">
        <v>4</v>
      </c>
      <c r="E879" t="s">
        <v>23</v>
      </c>
      <c r="F879" t="s">
        <v>26</v>
      </c>
      <c r="G879" t="str">
        <f>"2025-11-13 11:07:24.998"</f>
        <v>2025-11-13 11:07:24.998</v>
      </c>
      <c r="H879" t="s">
        <v>21</v>
      </c>
      <c r="I879">
        <v>0</v>
      </c>
      <c r="J879" t="s">
        <v>25</v>
      </c>
    </row>
    <row r="880" spans="1:10" x14ac:dyDescent="0.25">
      <c r="A880" s="1">
        <v>87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"2025-11-13 10:08:50.898"</f>
        <v>2025-11-13 10:08:50.898</v>
      </c>
      <c r="H880" t="s">
        <v>21</v>
      </c>
      <c r="I880">
        <v>0</v>
      </c>
      <c r="J880" t="s">
        <v>22</v>
      </c>
    </row>
    <row r="881" spans="1:10" x14ac:dyDescent="0.25">
      <c r="A881" s="1">
        <v>88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"2025-11-12 13:40:06.912"</f>
        <v>2025-11-12 13:40:06.912</v>
      </c>
      <c r="H881" t="s">
        <v>21</v>
      </c>
      <c r="I881">
        <v>0</v>
      </c>
      <c r="J881" t="s">
        <v>22</v>
      </c>
    </row>
    <row r="882" spans="1:10" x14ac:dyDescent="0.25">
      <c r="A882" s="1">
        <v>89</v>
      </c>
      <c r="B882" t="s">
        <v>27</v>
      </c>
      <c r="C882">
        <v>635</v>
      </c>
      <c r="D882">
        <v>1</v>
      </c>
      <c r="E882" t="s">
        <v>32</v>
      </c>
      <c r="F882" t="s">
        <v>33</v>
      </c>
      <c r="G882" t="str">
        <f>"2025-11-12 12:11:08.767"</f>
        <v>2025-11-12 12:11:08.767</v>
      </c>
      <c r="H882" t="s">
        <v>21</v>
      </c>
    </row>
    <row r="883" spans="1:10" x14ac:dyDescent="0.25">
      <c r="A883" s="1">
        <v>90</v>
      </c>
      <c r="B883" t="s">
        <v>30</v>
      </c>
      <c r="C883">
        <v>635</v>
      </c>
      <c r="D883">
        <v>1</v>
      </c>
      <c r="E883" t="s">
        <v>32</v>
      </c>
      <c r="F883" t="s">
        <v>33</v>
      </c>
      <c r="G883" t="str">
        <f>"2025-11-12 12:08:56.767"</f>
        <v>2025-11-12 12:08:56.767</v>
      </c>
      <c r="H883" t="s">
        <v>21</v>
      </c>
      <c r="I883">
        <v>10.7</v>
      </c>
      <c r="J883" t="s">
        <v>31</v>
      </c>
    </row>
    <row r="884" spans="1:10" s="3" customFormat="1" x14ac:dyDescent="0.25">
      <c r="A884" s="2">
        <v>91</v>
      </c>
      <c r="B884" s="3" t="s">
        <v>27</v>
      </c>
      <c r="C884" s="3">
        <v>647</v>
      </c>
      <c r="D884" s="3">
        <v>1</v>
      </c>
      <c r="E884" s="3" t="s">
        <v>28</v>
      </c>
      <c r="F884" s="3" t="s">
        <v>29</v>
      </c>
      <c r="G884" s="3" t="str">
        <f>"2025-11-11 15:05:15.821"</f>
        <v>2025-11-11 15:05:15.821</v>
      </c>
      <c r="H884" s="3" t="s">
        <v>21</v>
      </c>
    </row>
    <row r="885" spans="1:10" s="3" customFormat="1" x14ac:dyDescent="0.25">
      <c r="A885" s="2">
        <v>92</v>
      </c>
      <c r="B885" s="3" t="s">
        <v>30</v>
      </c>
      <c r="C885" s="3">
        <v>647</v>
      </c>
      <c r="D885" s="3">
        <v>1</v>
      </c>
      <c r="E885" s="3" t="s">
        <v>28</v>
      </c>
      <c r="F885" s="3" t="s">
        <v>29</v>
      </c>
      <c r="G885" s="3" t="str">
        <f>"2025-11-11 15:05:13.721"</f>
        <v>2025-11-11 15:05:13.721</v>
      </c>
      <c r="H885" s="3" t="s">
        <v>21</v>
      </c>
      <c r="I885" s="3">
        <v>10.19</v>
      </c>
      <c r="J885" s="3" t="s">
        <v>31</v>
      </c>
    </row>
    <row r="886" spans="1:10" x14ac:dyDescent="0.25">
      <c r="A886" s="1">
        <v>93</v>
      </c>
      <c r="B886" t="s">
        <v>27</v>
      </c>
      <c r="C886">
        <v>635</v>
      </c>
      <c r="D886">
        <v>1</v>
      </c>
      <c r="E886" t="s">
        <v>32</v>
      </c>
      <c r="F886" t="s">
        <v>33</v>
      </c>
      <c r="G886" t="str">
        <f>"2025-11-11 12:58:06.467"</f>
        <v>2025-11-11 12:58:06.467</v>
      </c>
      <c r="H886" t="s">
        <v>21</v>
      </c>
    </row>
    <row r="887" spans="1:10" x14ac:dyDescent="0.25">
      <c r="A887" s="1">
        <v>94</v>
      </c>
      <c r="B887" t="s">
        <v>30</v>
      </c>
      <c r="C887">
        <v>635</v>
      </c>
      <c r="D887">
        <v>1</v>
      </c>
      <c r="E887" t="s">
        <v>32</v>
      </c>
      <c r="F887" t="s">
        <v>33</v>
      </c>
      <c r="G887" t="str">
        <f>"2025-11-11 12:55:02.468"</f>
        <v>2025-11-11 12:55:02.468</v>
      </c>
      <c r="H887" t="s">
        <v>21</v>
      </c>
      <c r="I887">
        <v>8.8699999999999992</v>
      </c>
      <c r="J887" t="s">
        <v>31</v>
      </c>
    </row>
    <row r="888" spans="1:10" x14ac:dyDescent="0.25">
      <c r="A888" s="1">
        <v>95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"2025-11-10 15:05:50.849"</f>
        <v>2025-11-10 15:05:50.849</v>
      </c>
      <c r="H888" t="s">
        <v>21</v>
      </c>
    </row>
    <row r="889" spans="1:10" x14ac:dyDescent="0.25">
      <c r="A889" s="1">
        <v>96</v>
      </c>
      <c r="B889" t="s">
        <v>27</v>
      </c>
      <c r="C889">
        <v>635</v>
      </c>
      <c r="D889">
        <v>1</v>
      </c>
      <c r="E889" t="s">
        <v>32</v>
      </c>
      <c r="F889" t="s">
        <v>33</v>
      </c>
      <c r="G889" t="str">
        <f>"2025-11-10 08:16:25.308"</f>
        <v>2025-11-10 08:16:25.308</v>
      </c>
      <c r="H889" t="s">
        <v>21</v>
      </c>
    </row>
    <row r="890" spans="1:10" x14ac:dyDescent="0.25">
      <c r="A890" s="1">
        <v>97</v>
      </c>
      <c r="B890" t="s">
        <v>30</v>
      </c>
      <c r="C890">
        <v>635</v>
      </c>
      <c r="D890">
        <v>1</v>
      </c>
      <c r="E890" t="s">
        <v>32</v>
      </c>
      <c r="F890" t="s">
        <v>33</v>
      </c>
      <c r="G890" t="str">
        <f>"2025-11-10 08:13:21.308"</f>
        <v>2025-11-10 08:13:21.308</v>
      </c>
      <c r="H890" t="s">
        <v>21</v>
      </c>
      <c r="I890">
        <v>8.44</v>
      </c>
      <c r="J890" t="s">
        <v>31</v>
      </c>
    </row>
    <row r="891" spans="1:10" s="3" customFormat="1" x14ac:dyDescent="0.25">
      <c r="A891" s="2">
        <v>98</v>
      </c>
      <c r="B891" s="3" t="s">
        <v>27</v>
      </c>
      <c r="C891" s="3">
        <v>647</v>
      </c>
      <c r="D891" s="3">
        <v>1</v>
      </c>
      <c r="E891" s="3" t="s">
        <v>28</v>
      </c>
      <c r="F891" s="3" t="s">
        <v>29</v>
      </c>
      <c r="G891" s="3" t="str">
        <f>"2025-11-08 23:26:29.108"</f>
        <v>2025-11-08 23:26:29.108</v>
      </c>
      <c r="H891" s="3" t="s">
        <v>21</v>
      </c>
    </row>
    <row r="892" spans="1:10" s="3" customFormat="1" x14ac:dyDescent="0.25">
      <c r="A892" s="2">
        <v>99</v>
      </c>
      <c r="B892" s="3" t="s">
        <v>30</v>
      </c>
      <c r="C892" s="3">
        <v>647</v>
      </c>
      <c r="D892" s="3">
        <v>1</v>
      </c>
      <c r="E892" s="3" t="s">
        <v>28</v>
      </c>
      <c r="F892" s="3" t="s">
        <v>29</v>
      </c>
      <c r="G892" s="3" t="str">
        <f>"2025-11-08 23:26:27.809"</f>
        <v>2025-11-08 23:26:27.809</v>
      </c>
      <c r="H892" s="3" t="s">
        <v>21</v>
      </c>
      <c r="I892" s="3">
        <v>24.81</v>
      </c>
      <c r="J892" s="3" t="s">
        <v>31</v>
      </c>
    </row>
    <row r="893" spans="1:10" x14ac:dyDescent="0.25">
      <c r="A893" s="1">
        <v>0</v>
      </c>
      <c r="B893" t="s">
        <v>27</v>
      </c>
      <c r="C893">
        <v>61</v>
      </c>
      <c r="D893">
        <v>2</v>
      </c>
      <c r="E893" t="s">
        <v>47</v>
      </c>
      <c r="F893" t="s">
        <v>48</v>
      </c>
      <c r="G893" t="str">
        <f>"2025-11-08 02:06:06.501"</f>
        <v>2025-11-08 02:06:06.501</v>
      </c>
      <c r="H893" t="s">
        <v>21</v>
      </c>
    </row>
    <row r="894" spans="1:10" x14ac:dyDescent="0.25">
      <c r="A894" s="1">
        <v>1</v>
      </c>
      <c r="B894" t="s">
        <v>39</v>
      </c>
      <c r="C894">
        <v>61</v>
      </c>
      <c r="D894">
        <v>2</v>
      </c>
      <c r="E894" t="s">
        <v>47</v>
      </c>
      <c r="F894" t="s">
        <v>48</v>
      </c>
      <c r="G894" t="str">
        <f>"2025-11-08 02:05:56.401"</f>
        <v>2025-11-08 02:05:56.401</v>
      </c>
      <c r="H894" t="s">
        <v>21</v>
      </c>
      <c r="I894">
        <v>36.89</v>
      </c>
      <c r="J894" t="s">
        <v>31</v>
      </c>
    </row>
    <row r="895" spans="1:10" x14ac:dyDescent="0.25">
      <c r="A895" s="1">
        <v>2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"2025-11-07 20:04:26.840"</f>
        <v>2025-11-07 20:04:26.840</v>
      </c>
      <c r="H895" t="s">
        <v>21</v>
      </c>
    </row>
    <row r="896" spans="1:10" x14ac:dyDescent="0.25">
      <c r="A896" s="1">
        <v>3</v>
      </c>
      <c r="B896" t="s">
        <v>27</v>
      </c>
      <c r="C896">
        <v>635</v>
      </c>
      <c r="D896">
        <v>1</v>
      </c>
      <c r="E896" t="s">
        <v>32</v>
      </c>
      <c r="F896" t="s">
        <v>33</v>
      </c>
      <c r="G896" t="str">
        <f>"2025-11-06 17:47:38.058"</f>
        <v>2025-11-06 17:47:38.058</v>
      </c>
      <c r="H896" t="s">
        <v>21</v>
      </c>
    </row>
    <row r="897" spans="1:10" x14ac:dyDescent="0.25">
      <c r="A897" s="1">
        <v>4</v>
      </c>
      <c r="B897" t="s">
        <v>30</v>
      </c>
      <c r="C897">
        <v>635</v>
      </c>
      <c r="D897">
        <v>1</v>
      </c>
      <c r="E897" t="s">
        <v>32</v>
      </c>
      <c r="F897" t="s">
        <v>33</v>
      </c>
      <c r="G897" t="str">
        <f>"2025-11-06 17:44:08.059"</f>
        <v>2025-11-06 17:44:08.059</v>
      </c>
      <c r="H897" t="s">
        <v>21</v>
      </c>
      <c r="I897">
        <v>9.7100000000000009</v>
      </c>
      <c r="J897" t="s">
        <v>31</v>
      </c>
    </row>
    <row r="898" spans="1:10" x14ac:dyDescent="0.25">
      <c r="A898" s="1">
        <v>5</v>
      </c>
      <c r="B898" t="s">
        <v>49</v>
      </c>
      <c r="C898">
        <v>48</v>
      </c>
      <c r="D898">
        <v>1</v>
      </c>
      <c r="E898" t="s">
        <v>76</v>
      </c>
      <c r="F898" t="s">
        <v>77</v>
      </c>
      <c r="G898" t="str">
        <f>"2025-11-06 14:54:42.487"</f>
        <v>2025-11-06 14:54:42.487</v>
      </c>
      <c r="H898" t="s">
        <v>63</v>
      </c>
    </row>
    <row r="899" spans="1:10" x14ac:dyDescent="0.25">
      <c r="A899" s="1">
        <v>6</v>
      </c>
      <c r="B899" t="s">
        <v>39</v>
      </c>
      <c r="C899">
        <v>48</v>
      </c>
      <c r="D899">
        <v>1</v>
      </c>
      <c r="E899" t="s">
        <v>76</v>
      </c>
      <c r="F899" t="s">
        <v>77</v>
      </c>
      <c r="G899" t="str">
        <f>"2025-11-06 14:54:37.397"</f>
        <v>2025-11-06 14:54:37.397</v>
      </c>
      <c r="H899" t="s">
        <v>63</v>
      </c>
      <c r="I899">
        <v>0</v>
      </c>
      <c r="J899" t="s">
        <v>25</v>
      </c>
    </row>
    <row r="900" spans="1:10" x14ac:dyDescent="0.25">
      <c r="A900" s="1">
        <v>7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"2025-11-06 14:54:25.838"</f>
        <v>2025-11-06 14:54:25.838</v>
      </c>
      <c r="H900" t="s">
        <v>21</v>
      </c>
    </row>
    <row r="901" spans="1:10" x14ac:dyDescent="0.25">
      <c r="A901" s="1">
        <v>8</v>
      </c>
      <c r="B901" t="s">
        <v>27</v>
      </c>
      <c r="C901">
        <v>61</v>
      </c>
      <c r="D901">
        <v>2</v>
      </c>
      <c r="E901" t="s">
        <v>47</v>
      </c>
      <c r="F901" t="s">
        <v>48</v>
      </c>
      <c r="G901" t="str">
        <f>"2025-11-06 04:17:51.829"</f>
        <v>2025-11-06 04:17:51.829</v>
      </c>
      <c r="H901" t="s">
        <v>21</v>
      </c>
    </row>
    <row r="902" spans="1:10" x14ac:dyDescent="0.25">
      <c r="A902" s="1">
        <v>9</v>
      </c>
      <c r="B902" t="s">
        <v>39</v>
      </c>
      <c r="C902">
        <v>61</v>
      </c>
      <c r="D902">
        <v>2</v>
      </c>
      <c r="E902" t="s">
        <v>47</v>
      </c>
      <c r="F902" t="s">
        <v>48</v>
      </c>
      <c r="G902" t="str">
        <f>"2025-11-06 04:17:44.830"</f>
        <v>2025-11-06 04:17:44.830</v>
      </c>
      <c r="H902" t="s">
        <v>21</v>
      </c>
      <c r="I902">
        <v>35.61</v>
      </c>
      <c r="J902" t="s">
        <v>31</v>
      </c>
    </row>
    <row r="903" spans="1:10" s="3" customFormat="1" x14ac:dyDescent="0.25">
      <c r="A903" s="2">
        <v>10</v>
      </c>
      <c r="B903" s="3" t="s">
        <v>27</v>
      </c>
      <c r="C903" s="3">
        <v>647</v>
      </c>
      <c r="D903" s="3">
        <v>1</v>
      </c>
      <c r="E903" s="3" t="s">
        <v>28</v>
      </c>
      <c r="F903" s="3" t="s">
        <v>29</v>
      </c>
      <c r="G903" s="3" t="str">
        <f>"2025-11-05 17:44:46.517"</f>
        <v>2025-11-05 17:44:46.517</v>
      </c>
      <c r="H903" s="3" t="s">
        <v>21</v>
      </c>
    </row>
    <row r="904" spans="1:10" s="3" customFormat="1" x14ac:dyDescent="0.25">
      <c r="A904" s="2">
        <v>11</v>
      </c>
      <c r="B904" s="3" t="s">
        <v>30</v>
      </c>
      <c r="C904" s="3">
        <v>647</v>
      </c>
      <c r="D904" s="3">
        <v>1</v>
      </c>
      <c r="E904" s="3" t="s">
        <v>28</v>
      </c>
      <c r="F904" s="3" t="s">
        <v>29</v>
      </c>
      <c r="G904" s="3" t="str">
        <f>"2025-11-05 17:44:44.617"</f>
        <v>2025-11-05 17:44:44.617</v>
      </c>
      <c r="H904" s="3" t="s">
        <v>21</v>
      </c>
      <c r="I904" s="3">
        <v>12.51</v>
      </c>
      <c r="J904" s="3" t="s">
        <v>31</v>
      </c>
    </row>
    <row r="905" spans="1:10" s="3" customFormat="1" x14ac:dyDescent="0.25">
      <c r="A905" s="2">
        <v>12</v>
      </c>
      <c r="B905" s="3" t="s">
        <v>27</v>
      </c>
      <c r="C905" s="3">
        <v>647</v>
      </c>
      <c r="D905" s="3">
        <v>1</v>
      </c>
      <c r="E905" s="3" t="s">
        <v>28</v>
      </c>
      <c r="F905" s="3" t="s">
        <v>29</v>
      </c>
      <c r="G905" s="3" t="str">
        <f>"2025-11-04 20:59:02.217"</f>
        <v>2025-11-04 20:59:02.217</v>
      </c>
      <c r="H905" s="3" t="s">
        <v>21</v>
      </c>
    </row>
    <row r="906" spans="1:10" s="3" customFormat="1" x14ac:dyDescent="0.25">
      <c r="A906" s="2">
        <v>13</v>
      </c>
      <c r="B906" s="3" t="s">
        <v>30</v>
      </c>
      <c r="C906" s="3">
        <v>647</v>
      </c>
      <c r="D906" s="3">
        <v>1</v>
      </c>
      <c r="E906" s="3" t="s">
        <v>28</v>
      </c>
      <c r="F906" s="3" t="s">
        <v>29</v>
      </c>
      <c r="G906" s="3" t="str">
        <f>"2025-11-04 20:59:00.117"</f>
        <v>2025-11-04 20:59:00.117</v>
      </c>
      <c r="H906" s="3" t="s">
        <v>21</v>
      </c>
      <c r="I906" s="3">
        <v>15.63</v>
      </c>
      <c r="J906" s="3" t="s">
        <v>31</v>
      </c>
    </row>
    <row r="907" spans="1:10" x14ac:dyDescent="0.25">
      <c r="A907" s="1">
        <v>14</v>
      </c>
      <c r="B907" t="s">
        <v>27</v>
      </c>
      <c r="C907">
        <v>635</v>
      </c>
      <c r="D907">
        <v>1</v>
      </c>
      <c r="E907" t="s">
        <v>32</v>
      </c>
      <c r="F907" t="s">
        <v>33</v>
      </c>
      <c r="G907" t="str">
        <f>"2025-11-04 08:47:28.269"</f>
        <v>2025-11-04 08:47:28.269</v>
      </c>
      <c r="H907" t="s">
        <v>21</v>
      </c>
    </row>
    <row r="908" spans="1:10" x14ac:dyDescent="0.25">
      <c r="A908" s="1">
        <v>15</v>
      </c>
      <c r="B908" t="s">
        <v>30</v>
      </c>
      <c r="C908">
        <v>635</v>
      </c>
      <c r="D908">
        <v>1</v>
      </c>
      <c r="E908" t="s">
        <v>32</v>
      </c>
      <c r="F908" t="s">
        <v>33</v>
      </c>
      <c r="G908" t="str">
        <f>"2025-11-04 08:43:33.269"</f>
        <v>2025-11-04 08:43:33.269</v>
      </c>
      <c r="H908" t="s">
        <v>21</v>
      </c>
      <c r="I908">
        <v>3.66</v>
      </c>
      <c r="J908" t="s">
        <v>34</v>
      </c>
    </row>
    <row r="909" spans="1:10" x14ac:dyDescent="0.25">
      <c r="A909" s="1">
        <v>16</v>
      </c>
      <c r="B909" t="s">
        <v>27</v>
      </c>
      <c r="C909">
        <v>635</v>
      </c>
      <c r="D909">
        <v>1</v>
      </c>
      <c r="E909" t="s">
        <v>32</v>
      </c>
      <c r="F909" t="s">
        <v>33</v>
      </c>
      <c r="G909" t="str">
        <f>"2025-11-03 14:27:12.669"</f>
        <v>2025-11-03 14:27:12.669</v>
      </c>
      <c r="H909" t="s">
        <v>21</v>
      </c>
    </row>
    <row r="910" spans="1:10" x14ac:dyDescent="0.25">
      <c r="A910" s="1">
        <v>17</v>
      </c>
      <c r="B910" t="s">
        <v>30</v>
      </c>
      <c r="C910">
        <v>635</v>
      </c>
      <c r="D910">
        <v>1</v>
      </c>
      <c r="E910" t="s">
        <v>32</v>
      </c>
      <c r="F910" t="s">
        <v>33</v>
      </c>
      <c r="G910" t="str">
        <f>"2025-11-03 14:24:15.669"</f>
        <v>2025-11-03 14:24:15.669</v>
      </c>
      <c r="H910" t="s">
        <v>21</v>
      </c>
      <c r="I910">
        <v>7.51</v>
      </c>
      <c r="J910" t="s">
        <v>34</v>
      </c>
    </row>
    <row r="911" spans="1:10" s="3" customFormat="1" x14ac:dyDescent="0.25">
      <c r="A911" s="2">
        <v>18</v>
      </c>
      <c r="B911" s="3" t="s">
        <v>27</v>
      </c>
      <c r="C911" s="3">
        <v>647</v>
      </c>
      <c r="D911" s="3">
        <v>1</v>
      </c>
      <c r="E911" s="3" t="s">
        <v>28</v>
      </c>
      <c r="F911" s="3" t="s">
        <v>29</v>
      </c>
      <c r="G911" s="3" t="str">
        <f>"2025-11-02 19:29:31.217"</f>
        <v>2025-11-02 19:29:31.217</v>
      </c>
      <c r="H911" s="3" t="s">
        <v>21</v>
      </c>
    </row>
    <row r="912" spans="1:10" s="3" customFormat="1" x14ac:dyDescent="0.25">
      <c r="A912" s="2">
        <v>19</v>
      </c>
      <c r="B912" s="3" t="s">
        <v>30</v>
      </c>
      <c r="C912" s="3">
        <v>647</v>
      </c>
      <c r="D912" s="3">
        <v>1</v>
      </c>
      <c r="E912" s="3" t="s">
        <v>28</v>
      </c>
      <c r="F912" s="3" t="s">
        <v>29</v>
      </c>
      <c r="G912" s="3" t="str">
        <f>"2025-11-02 19:29:30.118"</f>
        <v>2025-11-02 19:29:30.118</v>
      </c>
      <c r="H912" s="3" t="s">
        <v>21</v>
      </c>
      <c r="I912" s="3">
        <v>25.98</v>
      </c>
      <c r="J912" s="3" t="s">
        <v>31</v>
      </c>
    </row>
    <row r="913" spans="1:10" x14ac:dyDescent="0.25">
      <c r="A913" s="1">
        <v>20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"2025-11-02 17:41:09.841"</f>
        <v>2025-11-02 17:41:09.841</v>
      </c>
      <c r="H913" t="s">
        <v>21</v>
      </c>
      <c r="I913">
        <v>0</v>
      </c>
      <c r="J913" t="s">
        <v>22</v>
      </c>
    </row>
    <row r="914" spans="1:10" x14ac:dyDescent="0.25">
      <c r="A914" s="1">
        <v>21</v>
      </c>
      <c r="B914" t="s">
        <v>35</v>
      </c>
      <c r="C914">
        <v>47</v>
      </c>
      <c r="D914">
        <v>2</v>
      </c>
      <c r="E914" t="s">
        <v>61</v>
      </c>
      <c r="F914" t="s">
        <v>62</v>
      </c>
      <c r="G914" t="str">
        <f>"2025-11-02 17:00:29.050"</f>
        <v>2025-11-02 17:00:29.050</v>
      </c>
      <c r="H914" t="s">
        <v>63</v>
      </c>
    </row>
    <row r="915" spans="1:10" x14ac:dyDescent="0.25">
      <c r="A915" s="1">
        <v>22</v>
      </c>
      <c r="B915" t="s">
        <v>39</v>
      </c>
      <c r="C915">
        <v>47</v>
      </c>
      <c r="D915">
        <v>2</v>
      </c>
      <c r="E915" t="s">
        <v>61</v>
      </c>
      <c r="F915" t="s">
        <v>62</v>
      </c>
      <c r="G915" t="str">
        <f>"2025-11-02 17:00:27.051"</f>
        <v>2025-11-02 17:00:27.051</v>
      </c>
      <c r="H915" t="s">
        <v>63</v>
      </c>
      <c r="I915">
        <v>0</v>
      </c>
      <c r="J915" t="s">
        <v>25</v>
      </c>
    </row>
    <row r="916" spans="1:10" x14ac:dyDescent="0.25">
      <c r="A916" s="1">
        <v>23</v>
      </c>
      <c r="B916" t="s">
        <v>19</v>
      </c>
      <c r="C916">
        <v>706</v>
      </c>
      <c r="D916">
        <v>2</v>
      </c>
      <c r="E916" t="s">
        <v>23</v>
      </c>
      <c r="F916" t="s">
        <v>24</v>
      </c>
      <c r="G916" t="str">
        <f>"2025-11-02 17:00:22.440"</f>
        <v>2025-11-02 17:00:22.440</v>
      </c>
      <c r="H916" t="s">
        <v>21</v>
      </c>
      <c r="I916">
        <v>0</v>
      </c>
      <c r="J916" t="s">
        <v>25</v>
      </c>
    </row>
    <row r="917" spans="1:10" x14ac:dyDescent="0.25">
      <c r="A917" s="1">
        <v>24</v>
      </c>
      <c r="B917" t="s">
        <v>19</v>
      </c>
      <c r="C917">
        <v>706</v>
      </c>
      <c r="D917">
        <v>4</v>
      </c>
      <c r="E917" t="s">
        <v>23</v>
      </c>
      <c r="F917" t="s">
        <v>26</v>
      </c>
      <c r="G917" t="str">
        <f>"2025-11-02 16:36:14.240"</f>
        <v>2025-11-02 16:36:14.240</v>
      </c>
      <c r="H917" t="s">
        <v>21</v>
      </c>
      <c r="I917">
        <v>0</v>
      </c>
      <c r="J917" t="s">
        <v>25</v>
      </c>
    </row>
    <row r="918" spans="1:10" x14ac:dyDescent="0.25">
      <c r="A918" s="1">
        <v>25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"2025-11-02 16:32:22.970"</f>
        <v>2025-11-02 16:32:22.970</v>
      </c>
      <c r="H918" t="s">
        <v>21</v>
      </c>
    </row>
    <row r="919" spans="1:10" x14ac:dyDescent="0.25">
      <c r="A919" s="1">
        <v>26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"2025-11-02 15:51:19.822"</f>
        <v>2025-11-02 15:51:19.822</v>
      </c>
      <c r="H919" t="s">
        <v>21</v>
      </c>
    </row>
    <row r="920" spans="1:10" x14ac:dyDescent="0.25">
      <c r="A920" s="1">
        <v>27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"2025-11-02 15:38:24.835"</f>
        <v>2025-11-02 15:38:24.835</v>
      </c>
      <c r="H920" t="s">
        <v>21</v>
      </c>
    </row>
    <row r="921" spans="1:10" x14ac:dyDescent="0.25">
      <c r="A921" s="1">
        <v>28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"2025-11-02 14:53:33.103"</f>
        <v>2025-11-02 14:53:33.103</v>
      </c>
      <c r="H921" t="s">
        <v>21</v>
      </c>
      <c r="I921">
        <v>0</v>
      </c>
      <c r="J921" t="s">
        <v>22</v>
      </c>
    </row>
    <row r="922" spans="1:10" x14ac:dyDescent="0.25">
      <c r="A922" s="1">
        <v>29</v>
      </c>
      <c r="B922" t="s">
        <v>27</v>
      </c>
      <c r="C922">
        <v>635</v>
      </c>
      <c r="D922">
        <v>1</v>
      </c>
      <c r="E922" t="s">
        <v>32</v>
      </c>
      <c r="F922" t="s">
        <v>33</v>
      </c>
      <c r="G922" t="str">
        <f>"2025-11-01 14:27:35.522"</f>
        <v>2025-11-01 14:27:35.522</v>
      </c>
      <c r="H922" t="s">
        <v>21</v>
      </c>
    </row>
    <row r="923" spans="1:10" x14ac:dyDescent="0.25">
      <c r="A923" s="1">
        <v>30</v>
      </c>
      <c r="B923" t="s">
        <v>30</v>
      </c>
      <c r="C923">
        <v>635</v>
      </c>
      <c r="D923">
        <v>1</v>
      </c>
      <c r="E923" t="s">
        <v>32</v>
      </c>
      <c r="F923" t="s">
        <v>33</v>
      </c>
      <c r="G923" t="str">
        <f>"2025-11-01 14:16:11.022"</f>
        <v>2025-11-01 14:16:11.022</v>
      </c>
      <c r="H923" t="s">
        <v>21</v>
      </c>
      <c r="I923">
        <v>8.7899999999999991</v>
      </c>
      <c r="J923" t="s">
        <v>34</v>
      </c>
    </row>
    <row r="924" spans="1:10" x14ac:dyDescent="0.25">
      <c r="A924" s="1">
        <v>31</v>
      </c>
      <c r="B924" t="s">
        <v>27</v>
      </c>
      <c r="C924">
        <v>635</v>
      </c>
      <c r="D924">
        <v>1</v>
      </c>
      <c r="E924" t="s">
        <v>32</v>
      </c>
      <c r="F924" t="s">
        <v>33</v>
      </c>
      <c r="G924" t="str">
        <f>"2025-11-01 12:53:15.722"</f>
        <v>2025-11-01 12:53:15.722</v>
      </c>
      <c r="H924" t="s">
        <v>21</v>
      </c>
    </row>
    <row r="925" spans="1:10" x14ac:dyDescent="0.25">
      <c r="A925" s="1">
        <v>32</v>
      </c>
      <c r="B925" t="s">
        <v>30</v>
      </c>
      <c r="C925">
        <v>635</v>
      </c>
      <c r="D925">
        <v>1</v>
      </c>
      <c r="E925" t="s">
        <v>32</v>
      </c>
      <c r="F925" t="s">
        <v>33</v>
      </c>
      <c r="G925" t="str">
        <f>"2025-11-01 12:49:27.222"</f>
        <v>2025-11-01 12:49:27.222</v>
      </c>
      <c r="H925" t="s">
        <v>21</v>
      </c>
      <c r="I925">
        <v>6.42</v>
      </c>
      <c r="J925" t="s">
        <v>34</v>
      </c>
    </row>
    <row r="926" spans="1:10" s="3" customFormat="1" x14ac:dyDescent="0.25">
      <c r="A926" s="2">
        <v>33</v>
      </c>
      <c r="B926" s="3" t="s">
        <v>27</v>
      </c>
      <c r="C926" s="3">
        <v>647</v>
      </c>
      <c r="D926" s="3">
        <v>1</v>
      </c>
      <c r="E926" s="3" t="s">
        <v>28</v>
      </c>
      <c r="F926" s="3" t="s">
        <v>29</v>
      </c>
      <c r="G926" s="3" t="str">
        <f>"2025-11-01 09:54:30.623"</f>
        <v>2025-11-01 09:54:30.623</v>
      </c>
      <c r="H926" s="3" t="s">
        <v>21</v>
      </c>
    </row>
    <row r="927" spans="1:10" s="3" customFormat="1" x14ac:dyDescent="0.25">
      <c r="A927" s="2">
        <v>34</v>
      </c>
      <c r="B927" s="3" t="s">
        <v>30</v>
      </c>
      <c r="C927" s="3">
        <v>647</v>
      </c>
      <c r="D927" s="3">
        <v>1</v>
      </c>
      <c r="E927" s="3" t="s">
        <v>28</v>
      </c>
      <c r="F927" s="3" t="s">
        <v>29</v>
      </c>
      <c r="G927" s="3" t="str">
        <f>"2025-11-01 09:54:28.123"</f>
        <v>2025-11-01 09:54:28.123</v>
      </c>
      <c r="H927" s="3" t="s">
        <v>21</v>
      </c>
      <c r="I927" s="3">
        <v>12.49</v>
      </c>
      <c r="J927" s="3" t="s">
        <v>31</v>
      </c>
    </row>
    <row r="928" spans="1:10" x14ac:dyDescent="0.25">
      <c r="A928" s="1">
        <v>35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"2025-10-31 20:05:06.865"</f>
        <v>2025-10-31 20:05:06.865</v>
      </c>
      <c r="H928" t="s">
        <v>21</v>
      </c>
    </row>
    <row r="929" spans="1:10" s="3" customFormat="1" x14ac:dyDescent="0.25">
      <c r="A929" s="2">
        <v>37</v>
      </c>
      <c r="B929" s="3" t="s">
        <v>27</v>
      </c>
      <c r="C929" s="3">
        <v>647</v>
      </c>
      <c r="D929" s="3">
        <v>1</v>
      </c>
      <c r="E929" s="3" t="s">
        <v>28</v>
      </c>
      <c r="F929" s="3" t="s">
        <v>29</v>
      </c>
      <c r="G929" s="3" t="str">
        <f>"2025-10-30 17:40:21.314"</f>
        <v>2025-10-30 17:40:21.314</v>
      </c>
      <c r="H929" s="3" t="s">
        <v>21</v>
      </c>
    </row>
    <row r="930" spans="1:10" s="3" customFormat="1" x14ac:dyDescent="0.25">
      <c r="A930" s="2">
        <v>38</v>
      </c>
      <c r="B930" s="3" t="s">
        <v>30</v>
      </c>
      <c r="C930" s="3">
        <v>647</v>
      </c>
      <c r="D930" s="3">
        <v>1</v>
      </c>
      <c r="E930" s="3" t="s">
        <v>28</v>
      </c>
      <c r="F930" s="3" t="s">
        <v>29</v>
      </c>
      <c r="G930" s="3" t="str">
        <f>"2025-10-30 17:40:08.815"</f>
        <v>2025-10-30 17:40:08.815</v>
      </c>
      <c r="H930" s="3" t="s">
        <v>21</v>
      </c>
      <c r="I930" s="3">
        <v>9.77</v>
      </c>
      <c r="J930" s="3" t="s">
        <v>31</v>
      </c>
    </row>
    <row r="931" spans="1:10" x14ac:dyDescent="0.25">
      <c r="A931" s="1">
        <v>40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"2025-10-30 12:35:34.837"</f>
        <v>2025-10-30 12:35:34.837</v>
      </c>
      <c r="H931" t="s">
        <v>21</v>
      </c>
    </row>
    <row r="932" spans="1:10" x14ac:dyDescent="0.25">
      <c r="A932" s="1">
        <v>41</v>
      </c>
      <c r="B932" t="s">
        <v>27</v>
      </c>
      <c r="C932">
        <v>635</v>
      </c>
      <c r="D932">
        <v>1</v>
      </c>
      <c r="E932" t="s">
        <v>32</v>
      </c>
      <c r="F932" t="s">
        <v>33</v>
      </c>
      <c r="G932" t="str">
        <f>"2025-10-30 04:43:46.650"</f>
        <v>2025-10-30 04:43:46.650</v>
      </c>
      <c r="H932" t="s">
        <v>21</v>
      </c>
    </row>
    <row r="933" spans="1:10" x14ac:dyDescent="0.25">
      <c r="A933" s="1">
        <v>42</v>
      </c>
      <c r="B933" t="s">
        <v>30</v>
      </c>
      <c r="C933">
        <v>635</v>
      </c>
      <c r="D933">
        <v>1</v>
      </c>
      <c r="E933" t="s">
        <v>32</v>
      </c>
      <c r="F933" t="s">
        <v>33</v>
      </c>
      <c r="G933" t="str">
        <f>"2025-10-30 04:32:14.150"</f>
        <v>2025-10-30 04:32:14.150</v>
      </c>
      <c r="H933" t="s">
        <v>21</v>
      </c>
      <c r="I933">
        <v>-0.65</v>
      </c>
      <c r="J933" t="s">
        <v>34</v>
      </c>
    </row>
    <row r="934" spans="1:10" x14ac:dyDescent="0.25">
      <c r="A934" s="1">
        <v>43</v>
      </c>
      <c r="B934" t="s">
        <v>35</v>
      </c>
      <c r="C934">
        <v>33</v>
      </c>
      <c r="D934">
        <v>1</v>
      </c>
      <c r="E934" t="s">
        <v>36</v>
      </c>
      <c r="F934" t="s">
        <v>37</v>
      </c>
      <c r="G934" t="str">
        <f>"2025-10-29 20:39:43.851"</f>
        <v>2025-10-29 20:39:43.851</v>
      </c>
      <c r="H934" t="s">
        <v>38</v>
      </c>
    </row>
    <row r="935" spans="1:10" x14ac:dyDescent="0.25">
      <c r="A935" s="1">
        <v>44</v>
      </c>
      <c r="B935" t="s">
        <v>39</v>
      </c>
      <c r="C935">
        <v>33</v>
      </c>
      <c r="D935">
        <v>1</v>
      </c>
      <c r="E935" t="s">
        <v>36</v>
      </c>
      <c r="F935" t="s">
        <v>37</v>
      </c>
      <c r="G935" t="str">
        <f>"2025-10-29 20:39:27.409"</f>
        <v>2025-10-29 20:39:27.409</v>
      </c>
      <c r="H935" t="s">
        <v>38</v>
      </c>
      <c r="I935">
        <v>4.8099999999999996</v>
      </c>
      <c r="J935" t="s">
        <v>34</v>
      </c>
    </row>
    <row r="936" spans="1:10" s="3" customFormat="1" x14ac:dyDescent="0.25">
      <c r="A936" s="2">
        <v>45</v>
      </c>
      <c r="B936" s="3" t="s">
        <v>27</v>
      </c>
      <c r="C936" s="3">
        <v>647</v>
      </c>
      <c r="D936" s="3">
        <v>1</v>
      </c>
      <c r="E936" s="3" t="s">
        <v>28</v>
      </c>
      <c r="F936" s="3" t="s">
        <v>29</v>
      </c>
      <c r="G936" s="3" t="str">
        <f>"2025-10-29 11:37:51.651"</f>
        <v>2025-10-29 11:37:51.651</v>
      </c>
      <c r="H936" s="3" t="s">
        <v>21</v>
      </c>
    </row>
    <row r="937" spans="1:10" s="3" customFormat="1" x14ac:dyDescent="0.25">
      <c r="A937" s="2">
        <v>46</v>
      </c>
      <c r="B937" s="3" t="s">
        <v>30</v>
      </c>
      <c r="C937" s="3">
        <v>647</v>
      </c>
      <c r="D937" s="3">
        <v>1</v>
      </c>
      <c r="E937" s="3" t="s">
        <v>28</v>
      </c>
      <c r="F937" s="3" t="s">
        <v>29</v>
      </c>
      <c r="G937" s="3" t="str">
        <f>"2025-10-29 11:37:29.951"</f>
        <v>2025-10-29 11:37:29.951</v>
      </c>
      <c r="H937" s="3" t="s">
        <v>21</v>
      </c>
      <c r="I937" s="3">
        <v>17.309999999999999</v>
      </c>
      <c r="J937" s="3" t="s">
        <v>31</v>
      </c>
    </row>
    <row r="938" spans="1:10" s="3" customFormat="1" x14ac:dyDescent="0.25">
      <c r="A938" s="2">
        <v>47</v>
      </c>
      <c r="B938" s="3" t="s">
        <v>27</v>
      </c>
      <c r="C938" s="3">
        <v>647</v>
      </c>
      <c r="D938" s="3">
        <v>1</v>
      </c>
      <c r="E938" s="3" t="s">
        <v>28</v>
      </c>
      <c r="F938" s="3" t="s">
        <v>29</v>
      </c>
      <c r="G938" s="3" t="str">
        <f>"2025-10-29 11:37:26.851"</f>
        <v>2025-10-29 11:37:26.851</v>
      </c>
      <c r="H938" s="3" t="s">
        <v>21</v>
      </c>
    </row>
    <row r="939" spans="1:10" s="3" customFormat="1" x14ac:dyDescent="0.25">
      <c r="A939" s="2">
        <v>48</v>
      </c>
      <c r="B939" s="3" t="s">
        <v>30</v>
      </c>
      <c r="C939" s="3">
        <v>647</v>
      </c>
      <c r="D939" s="3">
        <v>1</v>
      </c>
      <c r="E939" s="3" t="s">
        <v>28</v>
      </c>
      <c r="F939" s="3" t="s">
        <v>29</v>
      </c>
      <c r="G939" s="3" t="str">
        <f>"2025-10-29 11:37:22.751"</f>
        <v>2025-10-29 11:37:22.751</v>
      </c>
      <c r="H939" s="3" t="s">
        <v>21</v>
      </c>
      <c r="I939" s="3">
        <v>14.7</v>
      </c>
      <c r="J939" s="3" t="s">
        <v>31</v>
      </c>
    </row>
    <row r="940" spans="1:10" x14ac:dyDescent="0.25">
      <c r="A940" s="1">
        <v>49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"2025-10-29 11:35:04.870"</f>
        <v>2025-10-29 11:35:04.870</v>
      </c>
      <c r="H940" t="s">
        <v>21</v>
      </c>
      <c r="I940">
        <v>0</v>
      </c>
      <c r="J940" t="s">
        <v>22</v>
      </c>
    </row>
    <row r="941" spans="1:10" s="3" customFormat="1" x14ac:dyDescent="0.25">
      <c r="A941" s="2">
        <v>50</v>
      </c>
      <c r="B941" s="3" t="s">
        <v>27</v>
      </c>
      <c r="C941" s="3">
        <v>647</v>
      </c>
      <c r="D941" s="3">
        <v>1</v>
      </c>
      <c r="E941" s="3" t="s">
        <v>28</v>
      </c>
      <c r="F941" s="3" t="s">
        <v>29</v>
      </c>
      <c r="G941" s="3" t="str">
        <f>"2025-10-29 09:28:03.155"</f>
        <v>2025-10-29 09:28:03.155</v>
      </c>
      <c r="H941" s="3" t="s">
        <v>21</v>
      </c>
    </row>
    <row r="942" spans="1:10" s="3" customFormat="1" x14ac:dyDescent="0.25">
      <c r="A942" s="2">
        <v>51</v>
      </c>
      <c r="B942" s="3" t="s">
        <v>30</v>
      </c>
      <c r="C942" s="3">
        <v>647</v>
      </c>
      <c r="D942" s="3">
        <v>1</v>
      </c>
      <c r="E942" s="3" t="s">
        <v>28</v>
      </c>
      <c r="F942" s="3" t="s">
        <v>29</v>
      </c>
      <c r="G942" s="3" t="str">
        <f>"2025-10-29 09:28:00.255"</f>
        <v>2025-10-29 09:28:00.255</v>
      </c>
      <c r="H942" s="3" t="s">
        <v>21</v>
      </c>
      <c r="I942" s="3">
        <v>17.14</v>
      </c>
      <c r="J942" s="3" t="s">
        <v>31</v>
      </c>
    </row>
    <row r="943" spans="1:10" x14ac:dyDescent="0.25">
      <c r="A943" s="1">
        <v>52</v>
      </c>
      <c r="B943" t="s">
        <v>19</v>
      </c>
      <c r="C943">
        <v>700</v>
      </c>
      <c r="D943">
        <v>0</v>
      </c>
      <c r="E943" t="s">
        <v>20</v>
      </c>
      <c r="F943" t="s">
        <v>20</v>
      </c>
      <c r="G943" t="str">
        <f>"2025-10-28 20:04:44.997"</f>
        <v>2025-10-28 20:04:44.997</v>
      </c>
      <c r="H943" t="s">
        <v>21</v>
      </c>
      <c r="I943">
        <v>0</v>
      </c>
      <c r="J943" t="s">
        <v>22</v>
      </c>
    </row>
    <row r="944" spans="1:10" x14ac:dyDescent="0.25">
      <c r="A944" s="1">
        <v>53</v>
      </c>
      <c r="B944" t="s">
        <v>19</v>
      </c>
      <c r="C944">
        <v>706</v>
      </c>
      <c r="D944">
        <v>4</v>
      </c>
      <c r="E944" t="s">
        <v>23</v>
      </c>
      <c r="F944" t="s">
        <v>26</v>
      </c>
      <c r="G944" t="str">
        <f>"2025-10-28 09:02:45.114"</f>
        <v>2025-10-28 09:02:45.114</v>
      </c>
      <c r="H944" t="s">
        <v>21</v>
      </c>
      <c r="I944">
        <v>0</v>
      </c>
      <c r="J944" t="s">
        <v>25</v>
      </c>
    </row>
    <row r="945" spans="1:10" x14ac:dyDescent="0.25">
      <c r="A945" s="1">
        <v>54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"2025-10-28 08:52:26.834"</f>
        <v>2025-10-28 08:52:26.834</v>
      </c>
      <c r="H945" t="s">
        <v>21</v>
      </c>
      <c r="I945">
        <v>0</v>
      </c>
      <c r="J945" t="s">
        <v>22</v>
      </c>
    </row>
    <row r="946" spans="1:10" x14ac:dyDescent="0.25">
      <c r="A946" s="1">
        <v>55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"2025-10-28 07:57:13.866"</f>
        <v>2025-10-28 07:57:13.866</v>
      </c>
      <c r="H946" t="s">
        <v>21</v>
      </c>
      <c r="I946">
        <v>0</v>
      </c>
      <c r="J946" t="s">
        <v>22</v>
      </c>
    </row>
    <row r="947" spans="1:10" s="3" customFormat="1" x14ac:dyDescent="0.25">
      <c r="A947" s="2">
        <v>56</v>
      </c>
      <c r="B947" s="3" t="s">
        <v>27</v>
      </c>
      <c r="C947" s="3">
        <v>647</v>
      </c>
      <c r="D947" s="3">
        <v>1</v>
      </c>
      <c r="E947" s="3" t="s">
        <v>28</v>
      </c>
      <c r="F947" s="3" t="s">
        <v>29</v>
      </c>
      <c r="G947" s="3" t="str">
        <f>"2025-10-27 18:56:03.218"</f>
        <v>2025-10-27 18:56:03.218</v>
      </c>
      <c r="H947" s="3" t="s">
        <v>21</v>
      </c>
    </row>
    <row r="948" spans="1:10" s="3" customFormat="1" x14ac:dyDescent="0.25">
      <c r="A948" s="2">
        <v>57</v>
      </c>
      <c r="B948" s="3" t="s">
        <v>30</v>
      </c>
      <c r="C948" s="3">
        <v>647</v>
      </c>
      <c r="D948" s="3">
        <v>1</v>
      </c>
      <c r="E948" s="3" t="s">
        <v>28</v>
      </c>
      <c r="F948" s="3" t="s">
        <v>29</v>
      </c>
      <c r="G948" s="3" t="str">
        <f>"2025-10-27 18:55:58.318"</f>
        <v>2025-10-27 18:55:58.318</v>
      </c>
      <c r="H948" s="3" t="s">
        <v>21</v>
      </c>
      <c r="I948" s="3">
        <v>14.56</v>
      </c>
      <c r="J948" s="3" t="s">
        <v>31</v>
      </c>
    </row>
    <row r="949" spans="1:10" x14ac:dyDescent="0.25">
      <c r="A949" s="1">
        <v>58</v>
      </c>
      <c r="B949" t="s">
        <v>27</v>
      </c>
      <c r="C949">
        <v>635</v>
      </c>
      <c r="D949">
        <v>1</v>
      </c>
      <c r="E949" t="s">
        <v>32</v>
      </c>
      <c r="F949" t="s">
        <v>33</v>
      </c>
      <c r="G949" t="str">
        <f>"2025-10-27 14:33:57.618"</f>
        <v>2025-10-27 14:33:57.618</v>
      </c>
      <c r="H949" t="s">
        <v>21</v>
      </c>
    </row>
    <row r="950" spans="1:10" x14ac:dyDescent="0.25">
      <c r="A950" s="1">
        <v>59</v>
      </c>
      <c r="B950" t="s">
        <v>30</v>
      </c>
      <c r="C950">
        <v>635</v>
      </c>
      <c r="D950">
        <v>1</v>
      </c>
      <c r="E950" t="s">
        <v>32</v>
      </c>
      <c r="F950" t="s">
        <v>33</v>
      </c>
      <c r="G950" t="str">
        <f>"2025-10-27 14:06:27.218"</f>
        <v>2025-10-27 14:06:27.218</v>
      </c>
      <c r="H950" t="s">
        <v>21</v>
      </c>
      <c r="I950">
        <v>6.73</v>
      </c>
      <c r="J950" t="s">
        <v>34</v>
      </c>
    </row>
    <row r="951" spans="1:10" s="3" customFormat="1" x14ac:dyDescent="0.25">
      <c r="A951" s="2">
        <v>61</v>
      </c>
      <c r="B951" s="3" t="s">
        <v>27</v>
      </c>
      <c r="C951" s="3">
        <v>647</v>
      </c>
      <c r="D951" s="3">
        <v>1</v>
      </c>
      <c r="E951" s="3" t="s">
        <v>28</v>
      </c>
      <c r="F951" s="3" t="s">
        <v>29</v>
      </c>
      <c r="G951" s="3" t="str">
        <f>"2025-10-26 07:33:21.118"</f>
        <v>2025-10-26 07:33:21.118</v>
      </c>
      <c r="H951" s="3" t="s">
        <v>21</v>
      </c>
    </row>
    <row r="952" spans="1:10" s="3" customFormat="1" x14ac:dyDescent="0.25">
      <c r="A952" s="2">
        <v>62</v>
      </c>
      <c r="B952" s="3" t="s">
        <v>30</v>
      </c>
      <c r="C952" s="3">
        <v>647</v>
      </c>
      <c r="D952" s="3">
        <v>1</v>
      </c>
      <c r="E952" s="3" t="s">
        <v>28</v>
      </c>
      <c r="F952" s="3" t="s">
        <v>29</v>
      </c>
      <c r="G952" s="3" t="str">
        <f>"2025-10-26 07:33:18.418"</f>
        <v>2025-10-26 07:33:18.418</v>
      </c>
      <c r="H952" s="3" t="s">
        <v>21</v>
      </c>
      <c r="I952" s="3">
        <v>25.37</v>
      </c>
      <c r="J952" s="3" t="s">
        <v>31</v>
      </c>
    </row>
    <row r="953" spans="1:10" s="3" customFormat="1" x14ac:dyDescent="0.25">
      <c r="A953" s="2">
        <v>63</v>
      </c>
      <c r="B953" s="3" t="s">
        <v>27</v>
      </c>
      <c r="C953" s="3">
        <v>647</v>
      </c>
      <c r="D953" s="3">
        <v>1</v>
      </c>
      <c r="E953" s="3" t="s">
        <v>28</v>
      </c>
      <c r="F953" s="3" t="s">
        <v>29</v>
      </c>
      <c r="G953" s="3" t="str">
        <f>"2025-10-25 21:12:48.618"</f>
        <v>2025-10-25 21:12:48.618</v>
      </c>
      <c r="H953" s="3" t="s">
        <v>21</v>
      </c>
    </row>
    <row r="954" spans="1:10" s="3" customFormat="1" x14ac:dyDescent="0.25">
      <c r="A954" s="2">
        <v>64</v>
      </c>
      <c r="B954" s="3" t="s">
        <v>30</v>
      </c>
      <c r="C954" s="3">
        <v>647</v>
      </c>
      <c r="D954" s="3">
        <v>1</v>
      </c>
      <c r="E954" s="3" t="s">
        <v>28</v>
      </c>
      <c r="F954" s="3" t="s">
        <v>29</v>
      </c>
      <c r="G954" s="3" t="str">
        <f>"2025-10-25 21:12:44.119"</f>
        <v>2025-10-25 21:12:44.119</v>
      </c>
      <c r="H954" s="3" t="s">
        <v>21</v>
      </c>
      <c r="I954" s="3">
        <v>19.32</v>
      </c>
      <c r="J954" s="3" t="s">
        <v>31</v>
      </c>
    </row>
    <row r="955" spans="1:10" x14ac:dyDescent="0.25">
      <c r="A955" s="1">
        <v>65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"2025-10-25 15:11:49.931"</f>
        <v>2025-10-25 15:11:49.931</v>
      </c>
      <c r="H955" t="s">
        <v>21</v>
      </c>
    </row>
    <row r="956" spans="1:10" s="3" customFormat="1" x14ac:dyDescent="0.25">
      <c r="A956" s="2">
        <v>66</v>
      </c>
      <c r="B956" s="3" t="s">
        <v>27</v>
      </c>
      <c r="C956" s="3">
        <v>647</v>
      </c>
      <c r="D956" s="3">
        <v>1</v>
      </c>
      <c r="E956" s="3" t="s">
        <v>28</v>
      </c>
      <c r="F956" s="3" t="s">
        <v>29</v>
      </c>
      <c r="G956" s="3" t="str">
        <f>"2025-10-25 07:27:29.805"</f>
        <v>2025-10-25 07:27:29.805</v>
      </c>
      <c r="H956" s="3" t="s">
        <v>21</v>
      </c>
    </row>
    <row r="957" spans="1:10" s="3" customFormat="1" x14ac:dyDescent="0.25">
      <c r="A957" s="2">
        <v>67</v>
      </c>
      <c r="B957" s="3" t="s">
        <v>30</v>
      </c>
      <c r="C957" s="3">
        <v>647</v>
      </c>
      <c r="D957" s="3">
        <v>1</v>
      </c>
      <c r="E957" s="3" t="s">
        <v>28</v>
      </c>
      <c r="F957" s="3" t="s">
        <v>29</v>
      </c>
      <c r="G957" s="3" t="str">
        <f>"2025-10-25 07:27:27.706"</f>
        <v>2025-10-25 07:27:27.706</v>
      </c>
      <c r="H957" s="3" t="s">
        <v>21</v>
      </c>
      <c r="I957" s="3">
        <v>27.03</v>
      </c>
      <c r="J957" s="3" t="s">
        <v>31</v>
      </c>
    </row>
    <row r="958" spans="1:10" x14ac:dyDescent="0.25">
      <c r="A958" s="1">
        <v>69</v>
      </c>
      <c r="B958" t="s">
        <v>35</v>
      </c>
      <c r="C958">
        <v>33</v>
      </c>
      <c r="D958">
        <v>1</v>
      </c>
      <c r="E958" t="s">
        <v>36</v>
      </c>
      <c r="F958" t="s">
        <v>37</v>
      </c>
      <c r="G958" t="str">
        <f>"2025-10-24 14:37:55.805"</f>
        <v>2025-10-24 14:37:55.805</v>
      </c>
      <c r="H958" t="s">
        <v>38</v>
      </c>
    </row>
    <row r="959" spans="1:10" x14ac:dyDescent="0.25">
      <c r="A959" s="1">
        <v>70</v>
      </c>
      <c r="B959" t="s">
        <v>39</v>
      </c>
      <c r="C959">
        <v>33</v>
      </c>
      <c r="D959">
        <v>1</v>
      </c>
      <c r="E959" t="s">
        <v>36</v>
      </c>
      <c r="F959" t="s">
        <v>37</v>
      </c>
      <c r="G959" t="str">
        <f>"2025-10-24 14:37:36.257"</f>
        <v>2025-10-24 14:37:36.257</v>
      </c>
      <c r="H959" t="s">
        <v>38</v>
      </c>
      <c r="I959">
        <v>7.07</v>
      </c>
      <c r="J959" t="s">
        <v>34</v>
      </c>
    </row>
    <row r="960" spans="1:10" x14ac:dyDescent="0.25">
      <c r="A960" s="1">
        <v>71</v>
      </c>
      <c r="B960" t="s">
        <v>19</v>
      </c>
      <c r="C960">
        <v>700</v>
      </c>
      <c r="D960">
        <v>0</v>
      </c>
      <c r="E960" t="s">
        <v>20</v>
      </c>
      <c r="F960" t="s">
        <v>20</v>
      </c>
      <c r="G960" t="str">
        <f>"2025-10-24 09:30:05.826"</f>
        <v>2025-10-24 09:30:05.826</v>
      </c>
      <c r="H960" t="s">
        <v>21</v>
      </c>
      <c r="I960">
        <v>0</v>
      </c>
      <c r="J960" t="s">
        <v>22</v>
      </c>
    </row>
    <row r="961" spans="1:10" x14ac:dyDescent="0.25">
      <c r="A961" s="1">
        <v>72</v>
      </c>
      <c r="B961" t="s">
        <v>27</v>
      </c>
      <c r="C961">
        <v>635</v>
      </c>
      <c r="D961">
        <v>1</v>
      </c>
      <c r="E961" t="s">
        <v>32</v>
      </c>
      <c r="F961" t="s">
        <v>33</v>
      </c>
      <c r="G961" t="str">
        <f>"2025-10-24 06:51:42.368"</f>
        <v>2025-10-24 06:51:42.368</v>
      </c>
      <c r="H961" t="s">
        <v>21</v>
      </c>
    </row>
    <row r="962" spans="1:10" x14ac:dyDescent="0.25">
      <c r="A962" s="1">
        <v>73</v>
      </c>
      <c r="B962" t="s">
        <v>30</v>
      </c>
      <c r="C962">
        <v>635</v>
      </c>
      <c r="D962">
        <v>1</v>
      </c>
      <c r="E962" t="s">
        <v>32</v>
      </c>
      <c r="F962" t="s">
        <v>33</v>
      </c>
      <c r="G962" t="str">
        <f>"2025-10-24 06:47:23.368"</f>
        <v>2025-10-24 06:47:23.368</v>
      </c>
      <c r="H962" t="s">
        <v>21</v>
      </c>
      <c r="I962">
        <v>7.98</v>
      </c>
      <c r="J962" t="s">
        <v>34</v>
      </c>
    </row>
    <row r="963" spans="1:10" s="3" customFormat="1" x14ac:dyDescent="0.25">
      <c r="A963" s="2">
        <v>75</v>
      </c>
      <c r="B963" s="3" t="s">
        <v>27</v>
      </c>
      <c r="C963" s="3">
        <v>647</v>
      </c>
      <c r="D963" s="3">
        <v>1</v>
      </c>
      <c r="E963" s="3" t="s">
        <v>28</v>
      </c>
      <c r="F963" s="3" t="s">
        <v>29</v>
      </c>
      <c r="G963" s="3" t="str">
        <f>"2025-10-24 02:50:14.022"</f>
        <v>2025-10-24 02:50:14.022</v>
      </c>
      <c r="H963" s="3" t="s">
        <v>21</v>
      </c>
    </row>
    <row r="964" spans="1:10" s="3" customFormat="1" x14ac:dyDescent="0.25">
      <c r="A964" s="2">
        <v>76</v>
      </c>
      <c r="B964" s="3" t="s">
        <v>30</v>
      </c>
      <c r="C964" s="3">
        <v>647</v>
      </c>
      <c r="D964" s="3">
        <v>1</v>
      </c>
      <c r="E964" s="3" t="s">
        <v>28</v>
      </c>
      <c r="F964" s="3" t="s">
        <v>29</v>
      </c>
      <c r="G964" s="3" t="str">
        <f>"2025-10-24 02:50:12.722"</f>
        <v>2025-10-24 02:50:12.722</v>
      </c>
      <c r="H964" s="3" t="s">
        <v>21</v>
      </c>
      <c r="I964" s="3">
        <v>17.57</v>
      </c>
      <c r="J964" s="3" t="s">
        <v>31</v>
      </c>
    </row>
    <row r="965" spans="1:10" s="3" customFormat="1" x14ac:dyDescent="0.25">
      <c r="A965" s="2">
        <v>77</v>
      </c>
      <c r="B965" s="3" t="s">
        <v>27</v>
      </c>
      <c r="C965" s="3">
        <v>647</v>
      </c>
      <c r="D965" s="3">
        <v>1</v>
      </c>
      <c r="E965" s="3" t="s">
        <v>28</v>
      </c>
      <c r="F965" s="3" t="s">
        <v>29</v>
      </c>
      <c r="G965" s="3" t="str">
        <f>"2025-10-24 02:29:56.222"</f>
        <v>2025-10-24 02:29:56.222</v>
      </c>
      <c r="H965" s="3" t="s">
        <v>21</v>
      </c>
    </row>
    <row r="966" spans="1:10" s="3" customFormat="1" x14ac:dyDescent="0.25">
      <c r="A966" s="2">
        <v>78</v>
      </c>
      <c r="B966" s="3" t="s">
        <v>30</v>
      </c>
      <c r="C966" s="3">
        <v>647</v>
      </c>
      <c r="D966" s="3">
        <v>1</v>
      </c>
      <c r="E966" s="3" t="s">
        <v>28</v>
      </c>
      <c r="F966" s="3" t="s">
        <v>29</v>
      </c>
      <c r="G966" s="3" t="str">
        <f>"2025-10-24 02:29:52.122"</f>
        <v>2025-10-24 02:29:52.122</v>
      </c>
      <c r="H966" s="3" t="s">
        <v>21</v>
      </c>
      <c r="I966" s="3">
        <v>19.16</v>
      </c>
      <c r="J966" s="3" t="s">
        <v>31</v>
      </c>
    </row>
    <row r="967" spans="1:10" s="3" customFormat="1" x14ac:dyDescent="0.25">
      <c r="A967" s="2">
        <v>79</v>
      </c>
      <c r="B967" s="3" t="s">
        <v>27</v>
      </c>
      <c r="C967" s="3">
        <v>647</v>
      </c>
      <c r="D967" s="3">
        <v>1</v>
      </c>
      <c r="E967" s="3" t="s">
        <v>28</v>
      </c>
      <c r="F967" s="3" t="s">
        <v>29</v>
      </c>
      <c r="G967" s="3" t="str">
        <f>"2025-10-24 01:10:06.622"</f>
        <v>2025-10-24 01:10:06.622</v>
      </c>
      <c r="H967" s="3" t="s">
        <v>21</v>
      </c>
    </row>
    <row r="968" spans="1:10" s="3" customFormat="1" x14ac:dyDescent="0.25">
      <c r="A968" s="2">
        <v>80</v>
      </c>
      <c r="B968" s="3" t="s">
        <v>30</v>
      </c>
      <c r="C968" s="3">
        <v>647</v>
      </c>
      <c r="D968" s="3">
        <v>1</v>
      </c>
      <c r="E968" s="3" t="s">
        <v>28</v>
      </c>
      <c r="F968" s="3" t="s">
        <v>29</v>
      </c>
      <c r="G968" s="3" t="str">
        <f>"2025-10-24 01:10:04.122"</f>
        <v>2025-10-24 01:10:04.122</v>
      </c>
      <c r="H968" s="3" t="s">
        <v>21</v>
      </c>
      <c r="I968" s="3">
        <v>22.43</v>
      </c>
      <c r="J968" s="3" t="s">
        <v>31</v>
      </c>
    </row>
    <row r="969" spans="1:10" s="3" customFormat="1" x14ac:dyDescent="0.25">
      <c r="A969" s="2">
        <v>82</v>
      </c>
      <c r="B969" s="3" t="s">
        <v>27</v>
      </c>
      <c r="C969" s="3">
        <v>647</v>
      </c>
      <c r="D969" s="3">
        <v>1</v>
      </c>
      <c r="E969" s="3" t="s">
        <v>28</v>
      </c>
      <c r="F969" s="3" t="s">
        <v>29</v>
      </c>
      <c r="G969" s="3" t="str">
        <f>"2025-10-23 06:48:05.122"</f>
        <v>2025-10-23 06:48:05.122</v>
      </c>
      <c r="H969" s="3" t="s">
        <v>21</v>
      </c>
    </row>
    <row r="970" spans="1:10" s="3" customFormat="1" x14ac:dyDescent="0.25">
      <c r="A970" s="2">
        <v>83</v>
      </c>
      <c r="B970" s="3" t="s">
        <v>30</v>
      </c>
      <c r="C970" s="3">
        <v>647</v>
      </c>
      <c r="D970" s="3">
        <v>1</v>
      </c>
      <c r="E970" s="3" t="s">
        <v>28</v>
      </c>
      <c r="F970" s="3" t="s">
        <v>29</v>
      </c>
      <c r="G970" s="3" t="str">
        <f>"2025-10-23 06:48:03.222"</f>
        <v>2025-10-23 06:48:03.222</v>
      </c>
      <c r="H970" s="3" t="s">
        <v>21</v>
      </c>
      <c r="I970" s="3">
        <v>13.59</v>
      </c>
      <c r="J970" s="3" t="s">
        <v>31</v>
      </c>
    </row>
    <row r="971" spans="1:10" s="3" customFormat="1" x14ac:dyDescent="0.25">
      <c r="A971" s="2">
        <v>84</v>
      </c>
      <c r="B971" s="3" t="s">
        <v>27</v>
      </c>
      <c r="C971" s="3">
        <v>647</v>
      </c>
      <c r="D971" s="3">
        <v>1</v>
      </c>
      <c r="E971" s="3" t="s">
        <v>28</v>
      </c>
      <c r="F971" s="3" t="s">
        <v>29</v>
      </c>
      <c r="G971" s="3" t="str">
        <f>"2025-10-22 21:50:37.022"</f>
        <v>2025-10-22 21:50:37.022</v>
      </c>
      <c r="H971" s="3" t="s">
        <v>21</v>
      </c>
    </row>
    <row r="972" spans="1:10" s="3" customFormat="1" x14ac:dyDescent="0.25">
      <c r="A972" s="2">
        <v>85</v>
      </c>
      <c r="B972" s="3" t="s">
        <v>30</v>
      </c>
      <c r="C972" s="3">
        <v>647</v>
      </c>
      <c r="D972" s="3">
        <v>1</v>
      </c>
      <c r="E972" s="3" t="s">
        <v>28</v>
      </c>
      <c r="F972" s="3" t="s">
        <v>29</v>
      </c>
      <c r="G972" s="3" t="str">
        <f>"2025-10-22 21:50:35.922"</f>
        <v>2025-10-22 21:50:35.922</v>
      </c>
      <c r="H972" s="3" t="s">
        <v>21</v>
      </c>
      <c r="I972" s="3">
        <v>13.89</v>
      </c>
      <c r="J972" s="3" t="s">
        <v>31</v>
      </c>
    </row>
    <row r="973" spans="1:10" s="3" customFormat="1" x14ac:dyDescent="0.25">
      <c r="A973" s="2">
        <v>86</v>
      </c>
      <c r="B973" s="3" t="s">
        <v>27</v>
      </c>
      <c r="C973" s="3">
        <v>647</v>
      </c>
      <c r="D973" s="3">
        <v>1</v>
      </c>
      <c r="E973" s="3" t="s">
        <v>28</v>
      </c>
      <c r="F973" s="3" t="s">
        <v>29</v>
      </c>
      <c r="G973" s="3" t="str">
        <f>"2025-10-22 21:30:58.922"</f>
        <v>2025-10-22 21:30:58.922</v>
      </c>
      <c r="H973" s="3" t="s">
        <v>21</v>
      </c>
    </row>
    <row r="974" spans="1:10" s="3" customFormat="1" x14ac:dyDescent="0.25">
      <c r="A974" s="2">
        <v>87</v>
      </c>
      <c r="B974" s="3" t="s">
        <v>30</v>
      </c>
      <c r="C974" s="3">
        <v>647</v>
      </c>
      <c r="D974" s="3">
        <v>1</v>
      </c>
      <c r="E974" s="3" t="s">
        <v>28</v>
      </c>
      <c r="F974" s="3" t="s">
        <v>29</v>
      </c>
      <c r="G974" s="3" t="str">
        <f>"2025-10-22 21:30:56.022"</f>
        <v>2025-10-22 21:30:56.022</v>
      </c>
      <c r="H974" s="3" t="s">
        <v>21</v>
      </c>
      <c r="I974" s="3">
        <v>13.57</v>
      </c>
      <c r="J974" s="3" t="s">
        <v>31</v>
      </c>
    </row>
    <row r="975" spans="1:10" s="3" customFormat="1" x14ac:dyDescent="0.25">
      <c r="A975" s="2">
        <v>88</v>
      </c>
      <c r="B975" s="3" t="s">
        <v>27</v>
      </c>
      <c r="C975" s="3">
        <v>647</v>
      </c>
      <c r="D975" s="3">
        <v>1</v>
      </c>
      <c r="E975" s="3" t="s">
        <v>28</v>
      </c>
      <c r="F975" s="3" t="s">
        <v>29</v>
      </c>
      <c r="G975" s="3" t="str">
        <f>"2025-10-22 21:02:10.722"</f>
        <v>2025-10-22 21:02:10.722</v>
      </c>
      <c r="H975" s="3" t="s">
        <v>21</v>
      </c>
    </row>
    <row r="976" spans="1:10" s="3" customFormat="1" x14ac:dyDescent="0.25">
      <c r="A976" s="2">
        <v>89</v>
      </c>
      <c r="B976" s="3" t="s">
        <v>30</v>
      </c>
      <c r="C976" s="3">
        <v>647</v>
      </c>
      <c r="D976" s="3">
        <v>1</v>
      </c>
      <c r="E976" s="3" t="s">
        <v>28</v>
      </c>
      <c r="F976" s="3" t="s">
        <v>29</v>
      </c>
      <c r="G976" s="3" t="str">
        <f>"2025-10-22 21:02:07.022"</f>
        <v>2025-10-22 21:02:07.022</v>
      </c>
      <c r="H976" s="3" t="s">
        <v>21</v>
      </c>
      <c r="I976" s="3">
        <v>17.93</v>
      </c>
      <c r="J976" s="3" t="s">
        <v>31</v>
      </c>
    </row>
    <row r="977" spans="1:10" s="3" customFormat="1" x14ac:dyDescent="0.25">
      <c r="A977" s="2">
        <v>90</v>
      </c>
      <c r="B977" s="3" t="s">
        <v>27</v>
      </c>
      <c r="C977" s="3">
        <v>647</v>
      </c>
      <c r="D977" s="3">
        <v>1</v>
      </c>
      <c r="E977" s="3" t="s">
        <v>28</v>
      </c>
      <c r="F977" s="3" t="s">
        <v>29</v>
      </c>
      <c r="G977" s="3" t="str">
        <f>"2025-10-22 20:36:19.022"</f>
        <v>2025-10-22 20:36:19.022</v>
      </c>
      <c r="H977" s="3" t="s">
        <v>21</v>
      </c>
    </row>
    <row r="978" spans="1:10" s="3" customFormat="1" x14ac:dyDescent="0.25">
      <c r="A978" s="2">
        <v>91</v>
      </c>
      <c r="B978" s="3" t="s">
        <v>30</v>
      </c>
      <c r="C978" s="3">
        <v>647</v>
      </c>
      <c r="D978" s="3">
        <v>1</v>
      </c>
      <c r="E978" s="3" t="s">
        <v>28</v>
      </c>
      <c r="F978" s="3" t="s">
        <v>29</v>
      </c>
      <c r="G978" s="3" t="str">
        <f>"2025-10-22 20:36:17.722"</f>
        <v>2025-10-22 20:36:17.722</v>
      </c>
      <c r="H978" s="3" t="s">
        <v>21</v>
      </c>
      <c r="I978" s="3">
        <v>24.55</v>
      </c>
      <c r="J978" s="3" t="s">
        <v>31</v>
      </c>
    </row>
    <row r="979" spans="1:10" x14ac:dyDescent="0.25">
      <c r="A979" s="1">
        <v>92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"2025-10-22 19:59:15.818"</f>
        <v>2025-10-22 19:59:15.818</v>
      </c>
      <c r="H979" t="s">
        <v>21</v>
      </c>
    </row>
    <row r="980" spans="1:10" x14ac:dyDescent="0.25">
      <c r="A980" s="1">
        <v>93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"2025-10-22 17:24:47.813"</f>
        <v>2025-10-22 17:24:47.813</v>
      </c>
      <c r="H980" t="s">
        <v>21</v>
      </c>
    </row>
    <row r="981" spans="1:10" x14ac:dyDescent="0.25">
      <c r="A981" s="1">
        <v>94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"2025-10-22 17:11:07.845"</f>
        <v>2025-10-22 17:11:07.845</v>
      </c>
      <c r="H981" t="s">
        <v>21</v>
      </c>
    </row>
    <row r="982" spans="1:10" x14ac:dyDescent="0.25">
      <c r="A982" s="1">
        <v>95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"2025-10-22 16:00:39.849"</f>
        <v>2025-10-22 16:00:39.849</v>
      </c>
      <c r="H982" t="s">
        <v>21</v>
      </c>
    </row>
    <row r="983" spans="1:10" x14ac:dyDescent="0.25">
      <c r="A983" s="1">
        <v>96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"2025-10-22 15:52:53.795"</f>
        <v>2025-10-22 15:52:53.795</v>
      </c>
      <c r="H983" t="s">
        <v>21</v>
      </c>
    </row>
    <row r="984" spans="1:10" x14ac:dyDescent="0.25">
      <c r="A984" s="1">
        <v>97</v>
      </c>
      <c r="B984" t="s">
        <v>19</v>
      </c>
      <c r="C984">
        <v>706</v>
      </c>
      <c r="D984">
        <v>4</v>
      </c>
      <c r="E984" t="s">
        <v>23</v>
      </c>
      <c r="F984" t="s">
        <v>26</v>
      </c>
      <c r="G984" t="str">
        <f>"2025-10-22 15:43:09.004"</f>
        <v>2025-10-22 15:43:09.004</v>
      </c>
      <c r="H984" t="s">
        <v>21</v>
      </c>
      <c r="I984">
        <v>0</v>
      </c>
      <c r="J984" t="s">
        <v>25</v>
      </c>
    </row>
    <row r="985" spans="1:10" x14ac:dyDescent="0.25">
      <c r="A985" s="1">
        <v>98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"2025-10-22 15:25:30.804"</f>
        <v>2025-10-22 15:25:30.804</v>
      </c>
      <c r="H985" t="s">
        <v>21</v>
      </c>
      <c r="I985">
        <v>0</v>
      </c>
      <c r="J985" t="s">
        <v>22</v>
      </c>
    </row>
    <row r="986" spans="1:10" x14ac:dyDescent="0.25">
      <c r="A986" s="1">
        <v>99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"2025-10-22 14:20:28.813"</f>
        <v>2025-10-22 14:20:28.813</v>
      </c>
      <c r="H986" t="s">
        <v>21</v>
      </c>
    </row>
    <row r="987" spans="1:10" x14ac:dyDescent="0.25">
      <c r="A987" s="1">
        <v>0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"2025-10-22 08:47:39.804"</f>
        <v>2025-10-22 08:47:39.804</v>
      </c>
      <c r="H987" t="s">
        <v>21</v>
      </c>
      <c r="I987">
        <v>0</v>
      </c>
      <c r="J987" t="s">
        <v>22</v>
      </c>
    </row>
    <row r="988" spans="1:10" x14ac:dyDescent="0.25">
      <c r="A988" s="1">
        <v>1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"2025-10-22 08:39:32.807"</f>
        <v>2025-10-22 08:39:32.807</v>
      </c>
      <c r="H988" t="s">
        <v>21</v>
      </c>
      <c r="I988">
        <v>0</v>
      </c>
      <c r="J988" t="s">
        <v>22</v>
      </c>
    </row>
    <row r="989" spans="1:10" s="3" customFormat="1" x14ac:dyDescent="0.25">
      <c r="A989" s="2">
        <v>2</v>
      </c>
      <c r="B989" s="3" t="s">
        <v>27</v>
      </c>
      <c r="C989" s="3">
        <v>647</v>
      </c>
      <c r="D989" s="3">
        <v>1</v>
      </c>
      <c r="E989" s="3" t="s">
        <v>28</v>
      </c>
      <c r="F989" s="3" t="s">
        <v>29</v>
      </c>
      <c r="G989" s="3" t="str">
        <f>"2025-10-22 06:40:48.099"</f>
        <v>2025-10-22 06:40:48.099</v>
      </c>
      <c r="H989" s="3" t="s">
        <v>21</v>
      </c>
    </row>
    <row r="990" spans="1:10" s="3" customFormat="1" x14ac:dyDescent="0.25">
      <c r="A990" s="2">
        <v>3</v>
      </c>
      <c r="B990" s="3" t="s">
        <v>30</v>
      </c>
      <c r="C990" s="3">
        <v>647</v>
      </c>
      <c r="D990" s="3">
        <v>1</v>
      </c>
      <c r="E990" s="3" t="s">
        <v>28</v>
      </c>
      <c r="F990" s="3" t="s">
        <v>29</v>
      </c>
      <c r="G990" s="3" t="str">
        <f>"2025-10-22 06:40:46.200"</f>
        <v>2025-10-22 06:40:46.200</v>
      </c>
      <c r="H990" s="3" t="s">
        <v>21</v>
      </c>
      <c r="I990" s="3">
        <v>21.15</v>
      </c>
      <c r="J990" s="3" t="s">
        <v>31</v>
      </c>
    </row>
    <row r="991" spans="1:10" x14ac:dyDescent="0.25">
      <c r="A991" s="1">
        <v>4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"2025-10-21 22:46:26.801"</f>
        <v>2025-10-21 22:46:26.801</v>
      </c>
      <c r="H991" t="s">
        <v>21</v>
      </c>
      <c r="I991">
        <v>0</v>
      </c>
      <c r="J991" t="s">
        <v>22</v>
      </c>
    </row>
    <row r="992" spans="1:10" s="3" customFormat="1" x14ac:dyDescent="0.25">
      <c r="A992" s="2">
        <v>5</v>
      </c>
      <c r="B992" s="3" t="s">
        <v>27</v>
      </c>
      <c r="C992" s="3">
        <v>647</v>
      </c>
      <c r="D992" s="3">
        <v>1</v>
      </c>
      <c r="E992" s="3" t="s">
        <v>28</v>
      </c>
      <c r="F992" s="3" t="s">
        <v>29</v>
      </c>
      <c r="G992" s="3" t="str">
        <f>"2025-10-21 22:06:05.009"</f>
        <v>2025-10-21 22:06:05.009</v>
      </c>
      <c r="H992" s="3" t="s">
        <v>21</v>
      </c>
    </row>
    <row r="993" spans="1:10" s="3" customFormat="1" x14ac:dyDescent="0.25">
      <c r="A993" s="2">
        <v>6</v>
      </c>
      <c r="B993" s="3" t="s">
        <v>30</v>
      </c>
      <c r="C993" s="3">
        <v>647</v>
      </c>
      <c r="D993" s="3">
        <v>1</v>
      </c>
      <c r="E993" s="3" t="s">
        <v>28</v>
      </c>
      <c r="F993" s="3" t="s">
        <v>29</v>
      </c>
      <c r="G993" s="3" t="str">
        <f>"2025-10-21 22:06:03.109"</f>
        <v>2025-10-21 22:06:03.109</v>
      </c>
      <c r="H993" s="3" t="s">
        <v>21</v>
      </c>
      <c r="I993" s="3">
        <v>16.03</v>
      </c>
      <c r="J993" s="3" t="s">
        <v>31</v>
      </c>
    </row>
    <row r="994" spans="1:10" s="3" customFormat="1" x14ac:dyDescent="0.25">
      <c r="A994" s="2">
        <v>7</v>
      </c>
      <c r="B994" s="3" t="s">
        <v>27</v>
      </c>
      <c r="C994" s="3">
        <v>647</v>
      </c>
      <c r="D994" s="3">
        <v>1</v>
      </c>
      <c r="E994" s="3" t="s">
        <v>28</v>
      </c>
      <c r="F994" s="3" t="s">
        <v>29</v>
      </c>
      <c r="G994" s="3" t="str">
        <f>"2025-10-21 20:53:17.409"</f>
        <v>2025-10-21 20:53:17.409</v>
      </c>
      <c r="H994" s="3" t="s">
        <v>21</v>
      </c>
    </row>
    <row r="995" spans="1:10" s="3" customFormat="1" x14ac:dyDescent="0.25">
      <c r="A995" s="2">
        <v>8</v>
      </c>
      <c r="B995" s="3" t="s">
        <v>30</v>
      </c>
      <c r="C995" s="3">
        <v>647</v>
      </c>
      <c r="D995" s="3">
        <v>1</v>
      </c>
      <c r="E995" s="3" t="s">
        <v>28</v>
      </c>
      <c r="F995" s="3" t="s">
        <v>29</v>
      </c>
      <c r="G995" s="3" t="str">
        <f>"2025-10-21 20:53:15.109"</f>
        <v>2025-10-21 20:53:15.109</v>
      </c>
      <c r="H995" s="3" t="s">
        <v>21</v>
      </c>
      <c r="I995" s="3">
        <v>19.149999999999999</v>
      </c>
      <c r="J995" s="3" t="s">
        <v>31</v>
      </c>
    </row>
    <row r="996" spans="1:10" s="3" customFormat="1" x14ac:dyDescent="0.25">
      <c r="A996" s="2">
        <v>9</v>
      </c>
      <c r="B996" s="3" t="s">
        <v>27</v>
      </c>
      <c r="C996" s="3">
        <v>647</v>
      </c>
      <c r="D996" s="3">
        <v>1</v>
      </c>
      <c r="E996" s="3" t="s">
        <v>28</v>
      </c>
      <c r="F996" s="3" t="s">
        <v>29</v>
      </c>
      <c r="G996" s="3" t="str">
        <f>"2025-10-21 19:30:46.809"</f>
        <v>2025-10-21 19:30:46.809</v>
      </c>
      <c r="H996" s="3" t="s">
        <v>21</v>
      </c>
    </row>
    <row r="997" spans="1:10" s="3" customFormat="1" x14ac:dyDescent="0.25">
      <c r="A997" s="2">
        <v>10</v>
      </c>
      <c r="B997" s="3" t="s">
        <v>30</v>
      </c>
      <c r="C997" s="3">
        <v>647</v>
      </c>
      <c r="D997" s="3">
        <v>1</v>
      </c>
      <c r="E997" s="3" t="s">
        <v>28</v>
      </c>
      <c r="F997" s="3" t="s">
        <v>29</v>
      </c>
      <c r="G997" s="3" t="str">
        <f>"2025-10-21 19:30:36.509"</f>
        <v>2025-10-21 19:30:36.509</v>
      </c>
      <c r="H997" s="3" t="s">
        <v>21</v>
      </c>
      <c r="I997" s="3">
        <v>24.35</v>
      </c>
      <c r="J997" s="3" t="s">
        <v>31</v>
      </c>
    </row>
    <row r="998" spans="1:10" x14ac:dyDescent="0.25">
      <c r="A998" s="1">
        <v>11</v>
      </c>
      <c r="B998" t="s">
        <v>27</v>
      </c>
      <c r="C998">
        <v>635</v>
      </c>
      <c r="D998">
        <v>1</v>
      </c>
      <c r="E998" t="s">
        <v>32</v>
      </c>
      <c r="F998" t="s">
        <v>33</v>
      </c>
      <c r="G998" t="str">
        <f>"2025-10-21 12:45:30.160"</f>
        <v>2025-10-21 12:45:30.160</v>
      </c>
      <c r="H998" t="s">
        <v>21</v>
      </c>
    </row>
    <row r="999" spans="1:10" x14ac:dyDescent="0.25">
      <c r="A999" s="1">
        <v>12</v>
      </c>
      <c r="B999" t="s">
        <v>30</v>
      </c>
      <c r="C999">
        <v>635</v>
      </c>
      <c r="D999">
        <v>1</v>
      </c>
      <c r="E999" t="s">
        <v>32</v>
      </c>
      <c r="F999" t="s">
        <v>33</v>
      </c>
      <c r="G999" t="str">
        <f>"2025-10-21 12:42:02.660"</f>
        <v>2025-10-21 12:42:02.660</v>
      </c>
      <c r="H999" t="s">
        <v>21</v>
      </c>
      <c r="I999">
        <v>4.59</v>
      </c>
      <c r="J999" t="s">
        <v>31</v>
      </c>
    </row>
    <row r="1000" spans="1:10" s="3" customFormat="1" x14ac:dyDescent="0.25">
      <c r="A1000" s="2">
        <v>15</v>
      </c>
      <c r="B1000" s="3" t="s">
        <v>27</v>
      </c>
      <c r="C1000" s="3">
        <v>647</v>
      </c>
      <c r="D1000" s="3">
        <v>1</v>
      </c>
      <c r="E1000" s="3" t="s">
        <v>28</v>
      </c>
      <c r="F1000" s="3" t="s">
        <v>29</v>
      </c>
      <c r="G1000" s="3" t="str">
        <f>"2025-10-21 03:38:38.909"</f>
        <v>2025-10-21 03:38:38.909</v>
      </c>
      <c r="H1000" s="3" t="s">
        <v>21</v>
      </c>
    </row>
    <row r="1001" spans="1:10" s="3" customFormat="1" x14ac:dyDescent="0.25">
      <c r="A1001" s="2">
        <v>16</v>
      </c>
      <c r="B1001" s="3" t="s">
        <v>30</v>
      </c>
      <c r="C1001" s="3">
        <v>647</v>
      </c>
      <c r="D1001" s="3">
        <v>1</v>
      </c>
      <c r="E1001" s="3" t="s">
        <v>28</v>
      </c>
      <c r="F1001" s="3" t="s">
        <v>29</v>
      </c>
      <c r="G1001" s="3" t="str">
        <f>"2025-10-21 03:38:37.409"</f>
        <v>2025-10-21 03:38:37.409</v>
      </c>
      <c r="H1001" s="3" t="s">
        <v>21</v>
      </c>
      <c r="I1001" s="3">
        <v>12.8</v>
      </c>
      <c r="J1001" s="3" t="s">
        <v>31</v>
      </c>
    </row>
    <row r="1002" spans="1:10" x14ac:dyDescent="0.25">
      <c r="A1002" s="1">
        <v>17</v>
      </c>
      <c r="B1002" t="s">
        <v>27</v>
      </c>
      <c r="C1002">
        <v>635</v>
      </c>
      <c r="D1002">
        <v>1</v>
      </c>
      <c r="E1002" t="s">
        <v>32</v>
      </c>
      <c r="F1002" t="s">
        <v>33</v>
      </c>
      <c r="G1002" t="str">
        <f>"2025-10-20 09:54:58.260"</f>
        <v>2025-10-20 09:54:58.260</v>
      </c>
      <c r="H1002" t="s">
        <v>21</v>
      </c>
    </row>
    <row r="1003" spans="1:10" x14ac:dyDescent="0.25">
      <c r="A1003" s="1">
        <v>18</v>
      </c>
      <c r="B1003" t="s">
        <v>30</v>
      </c>
      <c r="C1003">
        <v>635</v>
      </c>
      <c r="D1003">
        <v>1</v>
      </c>
      <c r="E1003" t="s">
        <v>32</v>
      </c>
      <c r="F1003" t="s">
        <v>33</v>
      </c>
      <c r="G1003" t="str">
        <f>"2025-10-20 09:48:24.260"</f>
        <v>2025-10-20 09:48:24.260</v>
      </c>
      <c r="H1003" t="s">
        <v>21</v>
      </c>
      <c r="I1003">
        <v>9.85</v>
      </c>
      <c r="J1003" t="s">
        <v>31</v>
      </c>
    </row>
    <row r="1004" spans="1:10" s="3" customFormat="1" x14ac:dyDescent="0.25">
      <c r="A1004" s="2">
        <v>19</v>
      </c>
      <c r="B1004" s="3" t="s">
        <v>27</v>
      </c>
      <c r="C1004" s="3">
        <v>647</v>
      </c>
      <c r="D1004" s="3">
        <v>1</v>
      </c>
      <c r="E1004" s="3" t="s">
        <v>28</v>
      </c>
      <c r="F1004" s="3" t="s">
        <v>29</v>
      </c>
      <c r="G1004" s="3" t="str">
        <f>"2025-10-20 05:26:40.909"</f>
        <v>2025-10-20 05:26:40.909</v>
      </c>
      <c r="H1004" s="3" t="s">
        <v>21</v>
      </c>
    </row>
    <row r="1005" spans="1:10" s="3" customFormat="1" x14ac:dyDescent="0.25">
      <c r="A1005" s="2">
        <v>20</v>
      </c>
      <c r="B1005" s="3" t="s">
        <v>30</v>
      </c>
      <c r="C1005" s="3">
        <v>647</v>
      </c>
      <c r="D1005" s="3">
        <v>1</v>
      </c>
      <c r="E1005" s="3" t="s">
        <v>28</v>
      </c>
      <c r="F1005" s="3" t="s">
        <v>29</v>
      </c>
      <c r="G1005" s="3" t="str">
        <f>"2025-10-20 05:26:35.009"</f>
        <v>2025-10-20 05:26:35.009</v>
      </c>
      <c r="H1005" s="3" t="s">
        <v>21</v>
      </c>
      <c r="I1005" s="3">
        <v>11.49</v>
      </c>
      <c r="J1005" s="3" t="s">
        <v>31</v>
      </c>
    </row>
    <row r="1006" spans="1:10" s="3" customFormat="1" x14ac:dyDescent="0.25">
      <c r="A1006" s="2">
        <v>21</v>
      </c>
      <c r="B1006" s="3" t="s">
        <v>27</v>
      </c>
      <c r="C1006" s="3">
        <v>647</v>
      </c>
      <c r="D1006" s="3">
        <v>1</v>
      </c>
      <c r="E1006" s="3" t="s">
        <v>28</v>
      </c>
      <c r="F1006" s="3" t="s">
        <v>29</v>
      </c>
      <c r="G1006" s="3" t="str">
        <f>"2025-10-20 03:18:28.109"</f>
        <v>2025-10-20 03:18:28.109</v>
      </c>
      <c r="H1006" s="3" t="s">
        <v>21</v>
      </c>
    </row>
    <row r="1007" spans="1:10" s="3" customFormat="1" x14ac:dyDescent="0.25">
      <c r="A1007" s="2">
        <v>22</v>
      </c>
      <c r="B1007" s="3" t="s">
        <v>30</v>
      </c>
      <c r="C1007" s="3">
        <v>647</v>
      </c>
      <c r="D1007" s="3">
        <v>1</v>
      </c>
      <c r="E1007" s="3" t="s">
        <v>28</v>
      </c>
      <c r="F1007" s="3" t="s">
        <v>29</v>
      </c>
      <c r="G1007" s="3" t="str">
        <f>"2025-10-20 03:18:27.009"</f>
        <v>2025-10-20 03:18:27.009</v>
      </c>
      <c r="H1007" s="3" t="s">
        <v>21</v>
      </c>
      <c r="I1007" s="3">
        <v>17.97</v>
      </c>
      <c r="J1007" s="3" t="s">
        <v>31</v>
      </c>
    </row>
    <row r="1008" spans="1:10" s="3" customFormat="1" x14ac:dyDescent="0.25">
      <c r="A1008" s="2">
        <v>24</v>
      </c>
      <c r="B1008" s="3" t="s">
        <v>27</v>
      </c>
      <c r="C1008" s="3">
        <v>647</v>
      </c>
      <c r="D1008" s="3">
        <v>1</v>
      </c>
      <c r="E1008" s="3" t="s">
        <v>28</v>
      </c>
      <c r="F1008" s="3" t="s">
        <v>29</v>
      </c>
      <c r="G1008" s="3" t="str">
        <f>"2025-10-19 21:10:44.509"</f>
        <v>2025-10-19 21:10:44.509</v>
      </c>
      <c r="H1008" s="3" t="s">
        <v>21</v>
      </c>
    </row>
    <row r="1009" spans="1:10" s="3" customFormat="1" x14ac:dyDescent="0.25">
      <c r="A1009" s="2">
        <v>25</v>
      </c>
      <c r="B1009" s="3" t="s">
        <v>30</v>
      </c>
      <c r="C1009" s="3">
        <v>647</v>
      </c>
      <c r="D1009" s="3">
        <v>1</v>
      </c>
      <c r="E1009" s="3" t="s">
        <v>28</v>
      </c>
      <c r="F1009" s="3" t="s">
        <v>29</v>
      </c>
      <c r="G1009" s="3" t="str">
        <f>"2025-10-19 21:10:41.809"</f>
        <v>2025-10-19 21:10:41.809</v>
      </c>
      <c r="H1009" s="3" t="s">
        <v>21</v>
      </c>
      <c r="I1009" s="3">
        <v>21.37</v>
      </c>
      <c r="J1009" s="3" t="s">
        <v>31</v>
      </c>
    </row>
    <row r="1010" spans="1:10" x14ac:dyDescent="0.25">
      <c r="A1010" s="1">
        <v>26</v>
      </c>
      <c r="B1010" t="s">
        <v>27</v>
      </c>
      <c r="C1010">
        <v>98</v>
      </c>
      <c r="D1010">
        <v>1</v>
      </c>
      <c r="E1010" t="s">
        <v>40</v>
      </c>
      <c r="F1010" t="s">
        <v>41</v>
      </c>
      <c r="G1010" t="str">
        <f>"2025-10-19 20:56:23.940"</f>
        <v>2025-10-19 20:56:23.940</v>
      </c>
      <c r="H1010" t="s">
        <v>21</v>
      </c>
    </row>
    <row r="1011" spans="1:10" x14ac:dyDescent="0.25">
      <c r="A1011" s="1">
        <v>27</v>
      </c>
      <c r="B1011" t="s">
        <v>30</v>
      </c>
      <c r="C1011">
        <v>98</v>
      </c>
      <c r="D1011">
        <v>1</v>
      </c>
      <c r="E1011" t="s">
        <v>40</v>
      </c>
      <c r="F1011" t="s">
        <v>41</v>
      </c>
      <c r="G1011" t="str">
        <f>"2025-10-19 20:56:22.841"</f>
        <v>2025-10-19 20:56:22.841</v>
      </c>
      <c r="H1011" t="s">
        <v>21</v>
      </c>
      <c r="I1011">
        <v>0</v>
      </c>
      <c r="J1011" t="s">
        <v>42</v>
      </c>
    </row>
    <row r="1012" spans="1:10" s="3" customFormat="1" x14ac:dyDescent="0.25">
      <c r="A1012" s="2">
        <v>32</v>
      </c>
      <c r="B1012" s="3" t="s">
        <v>27</v>
      </c>
      <c r="C1012" s="3">
        <v>647</v>
      </c>
      <c r="D1012" s="3">
        <v>1</v>
      </c>
      <c r="E1012" s="3" t="s">
        <v>28</v>
      </c>
      <c r="F1012" s="3" t="s">
        <v>29</v>
      </c>
      <c r="G1012" s="3" t="str">
        <f>"2025-10-18 19:27:37.009"</f>
        <v>2025-10-18 19:27:37.009</v>
      </c>
      <c r="H1012" s="3" t="s">
        <v>21</v>
      </c>
    </row>
    <row r="1013" spans="1:10" s="3" customFormat="1" x14ac:dyDescent="0.25">
      <c r="A1013" s="2">
        <v>33</v>
      </c>
      <c r="B1013" s="3" t="s">
        <v>30</v>
      </c>
      <c r="C1013" s="3">
        <v>647</v>
      </c>
      <c r="D1013" s="3">
        <v>1</v>
      </c>
      <c r="E1013" s="3" t="s">
        <v>28</v>
      </c>
      <c r="F1013" s="3" t="s">
        <v>29</v>
      </c>
      <c r="G1013" s="3" t="str">
        <f>"2025-10-18 19:27:34.109"</f>
        <v>2025-10-18 19:27:34.109</v>
      </c>
      <c r="H1013" s="3" t="s">
        <v>21</v>
      </c>
      <c r="I1013" s="3">
        <v>18.54</v>
      </c>
      <c r="J1013" s="3" t="s">
        <v>31</v>
      </c>
    </row>
    <row r="1014" spans="1:10" s="3" customFormat="1" x14ac:dyDescent="0.25">
      <c r="A1014" s="2">
        <v>35</v>
      </c>
      <c r="B1014" s="3" t="s">
        <v>27</v>
      </c>
      <c r="C1014" s="3">
        <v>647</v>
      </c>
      <c r="D1014" s="3">
        <v>1</v>
      </c>
      <c r="E1014" s="3" t="s">
        <v>28</v>
      </c>
      <c r="F1014" s="3" t="s">
        <v>29</v>
      </c>
      <c r="G1014" s="3" t="str">
        <f>"2025-10-18 13:59:02.709"</f>
        <v>2025-10-18 13:59:02.709</v>
      </c>
      <c r="H1014" s="3" t="s">
        <v>21</v>
      </c>
    </row>
    <row r="1015" spans="1:10" s="3" customFormat="1" x14ac:dyDescent="0.25">
      <c r="A1015" s="2">
        <v>36</v>
      </c>
      <c r="B1015" s="3" t="s">
        <v>30</v>
      </c>
      <c r="C1015" s="3">
        <v>647</v>
      </c>
      <c r="D1015" s="3">
        <v>1</v>
      </c>
      <c r="E1015" s="3" t="s">
        <v>28</v>
      </c>
      <c r="F1015" s="3" t="s">
        <v>29</v>
      </c>
      <c r="G1015" s="3" t="str">
        <f>"2025-10-18 13:59:00.009"</f>
        <v>2025-10-18 13:59:00.009</v>
      </c>
      <c r="H1015" s="3" t="s">
        <v>21</v>
      </c>
      <c r="I1015" s="3">
        <v>28.29</v>
      </c>
      <c r="J1015" s="3" t="s">
        <v>31</v>
      </c>
    </row>
    <row r="1016" spans="1:10" s="3" customFormat="1" x14ac:dyDescent="0.25">
      <c r="A1016" s="2">
        <v>37</v>
      </c>
      <c r="B1016" s="3" t="s">
        <v>27</v>
      </c>
      <c r="C1016" s="3">
        <v>647</v>
      </c>
      <c r="D1016" s="3">
        <v>1</v>
      </c>
      <c r="E1016" s="3" t="s">
        <v>28</v>
      </c>
      <c r="F1016" s="3" t="s">
        <v>29</v>
      </c>
      <c r="G1016" s="3" t="str">
        <f>"2025-10-18 12:05:12.609"</f>
        <v>2025-10-18 12:05:12.609</v>
      </c>
      <c r="H1016" s="3" t="s">
        <v>21</v>
      </c>
    </row>
    <row r="1017" spans="1:10" s="3" customFormat="1" x14ac:dyDescent="0.25">
      <c r="A1017" s="2">
        <v>38</v>
      </c>
      <c r="B1017" s="3" t="s">
        <v>30</v>
      </c>
      <c r="C1017" s="3">
        <v>647</v>
      </c>
      <c r="D1017" s="3">
        <v>1</v>
      </c>
      <c r="E1017" s="3" t="s">
        <v>28</v>
      </c>
      <c r="F1017" s="3" t="s">
        <v>29</v>
      </c>
      <c r="G1017" s="3" t="str">
        <f>"2025-10-18 12:05:11.509"</f>
        <v>2025-10-18 12:05:11.509</v>
      </c>
      <c r="H1017" s="3" t="s">
        <v>21</v>
      </c>
      <c r="I1017" s="3">
        <v>17.64</v>
      </c>
      <c r="J1017" s="3" t="s">
        <v>31</v>
      </c>
    </row>
    <row r="1018" spans="1:10" x14ac:dyDescent="0.25">
      <c r="A1018" s="1">
        <v>39</v>
      </c>
      <c r="B1018" t="s">
        <v>19</v>
      </c>
      <c r="C1018">
        <v>706</v>
      </c>
      <c r="D1018">
        <v>4</v>
      </c>
      <c r="E1018" t="s">
        <v>23</v>
      </c>
      <c r="F1018" t="s">
        <v>26</v>
      </c>
      <c r="G1018" t="str">
        <f>"2025-10-18 11:15:11.042"</f>
        <v>2025-10-18 11:15:11.042</v>
      </c>
      <c r="H1018" t="s">
        <v>21</v>
      </c>
      <c r="I1018">
        <v>0</v>
      </c>
      <c r="J1018" t="s">
        <v>25</v>
      </c>
    </row>
    <row r="1019" spans="1:10" x14ac:dyDescent="0.25">
      <c r="A1019" s="1">
        <v>40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"2025-10-18 11:14:35.772"</f>
        <v>2025-10-18 11:14:35.772</v>
      </c>
      <c r="H1019" t="s">
        <v>21</v>
      </c>
    </row>
    <row r="1020" spans="1:10" s="3" customFormat="1" x14ac:dyDescent="0.25">
      <c r="A1020" s="2">
        <v>42</v>
      </c>
      <c r="B1020" s="3" t="s">
        <v>27</v>
      </c>
      <c r="C1020" s="3">
        <v>647</v>
      </c>
      <c r="D1020" s="3">
        <v>1</v>
      </c>
      <c r="E1020" s="3" t="s">
        <v>28</v>
      </c>
      <c r="F1020" s="3" t="s">
        <v>29</v>
      </c>
      <c r="G1020" s="3" t="str">
        <f>"2025-10-17 21:29:46.147"</f>
        <v>2025-10-17 21:29:46.147</v>
      </c>
      <c r="H1020" s="3" t="s">
        <v>21</v>
      </c>
    </row>
    <row r="1021" spans="1:10" s="3" customFormat="1" x14ac:dyDescent="0.25">
      <c r="A1021" s="2">
        <v>43</v>
      </c>
      <c r="B1021" s="3" t="s">
        <v>30</v>
      </c>
      <c r="C1021" s="3">
        <v>647</v>
      </c>
      <c r="D1021" s="3">
        <v>1</v>
      </c>
      <c r="E1021" s="3" t="s">
        <v>28</v>
      </c>
      <c r="F1021" s="3" t="s">
        <v>29</v>
      </c>
      <c r="G1021" s="3" t="str">
        <f>"2025-10-17 21:29:40.647"</f>
        <v>2025-10-17 21:29:40.647</v>
      </c>
      <c r="H1021" s="3" t="s">
        <v>21</v>
      </c>
      <c r="I1021" s="3">
        <v>17.95</v>
      </c>
      <c r="J1021" s="3" t="s">
        <v>31</v>
      </c>
    </row>
    <row r="1022" spans="1:10" s="3" customFormat="1" x14ac:dyDescent="0.25">
      <c r="A1022" s="2">
        <v>44</v>
      </c>
      <c r="B1022" s="3" t="s">
        <v>27</v>
      </c>
      <c r="C1022" s="3">
        <v>647</v>
      </c>
      <c r="D1022" s="3">
        <v>1</v>
      </c>
      <c r="E1022" s="3" t="s">
        <v>28</v>
      </c>
      <c r="F1022" s="3" t="s">
        <v>29</v>
      </c>
      <c r="G1022" s="3" t="str">
        <f>"2025-10-17 18:29:16.947"</f>
        <v>2025-10-17 18:29:16.947</v>
      </c>
      <c r="H1022" s="3" t="s">
        <v>21</v>
      </c>
    </row>
    <row r="1023" spans="1:10" s="3" customFormat="1" x14ac:dyDescent="0.25">
      <c r="A1023" s="2">
        <v>45</v>
      </c>
      <c r="B1023" s="3" t="s">
        <v>30</v>
      </c>
      <c r="C1023" s="3">
        <v>647</v>
      </c>
      <c r="D1023" s="3">
        <v>1</v>
      </c>
      <c r="E1023" s="3" t="s">
        <v>28</v>
      </c>
      <c r="F1023" s="3" t="s">
        <v>29</v>
      </c>
      <c r="G1023" s="3" t="str">
        <f>"2025-10-17 18:29:13.047"</f>
        <v>2025-10-17 18:29:13.047</v>
      </c>
      <c r="H1023" s="3" t="s">
        <v>21</v>
      </c>
      <c r="I1023" s="3">
        <v>14.24</v>
      </c>
      <c r="J1023" s="3" t="s">
        <v>31</v>
      </c>
    </row>
    <row r="1024" spans="1:10" s="3" customFormat="1" x14ac:dyDescent="0.25">
      <c r="A1024" s="2">
        <v>46</v>
      </c>
      <c r="B1024" s="3" t="s">
        <v>27</v>
      </c>
      <c r="C1024" s="3">
        <v>647</v>
      </c>
      <c r="D1024" s="3">
        <v>1</v>
      </c>
      <c r="E1024" s="3" t="s">
        <v>28</v>
      </c>
      <c r="F1024" s="3" t="s">
        <v>29</v>
      </c>
      <c r="G1024" s="3" t="str">
        <f>"2025-10-17 14:18:27.647"</f>
        <v>2025-10-17 14:18:27.647</v>
      </c>
      <c r="H1024" s="3" t="s">
        <v>21</v>
      </c>
    </row>
    <row r="1025" spans="1:10" s="3" customFormat="1" x14ac:dyDescent="0.25">
      <c r="A1025" s="2">
        <v>47</v>
      </c>
      <c r="B1025" s="3" t="s">
        <v>30</v>
      </c>
      <c r="C1025" s="3">
        <v>647</v>
      </c>
      <c r="D1025" s="3">
        <v>1</v>
      </c>
      <c r="E1025" s="3" t="s">
        <v>28</v>
      </c>
      <c r="F1025" s="3" t="s">
        <v>29</v>
      </c>
      <c r="G1025" s="3" t="str">
        <f>"2025-10-17 14:18:26.547"</f>
        <v>2025-10-17 14:18:26.547</v>
      </c>
      <c r="H1025" s="3" t="s">
        <v>21</v>
      </c>
      <c r="I1025" s="3">
        <v>20.329999999999998</v>
      </c>
      <c r="J1025" s="3" t="s">
        <v>31</v>
      </c>
    </row>
    <row r="1026" spans="1:10" s="3" customFormat="1" x14ac:dyDescent="0.25">
      <c r="A1026" s="2">
        <v>48</v>
      </c>
      <c r="B1026" s="3" t="s">
        <v>27</v>
      </c>
      <c r="C1026" s="3">
        <v>647</v>
      </c>
      <c r="D1026" s="3">
        <v>1</v>
      </c>
      <c r="E1026" s="3" t="s">
        <v>28</v>
      </c>
      <c r="F1026" s="3" t="s">
        <v>29</v>
      </c>
      <c r="G1026" s="3" t="str">
        <f>"2025-10-17 11:44:21.247"</f>
        <v>2025-10-17 11:44:21.247</v>
      </c>
      <c r="H1026" s="3" t="s">
        <v>21</v>
      </c>
    </row>
    <row r="1027" spans="1:10" s="3" customFormat="1" x14ac:dyDescent="0.25">
      <c r="A1027" s="2">
        <v>49</v>
      </c>
      <c r="B1027" s="3" t="s">
        <v>30</v>
      </c>
      <c r="C1027" s="3">
        <v>647</v>
      </c>
      <c r="D1027" s="3">
        <v>1</v>
      </c>
      <c r="E1027" s="3" t="s">
        <v>28</v>
      </c>
      <c r="F1027" s="3" t="s">
        <v>29</v>
      </c>
      <c r="G1027" s="3" t="str">
        <f>"2025-10-17 11:44:18.947"</f>
        <v>2025-10-17 11:44:18.947</v>
      </c>
      <c r="H1027" s="3" t="s">
        <v>21</v>
      </c>
      <c r="I1027" s="3">
        <v>11.46</v>
      </c>
      <c r="J1027" s="3" t="s">
        <v>31</v>
      </c>
    </row>
    <row r="1028" spans="1:10" s="3" customFormat="1" x14ac:dyDescent="0.25">
      <c r="A1028" s="2">
        <v>53</v>
      </c>
      <c r="B1028" s="3" t="s">
        <v>27</v>
      </c>
      <c r="C1028" s="3">
        <v>647</v>
      </c>
      <c r="D1028" s="3">
        <v>1</v>
      </c>
      <c r="E1028" s="3" t="s">
        <v>28</v>
      </c>
      <c r="F1028" s="3" t="s">
        <v>29</v>
      </c>
      <c r="G1028" s="3" t="str">
        <f>"2025-10-16 19:13:08.447"</f>
        <v>2025-10-16 19:13:08.447</v>
      </c>
      <c r="H1028" s="3" t="s">
        <v>21</v>
      </c>
    </row>
    <row r="1029" spans="1:10" s="3" customFormat="1" x14ac:dyDescent="0.25">
      <c r="A1029" s="2">
        <v>54</v>
      </c>
      <c r="B1029" s="3" t="s">
        <v>30</v>
      </c>
      <c r="C1029" s="3">
        <v>647</v>
      </c>
      <c r="D1029" s="3">
        <v>1</v>
      </c>
      <c r="E1029" s="3" t="s">
        <v>28</v>
      </c>
      <c r="F1029" s="3" t="s">
        <v>29</v>
      </c>
      <c r="G1029" s="3" t="str">
        <f>"2025-10-16 19:13:07.347"</f>
        <v>2025-10-16 19:13:07.347</v>
      </c>
      <c r="H1029" s="3" t="s">
        <v>21</v>
      </c>
      <c r="I1029" s="3">
        <v>28.92</v>
      </c>
      <c r="J1029" s="3" t="s">
        <v>31</v>
      </c>
    </row>
    <row r="1030" spans="1:10" x14ac:dyDescent="0.25">
      <c r="A1030" s="1">
        <v>55</v>
      </c>
      <c r="B1030" t="s">
        <v>27</v>
      </c>
      <c r="C1030">
        <v>635</v>
      </c>
      <c r="D1030">
        <v>1</v>
      </c>
      <c r="E1030" t="s">
        <v>32</v>
      </c>
      <c r="F1030" t="s">
        <v>33</v>
      </c>
      <c r="G1030" t="str">
        <f>"2025-10-16 17:01:49.447"</f>
        <v>2025-10-16 17:01:49.447</v>
      </c>
      <c r="H1030" t="s">
        <v>21</v>
      </c>
    </row>
    <row r="1031" spans="1:10" x14ac:dyDescent="0.25">
      <c r="A1031" s="1">
        <v>56</v>
      </c>
      <c r="B1031" t="s">
        <v>30</v>
      </c>
      <c r="C1031">
        <v>635</v>
      </c>
      <c r="D1031">
        <v>1</v>
      </c>
      <c r="E1031" t="s">
        <v>32</v>
      </c>
      <c r="F1031" t="s">
        <v>33</v>
      </c>
      <c r="G1031" t="str">
        <f>"2025-10-16 16:34:46.047"</f>
        <v>2025-10-16 16:34:46.047</v>
      </c>
      <c r="H1031" t="s">
        <v>21</v>
      </c>
      <c r="I1031">
        <v>1.98</v>
      </c>
      <c r="J1031" t="s">
        <v>34</v>
      </c>
    </row>
    <row r="1032" spans="1:10" s="3" customFormat="1" x14ac:dyDescent="0.25">
      <c r="A1032" s="2">
        <v>57</v>
      </c>
      <c r="B1032" s="3" t="s">
        <v>27</v>
      </c>
      <c r="C1032" s="3">
        <v>647</v>
      </c>
      <c r="D1032" s="3">
        <v>1</v>
      </c>
      <c r="E1032" s="3" t="s">
        <v>28</v>
      </c>
      <c r="F1032" s="3" t="s">
        <v>29</v>
      </c>
      <c r="G1032" s="3" t="str">
        <f>"2025-10-16 13:37:20.846"</f>
        <v>2025-10-16 13:37:20.846</v>
      </c>
      <c r="H1032" s="3" t="s">
        <v>21</v>
      </c>
    </row>
    <row r="1033" spans="1:10" s="3" customFormat="1" x14ac:dyDescent="0.25">
      <c r="A1033" s="2">
        <v>58</v>
      </c>
      <c r="B1033" s="3" t="s">
        <v>30</v>
      </c>
      <c r="C1033" s="3">
        <v>647</v>
      </c>
      <c r="D1033" s="3">
        <v>1</v>
      </c>
      <c r="E1033" s="3" t="s">
        <v>28</v>
      </c>
      <c r="F1033" s="3" t="s">
        <v>29</v>
      </c>
      <c r="G1033" s="3" t="str">
        <f>"2025-10-16 13:37:19.346"</f>
        <v>2025-10-16 13:37:19.346</v>
      </c>
      <c r="H1033" s="3" t="s">
        <v>21</v>
      </c>
      <c r="I1033" s="3">
        <v>11.96</v>
      </c>
      <c r="J1033" s="3" t="s">
        <v>42</v>
      </c>
    </row>
    <row r="1034" spans="1:10" s="3" customFormat="1" x14ac:dyDescent="0.25">
      <c r="A1034" s="2">
        <v>59</v>
      </c>
      <c r="B1034" s="3" t="s">
        <v>27</v>
      </c>
      <c r="C1034" s="3">
        <v>647</v>
      </c>
      <c r="D1034" s="3">
        <v>1</v>
      </c>
      <c r="E1034" s="3" t="s">
        <v>28</v>
      </c>
      <c r="F1034" s="3" t="s">
        <v>29</v>
      </c>
      <c r="G1034" s="3" t="str">
        <f>"2025-10-16 13:34:24.647"</f>
        <v>2025-10-16 13:34:24.647</v>
      </c>
      <c r="H1034" s="3" t="s">
        <v>21</v>
      </c>
    </row>
    <row r="1035" spans="1:10" s="3" customFormat="1" x14ac:dyDescent="0.25">
      <c r="A1035" s="2">
        <v>60</v>
      </c>
      <c r="B1035" s="3" t="s">
        <v>30</v>
      </c>
      <c r="C1035" s="3">
        <v>647</v>
      </c>
      <c r="D1035" s="3">
        <v>1</v>
      </c>
      <c r="E1035" s="3" t="s">
        <v>28</v>
      </c>
      <c r="F1035" s="3" t="s">
        <v>29</v>
      </c>
      <c r="G1035" s="3" t="str">
        <f>"2025-10-16 13:34:22.747"</f>
        <v>2025-10-16 13:34:22.747</v>
      </c>
      <c r="H1035" s="3" t="s">
        <v>21</v>
      </c>
      <c r="I1035" s="3">
        <v>14.18</v>
      </c>
      <c r="J1035" s="3" t="s">
        <v>31</v>
      </c>
    </row>
    <row r="1036" spans="1:10" s="3" customFormat="1" x14ac:dyDescent="0.25">
      <c r="A1036" s="2">
        <v>62</v>
      </c>
      <c r="B1036" s="3" t="s">
        <v>27</v>
      </c>
      <c r="C1036" s="3">
        <v>647</v>
      </c>
      <c r="D1036" s="3">
        <v>1</v>
      </c>
      <c r="E1036" s="3" t="s">
        <v>28</v>
      </c>
      <c r="F1036" s="3" t="s">
        <v>29</v>
      </c>
      <c r="G1036" s="3" t="str">
        <f>"2025-10-16 09:31:56.547"</f>
        <v>2025-10-16 09:31:56.547</v>
      </c>
      <c r="H1036" s="3" t="s">
        <v>21</v>
      </c>
    </row>
    <row r="1037" spans="1:10" s="3" customFormat="1" x14ac:dyDescent="0.25">
      <c r="A1037" s="2">
        <v>63</v>
      </c>
      <c r="B1037" s="3" t="s">
        <v>30</v>
      </c>
      <c r="C1037" s="3">
        <v>647</v>
      </c>
      <c r="D1037" s="3">
        <v>1</v>
      </c>
      <c r="E1037" s="3" t="s">
        <v>28</v>
      </c>
      <c r="F1037" s="3" t="s">
        <v>29</v>
      </c>
      <c r="G1037" s="3" t="str">
        <f>"2025-10-16 09:31:53.847"</f>
        <v>2025-10-16 09:31:53.847</v>
      </c>
      <c r="H1037" s="3" t="s">
        <v>21</v>
      </c>
      <c r="I1037" s="3">
        <v>11.61</v>
      </c>
      <c r="J1037" s="3" t="s">
        <v>31</v>
      </c>
    </row>
    <row r="1038" spans="1:10" s="3" customFormat="1" x14ac:dyDescent="0.25">
      <c r="A1038" s="2">
        <v>64</v>
      </c>
      <c r="B1038" s="3" t="s">
        <v>27</v>
      </c>
      <c r="C1038" s="3">
        <v>647</v>
      </c>
      <c r="D1038" s="3">
        <v>1</v>
      </c>
      <c r="E1038" s="3" t="s">
        <v>28</v>
      </c>
      <c r="F1038" s="3" t="s">
        <v>29</v>
      </c>
      <c r="G1038" s="3" t="str">
        <f>"2025-10-15 18:30:27.347"</f>
        <v>2025-10-15 18:30:27.347</v>
      </c>
      <c r="H1038" s="3" t="s">
        <v>21</v>
      </c>
    </row>
    <row r="1039" spans="1:10" s="3" customFormat="1" x14ac:dyDescent="0.25">
      <c r="A1039" s="2">
        <v>65</v>
      </c>
      <c r="B1039" s="3" t="s">
        <v>30</v>
      </c>
      <c r="C1039" s="3">
        <v>647</v>
      </c>
      <c r="D1039" s="3">
        <v>1</v>
      </c>
      <c r="E1039" s="3" t="s">
        <v>28</v>
      </c>
      <c r="F1039" s="3" t="s">
        <v>29</v>
      </c>
      <c r="G1039" s="3" t="str">
        <f>"2025-10-15 18:30:22.647"</f>
        <v>2025-10-15 18:30:22.647</v>
      </c>
      <c r="H1039" s="3" t="s">
        <v>21</v>
      </c>
      <c r="I1039" s="3">
        <v>13.67</v>
      </c>
      <c r="J1039" s="3" t="s">
        <v>31</v>
      </c>
    </row>
    <row r="1040" spans="1:10" s="3" customFormat="1" x14ac:dyDescent="0.25">
      <c r="A1040" s="2">
        <v>66</v>
      </c>
      <c r="B1040" s="3" t="s">
        <v>27</v>
      </c>
      <c r="C1040" s="3">
        <v>647</v>
      </c>
      <c r="D1040" s="3">
        <v>1</v>
      </c>
      <c r="E1040" s="3" t="s">
        <v>28</v>
      </c>
      <c r="F1040" s="3" t="s">
        <v>29</v>
      </c>
      <c r="G1040" s="3" t="str">
        <f>"2025-10-15 17:33:33.447"</f>
        <v>2025-10-15 17:33:33.447</v>
      </c>
      <c r="H1040" s="3" t="s">
        <v>21</v>
      </c>
    </row>
    <row r="1041" spans="1:10" s="3" customFormat="1" x14ac:dyDescent="0.25">
      <c r="A1041" s="2">
        <v>67</v>
      </c>
      <c r="B1041" s="3" t="s">
        <v>30</v>
      </c>
      <c r="C1041" s="3">
        <v>647</v>
      </c>
      <c r="D1041" s="3">
        <v>1</v>
      </c>
      <c r="E1041" s="3" t="s">
        <v>28</v>
      </c>
      <c r="F1041" s="3" t="s">
        <v>29</v>
      </c>
      <c r="G1041" s="3" t="str">
        <f>"2025-10-15 17:33:30.047"</f>
        <v>2025-10-15 17:33:30.047</v>
      </c>
      <c r="H1041" s="3" t="s">
        <v>21</v>
      </c>
      <c r="I1041" s="3">
        <v>11.39</v>
      </c>
      <c r="J1041" s="3" t="s">
        <v>31</v>
      </c>
    </row>
    <row r="1042" spans="1:10" s="3" customFormat="1" x14ac:dyDescent="0.25">
      <c r="A1042" s="2">
        <v>68</v>
      </c>
      <c r="B1042" s="3" t="s">
        <v>27</v>
      </c>
      <c r="C1042" s="3">
        <v>647</v>
      </c>
      <c r="D1042" s="3">
        <v>1</v>
      </c>
      <c r="E1042" s="3" t="s">
        <v>28</v>
      </c>
      <c r="F1042" s="3" t="s">
        <v>29</v>
      </c>
      <c r="G1042" s="3" t="str">
        <f>"2025-10-15 15:46:06.147"</f>
        <v>2025-10-15 15:46:06.147</v>
      </c>
      <c r="H1042" s="3" t="s">
        <v>21</v>
      </c>
    </row>
    <row r="1043" spans="1:10" s="3" customFormat="1" x14ac:dyDescent="0.25">
      <c r="A1043" s="2">
        <v>69</v>
      </c>
      <c r="B1043" s="3" t="s">
        <v>30</v>
      </c>
      <c r="C1043" s="3">
        <v>647</v>
      </c>
      <c r="D1043" s="3">
        <v>1</v>
      </c>
      <c r="E1043" s="3" t="s">
        <v>28</v>
      </c>
      <c r="F1043" s="3" t="s">
        <v>29</v>
      </c>
      <c r="G1043" s="3" t="str">
        <f>"2025-10-15 15:46:04.647"</f>
        <v>2025-10-15 15:46:04.647</v>
      </c>
      <c r="H1043" s="3" t="s">
        <v>21</v>
      </c>
      <c r="I1043" s="3">
        <v>14.13</v>
      </c>
      <c r="J1043" s="3" t="s">
        <v>31</v>
      </c>
    </row>
    <row r="1044" spans="1:10" s="3" customFormat="1" x14ac:dyDescent="0.25">
      <c r="A1044" s="2">
        <v>70</v>
      </c>
      <c r="B1044" s="3" t="s">
        <v>27</v>
      </c>
      <c r="C1044" s="3">
        <v>647</v>
      </c>
      <c r="D1044" s="3">
        <v>1</v>
      </c>
      <c r="E1044" s="3" t="s">
        <v>28</v>
      </c>
      <c r="F1044" s="3" t="s">
        <v>29</v>
      </c>
      <c r="G1044" s="3" t="str">
        <f>"2025-10-15 15:45:50.747"</f>
        <v>2025-10-15 15:45:50.747</v>
      </c>
      <c r="H1044" s="3" t="s">
        <v>21</v>
      </c>
    </row>
    <row r="1045" spans="1:10" s="3" customFormat="1" x14ac:dyDescent="0.25">
      <c r="A1045" s="2">
        <v>71</v>
      </c>
      <c r="B1045" s="3" t="s">
        <v>30</v>
      </c>
      <c r="C1045" s="3">
        <v>647</v>
      </c>
      <c r="D1045" s="3">
        <v>1</v>
      </c>
      <c r="E1045" s="3" t="s">
        <v>28</v>
      </c>
      <c r="F1045" s="3" t="s">
        <v>29</v>
      </c>
      <c r="G1045" s="3" t="str">
        <f>"2025-10-15 15:45:49.047"</f>
        <v>2025-10-15 15:45:49.047</v>
      </c>
      <c r="H1045" s="3" t="s">
        <v>21</v>
      </c>
      <c r="I1045" s="3">
        <v>22.11</v>
      </c>
      <c r="J1045" s="3" t="s">
        <v>31</v>
      </c>
    </row>
    <row r="1046" spans="1:10" s="3" customFormat="1" x14ac:dyDescent="0.25">
      <c r="A1046" s="2">
        <v>72</v>
      </c>
      <c r="B1046" s="3" t="s">
        <v>27</v>
      </c>
      <c r="C1046" s="3">
        <v>647</v>
      </c>
      <c r="D1046" s="3">
        <v>1</v>
      </c>
      <c r="E1046" s="3" t="s">
        <v>28</v>
      </c>
      <c r="F1046" s="3" t="s">
        <v>29</v>
      </c>
      <c r="G1046" s="3" t="str">
        <f>"2025-10-15 15:23:54.346"</f>
        <v>2025-10-15 15:23:54.346</v>
      </c>
      <c r="H1046" s="3" t="s">
        <v>21</v>
      </c>
    </row>
    <row r="1047" spans="1:10" s="3" customFormat="1" x14ac:dyDescent="0.25">
      <c r="A1047" s="2">
        <v>73</v>
      </c>
      <c r="B1047" s="3" t="s">
        <v>30</v>
      </c>
      <c r="C1047" s="3">
        <v>647</v>
      </c>
      <c r="D1047" s="3">
        <v>1</v>
      </c>
      <c r="E1047" s="3" t="s">
        <v>28</v>
      </c>
      <c r="F1047" s="3" t="s">
        <v>29</v>
      </c>
      <c r="G1047" s="3" t="str">
        <f>"2025-10-15 15:23:48.047"</f>
        <v>2025-10-15 15:23:48.047</v>
      </c>
      <c r="H1047" s="3" t="s">
        <v>21</v>
      </c>
      <c r="I1047" s="3">
        <v>15.31</v>
      </c>
      <c r="J1047" s="3" t="s">
        <v>31</v>
      </c>
    </row>
    <row r="1048" spans="1:10" s="3" customFormat="1" x14ac:dyDescent="0.25">
      <c r="A1048" s="2">
        <v>75</v>
      </c>
      <c r="B1048" s="3" t="s">
        <v>27</v>
      </c>
      <c r="C1048" s="3">
        <v>647</v>
      </c>
      <c r="D1048" s="3">
        <v>1</v>
      </c>
      <c r="E1048" s="3" t="s">
        <v>28</v>
      </c>
      <c r="F1048" s="3" t="s">
        <v>29</v>
      </c>
      <c r="G1048" s="3" t="str">
        <f>"2025-10-15 08:57:00.047"</f>
        <v>2025-10-15 08:57:00.047</v>
      </c>
      <c r="H1048" s="3" t="s">
        <v>21</v>
      </c>
    </row>
    <row r="1049" spans="1:10" s="3" customFormat="1" x14ac:dyDescent="0.25">
      <c r="A1049" s="2">
        <v>76</v>
      </c>
      <c r="B1049" s="3" t="s">
        <v>30</v>
      </c>
      <c r="C1049" s="3">
        <v>647</v>
      </c>
      <c r="D1049" s="3">
        <v>1</v>
      </c>
      <c r="E1049" s="3" t="s">
        <v>28</v>
      </c>
      <c r="F1049" s="3" t="s">
        <v>29</v>
      </c>
      <c r="G1049" s="3" t="str">
        <f>"2025-10-15 08:56:58.547"</f>
        <v>2025-10-15 08:56:58.547</v>
      </c>
      <c r="H1049" s="3" t="s">
        <v>21</v>
      </c>
      <c r="I1049" s="3">
        <v>12.88</v>
      </c>
      <c r="J1049" s="3" t="s">
        <v>31</v>
      </c>
    </row>
    <row r="1050" spans="1:10" s="3" customFormat="1" x14ac:dyDescent="0.25">
      <c r="A1050" s="2">
        <v>77</v>
      </c>
      <c r="B1050" s="3" t="s">
        <v>27</v>
      </c>
      <c r="C1050" s="3">
        <v>647</v>
      </c>
      <c r="D1050" s="3">
        <v>1</v>
      </c>
      <c r="E1050" s="3" t="s">
        <v>28</v>
      </c>
      <c r="F1050" s="3" t="s">
        <v>29</v>
      </c>
      <c r="G1050" s="3" t="str">
        <f>"2025-10-15 08:53:32.447"</f>
        <v>2025-10-15 08:53:32.447</v>
      </c>
      <c r="H1050" s="3" t="s">
        <v>21</v>
      </c>
    </row>
    <row r="1051" spans="1:10" s="3" customFormat="1" x14ac:dyDescent="0.25">
      <c r="A1051" s="2">
        <v>78</v>
      </c>
      <c r="B1051" s="3" t="s">
        <v>30</v>
      </c>
      <c r="C1051" s="3">
        <v>647</v>
      </c>
      <c r="D1051" s="3">
        <v>1</v>
      </c>
      <c r="E1051" s="3" t="s">
        <v>28</v>
      </c>
      <c r="F1051" s="3" t="s">
        <v>29</v>
      </c>
      <c r="G1051" s="3" t="str">
        <f>"2025-10-15 08:53:31.347"</f>
        <v>2025-10-15 08:53:31.347</v>
      </c>
      <c r="H1051" s="3" t="s">
        <v>21</v>
      </c>
      <c r="I1051" s="3">
        <v>16.09</v>
      </c>
      <c r="J1051" s="3" t="s">
        <v>31</v>
      </c>
    </row>
    <row r="1052" spans="1:10" s="3" customFormat="1" x14ac:dyDescent="0.25">
      <c r="A1052" s="2">
        <v>80</v>
      </c>
      <c r="B1052" s="3" t="s">
        <v>27</v>
      </c>
      <c r="C1052" s="3">
        <v>647</v>
      </c>
      <c r="D1052" s="3">
        <v>1</v>
      </c>
      <c r="E1052" s="3" t="s">
        <v>28</v>
      </c>
      <c r="F1052" s="3" t="s">
        <v>29</v>
      </c>
      <c r="G1052" s="3" t="str">
        <f>"2025-10-14 22:24:29.147"</f>
        <v>2025-10-14 22:24:29.147</v>
      </c>
      <c r="H1052" s="3" t="s">
        <v>21</v>
      </c>
    </row>
    <row r="1053" spans="1:10" s="3" customFormat="1" x14ac:dyDescent="0.25">
      <c r="A1053" s="2">
        <v>81</v>
      </c>
      <c r="B1053" s="3" t="s">
        <v>30</v>
      </c>
      <c r="C1053" s="3">
        <v>647</v>
      </c>
      <c r="D1053" s="3">
        <v>1</v>
      </c>
      <c r="E1053" s="3" t="s">
        <v>28</v>
      </c>
      <c r="F1053" s="3" t="s">
        <v>29</v>
      </c>
      <c r="G1053" s="3" t="str">
        <f>"2025-10-14 22:24:25.348"</f>
        <v>2025-10-14 22:24:25.348</v>
      </c>
      <c r="H1053" s="3" t="s">
        <v>21</v>
      </c>
      <c r="I1053" s="3">
        <v>10.15</v>
      </c>
      <c r="J1053" s="3" t="s">
        <v>31</v>
      </c>
    </row>
    <row r="1054" spans="1:10" x14ac:dyDescent="0.25">
      <c r="A1054" s="1">
        <v>83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"2025-10-14 09:24:06.768"</f>
        <v>2025-10-14 09:24:06.768</v>
      </c>
      <c r="H1054" t="s">
        <v>21</v>
      </c>
      <c r="I1054">
        <v>0</v>
      </c>
      <c r="J1054" t="s">
        <v>22</v>
      </c>
    </row>
    <row r="1055" spans="1:10" x14ac:dyDescent="0.25">
      <c r="A1055" s="1">
        <v>84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"2025-10-14 09:21:14.862"</f>
        <v>2025-10-14 09:21:14.862</v>
      </c>
      <c r="H1055" t="s">
        <v>21</v>
      </c>
      <c r="I1055">
        <v>0</v>
      </c>
      <c r="J1055" t="s">
        <v>22</v>
      </c>
    </row>
    <row r="1056" spans="1:10" s="3" customFormat="1" x14ac:dyDescent="0.25">
      <c r="A1056" s="2">
        <v>86</v>
      </c>
      <c r="B1056" s="3" t="s">
        <v>27</v>
      </c>
      <c r="C1056" s="3">
        <v>647</v>
      </c>
      <c r="D1056" s="3">
        <v>1</v>
      </c>
      <c r="E1056" s="3" t="s">
        <v>28</v>
      </c>
      <c r="F1056" s="3" t="s">
        <v>29</v>
      </c>
      <c r="G1056" s="3" t="str">
        <f>"2025-10-13 15:26:40.118"</f>
        <v>2025-10-13 15:26:40.118</v>
      </c>
      <c r="H1056" s="3" t="s">
        <v>21</v>
      </c>
    </row>
    <row r="1057" spans="1:10" s="3" customFormat="1" x14ac:dyDescent="0.25">
      <c r="A1057" s="2">
        <v>87</v>
      </c>
      <c r="B1057" s="3" t="s">
        <v>30</v>
      </c>
      <c r="C1057" s="3">
        <v>647</v>
      </c>
      <c r="D1057" s="3">
        <v>1</v>
      </c>
      <c r="E1057" s="3" t="s">
        <v>28</v>
      </c>
      <c r="F1057" s="3" t="s">
        <v>29</v>
      </c>
      <c r="G1057" s="3" t="str">
        <f>"2025-10-13 15:26:38.818"</f>
        <v>2025-10-13 15:26:38.818</v>
      </c>
      <c r="H1057" s="3" t="s">
        <v>21</v>
      </c>
      <c r="I1057" s="3">
        <v>23.38</v>
      </c>
      <c r="J1057" s="3" t="s">
        <v>31</v>
      </c>
    </row>
    <row r="1058" spans="1:10" s="3" customFormat="1" x14ac:dyDescent="0.25">
      <c r="A1058" s="2">
        <v>88</v>
      </c>
      <c r="B1058" s="3" t="s">
        <v>27</v>
      </c>
      <c r="C1058" s="3">
        <v>647</v>
      </c>
      <c r="D1058" s="3">
        <v>1</v>
      </c>
      <c r="E1058" s="3" t="s">
        <v>28</v>
      </c>
      <c r="F1058" s="3" t="s">
        <v>29</v>
      </c>
      <c r="G1058" s="3" t="str">
        <f>"2025-10-12 23:33:41.318"</f>
        <v>2025-10-12 23:33:41.318</v>
      </c>
      <c r="H1058" s="3" t="s">
        <v>21</v>
      </c>
    </row>
    <row r="1059" spans="1:10" s="3" customFormat="1" x14ac:dyDescent="0.25">
      <c r="A1059" s="2">
        <v>89</v>
      </c>
      <c r="B1059" s="3" t="s">
        <v>30</v>
      </c>
      <c r="C1059" s="3">
        <v>647</v>
      </c>
      <c r="D1059" s="3">
        <v>1</v>
      </c>
      <c r="E1059" s="3" t="s">
        <v>28</v>
      </c>
      <c r="F1059" s="3" t="s">
        <v>29</v>
      </c>
      <c r="G1059" s="3" t="str">
        <f>"2025-10-12 23:33:40.218"</f>
        <v>2025-10-12 23:33:40.218</v>
      </c>
      <c r="H1059" s="3" t="s">
        <v>21</v>
      </c>
      <c r="I1059" s="3">
        <v>12.49</v>
      </c>
      <c r="J1059" s="3" t="s">
        <v>31</v>
      </c>
    </row>
    <row r="1060" spans="1:10" x14ac:dyDescent="0.25">
      <c r="A1060" s="1">
        <v>90</v>
      </c>
      <c r="B1060" t="s">
        <v>27</v>
      </c>
      <c r="C1060">
        <v>635</v>
      </c>
      <c r="D1060">
        <v>1</v>
      </c>
      <c r="E1060" t="s">
        <v>32</v>
      </c>
      <c r="F1060" t="s">
        <v>33</v>
      </c>
      <c r="G1060" t="str">
        <f>"2025-10-12 18:06:37.718"</f>
        <v>2025-10-12 18:06:37.718</v>
      </c>
      <c r="H1060" t="s">
        <v>21</v>
      </c>
    </row>
    <row r="1061" spans="1:10" x14ac:dyDescent="0.25">
      <c r="A1061" s="1">
        <v>91</v>
      </c>
      <c r="B1061" t="s">
        <v>30</v>
      </c>
      <c r="C1061">
        <v>635</v>
      </c>
      <c r="D1061">
        <v>1</v>
      </c>
      <c r="E1061" t="s">
        <v>32</v>
      </c>
      <c r="F1061" t="s">
        <v>33</v>
      </c>
      <c r="G1061" t="str">
        <f>"2025-10-12 18:01:11.218"</f>
        <v>2025-10-12 18:01:11.218</v>
      </c>
      <c r="H1061" t="s">
        <v>21</v>
      </c>
      <c r="I1061">
        <v>-0.02</v>
      </c>
      <c r="J1061" t="s">
        <v>42</v>
      </c>
    </row>
    <row r="1062" spans="1:10" x14ac:dyDescent="0.25">
      <c r="A1062" s="1">
        <v>92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"2025-10-12 09:35:24.790"</f>
        <v>2025-10-12 09:35:24.790</v>
      </c>
      <c r="H1062" t="s">
        <v>21</v>
      </c>
    </row>
    <row r="1063" spans="1:10" x14ac:dyDescent="0.25">
      <c r="A1063" s="1">
        <v>93</v>
      </c>
      <c r="B1063" t="s">
        <v>19</v>
      </c>
      <c r="C1063">
        <v>706</v>
      </c>
      <c r="D1063">
        <v>4</v>
      </c>
      <c r="E1063" t="s">
        <v>23</v>
      </c>
      <c r="F1063" t="s">
        <v>26</v>
      </c>
      <c r="G1063" t="str">
        <f>"2025-10-11 22:40:03.853"</f>
        <v>2025-10-11 22:40:03.853</v>
      </c>
      <c r="H1063" t="s">
        <v>21</v>
      </c>
      <c r="I1063">
        <v>0</v>
      </c>
      <c r="J1063" t="s">
        <v>25</v>
      </c>
    </row>
    <row r="1064" spans="1:10" x14ac:dyDescent="0.25">
      <c r="A1064" s="1">
        <v>94</v>
      </c>
      <c r="B1064" t="s">
        <v>19</v>
      </c>
      <c r="C1064">
        <v>700</v>
      </c>
      <c r="D1064">
        <v>0</v>
      </c>
      <c r="E1064" t="s">
        <v>20</v>
      </c>
      <c r="F1064" t="s">
        <v>20</v>
      </c>
      <c r="G1064" t="str">
        <f>"2025-10-11 22:39:38.753"</f>
        <v>2025-10-11 22:39:38.753</v>
      </c>
      <c r="H1064" t="s">
        <v>21</v>
      </c>
      <c r="I1064">
        <v>0</v>
      </c>
      <c r="J1064" t="s">
        <v>22</v>
      </c>
    </row>
    <row r="1065" spans="1:10" x14ac:dyDescent="0.25">
      <c r="A1065" s="1">
        <v>95</v>
      </c>
      <c r="B1065" t="s">
        <v>19</v>
      </c>
      <c r="C1065">
        <v>706</v>
      </c>
      <c r="D1065">
        <v>2</v>
      </c>
      <c r="E1065" t="s">
        <v>23</v>
      </c>
      <c r="F1065" t="s">
        <v>24</v>
      </c>
      <c r="G1065" t="str">
        <f>"2025-10-11 22:11:05.240"</f>
        <v>2025-10-11 22:11:05.240</v>
      </c>
      <c r="H1065" t="s">
        <v>21</v>
      </c>
      <c r="I1065">
        <v>0</v>
      </c>
      <c r="J1065" t="s">
        <v>25</v>
      </c>
    </row>
    <row r="1066" spans="1:10" x14ac:dyDescent="0.25">
      <c r="A1066" s="1">
        <v>96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"2025-10-11 21:46:18.990"</f>
        <v>2025-10-11 21:46:18.990</v>
      </c>
      <c r="H1066" t="s">
        <v>21</v>
      </c>
    </row>
    <row r="1067" spans="1:10" x14ac:dyDescent="0.25">
      <c r="A1067" s="1">
        <v>97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"2025-10-11 21:30:18.756"</f>
        <v>2025-10-11 21:30:18.756</v>
      </c>
      <c r="H1067" t="s">
        <v>21</v>
      </c>
      <c r="I1067">
        <v>0</v>
      </c>
      <c r="J1067" t="s">
        <v>22</v>
      </c>
    </row>
    <row r="1068" spans="1:10" x14ac:dyDescent="0.25">
      <c r="A1068" s="1">
        <v>98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"2025-10-11 21:26:14.026"</f>
        <v>2025-10-11 21:26:14.026</v>
      </c>
      <c r="H1068" t="s">
        <v>21</v>
      </c>
      <c r="I1068">
        <v>0</v>
      </c>
      <c r="J1068" t="s">
        <v>22</v>
      </c>
    </row>
    <row r="1069" spans="1:10" s="3" customFormat="1" x14ac:dyDescent="0.25">
      <c r="A1069" s="2">
        <v>99</v>
      </c>
      <c r="B1069" s="3" t="s">
        <v>27</v>
      </c>
      <c r="C1069" s="3">
        <v>647</v>
      </c>
      <c r="D1069" s="3">
        <v>1</v>
      </c>
      <c r="E1069" s="3" t="s">
        <v>28</v>
      </c>
      <c r="F1069" s="3" t="s">
        <v>29</v>
      </c>
      <c r="G1069" s="3" t="str">
        <f>"2025-10-11 16:34:14.522"</f>
        <v>2025-10-11 16:34:14.522</v>
      </c>
      <c r="H1069" s="3" t="s">
        <v>21</v>
      </c>
    </row>
    <row r="1070" spans="1:10" s="3" customFormat="1" x14ac:dyDescent="0.25">
      <c r="A1070" s="2">
        <v>100</v>
      </c>
      <c r="B1070" s="3" t="s">
        <v>30</v>
      </c>
      <c r="C1070" s="3">
        <v>647</v>
      </c>
      <c r="D1070" s="3">
        <v>1</v>
      </c>
      <c r="E1070" s="3" t="s">
        <v>28</v>
      </c>
      <c r="F1070" s="3" t="s">
        <v>29</v>
      </c>
      <c r="G1070" s="3" t="str">
        <f>"2025-10-11 16:34:10.222"</f>
        <v>2025-10-11 16:34:10.222</v>
      </c>
      <c r="H1070" s="3" t="s">
        <v>21</v>
      </c>
      <c r="I1070" s="3">
        <v>10.86</v>
      </c>
      <c r="J1070" s="3" t="s">
        <v>31</v>
      </c>
    </row>
    <row r="1071" spans="1:10" x14ac:dyDescent="0.25">
      <c r="A1071" s="1">
        <v>101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"2025-10-11 09:42:25.788"</f>
        <v>2025-10-11 09:42:25.788</v>
      </c>
      <c r="H1071" t="s">
        <v>21</v>
      </c>
    </row>
    <row r="1072" spans="1:10" x14ac:dyDescent="0.25">
      <c r="A1072" s="1">
        <v>103</v>
      </c>
      <c r="B1072" t="s">
        <v>27</v>
      </c>
      <c r="C1072">
        <v>635</v>
      </c>
      <c r="D1072">
        <v>1</v>
      </c>
      <c r="E1072" t="s">
        <v>32</v>
      </c>
      <c r="F1072" t="s">
        <v>33</v>
      </c>
      <c r="G1072" t="str">
        <f>"2025-10-10 14:54:37.828"</f>
        <v>2025-10-10 14:54:37.828</v>
      </c>
      <c r="H1072" t="s">
        <v>21</v>
      </c>
    </row>
    <row r="1073" spans="1:10" x14ac:dyDescent="0.25">
      <c r="A1073" s="1">
        <v>104</v>
      </c>
      <c r="B1073" t="s">
        <v>30</v>
      </c>
      <c r="C1073">
        <v>635</v>
      </c>
      <c r="D1073">
        <v>1</v>
      </c>
      <c r="E1073" t="s">
        <v>32</v>
      </c>
      <c r="F1073" t="s">
        <v>33</v>
      </c>
      <c r="G1073" t="str">
        <f>"2025-10-10 14:22:26.928"</f>
        <v>2025-10-10 14:22:26.928</v>
      </c>
      <c r="H1073" t="s">
        <v>21</v>
      </c>
      <c r="I1073">
        <v>8.06</v>
      </c>
      <c r="J1073" t="s">
        <v>34</v>
      </c>
    </row>
    <row r="1074" spans="1:10" x14ac:dyDescent="0.25">
      <c r="A1074" s="1">
        <v>105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"2025-10-10 10:24:44.784"</f>
        <v>2025-10-10 10:24:44.784</v>
      </c>
      <c r="H1074" t="s">
        <v>21</v>
      </c>
      <c r="I1074">
        <v>0</v>
      </c>
      <c r="J1074" t="s">
        <v>22</v>
      </c>
    </row>
    <row r="1075" spans="1:10" x14ac:dyDescent="0.25">
      <c r="A1075" s="1">
        <v>106</v>
      </c>
      <c r="B1075" t="s">
        <v>27</v>
      </c>
      <c r="C1075">
        <v>98</v>
      </c>
      <c r="D1075">
        <v>1</v>
      </c>
      <c r="E1075" t="s">
        <v>40</v>
      </c>
      <c r="F1075" t="s">
        <v>41</v>
      </c>
      <c r="G1075" t="str">
        <f>"2025-10-09 02:12:57.286"</f>
        <v>2025-10-09 02:12:57.286</v>
      </c>
      <c r="H1075" t="s">
        <v>21</v>
      </c>
    </row>
    <row r="1076" spans="1:10" x14ac:dyDescent="0.25">
      <c r="A1076" s="1">
        <v>107</v>
      </c>
      <c r="B1076" t="s">
        <v>30</v>
      </c>
      <c r="C1076">
        <v>98</v>
      </c>
      <c r="D1076">
        <v>1</v>
      </c>
      <c r="E1076" t="s">
        <v>40</v>
      </c>
      <c r="F1076" t="s">
        <v>41</v>
      </c>
      <c r="G1076" t="str">
        <f>"2025-10-09 02:12:56.186"</f>
        <v>2025-10-09 02:12:56.186</v>
      </c>
      <c r="H1076" t="s">
        <v>21</v>
      </c>
      <c r="I1076">
        <v>0</v>
      </c>
      <c r="J1076" t="s">
        <v>42</v>
      </c>
    </row>
    <row r="1077" spans="1:10" s="3" customFormat="1" x14ac:dyDescent="0.25">
      <c r="A1077" s="2">
        <v>108</v>
      </c>
      <c r="B1077" s="3" t="s">
        <v>27</v>
      </c>
      <c r="C1077" s="3">
        <v>647</v>
      </c>
      <c r="D1077" s="3">
        <v>1</v>
      </c>
      <c r="E1077" s="3" t="s">
        <v>28</v>
      </c>
      <c r="F1077" s="3" t="s">
        <v>29</v>
      </c>
      <c r="G1077" s="3" t="str">
        <f>"2025-10-08 15:24:00.287"</f>
        <v>2025-10-08 15:24:00.287</v>
      </c>
      <c r="H1077" s="3" t="s">
        <v>21</v>
      </c>
    </row>
    <row r="1078" spans="1:10" s="3" customFormat="1" x14ac:dyDescent="0.25">
      <c r="A1078" s="2">
        <v>109</v>
      </c>
      <c r="B1078" s="3" t="s">
        <v>30</v>
      </c>
      <c r="C1078" s="3">
        <v>647</v>
      </c>
      <c r="D1078" s="3">
        <v>1</v>
      </c>
      <c r="E1078" s="3" t="s">
        <v>28</v>
      </c>
      <c r="F1078" s="3" t="s">
        <v>29</v>
      </c>
      <c r="G1078" s="3" t="str">
        <f>"2025-10-08 15:23:56.787"</f>
        <v>2025-10-08 15:23:56.787</v>
      </c>
      <c r="H1078" s="3" t="s">
        <v>21</v>
      </c>
      <c r="I1078" s="3">
        <v>10.23</v>
      </c>
      <c r="J1078" s="3" t="s">
        <v>31</v>
      </c>
    </row>
    <row r="1079" spans="1:10" s="3" customFormat="1" x14ac:dyDescent="0.25">
      <c r="A1079" s="2">
        <v>110</v>
      </c>
      <c r="B1079" s="3" t="s">
        <v>27</v>
      </c>
      <c r="C1079" s="3">
        <v>647</v>
      </c>
      <c r="D1079" s="3">
        <v>1</v>
      </c>
      <c r="E1079" s="3" t="s">
        <v>28</v>
      </c>
      <c r="F1079" s="3" t="s">
        <v>29</v>
      </c>
      <c r="G1079" s="3" t="str">
        <f>"2025-10-08 04:04:55.187"</f>
        <v>2025-10-08 04:04:55.187</v>
      </c>
      <c r="H1079" s="3" t="s">
        <v>21</v>
      </c>
    </row>
    <row r="1080" spans="1:10" s="3" customFormat="1" x14ac:dyDescent="0.25">
      <c r="A1080" s="2">
        <v>111</v>
      </c>
      <c r="B1080" s="3" t="s">
        <v>30</v>
      </c>
      <c r="C1080" s="3">
        <v>647</v>
      </c>
      <c r="D1080" s="3">
        <v>1</v>
      </c>
      <c r="E1080" s="3" t="s">
        <v>28</v>
      </c>
      <c r="F1080" s="3" t="s">
        <v>29</v>
      </c>
      <c r="G1080" s="3" t="str">
        <f>"2025-10-08 04:04:51.287"</f>
        <v>2025-10-08 04:04:51.287</v>
      </c>
      <c r="H1080" s="3" t="s">
        <v>21</v>
      </c>
      <c r="I1080" s="3">
        <v>23.53</v>
      </c>
      <c r="J1080" s="3" t="s">
        <v>31</v>
      </c>
    </row>
    <row r="1081" spans="1:10" s="3" customFormat="1" x14ac:dyDescent="0.25">
      <c r="A1081" s="2">
        <v>113</v>
      </c>
      <c r="B1081" s="3" t="s">
        <v>27</v>
      </c>
      <c r="C1081" s="3">
        <v>647</v>
      </c>
      <c r="D1081" s="3">
        <v>1</v>
      </c>
      <c r="E1081" s="3" t="s">
        <v>28</v>
      </c>
      <c r="F1081" s="3" t="s">
        <v>29</v>
      </c>
      <c r="G1081" s="3" t="str">
        <f>"2025-10-07 19:49:08.087"</f>
        <v>2025-10-07 19:49:08.087</v>
      </c>
      <c r="H1081" s="3" t="s">
        <v>21</v>
      </c>
    </row>
    <row r="1082" spans="1:10" s="3" customFormat="1" x14ac:dyDescent="0.25">
      <c r="A1082" s="2">
        <v>114</v>
      </c>
      <c r="B1082" s="3" t="s">
        <v>30</v>
      </c>
      <c r="C1082" s="3">
        <v>647</v>
      </c>
      <c r="D1082" s="3">
        <v>1</v>
      </c>
      <c r="E1082" s="3" t="s">
        <v>28</v>
      </c>
      <c r="F1082" s="3" t="s">
        <v>29</v>
      </c>
      <c r="G1082" s="3" t="str">
        <f>"2025-10-07 19:49:06.787"</f>
        <v>2025-10-07 19:49:06.787</v>
      </c>
      <c r="H1082" s="3" t="s">
        <v>21</v>
      </c>
      <c r="I1082" s="3">
        <v>20.57</v>
      </c>
      <c r="J1082" s="3" t="s">
        <v>31</v>
      </c>
    </row>
    <row r="1083" spans="1:10" x14ac:dyDescent="0.25">
      <c r="A1083" s="1">
        <v>116</v>
      </c>
      <c r="B1083" t="s">
        <v>27</v>
      </c>
      <c r="C1083">
        <v>61</v>
      </c>
      <c r="D1083">
        <v>2</v>
      </c>
      <c r="E1083" t="s">
        <v>47</v>
      </c>
      <c r="F1083" t="s">
        <v>48</v>
      </c>
      <c r="G1083" t="str">
        <f>"2025-10-05 15:18:05.787"</f>
        <v>2025-10-05 15:18:05.787</v>
      </c>
      <c r="H1083" t="s">
        <v>21</v>
      </c>
    </row>
    <row r="1084" spans="1:10" x14ac:dyDescent="0.25">
      <c r="A1084" s="1">
        <v>117</v>
      </c>
      <c r="B1084" t="s">
        <v>39</v>
      </c>
      <c r="C1084">
        <v>61</v>
      </c>
      <c r="D1084">
        <v>2</v>
      </c>
      <c r="E1084" t="s">
        <v>47</v>
      </c>
      <c r="F1084" t="s">
        <v>48</v>
      </c>
      <c r="G1084" t="str">
        <f>"2025-10-05 15:17:55.187"</f>
        <v>2025-10-05 15:17:55.187</v>
      </c>
      <c r="H1084" t="s">
        <v>21</v>
      </c>
      <c r="I1084">
        <v>36.31</v>
      </c>
      <c r="J1084" t="s">
        <v>31</v>
      </c>
    </row>
    <row r="1085" spans="1:10" x14ac:dyDescent="0.25">
      <c r="A1085" s="1">
        <v>118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"2025-10-04 15:24:22.755"</f>
        <v>2025-10-04 15:24:22.755</v>
      </c>
      <c r="H1085" t="s">
        <v>21</v>
      </c>
      <c r="I1085">
        <v>0</v>
      </c>
      <c r="J1085" t="s">
        <v>22</v>
      </c>
    </row>
    <row r="1086" spans="1:10" s="3" customFormat="1" x14ac:dyDescent="0.25">
      <c r="A1086" s="2">
        <v>120</v>
      </c>
      <c r="B1086" s="3" t="s">
        <v>27</v>
      </c>
      <c r="C1086" s="3">
        <v>647</v>
      </c>
      <c r="D1086" s="3">
        <v>1</v>
      </c>
      <c r="E1086" s="3" t="s">
        <v>28</v>
      </c>
      <c r="F1086" s="3" t="s">
        <v>29</v>
      </c>
      <c r="G1086" s="3" t="str">
        <f>"2025-10-03 07:34:30.251"</f>
        <v>2025-10-03 07:34:30.251</v>
      </c>
      <c r="H1086" s="3" t="s">
        <v>21</v>
      </c>
    </row>
    <row r="1087" spans="1:10" s="3" customFormat="1" x14ac:dyDescent="0.25">
      <c r="A1087" s="2">
        <v>121</v>
      </c>
      <c r="B1087" s="3" t="s">
        <v>30</v>
      </c>
      <c r="C1087" s="3">
        <v>647</v>
      </c>
      <c r="D1087" s="3">
        <v>1</v>
      </c>
      <c r="E1087" s="3" t="s">
        <v>28</v>
      </c>
      <c r="F1087" s="3" t="s">
        <v>29</v>
      </c>
      <c r="G1087" s="3" t="str">
        <f>"2025-10-03 07:34:28.751"</f>
        <v>2025-10-03 07:34:28.751</v>
      </c>
      <c r="H1087" s="3" t="s">
        <v>21</v>
      </c>
      <c r="I1087" s="3">
        <v>21.62</v>
      </c>
      <c r="J1087" s="3" t="s">
        <v>31</v>
      </c>
    </row>
    <row r="1088" spans="1:10" x14ac:dyDescent="0.25">
      <c r="A1088" s="1">
        <v>122</v>
      </c>
      <c r="B1088" t="s">
        <v>27</v>
      </c>
      <c r="C1088">
        <v>98</v>
      </c>
      <c r="D1088">
        <v>1</v>
      </c>
      <c r="E1088" t="s">
        <v>40</v>
      </c>
      <c r="F1088" t="s">
        <v>41</v>
      </c>
      <c r="G1088" t="str">
        <f>"2025-10-03 06:52:35.543"</f>
        <v>2025-10-03 06:52:35.543</v>
      </c>
      <c r="H1088" t="s">
        <v>21</v>
      </c>
    </row>
    <row r="1089" spans="1:10" x14ac:dyDescent="0.25">
      <c r="A1089" s="1">
        <v>123</v>
      </c>
      <c r="B1089" t="s">
        <v>30</v>
      </c>
      <c r="C1089">
        <v>98</v>
      </c>
      <c r="D1089">
        <v>1</v>
      </c>
      <c r="E1089" t="s">
        <v>40</v>
      </c>
      <c r="F1089" t="s">
        <v>41</v>
      </c>
      <c r="G1089" t="str">
        <f>"2025-10-03 06:52:34.544"</f>
        <v>2025-10-03 06:52:34.544</v>
      </c>
      <c r="H1089" t="s">
        <v>21</v>
      </c>
      <c r="I1089">
        <v>-0.03</v>
      </c>
      <c r="J1089" t="s">
        <v>42</v>
      </c>
    </row>
    <row r="1090" spans="1:10" s="3" customFormat="1" x14ac:dyDescent="0.25">
      <c r="A1090" s="2">
        <v>125</v>
      </c>
      <c r="B1090" s="3" t="s">
        <v>27</v>
      </c>
      <c r="C1090" s="3">
        <v>647</v>
      </c>
      <c r="D1090" s="3">
        <v>1</v>
      </c>
      <c r="E1090" s="3" t="s">
        <v>28</v>
      </c>
      <c r="F1090" s="3" t="s">
        <v>29</v>
      </c>
      <c r="G1090" s="3" t="str">
        <f>"2025-10-02 04:37:41.251"</f>
        <v>2025-10-02 04:37:41.251</v>
      </c>
      <c r="H1090" s="3" t="s">
        <v>21</v>
      </c>
    </row>
    <row r="1091" spans="1:10" s="3" customFormat="1" x14ac:dyDescent="0.25">
      <c r="A1091" s="2">
        <v>126</v>
      </c>
      <c r="B1091" s="3" t="s">
        <v>30</v>
      </c>
      <c r="C1091" s="3">
        <v>647</v>
      </c>
      <c r="D1091" s="3">
        <v>1</v>
      </c>
      <c r="E1091" s="3" t="s">
        <v>28</v>
      </c>
      <c r="F1091" s="3" t="s">
        <v>29</v>
      </c>
      <c r="G1091" s="3" t="str">
        <f>"2025-10-02 04:37:38.751"</f>
        <v>2025-10-02 04:37:38.751</v>
      </c>
      <c r="H1091" s="3" t="s">
        <v>21</v>
      </c>
      <c r="I1091" s="3">
        <v>20.74</v>
      </c>
      <c r="J1091" s="3" t="s">
        <v>31</v>
      </c>
    </row>
    <row r="1092" spans="1:10" s="3" customFormat="1" x14ac:dyDescent="0.25">
      <c r="A1092" s="2">
        <v>127</v>
      </c>
      <c r="B1092" s="3" t="s">
        <v>27</v>
      </c>
      <c r="C1092" s="3">
        <v>647</v>
      </c>
      <c r="D1092" s="3">
        <v>1</v>
      </c>
      <c r="E1092" s="3" t="s">
        <v>28</v>
      </c>
      <c r="F1092" s="3" t="s">
        <v>29</v>
      </c>
      <c r="G1092" s="3" t="str">
        <f>"2025-10-01 23:07:08.151"</f>
        <v>2025-10-01 23:07:08.151</v>
      </c>
      <c r="H1092" s="3" t="s">
        <v>21</v>
      </c>
    </row>
    <row r="1093" spans="1:10" s="3" customFormat="1" x14ac:dyDescent="0.25">
      <c r="A1093" s="2">
        <v>128</v>
      </c>
      <c r="B1093" s="3" t="s">
        <v>30</v>
      </c>
      <c r="C1093" s="3">
        <v>647</v>
      </c>
      <c r="D1093" s="3">
        <v>1</v>
      </c>
      <c r="E1093" s="3" t="s">
        <v>28</v>
      </c>
      <c r="F1093" s="3" t="s">
        <v>29</v>
      </c>
      <c r="G1093" s="3" t="str">
        <f>"2025-10-01 23:07:04.851"</f>
        <v>2025-10-01 23:07:04.851</v>
      </c>
      <c r="H1093" s="3" t="s">
        <v>21</v>
      </c>
      <c r="I1093" s="3">
        <v>11.17</v>
      </c>
      <c r="J1093" s="3" t="s">
        <v>31</v>
      </c>
    </row>
    <row r="1094" spans="1:10" s="3" customFormat="1" x14ac:dyDescent="0.25">
      <c r="A1094" s="2">
        <v>129</v>
      </c>
      <c r="B1094" s="3" t="s">
        <v>27</v>
      </c>
      <c r="C1094" s="3">
        <v>647</v>
      </c>
      <c r="D1094" s="3">
        <v>1</v>
      </c>
      <c r="E1094" s="3" t="s">
        <v>28</v>
      </c>
      <c r="F1094" s="3" t="s">
        <v>29</v>
      </c>
      <c r="G1094" s="3" t="str">
        <f>"2025-10-01 22:13:07.851"</f>
        <v>2025-10-01 22:13:07.851</v>
      </c>
      <c r="H1094" s="3" t="s">
        <v>21</v>
      </c>
    </row>
    <row r="1095" spans="1:10" s="3" customFormat="1" x14ac:dyDescent="0.25">
      <c r="A1095" s="2">
        <v>130</v>
      </c>
      <c r="B1095" s="3" t="s">
        <v>30</v>
      </c>
      <c r="C1095" s="3">
        <v>647</v>
      </c>
      <c r="D1095" s="3">
        <v>1</v>
      </c>
      <c r="E1095" s="3" t="s">
        <v>28</v>
      </c>
      <c r="F1095" s="3" t="s">
        <v>29</v>
      </c>
      <c r="G1095" s="3" t="str">
        <f>"2025-10-01 22:13:03.351"</f>
        <v>2025-10-01 22:13:03.351</v>
      </c>
      <c r="H1095" s="3" t="s">
        <v>21</v>
      </c>
      <c r="I1095" s="3">
        <v>12.67</v>
      </c>
      <c r="J1095" s="3" t="s">
        <v>31</v>
      </c>
    </row>
    <row r="1096" spans="1:10" x14ac:dyDescent="0.25">
      <c r="A1096" s="1">
        <v>131</v>
      </c>
      <c r="B1096" t="s">
        <v>27</v>
      </c>
      <c r="C1096">
        <v>635</v>
      </c>
      <c r="D1096">
        <v>1</v>
      </c>
      <c r="E1096" t="s">
        <v>32</v>
      </c>
      <c r="F1096" t="s">
        <v>33</v>
      </c>
      <c r="G1096" t="str">
        <f>"2025-10-01 16:26:33.051"</f>
        <v>2025-10-01 16:26:33.051</v>
      </c>
      <c r="H1096" t="s">
        <v>21</v>
      </c>
    </row>
    <row r="1097" spans="1:10" x14ac:dyDescent="0.25">
      <c r="A1097" s="1">
        <v>132</v>
      </c>
      <c r="B1097" t="s">
        <v>30</v>
      </c>
      <c r="C1097">
        <v>635</v>
      </c>
      <c r="D1097">
        <v>1</v>
      </c>
      <c r="E1097" t="s">
        <v>32</v>
      </c>
      <c r="F1097" t="s">
        <v>33</v>
      </c>
      <c r="G1097" t="str">
        <f>"2025-10-01 16:24:12.551"</f>
        <v>2025-10-01 16:24:12.551</v>
      </c>
      <c r="H1097" t="s">
        <v>21</v>
      </c>
      <c r="I1097">
        <v>0.03</v>
      </c>
      <c r="J1097" t="s">
        <v>34</v>
      </c>
    </row>
    <row r="1098" spans="1:10" s="3" customFormat="1" x14ac:dyDescent="0.25">
      <c r="A1098" s="2">
        <v>133</v>
      </c>
      <c r="B1098" s="3" t="s">
        <v>27</v>
      </c>
      <c r="C1098" s="3">
        <v>647</v>
      </c>
      <c r="D1098" s="3">
        <v>1</v>
      </c>
      <c r="E1098" s="3" t="s">
        <v>28</v>
      </c>
      <c r="F1098" s="3" t="s">
        <v>29</v>
      </c>
      <c r="G1098" s="3" t="str">
        <f>"2025-10-01 02:11:21.351"</f>
        <v>2025-10-01 02:11:21.351</v>
      </c>
      <c r="H1098" s="3" t="s">
        <v>21</v>
      </c>
    </row>
    <row r="1099" spans="1:10" s="3" customFormat="1" x14ac:dyDescent="0.25">
      <c r="A1099" s="2">
        <v>134</v>
      </c>
      <c r="B1099" s="3" t="s">
        <v>30</v>
      </c>
      <c r="C1099" s="3">
        <v>647</v>
      </c>
      <c r="D1099" s="3">
        <v>1</v>
      </c>
      <c r="E1099" s="3" t="s">
        <v>28</v>
      </c>
      <c r="F1099" s="3" t="s">
        <v>29</v>
      </c>
      <c r="G1099" s="3" t="str">
        <f>"2025-10-01 02:11:19.252"</f>
        <v>2025-10-01 02:11:19.252</v>
      </c>
      <c r="H1099" s="3" t="s">
        <v>21</v>
      </c>
      <c r="I1099" s="3">
        <v>14.55</v>
      </c>
      <c r="J1099" s="3" t="s">
        <v>31</v>
      </c>
    </row>
    <row r="1100" spans="1:10" x14ac:dyDescent="0.25">
      <c r="A1100" s="1">
        <v>135</v>
      </c>
      <c r="B1100" t="s">
        <v>19</v>
      </c>
      <c r="C1100">
        <v>706</v>
      </c>
      <c r="D1100">
        <v>2</v>
      </c>
      <c r="E1100" t="s">
        <v>23</v>
      </c>
      <c r="F1100" t="s">
        <v>24</v>
      </c>
      <c r="G1100" t="str">
        <f>"2025-09-30 23:33:11.337"</f>
        <v>2025-09-30 23:33:11.337</v>
      </c>
      <c r="H1100" t="s">
        <v>21</v>
      </c>
      <c r="I1100">
        <v>0</v>
      </c>
      <c r="J1100" t="s">
        <v>25</v>
      </c>
    </row>
    <row r="1101" spans="1:10" x14ac:dyDescent="0.25">
      <c r="A1101" s="1">
        <v>136</v>
      </c>
      <c r="B1101" t="s">
        <v>19</v>
      </c>
      <c r="C1101">
        <v>706</v>
      </c>
      <c r="D1101">
        <v>4</v>
      </c>
      <c r="E1101" t="s">
        <v>23</v>
      </c>
      <c r="F1101" t="s">
        <v>26</v>
      </c>
      <c r="G1101" t="str">
        <f>"2025-09-30 22:34:03.227"</f>
        <v>2025-09-30 22:34:03.227</v>
      </c>
      <c r="H1101" t="s">
        <v>21</v>
      </c>
      <c r="I1101">
        <v>0</v>
      </c>
      <c r="J1101" t="s">
        <v>25</v>
      </c>
    </row>
    <row r="1102" spans="1:10" x14ac:dyDescent="0.25">
      <c r="A1102" s="1">
        <v>137</v>
      </c>
      <c r="B1102" t="s">
        <v>19</v>
      </c>
      <c r="C1102">
        <v>706</v>
      </c>
      <c r="D1102">
        <v>4</v>
      </c>
      <c r="E1102" t="s">
        <v>23</v>
      </c>
      <c r="F1102" t="s">
        <v>26</v>
      </c>
      <c r="G1102" t="str">
        <f>"2025-09-30 22:33:45.027"</f>
        <v>2025-09-30 22:33:45.027</v>
      </c>
      <c r="H1102" t="s">
        <v>21</v>
      </c>
      <c r="I1102">
        <v>0</v>
      </c>
      <c r="J1102" t="s">
        <v>25</v>
      </c>
    </row>
    <row r="1103" spans="1:10" x14ac:dyDescent="0.25">
      <c r="A1103" s="1">
        <v>138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"2025-09-30 22:25:47.767"</f>
        <v>2025-09-30 22:25:47.767</v>
      </c>
      <c r="H1103" t="s">
        <v>21</v>
      </c>
    </row>
    <row r="1104" spans="1:10" s="3" customFormat="1" x14ac:dyDescent="0.25">
      <c r="A1104" s="2">
        <v>139</v>
      </c>
      <c r="B1104" s="3" t="s">
        <v>27</v>
      </c>
      <c r="C1104" s="3">
        <v>647</v>
      </c>
      <c r="D1104" s="3">
        <v>1</v>
      </c>
      <c r="E1104" s="3" t="s">
        <v>28</v>
      </c>
      <c r="F1104" s="3" t="s">
        <v>29</v>
      </c>
      <c r="G1104" s="3" t="str">
        <f>"2025-09-29 21:21:00.690"</f>
        <v>2025-09-29 21:21:00.690</v>
      </c>
      <c r="H1104" s="3" t="s">
        <v>21</v>
      </c>
    </row>
    <row r="1105" spans="1:10" s="3" customFormat="1" x14ac:dyDescent="0.25">
      <c r="A1105" s="2">
        <v>140</v>
      </c>
      <c r="B1105" s="3" t="s">
        <v>30</v>
      </c>
      <c r="C1105" s="3">
        <v>647</v>
      </c>
      <c r="D1105" s="3">
        <v>1</v>
      </c>
      <c r="E1105" s="3" t="s">
        <v>28</v>
      </c>
      <c r="F1105" s="3" t="s">
        <v>29</v>
      </c>
      <c r="G1105" s="3" t="str">
        <f>"2025-09-29 21:20:55.990"</f>
        <v>2025-09-29 21:20:55.990</v>
      </c>
      <c r="H1105" s="3" t="s">
        <v>21</v>
      </c>
      <c r="I1105" s="3">
        <v>10.16</v>
      </c>
      <c r="J1105" s="3" t="s">
        <v>31</v>
      </c>
    </row>
    <row r="1106" spans="1:10" x14ac:dyDescent="0.25">
      <c r="A1106" s="1">
        <v>141</v>
      </c>
      <c r="B1106" t="s">
        <v>19</v>
      </c>
      <c r="C1106">
        <v>706</v>
      </c>
      <c r="D1106">
        <v>2</v>
      </c>
      <c r="E1106" t="s">
        <v>23</v>
      </c>
      <c r="F1106" t="s">
        <v>24</v>
      </c>
      <c r="G1106" t="str">
        <f>"2025-09-29 08:32:56.879"</f>
        <v>2025-09-29 08:32:56.879</v>
      </c>
      <c r="H1106" t="s">
        <v>21</v>
      </c>
      <c r="I1106">
        <v>0</v>
      </c>
      <c r="J1106" t="s">
        <v>25</v>
      </c>
    </row>
    <row r="1107" spans="1:10" x14ac:dyDescent="0.25">
      <c r="A1107" s="1">
        <v>142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"2025-09-29 08:32:37.759"</f>
        <v>2025-09-29 08:32:37.759</v>
      </c>
      <c r="H1107" t="s">
        <v>21</v>
      </c>
      <c r="I1107">
        <v>0</v>
      </c>
      <c r="J1107" t="s">
        <v>22</v>
      </c>
    </row>
    <row r="1108" spans="1:10" x14ac:dyDescent="0.25">
      <c r="A1108" s="1">
        <v>143</v>
      </c>
      <c r="B1108" t="s">
        <v>19</v>
      </c>
      <c r="C1108">
        <v>700</v>
      </c>
      <c r="D1108">
        <v>0</v>
      </c>
      <c r="E1108" t="s">
        <v>20</v>
      </c>
      <c r="F1108" t="s">
        <v>20</v>
      </c>
      <c r="G1108" t="str">
        <f>"2025-09-27 08:50:28.759"</f>
        <v>2025-09-27 08:50:28.759</v>
      </c>
      <c r="H1108" t="s">
        <v>21</v>
      </c>
    </row>
    <row r="1109" spans="1:10" x14ac:dyDescent="0.25">
      <c r="A1109" s="1">
        <v>144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"2025-09-27 01:40:08.737"</f>
        <v>2025-09-27 01:40:08.737</v>
      </c>
      <c r="H1109" t="s">
        <v>21</v>
      </c>
      <c r="I1109">
        <v>0</v>
      </c>
      <c r="J1109" t="s">
        <v>22</v>
      </c>
    </row>
    <row r="1110" spans="1:10" s="3" customFormat="1" x14ac:dyDescent="0.25">
      <c r="A1110" s="2">
        <v>145</v>
      </c>
      <c r="B1110" s="3" t="s">
        <v>27</v>
      </c>
      <c r="C1110" s="3">
        <v>647</v>
      </c>
      <c r="D1110" s="3">
        <v>1</v>
      </c>
      <c r="E1110" s="3" t="s">
        <v>28</v>
      </c>
      <c r="F1110" s="3" t="s">
        <v>29</v>
      </c>
      <c r="G1110" s="3" t="str">
        <f>"2025-09-26 20:51:35.319"</f>
        <v>2025-09-26 20:51:35.319</v>
      </c>
      <c r="H1110" s="3" t="s">
        <v>21</v>
      </c>
    </row>
    <row r="1111" spans="1:10" s="3" customFormat="1" x14ac:dyDescent="0.25">
      <c r="A1111" s="2">
        <v>146</v>
      </c>
      <c r="B1111" s="3" t="s">
        <v>30</v>
      </c>
      <c r="C1111" s="3">
        <v>647</v>
      </c>
      <c r="D1111" s="3">
        <v>1</v>
      </c>
      <c r="E1111" s="3" t="s">
        <v>28</v>
      </c>
      <c r="F1111" s="3" t="s">
        <v>29</v>
      </c>
      <c r="G1111" s="3" t="str">
        <f>"2025-09-26 20:51:34.219"</f>
        <v>2025-09-26 20:51:34.219</v>
      </c>
      <c r="H1111" s="3" t="s">
        <v>21</v>
      </c>
      <c r="I1111" s="3">
        <v>12.35</v>
      </c>
      <c r="J1111" s="3" t="s">
        <v>31</v>
      </c>
    </row>
    <row r="1112" spans="1:10" s="3" customFormat="1" x14ac:dyDescent="0.25">
      <c r="A1112" s="2">
        <v>148</v>
      </c>
      <c r="B1112" s="3" t="s">
        <v>27</v>
      </c>
      <c r="C1112" s="3">
        <v>647</v>
      </c>
      <c r="D1112" s="3">
        <v>1</v>
      </c>
      <c r="E1112" s="3" t="s">
        <v>28</v>
      </c>
      <c r="F1112" s="3" t="s">
        <v>29</v>
      </c>
      <c r="G1112" s="3" t="str">
        <f>"2025-09-23 23:50:51.519"</f>
        <v>2025-09-23 23:50:51.519</v>
      </c>
      <c r="H1112" s="3" t="s">
        <v>21</v>
      </c>
    </row>
    <row r="1113" spans="1:10" s="3" customFormat="1" x14ac:dyDescent="0.25">
      <c r="A1113" s="2">
        <v>149</v>
      </c>
      <c r="B1113" s="3" t="s">
        <v>30</v>
      </c>
      <c r="C1113" s="3">
        <v>647</v>
      </c>
      <c r="D1113" s="3">
        <v>1</v>
      </c>
      <c r="E1113" s="3" t="s">
        <v>28</v>
      </c>
      <c r="F1113" s="3" t="s">
        <v>29</v>
      </c>
      <c r="G1113" s="3" t="str">
        <f>"2025-09-23 23:50:45.219"</f>
        <v>2025-09-23 23:50:45.219</v>
      </c>
      <c r="H1113" s="3" t="s">
        <v>21</v>
      </c>
      <c r="I1113" s="3">
        <v>10.32</v>
      </c>
      <c r="J1113" s="3" t="s">
        <v>31</v>
      </c>
    </row>
    <row r="1114" spans="1:10" s="3" customFormat="1" x14ac:dyDescent="0.25">
      <c r="A1114" s="2">
        <v>151</v>
      </c>
      <c r="B1114" s="3" t="s">
        <v>27</v>
      </c>
      <c r="C1114" s="3">
        <v>647</v>
      </c>
      <c r="D1114" s="3">
        <v>1</v>
      </c>
      <c r="E1114" s="3" t="s">
        <v>28</v>
      </c>
      <c r="F1114" s="3" t="s">
        <v>29</v>
      </c>
      <c r="G1114" s="3" t="str">
        <f>"2025-09-23 06:57:48.819"</f>
        <v>2025-09-23 06:57:48.819</v>
      </c>
      <c r="H1114" s="3" t="s">
        <v>21</v>
      </c>
    </row>
    <row r="1115" spans="1:10" s="3" customFormat="1" x14ac:dyDescent="0.25">
      <c r="A1115" s="2">
        <v>152</v>
      </c>
      <c r="B1115" s="3" t="s">
        <v>30</v>
      </c>
      <c r="C1115" s="3">
        <v>647</v>
      </c>
      <c r="D1115" s="3">
        <v>1</v>
      </c>
      <c r="E1115" s="3" t="s">
        <v>28</v>
      </c>
      <c r="F1115" s="3" t="s">
        <v>29</v>
      </c>
      <c r="G1115" s="3" t="str">
        <f>"2025-09-23 06:57:47.319"</f>
        <v>2025-09-23 06:57:47.319</v>
      </c>
      <c r="H1115" s="3" t="s">
        <v>21</v>
      </c>
      <c r="I1115" s="3">
        <v>17.14</v>
      </c>
      <c r="J1115" s="3" t="s">
        <v>31</v>
      </c>
    </row>
    <row r="1116" spans="1:10" s="3" customFormat="1" x14ac:dyDescent="0.25">
      <c r="A1116" s="2">
        <v>153</v>
      </c>
      <c r="B1116" s="3" t="s">
        <v>27</v>
      </c>
      <c r="C1116" s="3">
        <v>647</v>
      </c>
      <c r="D1116" s="3">
        <v>1</v>
      </c>
      <c r="E1116" s="3" t="s">
        <v>28</v>
      </c>
      <c r="F1116" s="3" t="s">
        <v>29</v>
      </c>
      <c r="G1116" s="3" t="str">
        <f>"2025-09-23 06:57:43.419"</f>
        <v>2025-09-23 06:57:43.419</v>
      </c>
      <c r="H1116" s="3" t="s">
        <v>21</v>
      </c>
    </row>
    <row r="1117" spans="1:10" s="3" customFormat="1" x14ac:dyDescent="0.25">
      <c r="A1117" s="2">
        <v>154</v>
      </c>
      <c r="B1117" s="3" t="s">
        <v>30</v>
      </c>
      <c r="C1117" s="3">
        <v>647</v>
      </c>
      <c r="D1117" s="3">
        <v>1</v>
      </c>
      <c r="E1117" s="3" t="s">
        <v>28</v>
      </c>
      <c r="F1117" s="3" t="s">
        <v>29</v>
      </c>
      <c r="G1117" s="3" t="str">
        <f>"2025-09-23 06:57:41.319"</f>
        <v>2025-09-23 06:57:41.319</v>
      </c>
      <c r="H1117" s="3" t="s">
        <v>21</v>
      </c>
      <c r="I1117" s="3">
        <v>26.39</v>
      </c>
      <c r="J1117" s="3" t="s">
        <v>31</v>
      </c>
    </row>
    <row r="1118" spans="1:10" s="3" customFormat="1" x14ac:dyDescent="0.25">
      <c r="A1118" s="2">
        <v>155</v>
      </c>
      <c r="B1118" s="3" t="s">
        <v>27</v>
      </c>
      <c r="C1118" s="3">
        <v>647</v>
      </c>
      <c r="D1118" s="3">
        <v>1</v>
      </c>
      <c r="E1118" s="3" t="s">
        <v>28</v>
      </c>
      <c r="F1118" s="3" t="s">
        <v>29</v>
      </c>
      <c r="G1118" s="3" t="str">
        <f>"2025-09-22 20:46:38.019"</f>
        <v>2025-09-22 20:46:38.019</v>
      </c>
      <c r="H1118" s="3" t="s">
        <v>21</v>
      </c>
    </row>
    <row r="1119" spans="1:10" s="3" customFormat="1" x14ac:dyDescent="0.25">
      <c r="A1119" s="2">
        <v>156</v>
      </c>
      <c r="B1119" s="3" t="s">
        <v>30</v>
      </c>
      <c r="C1119" s="3">
        <v>647</v>
      </c>
      <c r="D1119" s="3">
        <v>1</v>
      </c>
      <c r="E1119" s="3" t="s">
        <v>28</v>
      </c>
      <c r="F1119" s="3" t="s">
        <v>29</v>
      </c>
      <c r="G1119" s="3" t="str">
        <f>"2025-09-22 20:46:35.320"</f>
        <v>2025-09-22 20:46:35.320</v>
      </c>
      <c r="H1119" s="3" t="s">
        <v>21</v>
      </c>
      <c r="I1119" s="3">
        <v>9.67</v>
      </c>
      <c r="J1119" s="3" t="s">
        <v>31</v>
      </c>
    </row>
    <row r="1120" spans="1:10" x14ac:dyDescent="0.25">
      <c r="A1120" s="1">
        <v>157</v>
      </c>
      <c r="B1120" t="s">
        <v>19</v>
      </c>
      <c r="C1120">
        <v>700</v>
      </c>
      <c r="D1120">
        <v>0</v>
      </c>
      <c r="E1120" t="s">
        <v>20</v>
      </c>
      <c r="F1120" t="s">
        <v>20</v>
      </c>
      <c r="G1120" t="str">
        <f>"2025-09-22 20:10:04.772"</f>
        <v>2025-09-22 20:10:04.772</v>
      </c>
      <c r="H1120" t="s">
        <v>21</v>
      </c>
    </row>
    <row r="1121" spans="1:10" x14ac:dyDescent="0.25">
      <c r="A1121" s="1">
        <v>159</v>
      </c>
      <c r="B1121" t="s">
        <v>19</v>
      </c>
      <c r="C1121">
        <v>706</v>
      </c>
      <c r="D1121">
        <v>2</v>
      </c>
      <c r="E1121" t="s">
        <v>23</v>
      </c>
      <c r="F1121" t="s">
        <v>24</v>
      </c>
      <c r="G1121" t="str">
        <f>"2025-09-22 09:29:09.942"</f>
        <v>2025-09-22 09:29:09.942</v>
      </c>
      <c r="H1121" t="s">
        <v>21</v>
      </c>
      <c r="I1121">
        <v>0</v>
      </c>
      <c r="J1121" t="s">
        <v>25</v>
      </c>
    </row>
    <row r="1122" spans="1:10" x14ac:dyDescent="0.25">
      <c r="A1122" s="1">
        <v>160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"2025-09-22 09:28:16.742"</f>
        <v>2025-09-22 09:28:16.742</v>
      </c>
      <c r="H1122" t="s">
        <v>21</v>
      </c>
    </row>
    <row r="1123" spans="1:10" x14ac:dyDescent="0.25">
      <c r="A1123" s="1">
        <v>161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"2025-09-22 09:10:35.734"</f>
        <v>2025-09-22 09:10:35.734</v>
      </c>
      <c r="H1123" t="s">
        <v>21</v>
      </c>
      <c r="I1123">
        <v>0</v>
      </c>
      <c r="J1123" t="s">
        <v>22</v>
      </c>
    </row>
    <row r="1124" spans="1:10" x14ac:dyDescent="0.25">
      <c r="A1124" s="1">
        <v>162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"2025-09-22 07:08:43.976"</f>
        <v>2025-09-22 07:08:43.976</v>
      </c>
      <c r="H1124" t="s">
        <v>21</v>
      </c>
      <c r="I1124">
        <v>0</v>
      </c>
      <c r="J1124" t="s">
        <v>22</v>
      </c>
    </row>
    <row r="1125" spans="1:10" s="3" customFormat="1" x14ac:dyDescent="0.25">
      <c r="A1125" s="2">
        <v>163</v>
      </c>
      <c r="B1125" s="3" t="s">
        <v>27</v>
      </c>
      <c r="C1125" s="3">
        <v>647</v>
      </c>
      <c r="D1125" s="3">
        <v>1</v>
      </c>
      <c r="E1125" s="3" t="s">
        <v>28</v>
      </c>
      <c r="F1125" s="3" t="s">
        <v>29</v>
      </c>
      <c r="G1125" s="3" t="str">
        <f>"2025-09-21 20:36:22.029"</f>
        <v>2025-09-21 20:36:22.029</v>
      </c>
      <c r="H1125" s="3" t="s">
        <v>21</v>
      </c>
    </row>
    <row r="1126" spans="1:10" s="3" customFormat="1" x14ac:dyDescent="0.25">
      <c r="A1126" s="2">
        <v>164</v>
      </c>
      <c r="B1126" s="3" t="s">
        <v>30</v>
      </c>
      <c r="C1126" s="3">
        <v>647</v>
      </c>
      <c r="D1126" s="3">
        <v>1</v>
      </c>
      <c r="E1126" s="3" t="s">
        <v>28</v>
      </c>
      <c r="F1126" s="3" t="s">
        <v>29</v>
      </c>
      <c r="G1126" s="3" t="str">
        <f>"2025-09-21 20:36:17.329"</f>
        <v>2025-09-21 20:36:17.329</v>
      </c>
      <c r="H1126" s="3" t="s">
        <v>21</v>
      </c>
      <c r="I1126" s="3">
        <v>11.96</v>
      </c>
      <c r="J1126" s="3" t="s">
        <v>31</v>
      </c>
    </row>
    <row r="1127" spans="1:10" x14ac:dyDescent="0.25">
      <c r="A1127" s="1">
        <v>165</v>
      </c>
      <c r="B1127" t="s">
        <v>27</v>
      </c>
      <c r="C1127">
        <v>635</v>
      </c>
      <c r="D1127">
        <v>1</v>
      </c>
      <c r="E1127" t="s">
        <v>32</v>
      </c>
      <c r="F1127" t="s">
        <v>33</v>
      </c>
      <c r="G1127" t="str">
        <f>"2025-09-21 18:58:34.229"</f>
        <v>2025-09-21 18:58:34.229</v>
      </c>
      <c r="H1127" t="s">
        <v>21</v>
      </c>
    </row>
    <row r="1128" spans="1:10" x14ac:dyDescent="0.25">
      <c r="A1128" s="1">
        <v>166</v>
      </c>
      <c r="B1128" t="s">
        <v>30</v>
      </c>
      <c r="C1128">
        <v>635</v>
      </c>
      <c r="D1128">
        <v>1</v>
      </c>
      <c r="E1128" t="s">
        <v>32</v>
      </c>
      <c r="F1128" t="s">
        <v>33</v>
      </c>
      <c r="G1128" t="str">
        <f>"2025-09-21 18:56:00.229"</f>
        <v>2025-09-21 18:56:00.229</v>
      </c>
      <c r="H1128" t="s">
        <v>21</v>
      </c>
      <c r="I1128">
        <v>6.15</v>
      </c>
      <c r="J1128" t="s">
        <v>34</v>
      </c>
    </row>
    <row r="1129" spans="1:10" x14ac:dyDescent="0.25">
      <c r="A1129" s="1">
        <v>167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"2025-09-21 17:05:42.781"</f>
        <v>2025-09-21 17:05:42.781</v>
      </c>
      <c r="H1129" t="s">
        <v>21</v>
      </c>
      <c r="I1129">
        <v>0</v>
      </c>
      <c r="J1129" t="s">
        <v>22</v>
      </c>
    </row>
    <row r="1130" spans="1:10" x14ac:dyDescent="0.25">
      <c r="A1130" s="1">
        <v>168</v>
      </c>
      <c r="B1130" t="s">
        <v>27</v>
      </c>
      <c r="C1130">
        <v>61</v>
      </c>
      <c r="D1130">
        <v>2</v>
      </c>
      <c r="E1130" t="s">
        <v>47</v>
      </c>
      <c r="F1130" t="s">
        <v>48</v>
      </c>
      <c r="G1130" t="str">
        <f>"2025-09-21 14:08:38.411"</f>
        <v>2025-09-21 14:08:38.411</v>
      </c>
      <c r="H1130" t="s">
        <v>21</v>
      </c>
    </row>
    <row r="1131" spans="1:10" x14ac:dyDescent="0.25">
      <c r="A1131" s="1">
        <v>169</v>
      </c>
      <c r="B1131" t="s">
        <v>39</v>
      </c>
      <c r="C1131">
        <v>61</v>
      </c>
      <c r="D1131">
        <v>2</v>
      </c>
      <c r="E1131" t="s">
        <v>47</v>
      </c>
      <c r="F1131" t="s">
        <v>48</v>
      </c>
      <c r="G1131" t="str">
        <f>"2025-09-21 14:08:31.811"</f>
        <v>2025-09-21 14:08:31.811</v>
      </c>
      <c r="H1131" t="s">
        <v>21</v>
      </c>
      <c r="I1131">
        <v>35.119999999999997</v>
      </c>
      <c r="J1131" t="s">
        <v>31</v>
      </c>
    </row>
    <row r="1132" spans="1:10" x14ac:dyDescent="0.25">
      <c r="A1132" s="1">
        <v>170</v>
      </c>
      <c r="B1132" t="s">
        <v>27</v>
      </c>
      <c r="C1132">
        <v>61</v>
      </c>
      <c r="D1132">
        <v>2</v>
      </c>
      <c r="E1132" t="s">
        <v>47</v>
      </c>
      <c r="F1132" t="s">
        <v>48</v>
      </c>
      <c r="G1132" t="str">
        <f>"2025-09-21 13:42:39.611"</f>
        <v>2025-09-21 13:42:39.611</v>
      </c>
      <c r="H1132" t="s">
        <v>21</v>
      </c>
    </row>
    <row r="1133" spans="1:10" x14ac:dyDescent="0.25">
      <c r="A1133" s="1">
        <v>171</v>
      </c>
      <c r="B1133" t="s">
        <v>39</v>
      </c>
      <c r="C1133">
        <v>61</v>
      </c>
      <c r="D1133">
        <v>2</v>
      </c>
      <c r="E1133" t="s">
        <v>47</v>
      </c>
      <c r="F1133" t="s">
        <v>48</v>
      </c>
      <c r="G1133" t="str">
        <f>"2025-09-21 13:42:32.511"</f>
        <v>2025-09-21 13:42:32.511</v>
      </c>
      <c r="H1133" t="s">
        <v>21</v>
      </c>
      <c r="I1133">
        <v>35.18</v>
      </c>
      <c r="J1133" t="s">
        <v>31</v>
      </c>
    </row>
    <row r="1134" spans="1:10" x14ac:dyDescent="0.25">
      <c r="A1134" s="1">
        <v>172</v>
      </c>
      <c r="B1134" t="s">
        <v>19</v>
      </c>
      <c r="C1134">
        <v>700</v>
      </c>
      <c r="D1134">
        <v>0</v>
      </c>
      <c r="E1134" t="s">
        <v>20</v>
      </c>
      <c r="F1134" t="s">
        <v>20</v>
      </c>
      <c r="G1134" t="str">
        <f>"2025-09-21 12:44:05.750"</f>
        <v>2025-09-21 12:44:05.750</v>
      </c>
      <c r="H1134" t="s">
        <v>21</v>
      </c>
      <c r="I1134">
        <v>0</v>
      </c>
      <c r="J1134" t="s">
        <v>22</v>
      </c>
    </row>
    <row r="1135" spans="1:10" s="3" customFormat="1" x14ac:dyDescent="0.25">
      <c r="A1135" s="2">
        <v>173</v>
      </c>
      <c r="B1135" s="3" t="s">
        <v>27</v>
      </c>
      <c r="C1135" s="3">
        <v>647</v>
      </c>
      <c r="D1135" s="3">
        <v>1</v>
      </c>
      <c r="E1135" s="3" t="s">
        <v>28</v>
      </c>
      <c r="F1135" s="3" t="s">
        <v>29</v>
      </c>
      <c r="G1135" s="3" t="str">
        <f>"2025-09-21 11:36:50.878"</f>
        <v>2025-09-21 11:36:50.878</v>
      </c>
      <c r="H1135" s="3" t="s">
        <v>21</v>
      </c>
    </row>
    <row r="1136" spans="1:10" s="3" customFormat="1" x14ac:dyDescent="0.25">
      <c r="A1136" s="2">
        <v>174</v>
      </c>
      <c r="B1136" s="3" t="s">
        <v>30</v>
      </c>
      <c r="C1136" s="3">
        <v>647</v>
      </c>
      <c r="D1136" s="3">
        <v>1</v>
      </c>
      <c r="E1136" s="3" t="s">
        <v>28</v>
      </c>
      <c r="F1136" s="3" t="s">
        <v>29</v>
      </c>
      <c r="G1136" s="3" t="str">
        <f>"2025-09-21 11:36:45.178"</f>
        <v>2025-09-21 11:36:45.178</v>
      </c>
      <c r="H1136" s="3" t="s">
        <v>21</v>
      </c>
      <c r="I1136" s="3">
        <v>21.17</v>
      </c>
      <c r="J1136" s="3" t="s">
        <v>31</v>
      </c>
    </row>
    <row r="1137" spans="1:10" x14ac:dyDescent="0.25">
      <c r="A1137" s="1">
        <v>175</v>
      </c>
      <c r="B1137" t="s">
        <v>27</v>
      </c>
      <c r="C1137">
        <v>61</v>
      </c>
      <c r="D1137">
        <v>2</v>
      </c>
      <c r="E1137" t="s">
        <v>47</v>
      </c>
      <c r="F1137" t="s">
        <v>48</v>
      </c>
      <c r="G1137" t="str">
        <f>"2025-09-21 10:41:26.791"</f>
        <v>2025-09-21 10:41:26.791</v>
      </c>
      <c r="H1137" t="s">
        <v>21</v>
      </c>
    </row>
    <row r="1138" spans="1:10" x14ac:dyDescent="0.25">
      <c r="A1138" s="1">
        <v>176</v>
      </c>
      <c r="B1138" t="s">
        <v>39</v>
      </c>
      <c r="C1138">
        <v>61</v>
      </c>
      <c r="D1138">
        <v>2</v>
      </c>
      <c r="E1138" t="s">
        <v>47</v>
      </c>
      <c r="F1138" t="s">
        <v>48</v>
      </c>
      <c r="G1138" t="str">
        <f>"2025-09-21 10:41:18.391"</f>
        <v>2025-09-21 10:41:18.391</v>
      </c>
      <c r="H1138" t="s">
        <v>21</v>
      </c>
      <c r="I1138">
        <v>35.17</v>
      </c>
      <c r="J1138" t="s">
        <v>31</v>
      </c>
    </row>
    <row r="1139" spans="1:10" s="3" customFormat="1" x14ac:dyDescent="0.25">
      <c r="A1139" s="2">
        <v>178</v>
      </c>
      <c r="B1139" s="3" t="s">
        <v>27</v>
      </c>
      <c r="C1139" s="3">
        <v>647</v>
      </c>
      <c r="D1139" s="3">
        <v>1</v>
      </c>
      <c r="E1139" s="3" t="s">
        <v>28</v>
      </c>
      <c r="F1139" s="3" t="s">
        <v>29</v>
      </c>
      <c r="G1139" s="3" t="str">
        <f>"2025-09-20 14:22:46.578"</f>
        <v>2025-09-20 14:22:46.578</v>
      </c>
      <c r="H1139" s="3" t="s">
        <v>21</v>
      </c>
    </row>
    <row r="1140" spans="1:10" s="3" customFormat="1" x14ac:dyDescent="0.25">
      <c r="A1140" s="2">
        <v>179</v>
      </c>
      <c r="B1140" s="3" t="s">
        <v>30</v>
      </c>
      <c r="C1140" s="3">
        <v>647</v>
      </c>
      <c r="D1140" s="3">
        <v>1</v>
      </c>
      <c r="E1140" s="3" t="s">
        <v>28</v>
      </c>
      <c r="F1140" s="3" t="s">
        <v>29</v>
      </c>
      <c r="G1140" s="3" t="str">
        <f>"2025-09-20 14:22:41.879"</f>
        <v>2025-09-20 14:22:41.879</v>
      </c>
      <c r="H1140" s="3" t="s">
        <v>21</v>
      </c>
      <c r="I1140" s="3">
        <v>11.7</v>
      </c>
      <c r="J1140" s="3" t="s">
        <v>31</v>
      </c>
    </row>
    <row r="1141" spans="1:10" x14ac:dyDescent="0.25">
      <c r="A1141" s="1">
        <v>180</v>
      </c>
      <c r="B1141" t="s">
        <v>19</v>
      </c>
      <c r="C1141">
        <v>706</v>
      </c>
      <c r="D1141">
        <v>2</v>
      </c>
      <c r="E1141" t="s">
        <v>23</v>
      </c>
      <c r="F1141" t="s">
        <v>24</v>
      </c>
      <c r="G1141" t="str">
        <f>"2025-09-20 13:47:22.531"</f>
        <v>2025-09-20 13:47:22.531</v>
      </c>
      <c r="H1141" t="s">
        <v>21</v>
      </c>
      <c r="I1141">
        <v>0</v>
      </c>
      <c r="J1141" t="s">
        <v>25</v>
      </c>
    </row>
    <row r="1142" spans="1:10" x14ac:dyDescent="0.25">
      <c r="A1142" s="1">
        <v>181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"2025-09-20 13:46:48.731"</f>
        <v>2025-09-20 13:46:48.731</v>
      </c>
      <c r="H1142" t="s">
        <v>21</v>
      </c>
      <c r="I1142">
        <v>0</v>
      </c>
      <c r="J1142" t="s">
        <v>22</v>
      </c>
    </row>
    <row r="1143" spans="1:10" x14ac:dyDescent="0.25">
      <c r="A1143" s="1">
        <v>182</v>
      </c>
      <c r="B1143" t="s">
        <v>19</v>
      </c>
      <c r="C1143">
        <v>706</v>
      </c>
      <c r="D1143">
        <v>4</v>
      </c>
      <c r="E1143" t="s">
        <v>23</v>
      </c>
      <c r="F1143" t="s">
        <v>26</v>
      </c>
      <c r="G1143" t="str">
        <f>"2025-09-20 11:54:00.439"</f>
        <v>2025-09-20 11:54:00.439</v>
      </c>
      <c r="H1143" t="s">
        <v>21</v>
      </c>
      <c r="I1143">
        <v>0</v>
      </c>
      <c r="J1143" t="s">
        <v>25</v>
      </c>
    </row>
    <row r="1144" spans="1:10" x14ac:dyDescent="0.25">
      <c r="A1144" s="1">
        <v>183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"2025-09-20 11:53:29.769"</f>
        <v>2025-09-20 11:53:29.769</v>
      </c>
      <c r="H1144" t="s">
        <v>21</v>
      </c>
    </row>
    <row r="1145" spans="1:10" x14ac:dyDescent="0.25">
      <c r="A1145" s="1">
        <v>184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"2025-09-20 11:50:31.750"</f>
        <v>2025-09-20 11:50:31.750</v>
      </c>
      <c r="H1145" t="s">
        <v>21</v>
      </c>
    </row>
    <row r="1146" spans="1:10" x14ac:dyDescent="0.25">
      <c r="A1146" s="1">
        <v>185</v>
      </c>
      <c r="B1146" t="s">
        <v>27</v>
      </c>
      <c r="C1146">
        <v>635</v>
      </c>
      <c r="D1146">
        <v>1</v>
      </c>
      <c r="E1146" t="s">
        <v>32</v>
      </c>
      <c r="F1146" t="s">
        <v>33</v>
      </c>
      <c r="G1146" t="str">
        <f>"2025-09-20 08:20:27.288"</f>
        <v>2025-09-20 08:20:27.288</v>
      </c>
      <c r="H1146" t="s">
        <v>21</v>
      </c>
    </row>
    <row r="1147" spans="1:10" x14ac:dyDescent="0.25">
      <c r="A1147" s="1">
        <v>186</v>
      </c>
      <c r="B1147" t="s">
        <v>30</v>
      </c>
      <c r="C1147">
        <v>635</v>
      </c>
      <c r="D1147">
        <v>1</v>
      </c>
      <c r="E1147" t="s">
        <v>32</v>
      </c>
      <c r="F1147" t="s">
        <v>33</v>
      </c>
      <c r="G1147" t="str">
        <f>"2025-09-20 08:17:03.788"</f>
        <v>2025-09-20 08:17:03.788</v>
      </c>
      <c r="H1147" t="s">
        <v>21</v>
      </c>
      <c r="I1147">
        <v>4.57</v>
      </c>
      <c r="J1147" t="s">
        <v>31</v>
      </c>
    </row>
    <row r="1148" spans="1:10" x14ac:dyDescent="0.25">
      <c r="A1148" s="1">
        <v>187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"2025-09-20 00:02:51.984"</f>
        <v>2025-09-20 00:02:51.984</v>
      </c>
      <c r="H1148" t="s">
        <v>21</v>
      </c>
      <c r="I1148">
        <v>0</v>
      </c>
      <c r="J1148" t="s">
        <v>22</v>
      </c>
    </row>
    <row r="1149" spans="1:10" x14ac:dyDescent="0.25">
      <c r="A1149" s="1">
        <v>188</v>
      </c>
      <c r="B1149" t="s">
        <v>19</v>
      </c>
      <c r="C1149">
        <v>706</v>
      </c>
      <c r="D1149">
        <v>4</v>
      </c>
      <c r="E1149" t="s">
        <v>23</v>
      </c>
      <c r="F1149" t="s">
        <v>26</v>
      </c>
      <c r="G1149" t="str">
        <f>"2025-09-19 23:20:54.442"</f>
        <v>2025-09-19 23:20:54.442</v>
      </c>
      <c r="H1149" t="s">
        <v>21</v>
      </c>
      <c r="I1149">
        <v>0</v>
      </c>
      <c r="J1149" t="s">
        <v>25</v>
      </c>
    </row>
    <row r="1150" spans="1:10" x14ac:dyDescent="0.25">
      <c r="A1150" s="1">
        <v>189</v>
      </c>
      <c r="B1150" t="s">
        <v>19</v>
      </c>
      <c r="C1150">
        <v>706</v>
      </c>
      <c r="D1150">
        <v>4</v>
      </c>
      <c r="E1150" t="s">
        <v>23</v>
      </c>
      <c r="F1150" t="s">
        <v>26</v>
      </c>
      <c r="G1150" t="str">
        <f>"2025-09-19 23:20:38.242"</f>
        <v>2025-09-19 23:20:38.242</v>
      </c>
      <c r="H1150" t="s">
        <v>21</v>
      </c>
      <c r="I1150">
        <v>0</v>
      </c>
      <c r="J1150" t="s">
        <v>25</v>
      </c>
    </row>
    <row r="1151" spans="1:10" x14ac:dyDescent="0.25">
      <c r="A1151" s="1">
        <v>190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"2025-09-19 23:13:07.792"</f>
        <v>2025-09-19 23:13:07.792</v>
      </c>
      <c r="H1151" t="s">
        <v>21</v>
      </c>
      <c r="I1151">
        <v>0</v>
      </c>
      <c r="J1151" t="s">
        <v>22</v>
      </c>
    </row>
    <row r="1152" spans="1:10" x14ac:dyDescent="0.25">
      <c r="A1152" s="1">
        <v>191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"2025-09-19 21:50:51.720"</f>
        <v>2025-09-19 21:50:51.720</v>
      </c>
      <c r="H1152" t="s">
        <v>21</v>
      </c>
    </row>
    <row r="1153" spans="1:10" x14ac:dyDescent="0.25">
      <c r="A1153" s="1">
        <v>192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"2025-09-19 20:48:44.757"</f>
        <v>2025-09-19 20:48:44.757</v>
      </c>
      <c r="H1153" t="s">
        <v>21</v>
      </c>
    </row>
    <row r="1154" spans="1:10" x14ac:dyDescent="0.25">
      <c r="A1154" s="1">
        <v>193</v>
      </c>
      <c r="B1154" t="s">
        <v>19</v>
      </c>
      <c r="C1154">
        <v>706</v>
      </c>
      <c r="D1154">
        <v>4</v>
      </c>
      <c r="E1154" t="s">
        <v>23</v>
      </c>
      <c r="F1154" t="s">
        <v>26</v>
      </c>
      <c r="G1154" t="str">
        <f>"2025-09-19 12:02:28.043"</f>
        <v>2025-09-19 12:02:28.043</v>
      </c>
      <c r="H1154" t="s">
        <v>21</v>
      </c>
      <c r="I1154">
        <v>0</v>
      </c>
      <c r="J1154" t="s">
        <v>25</v>
      </c>
    </row>
    <row r="1155" spans="1:10" x14ac:dyDescent="0.25">
      <c r="A1155" s="1">
        <v>194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"2025-09-19 12:02:07.833"</f>
        <v>2025-09-19 12:02:07.833</v>
      </c>
      <c r="H1155" t="s">
        <v>21</v>
      </c>
    </row>
    <row r="1156" spans="1:10" s="3" customFormat="1" x14ac:dyDescent="0.25">
      <c r="A1156" s="2">
        <v>195</v>
      </c>
      <c r="B1156" s="3" t="s">
        <v>27</v>
      </c>
      <c r="C1156" s="3">
        <v>647</v>
      </c>
      <c r="D1156" s="3">
        <v>1</v>
      </c>
      <c r="E1156" s="3" t="s">
        <v>28</v>
      </c>
      <c r="F1156" s="3" t="s">
        <v>29</v>
      </c>
      <c r="G1156" s="3" t="str">
        <f>"2025-09-19 05:32:25.577"</f>
        <v>2025-09-19 05:32:25.577</v>
      </c>
      <c r="H1156" s="3" t="s">
        <v>21</v>
      </c>
    </row>
    <row r="1157" spans="1:10" s="3" customFormat="1" x14ac:dyDescent="0.25">
      <c r="A1157" s="2">
        <v>196</v>
      </c>
      <c r="B1157" s="3" t="s">
        <v>30</v>
      </c>
      <c r="C1157" s="3">
        <v>647</v>
      </c>
      <c r="D1157" s="3">
        <v>1</v>
      </c>
      <c r="E1157" s="3" t="s">
        <v>28</v>
      </c>
      <c r="F1157" s="3" t="s">
        <v>29</v>
      </c>
      <c r="G1157" s="3" t="str">
        <f>"2025-09-19 05:32:21.277"</f>
        <v>2025-09-19 05:32:21.277</v>
      </c>
      <c r="H1157" s="3" t="s">
        <v>21</v>
      </c>
      <c r="I1157" s="3">
        <v>23</v>
      </c>
      <c r="J1157" s="3" t="s">
        <v>31</v>
      </c>
    </row>
    <row r="1158" spans="1:10" s="3" customFormat="1" x14ac:dyDescent="0.25">
      <c r="A1158" s="2">
        <v>197</v>
      </c>
      <c r="B1158" s="3" t="s">
        <v>27</v>
      </c>
      <c r="C1158" s="3">
        <v>647</v>
      </c>
      <c r="D1158" s="3">
        <v>1</v>
      </c>
      <c r="E1158" s="3" t="s">
        <v>28</v>
      </c>
      <c r="F1158" s="3" t="s">
        <v>29</v>
      </c>
      <c r="G1158" s="3" t="str">
        <f>"2025-09-19 05:28:51.777"</f>
        <v>2025-09-19 05:28:51.777</v>
      </c>
      <c r="H1158" s="3" t="s">
        <v>21</v>
      </c>
    </row>
    <row r="1159" spans="1:10" s="3" customFormat="1" x14ac:dyDescent="0.25">
      <c r="A1159" s="2">
        <v>198</v>
      </c>
      <c r="B1159" s="3" t="s">
        <v>30</v>
      </c>
      <c r="C1159" s="3">
        <v>647</v>
      </c>
      <c r="D1159" s="3">
        <v>1</v>
      </c>
      <c r="E1159" s="3" t="s">
        <v>28</v>
      </c>
      <c r="F1159" s="3" t="s">
        <v>29</v>
      </c>
      <c r="G1159" s="3" t="str">
        <f>"2025-09-19 05:27:19.277"</f>
        <v>2025-09-19 05:27:19.277</v>
      </c>
      <c r="H1159" s="3" t="s">
        <v>21</v>
      </c>
      <c r="I1159" s="3">
        <v>8.4</v>
      </c>
      <c r="J1159" s="3" t="s">
        <v>31</v>
      </c>
    </row>
    <row r="1160" spans="1:10" s="3" customFormat="1" x14ac:dyDescent="0.25">
      <c r="A1160" s="2">
        <v>199</v>
      </c>
      <c r="B1160" s="3" t="s">
        <v>27</v>
      </c>
      <c r="C1160" s="3">
        <v>647</v>
      </c>
      <c r="D1160" s="3">
        <v>1</v>
      </c>
      <c r="E1160" s="3" t="s">
        <v>28</v>
      </c>
      <c r="F1160" s="3" t="s">
        <v>29</v>
      </c>
      <c r="G1160" s="3" t="str">
        <f>"2025-09-19 04:30:07.177"</f>
        <v>2025-09-19 04:30:07.177</v>
      </c>
      <c r="H1160" s="3" t="s">
        <v>21</v>
      </c>
    </row>
    <row r="1161" spans="1:10" s="3" customFormat="1" x14ac:dyDescent="0.25">
      <c r="A1161" s="2">
        <v>200</v>
      </c>
      <c r="B1161" s="3" t="s">
        <v>30</v>
      </c>
      <c r="C1161" s="3">
        <v>647</v>
      </c>
      <c r="D1161" s="3">
        <v>1</v>
      </c>
      <c r="E1161" s="3" t="s">
        <v>28</v>
      </c>
      <c r="F1161" s="3" t="s">
        <v>29</v>
      </c>
      <c r="G1161" s="3" t="str">
        <f>"2025-09-19 04:30:01.477"</f>
        <v>2025-09-19 04:30:01.477</v>
      </c>
      <c r="H1161" s="3" t="s">
        <v>21</v>
      </c>
      <c r="I1161" s="3">
        <v>19.36</v>
      </c>
      <c r="J1161" s="3" t="s">
        <v>31</v>
      </c>
    </row>
    <row r="1162" spans="1:10" s="3" customFormat="1" x14ac:dyDescent="0.25">
      <c r="A1162" s="2">
        <v>201</v>
      </c>
      <c r="B1162" s="3" t="s">
        <v>27</v>
      </c>
      <c r="C1162" s="3">
        <v>647</v>
      </c>
      <c r="D1162" s="3">
        <v>1</v>
      </c>
      <c r="E1162" s="3" t="s">
        <v>28</v>
      </c>
      <c r="F1162" s="3" t="s">
        <v>29</v>
      </c>
      <c r="G1162" s="3" t="str">
        <f>"2025-09-19 04:29:24.177"</f>
        <v>2025-09-19 04:29:24.177</v>
      </c>
      <c r="H1162" s="3" t="s">
        <v>21</v>
      </c>
    </row>
    <row r="1163" spans="1:10" s="3" customFormat="1" x14ac:dyDescent="0.25">
      <c r="A1163" s="2">
        <v>202</v>
      </c>
      <c r="B1163" s="3" t="s">
        <v>30</v>
      </c>
      <c r="C1163" s="3">
        <v>647</v>
      </c>
      <c r="D1163" s="3">
        <v>1</v>
      </c>
      <c r="E1163" s="3" t="s">
        <v>28</v>
      </c>
      <c r="F1163" s="3" t="s">
        <v>29</v>
      </c>
      <c r="G1163" s="3" t="str">
        <f>"2025-09-19 04:28:56.677"</f>
        <v>2025-09-19 04:28:56.677</v>
      </c>
      <c r="H1163" s="3" t="s">
        <v>21</v>
      </c>
      <c r="I1163" s="3">
        <v>11.21</v>
      </c>
      <c r="J1163" s="3" t="s">
        <v>31</v>
      </c>
    </row>
    <row r="1164" spans="1:10" x14ac:dyDescent="0.25">
      <c r="A1164" s="1">
        <v>203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"2025-09-18 20:14:04.713"</f>
        <v>2025-09-18 20:14:04.713</v>
      </c>
      <c r="H1164" t="s">
        <v>21</v>
      </c>
      <c r="I1164">
        <v>0</v>
      </c>
      <c r="J1164" t="s">
        <v>22</v>
      </c>
    </row>
    <row r="1165" spans="1:10" x14ac:dyDescent="0.25">
      <c r="A1165" s="1">
        <v>204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"2025-09-18 09:24:20.882"</f>
        <v>2025-09-18 09:24:20.882</v>
      </c>
      <c r="H1165" t="s">
        <v>21</v>
      </c>
    </row>
    <row r="1166" spans="1:10" s="3" customFormat="1" x14ac:dyDescent="0.25">
      <c r="A1166" s="2">
        <v>205</v>
      </c>
      <c r="B1166" s="3" t="s">
        <v>27</v>
      </c>
      <c r="C1166" s="3">
        <v>647</v>
      </c>
      <c r="D1166" s="3">
        <v>1</v>
      </c>
      <c r="E1166" s="3" t="s">
        <v>28</v>
      </c>
      <c r="F1166" s="3" t="s">
        <v>29</v>
      </c>
      <c r="G1166" s="3" t="str">
        <f>"2025-09-18 04:16:43.699"</f>
        <v>2025-09-18 04:16:43.699</v>
      </c>
      <c r="H1166" s="3" t="s">
        <v>21</v>
      </c>
    </row>
    <row r="1167" spans="1:10" s="3" customFormat="1" x14ac:dyDescent="0.25">
      <c r="A1167" s="2">
        <v>206</v>
      </c>
      <c r="B1167" s="3" t="s">
        <v>30</v>
      </c>
      <c r="C1167" s="3">
        <v>647</v>
      </c>
      <c r="D1167" s="3">
        <v>1</v>
      </c>
      <c r="E1167" s="3" t="s">
        <v>28</v>
      </c>
      <c r="F1167" s="3" t="s">
        <v>29</v>
      </c>
      <c r="G1167" s="3" t="str">
        <f>"2025-09-18 04:16:41.398"</f>
        <v>2025-09-18 04:16:41.398</v>
      </c>
      <c r="H1167" s="3" t="s">
        <v>21</v>
      </c>
      <c r="I1167" s="3">
        <v>17.84</v>
      </c>
      <c r="J1167" s="3" t="s">
        <v>31</v>
      </c>
    </row>
    <row r="1168" spans="1:10" s="3" customFormat="1" x14ac:dyDescent="0.25">
      <c r="A1168" s="2">
        <v>207</v>
      </c>
      <c r="B1168" s="3" t="s">
        <v>27</v>
      </c>
      <c r="C1168" s="3">
        <v>647</v>
      </c>
      <c r="D1168" s="3">
        <v>1</v>
      </c>
      <c r="E1168" s="3" t="s">
        <v>28</v>
      </c>
      <c r="F1168" s="3" t="s">
        <v>29</v>
      </c>
      <c r="G1168" s="3" t="str">
        <f>"2025-09-18 02:49:14.299"</f>
        <v>2025-09-18 02:49:14.299</v>
      </c>
      <c r="H1168" s="3" t="s">
        <v>21</v>
      </c>
    </row>
    <row r="1169" spans="1:10" s="3" customFormat="1" x14ac:dyDescent="0.25">
      <c r="A1169" s="2">
        <v>208</v>
      </c>
      <c r="B1169" s="3" t="s">
        <v>30</v>
      </c>
      <c r="C1169" s="3">
        <v>647</v>
      </c>
      <c r="D1169" s="3">
        <v>1</v>
      </c>
      <c r="E1169" s="3" t="s">
        <v>28</v>
      </c>
      <c r="F1169" s="3" t="s">
        <v>29</v>
      </c>
      <c r="G1169" s="3" t="str">
        <f>"2025-09-18 02:49:10.599"</f>
        <v>2025-09-18 02:49:10.599</v>
      </c>
      <c r="H1169" s="3" t="s">
        <v>21</v>
      </c>
      <c r="I1169" s="3">
        <v>8.84</v>
      </c>
      <c r="J1169" s="3" t="s">
        <v>31</v>
      </c>
    </row>
    <row r="1170" spans="1:10" x14ac:dyDescent="0.25">
      <c r="A1170" s="1">
        <v>209</v>
      </c>
      <c r="B1170" t="s">
        <v>19</v>
      </c>
      <c r="C1170">
        <v>706</v>
      </c>
      <c r="D1170">
        <v>2</v>
      </c>
      <c r="E1170" t="s">
        <v>23</v>
      </c>
      <c r="F1170" t="s">
        <v>24</v>
      </c>
      <c r="G1170" t="str">
        <f>"2025-09-18 02:37:49.310"</f>
        <v>2025-09-18 02:37:49.310</v>
      </c>
      <c r="H1170" t="s">
        <v>21</v>
      </c>
      <c r="I1170">
        <v>0</v>
      </c>
      <c r="J1170" t="s">
        <v>25</v>
      </c>
    </row>
    <row r="1171" spans="1:10" x14ac:dyDescent="0.25">
      <c r="A1171" s="1">
        <v>210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"2025-09-18 02:37:10.740"</f>
        <v>2025-09-18 02:37:10.740</v>
      </c>
      <c r="H1171" t="s">
        <v>21</v>
      </c>
      <c r="I1171">
        <v>0</v>
      </c>
      <c r="J1171" t="s">
        <v>22</v>
      </c>
    </row>
    <row r="1172" spans="1:10" x14ac:dyDescent="0.25">
      <c r="A1172" s="1">
        <v>211</v>
      </c>
      <c r="B1172" t="s">
        <v>27</v>
      </c>
      <c r="C1172">
        <v>635</v>
      </c>
      <c r="D1172">
        <v>1</v>
      </c>
      <c r="E1172" t="s">
        <v>32</v>
      </c>
      <c r="F1172" t="s">
        <v>33</v>
      </c>
      <c r="G1172" t="str">
        <f>"2025-09-17 15:49:48.389"</f>
        <v>2025-09-17 15:49:48.389</v>
      </c>
      <c r="H1172" t="s">
        <v>21</v>
      </c>
    </row>
    <row r="1173" spans="1:10" x14ac:dyDescent="0.25">
      <c r="A1173" s="1">
        <v>212</v>
      </c>
      <c r="B1173" t="s">
        <v>30</v>
      </c>
      <c r="C1173">
        <v>635</v>
      </c>
      <c r="D1173">
        <v>1</v>
      </c>
      <c r="E1173" t="s">
        <v>32</v>
      </c>
      <c r="F1173" t="s">
        <v>33</v>
      </c>
      <c r="G1173" t="str">
        <f>"2025-09-17 15:44:18.890"</f>
        <v>2025-09-17 15:44:18.890</v>
      </c>
      <c r="H1173" t="s">
        <v>21</v>
      </c>
      <c r="I1173">
        <v>2.29</v>
      </c>
      <c r="J1173" t="s">
        <v>31</v>
      </c>
    </row>
    <row r="1174" spans="1:10" x14ac:dyDescent="0.25">
      <c r="A1174" s="1">
        <v>213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"2025-09-17 08:43:11.731"</f>
        <v>2025-09-17 08:43:11.731</v>
      </c>
      <c r="H1174" t="s">
        <v>21</v>
      </c>
      <c r="I1174">
        <v>0</v>
      </c>
      <c r="J1174" t="s">
        <v>22</v>
      </c>
    </row>
    <row r="1175" spans="1:10" x14ac:dyDescent="0.25">
      <c r="A1175" s="1">
        <v>214</v>
      </c>
      <c r="B1175" t="s">
        <v>27</v>
      </c>
      <c r="C1175">
        <v>98</v>
      </c>
      <c r="D1175">
        <v>1</v>
      </c>
      <c r="E1175" t="s">
        <v>40</v>
      </c>
      <c r="F1175" t="s">
        <v>41</v>
      </c>
      <c r="G1175" t="str">
        <f>"2025-09-17 03:23:33.785"</f>
        <v>2025-09-17 03:23:33.785</v>
      </c>
      <c r="H1175" t="s">
        <v>21</v>
      </c>
    </row>
    <row r="1176" spans="1:10" x14ac:dyDescent="0.25">
      <c r="A1176" s="1">
        <v>215</v>
      </c>
      <c r="B1176" t="s">
        <v>30</v>
      </c>
      <c r="C1176">
        <v>98</v>
      </c>
      <c r="D1176">
        <v>1</v>
      </c>
      <c r="E1176" t="s">
        <v>40</v>
      </c>
      <c r="F1176" t="s">
        <v>41</v>
      </c>
      <c r="G1176" t="str">
        <f>"2025-09-17 03:23:32.786"</f>
        <v>2025-09-17 03:23:32.786</v>
      </c>
      <c r="H1176" t="s">
        <v>21</v>
      </c>
      <c r="I1176">
        <v>0</v>
      </c>
      <c r="J1176" t="s">
        <v>42</v>
      </c>
    </row>
    <row r="1177" spans="1:10" x14ac:dyDescent="0.25">
      <c r="A1177" s="1">
        <v>216</v>
      </c>
      <c r="B1177" t="s">
        <v>19</v>
      </c>
      <c r="C1177">
        <v>700</v>
      </c>
      <c r="D1177">
        <v>0</v>
      </c>
      <c r="E1177" t="s">
        <v>20</v>
      </c>
      <c r="F1177" t="s">
        <v>20</v>
      </c>
      <c r="G1177" t="str">
        <f>"2025-09-16 20:24:02.725"</f>
        <v>2025-09-16 20:24:02.725</v>
      </c>
      <c r="H1177" t="s">
        <v>21</v>
      </c>
      <c r="I1177">
        <v>0</v>
      </c>
      <c r="J1177" t="s">
        <v>22</v>
      </c>
    </row>
    <row r="1178" spans="1:10" x14ac:dyDescent="0.25">
      <c r="A1178" s="1">
        <v>217</v>
      </c>
      <c r="B1178" t="s">
        <v>19</v>
      </c>
      <c r="C1178">
        <v>700</v>
      </c>
      <c r="D1178">
        <v>0</v>
      </c>
      <c r="E1178" t="s">
        <v>20</v>
      </c>
      <c r="F1178" t="s">
        <v>20</v>
      </c>
      <c r="G1178" t="str">
        <f>"2025-09-16 10:35:00.738"</f>
        <v>2025-09-16 10:35:00.738</v>
      </c>
      <c r="H1178" t="s">
        <v>21</v>
      </c>
      <c r="I1178">
        <v>0</v>
      </c>
      <c r="J1178" t="s">
        <v>22</v>
      </c>
    </row>
    <row r="1179" spans="1:10" x14ac:dyDescent="0.25">
      <c r="A1179" s="1">
        <v>218</v>
      </c>
      <c r="B1179" t="s">
        <v>27</v>
      </c>
      <c r="C1179">
        <v>98</v>
      </c>
      <c r="D1179">
        <v>1</v>
      </c>
      <c r="E1179" t="s">
        <v>40</v>
      </c>
      <c r="F1179" t="s">
        <v>41</v>
      </c>
      <c r="G1179" t="str">
        <f>"2025-09-15 20:44:55.370"</f>
        <v>2025-09-15 20:44:55.370</v>
      </c>
      <c r="H1179" t="s">
        <v>21</v>
      </c>
    </row>
    <row r="1180" spans="1:10" x14ac:dyDescent="0.25">
      <c r="A1180" s="1">
        <v>219</v>
      </c>
      <c r="B1180" t="s">
        <v>30</v>
      </c>
      <c r="C1180">
        <v>98</v>
      </c>
      <c r="D1180">
        <v>1</v>
      </c>
      <c r="E1180" t="s">
        <v>40</v>
      </c>
      <c r="F1180" t="s">
        <v>41</v>
      </c>
      <c r="G1180" t="str">
        <f>"2025-09-15 20:44:54.370"</f>
        <v>2025-09-15 20:44:54.370</v>
      </c>
      <c r="H1180" t="s">
        <v>21</v>
      </c>
      <c r="I1180">
        <v>19.66</v>
      </c>
      <c r="J1180" t="s">
        <v>31</v>
      </c>
    </row>
    <row r="1181" spans="1:10" x14ac:dyDescent="0.25">
      <c r="A1181" s="1">
        <v>220</v>
      </c>
      <c r="B1181" t="s">
        <v>19</v>
      </c>
      <c r="C1181">
        <v>706</v>
      </c>
      <c r="D1181">
        <v>2</v>
      </c>
      <c r="E1181" t="s">
        <v>23</v>
      </c>
      <c r="F1181" t="s">
        <v>24</v>
      </c>
      <c r="G1181" t="str">
        <f>"2025-09-15 20:37:37.488"</f>
        <v>2025-09-15 20:37:37.488</v>
      </c>
      <c r="H1181" t="s">
        <v>21</v>
      </c>
      <c r="I1181">
        <v>0</v>
      </c>
      <c r="J1181" t="s">
        <v>25</v>
      </c>
    </row>
    <row r="1182" spans="1:10" x14ac:dyDescent="0.25">
      <c r="A1182" s="1">
        <v>221</v>
      </c>
      <c r="B1182" t="s">
        <v>19</v>
      </c>
      <c r="C1182">
        <v>700</v>
      </c>
      <c r="D1182">
        <v>0</v>
      </c>
      <c r="E1182" t="s">
        <v>20</v>
      </c>
      <c r="F1182" t="s">
        <v>20</v>
      </c>
      <c r="G1182" t="str">
        <f>"2025-09-15 20:37:13.708"</f>
        <v>2025-09-15 20:37:13.708</v>
      </c>
      <c r="H1182" t="s">
        <v>21</v>
      </c>
      <c r="I1182">
        <v>0</v>
      </c>
      <c r="J1182" t="s">
        <v>22</v>
      </c>
    </row>
    <row r="1183" spans="1:10" x14ac:dyDescent="0.25">
      <c r="A1183" s="1">
        <v>222</v>
      </c>
      <c r="B1183" t="s">
        <v>27</v>
      </c>
      <c r="C1183">
        <v>98</v>
      </c>
      <c r="D1183">
        <v>1</v>
      </c>
      <c r="E1183" t="s">
        <v>40</v>
      </c>
      <c r="F1183" t="s">
        <v>41</v>
      </c>
      <c r="G1183" t="str">
        <f>"2025-09-15 09:26:37.179"</f>
        <v>2025-09-15 09:26:37.179</v>
      </c>
      <c r="H1183" t="s">
        <v>21</v>
      </c>
    </row>
    <row r="1184" spans="1:10" x14ac:dyDescent="0.25">
      <c r="A1184" s="1">
        <v>223</v>
      </c>
      <c r="B1184" t="s">
        <v>30</v>
      </c>
      <c r="C1184">
        <v>98</v>
      </c>
      <c r="D1184">
        <v>1</v>
      </c>
      <c r="E1184" t="s">
        <v>40</v>
      </c>
      <c r="F1184" t="s">
        <v>41</v>
      </c>
      <c r="G1184" t="str">
        <f>"2025-09-15 09:26:36.080"</f>
        <v>2025-09-15 09:26:36.080</v>
      </c>
      <c r="H1184" t="s">
        <v>21</v>
      </c>
      <c r="I1184">
        <v>0</v>
      </c>
      <c r="J1184" t="s">
        <v>42</v>
      </c>
    </row>
    <row r="1185" spans="1:10" x14ac:dyDescent="0.25">
      <c r="A1185" s="1">
        <v>224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"2025-09-15 09:20:53.707"</f>
        <v>2025-09-15 09:20:53.707</v>
      </c>
      <c r="H1185" t="s">
        <v>21</v>
      </c>
    </row>
    <row r="1186" spans="1:10" x14ac:dyDescent="0.25">
      <c r="A1186" s="1">
        <v>225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"2025-09-14 08:02:07.710"</f>
        <v>2025-09-14 08:02:07.710</v>
      </c>
      <c r="H1186" t="s">
        <v>21</v>
      </c>
    </row>
    <row r="1187" spans="1:10" s="3" customFormat="1" x14ac:dyDescent="0.25">
      <c r="A1187" s="2">
        <v>226</v>
      </c>
      <c r="B1187" s="3" t="s">
        <v>27</v>
      </c>
      <c r="C1187" s="3">
        <v>647</v>
      </c>
      <c r="D1187" s="3">
        <v>1</v>
      </c>
      <c r="E1187" s="3" t="s">
        <v>28</v>
      </c>
      <c r="F1187" s="3" t="s">
        <v>29</v>
      </c>
      <c r="G1187" s="3" t="str">
        <f>"2025-09-13 16:19:33.509"</f>
        <v>2025-09-13 16:19:33.509</v>
      </c>
      <c r="H1187" s="3" t="s">
        <v>21</v>
      </c>
    </row>
    <row r="1188" spans="1:10" s="3" customFormat="1" x14ac:dyDescent="0.25">
      <c r="A1188" s="2">
        <v>227</v>
      </c>
      <c r="B1188" s="3" t="s">
        <v>30</v>
      </c>
      <c r="C1188" s="3">
        <v>647</v>
      </c>
      <c r="D1188" s="3">
        <v>1</v>
      </c>
      <c r="E1188" s="3" t="s">
        <v>28</v>
      </c>
      <c r="F1188" s="3" t="s">
        <v>29</v>
      </c>
      <c r="G1188" s="3" t="str">
        <f>"2025-09-13 16:19:25.809"</f>
        <v>2025-09-13 16:19:25.809</v>
      </c>
      <c r="H1188" s="3" t="s">
        <v>21</v>
      </c>
      <c r="I1188" s="3">
        <v>11.32</v>
      </c>
      <c r="J1188" s="3" t="s">
        <v>31</v>
      </c>
    </row>
    <row r="1189" spans="1:10" s="3" customFormat="1" x14ac:dyDescent="0.25">
      <c r="A1189" s="2">
        <v>228</v>
      </c>
      <c r="B1189" s="3" t="s">
        <v>27</v>
      </c>
      <c r="C1189" s="3">
        <v>647</v>
      </c>
      <c r="D1189" s="3">
        <v>1</v>
      </c>
      <c r="E1189" s="3" t="s">
        <v>28</v>
      </c>
      <c r="F1189" s="3" t="s">
        <v>29</v>
      </c>
      <c r="G1189" s="3" t="str">
        <f>"2025-09-13 11:56:08.709"</f>
        <v>2025-09-13 11:56:08.709</v>
      </c>
      <c r="H1189" s="3" t="s">
        <v>21</v>
      </c>
    </row>
    <row r="1190" spans="1:10" s="3" customFormat="1" x14ac:dyDescent="0.25">
      <c r="A1190" s="2">
        <v>229</v>
      </c>
      <c r="B1190" s="3" t="s">
        <v>30</v>
      </c>
      <c r="C1190" s="3">
        <v>647</v>
      </c>
      <c r="D1190" s="3">
        <v>1</v>
      </c>
      <c r="E1190" s="3" t="s">
        <v>28</v>
      </c>
      <c r="F1190" s="3" t="s">
        <v>29</v>
      </c>
      <c r="G1190" s="3" t="str">
        <f>"2025-09-13 11:56:03.810"</f>
        <v>2025-09-13 11:56:03.810</v>
      </c>
      <c r="H1190" s="3" t="s">
        <v>21</v>
      </c>
      <c r="I1190" s="3">
        <v>11.22</v>
      </c>
      <c r="J1190" s="3" t="s">
        <v>31</v>
      </c>
    </row>
    <row r="1191" spans="1:10" x14ac:dyDescent="0.25">
      <c r="A1191" s="1">
        <v>230</v>
      </c>
      <c r="B1191" t="s">
        <v>19</v>
      </c>
      <c r="C1191">
        <v>706</v>
      </c>
      <c r="D1191">
        <v>4</v>
      </c>
      <c r="E1191" t="s">
        <v>23</v>
      </c>
      <c r="F1191" t="s">
        <v>26</v>
      </c>
      <c r="G1191" t="str">
        <f>"2025-09-13 09:36:37.842"</f>
        <v>2025-09-13 09:36:37.842</v>
      </c>
      <c r="H1191" t="s">
        <v>21</v>
      </c>
      <c r="I1191">
        <v>0</v>
      </c>
      <c r="J1191" t="s">
        <v>25</v>
      </c>
    </row>
    <row r="1192" spans="1:10" x14ac:dyDescent="0.25">
      <c r="A1192" s="1">
        <v>231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"2025-09-13 09:36:22.742"</f>
        <v>2025-09-13 09:36:22.742</v>
      </c>
      <c r="H1192" t="s">
        <v>21</v>
      </c>
    </row>
    <row r="1193" spans="1:10" x14ac:dyDescent="0.25">
      <c r="A1193" s="1">
        <v>232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"2025-09-13 03:34:05.710"</f>
        <v>2025-09-13 03:34:05.710</v>
      </c>
      <c r="H1193" t="s">
        <v>21</v>
      </c>
    </row>
    <row r="1194" spans="1:10" x14ac:dyDescent="0.25">
      <c r="A1194" s="1">
        <v>233</v>
      </c>
      <c r="B1194" t="s">
        <v>19</v>
      </c>
      <c r="C1194">
        <v>706</v>
      </c>
      <c r="D1194">
        <v>4</v>
      </c>
      <c r="E1194" t="s">
        <v>23</v>
      </c>
      <c r="F1194" t="s">
        <v>26</v>
      </c>
      <c r="G1194" t="str">
        <f>"2025-09-12 08:04:36.535"</f>
        <v>2025-09-12 08:04:36.535</v>
      </c>
      <c r="H1194" t="s">
        <v>21</v>
      </c>
      <c r="I1194">
        <v>0</v>
      </c>
      <c r="J1194" t="s">
        <v>25</v>
      </c>
    </row>
    <row r="1195" spans="1:10" x14ac:dyDescent="0.25">
      <c r="A1195" s="1">
        <v>234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"2025-09-12 08:04:14.705"</f>
        <v>2025-09-12 08:04:14.705</v>
      </c>
      <c r="H1195" t="s">
        <v>21</v>
      </c>
    </row>
    <row r="1196" spans="1:10" x14ac:dyDescent="0.25">
      <c r="A1196" s="1">
        <v>235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"2025-09-12 07:51:14.724"</f>
        <v>2025-09-12 07:51:14.724</v>
      </c>
      <c r="H1196" t="s">
        <v>21</v>
      </c>
      <c r="I1196">
        <v>0</v>
      </c>
      <c r="J1196" t="s">
        <v>22</v>
      </c>
    </row>
    <row r="1197" spans="1:10" x14ac:dyDescent="0.25">
      <c r="A1197" s="1">
        <v>236</v>
      </c>
      <c r="B1197" t="s">
        <v>19</v>
      </c>
      <c r="C1197">
        <v>706</v>
      </c>
      <c r="D1197">
        <v>2</v>
      </c>
      <c r="E1197" t="s">
        <v>23</v>
      </c>
      <c r="F1197" t="s">
        <v>24</v>
      </c>
      <c r="G1197" t="str">
        <f>"2025-09-11 12:25:24.528"</f>
        <v>2025-09-11 12:25:24.528</v>
      </c>
      <c r="H1197" t="s">
        <v>21</v>
      </c>
      <c r="I1197">
        <v>0</v>
      </c>
      <c r="J1197" t="s">
        <v>25</v>
      </c>
    </row>
    <row r="1198" spans="1:10" x14ac:dyDescent="0.25">
      <c r="A1198" s="1">
        <v>237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"2025-09-11 12:25:09.788"</f>
        <v>2025-09-11 12:25:09.788</v>
      </c>
      <c r="H1198" t="s">
        <v>21</v>
      </c>
    </row>
    <row r="1199" spans="1:10" x14ac:dyDescent="0.25">
      <c r="A1199" s="1">
        <v>238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"2025-09-10 08:39:38.966"</f>
        <v>2025-09-10 08:39:38.966</v>
      </c>
      <c r="H1199" t="s">
        <v>21</v>
      </c>
    </row>
    <row r="1200" spans="1:10" x14ac:dyDescent="0.25">
      <c r="A1200" s="1">
        <v>239</v>
      </c>
      <c r="B1200" t="s">
        <v>19</v>
      </c>
      <c r="C1200">
        <v>700</v>
      </c>
      <c r="D1200">
        <v>0</v>
      </c>
      <c r="E1200" t="s">
        <v>20</v>
      </c>
      <c r="F1200" t="s">
        <v>20</v>
      </c>
      <c r="G1200" t="str">
        <f>"2025-09-09 23:05:08.710"</f>
        <v>2025-09-09 23:05:08.710</v>
      </c>
      <c r="H1200" t="s">
        <v>21</v>
      </c>
      <c r="I1200">
        <v>0</v>
      </c>
      <c r="J1200" t="s">
        <v>22</v>
      </c>
    </row>
    <row r="1201" spans="1:10" x14ac:dyDescent="0.25">
      <c r="A1201" s="1">
        <v>240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"2025-09-09 19:46:09.787"</f>
        <v>2025-09-09 19:46:09.787</v>
      </c>
      <c r="H1201" t="s">
        <v>21</v>
      </c>
      <c r="I1201">
        <v>0</v>
      </c>
      <c r="J1201" t="s">
        <v>22</v>
      </c>
    </row>
    <row r="1202" spans="1:10" s="3" customFormat="1" x14ac:dyDescent="0.25">
      <c r="A1202" s="2">
        <v>241</v>
      </c>
      <c r="B1202" s="3" t="s">
        <v>27</v>
      </c>
      <c r="C1202" s="3">
        <v>647</v>
      </c>
      <c r="D1202" s="3">
        <v>1</v>
      </c>
      <c r="E1202" s="3" t="s">
        <v>28</v>
      </c>
      <c r="F1202" s="3" t="s">
        <v>29</v>
      </c>
      <c r="G1202" s="3" t="str">
        <f>"2025-09-09 06:43:53.570"</f>
        <v>2025-09-09 06:43:53.570</v>
      </c>
      <c r="H1202" s="3" t="s">
        <v>21</v>
      </c>
    </row>
    <row r="1203" spans="1:10" s="3" customFormat="1" x14ac:dyDescent="0.25">
      <c r="A1203" s="2">
        <v>242</v>
      </c>
      <c r="B1203" s="3" t="s">
        <v>30</v>
      </c>
      <c r="C1203" s="3">
        <v>647</v>
      </c>
      <c r="D1203" s="3">
        <v>1</v>
      </c>
      <c r="E1203" s="3" t="s">
        <v>28</v>
      </c>
      <c r="F1203" s="3" t="s">
        <v>29</v>
      </c>
      <c r="G1203" s="3" t="str">
        <f>"2025-09-09 06:43:48.470"</f>
        <v>2025-09-09 06:43:48.470</v>
      </c>
      <c r="H1203" s="3" t="s">
        <v>21</v>
      </c>
      <c r="I1203" s="3">
        <v>27.21</v>
      </c>
      <c r="J1203" s="3" t="s">
        <v>31</v>
      </c>
    </row>
    <row r="1204" spans="1:10" x14ac:dyDescent="0.25">
      <c r="A1204" s="1">
        <v>243</v>
      </c>
      <c r="B1204" t="s">
        <v>27</v>
      </c>
      <c r="C1204">
        <v>635</v>
      </c>
      <c r="D1204">
        <v>1</v>
      </c>
      <c r="E1204" t="s">
        <v>32</v>
      </c>
      <c r="F1204" t="s">
        <v>33</v>
      </c>
      <c r="G1204" t="str">
        <f>"2025-09-09 03:49:59.169"</f>
        <v>2025-09-09 03:49:59.169</v>
      </c>
      <c r="H1204" t="s">
        <v>21</v>
      </c>
    </row>
    <row r="1205" spans="1:10" x14ac:dyDescent="0.25">
      <c r="A1205" s="1">
        <v>244</v>
      </c>
      <c r="B1205" t="s">
        <v>30</v>
      </c>
      <c r="C1205">
        <v>635</v>
      </c>
      <c r="D1205">
        <v>1</v>
      </c>
      <c r="E1205" t="s">
        <v>32</v>
      </c>
      <c r="F1205" t="s">
        <v>33</v>
      </c>
      <c r="G1205" t="str">
        <f>"2025-09-09 03:39:29.769"</f>
        <v>2025-09-09 03:39:29.769</v>
      </c>
      <c r="H1205" t="s">
        <v>21</v>
      </c>
      <c r="I1205">
        <v>6.52</v>
      </c>
      <c r="J1205" t="s">
        <v>34</v>
      </c>
    </row>
    <row r="1206" spans="1:10" s="3" customFormat="1" x14ac:dyDescent="0.25">
      <c r="A1206" s="2">
        <v>245</v>
      </c>
      <c r="B1206" s="3" t="s">
        <v>27</v>
      </c>
      <c r="C1206" s="3">
        <v>647</v>
      </c>
      <c r="D1206" s="3">
        <v>1</v>
      </c>
      <c r="E1206" s="3" t="s">
        <v>28</v>
      </c>
      <c r="F1206" s="3" t="s">
        <v>29</v>
      </c>
      <c r="G1206" s="3" t="str">
        <f>"2025-09-09 00:26:04.970"</f>
        <v>2025-09-09 00:26:04.970</v>
      </c>
      <c r="H1206" s="3" t="s">
        <v>21</v>
      </c>
    </row>
    <row r="1207" spans="1:10" s="3" customFormat="1" x14ac:dyDescent="0.25">
      <c r="A1207" s="2">
        <v>246</v>
      </c>
      <c r="B1207" s="3" t="s">
        <v>30</v>
      </c>
      <c r="C1207" s="3">
        <v>647</v>
      </c>
      <c r="D1207" s="3">
        <v>1</v>
      </c>
      <c r="E1207" s="3" t="s">
        <v>28</v>
      </c>
      <c r="F1207" s="3" t="s">
        <v>29</v>
      </c>
      <c r="G1207" s="3" t="str">
        <f>"2025-09-09 00:26:00.770"</f>
        <v>2025-09-09 00:26:00.770</v>
      </c>
      <c r="H1207" s="3" t="s">
        <v>21</v>
      </c>
      <c r="I1207" s="3">
        <v>10.220000000000001</v>
      </c>
      <c r="J1207" s="3" t="s">
        <v>31</v>
      </c>
    </row>
    <row r="1208" spans="1:10" s="3" customFormat="1" x14ac:dyDescent="0.25">
      <c r="A1208" s="2">
        <v>247</v>
      </c>
      <c r="B1208" s="3" t="s">
        <v>27</v>
      </c>
      <c r="C1208" s="3">
        <v>647</v>
      </c>
      <c r="D1208" s="3">
        <v>1</v>
      </c>
      <c r="E1208" s="3" t="s">
        <v>28</v>
      </c>
      <c r="F1208" s="3" t="s">
        <v>29</v>
      </c>
      <c r="G1208" s="3" t="str">
        <f>"2025-09-08 22:47:39.070"</f>
        <v>2025-09-08 22:47:39.070</v>
      </c>
      <c r="H1208" s="3" t="s">
        <v>21</v>
      </c>
    </row>
    <row r="1209" spans="1:10" s="3" customFormat="1" x14ac:dyDescent="0.25">
      <c r="A1209" s="2">
        <v>248</v>
      </c>
      <c r="B1209" s="3" t="s">
        <v>30</v>
      </c>
      <c r="C1209" s="3">
        <v>647</v>
      </c>
      <c r="D1209" s="3">
        <v>1</v>
      </c>
      <c r="E1209" s="3" t="s">
        <v>28</v>
      </c>
      <c r="F1209" s="3" t="s">
        <v>29</v>
      </c>
      <c r="G1209" s="3" t="str">
        <f>"2025-09-08 22:47:36.970"</f>
        <v>2025-09-08 22:47:36.970</v>
      </c>
      <c r="H1209" s="3" t="s">
        <v>21</v>
      </c>
      <c r="I1209" s="3">
        <v>9.02</v>
      </c>
      <c r="J1209" s="3" t="s">
        <v>31</v>
      </c>
    </row>
    <row r="1210" spans="1:10" s="3" customFormat="1" x14ac:dyDescent="0.25">
      <c r="A1210" s="2">
        <v>249</v>
      </c>
      <c r="B1210" s="3" t="s">
        <v>27</v>
      </c>
      <c r="C1210" s="3">
        <v>647</v>
      </c>
      <c r="D1210" s="3">
        <v>1</v>
      </c>
      <c r="E1210" s="3" t="s">
        <v>28</v>
      </c>
      <c r="F1210" s="3" t="s">
        <v>29</v>
      </c>
      <c r="G1210" s="3" t="str">
        <f>"2025-09-08 22:46:02.570"</f>
        <v>2025-09-08 22:46:02.570</v>
      </c>
      <c r="H1210" s="3" t="s">
        <v>21</v>
      </c>
    </row>
    <row r="1211" spans="1:10" s="3" customFormat="1" x14ac:dyDescent="0.25">
      <c r="A1211" s="2">
        <v>250</v>
      </c>
      <c r="B1211" s="3" t="s">
        <v>30</v>
      </c>
      <c r="C1211" s="3">
        <v>647</v>
      </c>
      <c r="D1211" s="3">
        <v>1</v>
      </c>
      <c r="E1211" s="3" t="s">
        <v>28</v>
      </c>
      <c r="F1211" s="3" t="s">
        <v>29</v>
      </c>
      <c r="G1211" s="3" t="str">
        <f>"2025-09-08 22:45:53.870"</f>
        <v>2025-09-08 22:45:53.870</v>
      </c>
      <c r="H1211" s="3" t="s">
        <v>21</v>
      </c>
      <c r="I1211" s="3">
        <v>16.36</v>
      </c>
      <c r="J1211" s="3" t="s">
        <v>31</v>
      </c>
    </row>
    <row r="1212" spans="1:10" s="3" customFormat="1" x14ac:dyDescent="0.25">
      <c r="A1212" s="2">
        <v>251</v>
      </c>
      <c r="B1212" s="3" t="s">
        <v>27</v>
      </c>
      <c r="C1212" s="3">
        <v>647</v>
      </c>
      <c r="D1212" s="3">
        <v>1</v>
      </c>
      <c r="E1212" s="3" t="s">
        <v>28</v>
      </c>
      <c r="F1212" s="3" t="s">
        <v>29</v>
      </c>
      <c r="G1212" s="3" t="str">
        <f>"2025-09-08 21:49:14.470"</f>
        <v>2025-09-08 21:49:14.470</v>
      </c>
      <c r="H1212" s="3" t="s">
        <v>21</v>
      </c>
    </row>
    <row r="1213" spans="1:10" s="3" customFormat="1" x14ac:dyDescent="0.25">
      <c r="A1213" s="2">
        <v>252</v>
      </c>
      <c r="B1213" s="3" t="s">
        <v>30</v>
      </c>
      <c r="C1213" s="3">
        <v>647</v>
      </c>
      <c r="D1213" s="3">
        <v>1</v>
      </c>
      <c r="E1213" s="3" t="s">
        <v>28</v>
      </c>
      <c r="F1213" s="3" t="s">
        <v>29</v>
      </c>
      <c r="G1213" s="3" t="str">
        <f>"2025-09-08 21:49:09.370"</f>
        <v>2025-09-08 21:49:09.370</v>
      </c>
      <c r="H1213" s="3" t="s">
        <v>21</v>
      </c>
      <c r="I1213" s="3">
        <v>25.59</v>
      </c>
      <c r="J1213" s="3" t="s">
        <v>31</v>
      </c>
    </row>
    <row r="1214" spans="1:10" x14ac:dyDescent="0.25">
      <c r="A1214" s="1">
        <v>253</v>
      </c>
      <c r="B1214" t="s">
        <v>27</v>
      </c>
      <c r="C1214">
        <v>98</v>
      </c>
      <c r="D1214">
        <v>1</v>
      </c>
      <c r="E1214" t="s">
        <v>40</v>
      </c>
      <c r="F1214" t="s">
        <v>41</v>
      </c>
      <c r="G1214" t="str">
        <f>"2025-09-08 20:27:03.769"</f>
        <v>2025-09-08 20:27:03.769</v>
      </c>
      <c r="H1214" t="s">
        <v>21</v>
      </c>
    </row>
    <row r="1215" spans="1:10" x14ac:dyDescent="0.25">
      <c r="A1215" s="1">
        <v>254</v>
      </c>
      <c r="B1215" t="s">
        <v>30</v>
      </c>
      <c r="C1215">
        <v>98</v>
      </c>
      <c r="D1215">
        <v>1</v>
      </c>
      <c r="E1215" t="s">
        <v>40</v>
      </c>
      <c r="F1215" t="s">
        <v>41</v>
      </c>
      <c r="G1215" t="str">
        <f>"2025-09-08 20:27:02.770"</f>
        <v>2025-09-08 20:27:02.770</v>
      </c>
      <c r="H1215" t="s">
        <v>21</v>
      </c>
      <c r="I1215">
        <v>1.92</v>
      </c>
      <c r="J1215" t="s">
        <v>34</v>
      </c>
    </row>
    <row r="1216" spans="1:10" s="3" customFormat="1" x14ac:dyDescent="0.25">
      <c r="A1216" s="2">
        <v>255</v>
      </c>
      <c r="B1216" s="3" t="s">
        <v>27</v>
      </c>
      <c r="C1216" s="3">
        <v>647</v>
      </c>
      <c r="D1216" s="3">
        <v>1</v>
      </c>
      <c r="E1216" s="3" t="s">
        <v>28</v>
      </c>
      <c r="F1216" s="3" t="s">
        <v>29</v>
      </c>
      <c r="G1216" s="3" t="str">
        <f>"2025-09-08 14:29:46.570"</f>
        <v>2025-09-08 14:29:46.570</v>
      </c>
      <c r="H1216" s="3" t="s">
        <v>21</v>
      </c>
    </row>
    <row r="1217" spans="1:10" s="3" customFormat="1" x14ac:dyDescent="0.25">
      <c r="A1217" s="2">
        <v>256</v>
      </c>
      <c r="B1217" s="3" t="s">
        <v>30</v>
      </c>
      <c r="C1217" s="3">
        <v>647</v>
      </c>
      <c r="D1217" s="3">
        <v>1</v>
      </c>
      <c r="E1217" s="3" t="s">
        <v>28</v>
      </c>
      <c r="F1217" s="3" t="s">
        <v>29</v>
      </c>
      <c r="G1217" s="3" t="str">
        <f>"2025-09-08 14:29:40.970"</f>
        <v>2025-09-08 14:29:40.970</v>
      </c>
      <c r="H1217" s="3" t="s">
        <v>21</v>
      </c>
      <c r="I1217" s="3">
        <v>11.24</v>
      </c>
      <c r="J1217" s="3" t="s">
        <v>31</v>
      </c>
    </row>
    <row r="1218" spans="1:10" s="3" customFormat="1" x14ac:dyDescent="0.25">
      <c r="A1218" s="2">
        <v>257</v>
      </c>
      <c r="B1218" s="3" t="s">
        <v>27</v>
      </c>
      <c r="C1218" s="3">
        <v>647</v>
      </c>
      <c r="D1218" s="3">
        <v>1</v>
      </c>
      <c r="E1218" s="3" t="s">
        <v>28</v>
      </c>
      <c r="F1218" s="3" t="s">
        <v>29</v>
      </c>
      <c r="G1218" s="3" t="str">
        <f>"2025-09-08 07:29:59.370"</f>
        <v>2025-09-08 07:29:59.370</v>
      </c>
      <c r="H1218" s="3" t="s">
        <v>21</v>
      </c>
    </row>
    <row r="1219" spans="1:10" s="3" customFormat="1" x14ac:dyDescent="0.25">
      <c r="A1219" s="2">
        <v>258</v>
      </c>
      <c r="B1219" s="3" t="s">
        <v>30</v>
      </c>
      <c r="C1219" s="3">
        <v>647</v>
      </c>
      <c r="D1219" s="3">
        <v>1</v>
      </c>
      <c r="E1219" s="3" t="s">
        <v>28</v>
      </c>
      <c r="F1219" s="3" t="s">
        <v>29</v>
      </c>
      <c r="G1219" s="3" t="str">
        <f>"2025-09-08 07:29:57.470"</f>
        <v>2025-09-08 07:29:57.470</v>
      </c>
      <c r="H1219" s="3" t="s">
        <v>21</v>
      </c>
      <c r="I1219" s="3">
        <v>14.96</v>
      </c>
      <c r="J1219" s="3" t="s">
        <v>31</v>
      </c>
    </row>
    <row r="1220" spans="1:10" s="3" customFormat="1" x14ac:dyDescent="0.25">
      <c r="A1220" s="2">
        <v>259</v>
      </c>
      <c r="B1220" s="3" t="s">
        <v>27</v>
      </c>
      <c r="C1220" s="3">
        <v>647</v>
      </c>
      <c r="D1220" s="3">
        <v>1</v>
      </c>
      <c r="E1220" s="3" t="s">
        <v>28</v>
      </c>
      <c r="F1220" s="3" t="s">
        <v>29</v>
      </c>
      <c r="G1220" s="3" t="str">
        <f>"2025-09-08 04:46:52.770"</f>
        <v>2025-09-08 04:46:52.770</v>
      </c>
      <c r="H1220" s="3" t="s">
        <v>21</v>
      </c>
    </row>
    <row r="1221" spans="1:10" s="3" customFormat="1" x14ac:dyDescent="0.25">
      <c r="A1221" s="2">
        <v>260</v>
      </c>
      <c r="B1221" s="3" t="s">
        <v>30</v>
      </c>
      <c r="C1221" s="3">
        <v>647</v>
      </c>
      <c r="D1221" s="3">
        <v>1</v>
      </c>
      <c r="E1221" s="3" t="s">
        <v>28</v>
      </c>
      <c r="F1221" s="3" t="s">
        <v>29</v>
      </c>
      <c r="G1221" s="3" t="str">
        <f>"2025-09-08 04:46:51.070"</f>
        <v>2025-09-08 04:46:51.070</v>
      </c>
      <c r="H1221" s="3" t="s">
        <v>21</v>
      </c>
      <c r="I1221" s="3">
        <v>19.39</v>
      </c>
      <c r="J1221" s="3" t="s">
        <v>31</v>
      </c>
    </row>
    <row r="1222" spans="1:10" s="3" customFormat="1" x14ac:dyDescent="0.25">
      <c r="A1222" s="2">
        <v>262</v>
      </c>
      <c r="B1222" s="3" t="s">
        <v>27</v>
      </c>
      <c r="C1222" s="3">
        <v>647</v>
      </c>
      <c r="D1222" s="3">
        <v>1</v>
      </c>
      <c r="E1222" s="3" t="s">
        <v>28</v>
      </c>
      <c r="F1222" s="3" t="s">
        <v>29</v>
      </c>
      <c r="G1222" s="3" t="str">
        <f>"2025-09-07 23:53:49.670"</f>
        <v>2025-09-07 23:53:49.670</v>
      </c>
      <c r="H1222" s="3" t="s">
        <v>21</v>
      </c>
    </row>
    <row r="1223" spans="1:10" s="3" customFormat="1" x14ac:dyDescent="0.25">
      <c r="A1223" s="2">
        <v>263</v>
      </c>
      <c r="B1223" s="3" t="s">
        <v>30</v>
      </c>
      <c r="C1223" s="3">
        <v>647</v>
      </c>
      <c r="D1223" s="3">
        <v>1</v>
      </c>
      <c r="E1223" s="3" t="s">
        <v>28</v>
      </c>
      <c r="F1223" s="3" t="s">
        <v>29</v>
      </c>
      <c r="G1223" s="3" t="str">
        <f>"2025-09-07 23:53:44.170"</f>
        <v>2025-09-07 23:53:44.170</v>
      </c>
      <c r="H1223" s="3" t="s">
        <v>21</v>
      </c>
      <c r="I1223" s="3">
        <v>15.18</v>
      </c>
      <c r="J1223" s="3" t="s">
        <v>31</v>
      </c>
    </row>
    <row r="1224" spans="1:10" s="3" customFormat="1" x14ac:dyDescent="0.25">
      <c r="A1224" s="2">
        <v>264</v>
      </c>
      <c r="B1224" s="3" t="s">
        <v>27</v>
      </c>
      <c r="C1224" s="3">
        <v>647</v>
      </c>
      <c r="D1224" s="3">
        <v>1</v>
      </c>
      <c r="E1224" s="3" t="s">
        <v>28</v>
      </c>
      <c r="F1224" s="3" t="s">
        <v>29</v>
      </c>
      <c r="G1224" s="3" t="str">
        <f>"2025-09-07 23:37:44.270"</f>
        <v>2025-09-07 23:37:44.270</v>
      </c>
      <c r="H1224" s="3" t="s">
        <v>21</v>
      </c>
    </row>
    <row r="1225" spans="1:10" s="3" customFormat="1" x14ac:dyDescent="0.25">
      <c r="A1225" s="2">
        <v>265</v>
      </c>
      <c r="B1225" s="3" t="s">
        <v>30</v>
      </c>
      <c r="C1225" s="3">
        <v>647</v>
      </c>
      <c r="D1225" s="3">
        <v>1</v>
      </c>
      <c r="E1225" s="3" t="s">
        <v>28</v>
      </c>
      <c r="F1225" s="3" t="s">
        <v>29</v>
      </c>
      <c r="G1225" s="3" t="str">
        <f>"2025-09-07 23:37:40.570"</f>
        <v>2025-09-07 23:37:40.570</v>
      </c>
      <c r="H1225" s="3" t="s">
        <v>21</v>
      </c>
      <c r="I1225" s="3">
        <v>8.81</v>
      </c>
      <c r="J1225" s="3" t="s">
        <v>31</v>
      </c>
    </row>
    <row r="1226" spans="1:10" s="3" customFormat="1" x14ac:dyDescent="0.25">
      <c r="A1226" s="2">
        <v>266</v>
      </c>
      <c r="B1226" s="3" t="s">
        <v>27</v>
      </c>
      <c r="C1226" s="3">
        <v>647</v>
      </c>
      <c r="D1226" s="3">
        <v>1</v>
      </c>
      <c r="E1226" s="3" t="s">
        <v>28</v>
      </c>
      <c r="F1226" s="3" t="s">
        <v>29</v>
      </c>
      <c r="G1226" s="3" t="str">
        <f>"2025-09-07 23:29:08.670"</f>
        <v>2025-09-07 23:29:08.670</v>
      </c>
      <c r="H1226" s="3" t="s">
        <v>21</v>
      </c>
    </row>
    <row r="1227" spans="1:10" s="3" customFormat="1" x14ac:dyDescent="0.25">
      <c r="A1227" s="2">
        <v>267</v>
      </c>
      <c r="B1227" s="3" t="s">
        <v>30</v>
      </c>
      <c r="C1227" s="3">
        <v>647</v>
      </c>
      <c r="D1227" s="3">
        <v>1</v>
      </c>
      <c r="E1227" s="3" t="s">
        <v>28</v>
      </c>
      <c r="F1227" s="3" t="s">
        <v>29</v>
      </c>
      <c r="G1227" s="3" t="str">
        <f>"2025-09-07 23:29:05.570"</f>
        <v>2025-09-07 23:29:05.570</v>
      </c>
      <c r="H1227" s="3" t="s">
        <v>21</v>
      </c>
      <c r="I1227" s="3">
        <v>20.32</v>
      </c>
      <c r="J1227" s="3" t="s">
        <v>31</v>
      </c>
    </row>
    <row r="1228" spans="1:10" x14ac:dyDescent="0.25">
      <c r="A1228" s="1">
        <v>268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"2025-09-07 20:51:46.689"</f>
        <v>2025-09-07 20:51:46.689</v>
      </c>
      <c r="H1228" t="s">
        <v>21</v>
      </c>
    </row>
    <row r="1229" spans="1:10" x14ac:dyDescent="0.25">
      <c r="A1229" s="1">
        <v>269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"2025-09-06 08:19:14.672"</f>
        <v>2025-09-06 08:19:14.672</v>
      </c>
      <c r="H1229" t="s">
        <v>21</v>
      </c>
    </row>
    <row r="1230" spans="1:10" x14ac:dyDescent="0.25">
      <c r="A1230" s="1">
        <v>270</v>
      </c>
      <c r="B1230" t="s">
        <v>19</v>
      </c>
      <c r="C1230">
        <v>706</v>
      </c>
      <c r="D1230">
        <v>4</v>
      </c>
      <c r="E1230" t="s">
        <v>23</v>
      </c>
      <c r="F1230" t="s">
        <v>26</v>
      </c>
      <c r="G1230" t="str">
        <f>"2025-09-06 07:57:10.452"</f>
        <v>2025-09-06 07:57:10.452</v>
      </c>
      <c r="H1230" t="s">
        <v>21</v>
      </c>
      <c r="I1230">
        <v>0</v>
      </c>
      <c r="J1230" t="s">
        <v>25</v>
      </c>
    </row>
    <row r="1231" spans="1:10" x14ac:dyDescent="0.25">
      <c r="A1231" s="1">
        <v>271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"2025-09-06 07:56:40.872"</f>
        <v>2025-09-06 07:56:40.872</v>
      </c>
      <c r="H1231" t="s">
        <v>21</v>
      </c>
    </row>
    <row r="1232" spans="1:10" s="3" customFormat="1" x14ac:dyDescent="0.25">
      <c r="A1232" s="2">
        <v>272</v>
      </c>
      <c r="B1232" s="3" t="s">
        <v>27</v>
      </c>
      <c r="C1232" s="3">
        <v>647</v>
      </c>
      <c r="D1232" s="3">
        <v>1</v>
      </c>
      <c r="E1232" s="3" t="s">
        <v>28</v>
      </c>
      <c r="F1232" s="3" t="s">
        <v>29</v>
      </c>
      <c r="G1232" s="3" t="str">
        <f>"2025-09-06 06:19:57.992"</f>
        <v>2025-09-06 06:19:57.992</v>
      </c>
      <c r="H1232" s="3" t="s">
        <v>21</v>
      </c>
    </row>
    <row r="1233" spans="1:10" s="3" customFormat="1" x14ac:dyDescent="0.25">
      <c r="A1233" s="2">
        <v>273</v>
      </c>
      <c r="B1233" s="3" t="s">
        <v>30</v>
      </c>
      <c r="C1233" s="3">
        <v>647</v>
      </c>
      <c r="D1233" s="3">
        <v>1</v>
      </c>
      <c r="E1233" s="3" t="s">
        <v>28</v>
      </c>
      <c r="F1233" s="3" t="s">
        <v>29</v>
      </c>
      <c r="G1233" s="3" t="str">
        <f>"2025-09-06 06:19:52.992"</f>
        <v>2025-09-06 06:19:52.992</v>
      </c>
      <c r="H1233" s="3" t="s">
        <v>21</v>
      </c>
      <c r="I1233" s="3">
        <v>8.18</v>
      </c>
      <c r="J1233" s="3" t="s">
        <v>31</v>
      </c>
    </row>
    <row r="1234" spans="1:10" s="3" customFormat="1" x14ac:dyDescent="0.25">
      <c r="A1234" s="2">
        <v>274</v>
      </c>
      <c r="B1234" s="3" t="s">
        <v>27</v>
      </c>
      <c r="C1234" s="3">
        <v>647</v>
      </c>
      <c r="D1234" s="3">
        <v>1</v>
      </c>
      <c r="E1234" s="3" t="s">
        <v>28</v>
      </c>
      <c r="F1234" s="3" t="s">
        <v>29</v>
      </c>
      <c r="G1234" s="3" t="str">
        <f>"2025-09-06 01:49:21.692"</f>
        <v>2025-09-06 01:49:21.692</v>
      </c>
      <c r="H1234" s="3" t="s">
        <v>21</v>
      </c>
    </row>
    <row r="1235" spans="1:10" s="3" customFormat="1" x14ac:dyDescent="0.25">
      <c r="A1235" s="2">
        <v>275</v>
      </c>
      <c r="B1235" s="3" t="s">
        <v>30</v>
      </c>
      <c r="C1235" s="3">
        <v>647</v>
      </c>
      <c r="D1235" s="3">
        <v>1</v>
      </c>
      <c r="E1235" s="3" t="s">
        <v>28</v>
      </c>
      <c r="F1235" s="3" t="s">
        <v>29</v>
      </c>
      <c r="G1235" s="3" t="str">
        <f>"2025-09-06 01:48:46.792"</f>
        <v>2025-09-06 01:48:46.792</v>
      </c>
      <c r="H1235" s="3" t="s">
        <v>21</v>
      </c>
      <c r="I1235" s="3">
        <v>22.88</v>
      </c>
      <c r="J1235" s="3" t="s">
        <v>31</v>
      </c>
    </row>
    <row r="1236" spans="1:10" s="3" customFormat="1" x14ac:dyDescent="0.25">
      <c r="A1236" s="2">
        <v>276</v>
      </c>
      <c r="B1236" s="3" t="s">
        <v>27</v>
      </c>
      <c r="C1236" s="3">
        <v>647</v>
      </c>
      <c r="D1236" s="3">
        <v>1</v>
      </c>
      <c r="E1236" s="3" t="s">
        <v>28</v>
      </c>
      <c r="F1236" s="3" t="s">
        <v>29</v>
      </c>
      <c r="G1236" s="3" t="str">
        <f>"2025-09-05 23:01:11.692"</f>
        <v>2025-09-05 23:01:11.692</v>
      </c>
      <c r="H1236" s="3" t="s">
        <v>21</v>
      </c>
    </row>
    <row r="1237" spans="1:10" s="3" customFormat="1" x14ac:dyDescent="0.25">
      <c r="A1237" s="2">
        <v>277</v>
      </c>
      <c r="B1237" s="3" t="s">
        <v>30</v>
      </c>
      <c r="C1237" s="3">
        <v>647</v>
      </c>
      <c r="D1237" s="3">
        <v>1</v>
      </c>
      <c r="E1237" s="3" t="s">
        <v>28</v>
      </c>
      <c r="F1237" s="3" t="s">
        <v>29</v>
      </c>
      <c r="G1237" s="3" t="str">
        <f>"2025-09-05 23:01:01.592"</f>
        <v>2025-09-05 23:01:01.592</v>
      </c>
      <c r="H1237" s="3" t="s">
        <v>21</v>
      </c>
      <c r="I1237" s="3">
        <v>9.5500000000000007</v>
      </c>
      <c r="J1237" s="3" t="s">
        <v>31</v>
      </c>
    </row>
    <row r="1238" spans="1:10" x14ac:dyDescent="0.25">
      <c r="A1238" s="1">
        <v>278</v>
      </c>
      <c r="B1238" t="s">
        <v>27</v>
      </c>
      <c r="C1238">
        <v>98</v>
      </c>
      <c r="D1238">
        <v>1</v>
      </c>
      <c r="E1238" t="s">
        <v>40</v>
      </c>
      <c r="F1238" t="s">
        <v>41</v>
      </c>
      <c r="G1238" t="str">
        <f>"2025-09-05 22:31:30.691"</f>
        <v>2025-09-05 22:31:30.691</v>
      </c>
      <c r="H1238" t="s">
        <v>21</v>
      </c>
    </row>
    <row r="1239" spans="1:10" x14ac:dyDescent="0.25">
      <c r="A1239" s="1">
        <v>279</v>
      </c>
      <c r="B1239" t="s">
        <v>30</v>
      </c>
      <c r="C1239">
        <v>98</v>
      </c>
      <c r="D1239">
        <v>1</v>
      </c>
      <c r="E1239" t="s">
        <v>40</v>
      </c>
      <c r="F1239" t="s">
        <v>41</v>
      </c>
      <c r="G1239" t="str">
        <f>"2025-09-05 22:31:29.691"</f>
        <v>2025-09-05 22:31:29.691</v>
      </c>
      <c r="H1239" t="s">
        <v>21</v>
      </c>
      <c r="I1239">
        <v>0</v>
      </c>
      <c r="J1239" t="s">
        <v>42</v>
      </c>
    </row>
    <row r="1240" spans="1:10" x14ac:dyDescent="0.25">
      <c r="A1240" s="1">
        <v>280</v>
      </c>
      <c r="B1240" t="s">
        <v>27</v>
      </c>
      <c r="C1240">
        <v>98</v>
      </c>
      <c r="D1240">
        <v>1</v>
      </c>
      <c r="E1240" t="s">
        <v>40</v>
      </c>
      <c r="F1240" t="s">
        <v>41</v>
      </c>
      <c r="G1240" t="str">
        <f>"2025-09-05 20:30:29.291"</f>
        <v>2025-09-05 20:30:29.291</v>
      </c>
      <c r="H1240" t="s">
        <v>21</v>
      </c>
    </row>
    <row r="1241" spans="1:10" x14ac:dyDescent="0.25">
      <c r="A1241" s="1">
        <v>281</v>
      </c>
      <c r="B1241" t="s">
        <v>30</v>
      </c>
      <c r="C1241">
        <v>98</v>
      </c>
      <c r="D1241">
        <v>1</v>
      </c>
      <c r="E1241" t="s">
        <v>40</v>
      </c>
      <c r="F1241" t="s">
        <v>41</v>
      </c>
      <c r="G1241" t="str">
        <f>"2025-09-05 20:30:28.292"</f>
        <v>2025-09-05 20:30:28.292</v>
      </c>
      <c r="H1241" t="s">
        <v>21</v>
      </c>
      <c r="I1241">
        <v>0</v>
      </c>
      <c r="J1241" t="s">
        <v>42</v>
      </c>
    </row>
    <row r="1242" spans="1:10" x14ac:dyDescent="0.25">
      <c r="A1242" s="1">
        <v>282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"2025-09-05 20:28:47.711"</f>
        <v>2025-09-05 20:28:47.711</v>
      </c>
      <c r="H1242" t="s">
        <v>21</v>
      </c>
      <c r="I1242">
        <v>0</v>
      </c>
      <c r="J1242" t="s">
        <v>22</v>
      </c>
    </row>
    <row r="1243" spans="1:10" s="3" customFormat="1" x14ac:dyDescent="0.25">
      <c r="A1243" s="2">
        <v>283</v>
      </c>
      <c r="B1243" s="3" t="s">
        <v>27</v>
      </c>
      <c r="C1243" s="3">
        <v>647</v>
      </c>
      <c r="D1243" s="3">
        <v>1</v>
      </c>
      <c r="E1243" s="3" t="s">
        <v>28</v>
      </c>
      <c r="F1243" s="3" t="s">
        <v>29</v>
      </c>
      <c r="G1243" s="3" t="str">
        <f>"2025-09-05 05:58:36.570"</f>
        <v>2025-09-05 05:58:36.570</v>
      </c>
      <c r="H1243" s="3" t="s">
        <v>21</v>
      </c>
    </row>
    <row r="1244" spans="1:10" s="3" customFormat="1" x14ac:dyDescent="0.25">
      <c r="A1244" s="2">
        <v>284</v>
      </c>
      <c r="B1244" s="3" t="s">
        <v>30</v>
      </c>
      <c r="C1244" s="3">
        <v>647</v>
      </c>
      <c r="D1244" s="3">
        <v>1</v>
      </c>
      <c r="E1244" s="3" t="s">
        <v>28</v>
      </c>
      <c r="F1244" s="3" t="s">
        <v>29</v>
      </c>
      <c r="G1244" s="3" t="str">
        <f>"2025-09-05 05:58:33.470"</f>
        <v>2025-09-05 05:58:33.470</v>
      </c>
      <c r="H1244" s="3" t="s">
        <v>21</v>
      </c>
      <c r="I1244" s="3">
        <v>28.42</v>
      </c>
      <c r="J1244" s="3" t="s">
        <v>31</v>
      </c>
    </row>
    <row r="1245" spans="1:10" x14ac:dyDescent="0.25">
      <c r="A1245" s="1">
        <v>285</v>
      </c>
      <c r="B1245" t="s">
        <v>27</v>
      </c>
      <c r="C1245">
        <v>635</v>
      </c>
      <c r="D1245">
        <v>1</v>
      </c>
      <c r="E1245" t="s">
        <v>32</v>
      </c>
      <c r="F1245" t="s">
        <v>33</v>
      </c>
      <c r="G1245" t="str">
        <f>"2025-09-05 01:59:40.169"</f>
        <v>2025-09-05 01:59:40.169</v>
      </c>
      <c r="H1245" t="s">
        <v>21</v>
      </c>
    </row>
    <row r="1246" spans="1:10" x14ac:dyDescent="0.25">
      <c r="A1246" s="1">
        <v>286</v>
      </c>
      <c r="B1246" t="s">
        <v>30</v>
      </c>
      <c r="C1246">
        <v>635</v>
      </c>
      <c r="D1246">
        <v>1</v>
      </c>
      <c r="E1246" t="s">
        <v>32</v>
      </c>
      <c r="F1246" t="s">
        <v>33</v>
      </c>
      <c r="G1246" t="str">
        <f>"2025-09-05 01:39:47.669"</f>
        <v>2025-09-05 01:39:47.669</v>
      </c>
      <c r="H1246" t="s">
        <v>21</v>
      </c>
      <c r="I1246">
        <v>7.26</v>
      </c>
      <c r="J1246" t="s">
        <v>34</v>
      </c>
    </row>
    <row r="1247" spans="1:10" x14ac:dyDescent="0.25">
      <c r="A1247" s="1">
        <v>287</v>
      </c>
      <c r="B1247" t="s">
        <v>19</v>
      </c>
      <c r="C1247">
        <v>706</v>
      </c>
      <c r="D1247">
        <v>2</v>
      </c>
      <c r="E1247" t="s">
        <v>23</v>
      </c>
      <c r="F1247" t="s">
        <v>24</v>
      </c>
      <c r="G1247" t="str">
        <f>"2025-09-04 13:39:02.849"</f>
        <v>2025-09-04 13:39:02.849</v>
      </c>
      <c r="H1247" t="s">
        <v>21</v>
      </c>
      <c r="I1247">
        <v>0</v>
      </c>
      <c r="J1247" t="s">
        <v>25</v>
      </c>
    </row>
    <row r="1248" spans="1:10" x14ac:dyDescent="0.25">
      <c r="A1248" s="1">
        <v>288</v>
      </c>
      <c r="B1248" t="s">
        <v>19</v>
      </c>
      <c r="C1248">
        <v>706</v>
      </c>
      <c r="D1248">
        <v>4</v>
      </c>
      <c r="E1248" t="s">
        <v>23</v>
      </c>
      <c r="F1248" t="s">
        <v>26</v>
      </c>
      <c r="G1248" t="str">
        <f>"2025-09-04 08:55:54.439"</f>
        <v>2025-09-04 08:55:54.439</v>
      </c>
      <c r="H1248" t="s">
        <v>21</v>
      </c>
      <c r="I1248">
        <v>0</v>
      </c>
      <c r="J1248" t="s">
        <v>25</v>
      </c>
    </row>
    <row r="1249" spans="1:10" x14ac:dyDescent="0.25">
      <c r="A1249" s="1">
        <v>289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"2025-09-04 08:52:20.679"</f>
        <v>2025-09-04 08:52:20.679</v>
      </c>
      <c r="H1249" t="s">
        <v>21</v>
      </c>
    </row>
    <row r="1250" spans="1:10" x14ac:dyDescent="0.25">
      <c r="A1250" s="1">
        <v>290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"2025-09-03 20:18:10.770"</f>
        <v>2025-09-03 20:18:10.770</v>
      </c>
      <c r="H1250" t="s">
        <v>21</v>
      </c>
    </row>
    <row r="1251" spans="1:10" x14ac:dyDescent="0.25">
      <c r="A1251" s="1">
        <v>291</v>
      </c>
      <c r="B1251" t="s">
        <v>35</v>
      </c>
      <c r="C1251">
        <v>598</v>
      </c>
      <c r="D1251">
        <v>1</v>
      </c>
      <c r="E1251" t="s">
        <v>78</v>
      </c>
      <c r="F1251" t="s">
        <v>79</v>
      </c>
      <c r="G1251" t="str">
        <f>"2025-09-03 11:37:16.610"</f>
        <v>2025-09-03 11:37:16.610</v>
      </c>
      <c r="H1251" t="s">
        <v>80</v>
      </c>
    </row>
    <row r="1252" spans="1:10" x14ac:dyDescent="0.25">
      <c r="A1252" s="1">
        <v>292</v>
      </c>
      <c r="B1252" t="s">
        <v>39</v>
      </c>
      <c r="C1252">
        <v>598</v>
      </c>
      <c r="D1252">
        <v>1</v>
      </c>
      <c r="E1252" t="s">
        <v>78</v>
      </c>
      <c r="F1252" t="s">
        <v>79</v>
      </c>
      <c r="G1252" t="str">
        <f>"2025-09-03 11:28:09.443"</f>
        <v>2025-09-03 11:28:09.443</v>
      </c>
      <c r="H1252" t="s">
        <v>80</v>
      </c>
      <c r="I1252">
        <v>2.42</v>
      </c>
      <c r="J1252" t="s">
        <v>34</v>
      </c>
    </row>
    <row r="1253" spans="1:10" s="3" customFormat="1" x14ac:dyDescent="0.25">
      <c r="A1253" s="2">
        <v>293</v>
      </c>
      <c r="B1253" s="3" t="s">
        <v>27</v>
      </c>
      <c r="C1253" s="3">
        <v>647</v>
      </c>
      <c r="D1253" s="3">
        <v>1</v>
      </c>
      <c r="E1253" s="3" t="s">
        <v>28</v>
      </c>
      <c r="F1253" s="3" t="s">
        <v>29</v>
      </c>
      <c r="G1253" s="3" t="str">
        <f>"2025-09-03 04:47:21.163"</f>
        <v>2025-09-03 04:47:21.163</v>
      </c>
      <c r="H1253" s="3" t="s">
        <v>21</v>
      </c>
    </row>
    <row r="1254" spans="1:10" s="3" customFormat="1" x14ac:dyDescent="0.25">
      <c r="A1254" s="2">
        <v>294</v>
      </c>
      <c r="B1254" s="3" t="s">
        <v>30</v>
      </c>
      <c r="C1254" s="3">
        <v>647</v>
      </c>
      <c r="D1254" s="3">
        <v>1</v>
      </c>
      <c r="E1254" s="3" t="s">
        <v>28</v>
      </c>
      <c r="F1254" s="3" t="s">
        <v>29</v>
      </c>
      <c r="G1254" s="3" t="str">
        <f>"2025-09-03 04:47:18.463"</f>
        <v>2025-09-03 04:47:18.463</v>
      </c>
      <c r="H1254" s="3" t="s">
        <v>21</v>
      </c>
      <c r="I1254" s="3">
        <v>17.45</v>
      </c>
      <c r="J1254" s="3" t="s">
        <v>31</v>
      </c>
    </row>
    <row r="1255" spans="1:10" x14ac:dyDescent="0.25">
      <c r="A1255" s="1">
        <v>295</v>
      </c>
      <c r="B1255" t="s">
        <v>19</v>
      </c>
      <c r="C1255">
        <v>706</v>
      </c>
      <c r="D1255">
        <v>4</v>
      </c>
      <c r="E1255" t="s">
        <v>23</v>
      </c>
      <c r="F1255" t="s">
        <v>26</v>
      </c>
      <c r="G1255" t="str">
        <f>"2025-09-02 19:48:56.221"</f>
        <v>2025-09-02 19:48:56.221</v>
      </c>
      <c r="H1255" t="s">
        <v>21</v>
      </c>
      <c r="I1255">
        <v>0</v>
      </c>
      <c r="J1255" t="s">
        <v>25</v>
      </c>
    </row>
    <row r="1256" spans="1:10" x14ac:dyDescent="0.25">
      <c r="A1256" s="1">
        <v>296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"2025-09-02 19:38:09.671"</f>
        <v>2025-09-02 19:38:09.671</v>
      </c>
      <c r="H1256" t="s">
        <v>21</v>
      </c>
      <c r="I1256">
        <v>0</v>
      </c>
      <c r="J1256" t="s">
        <v>22</v>
      </c>
    </row>
    <row r="1257" spans="1:10" x14ac:dyDescent="0.25">
      <c r="A1257" s="1">
        <v>297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"2025-09-01 08:25:49.680"</f>
        <v>2025-09-01 08:25:49.680</v>
      </c>
      <c r="H1257" t="s">
        <v>21</v>
      </c>
      <c r="I1257">
        <v>0</v>
      </c>
      <c r="J1257" t="s">
        <v>22</v>
      </c>
    </row>
    <row r="1258" spans="1:10" x14ac:dyDescent="0.25">
      <c r="A1258" s="1">
        <v>298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"2025-08-31 17:02:19.682"</f>
        <v>2025-08-31 17:02:19.682</v>
      </c>
      <c r="H1258" t="s">
        <v>21</v>
      </c>
      <c r="I1258">
        <v>0</v>
      </c>
      <c r="J1258" t="s">
        <v>22</v>
      </c>
    </row>
    <row r="1259" spans="1:10" x14ac:dyDescent="0.25">
      <c r="A1259" s="1">
        <v>301</v>
      </c>
      <c r="B1259" t="s">
        <v>19</v>
      </c>
      <c r="C1259">
        <v>706</v>
      </c>
      <c r="D1259">
        <v>2</v>
      </c>
      <c r="E1259" t="s">
        <v>23</v>
      </c>
      <c r="F1259" t="s">
        <v>24</v>
      </c>
      <c r="G1259" t="str">
        <f>"2025-08-31 16:30:41.739"</f>
        <v>2025-08-31 16:30:41.739</v>
      </c>
      <c r="H1259" t="s">
        <v>21</v>
      </c>
      <c r="I1259">
        <v>0</v>
      </c>
      <c r="J1259" t="s">
        <v>25</v>
      </c>
    </row>
    <row r="1260" spans="1:10" x14ac:dyDescent="0.25">
      <c r="A1260" s="1">
        <v>302</v>
      </c>
      <c r="B1260" t="s">
        <v>19</v>
      </c>
      <c r="C1260">
        <v>782</v>
      </c>
      <c r="D1260">
        <v>7</v>
      </c>
      <c r="E1260" t="s">
        <v>81</v>
      </c>
      <c r="F1260" t="s">
        <v>82</v>
      </c>
      <c r="G1260" t="str">
        <f>"2025-08-31 16:30:36.427"</f>
        <v>2025-08-31 16:30:36.427</v>
      </c>
      <c r="H1260" t="s">
        <v>21</v>
      </c>
      <c r="I1260">
        <v>0</v>
      </c>
      <c r="J1260" t="s">
        <v>25</v>
      </c>
    </row>
    <row r="1261" spans="1:10" x14ac:dyDescent="0.25">
      <c r="A1261" s="1">
        <v>305</v>
      </c>
      <c r="B1261" t="s">
        <v>27</v>
      </c>
      <c r="C1261">
        <v>250</v>
      </c>
      <c r="D1261">
        <v>7</v>
      </c>
      <c r="E1261" t="s">
        <v>83</v>
      </c>
      <c r="F1261" t="s">
        <v>84</v>
      </c>
      <c r="G1261" t="str">
        <f>"2025-08-31 16:30:36.419"</f>
        <v>2025-08-31 16:30:36.419</v>
      </c>
      <c r="H1261" t="s">
        <v>21</v>
      </c>
    </row>
    <row r="1262" spans="1:10" x14ac:dyDescent="0.25">
      <c r="A1262" s="1">
        <v>306</v>
      </c>
      <c r="B1262" t="s">
        <v>27</v>
      </c>
      <c r="C1262">
        <v>248</v>
      </c>
      <c r="D1262">
        <v>7</v>
      </c>
      <c r="E1262" t="s">
        <v>85</v>
      </c>
      <c r="F1262" t="s">
        <v>86</v>
      </c>
      <c r="G1262" t="str">
        <f>"2025-08-31 16:30:36.417"</f>
        <v>2025-08-31 16:30:36.417</v>
      </c>
      <c r="H1262" t="s">
        <v>21</v>
      </c>
    </row>
    <row r="1263" spans="1:10" x14ac:dyDescent="0.25">
      <c r="A1263" s="1">
        <v>307</v>
      </c>
      <c r="B1263" t="s">
        <v>27</v>
      </c>
      <c r="C1263">
        <v>207</v>
      </c>
      <c r="D1263">
        <v>2</v>
      </c>
      <c r="E1263" t="s">
        <v>87</v>
      </c>
      <c r="F1263" t="s">
        <v>88</v>
      </c>
      <c r="G1263" t="str">
        <f>"2025-08-31 16:30:36.414"</f>
        <v>2025-08-31 16:30:36.414</v>
      </c>
      <c r="H1263" t="s">
        <v>52</v>
      </c>
    </row>
    <row r="1264" spans="1:10" x14ac:dyDescent="0.25">
      <c r="A1264" s="1">
        <v>308</v>
      </c>
      <c r="B1264" t="s">
        <v>27</v>
      </c>
      <c r="C1264">
        <v>107</v>
      </c>
      <c r="D1264">
        <v>2</v>
      </c>
      <c r="E1264" t="s">
        <v>89</v>
      </c>
      <c r="F1264" t="s">
        <v>88</v>
      </c>
      <c r="G1264" t="str">
        <f>"2025-08-31 16:30:36.412"</f>
        <v>2025-08-31 16:30:36.412</v>
      </c>
      <c r="H1264" t="s">
        <v>57</v>
      </c>
    </row>
    <row r="1265" spans="1:10" x14ac:dyDescent="0.25">
      <c r="A1265" s="1">
        <v>309</v>
      </c>
      <c r="B1265" t="s">
        <v>27</v>
      </c>
      <c r="C1265">
        <v>49</v>
      </c>
      <c r="D1265">
        <v>1</v>
      </c>
      <c r="E1265" t="s">
        <v>90</v>
      </c>
      <c r="F1265" t="s">
        <v>91</v>
      </c>
      <c r="G1265" t="str">
        <f>"2025-08-31 16:30:36.410"</f>
        <v>2025-08-31 16:30:36.410</v>
      </c>
      <c r="H1265" t="s">
        <v>92</v>
      </c>
    </row>
    <row r="1266" spans="1:10" x14ac:dyDescent="0.25">
      <c r="A1266" s="1">
        <v>310</v>
      </c>
      <c r="B1266" t="s">
        <v>19</v>
      </c>
      <c r="C1266">
        <v>782</v>
      </c>
      <c r="D1266">
        <v>7</v>
      </c>
      <c r="E1266" t="s">
        <v>81</v>
      </c>
      <c r="F1266" t="s">
        <v>82</v>
      </c>
      <c r="G1266" t="str">
        <f>"2025-08-31 16:30:36.408"</f>
        <v>2025-08-31 16:30:36.408</v>
      </c>
      <c r="H1266" t="s">
        <v>21</v>
      </c>
      <c r="I1266">
        <v>0</v>
      </c>
      <c r="J1266" t="s">
        <v>25</v>
      </c>
    </row>
    <row r="1267" spans="1:10" x14ac:dyDescent="0.25">
      <c r="A1267" s="1">
        <v>311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"2025-08-31 16:30:20.679"</f>
        <v>2025-08-31 16:30:20.679</v>
      </c>
      <c r="H1267" t="s">
        <v>21</v>
      </c>
      <c r="I1267">
        <v>0</v>
      </c>
      <c r="J1267" t="s">
        <v>22</v>
      </c>
    </row>
    <row r="1268" spans="1:10" x14ac:dyDescent="0.25">
      <c r="A1268" s="1">
        <v>313</v>
      </c>
      <c r="B1268" t="s">
        <v>39</v>
      </c>
      <c r="C1268">
        <v>47</v>
      </c>
      <c r="D1268">
        <v>2</v>
      </c>
      <c r="E1268" t="s">
        <v>61</v>
      </c>
      <c r="F1268" t="s">
        <v>62</v>
      </c>
      <c r="G1268" t="str">
        <f>"2025-08-31 16:29:31.044"</f>
        <v>2025-08-31 16:29:31.044</v>
      </c>
      <c r="H1268" t="s">
        <v>63</v>
      </c>
      <c r="I1268">
        <v>0</v>
      </c>
      <c r="J1268" t="s">
        <v>93</v>
      </c>
    </row>
    <row r="1269" spans="1:10" x14ac:dyDescent="0.25">
      <c r="A1269" s="1">
        <v>314</v>
      </c>
      <c r="B1269" t="s">
        <v>30</v>
      </c>
      <c r="C1269">
        <v>250</v>
      </c>
      <c r="D1269">
        <v>7</v>
      </c>
      <c r="E1269" t="s">
        <v>83</v>
      </c>
      <c r="F1269" t="s">
        <v>84</v>
      </c>
      <c r="G1269" t="str">
        <f>"2025-08-31 16:29:26.073"</f>
        <v>2025-08-31 16:29:26.073</v>
      </c>
      <c r="H1269" t="s">
        <v>21</v>
      </c>
      <c r="I1269">
        <v>0</v>
      </c>
      <c r="J1269" t="s">
        <v>93</v>
      </c>
    </row>
    <row r="1270" spans="1:10" x14ac:dyDescent="0.25">
      <c r="A1270" s="1">
        <v>315</v>
      </c>
      <c r="B1270" t="s">
        <v>30</v>
      </c>
      <c r="C1270">
        <v>248</v>
      </c>
      <c r="D1270">
        <v>7</v>
      </c>
      <c r="E1270" t="s">
        <v>85</v>
      </c>
      <c r="F1270" t="s">
        <v>86</v>
      </c>
      <c r="G1270" t="str">
        <f>"2025-08-31 16:29:26.068"</f>
        <v>2025-08-31 16:29:26.068</v>
      </c>
      <c r="H1270" t="s">
        <v>21</v>
      </c>
      <c r="I1270">
        <v>0</v>
      </c>
      <c r="J1270" t="s">
        <v>93</v>
      </c>
    </row>
    <row r="1271" spans="1:10" x14ac:dyDescent="0.25">
      <c r="A1271" s="1">
        <v>316</v>
      </c>
      <c r="B1271" t="s">
        <v>49</v>
      </c>
      <c r="C1271">
        <v>248</v>
      </c>
      <c r="D1271">
        <v>7</v>
      </c>
      <c r="E1271" t="s">
        <v>85</v>
      </c>
      <c r="F1271" t="s">
        <v>86</v>
      </c>
      <c r="G1271" t="str">
        <f>"2025-08-31 16:29:25.976"</f>
        <v>2025-08-31 16:29:25.976</v>
      </c>
      <c r="H1271" t="s">
        <v>21</v>
      </c>
    </row>
    <row r="1272" spans="1:10" x14ac:dyDescent="0.25">
      <c r="A1272" s="1">
        <v>317</v>
      </c>
      <c r="B1272" t="s">
        <v>49</v>
      </c>
      <c r="C1272">
        <v>250</v>
      </c>
      <c r="D1272">
        <v>7</v>
      </c>
      <c r="E1272" t="s">
        <v>83</v>
      </c>
      <c r="F1272" t="s">
        <v>84</v>
      </c>
      <c r="G1272" t="str">
        <f>"2025-08-31 16:29:25.533"</f>
        <v>2025-08-31 16:29:25.533</v>
      </c>
      <c r="H1272" t="s">
        <v>21</v>
      </c>
    </row>
    <row r="1273" spans="1:10" x14ac:dyDescent="0.25">
      <c r="A1273" s="1">
        <v>318</v>
      </c>
      <c r="B1273" t="s">
        <v>39</v>
      </c>
      <c r="C1273">
        <v>248</v>
      </c>
      <c r="D1273">
        <v>7</v>
      </c>
      <c r="E1273" t="s">
        <v>85</v>
      </c>
      <c r="F1273" t="s">
        <v>86</v>
      </c>
      <c r="G1273" t="str">
        <f>"2025-08-31 16:29:20.968"</f>
        <v>2025-08-31 16:29:20.968</v>
      </c>
      <c r="H1273" t="s">
        <v>21</v>
      </c>
      <c r="I1273">
        <v>0</v>
      </c>
      <c r="J1273" t="s">
        <v>93</v>
      </c>
    </row>
    <row r="1274" spans="1:10" x14ac:dyDescent="0.25">
      <c r="A1274" s="1">
        <v>319</v>
      </c>
      <c r="B1274" t="s">
        <v>39</v>
      </c>
      <c r="C1274">
        <v>250</v>
      </c>
      <c r="D1274">
        <v>7</v>
      </c>
      <c r="E1274" t="s">
        <v>83</v>
      </c>
      <c r="F1274" t="s">
        <v>84</v>
      </c>
      <c r="G1274" t="str">
        <f>"2025-08-31 16:29:20.508"</f>
        <v>2025-08-31 16:29:20.508</v>
      </c>
      <c r="H1274" t="s">
        <v>21</v>
      </c>
      <c r="I1274">
        <v>0</v>
      </c>
      <c r="J1274" t="s">
        <v>93</v>
      </c>
    </row>
    <row r="1275" spans="1:10" x14ac:dyDescent="0.25">
      <c r="A1275" s="1">
        <v>320</v>
      </c>
      <c r="B1275" t="s">
        <v>30</v>
      </c>
      <c r="C1275">
        <v>207</v>
      </c>
      <c r="D1275">
        <v>2</v>
      </c>
      <c r="E1275" t="s">
        <v>87</v>
      </c>
      <c r="F1275" t="s">
        <v>88</v>
      </c>
      <c r="G1275" t="str">
        <f>"2025-08-31 16:29:19.668"</f>
        <v>2025-08-31 16:29:19.668</v>
      </c>
      <c r="H1275" t="s">
        <v>52</v>
      </c>
      <c r="I1275">
        <v>0</v>
      </c>
      <c r="J1275" t="s">
        <v>93</v>
      </c>
    </row>
    <row r="1276" spans="1:10" x14ac:dyDescent="0.25">
      <c r="A1276" s="1">
        <v>321</v>
      </c>
      <c r="B1276" t="s">
        <v>30</v>
      </c>
      <c r="C1276">
        <v>107</v>
      </c>
      <c r="D1276">
        <v>2</v>
      </c>
      <c r="E1276" t="s">
        <v>89</v>
      </c>
      <c r="F1276" t="s">
        <v>88</v>
      </c>
      <c r="G1276" t="str">
        <f>"2025-08-31 16:29:19.248"</f>
        <v>2025-08-31 16:29:19.248</v>
      </c>
      <c r="H1276" t="s">
        <v>57</v>
      </c>
      <c r="I1276">
        <v>0</v>
      </c>
      <c r="J1276" t="s">
        <v>93</v>
      </c>
    </row>
    <row r="1277" spans="1:10" x14ac:dyDescent="0.25">
      <c r="A1277" s="1">
        <v>324</v>
      </c>
      <c r="B1277" t="s">
        <v>30</v>
      </c>
      <c r="C1277">
        <v>49</v>
      </c>
      <c r="D1277">
        <v>1</v>
      </c>
      <c r="E1277" t="s">
        <v>90</v>
      </c>
      <c r="F1277" t="s">
        <v>91</v>
      </c>
      <c r="G1277" t="str">
        <f>"2025-08-31 16:29:18.564"</f>
        <v>2025-08-31 16:29:18.564</v>
      </c>
      <c r="H1277" t="s">
        <v>92</v>
      </c>
      <c r="I1277">
        <v>0</v>
      </c>
      <c r="J1277" t="s">
        <v>93</v>
      </c>
    </row>
    <row r="1278" spans="1:10" x14ac:dyDescent="0.25">
      <c r="A1278" s="1">
        <v>326</v>
      </c>
      <c r="B1278" t="s">
        <v>19</v>
      </c>
      <c r="C1278">
        <v>782</v>
      </c>
      <c r="D1278">
        <v>7</v>
      </c>
      <c r="E1278" t="s">
        <v>81</v>
      </c>
      <c r="F1278" t="s">
        <v>82</v>
      </c>
      <c r="G1278" t="str">
        <f>"2025-08-31 16:29:18.557"</f>
        <v>2025-08-31 16:29:18.557</v>
      </c>
      <c r="H1278" t="s">
        <v>21</v>
      </c>
      <c r="I1278">
        <v>0</v>
      </c>
      <c r="J1278" t="s">
        <v>93</v>
      </c>
    </row>
    <row r="1279" spans="1:10" x14ac:dyDescent="0.25">
      <c r="A1279" s="1">
        <v>329</v>
      </c>
      <c r="B1279" t="s">
        <v>27</v>
      </c>
      <c r="C1279">
        <v>250</v>
      </c>
      <c r="D1279">
        <v>7</v>
      </c>
      <c r="E1279" t="s">
        <v>83</v>
      </c>
      <c r="F1279" t="s">
        <v>84</v>
      </c>
      <c r="G1279" t="str">
        <f>"2025-08-31 16:29:18.552"</f>
        <v>2025-08-31 16:29:18.552</v>
      </c>
      <c r="H1279" t="s">
        <v>21</v>
      </c>
    </row>
    <row r="1280" spans="1:10" x14ac:dyDescent="0.25">
      <c r="A1280" s="1">
        <v>330</v>
      </c>
      <c r="B1280" t="s">
        <v>27</v>
      </c>
      <c r="C1280">
        <v>248</v>
      </c>
      <c r="D1280">
        <v>7</v>
      </c>
      <c r="E1280" t="s">
        <v>85</v>
      </c>
      <c r="F1280" t="s">
        <v>86</v>
      </c>
      <c r="G1280" t="str">
        <f>"2025-08-31 16:29:18.549"</f>
        <v>2025-08-31 16:29:18.549</v>
      </c>
      <c r="H1280" t="s">
        <v>21</v>
      </c>
    </row>
    <row r="1281" spans="1:10" x14ac:dyDescent="0.25">
      <c r="A1281" s="1">
        <v>331</v>
      </c>
      <c r="B1281" t="s">
        <v>27</v>
      </c>
      <c r="C1281">
        <v>207</v>
      </c>
      <c r="D1281">
        <v>2</v>
      </c>
      <c r="E1281" t="s">
        <v>87</v>
      </c>
      <c r="F1281" t="s">
        <v>88</v>
      </c>
      <c r="G1281" t="str">
        <f>"2025-08-31 16:29:18.546"</f>
        <v>2025-08-31 16:29:18.546</v>
      </c>
      <c r="H1281" t="s">
        <v>52</v>
      </c>
    </row>
    <row r="1282" spans="1:10" x14ac:dyDescent="0.25">
      <c r="A1282" s="1">
        <v>332</v>
      </c>
      <c r="B1282" t="s">
        <v>27</v>
      </c>
      <c r="C1282">
        <v>150</v>
      </c>
      <c r="D1282">
        <v>7</v>
      </c>
      <c r="E1282" t="s">
        <v>94</v>
      </c>
      <c r="F1282" t="s">
        <v>84</v>
      </c>
      <c r="G1282" t="str">
        <f>"2025-08-31 16:29:18.540"</f>
        <v>2025-08-31 16:29:18.540</v>
      </c>
      <c r="H1282" t="s">
        <v>21</v>
      </c>
    </row>
    <row r="1283" spans="1:10" x14ac:dyDescent="0.25">
      <c r="A1283" s="1">
        <v>333</v>
      </c>
      <c r="B1283" t="s">
        <v>27</v>
      </c>
      <c r="C1283">
        <v>107</v>
      </c>
      <c r="D1283">
        <v>2</v>
      </c>
      <c r="E1283" t="s">
        <v>89</v>
      </c>
      <c r="F1283" t="s">
        <v>88</v>
      </c>
      <c r="G1283" t="str">
        <f>"2025-08-31 16:29:18.537"</f>
        <v>2025-08-31 16:29:18.537</v>
      </c>
      <c r="H1283" t="s">
        <v>57</v>
      </c>
    </row>
    <row r="1284" spans="1:10" x14ac:dyDescent="0.25">
      <c r="A1284" s="1">
        <v>335</v>
      </c>
      <c r="B1284" t="s">
        <v>27</v>
      </c>
      <c r="C1284">
        <v>49</v>
      </c>
      <c r="D1284">
        <v>1</v>
      </c>
      <c r="E1284" t="s">
        <v>90</v>
      </c>
      <c r="F1284" t="s">
        <v>91</v>
      </c>
      <c r="G1284" t="str">
        <f>"2025-08-31 16:29:18.534"</f>
        <v>2025-08-31 16:29:18.534</v>
      </c>
      <c r="H1284" t="s">
        <v>92</v>
      </c>
    </row>
    <row r="1285" spans="1:10" x14ac:dyDescent="0.25">
      <c r="A1285" s="1">
        <v>336</v>
      </c>
      <c r="B1285" t="s">
        <v>19</v>
      </c>
      <c r="C1285">
        <v>782</v>
      </c>
      <c r="D1285">
        <v>7</v>
      </c>
      <c r="E1285" t="s">
        <v>81</v>
      </c>
      <c r="F1285" t="s">
        <v>82</v>
      </c>
      <c r="G1285" t="str">
        <f>"2025-08-31 16:29:18.532"</f>
        <v>2025-08-31 16:29:18.532</v>
      </c>
      <c r="H1285" t="s">
        <v>21</v>
      </c>
      <c r="I1285">
        <v>0</v>
      </c>
      <c r="J1285" t="s">
        <v>93</v>
      </c>
    </row>
    <row r="1286" spans="1:10" x14ac:dyDescent="0.25">
      <c r="A1286" s="1">
        <v>337</v>
      </c>
      <c r="B1286" t="s">
        <v>30</v>
      </c>
      <c r="C1286">
        <v>248</v>
      </c>
      <c r="D1286">
        <v>7</v>
      </c>
      <c r="E1286" t="s">
        <v>85</v>
      </c>
      <c r="F1286" t="s">
        <v>86</v>
      </c>
      <c r="G1286" t="str">
        <f>"2025-08-31 16:29:10.888"</f>
        <v>2025-08-31 16:29:10.888</v>
      </c>
      <c r="H1286" t="s">
        <v>21</v>
      </c>
      <c r="I1286">
        <v>0</v>
      </c>
      <c r="J1286" t="s">
        <v>93</v>
      </c>
    </row>
    <row r="1287" spans="1:10" x14ac:dyDescent="0.25">
      <c r="A1287" s="1">
        <v>338</v>
      </c>
      <c r="B1287" t="s">
        <v>49</v>
      </c>
      <c r="C1287">
        <v>248</v>
      </c>
      <c r="D1287">
        <v>7</v>
      </c>
      <c r="E1287" t="s">
        <v>85</v>
      </c>
      <c r="F1287" t="s">
        <v>86</v>
      </c>
      <c r="G1287" t="str">
        <f>"2025-08-31 16:29:10.434"</f>
        <v>2025-08-31 16:29:10.434</v>
      </c>
      <c r="H1287" t="s">
        <v>21</v>
      </c>
    </row>
    <row r="1288" spans="1:10" x14ac:dyDescent="0.25">
      <c r="A1288" s="1">
        <v>339</v>
      </c>
      <c r="B1288" t="s">
        <v>39</v>
      </c>
      <c r="C1288">
        <v>248</v>
      </c>
      <c r="D1288">
        <v>7</v>
      </c>
      <c r="E1288" t="s">
        <v>85</v>
      </c>
      <c r="F1288" t="s">
        <v>86</v>
      </c>
      <c r="G1288" t="str">
        <f>"2025-08-31 16:29:05.388"</f>
        <v>2025-08-31 16:29:05.388</v>
      </c>
      <c r="H1288" t="s">
        <v>21</v>
      </c>
      <c r="I1288">
        <v>0</v>
      </c>
      <c r="J1288" t="s">
        <v>93</v>
      </c>
    </row>
    <row r="1289" spans="1:10" x14ac:dyDescent="0.25">
      <c r="A1289" s="1">
        <v>340</v>
      </c>
      <c r="B1289" t="s">
        <v>27</v>
      </c>
      <c r="C1289">
        <v>248</v>
      </c>
      <c r="D1289">
        <v>7</v>
      </c>
      <c r="E1289" t="s">
        <v>85</v>
      </c>
      <c r="F1289" t="s">
        <v>86</v>
      </c>
      <c r="G1289" t="str">
        <f>"2025-08-31 16:29:04.332"</f>
        <v>2025-08-31 16:29:04.332</v>
      </c>
      <c r="H1289" t="s">
        <v>21</v>
      </c>
    </row>
    <row r="1290" spans="1:10" x14ac:dyDescent="0.25">
      <c r="A1290" s="1">
        <v>341</v>
      </c>
      <c r="B1290" t="s">
        <v>30</v>
      </c>
      <c r="C1290">
        <v>248</v>
      </c>
      <c r="D1290">
        <v>7</v>
      </c>
      <c r="E1290" t="s">
        <v>85</v>
      </c>
      <c r="F1290" t="s">
        <v>86</v>
      </c>
      <c r="G1290" t="str">
        <f>"2025-08-31 16:28:51.168"</f>
        <v>2025-08-31 16:28:51.168</v>
      </c>
      <c r="H1290" t="s">
        <v>21</v>
      </c>
      <c r="I1290">
        <v>0</v>
      </c>
      <c r="J1290" t="s">
        <v>93</v>
      </c>
    </row>
    <row r="1291" spans="1:10" x14ac:dyDescent="0.25">
      <c r="A1291" s="1">
        <v>342</v>
      </c>
      <c r="B1291" t="s">
        <v>30</v>
      </c>
      <c r="C1291">
        <v>250</v>
      </c>
      <c r="D1291">
        <v>7</v>
      </c>
      <c r="E1291" t="s">
        <v>83</v>
      </c>
      <c r="F1291" t="s">
        <v>84</v>
      </c>
      <c r="G1291" t="str">
        <f>"2025-08-31 16:28:51.008"</f>
        <v>2025-08-31 16:28:51.008</v>
      </c>
      <c r="H1291" t="s">
        <v>21</v>
      </c>
      <c r="I1291">
        <v>0</v>
      </c>
      <c r="J1291" t="s">
        <v>93</v>
      </c>
    </row>
    <row r="1292" spans="1:10" x14ac:dyDescent="0.25">
      <c r="A1292" s="1">
        <v>343</v>
      </c>
      <c r="B1292" t="s">
        <v>49</v>
      </c>
      <c r="C1292">
        <v>250</v>
      </c>
      <c r="D1292">
        <v>7</v>
      </c>
      <c r="E1292" t="s">
        <v>83</v>
      </c>
      <c r="F1292" t="s">
        <v>84</v>
      </c>
      <c r="G1292" t="str">
        <f>"2025-08-31 16:28:50.933"</f>
        <v>2025-08-31 16:28:50.933</v>
      </c>
      <c r="H1292" t="s">
        <v>21</v>
      </c>
    </row>
    <row r="1293" spans="1:10" x14ac:dyDescent="0.25">
      <c r="A1293" s="1">
        <v>344</v>
      </c>
      <c r="B1293" t="s">
        <v>49</v>
      </c>
      <c r="C1293">
        <v>248</v>
      </c>
      <c r="D1293">
        <v>7</v>
      </c>
      <c r="E1293" t="s">
        <v>85</v>
      </c>
      <c r="F1293" t="s">
        <v>86</v>
      </c>
      <c r="G1293" t="str">
        <f>"2025-08-31 16:28:50.833"</f>
        <v>2025-08-31 16:28:50.833</v>
      </c>
      <c r="H1293" t="s">
        <v>21</v>
      </c>
    </row>
    <row r="1294" spans="1:10" x14ac:dyDescent="0.25">
      <c r="A1294" s="1">
        <v>345</v>
      </c>
      <c r="B1294" t="s">
        <v>30</v>
      </c>
      <c r="C1294">
        <v>150</v>
      </c>
      <c r="D1294">
        <v>7</v>
      </c>
      <c r="E1294" t="s">
        <v>94</v>
      </c>
      <c r="F1294" t="s">
        <v>84</v>
      </c>
      <c r="G1294" t="str">
        <f>"2025-08-31 16:28:49.708"</f>
        <v>2025-08-31 16:28:49.708</v>
      </c>
      <c r="H1294" t="s">
        <v>21</v>
      </c>
      <c r="I1294">
        <v>0</v>
      </c>
      <c r="J1294" t="s">
        <v>93</v>
      </c>
    </row>
    <row r="1295" spans="1:10" x14ac:dyDescent="0.25">
      <c r="A1295" s="1">
        <v>346</v>
      </c>
      <c r="B1295" t="s">
        <v>49</v>
      </c>
      <c r="C1295">
        <v>150</v>
      </c>
      <c r="D1295">
        <v>7</v>
      </c>
      <c r="E1295" t="s">
        <v>94</v>
      </c>
      <c r="F1295" t="s">
        <v>84</v>
      </c>
      <c r="G1295" t="str">
        <f>"2025-08-31 16:28:49.634"</f>
        <v>2025-08-31 16:28:49.634</v>
      </c>
      <c r="H1295" t="s">
        <v>21</v>
      </c>
    </row>
    <row r="1296" spans="1:10" x14ac:dyDescent="0.25">
      <c r="A1296" s="1">
        <v>347</v>
      </c>
      <c r="B1296" t="s">
        <v>49</v>
      </c>
      <c r="C1296">
        <v>148</v>
      </c>
      <c r="D1296">
        <v>7</v>
      </c>
      <c r="E1296" t="s">
        <v>95</v>
      </c>
      <c r="F1296" t="s">
        <v>86</v>
      </c>
      <c r="G1296" t="str">
        <f>"2025-08-31 16:28:49.533"</f>
        <v>2025-08-31 16:28:49.533</v>
      </c>
      <c r="H1296" t="s">
        <v>21</v>
      </c>
    </row>
    <row r="1297" spans="1:10" x14ac:dyDescent="0.25">
      <c r="A1297" s="1">
        <v>348</v>
      </c>
      <c r="B1297" t="s">
        <v>30</v>
      </c>
      <c r="C1297">
        <v>49</v>
      </c>
      <c r="D1297">
        <v>1</v>
      </c>
      <c r="E1297" t="s">
        <v>90</v>
      </c>
      <c r="F1297" t="s">
        <v>91</v>
      </c>
      <c r="G1297" t="str">
        <f>"2025-08-31 16:28:49.445"</f>
        <v>2025-08-31 16:28:49.445</v>
      </c>
      <c r="H1297" t="s">
        <v>92</v>
      </c>
      <c r="I1297">
        <v>0</v>
      </c>
      <c r="J1297" t="s">
        <v>93</v>
      </c>
    </row>
    <row r="1298" spans="1:10" x14ac:dyDescent="0.25">
      <c r="A1298" s="1">
        <v>349</v>
      </c>
      <c r="B1298" t="s">
        <v>39</v>
      </c>
      <c r="C1298">
        <v>250</v>
      </c>
      <c r="D1298">
        <v>7</v>
      </c>
      <c r="E1298" t="s">
        <v>83</v>
      </c>
      <c r="F1298" t="s">
        <v>84</v>
      </c>
      <c r="G1298" t="str">
        <f>"2025-08-31 16:28:45.753"</f>
        <v>2025-08-31 16:28:45.753</v>
      </c>
      <c r="H1298" t="s">
        <v>21</v>
      </c>
      <c r="I1298">
        <v>0</v>
      </c>
      <c r="J1298" t="s">
        <v>93</v>
      </c>
    </row>
    <row r="1299" spans="1:10" x14ac:dyDescent="0.25">
      <c r="A1299" s="1">
        <v>350</v>
      </c>
      <c r="B1299" t="s">
        <v>39</v>
      </c>
      <c r="C1299">
        <v>248</v>
      </c>
      <c r="D1299">
        <v>7</v>
      </c>
      <c r="E1299" t="s">
        <v>85</v>
      </c>
      <c r="F1299" t="s">
        <v>86</v>
      </c>
      <c r="G1299" t="str">
        <f>"2025-08-31 16:28:45.748"</f>
        <v>2025-08-31 16:28:45.748</v>
      </c>
      <c r="H1299" t="s">
        <v>21</v>
      </c>
      <c r="I1299">
        <v>0</v>
      </c>
      <c r="J1299" t="s">
        <v>93</v>
      </c>
    </row>
    <row r="1300" spans="1:10" x14ac:dyDescent="0.25">
      <c r="A1300" s="1">
        <v>351</v>
      </c>
      <c r="B1300" t="s">
        <v>39</v>
      </c>
      <c r="C1300">
        <v>150</v>
      </c>
      <c r="D1300">
        <v>7</v>
      </c>
      <c r="E1300" t="s">
        <v>94</v>
      </c>
      <c r="F1300" t="s">
        <v>84</v>
      </c>
      <c r="G1300" t="str">
        <f>"2025-08-31 16:28:44.477"</f>
        <v>2025-08-31 16:28:44.477</v>
      </c>
      <c r="H1300" t="s">
        <v>21</v>
      </c>
      <c r="I1300">
        <v>0</v>
      </c>
      <c r="J1300" t="s">
        <v>93</v>
      </c>
    </row>
    <row r="1301" spans="1:10" x14ac:dyDescent="0.25">
      <c r="A1301" s="1">
        <v>352</v>
      </c>
      <c r="B1301" t="s">
        <v>39</v>
      </c>
      <c r="C1301">
        <v>148</v>
      </c>
      <c r="D1301">
        <v>7</v>
      </c>
      <c r="E1301" t="s">
        <v>95</v>
      </c>
      <c r="F1301" t="s">
        <v>86</v>
      </c>
      <c r="G1301" t="str">
        <f>"2025-08-31 16:28:44.473"</f>
        <v>2025-08-31 16:28:44.473</v>
      </c>
      <c r="H1301" t="s">
        <v>21</v>
      </c>
      <c r="I1301">
        <v>0</v>
      </c>
      <c r="J1301" t="s">
        <v>93</v>
      </c>
    </row>
    <row r="1302" spans="1:10" x14ac:dyDescent="0.25">
      <c r="A1302" s="1">
        <v>353</v>
      </c>
      <c r="B1302" t="s">
        <v>30</v>
      </c>
      <c r="C1302">
        <v>107</v>
      </c>
      <c r="D1302">
        <v>2</v>
      </c>
      <c r="E1302" t="s">
        <v>89</v>
      </c>
      <c r="F1302" t="s">
        <v>88</v>
      </c>
      <c r="G1302" t="str">
        <f>"2025-08-31 16:28:44.468"</f>
        <v>2025-08-31 16:28:44.468</v>
      </c>
      <c r="H1302" t="s">
        <v>57</v>
      </c>
      <c r="I1302">
        <v>0</v>
      </c>
      <c r="J1302" t="s">
        <v>93</v>
      </c>
    </row>
    <row r="1303" spans="1:10" x14ac:dyDescent="0.25">
      <c r="A1303" s="1">
        <v>354</v>
      </c>
      <c r="B1303" t="s">
        <v>30</v>
      </c>
      <c r="C1303">
        <v>207</v>
      </c>
      <c r="D1303">
        <v>2</v>
      </c>
      <c r="E1303" t="s">
        <v>87</v>
      </c>
      <c r="F1303" t="s">
        <v>88</v>
      </c>
      <c r="G1303" t="str">
        <f>"2025-08-31 16:28:44.408"</f>
        <v>2025-08-31 16:28:44.408</v>
      </c>
      <c r="H1303" t="s">
        <v>52</v>
      </c>
      <c r="I1303">
        <v>0</v>
      </c>
      <c r="J1303" t="s">
        <v>93</v>
      </c>
    </row>
    <row r="1304" spans="1:10" x14ac:dyDescent="0.25">
      <c r="A1304" s="1">
        <v>355</v>
      </c>
      <c r="B1304" t="s">
        <v>19</v>
      </c>
      <c r="C1304">
        <v>706</v>
      </c>
      <c r="D1304">
        <v>4</v>
      </c>
      <c r="E1304" t="s">
        <v>23</v>
      </c>
      <c r="F1304" t="s">
        <v>26</v>
      </c>
      <c r="G1304" t="str">
        <f>"2025-08-31 16:28:36.649"</f>
        <v>2025-08-31 16:28:36.649</v>
      </c>
      <c r="H1304" t="s">
        <v>21</v>
      </c>
      <c r="I1304">
        <v>0</v>
      </c>
      <c r="J1304" t="s">
        <v>93</v>
      </c>
    </row>
    <row r="1305" spans="1:10" x14ac:dyDescent="0.25">
      <c r="A1305" s="1">
        <v>359</v>
      </c>
      <c r="B1305" t="s">
        <v>19</v>
      </c>
      <c r="C1305">
        <v>782</v>
      </c>
      <c r="D1305">
        <v>7</v>
      </c>
      <c r="E1305" t="s">
        <v>81</v>
      </c>
      <c r="F1305" t="s">
        <v>82</v>
      </c>
      <c r="G1305" t="str">
        <f>"2025-08-31 16:28:15.343"</f>
        <v>2025-08-31 16:28:15.343</v>
      </c>
      <c r="H1305" t="s">
        <v>21</v>
      </c>
      <c r="I1305">
        <v>0</v>
      </c>
      <c r="J1305" t="s">
        <v>93</v>
      </c>
    </row>
    <row r="1306" spans="1:10" x14ac:dyDescent="0.25">
      <c r="A1306" s="1">
        <v>362</v>
      </c>
      <c r="B1306" t="s">
        <v>27</v>
      </c>
      <c r="C1306">
        <v>250</v>
      </c>
      <c r="D1306">
        <v>7</v>
      </c>
      <c r="E1306" t="s">
        <v>83</v>
      </c>
      <c r="F1306" t="s">
        <v>84</v>
      </c>
      <c r="G1306" t="str">
        <f>"2025-08-31 16:28:15.336"</f>
        <v>2025-08-31 16:28:15.336</v>
      </c>
      <c r="H1306" t="s">
        <v>21</v>
      </c>
    </row>
    <row r="1307" spans="1:10" x14ac:dyDescent="0.25">
      <c r="A1307" s="1">
        <v>363</v>
      </c>
      <c r="B1307" t="s">
        <v>27</v>
      </c>
      <c r="C1307">
        <v>248</v>
      </c>
      <c r="D1307">
        <v>7</v>
      </c>
      <c r="E1307" t="s">
        <v>85</v>
      </c>
      <c r="F1307" t="s">
        <v>86</v>
      </c>
      <c r="G1307" t="str">
        <f>"2025-08-31 16:28:15.334"</f>
        <v>2025-08-31 16:28:15.334</v>
      </c>
      <c r="H1307" t="s">
        <v>21</v>
      </c>
    </row>
    <row r="1308" spans="1:10" x14ac:dyDescent="0.25">
      <c r="A1308" s="1">
        <v>364</v>
      </c>
      <c r="B1308" t="s">
        <v>27</v>
      </c>
      <c r="C1308">
        <v>207</v>
      </c>
      <c r="D1308">
        <v>2</v>
      </c>
      <c r="E1308" t="s">
        <v>87</v>
      </c>
      <c r="F1308" t="s">
        <v>88</v>
      </c>
      <c r="G1308" t="str">
        <f>"2025-08-31 16:28:15.332"</f>
        <v>2025-08-31 16:28:15.332</v>
      </c>
      <c r="H1308" t="s">
        <v>52</v>
      </c>
    </row>
    <row r="1309" spans="1:10" x14ac:dyDescent="0.25">
      <c r="A1309" s="1">
        <v>365</v>
      </c>
      <c r="B1309" t="s">
        <v>27</v>
      </c>
      <c r="C1309">
        <v>150</v>
      </c>
      <c r="D1309">
        <v>7</v>
      </c>
      <c r="E1309" t="s">
        <v>94</v>
      </c>
      <c r="F1309" t="s">
        <v>84</v>
      </c>
      <c r="G1309" t="str">
        <f>"2025-08-31 16:28:15.328"</f>
        <v>2025-08-31 16:28:15.328</v>
      </c>
      <c r="H1309" t="s">
        <v>21</v>
      </c>
    </row>
    <row r="1310" spans="1:10" x14ac:dyDescent="0.25">
      <c r="A1310" s="1">
        <v>366</v>
      </c>
      <c r="B1310" t="s">
        <v>27</v>
      </c>
      <c r="C1310">
        <v>107</v>
      </c>
      <c r="D1310">
        <v>2</v>
      </c>
      <c r="E1310" t="s">
        <v>89</v>
      </c>
      <c r="F1310" t="s">
        <v>88</v>
      </c>
      <c r="G1310" t="str">
        <f>"2025-08-31 16:28:15.325"</f>
        <v>2025-08-31 16:28:15.325</v>
      </c>
      <c r="H1310" t="s">
        <v>57</v>
      </c>
    </row>
    <row r="1311" spans="1:10" x14ac:dyDescent="0.25">
      <c r="A1311" s="1">
        <v>368</v>
      </c>
      <c r="B1311" t="s">
        <v>19</v>
      </c>
      <c r="C1311">
        <v>782</v>
      </c>
      <c r="D1311">
        <v>7</v>
      </c>
      <c r="E1311" t="s">
        <v>81</v>
      </c>
      <c r="F1311" t="s">
        <v>82</v>
      </c>
      <c r="G1311" t="str">
        <f>"2025-08-31 16:28:15.322"</f>
        <v>2025-08-31 16:28:15.322</v>
      </c>
      <c r="H1311" t="s">
        <v>21</v>
      </c>
      <c r="I1311">
        <v>0</v>
      </c>
      <c r="J1311" t="s">
        <v>93</v>
      </c>
    </row>
    <row r="1312" spans="1:10" x14ac:dyDescent="0.25">
      <c r="A1312" s="1">
        <v>369</v>
      </c>
      <c r="B1312" t="s">
        <v>19</v>
      </c>
      <c r="C1312">
        <v>700</v>
      </c>
      <c r="D1312">
        <v>0</v>
      </c>
      <c r="E1312" t="s">
        <v>20</v>
      </c>
      <c r="F1312" t="s">
        <v>20</v>
      </c>
      <c r="G1312" t="str">
        <f>"2025-08-31 16:27:29.659"</f>
        <v>2025-08-31 16:27:29.659</v>
      </c>
      <c r="H1312" t="s">
        <v>21</v>
      </c>
      <c r="I1312">
        <v>0</v>
      </c>
      <c r="J1312" t="s">
        <v>22</v>
      </c>
    </row>
    <row r="1313" spans="1:10" x14ac:dyDescent="0.25">
      <c r="A1313" s="1">
        <v>371</v>
      </c>
      <c r="B1313" t="s">
        <v>39</v>
      </c>
      <c r="C1313">
        <v>47</v>
      </c>
      <c r="D1313">
        <v>2</v>
      </c>
      <c r="E1313" t="s">
        <v>61</v>
      </c>
      <c r="F1313" t="s">
        <v>62</v>
      </c>
      <c r="G1313" t="str">
        <f>"2025-08-31 16:25:20.216"</f>
        <v>2025-08-31 16:25:20.216</v>
      </c>
      <c r="H1313" t="s">
        <v>63</v>
      </c>
      <c r="I1313">
        <v>0</v>
      </c>
      <c r="J1313" t="s">
        <v>93</v>
      </c>
    </row>
    <row r="1314" spans="1:10" x14ac:dyDescent="0.25">
      <c r="A1314" s="1">
        <v>372</v>
      </c>
      <c r="B1314" t="s">
        <v>30</v>
      </c>
      <c r="C1314">
        <v>248</v>
      </c>
      <c r="D1314">
        <v>7</v>
      </c>
      <c r="E1314" t="s">
        <v>85</v>
      </c>
      <c r="F1314" t="s">
        <v>86</v>
      </c>
      <c r="G1314" t="str">
        <f>"2025-08-31 16:25:09.809"</f>
        <v>2025-08-31 16:25:09.809</v>
      </c>
      <c r="H1314" t="s">
        <v>21</v>
      </c>
      <c r="I1314">
        <v>0</v>
      </c>
      <c r="J1314" t="s">
        <v>93</v>
      </c>
    </row>
    <row r="1315" spans="1:10" x14ac:dyDescent="0.25">
      <c r="A1315" s="1">
        <v>373</v>
      </c>
      <c r="B1315" t="s">
        <v>30</v>
      </c>
      <c r="C1315">
        <v>250</v>
      </c>
      <c r="D1315">
        <v>7</v>
      </c>
      <c r="E1315" t="s">
        <v>83</v>
      </c>
      <c r="F1315" t="s">
        <v>84</v>
      </c>
      <c r="G1315" t="str">
        <f>"2025-08-31 16:25:09.609"</f>
        <v>2025-08-31 16:25:09.609</v>
      </c>
      <c r="H1315" t="s">
        <v>21</v>
      </c>
      <c r="I1315">
        <v>0</v>
      </c>
      <c r="J1315" t="s">
        <v>93</v>
      </c>
    </row>
    <row r="1316" spans="1:10" x14ac:dyDescent="0.25">
      <c r="A1316" s="1">
        <v>374</v>
      </c>
      <c r="B1316" t="s">
        <v>49</v>
      </c>
      <c r="C1316">
        <v>250</v>
      </c>
      <c r="D1316">
        <v>7</v>
      </c>
      <c r="E1316" t="s">
        <v>83</v>
      </c>
      <c r="F1316" t="s">
        <v>84</v>
      </c>
      <c r="G1316" t="str">
        <f>"2025-08-31 16:25:09.541"</f>
        <v>2025-08-31 16:25:09.541</v>
      </c>
      <c r="H1316" t="s">
        <v>21</v>
      </c>
    </row>
    <row r="1317" spans="1:10" x14ac:dyDescent="0.25">
      <c r="A1317" s="1">
        <v>375</v>
      </c>
      <c r="B1317" t="s">
        <v>49</v>
      </c>
      <c r="C1317">
        <v>248</v>
      </c>
      <c r="D1317">
        <v>7</v>
      </c>
      <c r="E1317" t="s">
        <v>85</v>
      </c>
      <c r="F1317" t="s">
        <v>86</v>
      </c>
      <c r="G1317" t="str">
        <f>"2025-08-31 16:25:09.441"</f>
        <v>2025-08-31 16:25:09.441</v>
      </c>
      <c r="H1317" t="s">
        <v>21</v>
      </c>
    </row>
    <row r="1318" spans="1:10" x14ac:dyDescent="0.25">
      <c r="A1318" s="1">
        <v>376</v>
      </c>
      <c r="B1318" t="s">
        <v>30</v>
      </c>
      <c r="C1318">
        <v>150</v>
      </c>
      <c r="D1318">
        <v>7</v>
      </c>
      <c r="E1318" t="s">
        <v>94</v>
      </c>
      <c r="F1318" t="s">
        <v>84</v>
      </c>
      <c r="G1318" t="str">
        <f>"2025-08-31 16:25:08.309"</f>
        <v>2025-08-31 16:25:08.309</v>
      </c>
      <c r="H1318" t="s">
        <v>21</v>
      </c>
      <c r="I1318">
        <v>0</v>
      </c>
      <c r="J1318" t="s">
        <v>93</v>
      </c>
    </row>
    <row r="1319" spans="1:10" x14ac:dyDescent="0.25">
      <c r="A1319" s="1">
        <v>377</v>
      </c>
      <c r="B1319" t="s">
        <v>49</v>
      </c>
      <c r="C1319">
        <v>150</v>
      </c>
      <c r="D1319">
        <v>7</v>
      </c>
      <c r="E1319" t="s">
        <v>94</v>
      </c>
      <c r="F1319" t="s">
        <v>84</v>
      </c>
      <c r="G1319" t="str">
        <f>"2025-08-31 16:25:08.241"</f>
        <v>2025-08-31 16:25:08.241</v>
      </c>
      <c r="H1319" t="s">
        <v>21</v>
      </c>
    </row>
    <row r="1320" spans="1:10" x14ac:dyDescent="0.25">
      <c r="A1320" s="1">
        <v>378</v>
      </c>
      <c r="B1320" t="s">
        <v>49</v>
      </c>
      <c r="C1320">
        <v>148</v>
      </c>
      <c r="D1320">
        <v>7</v>
      </c>
      <c r="E1320" t="s">
        <v>95</v>
      </c>
      <c r="F1320" t="s">
        <v>86</v>
      </c>
      <c r="G1320" t="str">
        <f>"2025-08-31 16:25:08.141"</f>
        <v>2025-08-31 16:25:08.141</v>
      </c>
      <c r="H1320" t="s">
        <v>21</v>
      </c>
    </row>
    <row r="1321" spans="1:10" x14ac:dyDescent="0.25">
      <c r="A1321" s="1">
        <v>379</v>
      </c>
      <c r="B1321" t="s">
        <v>39</v>
      </c>
      <c r="C1321">
        <v>250</v>
      </c>
      <c r="D1321">
        <v>7</v>
      </c>
      <c r="E1321" t="s">
        <v>83</v>
      </c>
      <c r="F1321" t="s">
        <v>84</v>
      </c>
      <c r="G1321" t="str">
        <f>"2025-08-31 16:25:04.359"</f>
        <v>2025-08-31 16:25:04.359</v>
      </c>
      <c r="H1321" t="s">
        <v>21</v>
      </c>
      <c r="I1321">
        <v>0</v>
      </c>
      <c r="J1321" t="s">
        <v>93</v>
      </c>
    </row>
    <row r="1322" spans="1:10" x14ac:dyDescent="0.25">
      <c r="A1322" s="1">
        <v>380</v>
      </c>
      <c r="B1322" t="s">
        <v>39</v>
      </c>
      <c r="C1322">
        <v>248</v>
      </c>
      <c r="D1322">
        <v>7</v>
      </c>
      <c r="E1322" t="s">
        <v>85</v>
      </c>
      <c r="F1322" t="s">
        <v>86</v>
      </c>
      <c r="G1322" t="str">
        <f>"2025-08-31 16:25:04.349"</f>
        <v>2025-08-31 16:25:04.349</v>
      </c>
      <c r="H1322" t="s">
        <v>21</v>
      </c>
      <c r="I1322">
        <v>0</v>
      </c>
      <c r="J1322" t="s">
        <v>93</v>
      </c>
    </row>
    <row r="1323" spans="1:10" x14ac:dyDescent="0.25">
      <c r="A1323" s="1">
        <v>381</v>
      </c>
      <c r="B1323" t="s">
        <v>30</v>
      </c>
      <c r="C1323">
        <v>207</v>
      </c>
      <c r="D1323">
        <v>2</v>
      </c>
      <c r="E1323" t="s">
        <v>87</v>
      </c>
      <c r="F1323" t="s">
        <v>88</v>
      </c>
      <c r="G1323" t="str">
        <f>"2025-08-31 16:25:03.054"</f>
        <v>2025-08-31 16:25:03.054</v>
      </c>
      <c r="H1323" t="s">
        <v>52</v>
      </c>
      <c r="I1323">
        <v>0</v>
      </c>
      <c r="J1323" t="s">
        <v>93</v>
      </c>
    </row>
    <row r="1324" spans="1:10" x14ac:dyDescent="0.25">
      <c r="A1324" s="1">
        <v>382</v>
      </c>
      <c r="B1324" t="s">
        <v>39</v>
      </c>
      <c r="C1324">
        <v>150</v>
      </c>
      <c r="D1324">
        <v>7</v>
      </c>
      <c r="E1324" t="s">
        <v>94</v>
      </c>
      <c r="F1324" t="s">
        <v>84</v>
      </c>
      <c r="G1324" t="str">
        <f>"2025-08-31 16:25:03.052"</f>
        <v>2025-08-31 16:25:03.052</v>
      </c>
      <c r="H1324" t="s">
        <v>21</v>
      </c>
      <c r="I1324">
        <v>0</v>
      </c>
      <c r="J1324" t="s">
        <v>93</v>
      </c>
    </row>
    <row r="1325" spans="1:10" x14ac:dyDescent="0.25">
      <c r="A1325" s="1">
        <v>383</v>
      </c>
      <c r="B1325" t="s">
        <v>39</v>
      </c>
      <c r="C1325">
        <v>148</v>
      </c>
      <c r="D1325">
        <v>7</v>
      </c>
      <c r="E1325" t="s">
        <v>95</v>
      </c>
      <c r="F1325" t="s">
        <v>86</v>
      </c>
      <c r="G1325" t="str">
        <f>"2025-08-31 16:25:03.051"</f>
        <v>2025-08-31 16:25:03.051</v>
      </c>
      <c r="H1325" t="s">
        <v>21</v>
      </c>
      <c r="I1325">
        <v>0</v>
      </c>
      <c r="J1325" t="s">
        <v>93</v>
      </c>
    </row>
    <row r="1326" spans="1:10" x14ac:dyDescent="0.25">
      <c r="A1326" s="1">
        <v>384</v>
      </c>
      <c r="B1326" t="s">
        <v>30</v>
      </c>
      <c r="C1326">
        <v>107</v>
      </c>
      <c r="D1326">
        <v>2</v>
      </c>
      <c r="E1326" t="s">
        <v>89</v>
      </c>
      <c r="F1326" t="s">
        <v>88</v>
      </c>
      <c r="G1326" t="str">
        <f>"2025-08-31 16:25:03.049"</f>
        <v>2025-08-31 16:25:03.049</v>
      </c>
      <c r="H1326" t="s">
        <v>57</v>
      </c>
      <c r="I1326">
        <v>0</v>
      </c>
      <c r="J1326" t="s">
        <v>93</v>
      </c>
    </row>
    <row r="1327" spans="1:10" x14ac:dyDescent="0.25">
      <c r="A1327" s="1">
        <v>385</v>
      </c>
      <c r="B1327" t="s">
        <v>19</v>
      </c>
      <c r="C1327">
        <v>700</v>
      </c>
      <c r="D1327">
        <v>0</v>
      </c>
      <c r="E1327" t="s">
        <v>20</v>
      </c>
      <c r="F1327" t="s">
        <v>20</v>
      </c>
      <c r="G1327" t="str">
        <f>"2025-08-31 16:24:56.644"</f>
        <v>2025-08-31 16:24:56.644</v>
      </c>
      <c r="H1327" t="s">
        <v>21</v>
      </c>
    </row>
    <row r="1328" spans="1:10" x14ac:dyDescent="0.25">
      <c r="A1328" s="1">
        <v>386</v>
      </c>
      <c r="B1328" t="s">
        <v>19</v>
      </c>
      <c r="C1328">
        <v>706</v>
      </c>
      <c r="D1328">
        <v>4</v>
      </c>
      <c r="E1328" t="s">
        <v>23</v>
      </c>
      <c r="F1328" t="s">
        <v>26</v>
      </c>
      <c r="G1328" t="str">
        <f>"2025-08-31 15:28:56.041"</f>
        <v>2025-08-31 15:28:56.041</v>
      </c>
      <c r="H1328" t="s">
        <v>21</v>
      </c>
      <c r="I1328">
        <v>0</v>
      </c>
      <c r="J1328" t="s">
        <v>25</v>
      </c>
    </row>
    <row r="1329" spans="1:10" x14ac:dyDescent="0.25">
      <c r="A1329" s="1">
        <v>387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"2025-08-31 15:21:31.641"</f>
        <v>2025-08-31 15:21:31.641</v>
      </c>
      <c r="H1329" t="s">
        <v>21</v>
      </c>
    </row>
    <row r="1330" spans="1:10" x14ac:dyDescent="0.25">
      <c r="A1330" s="1">
        <v>388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"2025-08-31 13:59:36.670"</f>
        <v>2025-08-31 13:59:36.670</v>
      </c>
      <c r="H1330" t="s">
        <v>21</v>
      </c>
    </row>
    <row r="1331" spans="1:10" x14ac:dyDescent="0.25">
      <c r="A1331" s="1">
        <v>389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"2025-08-31 11:51:31.654"</f>
        <v>2025-08-31 11:51:31.654</v>
      </c>
      <c r="H1331" t="s">
        <v>21</v>
      </c>
      <c r="I1331">
        <v>0</v>
      </c>
      <c r="J1331" t="s">
        <v>22</v>
      </c>
    </row>
    <row r="1332" spans="1:10" x14ac:dyDescent="0.25">
      <c r="A1332" s="1">
        <v>390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"2025-08-31 10:34:28.714"</f>
        <v>2025-08-31 10:34:28.714</v>
      </c>
      <c r="H1332" t="s">
        <v>21</v>
      </c>
    </row>
    <row r="1333" spans="1:10" x14ac:dyDescent="0.25">
      <c r="A1333" s="1">
        <v>391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"2025-08-31 10:21:07.652"</f>
        <v>2025-08-31 10:21:07.652</v>
      </c>
      <c r="H1333" t="s">
        <v>21</v>
      </c>
    </row>
    <row r="1334" spans="1:10" x14ac:dyDescent="0.25">
      <c r="A1334" s="1">
        <v>392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"2025-08-31 10:13:45.655"</f>
        <v>2025-08-31 10:13:45.655</v>
      </c>
      <c r="H1334" t="s">
        <v>21</v>
      </c>
    </row>
    <row r="1335" spans="1:10" x14ac:dyDescent="0.25">
      <c r="A1335" s="1">
        <v>393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"2025-08-31 08:35:43.659"</f>
        <v>2025-08-31 08:35:43.659</v>
      </c>
      <c r="H1335" t="s">
        <v>21</v>
      </c>
      <c r="I1335">
        <v>0</v>
      </c>
      <c r="J1335" t="s">
        <v>22</v>
      </c>
    </row>
    <row r="1336" spans="1:10" x14ac:dyDescent="0.25">
      <c r="A1336" s="1">
        <v>394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"2025-08-30 17:22:08.739"</f>
        <v>2025-08-30 17:22:08.739</v>
      </c>
      <c r="H1336" t="s">
        <v>21</v>
      </c>
      <c r="I1336">
        <v>0</v>
      </c>
      <c r="J1336" t="s">
        <v>22</v>
      </c>
    </row>
    <row r="1337" spans="1:10" x14ac:dyDescent="0.25">
      <c r="A1337" s="1">
        <v>395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"2025-08-29 11:55:25.670"</f>
        <v>2025-08-29 11:55:25.670</v>
      </c>
      <c r="H1337" t="s">
        <v>21</v>
      </c>
    </row>
    <row r="1338" spans="1:10" x14ac:dyDescent="0.25">
      <c r="A1338" s="1">
        <v>396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"2025-08-28 20:07:39.681"</f>
        <v>2025-08-28 20:07:39.681</v>
      </c>
      <c r="H1338" t="s">
        <v>21</v>
      </c>
    </row>
    <row r="1339" spans="1:10" x14ac:dyDescent="0.25">
      <c r="A1339" s="1">
        <v>397</v>
      </c>
      <c r="B1339" t="s">
        <v>19</v>
      </c>
      <c r="C1339">
        <v>700</v>
      </c>
      <c r="D1339">
        <v>0</v>
      </c>
      <c r="E1339" t="s">
        <v>20</v>
      </c>
      <c r="F1339" t="s">
        <v>20</v>
      </c>
      <c r="G1339" t="str">
        <f>"2025-08-28 07:56:50.673"</f>
        <v>2025-08-28 07:56:50.673</v>
      </c>
      <c r="H1339" t="s">
        <v>21</v>
      </c>
      <c r="I1339">
        <v>0</v>
      </c>
      <c r="J1339" t="s">
        <v>22</v>
      </c>
    </row>
    <row r="1340" spans="1:10" x14ac:dyDescent="0.25">
      <c r="A1340" s="1">
        <v>398</v>
      </c>
      <c r="B1340" t="s">
        <v>27</v>
      </c>
      <c r="C1340">
        <v>635</v>
      </c>
      <c r="D1340">
        <v>1</v>
      </c>
      <c r="E1340" t="s">
        <v>32</v>
      </c>
      <c r="F1340" t="s">
        <v>33</v>
      </c>
      <c r="G1340" t="str">
        <f>"2025-08-27 12:33:07.905"</f>
        <v>2025-08-27 12:33:07.905</v>
      </c>
      <c r="H1340" t="s">
        <v>21</v>
      </c>
    </row>
    <row r="1341" spans="1:10" x14ac:dyDescent="0.25">
      <c r="A1341" s="1">
        <v>399</v>
      </c>
      <c r="B1341" t="s">
        <v>30</v>
      </c>
      <c r="C1341">
        <v>635</v>
      </c>
      <c r="D1341">
        <v>1</v>
      </c>
      <c r="E1341" t="s">
        <v>32</v>
      </c>
      <c r="F1341" t="s">
        <v>33</v>
      </c>
      <c r="G1341" t="str">
        <f>"2025-08-27 12:27:15.905"</f>
        <v>2025-08-27 12:27:15.905</v>
      </c>
      <c r="H1341" t="s">
        <v>21</v>
      </c>
      <c r="I1341">
        <v>4.1500000000000004</v>
      </c>
      <c r="J1341" t="s">
        <v>34</v>
      </c>
    </row>
    <row r="1342" spans="1:10" x14ac:dyDescent="0.25">
      <c r="A1342" s="1">
        <v>400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"2025-08-27 08:30:19.682"</f>
        <v>2025-08-27 08:30:19.682</v>
      </c>
      <c r="H1342" t="s">
        <v>21</v>
      </c>
    </row>
    <row r="1343" spans="1:10" x14ac:dyDescent="0.25">
      <c r="A1343" s="1">
        <v>401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"2025-08-26 08:01:44.678"</f>
        <v>2025-08-26 08:01:44.678</v>
      </c>
      <c r="H1343" t="s">
        <v>21</v>
      </c>
      <c r="I1343">
        <v>0</v>
      </c>
      <c r="J1343" t="s">
        <v>22</v>
      </c>
    </row>
    <row r="1344" spans="1:10" x14ac:dyDescent="0.25">
      <c r="A1344" s="1">
        <v>402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"2025-08-25 07:54:57.647"</f>
        <v>2025-08-25 07:54:57.647</v>
      </c>
      <c r="H1344" t="s">
        <v>21</v>
      </c>
    </row>
    <row r="1345" spans="1:10" x14ac:dyDescent="0.25">
      <c r="A1345" s="1">
        <v>403</v>
      </c>
      <c r="B1345" t="s">
        <v>19</v>
      </c>
      <c r="C1345">
        <v>706</v>
      </c>
      <c r="D1345">
        <v>2</v>
      </c>
      <c r="E1345" t="s">
        <v>23</v>
      </c>
      <c r="F1345" t="s">
        <v>24</v>
      </c>
      <c r="G1345" t="str">
        <f>"2025-08-24 16:58:54.932"</f>
        <v>2025-08-24 16:58:54.932</v>
      </c>
      <c r="H1345" t="s">
        <v>21</v>
      </c>
      <c r="I1345">
        <v>0</v>
      </c>
      <c r="J1345" t="s">
        <v>25</v>
      </c>
    </row>
    <row r="1346" spans="1:10" x14ac:dyDescent="0.25">
      <c r="A1346" s="1">
        <v>404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"2025-08-24 16:58:20.642"</f>
        <v>2025-08-24 16:58:20.642</v>
      </c>
      <c r="H1346" t="s">
        <v>21</v>
      </c>
    </row>
    <row r="1347" spans="1:10" x14ac:dyDescent="0.25">
      <c r="A1347" s="1">
        <v>405</v>
      </c>
      <c r="B1347" t="s">
        <v>19</v>
      </c>
      <c r="C1347">
        <v>706</v>
      </c>
      <c r="D1347">
        <v>4</v>
      </c>
      <c r="E1347" t="s">
        <v>23</v>
      </c>
      <c r="F1347" t="s">
        <v>26</v>
      </c>
      <c r="G1347" t="str">
        <f>"2025-08-24 16:43:55.058"</f>
        <v>2025-08-24 16:43:55.058</v>
      </c>
      <c r="H1347" t="s">
        <v>21</v>
      </c>
      <c r="I1347">
        <v>0</v>
      </c>
      <c r="J1347" t="s">
        <v>25</v>
      </c>
    </row>
    <row r="1348" spans="1:10" x14ac:dyDescent="0.25">
      <c r="A1348" s="1">
        <v>406</v>
      </c>
      <c r="B1348" t="s">
        <v>19</v>
      </c>
      <c r="C1348">
        <v>700</v>
      </c>
      <c r="D1348">
        <v>0</v>
      </c>
      <c r="E1348" t="s">
        <v>20</v>
      </c>
      <c r="F1348" t="s">
        <v>20</v>
      </c>
      <c r="G1348" t="str">
        <f>"2025-08-24 16:43:39.648"</f>
        <v>2025-08-24 16:43:39.648</v>
      </c>
      <c r="H1348" t="s">
        <v>21</v>
      </c>
    </row>
    <row r="1349" spans="1:10" x14ac:dyDescent="0.25">
      <c r="A1349" s="1">
        <v>407</v>
      </c>
      <c r="B1349" t="s">
        <v>19</v>
      </c>
      <c r="C1349">
        <v>700</v>
      </c>
      <c r="D1349">
        <v>0</v>
      </c>
      <c r="E1349" t="s">
        <v>20</v>
      </c>
      <c r="F1349" t="s">
        <v>20</v>
      </c>
      <c r="G1349" t="str">
        <f>"2025-08-24 15:31:40.886"</f>
        <v>2025-08-24 15:31:40.886</v>
      </c>
      <c r="H1349" t="s">
        <v>21</v>
      </c>
    </row>
    <row r="1350" spans="1:10" x14ac:dyDescent="0.25">
      <c r="A1350" s="1">
        <v>408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"2025-08-24 10:17:10.668"</f>
        <v>2025-08-24 10:17:10.668</v>
      </c>
      <c r="H1350" t="s">
        <v>21</v>
      </c>
    </row>
    <row r="1351" spans="1:10" x14ac:dyDescent="0.25">
      <c r="A1351" s="1">
        <v>409</v>
      </c>
      <c r="B1351" t="s">
        <v>27</v>
      </c>
      <c r="C1351">
        <v>635</v>
      </c>
      <c r="D1351">
        <v>1</v>
      </c>
      <c r="E1351" t="s">
        <v>32</v>
      </c>
      <c r="F1351" t="s">
        <v>33</v>
      </c>
      <c r="G1351" t="str">
        <f>"2025-08-24 06:40:04.020"</f>
        <v>2025-08-24 06:40:04.020</v>
      </c>
      <c r="H1351" t="s">
        <v>21</v>
      </c>
    </row>
    <row r="1352" spans="1:10" x14ac:dyDescent="0.25">
      <c r="A1352" s="1">
        <v>410</v>
      </c>
      <c r="B1352" t="s">
        <v>30</v>
      </c>
      <c r="C1352">
        <v>635</v>
      </c>
      <c r="D1352">
        <v>1</v>
      </c>
      <c r="E1352" t="s">
        <v>32</v>
      </c>
      <c r="F1352" t="s">
        <v>33</v>
      </c>
      <c r="G1352" t="str">
        <f>"2025-08-24 06:17:51.620"</f>
        <v>2025-08-24 06:17:51.620</v>
      </c>
      <c r="H1352" t="s">
        <v>21</v>
      </c>
      <c r="I1352">
        <v>8.5399999999999991</v>
      </c>
      <c r="J1352" t="s">
        <v>31</v>
      </c>
    </row>
    <row r="1353" spans="1:10" s="3" customFormat="1" x14ac:dyDescent="0.25">
      <c r="A1353" s="2">
        <v>411</v>
      </c>
      <c r="B1353" s="3" t="s">
        <v>27</v>
      </c>
      <c r="C1353" s="3">
        <v>647</v>
      </c>
      <c r="D1353" s="3">
        <v>1</v>
      </c>
      <c r="E1353" s="3" t="s">
        <v>28</v>
      </c>
      <c r="F1353" s="3" t="s">
        <v>29</v>
      </c>
      <c r="G1353" s="3" t="str">
        <f>"2025-08-24 00:31:07.320"</f>
        <v>2025-08-24 00:31:07.320</v>
      </c>
      <c r="H1353" s="3" t="s">
        <v>21</v>
      </c>
    </row>
    <row r="1354" spans="1:10" s="3" customFormat="1" x14ac:dyDescent="0.25">
      <c r="A1354" s="2">
        <v>412</v>
      </c>
      <c r="B1354" s="3" t="s">
        <v>30</v>
      </c>
      <c r="C1354" s="3">
        <v>647</v>
      </c>
      <c r="D1354" s="3">
        <v>1</v>
      </c>
      <c r="E1354" s="3" t="s">
        <v>28</v>
      </c>
      <c r="F1354" s="3" t="s">
        <v>29</v>
      </c>
      <c r="G1354" s="3" t="str">
        <f>"2025-08-24 00:31:05.821"</f>
        <v>2025-08-24 00:31:05.821</v>
      </c>
      <c r="H1354" s="3" t="s">
        <v>21</v>
      </c>
      <c r="I1354" s="3">
        <v>8.61</v>
      </c>
      <c r="J1354" s="3" t="s">
        <v>42</v>
      </c>
    </row>
    <row r="1355" spans="1:10" x14ac:dyDescent="0.25">
      <c r="A1355" s="1">
        <v>413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"2025-08-23 20:32:58.902"</f>
        <v>2025-08-23 20:32:58.902</v>
      </c>
      <c r="H1355" t="s">
        <v>21</v>
      </c>
    </row>
    <row r="1356" spans="1:10" x14ac:dyDescent="0.25">
      <c r="A1356" s="1">
        <v>414</v>
      </c>
      <c r="B1356" t="s">
        <v>19</v>
      </c>
      <c r="C1356">
        <v>700</v>
      </c>
      <c r="D1356">
        <v>0</v>
      </c>
      <c r="E1356" t="s">
        <v>20</v>
      </c>
      <c r="F1356" t="s">
        <v>20</v>
      </c>
      <c r="G1356" t="str">
        <f>"2025-08-23 06:13:34.643"</f>
        <v>2025-08-23 06:13:34.643</v>
      </c>
      <c r="H1356" t="s">
        <v>21</v>
      </c>
      <c r="I1356">
        <v>0</v>
      </c>
      <c r="J1356" t="s">
        <v>22</v>
      </c>
    </row>
    <row r="1357" spans="1:10" x14ac:dyDescent="0.25">
      <c r="A1357" s="1">
        <v>415</v>
      </c>
      <c r="B1357" t="s">
        <v>19</v>
      </c>
      <c r="C1357">
        <v>700</v>
      </c>
      <c r="D1357">
        <v>0</v>
      </c>
      <c r="E1357" t="s">
        <v>20</v>
      </c>
      <c r="F1357" t="s">
        <v>20</v>
      </c>
      <c r="G1357" t="str">
        <f>"2025-08-23 06:12:27.646"</f>
        <v>2025-08-23 06:12:27.646</v>
      </c>
      <c r="H1357" t="s">
        <v>21</v>
      </c>
    </row>
    <row r="1358" spans="1:10" x14ac:dyDescent="0.25">
      <c r="A1358" s="1">
        <v>416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"2025-08-23 05:14:09.659"</f>
        <v>2025-08-23 05:14:09.659</v>
      </c>
      <c r="H1358" t="s">
        <v>21</v>
      </c>
      <c r="I1358">
        <v>0</v>
      </c>
      <c r="J1358" t="s">
        <v>22</v>
      </c>
    </row>
    <row r="1359" spans="1:10" x14ac:dyDescent="0.25">
      <c r="A1359" s="1">
        <v>417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"2025-08-21 10:36:40.688"</f>
        <v>2025-08-21 10:36:40.688</v>
      </c>
      <c r="H1359" t="s">
        <v>21</v>
      </c>
    </row>
    <row r="1360" spans="1:10" x14ac:dyDescent="0.25">
      <c r="A1360" s="1">
        <v>418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"2025-08-20 10:10:41.807"</f>
        <v>2025-08-20 10:10:41.807</v>
      </c>
      <c r="H1360" t="s">
        <v>21</v>
      </c>
      <c r="I1360">
        <v>0</v>
      </c>
      <c r="J1360" t="s">
        <v>22</v>
      </c>
    </row>
    <row r="1361" spans="1:10" x14ac:dyDescent="0.25">
      <c r="A1361" s="1">
        <v>419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"2025-08-19 08:31:50.640"</f>
        <v>2025-08-19 08:31:50.640</v>
      </c>
      <c r="H1361" t="s">
        <v>21</v>
      </c>
      <c r="I1361">
        <v>0</v>
      </c>
      <c r="J1361" t="s">
        <v>22</v>
      </c>
    </row>
    <row r="1362" spans="1:10" x14ac:dyDescent="0.25">
      <c r="A1362" s="1">
        <v>420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"2025-08-18 13:55:19.639"</f>
        <v>2025-08-18 13:55:19.639</v>
      </c>
      <c r="H1362" t="s">
        <v>21</v>
      </c>
      <c r="I1362">
        <v>0</v>
      </c>
      <c r="J1362" t="s">
        <v>22</v>
      </c>
    </row>
    <row r="1363" spans="1:10" x14ac:dyDescent="0.25">
      <c r="A1363" s="1">
        <v>421</v>
      </c>
      <c r="B1363" t="s">
        <v>27</v>
      </c>
      <c r="C1363">
        <v>635</v>
      </c>
      <c r="D1363">
        <v>1</v>
      </c>
      <c r="E1363" t="s">
        <v>32</v>
      </c>
      <c r="F1363" t="s">
        <v>33</v>
      </c>
      <c r="G1363" t="str">
        <f>"2025-08-18 12:48:57.815"</f>
        <v>2025-08-18 12:48:57.815</v>
      </c>
      <c r="H1363" t="s">
        <v>21</v>
      </c>
    </row>
    <row r="1364" spans="1:10" x14ac:dyDescent="0.25">
      <c r="A1364" s="1">
        <v>422</v>
      </c>
      <c r="B1364" t="s">
        <v>30</v>
      </c>
      <c r="C1364">
        <v>635</v>
      </c>
      <c r="D1364">
        <v>1</v>
      </c>
      <c r="E1364" t="s">
        <v>32</v>
      </c>
      <c r="F1364" t="s">
        <v>33</v>
      </c>
      <c r="G1364" t="str">
        <f>"2025-08-18 12:40:43.815"</f>
        <v>2025-08-18 12:40:43.815</v>
      </c>
      <c r="H1364" t="s">
        <v>21</v>
      </c>
      <c r="I1364">
        <v>1.06</v>
      </c>
      <c r="J1364" t="s">
        <v>34</v>
      </c>
    </row>
    <row r="1365" spans="1:10" x14ac:dyDescent="0.25">
      <c r="A1365" s="1">
        <v>423</v>
      </c>
      <c r="B1365" t="s">
        <v>27</v>
      </c>
      <c r="C1365">
        <v>635</v>
      </c>
      <c r="D1365">
        <v>1</v>
      </c>
      <c r="E1365" t="s">
        <v>32</v>
      </c>
      <c r="F1365" t="s">
        <v>33</v>
      </c>
      <c r="G1365" t="str">
        <f>"2025-08-17 22:29:46.215"</f>
        <v>2025-08-17 22:29:46.215</v>
      </c>
      <c r="H1365" t="s">
        <v>21</v>
      </c>
    </row>
    <row r="1366" spans="1:10" x14ac:dyDescent="0.25">
      <c r="A1366" s="1">
        <v>424</v>
      </c>
      <c r="B1366" t="s">
        <v>30</v>
      </c>
      <c r="C1366">
        <v>635</v>
      </c>
      <c r="D1366">
        <v>1</v>
      </c>
      <c r="E1366" t="s">
        <v>32</v>
      </c>
      <c r="F1366" t="s">
        <v>33</v>
      </c>
      <c r="G1366" t="str">
        <f>"2025-08-17 22:22:13.715"</f>
        <v>2025-08-17 22:22:13.715</v>
      </c>
      <c r="H1366" t="s">
        <v>21</v>
      </c>
      <c r="I1366">
        <v>6.26</v>
      </c>
      <c r="J1366" t="s">
        <v>34</v>
      </c>
    </row>
    <row r="1367" spans="1:10" x14ac:dyDescent="0.25">
      <c r="A1367" s="1">
        <v>425</v>
      </c>
      <c r="B1367" t="s">
        <v>19</v>
      </c>
      <c r="C1367">
        <v>706</v>
      </c>
      <c r="D1367">
        <v>4</v>
      </c>
      <c r="E1367" t="s">
        <v>23</v>
      </c>
      <c r="F1367" t="s">
        <v>26</v>
      </c>
      <c r="G1367" t="str">
        <f>"2025-08-15 20:31:01.621"</f>
        <v>2025-08-15 20:31:01.621</v>
      </c>
      <c r="H1367" t="s">
        <v>21</v>
      </c>
      <c r="I1367">
        <v>0</v>
      </c>
      <c r="J1367" t="s">
        <v>25</v>
      </c>
    </row>
    <row r="1368" spans="1:10" x14ac:dyDescent="0.25">
      <c r="A1368" s="1">
        <v>426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"2025-08-15 20:17:42.651"</f>
        <v>2025-08-15 20:17:42.651</v>
      </c>
      <c r="H1368" t="s">
        <v>21</v>
      </c>
      <c r="I1368">
        <v>0</v>
      </c>
      <c r="J1368" t="s">
        <v>22</v>
      </c>
    </row>
    <row r="1369" spans="1:10" x14ac:dyDescent="0.25">
      <c r="A1369" s="1">
        <v>427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"2025-08-15 17:37:33.642"</f>
        <v>2025-08-15 17:37:33.642</v>
      </c>
      <c r="H1369" t="s">
        <v>21</v>
      </c>
    </row>
    <row r="1370" spans="1:10" x14ac:dyDescent="0.25">
      <c r="A1370" s="1">
        <v>428</v>
      </c>
      <c r="B1370" t="s">
        <v>19</v>
      </c>
      <c r="C1370">
        <v>719</v>
      </c>
      <c r="D1370">
        <v>5</v>
      </c>
      <c r="E1370" t="s">
        <v>96</v>
      </c>
      <c r="F1370" t="s">
        <v>97</v>
      </c>
      <c r="G1370" t="str">
        <f>"2025-08-15 15:52:00.281"</f>
        <v>2025-08-15 15:52:00.281</v>
      </c>
      <c r="H1370" t="s">
        <v>21</v>
      </c>
      <c r="I1370">
        <v>0</v>
      </c>
      <c r="J1370" t="s">
        <v>25</v>
      </c>
    </row>
    <row r="1371" spans="1:10" x14ac:dyDescent="0.25">
      <c r="A1371" s="1">
        <v>429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"2025-08-15 15:40:33.968"</f>
        <v>2025-08-15 15:40:33.968</v>
      </c>
      <c r="H1371" t="s">
        <v>21</v>
      </c>
    </row>
    <row r="1372" spans="1:10" x14ac:dyDescent="0.25">
      <c r="A1372" s="1">
        <v>430</v>
      </c>
      <c r="B1372" t="s">
        <v>27</v>
      </c>
      <c r="C1372">
        <v>98</v>
      </c>
      <c r="D1372">
        <v>1</v>
      </c>
      <c r="E1372" t="s">
        <v>40</v>
      </c>
      <c r="F1372" t="s">
        <v>41</v>
      </c>
      <c r="G1372" t="str">
        <f>"2025-08-14 21:09:33.993"</f>
        <v>2025-08-14 21:09:33.993</v>
      </c>
      <c r="H1372" t="s">
        <v>21</v>
      </c>
    </row>
    <row r="1373" spans="1:10" x14ac:dyDescent="0.25">
      <c r="A1373" s="1">
        <v>431</v>
      </c>
      <c r="B1373" t="s">
        <v>30</v>
      </c>
      <c r="C1373">
        <v>98</v>
      </c>
      <c r="D1373">
        <v>1</v>
      </c>
      <c r="E1373" t="s">
        <v>40</v>
      </c>
      <c r="F1373" t="s">
        <v>41</v>
      </c>
      <c r="G1373" t="str">
        <f>"2025-08-14 21:09:32.894"</f>
        <v>2025-08-14 21:09:32.894</v>
      </c>
      <c r="H1373" t="s">
        <v>21</v>
      </c>
      <c r="I1373">
        <v>13.33</v>
      </c>
      <c r="J1373" t="s">
        <v>34</v>
      </c>
    </row>
    <row r="1374" spans="1:10" x14ac:dyDescent="0.25">
      <c r="A1374" s="1">
        <v>432</v>
      </c>
      <c r="B1374" t="s">
        <v>27</v>
      </c>
      <c r="C1374">
        <v>635</v>
      </c>
      <c r="D1374">
        <v>1</v>
      </c>
      <c r="E1374" t="s">
        <v>32</v>
      </c>
      <c r="F1374" t="s">
        <v>33</v>
      </c>
      <c r="G1374" t="str">
        <f>"2025-08-14 18:01:24.881"</f>
        <v>2025-08-14 18:01:24.881</v>
      </c>
      <c r="H1374" t="s">
        <v>21</v>
      </c>
    </row>
    <row r="1375" spans="1:10" x14ac:dyDescent="0.25">
      <c r="A1375" s="1">
        <v>433</v>
      </c>
      <c r="B1375" t="s">
        <v>30</v>
      </c>
      <c r="C1375">
        <v>635</v>
      </c>
      <c r="D1375">
        <v>1</v>
      </c>
      <c r="E1375" t="s">
        <v>32</v>
      </c>
      <c r="F1375" t="s">
        <v>33</v>
      </c>
      <c r="G1375" t="str">
        <f>"2025-08-14 17:39:13.481"</f>
        <v>2025-08-14 17:39:13.481</v>
      </c>
      <c r="H1375" t="s">
        <v>21</v>
      </c>
      <c r="I1375">
        <v>7.88</v>
      </c>
      <c r="J1375" t="s">
        <v>34</v>
      </c>
    </row>
    <row r="1376" spans="1:10" x14ac:dyDescent="0.25">
      <c r="A1376" s="1">
        <v>434</v>
      </c>
      <c r="B1376" t="s">
        <v>27</v>
      </c>
      <c r="C1376">
        <v>635</v>
      </c>
      <c r="D1376">
        <v>1</v>
      </c>
      <c r="E1376" t="s">
        <v>32</v>
      </c>
      <c r="F1376" t="s">
        <v>33</v>
      </c>
      <c r="G1376" t="str">
        <f>"2025-08-11 15:18:36.081"</f>
        <v>2025-08-11 15:18:36.081</v>
      </c>
      <c r="H1376" t="s">
        <v>21</v>
      </c>
    </row>
    <row r="1377" spans="1:10" x14ac:dyDescent="0.25">
      <c r="A1377" s="1">
        <v>435</v>
      </c>
      <c r="B1377" t="s">
        <v>30</v>
      </c>
      <c r="C1377">
        <v>635</v>
      </c>
      <c r="D1377">
        <v>1</v>
      </c>
      <c r="E1377" t="s">
        <v>32</v>
      </c>
      <c r="F1377" t="s">
        <v>33</v>
      </c>
      <c r="G1377" t="str">
        <f>"2025-08-11 15:15:00.581"</f>
        <v>2025-08-11 15:15:00.581</v>
      </c>
      <c r="H1377" t="s">
        <v>21</v>
      </c>
      <c r="I1377">
        <v>3.62</v>
      </c>
      <c r="J1377" t="s">
        <v>34</v>
      </c>
    </row>
    <row r="1378" spans="1:10" x14ac:dyDescent="0.25">
      <c r="A1378" s="1">
        <v>436</v>
      </c>
      <c r="B1378" t="s">
        <v>19</v>
      </c>
      <c r="C1378">
        <v>706</v>
      </c>
      <c r="D1378">
        <v>2</v>
      </c>
      <c r="E1378" t="s">
        <v>23</v>
      </c>
      <c r="F1378" t="s">
        <v>24</v>
      </c>
      <c r="G1378" t="str">
        <f>"2025-08-09 13:03:42.343"</f>
        <v>2025-08-09 13:03:42.343</v>
      </c>
      <c r="H1378" t="s">
        <v>21</v>
      </c>
      <c r="I1378">
        <v>0</v>
      </c>
      <c r="J1378" t="s">
        <v>25</v>
      </c>
    </row>
    <row r="1379" spans="1:10" x14ac:dyDescent="0.25">
      <c r="A1379" s="1">
        <v>437</v>
      </c>
      <c r="B1379" t="s">
        <v>19</v>
      </c>
      <c r="C1379">
        <v>700</v>
      </c>
      <c r="D1379">
        <v>0</v>
      </c>
      <c r="E1379" t="s">
        <v>20</v>
      </c>
      <c r="F1379" t="s">
        <v>20</v>
      </c>
      <c r="G1379" t="str">
        <f>"2025-08-09 13:02:39.753"</f>
        <v>2025-08-09 13:02:39.753</v>
      </c>
      <c r="H1379" t="s">
        <v>21</v>
      </c>
    </row>
    <row r="1380" spans="1:10" x14ac:dyDescent="0.25">
      <c r="A1380" s="1">
        <v>438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"2025-08-08 14:48:15.633"</f>
        <v>2025-08-08 14:48:15.633</v>
      </c>
      <c r="H1380" t="s">
        <v>21</v>
      </c>
      <c r="I1380">
        <v>0</v>
      </c>
      <c r="J1380" t="s">
        <v>22</v>
      </c>
    </row>
    <row r="1381" spans="1:10" s="3" customFormat="1" x14ac:dyDescent="0.25">
      <c r="A1381" s="2">
        <v>440</v>
      </c>
      <c r="B1381" s="3" t="s">
        <v>27</v>
      </c>
      <c r="C1381" s="3">
        <v>647</v>
      </c>
      <c r="D1381" s="3">
        <v>1</v>
      </c>
      <c r="E1381" s="3" t="s">
        <v>28</v>
      </c>
      <c r="F1381" s="3" t="s">
        <v>29</v>
      </c>
      <c r="G1381" s="3" t="str">
        <f>"2025-08-05 22:50:54.251"</f>
        <v>2025-08-05 22:50:54.251</v>
      </c>
      <c r="H1381" s="3" t="s">
        <v>21</v>
      </c>
    </row>
    <row r="1382" spans="1:10" s="3" customFormat="1" x14ac:dyDescent="0.25">
      <c r="A1382" s="2">
        <v>441</v>
      </c>
      <c r="B1382" s="3" t="s">
        <v>30</v>
      </c>
      <c r="C1382" s="3">
        <v>647</v>
      </c>
      <c r="D1382" s="3">
        <v>1</v>
      </c>
      <c r="E1382" s="3" t="s">
        <v>28</v>
      </c>
      <c r="F1382" s="3" t="s">
        <v>29</v>
      </c>
      <c r="G1382" s="3" t="str">
        <f>"2025-08-05 22:50:52.751"</f>
        <v>2025-08-05 22:50:52.751</v>
      </c>
      <c r="H1382" s="3" t="s">
        <v>21</v>
      </c>
      <c r="I1382" s="3">
        <v>12.83</v>
      </c>
      <c r="J1382" s="3" t="s">
        <v>42</v>
      </c>
    </row>
    <row r="1383" spans="1:10" x14ac:dyDescent="0.25">
      <c r="A1383" s="1">
        <v>442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"2025-08-05 07:57:08.627"</f>
        <v>2025-08-05 07:57:08.627</v>
      </c>
      <c r="H1383" t="s">
        <v>21</v>
      </c>
      <c r="I1383">
        <v>0</v>
      </c>
      <c r="J1383" t="s">
        <v>22</v>
      </c>
    </row>
    <row r="1384" spans="1:10" x14ac:dyDescent="0.25">
      <c r="A1384" s="1">
        <v>443</v>
      </c>
      <c r="B1384" t="s">
        <v>19</v>
      </c>
      <c r="C1384">
        <v>706</v>
      </c>
      <c r="D1384">
        <v>4</v>
      </c>
      <c r="E1384" t="s">
        <v>23</v>
      </c>
      <c r="F1384" t="s">
        <v>26</v>
      </c>
      <c r="G1384" t="str">
        <f>"2025-08-05 06:58:12.258"</f>
        <v>2025-08-05 06:58:12.258</v>
      </c>
      <c r="H1384" t="s">
        <v>21</v>
      </c>
      <c r="I1384">
        <v>0</v>
      </c>
      <c r="J1384" t="s">
        <v>25</v>
      </c>
    </row>
    <row r="1385" spans="1:10" x14ac:dyDescent="0.25">
      <c r="A1385" s="1">
        <v>444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"2025-08-05 06:57:57.638"</f>
        <v>2025-08-05 06:57:57.638</v>
      </c>
      <c r="H1385" t="s">
        <v>21</v>
      </c>
      <c r="I1385">
        <v>0</v>
      </c>
      <c r="J1385" t="s">
        <v>22</v>
      </c>
    </row>
    <row r="1386" spans="1:10" x14ac:dyDescent="0.25">
      <c r="A1386" s="1">
        <v>445</v>
      </c>
      <c r="B1386" t="s">
        <v>19</v>
      </c>
      <c r="C1386">
        <v>706</v>
      </c>
      <c r="D1386">
        <v>2</v>
      </c>
      <c r="E1386" t="s">
        <v>23</v>
      </c>
      <c r="F1386" t="s">
        <v>24</v>
      </c>
      <c r="G1386" t="str">
        <f>"2025-08-05 06:50:29.878"</f>
        <v>2025-08-05 06:50:29.878</v>
      </c>
      <c r="H1386" t="s">
        <v>21</v>
      </c>
      <c r="I1386">
        <v>0</v>
      </c>
      <c r="J1386" t="s">
        <v>25</v>
      </c>
    </row>
    <row r="1387" spans="1:10" x14ac:dyDescent="0.25">
      <c r="A1387" s="1">
        <v>446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"2025-08-05 06:25:17.638"</f>
        <v>2025-08-05 06:25:17.638</v>
      </c>
      <c r="H1387" t="s">
        <v>21</v>
      </c>
      <c r="I1387">
        <v>0</v>
      </c>
      <c r="J1387" t="s">
        <v>22</v>
      </c>
    </row>
    <row r="1388" spans="1:10" x14ac:dyDescent="0.25">
      <c r="A1388" s="1">
        <v>447</v>
      </c>
      <c r="B1388" t="s">
        <v>27</v>
      </c>
      <c r="C1388">
        <v>635</v>
      </c>
      <c r="D1388">
        <v>1</v>
      </c>
      <c r="E1388" t="s">
        <v>32</v>
      </c>
      <c r="F1388" t="s">
        <v>33</v>
      </c>
      <c r="G1388" t="str">
        <f>"2025-08-05 00:04:29.271"</f>
        <v>2025-08-05 00:04:29.271</v>
      </c>
      <c r="H1388" t="s">
        <v>21</v>
      </c>
    </row>
    <row r="1389" spans="1:10" x14ac:dyDescent="0.25">
      <c r="A1389" s="1">
        <v>448</v>
      </c>
      <c r="B1389" t="s">
        <v>30</v>
      </c>
      <c r="C1389">
        <v>635</v>
      </c>
      <c r="D1389">
        <v>1</v>
      </c>
      <c r="E1389" t="s">
        <v>32</v>
      </c>
      <c r="F1389" t="s">
        <v>33</v>
      </c>
      <c r="G1389" t="str">
        <f>"2025-08-04 23:48:57.771"</f>
        <v>2025-08-04 23:48:57.771</v>
      </c>
      <c r="H1389" t="s">
        <v>21</v>
      </c>
      <c r="I1389">
        <v>6.54</v>
      </c>
      <c r="J1389" t="s">
        <v>34</v>
      </c>
    </row>
    <row r="1390" spans="1:10" x14ac:dyDescent="0.25">
      <c r="A1390" s="1">
        <v>449</v>
      </c>
      <c r="B1390" t="s">
        <v>27</v>
      </c>
      <c r="C1390">
        <v>635</v>
      </c>
      <c r="D1390">
        <v>1</v>
      </c>
      <c r="E1390" t="s">
        <v>32</v>
      </c>
      <c r="F1390" t="s">
        <v>33</v>
      </c>
      <c r="G1390" t="str">
        <f>"2025-08-04 11:44:01.471"</f>
        <v>2025-08-04 11:44:01.471</v>
      </c>
      <c r="H1390" t="s">
        <v>21</v>
      </c>
    </row>
    <row r="1391" spans="1:10" x14ac:dyDescent="0.25">
      <c r="A1391" s="1">
        <v>450</v>
      </c>
      <c r="B1391" t="s">
        <v>30</v>
      </c>
      <c r="C1391">
        <v>635</v>
      </c>
      <c r="D1391">
        <v>1</v>
      </c>
      <c r="E1391" t="s">
        <v>32</v>
      </c>
      <c r="F1391" t="s">
        <v>33</v>
      </c>
      <c r="G1391" t="str">
        <f>"2025-08-04 11:40:03.472"</f>
        <v>2025-08-04 11:40:03.472</v>
      </c>
      <c r="H1391" t="s">
        <v>21</v>
      </c>
      <c r="I1391">
        <v>2.9</v>
      </c>
      <c r="J1391" t="s">
        <v>34</v>
      </c>
    </row>
    <row r="1392" spans="1:10" x14ac:dyDescent="0.25">
      <c r="A1392" s="1">
        <v>451</v>
      </c>
      <c r="B1392" t="s">
        <v>19</v>
      </c>
      <c r="C1392">
        <v>706</v>
      </c>
      <c r="D1392">
        <v>2</v>
      </c>
      <c r="E1392" t="s">
        <v>23</v>
      </c>
      <c r="F1392" t="s">
        <v>24</v>
      </c>
      <c r="G1392" t="str">
        <f>"2025-08-03 14:09:51.260"</f>
        <v>2025-08-03 14:09:51.260</v>
      </c>
      <c r="H1392" t="s">
        <v>21</v>
      </c>
      <c r="I1392">
        <v>0</v>
      </c>
      <c r="J1392" t="s">
        <v>25</v>
      </c>
    </row>
    <row r="1393" spans="1:10" x14ac:dyDescent="0.25">
      <c r="A1393" s="1">
        <v>452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"2025-08-03 14:08:09.640"</f>
        <v>2025-08-03 14:08:09.640</v>
      </c>
      <c r="H1393" t="s">
        <v>21</v>
      </c>
      <c r="I1393">
        <v>0</v>
      </c>
      <c r="J1393" t="s">
        <v>22</v>
      </c>
    </row>
    <row r="1394" spans="1:10" x14ac:dyDescent="0.25">
      <c r="A1394" s="1">
        <v>453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"2025-08-03 14:06:51.635"</f>
        <v>2025-08-03 14:06:51.635</v>
      </c>
      <c r="H1394" t="s">
        <v>21</v>
      </c>
    </row>
    <row r="1395" spans="1:10" x14ac:dyDescent="0.25">
      <c r="A1395" s="1">
        <v>454</v>
      </c>
      <c r="B1395" t="s">
        <v>19</v>
      </c>
      <c r="C1395">
        <v>700</v>
      </c>
      <c r="D1395">
        <v>0</v>
      </c>
      <c r="E1395" t="s">
        <v>20</v>
      </c>
      <c r="F1395" t="s">
        <v>20</v>
      </c>
      <c r="G1395" t="str">
        <f>"2025-08-03 14:05:27.632"</f>
        <v>2025-08-03 14:05:27.632</v>
      </c>
      <c r="H1395" t="s">
        <v>21</v>
      </c>
    </row>
    <row r="1396" spans="1:10" x14ac:dyDescent="0.25">
      <c r="A1396" s="1">
        <v>455</v>
      </c>
      <c r="B1396" t="s">
        <v>19</v>
      </c>
      <c r="C1396">
        <v>700</v>
      </c>
      <c r="D1396">
        <v>0</v>
      </c>
      <c r="E1396" t="s">
        <v>20</v>
      </c>
      <c r="F1396" t="s">
        <v>20</v>
      </c>
      <c r="G1396" t="str">
        <f>"2025-08-03 14:03:54.842"</f>
        <v>2025-08-03 14:03:54.842</v>
      </c>
      <c r="H1396" t="s">
        <v>21</v>
      </c>
    </row>
    <row r="1397" spans="1:10" x14ac:dyDescent="0.25">
      <c r="A1397" s="1">
        <v>456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"2025-08-02 18:51:34.649"</f>
        <v>2025-08-02 18:51:34.649</v>
      </c>
      <c r="H1397" t="s">
        <v>21</v>
      </c>
    </row>
    <row r="1398" spans="1:10" x14ac:dyDescent="0.25">
      <c r="A1398" s="1">
        <v>457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"2025-08-01 20:46:46.644"</f>
        <v>2025-08-01 20:46:46.644</v>
      </c>
      <c r="H1398" t="s">
        <v>21</v>
      </c>
    </row>
    <row r="1399" spans="1:10" x14ac:dyDescent="0.25">
      <c r="A1399" s="1">
        <v>458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"2025-08-01 19:30:19.647"</f>
        <v>2025-08-01 19:30:19.647</v>
      </c>
      <c r="H1399" t="s">
        <v>21</v>
      </c>
      <c r="I1399">
        <v>0</v>
      </c>
      <c r="J1399" t="s">
        <v>22</v>
      </c>
    </row>
    <row r="1400" spans="1:10" x14ac:dyDescent="0.25">
      <c r="A1400" s="1">
        <v>459</v>
      </c>
      <c r="B1400" t="s">
        <v>19</v>
      </c>
      <c r="C1400">
        <v>700</v>
      </c>
      <c r="D1400">
        <v>0</v>
      </c>
      <c r="E1400" t="s">
        <v>20</v>
      </c>
      <c r="F1400" t="s">
        <v>20</v>
      </c>
      <c r="G1400" t="str">
        <f>"2025-08-01 19:09:55.626"</f>
        <v>2025-08-01 19:09:55.626</v>
      </c>
      <c r="H1400" t="s">
        <v>21</v>
      </c>
    </row>
    <row r="1401" spans="1:10" x14ac:dyDescent="0.25">
      <c r="A1401" s="1">
        <v>460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"2025-08-01 18:21:28.632"</f>
        <v>2025-08-01 18:21:28.632</v>
      </c>
      <c r="H1401" t="s">
        <v>21</v>
      </c>
    </row>
    <row r="1402" spans="1:10" x14ac:dyDescent="0.25">
      <c r="A1402" s="1">
        <v>461</v>
      </c>
      <c r="B1402" t="s">
        <v>19</v>
      </c>
      <c r="C1402">
        <v>700</v>
      </c>
      <c r="D1402">
        <v>0</v>
      </c>
      <c r="E1402" t="s">
        <v>20</v>
      </c>
      <c r="F1402" t="s">
        <v>20</v>
      </c>
      <c r="G1402" t="str">
        <f>"2025-08-01 18:16:51.623"</f>
        <v>2025-08-01 18:16:51.623</v>
      </c>
      <c r="H1402" t="s">
        <v>21</v>
      </c>
      <c r="I1402">
        <v>0</v>
      </c>
      <c r="J1402" t="s">
        <v>22</v>
      </c>
    </row>
    <row r="1403" spans="1:10" x14ac:dyDescent="0.25">
      <c r="A1403" s="1">
        <v>462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"2025-08-01 17:47:35.619"</f>
        <v>2025-08-01 17:47:35.619</v>
      </c>
      <c r="H1403" t="s">
        <v>21</v>
      </c>
    </row>
    <row r="1404" spans="1:10" x14ac:dyDescent="0.25">
      <c r="A1404" s="1">
        <v>463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"2025-08-01 17:20:59.621"</f>
        <v>2025-08-01 17:20:59.621</v>
      </c>
      <c r="H1404" t="s">
        <v>21</v>
      </c>
    </row>
    <row r="1405" spans="1:10" x14ac:dyDescent="0.25">
      <c r="A1405" s="1">
        <v>464</v>
      </c>
      <c r="B1405" t="s">
        <v>19</v>
      </c>
      <c r="C1405">
        <v>706</v>
      </c>
      <c r="D1405">
        <v>3</v>
      </c>
      <c r="E1405" t="s">
        <v>23</v>
      </c>
      <c r="F1405" t="s">
        <v>43</v>
      </c>
      <c r="G1405" t="str">
        <f>"2025-08-01 16:39:21.820"</f>
        <v>2025-08-01 16:39:21.820</v>
      </c>
      <c r="H1405" t="s">
        <v>21</v>
      </c>
      <c r="I1405">
        <v>0</v>
      </c>
      <c r="J1405" t="s">
        <v>25</v>
      </c>
    </row>
    <row r="1406" spans="1:10" x14ac:dyDescent="0.25">
      <c r="A1406" s="1">
        <v>465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"2025-08-01 16:35:55.720"</f>
        <v>2025-08-01 16:35:55.720</v>
      </c>
      <c r="H1406" t="s">
        <v>21</v>
      </c>
    </row>
    <row r="1407" spans="1:10" x14ac:dyDescent="0.25">
      <c r="A1407" s="1">
        <v>466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"2025-08-01 15:04:43.632"</f>
        <v>2025-08-01 15:04:43.632</v>
      </c>
      <c r="H1407" t="s">
        <v>21</v>
      </c>
      <c r="I1407">
        <v>0</v>
      </c>
      <c r="J1407" t="s">
        <v>22</v>
      </c>
    </row>
    <row r="1408" spans="1:10" x14ac:dyDescent="0.25">
      <c r="A1408" s="1">
        <v>467</v>
      </c>
      <c r="B1408" t="s">
        <v>19</v>
      </c>
      <c r="C1408">
        <v>700</v>
      </c>
      <c r="D1408">
        <v>0</v>
      </c>
      <c r="E1408" t="s">
        <v>20</v>
      </c>
      <c r="F1408" t="s">
        <v>20</v>
      </c>
      <c r="G1408" t="str">
        <f>"2025-08-01 14:50:45.634"</f>
        <v>2025-08-01 14:50:45.634</v>
      </c>
      <c r="H1408" t="s">
        <v>21</v>
      </c>
      <c r="I1408">
        <v>0</v>
      </c>
      <c r="J1408" t="s">
        <v>22</v>
      </c>
    </row>
    <row r="1409" spans="1:10" x14ac:dyDescent="0.25">
      <c r="A1409" s="1">
        <v>468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"2025-08-01 14:09:39.620"</f>
        <v>2025-08-01 14:09:39.620</v>
      </c>
      <c r="H1409" t="s">
        <v>21</v>
      </c>
    </row>
    <row r="1410" spans="1:10" x14ac:dyDescent="0.25">
      <c r="A1410" s="1">
        <v>469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"2025-08-01 08:06:20.655"</f>
        <v>2025-08-01 08:06:20.655</v>
      </c>
      <c r="H1410" t="s">
        <v>21</v>
      </c>
      <c r="I1410">
        <v>0</v>
      </c>
      <c r="J1410" t="s">
        <v>22</v>
      </c>
    </row>
    <row r="1411" spans="1:10" x14ac:dyDescent="0.25">
      <c r="A1411" s="1">
        <v>470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"2025-07-30 13:54:30.791"</f>
        <v>2025-07-30 13:54:30.791</v>
      </c>
      <c r="H1411" t="s">
        <v>21</v>
      </c>
    </row>
    <row r="1412" spans="1:10" x14ac:dyDescent="0.25">
      <c r="A1412" s="1">
        <v>471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"2025-07-30 06:00:43.631"</f>
        <v>2025-07-30 06:00:43.631</v>
      </c>
      <c r="H1412" t="s">
        <v>21</v>
      </c>
    </row>
    <row r="1413" spans="1:10" x14ac:dyDescent="0.25">
      <c r="A1413" s="1">
        <v>472</v>
      </c>
      <c r="B1413" t="s">
        <v>27</v>
      </c>
      <c r="C1413">
        <v>635</v>
      </c>
      <c r="D1413">
        <v>1</v>
      </c>
      <c r="E1413" t="s">
        <v>32</v>
      </c>
      <c r="F1413" t="s">
        <v>33</v>
      </c>
      <c r="G1413" t="str">
        <f>"2025-07-28 02:04:09.742"</f>
        <v>2025-07-28 02:04:09.742</v>
      </c>
      <c r="H1413" t="s">
        <v>21</v>
      </c>
    </row>
    <row r="1414" spans="1:10" x14ac:dyDescent="0.25">
      <c r="A1414" s="1">
        <v>473</v>
      </c>
      <c r="B1414" t="s">
        <v>30</v>
      </c>
      <c r="C1414">
        <v>635</v>
      </c>
      <c r="D1414">
        <v>1</v>
      </c>
      <c r="E1414" t="s">
        <v>32</v>
      </c>
      <c r="F1414" t="s">
        <v>33</v>
      </c>
      <c r="G1414" t="str">
        <f>"2025-07-28 01:58:03.242"</f>
        <v>2025-07-28 01:58:03.242</v>
      </c>
      <c r="H1414" t="s">
        <v>21</v>
      </c>
      <c r="I1414">
        <v>5.56</v>
      </c>
      <c r="J1414" t="s">
        <v>42</v>
      </c>
    </row>
    <row r="1415" spans="1:10" x14ac:dyDescent="0.25">
      <c r="A1415" s="1">
        <v>474</v>
      </c>
      <c r="B1415" t="s">
        <v>19</v>
      </c>
      <c r="C1415">
        <v>706</v>
      </c>
      <c r="D1415">
        <v>4</v>
      </c>
      <c r="E1415" t="s">
        <v>23</v>
      </c>
      <c r="F1415" t="s">
        <v>26</v>
      </c>
      <c r="G1415" t="str">
        <f>"2025-07-27 13:38:26.453"</f>
        <v>2025-07-27 13:38:26.453</v>
      </c>
      <c r="H1415" t="s">
        <v>21</v>
      </c>
      <c r="I1415">
        <v>0</v>
      </c>
      <c r="J1415" t="s">
        <v>25</v>
      </c>
    </row>
    <row r="1416" spans="1:10" x14ac:dyDescent="0.25">
      <c r="A1416" s="1">
        <v>475</v>
      </c>
      <c r="B1416" t="s">
        <v>19</v>
      </c>
      <c r="C1416">
        <v>706</v>
      </c>
      <c r="D1416">
        <v>3</v>
      </c>
      <c r="E1416" t="s">
        <v>23</v>
      </c>
      <c r="F1416" t="s">
        <v>43</v>
      </c>
      <c r="G1416" t="str">
        <f>"2025-07-27 13:18:48.473"</f>
        <v>2025-07-27 13:18:48.473</v>
      </c>
      <c r="H1416" t="s">
        <v>21</v>
      </c>
      <c r="I1416">
        <v>0</v>
      </c>
      <c r="J1416" t="s">
        <v>25</v>
      </c>
    </row>
    <row r="1417" spans="1:10" x14ac:dyDescent="0.25">
      <c r="A1417" s="1">
        <v>476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"2025-07-27 13:09:34.863"</f>
        <v>2025-07-27 13:09:34.863</v>
      </c>
      <c r="H1417" t="s">
        <v>21</v>
      </c>
      <c r="I1417">
        <v>0</v>
      </c>
      <c r="J1417" t="s">
        <v>22</v>
      </c>
    </row>
    <row r="1418" spans="1:10" x14ac:dyDescent="0.25">
      <c r="A1418" s="1">
        <v>477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"2025-07-27 13:04:01.710"</f>
        <v>2025-07-27 13:04:01.710</v>
      </c>
      <c r="H1418" t="s">
        <v>21</v>
      </c>
      <c r="I1418">
        <v>0</v>
      </c>
      <c r="J1418" t="s">
        <v>22</v>
      </c>
    </row>
    <row r="1419" spans="1:10" x14ac:dyDescent="0.25">
      <c r="A1419" s="1">
        <v>478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"2025-07-27 12:47:15.634"</f>
        <v>2025-07-27 12:47:15.634</v>
      </c>
      <c r="H1419" t="s">
        <v>21</v>
      </c>
    </row>
    <row r="1420" spans="1:10" x14ac:dyDescent="0.25">
      <c r="A1420" s="1">
        <v>479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"2025-07-27 12:20:08.874"</f>
        <v>2025-07-27 12:20:08.874</v>
      </c>
      <c r="H1420" t="s">
        <v>21</v>
      </c>
      <c r="I1420">
        <v>0</v>
      </c>
      <c r="J1420" t="s">
        <v>22</v>
      </c>
    </row>
    <row r="1421" spans="1:10" x14ac:dyDescent="0.25">
      <c r="A1421" s="1">
        <v>480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"2025-07-27 12:16:39.913"</f>
        <v>2025-07-27 12:16:39.913</v>
      </c>
      <c r="H1421" t="s">
        <v>21</v>
      </c>
    </row>
    <row r="1422" spans="1:10" x14ac:dyDescent="0.25">
      <c r="A1422" s="1">
        <v>481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"2025-07-27 12:04:22.638"</f>
        <v>2025-07-27 12:04:22.638</v>
      </c>
      <c r="H1422" t="s">
        <v>21</v>
      </c>
      <c r="I1422">
        <v>0</v>
      </c>
      <c r="J1422" t="s">
        <v>22</v>
      </c>
    </row>
    <row r="1423" spans="1:10" x14ac:dyDescent="0.25">
      <c r="A1423" s="1">
        <v>482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"2025-07-27 11:59:56.978"</f>
        <v>2025-07-27 11:59:56.978</v>
      </c>
      <c r="H1423" t="s">
        <v>21</v>
      </c>
      <c r="I1423">
        <v>0</v>
      </c>
      <c r="J1423" t="s">
        <v>22</v>
      </c>
    </row>
    <row r="1424" spans="1:10" x14ac:dyDescent="0.25">
      <c r="A1424" s="1">
        <v>483</v>
      </c>
      <c r="B1424" t="s">
        <v>19</v>
      </c>
      <c r="C1424">
        <v>706</v>
      </c>
      <c r="D1424">
        <v>4</v>
      </c>
      <c r="E1424" t="s">
        <v>23</v>
      </c>
      <c r="F1424" t="s">
        <v>26</v>
      </c>
      <c r="G1424" t="str">
        <f>"2025-07-27 11:43:56.051"</f>
        <v>2025-07-27 11:43:56.051</v>
      </c>
      <c r="H1424" t="s">
        <v>21</v>
      </c>
      <c r="I1424">
        <v>0</v>
      </c>
      <c r="J1424" t="s">
        <v>25</v>
      </c>
    </row>
    <row r="1425" spans="1:10" x14ac:dyDescent="0.25">
      <c r="A1425" s="1">
        <v>484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"2025-07-27 11:35:31.621"</f>
        <v>2025-07-27 11:35:31.621</v>
      </c>
      <c r="H1425" t="s">
        <v>21</v>
      </c>
    </row>
    <row r="1426" spans="1:10" x14ac:dyDescent="0.25">
      <c r="A1426" s="1">
        <v>485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"2025-07-27 11:27:49.859"</f>
        <v>2025-07-27 11:27:49.859</v>
      </c>
      <c r="H1426" t="s">
        <v>21</v>
      </c>
    </row>
    <row r="1427" spans="1:10" x14ac:dyDescent="0.25">
      <c r="A1427" s="1">
        <v>486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"2025-07-27 11:20:03.615"</f>
        <v>2025-07-27 11:20:03.615</v>
      </c>
      <c r="H1427" t="s">
        <v>21</v>
      </c>
    </row>
    <row r="1428" spans="1:10" x14ac:dyDescent="0.25">
      <c r="A1428" s="1">
        <v>487</v>
      </c>
      <c r="B1428" t="s">
        <v>19</v>
      </c>
      <c r="C1428">
        <v>706</v>
      </c>
      <c r="D1428">
        <v>2</v>
      </c>
      <c r="E1428" t="s">
        <v>23</v>
      </c>
      <c r="F1428" t="s">
        <v>24</v>
      </c>
      <c r="G1428" t="str">
        <f>"2025-07-27 09:50:08.320"</f>
        <v>2025-07-27 09:50:08.320</v>
      </c>
      <c r="H1428" t="s">
        <v>21</v>
      </c>
      <c r="I1428">
        <v>0</v>
      </c>
      <c r="J1428" t="s">
        <v>25</v>
      </c>
    </row>
    <row r="1429" spans="1:10" x14ac:dyDescent="0.25">
      <c r="A1429" s="1">
        <v>488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"2025-07-27 09:41:23.630"</f>
        <v>2025-07-27 09:41:23.630</v>
      </c>
      <c r="H1429" t="s">
        <v>21</v>
      </c>
      <c r="I1429">
        <v>0</v>
      </c>
      <c r="J1429" t="s">
        <v>22</v>
      </c>
    </row>
    <row r="1430" spans="1:10" x14ac:dyDescent="0.25">
      <c r="A1430" s="1">
        <v>489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"2025-07-27 09:33:32.900"</f>
        <v>2025-07-27 09:33:32.900</v>
      </c>
      <c r="H1430" t="s">
        <v>21</v>
      </c>
    </row>
    <row r="1431" spans="1:10" x14ac:dyDescent="0.25">
      <c r="A1431" s="1">
        <v>490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"2025-07-27 09:28:39.639"</f>
        <v>2025-07-27 09:28:39.639</v>
      </c>
      <c r="H1431" t="s">
        <v>21</v>
      </c>
      <c r="I1431">
        <v>0</v>
      </c>
      <c r="J1431" t="s">
        <v>22</v>
      </c>
    </row>
    <row r="1432" spans="1:10" x14ac:dyDescent="0.25">
      <c r="A1432" s="1">
        <v>491</v>
      </c>
      <c r="B1432" t="s">
        <v>19</v>
      </c>
      <c r="C1432">
        <v>700</v>
      </c>
      <c r="D1432">
        <v>0</v>
      </c>
      <c r="E1432" t="s">
        <v>20</v>
      </c>
      <c r="F1432" t="s">
        <v>20</v>
      </c>
      <c r="G1432" t="str">
        <f>"2025-07-25 18:20:29.662"</f>
        <v>2025-07-25 18:20:29.662</v>
      </c>
      <c r="H1432" t="s">
        <v>21</v>
      </c>
      <c r="I1432">
        <v>0</v>
      </c>
      <c r="J1432" t="s">
        <v>22</v>
      </c>
    </row>
    <row r="1433" spans="1:10" x14ac:dyDescent="0.25">
      <c r="A1433" s="1">
        <v>492</v>
      </c>
      <c r="B1433" t="s">
        <v>27</v>
      </c>
      <c r="C1433">
        <v>635</v>
      </c>
      <c r="D1433">
        <v>1</v>
      </c>
      <c r="E1433" t="s">
        <v>32</v>
      </c>
      <c r="F1433" t="s">
        <v>33</v>
      </c>
      <c r="G1433" t="str">
        <f>"2025-07-25 09:15:31.859"</f>
        <v>2025-07-25 09:15:31.859</v>
      </c>
      <c r="H1433" t="s">
        <v>21</v>
      </c>
    </row>
    <row r="1434" spans="1:10" x14ac:dyDescent="0.25">
      <c r="A1434" s="1">
        <v>493</v>
      </c>
      <c r="B1434" t="s">
        <v>30</v>
      </c>
      <c r="C1434">
        <v>635</v>
      </c>
      <c r="D1434">
        <v>1</v>
      </c>
      <c r="E1434" t="s">
        <v>32</v>
      </c>
      <c r="F1434" t="s">
        <v>33</v>
      </c>
      <c r="G1434" t="str">
        <f>"2025-07-25 09:11:59.359"</f>
        <v>2025-07-25 09:11:59.359</v>
      </c>
      <c r="H1434" t="s">
        <v>21</v>
      </c>
      <c r="I1434">
        <v>1.1000000000000001</v>
      </c>
      <c r="J1434" t="s">
        <v>31</v>
      </c>
    </row>
    <row r="1435" spans="1:10" x14ac:dyDescent="0.25">
      <c r="A1435" s="1">
        <v>494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"2025-07-25 05:07:11.632"</f>
        <v>2025-07-25 05:07:11.632</v>
      </c>
      <c r="H1435" t="s">
        <v>21</v>
      </c>
      <c r="I1435">
        <v>0</v>
      </c>
      <c r="J1435" t="s">
        <v>22</v>
      </c>
    </row>
    <row r="1436" spans="1:10" x14ac:dyDescent="0.25">
      <c r="A1436" s="1">
        <v>495</v>
      </c>
      <c r="B1436" t="s">
        <v>19</v>
      </c>
      <c r="C1436">
        <v>706</v>
      </c>
      <c r="D1436">
        <v>4</v>
      </c>
      <c r="E1436" t="s">
        <v>23</v>
      </c>
      <c r="F1436" t="s">
        <v>26</v>
      </c>
      <c r="G1436" t="str">
        <f>"2025-07-25 04:40:15.378"</f>
        <v>2025-07-25 04:40:15.378</v>
      </c>
      <c r="H1436" t="s">
        <v>21</v>
      </c>
      <c r="I1436">
        <v>0</v>
      </c>
      <c r="J1436" t="s">
        <v>25</v>
      </c>
    </row>
    <row r="1437" spans="1:10" x14ac:dyDescent="0.25">
      <c r="A1437" s="1">
        <v>496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"2025-07-25 04:23:43.869"</f>
        <v>2025-07-25 04:23:43.869</v>
      </c>
      <c r="H1437" t="s">
        <v>21</v>
      </c>
      <c r="I1437">
        <v>0</v>
      </c>
      <c r="J1437" t="s">
        <v>22</v>
      </c>
    </row>
    <row r="1438" spans="1:10" x14ac:dyDescent="0.25">
      <c r="A1438" s="1">
        <v>497</v>
      </c>
      <c r="B1438" t="s">
        <v>19</v>
      </c>
      <c r="C1438">
        <v>706</v>
      </c>
      <c r="D1438">
        <v>4</v>
      </c>
      <c r="E1438" t="s">
        <v>23</v>
      </c>
      <c r="F1438" t="s">
        <v>26</v>
      </c>
      <c r="G1438" t="str">
        <f>"2025-07-25 04:19:58.959"</f>
        <v>2025-07-25 04:19:58.959</v>
      </c>
      <c r="H1438" t="s">
        <v>21</v>
      </c>
      <c r="I1438">
        <v>0</v>
      </c>
      <c r="J1438" t="s">
        <v>25</v>
      </c>
    </row>
    <row r="1439" spans="1:10" x14ac:dyDescent="0.25">
      <c r="A1439" s="1">
        <v>498</v>
      </c>
      <c r="B1439" t="s">
        <v>19</v>
      </c>
      <c r="C1439">
        <v>706</v>
      </c>
      <c r="D1439">
        <v>2</v>
      </c>
      <c r="E1439" t="s">
        <v>23</v>
      </c>
      <c r="F1439" t="s">
        <v>24</v>
      </c>
      <c r="G1439" t="str">
        <f>"2025-07-25 04:19:46.049"</f>
        <v>2025-07-25 04:19:46.049</v>
      </c>
      <c r="H1439" t="s">
        <v>21</v>
      </c>
      <c r="I1439">
        <v>0</v>
      </c>
      <c r="J1439" t="s">
        <v>25</v>
      </c>
    </row>
    <row r="1440" spans="1:10" x14ac:dyDescent="0.25">
      <c r="A1440" s="1">
        <v>499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"2025-07-25 03:37:31.639"</f>
        <v>2025-07-25 03:37:31.639</v>
      </c>
      <c r="H1440" t="s">
        <v>21</v>
      </c>
      <c r="I1440">
        <v>0</v>
      </c>
      <c r="J1440" t="s">
        <v>22</v>
      </c>
    </row>
    <row r="1441" spans="1:10" x14ac:dyDescent="0.25">
      <c r="A1441" s="1">
        <v>500</v>
      </c>
      <c r="B1441" t="s">
        <v>27</v>
      </c>
      <c r="C1441">
        <v>635</v>
      </c>
      <c r="D1441">
        <v>1</v>
      </c>
      <c r="E1441" t="s">
        <v>32</v>
      </c>
      <c r="F1441" t="s">
        <v>33</v>
      </c>
      <c r="G1441" t="str">
        <f>"2025-07-24 08:52:29.366"</f>
        <v>2025-07-24 08:52:29.366</v>
      </c>
      <c r="H1441" t="s">
        <v>21</v>
      </c>
    </row>
    <row r="1442" spans="1:10" x14ac:dyDescent="0.25">
      <c r="A1442" s="1">
        <v>501</v>
      </c>
      <c r="B1442" t="s">
        <v>30</v>
      </c>
      <c r="C1442">
        <v>635</v>
      </c>
      <c r="D1442">
        <v>1</v>
      </c>
      <c r="E1442" t="s">
        <v>32</v>
      </c>
      <c r="F1442" t="s">
        <v>33</v>
      </c>
      <c r="G1442" t="str">
        <f>"2025-07-24 08:49:35.466"</f>
        <v>2025-07-24 08:49:35.466</v>
      </c>
      <c r="H1442" t="s">
        <v>21</v>
      </c>
      <c r="I1442">
        <v>2.13</v>
      </c>
      <c r="J1442" t="s">
        <v>42</v>
      </c>
    </row>
    <row r="1443" spans="1:10" x14ac:dyDescent="0.25">
      <c r="A1443" s="1">
        <v>502</v>
      </c>
      <c r="B1443" t="s">
        <v>19</v>
      </c>
      <c r="C1443">
        <v>706</v>
      </c>
      <c r="D1443">
        <v>2</v>
      </c>
      <c r="E1443" t="s">
        <v>23</v>
      </c>
      <c r="F1443" t="s">
        <v>24</v>
      </c>
      <c r="G1443" t="str">
        <f>"2025-07-24 01:16:13.320"</f>
        <v>2025-07-24 01:16:13.320</v>
      </c>
      <c r="H1443" t="s">
        <v>21</v>
      </c>
      <c r="I1443">
        <v>0</v>
      </c>
      <c r="J1443" t="s">
        <v>25</v>
      </c>
    </row>
    <row r="1444" spans="1:10" x14ac:dyDescent="0.25">
      <c r="A1444" s="1">
        <v>503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"2025-07-24 01:12:10.620"</f>
        <v>2025-07-24 01:12:10.620</v>
      </c>
      <c r="H1444" t="s">
        <v>21</v>
      </c>
    </row>
    <row r="1445" spans="1:10" x14ac:dyDescent="0.25">
      <c r="A1445" s="1">
        <v>504</v>
      </c>
      <c r="B1445" t="s">
        <v>27</v>
      </c>
      <c r="C1445">
        <v>98</v>
      </c>
      <c r="D1445">
        <v>1</v>
      </c>
      <c r="E1445" t="s">
        <v>40</v>
      </c>
      <c r="F1445" t="s">
        <v>41</v>
      </c>
      <c r="G1445" t="str">
        <f>"2025-07-23 20:39:00.612"</f>
        <v>2025-07-23 20:39:00.612</v>
      </c>
      <c r="H1445" t="s">
        <v>21</v>
      </c>
    </row>
    <row r="1446" spans="1:10" x14ac:dyDescent="0.25">
      <c r="A1446" s="1">
        <v>505</v>
      </c>
      <c r="B1446" t="s">
        <v>30</v>
      </c>
      <c r="C1446">
        <v>98</v>
      </c>
      <c r="D1446">
        <v>1</v>
      </c>
      <c r="E1446" t="s">
        <v>40</v>
      </c>
      <c r="F1446" t="s">
        <v>41</v>
      </c>
      <c r="G1446" t="str">
        <f>"2025-07-23 20:38:59.613"</f>
        <v>2025-07-23 20:38:59.613</v>
      </c>
      <c r="H1446" t="s">
        <v>21</v>
      </c>
      <c r="I1446">
        <v>6.71</v>
      </c>
      <c r="J1446" t="s">
        <v>34</v>
      </c>
    </row>
    <row r="1447" spans="1:10" x14ac:dyDescent="0.25">
      <c r="A1447" s="1">
        <v>506</v>
      </c>
      <c r="B1447" t="s">
        <v>27</v>
      </c>
      <c r="C1447">
        <v>635</v>
      </c>
      <c r="D1447">
        <v>1</v>
      </c>
      <c r="E1447" t="s">
        <v>32</v>
      </c>
      <c r="F1447" t="s">
        <v>33</v>
      </c>
      <c r="G1447" t="str">
        <f>"2025-07-23 16:21:48.359"</f>
        <v>2025-07-23 16:21:48.359</v>
      </c>
      <c r="H1447" t="s">
        <v>21</v>
      </c>
    </row>
    <row r="1448" spans="1:10" x14ac:dyDescent="0.25">
      <c r="A1448" s="1">
        <v>507</v>
      </c>
      <c r="B1448" t="s">
        <v>30</v>
      </c>
      <c r="C1448">
        <v>635</v>
      </c>
      <c r="D1448">
        <v>1</v>
      </c>
      <c r="E1448" t="s">
        <v>32</v>
      </c>
      <c r="F1448" t="s">
        <v>33</v>
      </c>
      <c r="G1448" t="str">
        <f>"2025-07-23 16:17:01.859"</f>
        <v>2025-07-23 16:17:01.859</v>
      </c>
      <c r="H1448" t="s">
        <v>21</v>
      </c>
      <c r="I1448">
        <v>3.53</v>
      </c>
      <c r="J1448" t="s">
        <v>34</v>
      </c>
    </row>
    <row r="1449" spans="1:10" x14ac:dyDescent="0.25">
      <c r="A1449" s="1">
        <v>508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"2025-07-20 10:23:08.661"</f>
        <v>2025-07-20 10:23:08.661</v>
      </c>
      <c r="H1449" t="s">
        <v>21</v>
      </c>
    </row>
    <row r="1450" spans="1:10" s="3" customFormat="1" x14ac:dyDescent="0.25">
      <c r="A1450" s="2">
        <v>509</v>
      </c>
      <c r="B1450" s="3" t="s">
        <v>27</v>
      </c>
      <c r="C1450" s="3">
        <v>647</v>
      </c>
      <c r="D1450" s="3">
        <v>1</v>
      </c>
      <c r="E1450" s="3" t="s">
        <v>28</v>
      </c>
      <c r="F1450" s="3" t="s">
        <v>29</v>
      </c>
      <c r="G1450" s="3" t="str">
        <f>"2025-07-18 20:39:40.456"</f>
        <v>2025-07-18 20:39:40.456</v>
      </c>
      <c r="H1450" s="3" t="s">
        <v>21</v>
      </c>
    </row>
    <row r="1451" spans="1:10" s="3" customFormat="1" x14ac:dyDescent="0.25">
      <c r="A1451" s="2">
        <v>510</v>
      </c>
      <c r="B1451" s="3" t="s">
        <v>30</v>
      </c>
      <c r="C1451" s="3">
        <v>647</v>
      </c>
      <c r="D1451" s="3">
        <v>1</v>
      </c>
      <c r="E1451" s="3" t="s">
        <v>28</v>
      </c>
      <c r="F1451" s="3" t="s">
        <v>29</v>
      </c>
      <c r="G1451" s="3" t="str">
        <f>"2025-07-18 20:39:34.957"</f>
        <v>2025-07-18 20:39:34.957</v>
      </c>
      <c r="H1451" s="3" t="s">
        <v>21</v>
      </c>
      <c r="I1451" s="3">
        <v>8.39</v>
      </c>
      <c r="J1451" s="3" t="s">
        <v>31</v>
      </c>
    </row>
    <row r="1452" spans="1:10" x14ac:dyDescent="0.25">
      <c r="A1452" s="1">
        <v>511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"2025-07-18 14:41:40.029"</f>
        <v>2025-07-18 14:41:40.029</v>
      </c>
      <c r="H1452" t="s">
        <v>21</v>
      </c>
      <c r="I1452">
        <v>0</v>
      </c>
      <c r="J1452" t="s">
        <v>22</v>
      </c>
    </row>
    <row r="1453" spans="1:10" x14ac:dyDescent="0.25">
      <c r="A1453" s="1">
        <v>512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"2025-07-18 12:54:35.662"</f>
        <v>2025-07-18 12:54:35.662</v>
      </c>
      <c r="H1453" t="s">
        <v>21</v>
      </c>
    </row>
    <row r="1454" spans="1:10" x14ac:dyDescent="0.25">
      <c r="A1454" s="1">
        <v>513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"2025-07-18 08:29:36.650"</f>
        <v>2025-07-18 08:29:36.650</v>
      </c>
      <c r="H1454" t="s">
        <v>21</v>
      </c>
    </row>
    <row r="1455" spans="1:10" x14ac:dyDescent="0.25">
      <c r="A1455" s="1">
        <v>514</v>
      </c>
      <c r="B1455" t="s">
        <v>27</v>
      </c>
      <c r="C1455">
        <v>635</v>
      </c>
      <c r="D1455">
        <v>1</v>
      </c>
      <c r="E1455" t="s">
        <v>32</v>
      </c>
      <c r="F1455" t="s">
        <v>33</v>
      </c>
      <c r="G1455" t="str">
        <f>"2025-07-18 08:11:30.947"</f>
        <v>2025-07-18 08:11:30.947</v>
      </c>
      <c r="H1455" t="s">
        <v>21</v>
      </c>
    </row>
    <row r="1456" spans="1:10" x14ac:dyDescent="0.25">
      <c r="A1456" s="1">
        <v>515</v>
      </c>
      <c r="B1456" t="s">
        <v>30</v>
      </c>
      <c r="C1456">
        <v>635</v>
      </c>
      <c r="D1456">
        <v>1</v>
      </c>
      <c r="E1456" t="s">
        <v>32</v>
      </c>
      <c r="F1456" t="s">
        <v>33</v>
      </c>
      <c r="G1456" t="str">
        <f>"2025-07-18 08:05:25.448"</f>
        <v>2025-07-18 08:05:25.448</v>
      </c>
      <c r="H1456" t="s">
        <v>21</v>
      </c>
      <c r="I1456">
        <v>8.94</v>
      </c>
      <c r="J1456" t="s">
        <v>34</v>
      </c>
    </row>
    <row r="1457" spans="1:10" x14ac:dyDescent="0.25">
      <c r="A1457" s="1">
        <v>516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"2025-07-17 16:55:01.658"</f>
        <v>2025-07-17 16:55:01.658</v>
      </c>
      <c r="H1457" t="s">
        <v>21</v>
      </c>
      <c r="I1457">
        <v>0</v>
      </c>
      <c r="J1457" t="s">
        <v>22</v>
      </c>
    </row>
    <row r="1458" spans="1:10" x14ac:dyDescent="0.25">
      <c r="A1458" s="1">
        <v>517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"2025-07-17 12:55:28.622"</f>
        <v>2025-07-17 12:55:28.622</v>
      </c>
      <c r="H1458" t="s">
        <v>21</v>
      </c>
    </row>
    <row r="1459" spans="1:10" x14ac:dyDescent="0.25">
      <c r="A1459" s="1">
        <v>518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"2025-07-17 12:19:26.625"</f>
        <v>2025-07-17 12:19:26.625</v>
      </c>
      <c r="H1459" t="s">
        <v>21</v>
      </c>
      <c r="I1459">
        <v>0</v>
      </c>
      <c r="J1459" t="s">
        <v>22</v>
      </c>
    </row>
    <row r="1460" spans="1:10" x14ac:dyDescent="0.25">
      <c r="A1460" s="1">
        <v>519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"2025-07-17 11:37:57.661"</f>
        <v>2025-07-17 11:37:57.661</v>
      </c>
      <c r="H1460" t="s">
        <v>21</v>
      </c>
      <c r="I1460">
        <v>0</v>
      </c>
      <c r="J1460" t="s">
        <v>22</v>
      </c>
    </row>
    <row r="1461" spans="1:10" x14ac:dyDescent="0.25">
      <c r="A1461" s="1">
        <v>520</v>
      </c>
      <c r="B1461" t="s">
        <v>27</v>
      </c>
      <c r="C1461">
        <v>635</v>
      </c>
      <c r="D1461">
        <v>1</v>
      </c>
      <c r="E1461" t="s">
        <v>32</v>
      </c>
      <c r="F1461" t="s">
        <v>33</v>
      </c>
      <c r="G1461" t="str">
        <f>"2025-07-16 17:45:49.968"</f>
        <v>2025-07-16 17:45:49.968</v>
      </c>
      <c r="H1461" t="s">
        <v>21</v>
      </c>
    </row>
    <row r="1462" spans="1:10" x14ac:dyDescent="0.25">
      <c r="A1462" s="1">
        <v>521</v>
      </c>
      <c r="B1462" t="s">
        <v>30</v>
      </c>
      <c r="C1462">
        <v>635</v>
      </c>
      <c r="D1462">
        <v>1</v>
      </c>
      <c r="E1462" t="s">
        <v>32</v>
      </c>
      <c r="F1462" t="s">
        <v>33</v>
      </c>
      <c r="G1462" t="str">
        <f>"2025-07-16 17:43:55.968"</f>
        <v>2025-07-16 17:43:55.968</v>
      </c>
      <c r="H1462" t="s">
        <v>21</v>
      </c>
      <c r="I1462">
        <v>5.93</v>
      </c>
      <c r="J1462" t="s">
        <v>42</v>
      </c>
    </row>
    <row r="1463" spans="1:10" x14ac:dyDescent="0.25">
      <c r="A1463" s="1">
        <v>522</v>
      </c>
      <c r="B1463" t="s">
        <v>19</v>
      </c>
      <c r="C1463">
        <v>700</v>
      </c>
      <c r="D1463">
        <v>0</v>
      </c>
      <c r="E1463" t="s">
        <v>20</v>
      </c>
      <c r="F1463" t="s">
        <v>20</v>
      </c>
      <c r="G1463" t="str">
        <f>"2025-07-16 14:05:28.731"</f>
        <v>2025-07-16 14:05:28.731</v>
      </c>
      <c r="H1463" t="s">
        <v>21</v>
      </c>
      <c r="I1463">
        <v>0</v>
      </c>
      <c r="J1463" t="s">
        <v>22</v>
      </c>
    </row>
    <row r="1464" spans="1:10" x14ac:dyDescent="0.25">
      <c r="A1464" s="1">
        <v>524</v>
      </c>
      <c r="B1464" t="s">
        <v>19</v>
      </c>
      <c r="C1464">
        <v>700</v>
      </c>
      <c r="D1464">
        <v>0</v>
      </c>
      <c r="E1464" t="s">
        <v>20</v>
      </c>
      <c r="F1464" t="s">
        <v>20</v>
      </c>
      <c r="G1464" t="str">
        <f>"2025-07-15 13:22:45.851"</f>
        <v>2025-07-15 13:22:45.851</v>
      </c>
      <c r="H1464" t="s">
        <v>21</v>
      </c>
      <c r="I1464">
        <v>0</v>
      </c>
      <c r="J1464" t="s">
        <v>22</v>
      </c>
    </row>
    <row r="1465" spans="1:10" x14ac:dyDescent="0.25">
      <c r="A1465" s="1">
        <v>525</v>
      </c>
      <c r="B1465" t="s">
        <v>19</v>
      </c>
      <c r="C1465">
        <v>700</v>
      </c>
      <c r="D1465">
        <v>0</v>
      </c>
      <c r="E1465" t="s">
        <v>20</v>
      </c>
      <c r="F1465" t="s">
        <v>20</v>
      </c>
      <c r="G1465" t="str">
        <f>"2025-07-14 17:36:54.748"</f>
        <v>2025-07-14 17:36:54.748</v>
      </c>
      <c r="H1465" t="s">
        <v>21</v>
      </c>
      <c r="I1465">
        <v>0</v>
      </c>
      <c r="J1465" t="s">
        <v>22</v>
      </c>
    </row>
    <row r="1466" spans="1:10" s="3" customFormat="1" x14ac:dyDescent="0.25">
      <c r="A1466" s="2">
        <v>526</v>
      </c>
      <c r="B1466" s="3" t="s">
        <v>27</v>
      </c>
      <c r="C1466" s="3">
        <v>647</v>
      </c>
      <c r="D1466" s="3">
        <v>1</v>
      </c>
      <c r="E1466" s="3" t="s">
        <v>28</v>
      </c>
      <c r="F1466" s="3" t="s">
        <v>29</v>
      </c>
      <c r="G1466" s="3" t="str">
        <f>"2025-07-14 15:10:55.797"</f>
        <v>2025-07-14 15:10:55.797</v>
      </c>
      <c r="H1466" s="3" t="s">
        <v>21</v>
      </c>
    </row>
    <row r="1467" spans="1:10" s="3" customFormat="1" x14ac:dyDescent="0.25">
      <c r="A1467" s="2">
        <v>527</v>
      </c>
      <c r="B1467" s="3" t="s">
        <v>30</v>
      </c>
      <c r="C1467" s="3">
        <v>647</v>
      </c>
      <c r="D1467" s="3">
        <v>1</v>
      </c>
      <c r="E1467" s="3" t="s">
        <v>28</v>
      </c>
      <c r="F1467" s="3" t="s">
        <v>29</v>
      </c>
      <c r="G1467" s="3" t="str">
        <f>"2025-07-14 15:10:54.298"</f>
        <v>2025-07-14 15:10:54.298</v>
      </c>
      <c r="H1467" s="3" t="s">
        <v>21</v>
      </c>
      <c r="I1467" s="3">
        <v>9.23</v>
      </c>
      <c r="J1467" s="3" t="s">
        <v>31</v>
      </c>
    </row>
    <row r="1468" spans="1:10" x14ac:dyDescent="0.25">
      <c r="A1468" s="1">
        <v>528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"2025-07-14 13:02:34.635"</f>
        <v>2025-07-14 13:02:34.635</v>
      </c>
      <c r="H1468" t="s">
        <v>21</v>
      </c>
    </row>
    <row r="1469" spans="1:10" x14ac:dyDescent="0.25">
      <c r="A1469" s="1">
        <v>529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"2025-07-13 20:12:43.618"</f>
        <v>2025-07-13 20:12:43.618</v>
      </c>
      <c r="H1469" t="s">
        <v>21</v>
      </c>
      <c r="I1469">
        <v>0</v>
      </c>
      <c r="J1469" t="s">
        <v>22</v>
      </c>
    </row>
    <row r="1470" spans="1:10" x14ac:dyDescent="0.25">
      <c r="A1470" s="1">
        <v>530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"2025-07-13 18:14:09.631"</f>
        <v>2025-07-13 18:14:09.631</v>
      </c>
      <c r="H1470" t="s">
        <v>21</v>
      </c>
      <c r="I1470">
        <v>0</v>
      </c>
      <c r="J1470" t="s">
        <v>22</v>
      </c>
    </row>
    <row r="1471" spans="1:10" x14ac:dyDescent="0.25">
      <c r="A1471" s="1">
        <v>531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"2025-07-13 16:59:35.628"</f>
        <v>2025-07-13 16:59:35.628</v>
      </c>
      <c r="H1471" t="s">
        <v>21</v>
      </c>
      <c r="I1471">
        <v>0</v>
      </c>
      <c r="J1471" t="s">
        <v>22</v>
      </c>
    </row>
    <row r="1472" spans="1:10" x14ac:dyDescent="0.25">
      <c r="A1472" s="1">
        <v>532</v>
      </c>
      <c r="B1472" t="s">
        <v>19</v>
      </c>
      <c r="C1472">
        <v>706</v>
      </c>
      <c r="D1472">
        <v>2</v>
      </c>
      <c r="E1472" t="s">
        <v>23</v>
      </c>
      <c r="F1472" t="s">
        <v>24</v>
      </c>
      <c r="G1472" t="str">
        <f>"2025-07-13 16:39:41.682"</f>
        <v>2025-07-13 16:39:41.682</v>
      </c>
      <c r="H1472" t="s">
        <v>21</v>
      </c>
      <c r="I1472">
        <v>0</v>
      </c>
      <c r="J1472" t="s">
        <v>25</v>
      </c>
    </row>
    <row r="1473" spans="1:10" x14ac:dyDescent="0.25">
      <c r="A1473" s="1">
        <v>533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"2025-07-13 16:27:57.612"</f>
        <v>2025-07-13 16:27:57.612</v>
      </c>
      <c r="H1473" t="s">
        <v>21</v>
      </c>
      <c r="I1473">
        <v>0</v>
      </c>
      <c r="J1473" t="s">
        <v>22</v>
      </c>
    </row>
    <row r="1474" spans="1:10" x14ac:dyDescent="0.25">
      <c r="A1474" s="1">
        <v>534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"2025-07-13 15:08:30.033"</f>
        <v>2025-07-13 15:08:30.033</v>
      </c>
      <c r="H1474" t="s">
        <v>21</v>
      </c>
      <c r="I1474">
        <v>0</v>
      </c>
      <c r="J1474" t="s">
        <v>22</v>
      </c>
    </row>
    <row r="1475" spans="1:10" x14ac:dyDescent="0.25">
      <c r="A1475" s="1">
        <v>535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"2025-07-13 14:04:10.845"</f>
        <v>2025-07-13 14:04:10.845</v>
      </c>
      <c r="H1475" t="s">
        <v>21</v>
      </c>
      <c r="I1475">
        <v>0</v>
      </c>
      <c r="J1475" t="s">
        <v>22</v>
      </c>
    </row>
    <row r="1476" spans="1:10" x14ac:dyDescent="0.25">
      <c r="A1476" s="1">
        <v>536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"2025-07-13 13:44:18.644"</f>
        <v>2025-07-13 13:44:18.644</v>
      </c>
      <c r="H1476" t="s">
        <v>21</v>
      </c>
    </row>
    <row r="1477" spans="1:10" x14ac:dyDescent="0.25">
      <c r="A1477" s="1">
        <v>537</v>
      </c>
      <c r="B1477" t="s">
        <v>27</v>
      </c>
      <c r="C1477">
        <v>635</v>
      </c>
      <c r="D1477">
        <v>1</v>
      </c>
      <c r="E1477" t="s">
        <v>32</v>
      </c>
      <c r="F1477" t="s">
        <v>33</v>
      </c>
      <c r="G1477" t="str">
        <f>"2025-07-13 08:29:02.694"</f>
        <v>2025-07-13 08:29:02.694</v>
      </c>
      <c r="H1477" t="s">
        <v>21</v>
      </c>
    </row>
    <row r="1478" spans="1:10" x14ac:dyDescent="0.25">
      <c r="A1478" s="1">
        <v>538</v>
      </c>
      <c r="B1478" t="s">
        <v>30</v>
      </c>
      <c r="C1478">
        <v>635</v>
      </c>
      <c r="D1478">
        <v>1</v>
      </c>
      <c r="E1478" t="s">
        <v>32</v>
      </c>
      <c r="F1478" t="s">
        <v>33</v>
      </c>
      <c r="G1478" t="str">
        <f>"2025-07-13 08:24:31.695"</f>
        <v>2025-07-13 08:24:31.695</v>
      </c>
      <c r="H1478" t="s">
        <v>21</v>
      </c>
      <c r="I1478">
        <v>4.2</v>
      </c>
      <c r="J1478" t="s">
        <v>34</v>
      </c>
    </row>
    <row r="1479" spans="1:10" x14ac:dyDescent="0.25">
      <c r="A1479" s="1">
        <v>539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"2025-07-12 12:03:00.734"</f>
        <v>2025-07-12 12:03:00.734</v>
      </c>
      <c r="H1479" t="s">
        <v>21</v>
      </c>
    </row>
    <row r="1480" spans="1:10" x14ac:dyDescent="0.25">
      <c r="A1480" s="1">
        <v>541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"2025-07-11 14:57:54.618"</f>
        <v>2025-07-11 14:57:54.618</v>
      </c>
      <c r="H1480" t="s">
        <v>21</v>
      </c>
      <c r="I1480">
        <v>0</v>
      </c>
      <c r="J1480" t="s">
        <v>22</v>
      </c>
    </row>
    <row r="1481" spans="1:10" x14ac:dyDescent="0.25">
      <c r="A1481" s="1">
        <v>542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"2025-07-09 21:35:11.616"</f>
        <v>2025-07-09 21:35:11.616</v>
      </c>
      <c r="H1481" t="s">
        <v>21</v>
      </c>
      <c r="I1481">
        <v>0</v>
      </c>
      <c r="J1481" t="s">
        <v>22</v>
      </c>
    </row>
    <row r="1482" spans="1:10" x14ac:dyDescent="0.25">
      <c r="A1482" s="1">
        <v>543</v>
      </c>
      <c r="B1482" t="s">
        <v>19</v>
      </c>
      <c r="C1482">
        <v>706</v>
      </c>
      <c r="D1482">
        <v>2</v>
      </c>
      <c r="E1482" t="s">
        <v>23</v>
      </c>
      <c r="F1482" t="s">
        <v>24</v>
      </c>
      <c r="G1482" t="str">
        <f>"2025-07-09 17:24:34.384"</f>
        <v>2025-07-09 17:24:34.384</v>
      </c>
      <c r="H1482" t="s">
        <v>21</v>
      </c>
      <c r="I1482">
        <v>0</v>
      </c>
      <c r="J1482" t="s">
        <v>25</v>
      </c>
    </row>
    <row r="1483" spans="1:10" x14ac:dyDescent="0.25">
      <c r="A1483" s="1">
        <v>544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"2025-07-09 13:41:15.614"</f>
        <v>2025-07-09 13:41:15.614</v>
      </c>
      <c r="H1483" t="s">
        <v>21</v>
      </c>
      <c r="I1483">
        <v>0</v>
      </c>
      <c r="J1483" t="s">
        <v>22</v>
      </c>
    </row>
    <row r="1484" spans="1:10" x14ac:dyDescent="0.25">
      <c r="A1484" s="1">
        <v>545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"2025-07-09 12:44:42.626"</f>
        <v>2025-07-09 12:44:42.626</v>
      </c>
      <c r="H1484" t="s">
        <v>21</v>
      </c>
      <c r="I1484">
        <v>0</v>
      </c>
      <c r="J1484" t="s">
        <v>22</v>
      </c>
    </row>
    <row r="1485" spans="1:10" x14ac:dyDescent="0.25">
      <c r="A1485" s="1">
        <v>546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"2025-07-09 10:02:43.817"</f>
        <v>2025-07-09 10:02:43.817</v>
      </c>
      <c r="H1485" t="s">
        <v>21</v>
      </c>
      <c r="I1485">
        <v>0</v>
      </c>
      <c r="J1485" t="s">
        <v>22</v>
      </c>
    </row>
    <row r="1486" spans="1:10" x14ac:dyDescent="0.25">
      <c r="A1486" s="1">
        <v>547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"2025-07-08 08:33:13.644"</f>
        <v>2025-07-08 08:33:13.644</v>
      </c>
      <c r="H1486" t="s">
        <v>21</v>
      </c>
    </row>
    <row r="1487" spans="1:10" x14ac:dyDescent="0.25">
      <c r="A1487" s="1">
        <v>548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"2025-07-07 14:34:19.617"</f>
        <v>2025-07-07 14:34:19.617</v>
      </c>
      <c r="H1487" t="s">
        <v>21</v>
      </c>
      <c r="I1487">
        <v>0</v>
      </c>
      <c r="J1487" t="s">
        <v>22</v>
      </c>
    </row>
    <row r="1488" spans="1:10" s="3" customFormat="1" x14ac:dyDescent="0.25">
      <c r="A1488" s="2">
        <v>549</v>
      </c>
      <c r="B1488" s="3" t="s">
        <v>27</v>
      </c>
      <c r="C1488" s="3">
        <v>647</v>
      </c>
      <c r="D1488" s="3">
        <v>1</v>
      </c>
      <c r="E1488" s="3" t="s">
        <v>28</v>
      </c>
      <c r="F1488" s="3" t="s">
        <v>29</v>
      </c>
      <c r="G1488" s="3" t="str">
        <f>"2025-07-07 11:18:31.368"</f>
        <v>2025-07-07 11:18:31.368</v>
      </c>
      <c r="H1488" s="3" t="s">
        <v>21</v>
      </c>
    </row>
    <row r="1489" spans="1:10" s="3" customFormat="1" x14ac:dyDescent="0.25">
      <c r="A1489" s="2">
        <v>550</v>
      </c>
      <c r="B1489" s="3" t="s">
        <v>30</v>
      </c>
      <c r="C1489" s="3">
        <v>647</v>
      </c>
      <c r="D1489" s="3">
        <v>1</v>
      </c>
      <c r="E1489" s="3" t="s">
        <v>28</v>
      </c>
      <c r="F1489" s="3" t="s">
        <v>29</v>
      </c>
      <c r="G1489" s="3" t="str">
        <f>"2025-07-07 11:18:27.669"</f>
        <v>2025-07-07 11:18:27.669</v>
      </c>
      <c r="H1489" s="3" t="s">
        <v>21</v>
      </c>
      <c r="I1489" s="3">
        <v>8.64</v>
      </c>
      <c r="J1489" s="3" t="s">
        <v>31</v>
      </c>
    </row>
    <row r="1490" spans="1:10" x14ac:dyDescent="0.25">
      <c r="A1490" s="1">
        <v>551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"2025-07-07 08:56:55.610"</f>
        <v>2025-07-07 08:56:55.610</v>
      </c>
      <c r="H1490" t="s">
        <v>21</v>
      </c>
      <c r="I1490">
        <v>0</v>
      </c>
      <c r="J1490" t="s">
        <v>22</v>
      </c>
    </row>
    <row r="1491" spans="1:10" x14ac:dyDescent="0.25">
      <c r="A1491" s="1">
        <v>552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"2025-07-06 22:06:07.741"</f>
        <v>2025-07-06 22:06:07.741</v>
      </c>
      <c r="H1491" t="s">
        <v>21</v>
      </c>
      <c r="I1491">
        <v>0</v>
      </c>
      <c r="J1491" t="s">
        <v>22</v>
      </c>
    </row>
    <row r="1492" spans="1:10" x14ac:dyDescent="0.25">
      <c r="A1492" s="1">
        <v>553</v>
      </c>
      <c r="B1492" t="s">
        <v>27</v>
      </c>
      <c r="C1492">
        <v>98</v>
      </c>
      <c r="D1492">
        <v>1</v>
      </c>
      <c r="E1492" t="s">
        <v>40</v>
      </c>
      <c r="F1492" t="s">
        <v>41</v>
      </c>
      <c r="G1492" t="str">
        <f>"2025-07-06 16:51:34.882"</f>
        <v>2025-07-06 16:51:34.882</v>
      </c>
      <c r="H1492" t="s">
        <v>21</v>
      </c>
    </row>
    <row r="1493" spans="1:10" x14ac:dyDescent="0.25">
      <c r="A1493" s="1">
        <v>554</v>
      </c>
      <c r="B1493" t="s">
        <v>30</v>
      </c>
      <c r="C1493">
        <v>98</v>
      </c>
      <c r="D1493">
        <v>1</v>
      </c>
      <c r="E1493" t="s">
        <v>40</v>
      </c>
      <c r="F1493" t="s">
        <v>41</v>
      </c>
      <c r="G1493" t="str">
        <f>"2025-07-06 16:51:33.883"</f>
        <v>2025-07-06 16:51:33.883</v>
      </c>
      <c r="H1493" t="s">
        <v>21</v>
      </c>
      <c r="I1493">
        <v>0</v>
      </c>
      <c r="J1493" t="s">
        <v>42</v>
      </c>
    </row>
    <row r="1494" spans="1:10" x14ac:dyDescent="0.25">
      <c r="A1494" s="1">
        <v>555</v>
      </c>
      <c r="B1494" t="s">
        <v>19</v>
      </c>
      <c r="C1494">
        <v>700</v>
      </c>
      <c r="D1494">
        <v>0</v>
      </c>
      <c r="E1494" t="s">
        <v>20</v>
      </c>
      <c r="F1494" t="s">
        <v>20</v>
      </c>
      <c r="G1494" t="str">
        <f>"2025-07-06 15:43:56.603"</f>
        <v>2025-07-06 15:43:56.603</v>
      </c>
      <c r="H1494" t="s">
        <v>21</v>
      </c>
    </row>
    <row r="1495" spans="1:10" x14ac:dyDescent="0.25">
      <c r="A1495" s="1">
        <v>556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"2025-07-06 15:24:22.645"</f>
        <v>2025-07-06 15:24:22.645</v>
      </c>
      <c r="H1495" t="s">
        <v>21</v>
      </c>
      <c r="I1495">
        <v>0</v>
      </c>
      <c r="J1495" t="s">
        <v>22</v>
      </c>
    </row>
    <row r="1496" spans="1:10" x14ac:dyDescent="0.25">
      <c r="A1496" s="1">
        <v>557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"2025-07-05 17:26:51.640"</f>
        <v>2025-07-05 17:26:51.640</v>
      </c>
      <c r="H1496" t="s">
        <v>21</v>
      </c>
    </row>
    <row r="1497" spans="1:10" x14ac:dyDescent="0.25">
      <c r="A1497" s="1">
        <v>558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"2025-07-05 13:54:25.629"</f>
        <v>2025-07-05 13:54:25.629</v>
      </c>
      <c r="H1497" t="s">
        <v>21</v>
      </c>
    </row>
    <row r="1498" spans="1:10" x14ac:dyDescent="0.25">
      <c r="A1498" s="1">
        <v>559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"2025-07-05 10:05:35.756"</f>
        <v>2025-07-05 10:05:35.756</v>
      </c>
      <c r="H1498" t="s">
        <v>21</v>
      </c>
      <c r="I1498">
        <v>0</v>
      </c>
      <c r="J1498" t="s">
        <v>22</v>
      </c>
    </row>
    <row r="1499" spans="1:10" x14ac:dyDescent="0.25">
      <c r="A1499" s="1">
        <v>560</v>
      </c>
      <c r="B1499" t="s">
        <v>27</v>
      </c>
      <c r="C1499">
        <v>635</v>
      </c>
      <c r="D1499">
        <v>1</v>
      </c>
      <c r="E1499" t="s">
        <v>32</v>
      </c>
      <c r="F1499" t="s">
        <v>33</v>
      </c>
      <c r="G1499" t="str">
        <f>"2025-07-05 08:48:46.287"</f>
        <v>2025-07-05 08:48:46.287</v>
      </c>
      <c r="H1499" t="s">
        <v>21</v>
      </c>
    </row>
    <row r="1500" spans="1:10" x14ac:dyDescent="0.25">
      <c r="A1500" s="1">
        <v>561</v>
      </c>
      <c r="B1500" t="s">
        <v>30</v>
      </c>
      <c r="C1500">
        <v>635</v>
      </c>
      <c r="D1500">
        <v>1</v>
      </c>
      <c r="E1500" t="s">
        <v>32</v>
      </c>
      <c r="F1500" t="s">
        <v>33</v>
      </c>
      <c r="G1500" t="str">
        <f>"2025-07-05 08:44:18.287"</f>
        <v>2025-07-05 08:44:18.287</v>
      </c>
      <c r="H1500" t="s">
        <v>21</v>
      </c>
      <c r="I1500">
        <v>8.73</v>
      </c>
      <c r="J1500" t="s">
        <v>34</v>
      </c>
    </row>
    <row r="1501" spans="1:10" x14ac:dyDescent="0.25">
      <c r="A1501" s="1">
        <v>562</v>
      </c>
      <c r="B1501" t="s">
        <v>27</v>
      </c>
      <c r="C1501">
        <v>635</v>
      </c>
      <c r="D1501">
        <v>1</v>
      </c>
      <c r="E1501" t="s">
        <v>32</v>
      </c>
      <c r="F1501" t="s">
        <v>33</v>
      </c>
      <c r="G1501" t="str">
        <f>"2025-07-05 07:27:41.987"</f>
        <v>2025-07-05 07:27:41.987</v>
      </c>
      <c r="H1501" t="s">
        <v>21</v>
      </c>
    </row>
    <row r="1502" spans="1:10" x14ac:dyDescent="0.25">
      <c r="A1502" s="1">
        <v>563</v>
      </c>
      <c r="B1502" t="s">
        <v>30</v>
      </c>
      <c r="C1502">
        <v>635</v>
      </c>
      <c r="D1502">
        <v>1</v>
      </c>
      <c r="E1502" t="s">
        <v>32</v>
      </c>
      <c r="F1502" t="s">
        <v>33</v>
      </c>
      <c r="G1502" t="str">
        <f>"2025-07-05 07:13:15.488"</f>
        <v>2025-07-05 07:13:15.488</v>
      </c>
      <c r="H1502" t="s">
        <v>21</v>
      </c>
      <c r="I1502">
        <v>8.3000000000000007</v>
      </c>
      <c r="J1502" t="s">
        <v>34</v>
      </c>
    </row>
    <row r="1503" spans="1:10" x14ac:dyDescent="0.25">
      <c r="A1503" s="1">
        <v>564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"2025-07-04 13:50:20.607"</f>
        <v>2025-07-04 13:50:20.607</v>
      </c>
      <c r="H1503" t="s">
        <v>21</v>
      </c>
    </row>
    <row r="1504" spans="1:10" x14ac:dyDescent="0.25">
      <c r="A1504" s="1">
        <v>565</v>
      </c>
      <c r="B1504" t="s">
        <v>19</v>
      </c>
      <c r="C1504">
        <v>706</v>
      </c>
      <c r="D1504">
        <v>4</v>
      </c>
      <c r="E1504" t="s">
        <v>23</v>
      </c>
      <c r="F1504" t="s">
        <v>26</v>
      </c>
      <c r="G1504" t="str">
        <f>"2025-07-04 13:04:37.814"</f>
        <v>2025-07-04 13:04:37.814</v>
      </c>
      <c r="H1504" t="s">
        <v>21</v>
      </c>
      <c r="I1504">
        <v>0</v>
      </c>
      <c r="J1504" t="s">
        <v>25</v>
      </c>
    </row>
    <row r="1505" spans="1:10" x14ac:dyDescent="0.25">
      <c r="A1505" s="1">
        <v>566</v>
      </c>
      <c r="B1505" t="s">
        <v>19</v>
      </c>
      <c r="C1505">
        <v>706</v>
      </c>
      <c r="D1505">
        <v>3</v>
      </c>
      <c r="E1505" t="s">
        <v>23</v>
      </c>
      <c r="F1505" t="s">
        <v>43</v>
      </c>
      <c r="G1505" t="str">
        <f>"2025-07-04 13:04:16.794"</f>
        <v>2025-07-04 13:04:16.794</v>
      </c>
      <c r="H1505" t="s">
        <v>21</v>
      </c>
      <c r="I1505">
        <v>0</v>
      </c>
      <c r="J1505" t="s">
        <v>25</v>
      </c>
    </row>
    <row r="1506" spans="1:10" x14ac:dyDescent="0.25">
      <c r="A1506" s="1">
        <v>567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"2025-07-04 12:43:16.604"</f>
        <v>2025-07-04 12:43:16.604</v>
      </c>
      <c r="H1506" t="s">
        <v>21</v>
      </c>
      <c r="I1506">
        <v>0</v>
      </c>
      <c r="J1506" t="s">
        <v>22</v>
      </c>
    </row>
    <row r="1507" spans="1:10" x14ac:dyDescent="0.25">
      <c r="A1507" s="1">
        <v>568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"2025-07-04 09:55:15.629"</f>
        <v>2025-07-04 09:55:15.629</v>
      </c>
      <c r="H1507" t="s">
        <v>21</v>
      </c>
      <c r="I1507">
        <v>0</v>
      </c>
      <c r="J1507" t="s">
        <v>22</v>
      </c>
    </row>
    <row r="1508" spans="1:10" x14ac:dyDescent="0.25">
      <c r="A1508" s="1">
        <v>569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"2025-07-03 18:56:41.605"</f>
        <v>2025-07-03 18:56:41.605</v>
      </c>
      <c r="H1508" t="s">
        <v>21</v>
      </c>
    </row>
    <row r="1509" spans="1:10" x14ac:dyDescent="0.25">
      <c r="A1509" s="1">
        <v>570</v>
      </c>
      <c r="B1509" t="s">
        <v>19</v>
      </c>
      <c r="C1509">
        <v>706</v>
      </c>
      <c r="D1509">
        <v>4</v>
      </c>
      <c r="E1509" t="s">
        <v>23</v>
      </c>
      <c r="F1509" t="s">
        <v>26</v>
      </c>
      <c r="G1509" t="str">
        <f>"2025-07-03 18:15:05.262"</f>
        <v>2025-07-03 18:15:05.262</v>
      </c>
      <c r="H1509" t="s">
        <v>21</v>
      </c>
      <c r="I1509">
        <v>0</v>
      </c>
      <c r="J1509" t="s">
        <v>25</v>
      </c>
    </row>
    <row r="1510" spans="1:10" x14ac:dyDescent="0.25">
      <c r="A1510" s="1">
        <v>571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"2025-07-03 18:14:48.602"</f>
        <v>2025-07-03 18:14:48.602</v>
      </c>
      <c r="H1510" t="s">
        <v>21</v>
      </c>
    </row>
    <row r="1511" spans="1:10" x14ac:dyDescent="0.25">
      <c r="A1511" s="1">
        <v>572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"2025-07-03 16:46:26.602"</f>
        <v>2025-07-03 16:46:26.602</v>
      </c>
      <c r="H1511" t="s">
        <v>21</v>
      </c>
      <c r="I1511">
        <v>0</v>
      </c>
      <c r="J1511" t="s">
        <v>22</v>
      </c>
    </row>
    <row r="1512" spans="1:10" x14ac:dyDescent="0.25">
      <c r="A1512" s="1">
        <v>573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"2025-07-03 16:17:40.598"</f>
        <v>2025-07-03 16:17:40.598</v>
      </c>
      <c r="H1512" t="s">
        <v>21</v>
      </c>
      <c r="I1512">
        <v>0</v>
      </c>
      <c r="J1512" t="s">
        <v>22</v>
      </c>
    </row>
    <row r="1513" spans="1:10" x14ac:dyDescent="0.25">
      <c r="A1513" s="1">
        <v>574</v>
      </c>
      <c r="B1513" t="s">
        <v>19</v>
      </c>
      <c r="C1513">
        <v>700</v>
      </c>
      <c r="D1513">
        <v>0</v>
      </c>
      <c r="E1513" t="s">
        <v>20</v>
      </c>
      <c r="F1513" t="s">
        <v>20</v>
      </c>
      <c r="G1513" t="str">
        <f>"2025-07-03 16:11:24.830"</f>
        <v>2025-07-03 16:11:24.830</v>
      </c>
      <c r="H1513" t="s">
        <v>21</v>
      </c>
    </row>
    <row r="1514" spans="1:10" x14ac:dyDescent="0.25">
      <c r="A1514" s="1">
        <v>575</v>
      </c>
      <c r="B1514" t="s">
        <v>19</v>
      </c>
      <c r="C1514">
        <v>706</v>
      </c>
      <c r="D1514">
        <v>3</v>
      </c>
      <c r="E1514" t="s">
        <v>23</v>
      </c>
      <c r="F1514" t="s">
        <v>43</v>
      </c>
      <c r="G1514" t="str">
        <f>"2025-07-03 15:57:11.339"</f>
        <v>2025-07-03 15:57:11.339</v>
      </c>
      <c r="H1514" t="s">
        <v>21</v>
      </c>
      <c r="I1514">
        <v>0</v>
      </c>
      <c r="J1514" t="s">
        <v>25</v>
      </c>
    </row>
    <row r="1515" spans="1:10" x14ac:dyDescent="0.25">
      <c r="A1515" s="1">
        <v>576</v>
      </c>
      <c r="B1515" t="s">
        <v>19</v>
      </c>
      <c r="C1515">
        <v>706</v>
      </c>
      <c r="D1515">
        <v>3</v>
      </c>
      <c r="E1515" t="s">
        <v>23</v>
      </c>
      <c r="F1515" t="s">
        <v>43</v>
      </c>
      <c r="G1515" t="str">
        <f>"2025-07-03 15:55:17.249"</f>
        <v>2025-07-03 15:55:17.249</v>
      </c>
      <c r="H1515" t="s">
        <v>21</v>
      </c>
      <c r="I1515">
        <v>0</v>
      </c>
      <c r="J1515" t="s">
        <v>25</v>
      </c>
    </row>
    <row r="1516" spans="1:10" x14ac:dyDescent="0.25">
      <c r="A1516" s="1">
        <v>577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"2025-07-03 15:54:07.679"</f>
        <v>2025-07-03 15:54:07.679</v>
      </c>
      <c r="H1516" t="s">
        <v>21</v>
      </c>
      <c r="I1516">
        <v>0</v>
      </c>
      <c r="J1516" t="s">
        <v>22</v>
      </c>
    </row>
    <row r="1517" spans="1:10" x14ac:dyDescent="0.25">
      <c r="A1517" s="1">
        <v>578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"2025-07-03 15:35:13.596"</f>
        <v>2025-07-03 15:35:13.596</v>
      </c>
      <c r="H1517" t="s">
        <v>21</v>
      </c>
    </row>
    <row r="1518" spans="1:10" x14ac:dyDescent="0.25">
      <c r="A1518" s="1">
        <v>579</v>
      </c>
      <c r="B1518" t="s">
        <v>35</v>
      </c>
      <c r="C1518">
        <v>33</v>
      </c>
      <c r="D1518">
        <v>1</v>
      </c>
      <c r="E1518" t="s">
        <v>36</v>
      </c>
      <c r="F1518" t="s">
        <v>37</v>
      </c>
      <c r="G1518" t="str">
        <f>"2025-07-03 14:47:02.478"</f>
        <v>2025-07-03 14:47:02.478</v>
      </c>
      <c r="H1518" t="s">
        <v>38</v>
      </c>
    </row>
    <row r="1519" spans="1:10" x14ac:dyDescent="0.25">
      <c r="A1519" s="1">
        <v>580</v>
      </c>
      <c r="B1519" t="s">
        <v>39</v>
      </c>
      <c r="C1519">
        <v>33</v>
      </c>
      <c r="D1519">
        <v>1</v>
      </c>
      <c r="E1519" t="s">
        <v>36</v>
      </c>
      <c r="F1519" t="s">
        <v>37</v>
      </c>
      <c r="G1519" t="str">
        <f>"2025-07-03 14:46:02.617"</f>
        <v>2025-07-03 14:46:02.617</v>
      </c>
      <c r="H1519" t="s">
        <v>38</v>
      </c>
      <c r="I1519">
        <v>8.1199999999999992</v>
      </c>
      <c r="J1519" t="s">
        <v>34</v>
      </c>
    </row>
    <row r="1520" spans="1:10" x14ac:dyDescent="0.25">
      <c r="A1520" s="1">
        <v>581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"2025-07-03 13:30:40.594"</f>
        <v>2025-07-03 13:30:40.594</v>
      </c>
      <c r="H1520" t="s">
        <v>21</v>
      </c>
    </row>
    <row r="1521" spans="1:10" x14ac:dyDescent="0.25">
      <c r="A1521" s="1">
        <v>582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"2025-07-02 22:33:26.615"</f>
        <v>2025-07-02 22:33:26.615</v>
      </c>
      <c r="H1521" t="s">
        <v>21</v>
      </c>
      <c r="I1521">
        <v>0</v>
      </c>
      <c r="J1521" t="s">
        <v>22</v>
      </c>
    </row>
    <row r="1522" spans="1:10" x14ac:dyDescent="0.25">
      <c r="A1522" s="1">
        <v>583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"2025-07-02 15:53:39.597"</f>
        <v>2025-07-02 15:53:39.597</v>
      </c>
      <c r="H1522" t="s">
        <v>21</v>
      </c>
      <c r="I1522">
        <v>0</v>
      </c>
      <c r="J1522" t="s">
        <v>22</v>
      </c>
    </row>
    <row r="1523" spans="1:10" x14ac:dyDescent="0.25">
      <c r="A1523" s="1">
        <v>584</v>
      </c>
      <c r="B1523" t="s">
        <v>19</v>
      </c>
      <c r="C1523">
        <v>706</v>
      </c>
      <c r="D1523">
        <v>4</v>
      </c>
      <c r="E1523" t="s">
        <v>23</v>
      </c>
      <c r="F1523" t="s">
        <v>26</v>
      </c>
      <c r="G1523" t="str">
        <f>"2025-07-02 13:55:52.831"</f>
        <v>2025-07-02 13:55:52.831</v>
      </c>
      <c r="H1523" t="s">
        <v>21</v>
      </c>
      <c r="I1523">
        <v>0</v>
      </c>
      <c r="J1523" t="s">
        <v>25</v>
      </c>
    </row>
    <row r="1524" spans="1:10" x14ac:dyDescent="0.25">
      <c r="A1524" s="1">
        <v>585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"2025-07-02 13:50:39.821"</f>
        <v>2025-07-02 13:50:39.821</v>
      </c>
      <c r="H1524" t="s">
        <v>21</v>
      </c>
    </row>
    <row r="1525" spans="1:10" x14ac:dyDescent="0.25">
      <c r="A1525" s="1">
        <v>586</v>
      </c>
      <c r="B1525" t="s">
        <v>35</v>
      </c>
      <c r="C1525">
        <v>33</v>
      </c>
      <c r="D1525">
        <v>1</v>
      </c>
      <c r="E1525" t="s">
        <v>36</v>
      </c>
      <c r="F1525" t="s">
        <v>37</v>
      </c>
      <c r="G1525" t="str">
        <f>"2025-07-02 11:37:26.192"</f>
        <v>2025-07-02 11:37:26.192</v>
      </c>
      <c r="H1525" t="s">
        <v>38</v>
      </c>
    </row>
    <row r="1526" spans="1:10" x14ac:dyDescent="0.25">
      <c r="A1526" s="1">
        <v>587</v>
      </c>
      <c r="B1526" t="s">
        <v>39</v>
      </c>
      <c r="C1526">
        <v>33</v>
      </c>
      <c r="D1526">
        <v>1</v>
      </c>
      <c r="E1526" t="s">
        <v>36</v>
      </c>
      <c r="F1526" t="s">
        <v>37</v>
      </c>
      <c r="G1526" t="str">
        <f>"2025-07-02 11:36:34.231"</f>
        <v>2025-07-02 11:36:34.231</v>
      </c>
      <c r="H1526" t="s">
        <v>38</v>
      </c>
      <c r="I1526">
        <v>11.68</v>
      </c>
      <c r="J1526" t="s">
        <v>34</v>
      </c>
    </row>
    <row r="1527" spans="1:10" x14ac:dyDescent="0.25">
      <c r="A1527" s="1">
        <v>588</v>
      </c>
      <c r="B1527" t="s">
        <v>35</v>
      </c>
      <c r="C1527">
        <v>33</v>
      </c>
      <c r="D1527">
        <v>1</v>
      </c>
      <c r="E1527" t="s">
        <v>36</v>
      </c>
      <c r="F1527" t="s">
        <v>37</v>
      </c>
      <c r="G1527" t="str">
        <f>"2025-07-02 09:43:04.092"</f>
        <v>2025-07-02 09:43:04.092</v>
      </c>
      <c r="H1527" t="s">
        <v>38</v>
      </c>
    </row>
    <row r="1528" spans="1:10" x14ac:dyDescent="0.25">
      <c r="A1528" s="1">
        <v>589</v>
      </c>
      <c r="B1528" t="s">
        <v>39</v>
      </c>
      <c r="C1528">
        <v>33</v>
      </c>
      <c r="D1528">
        <v>1</v>
      </c>
      <c r="E1528" t="s">
        <v>36</v>
      </c>
      <c r="F1528" t="s">
        <v>37</v>
      </c>
      <c r="G1528" t="str">
        <f>"2025-07-02 09:42:46.631"</f>
        <v>2025-07-02 09:42:46.631</v>
      </c>
      <c r="H1528" t="s">
        <v>38</v>
      </c>
      <c r="I1528">
        <v>10.76</v>
      </c>
      <c r="J1528" t="s">
        <v>34</v>
      </c>
    </row>
    <row r="1529" spans="1:10" x14ac:dyDescent="0.25">
      <c r="A1529" s="1">
        <v>590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"2025-07-01 13:49:36.598"</f>
        <v>2025-07-01 13:49:36.598</v>
      </c>
      <c r="H1529" t="s">
        <v>21</v>
      </c>
    </row>
    <row r="1530" spans="1:10" x14ac:dyDescent="0.25">
      <c r="A1530" s="1">
        <v>591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"2025-06-30 23:14:23.982"</f>
        <v>2025-06-30 23:14:23.982</v>
      </c>
      <c r="H1530" t="s">
        <v>21</v>
      </c>
      <c r="I1530">
        <v>0</v>
      </c>
      <c r="J1530" t="s">
        <v>22</v>
      </c>
    </row>
    <row r="1531" spans="1:10" x14ac:dyDescent="0.25">
      <c r="A1531" s="1">
        <v>592</v>
      </c>
      <c r="B1531" t="s">
        <v>19</v>
      </c>
      <c r="C1531">
        <v>706</v>
      </c>
      <c r="D1531">
        <v>2</v>
      </c>
      <c r="E1531" t="s">
        <v>23</v>
      </c>
      <c r="F1531" t="s">
        <v>24</v>
      </c>
      <c r="G1531" t="str">
        <f>"2025-06-30 18:21:47.295"</f>
        <v>2025-06-30 18:21:47.295</v>
      </c>
      <c r="H1531" t="s">
        <v>21</v>
      </c>
      <c r="I1531">
        <v>0</v>
      </c>
      <c r="J1531" t="s">
        <v>25</v>
      </c>
    </row>
    <row r="1532" spans="1:10" x14ac:dyDescent="0.25">
      <c r="A1532" s="1">
        <v>593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"2025-06-30 18:20:37.855"</f>
        <v>2025-06-30 18:20:37.855</v>
      </c>
      <c r="H1532" t="s">
        <v>21</v>
      </c>
    </row>
    <row r="1533" spans="1:10" s="3" customFormat="1" x14ac:dyDescent="0.25">
      <c r="A1533" s="2">
        <v>594</v>
      </c>
      <c r="B1533" s="3" t="s">
        <v>27</v>
      </c>
      <c r="C1533" s="3">
        <v>647</v>
      </c>
      <c r="D1533" s="3">
        <v>1</v>
      </c>
      <c r="E1533" s="3" t="s">
        <v>28</v>
      </c>
      <c r="F1533" s="3" t="s">
        <v>29</v>
      </c>
      <c r="G1533" s="3" t="str">
        <f>"2025-06-30 16:55:26.240"</f>
        <v>2025-06-30 16:55:26.240</v>
      </c>
      <c r="H1533" s="3" t="s">
        <v>21</v>
      </c>
    </row>
    <row r="1534" spans="1:10" s="3" customFormat="1" x14ac:dyDescent="0.25">
      <c r="A1534" s="2">
        <v>595</v>
      </c>
      <c r="B1534" s="3" t="s">
        <v>30</v>
      </c>
      <c r="C1534" s="3">
        <v>647</v>
      </c>
      <c r="D1534" s="3">
        <v>1</v>
      </c>
      <c r="E1534" s="3" t="s">
        <v>28</v>
      </c>
      <c r="F1534" s="3" t="s">
        <v>29</v>
      </c>
      <c r="G1534" s="3" t="str">
        <f>"2025-06-30 16:55:23.740"</f>
        <v>2025-06-30 16:55:23.740</v>
      </c>
      <c r="H1534" s="3" t="s">
        <v>21</v>
      </c>
      <c r="I1534" s="3">
        <v>17.93</v>
      </c>
      <c r="J1534" s="3" t="s">
        <v>31</v>
      </c>
    </row>
    <row r="1535" spans="1:10" s="3" customFormat="1" x14ac:dyDescent="0.25">
      <c r="A1535" s="2">
        <v>596</v>
      </c>
      <c r="B1535" s="3" t="s">
        <v>27</v>
      </c>
      <c r="C1535" s="3">
        <v>647</v>
      </c>
      <c r="D1535" s="3">
        <v>1</v>
      </c>
      <c r="E1535" s="3" t="s">
        <v>28</v>
      </c>
      <c r="F1535" s="3" t="s">
        <v>29</v>
      </c>
      <c r="G1535" s="3" t="str">
        <f>"2025-06-30 15:51:30.440"</f>
        <v>2025-06-30 15:51:30.440</v>
      </c>
      <c r="H1535" s="3" t="s">
        <v>21</v>
      </c>
    </row>
    <row r="1536" spans="1:10" s="3" customFormat="1" x14ac:dyDescent="0.25">
      <c r="A1536" s="2">
        <v>597</v>
      </c>
      <c r="B1536" s="3" t="s">
        <v>30</v>
      </c>
      <c r="C1536" s="3">
        <v>647</v>
      </c>
      <c r="D1536" s="3">
        <v>1</v>
      </c>
      <c r="E1536" s="3" t="s">
        <v>28</v>
      </c>
      <c r="F1536" s="3" t="s">
        <v>29</v>
      </c>
      <c r="G1536" s="3" t="str">
        <f>"2025-06-30 15:51:26.741"</f>
        <v>2025-06-30 15:51:26.741</v>
      </c>
      <c r="H1536" s="3" t="s">
        <v>21</v>
      </c>
      <c r="I1536" s="3">
        <v>12.84</v>
      </c>
      <c r="J1536" s="3" t="s">
        <v>31</v>
      </c>
    </row>
    <row r="1537" spans="1:10" x14ac:dyDescent="0.25">
      <c r="A1537" s="1">
        <v>598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"2025-06-30 13:40:44.613"</f>
        <v>2025-06-30 13:40:44.613</v>
      </c>
      <c r="H1537" t="s">
        <v>21</v>
      </c>
      <c r="I1537">
        <v>0</v>
      </c>
      <c r="J1537" t="s">
        <v>22</v>
      </c>
    </row>
    <row r="1538" spans="1:10" x14ac:dyDescent="0.25">
      <c r="A1538" s="1">
        <v>599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"2025-06-30 09:40:47.798"</f>
        <v>2025-06-30 09:40:47.798</v>
      </c>
      <c r="H1538" t="s">
        <v>21</v>
      </c>
    </row>
    <row r="1539" spans="1:10" x14ac:dyDescent="0.25">
      <c r="A1539" s="1">
        <v>600</v>
      </c>
      <c r="B1539" t="s">
        <v>27</v>
      </c>
      <c r="C1539">
        <v>635</v>
      </c>
      <c r="D1539">
        <v>1</v>
      </c>
      <c r="E1539" t="s">
        <v>32</v>
      </c>
      <c r="F1539" t="s">
        <v>33</v>
      </c>
      <c r="G1539" t="str">
        <f>"2025-06-30 05:20:22.414"</f>
        <v>2025-06-30 05:20:22.414</v>
      </c>
      <c r="H1539" t="s">
        <v>21</v>
      </c>
    </row>
    <row r="1540" spans="1:10" x14ac:dyDescent="0.25">
      <c r="A1540" s="1">
        <v>601</v>
      </c>
      <c r="B1540" t="s">
        <v>30</v>
      </c>
      <c r="C1540">
        <v>635</v>
      </c>
      <c r="D1540">
        <v>1</v>
      </c>
      <c r="E1540" t="s">
        <v>32</v>
      </c>
      <c r="F1540" t="s">
        <v>33</v>
      </c>
      <c r="G1540" t="str">
        <f>"2025-06-30 05:09:56.914"</f>
        <v>2025-06-30 05:09:56.914</v>
      </c>
      <c r="H1540" t="s">
        <v>21</v>
      </c>
      <c r="I1540">
        <v>5.37</v>
      </c>
      <c r="J1540" t="s">
        <v>34</v>
      </c>
    </row>
    <row r="1541" spans="1:10" x14ac:dyDescent="0.25">
      <c r="A1541" s="1">
        <v>602</v>
      </c>
      <c r="B1541" t="s">
        <v>19</v>
      </c>
      <c r="C1541">
        <v>706</v>
      </c>
      <c r="D1541">
        <v>4</v>
      </c>
      <c r="E1541" t="s">
        <v>23</v>
      </c>
      <c r="F1541" t="s">
        <v>26</v>
      </c>
      <c r="G1541" t="str">
        <f>"2025-06-29 18:19:17.875"</f>
        <v>2025-06-29 18:19:17.875</v>
      </c>
      <c r="H1541" t="s">
        <v>21</v>
      </c>
      <c r="I1541">
        <v>0</v>
      </c>
      <c r="J1541" t="s">
        <v>25</v>
      </c>
    </row>
    <row r="1542" spans="1:10" x14ac:dyDescent="0.25">
      <c r="A1542" s="1">
        <v>603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"2025-06-29 18:18:41.595"</f>
        <v>2025-06-29 18:18:41.595</v>
      </c>
      <c r="H1542" t="s">
        <v>21</v>
      </c>
      <c r="I1542">
        <v>0</v>
      </c>
      <c r="J1542" t="s">
        <v>22</v>
      </c>
    </row>
    <row r="1543" spans="1:10" x14ac:dyDescent="0.25">
      <c r="A1543" s="1">
        <v>604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"2025-06-29 14:51:53.831"</f>
        <v>2025-06-29 14:51:53.831</v>
      </c>
      <c r="H1543" t="s">
        <v>21</v>
      </c>
      <c r="I1543">
        <v>0</v>
      </c>
      <c r="J1543" t="s">
        <v>22</v>
      </c>
    </row>
    <row r="1544" spans="1:10" x14ac:dyDescent="0.25">
      <c r="A1544" s="1">
        <v>605</v>
      </c>
      <c r="B1544" t="s">
        <v>19</v>
      </c>
      <c r="C1544">
        <v>700</v>
      </c>
      <c r="D1544">
        <v>0</v>
      </c>
      <c r="E1544" t="s">
        <v>20</v>
      </c>
      <c r="F1544" t="s">
        <v>20</v>
      </c>
      <c r="G1544" t="str">
        <f>"2025-06-29 13:28:22.592"</f>
        <v>2025-06-29 13:28:22.592</v>
      </c>
      <c r="H1544" t="s">
        <v>21</v>
      </c>
      <c r="I1544">
        <v>0</v>
      </c>
      <c r="J1544" t="s">
        <v>22</v>
      </c>
    </row>
    <row r="1545" spans="1:10" x14ac:dyDescent="0.25">
      <c r="A1545" s="1">
        <v>606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"2025-06-29 08:11:37.594"</f>
        <v>2025-06-29 08:11:37.594</v>
      </c>
      <c r="H1545" t="s">
        <v>21</v>
      </c>
    </row>
    <row r="1546" spans="1:10" x14ac:dyDescent="0.25">
      <c r="A1546" s="1">
        <v>607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"2025-06-28 23:58:25.578"</f>
        <v>2025-06-28 23:58:25.578</v>
      </c>
      <c r="H1546" t="s">
        <v>21</v>
      </c>
      <c r="I1546">
        <v>0</v>
      </c>
      <c r="J1546" t="s">
        <v>22</v>
      </c>
    </row>
    <row r="1547" spans="1:10" x14ac:dyDescent="0.25">
      <c r="A1547" s="1">
        <v>608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"2025-06-28 22:34:04.828"</f>
        <v>2025-06-28 22:34:04.828</v>
      </c>
      <c r="H1547" t="s">
        <v>21</v>
      </c>
      <c r="I1547">
        <v>0</v>
      </c>
      <c r="J1547" t="s">
        <v>22</v>
      </c>
    </row>
    <row r="1548" spans="1:10" x14ac:dyDescent="0.25">
      <c r="A1548" s="1">
        <v>609</v>
      </c>
      <c r="B1548" t="s">
        <v>19</v>
      </c>
      <c r="C1548">
        <v>700</v>
      </c>
      <c r="D1548">
        <v>0</v>
      </c>
      <c r="E1548" t="s">
        <v>20</v>
      </c>
      <c r="F1548" t="s">
        <v>20</v>
      </c>
      <c r="G1548" t="str">
        <f>"2025-06-28 15:13:03.833"</f>
        <v>2025-06-28 15:13:03.833</v>
      </c>
      <c r="H1548" t="s">
        <v>21</v>
      </c>
      <c r="I1548">
        <v>0</v>
      </c>
      <c r="J1548" t="s">
        <v>22</v>
      </c>
    </row>
    <row r="1549" spans="1:10" x14ac:dyDescent="0.25">
      <c r="A1549" s="1">
        <v>610</v>
      </c>
      <c r="B1549" t="s">
        <v>19</v>
      </c>
      <c r="C1549">
        <v>700</v>
      </c>
      <c r="D1549">
        <v>0</v>
      </c>
      <c r="E1549" t="s">
        <v>20</v>
      </c>
      <c r="F1549" t="s">
        <v>20</v>
      </c>
      <c r="G1549" t="str">
        <f>"2025-06-28 13:59:10.584"</f>
        <v>2025-06-28 13:59:10.584</v>
      </c>
      <c r="H1549" t="s">
        <v>21</v>
      </c>
      <c r="I1549">
        <v>0</v>
      </c>
      <c r="J1549" t="s">
        <v>22</v>
      </c>
    </row>
    <row r="1550" spans="1:10" x14ac:dyDescent="0.25">
      <c r="A1550" s="1">
        <v>611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"2025-06-28 13:19:11.855"</f>
        <v>2025-06-28 13:19:11.855</v>
      </c>
      <c r="H1550" t="s">
        <v>21</v>
      </c>
    </row>
    <row r="1551" spans="1:10" x14ac:dyDescent="0.25">
      <c r="A1551" s="1">
        <v>612</v>
      </c>
      <c r="B1551" t="s">
        <v>19</v>
      </c>
      <c r="C1551">
        <v>700</v>
      </c>
      <c r="D1551">
        <v>0</v>
      </c>
      <c r="E1551" t="s">
        <v>20</v>
      </c>
      <c r="F1551" t="s">
        <v>20</v>
      </c>
      <c r="G1551" t="str">
        <f>"2025-06-28 08:59:31.591"</f>
        <v>2025-06-28 08:59:31.591</v>
      </c>
      <c r="H1551" t="s">
        <v>21</v>
      </c>
      <c r="I1551">
        <v>0</v>
      </c>
      <c r="J1551" t="s">
        <v>22</v>
      </c>
    </row>
    <row r="1552" spans="1:10" x14ac:dyDescent="0.25">
      <c r="A1552" s="1">
        <v>613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"2025-06-28 08:36:49.593"</f>
        <v>2025-06-28 08:36:49.593</v>
      </c>
      <c r="H1552" t="s">
        <v>21</v>
      </c>
      <c r="I1552">
        <v>0</v>
      </c>
      <c r="J1552" t="s">
        <v>22</v>
      </c>
    </row>
    <row r="1553" spans="1:10" x14ac:dyDescent="0.25">
      <c r="A1553" s="1">
        <v>614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"2025-06-27 14:13:30.586"</f>
        <v>2025-06-27 14:13:30.586</v>
      </c>
      <c r="H1553" t="s">
        <v>21</v>
      </c>
      <c r="I1553">
        <v>0</v>
      </c>
      <c r="J1553" t="s">
        <v>22</v>
      </c>
    </row>
    <row r="1554" spans="1:10" x14ac:dyDescent="0.25">
      <c r="A1554" s="1">
        <v>615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"2025-06-27 13:45:02.608"</f>
        <v>2025-06-27 13:45:02.608</v>
      </c>
      <c r="H1554" t="s">
        <v>21</v>
      </c>
      <c r="I1554">
        <v>0</v>
      </c>
      <c r="J1554" t="s">
        <v>22</v>
      </c>
    </row>
    <row r="1555" spans="1:10" x14ac:dyDescent="0.25">
      <c r="A1555" s="1">
        <v>616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"2025-06-26 16:58:07.962"</f>
        <v>2025-06-26 16:58:07.962</v>
      </c>
      <c r="H1555" t="s">
        <v>21</v>
      </c>
      <c r="I1555">
        <v>0</v>
      </c>
      <c r="J1555" t="s">
        <v>22</v>
      </c>
    </row>
    <row r="1556" spans="1:10" x14ac:dyDescent="0.25">
      <c r="A1556" s="1">
        <v>617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"2025-06-26 14:35:37.587"</f>
        <v>2025-06-26 14:35:37.587</v>
      </c>
      <c r="H1556" t="s">
        <v>21</v>
      </c>
      <c r="I1556">
        <v>0</v>
      </c>
      <c r="J1556" t="s">
        <v>22</v>
      </c>
    </row>
    <row r="1557" spans="1:10" x14ac:dyDescent="0.25">
      <c r="A1557" s="1">
        <v>618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"2025-06-26 12:38:20.579"</f>
        <v>2025-06-26 12:38:20.579</v>
      </c>
      <c r="H1557" t="s">
        <v>21</v>
      </c>
    </row>
    <row r="1558" spans="1:10" x14ac:dyDescent="0.25">
      <c r="A1558" s="1">
        <v>619</v>
      </c>
      <c r="B1558" t="s">
        <v>19</v>
      </c>
      <c r="C1558">
        <v>706</v>
      </c>
      <c r="D1558">
        <v>2</v>
      </c>
      <c r="E1558" t="s">
        <v>23</v>
      </c>
      <c r="F1558" t="s">
        <v>24</v>
      </c>
      <c r="G1558" t="str">
        <f>"2025-06-25 20:51:47.060"</f>
        <v>2025-06-25 20:51:47.060</v>
      </c>
      <c r="H1558" t="s">
        <v>21</v>
      </c>
      <c r="I1558">
        <v>0</v>
      </c>
      <c r="J1558" t="s">
        <v>25</v>
      </c>
    </row>
    <row r="1559" spans="1:10" x14ac:dyDescent="0.25">
      <c r="A1559" s="1">
        <v>620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"2025-06-25 20:51:28.830"</f>
        <v>2025-06-25 20:51:28.830</v>
      </c>
      <c r="H1559" t="s">
        <v>21</v>
      </c>
      <c r="I1559">
        <v>0</v>
      </c>
      <c r="J1559" t="s">
        <v>22</v>
      </c>
    </row>
    <row r="1560" spans="1:10" x14ac:dyDescent="0.25">
      <c r="A1560" s="1">
        <v>621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"2025-06-25 15:43:15.586"</f>
        <v>2025-06-25 15:43:15.586</v>
      </c>
      <c r="H1560" t="s">
        <v>21</v>
      </c>
    </row>
    <row r="1561" spans="1:10" x14ac:dyDescent="0.25">
      <c r="A1561" s="1">
        <v>622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"2025-06-25 14:14:18.638"</f>
        <v>2025-06-25 14:14:18.638</v>
      </c>
      <c r="H1561" t="s">
        <v>21</v>
      </c>
    </row>
    <row r="1562" spans="1:10" s="3" customFormat="1" x14ac:dyDescent="0.25">
      <c r="A1562" s="2">
        <v>623</v>
      </c>
      <c r="B1562" s="3" t="s">
        <v>27</v>
      </c>
      <c r="C1562" s="3">
        <v>647</v>
      </c>
      <c r="D1562" s="3">
        <v>1</v>
      </c>
      <c r="E1562" s="3" t="s">
        <v>28</v>
      </c>
      <c r="F1562" s="3" t="s">
        <v>29</v>
      </c>
      <c r="G1562" s="3" t="str">
        <f>"2025-06-25 12:55:21.593"</f>
        <v>2025-06-25 12:55:21.593</v>
      </c>
      <c r="H1562" s="3" t="s">
        <v>21</v>
      </c>
    </row>
    <row r="1563" spans="1:10" s="3" customFormat="1" x14ac:dyDescent="0.25">
      <c r="A1563" s="2">
        <v>624</v>
      </c>
      <c r="B1563" s="3" t="s">
        <v>30</v>
      </c>
      <c r="C1563" s="3">
        <v>647</v>
      </c>
      <c r="D1563" s="3">
        <v>1</v>
      </c>
      <c r="E1563" s="3" t="s">
        <v>28</v>
      </c>
      <c r="F1563" s="3" t="s">
        <v>29</v>
      </c>
      <c r="G1563" s="3" t="str">
        <f>"2025-06-25 12:55:18.493"</f>
        <v>2025-06-25 12:55:18.493</v>
      </c>
      <c r="H1563" s="3" t="s">
        <v>21</v>
      </c>
      <c r="I1563" s="3">
        <v>23.06</v>
      </c>
      <c r="J1563" s="3" t="s">
        <v>31</v>
      </c>
    </row>
    <row r="1564" spans="1:10" x14ac:dyDescent="0.25">
      <c r="A1564" s="1">
        <v>625</v>
      </c>
      <c r="B1564" t="s">
        <v>19</v>
      </c>
      <c r="C1564">
        <v>706</v>
      </c>
      <c r="D1564">
        <v>2</v>
      </c>
      <c r="E1564" t="s">
        <v>23</v>
      </c>
      <c r="F1564" t="s">
        <v>24</v>
      </c>
      <c r="G1564" t="str">
        <f>"2025-06-24 16:57:05.686"</f>
        <v>2025-06-24 16:57:05.686</v>
      </c>
      <c r="H1564" t="s">
        <v>21</v>
      </c>
      <c r="I1564">
        <v>0</v>
      </c>
      <c r="J1564" t="s">
        <v>25</v>
      </c>
    </row>
    <row r="1565" spans="1:10" x14ac:dyDescent="0.25">
      <c r="A1565" s="1">
        <v>626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"2025-06-24 16:53:50.816"</f>
        <v>2025-06-24 16:53:50.816</v>
      </c>
      <c r="H1565" t="s">
        <v>21</v>
      </c>
    </row>
    <row r="1566" spans="1:10" x14ac:dyDescent="0.25">
      <c r="A1566" s="1">
        <v>627</v>
      </c>
      <c r="B1566" t="s">
        <v>19</v>
      </c>
      <c r="C1566">
        <v>700</v>
      </c>
      <c r="D1566">
        <v>0</v>
      </c>
      <c r="E1566" t="s">
        <v>20</v>
      </c>
      <c r="F1566" t="s">
        <v>20</v>
      </c>
      <c r="G1566" t="str">
        <f>"2025-06-24 15:21:33.579"</f>
        <v>2025-06-24 15:21:33.579</v>
      </c>
      <c r="H1566" t="s">
        <v>21</v>
      </c>
    </row>
    <row r="1567" spans="1:10" x14ac:dyDescent="0.25">
      <c r="A1567" s="1">
        <v>628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"2025-06-24 15:07:28.583"</f>
        <v>2025-06-24 15:07:28.583</v>
      </c>
      <c r="H1567" t="s">
        <v>21</v>
      </c>
    </row>
    <row r="1568" spans="1:10" x14ac:dyDescent="0.25">
      <c r="A1568" s="1">
        <v>629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"2025-06-24 13:47:23.582"</f>
        <v>2025-06-24 13:47:23.582</v>
      </c>
      <c r="H1568" t="s">
        <v>21</v>
      </c>
    </row>
    <row r="1569" spans="1:10" x14ac:dyDescent="0.25">
      <c r="A1569" s="1">
        <v>630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"2025-06-24 13:37:04.577"</f>
        <v>2025-06-24 13:37:04.577</v>
      </c>
      <c r="H1569" t="s">
        <v>21</v>
      </c>
    </row>
    <row r="1570" spans="1:10" x14ac:dyDescent="0.25">
      <c r="A1570" s="1">
        <v>631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"2025-06-24 08:23:40.612"</f>
        <v>2025-06-24 08:23:40.612</v>
      </c>
      <c r="H1570" t="s">
        <v>21</v>
      </c>
    </row>
    <row r="1571" spans="1:10" x14ac:dyDescent="0.25">
      <c r="A1571" s="1">
        <v>632</v>
      </c>
      <c r="B1571" t="s">
        <v>19</v>
      </c>
      <c r="C1571">
        <v>706</v>
      </c>
      <c r="D1571">
        <v>2</v>
      </c>
      <c r="E1571" t="s">
        <v>23</v>
      </c>
      <c r="F1571" t="s">
        <v>24</v>
      </c>
      <c r="G1571" t="str">
        <f>"2025-06-23 17:25:32.469"</f>
        <v>2025-06-23 17:25:32.469</v>
      </c>
      <c r="H1571" t="s">
        <v>21</v>
      </c>
      <c r="I1571">
        <v>0</v>
      </c>
      <c r="J1571" t="s">
        <v>25</v>
      </c>
    </row>
    <row r="1572" spans="1:10" x14ac:dyDescent="0.25">
      <c r="A1572" s="1">
        <v>633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"2025-06-23 17:19:00.569"</f>
        <v>2025-06-23 17:19:00.569</v>
      </c>
      <c r="H1572" t="s">
        <v>21</v>
      </c>
    </row>
    <row r="1573" spans="1:10" x14ac:dyDescent="0.25">
      <c r="A1573" s="1">
        <v>634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"2025-06-23 15:22:38.580"</f>
        <v>2025-06-23 15:22:38.580</v>
      </c>
      <c r="H1573" t="s">
        <v>21</v>
      </c>
      <c r="I1573">
        <v>0</v>
      </c>
      <c r="J1573" t="s">
        <v>22</v>
      </c>
    </row>
    <row r="1574" spans="1:10" x14ac:dyDescent="0.25">
      <c r="A1574" s="1">
        <v>635</v>
      </c>
      <c r="B1574" t="s">
        <v>27</v>
      </c>
      <c r="C1574">
        <v>635</v>
      </c>
      <c r="D1574">
        <v>1</v>
      </c>
      <c r="E1574" t="s">
        <v>32</v>
      </c>
      <c r="F1574" t="s">
        <v>33</v>
      </c>
      <c r="G1574" t="str">
        <f>"2025-06-23 11:02:45.235"</f>
        <v>2025-06-23 11:02:45.235</v>
      </c>
      <c r="H1574" t="s">
        <v>21</v>
      </c>
    </row>
    <row r="1575" spans="1:10" x14ac:dyDescent="0.25">
      <c r="A1575" s="1">
        <v>636</v>
      </c>
      <c r="B1575" t="s">
        <v>30</v>
      </c>
      <c r="C1575">
        <v>635</v>
      </c>
      <c r="D1575">
        <v>1</v>
      </c>
      <c r="E1575" t="s">
        <v>32</v>
      </c>
      <c r="F1575" t="s">
        <v>33</v>
      </c>
      <c r="G1575" t="str">
        <f>"2025-06-23 10:59:12.735"</f>
        <v>2025-06-23 10:59:12.735</v>
      </c>
      <c r="H1575" t="s">
        <v>21</v>
      </c>
      <c r="I1575">
        <v>8.7200000000000006</v>
      </c>
      <c r="J1575" t="s">
        <v>42</v>
      </c>
    </row>
    <row r="1576" spans="1:10" x14ac:dyDescent="0.25">
      <c r="A1576" s="1">
        <v>637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"2025-06-23 09:47:59.605"</f>
        <v>2025-06-23 09:47:59.605</v>
      </c>
      <c r="H1576" t="s">
        <v>21</v>
      </c>
      <c r="I1576">
        <v>0</v>
      </c>
      <c r="J1576" t="s">
        <v>22</v>
      </c>
    </row>
    <row r="1577" spans="1:10" x14ac:dyDescent="0.25">
      <c r="A1577" s="1">
        <v>638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"2025-06-23 00:14:39.603"</f>
        <v>2025-06-23 00:14:39.603</v>
      </c>
      <c r="H1577" t="s">
        <v>21</v>
      </c>
    </row>
    <row r="1578" spans="1:10" x14ac:dyDescent="0.25">
      <c r="A1578" s="1">
        <v>639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"2025-06-22 15:04:20.681"</f>
        <v>2025-06-22 15:04:20.681</v>
      </c>
      <c r="H1578" t="s">
        <v>21</v>
      </c>
      <c r="I1578">
        <v>0</v>
      </c>
      <c r="J1578" t="s">
        <v>22</v>
      </c>
    </row>
    <row r="1579" spans="1:10" x14ac:dyDescent="0.25">
      <c r="A1579" s="1">
        <v>640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"2025-06-22 14:00:20.561"</f>
        <v>2025-06-22 14:00:20.561</v>
      </c>
      <c r="H1579" t="s">
        <v>21</v>
      </c>
    </row>
    <row r="1580" spans="1:10" x14ac:dyDescent="0.25">
      <c r="A1580" s="1">
        <v>641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"2025-06-22 13:53:04.571"</f>
        <v>2025-06-22 13:53:04.571</v>
      </c>
      <c r="H1580" t="s">
        <v>21</v>
      </c>
    </row>
    <row r="1581" spans="1:10" x14ac:dyDescent="0.25">
      <c r="A1581" s="1">
        <v>642</v>
      </c>
      <c r="B1581" t="s">
        <v>19</v>
      </c>
      <c r="C1581">
        <v>706</v>
      </c>
      <c r="D1581">
        <v>4</v>
      </c>
      <c r="E1581" t="s">
        <v>23</v>
      </c>
      <c r="F1581" t="s">
        <v>26</v>
      </c>
      <c r="G1581" t="str">
        <f>"2025-06-22 12:50:13.727"</f>
        <v>2025-06-22 12:50:13.727</v>
      </c>
      <c r="H1581" t="s">
        <v>21</v>
      </c>
      <c r="I1581">
        <v>0</v>
      </c>
      <c r="J1581" t="s">
        <v>25</v>
      </c>
    </row>
    <row r="1582" spans="1:10" x14ac:dyDescent="0.25">
      <c r="A1582" s="1">
        <v>643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"2025-06-22 12:36:20.597"</f>
        <v>2025-06-22 12:36:20.597</v>
      </c>
      <c r="H1582" t="s">
        <v>21</v>
      </c>
      <c r="I1582">
        <v>0</v>
      </c>
      <c r="J1582" t="s">
        <v>22</v>
      </c>
    </row>
    <row r="1583" spans="1:10" x14ac:dyDescent="0.25">
      <c r="A1583" s="1">
        <v>644</v>
      </c>
      <c r="B1583" t="s">
        <v>19</v>
      </c>
      <c r="C1583">
        <v>706</v>
      </c>
      <c r="D1583">
        <v>4</v>
      </c>
      <c r="E1583" t="s">
        <v>23</v>
      </c>
      <c r="F1583" t="s">
        <v>26</v>
      </c>
      <c r="G1583" t="str">
        <f>"2025-06-22 11:46:59.239"</f>
        <v>2025-06-22 11:46:59.239</v>
      </c>
      <c r="H1583" t="s">
        <v>21</v>
      </c>
      <c r="I1583">
        <v>0</v>
      </c>
      <c r="J1583" t="s">
        <v>25</v>
      </c>
    </row>
    <row r="1584" spans="1:10" x14ac:dyDescent="0.25">
      <c r="A1584" s="1">
        <v>645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"2025-06-22 11:02:01.589"</f>
        <v>2025-06-22 11:02:01.589</v>
      </c>
      <c r="H1584" t="s">
        <v>21</v>
      </c>
      <c r="I1584">
        <v>0</v>
      </c>
      <c r="J1584" t="s">
        <v>22</v>
      </c>
    </row>
    <row r="1585" spans="1:10" x14ac:dyDescent="0.25">
      <c r="A1585" s="1">
        <v>646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"2025-06-22 09:55:00.566"</f>
        <v>2025-06-22 09:55:00.566</v>
      </c>
      <c r="H1585" t="s">
        <v>21</v>
      </c>
    </row>
    <row r="1586" spans="1:10" x14ac:dyDescent="0.25">
      <c r="A1586" s="1">
        <v>647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"2025-06-22 09:25:48.572"</f>
        <v>2025-06-22 09:25:48.572</v>
      </c>
      <c r="H1586" t="s">
        <v>21</v>
      </c>
      <c r="I1586">
        <v>0</v>
      </c>
      <c r="J1586" t="s">
        <v>22</v>
      </c>
    </row>
    <row r="1587" spans="1:10" x14ac:dyDescent="0.25">
      <c r="A1587" s="1">
        <v>648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"2025-06-21 17:02:45.567"</f>
        <v>2025-06-21 17:02:45.567</v>
      </c>
      <c r="H1587" t="s">
        <v>21</v>
      </c>
    </row>
    <row r="1588" spans="1:10" x14ac:dyDescent="0.25">
      <c r="A1588" s="1">
        <v>649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"2025-06-21 15:14:09.828"</f>
        <v>2025-06-21 15:14:09.828</v>
      </c>
      <c r="H1588" t="s">
        <v>21</v>
      </c>
    </row>
    <row r="1589" spans="1:10" x14ac:dyDescent="0.25">
      <c r="A1589" s="1">
        <v>650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"2025-06-21 12:42:32.582"</f>
        <v>2025-06-21 12:42:32.582</v>
      </c>
      <c r="H1589" t="s">
        <v>21</v>
      </c>
    </row>
    <row r="1590" spans="1:10" x14ac:dyDescent="0.25">
      <c r="A1590" s="1">
        <v>651</v>
      </c>
      <c r="B1590" t="s">
        <v>19</v>
      </c>
      <c r="C1590">
        <v>700</v>
      </c>
      <c r="D1590">
        <v>0</v>
      </c>
      <c r="E1590" t="s">
        <v>20</v>
      </c>
      <c r="F1590" t="s">
        <v>20</v>
      </c>
      <c r="G1590" t="str">
        <f>"2025-06-21 09:21:43.590"</f>
        <v>2025-06-21 09:21:43.590</v>
      </c>
      <c r="H1590" t="s">
        <v>21</v>
      </c>
    </row>
    <row r="1591" spans="1:10" x14ac:dyDescent="0.25">
      <c r="A1591" s="1">
        <v>652</v>
      </c>
      <c r="B1591" t="s">
        <v>27</v>
      </c>
      <c r="C1591">
        <v>635</v>
      </c>
      <c r="D1591">
        <v>1</v>
      </c>
      <c r="E1591" t="s">
        <v>32</v>
      </c>
      <c r="F1591" t="s">
        <v>33</v>
      </c>
      <c r="G1591" t="str">
        <f>"2025-06-21 06:12:25.888"</f>
        <v>2025-06-21 06:12:25.888</v>
      </c>
      <c r="H1591" t="s">
        <v>21</v>
      </c>
    </row>
    <row r="1592" spans="1:10" x14ac:dyDescent="0.25">
      <c r="A1592" s="1">
        <v>653</v>
      </c>
      <c r="B1592" t="s">
        <v>30</v>
      </c>
      <c r="C1592">
        <v>635</v>
      </c>
      <c r="D1592">
        <v>1</v>
      </c>
      <c r="E1592" t="s">
        <v>32</v>
      </c>
      <c r="F1592" t="s">
        <v>33</v>
      </c>
      <c r="G1592" t="str">
        <f>"2025-06-21 05:59:33.388"</f>
        <v>2025-06-21 05:59:33.388</v>
      </c>
      <c r="H1592" t="s">
        <v>21</v>
      </c>
      <c r="I1592">
        <v>8.16</v>
      </c>
      <c r="J1592" t="s">
        <v>31</v>
      </c>
    </row>
    <row r="1593" spans="1:10" x14ac:dyDescent="0.25">
      <c r="A1593" s="1">
        <v>654</v>
      </c>
      <c r="B1593" t="s">
        <v>27</v>
      </c>
      <c r="C1593">
        <v>635</v>
      </c>
      <c r="D1593">
        <v>1</v>
      </c>
      <c r="E1593" t="s">
        <v>32</v>
      </c>
      <c r="F1593" t="s">
        <v>33</v>
      </c>
      <c r="G1593" t="str">
        <f>"2025-06-20 15:48:10.888"</f>
        <v>2025-06-20 15:48:10.888</v>
      </c>
      <c r="H1593" t="s">
        <v>21</v>
      </c>
    </row>
    <row r="1594" spans="1:10" x14ac:dyDescent="0.25">
      <c r="A1594" s="1">
        <v>655</v>
      </c>
      <c r="B1594" t="s">
        <v>30</v>
      </c>
      <c r="C1594">
        <v>635</v>
      </c>
      <c r="D1594">
        <v>1</v>
      </c>
      <c r="E1594" t="s">
        <v>32</v>
      </c>
      <c r="F1594" t="s">
        <v>33</v>
      </c>
      <c r="G1594" t="str">
        <f>"2025-06-20 15:42:46.388"</f>
        <v>2025-06-20 15:42:46.388</v>
      </c>
      <c r="H1594" t="s">
        <v>21</v>
      </c>
      <c r="I1594">
        <v>7.35</v>
      </c>
      <c r="J1594" t="s">
        <v>34</v>
      </c>
    </row>
    <row r="1595" spans="1:10" x14ac:dyDescent="0.25">
      <c r="A1595" s="1">
        <v>656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"2025-06-20 14:54:29.601"</f>
        <v>2025-06-20 14:54:29.601</v>
      </c>
      <c r="H1595" t="s">
        <v>21</v>
      </c>
    </row>
    <row r="1596" spans="1:10" x14ac:dyDescent="0.25">
      <c r="A1596" s="1">
        <v>657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"2025-06-20 08:43:39.834"</f>
        <v>2025-06-20 08:43:39.834</v>
      </c>
      <c r="H1596" t="s">
        <v>21</v>
      </c>
    </row>
    <row r="1597" spans="1:10" x14ac:dyDescent="0.25">
      <c r="A1597" s="1">
        <v>658</v>
      </c>
      <c r="B1597" t="s">
        <v>19</v>
      </c>
      <c r="C1597">
        <v>706</v>
      </c>
      <c r="D1597">
        <v>4</v>
      </c>
      <c r="E1597" t="s">
        <v>23</v>
      </c>
      <c r="F1597" t="s">
        <v>26</v>
      </c>
      <c r="G1597" t="str">
        <f>"2025-06-19 20:11:17.646"</f>
        <v>2025-06-19 20:11:17.646</v>
      </c>
      <c r="H1597" t="s">
        <v>21</v>
      </c>
      <c r="I1597">
        <v>0</v>
      </c>
      <c r="J1597" t="s">
        <v>25</v>
      </c>
    </row>
    <row r="1598" spans="1:10" x14ac:dyDescent="0.25">
      <c r="A1598" s="1">
        <v>659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"2025-06-19 20:10:57.596"</f>
        <v>2025-06-19 20:10:57.596</v>
      </c>
      <c r="H1598" t="s">
        <v>21</v>
      </c>
    </row>
    <row r="1599" spans="1:10" s="3" customFormat="1" x14ac:dyDescent="0.25">
      <c r="A1599" s="2">
        <v>660</v>
      </c>
      <c r="B1599" s="3" t="s">
        <v>27</v>
      </c>
      <c r="C1599" s="3">
        <v>647</v>
      </c>
      <c r="D1599" s="3">
        <v>1</v>
      </c>
      <c r="E1599" s="3" t="s">
        <v>28</v>
      </c>
      <c r="F1599" s="3" t="s">
        <v>29</v>
      </c>
      <c r="G1599" s="3" t="str">
        <f>"2025-06-19 17:26:43.366"</f>
        <v>2025-06-19 17:26:43.366</v>
      </c>
      <c r="H1599" s="3" t="s">
        <v>21</v>
      </c>
    </row>
    <row r="1600" spans="1:10" s="3" customFormat="1" x14ac:dyDescent="0.25">
      <c r="A1600" s="2">
        <v>661</v>
      </c>
      <c r="B1600" s="3" t="s">
        <v>30</v>
      </c>
      <c r="C1600" s="3">
        <v>647</v>
      </c>
      <c r="D1600" s="3">
        <v>1</v>
      </c>
      <c r="E1600" s="3" t="s">
        <v>28</v>
      </c>
      <c r="F1600" s="3" t="s">
        <v>29</v>
      </c>
      <c r="G1600" s="3" t="str">
        <f>"2025-06-19 17:26:41.266"</f>
        <v>2025-06-19 17:26:41.266</v>
      </c>
      <c r="H1600" s="3" t="s">
        <v>21</v>
      </c>
      <c r="I1600" s="3">
        <v>22.25</v>
      </c>
      <c r="J1600" s="3" t="s">
        <v>31</v>
      </c>
    </row>
    <row r="1601" spans="1:10" x14ac:dyDescent="0.25">
      <c r="A1601" s="1">
        <v>662</v>
      </c>
      <c r="B1601" t="s">
        <v>19</v>
      </c>
      <c r="C1601">
        <v>700</v>
      </c>
      <c r="D1601">
        <v>0</v>
      </c>
      <c r="E1601" t="s">
        <v>20</v>
      </c>
      <c r="F1601" t="s">
        <v>20</v>
      </c>
      <c r="G1601" t="str">
        <f>"2025-06-19 13:59:44.574"</f>
        <v>2025-06-19 13:59:44.574</v>
      </c>
      <c r="H1601" t="s">
        <v>21</v>
      </c>
      <c r="I1601">
        <v>0</v>
      </c>
      <c r="J1601" t="s">
        <v>22</v>
      </c>
    </row>
    <row r="1602" spans="1:10" x14ac:dyDescent="0.25">
      <c r="A1602" s="1">
        <v>663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"2025-06-19 13:50:35.765"</f>
        <v>2025-06-19 13:50:35.765</v>
      </c>
      <c r="H1602" t="s">
        <v>21</v>
      </c>
      <c r="I1602">
        <v>0</v>
      </c>
      <c r="J1602" t="s">
        <v>22</v>
      </c>
    </row>
    <row r="1603" spans="1:10" x14ac:dyDescent="0.25">
      <c r="A1603" s="1">
        <v>664</v>
      </c>
      <c r="B1603" t="s">
        <v>19</v>
      </c>
      <c r="C1603">
        <v>706</v>
      </c>
      <c r="D1603">
        <v>4</v>
      </c>
      <c r="E1603" t="s">
        <v>23</v>
      </c>
      <c r="F1603" t="s">
        <v>26</v>
      </c>
      <c r="G1603" t="str">
        <f>"2025-06-19 08:05:49.059"</f>
        <v>2025-06-19 08:05:49.059</v>
      </c>
      <c r="H1603" t="s">
        <v>21</v>
      </c>
      <c r="I1603">
        <v>0</v>
      </c>
      <c r="J1603" t="s">
        <v>25</v>
      </c>
    </row>
    <row r="1604" spans="1:10" x14ac:dyDescent="0.25">
      <c r="A1604" s="1">
        <v>665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"2025-06-19 08:04:53.579"</f>
        <v>2025-06-19 08:04:53.579</v>
      </c>
      <c r="H1604" t="s">
        <v>21</v>
      </c>
      <c r="I1604">
        <v>0</v>
      </c>
      <c r="J1604" t="s">
        <v>22</v>
      </c>
    </row>
    <row r="1605" spans="1:10" x14ac:dyDescent="0.25">
      <c r="A1605" s="1">
        <v>666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"2025-06-18 17:20:23.594"</f>
        <v>2025-06-18 17:20:23.594</v>
      </c>
      <c r="H1605" t="s">
        <v>21</v>
      </c>
    </row>
    <row r="1606" spans="1:10" x14ac:dyDescent="0.25">
      <c r="A1606" s="1">
        <v>667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"2025-06-18 12:41:48.569"</f>
        <v>2025-06-18 12:41:48.569</v>
      </c>
      <c r="H1606" t="s">
        <v>21</v>
      </c>
    </row>
    <row r="1607" spans="1:10" x14ac:dyDescent="0.25">
      <c r="A1607" s="1">
        <v>668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"2025-06-18 10:02:31.575"</f>
        <v>2025-06-18 10:02:31.575</v>
      </c>
      <c r="H1607" t="s">
        <v>21</v>
      </c>
    </row>
    <row r="1608" spans="1:10" x14ac:dyDescent="0.25">
      <c r="A1608" s="1">
        <v>669</v>
      </c>
      <c r="B1608" t="s">
        <v>27</v>
      </c>
      <c r="C1608">
        <v>635</v>
      </c>
      <c r="D1608">
        <v>1</v>
      </c>
      <c r="E1608" t="s">
        <v>32</v>
      </c>
      <c r="F1608" t="s">
        <v>33</v>
      </c>
      <c r="G1608" t="str">
        <f>"2025-06-18 01:01:30.414"</f>
        <v>2025-06-18 01:01:30.414</v>
      </c>
      <c r="H1608" t="s">
        <v>21</v>
      </c>
    </row>
    <row r="1609" spans="1:10" x14ac:dyDescent="0.25">
      <c r="A1609" s="1">
        <v>670</v>
      </c>
      <c r="B1609" t="s">
        <v>30</v>
      </c>
      <c r="C1609">
        <v>635</v>
      </c>
      <c r="D1609">
        <v>1</v>
      </c>
      <c r="E1609" t="s">
        <v>32</v>
      </c>
      <c r="F1609" t="s">
        <v>33</v>
      </c>
      <c r="G1609" t="str">
        <f>"2025-06-18 00:58:31.414"</f>
        <v>2025-06-18 00:58:31.414</v>
      </c>
      <c r="H1609" t="s">
        <v>21</v>
      </c>
      <c r="I1609">
        <v>9.9600000000000009</v>
      </c>
      <c r="J1609" t="s">
        <v>31</v>
      </c>
    </row>
    <row r="1610" spans="1:10" x14ac:dyDescent="0.25">
      <c r="A1610" s="1">
        <v>671</v>
      </c>
      <c r="B1610" t="s">
        <v>27</v>
      </c>
      <c r="C1610">
        <v>635</v>
      </c>
      <c r="D1610">
        <v>1</v>
      </c>
      <c r="E1610" t="s">
        <v>32</v>
      </c>
      <c r="F1610" t="s">
        <v>33</v>
      </c>
      <c r="G1610" t="str">
        <f>"2025-06-17 23:26:22.114"</f>
        <v>2025-06-17 23:26:22.114</v>
      </c>
      <c r="H1610" t="s">
        <v>21</v>
      </c>
    </row>
    <row r="1611" spans="1:10" x14ac:dyDescent="0.25">
      <c r="A1611" s="1">
        <v>672</v>
      </c>
      <c r="B1611" t="s">
        <v>30</v>
      </c>
      <c r="C1611">
        <v>635</v>
      </c>
      <c r="D1611">
        <v>1</v>
      </c>
      <c r="E1611" t="s">
        <v>32</v>
      </c>
      <c r="F1611" t="s">
        <v>33</v>
      </c>
      <c r="G1611" t="str">
        <f>"2025-06-17 23:23:30.614"</f>
        <v>2025-06-17 23:23:30.614</v>
      </c>
      <c r="H1611" t="s">
        <v>21</v>
      </c>
      <c r="I1611">
        <v>9.59</v>
      </c>
      <c r="J1611" t="s">
        <v>34</v>
      </c>
    </row>
    <row r="1612" spans="1:10" x14ac:dyDescent="0.25">
      <c r="A1612" s="1">
        <v>673</v>
      </c>
      <c r="B1612" t="s">
        <v>27</v>
      </c>
      <c r="C1612">
        <v>635</v>
      </c>
      <c r="D1612">
        <v>1</v>
      </c>
      <c r="E1612" t="s">
        <v>32</v>
      </c>
      <c r="F1612" t="s">
        <v>33</v>
      </c>
      <c r="G1612" t="str">
        <f>"2025-06-17 20:42:50.514"</f>
        <v>2025-06-17 20:42:50.514</v>
      </c>
      <c r="H1612" t="s">
        <v>21</v>
      </c>
    </row>
    <row r="1613" spans="1:10" x14ac:dyDescent="0.25">
      <c r="A1613" s="1">
        <v>674</v>
      </c>
      <c r="B1613" t="s">
        <v>30</v>
      </c>
      <c r="C1613">
        <v>635</v>
      </c>
      <c r="D1613">
        <v>1</v>
      </c>
      <c r="E1613" t="s">
        <v>32</v>
      </c>
      <c r="F1613" t="s">
        <v>33</v>
      </c>
      <c r="G1613" t="str">
        <f>"2025-06-17 20:39:15.014"</f>
        <v>2025-06-17 20:39:15.014</v>
      </c>
      <c r="H1613" t="s">
        <v>21</v>
      </c>
      <c r="I1613">
        <v>1.55</v>
      </c>
      <c r="J1613" t="s">
        <v>31</v>
      </c>
    </row>
    <row r="1614" spans="1:10" x14ac:dyDescent="0.25">
      <c r="A1614" s="1">
        <v>675</v>
      </c>
      <c r="B1614" t="s">
        <v>27</v>
      </c>
      <c r="C1614">
        <v>635</v>
      </c>
      <c r="D1614">
        <v>1</v>
      </c>
      <c r="E1614" t="s">
        <v>32</v>
      </c>
      <c r="F1614" t="s">
        <v>33</v>
      </c>
      <c r="G1614" t="str">
        <f>"2025-06-17 16:46:31.514"</f>
        <v>2025-06-17 16:46:31.514</v>
      </c>
      <c r="H1614" t="s">
        <v>21</v>
      </c>
    </row>
    <row r="1615" spans="1:10" x14ac:dyDescent="0.25">
      <c r="A1615" s="1">
        <v>676</v>
      </c>
      <c r="B1615" t="s">
        <v>30</v>
      </c>
      <c r="C1615">
        <v>635</v>
      </c>
      <c r="D1615">
        <v>1</v>
      </c>
      <c r="E1615" t="s">
        <v>32</v>
      </c>
      <c r="F1615" t="s">
        <v>33</v>
      </c>
      <c r="G1615" t="str">
        <f>"2025-06-17 16:42:27.514"</f>
        <v>2025-06-17 16:42:27.514</v>
      </c>
      <c r="H1615" t="s">
        <v>21</v>
      </c>
      <c r="I1615">
        <v>2.46</v>
      </c>
      <c r="J1615" t="s">
        <v>34</v>
      </c>
    </row>
    <row r="1616" spans="1:10" x14ac:dyDescent="0.25">
      <c r="A1616" s="1">
        <v>677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"2025-06-17 10:17:24.561"</f>
        <v>2025-06-17 10:17:24.561</v>
      </c>
      <c r="H1616" t="s">
        <v>21</v>
      </c>
    </row>
    <row r="1617" spans="1:10" x14ac:dyDescent="0.25">
      <c r="A1617" s="1">
        <v>678</v>
      </c>
      <c r="B1617" t="s">
        <v>35</v>
      </c>
      <c r="C1617">
        <v>33</v>
      </c>
      <c r="D1617">
        <v>1</v>
      </c>
      <c r="E1617" t="s">
        <v>36</v>
      </c>
      <c r="F1617" t="s">
        <v>37</v>
      </c>
      <c r="G1617" t="str">
        <f>"2025-06-17 07:35:16.624"</f>
        <v>2025-06-17 07:35:16.624</v>
      </c>
      <c r="H1617" t="s">
        <v>38</v>
      </c>
    </row>
    <row r="1618" spans="1:10" x14ac:dyDescent="0.25">
      <c r="A1618" s="1">
        <v>679</v>
      </c>
      <c r="B1618" t="s">
        <v>39</v>
      </c>
      <c r="C1618">
        <v>33</v>
      </c>
      <c r="D1618">
        <v>1</v>
      </c>
      <c r="E1618" t="s">
        <v>36</v>
      </c>
      <c r="F1618" t="s">
        <v>37</v>
      </c>
      <c r="G1618" t="str">
        <f>"2025-06-17 07:35:02.516"</f>
        <v>2025-06-17 07:35:02.516</v>
      </c>
      <c r="H1618" t="s">
        <v>38</v>
      </c>
      <c r="I1618">
        <v>10.6</v>
      </c>
      <c r="J1618" t="s">
        <v>34</v>
      </c>
    </row>
    <row r="1619" spans="1:10" x14ac:dyDescent="0.25">
      <c r="A1619" s="1">
        <v>680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"2025-06-17 04:21:29.671"</f>
        <v>2025-06-17 04:21:29.671</v>
      </c>
      <c r="H1619" t="s">
        <v>21</v>
      </c>
    </row>
    <row r="1620" spans="1:10" x14ac:dyDescent="0.25">
      <c r="A1620" s="1">
        <v>681</v>
      </c>
      <c r="B1620" t="s">
        <v>19</v>
      </c>
      <c r="C1620">
        <v>706</v>
      </c>
      <c r="D1620">
        <v>4</v>
      </c>
      <c r="E1620" t="s">
        <v>23</v>
      </c>
      <c r="F1620" t="s">
        <v>26</v>
      </c>
      <c r="G1620" t="str">
        <f>"2025-06-17 01:30:25.222"</f>
        <v>2025-06-17 01:30:25.222</v>
      </c>
      <c r="H1620" t="s">
        <v>21</v>
      </c>
      <c r="I1620">
        <v>0</v>
      </c>
      <c r="J1620" t="s">
        <v>25</v>
      </c>
    </row>
    <row r="1621" spans="1:10" x14ac:dyDescent="0.25">
      <c r="A1621" s="1">
        <v>682</v>
      </c>
      <c r="B1621" t="s">
        <v>19</v>
      </c>
      <c r="C1621">
        <v>700</v>
      </c>
      <c r="D1621">
        <v>0</v>
      </c>
      <c r="E1621" t="s">
        <v>20</v>
      </c>
      <c r="F1621" t="s">
        <v>20</v>
      </c>
      <c r="G1621" t="str">
        <f>"2025-06-17 01:29:54.822"</f>
        <v>2025-06-17 01:29:54.822</v>
      </c>
      <c r="H1621" t="s">
        <v>21</v>
      </c>
      <c r="I1621">
        <v>0</v>
      </c>
      <c r="J1621" t="s">
        <v>22</v>
      </c>
    </row>
    <row r="1622" spans="1:10" x14ac:dyDescent="0.25">
      <c r="A1622" s="1">
        <v>683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"2025-06-16 21:23:34.576"</f>
        <v>2025-06-16 21:23:34.576</v>
      </c>
      <c r="H1622" t="s">
        <v>21</v>
      </c>
    </row>
    <row r="1623" spans="1:10" x14ac:dyDescent="0.25">
      <c r="A1623" s="1">
        <v>684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"2025-06-16 10:43:18.804"</f>
        <v>2025-06-16 10:43:18.804</v>
      </c>
      <c r="H1623" t="s">
        <v>21</v>
      </c>
      <c r="I1623">
        <v>0</v>
      </c>
      <c r="J1623" t="s">
        <v>22</v>
      </c>
    </row>
    <row r="1624" spans="1:10" x14ac:dyDescent="0.25">
      <c r="A1624" s="1">
        <v>685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"2025-06-16 02:50:31.552"</f>
        <v>2025-06-16 02:50:31.552</v>
      </c>
      <c r="H1624" t="s">
        <v>21</v>
      </c>
      <c r="I1624">
        <v>0</v>
      </c>
      <c r="J1624" t="s">
        <v>22</v>
      </c>
    </row>
    <row r="1625" spans="1:10" x14ac:dyDescent="0.25">
      <c r="A1625" s="1">
        <v>686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"2025-06-16 01:03:51.748"</f>
        <v>2025-06-16 01:03:51.748</v>
      </c>
      <c r="H1625" t="s">
        <v>21</v>
      </c>
    </row>
    <row r="1626" spans="1:10" x14ac:dyDescent="0.25">
      <c r="A1626" s="1">
        <v>687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"2025-06-15 21:11:14.558"</f>
        <v>2025-06-15 21:11:14.558</v>
      </c>
      <c r="H1626" t="s">
        <v>21</v>
      </c>
    </row>
    <row r="1627" spans="1:10" x14ac:dyDescent="0.25">
      <c r="A1627" s="1">
        <v>688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"2025-06-15 08:06:38.609"</f>
        <v>2025-06-15 08:06:38.609</v>
      </c>
      <c r="H1627" t="s">
        <v>21</v>
      </c>
      <c r="I1627">
        <v>0</v>
      </c>
      <c r="J1627" t="s">
        <v>22</v>
      </c>
    </row>
    <row r="1628" spans="1:10" x14ac:dyDescent="0.25">
      <c r="A1628" s="1">
        <v>689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"2025-06-15 01:03:27.763"</f>
        <v>2025-06-15 01:03:27.763</v>
      </c>
      <c r="H1628" t="s">
        <v>21</v>
      </c>
    </row>
    <row r="1629" spans="1:10" x14ac:dyDescent="0.25">
      <c r="A1629" s="1">
        <v>690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"2025-06-14 11:22:49.796"</f>
        <v>2025-06-14 11:22:49.796</v>
      </c>
      <c r="H1629" t="s">
        <v>21</v>
      </c>
    </row>
    <row r="1630" spans="1:10" x14ac:dyDescent="0.25">
      <c r="A1630" s="1">
        <v>691</v>
      </c>
      <c r="B1630" t="s">
        <v>27</v>
      </c>
      <c r="C1630">
        <v>635</v>
      </c>
      <c r="D1630">
        <v>1</v>
      </c>
      <c r="E1630" t="s">
        <v>32</v>
      </c>
      <c r="F1630" t="s">
        <v>33</v>
      </c>
      <c r="G1630" t="str">
        <f>"2025-06-14 10:14:00.486"</f>
        <v>2025-06-14 10:14:00.486</v>
      </c>
      <c r="H1630" t="s">
        <v>21</v>
      </c>
    </row>
    <row r="1631" spans="1:10" x14ac:dyDescent="0.25">
      <c r="A1631" s="1">
        <v>692</v>
      </c>
      <c r="B1631" t="s">
        <v>30</v>
      </c>
      <c r="C1631">
        <v>635</v>
      </c>
      <c r="D1631">
        <v>1</v>
      </c>
      <c r="E1631" t="s">
        <v>32</v>
      </c>
      <c r="F1631" t="s">
        <v>33</v>
      </c>
      <c r="G1631" t="str">
        <f>"2025-06-14 10:08:46.087"</f>
        <v>2025-06-14 10:08:46.087</v>
      </c>
      <c r="H1631" t="s">
        <v>21</v>
      </c>
      <c r="I1631">
        <v>7.51</v>
      </c>
      <c r="J1631" t="s">
        <v>34</v>
      </c>
    </row>
    <row r="1632" spans="1:10" x14ac:dyDescent="0.25">
      <c r="A1632" s="1">
        <v>693</v>
      </c>
      <c r="B1632" t="s">
        <v>19</v>
      </c>
      <c r="C1632">
        <v>700</v>
      </c>
      <c r="D1632">
        <v>0</v>
      </c>
      <c r="E1632" t="s">
        <v>20</v>
      </c>
      <c r="F1632" t="s">
        <v>20</v>
      </c>
      <c r="G1632" t="str">
        <f>"2025-06-14 03:23:13.590"</f>
        <v>2025-06-14 03:23:13.590</v>
      </c>
      <c r="H1632" t="s">
        <v>21</v>
      </c>
      <c r="I1632">
        <v>0</v>
      </c>
      <c r="J1632" t="s">
        <v>22</v>
      </c>
    </row>
    <row r="1633" spans="1:10" x14ac:dyDescent="0.25">
      <c r="A1633" s="1">
        <v>694</v>
      </c>
      <c r="B1633" t="s">
        <v>19</v>
      </c>
      <c r="C1633">
        <v>706</v>
      </c>
      <c r="D1633">
        <v>2</v>
      </c>
      <c r="E1633" t="s">
        <v>23</v>
      </c>
      <c r="F1633" t="s">
        <v>24</v>
      </c>
      <c r="G1633" t="str">
        <f>"2025-06-13 10:49:11.113"</f>
        <v>2025-06-13 10:49:11.113</v>
      </c>
      <c r="H1633" t="s">
        <v>21</v>
      </c>
      <c r="I1633">
        <v>0</v>
      </c>
      <c r="J1633" t="s">
        <v>25</v>
      </c>
    </row>
    <row r="1634" spans="1:10" x14ac:dyDescent="0.25">
      <c r="A1634" s="1">
        <v>695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"2025-06-13 10:44:05.583"</f>
        <v>2025-06-13 10:44:05.583</v>
      </c>
      <c r="H1634" t="s">
        <v>21</v>
      </c>
    </row>
    <row r="1635" spans="1:10" x14ac:dyDescent="0.25">
      <c r="A1635" s="1">
        <v>696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"2025-06-13 01:39:28.558"</f>
        <v>2025-06-13 01:39:28.558</v>
      </c>
      <c r="H1635" t="s">
        <v>21</v>
      </c>
      <c r="I1635">
        <v>0</v>
      </c>
      <c r="J1635" t="s">
        <v>22</v>
      </c>
    </row>
    <row r="1636" spans="1:10" x14ac:dyDescent="0.25">
      <c r="A1636" s="1">
        <v>697</v>
      </c>
      <c r="B1636" t="s">
        <v>27</v>
      </c>
      <c r="C1636">
        <v>635</v>
      </c>
      <c r="D1636">
        <v>1</v>
      </c>
      <c r="E1636" t="s">
        <v>32</v>
      </c>
      <c r="F1636" t="s">
        <v>33</v>
      </c>
      <c r="G1636" t="str">
        <f>"2025-06-12 09:21:47.298"</f>
        <v>2025-06-12 09:21:47.298</v>
      </c>
      <c r="H1636" t="s">
        <v>21</v>
      </c>
    </row>
    <row r="1637" spans="1:10" x14ac:dyDescent="0.25">
      <c r="A1637" s="1">
        <v>698</v>
      </c>
      <c r="B1637" t="s">
        <v>30</v>
      </c>
      <c r="C1637">
        <v>635</v>
      </c>
      <c r="D1637">
        <v>1</v>
      </c>
      <c r="E1637" t="s">
        <v>32</v>
      </c>
      <c r="F1637" t="s">
        <v>33</v>
      </c>
      <c r="G1637" t="str">
        <f>"2025-06-12 09:14:05.799"</f>
        <v>2025-06-12 09:14:05.799</v>
      </c>
      <c r="H1637" t="s">
        <v>21</v>
      </c>
      <c r="I1637">
        <v>4.75</v>
      </c>
      <c r="J1637" t="s">
        <v>34</v>
      </c>
    </row>
    <row r="1638" spans="1:10" x14ac:dyDescent="0.25">
      <c r="A1638" s="1">
        <v>699</v>
      </c>
      <c r="B1638" t="s">
        <v>35</v>
      </c>
      <c r="C1638">
        <v>33</v>
      </c>
      <c r="D1638">
        <v>1</v>
      </c>
      <c r="E1638" t="s">
        <v>36</v>
      </c>
      <c r="F1638" t="s">
        <v>37</v>
      </c>
      <c r="G1638" t="str">
        <f>"2025-06-12 06:07:52.346"</f>
        <v>2025-06-12 06:07:52.346</v>
      </c>
      <c r="H1638" t="s">
        <v>38</v>
      </c>
    </row>
    <row r="1639" spans="1:10" x14ac:dyDescent="0.25">
      <c r="A1639" s="1">
        <v>700</v>
      </c>
      <c r="B1639" t="s">
        <v>39</v>
      </c>
      <c r="C1639">
        <v>33</v>
      </c>
      <c r="D1639">
        <v>1</v>
      </c>
      <c r="E1639" t="s">
        <v>36</v>
      </c>
      <c r="F1639" t="s">
        <v>37</v>
      </c>
      <c r="G1639" t="str">
        <f>"2025-06-12 06:07:37.998"</f>
        <v>2025-06-12 06:07:37.998</v>
      </c>
      <c r="H1639" t="s">
        <v>38</v>
      </c>
      <c r="I1639">
        <v>9.4</v>
      </c>
      <c r="J1639" t="s">
        <v>34</v>
      </c>
    </row>
    <row r="1640" spans="1:10" x14ac:dyDescent="0.25">
      <c r="A1640" s="1">
        <v>701</v>
      </c>
      <c r="B1640" t="s">
        <v>35</v>
      </c>
      <c r="C1640">
        <v>33</v>
      </c>
      <c r="D1640">
        <v>1</v>
      </c>
      <c r="E1640" t="s">
        <v>36</v>
      </c>
      <c r="F1640" t="s">
        <v>37</v>
      </c>
      <c r="G1640" t="str">
        <f>"2025-06-12 04:52:32.099"</f>
        <v>2025-06-12 04:52:32.099</v>
      </c>
      <c r="H1640" t="s">
        <v>38</v>
      </c>
    </row>
    <row r="1641" spans="1:10" x14ac:dyDescent="0.25">
      <c r="A1641" s="1">
        <v>702</v>
      </c>
      <c r="B1641" t="s">
        <v>39</v>
      </c>
      <c r="C1641">
        <v>33</v>
      </c>
      <c r="D1641">
        <v>1</v>
      </c>
      <c r="E1641" t="s">
        <v>36</v>
      </c>
      <c r="F1641" t="s">
        <v>37</v>
      </c>
      <c r="G1641" t="str">
        <f>"2025-06-12 04:52:24.058"</f>
        <v>2025-06-12 04:52:24.058</v>
      </c>
      <c r="H1641" t="s">
        <v>38</v>
      </c>
      <c r="I1641">
        <v>7.22</v>
      </c>
      <c r="J1641" t="s">
        <v>34</v>
      </c>
    </row>
    <row r="1642" spans="1:10" x14ac:dyDescent="0.25">
      <c r="A1642" s="1">
        <v>703</v>
      </c>
      <c r="B1642" t="s">
        <v>27</v>
      </c>
      <c r="C1642">
        <v>635</v>
      </c>
      <c r="D1642">
        <v>1</v>
      </c>
      <c r="E1642" t="s">
        <v>32</v>
      </c>
      <c r="F1642" t="s">
        <v>33</v>
      </c>
      <c r="G1642" t="str">
        <f>"2025-06-11 05:06:29.699"</f>
        <v>2025-06-11 05:06:29.699</v>
      </c>
      <c r="H1642" t="s">
        <v>21</v>
      </c>
    </row>
    <row r="1643" spans="1:10" x14ac:dyDescent="0.25">
      <c r="A1643" s="1">
        <v>704</v>
      </c>
      <c r="B1643" t="s">
        <v>30</v>
      </c>
      <c r="C1643">
        <v>635</v>
      </c>
      <c r="D1643">
        <v>1</v>
      </c>
      <c r="E1643" t="s">
        <v>32</v>
      </c>
      <c r="F1643" t="s">
        <v>33</v>
      </c>
      <c r="G1643" t="str">
        <f>"2025-06-11 04:58:14.699"</f>
        <v>2025-06-11 04:58:14.699</v>
      </c>
      <c r="H1643" t="s">
        <v>21</v>
      </c>
      <c r="I1643">
        <v>7.48</v>
      </c>
      <c r="J1643" t="s">
        <v>31</v>
      </c>
    </row>
    <row r="1644" spans="1:10" x14ac:dyDescent="0.25">
      <c r="A1644" s="1">
        <v>705</v>
      </c>
      <c r="B1644" t="s">
        <v>19</v>
      </c>
      <c r="C1644">
        <v>706</v>
      </c>
      <c r="D1644">
        <v>4</v>
      </c>
      <c r="E1644" t="s">
        <v>23</v>
      </c>
      <c r="F1644" t="s">
        <v>26</v>
      </c>
      <c r="G1644" t="str">
        <f>"2025-06-11 00:51:22.666"</f>
        <v>2025-06-11 00:51:22.666</v>
      </c>
      <c r="H1644" t="s">
        <v>21</v>
      </c>
      <c r="I1644">
        <v>0</v>
      </c>
      <c r="J1644" t="s">
        <v>25</v>
      </c>
    </row>
    <row r="1645" spans="1:10" x14ac:dyDescent="0.25">
      <c r="A1645" s="1">
        <v>706</v>
      </c>
      <c r="B1645" t="s">
        <v>35</v>
      </c>
      <c r="C1645">
        <v>47</v>
      </c>
      <c r="D1645">
        <v>2</v>
      </c>
      <c r="E1645" t="s">
        <v>61</v>
      </c>
      <c r="F1645" t="s">
        <v>62</v>
      </c>
      <c r="G1645" t="str">
        <f>"2025-06-10 23:46:26.619"</f>
        <v>2025-06-10 23:46:26.619</v>
      </c>
      <c r="H1645" t="s">
        <v>63</v>
      </c>
    </row>
    <row r="1646" spans="1:10" x14ac:dyDescent="0.25">
      <c r="A1646" s="1">
        <v>707</v>
      </c>
      <c r="B1646" t="s">
        <v>19</v>
      </c>
      <c r="C1646">
        <v>706</v>
      </c>
      <c r="D1646">
        <v>2</v>
      </c>
      <c r="E1646" t="s">
        <v>23</v>
      </c>
      <c r="F1646" t="s">
        <v>24</v>
      </c>
      <c r="G1646" t="str">
        <f>"2025-06-10 23:46:22.856"</f>
        <v>2025-06-10 23:46:22.856</v>
      </c>
      <c r="H1646" t="s">
        <v>21</v>
      </c>
      <c r="I1646">
        <v>0</v>
      </c>
      <c r="J1646" t="s">
        <v>25</v>
      </c>
    </row>
    <row r="1647" spans="1:10" x14ac:dyDescent="0.25">
      <c r="A1647" s="1">
        <v>708</v>
      </c>
      <c r="B1647" t="s">
        <v>19</v>
      </c>
      <c r="C1647">
        <v>706</v>
      </c>
      <c r="D1647">
        <v>4</v>
      </c>
      <c r="E1647" t="s">
        <v>23</v>
      </c>
      <c r="F1647" t="s">
        <v>26</v>
      </c>
      <c r="G1647" t="str">
        <f>"2025-06-10 23:37:25.436"</f>
        <v>2025-06-10 23:37:25.436</v>
      </c>
      <c r="H1647" t="s">
        <v>21</v>
      </c>
      <c r="I1647">
        <v>0</v>
      </c>
      <c r="J1647" t="s">
        <v>25</v>
      </c>
    </row>
    <row r="1648" spans="1:10" x14ac:dyDescent="0.25">
      <c r="A1648" s="1">
        <v>709</v>
      </c>
      <c r="B1648" t="s">
        <v>19</v>
      </c>
      <c r="C1648">
        <v>706</v>
      </c>
      <c r="D1648">
        <v>4</v>
      </c>
      <c r="E1648" t="s">
        <v>23</v>
      </c>
      <c r="F1648" t="s">
        <v>26</v>
      </c>
      <c r="G1648" t="str">
        <f>"2025-06-10 23:37:03.436"</f>
        <v>2025-06-10 23:37:03.436</v>
      </c>
      <c r="H1648" t="s">
        <v>21</v>
      </c>
      <c r="I1648">
        <v>0</v>
      </c>
      <c r="J1648" t="s">
        <v>25</v>
      </c>
    </row>
    <row r="1649" spans="1:10" x14ac:dyDescent="0.25">
      <c r="A1649" s="1">
        <v>710</v>
      </c>
      <c r="B1649" t="s">
        <v>19</v>
      </c>
      <c r="C1649">
        <v>706</v>
      </c>
      <c r="D1649">
        <v>4</v>
      </c>
      <c r="E1649" t="s">
        <v>23</v>
      </c>
      <c r="F1649" t="s">
        <v>26</v>
      </c>
      <c r="G1649" t="str">
        <f>"2025-06-10 23:33:12.846"</f>
        <v>2025-06-10 23:33:12.846</v>
      </c>
      <c r="H1649" t="s">
        <v>21</v>
      </c>
      <c r="I1649">
        <v>0</v>
      </c>
      <c r="J1649" t="s">
        <v>25</v>
      </c>
    </row>
    <row r="1650" spans="1:10" x14ac:dyDescent="0.25">
      <c r="A1650" s="1">
        <v>711</v>
      </c>
      <c r="B1650" t="s">
        <v>39</v>
      </c>
      <c r="C1650">
        <v>47</v>
      </c>
      <c r="D1650">
        <v>2</v>
      </c>
      <c r="E1650" t="s">
        <v>61</v>
      </c>
      <c r="F1650" t="s">
        <v>62</v>
      </c>
      <c r="G1650" t="str">
        <f>"2025-06-10 23:32:57.819"</f>
        <v>2025-06-10 23:32:57.819</v>
      </c>
      <c r="H1650" t="s">
        <v>63</v>
      </c>
      <c r="I1650">
        <v>0</v>
      </c>
      <c r="J1650" t="s">
        <v>25</v>
      </c>
    </row>
    <row r="1651" spans="1:10" x14ac:dyDescent="0.25">
      <c r="A1651" s="1">
        <v>712</v>
      </c>
      <c r="B1651" t="s">
        <v>19</v>
      </c>
      <c r="C1651">
        <v>706</v>
      </c>
      <c r="D1651">
        <v>4</v>
      </c>
      <c r="E1651" t="s">
        <v>23</v>
      </c>
      <c r="F1651" t="s">
        <v>26</v>
      </c>
      <c r="G1651" t="str">
        <f>"2025-06-10 23:32:53.056"</f>
        <v>2025-06-10 23:32:53.056</v>
      </c>
      <c r="H1651" t="s">
        <v>21</v>
      </c>
      <c r="I1651">
        <v>0</v>
      </c>
      <c r="J1651" t="s">
        <v>25</v>
      </c>
    </row>
    <row r="1652" spans="1:10" x14ac:dyDescent="0.25">
      <c r="A1652" s="1">
        <v>713</v>
      </c>
      <c r="B1652" t="s">
        <v>19</v>
      </c>
      <c r="C1652">
        <v>700</v>
      </c>
      <c r="D1652">
        <v>0</v>
      </c>
      <c r="E1652" t="s">
        <v>20</v>
      </c>
      <c r="F1652" t="s">
        <v>20</v>
      </c>
      <c r="G1652" t="str">
        <f>"2025-06-10 23:26:31.556"</f>
        <v>2025-06-10 23:26:31.556</v>
      </c>
      <c r="H1652" t="s">
        <v>21</v>
      </c>
      <c r="I1652">
        <v>0</v>
      </c>
      <c r="J1652" t="s">
        <v>22</v>
      </c>
    </row>
    <row r="1653" spans="1:10" x14ac:dyDescent="0.25">
      <c r="A1653" s="1">
        <v>714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"2025-06-10 02:21:37.572"</f>
        <v>2025-06-10 02:21:37.572</v>
      </c>
      <c r="H1653" t="s">
        <v>21</v>
      </c>
      <c r="I1653">
        <v>0</v>
      </c>
      <c r="J1653" t="s">
        <v>22</v>
      </c>
    </row>
    <row r="1654" spans="1:10" x14ac:dyDescent="0.25">
      <c r="A1654" s="1">
        <v>715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"2025-06-09 22:38:37.715"</f>
        <v>2025-06-09 22:38:37.715</v>
      </c>
      <c r="H1654" t="s">
        <v>21</v>
      </c>
      <c r="I1654">
        <v>0</v>
      </c>
      <c r="J1654" t="s">
        <v>22</v>
      </c>
    </row>
    <row r="1655" spans="1:10" x14ac:dyDescent="0.25">
      <c r="A1655" s="1">
        <v>716</v>
      </c>
      <c r="B1655" t="s">
        <v>27</v>
      </c>
      <c r="C1655">
        <v>635</v>
      </c>
      <c r="D1655">
        <v>1</v>
      </c>
      <c r="E1655" t="s">
        <v>32</v>
      </c>
      <c r="F1655" t="s">
        <v>33</v>
      </c>
      <c r="G1655" t="str">
        <f>"2025-06-09 17:24:24.000"</f>
        <v>2025-06-09 17:24:24.000</v>
      </c>
      <c r="H1655" t="s">
        <v>21</v>
      </c>
    </row>
    <row r="1656" spans="1:10" x14ac:dyDescent="0.25">
      <c r="A1656" s="1">
        <v>717</v>
      </c>
      <c r="B1656" t="s">
        <v>30</v>
      </c>
      <c r="C1656">
        <v>635</v>
      </c>
      <c r="D1656">
        <v>1</v>
      </c>
      <c r="E1656" t="s">
        <v>32</v>
      </c>
      <c r="F1656" t="s">
        <v>33</v>
      </c>
      <c r="G1656" t="str">
        <f>"2025-06-09 16:58:09.100"</f>
        <v>2025-06-09 16:58:09.100</v>
      </c>
      <c r="H1656" t="s">
        <v>21</v>
      </c>
      <c r="I1656">
        <v>7.31</v>
      </c>
      <c r="J1656" t="s">
        <v>34</v>
      </c>
    </row>
    <row r="1657" spans="1:10" x14ac:dyDescent="0.25">
      <c r="A1657" s="1">
        <v>718</v>
      </c>
      <c r="B1657" t="s">
        <v>19</v>
      </c>
      <c r="C1657">
        <v>706</v>
      </c>
      <c r="D1657">
        <v>2</v>
      </c>
      <c r="E1657" t="s">
        <v>23</v>
      </c>
      <c r="F1657" t="s">
        <v>24</v>
      </c>
      <c r="G1657" t="str">
        <f>"2025-06-08 20:09:07.489"</f>
        <v>2025-06-08 20:09:07.489</v>
      </c>
      <c r="H1657" t="s">
        <v>21</v>
      </c>
      <c r="I1657">
        <v>0</v>
      </c>
      <c r="J1657" t="s">
        <v>25</v>
      </c>
    </row>
    <row r="1658" spans="1:10" x14ac:dyDescent="0.25">
      <c r="A1658" s="1">
        <v>719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"2025-06-08 20:08:31.719"</f>
        <v>2025-06-08 20:08:31.719</v>
      </c>
      <c r="H1658" t="s">
        <v>21</v>
      </c>
      <c r="I1658">
        <v>0</v>
      </c>
      <c r="J1658" t="s">
        <v>22</v>
      </c>
    </row>
    <row r="1659" spans="1:10" x14ac:dyDescent="0.25">
      <c r="A1659" s="1">
        <v>720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"2025-06-08 05:29:15.566"</f>
        <v>2025-06-08 05:29:15.566</v>
      </c>
      <c r="H1659" t="s">
        <v>21</v>
      </c>
    </row>
    <row r="1660" spans="1:10" x14ac:dyDescent="0.25">
      <c r="A1660" s="1">
        <v>721</v>
      </c>
      <c r="B1660" t="s">
        <v>27</v>
      </c>
      <c r="C1660">
        <v>98</v>
      </c>
      <c r="D1660">
        <v>1</v>
      </c>
      <c r="E1660" t="s">
        <v>40</v>
      </c>
      <c r="F1660" t="s">
        <v>41</v>
      </c>
      <c r="G1660" t="str">
        <f>"2025-06-08 03:15:22.416"</f>
        <v>2025-06-08 03:15:22.416</v>
      </c>
      <c r="H1660" t="s">
        <v>21</v>
      </c>
    </row>
    <row r="1661" spans="1:10" x14ac:dyDescent="0.25">
      <c r="A1661" s="1">
        <v>722</v>
      </c>
      <c r="B1661" t="s">
        <v>30</v>
      </c>
      <c r="C1661">
        <v>98</v>
      </c>
      <c r="D1661">
        <v>1</v>
      </c>
      <c r="E1661" t="s">
        <v>40</v>
      </c>
      <c r="F1661" t="s">
        <v>41</v>
      </c>
      <c r="G1661" t="str">
        <f>"2025-06-08 03:15:21.416"</f>
        <v>2025-06-08 03:15:21.416</v>
      </c>
      <c r="H1661" t="s">
        <v>21</v>
      </c>
      <c r="I1661">
        <v>5.85</v>
      </c>
      <c r="J1661" t="s">
        <v>34</v>
      </c>
    </row>
    <row r="1662" spans="1:10" x14ac:dyDescent="0.25">
      <c r="A1662" s="1">
        <v>723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"2025-06-07 23:27:14.785"</f>
        <v>2025-06-07 23:27:14.785</v>
      </c>
      <c r="H1662" t="s">
        <v>21</v>
      </c>
    </row>
    <row r="1663" spans="1:10" x14ac:dyDescent="0.25">
      <c r="A1663" s="1">
        <v>724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"2025-06-07 22:51:35.587"</f>
        <v>2025-06-07 22:51:35.587</v>
      </c>
      <c r="H1663" t="s">
        <v>21</v>
      </c>
      <c r="I1663">
        <v>0</v>
      </c>
      <c r="J1663" t="s">
        <v>22</v>
      </c>
    </row>
    <row r="1664" spans="1:10" x14ac:dyDescent="0.25">
      <c r="A1664" s="1">
        <v>725</v>
      </c>
      <c r="B1664" t="s">
        <v>35</v>
      </c>
      <c r="C1664">
        <v>33</v>
      </c>
      <c r="D1664">
        <v>1</v>
      </c>
      <c r="E1664" t="s">
        <v>36</v>
      </c>
      <c r="F1664" t="s">
        <v>37</v>
      </c>
      <c r="G1664" t="str">
        <f>"2025-06-07 21:07:57.526"</f>
        <v>2025-06-07 21:07:57.526</v>
      </c>
      <c r="H1664" t="s">
        <v>38</v>
      </c>
    </row>
    <row r="1665" spans="1:10" x14ac:dyDescent="0.25">
      <c r="A1665" s="1">
        <v>726</v>
      </c>
      <c r="B1665" t="s">
        <v>39</v>
      </c>
      <c r="C1665">
        <v>33</v>
      </c>
      <c r="D1665">
        <v>1</v>
      </c>
      <c r="E1665" t="s">
        <v>36</v>
      </c>
      <c r="F1665" t="s">
        <v>37</v>
      </c>
      <c r="G1665" t="str">
        <f>"2025-06-07 21:07:35.525"</f>
        <v>2025-06-07 21:07:35.525</v>
      </c>
      <c r="H1665" t="s">
        <v>38</v>
      </c>
      <c r="I1665">
        <v>8.6300000000000008</v>
      </c>
      <c r="J1665" t="s">
        <v>34</v>
      </c>
    </row>
    <row r="1666" spans="1:10" x14ac:dyDescent="0.25">
      <c r="A1666" s="1">
        <v>727</v>
      </c>
      <c r="B1666" t="s">
        <v>27</v>
      </c>
      <c r="C1666">
        <v>635</v>
      </c>
      <c r="D1666">
        <v>1</v>
      </c>
      <c r="E1666" t="s">
        <v>32</v>
      </c>
      <c r="F1666" t="s">
        <v>33</v>
      </c>
      <c r="G1666" t="str">
        <f>"2025-06-07 14:34:18.326"</f>
        <v>2025-06-07 14:34:18.326</v>
      </c>
      <c r="H1666" t="s">
        <v>21</v>
      </c>
    </row>
    <row r="1667" spans="1:10" x14ac:dyDescent="0.25">
      <c r="A1667" s="1">
        <v>728</v>
      </c>
      <c r="B1667" t="s">
        <v>30</v>
      </c>
      <c r="C1667">
        <v>635</v>
      </c>
      <c r="D1667">
        <v>1</v>
      </c>
      <c r="E1667" t="s">
        <v>32</v>
      </c>
      <c r="F1667" t="s">
        <v>33</v>
      </c>
      <c r="G1667" t="str">
        <f>"2025-06-07 14:27:46.426"</f>
        <v>2025-06-07 14:27:46.426</v>
      </c>
      <c r="H1667" t="s">
        <v>21</v>
      </c>
      <c r="I1667">
        <v>3.97</v>
      </c>
      <c r="J1667" t="s">
        <v>42</v>
      </c>
    </row>
    <row r="1668" spans="1:10" x14ac:dyDescent="0.25">
      <c r="A1668" s="1">
        <v>729</v>
      </c>
      <c r="B1668" t="s">
        <v>19</v>
      </c>
      <c r="C1668">
        <v>706</v>
      </c>
      <c r="D1668">
        <v>2</v>
      </c>
      <c r="E1668" t="s">
        <v>23</v>
      </c>
      <c r="F1668" t="s">
        <v>24</v>
      </c>
      <c r="G1668" t="str">
        <f>"2025-06-07 14:08:41.302"</f>
        <v>2025-06-07 14:08:41.302</v>
      </c>
      <c r="H1668" t="s">
        <v>21</v>
      </c>
      <c r="I1668">
        <v>0</v>
      </c>
      <c r="J1668" t="s">
        <v>25</v>
      </c>
    </row>
    <row r="1669" spans="1:10" x14ac:dyDescent="0.25">
      <c r="A1669" s="1">
        <v>730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"2025-06-07 14:07:50.612"</f>
        <v>2025-06-07 14:07:50.612</v>
      </c>
      <c r="H1669" t="s">
        <v>21</v>
      </c>
    </row>
    <row r="1670" spans="1:10" x14ac:dyDescent="0.25">
      <c r="A1670" s="1">
        <v>731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"2025-06-07 13:58:56.546"</f>
        <v>2025-06-07 13:58:56.546</v>
      </c>
      <c r="H1670" t="s">
        <v>21</v>
      </c>
    </row>
    <row r="1671" spans="1:10" x14ac:dyDescent="0.25">
      <c r="A1671" s="1">
        <v>732</v>
      </c>
      <c r="B1671" t="s">
        <v>19</v>
      </c>
      <c r="C1671">
        <v>706</v>
      </c>
      <c r="D1671">
        <v>4</v>
      </c>
      <c r="E1671" t="s">
        <v>23</v>
      </c>
      <c r="F1671" t="s">
        <v>26</v>
      </c>
      <c r="G1671" t="str">
        <f>"2025-06-07 13:23:34.995"</f>
        <v>2025-06-07 13:23:34.995</v>
      </c>
      <c r="H1671" t="s">
        <v>21</v>
      </c>
      <c r="I1671">
        <v>0</v>
      </c>
      <c r="J1671" t="s">
        <v>25</v>
      </c>
    </row>
    <row r="1672" spans="1:10" x14ac:dyDescent="0.25">
      <c r="A1672" s="1">
        <v>733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"2025-06-07 12:59:27.575"</f>
        <v>2025-06-07 12:59:27.575</v>
      </c>
      <c r="H1672" t="s">
        <v>21</v>
      </c>
      <c r="I1672">
        <v>0</v>
      </c>
      <c r="J1672" t="s">
        <v>22</v>
      </c>
    </row>
    <row r="1673" spans="1:10" x14ac:dyDescent="0.25">
      <c r="A1673" s="1">
        <v>734</v>
      </c>
      <c r="B1673" t="s">
        <v>35</v>
      </c>
      <c r="C1673">
        <v>33</v>
      </c>
      <c r="D1673">
        <v>1</v>
      </c>
      <c r="E1673" t="s">
        <v>36</v>
      </c>
      <c r="F1673" t="s">
        <v>37</v>
      </c>
      <c r="G1673" t="str">
        <f>"2025-06-07 05:26:49.965"</f>
        <v>2025-06-07 05:26:49.965</v>
      </c>
      <c r="H1673" t="s">
        <v>38</v>
      </c>
    </row>
    <row r="1674" spans="1:10" x14ac:dyDescent="0.25">
      <c r="A1674" s="1">
        <v>735</v>
      </c>
      <c r="B1674" t="s">
        <v>39</v>
      </c>
      <c r="C1674">
        <v>33</v>
      </c>
      <c r="D1674">
        <v>1</v>
      </c>
      <c r="E1674" t="s">
        <v>36</v>
      </c>
      <c r="F1674" t="s">
        <v>37</v>
      </c>
      <c r="G1674" t="str">
        <f>"2025-06-07 05:26:16.077"</f>
        <v>2025-06-07 05:26:16.077</v>
      </c>
      <c r="H1674" t="s">
        <v>38</v>
      </c>
      <c r="I1674">
        <v>7.83</v>
      </c>
      <c r="J1674" t="s">
        <v>34</v>
      </c>
    </row>
    <row r="1675" spans="1:10" x14ac:dyDescent="0.25">
      <c r="A1675" s="1">
        <v>736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"2025-06-07 01:20:44.704"</f>
        <v>2025-06-07 01:20:44.704</v>
      </c>
      <c r="H1675" t="s">
        <v>21</v>
      </c>
      <c r="I1675">
        <v>0</v>
      </c>
      <c r="J1675" t="s">
        <v>22</v>
      </c>
    </row>
    <row r="1676" spans="1:10" x14ac:dyDescent="0.25">
      <c r="A1676" s="1">
        <v>737</v>
      </c>
      <c r="B1676" t="s">
        <v>19</v>
      </c>
      <c r="C1676">
        <v>706</v>
      </c>
      <c r="D1676">
        <v>2</v>
      </c>
      <c r="E1676" t="s">
        <v>23</v>
      </c>
      <c r="F1676" t="s">
        <v>24</v>
      </c>
      <c r="G1676" t="str">
        <f>"2025-06-06 14:46:10.893"</f>
        <v>2025-06-06 14:46:10.893</v>
      </c>
      <c r="H1676" t="s">
        <v>21</v>
      </c>
      <c r="I1676">
        <v>0</v>
      </c>
      <c r="J1676" t="s">
        <v>25</v>
      </c>
    </row>
    <row r="1677" spans="1:10" x14ac:dyDescent="0.25">
      <c r="A1677" s="1">
        <v>738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"2025-06-06 14:45:42.783"</f>
        <v>2025-06-06 14:45:42.783</v>
      </c>
      <c r="H1677" t="s">
        <v>21</v>
      </c>
      <c r="I1677">
        <v>0</v>
      </c>
      <c r="J1677" t="s">
        <v>22</v>
      </c>
    </row>
    <row r="1678" spans="1:10" x14ac:dyDescent="0.25">
      <c r="A1678" s="1">
        <v>739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"2025-06-06 14:44:28.635"</f>
        <v>2025-06-06 14:44:28.635</v>
      </c>
      <c r="H1678" t="s">
        <v>21</v>
      </c>
      <c r="I1678">
        <v>0</v>
      </c>
      <c r="J1678" t="s">
        <v>22</v>
      </c>
    </row>
    <row r="1679" spans="1:10" x14ac:dyDescent="0.25">
      <c r="A1679" s="1">
        <v>740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"2025-06-06 14:42:02.554"</f>
        <v>2025-06-06 14:42:02.554</v>
      </c>
      <c r="H1679" t="s">
        <v>21</v>
      </c>
      <c r="I1679">
        <v>0</v>
      </c>
      <c r="J1679" t="s">
        <v>22</v>
      </c>
    </row>
    <row r="1680" spans="1:10" x14ac:dyDescent="0.25">
      <c r="A1680" s="1">
        <v>741</v>
      </c>
      <c r="B1680" t="s">
        <v>27</v>
      </c>
      <c r="C1680">
        <v>635</v>
      </c>
      <c r="D1680">
        <v>1</v>
      </c>
      <c r="E1680" t="s">
        <v>32</v>
      </c>
      <c r="F1680" t="s">
        <v>33</v>
      </c>
      <c r="G1680" t="str">
        <f>"2025-06-06 14:17:32.651"</f>
        <v>2025-06-06 14:17:32.651</v>
      </c>
      <c r="H1680" t="s">
        <v>21</v>
      </c>
    </row>
    <row r="1681" spans="1:10" x14ac:dyDescent="0.25">
      <c r="A1681" s="1">
        <v>742</v>
      </c>
      <c r="B1681" t="s">
        <v>30</v>
      </c>
      <c r="C1681">
        <v>635</v>
      </c>
      <c r="D1681">
        <v>1</v>
      </c>
      <c r="E1681" t="s">
        <v>32</v>
      </c>
      <c r="F1681" t="s">
        <v>33</v>
      </c>
      <c r="G1681" t="str">
        <f>"2025-06-06 14:00:21.151"</f>
        <v>2025-06-06 14:00:21.151</v>
      </c>
      <c r="H1681" t="s">
        <v>21</v>
      </c>
      <c r="I1681">
        <v>9.42</v>
      </c>
      <c r="J1681" t="s">
        <v>31</v>
      </c>
    </row>
    <row r="1682" spans="1:10" x14ac:dyDescent="0.25">
      <c r="A1682" s="1">
        <v>743</v>
      </c>
      <c r="B1682" t="s">
        <v>35</v>
      </c>
      <c r="C1682">
        <v>33</v>
      </c>
      <c r="D1682">
        <v>1</v>
      </c>
      <c r="E1682" t="s">
        <v>36</v>
      </c>
      <c r="F1682" t="s">
        <v>37</v>
      </c>
      <c r="G1682" t="str">
        <f>"2025-06-06 04:26:48.004"</f>
        <v>2025-06-06 04:26:48.004</v>
      </c>
      <c r="H1682" t="s">
        <v>38</v>
      </c>
    </row>
    <row r="1683" spans="1:10" x14ac:dyDescent="0.25">
      <c r="A1683" s="1">
        <v>744</v>
      </c>
      <c r="B1683" t="s">
        <v>39</v>
      </c>
      <c r="C1683">
        <v>33</v>
      </c>
      <c r="D1683">
        <v>1</v>
      </c>
      <c r="E1683" t="s">
        <v>36</v>
      </c>
      <c r="F1683" t="s">
        <v>37</v>
      </c>
      <c r="G1683" t="str">
        <f>"2025-06-06 04:25:32.203"</f>
        <v>2025-06-06 04:25:32.203</v>
      </c>
      <c r="H1683" t="s">
        <v>38</v>
      </c>
      <c r="I1683">
        <v>8.5500000000000007</v>
      </c>
      <c r="J1683" t="s">
        <v>34</v>
      </c>
    </row>
    <row r="1684" spans="1:10" x14ac:dyDescent="0.25">
      <c r="A1684" s="1">
        <v>745</v>
      </c>
      <c r="B1684" t="s">
        <v>27</v>
      </c>
      <c r="C1684">
        <v>635</v>
      </c>
      <c r="D1684">
        <v>1</v>
      </c>
      <c r="E1684" t="s">
        <v>32</v>
      </c>
      <c r="F1684" t="s">
        <v>33</v>
      </c>
      <c r="G1684" t="str">
        <f>"2025-06-06 02:39:26.251"</f>
        <v>2025-06-06 02:39:26.251</v>
      </c>
      <c r="H1684" t="s">
        <v>21</v>
      </c>
    </row>
    <row r="1685" spans="1:10" x14ac:dyDescent="0.25">
      <c r="A1685" s="1">
        <v>746</v>
      </c>
      <c r="B1685" t="s">
        <v>30</v>
      </c>
      <c r="C1685">
        <v>635</v>
      </c>
      <c r="D1685">
        <v>1</v>
      </c>
      <c r="E1685" t="s">
        <v>32</v>
      </c>
      <c r="F1685" t="s">
        <v>33</v>
      </c>
      <c r="G1685" t="str">
        <f>"2025-06-06 02:30:27.751"</f>
        <v>2025-06-06 02:30:27.751</v>
      </c>
      <c r="H1685" t="s">
        <v>21</v>
      </c>
      <c r="I1685">
        <v>0.3</v>
      </c>
      <c r="J1685" t="s">
        <v>42</v>
      </c>
    </row>
    <row r="1686" spans="1:10" x14ac:dyDescent="0.25">
      <c r="A1686" s="1">
        <v>747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"2025-06-06 01:04:33.542"</f>
        <v>2025-06-06 01:04:33.542</v>
      </c>
      <c r="H1686" t="s">
        <v>21</v>
      </c>
      <c r="I1686">
        <v>0</v>
      </c>
      <c r="J1686" t="s">
        <v>22</v>
      </c>
    </row>
    <row r="1687" spans="1:10" x14ac:dyDescent="0.25">
      <c r="A1687" s="1">
        <v>748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"2025-06-04 21:14:03.621"</f>
        <v>2025-06-04 21:14:03.621</v>
      </c>
      <c r="H1687" t="s">
        <v>21</v>
      </c>
      <c r="I1687">
        <v>0</v>
      </c>
      <c r="J1687" t="s">
        <v>22</v>
      </c>
    </row>
    <row r="1688" spans="1:10" x14ac:dyDescent="0.25">
      <c r="A1688" s="1">
        <v>749</v>
      </c>
      <c r="B1688" t="s">
        <v>19</v>
      </c>
      <c r="C1688">
        <v>700</v>
      </c>
      <c r="D1688">
        <v>0</v>
      </c>
      <c r="E1688" t="s">
        <v>20</v>
      </c>
      <c r="F1688" t="s">
        <v>20</v>
      </c>
      <c r="G1688" t="str">
        <f>"2025-06-04 00:30:19.710"</f>
        <v>2025-06-04 00:30:19.710</v>
      </c>
      <c r="H1688" t="s">
        <v>21</v>
      </c>
      <c r="I1688">
        <v>0</v>
      </c>
      <c r="J1688" t="s">
        <v>22</v>
      </c>
    </row>
    <row r="1689" spans="1:10" x14ac:dyDescent="0.25">
      <c r="A1689" s="1">
        <v>750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"2025-06-03 04:30:11.528"</f>
        <v>2025-06-03 04:30:11.528</v>
      </c>
      <c r="H1689" t="s">
        <v>21</v>
      </c>
    </row>
    <row r="1690" spans="1:10" x14ac:dyDescent="0.25">
      <c r="A1690" s="1">
        <v>751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"2025-06-02 03:46:15.561"</f>
        <v>2025-06-02 03:46:15.561</v>
      </c>
      <c r="H1690" t="s">
        <v>21</v>
      </c>
      <c r="I1690">
        <v>0</v>
      </c>
      <c r="J1690" t="s">
        <v>22</v>
      </c>
    </row>
    <row r="1691" spans="1:10" x14ac:dyDescent="0.25">
      <c r="A1691" s="1">
        <v>752</v>
      </c>
      <c r="B1691" t="s">
        <v>19</v>
      </c>
      <c r="C1691">
        <v>700</v>
      </c>
      <c r="D1691">
        <v>0</v>
      </c>
      <c r="E1691" t="s">
        <v>20</v>
      </c>
      <c r="F1691" t="s">
        <v>20</v>
      </c>
      <c r="G1691" t="str">
        <f>"2025-06-01 23:06:31.534"</f>
        <v>2025-06-01 23:06:31.534</v>
      </c>
      <c r="H1691" t="s">
        <v>21</v>
      </c>
    </row>
    <row r="1692" spans="1:10" x14ac:dyDescent="0.25">
      <c r="A1692" s="1">
        <v>753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"2025-06-01 22:47:01.562"</f>
        <v>2025-06-01 22:47:01.562</v>
      </c>
      <c r="H1692" t="s">
        <v>21</v>
      </c>
    </row>
    <row r="1693" spans="1:10" x14ac:dyDescent="0.25">
      <c r="A1693" s="1">
        <v>754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"2025-06-01 02:02:02.527"</f>
        <v>2025-06-01 02:02:02.527</v>
      </c>
      <c r="H1693" t="s">
        <v>21</v>
      </c>
      <c r="I1693">
        <v>0</v>
      </c>
      <c r="J1693" t="s">
        <v>22</v>
      </c>
    </row>
    <row r="1694" spans="1:10" x14ac:dyDescent="0.25">
      <c r="A1694" s="1">
        <v>755</v>
      </c>
      <c r="B1694" t="s">
        <v>27</v>
      </c>
      <c r="C1694">
        <v>98</v>
      </c>
      <c r="D1694">
        <v>1</v>
      </c>
      <c r="E1694" t="s">
        <v>40</v>
      </c>
      <c r="F1694" t="s">
        <v>41</v>
      </c>
      <c r="G1694" t="str">
        <f>"2025-05-31 23:56:47.238"</f>
        <v>2025-05-31 23:56:47.238</v>
      </c>
      <c r="H1694" t="s">
        <v>21</v>
      </c>
    </row>
    <row r="1695" spans="1:10" x14ac:dyDescent="0.25">
      <c r="A1695" s="1">
        <v>756</v>
      </c>
      <c r="B1695" t="s">
        <v>30</v>
      </c>
      <c r="C1695">
        <v>98</v>
      </c>
      <c r="D1695">
        <v>1</v>
      </c>
      <c r="E1695" t="s">
        <v>40</v>
      </c>
      <c r="F1695" t="s">
        <v>41</v>
      </c>
      <c r="G1695" t="str">
        <f>"2025-05-31 23:56:46.238"</f>
        <v>2025-05-31 23:56:46.238</v>
      </c>
      <c r="H1695" t="s">
        <v>21</v>
      </c>
      <c r="I1695">
        <v>25.33</v>
      </c>
      <c r="J1695" t="s">
        <v>31</v>
      </c>
    </row>
    <row r="1696" spans="1:10" x14ac:dyDescent="0.25">
      <c r="A1696" s="1">
        <v>757</v>
      </c>
      <c r="B1696" t="s">
        <v>27</v>
      </c>
      <c r="C1696">
        <v>98</v>
      </c>
      <c r="D1696">
        <v>1</v>
      </c>
      <c r="E1696" t="s">
        <v>40</v>
      </c>
      <c r="F1696" t="s">
        <v>41</v>
      </c>
      <c r="G1696" t="str">
        <f>"2025-05-31 23:56:46.038"</f>
        <v>2025-05-31 23:56:46.038</v>
      </c>
      <c r="H1696" t="s">
        <v>21</v>
      </c>
    </row>
    <row r="1697" spans="1:10" x14ac:dyDescent="0.25">
      <c r="A1697" s="1">
        <v>758</v>
      </c>
      <c r="B1697" t="s">
        <v>30</v>
      </c>
      <c r="C1697">
        <v>98</v>
      </c>
      <c r="D1697">
        <v>1</v>
      </c>
      <c r="E1697" t="s">
        <v>40</v>
      </c>
      <c r="F1697" t="s">
        <v>41</v>
      </c>
      <c r="G1697" t="str">
        <f>"2025-05-31 23:56:45.038"</f>
        <v>2025-05-31 23:56:45.038</v>
      </c>
      <c r="H1697" t="s">
        <v>21</v>
      </c>
      <c r="I1697">
        <v>25.26</v>
      </c>
      <c r="J1697" t="s">
        <v>31</v>
      </c>
    </row>
    <row r="1698" spans="1:10" x14ac:dyDescent="0.25">
      <c r="A1698" s="1">
        <v>759</v>
      </c>
      <c r="B1698" t="s">
        <v>19</v>
      </c>
      <c r="C1698">
        <v>706</v>
      </c>
      <c r="D1698">
        <v>4</v>
      </c>
      <c r="E1698" t="s">
        <v>23</v>
      </c>
      <c r="F1698" t="s">
        <v>26</v>
      </c>
      <c r="G1698" t="str">
        <f>"2025-05-31 23:16:34.401"</f>
        <v>2025-05-31 23:16:34.401</v>
      </c>
      <c r="H1698" t="s">
        <v>21</v>
      </c>
      <c r="I1698">
        <v>0</v>
      </c>
      <c r="J1698" t="s">
        <v>25</v>
      </c>
    </row>
    <row r="1699" spans="1:10" x14ac:dyDescent="0.25">
      <c r="A1699" s="1">
        <v>760</v>
      </c>
      <c r="B1699" t="s">
        <v>19</v>
      </c>
      <c r="C1699">
        <v>700</v>
      </c>
      <c r="D1699">
        <v>0</v>
      </c>
      <c r="E1699" t="s">
        <v>20</v>
      </c>
      <c r="F1699" t="s">
        <v>20</v>
      </c>
      <c r="G1699" t="str">
        <f>"2025-05-31 23:01:53.791"</f>
        <v>2025-05-31 23:01:53.791</v>
      </c>
      <c r="H1699" t="s">
        <v>21</v>
      </c>
      <c r="I1699">
        <v>0</v>
      </c>
      <c r="J1699" t="s">
        <v>22</v>
      </c>
    </row>
    <row r="1700" spans="1:10" x14ac:dyDescent="0.25">
      <c r="A1700" s="1">
        <v>761</v>
      </c>
      <c r="B1700" t="s">
        <v>19</v>
      </c>
      <c r="C1700">
        <v>706</v>
      </c>
      <c r="D1700">
        <v>2</v>
      </c>
      <c r="E1700" t="s">
        <v>23</v>
      </c>
      <c r="F1700" t="s">
        <v>24</v>
      </c>
      <c r="G1700" t="str">
        <f>"2025-05-31 08:45:11.552"</f>
        <v>2025-05-31 08:45:11.552</v>
      </c>
      <c r="H1700" t="s">
        <v>21</v>
      </c>
      <c r="I1700">
        <v>0</v>
      </c>
      <c r="J1700" t="s">
        <v>25</v>
      </c>
    </row>
    <row r="1701" spans="1:10" x14ac:dyDescent="0.25">
      <c r="A1701" s="1">
        <v>762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"2025-05-31 08:44:45.522"</f>
        <v>2025-05-31 08:44:45.522</v>
      </c>
      <c r="H1701" t="s">
        <v>21</v>
      </c>
      <c r="I1701">
        <v>0</v>
      </c>
      <c r="J1701" t="s">
        <v>22</v>
      </c>
    </row>
    <row r="1702" spans="1:10" x14ac:dyDescent="0.25">
      <c r="A1702" s="1">
        <v>763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"2025-05-31 07:40:32.550"</f>
        <v>2025-05-31 07:40:32.550</v>
      </c>
      <c r="H1702" t="s">
        <v>21</v>
      </c>
    </row>
    <row r="1703" spans="1:10" x14ac:dyDescent="0.25">
      <c r="A1703" s="1">
        <v>764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"2025-05-31 06:05:21.525"</f>
        <v>2025-05-31 06:05:21.525</v>
      </c>
      <c r="H1703" t="s">
        <v>21</v>
      </c>
      <c r="I1703">
        <v>0</v>
      </c>
      <c r="J1703" t="s">
        <v>22</v>
      </c>
    </row>
    <row r="1704" spans="1:10" x14ac:dyDescent="0.25">
      <c r="A1704" s="1">
        <v>765</v>
      </c>
      <c r="B1704" t="s">
        <v>19</v>
      </c>
      <c r="C1704">
        <v>700</v>
      </c>
      <c r="D1704">
        <v>0</v>
      </c>
      <c r="E1704" t="s">
        <v>20</v>
      </c>
      <c r="F1704" t="s">
        <v>20</v>
      </c>
      <c r="G1704" t="str">
        <f>"2025-05-31 05:32:01.541"</f>
        <v>2025-05-31 05:32:01.541</v>
      </c>
      <c r="H1704" t="s">
        <v>21</v>
      </c>
      <c r="I1704">
        <v>0</v>
      </c>
      <c r="J1704" t="s">
        <v>22</v>
      </c>
    </row>
    <row r="1705" spans="1:10" x14ac:dyDescent="0.25">
      <c r="A1705" s="1">
        <v>766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"2025-05-31 03:57:55.757"</f>
        <v>2025-05-31 03:57:55.757</v>
      </c>
      <c r="H1705" t="s">
        <v>21</v>
      </c>
    </row>
    <row r="1706" spans="1:10" x14ac:dyDescent="0.25">
      <c r="A1706" s="1">
        <v>767</v>
      </c>
      <c r="B1706" t="s">
        <v>19</v>
      </c>
      <c r="C1706">
        <v>719</v>
      </c>
      <c r="D1706">
        <v>5</v>
      </c>
      <c r="E1706" t="s">
        <v>96</v>
      </c>
      <c r="F1706" t="s">
        <v>97</v>
      </c>
      <c r="G1706" t="str">
        <f>"2025-05-31 03:02:00.288"</f>
        <v>2025-05-31 03:02:00.288</v>
      </c>
      <c r="H1706" t="s">
        <v>21</v>
      </c>
      <c r="I1706">
        <v>0</v>
      </c>
      <c r="J1706" t="s">
        <v>25</v>
      </c>
    </row>
    <row r="1707" spans="1:10" x14ac:dyDescent="0.25">
      <c r="A1707" s="1">
        <v>768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"2025-05-31 02:53:29.763"</f>
        <v>2025-05-31 02:53:29.763</v>
      </c>
      <c r="H1707" t="s">
        <v>21</v>
      </c>
    </row>
    <row r="1708" spans="1:10" x14ac:dyDescent="0.25">
      <c r="A1708" s="1">
        <v>769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"2025-05-31 01:52:38.551"</f>
        <v>2025-05-31 01:52:38.551</v>
      </c>
      <c r="H1708" t="s">
        <v>21</v>
      </c>
      <c r="I1708">
        <v>0</v>
      </c>
      <c r="J1708" t="s">
        <v>22</v>
      </c>
    </row>
    <row r="1709" spans="1:10" x14ac:dyDescent="0.25">
      <c r="A1709" s="1">
        <v>770</v>
      </c>
      <c r="B1709" t="s">
        <v>19</v>
      </c>
      <c r="C1709">
        <v>706</v>
      </c>
      <c r="D1709">
        <v>2</v>
      </c>
      <c r="E1709" t="s">
        <v>23</v>
      </c>
      <c r="F1709" t="s">
        <v>24</v>
      </c>
      <c r="G1709" t="str">
        <f>"2025-05-30 21:58:44.918"</f>
        <v>2025-05-30 21:58:44.918</v>
      </c>
      <c r="H1709" t="s">
        <v>21</v>
      </c>
      <c r="I1709">
        <v>0</v>
      </c>
      <c r="J1709" t="s">
        <v>25</v>
      </c>
    </row>
    <row r="1710" spans="1:10" x14ac:dyDescent="0.25">
      <c r="A1710" s="1">
        <v>771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"2025-05-30 21:58:23.538"</f>
        <v>2025-05-30 21:58:23.538</v>
      </c>
      <c r="H1710" t="s">
        <v>21</v>
      </c>
      <c r="I1710">
        <v>0</v>
      </c>
      <c r="J1710" t="s">
        <v>22</v>
      </c>
    </row>
    <row r="1711" spans="1:10" s="3" customFormat="1" x14ac:dyDescent="0.25">
      <c r="A1711" s="2">
        <v>772</v>
      </c>
      <c r="B1711" s="3" t="s">
        <v>27</v>
      </c>
      <c r="C1711" s="3">
        <v>647</v>
      </c>
      <c r="D1711" s="3">
        <v>1</v>
      </c>
      <c r="E1711" s="3" t="s">
        <v>28</v>
      </c>
      <c r="F1711" s="3" t="s">
        <v>29</v>
      </c>
      <c r="G1711" s="3" t="str">
        <f>"2025-05-30 00:27:25.050"</f>
        <v>2025-05-30 00:27:25.050</v>
      </c>
      <c r="H1711" s="3" t="s">
        <v>21</v>
      </c>
    </row>
    <row r="1712" spans="1:10" s="3" customFormat="1" x14ac:dyDescent="0.25">
      <c r="A1712" s="2">
        <v>773</v>
      </c>
      <c r="B1712" s="3" t="s">
        <v>30</v>
      </c>
      <c r="C1712" s="3">
        <v>647</v>
      </c>
      <c r="D1712" s="3">
        <v>1</v>
      </c>
      <c r="E1712" s="3" t="s">
        <v>28</v>
      </c>
      <c r="F1712" s="3" t="s">
        <v>29</v>
      </c>
      <c r="G1712" s="3" t="str">
        <f>"2025-05-30 00:27:22.951"</f>
        <v>2025-05-30 00:27:22.951</v>
      </c>
      <c r="H1712" s="3" t="s">
        <v>21</v>
      </c>
      <c r="I1712" s="3">
        <v>8.44</v>
      </c>
      <c r="J1712" s="3" t="s">
        <v>31</v>
      </c>
    </row>
    <row r="1713" spans="1:10" x14ac:dyDescent="0.25">
      <c r="A1713" s="1">
        <v>774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"2025-05-28 22:20:19.531"</f>
        <v>2025-05-28 22:20:19.531</v>
      </c>
      <c r="H1713" t="s">
        <v>21</v>
      </c>
      <c r="I1713">
        <v>0</v>
      </c>
      <c r="J1713" t="s">
        <v>22</v>
      </c>
    </row>
    <row r="1714" spans="1:10" x14ac:dyDescent="0.25">
      <c r="A1714" s="1">
        <v>775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"2025-05-28 22:02:26.611"</f>
        <v>2025-05-28 22:02:26.611</v>
      </c>
      <c r="H1714" t="s">
        <v>21</v>
      </c>
      <c r="I1714">
        <v>0</v>
      </c>
      <c r="J1714" t="s">
        <v>22</v>
      </c>
    </row>
    <row r="1715" spans="1:10" x14ac:dyDescent="0.25">
      <c r="A1715" s="1">
        <v>776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"2025-05-28 21:57:20.514"</f>
        <v>2025-05-28 21:57:20.514</v>
      </c>
      <c r="H1715" t="s">
        <v>21</v>
      </c>
    </row>
    <row r="1716" spans="1:10" x14ac:dyDescent="0.25">
      <c r="A1716" s="1">
        <v>777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"2025-05-28 21:52:42.653"</f>
        <v>2025-05-28 21:52:42.653</v>
      </c>
      <c r="H1716" t="s">
        <v>21</v>
      </c>
    </row>
    <row r="1717" spans="1:10" x14ac:dyDescent="0.25">
      <c r="A1717" s="1">
        <v>778</v>
      </c>
      <c r="B1717" t="s">
        <v>19</v>
      </c>
      <c r="C1717">
        <v>700</v>
      </c>
      <c r="D1717">
        <v>0</v>
      </c>
      <c r="E1717" t="s">
        <v>20</v>
      </c>
      <c r="F1717" t="s">
        <v>20</v>
      </c>
      <c r="G1717" t="str">
        <f>"2025-05-28 21:09:06.752"</f>
        <v>2025-05-28 21:09:06.752</v>
      </c>
      <c r="H1717" t="s">
        <v>21</v>
      </c>
      <c r="I1717">
        <v>0</v>
      </c>
      <c r="J1717" t="s">
        <v>22</v>
      </c>
    </row>
    <row r="1718" spans="1:10" x14ac:dyDescent="0.25">
      <c r="A1718" s="1">
        <v>779</v>
      </c>
      <c r="B1718" t="s">
        <v>19</v>
      </c>
      <c r="C1718">
        <v>706</v>
      </c>
      <c r="D1718">
        <v>2</v>
      </c>
      <c r="E1718" t="s">
        <v>23</v>
      </c>
      <c r="F1718" t="s">
        <v>24</v>
      </c>
      <c r="G1718" t="str">
        <f>"2025-05-27 08:01:19.261"</f>
        <v>2025-05-27 08:01:19.261</v>
      </c>
      <c r="H1718" t="s">
        <v>21</v>
      </c>
      <c r="I1718">
        <v>0</v>
      </c>
      <c r="J1718" t="s">
        <v>25</v>
      </c>
    </row>
    <row r="1719" spans="1:10" x14ac:dyDescent="0.25">
      <c r="A1719" s="1">
        <v>780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"2025-05-27 08:00:12.781"</f>
        <v>2025-05-27 08:00:12.781</v>
      </c>
      <c r="H1719" t="s">
        <v>21</v>
      </c>
    </row>
    <row r="1720" spans="1:10" s="3" customFormat="1" x14ac:dyDescent="0.25">
      <c r="A1720" s="2">
        <v>781</v>
      </c>
      <c r="B1720" s="3" t="s">
        <v>27</v>
      </c>
      <c r="C1720" s="3">
        <v>647</v>
      </c>
      <c r="D1720" s="3">
        <v>1</v>
      </c>
      <c r="E1720" s="3" t="s">
        <v>28</v>
      </c>
      <c r="F1720" s="3" t="s">
        <v>29</v>
      </c>
      <c r="G1720" s="3" t="str">
        <f>"2025-05-27 04:07:28.031"</f>
        <v>2025-05-27 04:07:28.031</v>
      </c>
      <c r="H1720" s="3" t="s">
        <v>21</v>
      </c>
    </row>
    <row r="1721" spans="1:10" s="3" customFormat="1" x14ac:dyDescent="0.25">
      <c r="A1721" s="2">
        <v>782</v>
      </c>
      <c r="B1721" s="3" t="s">
        <v>30</v>
      </c>
      <c r="C1721" s="3">
        <v>647</v>
      </c>
      <c r="D1721" s="3">
        <v>1</v>
      </c>
      <c r="E1721" s="3" t="s">
        <v>28</v>
      </c>
      <c r="F1721" s="3" t="s">
        <v>29</v>
      </c>
      <c r="G1721" s="3" t="str">
        <f>"2025-05-27 04:07:24.931"</f>
        <v>2025-05-27 04:07:24.931</v>
      </c>
      <c r="H1721" s="3" t="s">
        <v>21</v>
      </c>
      <c r="I1721" s="3">
        <v>11.07</v>
      </c>
      <c r="J1721" s="3" t="s">
        <v>31</v>
      </c>
    </row>
    <row r="1722" spans="1:10" x14ac:dyDescent="0.25">
      <c r="A1722" s="1">
        <v>783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"2025-05-26 20:15:06.519"</f>
        <v>2025-05-26 20:15:06.519</v>
      </c>
      <c r="H1722" t="s">
        <v>21</v>
      </c>
      <c r="I1722">
        <v>0</v>
      </c>
      <c r="J1722" t="s">
        <v>22</v>
      </c>
    </row>
    <row r="1723" spans="1:10" x14ac:dyDescent="0.25">
      <c r="A1723" s="1">
        <v>784</v>
      </c>
      <c r="B1723" t="s">
        <v>27</v>
      </c>
      <c r="C1723">
        <v>98</v>
      </c>
      <c r="D1723">
        <v>1</v>
      </c>
      <c r="E1723" t="s">
        <v>40</v>
      </c>
      <c r="F1723" t="s">
        <v>41</v>
      </c>
      <c r="G1723" t="str">
        <f>"2025-05-26 06:03:44.129"</f>
        <v>2025-05-26 06:03:44.129</v>
      </c>
      <c r="H1723" t="s">
        <v>21</v>
      </c>
    </row>
    <row r="1724" spans="1:10" x14ac:dyDescent="0.25">
      <c r="A1724" s="1">
        <v>785</v>
      </c>
      <c r="B1724" t="s">
        <v>30</v>
      </c>
      <c r="C1724">
        <v>98</v>
      </c>
      <c r="D1724">
        <v>1</v>
      </c>
      <c r="E1724" t="s">
        <v>40</v>
      </c>
      <c r="F1724" t="s">
        <v>41</v>
      </c>
      <c r="G1724" t="str">
        <f>"2025-05-26 06:03:42.329"</f>
        <v>2025-05-26 06:03:42.329</v>
      </c>
      <c r="H1724" t="s">
        <v>21</v>
      </c>
      <c r="I1724">
        <v>8.09</v>
      </c>
      <c r="J1724" t="s">
        <v>34</v>
      </c>
    </row>
    <row r="1725" spans="1:10" x14ac:dyDescent="0.25">
      <c r="A1725" s="1">
        <v>786</v>
      </c>
      <c r="B1725" t="s">
        <v>27</v>
      </c>
      <c r="C1725">
        <v>98</v>
      </c>
      <c r="D1725">
        <v>1</v>
      </c>
      <c r="E1725" t="s">
        <v>40</v>
      </c>
      <c r="F1725" t="s">
        <v>41</v>
      </c>
      <c r="G1725" t="str">
        <f>"2025-05-26 06:03:42.129"</f>
        <v>2025-05-26 06:03:42.129</v>
      </c>
      <c r="H1725" t="s">
        <v>21</v>
      </c>
    </row>
    <row r="1726" spans="1:10" x14ac:dyDescent="0.25">
      <c r="A1726" s="1">
        <v>787</v>
      </c>
      <c r="B1726" t="s">
        <v>30</v>
      </c>
      <c r="C1726">
        <v>98</v>
      </c>
      <c r="D1726">
        <v>1</v>
      </c>
      <c r="E1726" t="s">
        <v>40</v>
      </c>
      <c r="F1726" t="s">
        <v>41</v>
      </c>
      <c r="G1726" t="str">
        <f>"2025-05-26 06:03:40.929"</f>
        <v>2025-05-26 06:03:40.929</v>
      </c>
      <c r="H1726" t="s">
        <v>21</v>
      </c>
      <c r="I1726">
        <v>8.34</v>
      </c>
      <c r="J1726" t="s">
        <v>34</v>
      </c>
    </row>
    <row r="1727" spans="1:10" x14ac:dyDescent="0.25">
      <c r="A1727" s="1">
        <v>788</v>
      </c>
      <c r="B1727" t="s">
        <v>19</v>
      </c>
      <c r="C1727">
        <v>706</v>
      </c>
      <c r="D1727">
        <v>4</v>
      </c>
      <c r="E1727" t="s">
        <v>23</v>
      </c>
      <c r="F1727" t="s">
        <v>26</v>
      </c>
      <c r="G1727" t="str">
        <f>"2025-05-25 22:41:56.739"</f>
        <v>2025-05-25 22:41:56.739</v>
      </c>
      <c r="H1727" t="s">
        <v>21</v>
      </c>
      <c r="I1727">
        <v>0</v>
      </c>
      <c r="J1727" t="s">
        <v>25</v>
      </c>
    </row>
    <row r="1728" spans="1:10" x14ac:dyDescent="0.25">
      <c r="A1728" s="1">
        <v>789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"2025-05-25 22:39:52.519"</f>
        <v>2025-05-25 22:39:52.519</v>
      </c>
      <c r="H1728" t="s">
        <v>21</v>
      </c>
    </row>
    <row r="1729" spans="1:10" x14ac:dyDescent="0.25">
      <c r="A1729" s="1">
        <v>790</v>
      </c>
      <c r="B1729" t="s">
        <v>27</v>
      </c>
      <c r="C1729">
        <v>635</v>
      </c>
      <c r="D1729">
        <v>1</v>
      </c>
      <c r="E1729" t="s">
        <v>32</v>
      </c>
      <c r="F1729" t="s">
        <v>33</v>
      </c>
      <c r="G1729" t="str">
        <f>"2025-05-25 05:01:54.221"</f>
        <v>2025-05-25 05:01:54.221</v>
      </c>
      <c r="H1729" t="s">
        <v>21</v>
      </c>
    </row>
    <row r="1730" spans="1:10" x14ac:dyDescent="0.25">
      <c r="A1730" s="1">
        <v>791</v>
      </c>
      <c r="B1730" t="s">
        <v>30</v>
      </c>
      <c r="C1730">
        <v>635</v>
      </c>
      <c r="D1730">
        <v>1</v>
      </c>
      <c r="E1730" t="s">
        <v>32</v>
      </c>
      <c r="F1730" t="s">
        <v>33</v>
      </c>
      <c r="G1730" t="str">
        <f>"2025-05-25 04:58:16.221"</f>
        <v>2025-05-25 04:58:16.221</v>
      </c>
      <c r="H1730" t="s">
        <v>21</v>
      </c>
      <c r="I1730">
        <v>4.2699999999999996</v>
      </c>
      <c r="J1730" t="s">
        <v>34</v>
      </c>
    </row>
    <row r="1731" spans="1:10" x14ac:dyDescent="0.25">
      <c r="A1731" s="1">
        <v>792</v>
      </c>
      <c r="B1731" t="s">
        <v>27</v>
      </c>
      <c r="C1731">
        <v>635</v>
      </c>
      <c r="D1731">
        <v>1</v>
      </c>
      <c r="E1731" t="s">
        <v>32</v>
      </c>
      <c r="F1731" t="s">
        <v>33</v>
      </c>
      <c r="G1731" t="str">
        <f>"2025-05-25 04:46:49.221"</f>
        <v>2025-05-25 04:46:49.221</v>
      </c>
      <c r="H1731" t="s">
        <v>21</v>
      </c>
    </row>
    <row r="1732" spans="1:10" x14ac:dyDescent="0.25">
      <c r="A1732" s="1">
        <v>793</v>
      </c>
      <c r="B1732" t="s">
        <v>30</v>
      </c>
      <c r="C1732">
        <v>635</v>
      </c>
      <c r="D1732">
        <v>1</v>
      </c>
      <c r="E1732" t="s">
        <v>32</v>
      </c>
      <c r="F1732" t="s">
        <v>33</v>
      </c>
      <c r="G1732" t="str">
        <f>"2025-05-25 04:41:35.721"</f>
        <v>2025-05-25 04:41:35.721</v>
      </c>
      <c r="H1732" t="s">
        <v>21</v>
      </c>
      <c r="I1732">
        <v>6.45</v>
      </c>
      <c r="J1732" t="s">
        <v>34</v>
      </c>
    </row>
    <row r="1733" spans="1:10" x14ac:dyDescent="0.25">
      <c r="A1733" s="1">
        <v>794</v>
      </c>
      <c r="B1733" t="s">
        <v>19</v>
      </c>
      <c r="C1733">
        <v>700</v>
      </c>
      <c r="D1733">
        <v>0</v>
      </c>
      <c r="E1733" t="s">
        <v>20</v>
      </c>
      <c r="F1733" t="s">
        <v>20</v>
      </c>
      <c r="G1733" t="str">
        <f>"2025-05-24 12:42:47.501"</f>
        <v>2025-05-24 12:42:47.501</v>
      </c>
      <c r="H1733" t="s">
        <v>21</v>
      </c>
    </row>
    <row r="1734" spans="1:10" x14ac:dyDescent="0.25">
      <c r="A1734" s="1">
        <v>795</v>
      </c>
      <c r="B1734" t="s">
        <v>19</v>
      </c>
      <c r="C1734">
        <v>700</v>
      </c>
      <c r="D1734">
        <v>0</v>
      </c>
      <c r="E1734" t="s">
        <v>20</v>
      </c>
      <c r="F1734" t="s">
        <v>20</v>
      </c>
      <c r="G1734" t="str">
        <f>"2025-05-24 05:25:52.512"</f>
        <v>2025-05-24 05:25:52.512</v>
      </c>
      <c r="H1734" t="s">
        <v>21</v>
      </c>
      <c r="I1734">
        <v>0</v>
      </c>
      <c r="J1734" t="s">
        <v>22</v>
      </c>
    </row>
    <row r="1735" spans="1:10" x14ac:dyDescent="0.25">
      <c r="A1735" s="1">
        <v>796</v>
      </c>
      <c r="B1735" t="s">
        <v>35</v>
      </c>
      <c r="C1735">
        <v>33</v>
      </c>
      <c r="D1735">
        <v>1</v>
      </c>
      <c r="E1735" t="s">
        <v>36</v>
      </c>
      <c r="F1735" t="s">
        <v>37</v>
      </c>
      <c r="G1735" t="str">
        <f>"2025-05-23 23:55:54.884"</f>
        <v>2025-05-23 23:55:54.884</v>
      </c>
      <c r="H1735" t="s">
        <v>38</v>
      </c>
    </row>
    <row r="1736" spans="1:10" x14ac:dyDescent="0.25">
      <c r="A1736" s="1">
        <v>797</v>
      </c>
      <c r="B1736" t="s">
        <v>39</v>
      </c>
      <c r="C1736">
        <v>33</v>
      </c>
      <c r="D1736">
        <v>1</v>
      </c>
      <c r="E1736" t="s">
        <v>36</v>
      </c>
      <c r="F1736" t="s">
        <v>37</v>
      </c>
      <c r="G1736" t="str">
        <f>"2025-05-23 23:55:43.343"</f>
        <v>2025-05-23 23:55:43.343</v>
      </c>
      <c r="H1736" t="s">
        <v>38</v>
      </c>
      <c r="I1736">
        <v>10.220000000000001</v>
      </c>
      <c r="J1736" t="s">
        <v>34</v>
      </c>
    </row>
    <row r="1737" spans="1:10" x14ac:dyDescent="0.25">
      <c r="A1737" s="1">
        <v>798</v>
      </c>
      <c r="B1737" t="s">
        <v>35</v>
      </c>
      <c r="C1737">
        <v>33</v>
      </c>
      <c r="D1737">
        <v>1</v>
      </c>
      <c r="E1737" t="s">
        <v>36</v>
      </c>
      <c r="F1737" t="s">
        <v>37</v>
      </c>
      <c r="G1737" t="str">
        <f>"2025-05-23 22:14:59.585"</f>
        <v>2025-05-23 22:14:59.585</v>
      </c>
      <c r="H1737" t="s">
        <v>38</v>
      </c>
    </row>
    <row r="1738" spans="1:10" x14ac:dyDescent="0.25">
      <c r="A1738" s="1">
        <v>799</v>
      </c>
      <c r="B1738" t="s">
        <v>39</v>
      </c>
      <c r="C1738">
        <v>33</v>
      </c>
      <c r="D1738">
        <v>1</v>
      </c>
      <c r="E1738" t="s">
        <v>36</v>
      </c>
      <c r="F1738" t="s">
        <v>37</v>
      </c>
      <c r="G1738" t="str">
        <f>"2025-05-23 22:14:02.663"</f>
        <v>2025-05-23 22:14:02.663</v>
      </c>
      <c r="H1738" t="s">
        <v>38</v>
      </c>
      <c r="I1738">
        <v>13.85</v>
      </c>
      <c r="J1738" t="s">
        <v>34</v>
      </c>
    </row>
    <row r="1739" spans="1:10" x14ac:dyDescent="0.25">
      <c r="A1739" s="1">
        <v>800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"2025-05-23 22:12:30.662"</f>
        <v>2025-05-23 22:12:30.662</v>
      </c>
      <c r="H1739" t="s">
        <v>21</v>
      </c>
      <c r="I1739">
        <v>0</v>
      </c>
      <c r="J1739" t="s">
        <v>22</v>
      </c>
    </row>
    <row r="1740" spans="1:10" x14ac:dyDescent="0.25">
      <c r="A1740" s="1">
        <v>801</v>
      </c>
      <c r="B1740" t="s">
        <v>19</v>
      </c>
      <c r="C1740">
        <v>706</v>
      </c>
      <c r="D1740">
        <v>2</v>
      </c>
      <c r="E1740" t="s">
        <v>23</v>
      </c>
      <c r="F1740" t="s">
        <v>24</v>
      </c>
      <c r="G1740" t="str">
        <f>"2025-05-23 01:25:21.345"</f>
        <v>2025-05-23 01:25:21.345</v>
      </c>
      <c r="H1740" t="s">
        <v>21</v>
      </c>
      <c r="I1740">
        <v>0</v>
      </c>
      <c r="J1740" t="s">
        <v>25</v>
      </c>
    </row>
    <row r="1741" spans="1:10" x14ac:dyDescent="0.25">
      <c r="A1741" s="1">
        <v>802</v>
      </c>
      <c r="B1741" t="s">
        <v>19</v>
      </c>
      <c r="C1741">
        <v>706</v>
      </c>
      <c r="D1741">
        <v>3</v>
      </c>
      <c r="E1741" t="s">
        <v>23</v>
      </c>
      <c r="F1741" t="s">
        <v>43</v>
      </c>
      <c r="G1741" t="str">
        <f>"2025-05-23 01:24:47.595"</f>
        <v>2025-05-23 01:24:47.595</v>
      </c>
      <c r="H1741" t="s">
        <v>21</v>
      </c>
      <c r="I1741">
        <v>0</v>
      </c>
      <c r="J1741" t="s">
        <v>25</v>
      </c>
    </row>
    <row r="1742" spans="1:10" x14ac:dyDescent="0.25">
      <c r="A1742" s="1">
        <v>803</v>
      </c>
      <c r="B1742" t="s">
        <v>19</v>
      </c>
      <c r="C1742">
        <v>706</v>
      </c>
      <c r="D1742">
        <v>4</v>
      </c>
      <c r="E1742" t="s">
        <v>23</v>
      </c>
      <c r="F1742" t="s">
        <v>26</v>
      </c>
      <c r="G1742" t="str">
        <f>"2025-05-22 23:59:38.745"</f>
        <v>2025-05-22 23:59:38.745</v>
      </c>
      <c r="H1742" t="s">
        <v>21</v>
      </c>
      <c r="I1742">
        <v>0</v>
      </c>
      <c r="J1742" t="s">
        <v>25</v>
      </c>
    </row>
    <row r="1743" spans="1:10" x14ac:dyDescent="0.25">
      <c r="A1743" s="1">
        <v>804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"2025-05-22 23:22:32.495"</f>
        <v>2025-05-22 23:22:32.495</v>
      </c>
      <c r="H1743" t="s">
        <v>21</v>
      </c>
    </row>
    <row r="1744" spans="1:10" x14ac:dyDescent="0.25">
      <c r="A1744" s="1">
        <v>805</v>
      </c>
      <c r="B1744" t="s">
        <v>19</v>
      </c>
      <c r="C1744">
        <v>706</v>
      </c>
      <c r="D1744">
        <v>3</v>
      </c>
      <c r="E1744" t="s">
        <v>23</v>
      </c>
      <c r="F1744" t="s">
        <v>43</v>
      </c>
      <c r="G1744" t="str">
        <f>"2025-05-22 23:15:49.984"</f>
        <v>2025-05-22 23:15:49.984</v>
      </c>
      <c r="H1744" t="s">
        <v>21</v>
      </c>
      <c r="I1744">
        <v>0</v>
      </c>
      <c r="J1744" t="s">
        <v>25</v>
      </c>
    </row>
    <row r="1745" spans="1:10" x14ac:dyDescent="0.25">
      <c r="A1745" s="1">
        <v>806</v>
      </c>
      <c r="B1745" t="s">
        <v>19</v>
      </c>
      <c r="C1745">
        <v>706</v>
      </c>
      <c r="D1745">
        <v>2</v>
      </c>
      <c r="E1745" t="s">
        <v>23</v>
      </c>
      <c r="F1745" t="s">
        <v>24</v>
      </c>
      <c r="G1745" t="str">
        <f>"2025-05-22 23:14:14.884"</f>
        <v>2025-05-22 23:14:14.884</v>
      </c>
      <c r="H1745" t="s">
        <v>21</v>
      </c>
      <c r="I1745">
        <v>0</v>
      </c>
      <c r="J1745" t="s">
        <v>25</v>
      </c>
    </row>
    <row r="1746" spans="1:10" x14ac:dyDescent="0.25">
      <c r="A1746" s="1">
        <v>807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"2025-05-22 22:59:35.494"</f>
        <v>2025-05-22 22:59:35.494</v>
      </c>
      <c r="H1746" t="s">
        <v>21</v>
      </c>
    </row>
    <row r="1747" spans="1:10" x14ac:dyDescent="0.25">
      <c r="A1747" s="1">
        <v>808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"2025-05-22 22:53:55.511"</f>
        <v>2025-05-22 22:53:55.511</v>
      </c>
      <c r="H1747" t="s">
        <v>21</v>
      </c>
    </row>
    <row r="1748" spans="1:10" x14ac:dyDescent="0.25">
      <c r="A1748" s="1">
        <v>809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"2025-05-22 22:05:23.699"</f>
        <v>2025-05-22 22:05:23.699</v>
      </c>
      <c r="H1748" t="s">
        <v>21</v>
      </c>
      <c r="I1748">
        <v>0</v>
      </c>
      <c r="J1748" t="s">
        <v>22</v>
      </c>
    </row>
    <row r="1749" spans="1:10" x14ac:dyDescent="0.25">
      <c r="A1749" s="1">
        <v>810</v>
      </c>
      <c r="B1749" t="s">
        <v>19</v>
      </c>
      <c r="C1749">
        <v>706</v>
      </c>
      <c r="D1749">
        <v>4</v>
      </c>
      <c r="E1749" t="s">
        <v>23</v>
      </c>
      <c r="F1749" t="s">
        <v>26</v>
      </c>
      <c r="G1749" t="str">
        <f>"2025-05-22 02:05:21.341"</f>
        <v>2025-05-22 02:05:21.341</v>
      </c>
      <c r="H1749" t="s">
        <v>21</v>
      </c>
      <c r="I1749">
        <v>0</v>
      </c>
      <c r="J1749" t="s">
        <v>25</v>
      </c>
    </row>
    <row r="1750" spans="1:10" x14ac:dyDescent="0.25">
      <c r="A1750" s="1">
        <v>811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"2025-05-22 02:04:26.491"</f>
        <v>2025-05-22 02:04:26.491</v>
      </c>
      <c r="H1750" t="s">
        <v>21</v>
      </c>
      <c r="I1750">
        <v>0</v>
      </c>
      <c r="J1750" t="s">
        <v>22</v>
      </c>
    </row>
    <row r="1751" spans="1:10" x14ac:dyDescent="0.25">
      <c r="A1751" s="1">
        <v>812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"2025-05-22 01:57:19.573"</f>
        <v>2025-05-22 01:57:19.573</v>
      </c>
      <c r="H1751" t="s">
        <v>21</v>
      </c>
    </row>
    <row r="1752" spans="1:10" x14ac:dyDescent="0.25">
      <c r="A1752" s="1">
        <v>813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"2025-05-22 01:48:27.495"</f>
        <v>2025-05-22 01:48:27.495</v>
      </c>
      <c r="H1752" t="s">
        <v>21</v>
      </c>
      <c r="I1752">
        <v>0</v>
      </c>
      <c r="J1752" t="s">
        <v>22</v>
      </c>
    </row>
    <row r="1753" spans="1:10" x14ac:dyDescent="0.25">
      <c r="A1753" s="1">
        <v>814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"2025-05-22 01:32:32.515"</f>
        <v>2025-05-22 01:32:32.515</v>
      </c>
      <c r="H1753" t="s">
        <v>21</v>
      </c>
    </row>
    <row r="1754" spans="1:10" x14ac:dyDescent="0.25">
      <c r="A1754" s="1">
        <v>815</v>
      </c>
      <c r="B1754" t="s">
        <v>27</v>
      </c>
      <c r="C1754">
        <v>635</v>
      </c>
      <c r="D1754">
        <v>1</v>
      </c>
      <c r="E1754" t="s">
        <v>32</v>
      </c>
      <c r="F1754" t="s">
        <v>33</v>
      </c>
      <c r="G1754" t="str">
        <f>"2025-05-21 15:11:57.327"</f>
        <v>2025-05-21 15:11:57.327</v>
      </c>
      <c r="H1754" t="s">
        <v>21</v>
      </c>
    </row>
    <row r="1755" spans="1:10" x14ac:dyDescent="0.25">
      <c r="A1755" s="1">
        <v>816</v>
      </c>
      <c r="B1755" t="s">
        <v>30</v>
      </c>
      <c r="C1755">
        <v>635</v>
      </c>
      <c r="D1755">
        <v>1</v>
      </c>
      <c r="E1755" t="s">
        <v>32</v>
      </c>
      <c r="F1755" t="s">
        <v>33</v>
      </c>
      <c r="G1755" t="str">
        <f>"2025-05-21 15:07:43.327"</f>
        <v>2025-05-21 15:07:43.327</v>
      </c>
      <c r="H1755" t="s">
        <v>21</v>
      </c>
      <c r="I1755">
        <v>6.84</v>
      </c>
      <c r="J1755" t="s">
        <v>34</v>
      </c>
    </row>
    <row r="1756" spans="1:10" x14ac:dyDescent="0.25">
      <c r="A1756" s="1">
        <v>817</v>
      </c>
      <c r="B1756" t="s">
        <v>27</v>
      </c>
      <c r="C1756">
        <v>635</v>
      </c>
      <c r="D1756">
        <v>1</v>
      </c>
      <c r="E1756" t="s">
        <v>32</v>
      </c>
      <c r="F1756" t="s">
        <v>33</v>
      </c>
      <c r="G1756" t="str">
        <f>"2025-05-21 07:11:35.427"</f>
        <v>2025-05-21 07:11:35.427</v>
      </c>
      <c r="H1756" t="s">
        <v>21</v>
      </c>
    </row>
    <row r="1757" spans="1:10" x14ac:dyDescent="0.25">
      <c r="A1757" s="1">
        <v>818</v>
      </c>
      <c r="B1757" t="s">
        <v>30</v>
      </c>
      <c r="C1757">
        <v>635</v>
      </c>
      <c r="D1757">
        <v>1</v>
      </c>
      <c r="E1757" t="s">
        <v>32</v>
      </c>
      <c r="F1757" t="s">
        <v>33</v>
      </c>
      <c r="G1757" t="str">
        <f>"2025-05-21 07:09:50.927"</f>
        <v>2025-05-21 07:09:50.927</v>
      </c>
      <c r="H1757" t="s">
        <v>21</v>
      </c>
      <c r="I1757">
        <v>7.59</v>
      </c>
      <c r="J1757" t="s">
        <v>34</v>
      </c>
    </row>
    <row r="1758" spans="1:10" x14ac:dyDescent="0.25">
      <c r="A1758" s="1">
        <v>819</v>
      </c>
      <c r="B1758" t="s">
        <v>27</v>
      </c>
      <c r="C1758">
        <v>635</v>
      </c>
      <c r="D1758">
        <v>1</v>
      </c>
      <c r="E1758" t="s">
        <v>32</v>
      </c>
      <c r="F1758" t="s">
        <v>33</v>
      </c>
      <c r="G1758" t="str">
        <f>"2025-05-21 04:55:54.227"</f>
        <v>2025-05-21 04:55:54.227</v>
      </c>
      <c r="H1758" t="s">
        <v>21</v>
      </c>
    </row>
    <row r="1759" spans="1:10" x14ac:dyDescent="0.25">
      <c r="A1759" s="1">
        <v>820</v>
      </c>
      <c r="B1759" t="s">
        <v>30</v>
      </c>
      <c r="C1759">
        <v>635</v>
      </c>
      <c r="D1759">
        <v>1</v>
      </c>
      <c r="E1759" t="s">
        <v>32</v>
      </c>
      <c r="F1759" t="s">
        <v>33</v>
      </c>
      <c r="G1759" t="str">
        <f>"2025-05-21 04:47:44.327"</f>
        <v>2025-05-21 04:47:44.327</v>
      </c>
      <c r="H1759" t="s">
        <v>21</v>
      </c>
      <c r="I1759">
        <v>8.5</v>
      </c>
      <c r="J1759" t="s">
        <v>34</v>
      </c>
    </row>
    <row r="1760" spans="1:10" x14ac:dyDescent="0.25">
      <c r="A1760" s="1">
        <v>821</v>
      </c>
      <c r="B1760" t="s">
        <v>19</v>
      </c>
      <c r="C1760">
        <v>700</v>
      </c>
      <c r="D1760">
        <v>0</v>
      </c>
      <c r="E1760" t="s">
        <v>20</v>
      </c>
      <c r="F1760" t="s">
        <v>20</v>
      </c>
      <c r="G1760" t="str">
        <f>"2025-05-20 20:29:16.792"</f>
        <v>2025-05-20 20:29:16.792</v>
      </c>
      <c r="H1760" t="s">
        <v>21</v>
      </c>
    </row>
    <row r="1761" spans="1:10" x14ac:dyDescent="0.25">
      <c r="A1761" s="1">
        <v>822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"2025-05-20 15:55:03.505"</f>
        <v>2025-05-20 15:55:03.505</v>
      </c>
      <c r="H1761" t="s">
        <v>21</v>
      </c>
      <c r="I1761">
        <v>0</v>
      </c>
      <c r="J1761" t="s">
        <v>22</v>
      </c>
    </row>
    <row r="1762" spans="1:10" x14ac:dyDescent="0.25">
      <c r="A1762" s="1">
        <v>823</v>
      </c>
      <c r="B1762" t="s">
        <v>19</v>
      </c>
      <c r="C1762">
        <v>706</v>
      </c>
      <c r="D1762">
        <v>4</v>
      </c>
      <c r="E1762" t="s">
        <v>23</v>
      </c>
      <c r="F1762" t="s">
        <v>26</v>
      </c>
      <c r="G1762" t="str">
        <f>"2025-05-20 15:47:41.144"</f>
        <v>2025-05-20 15:47:41.144</v>
      </c>
      <c r="H1762" t="s">
        <v>21</v>
      </c>
      <c r="I1762">
        <v>0</v>
      </c>
      <c r="J1762" t="s">
        <v>25</v>
      </c>
    </row>
    <row r="1763" spans="1:10" x14ac:dyDescent="0.25">
      <c r="A1763" s="1">
        <v>824</v>
      </c>
      <c r="B1763" t="s">
        <v>27</v>
      </c>
      <c r="C1763">
        <v>49</v>
      </c>
      <c r="D1763">
        <v>1</v>
      </c>
      <c r="E1763" t="s">
        <v>90</v>
      </c>
      <c r="F1763" t="s">
        <v>91</v>
      </c>
      <c r="G1763" t="str">
        <f>"2025-05-20 15:23:36.453"</f>
        <v>2025-05-20 15:23:36.453</v>
      </c>
      <c r="H1763" t="s">
        <v>92</v>
      </c>
    </row>
    <row r="1764" spans="1:10" x14ac:dyDescent="0.25">
      <c r="A1764" s="1">
        <v>825</v>
      </c>
      <c r="B1764" t="s">
        <v>30</v>
      </c>
      <c r="C1764">
        <v>49</v>
      </c>
      <c r="D1764">
        <v>1</v>
      </c>
      <c r="E1764" t="s">
        <v>90</v>
      </c>
      <c r="F1764" t="s">
        <v>91</v>
      </c>
      <c r="G1764" t="str">
        <f>"2025-05-20 15:19:59.654"</f>
        <v>2025-05-20 15:19:59.654</v>
      </c>
      <c r="H1764" t="s">
        <v>92</v>
      </c>
      <c r="I1764">
        <v>0</v>
      </c>
      <c r="J1764" t="s">
        <v>25</v>
      </c>
    </row>
    <row r="1765" spans="1:10" x14ac:dyDescent="0.25">
      <c r="A1765" s="1">
        <v>826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"2025-05-20 15:06:33.504"</f>
        <v>2025-05-20 15:06:33.504</v>
      </c>
      <c r="H1765" t="s">
        <v>21</v>
      </c>
    </row>
    <row r="1766" spans="1:10" x14ac:dyDescent="0.25">
      <c r="A1766" s="1">
        <v>827</v>
      </c>
      <c r="B1766" t="s">
        <v>19</v>
      </c>
      <c r="C1766">
        <v>700</v>
      </c>
      <c r="D1766">
        <v>0</v>
      </c>
      <c r="E1766" t="s">
        <v>20</v>
      </c>
      <c r="F1766" t="s">
        <v>20</v>
      </c>
      <c r="G1766" t="str">
        <f>"2025-05-20 14:50:10.506"</f>
        <v>2025-05-20 14:50:10.506</v>
      </c>
      <c r="H1766" t="s">
        <v>21</v>
      </c>
    </row>
    <row r="1767" spans="1:10" x14ac:dyDescent="0.25">
      <c r="A1767" s="1">
        <v>828</v>
      </c>
      <c r="B1767" t="s">
        <v>19</v>
      </c>
      <c r="C1767">
        <v>700</v>
      </c>
      <c r="D1767">
        <v>0</v>
      </c>
      <c r="E1767" t="s">
        <v>20</v>
      </c>
      <c r="F1767" t="s">
        <v>20</v>
      </c>
      <c r="G1767" t="str">
        <f>"2025-05-20 14:47:50.492"</f>
        <v>2025-05-20 14:47:50.492</v>
      </c>
      <c r="H1767" t="s">
        <v>21</v>
      </c>
      <c r="I1767">
        <v>0</v>
      </c>
      <c r="J1767" t="s">
        <v>22</v>
      </c>
    </row>
    <row r="1768" spans="1:10" x14ac:dyDescent="0.25">
      <c r="A1768" s="1">
        <v>829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"2025-05-20 13:49:01.499"</f>
        <v>2025-05-20 13:49:01.499</v>
      </c>
      <c r="H1768" t="s">
        <v>21</v>
      </c>
      <c r="I1768">
        <v>0</v>
      </c>
      <c r="J1768" t="s">
        <v>22</v>
      </c>
    </row>
    <row r="1769" spans="1:10" x14ac:dyDescent="0.25">
      <c r="A1769" s="1">
        <v>830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"2025-05-20 13:17:41.505"</f>
        <v>2025-05-20 13:17:41.505</v>
      </c>
      <c r="H1769" t="s">
        <v>21</v>
      </c>
      <c r="I1769">
        <v>0</v>
      </c>
      <c r="J1769" t="s">
        <v>22</v>
      </c>
    </row>
    <row r="1770" spans="1:10" x14ac:dyDescent="0.25">
      <c r="A1770" s="1">
        <v>831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"2025-05-20 12:39:02.507"</f>
        <v>2025-05-20 12:39:02.507</v>
      </c>
      <c r="H1770" t="s">
        <v>21</v>
      </c>
      <c r="I1770">
        <v>0</v>
      </c>
      <c r="J1770" t="s">
        <v>22</v>
      </c>
    </row>
    <row r="1771" spans="1:10" x14ac:dyDescent="0.25">
      <c r="A1771" s="1">
        <v>832</v>
      </c>
      <c r="B1771" t="s">
        <v>19</v>
      </c>
      <c r="C1771">
        <v>706</v>
      </c>
      <c r="D1771">
        <v>2</v>
      </c>
      <c r="E1771" t="s">
        <v>23</v>
      </c>
      <c r="F1771" t="s">
        <v>24</v>
      </c>
      <c r="G1771" t="str">
        <f>"2025-05-20 10:25:42.525"</f>
        <v>2025-05-20 10:25:42.525</v>
      </c>
      <c r="H1771" t="s">
        <v>21</v>
      </c>
      <c r="I1771">
        <v>0</v>
      </c>
      <c r="J1771" t="s">
        <v>25</v>
      </c>
    </row>
    <row r="1772" spans="1:10" x14ac:dyDescent="0.25">
      <c r="A1772" s="1">
        <v>833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"2025-05-20 10:23:52.615"</f>
        <v>2025-05-20 10:23:52.615</v>
      </c>
      <c r="H1772" t="s">
        <v>21</v>
      </c>
    </row>
    <row r="1773" spans="1:10" x14ac:dyDescent="0.25">
      <c r="A1773" s="1">
        <v>834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"2025-05-20 10:21:16.509"</f>
        <v>2025-05-20 10:21:16.509</v>
      </c>
      <c r="H1773" t="s">
        <v>21</v>
      </c>
      <c r="I1773">
        <v>0</v>
      </c>
      <c r="J1773" t="s">
        <v>22</v>
      </c>
    </row>
    <row r="1774" spans="1:10" x14ac:dyDescent="0.25">
      <c r="A1774" s="1">
        <v>835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"2025-05-20 10:20:06.504"</f>
        <v>2025-05-20 10:20:06.504</v>
      </c>
      <c r="H1774" t="s">
        <v>21</v>
      </c>
      <c r="I1774">
        <v>0</v>
      </c>
      <c r="J1774" t="s">
        <v>22</v>
      </c>
    </row>
    <row r="1775" spans="1:10" x14ac:dyDescent="0.25">
      <c r="A1775" s="1">
        <v>836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"2025-05-20 01:39:05.507"</f>
        <v>2025-05-20 01:39:05.507</v>
      </c>
      <c r="H1775" t="s">
        <v>21</v>
      </c>
      <c r="I1775">
        <v>0</v>
      </c>
      <c r="J1775" t="s">
        <v>22</v>
      </c>
    </row>
    <row r="1776" spans="1:10" x14ac:dyDescent="0.25">
      <c r="A1776" s="1">
        <v>837</v>
      </c>
      <c r="B1776" t="s">
        <v>27</v>
      </c>
      <c r="C1776">
        <v>98</v>
      </c>
      <c r="D1776">
        <v>1</v>
      </c>
      <c r="E1776" t="s">
        <v>40</v>
      </c>
      <c r="F1776" t="s">
        <v>41</v>
      </c>
      <c r="G1776" t="str">
        <f>"2025-05-20 01:36:33.242"</f>
        <v>2025-05-20 01:36:33.242</v>
      </c>
      <c r="H1776" t="s">
        <v>21</v>
      </c>
    </row>
    <row r="1777" spans="1:10" x14ac:dyDescent="0.25">
      <c r="A1777" s="1">
        <v>838</v>
      </c>
      <c r="B1777" t="s">
        <v>30</v>
      </c>
      <c r="C1777">
        <v>98</v>
      </c>
      <c r="D1777">
        <v>1</v>
      </c>
      <c r="E1777" t="s">
        <v>40</v>
      </c>
      <c r="F1777" t="s">
        <v>41</v>
      </c>
      <c r="G1777" t="str">
        <f>"2025-05-20 01:36:32.143"</f>
        <v>2025-05-20 01:36:32.143</v>
      </c>
      <c r="H1777" t="s">
        <v>21</v>
      </c>
      <c r="I1777">
        <v>0</v>
      </c>
      <c r="J1777" t="s">
        <v>42</v>
      </c>
    </row>
    <row r="1778" spans="1:10" x14ac:dyDescent="0.25">
      <c r="A1778" s="1">
        <v>839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"2025-05-19 12:43:39.491"</f>
        <v>2025-05-19 12:43:39.491</v>
      </c>
      <c r="H1778" t="s">
        <v>21</v>
      </c>
      <c r="I1778">
        <v>0</v>
      </c>
      <c r="J1778" t="s">
        <v>22</v>
      </c>
    </row>
    <row r="1779" spans="1:10" x14ac:dyDescent="0.25">
      <c r="A1779" s="1">
        <v>840</v>
      </c>
      <c r="B1779" t="s">
        <v>27</v>
      </c>
      <c r="C1779">
        <v>98</v>
      </c>
      <c r="D1779">
        <v>1</v>
      </c>
      <c r="E1779" t="s">
        <v>40</v>
      </c>
      <c r="F1779" t="s">
        <v>41</v>
      </c>
      <c r="G1779" t="str">
        <f>"2025-05-18 23:48:43.929"</f>
        <v>2025-05-18 23:48:43.929</v>
      </c>
      <c r="H1779" t="s">
        <v>21</v>
      </c>
    </row>
    <row r="1780" spans="1:10" x14ac:dyDescent="0.25">
      <c r="A1780" s="1">
        <v>841</v>
      </c>
      <c r="B1780" t="s">
        <v>30</v>
      </c>
      <c r="C1780">
        <v>98</v>
      </c>
      <c r="D1780">
        <v>1</v>
      </c>
      <c r="E1780" t="s">
        <v>40</v>
      </c>
      <c r="F1780" t="s">
        <v>41</v>
      </c>
      <c r="G1780" t="str">
        <f>"2025-05-18 23:48:42.929"</f>
        <v>2025-05-18 23:48:42.929</v>
      </c>
      <c r="H1780" t="s">
        <v>21</v>
      </c>
      <c r="I1780">
        <v>0</v>
      </c>
      <c r="J1780" t="s">
        <v>42</v>
      </c>
    </row>
    <row r="1781" spans="1:10" x14ac:dyDescent="0.25">
      <c r="A1781" s="1">
        <v>842</v>
      </c>
      <c r="B1781" t="s">
        <v>27</v>
      </c>
      <c r="C1781">
        <v>98</v>
      </c>
      <c r="D1781">
        <v>1</v>
      </c>
      <c r="E1781" t="s">
        <v>40</v>
      </c>
      <c r="F1781" t="s">
        <v>41</v>
      </c>
      <c r="G1781" t="str">
        <f>"2025-05-18 23:48:42.729"</f>
        <v>2025-05-18 23:48:42.729</v>
      </c>
      <c r="H1781" t="s">
        <v>21</v>
      </c>
    </row>
    <row r="1782" spans="1:10" x14ac:dyDescent="0.25">
      <c r="A1782" s="1">
        <v>843</v>
      </c>
      <c r="B1782" t="s">
        <v>30</v>
      </c>
      <c r="C1782">
        <v>98</v>
      </c>
      <c r="D1782">
        <v>1</v>
      </c>
      <c r="E1782" t="s">
        <v>40</v>
      </c>
      <c r="F1782" t="s">
        <v>41</v>
      </c>
      <c r="G1782" t="str">
        <f>"2025-05-18 23:48:41.729"</f>
        <v>2025-05-18 23:48:41.729</v>
      </c>
      <c r="H1782" t="s">
        <v>21</v>
      </c>
      <c r="I1782">
        <v>0.02</v>
      </c>
      <c r="J1782" t="s">
        <v>42</v>
      </c>
    </row>
    <row r="1783" spans="1:10" x14ac:dyDescent="0.25">
      <c r="A1783" s="1">
        <v>844</v>
      </c>
      <c r="B1783" t="s">
        <v>27</v>
      </c>
      <c r="C1783">
        <v>98</v>
      </c>
      <c r="D1783">
        <v>1</v>
      </c>
      <c r="E1783" t="s">
        <v>40</v>
      </c>
      <c r="F1783" t="s">
        <v>41</v>
      </c>
      <c r="G1783" t="str">
        <f>"2025-05-18 23:09:59.030"</f>
        <v>2025-05-18 23:09:59.030</v>
      </c>
      <c r="H1783" t="s">
        <v>21</v>
      </c>
    </row>
    <row r="1784" spans="1:10" x14ac:dyDescent="0.25">
      <c r="A1784" s="1">
        <v>845</v>
      </c>
      <c r="B1784" t="s">
        <v>30</v>
      </c>
      <c r="C1784">
        <v>98</v>
      </c>
      <c r="D1784">
        <v>1</v>
      </c>
      <c r="E1784" t="s">
        <v>40</v>
      </c>
      <c r="F1784" t="s">
        <v>41</v>
      </c>
      <c r="G1784" t="str">
        <f>"2025-05-18 23:09:58.030"</f>
        <v>2025-05-18 23:09:58.030</v>
      </c>
      <c r="H1784" t="s">
        <v>21</v>
      </c>
      <c r="I1784">
        <v>9.9600000000000009</v>
      </c>
      <c r="J1784" t="s">
        <v>34</v>
      </c>
    </row>
    <row r="1785" spans="1:10" x14ac:dyDescent="0.25">
      <c r="A1785" s="1">
        <v>846</v>
      </c>
      <c r="B1785" t="s">
        <v>27</v>
      </c>
      <c r="C1785">
        <v>98</v>
      </c>
      <c r="D1785">
        <v>1</v>
      </c>
      <c r="E1785" t="s">
        <v>40</v>
      </c>
      <c r="F1785" t="s">
        <v>41</v>
      </c>
      <c r="G1785" t="str">
        <f>"2025-05-18 22:42:12.029"</f>
        <v>2025-05-18 22:42:12.029</v>
      </c>
      <c r="H1785" t="s">
        <v>21</v>
      </c>
    </row>
    <row r="1786" spans="1:10" x14ac:dyDescent="0.25">
      <c r="A1786" s="1">
        <v>847</v>
      </c>
      <c r="B1786" t="s">
        <v>30</v>
      </c>
      <c r="C1786">
        <v>98</v>
      </c>
      <c r="D1786">
        <v>1</v>
      </c>
      <c r="E1786" t="s">
        <v>40</v>
      </c>
      <c r="F1786" t="s">
        <v>41</v>
      </c>
      <c r="G1786" t="str">
        <f>"2025-05-18 22:42:11.030"</f>
        <v>2025-05-18 22:42:11.030</v>
      </c>
      <c r="H1786" t="s">
        <v>21</v>
      </c>
      <c r="I1786">
        <v>0</v>
      </c>
      <c r="J1786" t="s">
        <v>42</v>
      </c>
    </row>
    <row r="1787" spans="1:10" x14ac:dyDescent="0.25">
      <c r="A1787" s="1">
        <v>848</v>
      </c>
      <c r="B1787" t="s">
        <v>49</v>
      </c>
      <c r="C1787">
        <v>48</v>
      </c>
      <c r="D1787">
        <v>1</v>
      </c>
      <c r="E1787" t="s">
        <v>76</v>
      </c>
      <c r="F1787" t="s">
        <v>77</v>
      </c>
      <c r="G1787" t="str">
        <f>"2025-05-17 13:27:05.513"</f>
        <v>2025-05-17 13:27:05.513</v>
      </c>
      <c r="H1787" t="s">
        <v>63</v>
      </c>
    </row>
    <row r="1788" spans="1:10" x14ac:dyDescent="0.25">
      <c r="A1788" s="1">
        <v>849</v>
      </c>
      <c r="B1788" t="s">
        <v>39</v>
      </c>
      <c r="C1788">
        <v>48</v>
      </c>
      <c r="D1788">
        <v>1</v>
      </c>
      <c r="E1788" t="s">
        <v>76</v>
      </c>
      <c r="F1788" t="s">
        <v>77</v>
      </c>
      <c r="G1788" t="str">
        <f>"2025-05-17 13:27:00.507"</f>
        <v>2025-05-17 13:27:00.507</v>
      </c>
      <c r="H1788" t="s">
        <v>63</v>
      </c>
      <c r="I1788">
        <v>0</v>
      </c>
      <c r="J1788" t="s">
        <v>25</v>
      </c>
    </row>
    <row r="1789" spans="1:10" x14ac:dyDescent="0.25">
      <c r="A1789" s="1">
        <v>850</v>
      </c>
      <c r="B1789" t="s">
        <v>19</v>
      </c>
      <c r="C1789">
        <v>706</v>
      </c>
      <c r="D1789">
        <v>4</v>
      </c>
      <c r="E1789" t="s">
        <v>23</v>
      </c>
      <c r="F1789" t="s">
        <v>26</v>
      </c>
      <c r="G1789" t="str">
        <f>"2025-05-17 13:26:49.047"</f>
        <v>2025-05-17 13:26:49.047</v>
      </c>
      <c r="H1789" t="s">
        <v>21</v>
      </c>
      <c r="I1789">
        <v>0</v>
      </c>
      <c r="J1789" t="s">
        <v>25</v>
      </c>
    </row>
    <row r="1790" spans="1:10" x14ac:dyDescent="0.25">
      <c r="A1790" s="1">
        <v>851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"2025-05-17 13:26:27.677"</f>
        <v>2025-05-17 13:26:27.677</v>
      </c>
      <c r="H1790" t="s">
        <v>21</v>
      </c>
    </row>
    <row r="1791" spans="1:10" x14ac:dyDescent="0.25">
      <c r="A1791" s="1">
        <v>852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"2025-05-17 04:31:03.493"</f>
        <v>2025-05-17 04:31:03.493</v>
      </c>
      <c r="H1791" t="s">
        <v>21</v>
      </c>
    </row>
    <row r="1792" spans="1:10" x14ac:dyDescent="0.25">
      <c r="A1792" s="1">
        <v>853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"2025-05-16 13:10:31.517"</f>
        <v>2025-05-16 13:10:31.517</v>
      </c>
      <c r="H1792" t="s">
        <v>21</v>
      </c>
      <c r="I1792">
        <v>0</v>
      </c>
      <c r="J1792" t="s">
        <v>22</v>
      </c>
    </row>
    <row r="1793" spans="1:10" x14ac:dyDescent="0.25">
      <c r="A1793" s="1">
        <v>854</v>
      </c>
      <c r="B1793" t="s">
        <v>19</v>
      </c>
      <c r="C1793">
        <v>706</v>
      </c>
      <c r="D1793">
        <v>2</v>
      </c>
      <c r="E1793" t="s">
        <v>23</v>
      </c>
      <c r="F1793" t="s">
        <v>24</v>
      </c>
      <c r="G1793" t="str">
        <f>"2025-05-15 13:51:06.486"</f>
        <v>2025-05-15 13:51:06.486</v>
      </c>
      <c r="H1793" t="s">
        <v>21</v>
      </c>
      <c r="I1793">
        <v>0</v>
      </c>
      <c r="J1793" t="s">
        <v>25</v>
      </c>
    </row>
    <row r="1794" spans="1:10" x14ac:dyDescent="0.25">
      <c r="A1794" s="1">
        <v>855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"2025-05-15 13:50:45.496"</f>
        <v>2025-05-15 13:50:45.496</v>
      </c>
      <c r="H1794" t="s">
        <v>21</v>
      </c>
      <c r="I1794">
        <v>0</v>
      </c>
      <c r="J1794" t="s">
        <v>22</v>
      </c>
    </row>
    <row r="1795" spans="1:10" x14ac:dyDescent="0.25">
      <c r="A1795" s="1">
        <v>856</v>
      </c>
      <c r="B1795" t="s">
        <v>27</v>
      </c>
      <c r="C1795">
        <v>635</v>
      </c>
      <c r="D1795">
        <v>1</v>
      </c>
      <c r="E1795" t="s">
        <v>32</v>
      </c>
      <c r="F1795" t="s">
        <v>33</v>
      </c>
      <c r="G1795" t="str">
        <f>"2025-05-15 12:55:28.719"</f>
        <v>2025-05-15 12:55:28.719</v>
      </c>
      <c r="H1795" t="s">
        <v>21</v>
      </c>
    </row>
    <row r="1796" spans="1:10" x14ac:dyDescent="0.25">
      <c r="A1796" s="1">
        <v>857</v>
      </c>
      <c r="B1796" t="s">
        <v>30</v>
      </c>
      <c r="C1796">
        <v>635</v>
      </c>
      <c r="D1796">
        <v>1</v>
      </c>
      <c r="E1796" t="s">
        <v>32</v>
      </c>
      <c r="F1796" t="s">
        <v>33</v>
      </c>
      <c r="G1796" t="str">
        <f>"2025-05-15 12:51:53.718"</f>
        <v>2025-05-15 12:51:53.718</v>
      </c>
      <c r="H1796" t="s">
        <v>21</v>
      </c>
      <c r="I1796">
        <v>7.22</v>
      </c>
      <c r="J1796" t="s">
        <v>34</v>
      </c>
    </row>
    <row r="1797" spans="1:10" x14ac:dyDescent="0.25">
      <c r="A1797" s="1">
        <v>858</v>
      </c>
      <c r="B1797" t="s">
        <v>27</v>
      </c>
      <c r="C1797">
        <v>635</v>
      </c>
      <c r="D1797">
        <v>1</v>
      </c>
      <c r="E1797" t="s">
        <v>32</v>
      </c>
      <c r="F1797" t="s">
        <v>33</v>
      </c>
      <c r="G1797" t="str">
        <f>"2025-05-15 03:53:35.419"</f>
        <v>2025-05-15 03:53:35.419</v>
      </c>
      <c r="H1797" t="s">
        <v>21</v>
      </c>
    </row>
    <row r="1798" spans="1:10" x14ac:dyDescent="0.25">
      <c r="A1798" s="1">
        <v>859</v>
      </c>
      <c r="B1798" t="s">
        <v>30</v>
      </c>
      <c r="C1798">
        <v>635</v>
      </c>
      <c r="D1798">
        <v>1</v>
      </c>
      <c r="E1798" t="s">
        <v>32</v>
      </c>
      <c r="F1798" t="s">
        <v>33</v>
      </c>
      <c r="G1798" t="str">
        <f>"2025-05-15 03:48:13.920"</f>
        <v>2025-05-15 03:48:13.920</v>
      </c>
      <c r="H1798" t="s">
        <v>21</v>
      </c>
      <c r="I1798">
        <v>2.44</v>
      </c>
      <c r="J1798" t="s">
        <v>34</v>
      </c>
    </row>
    <row r="1799" spans="1:10" x14ac:dyDescent="0.25">
      <c r="A1799" s="1">
        <v>860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"2025-05-14 20:11:59.764"</f>
        <v>2025-05-14 20:11:59.764</v>
      </c>
      <c r="H1799" t="s">
        <v>21</v>
      </c>
    </row>
    <row r="1800" spans="1:10" x14ac:dyDescent="0.25">
      <c r="A1800" s="1">
        <v>861</v>
      </c>
      <c r="B1800" t="s">
        <v>19</v>
      </c>
      <c r="C1800">
        <v>706</v>
      </c>
      <c r="D1800">
        <v>4</v>
      </c>
      <c r="E1800" t="s">
        <v>23</v>
      </c>
      <c r="F1800" t="s">
        <v>26</v>
      </c>
      <c r="G1800" t="str">
        <f>"2025-05-14 13:38:00.840"</f>
        <v>2025-05-14 13:38:00.840</v>
      </c>
      <c r="H1800" t="s">
        <v>21</v>
      </c>
      <c r="I1800">
        <v>0</v>
      </c>
      <c r="J1800" t="s">
        <v>25</v>
      </c>
    </row>
    <row r="1801" spans="1:10" x14ac:dyDescent="0.25">
      <c r="A1801" s="1">
        <v>862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"2025-05-14 13:37:42.530"</f>
        <v>2025-05-14 13:37:42.530</v>
      </c>
      <c r="H1801" t="s">
        <v>21</v>
      </c>
      <c r="I1801">
        <v>0</v>
      </c>
      <c r="J1801" t="s">
        <v>22</v>
      </c>
    </row>
    <row r="1802" spans="1:10" x14ac:dyDescent="0.25">
      <c r="A1802" s="1">
        <v>863</v>
      </c>
      <c r="B1802" t="s">
        <v>19</v>
      </c>
      <c r="C1802">
        <v>706</v>
      </c>
      <c r="D1802">
        <v>2</v>
      </c>
      <c r="E1802" t="s">
        <v>23</v>
      </c>
      <c r="F1802" t="s">
        <v>24</v>
      </c>
      <c r="G1802" t="str">
        <f>"2025-05-13 13:21:51.153"</f>
        <v>2025-05-13 13:21:51.153</v>
      </c>
      <c r="H1802" t="s">
        <v>21</v>
      </c>
      <c r="I1802">
        <v>0</v>
      </c>
      <c r="J1802" t="s">
        <v>25</v>
      </c>
    </row>
    <row r="1803" spans="1:10" x14ac:dyDescent="0.25">
      <c r="A1803" s="1">
        <v>864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"2025-05-13 13:21:12.503"</f>
        <v>2025-05-13 13:21:12.503</v>
      </c>
      <c r="H1803" t="s">
        <v>21</v>
      </c>
      <c r="I1803">
        <v>0</v>
      </c>
      <c r="J1803" t="s">
        <v>22</v>
      </c>
    </row>
    <row r="1804" spans="1:10" s="3" customFormat="1" x14ac:dyDescent="0.25">
      <c r="A1804" s="2">
        <v>865</v>
      </c>
      <c r="B1804" s="3" t="s">
        <v>27</v>
      </c>
      <c r="C1804" s="3">
        <v>647</v>
      </c>
      <c r="D1804" s="3">
        <v>1</v>
      </c>
      <c r="E1804" s="3" t="s">
        <v>28</v>
      </c>
      <c r="F1804" s="3" t="s">
        <v>29</v>
      </c>
      <c r="G1804" s="3" t="str">
        <f>"2025-05-11 23:19:07.386"</f>
        <v>2025-05-11 23:19:07.386</v>
      </c>
      <c r="H1804" s="3" t="s">
        <v>21</v>
      </c>
    </row>
    <row r="1805" spans="1:10" s="3" customFormat="1" x14ac:dyDescent="0.25">
      <c r="A1805" s="2">
        <v>866</v>
      </c>
      <c r="B1805" s="3" t="s">
        <v>30</v>
      </c>
      <c r="C1805" s="3">
        <v>647</v>
      </c>
      <c r="D1805" s="3">
        <v>1</v>
      </c>
      <c r="E1805" s="3" t="s">
        <v>28</v>
      </c>
      <c r="F1805" s="3" t="s">
        <v>29</v>
      </c>
      <c r="G1805" s="3" t="str">
        <f>"2025-05-11 23:19:06.286"</f>
        <v>2025-05-11 23:19:06.286</v>
      </c>
      <c r="H1805" s="3" t="s">
        <v>21</v>
      </c>
      <c r="I1805" s="3">
        <v>20</v>
      </c>
      <c r="J1805" s="3" t="s">
        <v>31</v>
      </c>
    </row>
    <row r="1806" spans="1:10" x14ac:dyDescent="0.25">
      <c r="A1806" s="1">
        <v>867</v>
      </c>
      <c r="B1806" t="s">
        <v>27</v>
      </c>
      <c r="C1806">
        <v>635</v>
      </c>
      <c r="D1806">
        <v>1</v>
      </c>
      <c r="E1806" t="s">
        <v>32</v>
      </c>
      <c r="F1806" t="s">
        <v>33</v>
      </c>
      <c r="G1806" t="str">
        <f>"2025-05-10 23:06:54.185"</f>
        <v>2025-05-10 23:06:54.185</v>
      </c>
      <c r="H1806" t="s">
        <v>21</v>
      </c>
    </row>
    <row r="1807" spans="1:10" x14ac:dyDescent="0.25">
      <c r="A1807" s="1">
        <v>868</v>
      </c>
      <c r="B1807" t="s">
        <v>30</v>
      </c>
      <c r="C1807">
        <v>635</v>
      </c>
      <c r="D1807">
        <v>1</v>
      </c>
      <c r="E1807" t="s">
        <v>32</v>
      </c>
      <c r="F1807" t="s">
        <v>33</v>
      </c>
      <c r="G1807" t="str">
        <f>"2025-05-10 23:02:38.185"</f>
        <v>2025-05-10 23:02:38.185</v>
      </c>
      <c r="H1807" t="s">
        <v>21</v>
      </c>
      <c r="I1807">
        <v>0.02</v>
      </c>
      <c r="J1807" t="s">
        <v>42</v>
      </c>
    </row>
    <row r="1808" spans="1:10" x14ac:dyDescent="0.25">
      <c r="A1808" s="1">
        <v>869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"2025-05-10 21:02:10.524"</f>
        <v>2025-05-10 21:02:10.524</v>
      </c>
      <c r="H1808" t="s">
        <v>21</v>
      </c>
    </row>
    <row r="1809" spans="1:10" x14ac:dyDescent="0.25">
      <c r="A1809" s="1">
        <v>870</v>
      </c>
      <c r="B1809" t="s">
        <v>19</v>
      </c>
      <c r="C1809">
        <v>706</v>
      </c>
      <c r="D1809">
        <v>4</v>
      </c>
      <c r="E1809" t="s">
        <v>23</v>
      </c>
      <c r="F1809" t="s">
        <v>26</v>
      </c>
      <c r="G1809" t="str">
        <f>"2025-05-10 12:29:24.848"</f>
        <v>2025-05-10 12:29:24.848</v>
      </c>
      <c r="H1809" t="s">
        <v>21</v>
      </c>
      <c r="I1809">
        <v>0</v>
      </c>
      <c r="J1809" t="s">
        <v>25</v>
      </c>
    </row>
    <row r="1810" spans="1:10" x14ac:dyDescent="0.25">
      <c r="A1810" s="1">
        <v>871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"2025-05-10 12:28:14.518"</f>
        <v>2025-05-10 12:28:14.518</v>
      </c>
      <c r="H1810" t="s">
        <v>21</v>
      </c>
    </row>
    <row r="1811" spans="1:10" x14ac:dyDescent="0.25">
      <c r="A1811" s="1">
        <v>872</v>
      </c>
      <c r="B1811" t="s">
        <v>19</v>
      </c>
      <c r="C1811">
        <v>706</v>
      </c>
      <c r="D1811">
        <v>2</v>
      </c>
      <c r="E1811" t="s">
        <v>23</v>
      </c>
      <c r="F1811" t="s">
        <v>24</v>
      </c>
      <c r="G1811" t="str">
        <f>"2025-05-09 22:29:57.091"</f>
        <v>2025-05-09 22:29:57.091</v>
      </c>
      <c r="H1811" t="s">
        <v>21</v>
      </c>
      <c r="I1811">
        <v>0</v>
      </c>
      <c r="J1811" t="s">
        <v>25</v>
      </c>
    </row>
    <row r="1812" spans="1:10" x14ac:dyDescent="0.25">
      <c r="A1812" s="1">
        <v>873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"2025-05-09 22:24:50.501"</f>
        <v>2025-05-09 22:24:50.501</v>
      </c>
      <c r="H1812" t="s">
        <v>21</v>
      </c>
      <c r="I1812">
        <v>0</v>
      </c>
      <c r="J1812" t="s">
        <v>22</v>
      </c>
    </row>
    <row r="1813" spans="1:10" x14ac:dyDescent="0.25">
      <c r="A1813" s="1">
        <v>874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"2025-05-09 21:13:37.758"</f>
        <v>2025-05-09 21:13:37.758</v>
      </c>
      <c r="H1813" t="s">
        <v>21</v>
      </c>
      <c r="I1813">
        <v>0</v>
      </c>
      <c r="J1813" t="s">
        <v>22</v>
      </c>
    </row>
    <row r="1814" spans="1:10" x14ac:dyDescent="0.25">
      <c r="A1814" s="1">
        <v>875</v>
      </c>
      <c r="B1814" t="s">
        <v>19</v>
      </c>
      <c r="C1814">
        <v>700</v>
      </c>
      <c r="D1814">
        <v>0</v>
      </c>
      <c r="E1814" t="s">
        <v>20</v>
      </c>
      <c r="F1814" t="s">
        <v>20</v>
      </c>
      <c r="G1814" t="str">
        <f>"2025-05-09 21:10:38.753"</f>
        <v>2025-05-09 21:10:38.753</v>
      </c>
      <c r="H1814" t="s">
        <v>21</v>
      </c>
    </row>
    <row r="1815" spans="1:10" x14ac:dyDescent="0.25">
      <c r="A1815" s="1">
        <v>876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"2025-05-09 21:07:16.749"</f>
        <v>2025-05-09 21:07:16.749</v>
      </c>
      <c r="H1815" t="s">
        <v>21</v>
      </c>
      <c r="I1815">
        <v>0</v>
      </c>
      <c r="J1815" t="s">
        <v>22</v>
      </c>
    </row>
    <row r="1816" spans="1:10" x14ac:dyDescent="0.25">
      <c r="A1816" s="1">
        <v>877</v>
      </c>
      <c r="B1816" t="s">
        <v>19</v>
      </c>
      <c r="C1816">
        <v>706</v>
      </c>
      <c r="D1816">
        <v>2</v>
      </c>
      <c r="E1816" t="s">
        <v>23</v>
      </c>
      <c r="F1816" t="s">
        <v>24</v>
      </c>
      <c r="G1816" t="str">
        <f>"2025-05-09 13:21:12.081"</f>
        <v>2025-05-09 13:21:12.081</v>
      </c>
      <c r="H1816" t="s">
        <v>21</v>
      </c>
      <c r="I1816">
        <v>0</v>
      </c>
      <c r="J1816" t="s">
        <v>25</v>
      </c>
    </row>
    <row r="1817" spans="1:10" x14ac:dyDescent="0.25">
      <c r="A1817" s="1">
        <v>878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"2025-05-09 13:20:16.701"</f>
        <v>2025-05-09 13:20:16.701</v>
      </c>
      <c r="H1817" t="s">
        <v>21</v>
      </c>
      <c r="I1817">
        <v>0</v>
      </c>
      <c r="J1817" t="s">
        <v>22</v>
      </c>
    </row>
    <row r="1818" spans="1:10" x14ac:dyDescent="0.25">
      <c r="A1818" s="1">
        <v>880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"2025-05-08 20:15:03.507"</f>
        <v>2025-05-08 20:15:03.507</v>
      </c>
      <c r="H1818" t="s">
        <v>21</v>
      </c>
    </row>
    <row r="1819" spans="1:10" s="3" customFormat="1" x14ac:dyDescent="0.25">
      <c r="A1819" s="2">
        <v>881</v>
      </c>
      <c r="B1819" s="3" t="s">
        <v>27</v>
      </c>
      <c r="C1819" s="3">
        <v>647</v>
      </c>
      <c r="D1819" s="3">
        <v>1</v>
      </c>
      <c r="E1819" s="3" t="s">
        <v>28</v>
      </c>
      <c r="F1819" s="3" t="s">
        <v>29</v>
      </c>
      <c r="G1819" s="3" t="str">
        <f>"2025-05-08 19:28:21.969"</f>
        <v>2025-05-08 19:28:21.969</v>
      </c>
      <c r="H1819" s="3" t="s">
        <v>21</v>
      </c>
    </row>
    <row r="1820" spans="1:10" s="3" customFormat="1" x14ac:dyDescent="0.25">
      <c r="A1820" s="2">
        <v>882</v>
      </c>
      <c r="B1820" s="3" t="s">
        <v>30</v>
      </c>
      <c r="C1820" s="3">
        <v>647</v>
      </c>
      <c r="D1820" s="3">
        <v>1</v>
      </c>
      <c r="E1820" s="3" t="s">
        <v>28</v>
      </c>
      <c r="F1820" s="3" t="s">
        <v>29</v>
      </c>
      <c r="G1820" s="3" t="str">
        <f>"2025-05-08 19:28:20.070"</f>
        <v>2025-05-08 19:28:20.070</v>
      </c>
      <c r="H1820" s="3" t="s">
        <v>21</v>
      </c>
      <c r="I1820" s="3">
        <v>16.829999999999998</v>
      </c>
      <c r="J1820" s="3" t="s">
        <v>31</v>
      </c>
    </row>
    <row r="1821" spans="1:10" x14ac:dyDescent="0.25">
      <c r="A1821" s="1">
        <v>883</v>
      </c>
      <c r="B1821" t="s">
        <v>19</v>
      </c>
      <c r="C1821">
        <v>706</v>
      </c>
      <c r="D1821">
        <v>4</v>
      </c>
      <c r="E1821" t="s">
        <v>23</v>
      </c>
      <c r="F1821" t="s">
        <v>26</v>
      </c>
      <c r="G1821" t="str">
        <f>"2025-05-08 12:45:19.852"</f>
        <v>2025-05-08 12:45:19.852</v>
      </c>
      <c r="H1821" t="s">
        <v>21</v>
      </c>
      <c r="I1821">
        <v>0</v>
      </c>
      <c r="J1821" t="s">
        <v>25</v>
      </c>
    </row>
    <row r="1822" spans="1:10" x14ac:dyDescent="0.25">
      <c r="A1822" s="1">
        <v>884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"2025-05-08 12:45:00.732"</f>
        <v>2025-05-08 12:45:00.732</v>
      </c>
      <c r="H1822" t="s">
        <v>21</v>
      </c>
      <c r="I1822">
        <v>0</v>
      </c>
      <c r="J1822" t="s">
        <v>22</v>
      </c>
    </row>
    <row r="1823" spans="1:10" x14ac:dyDescent="0.25">
      <c r="A1823" s="1">
        <v>885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"2025-05-06 20:49:59.507"</f>
        <v>2025-05-06 20:49:59.507</v>
      </c>
      <c r="H1823" t="s">
        <v>21</v>
      </c>
    </row>
    <row r="1824" spans="1:10" x14ac:dyDescent="0.25">
      <c r="A1824" s="1">
        <v>886</v>
      </c>
      <c r="B1824" t="s">
        <v>27</v>
      </c>
      <c r="C1824">
        <v>635</v>
      </c>
      <c r="D1824">
        <v>1</v>
      </c>
      <c r="E1824" t="s">
        <v>32</v>
      </c>
      <c r="F1824" t="s">
        <v>33</v>
      </c>
      <c r="G1824" t="str">
        <f>"2025-05-04 20:11:48.560"</f>
        <v>2025-05-04 20:11:48.560</v>
      </c>
      <c r="H1824" t="s">
        <v>21</v>
      </c>
    </row>
    <row r="1825" spans="1:10" x14ac:dyDescent="0.25">
      <c r="A1825" s="1">
        <v>887</v>
      </c>
      <c r="B1825" t="s">
        <v>30</v>
      </c>
      <c r="C1825">
        <v>635</v>
      </c>
      <c r="D1825">
        <v>1</v>
      </c>
      <c r="E1825" t="s">
        <v>32</v>
      </c>
      <c r="F1825" t="s">
        <v>33</v>
      </c>
      <c r="G1825" t="str">
        <f>"2025-05-04 20:05:24.060"</f>
        <v>2025-05-04 20:05:24.060</v>
      </c>
      <c r="H1825" t="s">
        <v>21</v>
      </c>
      <c r="I1825">
        <v>0.36</v>
      </c>
      <c r="J1825" t="s">
        <v>42</v>
      </c>
    </row>
    <row r="1826" spans="1:10" x14ac:dyDescent="0.25">
      <c r="A1826" s="1">
        <v>888</v>
      </c>
      <c r="B1826" t="s">
        <v>35</v>
      </c>
      <c r="C1826">
        <v>33</v>
      </c>
      <c r="D1826">
        <v>1</v>
      </c>
      <c r="E1826" t="s">
        <v>36</v>
      </c>
      <c r="F1826" t="s">
        <v>37</v>
      </c>
      <c r="G1826" t="str">
        <f>"2025-05-02 22:24:25.761"</f>
        <v>2025-05-02 22:24:25.761</v>
      </c>
      <c r="H1826" t="s">
        <v>38</v>
      </c>
    </row>
    <row r="1827" spans="1:10" x14ac:dyDescent="0.25">
      <c r="A1827" s="1">
        <v>889</v>
      </c>
      <c r="B1827" t="s">
        <v>39</v>
      </c>
      <c r="C1827">
        <v>33</v>
      </c>
      <c r="D1827">
        <v>1</v>
      </c>
      <c r="E1827" t="s">
        <v>36</v>
      </c>
      <c r="F1827" t="s">
        <v>37</v>
      </c>
      <c r="G1827" t="str">
        <f>"2025-05-02 22:24:16.899"</f>
        <v>2025-05-02 22:24:16.899</v>
      </c>
      <c r="H1827" t="s">
        <v>38</v>
      </c>
      <c r="I1827">
        <v>8.68</v>
      </c>
      <c r="J1827" t="s">
        <v>34</v>
      </c>
    </row>
    <row r="1828" spans="1:10" s="3" customFormat="1" x14ac:dyDescent="0.25">
      <c r="A1828" s="2">
        <v>890</v>
      </c>
      <c r="B1828" s="3" t="s">
        <v>27</v>
      </c>
      <c r="C1828" s="3">
        <v>647</v>
      </c>
      <c r="D1828" s="3">
        <v>1</v>
      </c>
      <c r="E1828" s="3" t="s">
        <v>28</v>
      </c>
      <c r="F1828" s="3" t="s">
        <v>29</v>
      </c>
      <c r="G1828" s="3" t="str">
        <f>"2025-05-02 21:10:22.661"</f>
        <v>2025-05-02 21:10:22.661</v>
      </c>
      <c r="H1828" s="3" t="s">
        <v>21</v>
      </c>
    </row>
    <row r="1829" spans="1:10" s="3" customFormat="1" x14ac:dyDescent="0.25">
      <c r="A1829" s="2">
        <v>891</v>
      </c>
      <c r="B1829" s="3" t="s">
        <v>30</v>
      </c>
      <c r="C1829" s="3">
        <v>647</v>
      </c>
      <c r="D1829" s="3">
        <v>1</v>
      </c>
      <c r="E1829" s="3" t="s">
        <v>28</v>
      </c>
      <c r="F1829" s="3" t="s">
        <v>29</v>
      </c>
      <c r="G1829" s="3" t="str">
        <f>"2025-05-02 21:10:19.261"</f>
        <v>2025-05-02 21:10:19.261</v>
      </c>
      <c r="H1829" s="3" t="s">
        <v>21</v>
      </c>
      <c r="I1829" s="3">
        <v>10.6</v>
      </c>
      <c r="J1829" s="3" t="s">
        <v>31</v>
      </c>
    </row>
    <row r="1830" spans="1:10" x14ac:dyDescent="0.25">
      <c r="A1830" s="1">
        <v>892</v>
      </c>
      <c r="B1830" t="s">
        <v>19</v>
      </c>
      <c r="C1830">
        <v>706</v>
      </c>
      <c r="D1830">
        <v>4</v>
      </c>
      <c r="E1830" t="s">
        <v>23</v>
      </c>
      <c r="F1830" t="s">
        <v>26</v>
      </c>
      <c r="G1830" t="str">
        <f>"2025-05-02 13:20:52.248"</f>
        <v>2025-05-02 13:20:52.248</v>
      </c>
      <c r="H1830" t="s">
        <v>21</v>
      </c>
      <c r="I1830">
        <v>0</v>
      </c>
      <c r="J1830" t="s">
        <v>25</v>
      </c>
    </row>
    <row r="1831" spans="1:10" x14ac:dyDescent="0.25">
      <c r="A1831" s="1">
        <v>893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"2025-05-02 13:20:25.508"</f>
        <v>2025-05-02 13:20:25.508</v>
      </c>
      <c r="H1831" t="s">
        <v>21</v>
      </c>
      <c r="I1831">
        <v>0</v>
      </c>
      <c r="J1831" t="s">
        <v>22</v>
      </c>
    </row>
    <row r="1832" spans="1:10" x14ac:dyDescent="0.25">
      <c r="A1832" s="1">
        <v>894</v>
      </c>
      <c r="B1832" t="s">
        <v>27</v>
      </c>
      <c r="C1832">
        <v>635</v>
      </c>
      <c r="D1832">
        <v>1</v>
      </c>
      <c r="E1832" t="s">
        <v>32</v>
      </c>
      <c r="F1832" t="s">
        <v>33</v>
      </c>
      <c r="G1832" t="str">
        <f>"2025-05-02 03:20:56.708"</f>
        <v>2025-05-02 03:20:56.708</v>
      </c>
      <c r="H1832" t="s">
        <v>21</v>
      </c>
    </row>
    <row r="1833" spans="1:10" x14ac:dyDescent="0.25">
      <c r="A1833" s="1">
        <v>895</v>
      </c>
      <c r="B1833" t="s">
        <v>30</v>
      </c>
      <c r="C1833">
        <v>635</v>
      </c>
      <c r="D1833">
        <v>1</v>
      </c>
      <c r="E1833" t="s">
        <v>32</v>
      </c>
      <c r="F1833" t="s">
        <v>33</v>
      </c>
      <c r="G1833" t="str">
        <f>"2025-05-02 03:05:26.708"</f>
        <v>2025-05-02 03:05:26.708</v>
      </c>
      <c r="H1833" t="s">
        <v>21</v>
      </c>
      <c r="I1833">
        <v>8.98</v>
      </c>
      <c r="J1833" t="s">
        <v>34</v>
      </c>
    </row>
    <row r="1834" spans="1:10" x14ac:dyDescent="0.25">
      <c r="A1834" s="1">
        <v>896</v>
      </c>
      <c r="B1834" t="s">
        <v>27</v>
      </c>
      <c r="C1834">
        <v>635</v>
      </c>
      <c r="D1834">
        <v>1</v>
      </c>
      <c r="E1834" t="s">
        <v>32</v>
      </c>
      <c r="F1834" t="s">
        <v>33</v>
      </c>
      <c r="G1834" t="str">
        <f>"2025-05-01 21:46:43.908"</f>
        <v>2025-05-01 21:46:43.908</v>
      </c>
      <c r="H1834" t="s">
        <v>21</v>
      </c>
    </row>
    <row r="1835" spans="1:10" x14ac:dyDescent="0.25">
      <c r="A1835" s="1">
        <v>897</v>
      </c>
      <c r="B1835" t="s">
        <v>30</v>
      </c>
      <c r="C1835">
        <v>635</v>
      </c>
      <c r="D1835">
        <v>1</v>
      </c>
      <c r="E1835" t="s">
        <v>32</v>
      </c>
      <c r="F1835" t="s">
        <v>33</v>
      </c>
      <c r="G1835" t="str">
        <f>"2025-05-01 21:39:44.408"</f>
        <v>2025-05-01 21:39:44.408</v>
      </c>
      <c r="H1835" t="s">
        <v>21</v>
      </c>
      <c r="I1835">
        <v>8.58</v>
      </c>
      <c r="J1835" t="s">
        <v>34</v>
      </c>
    </row>
    <row r="1836" spans="1:10" x14ac:dyDescent="0.25">
      <c r="A1836" s="1">
        <v>898</v>
      </c>
      <c r="B1836" t="s">
        <v>27</v>
      </c>
      <c r="C1836">
        <v>635</v>
      </c>
      <c r="D1836">
        <v>1</v>
      </c>
      <c r="E1836" t="s">
        <v>32</v>
      </c>
      <c r="F1836" t="s">
        <v>33</v>
      </c>
      <c r="G1836" t="str">
        <f>"2025-05-01 15:11:42.308"</f>
        <v>2025-05-01 15:11:42.308</v>
      </c>
      <c r="H1836" t="s">
        <v>21</v>
      </c>
    </row>
    <row r="1837" spans="1:10" x14ac:dyDescent="0.25">
      <c r="A1837" s="1">
        <v>899</v>
      </c>
      <c r="B1837" t="s">
        <v>30</v>
      </c>
      <c r="C1837">
        <v>635</v>
      </c>
      <c r="D1837">
        <v>1</v>
      </c>
      <c r="E1837" t="s">
        <v>32</v>
      </c>
      <c r="F1837" t="s">
        <v>33</v>
      </c>
      <c r="G1837" t="str">
        <f>"2025-05-01 15:08:55.808"</f>
        <v>2025-05-01 15:08:55.808</v>
      </c>
      <c r="H1837" t="s">
        <v>21</v>
      </c>
      <c r="I1837">
        <v>8.7200000000000006</v>
      </c>
      <c r="J1837" t="s">
        <v>34</v>
      </c>
    </row>
    <row r="1838" spans="1:10" x14ac:dyDescent="0.25">
      <c r="A1838" s="1">
        <v>900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"2025-04-30 12:16:57.547"</f>
        <v>2025-04-30 12:16:57.547</v>
      </c>
      <c r="H1838" t="s">
        <v>21</v>
      </c>
    </row>
    <row r="1839" spans="1:10" x14ac:dyDescent="0.25">
      <c r="A1839" s="1">
        <v>901</v>
      </c>
      <c r="B1839" t="s">
        <v>19</v>
      </c>
      <c r="C1839">
        <v>706</v>
      </c>
      <c r="D1839">
        <v>4</v>
      </c>
      <c r="E1839" t="s">
        <v>23</v>
      </c>
      <c r="F1839" t="s">
        <v>26</v>
      </c>
      <c r="G1839" t="str">
        <f>"2025-04-29 12:42:57.844"</f>
        <v>2025-04-29 12:42:57.844</v>
      </c>
      <c r="H1839" t="s">
        <v>21</v>
      </c>
      <c r="I1839">
        <v>0</v>
      </c>
      <c r="J1839" t="s">
        <v>25</v>
      </c>
    </row>
    <row r="1840" spans="1:10" x14ac:dyDescent="0.25">
      <c r="A1840" s="1">
        <v>902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"2025-04-29 12:42:32.534"</f>
        <v>2025-04-29 12:42:32.534</v>
      </c>
      <c r="H1840" t="s">
        <v>21</v>
      </c>
    </row>
    <row r="1841" spans="1:10" x14ac:dyDescent="0.25">
      <c r="A1841" s="1">
        <v>903</v>
      </c>
      <c r="B1841" t="s">
        <v>19</v>
      </c>
      <c r="C1841">
        <v>706</v>
      </c>
      <c r="D1841">
        <v>4</v>
      </c>
      <c r="E1841" t="s">
        <v>23</v>
      </c>
      <c r="F1841" t="s">
        <v>26</v>
      </c>
      <c r="G1841" t="str">
        <f>"2025-04-29 00:32:09.659"</f>
        <v>2025-04-29 00:32:09.659</v>
      </c>
      <c r="H1841" t="s">
        <v>21</v>
      </c>
      <c r="I1841">
        <v>0</v>
      </c>
      <c r="J1841" t="s">
        <v>25</v>
      </c>
    </row>
    <row r="1842" spans="1:10" x14ac:dyDescent="0.25">
      <c r="A1842" s="1">
        <v>904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"2025-04-29 00:31:19.509"</f>
        <v>2025-04-29 00:31:19.509</v>
      </c>
      <c r="H1842" t="s">
        <v>21</v>
      </c>
    </row>
    <row r="1843" spans="1:10" x14ac:dyDescent="0.25">
      <c r="A1843" s="1">
        <v>905</v>
      </c>
      <c r="B1843" t="s">
        <v>19</v>
      </c>
      <c r="C1843">
        <v>706</v>
      </c>
      <c r="D1843">
        <v>4</v>
      </c>
      <c r="E1843" t="s">
        <v>23</v>
      </c>
      <c r="F1843" t="s">
        <v>26</v>
      </c>
      <c r="G1843" t="str">
        <f>"2025-04-29 00:05:18.186"</f>
        <v>2025-04-29 00:05:18.186</v>
      </c>
      <c r="H1843" t="s">
        <v>21</v>
      </c>
      <c r="I1843">
        <v>0</v>
      </c>
      <c r="J1843" t="s">
        <v>25</v>
      </c>
    </row>
    <row r="1844" spans="1:10" x14ac:dyDescent="0.25">
      <c r="A1844" s="1">
        <v>906</v>
      </c>
      <c r="B1844" t="s">
        <v>19</v>
      </c>
      <c r="C1844">
        <v>706</v>
      </c>
      <c r="D1844">
        <v>4</v>
      </c>
      <c r="E1844" t="s">
        <v>23</v>
      </c>
      <c r="F1844" t="s">
        <v>26</v>
      </c>
      <c r="G1844" t="str">
        <f>"2025-04-28 23:41:27.036"</f>
        <v>2025-04-28 23:41:27.036</v>
      </c>
      <c r="H1844" t="s">
        <v>21</v>
      </c>
      <c r="I1844">
        <v>0</v>
      </c>
      <c r="J1844" t="s">
        <v>25</v>
      </c>
    </row>
    <row r="1845" spans="1:10" x14ac:dyDescent="0.25">
      <c r="A1845" s="1">
        <v>907</v>
      </c>
      <c r="B1845" t="s">
        <v>19</v>
      </c>
      <c r="C1845">
        <v>706</v>
      </c>
      <c r="D1845">
        <v>4</v>
      </c>
      <c r="E1845" t="s">
        <v>23</v>
      </c>
      <c r="F1845" t="s">
        <v>26</v>
      </c>
      <c r="G1845" t="str">
        <f>"2025-04-28 23:41:17.636"</f>
        <v>2025-04-28 23:41:17.636</v>
      </c>
      <c r="H1845" t="s">
        <v>21</v>
      </c>
      <c r="I1845">
        <v>0</v>
      </c>
      <c r="J1845" t="s">
        <v>25</v>
      </c>
    </row>
    <row r="1846" spans="1:10" x14ac:dyDescent="0.25">
      <c r="A1846" s="1">
        <v>908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"2025-04-28 23:35:59.516"</f>
        <v>2025-04-28 23:35:59.516</v>
      </c>
      <c r="H1846" t="s">
        <v>21</v>
      </c>
      <c r="I1846">
        <v>0</v>
      </c>
      <c r="J1846" t="s">
        <v>22</v>
      </c>
    </row>
    <row r="1847" spans="1:10" x14ac:dyDescent="0.25">
      <c r="A1847" s="1">
        <v>909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"2025-04-28 22:51:20.523"</f>
        <v>2025-04-28 22:51:20.523</v>
      </c>
      <c r="H1847" t="s">
        <v>21</v>
      </c>
      <c r="I1847">
        <v>0</v>
      </c>
      <c r="J1847" t="s">
        <v>22</v>
      </c>
    </row>
    <row r="1848" spans="1:10" x14ac:dyDescent="0.25">
      <c r="A1848" s="1">
        <v>910</v>
      </c>
      <c r="B1848" t="s">
        <v>19</v>
      </c>
      <c r="C1848">
        <v>706</v>
      </c>
      <c r="D1848">
        <v>4</v>
      </c>
      <c r="E1848" t="s">
        <v>23</v>
      </c>
      <c r="F1848" t="s">
        <v>26</v>
      </c>
      <c r="G1848" t="str">
        <f>"2025-04-27 13:28:41.650"</f>
        <v>2025-04-27 13:28:41.650</v>
      </c>
      <c r="H1848" t="s">
        <v>21</v>
      </c>
      <c r="I1848">
        <v>0</v>
      </c>
      <c r="J1848" t="s">
        <v>25</v>
      </c>
    </row>
    <row r="1849" spans="1:10" x14ac:dyDescent="0.25">
      <c r="A1849" s="1">
        <v>911</v>
      </c>
      <c r="B1849" t="s">
        <v>19</v>
      </c>
      <c r="C1849">
        <v>700</v>
      </c>
      <c r="D1849">
        <v>0</v>
      </c>
      <c r="E1849" t="s">
        <v>20</v>
      </c>
      <c r="F1849" t="s">
        <v>20</v>
      </c>
      <c r="G1849" t="str">
        <f>"2025-04-27 13:28:22.690"</f>
        <v>2025-04-27 13:28:22.690</v>
      </c>
      <c r="H1849" t="s">
        <v>21</v>
      </c>
    </row>
    <row r="1850" spans="1:10" x14ac:dyDescent="0.25">
      <c r="A1850" s="1">
        <v>912</v>
      </c>
      <c r="B1850" t="s">
        <v>19</v>
      </c>
      <c r="C1850">
        <v>706</v>
      </c>
      <c r="D1850">
        <v>4</v>
      </c>
      <c r="E1850" t="s">
        <v>23</v>
      </c>
      <c r="F1850" t="s">
        <v>26</v>
      </c>
      <c r="G1850" t="str">
        <f>"2025-04-27 10:45:26.654"</f>
        <v>2025-04-27 10:45:26.654</v>
      </c>
      <c r="H1850" t="s">
        <v>21</v>
      </c>
      <c r="I1850">
        <v>0</v>
      </c>
      <c r="J1850" t="s">
        <v>25</v>
      </c>
    </row>
    <row r="1851" spans="1:10" x14ac:dyDescent="0.25">
      <c r="A1851" s="1">
        <v>913</v>
      </c>
      <c r="B1851" t="s">
        <v>19</v>
      </c>
      <c r="C1851">
        <v>700</v>
      </c>
      <c r="D1851">
        <v>0</v>
      </c>
      <c r="E1851" t="s">
        <v>20</v>
      </c>
      <c r="F1851" t="s">
        <v>20</v>
      </c>
      <c r="G1851" t="str">
        <f>"2025-04-27 10:44:53.504"</f>
        <v>2025-04-27 10:44:53.504</v>
      </c>
      <c r="H1851" t="s">
        <v>21</v>
      </c>
    </row>
    <row r="1852" spans="1:10" x14ac:dyDescent="0.25">
      <c r="A1852" s="1">
        <v>914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"2025-04-27 10:06:20.646"</f>
        <v>2025-04-27 10:06:20.646</v>
      </c>
      <c r="H1852" t="s">
        <v>21</v>
      </c>
      <c r="I1852">
        <v>0</v>
      </c>
      <c r="J1852" t="s">
        <v>22</v>
      </c>
    </row>
    <row r="1853" spans="1:10" x14ac:dyDescent="0.25">
      <c r="A1853" s="1">
        <v>917</v>
      </c>
      <c r="B1853" t="s">
        <v>19</v>
      </c>
      <c r="C1853">
        <v>706</v>
      </c>
      <c r="D1853">
        <v>4</v>
      </c>
      <c r="E1853" t="s">
        <v>23</v>
      </c>
      <c r="F1853" t="s">
        <v>26</v>
      </c>
      <c r="G1853" t="str">
        <f>"2025-04-25 10:16:50.900"</f>
        <v>2025-04-25 10:16:50.900</v>
      </c>
      <c r="H1853" t="s">
        <v>21</v>
      </c>
      <c r="I1853">
        <v>0</v>
      </c>
      <c r="J1853" t="s">
        <v>25</v>
      </c>
    </row>
    <row r="1854" spans="1:10" x14ac:dyDescent="0.25">
      <c r="A1854" s="1">
        <v>918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"2025-04-25 09:57:06.550"</f>
        <v>2025-04-25 09:57:06.550</v>
      </c>
      <c r="H1854" t="s">
        <v>21</v>
      </c>
      <c r="I1854">
        <v>0</v>
      </c>
      <c r="J1854" t="s">
        <v>22</v>
      </c>
    </row>
    <row r="1855" spans="1:10" x14ac:dyDescent="0.25">
      <c r="A1855" s="1">
        <v>919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"2025-04-24 20:55:36.528"</f>
        <v>2025-04-24 20:55:36.528</v>
      </c>
      <c r="H1855" t="s">
        <v>21</v>
      </c>
      <c r="I1855">
        <v>0</v>
      </c>
      <c r="J1855" t="s">
        <v>22</v>
      </c>
    </row>
    <row r="1856" spans="1:10" x14ac:dyDescent="0.25">
      <c r="A1856" s="1">
        <v>920</v>
      </c>
      <c r="B1856" t="s">
        <v>19</v>
      </c>
      <c r="C1856">
        <v>706</v>
      </c>
      <c r="D1856">
        <v>4</v>
      </c>
      <c r="E1856" t="s">
        <v>23</v>
      </c>
      <c r="F1856" t="s">
        <v>26</v>
      </c>
      <c r="G1856" t="str">
        <f>"2025-04-24 13:16:40.667"</f>
        <v>2025-04-24 13:16:40.667</v>
      </c>
      <c r="H1856" t="s">
        <v>21</v>
      </c>
      <c r="I1856">
        <v>0</v>
      </c>
      <c r="J1856" t="s">
        <v>25</v>
      </c>
    </row>
    <row r="1857" spans="1:10" x14ac:dyDescent="0.25">
      <c r="A1857" s="1">
        <v>921</v>
      </c>
      <c r="B1857" t="s">
        <v>19</v>
      </c>
      <c r="C1857">
        <v>700</v>
      </c>
      <c r="D1857">
        <v>0</v>
      </c>
      <c r="E1857" t="s">
        <v>20</v>
      </c>
      <c r="F1857" t="s">
        <v>20</v>
      </c>
      <c r="G1857" t="str">
        <f>"2025-04-24 13:15:50.507"</f>
        <v>2025-04-24 13:15:50.507</v>
      </c>
      <c r="H1857" t="s">
        <v>21</v>
      </c>
    </row>
    <row r="1858" spans="1:10" x14ac:dyDescent="0.25">
      <c r="A1858" s="1">
        <v>922</v>
      </c>
      <c r="B1858" t="s">
        <v>27</v>
      </c>
      <c r="C1858">
        <v>635</v>
      </c>
      <c r="D1858">
        <v>1</v>
      </c>
      <c r="E1858" t="s">
        <v>32</v>
      </c>
      <c r="F1858" t="s">
        <v>33</v>
      </c>
      <c r="G1858" t="str">
        <f>"2025-04-23 06:49:58.519"</f>
        <v>2025-04-23 06:49:58.519</v>
      </c>
      <c r="H1858" t="s">
        <v>21</v>
      </c>
    </row>
    <row r="1859" spans="1:10" x14ac:dyDescent="0.25">
      <c r="A1859" s="1">
        <v>923</v>
      </c>
      <c r="B1859" t="s">
        <v>30</v>
      </c>
      <c r="C1859">
        <v>635</v>
      </c>
      <c r="D1859">
        <v>1</v>
      </c>
      <c r="E1859" t="s">
        <v>32</v>
      </c>
      <c r="F1859" t="s">
        <v>33</v>
      </c>
      <c r="G1859" t="str">
        <f>"2025-04-23 06:30:05.519"</f>
        <v>2025-04-23 06:30:05.519</v>
      </c>
      <c r="H1859" t="s">
        <v>21</v>
      </c>
      <c r="I1859">
        <v>6.59</v>
      </c>
      <c r="J1859" t="s">
        <v>34</v>
      </c>
    </row>
    <row r="1860" spans="1:10" x14ac:dyDescent="0.25">
      <c r="A1860" s="1">
        <v>924</v>
      </c>
      <c r="B1860" t="s">
        <v>19</v>
      </c>
      <c r="C1860">
        <v>706</v>
      </c>
      <c r="D1860">
        <v>4</v>
      </c>
      <c r="E1860" t="s">
        <v>23</v>
      </c>
      <c r="F1860" t="s">
        <v>26</v>
      </c>
      <c r="G1860" t="str">
        <f>"2025-04-20 13:23:56.852"</f>
        <v>2025-04-20 13:23:56.852</v>
      </c>
      <c r="H1860" t="s">
        <v>21</v>
      </c>
      <c r="I1860">
        <v>0</v>
      </c>
      <c r="J1860" t="s">
        <v>25</v>
      </c>
    </row>
    <row r="1861" spans="1:10" x14ac:dyDescent="0.25">
      <c r="A1861" s="1">
        <v>925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"2025-04-20 13:23:28.652"</f>
        <v>2025-04-20 13:23:28.652</v>
      </c>
      <c r="H1861" t="s">
        <v>21</v>
      </c>
    </row>
    <row r="1862" spans="1:10" x14ac:dyDescent="0.25">
      <c r="A1862" s="1">
        <v>926</v>
      </c>
      <c r="B1862" t="s">
        <v>35</v>
      </c>
      <c r="C1862">
        <v>33</v>
      </c>
      <c r="D1862">
        <v>1</v>
      </c>
      <c r="E1862" t="s">
        <v>36</v>
      </c>
      <c r="F1862" t="s">
        <v>37</v>
      </c>
      <c r="G1862" t="str">
        <f>"2025-04-18 23:08:03.960"</f>
        <v>2025-04-18 23:08:03.960</v>
      </c>
      <c r="H1862" t="s">
        <v>38</v>
      </c>
    </row>
    <row r="1863" spans="1:10" x14ac:dyDescent="0.25">
      <c r="A1863" s="1">
        <v>927</v>
      </c>
      <c r="B1863" t="s">
        <v>39</v>
      </c>
      <c r="C1863">
        <v>33</v>
      </c>
      <c r="D1863">
        <v>1</v>
      </c>
      <c r="E1863" t="s">
        <v>36</v>
      </c>
      <c r="F1863" t="s">
        <v>37</v>
      </c>
      <c r="G1863" t="str">
        <f>"2025-04-18 23:07:25.719"</f>
        <v>2025-04-18 23:07:25.719</v>
      </c>
      <c r="H1863" t="s">
        <v>38</v>
      </c>
      <c r="I1863">
        <v>12.78</v>
      </c>
      <c r="J1863" t="s">
        <v>34</v>
      </c>
    </row>
    <row r="1864" spans="1:10" x14ac:dyDescent="0.25">
      <c r="A1864" s="1">
        <v>928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"2025-04-18 20:47:55.773"</f>
        <v>2025-04-18 20:47:55.773</v>
      </c>
      <c r="H1864" t="s">
        <v>21</v>
      </c>
      <c r="I1864">
        <v>0</v>
      </c>
      <c r="J1864" t="s">
        <v>22</v>
      </c>
    </row>
    <row r="1865" spans="1:10" x14ac:dyDescent="0.25">
      <c r="A1865" s="1">
        <v>929</v>
      </c>
      <c r="B1865" t="s">
        <v>19</v>
      </c>
      <c r="C1865">
        <v>706</v>
      </c>
      <c r="D1865">
        <v>4</v>
      </c>
      <c r="E1865" t="s">
        <v>23</v>
      </c>
      <c r="F1865" t="s">
        <v>26</v>
      </c>
      <c r="G1865" t="str">
        <f>"2025-04-18 20:23:36.210"</f>
        <v>2025-04-18 20:23:36.210</v>
      </c>
      <c r="H1865" t="s">
        <v>21</v>
      </c>
      <c r="I1865">
        <v>0</v>
      </c>
      <c r="J1865" t="s">
        <v>25</v>
      </c>
    </row>
    <row r="1866" spans="1:10" x14ac:dyDescent="0.25">
      <c r="A1866" s="1">
        <v>930</v>
      </c>
      <c r="B1866" t="s">
        <v>19</v>
      </c>
      <c r="C1866">
        <v>706</v>
      </c>
      <c r="D1866">
        <v>4</v>
      </c>
      <c r="E1866" t="s">
        <v>23</v>
      </c>
      <c r="F1866" t="s">
        <v>26</v>
      </c>
      <c r="G1866" t="str">
        <f>"2025-04-18 20:23:21.000"</f>
        <v>2025-04-18 20:23:21.000</v>
      </c>
      <c r="H1866" t="s">
        <v>21</v>
      </c>
      <c r="I1866">
        <v>0</v>
      </c>
      <c r="J1866" t="s">
        <v>25</v>
      </c>
    </row>
    <row r="1867" spans="1:10" x14ac:dyDescent="0.25">
      <c r="A1867" s="1">
        <v>931</v>
      </c>
      <c r="B1867" t="s">
        <v>19</v>
      </c>
      <c r="C1867">
        <v>700</v>
      </c>
      <c r="D1867">
        <v>0</v>
      </c>
      <c r="E1867" t="s">
        <v>20</v>
      </c>
      <c r="F1867" t="s">
        <v>20</v>
      </c>
      <c r="G1867" t="str">
        <f>"2025-04-18 18:46:34.740"</f>
        <v>2025-04-18 18:46:34.740</v>
      </c>
      <c r="H1867" t="s">
        <v>21</v>
      </c>
      <c r="I1867">
        <v>0</v>
      </c>
      <c r="J1867" t="s">
        <v>22</v>
      </c>
    </row>
    <row r="1868" spans="1:10" x14ac:dyDescent="0.25">
      <c r="A1868" s="1">
        <v>932</v>
      </c>
      <c r="B1868" t="s">
        <v>19</v>
      </c>
      <c r="C1868">
        <v>700</v>
      </c>
      <c r="D1868">
        <v>0</v>
      </c>
      <c r="E1868" t="s">
        <v>20</v>
      </c>
      <c r="F1868" t="s">
        <v>20</v>
      </c>
      <c r="G1868" t="str">
        <f>"2025-04-18 18:44:25.491"</f>
        <v>2025-04-18 18:44:25.491</v>
      </c>
      <c r="H1868" t="s">
        <v>21</v>
      </c>
    </row>
    <row r="1869" spans="1:10" x14ac:dyDescent="0.25">
      <c r="A1869" s="1">
        <v>933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"2025-04-18 18:18:40.509"</f>
        <v>2025-04-18 18:18:40.509</v>
      </c>
      <c r="H1869" t="s">
        <v>21</v>
      </c>
      <c r="I1869">
        <v>0</v>
      </c>
      <c r="J1869" t="s">
        <v>22</v>
      </c>
    </row>
    <row r="1870" spans="1:10" x14ac:dyDescent="0.25">
      <c r="A1870" s="1">
        <v>934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"2025-04-18 17:26:56.793"</f>
        <v>2025-04-18 17:26:56.793</v>
      </c>
      <c r="H1870" t="s">
        <v>21</v>
      </c>
    </row>
    <row r="1871" spans="1:10" x14ac:dyDescent="0.25">
      <c r="A1871" s="1">
        <v>935</v>
      </c>
      <c r="B1871" t="s">
        <v>27</v>
      </c>
      <c r="C1871">
        <v>635</v>
      </c>
      <c r="D1871">
        <v>1</v>
      </c>
      <c r="E1871" t="s">
        <v>32</v>
      </c>
      <c r="F1871" t="s">
        <v>33</v>
      </c>
      <c r="G1871" t="str">
        <f>"2025-04-18 10:44:28.172"</f>
        <v>2025-04-18 10:44:28.172</v>
      </c>
      <c r="H1871" t="s">
        <v>21</v>
      </c>
    </row>
    <row r="1872" spans="1:10" x14ac:dyDescent="0.25">
      <c r="A1872" s="1">
        <v>936</v>
      </c>
      <c r="B1872" t="s">
        <v>30</v>
      </c>
      <c r="C1872">
        <v>635</v>
      </c>
      <c r="D1872">
        <v>1</v>
      </c>
      <c r="E1872" t="s">
        <v>32</v>
      </c>
      <c r="F1872" t="s">
        <v>33</v>
      </c>
      <c r="G1872" t="str">
        <f>"2025-04-18 10:41:10.172"</f>
        <v>2025-04-18 10:41:10.172</v>
      </c>
      <c r="H1872" t="s">
        <v>21</v>
      </c>
      <c r="I1872">
        <v>0.28000000000000003</v>
      </c>
      <c r="J1872" t="s">
        <v>42</v>
      </c>
    </row>
    <row r="1873" spans="1:10" x14ac:dyDescent="0.25">
      <c r="A1873" s="1">
        <v>937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"2025-04-17 13:56:40.504"</f>
        <v>2025-04-17 13:56:40.504</v>
      </c>
      <c r="H1873" t="s">
        <v>21</v>
      </c>
      <c r="I1873">
        <v>0</v>
      </c>
      <c r="J1873" t="s">
        <v>22</v>
      </c>
    </row>
    <row r="1874" spans="1:10" x14ac:dyDescent="0.25">
      <c r="A1874" s="1">
        <v>938</v>
      </c>
      <c r="B1874" t="s">
        <v>19</v>
      </c>
      <c r="C1874">
        <v>706</v>
      </c>
      <c r="D1874">
        <v>3</v>
      </c>
      <c r="E1874" t="s">
        <v>23</v>
      </c>
      <c r="F1874" t="s">
        <v>43</v>
      </c>
      <c r="G1874" t="str">
        <f>"2025-04-17 13:54:46.838"</f>
        <v>2025-04-17 13:54:46.838</v>
      </c>
      <c r="H1874" t="s">
        <v>21</v>
      </c>
      <c r="I1874">
        <v>0</v>
      </c>
      <c r="J1874" t="s">
        <v>25</v>
      </c>
    </row>
    <row r="1875" spans="1:10" x14ac:dyDescent="0.25">
      <c r="A1875" s="1">
        <v>939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"2025-04-17 13:54:27.498"</f>
        <v>2025-04-17 13:54:27.498</v>
      </c>
      <c r="H1875" t="s">
        <v>21</v>
      </c>
      <c r="I1875">
        <v>0</v>
      </c>
      <c r="J1875" t="s">
        <v>22</v>
      </c>
    </row>
    <row r="1876" spans="1:10" x14ac:dyDescent="0.25">
      <c r="A1876" s="1">
        <v>940</v>
      </c>
      <c r="B1876" t="s">
        <v>19</v>
      </c>
      <c r="C1876">
        <v>706</v>
      </c>
      <c r="D1876">
        <v>4</v>
      </c>
      <c r="E1876" t="s">
        <v>23</v>
      </c>
      <c r="F1876" t="s">
        <v>26</v>
      </c>
      <c r="G1876" t="str">
        <f>"2025-04-17 11:25:28.016"</f>
        <v>2025-04-17 11:25:28.016</v>
      </c>
      <c r="H1876" t="s">
        <v>21</v>
      </c>
      <c r="I1876">
        <v>0</v>
      </c>
      <c r="J1876" t="s">
        <v>25</v>
      </c>
    </row>
    <row r="1877" spans="1:10" x14ac:dyDescent="0.25">
      <c r="A1877" s="1">
        <v>941</v>
      </c>
      <c r="B1877" t="s">
        <v>19</v>
      </c>
      <c r="C1877">
        <v>706</v>
      </c>
      <c r="D1877">
        <v>2</v>
      </c>
      <c r="E1877" t="s">
        <v>23</v>
      </c>
      <c r="F1877" t="s">
        <v>24</v>
      </c>
      <c r="G1877" t="str">
        <f>"2025-04-15 21:46:33.176"</f>
        <v>2025-04-15 21:46:33.176</v>
      </c>
      <c r="H1877" t="s">
        <v>21</v>
      </c>
      <c r="I1877">
        <v>0</v>
      </c>
      <c r="J1877" t="s">
        <v>25</v>
      </c>
    </row>
    <row r="1878" spans="1:10" x14ac:dyDescent="0.25">
      <c r="A1878" s="1">
        <v>942</v>
      </c>
      <c r="B1878" t="s">
        <v>27</v>
      </c>
      <c r="C1878">
        <v>635</v>
      </c>
      <c r="D1878">
        <v>1</v>
      </c>
      <c r="E1878" t="s">
        <v>32</v>
      </c>
      <c r="F1878" t="s">
        <v>33</v>
      </c>
      <c r="G1878" t="str">
        <f>"2025-04-15 21:04:37.626"</f>
        <v>2025-04-15 21:04:37.626</v>
      </c>
      <c r="H1878" t="s">
        <v>21</v>
      </c>
    </row>
    <row r="1879" spans="1:10" x14ac:dyDescent="0.25">
      <c r="A1879" s="1">
        <v>943</v>
      </c>
      <c r="B1879" t="s">
        <v>30</v>
      </c>
      <c r="C1879">
        <v>635</v>
      </c>
      <c r="D1879">
        <v>1</v>
      </c>
      <c r="E1879" t="s">
        <v>32</v>
      </c>
      <c r="F1879" t="s">
        <v>33</v>
      </c>
      <c r="G1879" t="str">
        <f>"2025-04-15 20:56:53.626"</f>
        <v>2025-04-15 20:56:53.626</v>
      </c>
      <c r="H1879" t="s">
        <v>21</v>
      </c>
      <c r="I1879">
        <v>6.76</v>
      </c>
      <c r="J1879" t="s">
        <v>34</v>
      </c>
    </row>
    <row r="1880" spans="1:10" x14ac:dyDescent="0.25">
      <c r="A1880" s="1">
        <v>944</v>
      </c>
      <c r="B1880" t="s">
        <v>27</v>
      </c>
      <c r="C1880">
        <v>635</v>
      </c>
      <c r="D1880">
        <v>1</v>
      </c>
      <c r="E1880" t="s">
        <v>32</v>
      </c>
      <c r="F1880" t="s">
        <v>33</v>
      </c>
      <c r="G1880" t="str">
        <f>"2025-04-15 14:23:57.026"</f>
        <v>2025-04-15 14:23:57.026</v>
      </c>
      <c r="H1880" t="s">
        <v>21</v>
      </c>
    </row>
    <row r="1881" spans="1:10" x14ac:dyDescent="0.25">
      <c r="A1881" s="1">
        <v>945</v>
      </c>
      <c r="B1881" t="s">
        <v>30</v>
      </c>
      <c r="C1881">
        <v>635</v>
      </c>
      <c r="D1881">
        <v>1</v>
      </c>
      <c r="E1881" t="s">
        <v>32</v>
      </c>
      <c r="F1881" t="s">
        <v>33</v>
      </c>
      <c r="G1881" t="str">
        <f>"2025-04-15 14:21:52.526"</f>
        <v>2025-04-15 14:21:52.526</v>
      </c>
      <c r="H1881" t="s">
        <v>21</v>
      </c>
      <c r="I1881">
        <v>6.67</v>
      </c>
      <c r="J1881" t="s">
        <v>34</v>
      </c>
    </row>
    <row r="1882" spans="1:10" x14ac:dyDescent="0.25">
      <c r="A1882" s="1">
        <v>946</v>
      </c>
      <c r="B1882" t="s">
        <v>19</v>
      </c>
      <c r="C1882">
        <v>706</v>
      </c>
      <c r="D1882">
        <v>2</v>
      </c>
      <c r="E1882" t="s">
        <v>23</v>
      </c>
      <c r="F1882" t="s">
        <v>24</v>
      </c>
      <c r="G1882" t="str">
        <f>"2025-04-15 13:30:30.076"</f>
        <v>2025-04-15 13:30:30.076</v>
      </c>
      <c r="H1882" t="s">
        <v>21</v>
      </c>
      <c r="I1882">
        <v>0</v>
      </c>
      <c r="J1882" t="s">
        <v>25</v>
      </c>
    </row>
    <row r="1883" spans="1:10" x14ac:dyDescent="0.25">
      <c r="A1883" s="1">
        <v>947</v>
      </c>
      <c r="B1883" t="s">
        <v>19</v>
      </c>
      <c r="C1883">
        <v>700</v>
      </c>
      <c r="D1883">
        <v>0</v>
      </c>
      <c r="E1883" t="s">
        <v>20</v>
      </c>
      <c r="F1883" t="s">
        <v>20</v>
      </c>
      <c r="G1883" t="str">
        <f>"2025-04-12 11:20:34.496"</f>
        <v>2025-04-12 11:20:34.496</v>
      </c>
      <c r="H1883" t="s">
        <v>21</v>
      </c>
      <c r="I1883">
        <v>0</v>
      </c>
      <c r="J1883" t="s">
        <v>22</v>
      </c>
    </row>
    <row r="1884" spans="1:10" x14ac:dyDescent="0.25">
      <c r="A1884" s="1">
        <v>948</v>
      </c>
      <c r="B1884" t="s">
        <v>19</v>
      </c>
      <c r="C1884">
        <v>706</v>
      </c>
      <c r="D1884">
        <v>4</v>
      </c>
      <c r="E1884" t="s">
        <v>23</v>
      </c>
      <c r="F1884" t="s">
        <v>26</v>
      </c>
      <c r="G1884" t="str">
        <f>"2025-04-11 21:36:07.673"</f>
        <v>2025-04-11 21:36:07.673</v>
      </c>
      <c r="H1884" t="s">
        <v>21</v>
      </c>
      <c r="I1884">
        <v>0</v>
      </c>
      <c r="J1884" t="s">
        <v>25</v>
      </c>
    </row>
    <row r="1885" spans="1:10" x14ac:dyDescent="0.25">
      <c r="A1885" s="1">
        <v>949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"2025-04-11 17:16:37.493"</f>
        <v>2025-04-11 17:16:37.493</v>
      </c>
      <c r="H1885" t="s">
        <v>21</v>
      </c>
      <c r="I1885">
        <v>0</v>
      </c>
      <c r="J1885" t="s">
        <v>22</v>
      </c>
    </row>
    <row r="1886" spans="1:10" x14ac:dyDescent="0.25">
      <c r="A1886" s="1">
        <v>950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"2025-04-11 16:08:49.490"</f>
        <v>2025-04-11 16:08:49.490</v>
      </c>
      <c r="H1886" t="s">
        <v>21</v>
      </c>
    </row>
    <row r="1887" spans="1:10" x14ac:dyDescent="0.25">
      <c r="A1887" s="1">
        <v>951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"2025-04-11 16:01:37.488"</f>
        <v>2025-04-11 16:01:37.488</v>
      </c>
      <c r="H1887" t="s">
        <v>21</v>
      </c>
      <c r="I1887">
        <v>0</v>
      </c>
      <c r="J1887" t="s">
        <v>22</v>
      </c>
    </row>
    <row r="1888" spans="1:10" x14ac:dyDescent="0.25">
      <c r="A1888" s="1">
        <v>952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"2025-04-11 15:53:37.492"</f>
        <v>2025-04-11 15:53:37.492</v>
      </c>
      <c r="H1888" t="s">
        <v>21</v>
      </c>
    </row>
    <row r="1889" spans="1:10" x14ac:dyDescent="0.25">
      <c r="A1889" s="1">
        <v>953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"2025-04-11 15:48:35.484"</f>
        <v>2025-04-11 15:48:35.484</v>
      </c>
      <c r="H1889" t="s">
        <v>21</v>
      </c>
    </row>
    <row r="1890" spans="1:10" x14ac:dyDescent="0.25">
      <c r="A1890" s="1">
        <v>954</v>
      </c>
      <c r="B1890" t="s">
        <v>19</v>
      </c>
      <c r="C1890">
        <v>700</v>
      </c>
      <c r="D1890">
        <v>0</v>
      </c>
      <c r="E1890" t="s">
        <v>20</v>
      </c>
      <c r="F1890" t="s">
        <v>20</v>
      </c>
      <c r="G1890" t="str">
        <f>"2025-04-11 15:44:47.491"</f>
        <v>2025-04-11 15:44:47.491</v>
      </c>
      <c r="H1890" t="s">
        <v>21</v>
      </c>
      <c r="I1890">
        <v>0</v>
      </c>
      <c r="J1890" t="s">
        <v>22</v>
      </c>
    </row>
    <row r="1891" spans="1:10" x14ac:dyDescent="0.25">
      <c r="A1891" s="1">
        <v>955</v>
      </c>
      <c r="B1891" t="s">
        <v>19</v>
      </c>
      <c r="C1891">
        <v>706</v>
      </c>
      <c r="D1891">
        <v>2</v>
      </c>
      <c r="E1891" t="s">
        <v>23</v>
      </c>
      <c r="F1891" t="s">
        <v>24</v>
      </c>
      <c r="G1891" t="str">
        <f>"2025-04-11 15:17:41.919"</f>
        <v>2025-04-11 15:17:41.919</v>
      </c>
      <c r="H1891" t="s">
        <v>21</v>
      </c>
      <c r="I1891">
        <v>0</v>
      </c>
      <c r="J1891" t="s">
        <v>25</v>
      </c>
    </row>
    <row r="1892" spans="1:10" x14ac:dyDescent="0.25">
      <c r="A1892" s="1">
        <v>956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"2025-04-11 15:13:47.479"</f>
        <v>2025-04-11 15:13:47.479</v>
      </c>
      <c r="H1892" t="s">
        <v>21</v>
      </c>
      <c r="I1892">
        <v>0</v>
      </c>
      <c r="J1892" t="s">
        <v>22</v>
      </c>
    </row>
    <row r="1893" spans="1:10" x14ac:dyDescent="0.25">
      <c r="A1893" s="1">
        <v>957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"2025-04-11 14:48:08.478"</f>
        <v>2025-04-11 14:48:08.478</v>
      </c>
      <c r="H1893" t="s">
        <v>21</v>
      </c>
    </row>
    <row r="1894" spans="1:10" x14ac:dyDescent="0.25">
      <c r="A1894" s="1">
        <v>958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"2025-04-11 14:41:49.469"</f>
        <v>2025-04-11 14:41:49.469</v>
      </c>
      <c r="H1894" t="s">
        <v>21</v>
      </c>
      <c r="I1894">
        <v>0</v>
      </c>
      <c r="J1894" t="s">
        <v>22</v>
      </c>
    </row>
    <row r="1895" spans="1:10" x14ac:dyDescent="0.25">
      <c r="A1895" s="1">
        <v>959</v>
      </c>
      <c r="B1895" t="s">
        <v>19</v>
      </c>
      <c r="C1895">
        <v>700</v>
      </c>
      <c r="D1895">
        <v>0</v>
      </c>
      <c r="E1895" t="s">
        <v>20</v>
      </c>
      <c r="F1895" t="s">
        <v>20</v>
      </c>
      <c r="G1895" t="str">
        <f>"2025-04-11 12:01:43.468"</f>
        <v>2025-04-11 12:01:43.468</v>
      </c>
      <c r="H1895" t="s">
        <v>21</v>
      </c>
    </row>
    <row r="1896" spans="1:10" x14ac:dyDescent="0.25">
      <c r="A1896" s="1">
        <v>960</v>
      </c>
      <c r="B1896" t="s">
        <v>19</v>
      </c>
      <c r="C1896">
        <v>700</v>
      </c>
      <c r="D1896">
        <v>0</v>
      </c>
      <c r="E1896" t="s">
        <v>20</v>
      </c>
      <c r="F1896" t="s">
        <v>20</v>
      </c>
      <c r="G1896" t="str">
        <f>"2025-04-11 11:38:31.506"</f>
        <v>2025-04-11 11:38:31.506</v>
      </c>
      <c r="H1896" t="s">
        <v>21</v>
      </c>
    </row>
    <row r="1897" spans="1:10" x14ac:dyDescent="0.25">
      <c r="A1897" s="1">
        <v>961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"2025-04-11 11:28:10.490"</f>
        <v>2025-04-11 11:28:10.490</v>
      </c>
      <c r="H1897" t="s">
        <v>21</v>
      </c>
      <c r="I1897">
        <v>0</v>
      </c>
      <c r="J1897" t="s">
        <v>22</v>
      </c>
    </row>
    <row r="1898" spans="1:10" x14ac:dyDescent="0.25">
      <c r="A1898" s="1">
        <v>962</v>
      </c>
      <c r="B1898" t="s">
        <v>19</v>
      </c>
      <c r="C1898">
        <v>706</v>
      </c>
      <c r="D1898">
        <v>4</v>
      </c>
      <c r="E1898" t="s">
        <v>23</v>
      </c>
      <c r="F1898" t="s">
        <v>26</v>
      </c>
      <c r="G1898" t="str">
        <f>"2025-04-11 11:16:45.868"</f>
        <v>2025-04-11 11:16:45.868</v>
      </c>
      <c r="H1898" t="s">
        <v>21</v>
      </c>
      <c r="I1898">
        <v>0</v>
      </c>
      <c r="J1898" t="s">
        <v>25</v>
      </c>
    </row>
    <row r="1899" spans="1:10" x14ac:dyDescent="0.25">
      <c r="A1899" s="1">
        <v>963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"2025-04-11 11:16:30.508"</f>
        <v>2025-04-11 11:16:30.508</v>
      </c>
      <c r="H1899" t="s">
        <v>21</v>
      </c>
    </row>
    <row r="1900" spans="1:10" x14ac:dyDescent="0.25">
      <c r="A1900" s="1">
        <v>964</v>
      </c>
      <c r="B1900" t="s">
        <v>19</v>
      </c>
      <c r="C1900">
        <v>706</v>
      </c>
      <c r="D1900">
        <v>4</v>
      </c>
      <c r="E1900" t="s">
        <v>23</v>
      </c>
      <c r="F1900" t="s">
        <v>26</v>
      </c>
      <c r="G1900" t="str">
        <f>"2025-04-09 12:21:09.639"</f>
        <v>2025-04-09 12:21:09.639</v>
      </c>
      <c r="H1900" t="s">
        <v>21</v>
      </c>
      <c r="I1900">
        <v>0</v>
      </c>
      <c r="J1900" t="s">
        <v>25</v>
      </c>
    </row>
    <row r="1901" spans="1:10" x14ac:dyDescent="0.25">
      <c r="A1901" s="1">
        <v>965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"2025-04-09 12:19:51.469"</f>
        <v>2025-04-09 12:19:51.469</v>
      </c>
      <c r="H1901" t="s">
        <v>21</v>
      </c>
    </row>
    <row r="1902" spans="1:10" x14ac:dyDescent="0.25">
      <c r="A1902" s="1">
        <v>966</v>
      </c>
      <c r="B1902" t="s">
        <v>19</v>
      </c>
      <c r="C1902">
        <v>706</v>
      </c>
      <c r="D1902">
        <v>4</v>
      </c>
      <c r="E1902" t="s">
        <v>23</v>
      </c>
      <c r="F1902" t="s">
        <v>26</v>
      </c>
      <c r="G1902" t="str">
        <f>"2025-04-09 12:14:13.832"</f>
        <v>2025-04-09 12:14:13.832</v>
      </c>
      <c r="H1902" t="s">
        <v>21</v>
      </c>
      <c r="I1902">
        <v>0</v>
      </c>
      <c r="J1902" t="s">
        <v>25</v>
      </c>
    </row>
    <row r="1903" spans="1:10" x14ac:dyDescent="0.25">
      <c r="A1903" s="1">
        <v>967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"2025-04-09 12:13:07.482"</f>
        <v>2025-04-09 12:13:07.482</v>
      </c>
      <c r="H1903" t="s">
        <v>21</v>
      </c>
      <c r="I1903">
        <v>0</v>
      </c>
      <c r="J1903" t="s">
        <v>22</v>
      </c>
    </row>
    <row r="1904" spans="1:10" x14ac:dyDescent="0.25">
      <c r="A1904" s="1">
        <v>968</v>
      </c>
      <c r="B1904" t="s">
        <v>19</v>
      </c>
      <c r="C1904">
        <v>706</v>
      </c>
      <c r="D1904">
        <v>4</v>
      </c>
      <c r="E1904" t="s">
        <v>23</v>
      </c>
      <c r="F1904" t="s">
        <v>26</v>
      </c>
      <c r="G1904" t="str">
        <f>"2025-04-09 12:05:35.440"</f>
        <v>2025-04-09 12:05:35.440</v>
      </c>
      <c r="H1904" t="s">
        <v>21</v>
      </c>
      <c r="I1904">
        <v>0</v>
      </c>
      <c r="J1904" t="s">
        <v>25</v>
      </c>
    </row>
    <row r="1905" spans="1:10" x14ac:dyDescent="0.25">
      <c r="A1905" s="1">
        <v>969</v>
      </c>
      <c r="B1905" t="s">
        <v>19</v>
      </c>
      <c r="C1905">
        <v>700</v>
      </c>
      <c r="D1905">
        <v>0</v>
      </c>
      <c r="E1905" t="s">
        <v>20</v>
      </c>
      <c r="F1905" t="s">
        <v>20</v>
      </c>
      <c r="G1905" t="str">
        <f>"2025-04-09 12:04:39.480"</f>
        <v>2025-04-09 12:04:39.480</v>
      </c>
      <c r="H1905" t="s">
        <v>21</v>
      </c>
    </row>
    <row r="1906" spans="1:10" x14ac:dyDescent="0.25">
      <c r="A1906" s="1">
        <v>970</v>
      </c>
      <c r="B1906" t="s">
        <v>19</v>
      </c>
      <c r="C1906">
        <v>706</v>
      </c>
      <c r="D1906">
        <v>4</v>
      </c>
      <c r="E1906" t="s">
        <v>23</v>
      </c>
      <c r="F1906" t="s">
        <v>26</v>
      </c>
      <c r="G1906" t="str">
        <f>"2025-04-09 12:01:35.636"</f>
        <v>2025-04-09 12:01:35.636</v>
      </c>
      <c r="H1906" t="s">
        <v>21</v>
      </c>
      <c r="I1906">
        <v>0</v>
      </c>
      <c r="J1906" t="s">
        <v>25</v>
      </c>
    </row>
    <row r="1907" spans="1:10" x14ac:dyDescent="0.25">
      <c r="A1907" s="1">
        <v>971</v>
      </c>
      <c r="B1907" t="s">
        <v>19</v>
      </c>
      <c r="C1907">
        <v>706</v>
      </c>
      <c r="D1907">
        <v>3</v>
      </c>
      <c r="E1907" t="s">
        <v>23</v>
      </c>
      <c r="F1907" t="s">
        <v>43</v>
      </c>
      <c r="G1907" t="str">
        <f>"2025-04-09 12:00:55.596"</f>
        <v>2025-04-09 12:00:55.596</v>
      </c>
      <c r="H1907" t="s">
        <v>21</v>
      </c>
      <c r="I1907">
        <v>0</v>
      </c>
      <c r="J1907" t="s">
        <v>25</v>
      </c>
    </row>
    <row r="1908" spans="1:10" x14ac:dyDescent="0.25">
      <c r="A1908" s="1">
        <v>972</v>
      </c>
      <c r="B1908" t="s">
        <v>19</v>
      </c>
      <c r="C1908">
        <v>706</v>
      </c>
      <c r="D1908">
        <v>2</v>
      </c>
      <c r="E1908" t="s">
        <v>23</v>
      </c>
      <c r="F1908" t="s">
        <v>24</v>
      </c>
      <c r="G1908" t="str">
        <f>"2025-04-09 11:59:10.476"</f>
        <v>2025-04-09 11:59:10.476</v>
      </c>
      <c r="H1908" t="s">
        <v>21</v>
      </c>
      <c r="I1908">
        <v>0</v>
      </c>
      <c r="J1908" t="s">
        <v>25</v>
      </c>
    </row>
    <row r="1909" spans="1:10" x14ac:dyDescent="0.25">
      <c r="A1909" s="1">
        <v>973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"2025-04-09 11:58:24.486"</f>
        <v>2025-04-09 11:58:24.486</v>
      </c>
      <c r="H1909" t="s">
        <v>21</v>
      </c>
    </row>
    <row r="1910" spans="1:10" x14ac:dyDescent="0.25">
      <c r="A1910" s="1">
        <v>974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"2025-04-09 11:39:43.482"</f>
        <v>2025-04-09 11:39:43.482</v>
      </c>
      <c r="H1910" t="s">
        <v>21</v>
      </c>
      <c r="I1910">
        <v>0</v>
      </c>
      <c r="J1910" t="s">
        <v>22</v>
      </c>
    </row>
    <row r="1911" spans="1:10" x14ac:dyDescent="0.25">
      <c r="A1911" s="1">
        <v>975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"2025-04-09 11:36:09.500"</f>
        <v>2025-04-09 11:36:09.500</v>
      </c>
      <c r="H1911" t="s">
        <v>21</v>
      </c>
    </row>
    <row r="1912" spans="1:10" x14ac:dyDescent="0.25">
      <c r="A1912" s="1">
        <v>976</v>
      </c>
      <c r="B1912" t="s">
        <v>19</v>
      </c>
      <c r="C1912">
        <v>706</v>
      </c>
      <c r="D1912">
        <v>3</v>
      </c>
      <c r="E1912" t="s">
        <v>23</v>
      </c>
      <c r="F1912" t="s">
        <v>43</v>
      </c>
      <c r="G1912" t="str">
        <f>"2025-04-09 11:23:29.574"</f>
        <v>2025-04-09 11:23:29.574</v>
      </c>
      <c r="H1912" t="s">
        <v>21</v>
      </c>
      <c r="I1912">
        <v>0</v>
      </c>
      <c r="J1912" t="s">
        <v>25</v>
      </c>
    </row>
    <row r="1913" spans="1:10" x14ac:dyDescent="0.25">
      <c r="A1913" s="1">
        <v>977</v>
      </c>
      <c r="B1913" t="s">
        <v>19</v>
      </c>
      <c r="C1913">
        <v>706</v>
      </c>
      <c r="D1913">
        <v>3</v>
      </c>
      <c r="E1913" t="s">
        <v>23</v>
      </c>
      <c r="F1913" t="s">
        <v>43</v>
      </c>
      <c r="G1913" t="str">
        <f>"2025-04-09 11:02:44.834"</f>
        <v>2025-04-09 11:02:44.834</v>
      </c>
      <c r="H1913" t="s">
        <v>21</v>
      </c>
      <c r="I1913">
        <v>0</v>
      </c>
      <c r="J1913" t="s">
        <v>25</v>
      </c>
    </row>
    <row r="1914" spans="1:10" x14ac:dyDescent="0.25">
      <c r="A1914" s="1">
        <v>978</v>
      </c>
      <c r="B1914" t="s">
        <v>19</v>
      </c>
      <c r="C1914">
        <v>706</v>
      </c>
      <c r="D1914">
        <v>3</v>
      </c>
      <c r="E1914" t="s">
        <v>23</v>
      </c>
      <c r="F1914" t="s">
        <v>43</v>
      </c>
      <c r="G1914" t="str">
        <f>"2025-04-09 10:54:54.454"</f>
        <v>2025-04-09 10:54:54.454</v>
      </c>
      <c r="H1914" t="s">
        <v>21</v>
      </c>
      <c r="I1914">
        <v>0</v>
      </c>
      <c r="J1914" t="s">
        <v>25</v>
      </c>
    </row>
    <row r="1915" spans="1:10" x14ac:dyDescent="0.25">
      <c r="A1915" s="1">
        <v>979</v>
      </c>
      <c r="B1915" t="s">
        <v>19</v>
      </c>
      <c r="C1915">
        <v>706</v>
      </c>
      <c r="D1915">
        <v>3</v>
      </c>
      <c r="E1915" t="s">
        <v>23</v>
      </c>
      <c r="F1915" t="s">
        <v>43</v>
      </c>
      <c r="G1915" t="str">
        <f>"2025-04-09 10:51:37.054"</f>
        <v>2025-04-09 10:51:37.054</v>
      </c>
      <c r="H1915" t="s">
        <v>21</v>
      </c>
      <c r="I1915">
        <v>0</v>
      </c>
      <c r="J1915" t="s">
        <v>25</v>
      </c>
    </row>
    <row r="1916" spans="1:10" x14ac:dyDescent="0.25">
      <c r="A1916" s="1">
        <v>980</v>
      </c>
      <c r="B1916" t="s">
        <v>19</v>
      </c>
      <c r="C1916">
        <v>706</v>
      </c>
      <c r="D1916">
        <v>3</v>
      </c>
      <c r="E1916" t="s">
        <v>23</v>
      </c>
      <c r="F1916" t="s">
        <v>43</v>
      </c>
      <c r="G1916" t="str">
        <f>"2025-04-09 10:37:03.374"</f>
        <v>2025-04-09 10:37:03.374</v>
      </c>
      <c r="H1916" t="s">
        <v>21</v>
      </c>
      <c r="I1916">
        <v>0</v>
      </c>
      <c r="J1916" t="s">
        <v>25</v>
      </c>
    </row>
    <row r="1917" spans="1:10" x14ac:dyDescent="0.25">
      <c r="A1917" s="1">
        <v>981</v>
      </c>
      <c r="B1917" t="s">
        <v>19</v>
      </c>
      <c r="C1917">
        <v>706</v>
      </c>
      <c r="D1917">
        <v>4</v>
      </c>
      <c r="E1917" t="s">
        <v>23</v>
      </c>
      <c r="F1917" t="s">
        <v>26</v>
      </c>
      <c r="G1917" t="str">
        <f>"2025-04-08 13:38:44.834"</f>
        <v>2025-04-08 13:38:44.834</v>
      </c>
      <c r="H1917" t="s">
        <v>21</v>
      </c>
      <c r="I1917">
        <v>0</v>
      </c>
      <c r="J1917" t="s">
        <v>25</v>
      </c>
    </row>
    <row r="1918" spans="1:10" x14ac:dyDescent="0.25">
      <c r="A1918" s="1">
        <v>982</v>
      </c>
      <c r="B1918" t="s">
        <v>19</v>
      </c>
      <c r="C1918">
        <v>706</v>
      </c>
      <c r="D1918">
        <v>3</v>
      </c>
      <c r="E1918" t="s">
        <v>23</v>
      </c>
      <c r="F1918" t="s">
        <v>43</v>
      </c>
      <c r="G1918" t="str">
        <f>"2025-04-08 13:35:32.434"</f>
        <v>2025-04-08 13:35:32.434</v>
      </c>
      <c r="H1918" t="s">
        <v>21</v>
      </c>
      <c r="I1918">
        <v>0</v>
      </c>
      <c r="J1918" t="s">
        <v>25</v>
      </c>
    </row>
    <row r="1919" spans="1:10" x14ac:dyDescent="0.25">
      <c r="A1919" s="1">
        <v>983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"2025-04-08 13:33:15.484"</f>
        <v>2025-04-08 13:33:15.484</v>
      </c>
      <c r="H1919" t="s">
        <v>21</v>
      </c>
      <c r="I1919">
        <v>0</v>
      </c>
      <c r="J1919" t="s">
        <v>22</v>
      </c>
    </row>
    <row r="1920" spans="1:10" x14ac:dyDescent="0.25">
      <c r="A1920" s="1">
        <v>984</v>
      </c>
      <c r="B1920" t="s">
        <v>27</v>
      </c>
      <c r="C1920">
        <v>635</v>
      </c>
      <c r="D1920">
        <v>1</v>
      </c>
      <c r="E1920" t="s">
        <v>32</v>
      </c>
      <c r="F1920" t="s">
        <v>33</v>
      </c>
      <c r="G1920" t="str">
        <f>"2025-04-08 09:57:11.182"</f>
        <v>2025-04-08 09:57:11.182</v>
      </c>
      <c r="H1920" t="s">
        <v>21</v>
      </c>
    </row>
    <row r="1921" spans="1:10" x14ac:dyDescent="0.25">
      <c r="A1921" s="1">
        <v>985</v>
      </c>
      <c r="B1921" t="s">
        <v>30</v>
      </c>
      <c r="C1921">
        <v>635</v>
      </c>
      <c r="D1921">
        <v>1</v>
      </c>
      <c r="E1921" t="s">
        <v>32</v>
      </c>
      <c r="F1921" t="s">
        <v>33</v>
      </c>
      <c r="G1921" t="str">
        <f>"2025-04-08 09:52:31.681"</f>
        <v>2025-04-08 09:52:31.681</v>
      </c>
      <c r="H1921" t="s">
        <v>21</v>
      </c>
      <c r="I1921">
        <v>7.35</v>
      </c>
      <c r="J1921" t="s">
        <v>34</v>
      </c>
    </row>
    <row r="1922" spans="1:10" x14ac:dyDescent="0.25">
      <c r="A1922" s="1">
        <v>987</v>
      </c>
      <c r="B1922" t="s">
        <v>19</v>
      </c>
      <c r="C1922">
        <v>706</v>
      </c>
      <c r="D1922">
        <v>4</v>
      </c>
      <c r="E1922" t="s">
        <v>23</v>
      </c>
      <c r="F1922" t="s">
        <v>26</v>
      </c>
      <c r="G1922" t="str">
        <f>"2025-04-07 16:16:30.380"</f>
        <v>2025-04-07 16:16:30.380</v>
      </c>
      <c r="H1922" t="s">
        <v>21</v>
      </c>
      <c r="I1922">
        <v>0</v>
      </c>
      <c r="J1922" t="s">
        <v>25</v>
      </c>
    </row>
    <row r="1923" spans="1:10" x14ac:dyDescent="0.25">
      <c r="A1923" s="1">
        <v>988</v>
      </c>
      <c r="B1923" t="s">
        <v>19</v>
      </c>
      <c r="C1923">
        <v>706</v>
      </c>
      <c r="D1923">
        <v>3</v>
      </c>
      <c r="E1923" t="s">
        <v>23</v>
      </c>
      <c r="F1923" t="s">
        <v>43</v>
      </c>
      <c r="G1923" t="str">
        <f>"2025-04-07 15:59:31.200"</f>
        <v>2025-04-07 15:59:31.200</v>
      </c>
      <c r="H1923" t="s">
        <v>21</v>
      </c>
      <c r="I1923">
        <v>0</v>
      </c>
      <c r="J1923" t="s">
        <v>25</v>
      </c>
    </row>
    <row r="1924" spans="1:10" x14ac:dyDescent="0.25">
      <c r="A1924" s="1">
        <v>989</v>
      </c>
      <c r="B1924" t="s">
        <v>19</v>
      </c>
      <c r="C1924">
        <v>706</v>
      </c>
      <c r="D1924">
        <v>3</v>
      </c>
      <c r="E1924" t="s">
        <v>23</v>
      </c>
      <c r="F1924" t="s">
        <v>43</v>
      </c>
      <c r="G1924" t="str">
        <f>"2025-04-07 15:56:27.200"</f>
        <v>2025-04-07 15:56:27.200</v>
      </c>
      <c r="H1924" t="s">
        <v>21</v>
      </c>
      <c r="I1924">
        <v>0</v>
      </c>
      <c r="J1924" t="s">
        <v>25</v>
      </c>
    </row>
    <row r="1925" spans="1:10" x14ac:dyDescent="0.25">
      <c r="A1925" s="1">
        <v>990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"2025-04-07 15:49:22.490"</f>
        <v>2025-04-07 15:49:22.490</v>
      </c>
      <c r="H1925" t="s">
        <v>21</v>
      </c>
      <c r="I1925">
        <v>0</v>
      </c>
      <c r="J1925" t="s">
        <v>22</v>
      </c>
    </row>
    <row r="1926" spans="1:10" x14ac:dyDescent="0.25">
      <c r="A1926" s="1">
        <v>991</v>
      </c>
      <c r="B1926" t="s">
        <v>19</v>
      </c>
      <c r="C1926">
        <v>706</v>
      </c>
      <c r="D1926">
        <v>2</v>
      </c>
      <c r="E1926" t="s">
        <v>23</v>
      </c>
      <c r="F1926" t="s">
        <v>24</v>
      </c>
      <c r="G1926" t="str">
        <f>"2025-04-07 03:06:38.754"</f>
        <v>2025-04-07 03:06:38.754</v>
      </c>
      <c r="H1926" t="s">
        <v>21</v>
      </c>
      <c r="I1926">
        <v>0</v>
      </c>
      <c r="J1926" t="s">
        <v>25</v>
      </c>
    </row>
    <row r="1927" spans="1:10" x14ac:dyDescent="0.25">
      <c r="A1927" s="1">
        <v>992</v>
      </c>
      <c r="B1927" t="s">
        <v>19</v>
      </c>
      <c r="C1927">
        <v>706</v>
      </c>
      <c r="D1927">
        <v>3</v>
      </c>
      <c r="E1927" t="s">
        <v>23</v>
      </c>
      <c r="F1927" t="s">
        <v>43</v>
      </c>
      <c r="G1927" t="str">
        <f>"2025-04-07 02:56:36.214"</f>
        <v>2025-04-07 02:56:36.214</v>
      </c>
      <c r="H1927" t="s">
        <v>21</v>
      </c>
      <c r="I1927">
        <v>0</v>
      </c>
      <c r="J1927" t="s">
        <v>25</v>
      </c>
    </row>
    <row r="1928" spans="1:10" x14ac:dyDescent="0.25">
      <c r="A1928" s="1">
        <v>993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"2025-04-06 17:21:35.474"</f>
        <v>2025-04-06 17:21:35.474</v>
      </c>
      <c r="H1928" t="s">
        <v>21</v>
      </c>
      <c r="I1928">
        <v>0</v>
      </c>
      <c r="J1928" t="s">
        <v>22</v>
      </c>
    </row>
    <row r="1929" spans="1:10" x14ac:dyDescent="0.25">
      <c r="A1929" s="1">
        <v>994</v>
      </c>
      <c r="B1929" t="s">
        <v>19</v>
      </c>
      <c r="C1929">
        <v>700</v>
      </c>
      <c r="D1929">
        <v>0</v>
      </c>
      <c r="E1929" t="s">
        <v>20</v>
      </c>
      <c r="F1929" t="s">
        <v>20</v>
      </c>
      <c r="G1929" t="str">
        <f>"2025-04-06 08:50:16.688"</f>
        <v>2025-04-06 08:50:16.688</v>
      </c>
      <c r="H1929" t="s">
        <v>21</v>
      </c>
    </row>
    <row r="1930" spans="1:10" x14ac:dyDescent="0.25">
      <c r="A1930" s="1">
        <v>995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"2025-04-06 07:18:36.500"</f>
        <v>2025-04-06 07:18:36.500</v>
      </c>
      <c r="H1930" t="s">
        <v>21</v>
      </c>
    </row>
    <row r="1931" spans="1:10" x14ac:dyDescent="0.25">
      <c r="A1931" s="1">
        <v>996</v>
      </c>
      <c r="B1931" t="s">
        <v>35</v>
      </c>
      <c r="C1931">
        <v>33</v>
      </c>
      <c r="D1931">
        <v>1</v>
      </c>
      <c r="E1931" t="s">
        <v>36</v>
      </c>
      <c r="F1931" t="s">
        <v>37</v>
      </c>
      <c r="G1931" t="str">
        <f>"2025-04-06 06:11:17.311"</f>
        <v>2025-04-06 06:11:17.311</v>
      </c>
      <c r="H1931" t="s">
        <v>38</v>
      </c>
    </row>
    <row r="1932" spans="1:10" x14ac:dyDescent="0.25">
      <c r="A1932" s="1">
        <v>997</v>
      </c>
      <c r="B1932" t="s">
        <v>39</v>
      </c>
      <c r="C1932">
        <v>33</v>
      </c>
      <c r="D1932">
        <v>1</v>
      </c>
      <c r="E1932" t="s">
        <v>36</v>
      </c>
      <c r="F1932" t="s">
        <v>37</v>
      </c>
      <c r="G1932" t="str">
        <f>"2025-04-06 06:10:55.429"</f>
        <v>2025-04-06 06:10:55.429</v>
      </c>
      <c r="H1932" t="s">
        <v>38</v>
      </c>
      <c r="I1932">
        <v>7.54</v>
      </c>
      <c r="J1932" t="s">
        <v>34</v>
      </c>
    </row>
    <row r="1933" spans="1:10" s="3" customFormat="1" x14ac:dyDescent="0.25">
      <c r="A1933" s="2">
        <v>998</v>
      </c>
      <c r="B1933" s="3" t="s">
        <v>27</v>
      </c>
      <c r="C1933" s="3">
        <v>647</v>
      </c>
      <c r="D1933" s="3">
        <v>1</v>
      </c>
      <c r="E1933" s="3" t="s">
        <v>28</v>
      </c>
      <c r="F1933" s="3" t="s">
        <v>29</v>
      </c>
      <c r="G1933" s="3" t="str">
        <f>"2025-04-06 02:22:49.212"</f>
        <v>2025-04-06 02:22:49.212</v>
      </c>
      <c r="H1933" s="3" t="s">
        <v>21</v>
      </c>
    </row>
    <row r="1934" spans="1:10" s="3" customFormat="1" x14ac:dyDescent="0.25">
      <c r="A1934" s="2">
        <v>999</v>
      </c>
      <c r="B1934" s="3" t="s">
        <v>30</v>
      </c>
      <c r="C1934" s="3">
        <v>647</v>
      </c>
      <c r="D1934" s="3">
        <v>1</v>
      </c>
      <c r="E1934" s="3" t="s">
        <v>28</v>
      </c>
      <c r="F1934" s="3" t="s">
        <v>29</v>
      </c>
      <c r="G1934" s="3" t="str">
        <f>"2025-04-06 02:22:37.712"</f>
        <v>2025-04-06 02:22:37.712</v>
      </c>
      <c r="H1934" s="3" t="s">
        <v>21</v>
      </c>
      <c r="I1934" s="3">
        <v>11.87</v>
      </c>
      <c r="J1934" s="3" t="s">
        <v>31</v>
      </c>
    </row>
    <row r="1935" spans="1:10" x14ac:dyDescent="0.25">
      <c r="A1935" s="1">
        <v>0</v>
      </c>
      <c r="B1935" t="s">
        <v>27</v>
      </c>
      <c r="C1935">
        <v>98</v>
      </c>
      <c r="D1935">
        <v>1</v>
      </c>
      <c r="E1935" t="s">
        <v>40</v>
      </c>
      <c r="F1935" t="s">
        <v>41</v>
      </c>
      <c r="G1935" t="str">
        <f>"2025-04-05 20:58:31.011"</f>
        <v>2025-04-05 20:58:31.011</v>
      </c>
      <c r="H1935" t="s">
        <v>21</v>
      </c>
    </row>
    <row r="1936" spans="1:10" x14ac:dyDescent="0.25">
      <c r="A1936" s="1">
        <v>1</v>
      </c>
      <c r="B1936" t="s">
        <v>30</v>
      </c>
      <c r="C1936">
        <v>98</v>
      </c>
      <c r="D1936">
        <v>1</v>
      </c>
      <c r="E1936" t="s">
        <v>40</v>
      </c>
      <c r="F1936" t="s">
        <v>41</v>
      </c>
      <c r="G1936" t="str">
        <f>"2025-04-05 20:58:30.011"</f>
        <v>2025-04-05 20:58:30.011</v>
      </c>
      <c r="H1936" t="s">
        <v>21</v>
      </c>
      <c r="I1936">
        <v>0</v>
      </c>
      <c r="J1936" t="s">
        <v>42</v>
      </c>
    </row>
    <row r="1937" spans="1:10" x14ac:dyDescent="0.25">
      <c r="A1937" s="1">
        <v>2</v>
      </c>
      <c r="B1937" t="s">
        <v>27</v>
      </c>
      <c r="C1937">
        <v>98</v>
      </c>
      <c r="D1937">
        <v>1</v>
      </c>
      <c r="E1937" t="s">
        <v>40</v>
      </c>
      <c r="F1937" t="s">
        <v>41</v>
      </c>
      <c r="G1937" t="str">
        <f>"2025-04-05 20:58:28.811"</f>
        <v>2025-04-05 20:58:28.811</v>
      </c>
      <c r="H1937" t="s">
        <v>21</v>
      </c>
    </row>
    <row r="1938" spans="1:10" x14ac:dyDescent="0.25">
      <c r="A1938" s="1">
        <v>3</v>
      </c>
      <c r="B1938" t="s">
        <v>30</v>
      </c>
      <c r="C1938">
        <v>98</v>
      </c>
      <c r="D1938">
        <v>1</v>
      </c>
      <c r="E1938" t="s">
        <v>40</v>
      </c>
      <c r="F1938" t="s">
        <v>41</v>
      </c>
      <c r="G1938" t="str">
        <f>"2025-04-05 20:58:27.812"</f>
        <v>2025-04-05 20:58:27.812</v>
      </c>
      <c r="H1938" t="s">
        <v>21</v>
      </c>
      <c r="I1938">
        <v>0</v>
      </c>
      <c r="J1938" t="s">
        <v>42</v>
      </c>
    </row>
    <row r="1939" spans="1:10" s="3" customFormat="1" x14ac:dyDescent="0.25">
      <c r="A1939" s="2">
        <v>4</v>
      </c>
      <c r="B1939" s="3" t="s">
        <v>27</v>
      </c>
      <c r="C1939" s="3">
        <v>647</v>
      </c>
      <c r="D1939" s="3">
        <v>1</v>
      </c>
      <c r="E1939" s="3" t="s">
        <v>28</v>
      </c>
      <c r="F1939" s="3" t="s">
        <v>29</v>
      </c>
      <c r="G1939" s="3" t="str">
        <f>"2025-04-05 17:27:31.512"</f>
        <v>2025-04-05 17:27:31.512</v>
      </c>
      <c r="H1939" s="3" t="s">
        <v>21</v>
      </c>
    </row>
    <row r="1940" spans="1:10" s="3" customFormat="1" x14ac:dyDescent="0.25">
      <c r="A1940" s="2">
        <v>5</v>
      </c>
      <c r="B1940" s="3" t="s">
        <v>30</v>
      </c>
      <c r="C1940" s="3">
        <v>647</v>
      </c>
      <c r="D1940" s="3">
        <v>1</v>
      </c>
      <c r="E1940" s="3" t="s">
        <v>28</v>
      </c>
      <c r="F1940" s="3" t="s">
        <v>29</v>
      </c>
      <c r="G1940" s="3" t="str">
        <f>"2025-04-05 17:27:27.512"</f>
        <v>2025-04-05 17:27:27.512</v>
      </c>
      <c r="H1940" s="3" t="s">
        <v>21</v>
      </c>
      <c r="I1940" s="3">
        <v>8.06</v>
      </c>
      <c r="J1940" s="3" t="s">
        <v>31</v>
      </c>
    </row>
    <row r="1941" spans="1:10" x14ac:dyDescent="0.25">
      <c r="A1941" s="1">
        <v>6</v>
      </c>
      <c r="B1941" t="s">
        <v>19</v>
      </c>
      <c r="C1941">
        <v>706</v>
      </c>
      <c r="D1941">
        <v>2</v>
      </c>
      <c r="E1941" t="s">
        <v>23</v>
      </c>
      <c r="F1941" t="s">
        <v>24</v>
      </c>
      <c r="G1941" t="str">
        <f>"2025-04-05 15:29:31.476"</f>
        <v>2025-04-05 15:29:31.476</v>
      </c>
      <c r="H1941" t="s">
        <v>21</v>
      </c>
      <c r="I1941">
        <v>0</v>
      </c>
      <c r="J1941" t="s">
        <v>25</v>
      </c>
    </row>
    <row r="1942" spans="1:10" x14ac:dyDescent="0.25">
      <c r="A1942" s="1">
        <v>7</v>
      </c>
      <c r="B1942" t="s">
        <v>19</v>
      </c>
      <c r="C1942">
        <v>700</v>
      </c>
      <c r="D1942">
        <v>0</v>
      </c>
      <c r="E1942" t="s">
        <v>20</v>
      </c>
      <c r="F1942" t="s">
        <v>20</v>
      </c>
      <c r="G1942" t="str">
        <f>"2025-04-05 15:29:09.506"</f>
        <v>2025-04-05 15:29:09.506</v>
      </c>
      <c r="H1942" t="s">
        <v>21</v>
      </c>
      <c r="I1942">
        <v>0</v>
      </c>
      <c r="J1942" t="s">
        <v>22</v>
      </c>
    </row>
    <row r="1943" spans="1:10" x14ac:dyDescent="0.25">
      <c r="A1943" s="1">
        <v>8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"2025-04-05 14:15:04.460"</f>
        <v>2025-04-05 14:15:04.460</v>
      </c>
      <c r="H1943" t="s">
        <v>21</v>
      </c>
    </row>
    <row r="1944" spans="1:10" x14ac:dyDescent="0.25">
      <c r="A1944" s="1">
        <v>9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"2025-04-05 13:59:48.459"</f>
        <v>2025-04-05 13:59:48.459</v>
      </c>
      <c r="H1944" t="s">
        <v>21</v>
      </c>
    </row>
    <row r="1945" spans="1:10" x14ac:dyDescent="0.25">
      <c r="A1945" s="1">
        <v>10</v>
      </c>
      <c r="B1945" t="s">
        <v>27</v>
      </c>
      <c r="C1945">
        <v>635</v>
      </c>
      <c r="D1945">
        <v>1</v>
      </c>
      <c r="E1945" t="s">
        <v>32</v>
      </c>
      <c r="F1945" t="s">
        <v>33</v>
      </c>
      <c r="G1945" t="str">
        <f>"2025-04-05 12:31:43.246"</f>
        <v>2025-04-05 12:31:43.246</v>
      </c>
      <c r="H1945" t="s">
        <v>21</v>
      </c>
    </row>
    <row r="1946" spans="1:10" x14ac:dyDescent="0.25">
      <c r="A1946" s="1">
        <v>11</v>
      </c>
      <c r="B1946" t="s">
        <v>30</v>
      </c>
      <c r="C1946">
        <v>635</v>
      </c>
      <c r="D1946">
        <v>1</v>
      </c>
      <c r="E1946" t="s">
        <v>32</v>
      </c>
      <c r="F1946" t="s">
        <v>33</v>
      </c>
      <c r="G1946" t="str">
        <f>"2025-04-05 12:10:41.846"</f>
        <v>2025-04-05 12:10:41.846</v>
      </c>
      <c r="H1946" t="s">
        <v>21</v>
      </c>
      <c r="I1946">
        <v>5.53</v>
      </c>
      <c r="J1946" t="s">
        <v>42</v>
      </c>
    </row>
    <row r="1947" spans="1:10" x14ac:dyDescent="0.25">
      <c r="A1947" s="1">
        <v>12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"2025-04-05 11:10:03.495"</f>
        <v>2025-04-05 11:10:03.495</v>
      </c>
      <c r="H1947" t="s">
        <v>21</v>
      </c>
      <c r="I1947">
        <v>0</v>
      </c>
      <c r="J1947" t="s">
        <v>22</v>
      </c>
    </row>
    <row r="1948" spans="1:10" x14ac:dyDescent="0.25">
      <c r="A1948" s="1">
        <v>13</v>
      </c>
      <c r="B1948" t="s">
        <v>27</v>
      </c>
      <c r="C1948">
        <v>98</v>
      </c>
      <c r="D1948">
        <v>1</v>
      </c>
      <c r="E1948" t="s">
        <v>40</v>
      </c>
      <c r="F1948" t="s">
        <v>41</v>
      </c>
      <c r="G1948" t="str">
        <f>"2025-04-05 04:03:59.559"</f>
        <v>2025-04-05 04:03:59.559</v>
      </c>
      <c r="H1948" t="s">
        <v>21</v>
      </c>
    </row>
    <row r="1949" spans="1:10" x14ac:dyDescent="0.25">
      <c r="A1949" s="1">
        <v>14</v>
      </c>
      <c r="B1949" t="s">
        <v>30</v>
      </c>
      <c r="C1949">
        <v>98</v>
      </c>
      <c r="D1949">
        <v>1</v>
      </c>
      <c r="E1949" t="s">
        <v>40</v>
      </c>
      <c r="F1949" t="s">
        <v>41</v>
      </c>
      <c r="G1949" t="str">
        <f>"2025-04-05 04:03:58.458"</f>
        <v>2025-04-05 04:03:58.458</v>
      </c>
      <c r="H1949" t="s">
        <v>21</v>
      </c>
      <c r="I1949">
        <v>0</v>
      </c>
      <c r="J1949" t="s">
        <v>42</v>
      </c>
    </row>
    <row r="1950" spans="1:10" x14ac:dyDescent="0.25">
      <c r="A1950" s="1">
        <v>15</v>
      </c>
      <c r="B1950" t="s">
        <v>27</v>
      </c>
      <c r="C1950">
        <v>98</v>
      </c>
      <c r="D1950">
        <v>1</v>
      </c>
      <c r="E1950" t="s">
        <v>40</v>
      </c>
      <c r="F1950" t="s">
        <v>41</v>
      </c>
      <c r="G1950" t="str">
        <f>"2025-04-05 04:03:55.759"</f>
        <v>2025-04-05 04:03:55.759</v>
      </c>
      <c r="H1950" t="s">
        <v>21</v>
      </c>
    </row>
    <row r="1951" spans="1:10" x14ac:dyDescent="0.25">
      <c r="A1951" s="1">
        <v>16</v>
      </c>
      <c r="B1951" t="s">
        <v>30</v>
      </c>
      <c r="C1951">
        <v>98</v>
      </c>
      <c r="D1951">
        <v>1</v>
      </c>
      <c r="E1951" t="s">
        <v>40</v>
      </c>
      <c r="F1951" t="s">
        <v>41</v>
      </c>
      <c r="G1951" t="str">
        <f>"2025-04-05 04:03:54.659"</f>
        <v>2025-04-05 04:03:54.659</v>
      </c>
      <c r="H1951" t="s">
        <v>21</v>
      </c>
      <c r="I1951">
        <v>0</v>
      </c>
      <c r="J1951" t="s">
        <v>42</v>
      </c>
    </row>
    <row r="1952" spans="1:10" x14ac:dyDescent="0.25">
      <c r="A1952" s="1">
        <v>17</v>
      </c>
      <c r="B1952" t="s">
        <v>19</v>
      </c>
      <c r="C1952">
        <v>706</v>
      </c>
      <c r="D1952">
        <v>4</v>
      </c>
      <c r="E1952" t="s">
        <v>23</v>
      </c>
      <c r="F1952" t="s">
        <v>26</v>
      </c>
      <c r="G1952" t="str">
        <f>"2025-04-05 03:36:56.064"</f>
        <v>2025-04-05 03:36:56.064</v>
      </c>
      <c r="H1952" t="s">
        <v>21</v>
      </c>
      <c r="I1952">
        <v>0</v>
      </c>
      <c r="J1952" t="s">
        <v>25</v>
      </c>
    </row>
    <row r="1953" spans="1:10" x14ac:dyDescent="0.25">
      <c r="A1953" s="1">
        <v>18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"2025-04-05 03:36:39.454"</f>
        <v>2025-04-05 03:36:39.454</v>
      </c>
      <c r="H1953" t="s">
        <v>21</v>
      </c>
      <c r="I1953">
        <v>0</v>
      </c>
      <c r="J1953" t="s">
        <v>22</v>
      </c>
    </row>
    <row r="1954" spans="1:10" x14ac:dyDescent="0.25">
      <c r="A1954" s="1">
        <v>19</v>
      </c>
      <c r="B1954" t="s">
        <v>19</v>
      </c>
      <c r="C1954">
        <v>700</v>
      </c>
      <c r="D1954">
        <v>0</v>
      </c>
      <c r="E1954" t="s">
        <v>20</v>
      </c>
      <c r="F1954" t="s">
        <v>20</v>
      </c>
      <c r="G1954" t="str">
        <f>"2025-04-04 15:02:30.460"</f>
        <v>2025-04-04 15:02:30.460</v>
      </c>
      <c r="H1954" t="s">
        <v>21</v>
      </c>
      <c r="I1954">
        <v>0</v>
      </c>
      <c r="J1954" t="s">
        <v>22</v>
      </c>
    </row>
    <row r="1955" spans="1:10" x14ac:dyDescent="0.25">
      <c r="A1955" s="1">
        <v>20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"2025-04-04 07:27:24.574"</f>
        <v>2025-04-04 07:27:24.574</v>
      </c>
      <c r="H1955" t="s">
        <v>21</v>
      </c>
    </row>
    <row r="1956" spans="1:10" x14ac:dyDescent="0.25">
      <c r="A1956" s="1">
        <v>21</v>
      </c>
      <c r="B1956" t="s">
        <v>27</v>
      </c>
      <c r="C1956">
        <v>42</v>
      </c>
      <c r="D1956">
        <v>1</v>
      </c>
      <c r="E1956" t="s">
        <v>98</v>
      </c>
      <c r="F1956" t="s">
        <v>99</v>
      </c>
      <c r="G1956" t="str">
        <f>"2025-04-03 20:30:04.685"</f>
        <v>2025-04-03 20:30:04.685</v>
      </c>
      <c r="H1956" t="s">
        <v>100</v>
      </c>
    </row>
    <row r="1957" spans="1:10" x14ac:dyDescent="0.25">
      <c r="A1957" s="1">
        <v>22</v>
      </c>
      <c r="B1957" t="s">
        <v>30</v>
      </c>
      <c r="C1957">
        <v>42</v>
      </c>
      <c r="D1957">
        <v>1</v>
      </c>
      <c r="E1957" t="s">
        <v>98</v>
      </c>
      <c r="F1957" t="s">
        <v>99</v>
      </c>
      <c r="G1957" t="str">
        <f>"2025-04-03 20:29:58.845"</f>
        <v>2025-04-03 20:29:58.845</v>
      </c>
      <c r="H1957" t="s">
        <v>100</v>
      </c>
      <c r="I1957">
        <v>0</v>
      </c>
      <c r="J1957" t="s">
        <v>25</v>
      </c>
    </row>
    <row r="1958" spans="1:10" x14ac:dyDescent="0.25">
      <c r="A1958" s="1">
        <v>23</v>
      </c>
      <c r="B1958" t="s">
        <v>19</v>
      </c>
      <c r="C1958">
        <v>700</v>
      </c>
      <c r="D1958">
        <v>0</v>
      </c>
      <c r="E1958" t="s">
        <v>20</v>
      </c>
      <c r="F1958" t="s">
        <v>20</v>
      </c>
      <c r="G1958" t="str">
        <f>"2025-04-03 20:04:47.504"</f>
        <v>2025-04-03 20:04:47.504</v>
      </c>
      <c r="H1958" t="s">
        <v>21</v>
      </c>
      <c r="I1958">
        <v>0</v>
      </c>
      <c r="J1958" t="s">
        <v>22</v>
      </c>
    </row>
    <row r="1959" spans="1:10" x14ac:dyDescent="0.25">
      <c r="A1959" s="1">
        <v>24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"2025-04-03 08:20:25.453"</f>
        <v>2025-04-03 08:20:25.453</v>
      </c>
      <c r="H1959" t="s">
        <v>21</v>
      </c>
    </row>
    <row r="1960" spans="1:10" x14ac:dyDescent="0.25">
      <c r="A1960" s="1">
        <v>25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"2025-04-03 08:08:46.608"</f>
        <v>2025-04-03 08:08:46.608</v>
      </c>
      <c r="H1960" t="s">
        <v>21</v>
      </c>
    </row>
    <row r="1961" spans="1:10" x14ac:dyDescent="0.25">
      <c r="A1961" s="1">
        <v>27</v>
      </c>
      <c r="B1961" t="s">
        <v>19</v>
      </c>
      <c r="C1961">
        <v>706</v>
      </c>
      <c r="D1961">
        <v>4</v>
      </c>
      <c r="E1961" t="s">
        <v>23</v>
      </c>
      <c r="F1961" t="s">
        <v>26</v>
      </c>
      <c r="G1961" t="str">
        <f>"2025-04-02 17:47:11.140"</f>
        <v>2025-04-02 17:47:11.140</v>
      </c>
      <c r="H1961" t="s">
        <v>21</v>
      </c>
      <c r="I1961">
        <v>0</v>
      </c>
      <c r="J1961" t="s">
        <v>25</v>
      </c>
    </row>
    <row r="1962" spans="1:10" x14ac:dyDescent="0.25">
      <c r="A1962" s="1">
        <v>28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"2025-04-02 17:43:11.460"</f>
        <v>2025-04-02 17:43:11.460</v>
      </c>
      <c r="H1962" t="s">
        <v>21</v>
      </c>
      <c r="I1962">
        <v>0</v>
      </c>
      <c r="J1962" t="s">
        <v>22</v>
      </c>
    </row>
    <row r="1963" spans="1:10" x14ac:dyDescent="0.25">
      <c r="A1963" s="1">
        <v>29</v>
      </c>
      <c r="B1963" t="s">
        <v>19</v>
      </c>
      <c r="C1963">
        <v>700</v>
      </c>
      <c r="D1963">
        <v>0</v>
      </c>
      <c r="E1963" t="s">
        <v>20</v>
      </c>
      <c r="F1963" t="s">
        <v>20</v>
      </c>
      <c r="G1963" t="str">
        <f>"2025-04-02 17:22:12.465"</f>
        <v>2025-04-02 17:22:12.465</v>
      </c>
      <c r="H1963" t="s">
        <v>21</v>
      </c>
    </row>
    <row r="1964" spans="1:10" x14ac:dyDescent="0.25">
      <c r="A1964" s="1">
        <v>30</v>
      </c>
      <c r="B1964" t="s">
        <v>19</v>
      </c>
      <c r="C1964">
        <v>706</v>
      </c>
      <c r="D1964">
        <v>4</v>
      </c>
      <c r="E1964" t="s">
        <v>23</v>
      </c>
      <c r="F1964" t="s">
        <v>26</v>
      </c>
      <c r="G1964" t="str">
        <f>"2025-04-02 16:29:04.423"</f>
        <v>2025-04-02 16:29:04.423</v>
      </c>
      <c r="H1964" t="s">
        <v>21</v>
      </c>
      <c r="I1964">
        <v>0</v>
      </c>
      <c r="J1964" t="s">
        <v>25</v>
      </c>
    </row>
    <row r="1965" spans="1:10" x14ac:dyDescent="0.25">
      <c r="A1965" s="1">
        <v>31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"2025-04-02 16:20:15.453"</f>
        <v>2025-04-02 16:20:15.453</v>
      </c>
      <c r="H1965" t="s">
        <v>21</v>
      </c>
      <c r="I1965">
        <v>0</v>
      </c>
      <c r="J1965" t="s">
        <v>22</v>
      </c>
    </row>
    <row r="1966" spans="1:10" x14ac:dyDescent="0.25">
      <c r="A1966" s="1">
        <v>32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"2025-04-02 16:15:34.560"</f>
        <v>2025-04-02 16:15:34.560</v>
      </c>
      <c r="H1966" t="s">
        <v>21</v>
      </c>
      <c r="I1966">
        <v>0</v>
      </c>
      <c r="J1966" t="s">
        <v>22</v>
      </c>
    </row>
    <row r="1967" spans="1:10" x14ac:dyDescent="0.25">
      <c r="A1967" s="1">
        <v>33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"2025-04-02 15:59:16.438"</f>
        <v>2025-04-02 15:59:16.438</v>
      </c>
      <c r="H1967" t="s">
        <v>21</v>
      </c>
    </row>
    <row r="1968" spans="1:10" x14ac:dyDescent="0.25">
      <c r="A1968" s="1">
        <v>34</v>
      </c>
      <c r="B1968" t="s">
        <v>19</v>
      </c>
      <c r="C1968">
        <v>700</v>
      </c>
      <c r="D1968">
        <v>0</v>
      </c>
      <c r="E1968" t="s">
        <v>20</v>
      </c>
      <c r="F1968" t="s">
        <v>20</v>
      </c>
      <c r="G1968" t="str">
        <f>"2025-04-02 15:52:29.475"</f>
        <v>2025-04-02 15:52:29.475</v>
      </c>
      <c r="H1968" t="s">
        <v>21</v>
      </c>
      <c r="I1968">
        <v>0</v>
      </c>
      <c r="J1968" t="s">
        <v>22</v>
      </c>
    </row>
    <row r="1969" spans="1:10" x14ac:dyDescent="0.25">
      <c r="A1969" s="1">
        <v>35</v>
      </c>
      <c r="B1969" t="s">
        <v>19</v>
      </c>
      <c r="C1969">
        <v>700</v>
      </c>
      <c r="D1969">
        <v>0</v>
      </c>
      <c r="E1969" t="s">
        <v>20</v>
      </c>
      <c r="F1969" t="s">
        <v>20</v>
      </c>
      <c r="G1969" t="str">
        <f>"2025-04-02 01:29:55.462"</f>
        <v>2025-04-02 01:29:55.462</v>
      </c>
      <c r="H1969" t="s">
        <v>21</v>
      </c>
    </row>
    <row r="1970" spans="1:10" x14ac:dyDescent="0.25">
      <c r="A1970" s="1">
        <v>36</v>
      </c>
      <c r="B1970" t="s">
        <v>19</v>
      </c>
      <c r="C1970">
        <v>700</v>
      </c>
      <c r="D1970">
        <v>0</v>
      </c>
      <c r="E1970" t="s">
        <v>20</v>
      </c>
      <c r="F1970" t="s">
        <v>20</v>
      </c>
      <c r="G1970" t="str">
        <f>"2025-04-01 19:45:37.445"</f>
        <v>2025-04-01 19:45:37.445</v>
      </c>
      <c r="H1970" t="s">
        <v>21</v>
      </c>
    </row>
    <row r="1971" spans="1:10" x14ac:dyDescent="0.25">
      <c r="A1971" s="1">
        <v>37</v>
      </c>
      <c r="B1971" t="s">
        <v>19</v>
      </c>
      <c r="C1971">
        <v>706</v>
      </c>
      <c r="D1971">
        <v>4</v>
      </c>
      <c r="E1971" t="s">
        <v>23</v>
      </c>
      <c r="F1971" t="s">
        <v>26</v>
      </c>
      <c r="G1971" t="str">
        <f>"2025-04-01 00:06:59.649"</f>
        <v>2025-04-01 00:06:59.649</v>
      </c>
      <c r="H1971" t="s">
        <v>21</v>
      </c>
      <c r="I1971">
        <v>0</v>
      </c>
      <c r="J1971" t="s">
        <v>25</v>
      </c>
    </row>
    <row r="1972" spans="1:10" x14ac:dyDescent="0.25">
      <c r="A1972" s="1">
        <v>38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"2025-04-01 00:06:45.468"</f>
        <v>2025-04-01 00:06:45.468</v>
      </c>
      <c r="H1972" t="s">
        <v>21</v>
      </c>
      <c r="I1972">
        <v>0</v>
      </c>
      <c r="J1972" t="s">
        <v>22</v>
      </c>
    </row>
    <row r="1973" spans="1:10" x14ac:dyDescent="0.25">
      <c r="A1973" s="1">
        <v>39</v>
      </c>
      <c r="B1973" t="s">
        <v>19</v>
      </c>
      <c r="C1973">
        <v>706</v>
      </c>
      <c r="D1973">
        <v>2</v>
      </c>
      <c r="E1973" t="s">
        <v>23</v>
      </c>
      <c r="F1973" t="s">
        <v>24</v>
      </c>
      <c r="G1973" t="str">
        <f>"2025-03-31 13:45:50.542"</f>
        <v>2025-03-31 13:45:50.542</v>
      </c>
      <c r="H1973" t="s">
        <v>21</v>
      </c>
      <c r="I1973">
        <v>0</v>
      </c>
      <c r="J1973" t="s">
        <v>25</v>
      </c>
    </row>
    <row r="1974" spans="1:10" x14ac:dyDescent="0.25">
      <c r="A1974" s="1">
        <v>40</v>
      </c>
      <c r="B1974" t="s">
        <v>19</v>
      </c>
      <c r="C1974">
        <v>700</v>
      </c>
      <c r="D1974">
        <v>0</v>
      </c>
      <c r="E1974" t="s">
        <v>20</v>
      </c>
      <c r="F1974" t="s">
        <v>20</v>
      </c>
      <c r="G1974" t="str">
        <f>"2025-03-31 13:45:32.492"</f>
        <v>2025-03-31 13:45:32.492</v>
      </c>
      <c r="H1974" t="s">
        <v>21</v>
      </c>
      <c r="I1974">
        <v>0</v>
      </c>
      <c r="J1974" t="s">
        <v>22</v>
      </c>
    </row>
    <row r="1975" spans="1:10" x14ac:dyDescent="0.25">
      <c r="A1975" s="1">
        <v>43</v>
      </c>
      <c r="B1975" t="s">
        <v>27</v>
      </c>
      <c r="C1975">
        <v>619</v>
      </c>
      <c r="D1975">
        <v>1</v>
      </c>
      <c r="E1975" t="s">
        <v>44</v>
      </c>
      <c r="F1975" t="s">
        <v>33</v>
      </c>
      <c r="G1975" t="str">
        <f>"2025-03-29 17:48:40.372"</f>
        <v>2025-03-29 17:48:40.372</v>
      </c>
      <c r="H1975" t="s">
        <v>45</v>
      </c>
    </row>
    <row r="1976" spans="1:10" x14ac:dyDescent="0.25">
      <c r="A1976" s="1">
        <v>44</v>
      </c>
      <c r="B1976" t="s">
        <v>30</v>
      </c>
      <c r="C1976">
        <v>619</v>
      </c>
      <c r="D1976">
        <v>1</v>
      </c>
      <c r="E1976" t="s">
        <v>44</v>
      </c>
      <c r="F1976" t="s">
        <v>33</v>
      </c>
      <c r="G1976" t="str">
        <f>"2025-03-29 17:47:47.972"</f>
        <v>2025-03-29 17:47:47.972</v>
      </c>
      <c r="H1976" t="s">
        <v>45</v>
      </c>
      <c r="I1976">
        <v>0</v>
      </c>
      <c r="J1976" t="s">
        <v>25</v>
      </c>
    </row>
    <row r="1977" spans="1:10" x14ac:dyDescent="0.25">
      <c r="A1977" s="1">
        <v>45</v>
      </c>
      <c r="B1977" t="s">
        <v>19</v>
      </c>
      <c r="C1977">
        <v>706</v>
      </c>
      <c r="D1977">
        <v>4</v>
      </c>
      <c r="E1977" t="s">
        <v>23</v>
      </c>
      <c r="F1977" t="s">
        <v>26</v>
      </c>
      <c r="G1977" t="str">
        <f>"2025-03-29 17:47:32.140"</f>
        <v>2025-03-29 17:47:32.140</v>
      </c>
      <c r="H1977" t="s">
        <v>21</v>
      </c>
      <c r="I1977">
        <v>0</v>
      </c>
      <c r="J1977" t="s">
        <v>25</v>
      </c>
    </row>
    <row r="1978" spans="1:10" x14ac:dyDescent="0.25">
      <c r="A1978" s="1">
        <v>46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"2025-03-29 17:47:17.450"</f>
        <v>2025-03-29 17:47:17.450</v>
      </c>
      <c r="H1978" t="s">
        <v>21</v>
      </c>
      <c r="I1978">
        <v>0</v>
      </c>
      <c r="J1978" t="s">
        <v>22</v>
      </c>
    </row>
    <row r="1979" spans="1:10" x14ac:dyDescent="0.25">
      <c r="A1979" s="1">
        <v>47</v>
      </c>
      <c r="B1979" t="s">
        <v>19</v>
      </c>
      <c r="C1979">
        <v>700</v>
      </c>
      <c r="D1979">
        <v>0</v>
      </c>
      <c r="E1979" t="s">
        <v>20</v>
      </c>
      <c r="F1979" t="s">
        <v>20</v>
      </c>
      <c r="G1979" t="str">
        <f>"2025-03-28 19:55:50.449"</f>
        <v>2025-03-28 19:55:50.449</v>
      </c>
      <c r="H1979" t="s">
        <v>21</v>
      </c>
      <c r="I1979">
        <v>0</v>
      </c>
      <c r="J1979" t="s">
        <v>22</v>
      </c>
    </row>
    <row r="1980" spans="1:10" x14ac:dyDescent="0.25">
      <c r="A1980" s="1">
        <v>48</v>
      </c>
      <c r="B1980" t="s">
        <v>19</v>
      </c>
      <c r="C1980">
        <v>700</v>
      </c>
      <c r="D1980">
        <v>0</v>
      </c>
      <c r="E1980" t="s">
        <v>20</v>
      </c>
      <c r="F1980" t="s">
        <v>20</v>
      </c>
      <c r="G1980" t="str">
        <f>"2025-03-28 19:39:25.478"</f>
        <v>2025-03-28 19:39:25.478</v>
      </c>
      <c r="H1980" t="s">
        <v>21</v>
      </c>
      <c r="I1980">
        <v>0</v>
      </c>
      <c r="J1980" t="s">
        <v>22</v>
      </c>
    </row>
    <row r="1981" spans="1:10" x14ac:dyDescent="0.25">
      <c r="A1981" s="1">
        <v>49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"2025-03-28 14:11:55.478"</f>
        <v>2025-03-28 14:11:55.478</v>
      </c>
      <c r="H1981" t="s">
        <v>21</v>
      </c>
      <c r="I1981">
        <v>0</v>
      </c>
      <c r="J1981" t="s">
        <v>22</v>
      </c>
    </row>
    <row r="1982" spans="1:10" x14ac:dyDescent="0.25">
      <c r="A1982" s="1">
        <v>51</v>
      </c>
      <c r="B1982" t="s">
        <v>49</v>
      </c>
      <c r="C1982">
        <v>119</v>
      </c>
      <c r="D1982">
        <v>4</v>
      </c>
      <c r="E1982" t="s">
        <v>101</v>
      </c>
      <c r="F1982" t="s">
        <v>102</v>
      </c>
      <c r="G1982" t="str">
        <f>"2025-03-28 00:12:38.149"</f>
        <v>2025-03-28 00:12:38.149</v>
      </c>
      <c r="H1982" t="s">
        <v>57</v>
      </c>
    </row>
    <row r="1983" spans="1:10" x14ac:dyDescent="0.25">
      <c r="A1983" s="1">
        <v>52</v>
      </c>
      <c r="B1983" t="s">
        <v>39</v>
      </c>
      <c r="C1983">
        <v>119</v>
      </c>
      <c r="D1983">
        <v>4</v>
      </c>
      <c r="E1983" t="s">
        <v>101</v>
      </c>
      <c r="F1983" t="s">
        <v>102</v>
      </c>
      <c r="G1983" t="str">
        <f>"2025-03-28 00:12:33.112"</f>
        <v>2025-03-28 00:12:33.112</v>
      </c>
      <c r="H1983" t="s">
        <v>57</v>
      </c>
      <c r="I1983">
        <v>14.87</v>
      </c>
      <c r="J1983" t="s">
        <v>34</v>
      </c>
    </row>
    <row r="1984" spans="1:10" x14ac:dyDescent="0.25">
      <c r="A1984" s="1">
        <v>53</v>
      </c>
      <c r="B1984" t="s">
        <v>19</v>
      </c>
      <c r="C1984">
        <v>706</v>
      </c>
      <c r="D1984">
        <v>4</v>
      </c>
      <c r="E1984" t="s">
        <v>23</v>
      </c>
      <c r="F1984" t="s">
        <v>26</v>
      </c>
      <c r="G1984" t="str">
        <f>"2025-03-27 01:34:30.726"</f>
        <v>2025-03-27 01:34:30.726</v>
      </c>
      <c r="H1984" t="s">
        <v>21</v>
      </c>
      <c r="I1984">
        <v>0</v>
      </c>
      <c r="J1984" t="s">
        <v>25</v>
      </c>
    </row>
    <row r="1985" spans="1:10" x14ac:dyDescent="0.25">
      <c r="A1985" s="1">
        <v>54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"2025-03-27 01:33:56.436"</f>
        <v>2025-03-27 01:33:56.436</v>
      </c>
      <c r="H1985" t="s">
        <v>21</v>
      </c>
      <c r="I1985">
        <v>0</v>
      </c>
      <c r="J1985" t="s">
        <v>22</v>
      </c>
    </row>
    <row r="1986" spans="1:10" x14ac:dyDescent="0.25">
      <c r="A1986" s="1">
        <v>55</v>
      </c>
      <c r="B1986" t="s">
        <v>49</v>
      </c>
      <c r="C1986">
        <v>126</v>
      </c>
      <c r="D1986">
        <v>7</v>
      </c>
      <c r="E1986" t="s">
        <v>103</v>
      </c>
      <c r="F1986" t="s">
        <v>58</v>
      </c>
      <c r="G1986" t="str">
        <f>"2025-03-25 06:43:18.954"</f>
        <v>2025-03-25 06:43:18.954</v>
      </c>
      <c r="H1986" t="s">
        <v>57</v>
      </c>
    </row>
    <row r="1987" spans="1:10" x14ac:dyDescent="0.25">
      <c r="A1987" s="1">
        <v>56</v>
      </c>
      <c r="B1987" t="s">
        <v>39</v>
      </c>
      <c r="C1987">
        <v>126</v>
      </c>
      <c r="D1987">
        <v>7</v>
      </c>
      <c r="E1987" t="s">
        <v>103</v>
      </c>
      <c r="F1987" t="s">
        <v>58</v>
      </c>
      <c r="G1987" t="str">
        <f>"2025-03-25 06:43:13.876"</f>
        <v>2025-03-25 06:43:13.876</v>
      </c>
      <c r="H1987" t="s">
        <v>57</v>
      </c>
      <c r="I1987">
        <v>15.22</v>
      </c>
      <c r="J1987" t="s">
        <v>34</v>
      </c>
    </row>
    <row r="1988" spans="1:10" x14ac:dyDescent="0.25">
      <c r="A1988" s="1">
        <v>57</v>
      </c>
      <c r="B1988" t="s">
        <v>19</v>
      </c>
      <c r="C1988">
        <v>700</v>
      </c>
      <c r="D1988">
        <v>0</v>
      </c>
      <c r="E1988" t="s">
        <v>20</v>
      </c>
      <c r="F1988" t="s">
        <v>20</v>
      </c>
      <c r="G1988" t="str">
        <f>"2025-03-24 20:02:56.452"</f>
        <v>2025-03-24 20:02:56.452</v>
      </c>
      <c r="H1988" t="s">
        <v>21</v>
      </c>
      <c r="I1988">
        <v>0</v>
      </c>
      <c r="J1988" t="s">
        <v>22</v>
      </c>
    </row>
    <row r="1989" spans="1:10" x14ac:dyDescent="0.25">
      <c r="A1989" s="1">
        <v>58</v>
      </c>
      <c r="B1989" t="s">
        <v>19</v>
      </c>
      <c r="C1989">
        <v>706</v>
      </c>
      <c r="D1989">
        <v>4</v>
      </c>
      <c r="E1989" t="s">
        <v>23</v>
      </c>
      <c r="F1989" t="s">
        <v>26</v>
      </c>
      <c r="G1989" t="str">
        <f>"2025-03-24 19:37:54.311"</f>
        <v>2025-03-24 19:37:54.311</v>
      </c>
      <c r="H1989" t="s">
        <v>21</v>
      </c>
      <c r="I1989">
        <v>0</v>
      </c>
      <c r="J1989" t="s">
        <v>25</v>
      </c>
    </row>
    <row r="1990" spans="1:10" x14ac:dyDescent="0.25">
      <c r="A1990" s="1">
        <v>59</v>
      </c>
      <c r="B1990" t="s">
        <v>49</v>
      </c>
      <c r="C1990">
        <v>126</v>
      </c>
      <c r="D1990">
        <v>7</v>
      </c>
      <c r="E1990" t="s">
        <v>103</v>
      </c>
      <c r="F1990" t="s">
        <v>58</v>
      </c>
      <c r="G1990" t="str">
        <f>"2025-03-24 05:30:45.187"</f>
        <v>2025-03-24 05:30:45.187</v>
      </c>
      <c r="H1990" t="s">
        <v>57</v>
      </c>
    </row>
    <row r="1991" spans="1:10" x14ac:dyDescent="0.25">
      <c r="A1991" s="1">
        <v>60</v>
      </c>
      <c r="B1991" t="s">
        <v>39</v>
      </c>
      <c r="C1991">
        <v>126</v>
      </c>
      <c r="D1991">
        <v>7</v>
      </c>
      <c r="E1991" t="s">
        <v>103</v>
      </c>
      <c r="F1991" t="s">
        <v>58</v>
      </c>
      <c r="G1991" t="str">
        <f>"2025-03-24 05:30:40.126"</f>
        <v>2025-03-24 05:30:40.126</v>
      </c>
      <c r="H1991" t="s">
        <v>57</v>
      </c>
      <c r="I1991">
        <v>24.98</v>
      </c>
      <c r="J1991" t="s">
        <v>31</v>
      </c>
    </row>
    <row r="1992" spans="1:10" x14ac:dyDescent="0.25">
      <c r="A1992" s="1">
        <v>61</v>
      </c>
      <c r="B1992" t="s">
        <v>35</v>
      </c>
      <c r="C1992">
        <v>128</v>
      </c>
      <c r="D1992">
        <v>4</v>
      </c>
      <c r="E1992" t="s">
        <v>55</v>
      </c>
      <c r="F1992" t="s">
        <v>51</v>
      </c>
      <c r="G1992" t="str">
        <f>"2025-03-24 04:43:15.511"</f>
        <v>2025-03-24 04:43:15.511</v>
      </c>
      <c r="H1992" t="s">
        <v>57</v>
      </c>
    </row>
    <row r="1993" spans="1:10" x14ac:dyDescent="0.25">
      <c r="A1993" s="1">
        <v>62</v>
      </c>
      <c r="B1993" t="s">
        <v>39</v>
      </c>
      <c r="C1993">
        <v>128</v>
      </c>
      <c r="D1993">
        <v>4</v>
      </c>
      <c r="E1993" t="s">
        <v>55</v>
      </c>
      <c r="F1993" t="s">
        <v>51</v>
      </c>
      <c r="G1993" t="str">
        <f>"2025-03-24 04:43:10.546"</f>
        <v>2025-03-24 04:43:10.546</v>
      </c>
      <c r="H1993" t="s">
        <v>57</v>
      </c>
      <c r="I1993">
        <v>6.68</v>
      </c>
      <c r="J1993" t="s">
        <v>34</v>
      </c>
    </row>
    <row r="1994" spans="1:10" x14ac:dyDescent="0.25">
      <c r="A1994" s="1">
        <v>64</v>
      </c>
      <c r="B1994" t="s">
        <v>49</v>
      </c>
      <c r="C1994">
        <v>119</v>
      </c>
      <c r="D1994">
        <v>4</v>
      </c>
      <c r="E1994" t="s">
        <v>101</v>
      </c>
      <c r="F1994" t="s">
        <v>102</v>
      </c>
      <c r="G1994" t="str">
        <f>"2025-03-24 02:50:52.131"</f>
        <v>2025-03-24 02:50:52.131</v>
      </c>
      <c r="H1994" t="s">
        <v>57</v>
      </c>
    </row>
    <row r="1995" spans="1:10" x14ac:dyDescent="0.25">
      <c r="A1995" s="1">
        <v>65</v>
      </c>
      <c r="B1995" t="s">
        <v>39</v>
      </c>
      <c r="C1995">
        <v>119</v>
      </c>
      <c r="D1995">
        <v>4</v>
      </c>
      <c r="E1995" t="s">
        <v>101</v>
      </c>
      <c r="F1995" t="s">
        <v>102</v>
      </c>
      <c r="G1995" t="str">
        <f>"2025-03-24 02:50:47.126"</f>
        <v>2025-03-24 02:50:47.126</v>
      </c>
      <c r="H1995" t="s">
        <v>57</v>
      </c>
      <c r="I1995">
        <v>13.44</v>
      </c>
      <c r="J1995" t="s">
        <v>31</v>
      </c>
    </row>
    <row r="1996" spans="1:10" x14ac:dyDescent="0.25">
      <c r="A1996" s="1">
        <v>67</v>
      </c>
      <c r="B1996" t="s">
        <v>49</v>
      </c>
      <c r="C1996">
        <v>126</v>
      </c>
      <c r="D1996">
        <v>7</v>
      </c>
      <c r="E1996" t="s">
        <v>103</v>
      </c>
      <c r="F1996" t="s">
        <v>58</v>
      </c>
      <c r="G1996" t="str">
        <f>"2025-03-23 19:11:26.940"</f>
        <v>2025-03-23 19:11:26.940</v>
      </c>
      <c r="H1996" t="s">
        <v>57</v>
      </c>
    </row>
    <row r="1997" spans="1:10" x14ac:dyDescent="0.25">
      <c r="A1997" s="1">
        <v>68</v>
      </c>
      <c r="B1997" t="s">
        <v>39</v>
      </c>
      <c r="C1997">
        <v>126</v>
      </c>
      <c r="D1997">
        <v>7</v>
      </c>
      <c r="E1997" t="s">
        <v>103</v>
      </c>
      <c r="F1997" t="s">
        <v>58</v>
      </c>
      <c r="G1997" t="str">
        <f>"2025-03-23 19:11:21.906"</f>
        <v>2025-03-23 19:11:21.906</v>
      </c>
      <c r="H1997" t="s">
        <v>57</v>
      </c>
      <c r="I1997">
        <v>8.36</v>
      </c>
      <c r="J1997" t="s">
        <v>34</v>
      </c>
    </row>
    <row r="1998" spans="1:10" x14ac:dyDescent="0.25">
      <c r="A1998" s="1">
        <v>69</v>
      </c>
      <c r="B1998" t="s">
        <v>35</v>
      </c>
      <c r="C1998">
        <v>128</v>
      </c>
      <c r="D1998">
        <v>4</v>
      </c>
      <c r="E1998" t="s">
        <v>55</v>
      </c>
      <c r="F1998" t="s">
        <v>51</v>
      </c>
      <c r="G1998" t="str">
        <f>"2025-03-23 18:39:51.312"</f>
        <v>2025-03-23 18:39:51.312</v>
      </c>
      <c r="H1998" t="s">
        <v>57</v>
      </c>
    </row>
    <row r="1999" spans="1:10" x14ac:dyDescent="0.25">
      <c r="A1999" s="1">
        <v>70</v>
      </c>
      <c r="B1999" t="s">
        <v>39</v>
      </c>
      <c r="C1999">
        <v>128</v>
      </c>
      <c r="D1999">
        <v>4</v>
      </c>
      <c r="E1999" t="s">
        <v>55</v>
      </c>
      <c r="F1999" t="s">
        <v>51</v>
      </c>
      <c r="G1999" t="str">
        <f>"2025-03-23 18:39:48.106"</f>
        <v>2025-03-23 18:39:48.106</v>
      </c>
      <c r="H1999" t="s">
        <v>57</v>
      </c>
      <c r="I1999">
        <v>6.8</v>
      </c>
      <c r="J1999" t="s">
        <v>34</v>
      </c>
    </row>
    <row r="2000" spans="1:10" s="3" customFormat="1" x14ac:dyDescent="0.25">
      <c r="A2000" s="2">
        <v>71</v>
      </c>
      <c r="B2000" s="3" t="s">
        <v>27</v>
      </c>
      <c r="C2000" s="3">
        <v>647</v>
      </c>
      <c r="D2000" s="3">
        <v>1</v>
      </c>
      <c r="E2000" s="3" t="s">
        <v>28</v>
      </c>
      <c r="F2000" s="3" t="s">
        <v>29</v>
      </c>
      <c r="G2000" s="3" t="str">
        <f>"2025-03-23 18:21:42.659"</f>
        <v>2025-03-23 18:21:42.659</v>
      </c>
      <c r="H2000" s="3" t="s">
        <v>21</v>
      </c>
    </row>
    <row r="2001" spans="1:10" s="3" customFormat="1" x14ac:dyDescent="0.25">
      <c r="A2001" s="2">
        <v>72</v>
      </c>
      <c r="B2001" s="3" t="s">
        <v>30</v>
      </c>
      <c r="C2001" s="3">
        <v>647</v>
      </c>
      <c r="D2001" s="3">
        <v>1</v>
      </c>
      <c r="E2001" s="3" t="s">
        <v>28</v>
      </c>
      <c r="F2001" s="3" t="s">
        <v>29</v>
      </c>
      <c r="G2001" s="3" t="str">
        <f>"2025-03-23 18:21:39.960"</f>
        <v>2025-03-23 18:21:39.960</v>
      </c>
      <c r="H2001" s="3" t="s">
        <v>21</v>
      </c>
      <c r="I2001" s="3">
        <v>13.32</v>
      </c>
      <c r="J2001" s="3" t="s">
        <v>31</v>
      </c>
    </row>
    <row r="2002" spans="1:10" x14ac:dyDescent="0.25">
      <c r="A2002" s="1">
        <v>73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"2025-03-23 09:39:16.421"</f>
        <v>2025-03-23 09:39:16.421</v>
      </c>
      <c r="H2002" t="s">
        <v>21</v>
      </c>
    </row>
    <row r="2003" spans="1:10" x14ac:dyDescent="0.25">
      <c r="A2003" s="1">
        <v>74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"2025-03-23 08:56:19.426"</f>
        <v>2025-03-23 08:56:19.426</v>
      </c>
      <c r="H2003" t="s">
        <v>21</v>
      </c>
      <c r="I2003">
        <v>0</v>
      </c>
      <c r="J2003" t="s">
        <v>22</v>
      </c>
    </row>
    <row r="2004" spans="1:10" x14ac:dyDescent="0.25">
      <c r="A2004" s="1">
        <v>75</v>
      </c>
      <c r="B2004" t="s">
        <v>19</v>
      </c>
      <c r="C2004">
        <v>700</v>
      </c>
      <c r="D2004">
        <v>0</v>
      </c>
      <c r="E2004" t="s">
        <v>20</v>
      </c>
      <c r="F2004" t="s">
        <v>20</v>
      </c>
      <c r="G2004" t="str">
        <f>"2025-03-23 06:13:51.509"</f>
        <v>2025-03-23 06:13:51.509</v>
      </c>
      <c r="H2004" t="s">
        <v>21</v>
      </c>
    </row>
    <row r="2005" spans="1:10" x14ac:dyDescent="0.25">
      <c r="A2005" s="1">
        <v>76</v>
      </c>
      <c r="B2005" t="s">
        <v>19</v>
      </c>
      <c r="C2005">
        <v>700</v>
      </c>
      <c r="D2005">
        <v>0</v>
      </c>
      <c r="E2005" t="s">
        <v>20</v>
      </c>
      <c r="F2005" t="s">
        <v>20</v>
      </c>
      <c r="G2005" t="str">
        <f>"2025-03-23 06:11:12.432"</f>
        <v>2025-03-23 06:11:12.432</v>
      </c>
      <c r="H2005" t="s">
        <v>21</v>
      </c>
      <c r="I2005">
        <v>0</v>
      </c>
      <c r="J2005" t="s">
        <v>22</v>
      </c>
    </row>
    <row r="2006" spans="1:10" x14ac:dyDescent="0.25">
      <c r="A2006" s="1">
        <v>77</v>
      </c>
      <c r="B2006" t="s">
        <v>19</v>
      </c>
      <c r="C2006">
        <v>706</v>
      </c>
      <c r="D2006">
        <v>4</v>
      </c>
      <c r="E2006" t="s">
        <v>23</v>
      </c>
      <c r="F2006" t="s">
        <v>26</v>
      </c>
      <c r="G2006" t="str">
        <f>"2025-03-23 05:31:59.650"</f>
        <v>2025-03-23 05:31:59.650</v>
      </c>
      <c r="H2006" t="s">
        <v>21</v>
      </c>
      <c r="I2006">
        <v>0</v>
      </c>
      <c r="J2006" t="s">
        <v>25</v>
      </c>
    </row>
    <row r="2007" spans="1:10" x14ac:dyDescent="0.25">
      <c r="A2007" s="1">
        <v>78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"2025-03-23 05:31:12.430"</f>
        <v>2025-03-23 05:31:12.430</v>
      </c>
      <c r="H2007" t="s">
        <v>21</v>
      </c>
    </row>
    <row r="2008" spans="1:10" x14ac:dyDescent="0.25">
      <c r="A2008" s="1">
        <v>79</v>
      </c>
      <c r="B2008" t="s">
        <v>19</v>
      </c>
      <c r="C2008">
        <v>706</v>
      </c>
      <c r="D2008">
        <v>3</v>
      </c>
      <c r="E2008" t="s">
        <v>23</v>
      </c>
      <c r="F2008" t="s">
        <v>43</v>
      </c>
      <c r="G2008" t="str">
        <f>"2025-03-23 03:24:27.459"</f>
        <v>2025-03-23 03:24:27.459</v>
      </c>
      <c r="H2008" t="s">
        <v>21</v>
      </c>
      <c r="I2008">
        <v>0</v>
      </c>
      <c r="J2008" t="s">
        <v>25</v>
      </c>
    </row>
    <row r="2009" spans="1:10" x14ac:dyDescent="0.25">
      <c r="A2009" s="1">
        <v>80</v>
      </c>
      <c r="B2009" t="s">
        <v>49</v>
      </c>
      <c r="C2009">
        <v>135</v>
      </c>
      <c r="D2009">
        <v>7</v>
      </c>
      <c r="E2009" t="s">
        <v>104</v>
      </c>
      <c r="F2009" t="s">
        <v>105</v>
      </c>
      <c r="G2009" t="str">
        <f>"2025-03-22 05:20:17.959"</f>
        <v>2025-03-22 05:20:17.959</v>
      </c>
      <c r="H2009" t="s">
        <v>57</v>
      </c>
    </row>
    <row r="2010" spans="1:10" x14ac:dyDescent="0.25">
      <c r="A2010" s="1">
        <v>81</v>
      </c>
      <c r="B2010" t="s">
        <v>39</v>
      </c>
      <c r="C2010">
        <v>135</v>
      </c>
      <c r="D2010">
        <v>7</v>
      </c>
      <c r="E2010" t="s">
        <v>104</v>
      </c>
      <c r="F2010" t="s">
        <v>105</v>
      </c>
      <c r="G2010" t="str">
        <f>"2025-03-22 05:20:12.943"</f>
        <v>2025-03-22 05:20:12.943</v>
      </c>
      <c r="H2010" t="s">
        <v>57</v>
      </c>
      <c r="I2010">
        <v>13.51</v>
      </c>
      <c r="J2010" t="s">
        <v>34</v>
      </c>
    </row>
    <row r="2011" spans="1:10" x14ac:dyDescent="0.25">
      <c r="A2011" s="1">
        <v>82</v>
      </c>
      <c r="B2011" t="s">
        <v>49</v>
      </c>
      <c r="C2011">
        <v>128</v>
      </c>
      <c r="D2011">
        <v>4</v>
      </c>
      <c r="E2011" t="s">
        <v>55</v>
      </c>
      <c r="F2011" t="s">
        <v>51</v>
      </c>
      <c r="G2011" t="str">
        <f>"2025-03-22 04:54:43.259"</f>
        <v>2025-03-22 04:54:43.259</v>
      </c>
      <c r="H2011" t="s">
        <v>57</v>
      </c>
    </row>
    <row r="2012" spans="1:10" x14ac:dyDescent="0.25">
      <c r="A2012" s="1">
        <v>83</v>
      </c>
      <c r="B2012" t="s">
        <v>39</v>
      </c>
      <c r="C2012">
        <v>128</v>
      </c>
      <c r="D2012">
        <v>4</v>
      </c>
      <c r="E2012" t="s">
        <v>55</v>
      </c>
      <c r="F2012" t="s">
        <v>51</v>
      </c>
      <c r="G2012" t="str">
        <f>"2025-03-22 04:54:38.163"</f>
        <v>2025-03-22 04:54:38.163</v>
      </c>
      <c r="H2012" t="s">
        <v>57</v>
      </c>
      <c r="I2012">
        <v>17.22</v>
      </c>
      <c r="J2012" t="s">
        <v>34</v>
      </c>
    </row>
    <row r="2013" spans="1:10" x14ac:dyDescent="0.25">
      <c r="A2013" s="1">
        <v>84</v>
      </c>
      <c r="B2013" t="s">
        <v>49</v>
      </c>
      <c r="C2013">
        <v>135</v>
      </c>
      <c r="D2013">
        <v>4</v>
      </c>
      <c r="E2013" t="s">
        <v>104</v>
      </c>
      <c r="F2013" t="s">
        <v>54</v>
      </c>
      <c r="G2013" t="str">
        <f>"2025-03-22 04:01:09.759"</f>
        <v>2025-03-22 04:01:09.759</v>
      </c>
      <c r="H2013" t="s">
        <v>57</v>
      </c>
    </row>
    <row r="2014" spans="1:10" x14ac:dyDescent="0.25">
      <c r="A2014" s="1">
        <v>85</v>
      </c>
      <c r="B2014" t="s">
        <v>39</v>
      </c>
      <c r="C2014">
        <v>135</v>
      </c>
      <c r="D2014">
        <v>4</v>
      </c>
      <c r="E2014" t="s">
        <v>104</v>
      </c>
      <c r="F2014" t="s">
        <v>54</v>
      </c>
      <c r="G2014" t="str">
        <f>"2025-03-22 04:01:04.663"</f>
        <v>2025-03-22 04:01:04.663</v>
      </c>
      <c r="H2014" t="s">
        <v>57</v>
      </c>
      <c r="I2014">
        <v>8.3699999999999992</v>
      </c>
      <c r="J2014" t="s">
        <v>34</v>
      </c>
    </row>
    <row r="2015" spans="1:10" x14ac:dyDescent="0.25">
      <c r="A2015" s="1">
        <v>86</v>
      </c>
      <c r="B2015" t="s">
        <v>49</v>
      </c>
      <c r="C2015">
        <v>126</v>
      </c>
      <c r="D2015">
        <v>4</v>
      </c>
      <c r="E2015" t="s">
        <v>103</v>
      </c>
      <c r="F2015" t="s">
        <v>51</v>
      </c>
      <c r="G2015" t="str">
        <f>"2025-03-22 03:19:27.859"</f>
        <v>2025-03-22 03:19:27.859</v>
      </c>
      <c r="H2015" t="s">
        <v>57</v>
      </c>
    </row>
    <row r="2016" spans="1:10" x14ac:dyDescent="0.25">
      <c r="A2016" s="1">
        <v>87</v>
      </c>
      <c r="B2016" t="s">
        <v>39</v>
      </c>
      <c r="C2016">
        <v>126</v>
      </c>
      <c r="D2016">
        <v>4</v>
      </c>
      <c r="E2016" t="s">
        <v>103</v>
      </c>
      <c r="F2016" t="s">
        <v>51</v>
      </c>
      <c r="G2016" t="str">
        <f>"2025-03-22 03:19:22.783"</f>
        <v>2025-03-22 03:19:22.783</v>
      </c>
      <c r="H2016" t="s">
        <v>57</v>
      </c>
      <c r="I2016">
        <v>16.22</v>
      </c>
      <c r="J2016" t="s">
        <v>34</v>
      </c>
    </row>
    <row r="2017" spans="1:10" x14ac:dyDescent="0.25">
      <c r="A2017" s="1">
        <v>88</v>
      </c>
      <c r="B2017" t="s">
        <v>49</v>
      </c>
      <c r="C2017">
        <v>128</v>
      </c>
      <c r="D2017">
        <v>4</v>
      </c>
      <c r="E2017" t="s">
        <v>55</v>
      </c>
      <c r="F2017" t="s">
        <v>51</v>
      </c>
      <c r="G2017" t="str">
        <f>"2025-03-22 00:45:23.559"</f>
        <v>2025-03-22 00:45:23.559</v>
      </c>
      <c r="H2017" t="s">
        <v>57</v>
      </c>
    </row>
    <row r="2018" spans="1:10" x14ac:dyDescent="0.25">
      <c r="A2018" s="1">
        <v>89</v>
      </c>
      <c r="B2018" t="s">
        <v>39</v>
      </c>
      <c r="C2018">
        <v>128</v>
      </c>
      <c r="D2018">
        <v>4</v>
      </c>
      <c r="E2018" t="s">
        <v>55</v>
      </c>
      <c r="F2018" t="s">
        <v>51</v>
      </c>
      <c r="G2018" t="str">
        <f>"2025-03-22 00:45:18.523"</f>
        <v>2025-03-22 00:45:18.523</v>
      </c>
      <c r="H2018" t="s">
        <v>57</v>
      </c>
      <c r="I2018">
        <v>20.97</v>
      </c>
      <c r="J2018" t="s">
        <v>31</v>
      </c>
    </row>
    <row r="2019" spans="1:10" s="3" customFormat="1" x14ac:dyDescent="0.25">
      <c r="A2019" s="2">
        <v>90</v>
      </c>
      <c r="B2019" s="3" t="s">
        <v>27</v>
      </c>
      <c r="C2019" s="3">
        <v>647</v>
      </c>
      <c r="D2019" s="3">
        <v>1</v>
      </c>
      <c r="E2019" s="3" t="s">
        <v>28</v>
      </c>
      <c r="F2019" s="3" t="s">
        <v>29</v>
      </c>
      <c r="G2019" s="3" t="str">
        <f>"2025-03-22 00:23:57.677"</f>
        <v>2025-03-22 00:23:57.677</v>
      </c>
      <c r="H2019" s="3" t="s">
        <v>21</v>
      </c>
    </row>
    <row r="2020" spans="1:10" s="3" customFormat="1" x14ac:dyDescent="0.25">
      <c r="A2020" s="2">
        <v>91</v>
      </c>
      <c r="B2020" s="3" t="s">
        <v>30</v>
      </c>
      <c r="C2020" s="3">
        <v>647</v>
      </c>
      <c r="D2020" s="3">
        <v>1</v>
      </c>
      <c r="E2020" s="3" t="s">
        <v>28</v>
      </c>
      <c r="F2020" s="3" t="s">
        <v>29</v>
      </c>
      <c r="G2020" s="3" t="str">
        <f>"2025-03-22 00:23:55.176"</f>
        <v>2025-03-22 00:23:55.176</v>
      </c>
      <c r="H2020" s="3" t="s">
        <v>21</v>
      </c>
      <c r="I2020" s="3">
        <v>9.07</v>
      </c>
      <c r="J2020" s="3" t="s">
        <v>31</v>
      </c>
    </row>
    <row r="2021" spans="1:10" x14ac:dyDescent="0.25">
      <c r="A2021" s="1">
        <v>92</v>
      </c>
      <c r="B2021" t="s">
        <v>49</v>
      </c>
      <c r="C2021">
        <v>135</v>
      </c>
      <c r="D2021">
        <v>7</v>
      </c>
      <c r="E2021" t="s">
        <v>104</v>
      </c>
      <c r="F2021" t="s">
        <v>105</v>
      </c>
      <c r="G2021" t="str">
        <f>"2025-03-21 23:37:47.359"</f>
        <v>2025-03-21 23:37:47.359</v>
      </c>
      <c r="H2021" t="s">
        <v>57</v>
      </c>
    </row>
    <row r="2022" spans="1:10" x14ac:dyDescent="0.25">
      <c r="A2022" s="1">
        <v>93</v>
      </c>
      <c r="B2022" t="s">
        <v>39</v>
      </c>
      <c r="C2022">
        <v>135</v>
      </c>
      <c r="D2022">
        <v>7</v>
      </c>
      <c r="E2022" t="s">
        <v>104</v>
      </c>
      <c r="F2022" t="s">
        <v>105</v>
      </c>
      <c r="G2022" t="str">
        <f>"2025-03-21 23:37:42.343"</f>
        <v>2025-03-21 23:37:42.343</v>
      </c>
      <c r="H2022" t="s">
        <v>57</v>
      </c>
      <c r="I2022">
        <v>11.76</v>
      </c>
      <c r="J2022" t="s">
        <v>34</v>
      </c>
    </row>
    <row r="2023" spans="1:10" s="3" customFormat="1" x14ac:dyDescent="0.25">
      <c r="A2023" s="2">
        <v>94</v>
      </c>
      <c r="B2023" s="3" t="s">
        <v>27</v>
      </c>
      <c r="C2023" s="3">
        <v>647</v>
      </c>
      <c r="D2023" s="3">
        <v>1</v>
      </c>
      <c r="E2023" s="3" t="s">
        <v>28</v>
      </c>
      <c r="F2023" s="3" t="s">
        <v>29</v>
      </c>
      <c r="G2023" s="3" t="str">
        <f>"2025-03-21 19:49:38.876"</f>
        <v>2025-03-21 19:49:38.876</v>
      </c>
      <c r="H2023" s="3" t="s">
        <v>21</v>
      </c>
    </row>
    <row r="2024" spans="1:10" s="3" customFormat="1" x14ac:dyDescent="0.25">
      <c r="A2024" s="2">
        <v>95</v>
      </c>
      <c r="B2024" s="3" t="s">
        <v>30</v>
      </c>
      <c r="C2024" s="3">
        <v>647</v>
      </c>
      <c r="D2024" s="3">
        <v>1</v>
      </c>
      <c r="E2024" s="3" t="s">
        <v>28</v>
      </c>
      <c r="F2024" s="3" t="s">
        <v>29</v>
      </c>
      <c r="G2024" s="3" t="str">
        <f>"2025-03-21 19:49:35.777"</f>
        <v>2025-03-21 19:49:35.777</v>
      </c>
      <c r="H2024" s="3" t="s">
        <v>21</v>
      </c>
      <c r="I2024" s="3">
        <v>8.68</v>
      </c>
      <c r="J2024" s="3" t="s">
        <v>31</v>
      </c>
    </row>
    <row r="2025" spans="1:10" s="3" customFormat="1" x14ac:dyDescent="0.25">
      <c r="A2025" s="2">
        <v>96</v>
      </c>
      <c r="B2025" s="3" t="s">
        <v>27</v>
      </c>
      <c r="C2025" s="3">
        <v>647</v>
      </c>
      <c r="D2025" s="3">
        <v>1</v>
      </c>
      <c r="E2025" s="3" t="s">
        <v>28</v>
      </c>
      <c r="F2025" s="3" t="s">
        <v>29</v>
      </c>
      <c r="G2025" s="3" t="str">
        <f>"2025-03-21 14:03:37.376"</f>
        <v>2025-03-21 14:03:37.376</v>
      </c>
      <c r="H2025" s="3" t="s">
        <v>21</v>
      </c>
    </row>
    <row r="2026" spans="1:10" s="3" customFormat="1" x14ac:dyDescent="0.25">
      <c r="A2026" s="2">
        <v>97</v>
      </c>
      <c r="B2026" s="3" t="s">
        <v>30</v>
      </c>
      <c r="C2026" s="3">
        <v>647</v>
      </c>
      <c r="D2026" s="3">
        <v>1</v>
      </c>
      <c r="E2026" s="3" t="s">
        <v>28</v>
      </c>
      <c r="F2026" s="3" t="s">
        <v>29</v>
      </c>
      <c r="G2026" s="3" t="str">
        <f>"2025-03-21 14:03:29.677"</f>
        <v>2025-03-21 14:03:29.677</v>
      </c>
      <c r="H2026" s="3" t="s">
        <v>21</v>
      </c>
      <c r="I2026" s="3">
        <v>17.59</v>
      </c>
      <c r="J2026" s="3" t="s">
        <v>31</v>
      </c>
    </row>
    <row r="2027" spans="1:10" x14ac:dyDescent="0.25">
      <c r="A2027" s="1">
        <v>98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"2025-03-21 05:27:47.439"</f>
        <v>2025-03-21 05:27:47.439</v>
      </c>
      <c r="H2027" t="s">
        <v>21</v>
      </c>
      <c r="I2027">
        <v>0</v>
      </c>
      <c r="J2027" t="s">
        <v>22</v>
      </c>
    </row>
    <row r="2028" spans="1:10" x14ac:dyDescent="0.25">
      <c r="A2028" s="1">
        <v>99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"2025-03-20 15:43:10.447"</f>
        <v>2025-03-20 15:43:10.447</v>
      </c>
      <c r="H2028" t="s">
        <v>21</v>
      </c>
      <c r="I2028">
        <v>0</v>
      </c>
      <c r="J2028" t="s">
        <v>22</v>
      </c>
    </row>
    <row r="2029" spans="1:10" x14ac:dyDescent="0.25">
      <c r="A2029" s="1">
        <v>100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"2025-03-18 07:29:46.441"</f>
        <v>2025-03-18 07:29:46.441</v>
      </c>
      <c r="H2029" t="s">
        <v>21</v>
      </c>
    </row>
    <row r="2030" spans="1:10" x14ac:dyDescent="0.25">
      <c r="A2030" s="1">
        <v>101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"2025-03-17 15:02:42.534"</f>
        <v>2025-03-17 15:02:42.534</v>
      </c>
      <c r="H2030" t="s">
        <v>21</v>
      </c>
    </row>
    <row r="2031" spans="1:10" x14ac:dyDescent="0.25">
      <c r="A2031" s="1">
        <v>102</v>
      </c>
      <c r="B2031" t="s">
        <v>19</v>
      </c>
      <c r="C2031">
        <v>706</v>
      </c>
      <c r="D2031">
        <v>4</v>
      </c>
      <c r="E2031" t="s">
        <v>23</v>
      </c>
      <c r="F2031" t="s">
        <v>26</v>
      </c>
      <c r="G2031" t="str">
        <f>"2025-03-16 11:56:41.861"</f>
        <v>2025-03-16 11:56:41.861</v>
      </c>
      <c r="H2031" t="s">
        <v>21</v>
      </c>
      <c r="I2031">
        <v>0</v>
      </c>
      <c r="J2031" t="s">
        <v>25</v>
      </c>
    </row>
    <row r="2032" spans="1:10" x14ac:dyDescent="0.25">
      <c r="A2032" s="1">
        <v>103</v>
      </c>
      <c r="B2032" t="s">
        <v>19</v>
      </c>
      <c r="C2032">
        <v>776</v>
      </c>
      <c r="D2032">
        <v>2</v>
      </c>
      <c r="E2032" t="s">
        <v>69</v>
      </c>
      <c r="F2032" t="s">
        <v>70</v>
      </c>
      <c r="G2032" t="str">
        <f>"2025-03-16 11:56:28.925"</f>
        <v>2025-03-16 11:56:28.925</v>
      </c>
      <c r="H2032" t="s">
        <v>21</v>
      </c>
      <c r="I2032">
        <v>0</v>
      </c>
      <c r="J2032" t="s">
        <v>25</v>
      </c>
    </row>
    <row r="2033" spans="1:10" x14ac:dyDescent="0.25">
      <c r="A2033" s="1">
        <v>104</v>
      </c>
      <c r="B2033" t="s">
        <v>19</v>
      </c>
      <c r="C2033">
        <v>776</v>
      </c>
      <c r="D2033">
        <v>1</v>
      </c>
      <c r="E2033" t="s">
        <v>69</v>
      </c>
      <c r="F2033" t="s">
        <v>71</v>
      </c>
      <c r="G2033" t="str">
        <f>"2025-03-16 11:56:28.845"</f>
        <v>2025-03-16 11:56:28.845</v>
      </c>
      <c r="H2033" t="s">
        <v>21</v>
      </c>
      <c r="I2033">
        <v>0</v>
      </c>
      <c r="J2033" t="s">
        <v>25</v>
      </c>
    </row>
    <row r="2034" spans="1:10" x14ac:dyDescent="0.25">
      <c r="A2034" s="1">
        <v>105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"2025-03-16 11:56:21.441"</f>
        <v>2025-03-16 11:56:21.441</v>
      </c>
      <c r="H2034" t="s">
        <v>21</v>
      </c>
      <c r="I2034">
        <v>0</v>
      </c>
      <c r="J2034" t="s">
        <v>22</v>
      </c>
    </row>
    <row r="2035" spans="1:10" x14ac:dyDescent="0.25">
      <c r="A2035" s="1">
        <v>106</v>
      </c>
      <c r="B2035" t="s">
        <v>49</v>
      </c>
      <c r="C2035">
        <v>135</v>
      </c>
      <c r="D2035">
        <v>7</v>
      </c>
      <c r="E2035" t="s">
        <v>104</v>
      </c>
      <c r="F2035" t="s">
        <v>105</v>
      </c>
      <c r="G2035" t="str">
        <f>"2025-03-16 09:01:16.959"</f>
        <v>2025-03-16 09:01:16.959</v>
      </c>
      <c r="H2035" t="s">
        <v>57</v>
      </c>
    </row>
    <row r="2036" spans="1:10" x14ac:dyDescent="0.25">
      <c r="A2036" s="1">
        <v>107</v>
      </c>
      <c r="B2036" t="s">
        <v>39</v>
      </c>
      <c r="C2036">
        <v>135</v>
      </c>
      <c r="D2036">
        <v>7</v>
      </c>
      <c r="E2036" t="s">
        <v>104</v>
      </c>
      <c r="F2036" t="s">
        <v>105</v>
      </c>
      <c r="G2036" t="str">
        <f>"2025-03-16 09:01:11.921"</f>
        <v>2025-03-16 09:01:11.921</v>
      </c>
      <c r="H2036" t="s">
        <v>57</v>
      </c>
      <c r="I2036">
        <v>-1.86</v>
      </c>
      <c r="J2036" t="s">
        <v>34</v>
      </c>
    </row>
    <row r="2037" spans="1:10" x14ac:dyDescent="0.25">
      <c r="A2037" s="1">
        <v>108</v>
      </c>
      <c r="B2037" t="s">
        <v>49</v>
      </c>
      <c r="C2037">
        <v>126</v>
      </c>
      <c r="D2037">
        <v>7</v>
      </c>
      <c r="E2037" t="s">
        <v>103</v>
      </c>
      <c r="F2037" t="s">
        <v>58</v>
      </c>
      <c r="G2037" t="str">
        <f>"2025-03-16 06:51:33.559"</f>
        <v>2025-03-16 06:51:33.559</v>
      </c>
      <c r="H2037" t="s">
        <v>57</v>
      </c>
    </row>
    <row r="2038" spans="1:10" x14ac:dyDescent="0.25">
      <c r="A2038" s="1">
        <v>109</v>
      </c>
      <c r="B2038" t="s">
        <v>39</v>
      </c>
      <c r="C2038">
        <v>126</v>
      </c>
      <c r="D2038">
        <v>7</v>
      </c>
      <c r="E2038" t="s">
        <v>103</v>
      </c>
      <c r="F2038" t="s">
        <v>58</v>
      </c>
      <c r="G2038" t="str">
        <f>"2025-03-16 06:51:28.501"</f>
        <v>2025-03-16 06:51:28.501</v>
      </c>
      <c r="H2038" t="s">
        <v>57</v>
      </c>
      <c r="I2038">
        <v>26.83</v>
      </c>
      <c r="J2038" t="s">
        <v>34</v>
      </c>
    </row>
    <row r="2039" spans="1:10" s="3" customFormat="1" x14ac:dyDescent="0.25">
      <c r="A2039" s="2">
        <v>110</v>
      </c>
      <c r="B2039" s="3" t="s">
        <v>27</v>
      </c>
      <c r="C2039" s="3">
        <v>647</v>
      </c>
      <c r="D2039" s="3">
        <v>1</v>
      </c>
      <c r="E2039" s="3" t="s">
        <v>28</v>
      </c>
      <c r="F2039" s="3" t="s">
        <v>29</v>
      </c>
      <c r="G2039" s="3" t="str">
        <f>"2025-03-16 04:17:05.015"</f>
        <v>2025-03-16 04:17:05.015</v>
      </c>
      <c r="H2039" s="3" t="s">
        <v>21</v>
      </c>
    </row>
    <row r="2040" spans="1:10" x14ac:dyDescent="0.25">
      <c r="A2040" s="1">
        <v>111</v>
      </c>
      <c r="B2040" t="s">
        <v>35</v>
      </c>
      <c r="C2040">
        <v>36</v>
      </c>
      <c r="D2040">
        <v>1</v>
      </c>
      <c r="E2040" t="s">
        <v>106</v>
      </c>
      <c r="F2040" t="s">
        <v>107</v>
      </c>
      <c r="G2040" t="str">
        <f>"2025-03-16 04:17:03.518"</f>
        <v>2025-03-16 04:17:03.518</v>
      </c>
      <c r="H2040" t="s">
        <v>63</v>
      </c>
    </row>
    <row r="2041" spans="1:10" x14ac:dyDescent="0.25">
      <c r="A2041" s="1">
        <v>113</v>
      </c>
      <c r="B2041" t="s">
        <v>35</v>
      </c>
      <c r="C2041">
        <v>23</v>
      </c>
      <c r="D2041">
        <v>1</v>
      </c>
      <c r="E2041" t="s">
        <v>108</v>
      </c>
      <c r="F2041" t="s">
        <v>109</v>
      </c>
      <c r="G2041" t="str">
        <f>"2025-03-16 04:17:03.515"</f>
        <v>2025-03-16 04:17:03.515</v>
      </c>
      <c r="H2041" t="s">
        <v>63</v>
      </c>
    </row>
    <row r="2042" spans="1:10" x14ac:dyDescent="0.25">
      <c r="A2042" s="1">
        <v>114</v>
      </c>
      <c r="B2042" t="s">
        <v>27</v>
      </c>
      <c r="C2042">
        <v>14</v>
      </c>
      <c r="D2042">
        <v>14</v>
      </c>
      <c r="E2042" t="s">
        <v>110</v>
      </c>
      <c r="F2042" t="s">
        <v>111</v>
      </c>
      <c r="G2042" t="str">
        <f>"2025-03-16 04:17:01.229"</f>
        <v>2025-03-16 04:17:01.229</v>
      </c>
      <c r="H2042" t="s">
        <v>80</v>
      </c>
    </row>
    <row r="2043" spans="1:10" x14ac:dyDescent="0.25">
      <c r="A2043" s="1">
        <v>115</v>
      </c>
      <c r="B2043" t="s">
        <v>27</v>
      </c>
      <c r="C2043">
        <v>14</v>
      </c>
      <c r="D2043">
        <v>10</v>
      </c>
      <c r="E2043" t="s">
        <v>110</v>
      </c>
      <c r="F2043" t="s">
        <v>112</v>
      </c>
      <c r="G2043" t="str">
        <f>"2025-03-16 04:17:01.227"</f>
        <v>2025-03-16 04:17:01.227</v>
      </c>
      <c r="H2043" t="s">
        <v>80</v>
      </c>
    </row>
    <row r="2044" spans="1:10" x14ac:dyDescent="0.25">
      <c r="A2044" s="1">
        <v>116</v>
      </c>
      <c r="B2044" t="s">
        <v>49</v>
      </c>
      <c r="C2044">
        <v>205</v>
      </c>
      <c r="D2044">
        <v>3</v>
      </c>
      <c r="E2044" t="s">
        <v>113</v>
      </c>
      <c r="F2044" t="s">
        <v>114</v>
      </c>
      <c r="G2044" t="str">
        <f>"2025-03-16 04:16:44.859"</f>
        <v>2025-03-16 04:16:44.859</v>
      </c>
      <c r="H2044" t="s">
        <v>52</v>
      </c>
    </row>
    <row r="2045" spans="1:10" x14ac:dyDescent="0.25">
      <c r="A2045" s="1">
        <v>117</v>
      </c>
      <c r="B2045" t="s">
        <v>49</v>
      </c>
      <c r="C2045">
        <v>105</v>
      </c>
      <c r="D2045">
        <v>3</v>
      </c>
      <c r="E2045" t="s">
        <v>115</v>
      </c>
      <c r="F2045" t="s">
        <v>114</v>
      </c>
      <c r="G2045" t="str">
        <f>"2025-03-16 04:16:44.759"</f>
        <v>2025-03-16 04:16:44.759</v>
      </c>
      <c r="H2045" t="s">
        <v>57</v>
      </c>
    </row>
    <row r="2046" spans="1:10" x14ac:dyDescent="0.25">
      <c r="A2046" s="1">
        <v>118</v>
      </c>
      <c r="B2046" t="s">
        <v>49</v>
      </c>
      <c r="C2046">
        <v>204</v>
      </c>
      <c r="D2046">
        <v>8</v>
      </c>
      <c r="E2046" t="s">
        <v>116</v>
      </c>
      <c r="F2046" t="s">
        <v>117</v>
      </c>
      <c r="G2046" t="str">
        <f>"2025-03-16 04:16:44.580"</f>
        <v>2025-03-16 04:16:44.580</v>
      </c>
      <c r="H2046" t="s">
        <v>52</v>
      </c>
    </row>
    <row r="2047" spans="1:10" x14ac:dyDescent="0.25">
      <c r="A2047" s="1">
        <v>119</v>
      </c>
      <c r="B2047" t="s">
        <v>49</v>
      </c>
      <c r="C2047">
        <v>204</v>
      </c>
      <c r="D2047">
        <v>6</v>
      </c>
      <c r="E2047" t="s">
        <v>116</v>
      </c>
      <c r="F2047" t="s">
        <v>118</v>
      </c>
      <c r="G2047" t="str">
        <f>"2025-03-16 04:16:44.578"</f>
        <v>2025-03-16 04:16:44.578</v>
      </c>
      <c r="H2047" t="s">
        <v>52</v>
      </c>
    </row>
    <row r="2048" spans="1:10" x14ac:dyDescent="0.25">
      <c r="A2048" s="1">
        <v>120</v>
      </c>
      <c r="B2048" t="s">
        <v>49</v>
      </c>
      <c r="C2048">
        <v>204</v>
      </c>
      <c r="D2048">
        <v>5</v>
      </c>
      <c r="E2048" t="s">
        <v>116</v>
      </c>
      <c r="F2048" t="s">
        <v>119</v>
      </c>
      <c r="G2048" t="str">
        <f>"2025-03-16 04:16:44.576"</f>
        <v>2025-03-16 04:16:44.576</v>
      </c>
      <c r="H2048" t="s">
        <v>52</v>
      </c>
    </row>
    <row r="2049" spans="1:10" x14ac:dyDescent="0.25">
      <c r="A2049" s="1">
        <v>121</v>
      </c>
      <c r="B2049" t="s">
        <v>49</v>
      </c>
      <c r="C2049">
        <v>204</v>
      </c>
      <c r="D2049">
        <v>1</v>
      </c>
      <c r="E2049" t="s">
        <v>116</v>
      </c>
      <c r="F2049" t="s">
        <v>120</v>
      </c>
      <c r="G2049" t="str">
        <f>"2025-03-16 04:16:44.572"</f>
        <v>2025-03-16 04:16:44.572</v>
      </c>
      <c r="H2049" t="s">
        <v>52</v>
      </c>
    </row>
    <row r="2050" spans="1:10" x14ac:dyDescent="0.25">
      <c r="A2050" s="1">
        <v>122</v>
      </c>
      <c r="B2050" t="s">
        <v>49</v>
      </c>
      <c r="C2050">
        <v>104</v>
      </c>
      <c r="D2050">
        <v>8</v>
      </c>
      <c r="E2050" t="s">
        <v>121</v>
      </c>
      <c r="F2050" t="s">
        <v>117</v>
      </c>
      <c r="G2050" t="str">
        <f>"2025-03-16 04:16:44.570"</f>
        <v>2025-03-16 04:16:44.570</v>
      </c>
      <c r="H2050" t="s">
        <v>57</v>
      </c>
    </row>
    <row r="2051" spans="1:10" x14ac:dyDescent="0.25">
      <c r="A2051" s="1">
        <v>123</v>
      </c>
      <c r="B2051" t="s">
        <v>49</v>
      </c>
      <c r="C2051">
        <v>104</v>
      </c>
      <c r="D2051">
        <v>6</v>
      </c>
      <c r="E2051" t="s">
        <v>121</v>
      </c>
      <c r="F2051" t="s">
        <v>118</v>
      </c>
      <c r="G2051" t="str">
        <f>"2025-03-16 04:16:44.568"</f>
        <v>2025-03-16 04:16:44.568</v>
      </c>
      <c r="H2051" t="s">
        <v>57</v>
      </c>
    </row>
    <row r="2052" spans="1:10" x14ac:dyDescent="0.25">
      <c r="A2052" s="1">
        <v>124</v>
      </c>
      <c r="B2052" t="s">
        <v>49</v>
      </c>
      <c r="C2052">
        <v>104</v>
      </c>
      <c r="D2052">
        <v>5</v>
      </c>
      <c r="E2052" t="s">
        <v>121</v>
      </c>
      <c r="F2052" t="s">
        <v>119</v>
      </c>
      <c r="G2052" t="str">
        <f>"2025-03-16 04:16:44.562"</f>
        <v>2025-03-16 04:16:44.562</v>
      </c>
      <c r="H2052" t="s">
        <v>57</v>
      </c>
    </row>
    <row r="2053" spans="1:10" x14ac:dyDescent="0.25">
      <c r="A2053" s="1">
        <v>125</v>
      </c>
      <c r="B2053" t="s">
        <v>49</v>
      </c>
      <c r="C2053">
        <v>104</v>
      </c>
      <c r="D2053">
        <v>1</v>
      </c>
      <c r="E2053" t="s">
        <v>121</v>
      </c>
      <c r="F2053" t="s">
        <v>120</v>
      </c>
      <c r="G2053" t="str">
        <f>"2025-03-16 04:16:44.559"</f>
        <v>2025-03-16 04:16:44.559</v>
      </c>
      <c r="H2053" t="s">
        <v>57</v>
      </c>
    </row>
    <row r="2054" spans="1:10" s="3" customFormat="1" x14ac:dyDescent="0.25">
      <c r="A2054" s="2">
        <v>127</v>
      </c>
      <c r="B2054" s="3" t="s">
        <v>30</v>
      </c>
      <c r="C2054" s="3">
        <v>647</v>
      </c>
      <c r="D2054" s="3">
        <v>1</v>
      </c>
      <c r="E2054" s="3" t="s">
        <v>28</v>
      </c>
      <c r="F2054" s="3" t="s">
        <v>29</v>
      </c>
      <c r="G2054" s="3" t="str">
        <f>"2025-03-16 04:16:43.016"</f>
        <v>2025-03-16 04:16:43.016</v>
      </c>
      <c r="H2054" s="3" t="s">
        <v>21</v>
      </c>
      <c r="I2054" s="3">
        <v>18.29</v>
      </c>
      <c r="J2054" s="3" t="s">
        <v>42</v>
      </c>
    </row>
    <row r="2055" spans="1:10" x14ac:dyDescent="0.25">
      <c r="A2055" s="1">
        <v>128</v>
      </c>
      <c r="B2055" t="s">
        <v>35</v>
      </c>
      <c r="C2055">
        <v>47</v>
      </c>
      <c r="D2055">
        <v>1</v>
      </c>
      <c r="E2055" t="s">
        <v>61</v>
      </c>
      <c r="F2055" t="s">
        <v>122</v>
      </c>
      <c r="G2055" t="str">
        <f>"2025-03-16 04:16:41.227"</f>
        <v>2025-03-16 04:16:41.227</v>
      </c>
      <c r="H2055" t="s">
        <v>63</v>
      </c>
    </row>
    <row r="2056" spans="1:10" x14ac:dyDescent="0.25">
      <c r="A2056" s="1">
        <v>129</v>
      </c>
      <c r="B2056" t="s">
        <v>30</v>
      </c>
      <c r="C2056">
        <v>14</v>
      </c>
      <c r="D2056">
        <v>14</v>
      </c>
      <c r="E2056" t="s">
        <v>110</v>
      </c>
      <c r="F2056" t="s">
        <v>111</v>
      </c>
      <c r="G2056" t="str">
        <f>"2025-03-16 04:16:40.232"</f>
        <v>2025-03-16 04:16:40.232</v>
      </c>
      <c r="H2056" t="s">
        <v>80</v>
      </c>
      <c r="I2056">
        <v>12.01</v>
      </c>
      <c r="J2056" t="s">
        <v>31</v>
      </c>
    </row>
    <row r="2057" spans="1:10" x14ac:dyDescent="0.25">
      <c r="A2057" s="1">
        <v>130</v>
      </c>
      <c r="B2057" t="s">
        <v>39</v>
      </c>
      <c r="C2057">
        <v>47</v>
      </c>
      <c r="D2057">
        <v>1</v>
      </c>
      <c r="E2057" t="s">
        <v>61</v>
      </c>
      <c r="F2057" t="s">
        <v>122</v>
      </c>
      <c r="G2057" t="str">
        <f>"2025-03-16 04:16:40.227"</f>
        <v>2025-03-16 04:16:40.227</v>
      </c>
      <c r="H2057" t="s">
        <v>63</v>
      </c>
      <c r="I2057">
        <v>12.01</v>
      </c>
      <c r="J2057" t="s">
        <v>31</v>
      </c>
    </row>
    <row r="2058" spans="1:10" x14ac:dyDescent="0.25">
      <c r="A2058" s="1">
        <v>131</v>
      </c>
      <c r="B2058" t="s">
        <v>39</v>
      </c>
      <c r="C2058">
        <v>36</v>
      </c>
      <c r="D2058">
        <v>1</v>
      </c>
      <c r="E2058" t="s">
        <v>106</v>
      </c>
      <c r="F2058" t="s">
        <v>107</v>
      </c>
      <c r="G2058" t="str">
        <f>"2025-03-16 04:16:40.128"</f>
        <v>2025-03-16 04:16:40.128</v>
      </c>
      <c r="H2058" t="s">
        <v>63</v>
      </c>
      <c r="I2058">
        <v>13.61</v>
      </c>
      <c r="J2058" t="s">
        <v>31</v>
      </c>
    </row>
    <row r="2059" spans="1:10" x14ac:dyDescent="0.25">
      <c r="A2059" s="1">
        <v>132</v>
      </c>
      <c r="B2059" t="s">
        <v>30</v>
      </c>
      <c r="C2059">
        <v>14</v>
      </c>
      <c r="D2059">
        <v>10</v>
      </c>
      <c r="E2059" t="s">
        <v>110</v>
      </c>
      <c r="F2059" t="s">
        <v>112</v>
      </c>
      <c r="G2059" t="str">
        <f>"2025-03-16 04:16:40.075"</f>
        <v>2025-03-16 04:16:40.075</v>
      </c>
      <c r="H2059" t="s">
        <v>80</v>
      </c>
      <c r="I2059">
        <v>13.99</v>
      </c>
      <c r="J2059" t="s">
        <v>31</v>
      </c>
    </row>
    <row r="2060" spans="1:10" x14ac:dyDescent="0.25">
      <c r="A2060" s="1">
        <v>133</v>
      </c>
      <c r="B2060" t="s">
        <v>39</v>
      </c>
      <c r="C2060">
        <v>205</v>
      </c>
      <c r="D2060">
        <v>3</v>
      </c>
      <c r="E2060" t="s">
        <v>113</v>
      </c>
      <c r="F2060" t="s">
        <v>114</v>
      </c>
      <c r="G2060" t="str">
        <f>"2025-03-16 04:16:39.721"</f>
        <v>2025-03-16 04:16:39.721</v>
      </c>
      <c r="H2060" t="s">
        <v>52</v>
      </c>
      <c r="I2060">
        <v>14</v>
      </c>
      <c r="J2060" t="s">
        <v>31</v>
      </c>
    </row>
    <row r="2061" spans="1:10" x14ac:dyDescent="0.25">
      <c r="A2061" s="1">
        <v>134</v>
      </c>
      <c r="B2061" t="s">
        <v>39</v>
      </c>
      <c r="C2061">
        <v>105</v>
      </c>
      <c r="D2061">
        <v>3</v>
      </c>
      <c r="E2061" t="s">
        <v>115</v>
      </c>
      <c r="F2061" t="s">
        <v>114</v>
      </c>
      <c r="G2061" t="str">
        <f>"2025-03-16 04:16:39.701"</f>
        <v>2025-03-16 04:16:39.701</v>
      </c>
      <c r="H2061" t="s">
        <v>57</v>
      </c>
      <c r="I2061">
        <v>14.01</v>
      </c>
      <c r="J2061" t="s">
        <v>31</v>
      </c>
    </row>
    <row r="2062" spans="1:10" x14ac:dyDescent="0.25">
      <c r="A2062" s="1">
        <v>135</v>
      </c>
      <c r="B2062" t="s">
        <v>39</v>
      </c>
      <c r="C2062">
        <v>104</v>
      </c>
      <c r="D2062">
        <v>8</v>
      </c>
      <c r="E2062" t="s">
        <v>121</v>
      </c>
      <c r="F2062" t="s">
        <v>117</v>
      </c>
      <c r="G2062" t="str">
        <f>"2025-03-16 04:16:39.550"</f>
        <v>2025-03-16 04:16:39.550</v>
      </c>
      <c r="H2062" t="s">
        <v>57</v>
      </c>
      <c r="I2062">
        <v>14.02</v>
      </c>
      <c r="J2062" t="s">
        <v>31</v>
      </c>
    </row>
    <row r="2063" spans="1:10" x14ac:dyDescent="0.25">
      <c r="A2063" s="1">
        <v>136</v>
      </c>
      <c r="B2063" t="s">
        <v>39</v>
      </c>
      <c r="C2063">
        <v>104</v>
      </c>
      <c r="D2063">
        <v>6</v>
      </c>
      <c r="E2063" t="s">
        <v>121</v>
      </c>
      <c r="F2063" t="s">
        <v>118</v>
      </c>
      <c r="G2063" t="str">
        <f>"2025-03-16 04:16:39.546"</f>
        <v>2025-03-16 04:16:39.546</v>
      </c>
      <c r="H2063" t="s">
        <v>57</v>
      </c>
      <c r="I2063">
        <v>14.02</v>
      </c>
      <c r="J2063" t="s">
        <v>31</v>
      </c>
    </row>
    <row r="2064" spans="1:10" x14ac:dyDescent="0.25">
      <c r="A2064" s="1">
        <v>137</v>
      </c>
      <c r="B2064" t="s">
        <v>39</v>
      </c>
      <c r="C2064">
        <v>104</v>
      </c>
      <c r="D2064">
        <v>5</v>
      </c>
      <c r="E2064" t="s">
        <v>121</v>
      </c>
      <c r="F2064" t="s">
        <v>119</v>
      </c>
      <c r="G2064" t="str">
        <f>"2025-03-16 04:16:39.541"</f>
        <v>2025-03-16 04:16:39.541</v>
      </c>
      <c r="H2064" t="s">
        <v>57</v>
      </c>
      <c r="I2064">
        <v>14.02</v>
      </c>
      <c r="J2064" t="s">
        <v>31</v>
      </c>
    </row>
    <row r="2065" spans="1:10" x14ac:dyDescent="0.25">
      <c r="A2065" s="1">
        <v>138</v>
      </c>
      <c r="B2065" t="s">
        <v>39</v>
      </c>
      <c r="C2065">
        <v>204</v>
      </c>
      <c r="D2065">
        <v>8</v>
      </c>
      <c r="E2065" t="s">
        <v>116</v>
      </c>
      <c r="F2065" t="s">
        <v>117</v>
      </c>
      <c r="G2065" t="str">
        <f>"2025-03-16 04:16:39.510"</f>
        <v>2025-03-16 04:16:39.510</v>
      </c>
      <c r="H2065" t="s">
        <v>52</v>
      </c>
      <c r="I2065">
        <v>14.02</v>
      </c>
      <c r="J2065" t="s">
        <v>31</v>
      </c>
    </row>
    <row r="2066" spans="1:10" x14ac:dyDescent="0.25">
      <c r="A2066" s="1">
        <v>139</v>
      </c>
      <c r="B2066" t="s">
        <v>39</v>
      </c>
      <c r="C2066">
        <v>204</v>
      </c>
      <c r="D2066">
        <v>6</v>
      </c>
      <c r="E2066" t="s">
        <v>116</v>
      </c>
      <c r="F2066" t="s">
        <v>118</v>
      </c>
      <c r="G2066" t="str">
        <f>"2025-03-16 04:16:39.506"</f>
        <v>2025-03-16 04:16:39.506</v>
      </c>
      <c r="H2066" t="s">
        <v>52</v>
      </c>
      <c r="I2066">
        <v>14.02</v>
      </c>
      <c r="J2066" t="s">
        <v>31</v>
      </c>
    </row>
    <row r="2067" spans="1:10" x14ac:dyDescent="0.25">
      <c r="A2067" s="1">
        <v>140</v>
      </c>
      <c r="B2067" t="s">
        <v>39</v>
      </c>
      <c r="C2067">
        <v>204</v>
      </c>
      <c r="D2067">
        <v>5</v>
      </c>
      <c r="E2067" t="s">
        <v>116</v>
      </c>
      <c r="F2067" t="s">
        <v>119</v>
      </c>
      <c r="G2067" t="str">
        <f>"2025-03-16 04:16:39.501"</f>
        <v>2025-03-16 04:16:39.501</v>
      </c>
      <c r="H2067" t="s">
        <v>52</v>
      </c>
      <c r="I2067">
        <v>14.02</v>
      </c>
      <c r="J2067" t="s">
        <v>31</v>
      </c>
    </row>
    <row r="2068" spans="1:10" x14ac:dyDescent="0.25">
      <c r="A2068" s="1">
        <v>141</v>
      </c>
      <c r="B2068" t="s">
        <v>39</v>
      </c>
      <c r="C2068">
        <v>23</v>
      </c>
      <c r="D2068">
        <v>1</v>
      </c>
      <c r="E2068" t="s">
        <v>108</v>
      </c>
      <c r="F2068" t="s">
        <v>109</v>
      </c>
      <c r="G2068" t="str">
        <f>"2025-03-16 04:16:39.307"</f>
        <v>2025-03-16 04:16:39.307</v>
      </c>
      <c r="H2068" t="s">
        <v>63</v>
      </c>
      <c r="I2068">
        <v>14.05</v>
      </c>
      <c r="J2068" t="s">
        <v>31</v>
      </c>
    </row>
    <row r="2069" spans="1:10" x14ac:dyDescent="0.25">
      <c r="A2069" s="1">
        <v>142</v>
      </c>
      <c r="B2069" t="s">
        <v>39</v>
      </c>
      <c r="C2069">
        <v>204</v>
      </c>
      <c r="D2069">
        <v>1</v>
      </c>
      <c r="E2069" t="s">
        <v>116</v>
      </c>
      <c r="F2069" t="s">
        <v>120</v>
      </c>
      <c r="G2069" t="str">
        <f>"2025-03-16 04:16:39.206"</f>
        <v>2025-03-16 04:16:39.206</v>
      </c>
      <c r="H2069" t="s">
        <v>52</v>
      </c>
      <c r="I2069">
        <v>14.08</v>
      </c>
      <c r="J2069" t="s">
        <v>31</v>
      </c>
    </row>
    <row r="2070" spans="1:10" x14ac:dyDescent="0.25">
      <c r="A2070" s="1">
        <v>143</v>
      </c>
      <c r="B2070" t="s">
        <v>39</v>
      </c>
      <c r="C2070">
        <v>104</v>
      </c>
      <c r="D2070">
        <v>1</v>
      </c>
      <c r="E2070" t="s">
        <v>121</v>
      </c>
      <c r="F2070" t="s">
        <v>120</v>
      </c>
      <c r="G2070" t="str">
        <f>"2025-03-16 04:16:39.201"</f>
        <v>2025-03-16 04:16:39.201</v>
      </c>
      <c r="H2070" t="s">
        <v>57</v>
      </c>
      <c r="I2070">
        <v>14.08</v>
      </c>
      <c r="J2070" t="s">
        <v>31</v>
      </c>
    </row>
    <row r="2071" spans="1:10" x14ac:dyDescent="0.25">
      <c r="A2071" s="1">
        <v>144</v>
      </c>
      <c r="B2071" t="s">
        <v>19</v>
      </c>
      <c r="C2071">
        <v>706</v>
      </c>
      <c r="D2071">
        <v>4</v>
      </c>
      <c r="E2071" t="s">
        <v>23</v>
      </c>
      <c r="F2071" t="s">
        <v>26</v>
      </c>
      <c r="G2071" t="str">
        <f>"2025-03-16 04:16:39.088"</f>
        <v>2025-03-16 04:16:39.088</v>
      </c>
      <c r="H2071" t="s">
        <v>21</v>
      </c>
      <c r="I2071">
        <v>14.11</v>
      </c>
      <c r="J2071" t="s">
        <v>31</v>
      </c>
    </row>
    <row r="2072" spans="1:10" x14ac:dyDescent="0.25">
      <c r="A2072" s="1">
        <v>145</v>
      </c>
      <c r="B2072" t="s">
        <v>35</v>
      </c>
      <c r="C2072">
        <v>137</v>
      </c>
      <c r="D2072">
        <v>4</v>
      </c>
      <c r="E2072" t="s">
        <v>74</v>
      </c>
      <c r="F2072" t="s">
        <v>54</v>
      </c>
      <c r="G2072" t="str">
        <f>"2025-03-15 09:11:42.496"</f>
        <v>2025-03-15 09:11:42.496</v>
      </c>
      <c r="H2072" t="s">
        <v>57</v>
      </c>
    </row>
    <row r="2073" spans="1:10" x14ac:dyDescent="0.25">
      <c r="A2073" s="1">
        <v>146</v>
      </c>
      <c r="B2073" t="s">
        <v>39</v>
      </c>
      <c r="C2073">
        <v>137</v>
      </c>
      <c r="D2073">
        <v>4</v>
      </c>
      <c r="E2073" t="s">
        <v>74</v>
      </c>
      <c r="F2073" t="s">
        <v>54</v>
      </c>
      <c r="G2073" t="str">
        <f>"2025-03-15 09:11:39.521"</f>
        <v>2025-03-15 09:11:39.521</v>
      </c>
      <c r="H2073" t="s">
        <v>57</v>
      </c>
      <c r="I2073">
        <v>5.05</v>
      </c>
      <c r="J2073" t="s">
        <v>34</v>
      </c>
    </row>
    <row r="2074" spans="1:10" x14ac:dyDescent="0.25">
      <c r="A2074" s="1">
        <v>147</v>
      </c>
      <c r="B2074" t="s">
        <v>19</v>
      </c>
      <c r="C2074">
        <v>706</v>
      </c>
      <c r="D2074">
        <v>4</v>
      </c>
      <c r="E2074" t="s">
        <v>23</v>
      </c>
      <c r="F2074" t="s">
        <v>26</v>
      </c>
      <c r="G2074" t="str">
        <f>"2025-03-15 07:52:02.048"</f>
        <v>2025-03-15 07:52:02.048</v>
      </c>
      <c r="H2074" t="s">
        <v>21</v>
      </c>
      <c r="I2074">
        <v>0</v>
      </c>
      <c r="J2074" t="s">
        <v>25</v>
      </c>
    </row>
    <row r="2075" spans="1:10" x14ac:dyDescent="0.25">
      <c r="A2075" s="1">
        <v>148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"2025-03-15 07:51:40.418"</f>
        <v>2025-03-15 07:51:40.418</v>
      </c>
      <c r="H2075" t="s">
        <v>21</v>
      </c>
    </row>
    <row r="2076" spans="1:10" x14ac:dyDescent="0.25">
      <c r="A2076" s="1">
        <v>149</v>
      </c>
      <c r="B2076" t="s">
        <v>49</v>
      </c>
      <c r="C2076">
        <v>128</v>
      </c>
      <c r="D2076">
        <v>4</v>
      </c>
      <c r="E2076" t="s">
        <v>55</v>
      </c>
      <c r="F2076" t="s">
        <v>51</v>
      </c>
      <c r="G2076" t="str">
        <f>"2025-03-15 07:04:49.441"</f>
        <v>2025-03-15 07:04:49.441</v>
      </c>
      <c r="H2076" t="s">
        <v>57</v>
      </c>
    </row>
    <row r="2077" spans="1:10" x14ac:dyDescent="0.25">
      <c r="A2077" s="1">
        <v>150</v>
      </c>
      <c r="B2077" t="s">
        <v>39</v>
      </c>
      <c r="C2077">
        <v>128</v>
      </c>
      <c r="D2077">
        <v>4</v>
      </c>
      <c r="E2077" t="s">
        <v>55</v>
      </c>
      <c r="F2077" t="s">
        <v>51</v>
      </c>
      <c r="G2077" t="str">
        <f>"2025-03-15 07:04:44.344"</f>
        <v>2025-03-15 07:04:44.344</v>
      </c>
      <c r="H2077" t="s">
        <v>57</v>
      </c>
      <c r="I2077">
        <v>11.86</v>
      </c>
      <c r="J2077" t="s">
        <v>34</v>
      </c>
    </row>
    <row r="2078" spans="1:10" x14ac:dyDescent="0.25">
      <c r="A2078" s="1">
        <v>151</v>
      </c>
      <c r="B2078" t="s">
        <v>49</v>
      </c>
      <c r="C2078">
        <v>126</v>
      </c>
      <c r="D2078">
        <v>7</v>
      </c>
      <c r="E2078" t="s">
        <v>103</v>
      </c>
      <c r="F2078" t="s">
        <v>58</v>
      </c>
      <c r="G2078" t="str">
        <f>"2025-03-15 06:55:14.041"</f>
        <v>2025-03-15 06:55:14.041</v>
      </c>
      <c r="H2078" t="s">
        <v>57</v>
      </c>
    </row>
    <row r="2079" spans="1:10" x14ac:dyDescent="0.25">
      <c r="A2079" s="1">
        <v>152</v>
      </c>
      <c r="B2079" t="s">
        <v>39</v>
      </c>
      <c r="C2079">
        <v>126</v>
      </c>
      <c r="D2079">
        <v>7</v>
      </c>
      <c r="E2079" t="s">
        <v>103</v>
      </c>
      <c r="F2079" t="s">
        <v>58</v>
      </c>
      <c r="G2079" t="str">
        <f>"2025-03-15 06:55:09.005"</f>
        <v>2025-03-15 06:55:09.005</v>
      </c>
      <c r="H2079" t="s">
        <v>57</v>
      </c>
      <c r="I2079">
        <v>11.26</v>
      </c>
      <c r="J2079" t="s">
        <v>34</v>
      </c>
    </row>
    <row r="2080" spans="1:10" x14ac:dyDescent="0.25">
      <c r="A2080" s="1">
        <v>153</v>
      </c>
      <c r="B2080" t="s">
        <v>49</v>
      </c>
      <c r="C2080">
        <v>137</v>
      </c>
      <c r="D2080">
        <v>1</v>
      </c>
      <c r="E2080" t="s">
        <v>74</v>
      </c>
      <c r="F2080" t="s">
        <v>123</v>
      </c>
      <c r="G2080" t="str">
        <f>"2025-03-15 04:15:00.141"</f>
        <v>2025-03-15 04:15:00.141</v>
      </c>
      <c r="H2080" t="s">
        <v>57</v>
      </c>
    </row>
    <row r="2081" spans="1:10" x14ac:dyDescent="0.25">
      <c r="A2081" s="1">
        <v>154</v>
      </c>
      <c r="B2081" t="s">
        <v>39</v>
      </c>
      <c r="C2081">
        <v>137</v>
      </c>
      <c r="D2081">
        <v>1</v>
      </c>
      <c r="E2081" t="s">
        <v>74</v>
      </c>
      <c r="F2081" t="s">
        <v>123</v>
      </c>
      <c r="G2081" t="str">
        <f>"2025-03-15 04:14:55.085"</f>
        <v>2025-03-15 04:14:55.085</v>
      </c>
      <c r="H2081" t="s">
        <v>57</v>
      </c>
      <c r="I2081">
        <v>6.72</v>
      </c>
      <c r="J2081" t="s">
        <v>34</v>
      </c>
    </row>
    <row r="2082" spans="1:10" x14ac:dyDescent="0.25">
      <c r="A2082" s="1">
        <v>155</v>
      </c>
      <c r="B2082" t="s">
        <v>49</v>
      </c>
      <c r="C2082">
        <v>126</v>
      </c>
      <c r="D2082">
        <v>7</v>
      </c>
      <c r="E2082" t="s">
        <v>103</v>
      </c>
      <c r="F2082" t="s">
        <v>58</v>
      </c>
      <c r="G2082" t="str">
        <f>"2025-03-15 04:13:46.341"</f>
        <v>2025-03-15 04:13:46.341</v>
      </c>
      <c r="H2082" t="s">
        <v>57</v>
      </c>
    </row>
    <row r="2083" spans="1:10" x14ac:dyDescent="0.25">
      <c r="A2083" s="1">
        <v>156</v>
      </c>
      <c r="B2083" t="s">
        <v>39</v>
      </c>
      <c r="C2083">
        <v>126</v>
      </c>
      <c r="D2083">
        <v>7</v>
      </c>
      <c r="E2083" t="s">
        <v>103</v>
      </c>
      <c r="F2083" t="s">
        <v>58</v>
      </c>
      <c r="G2083" t="str">
        <f>"2025-03-15 04:13:41.325"</f>
        <v>2025-03-15 04:13:41.325</v>
      </c>
      <c r="H2083" t="s">
        <v>57</v>
      </c>
      <c r="I2083">
        <v>8.41</v>
      </c>
      <c r="J2083" t="s">
        <v>34</v>
      </c>
    </row>
    <row r="2084" spans="1:10" x14ac:dyDescent="0.25">
      <c r="A2084" s="1">
        <v>157</v>
      </c>
      <c r="B2084" t="s">
        <v>49</v>
      </c>
      <c r="C2084">
        <v>137</v>
      </c>
      <c r="D2084">
        <v>4</v>
      </c>
      <c r="E2084" t="s">
        <v>74</v>
      </c>
      <c r="F2084" t="s">
        <v>54</v>
      </c>
      <c r="G2084" t="str">
        <f>"2025-03-14 23:28:41.042"</f>
        <v>2025-03-14 23:28:41.042</v>
      </c>
      <c r="H2084" t="s">
        <v>57</v>
      </c>
    </row>
    <row r="2085" spans="1:10" x14ac:dyDescent="0.25">
      <c r="A2085" s="1">
        <v>158</v>
      </c>
      <c r="B2085" t="s">
        <v>39</v>
      </c>
      <c r="C2085">
        <v>137</v>
      </c>
      <c r="D2085">
        <v>4</v>
      </c>
      <c r="E2085" t="s">
        <v>74</v>
      </c>
      <c r="F2085" t="s">
        <v>54</v>
      </c>
      <c r="G2085" t="str">
        <f>"2025-03-14 23:28:35.985"</f>
        <v>2025-03-14 23:28:35.985</v>
      </c>
      <c r="H2085" t="s">
        <v>57</v>
      </c>
      <c r="I2085">
        <v>16.82</v>
      </c>
      <c r="J2085" t="s">
        <v>34</v>
      </c>
    </row>
    <row r="2086" spans="1:10" x14ac:dyDescent="0.25">
      <c r="A2086" s="1">
        <v>159</v>
      </c>
      <c r="B2086" t="s">
        <v>19</v>
      </c>
      <c r="C2086">
        <v>776</v>
      </c>
      <c r="D2086">
        <v>2</v>
      </c>
      <c r="E2086" t="s">
        <v>69</v>
      </c>
      <c r="F2086" t="s">
        <v>70</v>
      </c>
      <c r="G2086" t="str">
        <f>"2025-03-14 03:51:35.685"</f>
        <v>2025-03-14 03:51:35.685</v>
      </c>
      <c r="H2086" t="s">
        <v>21</v>
      </c>
      <c r="I2086">
        <v>0</v>
      </c>
      <c r="J2086" t="s">
        <v>25</v>
      </c>
    </row>
    <row r="2087" spans="1:10" x14ac:dyDescent="0.25">
      <c r="A2087" s="1">
        <v>160</v>
      </c>
      <c r="B2087" t="s">
        <v>27</v>
      </c>
      <c r="C2087">
        <v>4</v>
      </c>
      <c r="D2087">
        <v>1</v>
      </c>
      <c r="E2087" t="s">
        <v>64</v>
      </c>
      <c r="F2087" t="s">
        <v>65</v>
      </c>
      <c r="G2087" t="str">
        <f>"2025-03-14 03:51:33.360"</f>
        <v>2025-03-14 03:51:33.360</v>
      </c>
      <c r="H2087" t="s">
        <v>66</v>
      </c>
    </row>
    <row r="2088" spans="1:10" x14ac:dyDescent="0.25">
      <c r="A2088" s="1">
        <v>161</v>
      </c>
      <c r="B2088" t="s">
        <v>19</v>
      </c>
      <c r="C2088">
        <v>776</v>
      </c>
      <c r="D2088">
        <v>1</v>
      </c>
      <c r="E2088" t="s">
        <v>69</v>
      </c>
      <c r="F2088" t="s">
        <v>71</v>
      </c>
      <c r="G2088" t="str">
        <f>"2025-03-14 03:51:33.205"</f>
        <v>2025-03-14 03:51:33.205</v>
      </c>
      <c r="H2088" t="s">
        <v>21</v>
      </c>
      <c r="I2088">
        <v>0</v>
      </c>
      <c r="J2088" t="s">
        <v>25</v>
      </c>
    </row>
    <row r="2089" spans="1:10" x14ac:dyDescent="0.25">
      <c r="A2089" s="1">
        <v>162</v>
      </c>
      <c r="B2089" t="s">
        <v>19</v>
      </c>
      <c r="C2089">
        <v>700</v>
      </c>
      <c r="D2089">
        <v>0</v>
      </c>
      <c r="E2089" t="s">
        <v>20</v>
      </c>
      <c r="F2089" t="s">
        <v>20</v>
      </c>
      <c r="G2089" t="str">
        <f>"2025-03-14 03:51:25.452"</f>
        <v>2025-03-14 03:51:25.452</v>
      </c>
      <c r="H2089" t="s">
        <v>21</v>
      </c>
    </row>
    <row r="2090" spans="1:10" x14ac:dyDescent="0.25">
      <c r="A2090" s="1">
        <v>163</v>
      </c>
      <c r="B2090" t="s">
        <v>30</v>
      </c>
      <c r="C2090">
        <v>4</v>
      </c>
      <c r="D2090">
        <v>1</v>
      </c>
      <c r="E2090" t="s">
        <v>64</v>
      </c>
      <c r="F2090" t="s">
        <v>65</v>
      </c>
      <c r="G2090" t="str">
        <f>"2025-03-14 03:47:15.376"</f>
        <v>2025-03-14 03:47:15.376</v>
      </c>
      <c r="H2090" t="s">
        <v>66</v>
      </c>
      <c r="I2090">
        <v>0</v>
      </c>
      <c r="J2090" t="s">
        <v>25</v>
      </c>
    </row>
    <row r="2091" spans="1:10" x14ac:dyDescent="0.25">
      <c r="A2091" s="1">
        <v>164</v>
      </c>
      <c r="B2091" t="s">
        <v>49</v>
      </c>
      <c r="C2091">
        <v>126</v>
      </c>
      <c r="D2091">
        <v>7</v>
      </c>
      <c r="E2091" t="s">
        <v>103</v>
      </c>
      <c r="F2091" t="s">
        <v>58</v>
      </c>
      <c r="G2091" t="str">
        <f>"2025-03-14 03:26:30.808"</f>
        <v>2025-03-14 03:26:30.808</v>
      </c>
      <c r="H2091" t="s">
        <v>57</v>
      </c>
    </row>
    <row r="2092" spans="1:10" x14ac:dyDescent="0.25">
      <c r="A2092" s="1">
        <v>165</v>
      </c>
      <c r="B2092" t="s">
        <v>39</v>
      </c>
      <c r="C2092">
        <v>126</v>
      </c>
      <c r="D2092">
        <v>7</v>
      </c>
      <c r="E2092" t="s">
        <v>103</v>
      </c>
      <c r="F2092" t="s">
        <v>58</v>
      </c>
      <c r="G2092" t="str">
        <f>"2025-03-14 03:26:25.794"</f>
        <v>2025-03-14 03:26:25.794</v>
      </c>
      <c r="H2092" t="s">
        <v>57</v>
      </c>
      <c r="I2092">
        <v>16.62</v>
      </c>
      <c r="J2092" t="s">
        <v>34</v>
      </c>
    </row>
    <row r="2093" spans="1:10" x14ac:dyDescent="0.25">
      <c r="A2093" s="1">
        <v>166</v>
      </c>
      <c r="B2093" t="s">
        <v>49</v>
      </c>
      <c r="C2093">
        <v>128</v>
      </c>
      <c r="D2093">
        <v>4</v>
      </c>
      <c r="E2093" t="s">
        <v>55</v>
      </c>
      <c r="F2093" t="s">
        <v>51</v>
      </c>
      <c r="G2093" t="str">
        <f>"2025-03-14 02:56:25.208"</f>
        <v>2025-03-14 02:56:25.208</v>
      </c>
      <c r="H2093" t="s">
        <v>57</v>
      </c>
    </row>
    <row r="2094" spans="1:10" x14ac:dyDescent="0.25">
      <c r="A2094" s="1">
        <v>167</v>
      </c>
      <c r="B2094" t="s">
        <v>39</v>
      </c>
      <c r="C2094">
        <v>128</v>
      </c>
      <c r="D2094">
        <v>4</v>
      </c>
      <c r="E2094" t="s">
        <v>55</v>
      </c>
      <c r="F2094" t="s">
        <v>51</v>
      </c>
      <c r="G2094" t="str">
        <f>"2025-03-14 02:56:20.114"</f>
        <v>2025-03-14 02:56:20.114</v>
      </c>
      <c r="H2094" t="s">
        <v>57</v>
      </c>
      <c r="I2094">
        <v>12.9</v>
      </c>
      <c r="J2094" t="s">
        <v>34</v>
      </c>
    </row>
    <row r="2095" spans="1:10" x14ac:dyDescent="0.25">
      <c r="A2095" s="1">
        <v>168</v>
      </c>
      <c r="B2095" t="s">
        <v>49</v>
      </c>
      <c r="C2095">
        <v>128</v>
      </c>
      <c r="D2095">
        <v>4</v>
      </c>
      <c r="E2095" t="s">
        <v>55</v>
      </c>
      <c r="F2095" t="s">
        <v>51</v>
      </c>
      <c r="G2095" t="str">
        <f>"2025-03-13 21:27:02.808"</f>
        <v>2025-03-13 21:27:02.808</v>
      </c>
      <c r="H2095" t="s">
        <v>57</v>
      </c>
    </row>
    <row r="2096" spans="1:10" x14ac:dyDescent="0.25">
      <c r="A2096" s="1">
        <v>169</v>
      </c>
      <c r="B2096" t="s">
        <v>39</v>
      </c>
      <c r="C2096">
        <v>128</v>
      </c>
      <c r="D2096">
        <v>4</v>
      </c>
      <c r="E2096" t="s">
        <v>55</v>
      </c>
      <c r="F2096" t="s">
        <v>51</v>
      </c>
      <c r="G2096" t="str">
        <f>"2025-03-13 21:26:57.774"</f>
        <v>2025-03-13 21:26:57.774</v>
      </c>
      <c r="H2096" t="s">
        <v>57</v>
      </c>
      <c r="I2096">
        <v>16.8</v>
      </c>
      <c r="J2096" t="s">
        <v>34</v>
      </c>
    </row>
    <row r="2097" spans="1:10" x14ac:dyDescent="0.25">
      <c r="A2097" s="1">
        <v>170</v>
      </c>
      <c r="B2097" t="s">
        <v>27</v>
      </c>
      <c r="C2097">
        <v>635</v>
      </c>
      <c r="D2097">
        <v>1</v>
      </c>
      <c r="E2097" t="s">
        <v>32</v>
      </c>
      <c r="F2097" t="s">
        <v>33</v>
      </c>
      <c r="G2097" t="str">
        <f>"2025-03-13 16:35:14.458"</f>
        <v>2025-03-13 16:35:14.458</v>
      </c>
      <c r="H2097" t="s">
        <v>21</v>
      </c>
    </row>
    <row r="2098" spans="1:10" x14ac:dyDescent="0.25">
      <c r="A2098" s="1">
        <v>171</v>
      </c>
      <c r="B2098" t="s">
        <v>30</v>
      </c>
      <c r="C2098">
        <v>635</v>
      </c>
      <c r="D2098">
        <v>1</v>
      </c>
      <c r="E2098" t="s">
        <v>32</v>
      </c>
      <c r="F2098" t="s">
        <v>33</v>
      </c>
      <c r="G2098" t="str">
        <f>"2025-03-13 16:32:07.958"</f>
        <v>2025-03-13 16:32:07.958</v>
      </c>
      <c r="H2098" t="s">
        <v>21</v>
      </c>
      <c r="I2098">
        <v>3.74</v>
      </c>
      <c r="J2098" t="s">
        <v>31</v>
      </c>
    </row>
    <row r="2099" spans="1:10" x14ac:dyDescent="0.25">
      <c r="A2099" s="1">
        <v>174</v>
      </c>
      <c r="B2099" t="s">
        <v>19</v>
      </c>
      <c r="C2099">
        <v>782</v>
      </c>
      <c r="D2099">
        <v>7</v>
      </c>
      <c r="E2099" t="s">
        <v>81</v>
      </c>
      <c r="F2099" t="s">
        <v>82</v>
      </c>
      <c r="G2099" t="str">
        <f>"2025-03-13 15:14:39.876"</f>
        <v>2025-03-13 15:14:39.876</v>
      </c>
      <c r="H2099" t="s">
        <v>21</v>
      </c>
      <c r="I2099">
        <v>0</v>
      </c>
      <c r="J2099" t="s">
        <v>42</v>
      </c>
    </row>
    <row r="2100" spans="1:10" x14ac:dyDescent="0.25">
      <c r="A2100" s="1">
        <v>177</v>
      </c>
      <c r="B2100" t="s">
        <v>27</v>
      </c>
      <c r="C2100">
        <v>214</v>
      </c>
      <c r="D2100">
        <v>54</v>
      </c>
      <c r="E2100" t="s">
        <v>124</v>
      </c>
      <c r="F2100" t="s">
        <v>125</v>
      </c>
      <c r="G2100" t="str">
        <f>"2025-03-13 15:14:39.870"</f>
        <v>2025-03-13 15:14:39.870</v>
      </c>
      <c r="H2100" t="s">
        <v>21</v>
      </c>
    </row>
    <row r="2101" spans="1:10" x14ac:dyDescent="0.25">
      <c r="A2101" s="1">
        <v>178</v>
      </c>
      <c r="B2101" t="s">
        <v>27</v>
      </c>
      <c r="C2101">
        <v>214</v>
      </c>
      <c r="D2101">
        <v>52</v>
      </c>
      <c r="E2101" t="s">
        <v>124</v>
      </c>
      <c r="F2101" t="s">
        <v>126</v>
      </c>
      <c r="G2101" t="str">
        <f>"2025-03-13 15:14:39.869"</f>
        <v>2025-03-13 15:14:39.869</v>
      </c>
      <c r="H2101" t="s">
        <v>21</v>
      </c>
    </row>
    <row r="2102" spans="1:10" x14ac:dyDescent="0.25">
      <c r="A2102" s="1">
        <v>179</v>
      </c>
      <c r="B2102" t="s">
        <v>27</v>
      </c>
      <c r="C2102">
        <v>214</v>
      </c>
      <c r="D2102">
        <v>50</v>
      </c>
      <c r="E2102" t="s">
        <v>124</v>
      </c>
      <c r="F2102" t="s">
        <v>127</v>
      </c>
      <c r="G2102" t="str">
        <f>"2025-03-13 15:14:39.867"</f>
        <v>2025-03-13 15:14:39.867</v>
      </c>
      <c r="H2102" t="s">
        <v>21</v>
      </c>
    </row>
    <row r="2103" spans="1:10" x14ac:dyDescent="0.25">
      <c r="A2103" s="1">
        <v>180</v>
      </c>
      <c r="B2103" t="s">
        <v>27</v>
      </c>
      <c r="C2103">
        <v>214</v>
      </c>
      <c r="D2103">
        <v>38</v>
      </c>
      <c r="E2103" t="s">
        <v>124</v>
      </c>
      <c r="F2103" t="s">
        <v>128</v>
      </c>
      <c r="G2103" t="str">
        <f>"2025-03-13 15:14:39.865"</f>
        <v>2025-03-13 15:14:39.865</v>
      </c>
      <c r="H2103" t="s">
        <v>21</v>
      </c>
    </row>
    <row r="2104" spans="1:10" x14ac:dyDescent="0.25">
      <c r="A2104" s="1">
        <v>181</v>
      </c>
      <c r="B2104" t="s">
        <v>27</v>
      </c>
      <c r="C2104">
        <v>214</v>
      </c>
      <c r="D2104">
        <v>26</v>
      </c>
      <c r="E2104" t="s">
        <v>124</v>
      </c>
      <c r="F2104" t="s">
        <v>129</v>
      </c>
      <c r="G2104" t="str">
        <f>"2025-03-13 15:14:39.864"</f>
        <v>2025-03-13 15:14:39.864</v>
      </c>
      <c r="H2104" t="s">
        <v>21</v>
      </c>
    </row>
    <row r="2105" spans="1:10" x14ac:dyDescent="0.25">
      <c r="A2105" s="1">
        <v>182</v>
      </c>
      <c r="B2105" t="s">
        <v>27</v>
      </c>
      <c r="C2105">
        <v>214</v>
      </c>
      <c r="D2105">
        <v>24</v>
      </c>
      <c r="E2105" t="s">
        <v>124</v>
      </c>
      <c r="F2105" t="s">
        <v>130</v>
      </c>
      <c r="G2105" t="str">
        <f>"2025-03-13 15:14:39.862"</f>
        <v>2025-03-13 15:14:39.862</v>
      </c>
      <c r="H2105" t="s">
        <v>21</v>
      </c>
    </row>
    <row r="2106" spans="1:10" x14ac:dyDescent="0.25">
      <c r="A2106" s="1">
        <v>183</v>
      </c>
      <c r="B2106" t="s">
        <v>27</v>
      </c>
      <c r="C2106">
        <v>214</v>
      </c>
      <c r="D2106">
        <v>22</v>
      </c>
      <c r="E2106" t="s">
        <v>124</v>
      </c>
      <c r="F2106" t="s">
        <v>131</v>
      </c>
      <c r="G2106" t="str">
        <f>"2025-03-13 15:14:39.861"</f>
        <v>2025-03-13 15:14:39.861</v>
      </c>
      <c r="H2106" t="s">
        <v>21</v>
      </c>
    </row>
    <row r="2107" spans="1:10" x14ac:dyDescent="0.25">
      <c r="A2107" s="1">
        <v>184</v>
      </c>
      <c r="B2107" t="s">
        <v>27</v>
      </c>
      <c r="C2107">
        <v>203</v>
      </c>
      <c r="D2107">
        <v>12</v>
      </c>
      <c r="E2107" t="s">
        <v>132</v>
      </c>
      <c r="F2107" t="s">
        <v>133</v>
      </c>
      <c r="G2107" t="str">
        <f>"2025-03-13 15:14:39.859"</f>
        <v>2025-03-13 15:14:39.859</v>
      </c>
      <c r="H2107" t="s">
        <v>21</v>
      </c>
    </row>
    <row r="2108" spans="1:10" x14ac:dyDescent="0.25">
      <c r="A2108" s="1">
        <v>185</v>
      </c>
      <c r="B2108" t="s">
        <v>19</v>
      </c>
      <c r="C2108">
        <v>782</v>
      </c>
      <c r="D2108">
        <v>7</v>
      </c>
      <c r="E2108" t="s">
        <v>81</v>
      </c>
      <c r="F2108" t="s">
        <v>82</v>
      </c>
      <c r="G2108" t="str">
        <f>"2025-03-13 15:14:39.858"</f>
        <v>2025-03-13 15:14:39.858</v>
      </c>
      <c r="H2108" t="s">
        <v>21</v>
      </c>
      <c r="I2108">
        <v>0</v>
      </c>
      <c r="J2108" t="s">
        <v>42</v>
      </c>
    </row>
    <row r="2109" spans="1:10" x14ac:dyDescent="0.25">
      <c r="A2109" s="1">
        <v>186</v>
      </c>
      <c r="B2109" t="s">
        <v>19</v>
      </c>
      <c r="C2109">
        <v>706</v>
      </c>
      <c r="D2109">
        <v>4</v>
      </c>
      <c r="E2109" t="s">
        <v>23</v>
      </c>
      <c r="F2109" t="s">
        <v>26</v>
      </c>
      <c r="G2109" t="str">
        <f>"2025-03-13 15:13:48.775"</f>
        <v>2025-03-13 15:13:48.775</v>
      </c>
      <c r="H2109" t="s">
        <v>21</v>
      </c>
      <c r="I2109">
        <v>0</v>
      </c>
      <c r="J2109" t="s">
        <v>25</v>
      </c>
    </row>
    <row r="2110" spans="1:10" x14ac:dyDescent="0.25">
      <c r="A2110" s="1">
        <v>187</v>
      </c>
      <c r="B2110" t="s">
        <v>19</v>
      </c>
      <c r="C2110">
        <v>700</v>
      </c>
      <c r="D2110">
        <v>0</v>
      </c>
      <c r="E2110" t="s">
        <v>20</v>
      </c>
      <c r="F2110" t="s">
        <v>20</v>
      </c>
      <c r="G2110" t="str">
        <f>"2025-03-13 15:11:02.345"</f>
        <v>2025-03-13 15:11:02.345</v>
      </c>
      <c r="H2110" t="s">
        <v>21</v>
      </c>
      <c r="I2110">
        <v>0</v>
      </c>
      <c r="J2110" t="s">
        <v>22</v>
      </c>
    </row>
    <row r="2111" spans="1:10" x14ac:dyDescent="0.25">
      <c r="A2111" s="1">
        <v>188</v>
      </c>
      <c r="B2111" t="s">
        <v>27</v>
      </c>
      <c r="C2111">
        <v>58</v>
      </c>
      <c r="D2111">
        <v>1</v>
      </c>
      <c r="E2111" t="s">
        <v>134</v>
      </c>
      <c r="F2111" t="s">
        <v>135</v>
      </c>
      <c r="G2111" t="str">
        <f>"2025-03-13 15:09:51.871"</f>
        <v>2025-03-13 15:09:51.871</v>
      </c>
      <c r="H2111" t="s">
        <v>52</v>
      </c>
    </row>
    <row r="2112" spans="1:10" x14ac:dyDescent="0.25">
      <c r="A2112" s="1">
        <v>189</v>
      </c>
      <c r="B2112" t="s">
        <v>19</v>
      </c>
      <c r="C2112">
        <v>776</v>
      </c>
      <c r="D2112">
        <v>2</v>
      </c>
      <c r="E2112" t="s">
        <v>69</v>
      </c>
      <c r="F2112" t="s">
        <v>70</v>
      </c>
      <c r="G2112" t="str">
        <f>"2025-03-13 15:09:51.869"</f>
        <v>2025-03-13 15:09:51.869</v>
      </c>
      <c r="H2112" t="s">
        <v>21</v>
      </c>
      <c r="I2112">
        <v>0</v>
      </c>
      <c r="J2112" t="s">
        <v>25</v>
      </c>
    </row>
    <row r="2113" spans="1:10" x14ac:dyDescent="0.25">
      <c r="A2113" s="1">
        <v>190</v>
      </c>
      <c r="B2113" t="s">
        <v>19</v>
      </c>
      <c r="C2113">
        <v>700</v>
      </c>
      <c r="D2113">
        <v>0</v>
      </c>
      <c r="E2113" t="s">
        <v>20</v>
      </c>
      <c r="F2113" t="s">
        <v>20</v>
      </c>
      <c r="G2113" t="str">
        <f>"2025-03-13 15:09:31.353"</f>
        <v>2025-03-13 15:09:31.353</v>
      </c>
      <c r="H2113" t="s">
        <v>21</v>
      </c>
      <c r="I2113">
        <v>0</v>
      </c>
      <c r="J2113" t="s">
        <v>22</v>
      </c>
    </row>
    <row r="2114" spans="1:10" x14ac:dyDescent="0.25">
      <c r="A2114" s="1">
        <v>191</v>
      </c>
      <c r="B2114" t="s">
        <v>19</v>
      </c>
      <c r="C2114">
        <v>700</v>
      </c>
      <c r="D2114">
        <v>0</v>
      </c>
      <c r="E2114" t="s">
        <v>20</v>
      </c>
      <c r="F2114" t="s">
        <v>20</v>
      </c>
      <c r="G2114" t="str">
        <f>"2025-03-13 15:08:16.357"</f>
        <v>2025-03-13 15:08:16.357</v>
      </c>
      <c r="H2114" t="s">
        <v>21</v>
      </c>
      <c r="I2114">
        <v>0</v>
      </c>
      <c r="J2114" t="s">
        <v>22</v>
      </c>
    </row>
    <row r="2115" spans="1:10" x14ac:dyDescent="0.25">
      <c r="A2115" s="1">
        <v>192</v>
      </c>
      <c r="B2115" t="s">
        <v>30</v>
      </c>
      <c r="C2115">
        <v>214</v>
      </c>
      <c r="D2115">
        <v>54</v>
      </c>
      <c r="E2115" t="s">
        <v>124</v>
      </c>
      <c r="F2115" t="s">
        <v>125</v>
      </c>
      <c r="G2115" t="str">
        <f>"2025-03-13 15:07:22.854"</f>
        <v>2025-03-13 15:07:22.854</v>
      </c>
      <c r="H2115" t="s">
        <v>21</v>
      </c>
      <c r="I2115">
        <v>0</v>
      </c>
      <c r="J2115" t="s">
        <v>25</v>
      </c>
    </row>
    <row r="2116" spans="1:10" x14ac:dyDescent="0.25">
      <c r="A2116" s="1">
        <v>193</v>
      </c>
      <c r="B2116" t="s">
        <v>30</v>
      </c>
      <c r="C2116">
        <v>214</v>
      </c>
      <c r="D2116">
        <v>52</v>
      </c>
      <c r="E2116" t="s">
        <v>124</v>
      </c>
      <c r="F2116" t="s">
        <v>126</v>
      </c>
      <c r="G2116" t="str">
        <f>"2025-03-13 15:07:22.852"</f>
        <v>2025-03-13 15:07:22.852</v>
      </c>
      <c r="H2116" t="s">
        <v>21</v>
      </c>
      <c r="I2116">
        <v>0</v>
      </c>
      <c r="J2116" t="s">
        <v>25</v>
      </c>
    </row>
    <row r="2117" spans="1:10" x14ac:dyDescent="0.25">
      <c r="A2117" s="1">
        <v>194</v>
      </c>
      <c r="B2117" t="s">
        <v>30</v>
      </c>
      <c r="C2117">
        <v>214</v>
      </c>
      <c r="D2117">
        <v>50</v>
      </c>
      <c r="E2117" t="s">
        <v>124</v>
      </c>
      <c r="F2117" t="s">
        <v>127</v>
      </c>
      <c r="G2117" t="str">
        <f>"2025-03-13 15:07:22.851"</f>
        <v>2025-03-13 15:07:22.851</v>
      </c>
      <c r="H2117" t="s">
        <v>21</v>
      </c>
      <c r="I2117">
        <v>0</v>
      </c>
      <c r="J2117" t="s">
        <v>25</v>
      </c>
    </row>
    <row r="2118" spans="1:10" x14ac:dyDescent="0.25">
      <c r="A2118" s="1">
        <v>195</v>
      </c>
      <c r="B2118" t="s">
        <v>30</v>
      </c>
      <c r="C2118">
        <v>214</v>
      </c>
      <c r="D2118">
        <v>38</v>
      </c>
      <c r="E2118" t="s">
        <v>124</v>
      </c>
      <c r="F2118" t="s">
        <v>128</v>
      </c>
      <c r="G2118" t="str">
        <f>"2025-03-13 15:07:22.850"</f>
        <v>2025-03-13 15:07:22.850</v>
      </c>
      <c r="H2118" t="s">
        <v>21</v>
      </c>
      <c r="I2118">
        <v>0</v>
      </c>
      <c r="J2118" t="s">
        <v>25</v>
      </c>
    </row>
    <row r="2119" spans="1:10" x14ac:dyDescent="0.25">
      <c r="A2119" s="1">
        <v>196</v>
      </c>
      <c r="B2119" t="s">
        <v>30</v>
      </c>
      <c r="C2119">
        <v>214</v>
      </c>
      <c r="D2119">
        <v>26</v>
      </c>
      <c r="E2119" t="s">
        <v>124</v>
      </c>
      <c r="F2119" t="s">
        <v>129</v>
      </c>
      <c r="G2119" t="str">
        <f>"2025-03-13 15:07:22.848"</f>
        <v>2025-03-13 15:07:22.848</v>
      </c>
      <c r="H2119" t="s">
        <v>21</v>
      </c>
      <c r="I2119">
        <v>0</v>
      </c>
      <c r="J2119" t="s">
        <v>25</v>
      </c>
    </row>
    <row r="2120" spans="1:10" x14ac:dyDescent="0.25">
      <c r="A2120" s="1">
        <v>197</v>
      </c>
      <c r="B2120" t="s">
        <v>30</v>
      </c>
      <c r="C2120">
        <v>214</v>
      </c>
      <c r="D2120">
        <v>24</v>
      </c>
      <c r="E2120" t="s">
        <v>124</v>
      </c>
      <c r="F2120" t="s">
        <v>130</v>
      </c>
      <c r="G2120" t="str">
        <f>"2025-03-13 15:07:22.846"</f>
        <v>2025-03-13 15:07:22.846</v>
      </c>
      <c r="H2120" t="s">
        <v>21</v>
      </c>
      <c r="I2120">
        <v>0</v>
      </c>
      <c r="J2120" t="s">
        <v>25</v>
      </c>
    </row>
    <row r="2121" spans="1:10" x14ac:dyDescent="0.25">
      <c r="A2121" s="1">
        <v>198</v>
      </c>
      <c r="B2121" t="s">
        <v>30</v>
      </c>
      <c r="C2121">
        <v>214</v>
      </c>
      <c r="D2121">
        <v>22</v>
      </c>
      <c r="E2121" t="s">
        <v>124</v>
      </c>
      <c r="F2121" t="s">
        <v>131</v>
      </c>
      <c r="G2121" t="str">
        <f>"2025-03-13 15:07:22.845"</f>
        <v>2025-03-13 15:07:22.845</v>
      </c>
      <c r="H2121" t="s">
        <v>21</v>
      </c>
      <c r="I2121">
        <v>0</v>
      </c>
      <c r="J2121" t="s">
        <v>25</v>
      </c>
    </row>
    <row r="2122" spans="1:10" x14ac:dyDescent="0.25">
      <c r="A2122" s="1">
        <v>199</v>
      </c>
      <c r="B2122" t="s">
        <v>49</v>
      </c>
      <c r="C2122">
        <v>214</v>
      </c>
      <c r="D2122">
        <v>54</v>
      </c>
      <c r="E2122" t="s">
        <v>124</v>
      </c>
      <c r="F2122" t="s">
        <v>125</v>
      </c>
      <c r="G2122" t="str">
        <f>"2025-03-13 15:07:22.511"</f>
        <v>2025-03-13 15:07:22.511</v>
      </c>
      <c r="H2122" t="s">
        <v>21</v>
      </c>
    </row>
    <row r="2123" spans="1:10" x14ac:dyDescent="0.25">
      <c r="A2123" s="1">
        <v>200</v>
      </c>
      <c r="B2123" t="s">
        <v>49</v>
      </c>
      <c r="C2123">
        <v>214</v>
      </c>
      <c r="D2123">
        <v>52</v>
      </c>
      <c r="E2123" t="s">
        <v>124</v>
      </c>
      <c r="F2123" t="s">
        <v>126</v>
      </c>
      <c r="G2123" t="str">
        <f>"2025-03-13 15:07:22.506"</f>
        <v>2025-03-13 15:07:22.506</v>
      </c>
      <c r="H2123" t="s">
        <v>21</v>
      </c>
    </row>
    <row r="2124" spans="1:10" x14ac:dyDescent="0.25">
      <c r="A2124" s="1">
        <v>201</v>
      </c>
      <c r="B2124" t="s">
        <v>49</v>
      </c>
      <c r="C2124">
        <v>214</v>
      </c>
      <c r="D2124">
        <v>50</v>
      </c>
      <c r="E2124" t="s">
        <v>124</v>
      </c>
      <c r="F2124" t="s">
        <v>127</v>
      </c>
      <c r="G2124" t="str">
        <f>"2025-03-13 15:07:22.504"</f>
        <v>2025-03-13 15:07:22.504</v>
      </c>
      <c r="H2124" t="s">
        <v>21</v>
      </c>
    </row>
    <row r="2125" spans="1:10" x14ac:dyDescent="0.25">
      <c r="A2125" s="1">
        <v>202</v>
      </c>
      <c r="B2125" t="s">
        <v>49</v>
      </c>
      <c r="C2125">
        <v>214</v>
      </c>
      <c r="D2125">
        <v>38</v>
      </c>
      <c r="E2125" t="s">
        <v>124</v>
      </c>
      <c r="F2125" t="s">
        <v>128</v>
      </c>
      <c r="G2125" t="str">
        <f>"2025-03-13 15:07:22.502"</f>
        <v>2025-03-13 15:07:22.502</v>
      </c>
      <c r="H2125" t="s">
        <v>21</v>
      </c>
    </row>
    <row r="2126" spans="1:10" x14ac:dyDescent="0.25">
      <c r="A2126" s="1">
        <v>203</v>
      </c>
      <c r="B2126" t="s">
        <v>49</v>
      </c>
      <c r="C2126">
        <v>214</v>
      </c>
      <c r="D2126">
        <v>26</v>
      </c>
      <c r="E2126" t="s">
        <v>124</v>
      </c>
      <c r="F2126" t="s">
        <v>129</v>
      </c>
      <c r="G2126" t="str">
        <f>"2025-03-13 15:07:22.501"</f>
        <v>2025-03-13 15:07:22.501</v>
      </c>
      <c r="H2126" t="s">
        <v>21</v>
      </c>
    </row>
    <row r="2127" spans="1:10" x14ac:dyDescent="0.25">
      <c r="A2127" s="1">
        <v>204</v>
      </c>
      <c r="B2127" t="s">
        <v>49</v>
      </c>
      <c r="C2127">
        <v>214</v>
      </c>
      <c r="D2127">
        <v>24</v>
      </c>
      <c r="E2127" t="s">
        <v>124</v>
      </c>
      <c r="F2127" t="s">
        <v>130</v>
      </c>
      <c r="G2127" t="str">
        <f>"2025-03-13 15:07:22.500"</f>
        <v>2025-03-13 15:07:22.500</v>
      </c>
      <c r="H2127" t="s">
        <v>21</v>
      </c>
    </row>
    <row r="2128" spans="1:10" x14ac:dyDescent="0.25">
      <c r="A2128" s="1">
        <v>205</v>
      </c>
      <c r="B2128" t="s">
        <v>49</v>
      </c>
      <c r="C2128">
        <v>214</v>
      </c>
      <c r="D2128">
        <v>22</v>
      </c>
      <c r="E2128" t="s">
        <v>124</v>
      </c>
      <c r="F2128" t="s">
        <v>131</v>
      </c>
      <c r="G2128" t="str">
        <f>"2025-03-13 15:07:22.497"</f>
        <v>2025-03-13 15:07:22.497</v>
      </c>
      <c r="H2128" t="s">
        <v>21</v>
      </c>
    </row>
    <row r="2129" spans="1:10" x14ac:dyDescent="0.25">
      <c r="A2129" s="1">
        <v>206</v>
      </c>
      <c r="B2129" t="s">
        <v>30</v>
      </c>
      <c r="C2129">
        <v>203</v>
      </c>
      <c r="D2129">
        <v>12</v>
      </c>
      <c r="E2129" t="s">
        <v>132</v>
      </c>
      <c r="F2129" t="s">
        <v>133</v>
      </c>
      <c r="G2129" t="str">
        <f>"2025-03-13 15:07:22.445"</f>
        <v>2025-03-13 15:07:22.445</v>
      </c>
      <c r="H2129" t="s">
        <v>21</v>
      </c>
      <c r="I2129">
        <v>0</v>
      </c>
      <c r="J2129" t="s">
        <v>25</v>
      </c>
    </row>
    <row r="2130" spans="1:10" x14ac:dyDescent="0.25">
      <c r="A2130" s="1">
        <v>207</v>
      </c>
      <c r="B2130" t="s">
        <v>49</v>
      </c>
      <c r="C2130">
        <v>203</v>
      </c>
      <c r="D2130">
        <v>12</v>
      </c>
      <c r="E2130" t="s">
        <v>132</v>
      </c>
      <c r="F2130" t="s">
        <v>133</v>
      </c>
      <c r="G2130" t="str">
        <f>"2025-03-13 15:07:22.197"</f>
        <v>2025-03-13 15:07:22.197</v>
      </c>
      <c r="H2130" t="s">
        <v>21</v>
      </c>
    </row>
    <row r="2131" spans="1:10" x14ac:dyDescent="0.25">
      <c r="A2131" s="1">
        <v>208</v>
      </c>
      <c r="B2131" t="s">
        <v>39</v>
      </c>
      <c r="C2131">
        <v>203</v>
      </c>
      <c r="D2131">
        <v>12</v>
      </c>
      <c r="E2131" t="s">
        <v>132</v>
      </c>
      <c r="F2131" t="s">
        <v>133</v>
      </c>
      <c r="G2131" t="str">
        <f>"2025-03-13 15:07:17.174"</f>
        <v>2025-03-13 15:07:17.174</v>
      </c>
      <c r="H2131" t="s">
        <v>21</v>
      </c>
      <c r="I2131">
        <v>0</v>
      </c>
      <c r="J2131" t="s">
        <v>25</v>
      </c>
    </row>
    <row r="2132" spans="1:10" x14ac:dyDescent="0.25">
      <c r="A2132" s="1">
        <v>209</v>
      </c>
      <c r="B2132" t="s">
        <v>39</v>
      </c>
      <c r="C2132">
        <v>214</v>
      </c>
      <c r="D2132">
        <v>54</v>
      </c>
      <c r="E2132" t="s">
        <v>124</v>
      </c>
      <c r="F2132" t="s">
        <v>125</v>
      </c>
      <c r="G2132" t="str">
        <f>"2025-03-13 15:07:17.173"</f>
        <v>2025-03-13 15:07:17.173</v>
      </c>
      <c r="H2132" t="s">
        <v>21</v>
      </c>
      <c r="I2132">
        <v>0</v>
      </c>
      <c r="J2132" t="s">
        <v>25</v>
      </c>
    </row>
    <row r="2133" spans="1:10" x14ac:dyDescent="0.25">
      <c r="A2133" s="1">
        <v>210</v>
      </c>
      <c r="B2133" t="s">
        <v>39</v>
      </c>
      <c r="C2133">
        <v>214</v>
      </c>
      <c r="D2133">
        <v>52</v>
      </c>
      <c r="E2133" t="s">
        <v>124</v>
      </c>
      <c r="F2133" t="s">
        <v>126</v>
      </c>
      <c r="G2133" t="str">
        <f>"2025-03-13 15:07:17.169"</f>
        <v>2025-03-13 15:07:17.169</v>
      </c>
      <c r="H2133" t="s">
        <v>21</v>
      </c>
      <c r="I2133">
        <v>0</v>
      </c>
      <c r="J2133" t="s">
        <v>25</v>
      </c>
    </row>
    <row r="2134" spans="1:10" x14ac:dyDescent="0.25">
      <c r="A2134" s="1">
        <v>211</v>
      </c>
      <c r="B2134" t="s">
        <v>39</v>
      </c>
      <c r="C2134">
        <v>214</v>
      </c>
      <c r="D2134">
        <v>50</v>
      </c>
      <c r="E2134" t="s">
        <v>124</v>
      </c>
      <c r="F2134" t="s">
        <v>127</v>
      </c>
      <c r="G2134" t="str">
        <f>"2025-03-13 15:07:17.164"</f>
        <v>2025-03-13 15:07:17.164</v>
      </c>
      <c r="H2134" t="s">
        <v>21</v>
      </c>
      <c r="I2134">
        <v>0</v>
      </c>
      <c r="J2134" t="s">
        <v>25</v>
      </c>
    </row>
    <row r="2135" spans="1:10" x14ac:dyDescent="0.25">
      <c r="A2135" s="1">
        <v>212</v>
      </c>
      <c r="B2135" t="s">
        <v>39</v>
      </c>
      <c r="C2135">
        <v>214</v>
      </c>
      <c r="D2135">
        <v>38</v>
      </c>
      <c r="E2135" t="s">
        <v>124</v>
      </c>
      <c r="F2135" t="s">
        <v>128</v>
      </c>
      <c r="G2135" t="str">
        <f>"2025-03-13 15:07:17.159"</f>
        <v>2025-03-13 15:07:17.159</v>
      </c>
      <c r="H2135" t="s">
        <v>21</v>
      </c>
      <c r="I2135">
        <v>0</v>
      </c>
      <c r="J2135" t="s">
        <v>25</v>
      </c>
    </row>
    <row r="2136" spans="1:10" x14ac:dyDescent="0.25">
      <c r="A2136" s="1">
        <v>213</v>
      </c>
      <c r="B2136" t="s">
        <v>39</v>
      </c>
      <c r="C2136">
        <v>214</v>
      </c>
      <c r="D2136">
        <v>26</v>
      </c>
      <c r="E2136" t="s">
        <v>124</v>
      </c>
      <c r="F2136" t="s">
        <v>129</v>
      </c>
      <c r="G2136" t="str">
        <f>"2025-03-13 15:07:17.154"</f>
        <v>2025-03-13 15:07:17.154</v>
      </c>
      <c r="H2136" t="s">
        <v>21</v>
      </c>
      <c r="I2136">
        <v>0</v>
      </c>
      <c r="J2136" t="s">
        <v>25</v>
      </c>
    </row>
    <row r="2137" spans="1:10" x14ac:dyDescent="0.25">
      <c r="A2137" s="1">
        <v>214</v>
      </c>
      <c r="B2137" t="s">
        <v>39</v>
      </c>
      <c r="C2137">
        <v>214</v>
      </c>
      <c r="D2137">
        <v>24</v>
      </c>
      <c r="E2137" t="s">
        <v>124</v>
      </c>
      <c r="F2137" t="s">
        <v>130</v>
      </c>
      <c r="G2137" t="str">
        <f>"2025-03-13 15:07:17.150"</f>
        <v>2025-03-13 15:07:17.150</v>
      </c>
      <c r="H2137" t="s">
        <v>21</v>
      </c>
      <c r="I2137">
        <v>0</v>
      </c>
      <c r="J2137" t="s">
        <v>25</v>
      </c>
    </row>
    <row r="2138" spans="1:10" x14ac:dyDescent="0.25">
      <c r="A2138" s="1">
        <v>215</v>
      </c>
      <c r="B2138" t="s">
        <v>39</v>
      </c>
      <c r="C2138">
        <v>214</v>
      </c>
      <c r="D2138">
        <v>22</v>
      </c>
      <c r="E2138" t="s">
        <v>124</v>
      </c>
      <c r="F2138" t="s">
        <v>131</v>
      </c>
      <c r="G2138" t="str">
        <f>"2025-03-13 15:07:17.145"</f>
        <v>2025-03-13 15:07:17.145</v>
      </c>
      <c r="H2138" t="s">
        <v>21</v>
      </c>
      <c r="I2138">
        <v>0</v>
      </c>
      <c r="J2138" t="s">
        <v>25</v>
      </c>
    </row>
    <row r="2139" spans="1:10" x14ac:dyDescent="0.25">
      <c r="A2139" s="1">
        <v>216</v>
      </c>
      <c r="B2139" t="s">
        <v>49</v>
      </c>
      <c r="C2139">
        <v>214</v>
      </c>
      <c r="D2139">
        <v>54</v>
      </c>
      <c r="E2139" t="s">
        <v>124</v>
      </c>
      <c r="F2139" t="s">
        <v>125</v>
      </c>
      <c r="G2139" t="str">
        <f>"2025-03-13 15:07:16.913"</f>
        <v>2025-03-13 15:07:16.913</v>
      </c>
      <c r="H2139" t="s">
        <v>21</v>
      </c>
    </row>
    <row r="2140" spans="1:10" x14ac:dyDescent="0.25">
      <c r="A2140" s="1">
        <v>217</v>
      </c>
      <c r="B2140" t="s">
        <v>49</v>
      </c>
      <c r="C2140">
        <v>214</v>
      </c>
      <c r="D2140">
        <v>52</v>
      </c>
      <c r="E2140" t="s">
        <v>124</v>
      </c>
      <c r="F2140" t="s">
        <v>126</v>
      </c>
      <c r="G2140" t="str">
        <f>"2025-03-13 15:07:16.912"</f>
        <v>2025-03-13 15:07:16.912</v>
      </c>
      <c r="H2140" t="s">
        <v>21</v>
      </c>
    </row>
    <row r="2141" spans="1:10" x14ac:dyDescent="0.25">
      <c r="A2141" s="1">
        <v>218</v>
      </c>
      <c r="B2141" t="s">
        <v>49</v>
      </c>
      <c r="C2141">
        <v>214</v>
      </c>
      <c r="D2141">
        <v>50</v>
      </c>
      <c r="E2141" t="s">
        <v>124</v>
      </c>
      <c r="F2141" t="s">
        <v>127</v>
      </c>
      <c r="G2141" t="str">
        <f>"2025-03-13 15:07:16.910"</f>
        <v>2025-03-13 15:07:16.910</v>
      </c>
      <c r="H2141" t="s">
        <v>21</v>
      </c>
    </row>
    <row r="2142" spans="1:10" x14ac:dyDescent="0.25">
      <c r="A2142" s="1">
        <v>219</v>
      </c>
      <c r="B2142" t="s">
        <v>49</v>
      </c>
      <c r="C2142">
        <v>214</v>
      </c>
      <c r="D2142">
        <v>38</v>
      </c>
      <c r="E2142" t="s">
        <v>124</v>
      </c>
      <c r="F2142" t="s">
        <v>128</v>
      </c>
      <c r="G2142" t="str">
        <f>"2025-03-13 15:07:16.906"</f>
        <v>2025-03-13 15:07:16.906</v>
      </c>
      <c r="H2142" t="s">
        <v>21</v>
      </c>
    </row>
    <row r="2143" spans="1:10" x14ac:dyDescent="0.25">
      <c r="A2143" s="1">
        <v>220</v>
      </c>
      <c r="B2143" t="s">
        <v>49</v>
      </c>
      <c r="C2143">
        <v>214</v>
      </c>
      <c r="D2143">
        <v>26</v>
      </c>
      <c r="E2143" t="s">
        <v>124</v>
      </c>
      <c r="F2143" t="s">
        <v>129</v>
      </c>
      <c r="G2143" t="str">
        <f>"2025-03-13 15:07:16.904"</f>
        <v>2025-03-13 15:07:16.904</v>
      </c>
      <c r="H2143" t="s">
        <v>21</v>
      </c>
    </row>
    <row r="2144" spans="1:10" x14ac:dyDescent="0.25">
      <c r="A2144" s="1">
        <v>221</v>
      </c>
      <c r="B2144" t="s">
        <v>49</v>
      </c>
      <c r="C2144">
        <v>214</v>
      </c>
      <c r="D2144">
        <v>24</v>
      </c>
      <c r="E2144" t="s">
        <v>124</v>
      </c>
      <c r="F2144" t="s">
        <v>130</v>
      </c>
      <c r="G2144" t="str">
        <f>"2025-03-13 15:07:16.902"</f>
        <v>2025-03-13 15:07:16.902</v>
      </c>
      <c r="H2144" t="s">
        <v>21</v>
      </c>
    </row>
    <row r="2145" spans="1:10" x14ac:dyDescent="0.25">
      <c r="A2145" s="1">
        <v>222</v>
      </c>
      <c r="B2145" t="s">
        <v>49</v>
      </c>
      <c r="C2145">
        <v>214</v>
      </c>
      <c r="D2145">
        <v>22</v>
      </c>
      <c r="E2145" t="s">
        <v>124</v>
      </c>
      <c r="F2145" t="s">
        <v>131</v>
      </c>
      <c r="G2145" t="str">
        <f>"2025-03-13 15:07:16.897"</f>
        <v>2025-03-13 15:07:16.897</v>
      </c>
      <c r="H2145" t="s">
        <v>21</v>
      </c>
    </row>
    <row r="2146" spans="1:10" x14ac:dyDescent="0.25">
      <c r="A2146" s="1">
        <v>223</v>
      </c>
      <c r="B2146" t="s">
        <v>49</v>
      </c>
      <c r="C2146">
        <v>203</v>
      </c>
      <c r="D2146">
        <v>12</v>
      </c>
      <c r="E2146" t="s">
        <v>132</v>
      </c>
      <c r="F2146" t="s">
        <v>133</v>
      </c>
      <c r="G2146" t="str">
        <f>"2025-03-13 15:07:16.895"</f>
        <v>2025-03-13 15:07:16.895</v>
      </c>
      <c r="H2146" t="s">
        <v>21</v>
      </c>
    </row>
    <row r="2147" spans="1:10" x14ac:dyDescent="0.25">
      <c r="A2147" s="1">
        <v>224</v>
      </c>
      <c r="B2147" t="s">
        <v>27</v>
      </c>
      <c r="C2147">
        <v>75</v>
      </c>
      <c r="D2147">
        <v>1</v>
      </c>
      <c r="E2147" t="s">
        <v>136</v>
      </c>
      <c r="F2147" t="s">
        <v>137</v>
      </c>
      <c r="G2147" t="str">
        <f>"2025-03-13 15:07:14.701"</f>
        <v>2025-03-13 15:07:14.701</v>
      </c>
      <c r="H2147" t="s">
        <v>52</v>
      </c>
    </row>
    <row r="2148" spans="1:10" x14ac:dyDescent="0.25">
      <c r="A2148" s="1">
        <v>225</v>
      </c>
      <c r="B2148" t="s">
        <v>30</v>
      </c>
      <c r="C2148">
        <v>58</v>
      </c>
      <c r="D2148">
        <v>1</v>
      </c>
      <c r="E2148" t="s">
        <v>134</v>
      </c>
      <c r="F2148" t="s">
        <v>135</v>
      </c>
      <c r="G2148" t="str">
        <f>"2025-03-13 15:07:13.005"</f>
        <v>2025-03-13 15:07:13.005</v>
      </c>
      <c r="H2148" t="s">
        <v>52</v>
      </c>
      <c r="I2148">
        <v>0</v>
      </c>
      <c r="J2148" t="s">
        <v>25</v>
      </c>
    </row>
    <row r="2149" spans="1:10" x14ac:dyDescent="0.25">
      <c r="A2149" s="1">
        <v>226</v>
      </c>
      <c r="B2149" t="s">
        <v>39</v>
      </c>
      <c r="C2149">
        <v>203</v>
      </c>
      <c r="D2149">
        <v>12</v>
      </c>
      <c r="E2149" t="s">
        <v>132</v>
      </c>
      <c r="F2149" t="s">
        <v>133</v>
      </c>
      <c r="G2149" t="str">
        <f>"2025-03-13 15:07:11.856"</f>
        <v>2025-03-13 15:07:11.856</v>
      </c>
      <c r="H2149" t="s">
        <v>21</v>
      </c>
      <c r="I2149">
        <v>0</v>
      </c>
      <c r="J2149" t="s">
        <v>25</v>
      </c>
    </row>
    <row r="2150" spans="1:10" x14ac:dyDescent="0.25">
      <c r="A2150" s="1">
        <v>227</v>
      </c>
      <c r="B2150" t="s">
        <v>39</v>
      </c>
      <c r="C2150">
        <v>214</v>
      </c>
      <c r="D2150">
        <v>54</v>
      </c>
      <c r="E2150" t="s">
        <v>124</v>
      </c>
      <c r="F2150" t="s">
        <v>125</v>
      </c>
      <c r="G2150" t="str">
        <f>"2025-03-13 15:07:11.852"</f>
        <v>2025-03-13 15:07:11.852</v>
      </c>
      <c r="H2150" t="s">
        <v>21</v>
      </c>
      <c r="I2150">
        <v>0</v>
      </c>
      <c r="J2150" t="s">
        <v>25</v>
      </c>
    </row>
    <row r="2151" spans="1:10" x14ac:dyDescent="0.25">
      <c r="A2151" s="1">
        <v>228</v>
      </c>
      <c r="B2151" t="s">
        <v>39</v>
      </c>
      <c r="C2151">
        <v>214</v>
      </c>
      <c r="D2151">
        <v>52</v>
      </c>
      <c r="E2151" t="s">
        <v>124</v>
      </c>
      <c r="F2151" t="s">
        <v>126</v>
      </c>
      <c r="G2151" t="str">
        <f>"2025-03-13 15:07:11.847"</f>
        <v>2025-03-13 15:07:11.847</v>
      </c>
      <c r="H2151" t="s">
        <v>21</v>
      </c>
      <c r="I2151">
        <v>0</v>
      </c>
      <c r="J2151" t="s">
        <v>25</v>
      </c>
    </row>
    <row r="2152" spans="1:10" x14ac:dyDescent="0.25">
      <c r="A2152" s="1">
        <v>229</v>
      </c>
      <c r="B2152" t="s">
        <v>39</v>
      </c>
      <c r="C2152">
        <v>214</v>
      </c>
      <c r="D2152">
        <v>50</v>
      </c>
      <c r="E2152" t="s">
        <v>124</v>
      </c>
      <c r="F2152" t="s">
        <v>127</v>
      </c>
      <c r="G2152" t="str">
        <f>"2025-03-13 15:07:11.843"</f>
        <v>2025-03-13 15:07:11.843</v>
      </c>
      <c r="H2152" t="s">
        <v>21</v>
      </c>
      <c r="I2152">
        <v>0</v>
      </c>
      <c r="J2152" t="s">
        <v>25</v>
      </c>
    </row>
    <row r="2153" spans="1:10" x14ac:dyDescent="0.25">
      <c r="A2153" s="1">
        <v>230</v>
      </c>
      <c r="B2153" t="s">
        <v>39</v>
      </c>
      <c r="C2153">
        <v>214</v>
      </c>
      <c r="D2153">
        <v>38</v>
      </c>
      <c r="E2153" t="s">
        <v>124</v>
      </c>
      <c r="F2153" t="s">
        <v>128</v>
      </c>
      <c r="G2153" t="str">
        <f>"2025-03-13 15:07:11.839"</f>
        <v>2025-03-13 15:07:11.839</v>
      </c>
      <c r="H2153" t="s">
        <v>21</v>
      </c>
      <c r="I2153">
        <v>0</v>
      </c>
      <c r="J2153" t="s">
        <v>25</v>
      </c>
    </row>
    <row r="2154" spans="1:10" x14ac:dyDescent="0.25">
      <c r="A2154" s="1">
        <v>231</v>
      </c>
      <c r="B2154" t="s">
        <v>39</v>
      </c>
      <c r="C2154">
        <v>214</v>
      </c>
      <c r="D2154">
        <v>26</v>
      </c>
      <c r="E2154" t="s">
        <v>124</v>
      </c>
      <c r="F2154" t="s">
        <v>129</v>
      </c>
      <c r="G2154" t="str">
        <f>"2025-03-13 15:07:11.834"</f>
        <v>2025-03-13 15:07:11.834</v>
      </c>
      <c r="H2154" t="s">
        <v>21</v>
      </c>
      <c r="I2154">
        <v>0</v>
      </c>
      <c r="J2154" t="s">
        <v>25</v>
      </c>
    </row>
    <row r="2155" spans="1:10" x14ac:dyDescent="0.25">
      <c r="A2155" s="1">
        <v>232</v>
      </c>
      <c r="B2155" t="s">
        <v>39</v>
      </c>
      <c r="C2155">
        <v>214</v>
      </c>
      <c r="D2155">
        <v>24</v>
      </c>
      <c r="E2155" t="s">
        <v>124</v>
      </c>
      <c r="F2155" t="s">
        <v>130</v>
      </c>
      <c r="G2155" t="str">
        <f>"2025-03-13 15:07:11.830"</f>
        <v>2025-03-13 15:07:11.830</v>
      </c>
      <c r="H2155" t="s">
        <v>21</v>
      </c>
      <c r="I2155">
        <v>0</v>
      </c>
      <c r="J2155" t="s">
        <v>25</v>
      </c>
    </row>
    <row r="2156" spans="1:10" x14ac:dyDescent="0.25">
      <c r="A2156" s="1">
        <v>233</v>
      </c>
      <c r="B2156" t="s">
        <v>39</v>
      </c>
      <c r="C2156">
        <v>214</v>
      </c>
      <c r="D2156">
        <v>22</v>
      </c>
      <c r="E2156" t="s">
        <v>124</v>
      </c>
      <c r="F2156" t="s">
        <v>131</v>
      </c>
      <c r="G2156" t="str">
        <f>"2025-03-13 15:07:11.825"</f>
        <v>2025-03-13 15:07:11.825</v>
      </c>
      <c r="H2156" t="s">
        <v>21</v>
      </c>
      <c r="I2156">
        <v>0</v>
      </c>
      <c r="J2156" t="s">
        <v>25</v>
      </c>
    </row>
    <row r="2157" spans="1:10" x14ac:dyDescent="0.25">
      <c r="A2157" s="1">
        <v>234</v>
      </c>
      <c r="B2157" t="s">
        <v>49</v>
      </c>
      <c r="C2157">
        <v>214</v>
      </c>
      <c r="D2157">
        <v>54</v>
      </c>
      <c r="E2157" t="s">
        <v>124</v>
      </c>
      <c r="F2157" t="s">
        <v>125</v>
      </c>
      <c r="G2157" t="str">
        <f>"2025-03-13 15:07:10.713"</f>
        <v>2025-03-13 15:07:10.713</v>
      </c>
      <c r="H2157" t="s">
        <v>21</v>
      </c>
    </row>
    <row r="2158" spans="1:10" x14ac:dyDescent="0.25">
      <c r="A2158" s="1">
        <v>235</v>
      </c>
      <c r="B2158" t="s">
        <v>49</v>
      </c>
      <c r="C2158">
        <v>214</v>
      </c>
      <c r="D2158">
        <v>52</v>
      </c>
      <c r="E2158" t="s">
        <v>124</v>
      </c>
      <c r="F2158" t="s">
        <v>126</v>
      </c>
      <c r="G2158" t="str">
        <f>"2025-03-13 15:07:10.711"</f>
        <v>2025-03-13 15:07:10.711</v>
      </c>
      <c r="H2158" t="s">
        <v>21</v>
      </c>
    </row>
    <row r="2159" spans="1:10" x14ac:dyDescent="0.25">
      <c r="A2159" s="1">
        <v>236</v>
      </c>
      <c r="B2159" t="s">
        <v>49</v>
      </c>
      <c r="C2159">
        <v>214</v>
      </c>
      <c r="D2159">
        <v>50</v>
      </c>
      <c r="E2159" t="s">
        <v>124</v>
      </c>
      <c r="F2159" t="s">
        <v>127</v>
      </c>
      <c r="G2159" t="str">
        <f>"2025-03-13 15:07:10.707"</f>
        <v>2025-03-13 15:07:10.707</v>
      </c>
      <c r="H2159" t="s">
        <v>21</v>
      </c>
    </row>
    <row r="2160" spans="1:10" x14ac:dyDescent="0.25">
      <c r="A2160" s="1">
        <v>237</v>
      </c>
      <c r="B2160" t="s">
        <v>49</v>
      </c>
      <c r="C2160">
        <v>214</v>
      </c>
      <c r="D2160">
        <v>38</v>
      </c>
      <c r="E2160" t="s">
        <v>124</v>
      </c>
      <c r="F2160" t="s">
        <v>128</v>
      </c>
      <c r="G2160" t="str">
        <f>"2025-03-13 15:07:10.704"</f>
        <v>2025-03-13 15:07:10.704</v>
      </c>
      <c r="H2160" t="s">
        <v>21</v>
      </c>
    </row>
    <row r="2161" spans="1:10" x14ac:dyDescent="0.25">
      <c r="A2161" s="1">
        <v>238</v>
      </c>
      <c r="B2161" t="s">
        <v>49</v>
      </c>
      <c r="C2161">
        <v>214</v>
      </c>
      <c r="D2161">
        <v>26</v>
      </c>
      <c r="E2161" t="s">
        <v>124</v>
      </c>
      <c r="F2161" t="s">
        <v>129</v>
      </c>
      <c r="G2161" t="str">
        <f>"2025-03-13 15:07:10.703"</f>
        <v>2025-03-13 15:07:10.703</v>
      </c>
      <c r="H2161" t="s">
        <v>21</v>
      </c>
    </row>
    <row r="2162" spans="1:10" x14ac:dyDescent="0.25">
      <c r="A2162" s="1">
        <v>239</v>
      </c>
      <c r="B2162" t="s">
        <v>49</v>
      </c>
      <c r="C2162">
        <v>214</v>
      </c>
      <c r="D2162">
        <v>24</v>
      </c>
      <c r="E2162" t="s">
        <v>124</v>
      </c>
      <c r="F2162" t="s">
        <v>130</v>
      </c>
      <c r="G2162" t="str">
        <f>"2025-03-13 15:07:10.702"</f>
        <v>2025-03-13 15:07:10.702</v>
      </c>
      <c r="H2162" t="s">
        <v>21</v>
      </c>
    </row>
    <row r="2163" spans="1:10" x14ac:dyDescent="0.25">
      <c r="A2163" s="1">
        <v>240</v>
      </c>
      <c r="B2163" t="s">
        <v>49</v>
      </c>
      <c r="C2163">
        <v>214</v>
      </c>
      <c r="D2163">
        <v>22</v>
      </c>
      <c r="E2163" t="s">
        <v>124</v>
      </c>
      <c r="F2163" t="s">
        <v>131</v>
      </c>
      <c r="G2163" t="str">
        <f>"2025-03-13 15:07:10.700"</f>
        <v>2025-03-13 15:07:10.700</v>
      </c>
      <c r="H2163" t="s">
        <v>21</v>
      </c>
    </row>
    <row r="2164" spans="1:10" x14ac:dyDescent="0.25">
      <c r="A2164" s="1">
        <v>241</v>
      </c>
      <c r="B2164" t="s">
        <v>49</v>
      </c>
      <c r="C2164">
        <v>203</v>
      </c>
      <c r="D2164">
        <v>12</v>
      </c>
      <c r="E2164" t="s">
        <v>132</v>
      </c>
      <c r="F2164" t="s">
        <v>133</v>
      </c>
      <c r="G2164" t="str">
        <f>"2025-03-13 15:07:10.697"</f>
        <v>2025-03-13 15:07:10.697</v>
      </c>
      <c r="H2164" t="s">
        <v>21</v>
      </c>
    </row>
    <row r="2165" spans="1:10" x14ac:dyDescent="0.25">
      <c r="A2165" s="1">
        <v>242</v>
      </c>
      <c r="B2165" t="s">
        <v>19</v>
      </c>
      <c r="C2165">
        <v>776</v>
      </c>
      <c r="D2165">
        <v>1</v>
      </c>
      <c r="E2165" t="s">
        <v>69</v>
      </c>
      <c r="F2165" t="s">
        <v>71</v>
      </c>
      <c r="G2165" t="str">
        <f>"2025-03-13 15:07:06.285"</f>
        <v>2025-03-13 15:07:06.285</v>
      </c>
      <c r="H2165" t="s">
        <v>21</v>
      </c>
      <c r="I2165">
        <v>0</v>
      </c>
      <c r="J2165" t="s">
        <v>25</v>
      </c>
    </row>
    <row r="2166" spans="1:10" x14ac:dyDescent="0.25">
      <c r="A2166" s="1">
        <v>243</v>
      </c>
      <c r="B2166" t="s">
        <v>39</v>
      </c>
      <c r="C2166">
        <v>214</v>
      </c>
      <c r="D2166">
        <v>54</v>
      </c>
      <c r="E2166" t="s">
        <v>124</v>
      </c>
      <c r="F2166" t="s">
        <v>125</v>
      </c>
      <c r="G2166" t="str">
        <f>"2025-03-13 15:07:05.637"</f>
        <v>2025-03-13 15:07:05.637</v>
      </c>
      <c r="H2166" t="s">
        <v>21</v>
      </c>
      <c r="I2166">
        <v>0</v>
      </c>
      <c r="J2166" t="s">
        <v>25</v>
      </c>
    </row>
    <row r="2167" spans="1:10" x14ac:dyDescent="0.25">
      <c r="A2167" s="1">
        <v>244</v>
      </c>
      <c r="B2167" t="s">
        <v>39</v>
      </c>
      <c r="C2167">
        <v>214</v>
      </c>
      <c r="D2167">
        <v>52</v>
      </c>
      <c r="E2167" t="s">
        <v>124</v>
      </c>
      <c r="F2167" t="s">
        <v>126</v>
      </c>
      <c r="G2167" t="str">
        <f>"2025-03-13 15:07:05.633"</f>
        <v>2025-03-13 15:07:05.633</v>
      </c>
      <c r="H2167" t="s">
        <v>21</v>
      </c>
      <c r="I2167">
        <v>0</v>
      </c>
      <c r="J2167" t="s">
        <v>25</v>
      </c>
    </row>
    <row r="2168" spans="1:10" x14ac:dyDescent="0.25">
      <c r="A2168" s="1">
        <v>245</v>
      </c>
      <c r="B2168" t="s">
        <v>39</v>
      </c>
      <c r="C2168">
        <v>214</v>
      </c>
      <c r="D2168">
        <v>50</v>
      </c>
      <c r="E2168" t="s">
        <v>124</v>
      </c>
      <c r="F2168" t="s">
        <v>127</v>
      </c>
      <c r="G2168" t="str">
        <f>"2025-03-13 15:07:05.629"</f>
        <v>2025-03-13 15:07:05.629</v>
      </c>
      <c r="H2168" t="s">
        <v>21</v>
      </c>
      <c r="I2168">
        <v>0</v>
      </c>
      <c r="J2168" t="s">
        <v>25</v>
      </c>
    </row>
    <row r="2169" spans="1:10" x14ac:dyDescent="0.25">
      <c r="A2169" s="1">
        <v>246</v>
      </c>
      <c r="B2169" t="s">
        <v>39</v>
      </c>
      <c r="C2169">
        <v>214</v>
      </c>
      <c r="D2169">
        <v>38</v>
      </c>
      <c r="E2169" t="s">
        <v>124</v>
      </c>
      <c r="F2169" t="s">
        <v>128</v>
      </c>
      <c r="G2169" t="str">
        <f>"2025-03-13 15:07:05.624"</f>
        <v>2025-03-13 15:07:05.624</v>
      </c>
      <c r="H2169" t="s">
        <v>21</v>
      </c>
      <c r="I2169">
        <v>0</v>
      </c>
      <c r="J2169" t="s">
        <v>25</v>
      </c>
    </row>
    <row r="2170" spans="1:10" x14ac:dyDescent="0.25">
      <c r="A2170" s="1">
        <v>247</v>
      </c>
      <c r="B2170" t="s">
        <v>39</v>
      </c>
      <c r="C2170">
        <v>214</v>
      </c>
      <c r="D2170">
        <v>26</v>
      </c>
      <c r="E2170" t="s">
        <v>124</v>
      </c>
      <c r="F2170" t="s">
        <v>129</v>
      </c>
      <c r="G2170" t="str">
        <f>"2025-03-13 15:07:05.619"</f>
        <v>2025-03-13 15:07:05.619</v>
      </c>
      <c r="H2170" t="s">
        <v>21</v>
      </c>
      <c r="I2170">
        <v>0</v>
      </c>
      <c r="J2170" t="s">
        <v>25</v>
      </c>
    </row>
    <row r="2171" spans="1:10" x14ac:dyDescent="0.25">
      <c r="A2171" s="1">
        <v>248</v>
      </c>
      <c r="B2171" t="s">
        <v>39</v>
      </c>
      <c r="C2171">
        <v>214</v>
      </c>
      <c r="D2171">
        <v>24</v>
      </c>
      <c r="E2171" t="s">
        <v>124</v>
      </c>
      <c r="F2171" t="s">
        <v>130</v>
      </c>
      <c r="G2171" t="str">
        <f>"2025-03-13 15:07:05.614"</f>
        <v>2025-03-13 15:07:05.614</v>
      </c>
      <c r="H2171" t="s">
        <v>21</v>
      </c>
      <c r="I2171">
        <v>0</v>
      </c>
      <c r="J2171" t="s">
        <v>25</v>
      </c>
    </row>
    <row r="2172" spans="1:10" x14ac:dyDescent="0.25">
      <c r="A2172" s="1">
        <v>249</v>
      </c>
      <c r="B2172" t="s">
        <v>39</v>
      </c>
      <c r="C2172">
        <v>214</v>
      </c>
      <c r="D2172">
        <v>22</v>
      </c>
      <c r="E2172" t="s">
        <v>124</v>
      </c>
      <c r="F2172" t="s">
        <v>131</v>
      </c>
      <c r="G2172" t="str">
        <f>"2025-03-13 15:07:05.610"</f>
        <v>2025-03-13 15:07:05.610</v>
      </c>
      <c r="H2172" t="s">
        <v>21</v>
      </c>
      <c r="I2172">
        <v>0</v>
      </c>
      <c r="J2172" t="s">
        <v>25</v>
      </c>
    </row>
    <row r="2173" spans="1:10" x14ac:dyDescent="0.25">
      <c r="A2173" s="1">
        <v>250</v>
      </c>
      <c r="B2173" t="s">
        <v>39</v>
      </c>
      <c r="C2173">
        <v>203</v>
      </c>
      <c r="D2173">
        <v>12</v>
      </c>
      <c r="E2173" t="s">
        <v>132</v>
      </c>
      <c r="F2173" t="s">
        <v>133</v>
      </c>
      <c r="G2173" t="str">
        <f>"2025-03-13 15:07:05.605"</f>
        <v>2025-03-13 15:07:05.605</v>
      </c>
      <c r="H2173" t="s">
        <v>21</v>
      </c>
      <c r="I2173">
        <v>0</v>
      </c>
      <c r="J2173" t="s">
        <v>25</v>
      </c>
    </row>
    <row r="2174" spans="1:10" x14ac:dyDescent="0.25">
      <c r="A2174" s="1">
        <v>251</v>
      </c>
      <c r="B2174" t="s">
        <v>30</v>
      </c>
      <c r="C2174">
        <v>75</v>
      </c>
      <c r="D2174">
        <v>1</v>
      </c>
      <c r="E2174" t="s">
        <v>136</v>
      </c>
      <c r="F2174" t="s">
        <v>137</v>
      </c>
      <c r="G2174" t="str">
        <f>"2025-03-13 15:07:02.941"</f>
        <v>2025-03-13 15:07:02.941</v>
      </c>
      <c r="H2174" t="s">
        <v>52</v>
      </c>
      <c r="I2174">
        <v>0</v>
      </c>
      <c r="J2174" t="s">
        <v>25</v>
      </c>
    </row>
    <row r="2175" spans="1:10" x14ac:dyDescent="0.25">
      <c r="A2175" s="1">
        <v>252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"2025-03-13 15:06:55.427"</f>
        <v>2025-03-13 15:06:55.427</v>
      </c>
      <c r="H2175" t="s">
        <v>21</v>
      </c>
      <c r="I2175">
        <v>0</v>
      </c>
      <c r="J2175" t="s">
        <v>22</v>
      </c>
    </row>
    <row r="2176" spans="1:10" x14ac:dyDescent="0.25">
      <c r="A2176" s="1">
        <v>255</v>
      </c>
      <c r="B2176" t="s">
        <v>19</v>
      </c>
      <c r="C2176">
        <v>782</v>
      </c>
      <c r="D2176">
        <v>7</v>
      </c>
      <c r="E2176" t="s">
        <v>81</v>
      </c>
      <c r="F2176" t="s">
        <v>82</v>
      </c>
      <c r="G2176" t="str">
        <f>"2025-03-13 09:15:28.513"</f>
        <v>2025-03-13 09:15:28.513</v>
      </c>
      <c r="H2176" t="s">
        <v>21</v>
      </c>
      <c r="I2176">
        <v>0</v>
      </c>
      <c r="J2176" t="s">
        <v>25</v>
      </c>
    </row>
    <row r="2177" spans="1:10" x14ac:dyDescent="0.25">
      <c r="A2177" s="1">
        <v>258</v>
      </c>
      <c r="B2177" t="s">
        <v>27</v>
      </c>
      <c r="C2177">
        <v>136</v>
      </c>
      <c r="D2177">
        <v>6</v>
      </c>
      <c r="E2177" t="s">
        <v>138</v>
      </c>
      <c r="F2177" t="s">
        <v>139</v>
      </c>
      <c r="G2177" t="str">
        <f>"2025-03-13 09:15:28.506"</f>
        <v>2025-03-13 09:15:28.506</v>
      </c>
      <c r="H2177" t="s">
        <v>21</v>
      </c>
    </row>
    <row r="2178" spans="1:10" x14ac:dyDescent="0.25">
      <c r="A2178" s="1">
        <v>259</v>
      </c>
      <c r="B2178" t="s">
        <v>27</v>
      </c>
      <c r="C2178">
        <v>135</v>
      </c>
      <c r="D2178">
        <v>2</v>
      </c>
      <c r="E2178" t="s">
        <v>104</v>
      </c>
      <c r="F2178" t="s">
        <v>140</v>
      </c>
      <c r="G2178" t="str">
        <f>"2025-03-13 09:15:28.504"</f>
        <v>2025-03-13 09:15:28.504</v>
      </c>
      <c r="H2178" t="s">
        <v>57</v>
      </c>
    </row>
    <row r="2179" spans="1:10" x14ac:dyDescent="0.25">
      <c r="A2179" s="1">
        <v>260</v>
      </c>
      <c r="B2179" t="s">
        <v>19</v>
      </c>
      <c r="C2179">
        <v>782</v>
      </c>
      <c r="D2179">
        <v>7</v>
      </c>
      <c r="E2179" t="s">
        <v>81</v>
      </c>
      <c r="F2179" t="s">
        <v>82</v>
      </c>
      <c r="G2179" t="str">
        <f>"2025-03-13 09:15:28.503"</f>
        <v>2025-03-13 09:15:28.503</v>
      </c>
      <c r="H2179" t="s">
        <v>21</v>
      </c>
      <c r="I2179">
        <v>0</v>
      </c>
      <c r="J2179" t="s">
        <v>25</v>
      </c>
    </row>
    <row r="2180" spans="1:10" x14ac:dyDescent="0.25">
      <c r="A2180" s="1">
        <v>261</v>
      </c>
      <c r="B2180" t="s">
        <v>19</v>
      </c>
      <c r="C2180">
        <v>700</v>
      </c>
      <c r="D2180">
        <v>0</v>
      </c>
      <c r="E2180" t="s">
        <v>20</v>
      </c>
      <c r="F2180" t="s">
        <v>20</v>
      </c>
      <c r="G2180" t="str">
        <f>"2025-03-13 09:11:16.326"</f>
        <v>2025-03-13 09:11:16.326</v>
      </c>
      <c r="H2180" t="s">
        <v>21</v>
      </c>
    </row>
    <row r="2181" spans="1:10" x14ac:dyDescent="0.25">
      <c r="A2181" s="1">
        <v>262</v>
      </c>
      <c r="B2181" t="s">
        <v>19</v>
      </c>
      <c r="C2181">
        <v>700</v>
      </c>
      <c r="D2181">
        <v>0</v>
      </c>
      <c r="E2181" t="s">
        <v>20</v>
      </c>
      <c r="F2181" t="s">
        <v>20</v>
      </c>
      <c r="G2181" t="str">
        <f>"2025-03-13 08:54:04.326"</f>
        <v>2025-03-13 08:54:04.326</v>
      </c>
      <c r="H2181" t="s">
        <v>21</v>
      </c>
    </row>
    <row r="2182" spans="1:10" x14ac:dyDescent="0.25">
      <c r="A2182" s="1">
        <v>263</v>
      </c>
      <c r="B2182" t="s">
        <v>19</v>
      </c>
      <c r="C2182">
        <v>700</v>
      </c>
      <c r="D2182">
        <v>0</v>
      </c>
      <c r="E2182" t="s">
        <v>20</v>
      </c>
      <c r="F2182" t="s">
        <v>20</v>
      </c>
      <c r="G2182" t="str">
        <f>"2025-03-13 08:50:53.328"</f>
        <v>2025-03-13 08:50:53.328</v>
      </c>
      <c r="H2182" t="s">
        <v>21</v>
      </c>
    </row>
    <row r="2183" spans="1:10" x14ac:dyDescent="0.25">
      <c r="A2183" s="1">
        <v>264</v>
      </c>
      <c r="B2183" t="s">
        <v>49</v>
      </c>
      <c r="C2183">
        <v>77</v>
      </c>
      <c r="D2183">
        <v>1</v>
      </c>
      <c r="E2183" t="s">
        <v>141</v>
      </c>
      <c r="F2183" t="s">
        <v>142</v>
      </c>
      <c r="G2183" t="str">
        <f>"2025-03-13 08:42:50.839"</f>
        <v>2025-03-13 08:42:50.839</v>
      </c>
      <c r="H2183" t="s">
        <v>63</v>
      </c>
    </row>
    <row r="2184" spans="1:10" x14ac:dyDescent="0.25">
      <c r="A2184" s="1">
        <v>265</v>
      </c>
      <c r="B2184" t="s">
        <v>30</v>
      </c>
      <c r="C2184">
        <v>135</v>
      </c>
      <c r="D2184">
        <v>2</v>
      </c>
      <c r="E2184" t="s">
        <v>104</v>
      </c>
      <c r="F2184" t="s">
        <v>140</v>
      </c>
      <c r="G2184" t="str">
        <f>"2025-03-13 08:42:46.301"</f>
        <v>2025-03-13 08:42:46.301</v>
      </c>
      <c r="H2184" t="s">
        <v>57</v>
      </c>
      <c r="I2184">
        <v>0</v>
      </c>
      <c r="J2184" t="s">
        <v>25</v>
      </c>
    </row>
    <row r="2185" spans="1:10" x14ac:dyDescent="0.25">
      <c r="A2185" s="1">
        <v>266</v>
      </c>
      <c r="B2185" t="s">
        <v>39</v>
      </c>
      <c r="C2185">
        <v>77</v>
      </c>
      <c r="D2185">
        <v>1</v>
      </c>
      <c r="E2185" t="s">
        <v>141</v>
      </c>
      <c r="F2185" t="s">
        <v>142</v>
      </c>
      <c r="G2185" t="str">
        <f>"2025-03-13 08:42:45.745"</f>
        <v>2025-03-13 08:42:45.745</v>
      </c>
      <c r="H2185" t="s">
        <v>63</v>
      </c>
      <c r="I2185">
        <v>0</v>
      </c>
      <c r="J2185" t="s">
        <v>25</v>
      </c>
    </row>
    <row r="2186" spans="1:10" x14ac:dyDescent="0.25">
      <c r="A2186" s="1">
        <v>267</v>
      </c>
      <c r="B2186" t="s">
        <v>49</v>
      </c>
      <c r="C2186">
        <v>135</v>
      </c>
      <c r="D2186">
        <v>2</v>
      </c>
      <c r="E2186" t="s">
        <v>104</v>
      </c>
      <c r="F2186" t="s">
        <v>140</v>
      </c>
      <c r="G2186" t="str">
        <f>"2025-03-13 08:42:41.639"</f>
        <v>2025-03-13 08:42:41.639</v>
      </c>
      <c r="H2186" t="s">
        <v>57</v>
      </c>
    </row>
    <row r="2187" spans="1:10" x14ac:dyDescent="0.25">
      <c r="A2187" s="1">
        <v>268</v>
      </c>
      <c r="B2187" t="s">
        <v>49</v>
      </c>
      <c r="C2187">
        <v>77</v>
      </c>
      <c r="D2187">
        <v>1</v>
      </c>
      <c r="E2187" t="s">
        <v>141</v>
      </c>
      <c r="F2187" t="s">
        <v>142</v>
      </c>
      <c r="G2187" t="str">
        <f>"2025-03-13 08:42:41.439"</f>
        <v>2025-03-13 08:42:41.439</v>
      </c>
      <c r="H2187" t="s">
        <v>63</v>
      </c>
    </row>
    <row r="2188" spans="1:10" x14ac:dyDescent="0.25">
      <c r="A2188" s="1">
        <v>269</v>
      </c>
      <c r="B2188" t="s">
        <v>39</v>
      </c>
      <c r="C2188">
        <v>135</v>
      </c>
      <c r="D2188">
        <v>2</v>
      </c>
      <c r="E2188" t="s">
        <v>104</v>
      </c>
      <c r="F2188" t="s">
        <v>140</v>
      </c>
      <c r="G2188" t="str">
        <f>"2025-03-13 08:42:36.581"</f>
        <v>2025-03-13 08:42:36.581</v>
      </c>
      <c r="H2188" t="s">
        <v>57</v>
      </c>
      <c r="I2188">
        <v>0</v>
      </c>
      <c r="J2188" t="s">
        <v>25</v>
      </c>
    </row>
    <row r="2189" spans="1:10" x14ac:dyDescent="0.25">
      <c r="A2189" s="1">
        <v>270</v>
      </c>
      <c r="B2189" t="s">
        <v>39</v>
      </c>
      <c r="C2189">
        <v>77</v>
      </c>
      <c r="D2189">
        <v>1</v>
      </c>
      <c r="E2189" t="s">
        <v>141</v>
      </c>
      <c r="F2189" t="s">
        <v>142</v>
      </c>
      <c r="G2189" t="str">
        <f>"2025-03-13 08:42:36.345"</f>
        <v>2025-03-13 08:42:36.345</v>
      </c>
      <c r="H2189" t="s">
        <v>63</v>
      </c>
      <c r="I2189">
        <v>0</v>
      </c>
      <c r="J2189" t="s">
        <v>25</v>
      </c>
    </row>
    <row r="2190" spans="1:10" x14ac:dyDescent="0.25">
      <c r="A2190" s="1">
        <v>271</v>
      </c>
      <c r="B2190" t="s">
        <v>49</v>
      </c>
      <c r="C2190">
        <v>135</v>
      </c>
      <c r="D2190">
        <v>2</v>
      </c>
      <c r="E2190" t="s">
        <v>104</v>
      </c>
      <c r="F2190" t="s">
        <v>140</v>
      </c>
      <c r="G2190" t="str">
        <f>"2025-03-13 08:42:32.239"</f>
        <v>2025-03-13 08:42:32.239</v>
      </c>
      <c r="H2190" t="s">
        <v>57</v>
      </c>
    </row>
    <row r="2191" spans="1:10" x14ac:dyDescent="0.25">
      <c r="A2191" s="1">
        <v>272</v>
      </c>
      <c r="B2191" t="s">
        <v>49</v>
      </c>
      <c r="C2191">
        <v>77</v>
      </c>
      <c r="D2191">
        <v>1</v>
      </c>
      <c r="E2191" t="s">
        <v>141</v>
      </c>
      <c r="F2191" t="s">
        <v>142</v>
      </c>
      <c r="G2191" t="str">
        <f>"2025-03-13 08:42:32.039"</f>
        <v>2025-03-13 08:42:32.039</v>
      </c>
      <c r="H2191" t="s">
        <v>63</v>
      </c>
    </row>
    <row r="2192" spans="1:10" x14ac:dyDescent="0.25">
      <c r="A2192" s="1">
        <v>273</v>
      </c>
      <c r="B2192" t="s">
        <v>30</v>
      </c>
      <c r="C2192">
        <v>136</v>
      </c>
      <c r="D2192">
        <v>6</v>
      </c>
      <c r="E2192" t="s">
        <v>138</v>
      </c>
      <c r="F2192" t="s">
        <v>139</v>
      </c>
      <c r="G2192" t="str">
        <f>"2025-03-13 08:42:30.001"</f>
        <v>2025-03-13 08:42:30.001</v>
      </c>
      <c r="H2192" t="s">
        <v>21</v>
      </c>
      <c r="I2192">
        <v>0</v>
      </c>
      <c r="J2192" t="s">
        <v>25</v>
      </c>
    </row>
    <row r="2193" spans="1:10" x14ac:dyDescent="0.25">
      <c r="A2193" s="1">
        <v>274</v>
      </c>
      <c r="B2193" t="s">
        <v>49</v>
      </c>
      <c r="C2193">
        <v>136</v>
      </c>
      <c r="D2193">
        <v>6</v>
      </c>
      <c r="E2193" t="s">
        <v>138</v>
      </c>
      <c r="F2193" t="s">
        <v>139</v>
      </c>
      <c r="G2193" t="str">
        <f>"2025-03-13 08:42:29.839"</f>
        <v>2025-03-13 08:42:29.839</v>
      </c>
      <c r="H2193" t="s">
        <v>21</v>
      </c>
    </row>
    <row r="2194" spans="1:10" x14ac:dyDescent="0.25">
      <c r="A2194" s="1">
        <v>275</v>
      </c>
      <c r="B2194" t="s">
        <v>39</v>
      </c>
      <c r="C2194">
        <v>135</v>
      </c>
      <c r="D2194">
        <v>2</v>
      </c>
      <c r="E2194" t="s">
        <v>104</v>
      </c>
      <c r="F2194" t="s">
        <v>140</v>
      </c>
      <c r="G2194" t="str">
        <f>"2025-03-13 08:42:27.181"</f>
        <v>2025-03-13 08:42:27.181</v>
      </c>
      <c r="H2194" t="s">
        <v>57</v>
      </c>
      <c r="I2194">
        <v>0</v>
      </c>
      <c r="J2194" t="s">
        <v>25</v>
      </c>
    </row>
    <row r="2195" spans="1:10" x14ac:dyDescent="0.25">
      <c r="A2195" s="1">
        <v>276</v>
      </c>
      <c r="B2195" t="s">
        <v>39</v>
      </c>
      <c r="C2195">
        <v>77</v>
      </c>
      <c r="D2195">
        <v>1</v>
      </c>
      <c r="E2195" t="s">
        <v>141</v>
      </c>
      <c r="F2195" t="s">
        <v>142</v>
      </c>
      <c r="G2195" t="str">
        <f>"2025-03-13 08:42:26.945"</f>
        <v>2025-03-13 08:42:26.945</v>
      </c>
      <c r="H2195" t="s">
        <v>63</v>
      </c>
      <c r="I2195">
        <v>0</v>
      </c>
      <c r="J2195" t="s">
        <v>25</v>
      </c>
    </row>
    <row r="2196" spans="1:10" x14ac:dyDescent="0.25">
      <c r="A2196" s="1">
        <v>277</v>
      </c>
      <c r="B2196" t="s">
        <v>39</v>
      </c>
      <c r="C2196">
        <v>136</v>
      </c>
      <c r="D2196">
        <v>6</v>
      </c>
      <c r="E2196" t="s">
        <v>138</v>
      </c>
      <c r="F2196" t="s">
        <v>139</v>
      </c>
      <c r="G2196" t="str">
        <f>"2025-03-13 08:42:24.741"</f>
        <v>2025-03-13 08:42:24.741</v>
      </c>
      <c r="H2196" t="s">
        <v>21</v>
      </c>
      <c r="I2196">
        <v>0</v>
      </c>
      <c r="J2196" t="s">
        <v>25</v>
      </c>
    </row>
    <row r="2197" spans="1:10" x14ac:dyDescent="0.25">
      <c r="A2197" s="1">
        <v>278</v>
      </c>
      <c r="B2197" t="s">
        <v>49</v>
      </c>
      <c r="C2197">
        <v>136</v>
      </c>
      <c r="D2197">
        <v>6</v>
      </c>
      <c r="E2197" t="s">
        <v>138</v>
      </c>
      <c r="F2197" t="s">
        <v>139</v>
      </c>
      <c r="G2197" t="str">
        <f>"2025-03-13 08:42:24.439"</f>
        <v>2025-03-13 08:42:24.439</v>
      </c>
      <c r="H2197" t="s">
        <v>21</v>
      </c>
    </row>
    <row r="2198" spans="1:10" x14ac:dyDescent="0.25">
      <c r="A2198" s="1">
        <v>279</v>
      </c>
      <c r="B2198" t="s">
        <v>49</v>
      </c>
      <c r="C2198">
        <v>135</v>
      </c>
      <c r="D2198">
        <v>2</v>
      </c>
      <c r="E2198" t="s">
        <v>104</v>
      </c>
      <c r="F2198" t="s">
        <v>140</v>
      </c>
      <c r="G2198" t="str">
        <f>"2025-03-13 08:42:22.839"</f>
        <v>2025-03-13 08:42:22.839</v>
      </c>
      <c r="H2198" t="s">
        <v>57</v>
      </c>
    </row>
    <row r="2199" spans="1:10" x14ac:dyDescent="0.25">
      <c r="A2199" s="1">
        <v>280</v>
      </c>
      <c r="B2199" t="s">
        <v>49</v>
      </c>
      <c r="C2199">
        <v>77</v>
      </c>
      <c r="D2199">
        <v>1</v>
      </c>
      <c r="E2199" t="s">
        <v>141</v>
      </c>
      <c r="F2199" t="s">
        <v>142</v>
      </c>
      <c r="G2199" t="str">
        <f>"2025-03-13 08:42:22.639"</f>
        <v>2025-03-13 08:42:22.639</v>
      </c>
      <c r="H2199" t="s">
        <v>63</v>
      </c>
    </row>
    <row r="2200" spans="1:10" x14ac:dyDescent="0.25">
      <c r="A2200" s="1">
        <v>281</v>
      </c>
      <c r="B2200" t="s">
        <v>39</v>
      </c>
      <c r="C2200">
        <v>136</v>
      </c>
      <c r="D2200">
        <v>6</v>
      </c>
      <c r="E2200" t="s">
        <v>138</v>
      </c>
      <c r="F2200" t="s">
        <v>139</v>
      </c>
      <c r="G2200" t="str">
        <f>"2025-03-13 08:42:19.421"</f>
        <v>2025-03-13 08:42:19.421</v>
      </c>
      <c r="H2200" t="s">
        <v>21</v>
      </c>
      <c r="I2200">
        <v>0</v>
      </c>
      <c r="J2200" t="s">
        <v>25</v>
      </c>
    </row>
    <row r="2201" spans="1:10" x14ac:dyDescent="0.25">
      <c r="A2201" s="1">
        <v>282</v>
      </c>
      <c r="B2201" t="s">
        <v>49</v>
      </c>
      <c r="C2201">
        <v>136</v>
      </c>
      <c r="D2201">
        <v>6</v>
      </c>
      <c r="E2201" t="s">
        <v>138</v>
      </c>
      <c r="F2201" t="s">
        <v>139</v>
      </c>
      <c r="G2201" t="str">
        <f>"2025-03-13 08:42:19.239"</f>
        <v>2025-03-13 08:42:19.239</v>
      </c>
      <c r="H2201" t="s">
        <v>21</v>
      </c>
    </row>
    <row r="2202" spans="1:10" x14ac:dyDescent="0.25">
      <c r="A2202" s="1">
        <v>283</v>
      </c>
      <c r="B2202" t="s">
        <v>39</v>
      </c>
      <c r="C2202">
        <v>135</v>
      </c>
      <c r="D2202">
        <v>2</v>
      </c>
      <c r="E2202" t="s">
        <v>104</v>
      </c>
      <c r="F2202" t="s">
        <v>140</v>
      </c>
      <c r="G2202" t="str">
        <f>"2025-03-13 08:42:17.781"</f>
        <v>2025-03-13 08:42:17.781</v>
      </c>
      <c r="H2202" t="s">
        <v>57</v>
      </c>
      <c r="I2202">
        <v>0</v>
      </c>
      <c r="J2202" t="s">
        <v>25</v>
      </c>
    </row>
    <row r="2203" spans="1:10" x14ac:dyDescent="0.25">
      <c r="A2203" s="1">
        <v>284</v>
      </c>
      <c r="B2203" t="s">
        <v>39</v>
      </c>
      <c r="C2203">
        <v>77</v>
      </c>
      <c r="D2203">
        <v>1</v>
      </c>
      <c r="E2203" t="s">
        <v>141</v>
      </c>
      <c r="F2203" t="s">
        <v>142</v>
      </c>
      <c r="G2203" t="str">
        <f>"2025-03-13 08:42:17.546"</f>
        <v>2025-03-13 08:42:17.546</v>
      </c>
      <c r="H2203" t="s">
        <v>63</v>
      </c>
      <c r="I2203">
        <v>0</v>
      </c>
      <c r="J2203" t="s">
        <v>25</v>
      </c>
    </row>
    <row r="2204" spans="1:10" x14ac:dyDescent="0.25">
      <c r="A2204" s="1">
        <v>285</v>
      </c>
      <c r="B2204" t="s">
        <v>39</v>
      </c>
      <c r="C2204">
        <v>136</v>
      </c>
      <c r="D2204">
        <v>6</v>
      </c>
      <c r="E2204" t="s">
        <v>138</v>
      </c>
      <c r="F2204" t="s">
        <v>139</v>
      </c>
      <c r="G2204" t="str">
        <f>"2025-03-13 08:42:14.161"</f>
        <v>2025-03-13 08:42:14.161</v>
      </c>
      <c r="H2204" t="s">
        <v>21</v>
      </c>
      <c r="I2204">
        <v>0</v>
      </c>
      <c r="J2204" t="s">
        <v>25</v>
      </c>
    </row>
    <row r="2205" spans="1:10" x14ac:dyDescent="0.25">
      <c r="A2205" s="1">
        <v>286</v>
      </c>
      <c r="B2205" t="s">
        <v>19</v>
      </c>
      <c r="C2205">
        <v>700</v>
      </c>
      <c r="D2205">
        <v>0</v>
      </c>
      <c r="E2205" t="s">
        <v>20</v>
      </c>
      <c r="F2205" t="s">
        <v>20</v>
      </c>
      <c r="G2205" t="str">
        <f>"2025-03-13 08:42:04.317"</f>
        <v>2025-03-13 08:42:04.317</v>
      </c>
      <c r="H2205" t="s">
        <v>21</v>
      </c>
    </row>
    <row r="2206" spans="1:10" x14ac:dyDescent="0.25">
      <c r="A2206" s="1">
        <v>287</v>
      </c>
      <c r="B2206" t="s">
        <v>19</v>
      </c>
      <c r="C2206">
        <v>700</v>
      </c>
      <c r="D2206">
        <v>0</v>
      </c>
      <c r="E2206" t="s">
        <v>20</v>
      </c>
      <c r="F2206" t="s">
        <v>20</v>
      </c>
      <c r="G2206" t="str">
        <f>"2025-03-13 05:04:16.313"</f>
        <v>2025-03-13 05:04:16.313</v>
      </c>
      <c r="H2206" t="s">
        <v>21</v>
      </c>
    </row>
    <row r="2207" spans="1:10" x14ac:dyDescent="0.25">
      <c r="A2207" s="1">
        <v>288</v>
      </c>
      <c r="B2207" t="s">
        <v>49</v>
      </c>
      <c r="C2207">
        <v>137</v>
      </c>
      <c r="D2207">
        <v>4</v>
      </c>
      <c r="E2207" t="s">
        <v>74</v>
      </c>
      <c r="F2207" t="s">
        <v>54</v>
      </c>
      <c r="G2207" t="str">
        <f>"2025-03-13 04:21:20.257"</f>
        <v>2025-03-13 04:21:20.257</v>
      </c>
      <c r="H2207" t="s">
        <v>57</v>
      </c>
    </row>
    <row r="2208" spans="1:10" x14ac:dyDescent="0.25">
      <c r="A2208" s="1">
        <v>289</v>
      </c>
      <c r="B2208" t="s">
        <v>39</v>
      </c>
      <c r="C2208">
        <v>137</v>
      </c>
      <c r="D2208">
        <v>4</v>
      </c>
      <c r="E2208" t="s">
        <v>74</v>
      </c>
      <c r="F2208" t="s">
        <v>54</v>
      </c>
      <c r="G2208" t="str">
        <f>"2025-03-13 04:21:15.167"</f>
        <v>2025-03-13 04:21:15.167</v>
      </c>
      <c r="H2208" t="s">
        <v>57</v>
      </c>
      <c r="I2208">
        <v>7.2</v>
      </c>
      <c r="J2208" t="s">
        <v>34</v>
      </c>
    </row>
    <row r="2209" spans="1:10" x14ac:dyDescent="0.25">
      <c r="A2209" s="1">
        <v>290</v>
      </c>
      <c r="B2209" t="s">
        <v>27</v>
      </c>
      <c r="C2209">
        <v>98</v>
      </c>
      <c r="D2209">
        <v>1</v>
      </c>
      <c r="E2209" t="s">
        <v>40</v>
      </c>
      <c r="F2209" t="s">
        <v>41</v>
      </c>
      <c r="G2209" t="str">
        <f>"2025-03-13 04:20:35.864"</f>
        <v>2025-03-13 04:20:35.864</v>
      </c>
      <c r="H2209" t="s">
        <v>21</v>
      </c>
    </row>
    <row r="2210" spans="1:10" x14ac:dyDescent="0.25">
      <c r="A2210" s="1">
        <v>291</v>
      </c>
      <c r="B2210" t="s">
        <v>30</v>
      </c>
      <c r="C2210">
        <v>98</v>
      </c>
      <c r="D2210">
        <v>1</v>
      </c>
      <c r="E2210" t="s">
        <v>40</v>
      </c>
      <c r="F2210" t="s">
        <v>41</v>
      </c>
      <c r="G2210" t="str">
        <f>"2025-03-13 04:20:34.864"</f>
        <v>2025-03-13 04:20:34.864</v>
      </c>
      <c r="H2210" t="s">
        <v>21</v>
      </c>
      <c r="I2210">
        <v>3.82</v>
      </c>
      <c r="J2210" t="s">
        <v>34</v>
      </c>
    </row>
    <row r="2211" spans="1:10" x14ac:dyDescent="0.25">
      <c r="A2211" s="1">
        <v>292</v>
      </c>
      <c r="B2211" t="s">
        <v>19</v>
      </c>
      <c r="C2211">
        <v>776</v>
      </c>
      <c r="D2211">
        <v>1</v>
      </c>
      <c r="E2211" t="s">
        <v>69</v>
      </c>
      <c r="F2211" t="s">
        <v>71</v>
      </c>
      <c r="G2211" t="str">
        <f>"2025-03-13 04:04:20.647"</f>
        <v>2025-03-13 04:04:20.647</v>
      </c>
      <c r="H2211" t="s">
        <v>21</v>
      </c>
      <c r="I2211">
        <v>0</v>
      </c>
      <c r="J2211" t="s">
        <v>25</v>
      </c>
    </row>
    <row r="2212" spans="1:10" x14ac:dyDescent="0.25">
      <c r="A2212" s="1">
        <v>293</v>
      </c>
      <c r="B2212" t="s">
        <v>19</v>
      </c>
      <c r="C2212">
        <v>776</v>
      </c>
      <c r="D2212">
        <v>2</v>
      </c>
      <c r="E2212" t="s">
        <v>69</v>
      </c>
      <c r="F2212" t="s">
        <v>70</v>
      </c>
      <c r="G2212" t="str">
        <f>"2025-03-13 04:04:20.188"</f>
        <v>2025-03-13 04:04:20.188</v>
      </c>
      <c r="H2212" t="s">
        <v>21</v>
      </c>
      <c r="I2212">
        <v>0</v>
      </c>
      <c r="J2212" t="s">
        <v>25</v>
      </c>
    </row>
    <row r="2213" spans="1:10" x14ac:dyDescent="0.25">
      <c r="A2213" s="1">
        <v>294</v>
      </c>
      <c r="B2213" t="s">
        <v>19</v>
      </c>
      <c r="C2213">
        <v>700</v>
      </c>
      <c r="D2213">
        <v>0</v>
      </c>
      <c r="E2213" t="s">
        <v>20</v>
      </c>
      <c r="F2213" t="s">
        <v>20</v>
      </c>
      <c r="G2213" t="str">
        <f>"2025-03-13 04:04:12.323"</f>
        <v>2025-03-13 04:04:12.323</v>
      </c>
      <c r="H2213" t="s">
        <v>21</v>
      </c>
    </row>
    <row r="2214" spans="1:10" s="3" customFormat="1" x14ac:dyDescent="0.25">
      <c r="A2214" s="2">
        <v>295</v>
      </c>
      <c r="B2214" s="3" t="s">
        <v>27</v>
      </c>
      <c r="C2214" s="3">
        <v>647</v>
      </c>
      <c r="D2214" s="3">
        <v>1</v>
      </c>
      <c r="E2214" s="3" t="s">
        <v>28</v>
      </c>
      <c r="F2214" s="3" t="s">
        <v>29</v>
      </c>
      <c r="G2214" s="3" t="str">
        <f>"2025-03-13 03:40:27.028"</f>
        <v>2025-03-13 03:40:27.028</v>
      </c>
      <c r="H2214" s="3" t="s">
        <v>21</v>
      </c>
    </row>
    <row r="2215" spans="1:10" s="3" customFormat="1" x14ac:dyDescent="0.25">
      <c r="A2215" s="2">
        <v>296</v>
      </c>
      <c r="B2215" s="3" t="s">
        <v>30</v>
      </c>
      <c r="C2215" s="3">
        <v>647</v>
      </c>
      <c r="D2215" s="3">
        <v>1</v>
      </c>
      <c r="E2215" s="3" t="s">
        <v>28</v>
      </c>
      <c r="F2215" s="3" t="s">
        <v>29</v>
      </c>
      <c r="G2215" s="3" t="str">
        <f>"2025-03-13 03:40:23.828"</f>
        <v>2025-03-13 03:40:23.828</v>
      </c>
      <c r="H2215" s="3" t="s">
        <v>21</v>
      </c>
      <c r="I2215" s="3">
        <v>18.850000000000001</v>
      </c>
      <c r="J2215" s="3" t="s">
        <v>31</v>
      </c>
    </row>
    <row r="2216" spans="1:10" x14ac:dyDescent="0.25">
      <c r="A2216" s="1">
        <v>297</v>
      </c>
      <c r="B2216" t="s">
        <v>49</v>
      </c>
      <c r="C2216">
        <v>126</v>
      </c>
      <c r="D2216">
        <v>4</v>
      </c>
      <c r="E2216" t="s">
        <v>103</v>
      </c>
      <c r="F2216" t="s">
        <v>51</v>
      </c>
      <c r="G2216" t="str">
        <f>"2025-03-13 03:02:04.519"</f>
        <v>2025-03-13 03:02:04.519</v>
      </c>
      <c r="H2216" t="s">
        <v>57</v>
      </c>
    </row>
    <row r="2217" spans="1:10" x14ac:dyDescent="0.25">
      <c r="A2217" s="1">
        <v>298</v>
      </c>
      <c r="B2217" t="s">
        <v>39</v>
      </c>
      <c r="C2217">
        <v>126</v>
      </c>
      <c r="D2217">
        <v>4</v>
      </c>
      <c r="E2217" t="s">
        <v>103</v>
      </c>
      <c r="F2217" t="s">
        <v>51</v>
      </c>
      <c r="G2217" t="str">
        <f>"2025-03-13 03:01:59.454"</f>
        <v>2025-03-13 03:01:59.454</v>
      </c>
      <c r="H2217" t="s">
        <v>57</v>
      </c>
      <c r="I2217">
        <v>10.79</v>
      </c>
      <c r="J2217" t="s">
        <v>34</v>
      </c>
    </row>
    <row r="2218" spans="1:10" x14ac:dyDescent="0.25">
      <c r="A2218" s="1">
        <v>299</v>
      </c>
      <c r="B2218" t="s">
        <v>49</v>
      </c>
      <c r="C2218">
        <v>137</v>
      </c>
      <c r="D2218">
        <v>4</v>
      </c>
      <c r="E2218" t="s">
        <v>74</v>
      </c>
      <c r="F2218" t="s">
        <v>54</v>
      </c>
      <c r="G2218" t="str">
        <f>"2025-03-13 02:31:56.319"</f>
        <v>2025-03-13 02:31:56.319</v>
      </c>
      <c r="H2218" t="s">
        <v>57</v>
      </c>
    </row>
    <row r="2219" spans="1:10" x14ac:dyDescent="0.25">
      <c r="A2219" s="1">
        <v>300</v>
      </c>
      <c r="B2219" t="s">
        <v>39</v>
      </c>
      <c r="C2219">
        <v>137</v>
      </c>
      <c r="D2219">
        <v>4</v>
      </c>
      <c r="E2219" t="s">
        <v>74</v>
      </c>
      <c r="F2219" t="s">
        <v>54</v>
      </c>
      <c r="G2219" t="str">
        <f>"2025-03-13 02:31:51.314"</f>
        <v>2025-03-13 02:31:51.314</v>
      </c>
      <c r="H2219" t="s">
        <v>57</v>
      </c>
      <c r="I2219">
        <v>6.66</v>
      </c>
      <c r="J2219" t="s">
        <v>34</v>
      </c>
    </row>
    <row r="2220" spans="1:10" x14ac:dyDescent="0.25">
      <c r="A2220" s="1">
        <v>301</v>
      </c>
      <c r="B2220" t="s">
        <v>49</v>
      </c>
      <c r="C2220">
        <v>128</v>
      </c>
      <c r="D2220">
        <v>7</v>
      </c>
      <c r="E2220" t="s">
        <v>55</v>
      </c>
      <c r="F2220" t="s">
        <v>56</v>
      </c>
      <c r="G2220" t="str">
        <f>"2025-03-12 22:35:35.719"</f>
        <v>2025-03-12 22:35:35.719</v>
      </c>
      <c r="H2220" t="s">
        <v>57</v>
      </c>
    </row>
    <row r="2221" spans="1:10" x14ac:dyDescent="0.25">
      <c r="A2221" s="1">
        <v>302</v>
      </c>
      <c r="B2221" t="s">
        <v>39</v>
      </c>
      <c r="C2221">
        <v>128</v>
      </c>
      <c r="D2221">
        <v>7</v>
      </c>
      <c r="E2221" t="s">
        <v>55</v>
      </c>
      <c r="F2221" t="s">
        <v>56</v>
      </c>
      <c r="G2221" t="str">
        <f>"2025-03-12 22:35:30.694"</f>
        <v>2025-03-12 22:35:30.694</v>
      </c>
      <c r="H2221" t="s">
        <v>57</v>
      </c>
      <c r="I2221">
        <v>3.53</v>
      </c>
      <c r="J2221" t="s">
        <v>34</v>
      </c>
    </row>
    <row r="2222" spans="1:10" x14ac:dyDescent="0.25">
      <c r="A2222" s="1">
        <v>303</v>
      </c>
      <c r="B2222" t="s">
        <v>49</v>
      </c>
      <c r="C2222">
        <v>137</v>
      </c>
      <c r="D2222">
        <v>4</v>
      </c>
      <c r="E2222" t="s">
        <v>74</v>
      </c>
      <c r="F2222" t="s">
        <v>54</v>
      </c>
      <c r="G2222" t="str">
        <f>"2025-03-12 22:05:47.319"</f>
        <v>2025-03-12 22:05:47.319</v>
      </c>
      <c r="H2222" t="s">
        <v>57</v>
      </c>
    </row>
    <row r="2223" spans="1:10" x14ac:dyDescent="0.25">
      <c r="A2223" s="1">
        <v>304</v>
      </c>
      <c r="B2223" t="s">
        <v>39</v>
      </c>
      <c r="C2223">
        <v>137</v>
      </c>
      <c r="D2223">
        <v>4</v>
      </c>
      <c r="E2223" t="s">
        <v>74</v>
      </c>
      <c r="F2223" t="s">
        <v>54</v>
      </c>
      <c r="G2223" t="str">
        <f>"2025-03-12 22:05:42.314"</f>
        <v>2025-03-12 22:05:42.314</v>
      </c>
      <c r="H2223" t="s">
        <v>57</v>
      </c>
      <c r="I2223">
        <v>27.16</v>
      </c>
      <c r="J2223" t="s">
        <v>31</v>
      </c>
    </row>
    <row r="2224" spans="1:10" x14ac:dyDescent="0.25">
      <c r="A2224" s="1">
        <v>305</v>
      </c>
      <c r="B2224" t="s">
        <v>49</v>
      </c>
      <c r="C2224">
        <v>126</v>
      </c>
      <c r="D2224">
        <v>7</v>
      </c>
      <c r="E2224" t="s">
        <v>103</v>
      </c>
      <c r="F2224" t="s">
        <v>58</v>
      </c>
      <c r="G2224" t="str">
        <f>"2025-03-12 18:24:30.519"</f>
        <v>2025-03-12 18:24:30.519</v>
      </c>
      <c r="H2224" t="s">
        <v>57</v>
      </c>
    </row>
    <row r="2225" spans="1:10" x14ac:dyDescent="0.25">
      <c r="A2225" s="1">
        <v>306</v>
      </c>
      <c r="B2225" t="s">
        <v>39</v>
      </c>
      <c r="C2225">
        <v>126</v>
      </c>
      <c r="D2225">
        <v>7</v>
      </c>
      <c r="E2225" t="s">
        <v>103</v>
      </c>
      <c r="F2225" t="s">
        <v>58</v>
      </c>
      <c r="G2225" t="str">
        <f>"2025-03-12 18:24:25.454"</f>
        <v>2025-03-12 18:24:25.454</v>
      </c>
      <c r="H2225" t="s">
        <v>57</v>
      </c>
      <c r="I2225">
        <v>7.86</v>
      </c>
      <c r="J2225" t="s">
        <v>34</v>
      </c>
    </row>
    <row r="2226" spans="1:10" x14ac:dyDescent="0.25">
      <c r="A2226" s="1">
        <v>307</v>
      </c>
      <c r="B2226" t="s">
        <v>35</v>
      </c>
      <c r="C2226">
        <v>128</v>
      </c>
      <c r="D2226">
        <v>4</v>
      </c>
      <c r="E2226" t="s">
        <v>55</v>
      </c>
      <c r="F2226" t="s">
        <v>51</v>
      </c>
      <c r="G2226" t="str">
        <f>"2025-03-12 17:16:26.780"</f>
        <v>2025-03-12 17:16:26.780</v>
      </c>
      <c r="H2226" t="s">
        <v>57</v>
      </c>
    </row>
    <row r="2227" spans="1:10" x14ac:dyDescent="0.25">
      <c r="A2227" s="1">
        <v>308</v>
      </c>
      <c r="B2227" t="s">
        <v>39</v>
      </c>
      <c r="C2227">
        <v>128</v>
      </c>
      <c r="D2227">
        <v>4</v>
      </c>
      <c r="E2227" t="s">
        <v>55</v>
      </c>
      <c r="F2227" t="s">
        <v>51</v>
      </c>
      <c r="G2227" t="str">
        <f>"2025-03-12 17:16:24.074"</f>
        <v>2025-03-12 17:16:24.074</v>
      </c>
      <c r="H2227" t="s">
        <v>57</v>
      </c>
      <c r="I2227">
        <v>2.5099999999999998</v>
      </c>
      <c r="J2227" t="s">
        <v>31</v>
      </c>
    </row>
    <row r="2228" spans="1:10" s="3" customFormat="1" x14ac:dyDescent="0.25">
      <c r="A2228" s="2">
        <v>309</v>
      </c>
      <c r="B2228" s="3" t="s">
        <v>27</v>
      </c>
      <c r="C2228" s="3">
        <v>647</v>
      </c>
      <c r="D2228" s="3">
        <v>1</v>
      </c>
      <c r="E2228" s="3" t="s">
        <v>28</v>
      </c>
      <c r="F2228" s="3" t="s">
        <v>29</v>
      </c>
      <c r="G2228" s="3" t="str">
        <f>"2025-03-12 14:04:47.328"</f>
        <v>2025-03-12 14:04:47.328</v>
      </c>
      <c r="H2228" s="3" t="s">
        <v>21</v>
      </c>
    </row>
    <row r="2229" spans="1:10" s="3" customFormat="1" x14ac:dyDescent="0.25">
      <c r="A2229" s="2">
        <v>310</v>
      </c>
      <c r="B2229" s="3" t="s">
        <v>30</v>
      </c>
      <c r="C2229" s="3">
        <v>647</v>
      </c>
      <c r="D2229" s="3">
        <v>1</v>
      </c>
      <c r="E2229" s="3" t="s">
        <v>28</v>
      </c>
      <c r="F2229" s="3" t="s">
        <v>29</v>
      </c>
      <c r="G2229" s="3" t="str">
        <f>"2025-03-12 14:04:43.628"</f>
        <v>2025-03-12 14:04:43.628</v>
      </c>
      <c r="H2229" s="3" t="s">
        <v>21</v>
      </c>
      <c r="I2229" s="3">
        <v>16.5</v>
      </c>
      <c r="J2229" s="3" t="s">
        <v>31</v>
      </c>
    </row>
    <row r="2230" spans="1:10" x14ac:dyDescent="0.25">
      <c r="A2230" s="1">
        <v>311</v>
      </c>
      <c r="B2230" t="s">
        <v>19</v>
      </c>
      <c r="C2230">
        <v>706</v>
      </c>
      <c r="D2230">
        <v>4</v>
      </c>
      <c r="E2230" t="s">
        <v>23</v>
      </c>
      <c r="F2230" t="s">
        <v>26</v>
      </c>
      <c r="G2230" t="str">
        <f>"2025-03-12 11:39:11.047"</f>
        <v>2025-03-12 11:39:11.047</v>
      </c>
      <c r="H2230" t="s">
        <v>21</v>
      </c>
      <c r="I2230">
        <v>0</v>
      </c>
      <c r="J2230" t="s">
        <v>25</v>
      </c>
    </row>
    <row r="2231" spans="1:10" x14ac:dyDescent="0.25">
      <c r="A2231" s="1">
        <v>312</v>
      </c>
      <c r="B2231" t="s">
        <v>19</v>
      </c>
      <c r="C2231">
        <v>706</v>
      </c>
      <c r="D2231">
        <v>4</v>
      </c>
      <c r="E2231" t="s">
        <v>23</v>
      </c>
      <c r="F2231" t="s">
        <v>26</v>
      </c>
      <c r="G2231" t="str">
        <f>"2025-03-12 11:23:27.777"</f>
        <v>2025-03-12 11:23:27.777</v>
      </c>
      <c r="H2231" t="s">
        <v>21</v>
      </c>
      <c r="I2231">
        <v>0</v>
      </c>
      <c r="J2231" t="s">
        <v>25</v>
      </c>
    </row>
    <row r="2232" spans="1:10" x14ac:dyDescent="0.25">
      <c r="A2232" s="1">
        <v>313</v>
      </c>
      <c r="B2232" t="s">
        <v>19</v>
      </c>
      <c r="C2232">
        <v>776</v>
      </c>
      <c r="D2232">
        <v>1</v>
      </c>
      <c r="E2232" t="s">
        <v>69</v>
      </c>
      <c r="F2232" t="s">
        <v>71</v>
      </c>
      <c r="G2232" t="str">
        <f>"2025-03-12 11:06:34.854"</f>
        <v>2025-03-12 11:06:34.854</v>
      </c>
      <c r="H2232" t="s">
        <v>21</v>
      </c>
      <c r="I2232">
        <v>0</v>
      </c>
      <c r="J2232" t="s">
        <v>25</v>
      </c>
    </row>
    <row r="2233" spans="1:10" x14ac:dyDescent="0.25">
      <c r="A2233" s="1">
        <v>314</v>
      </c>
      <c r="B2233" t="s">
        <v>19</v>
      </c>
      <c r="C2233">
        <v>776</v>
      </c>
      <c r="D2233">
        <v>2</v>
      </c>
      <c r="E2233" t="s">
        <v>69</v>
      </c>
      <c r="F2233" t="s">
        <v>70</v>
      </c>
      <c r="G2233" t="str">
        <f>"2025-03-12 11:06:34.795"</f>
        <v>2025-03-12 11:06:34.795</v>
      </c>
      <c r="H2233" t="s">
        <v>21</v>
      </c>
      <c r="I2233">
        <v>0</v>
      </c>
      <c r="J2233" t="s">
        <v>25</v>
      </c>
    </row>
    <row r="2234" spans="1:10" x14ac:dyDescent="0.25">
      <c r="A2234" s="1">
        <v>315</v>
      </c>
      <c r="B2234" t="s">
        <v>19</v>
      </c>
      <c r="C2234">
        <v>700</v>
      </c>
      <c r="D2234">
        <v>0</v>
      </c>
      <c r="E2234" t="s">
        <v>20</v>
      </c>
      <c r="F2234" t="s">
        <v>20</v>
      </c>
      <c r="G2234" t="str">
        <f>"2025-03-12 11:06:27.317"</f>
        <v>2025-03-12 11:06:27.317</v>
      </c>
      <c r="H2234" t="s">
        <v>21</v>
      </c>
      <c r="I2234">
        <v>0</v>
      </c>
      <c r="J2234" t="s">
        <v>22</v>
      </c>
    </row>
    <row r="2235" spans="1:10" x14ac:dyDescent="0.25">
      <c r="A2235" s="1">
        <v>316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"2025-03-12 10:12:49.321"</f>
        <v>2025-03-12 10:12:49.321</v>
      </c>
      <c r="H2235" t="s">
        <v>21</v>
      </c>
    </row>
    <row r="2236" spans="1:10" x14ac:dyDescent="0.25">
      <c r="A2236" s="1">
        <v>317</v>
      </c>
      <c r="B2236" t="s">
        <v>49</v>
      </c>
      <c r="C2236">
        <v>137</v>
      </c>
      <c r="D2236">
        <v>4</v>
      </c>
      <c r="E2236" t="s">
        <v>74</v>
      </c>
      <c r="F2236" t="s">
        <v>54</v>
      </c>
      <c r="G2236" t="str">
        <f>"2025-03-12 09:00:45.297"</f>
        <v>2025-03-12 09:00:45.297</v>
      </c>
      <c r="H2236" t="s">
        <v>57</v>
      </c>
    </row>
    <row r="2237" spans="1:10" x14ac:dyDescent="0.25">
      <c r="A2237" s="1">
        <v>318</v>
      </c>
      <c r="B2237" t="s">
        <v>39</v>
      </c>
      <c r="C2237">
        <v>137</v>
      </c>
      <c r="D2237">
        <v>4</v>
      </c>
      <c r="E2237" t="s">
        <v>74</v>
      </c>
      <c r="F2237" t="s">
        <v>54</v>
      </c>
      <c r="G2237" t="str">
        <f>"2025-03-12 09:00:40.261"</f>
        <v>2025-03-12 09:00:40.261</v>
      </c>
      <c r="H2237" t="s">
        <v>57</v>
      </c>
      <c r="I2237">
        <v>18.2</v>
      </c>
      <c r="J2237" t="s">
        <v>34</v>
      </c>
    </row>
    <row r="2238" spans="1:10" x14ac:dyDescent="0.25">
      <c r="A2238" s="1">
        <v>319</v>
      </c>
      <c r="B2238" t="s">
        <v>49</v>
      </c>
      <c r="C2238">
        <v>119</v>
      </c>
      <c r="D2238">
        <v>4</v>
      </c>
      <c r="E2238" t="s">
        <v>101</v>
      </c>
      <c r="F2238" t="s">
        <v>102</v>
      </c>
      <c r="G2238" t="str">
        <f>"2025-03-12 08:30:49.197"</f>
        <v>2025-03-12 08:30:49.197</v>
      </c>
      <c r="H2238" t="s">
        <v>57</v>
      </c>
    </row>
    <row r="2239" spans="1:10" x14ac:dyDescent="0.25">
      <c r="A2239" s="1">
        <v>320</v>
      </c>
      <c r="B2239" t="s">
        <v>39</v>
      </c>
      <c r="C2239">
        <v>119</v>
      </c>
      <c r="D2239">
        <v>4</v>
      </c>
      <c r="E2239" t="s">
        <v>101</v>
      </c>
      <c r="F2239" t="s">
        <v>102</v>
      </c>
      <c r="G2239" t="str">
        <f>"2025-03-12 08:30:44.121"</f>
        <v>2025-03-12 08:30:44.121</v>
      </c>
      <c r="H2239" t="s">
        <v>57</v>
      </c>
      <c r="I2239">
        <v>26.37</v>
      </c>
      <c r="J2239" t="s">
        <v>42</v>
      </c>
    </row>
    <row r="2240" spans="1:10" x14ac:dyDescent="0.25">
      <c r="A2240" s="1">
        <v>321</v>
      </c>
      <c r="B2240" t="s">
        <v>49</v>
      </c>
      <c r="C2240">
        <v>137</v>
      </c>
      <c r="D2240">
        <v>4</v>
      </c>
      <c r="E2240" t="s">
        <v>74</v>
      </c>
      <c r="F2240" t="s">
        <v>54</v>
      </c>
      <c r="G2240" t="str">
        <f>"2025-03-12 07:00:52.297"</f>
        <v>2025-03-12 07:00:52.297</v>
      </c>
      <c r="H2240" t="s">
        <v>57</v>
      </c>
    </row>
    <row r="2241" spans="1:10" x14ac:dyDescent="0.25">
      <c r="A2241" s="1">
        <v>322</v>
      </c>
      <c r="B2241" t="s">
        <v>39</v>
      </c>
      <c r="C2241">
        <v>137</v>
      </c>
      <c r="D2241">
        <v>4</v>
      </c>
      <c r="E2241" t="s">
        <v>74</v>
      </c>
      <c r="F2241" t="s">
        <v>54</v>
      </c>
      <c r="G2241" t="str">
        <f>"2025-03-12 07:00:47.281"</f>
        <v>2025-03-12 07:00:47.281</v>
      </c>
      <c r="H2241" t="s">
        <v>57</v>
      </c>
      <c r="I2241">
        <v>0</v>
      </c>
      <c r="J2241" t="s">
        <v>42</v>
      </c>
    </row>
    <row r="2242" spans="1:10" x14ac:dyDescent="0.25">
      <c r="A2242" s="1">
        <v>323</v>
      </c>
      <c r="B2242" t="s">
        <v>49</v>
      </c>
      <c r="C2242">
        <v>126</v>
      </c>
      <c r="D2242">
        <v>4</v>
      </c>
      <c r="E2242" t="s">
        <v>103</v>
      </c>
      <c r="F2242" t="s">
        <v>51</v>
      </c>
      <c r="G2242" t="str">
        <f>"2025-03-12 05:30:45.997"</f>
        <v>2025-03-12 05:30:45.997</v>
      </c>
      <c r="H2242" t="s">
        <v>57</v>
      </c>
    </row>
    <row r="2243" spans="1:10" x14ac:dyDescent="0.25">
      <c r="A2243" s="1">
        <v>324</v>
      </c>
      <c r="B2243" t="s">
        <v>39</v>
      </c>
      <c r="C2243">
        <v>126</v>
      </c>
      <c r="D2243">
        <v>4</v>
      </c>
      <c r="E2243" t="s">
        <v>103</v>
      </c>
      <c r="F2243" t="s">
        <v>51</v>
      </c>
      <c r="G2243" t="str">
        <f>"2025-03-12 05:30:40.921"</f>
        <v>2025-03-12 05:30:40.921</v>
      </c>
      <c r="H2243" t="s">
        <v>57</v>
      </c>
      <c r="I2243">
        <v>0</v>
      </c>
      <c r="J2243" t="s">
        <v>42</v>
      </c>
    </row>
    <row r="2244" spans="1:10" s="3" customFormat="1" x14ac:dyDescent="0.25">
      <c r="A2244" s="2">
        <v>325</v>
      </c>
      <c r="B2244" s="3" t="s">
        <v>27</v>
      </c>
      <c r="C2244" s="3">
        <v>647</v>
      </c>
      <c r="D2244" s="3">
        <v>1</v>
      </c>
      <c r="E2244" s="3" t="s">
        <v>28</v>
      </c>
      <c r="F2244" s="3" t="s">
        <v>29</v>
      </c>
      <c r="G2244" s="3" t="str">
        <f>"2025-03-12 05:14:40.019"</f>
        <v>2025-03-12 05:14:40.019</v>
      </c>
      <c r="H2244" s="3" t="s">
        <v>21</v>
      </c>
    </row>
    <row r="2245" spans="1:10" s="3" customFormat="1" x14ac:dyDescent="0.25">
      <c r="A2245" s="2">
        <v>326</v>
      </c>
      <c r="B2245" s="3" t="s">
        <v>30</v>
      </c>
      <c r="C2245" s="3">
        <v>647</v>
      </c>
      <c r="D2245" s="3">
        <v>1</v>
      </c>
      <c r="E2245" s="3" t="s">
        <v>28</v>
      </c>
      <c r="F2245" s="3" t="s">
        <v>29</v>
      </c>
      <c r="G2245" s="3" t="str">
        <f>"2025-03-12 05:14:35.319"</f>
        <v>2025-03-12 05:14:35.319</v>
      </c>
      <c r="H2245" s="3" t="s">
        <v>21</v>
      </c>
      <c r="I2245" s="3">
        <v>16.77</v>
      </c>
      <c r="J2245" s="3" t="s">
        <v>31</v>
      </c>
    </row>
    <row r="2246" spans="1:10" s="3" customFormat="1" x14ac:dyDescent="0.25">
      <c r="A2246" s="2">
        <v>327</v>
      </c>
      <c r="B2246" s="3" t="s">
        <v>27</v>
      </c>
      <c r="C2246" s="3">
        <v>647</v>
      </c>
      <c r="D2246" s="3">
        <v>1</v>
      </c>
      <c r="E2246" s="3" t="s">
        <v>28</v>
      </c>
      <c r="F2246" s="3" t="s">
        <v>29</v>
      </c>
      <c r="G2246" s="3" t="str">
        <f>"2025-03-12 05:13:16.619"</f>
        <v>2025-03-12 05:13:16.619</v>
      </c>
      <c r="H2246" s="3" t="s">
        <v>21</v>
      </c>
    </row>
    <row r="2247" spans="1:10" s="3" customFormat="1" x14ac:dyDescent="0.25">
      <c r="A2247" s="2">
        <v>328</v>
      </c>
      <c r="B2247" s="3" t="s">
        <v>30</v>
      </c>
      <c r="C2247" s="3">
        <v>647</v>
      </c>
      <c r="D2247" s="3">
        <v>1</v>
      </c>
      <c r="E2247" s="3" t="s">
        <v>28</v>
      </c>
      <c r="F2247" s="3" t="s">
        <v>29</v>
      </c>
      <c r="G2247" s="3" t="str">
        <f>"2025-03-12 05:13:12.519"</f>
        <v>2025-03-12 05:13:12.519</v>
      </c>
      <c r="H2247" s="3" t="s">
        <v>21</v>
      </c>
      <c r="I2247" s="3">
        <v>10.53</v>
      </c>
      <c r="J2247" s="3" t="s">
        <v>31</v>
      </c>
    </row>
    <row r="2248" spans="1:10" x14ac:dyDescent="0.25">
      <c r="A2248" s="1">
        <v>329</v>
      </c>
      <c r="B2248" t="s">
        <v>49</v>
      </c>
      <c r="C2248">
        <v>119</v>
      </c>
      <c r="D2248">
        <v>4</v>
      </c>
      <c r="E2248" t="s">
        <v>101</v>
      </c>
      <c r="F2248" t="s">
        <v>102</v>
      </c>
      <c r="G2248" t="str">
        <f>"2025-03-12 04:25:39.898"</f>
        <v>2025-03-12 04:25:39.898</v>
      </c>
      <c r="H2248" t="s">
        <v>57</v>
      </c>
    </row>
    <row r="2249" spans="1:10" x14ac:dyDescent="0.25">
      <c r="A2249" s="1">
        <v>330</v>
      </c>
      <c r="B2249" t="s">
        <v>39</v>
      </c>
      <c r="C2249">
        <v>119</v>
      </c>
      <c r="D2249">
        <v>4</v>
      </c>
      <c r="E2249" t="s">
        <v>101</v>
      </c>
      <c r="F2249" t="s">
        <v>102</v>
      </c>
      <c r="G2249" t="str">
        <f>"2025-03-12 04:25:34.881"</f>
        <v>2025-03-12 04:25:34.881</v>
      </c>
      <c r="H2249" t="s">
        <v>57</v>
      </c>
      <c r="I2249">
        <v>0</v>
      </c>
      <c r="J2249" t="s">
        <v>42</v>
      </c>
    </row>
    <row r="2250" spans="1:10" x14ac:dyDescent="0.25">
      <c r="A2250" s="1">
        <v>331</v>
      </c>
      <c r="B2250" t="s">
        <v>49</v>
      </c>
      <c r="C2250">
        <v>137</v>
      </c>
      <c r="D2250">
        <v>4</v>
      </c>
      <c r="E2250" t="s">
        <v>74</v>
      </c>
      <c r="F2250" t="s">
        <v>54</v>
      </c>
      <c r="G2250" t="str">
        <f>"2025-03-12 04:17:16.497"</f>
        <v>2025-03-12 04:17:16.497</v>
      </c>
      <c r="H2250" t="s">
        <v>57</v>
      </c>
    </row>
    <row r="2251" spans="1:10" x14ac:dyDescent="0.25">
      <c r="A2251" s="1">
        <v>332</v>
      </c>
      <c r="B2251" t="s">
        <v>39</v>
      </c>
      <c r="C2251">
        <v>137</v>
      </c>
      <c r="D2251">
        <v>4</v>
      </c>
      <c r="E2251" t="s">
        <v>74</v>
      </c>
      <c r="F2251" t="s">
        <v>54</v>
      </c>
      <c r="G2251" t="str">
        <f>"2025-03-12 04:17:11.401"</f>
        <v>2025-03-12 04:17:11.401</v>
      </c>
      <c r="H2251" t="s">
        <v>57</v>
      </c>
      <c r="I2251">
        <v>19.850000000000001</v>
      </c>
      <c r="J2251" t="s">
        <v>34</v>
      </c>
    </row>
    <row r="2252" spans="1:10" x14ac:dyDescent="0.25">
      <c r="A2252" s="1">
        <v>333</v>
      </c>
      <c r="B2252" t="s">
        <v>49</v>
      </c>
      <c r="C2252">
        <v>119</v>
      </c>
      <c r="D2252">
        <v>4</v>
      </c>
      <c r="E2252" t="s">
        <v>101</v>
      </c>
      <c r="F2252" t="s">
        <v>102</v>
      </c>
      <c r="G2252" t="str">
        <f>"2025-03-12 01:23:53.997"</f>
        <v>2025-03-12 01:23:53.997</v>
      </c>
      <c r="H2252" t="s">
        <v>57</v>
      </c>
    </row>
    <row r="2253" spans="1:10" x14ac:dyDescent="0.25">
      <c r="A2253" s="1">
        <v>334</v>
      </c>
      <c r="B2253" t="s">
        <v>39</v>
      </c>
      <c r="C2253">
        <v>119</v>
      </c>
      <c r="D2253">
        <v>4</v>
      </c>
      <c r="E2253" t="s">
        <v>101</v>
      </c>
      <c r="F2253" t="s">
        <v>102</v>
      </c>
      <c r="G2253" t="str">
        <f>"2025-03-12 01:23:48.921"</f>
        <v>2025-03-12 01:23:48.921</v>
      </c>
      <c r="H2253" t="s">
        <v>57</v>
      </c>
      <c r="I2253">
        <v>-5.98</v>
      </c>
      <c r="J2253" t="s">
        <v>34</v>
      </c>
    </row>
    <row r="2254" spans="1:10" x14ac:dyDescent="0.25">
      <c r="A2254" s="1">
        <v>335</v>
      </c>
      <c r="B2254" t="s">
        <v>49</v>
      </c>
      <c r="C2254">
        <v>119</v>
      </c>
      <c r="D2254">
        <v>4</v>
      </c>
      <c r="E2254" t="s">
        <v>101</v>
      </c>
      <c r="F2254" t="s">
        <v>102</v>
      </c>
      <c r="G2254" t="str">
        <f>"2025-03-11 22:57:35.297"</f>
        <v>2025-03-11 22:57:35.297</v>
      </c>
      <c r="H2254" t="s">
        <v>57</v>
      </c>
    </row>
    <row r="2255" spans="1:10" x14ac:dyDescent="0.25">
      <c r="A2255" s="1">
        <v>336</v>
      </c>
      <c r="B2255" t="s">
        <v>39</v>
      </c>
      <c r="C2255">
        <v>119</v>
      </c>
      <c r="D2255">
        <v>4</v>
      </c>
      <c r="E2255" t="s">
        <v>101</v>
      </c>
      <c r="F2255" t="s">
        <v>102</v>
      </c>
      <c r="G2255" t="str">
        <f>"2025-03-11 22:57:30.221"</f>
        <v>2025-03-11 22:57:30.221</v>
      </c>
      <c r="H2255" t="s">
        <v>57</v>
      </c>
      <c r="I2255">
        <v>13.87</v>
      </c>
      <c r="J2255" t="s">
        <v>31</v>
      </c>
    </row>
    <row r="2256" spans="1:10" x14ac:dyDescent="0.25">
      <c r="A2256" s="1">
        <v>337</v>
      </c>
      <c r="B2256" t="s">
        <v>49</v>
      </c>
      <c r="C2256">
        <v>119</v>
      </c>
      <c r="D2256">
        <v>4</v>
      </c>
      <c r="E2256" t="s">
        <v>101</v>
      </c>
      <c r="F2256" t="s">
        <v>102</v>
      </c>
      <c r="G2256" t="str">
        <f>"2025-03-11 17:44:58.698"</f>
        <v>2025-03-11 17:44:58.698</v>
      </c>
      <c r="H2256" t="s">
        <v>57</v>
      </c>
    </row>
    <row r="2257" spans="1:10" x14ac:dyDescent="0.25">
      <c r="A2257" s="1">
        <v>338</v>
      </c>
      <c r="B2257" t="s">
        <v>39</v>
      </c>
      <c r="C2257">
        <v>119</v>
      </c>
      <c r="D2257">
        <v>4</v>
      </c>
      <c r="E2257" t="s">
        <v>101</v>
      </c>
      <c r="F2257" t="s">
        <v>102</v>
      </c>
      <c r="G2257" t="str">
        <f>"2025-03-11 17:44:53.601"</f>
        <v>2025-03-11 17:44:53.601</v>
      </c>
      <c r="H2257" t="s">
        <v>57</v>
      </c>
      <c r="I2257">
        <v>12.36</v>
      </c>
      <c r="J2257" t="s">
        <v>34</v>
      </c>
    </row>
    <row r="2258" spans="1:10" x14ac:dyDescent="0.25">
      <c r="A2258" s="1">
        <v>339</v>
      </c>
      <c r="B2258" t="s">
        <v>19</v>
      </c>
      <c r="C2258">
        <v>700</v>
      </c>
      <c r="D2258">
        <v>0</v>
      </c>
      <c r="E2258" t="s">
        <v>20</v>
      </c>
      <c r="F2258" t="s">
        <v>20</v>
      </c>
      <c r="G2258" t="str">
        <f>"2025-03-11 17:02:10.297"</f>
        <v>2025-03-11 17:02:10.297</v>
      </c>
      <c r="H2258" t="s">
        <v>21</v>
      </c>
      <c r="I2258">
        <v>0</v>
      </c>
      <c r="J2258" t="s">
        <v>22</v>
      </c>
    </row>
    <row r="2259" spans="1:10" x14ac:dyDescent="0.25">
      <c r="A2259" s="1">
        <v>340</v>
      </c>
      <c r="B2259" t="s">
        <v>49</v>
      </c>
      <c r="C2259">
        <v>126</v>
      </c>
      <c r="D2259">
        <v>7</v>
      </c>
      <c r="E2259" t="s">
        <v>103</v>
      </c>
      <c r="F2259" t="s">
        <v>58</v>
      </c>
      <c r="G2259" t="str">
        <f>"2025-03-11 04:19:02.901"</f>
        <v>2025-03-11 04:19:02.901</v>
      </c>
      <c r="H2259" t="s">
        <v>57</v>
      </c>
    </row>
    <row r="2260" spans="1:10" x14ac:dyDescent="0.25">
      <c r="A2260" s="1">
        <v>341</v>
      </c>
      <c r="B2260" t="s">
        <v>39</v>
      </c>
      <c r="C2260">
        <v>126</v>
      </c>
      <c r="D2260">
        <v>7</v>
      </c>
      <c r="E2260" t="s">
        <v>103</v>
      </c>
      <c r="F2260" t="s">
        <v>58</v>
      </c>
      <c r="G2260" t="str">
        <f>"2025-03-11 04:18:57.863"</f>
        <v>2025-03-11 04:18:57.863</v>
      </c>
      <c r="H2260" t="s">
        <v>57</v>
      </c>
      <c r="I2260">
        <v>12.12</v>
      </c>
      <c r="J2260" t="s">
        <v>31</v>
      </c>
    </row>
    <row r="2261" spans="1:10" x14ac:dyDescent="0.25">
      <c r="A2261" s="1">
        <v>342</v>
      </c>
      <c r="B2261" t="s">
        <v>49</v>
      </c>
      <c r="C2261">
        <v>137</v>
      </c>
      <c r="D2261">
        <v>4</v>
      </c>
      <c r="E2261" t="s">
        <v>74</v>
      </c>
      <c r="F2261" t="s">
        <v>54</v>
      </c>
      <c r="G2261" t="str">
        <f>"2025-03-11 04:16:43.701"</f>
        <v>2025-03-11 04:16:43.701</v>
      </c>
      <c r="H2261" t="s">
        <v>57</v>
      </c>
    </row>
    <row r="2262" spans="1:10" x14ac:dyDescent="0.25">
      <c r="A2262" s="1">
        <v>343</v>
      </c>
      <c r="B2262" t="s">
        <v>39</v>
      </c>
      <c r="C2262">
        <v>137</v>
      </c>
      <c r="D2262">
        <v>4</v>
      </c>
      <c r="E2262" t="s">
        <v>74</v>
      </c>
      <c r="F2262" t="s">
        <v>54</v>
      </c>
      <c r="G2262" t="str">
        <f>"2025-03-11 04:16:38.603"</f>
        <v>2025-03-11 04:16:38.603</v>
      </c>
      <c r="H2262" t="s">
        <v>57</v>
      </c>
      <c r="I2262">
        <v>25.45</v>
      </c>
      <c r="J2262" t="s">
        <v>34</v>
      </c>
    </row>
    <row r="2263" spans="1:10" x14ac:dyDescent="0.25">
      <c r="A2263" s="1">
        <v>344</v>
      </c>
      <c r="B2263" t="s">
        <v>19</v>
      </c>
      <c r="C2263">
        <v>700</v>
      </c>
      <c r="D2263">
        <v>0</v>
      </c>
      <c r="E2263" t="s">
        <v>20</v>
      </c>
      <c r="F2263" t="s">
        <v>20</v>
      </c>
      <c r="G2263" t="str">
        <f>"2025-03-10 22:22:20.289"</f>
        <v>2025-03-10 22:22:20.289</v>
      </c>
      <c r="H2263" t="s">
        <v>21</v>
      </c>
    </row>
    <row r="2264" spans="1:10" x14ac:dyDescent="0.25">
      <c r="A2264" s="1">
        <v>345</v>
      </c>
      <c r="B2264" t="s">
        <v>19</v>
      </c>
      <c r="C2264">
        <v>706</v>
      </c>
      <c r="D2264">
        <v>4</v>
      </c>
      <c r="E2264" t="s">
        <v>23</v>
      </c>
      <c r="F2264" t="s">
        <v>26</v>
      </c>
      <c r="G2264" t="str">
        <f>"2025-03-10 22:03:28.800"</f>
        <v>2025-03-10 22:03:28.800</v>
      </c>
      <c r="H2264" t="s">
        <v>21</v>
      </c>
      <c r="I2264">
        <v>0</v>
      </c>
      <c r="J2264" t="s">
        <v>25</v>
      </c>
    </row>
    <row r="2265" spans="1:10" x14ac:dyDescent="0.25">
      <c r="A2265" s="1">
        <v>346</v>
      </c>
      <c r="B2265" t="s">
        <v>19</v>
      </c>
      <c r="C2265">
        <v>706</v>
      </c>
      <c r="D2265">
        <v>2</v>
      </c>
      <c r="E2265" t="s">
        <v>23</v>
      </c>
      <c r="F2265" t="s">
        <v>24</v>
      </c>
      <c r="G2265" t="str">
        <f>"2025-03-10 22:02:19.260"</f>
        <v>2025-03-10 22:02:19.260</v>
      </c>
      <c r="H2265" t="s">
        <v>21</v>
      </c>
      <c r="I2265">
        <v>0</v>
      </c>
      <c r="J2265" t="s">
        <v>25</v>
      </c>
    </row>
    <row r="2266" spans="1:10" x14ac:dyDescent="0.25">
      <c r="A2266" s="1">
        <v>347</v>
      </c>
      <c r="B2266" t="s">
        <v>19</v>
      </c>
      <c r="C2266">
        <v>706</v>
      </c>
      <c r="D2266">
        <v>4</v>
      </c>
      <c r="E2266" t="s">
        <v>23</v>
      </c>
      <c r="F2266" t="s">
        <v>26</v>
      </c>
      <c r="G2266" t="str">
        <f>"2025-03-10 22:00:23.600"</f>
        <v>2025-03-10 22:00:23.600</v>
      </c>
      <c r="H2266" t="s">
        <v>21</v>
      </c>
      <c r="I2266">
        <v>0</v>
      </c>
      <c r="J2266" t="s">
        <v>25</v>
      </c>
    </row>
    <row r="2267" spans="1:10" x14ac:dyDescent="0.25">
      <c r="A2267" s="1">
        <v>348</v>
      </c>
      <c r="B2267" t="s">
        <v>19</v>
      </c>
      <c r="C2267">
        <v>706</v>
      </c>
      <c r="D2267">
        <v>2</v>
      </c>
      <c r="E2267" t="s">
        <v>23</v>
      </c>
      <c r="F2267" t="s">
        <v>24</v>
      </c>
      <c r="G2267" t="str">
        <f>"2025-03-10 22:00:11.460"</f>
        <v>2025-03-10 22:00:11.460</v>
      </c>
      <c r="H2267" t="s">
        <v>21</v>
      </c>
      <c r="I2267">
        <v>0</v>
      </c>
      <c r="J2267" t="s">
        <v>25</v>
      </c>
    </row>
    <row r="2268" spans="1:10" x14ac:dyDescent="0.25">
      <c r="A2268" s="1">
        <v>349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"2025-03-10 21:40:57.280"</f>
        <v>2025-03-10 21:40:57.280</v>
      </c>
      <c r="H2268" t="s">
        <v>21</v>
      </c>
      <c r="I2268">
        <v>0</v>
      </c>
      <c r="J2268" t="s">
        <v>22</v>
      </c>
    </row>
    <row r="2269" spans="1:10" x14ac:dyDescent="0.25">
      <c r="A2269" s="1">
        <v>350</v>
      </c>
      <c r="B2269" t="s">
        <v>39</v>
      </c>
      <c r="C2269">
        <v>30</v>
      </c>
      <c r="D2269">
        <v>1</v>
      </c>
      <c r="E2269" t="s">
        <v>143</v>
      </c>
      <c r="F2269" t="s">
        <v>144</v>
      </c>
      <c r="G2269" t="str">
        <f>"2025-03-10 21:34:30.308"</f>
        <v>2025-03-10 21:34:30.308</v>
      </c>
      <c r="H2269" t="s">
        <v>80</v>
      </c>
      <c r="I2269">
        <v>0</v>
      </c>
      <c r="J2269" t="s">
        <v>25</v>
      </c>
    </row>
    <row r="2270" spans="1:10" x14ac:dyDescent="0.25">
      <c r="A2270" s="1">
        <v>351</v>
      </c>
      <c r="B2270" t="s">
        <v>19</v>
      </c>
      <c r="C2270">
        <v>700</v>
      </c>
      <c r="D2270">
        <v>0</v>
      </c>
      <c r="E2270" t="s">
        <v>20</v>
      </c>
      <c r="F2270" t="s">
        <v>20</v>
      </c>
      <c r="G2270" t="str">
        <f>"2025-03-10 21:22:35.287"</f>
        <v>2025-03-10 21:22:35.287</v>
      </c>
      <c r="H2270" t="s">
        <v>21</v>
      </c>
    </row>
    <row r="2271" spans="1:10" x14ac:dyDescent="0.25">
      <c r="A2271" s="1">
        <v>352</v>
      </c>
      <c r="B2271" t="s">
        <v>27</v>
      </c>
      <c r="C2271">
        <v>61</v>
      </c>
      <c r="D2271">
        <v>2</v>
      </c>
      <c r="E2271" t="s">
        <v>47</v>
      </c>
      <c r="F2271" t="s">
        <v>48</v>
      </c>
      <c r="G2271" t="str">
        <f>"2025-03-10 00:35:16.927"</f>
        <v>2025-03-10 00:35:16.927</v>
      </c>
      <c r="H2271" t="s">
        <v>21</v>
      </c>
    </row>
    <row r="2272" spans="1:10" x14ac:dyDescent="0.25">
      <c r="A2272" s="1">
        <v>353</v>
      </c>
      <c r="B2272" t="s">
        <v>39</v>
      </c>
      <c r="C2272">
        <v>61</v>
      </c>
      <c r="D2272">
        <v>2</v>
      </c>
      <c r="E2272" t="s">
        <v>47</v>
      </c>
      <c r="F2272" t="s">
        <v>48</v>
      </c>
      <c r="G2272" t="str">
        <f>"2025-03-10 00:35:11.627"</f>
        <v>2025-03-10 00:35:11.627</v>
      </c>
      <c r="H2272" t="s">
        <v>21</v>
      </c>
      <c r="I2272">
        <v>29.18</v>
      </c>
      <c r="J2272" t="s">
        <v>31</v>
      </c>
    </row>
    <row r="2273" spans="1:10" x14ac:dyDescent="0.25">
      <c r="A2273" s="1">
        <v>354</v>
      </c>
      <c r="B2273" t="s">
        <v>27</v>
      </c>
      <c r="C2273">
        <v>61</v>
      </c>
      <c r="D2273">
        <v>2</v>
      </c>
      <c r="E2273" t="s">
        <v>47</v>
      </c>
      <c r="F2273" t="s">
        <v>48</v>
      </c>
      <c r="G2273" t="str">
        <f>"2025-03-10 00:12:21.127"</f>
        <v>2025-03-10 00:12:21.127</v>
      </c>
      <c r="H2273" t="s">
        <v>21</v>
      </c>
    </row>
    <row r="2274" spans="1:10" x14ac:dyDescent="0.25">
      <c r="A2274" s="1">
        <v>355</v>
      </c>
      <c r="B2274" t="s">
        <v>39</v>
      </c>
      <c r="C2274">
        <v>61</v>
      </c>
      <c r="D2274">
        <v>2</v>
      </c>
      <c r="E2274" t="s">
        <v>47</v>
      </c>
      <c r="F2274" t="s">
        <v>48</v>
      </c>
      <c r="G2274" t="str">
        <f>"2025-03-10 00:12:16.027"</f>
        <v>2025-03-10 00:12:16.027</v>
      </c>
      <c r="H2274" t="s">
        <v>21</v>
      </c>
      <c r="I2274">
        <v>29.07</v>
      </c>
      <c r="J2274" t="s">
        <v>31</v>
      </c>
    </row>
    <row r="2275" spans="1:10" x14ac:dyDescent="0.25">
      <c r="A2275" s="1">
        <v>357</v>
      </c>
      <c r="B2275" t="s">
        <v>27</v>
      </c>
      <c r="C2275">
        <v>98</v>
      </c>
      <c r="D2275">
        <v>1</v>
      </c>
      <c r="E2275" t="s">
        <v>40</v>
      </c>
      <c r="F2275" t="s">
        <v>41</v>
      </c>
      <c r="G2275" t="str">
        <f>"2025-03-08 04:56:56.427"</f>
        <v>2025-03-08 04:56:56.427</v>
      </c>
      <c r="H2275" t="s">
        <v>21</v>
      </c>
    </row>
    <row r="2276" spans="1:10" x14ac:dyDescent="0.25">
      <c r="A2276" s="1">
        <v>358</v>
      </c>
      <c r="B2276" t="s">
        <v>30</v>
      </c>
      <c r="C2276">
        <v>98</v>
      </c>
      <c r="D2276">
        <v>1</v>
      </c>
      <c r="E2276" t="s">
        <v>40</v>
      </c>
      <c r="F2276" t="s">
        <v>41</v>
      </c>
      <c r="G2276" t="str">
        <f>"2025-03-08 04:56:55.427"</f>
        <v>2025-03-08 04:56:55.427</v>
      </c>
      <c r="H2276" t="s">
        <v>21</v>
      </c>
      <c r="I2276">
        <v>13.04</v>
      </c>
      <c r="J2276" t="s">
        <v>34</v>
      </c>
    </row>
    <row r="2277" spans="1:10" x14ac:dyDescent="0.25">
      <c r="A2277" s="1">
        <v>359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"2025-03-07 17:59:24.306"</f>
        <v>2025-03-07 17:59:24.306</v>
      </c>
      <c r="H2277" t="s">
        <v>21</v>
      </c>
      <c r="I2277">
        <v>0</v>
      </c>
      <c r="J2277" t="s">
        <v>22</v>
      </c>
    </row>
    <row r="2278" spans="1:10" x14ac:dyDescent="0.25">
      <c r="A2278" s="1">
        <v>360</v>
      </c>
      <c r="B2278" t="s">
        <v>19</v>
      </c>
      <c r="C2278">
        <v>700</v>
      </c>
      <c r="D2278">
        <v>0</v>
      </c>
      <c r="E2278" t="s">
        <v>20</v>
      </c>
      <c r="F2278" t="s">
        <v>20</v>
      </c>
      <c r="G2278" t="str">
        <f>"2025-03-06 13:21:42.248"</f>
        <v>2025-03-06 13:21:42.248</v>
      </c>
      <c r="H2278" t="s">
        <v>21</v>
      </c>
    </row>
    <row r="2279" spans="1:10" x14ac:dyDescent="0.25">
      <c r="A2279" s="1">
        <v>363</v>
      </c>
      <c r="B2279" t="s">
        <v>19</v>
      </c>
      <c r="C2279">
        <v>706</v>
      </c>
      <c r="D2279">
        <v>4</v>
      </c>
      <c r="E2279" t="s">
        <v>23</v>
      </c>
      <c r="F2279" t="s">
        <v>26</v>
      </c>
      <c r="G2279" t="str">
        <f>"2025-03-05 10:15:50.084"</f>
        <v>2025-03-05 10:15:50.084</v>
      </c>
      <c r="H2279" t="s">
        <v>21</v>
      </c>
      <c r="I2279">
        <v>0</v>
      </c>
      <c r="J2279" t="s">
        <v>25</v>
      </c>
    </row>
    <row r="2280" spans="1:10" x14ac:dyDescent="0.25">
      <c r="A2280" s="1">
        <v>364</v>
      </c>
      <c r="B2280" t="s">
        <v>19</v>
      </c>
      <c r="C2280">
        <v>706</v>
      </c>
      <c r="D2280">
        <v>3</v>
      </c>
      <c r="E2280" t="s">
        <v>23</v>
      </c>
      <c r="F2280" t="s">
        <v>43</v>
      </c>
      <c r="G2280" t="str">
        <f>"2025-03-05 10:15:40.424"</f>
        <v>2025-03-05 10:15:40.424</v>
      </c>
      <c r="H2280" t="s">
        <v>21</v>
      </c>
      <c r="I2280">
        <v>0</v>
      </c>
      <c r="J2280" t="s">
        <v>25</v>
      </c>
    </row>
    <row r="2281" spans="1:10" x14ac:dyDescent="0.25">
      <c r="A2281" s="1">
        <v>365</v>
      </c>
      <c r="B2281" t="s">
        <v>27</v>
      </c>
      <c r="C2281">
        <v>635</v>
      </c>
      <c r="D2281">
        <v>1</v>
      </c>
      <c r="E2281" t="s">
        <v>32</v>
      </c>
      <c r="F2281" t="s">
        <v>33</v>
      </c>
      <c r="G2281" t="str">
        <f>"2025-03-05 07:04:32.642"</f>
        <v>2025-03-05 07:04:32.642</v>
      </c>
      <c r="H2281" t="s">
        <v>21</v>
      </c>
    </row>
    <row r="2282" spans="1:10" x14ac:dyDescent="0.25">
      <c r="A2282" s="1">
        <v>366</v>
      </c>
      <c r="B2282" t="s">
        <v>30</v>
      </c>
      <c r="C2282">
        <v>635</v>
      </c>
      <c r="D2282">
        <v>1</v>
      </c>
      <c r="E2282" t="s">
        <v>32</v>
      </c>
      <c r="F2282" t="s">
        <v>33</v>
      </c>
      <c r="G2282" t="str">
        <f>"2025-03-05 06:47:56.142"</f>
        <v>2025-03-05 06:47:56.142</v>
      </c>
      <c r="H2282" t="s">
        <v>21</v>
      </c>
      <c r="I2282">
        <v>7.63</v>
      </c>
      <c r="J2282" t="s">
        <v>34</v>
      </c>
    </row>
    <row r="2283" spans="1:10" x14ac:dyDescent="0.25">
      <c r="A2283" s="1">
        <v>368</v>
      </c>
      <c r="B2283" t="s">
        <v>27</v>
      </c>
      <c r="C2283">
        <v>635</v>
      </c>
      <c r="D2283">
        <v>1</v>
      </c>
      <c r="E2283" t="s">
        <v>32</v>
      </c>
      <c r="F2283" t="s">
        <v>33</v>
      </c>
      <c r="G2283" t="str">
        <f>"2025-03-04 18:30:39.842"</f>
        <v>2025-03-04 18:30:39.842</v>
      </c>
      <c r="H2283" t="s">
        <v>21</v>
      </c>
    </row>
    <row r="2284" spans="1:10" x14ac:dyDescent="0.25">
      <c r="A2284" s="1">
        <v>369</v>
      </c>
      <c r="B2284" t="s">
        <v>30</v>
      </c>
      <c r="C2284">
        <v>635</v>
      </c>
      <c r="D2284">
        <v>1</v>
      </c>
      <c r="E2284" t="s">
        <v>32</v>
      </c>
      <c r="F2284" t="s">
        <v>33</v>
      </c>
      <c r="G2284" t="str">
        <f>"2025-03-04 18:27:46.842"</f>
        <v>2025-03-04 18:27:46.842</v>
      </c>
      <c r="H2284" t="s">
        <v>21</v>
      </c>
      <c r="I2284">
        <v>2.9</v>
      </c>
      <c r="J2284" t="s">
        <v>34</v>
      </c>
    </row>
    <row r="2285" spans="1:10" x14ac:dyDescent="0.25">
      <c r="A2285" s="1">
        <v>370</v>
      </c>
      <c r="B2285" t="s">
        <v>27</v>
      </c>
      <c r="C2285">
        <v>635</v>
      </c>
      <c r="D2285">
        <v>1</v>
      </c>
      <c r="E2285" t="s">
        <v>32</v>
      </c>
      <c r="F2285" t="s">
        <v>33</v>
      </c>
      <c r="G2285" t="str">
        <f>"2025-03-04 15:21:19.242"</f>
        <v>2025-03-04 15:21:19.242</v>
      </c>
      <c r="H2285" t="s">
        <v>21</v>
      </c>
    </row>
    <row r="2286" spans="1:10" x14ac:dyDescent="0.25">
      <c r="A2286" s="1">
        <v>371</v>
      </c>
      <c r="B2286" t="s">
        <v>30</v>
      </c>
      <c r="C2286">
        <v>635</v>
      </c>
      <c r="D2286">
        <v>1</v>
      </c>
      <c r="E2286" t="s">
        <v>32</v>
      </c>
      <c r="F2286" t="s">
        <v>33</v>
      </c>
      <c r="G2286" t="str">
        <f>"2025-03-04 15:17:55.242"</f>
        <v>2025-03-04 15:17:55.242</v>
      </c>
      <c r="H2286" t="s">
        <v>21</v>
      </c>
      <c r="I2286">
        <v>6.03</v>
      </c>
      <c r="J2286" t="s">
        <v>34</v>
      </c>
    </row>
    <row r="2287" spans="1:10" x14ac:dyDescent="0.25">
      <c r="A2287" s="1">
        <v>372</v>
      </c>
      <c r="B2287" t="s">
        <v>27</v>
      </c>
      <c r="C2287">
        <v>635</v>
      </c>
      <c r="D2287">
        <v>1</v>
      </c>
      <c r="E2287" t="s">
        <v>32</v>
      </c>
      <c r="F2287" t="s">
        <v>33</v>
      </c>
      <c r="G2287" t="str">
        <f>"2025-03-04 11:51:37.742"</f>
        <v>2025-03-04 11:51:37.742</v>
      </c>
      <c r="H2287" t="s">
        <v>21</v>
      </c>
    </row>
    <row r="2288" spans="1:10" x14ac:dyDescent="0.25">
      <c r="A2288" s="1">
        <v>373</v>
      </c>
      <c r="B2288" t="s">
        <v>30</v>
      </c>
      <c r="C2288">
        <v>635</v>
      </c>
      <c r="D2288">
        <v>1</v>
      </c>
      <c r="E2288" t="s">
        <v>32</v>
      </c>
      <c r="F2288" t="s">
        <v>33</v>
      </c>
      <c r="G2288" t="str">
        <f>"2025-03-04 11:47:00.742"</f>
        <v>2025-03-04 11:47:00.742</v>
      </c>
      <c r="H2288" t="s">
        <v>21</v>
      </c>
      <c r="I2288">
        <v>8.61</v>
      </c>
      <c r="J2288" t="s">
        <v>34</v>
      </c>
    </row>
    <row r="2289" spans="1:10" x14ac:dyDescent="0.25">
      <c r="A2289" s="1">
        <v>374</v>
      </c>
      <c r="B2289" t="s">
        <v>27</v>
      </c>
      <c r="C2289">
        <v>635</v>
      </c>
      <c r="D2289">
        <v>1</v>
      </c>
      <c r="E2289" t="s">
        <v>32</v>
      </c>
      <c r="F2289" t="s">
        <v>33</v>
      </c>
      <c r="G2289" t="str">
        <f>"2025-03-04 11:17:26.842"</f>
        <v>2025-03-04 11:17:26.842</v>
      </c>
      <c r="H2289" t="s">
        <v>21</v>
      </c>
    </row>
    <row r="2290" spans="1:10" x14ac:dyDescent="0.25">
      <c r="A2290" s="1">
        <v>375</v>
      </c>
      <c r="B2290" t="s">
        <v>30</v>
      </c>
      <c r="C2290">
        <v>635</v>
      </c>
      <c r="D2290">
        <v>1</v>
      </c>
      <c r="E2290" t="s">
        <v>32</v>
      </c>
      <c r="F2290" t="s">
        <v>33</v>
      </c>
      <c r="G2290" t="str">
        <f>"2025-03-04 11:13:01.842"</f>
        <v>2025-03-04 11:13:01.842</v>
      </c>
      <c r="H2290" t="s">
        <v>21</v>
      </c>
      <c r="I2290">
        <v>9.27</v>
      </c>
      <c r="J2290" t="s">
        <v>31</v>
      </c>
    </row>
    <row r="2291" spans="1:10" x14ac:dyDescent="0.25">
      <c r="A2291" s="1">
        <v>376</v>
      </c>
      <c r="B2291" t="s">
        <v>49</v>
      </c>
      <c r="C2291">
        <v>128</v>
      </c>
      <c r="D2291">
        <v>4</v>
      </c>
      <c r="E2291" t="s">
        <v>55</v>
      </c>
      <c r="F2291" t="s">
        <v>51</v>
      </c>
      <c r="G2291" t="str">
        <f>"2025-03-04 10:38:14.723"</f>
        <v>2025-03-04 10:38:14.723</v>
      </c>
      <c r="H2291" t="s">
        <v>57</v>
      </c>
    </row>
    <row r="2292" spans="1:10" x14ac:dyDescent="0.25">
      <c r="A2292" s="1">
        <v>377</v>
      </c>
      <c r="B2292" t="s">
        <v>39</v>
      </c>
      <c r="C2292">
        <v>128</v>
      </c>
      <c r="D2292">
        <v>4</v>
      </c>
      <c r="E2292" t="s">
        <v>55</v>
      </c>
      <c r="F2292" t="s">
        <v>51</v>
      </c>
      <c r="G2292" t="str">
        <f>"2025-03-04 10:38:09.689"</f>
        <v>2025-03-04 10:38:09.689</v>
      </c>
      <c r="H2292" t="s">
        <v>57</v>
      </c>
      <c r="I2292">
        <v>11.88</v>
      </c>
      <c r="J2292" t="s">
        <v>31</v>
      </c>
    </row>
    <row r="2293" spans="1:10" x14ac:dyDescent="0.25">
      <c r="A2293" s="1">
        <v>378</v>
      </c>
      <c r="B2293" t="s">
        <v>27</v>
      </c>
      <c r="C2293">
        <v>61</v>
      </c>
      <c r="D2293">
        <v>2</v>
      </c>
      <c r="E2293" t="s">
        <v>47</v>
      </c>
      <c r="F2293" t="s">
        <v>48</v>
      </c>
      <c r="G2293" t="str">
        <f>"2025-03-04 04:56:30.335"</f>
        <v>2025-03-04 04:56:30.335</v>
      </c>
      <c r="H2293" t="s">
        <v>21</v>
      </c>
    </row>
    <row r="2294" spans="1:10" x14ac:dyDescent="0.25">
      <c r="A2294" s="1">
        <v>379</v>
      </c>
      <c r="B2294" t="s">
        <v>39</v>
      </c>
      <c r="C2294">
        <v>61</v>
      </c>
      <c r="D2294">
        <v>2</v>
      </c>
      <c r="E2294" t="s">
        <v>47</v>
      </c>
      <c r="F2294" t="s">
        <v>48</v>
      </c>
      <c r="G2294" t="str">
        <f>"2025-03-04 04:56:25.135"</f>
        <v>2025-03-04 04:56:25.135</v>
      </c>
      <c r="H2294" t="s">
        <v>21</v>
      </c>
      <c r="I2294">
        <v>29.12</v>
      </c>
      <c r="J2294" t="s">
        <v>31</v>
      </c>
    </row>
    <row r="2295" spans="1:10" x14ac:dyDescent="0.25">
      <c r="A2295" s="1">
        <v>380</v>
      </c>
      <c r="B2295" t="s">
        <v>19</v>
      </c>
      <c r="C2295">
        <v>706</v>
      </c>
      <c r="D2295">
        <v>4</v>
      </c>
      <c r="E2295" t="s">
        <v>23</v>
      </c>
      <c r="F2295" t="s">
        <v>26</v>
      </c>
      <c r="G2295" t="str">
        <f>"2025-03-04 03:05:39.824"</f>
        <v>2025-03-04 03:05:39.824</v>
      </c>
      <c r="H2295" t="s">
        <v>21</v>
      </c>
      <c r="I2295">
        <v>0</v>
      </c>
      <c r="J2295" t="s">
        <v>25</v>
      </c>
    </row>
    <row r="2296" spans="1:10" x14ac:dyDescent="0.25">
      <c r="A2296" s="1">
        <v>381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"2025-03-04 03:05:08.254"</f>
        <v>2025-03-04 03:05:08.254</v>
      </c>
      <c r="H2296" t="s">
        <v>21</v>
      </c>
    </row>
    <row r="2297" spans="1:10" x14ac:dyDescent="0.25">
      <c r="A2297" s="1">
        <v>382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"2025-03-04 02:47:00.563"</f>
        <v>2025-03-04 02:47:00.563</v>
      </c>
      <c r="H2297" t="s">
        <v>21</v>
      </c>
      <c r="I2297">
        <v>0</v>
      </c>
      <c r="J2297" t="s">
        <v>22</v>
      </c>
    </row>
    <row r="2298" spans="1:10" x14ac:dyDescent="0.25">
      <c r="A2298" s="1">
        <v>383</v>
      </c>
      <c r="B2298" t="s">
        <v>49</v>
      </c>
      <c r="C2298">
        <v>137</v>
      </c>
      <c r="D2298">
        <v>4</v>
      </c>
      <c r="E2298" t="s">
        <v>74</v>
      </c>
      <c r="F2298" t="s">
        <v>54</v>
      </c>
      <c r="G2298" t="str">
        <f>"2025-03-03 23:13:55.895"</f>
        <v>2025-03-03 23:13:55.895</v>
      </c>
      <c r="H2298" t="s">
        <v>57</v>
      </c>
    </row>
    <row r="2299" spans="1:10" x14ac:dyDescent="0.25">
      <c r="A2299" s="1">
        <v>384</v>
      </c>
      <c r="B2299" t="s">
        <v>39</v>
      </c>
      <c r="C2299">
        <v>137</v>
      </c>
      <c r="D2299">
        <v>4</v>
      </c>
      <c r="E2299" t="s">
        <v>74</v>
      </c>
      <c r="F2299" t="s">
        <v>54</v>
      </c>
      <c r="G2299" t="str">
        <f>"2025-03-03 23:13:50.884"</f>
        <v>2025-03-03 23:13:50.884</v>
      </c>
      <c r="H2299" t="s">
        <v>57</v>
      </c>
      <c r="I2299">
        <v>18.53</v>
      </c>
      <c r="J2299" t="s">
        <v>34</v>
      </c>
    </row>
    <row r="2300" spans="1:10" x14ac:dyDescent="0.25">
      <c r="A2300" s="1">
        <v>385</v>
      </c>
      <c r="B2300" t="s">
        <v>49</v>
      </c>
      <c r="C2300">
        <v>128</v>
      </c>
      <c r="D2300">
        <v>4</v>
      </c>
      <c r="E2300" t="s">
        <v>55</v>
      </c>
      <c r="F2300" t="s">
        <v>51</v>
      </c>
      <c r="G2300" t="str">
        <f>"2025-03-03 17:29:22.695"</f>
        <v>2025-03-03 17:29:22.695</v>
      </c>
      <c r="H2300" t="s">
        <v>57</v>
      </c>
    </row>
    <row r="2301" spans="1:10" x14ac:dyDescent="0.25">
      <c r="A2301" s="1">
        <v>386</v>
      </c>
      <c r="B2301" t="s">
        <v>39</v>
      </c>
      <c r="C2301">
        <v>128</v>
      </c>
      <c r="D2301">
        <v>4</v>
      </c>
      <c r="E2301" t="s">
        <v>55</v>
      </c>
      <c r="F2301" t="s">
        <v>51</v>
      </c>
      <c r="G2301" t="str">
        <f>"2025-03-03 17:29:17.624"</f>
        <v>2025-03-03 17:29:17.624</v>
      </c>
      <c r="H2301" t="s">
        <v>57</v>
      </c>
      <c r="I2301">
        <v>1.07</v>
      </c>
      <c r="J2301" t="s">
        <v>34</v>
      </c>
    </row>
    <row r="2302" spans="1:10" x14ac:dyDescent="0.25">
      <c r="A2302" s="1">
        <v>387</v>
      </c>
      <c r="B2302" t="s">
        <v>27</v>
      </c>
      <c r="C2302">
        <v>14</v>
      </c>
      <c r="D2302">
        <v>10</v>
      </c>
      <c r="E2302" t="s">
        <v>110</v>
      </c>
      <c r="F2302" t="s">
        <v>112</v>
      </c>
      <c r="G2302" t="str">
        <f>"2025-03-03 12:06:01.662"</f>
        <v>2025-03-03 12:06:01.662</v>
      </c>
      <c r="H2302" t="s">
        <v>80</v>
      </c>
    </row>
    <row r="2303" spans="1:10" x14ac:dyDescent="0.25">
      <c r="A2303" s="1">
        <v>388</v>
      </c>
      <c r="B2303" t="s">
        <v>35</v>
      </c>
      <c r="C2303">
        <v>23</v>
      </c>
      <c r="D2303">
        <v>1</v>
      </c>
      <c r="E2303" t="s">
        <v>108</v>
      </c>
      <c r="F2303" t="s">
        <v>109</v>
      </c>
      <c r="G2303" t="str">
        <f>"2025-03-03 12:05:59.902"</f>
        <v>2025-03-03 12:05:59.902</v>
      </c>
      <c r="H2303" t="s">
        <v>63</v>
      </c>
    </row>
    <row r="2304" spans="1:10" x14ac:dyDescent="0.25">
      <c r="A2304" s="1">
        <v>389</v>
      </c>
      <c r="B2304" t="s">
        <v>49</v>
      </c>
      <c r="C2304">
        <v>205</v>
      </c>
      <c r="D2304">
        <v>3</v>
      </c>
      <c r="E2304" t="s">
        <v>113</v>
      </c>
      <c r="F2304" t="s">
        <v>114</v>
      </c>
      <c r="G2304" t="str">
        <f>"2025-03-03 12:05:45.295"</f>
        <v>2025-03-03 12:05:45.295</v>
      </c>
      <c r="H2304" t="s">
        <v>52</v>
      </c>
    </row>
    <row r="2305" spans="1:10" x14ac:dyDescent="0.25">
      <c r="A2305" s="1">
        <v>390</v>
      </c>
      <c r="B2305" t="s">
        <v>49</v>
      </c>
      <c r="C2305">
        <v>105</v>
      </c>
      <c r="D2305">
        <v>3</v>
      </c>
      <c r="E2305" t="s">
        <v>115</v>
      </c>
      <c r="F2305" t="s">
        <v>114</v>
      </c>
      <c r="G2305" t="str">
        <f>"2025-03-03 12:05:45.195"</f>
        <v>2025-03-03 12:05:45.195</v>
      </c>
      <c r="H2305" t="s">
        <v>57</v>
      </c>
    </row>
    <row r="2306" spans="1:10" x14ac:dyDescent="0.25">
      <c r="A2306" s="1">
        <v>391</v>
      </c>
      <c r="B2306" t="s">
        <v>49</v>
      </c>
      <c r="C2306">
        <v>204</v>
      </c>
      <c r="D2306">
        <v>8</v>
      </c>
      <c r="E2306" t="s">
        <v>116</v>
      </c>
      <c r="F2306" t="s">
        <v>117</v>
      </c>
      <c r="G2306" t="str">
        <f>"2025-03-03 12:05:45.103"</f>
        <v>2025-03-03 12:05:45.103</v>
      </c>
      <c r="H2306" t="s">
        <v>52</v>
      </c>
    </row>
    <row r="2307" spans="1:10" x14ac:dyDescent="0.25">
      <c r="A2307" s="1">
        <v>392</v>
      </c>
      <c r="B2307" t="s">
        <v>49</v>
      </c>
      <c r="C2307">
        <v>204</v>
      </c>
      <c r="D2307">
        <v>6</v>
      </c>
      <c r="E2307" t="s">
        <v>116</v>
      </c>
      <c r="F2307" t="s">
        <v>118</v>
      </c>
      <c r="G2307" t="str">
        <f>"2025-03-03 12:05:45.097"</f>
        <v>2025-03-03 12:05:45.097</v>
      </c>
      <c r="H2307" t="s">
        <v>52</v>
      </c>
    </row>
    <row r="2308" spans="1:10" x14ac:dyDescent="0.25">
      <c r="A2308" s="1">
        <v>393</v>
      </c>
      <c r="B2308" t="s">
        <v>49</v>
      </c>
      <c r="C2308">
        <v>204</v>
      </c>
      <c r="D2308">
        <v>5</v>
      </c>
      <c r="E2308" t="s">
        <v>116</v>
      </c>
      <c r="F2308" t="s">
        <v>119</v>
      </c>
      <c r="G2308" t="str">
        <f>"2025-03-03 12:05:45.096"</f>
        <v>2025-03-03 12:05:45.096</v>
      </c>
      <c r="H2308" t="s">
        <v>52</v>
      </c>
    </row>
    <row r="2309" spans="1:10" x14ac:dyDescent="0.25">
      <c r="A2309" s="1">
        <v>394</v>
      </c>
      <c r="B2309" t="s">
        <v>49</v>
      </c>
      <c r="C2309">
        <v>204</v>
      </c>
      <c r="D2309">
        <v>1</v>
      </c>
      <c r="E2309" t="s">
        <v>116</v>
      </c>
      <c r="F2309" t="s">
        <v>120</v>
      </c>
      <c r="G2309" t="str">
        <f>"2025-03-03 12:05:45.095"</f>
        <v>2025-03-03 12:05:45.095</v>
      </c>
      <c r="H2309" t="s">
        <v>52</v>
      </c>
    </row>
    <row r="2310" spans="1:10" x14ac:dyDescent="0.25">
      <c r="A2310" s="1">
        <v>395</v>
      </c>
      <c r="B2310" t="s">
        <v>49</v>
      </c>
      <c r="C2310">
        <v>104</v>
      </c>
      <c r="D2310">
        <v>8</v>
      </c>
      <c r="E2310" t="s">
        <v>121</v>
      </c>
      <c r="F2310" t="s">
        <v>117</v>
      </c>
      <c r="G2310" t="str">
        <f>"2025-03-03 12:05:45.003"</f>
        <v>2025-03-03 12:05:45.003</v>
      </c>
      <c r="H2310" t="s">
        <v>57</v>
      </c>
    </row>
    <row r="2311" spans="1:10" x14ac:dyDescent="0.25">
      <c r="A2311" s="1">
        <v>396</v>
      </c>
      <c r="B2311" t="s">
        <v>49</v>
      </c>
      <c r="C2311">
        <v>104</v>
      </c>
      <c r="D2311">
        <v>6</v>
      </c>
      <c r="E2311" t="s">
        <v>121</v>
      </c>
      <c r="F2311" t="s">
        <v>118</v>
      </c>
      <c r="G2311" t="str">
        <f>"2025-03-03 12:05:44.997"</f>
        <v>2025-03-03 12:05:44.997</v>
      </c>
      <c r="H2311" t="s">
        <v>57</v>
      </c>
    </row>
    <row r="2312" spans="1:10" x14ac:dyDescent="0.25">
      <c r="A2312" s="1">
        <v>397</v>
      </c>
      <c r="B2312" t="s">
        <v>49</v>
      </c>
      <c r="C2312">
        <v>104</v>
      </c>
      <c r="D2312">
        <v>5</v>
      </c>
      <c r="E2312" t="s">
        <v>121</v>
      </c>
      <c r="F2312" t="s">
        <v>119</v>
      </c>
      <c r="G2312" t="str">
        <f>"2025-03-03 12:05:44.996"</f>
        <v>2025-03-03 12:05:44.996</v>
      </c>
      <c r="H2312" t="s">
        <v>57</v>
      </c>
    </row>
    <row r="2313" spans="1:10" x14ac:dyDescent="0.25">
      <c r="A2313" s="1">
        <v>398</v>
      </c>
      <c r="B2313" t="s">
        <v>49</v>
      </c>
      <c r="C2313">
        <v>104</v>
      </c>
      <c r="D2313">
        <v>1</v>
      </c>
      <c r="E2313" t="s">
        <v>121</v>
      </c>
      <c r="F2313" t="s">
        <v>120</v>
      </c>
      <c r="G2313" t="str">
        <f>"2025-03-03 12:05:44.995"</f>
        <v>2025-03-03 12:05:44.995</v>
      </c>
      <c r="H2313" t="s">
        <v>57</v>
      </c>
    </row>
    <row r="2314" spans="1:10" x14ac:dyDescent="0.25">
      <c r="A2314" s="1">
        <v>399</v>
      </c>
      <c r="B2314" t="s">
        <v>30</v>
      </c>
      <c r="C2314">
        <v>14</v>
      </c>
      <c r="D2314">
        <v>10</v>
      </c>
      <c r="E2314" t="s">
        <v>110</v>
      </c>
      <c r="F2314" t="s">
        <v>112</v>
      </c>
      <c r="G2314" t="str">
        <f>"2025-03-03 12:05:40.561"</f>
        <v>2025-03-03 12:05:40.561</v>
      </c>
      <c r="H2314" t="s">
        <v>80</v>
      </c>
      <c r="I2314">
        <v>5.27</v>
      </c>
      <c r="J2314" t="s">
        <v>31</v>
      </c>
    </row>
    <row r="2315" spans="1:10" x14ac:dyDescent="0.25">
      <c r="A2315" s="1">
        <v>400</v>
      </c>
      <c r="B2315" t="s">
        <v>39</v>
      </c>
      <c r="C2315">
        <v>205</v>
      </c>
      <c r="D2315">
        <v>3</v>
      </c>
      <c r="E2315" t="s">
        <v>113</v>
      </c>
      <c r="F2315" t="s">
        <v>114</v>
      </c>
      <c r="G2315" t="str">
        <f>"2025-03-03 12:05:40.204"</f>
        <v>2025-03-03 12:05:40.204</v>
      </c>
      <c r="H2315" t="s">
        <v>52</v>
      </c>
      <c r="I2315">
        <v>5.33</v>
      </c>
      <c r="J2315" t="s">
        <v>31</v>
      </c>
    </row>
    <row r="2316" spans="1:10" x14ac:dyDescent="0.25">
      <c r="A2316" s="1">
        <v>401</v>
      </c>
      <c r="B2316" t="s">
        <v>39</v>
      </c>
      <c r="C2316">
        <v>105</v>
      </c>
      <c r="D2316">
        <v>3</v>
      </c>
      <c r="E2316" t="s">
        <v>115</v>
      </c>
      <c r="F2316" t="s">
        <v>114</v>
      </c>
      <c r="G2316" t="str">
        <f>"2025-03-03 12:05:40.184"</f>
        <v>2025-03-03 12:05:40.184</v>
      </c>
      <c r="H2316" t="s">
        <v>57</v>
      </c>
      <c r="I2316">
        <v>5.34</v>
      </c>
      <c r="J2316" t="s">
        <v>31</v>
      </c>
    </row>
    <row r="2317" spans="1:10" x14ac:dyDescent="0.25">
      <c r="A2317" s="1">
        <v>402</v>
      </c>
      <c r="B2317" t="s">
        <v>39</v>
      </c>
      <c r="C2317">
        <v>204</v>
      </c>
      <c r="D2317">
        <v>8</v>
      </c>
      <c r="E2317" t="s">
        <v>116</v>
      </c>
      <c r="F2317" t="s">
        <v>117</v>
      </c>
      <c r="G2317" t="str">
        <f>"2025-03-03 12:05:40.006"</f>
        <v>2025-03-03 12:05:40.006</v>
      </c>
      <c r="H2317" t="s">
        <v>52</v>
      </c>
      <c r="I2317">
        <v>5.4</v>
      </c>
      <c r="J2317" t="s">
        <v>31</v>
      </c>
    </row>
    <row r="2318" spans="1:10" x14ac:dyDescent="0.25">
      <c r="A2318" s="1">
        <v>403</v>
      </c>
      <c r="B2318" t="s">
        <v>39</v>
      </c>
      <c r="C2318">
        <v>204</v>
      </c>
      <c r="D2318">
        <v>6</v>
      </c>
      <c r="E2318" t="s">
        <v>116</v>
      </c>
      <c r="F2318" t="s">
        <v>118</v>
      </c>
      <c r="G2318" t="str">
        <f>"2025-03-03 12:05:40.002"</f>
        <v>2025-03-03 12:05:40.002</v>
      </c>
      <c r="H2318" t="s">
        <v>52</v>
      </c>
      <c r="I2318">
        <v>5.4</v>
      </c>
      <c r="J2318" t="s">
        <v>31</v>
      </c>
    </row>
    <row r="2319" spans="1:10" x14ac:dyDescent="0.25">
      <c r="A2319" s="1">
        <v>404</v>
      </c>
      <c r="B2319" t="s">
        <v>39</v>
      </c>
      <c r="C2319">
        <v>204</v>
      </c>
      <c r="D2319">
        <v>5</v>
      </c>
      <c r="E2319" t="s">
        <v>116</v>
      </c>
      <c r="F2319" t="s">
        <v>119</v>
      </c>
      <c r="G2319" t="str">
        <f>"2025-03-03 12:05:39.997"</f>
        <v>2025-03-03 12:05:39.997</v>
      </c>
      <c r="H2319" t="s">
        <v>52</v>
      </c>
      <c r="I2319">
        <v>5.4</v>
      </c>
      <c r="J2319" t="s">
        <v>31</v>
      </c>
    </row>
    <row r="2320" spans="1:10" x14ac:dyDescent="0.25">
      <c r="A2320" s="1">
        <v>405</v>
      </c>
      <c r="B2320" t="s">
        <v>39</v>
      </c>
      <c r="C2320">
        <v>104</v>
      </c>
      <c r="D2320">
        <v>8</v>
      </c>
      <c r="E2320" t="s">
        <v>121</v>
      </c>
      <c r="F2320" t="s">
        <v>117</v>
      </c>
      <c r="G2320" t="str">
        <f>"2025-03-03 12:05:39.993"</f>
        <v>2025-03-03 12:05:39.993</v>
      </c>
      <c r="H2320" t="s">
        <v>57</v>
      </c>
      <c r="I2320">
        <v>5.4</v>
      </c>
      <c r="J2320" t="s">
        <v>31</v>
      </c>
    </row>
    <row r="2321" spans="1:10" x14ac:dyDescent="0.25">
      <c r="A2321" s="1">
        <v>406</v>
      </c>
      <c r="B2321" t="s">
        <v>39</v>
      </c>
      <c r="C2321">
        <v>104</v>
      </c>
      <c r="D2321">
        <v>6</v>
      </c>
      <c r="E2321" t="s">
        <v>121</v>
      </c>
      <c r="F2321" t="s">
        <v>118</v>
      </c>
      <c r="G2321" t="str">
        <f>"2025-03-03 12:05:39.989"</f>
        <v>2025-03-03 12:05:39.989</v>
      </c>
      <c r="H2321" t="s">
        <v>57</v>
      </c>
      <c r="I2321">
        <v>5.4</v>
      </c>
      <c r="J2321" t="s">
        <v>31</v>
      </c>
    </row>
    <row r="2322" spans="1:10" x14ac:dyDescent="0.25">
      <c r="A2322" s="1">
        <v>407</v>
      </c>
      <c r="B2322" t="s">
        <v>39</v>
      </c>
      <c r="C2322">
        <v>104</v>
      </c>
      <c r="D2322">
        <v>5</v>
      </c>
      <c r="E2322" t="s">
        <v>121</v>
      </c>
      <c r="F2322" t="s">
        <v>119</v>
      </c>
      <c r="G2322" t="str">
        <f>"2025-03-03 12:05:39.984"</f>
        <v>2025-03-03 12:05:39.984</v>
      </c>
      <c r="H2322" t="s">
        <v>57</v>
      </c>
      <c r="I2322">
        <v>5.4</v>
      </c>
      <c r="J2322" t="s">
        <v>31</v>
      </c>
    </row>
    <row r="2323" spans="1:10" x14ac:dyDescent="0.25">
      <c r="A2323" s="1">
        <v>408</v>
      </c>
      <c r="B2323" t="s">
        <v>39</v>
      </c>
      <c r="C2323">
        <v>23</v>
      </c>
      <c r="D2323">
        <v>1</v>
      </c>
      <c r="E2323" t="s">
        <v>108</v>
      </c>
      <c r="F2323" t="s">
        <v>109</v>
      </c>
      <c r="G2323" t="str">
        <f>"2025-03-03 12:05:39.741"</f>
        <v>2025-03-03 12:05:39.741</v>
      </c>
      <c r="H2323" t="s">
        <v>63</v>
      </c>
      <c r="I2323">
        <v>5.55</v>
      </c>
      <c r="J2323" t="s">
        <v>31</v>
      </c>
    </row>
    <row r="2324" spans="1:10" x14ac:dyDescent="0.25">
      <c r="A2324" s="1">
        <v>409</v>
      </c>
      <c r="B2324" t="s">
        <v>39</v>
      </c>
      <c r="C2324">
        <v>104</v>
      </c>
      <c r="D2324">
        <v>1</v>
      </c>
      <c r="E2324" t="s">
        <v>121</v>
      </c>
      <c r="F2324" t="s">
        <v>120</v>
      </c>
      <c r="G2324" t="str">
        <f>"2025-03-03 12:05:39.684"</f>
        <v>2025-03-03 12:05:39.684</v>
      </c>
      <c r="H2324" t="s">
        <v>57</v>
      </c>
      <c r="I2324">
        <v>5.61</v>
      </c>
      <c r="J2324" t="s">
        <v>31</v>
      </c>
    </row>
    <row r="2325" spans="1:10" x14ac:dyDescent="0.25">
      <c r="A2325" s="1">
        <v>410</v>
      </c>
      <c r="B2325" t="s">
        <v>39</v>
      </c>
      <c r="C2325">
        <v>204</v>
      </c>
      <c r="D2325">
        <v>1</v>
      </c>
      <c r="E2325" t="s">
        <v>116</v>
      </c>
      <c r="F2325" t="s">
        <v>120</v>
      </c>
      <c r="G2325" t="str">
        <f>"2025-03-03 12:05:39.664"</f>
        <v>2025-03-03 12:05:39.664</v>
      </c>
      <c r="H2325" t="s">
        <v>52</v>
      </c>
      <c r="I2325">
        <v>5.63</v>
      </c>
      <c r="J2325" t="s">
        <v>31</v>
      </c>
    </row>
    <row r="2326" spans="1:10" x14ac:dyDescent="0.25">
      <c r="A2326" s="1">
        <v>411</v>
      </c>
      <c r="B2326" t="s">
        <v>19</v>
      </c>
      <c r="C2326">
        <v>706</v>
      </c>
      <c r="D2326">
        <v>4</v>
      </c>
      <c r="E2326" t="s">
        <v>23</v>
      </c>
      <c r="F2326" t="s">
        <v>26</v>
      </c>
      <c r="G2326" t="str">
        <f>"2025-03-03 12:05:39.570"</f>
        <v>2025-03-03 12:05:39.570</v>
      </c>
      <c r="H2326" t="s">
        <v>21</v>
      </c>
      <c r="I2326">
        <v>5.75</v>
      </c>
      <c r="J2326" t="s">
        <v>31</v>
      </c>
    </row>
    <row r="2327" spans="1:10" x14ac:dyDescent="0.25">
      <c r="A2327" s="1">
        <v>412</v>
      </c>
      <c r="B2327" t="s">
        <v>27</v>
      </c>
      <c r="C2327">
        <v>61</v>
      </c>
      <c r="D2327">
        <v>2</v>
      </c>
      <c r="E2327" t="s">
        <v>47</v>
      </c>
      <c r="F2327" t="s">
        <v>48</v>
      </c>
      <c r="G2327" t="str">
        <f>"2025-03-03 12:03:53.142"</f>
        <v>2025-03-03 12:03:53.142</v>
      </c>
      <c r="H2327" t="s">
        <v>21</v>
      </c>
    </row>
    <row r="2328" spans="1:10" x14ac:dyDescent="0.25">
      <c r="A2328" s="1">
        <v>413</v>
      </c>
      <c r="B2328" t="s">
        <v>39</v>
      </c>
      <c r="C2328">
        <v>61</v>
      </c>
      <c r="D2328">
        <v>2</v>
      </c>
      <c r="E2328" t="s">
        <v>47</v>
      </c>
      <c r="F2328" t="s">
        <v>48</v>
      </c>
      <c r="G2328" t="str">
        <f>"2025-03-03 12:03:47.642"</f>
        <v>2025-03-03 12:03:47.642</v>
      </c>
      <c r="H2328" t="s">
        <v>21</v>
      </c>
      <c r="I2328">
        <v>29.23</v>
      </c>
      <c r="J2328" t="s">
        <v>31</v>
      </c>
    </row>
    <row r="2329" spans="1:10" x14ac:dyDescent="0.25">
      <c r="A2329" s="1">
        <v>414</v>
      </c>
      <c r="B2329" t="s">
        <v>27</v>
      </c>
      <c r="C2329">
        <v>635</v>
      </c>
      <c r="D2329">
        <v>1</v>
      </c>
      <c r="E2329" t="s">
        <v>32</v>
      </c>
      <c r="F2329" t="s">
        <v>33</v>
      </c>
      <c r="G2329" t="str">
        <f>"2025-03-03 09:17:29.229"</f>
        <v>2025-03-03 09:17:29.229</v>
      </c>
      <c r="H2329" t="s">
        <v>21</v>
      </c>
    </row>
    <row r="2330" spans="1:10" x14ac:dyDescent="0.25">
      <c r="A2330" s="1">
        <v>415</v>
      </c>
      <c r="B2330" t="s">
        <v>30</v>
      </c>
      <c r="C2330">
        <v>635</v>
      </c>
      <c r="D2330">
        <v>1</v>
      </c>
      <c r="E2330" t="s">
        <v>32</v>
      </c>
      <c r="F2330" t="s">
        <v>33</v>
      </c>
      <c r="G2330" t="str">
        <f>"2025-03-03 09:13:23.329"</f>
        <v>2025-03-03 09:13:23.329</v>
      </c>
      <c r="H2330" t="s">
        <v>21</v>
      </c>
      <c r="I2330">
        <v>0.37</v>
      </c>
      <c r="J2330" t="s">
        <v>42</v>
      </c>
    </row>
    <row r="2331" spans="1:10" x14ac:dyDescent="0.25">
      <c r="A2331" s="1">
        <v>416</v>
      </c>
      <c r="B2331" t="s">
        <v>49</v>
      </c>
      <c r="C2331">
        <v>137</v>
      </c>
      <c r="D2331">
        <v>4</v>
      </c>
      <c r="E2331" t="s">
        <v>74</v>
      </c>
      <c r="F2331" t="s">
        <v>54</v>
      </c>
      <c r="G2331" t="str">
        <f>"2025-03-03 08:39:59.895"</f>
        <v>2025-03-03 08:39:59.895</v>
      </c>
      <c r="H2331" t="s">
        <v>57</v>
      </c>
    </row>
    <row r="2332" spans="1:10" x14ac:dyDescent="0.25">
      <c r="A2332" s="1">
        <v>417</v>
      </c>
      <c r="B2332" t="s">
        <v>39</v>
      </c>
      <c r="C2332">
        <v>137</v>
      </c>
      <c r="D2332">
        <v>4</v>
      </c>
      <c r="E2332" t="s">
        <v>74</v>
      </c>
      <c r="F2332" t="s">
        <v>54</v>
      </c>
      <c r="G2332" t="str">
        <f>"2025-03-03 08:39:54.884"</f>
        <v>2025-03-03 08:39:54.884</v>
      </c>
      <c r="H2332" t="s">
        <v>57</v>
      </c>
      <c r="I2332">
        <v>16.23</v>
      </c>
      <c r="J2332" t="s">
        <v>34</v>
      </c>
    </row>
    <row r="2333" spans="1:10" x14ac:dyDescent="0.25">
      <c r="A2333" s="1">
        <v>418</v>
      </c>
      <c r="B2333" t="s">
        <v>49</v>
      </c>
      <c r="C2333">
        <v>137</v>
      </c>
      <c r="D2333">
        <v>4</v>
      </c>
      <c r="E2333" t="s">
        <v>74</v>
      </c>
      <c r="F2333" t="s">
        <v>54</v>
      </c>
      <c r="G2333" t="str">
        <f>"2025-03-03 04:35:32.695"</f>
        <v>2025-03-03 04:35:32.695</v>
      </c>
      <c r="H2333" t="s">
        <v>57</v>
      </c>
    </row>
    <row r="2334" spans="1:10" x14ac:dyDescent="0.25">
      <c r="A2334" s="1">
        <v>419</v>
      </c>
      <c r="B2334" t="s">
        <v>39</v>
      </c>
      <c r="C2334">
        <v>137</v>
      </c>
      <c r="D2334">
        <v>4</v>
      </c>
      <c r="E2334" t="s">
        <v>74</v>
      </c>
      <c r="F2334" t="s">
        <v>54</v>
      </c>
      <c r="G2334" t="str">
        <f>"2025-03-03 04:35:27.624"</f>
        <v>2025-03-03 04:35:27.624</v>
      </c>
      <c r="H2334" t="s">
        <v>57</v>
      </c>
      <c r="I2334">
        <v>10.69</v>
      </c>
      <c r="J2334" t="s">
        <v>34</v>
      </c>
    </row>
    <row r="2335" spans="1:10" x14ac:dyDescent="0.25">
      <c r="A2335" s="1">
        <v>420</v>
      </c>
      <c r="B2335" t="s">
        <v>49</v>
      </c>
      <c r="C2335">
        <v>128</v>
      </c>
      <c r="D2335">
        <v>7</v>
      </c>
      <c r="E2335" t="s">
        <v>55</v>
      </c>
      <c r="F2335" t="s">
        <v>56</v>
      </c>
      <c r="G2335" t="str">
        <f>"2025-03-03 03:23:35.295"</f>
        <v>2025-03-03 03:23:35.295</v>
      </c>
      <c r="H2335" t="s">
        <v>57</v>
      </c>
    </row>
    <row r="2336" spans="1:10" x14ac:dyDescent="0.25">
      <c r="A2336" s="1">
        <v>421</v>
      </c>
      <c r="B2336" t="s">
        <v>39</v>
      </c>
      <c r="C2336">
        <v>128</v>
      </c>
      <c r="D2336">
        <v>7</v>
      </c>
      <c r="E2336" t="s">
        <v>55</v>
      </c>
      <c r="F2336" t="s">
        <v>56</v>
      </c>
      <c r="G2336" t="str">
        <f>"2025-03-03 03:23:30.204"</f>
        <v>2025-03-03 03:23:30.204</v>
      </c>
      <c r="H2336" t="s">
        <v>57</v>
      </c>
      <c r="I2336">
        <v>17.29</v>
      </c>
      <c r="J2336" t="s">
        <v>34</v>
      </c>
    </row>
    <row r="2337" spans="1:10" x14ac:dyDescent="0.25">
      <c r="A2337" s="1">
        <v>422</v>
      </c>
      <c r="B2337" t="s">
        <v>19</v>
      </c>
      <c r="C2337">
        <v>706</v>
      </c>
      <c r="D2337">
        <v>2</v>
      </c>
      <c r="E2337" t="s">
        <v>23</v>
      </c>
      <c r="F2337" t="s">
        <v>24</v>
      </c>
      <c r="G2337" t="str">
        <f>"2025-03-03 02:46:14.230"</f>
        <v>2025-03-03 02:46:14.230</v>
      </c>
      <c r="H2337" t="s">
        <v>21</v>
      </c>
      <c r="I2337">
        <v>0</v>
      </c>
      <c r="J2337" t="s">
        <v>25</v>
      </c>
    </row>
    <row r="2338" spans="1:10" x14ac:dyDescent="0.25">
      <c r="A2338" s="1">
        <v>423</v>
      </c>
      <c r="B2338" t="s">
        <v>19</v>
      </c>
      <c r="C2338">
        <v>700</v>
      </c>
      <c r="D2338">
        <v>0</v>
      </c>
      <c r="E2338" t="s">
        <v>20</v>
      </c>
      <c r="F2338" t="s">
        <v>20</v>
      </c>
      <c r="G2338" t="str">
        <f>"2025-03-03 02:44:39.490"</f>
        <v>2025-03-03 02:44:39.490</v>
      </c>
      <c r="H2338" t="s">
        <v>21</v>
      </c>
      <c r="I2338">
        <v>0</v>
      </c>
      <c r="J2338" t="s">
        <v>22</v>
      </c>
    </row>
    <row r="2339" spans="1:10" x14ac:dyDescent="0.25">
      <c r="A2339" s="1">
        <v>424</v>
      </c>
      <c r="B2339" t="s">
        <v>49</v>
      </c>
      <c r="C2339">
        <v>128</v>
      </c>
      <c r="D2339">
        <v>4</v>
      </c>
      <c r="E2339" t="s">
        <v>55</v>
      </c>
      <c r="F2339" t="s">
        <v>51</v>
      </c>
      <c r="G2339" t="str">
        <f>"2025-03-02 20:31:57.894"</f>
        <v>2025-03-02 20:31:57.894</v>
      </c>
      <c r="H2339" t="s">
        <v>57</v>
      </c>
    </row>
    <row r="2340" spans="1:10" x14ac:dyDescent="0.25">
      <c r="A2340" s="1">
        <v>425</v>
      </c>
      <c r="B2340" t="s">
        <v>39</v>
      </c>
      <c r="C2340">
        <v>128</v>
      </c>
      <c r="D2340">
        <v>4</v>
      </c>
      <c r="E2340" t="s">
        <v>55</v>
      </c>
      <c r="F2340" t="s">
        <v>51</v>
      </c>
      <c r="G2340" t="str">
        <f>"2025-03-02 20:31:52.813"</f>
        <v>2025-03-02 20:31:52.813</v>
      </c>
      <c r="H2340" t="s">
        <v>57</v>
      </c>
      <c r="I2340">
        <v>7.03</v>
      </c>
      <c r="J2340" t="s">
        <v>34</v>
      </c>
    </row>
    <row r="2341" spans="1:10" x14ac:dyDescent="0.25">
      <c r="A2341" s="1">
        <v>428</v>
      </c>
      <c r="B2341" t="s">
        <v>19</v>
      </c>
      <c r="C2341">
        <v>782</v>
      </c>
      <c r="D2341">
        <v>7</v>
      </c>
      <c r="E2341" t="s">
        <v>81</v>
      </c>
      <c r="F2341" t="s">
        <v>82</v>
      </c>
      <c r="G2341" t="str">
        <f>"2025-03-02 12:10:21.147"</f>
        <v>2025-03-02 12:10:21.147</v>
      </c>
      <c r="H2341" t="s">
        <v>21</v>
      </c>
      <c r="I2341">
        <v>0</v>
      </c>
      <c r="J2341" t="s">
        <v>25</v>
      </c>
    </row>
    <row r="2342" spans="1:10" x14ac:dyDescent="0.25">
      <c r="A2342" s="1">
        <v>431</v>
      </c>
      <c r="B2342" t="s">
        <v>27</v>
      </c>
      <c r="C2342">
        <v>250</v>
      </c>
      <c r="D2342">
        <v>7</v>
      </c>
      <c r="E2342" t="s">
        <v>83</v>
      </c>
      <c r="F2342" t="s">
        <v>84</v>
      </c>
      <c r="G2342" t="str">
        <f>"2025-03-02 12:10:21.141"</f>
        <v>2025-03-02 12:10:21.141</v>
      </c>
      <c r="H2342" t="s">
        <v>21</v>
      </c>
    </row>
    <row r="2343" spans="1:10" x14ac:dyDescent="0.25">
      <c r="A2343" s="1">
        <v>432</v>
      </c>
      <c r="B2343" t="s">
        <v>27</v>
      </c>
      <c r="C2343">
        <v>248</v>
      </c>
      <c r="D2343">
        <v>7</v>
      </c>
      <c r="E2343" t="s">
        <v>85</v>
      </c>
      <c r="F2343" t="s">
        <v>86</v>
      </c>
      <c r="G2343" t="str">
        <f>"2025-03-02 12:10:21.140"</f>
        <v>2025-03-02 12:10:21.140</v>
      </c>
      <c r="H2343" t="s">
        <v>21</v>
      </c>
    </row>
    <row r="2344" spans="1:10" x14ac:dyDescent="0.25">
      <c r="A2344" s="1">
        <v>433</v>
      </c>
      <c r="B2344" t="s">
        <v>27</v>
      </c>
      <c r="C2344">
        <v>207</v>
      </c>
      <c r="D2344">
        <v>2</v>
      </c>
      <c r="E2344" t="s">
        <v>87</v>
      </c>
      <c r="F2344" t="s">
        <v>88</v>
      </c>
      <c r="G2344" t="str">
        <f>"2025-03-02 12:10:21.138"</f>
        <v>2025-03-02 12:10:21.138</v>
      </c>
      <c r="H2344" t="s">
        <v>52</v>
      </c>
    </row>
    <row r="2345" spans="1:10" x14ac:dyDescent="0.25">
      <c r="A2345" s="1">
        <v>434</v>
      </c>
      <c r="B2345" t="s">
        <v>27</v>
      </c>
      <c r="C2345">
        <v>207</v>
      </c>
      <c r="D2345">
        <v>1</v>
      </c>
      <c r="E2345" t="s">
        <v>87</v>
      </c>
      <c r="F2345" t="s">
        <v>145</v>
      </c>
      <c r="G2345" t="str">
        <f>"2025-03-02 12:10:21.137"</f>
        <v>2025-03-02 12:10:21.137</v>
      </c>
      <c r="H2345" t="s">
        <v>52</v>
      </c>
    </row>
    <row r="2346" spans="1:10" x14ac:dyDescent="0.25">
      <c r="A2346" s="1">
        <v>435</v>
      </c>
      <c r="B2346" t="s">
        <v>27</v>
      </c>
      <c r="C2346">
        <v>107</v>
      </c>
      <c r="D2346">
        <v>2</v>
      </c>
      <c r="E2346" t="s">
        <v>89</v>
      </c>
      <c r="F2346" t="s">
        <v>88</v>
      </c>
      <c r="G2346" t="str">
        <f>"2025-03-02 12:10:21.134"</f>
        <v>2025-03-02 12:10:21.134</v>
      </c>
      <c r="H2346" t="s">
        <v>57</v>
      </c>
    </row>
    <row r="2347" spans="1:10" x14ac:dyDescent="0.25">
      <c r="A2347" s="1">
        <v>436</v>
      </c>
      <c r="B2347" t="s">
        <v>27</v>
      </c>
      <c r="C2347">
        <v>107</v>
      </c>
      <c r="D2347">
        <v>1</v>
      </c>
      <c r="E2347" t="s">
        <v>89</v>
      </c>
      <c r="F2347" t="s">
        <v>145</v>
      </c>
      <c r="G2347" t="str">
        <f>"2025-03-02 12:10:21.131"</f>
        <v>2025-03-02 12:10:21.131</v>
      </c>
      <c r="H2347" t="s">
        <v>57</v>
      </c>
    </row>
    <row r="2348" spans="1:10" x14ac:dyDescent="0.25">
      <c r="A2348" s="1">
        <v>437</v>
      </c>
      <c r="B2348" t="s">
        <v>19</v>
      </c>
      <c r="C2348">
        <v>782</v>
      </c>
      <c r="D2348">
        <v>7</v>
      </c>
      <c r="E2348" t="s">
        <v>81</v>
      </c>
      <c r="F2348" t="s">
        <v>82</v>
      </c>
      <c r="G2348" t="str">
        <f>"2025-03-02 12:10:21.130"</f>
        <v>2025-03-02 12:10:21.130</v>
      </c>
      <c r="H2348" t="s">
        <v>21</v>
      </c>
      <c r="I2348">
        <v>0</v>
      </c>
      <c r="J2348" t="s">
        <v>25</v>
      </c>
    </row>
    <row r="2349" spans="1:10" x14ac:dyDescent="0.25">
      <c r="A2349" s="1">
        <v>438</v>
      </c>
      <c r="B2349" t="s">
        <v>30</v>
      </c>
      <c r="C2349">
        <v>248</v>
      </c>
      <c r="D2349">
        <v>7</v>
      </c>
      <c r="E2349" t="s">
        <v>85</v>
      </c>
      <c r="F2349" t="s">
        <v>86</v>
      </c>
      <c r="G2349" t="str">
        <f>"2025-03-02 12:09:40.113"</f>
        <v>2025-03-02 12:09:40.113</v>
      </c>
      <c r="H2349" t="s">
        <v>21</v>
      </c>
      <c r="I2349">
        <v>0</v>
      </c>
      <c r="J2349" t="s">
        <v>25</v>
      </c>
    </row>
    <row r="2350" spans="1:10" x14ac:dyDescent="0.25">
      <c r="A2350" s="1">
        <v>439</v>
      </c>
      <c r="B2350" t="s">
        <v>30</v>
      </c>
      <c r="C2350">
        <v>250</v>
      </c>
      <c r="D2350">
        <v>7</v>
      </c>
      <c r="E2350" t="s">
        <v>83</v>
      </c>
      <c r="F2350" t="s">
        <v>84</v>
      </c>
      <c r="G2350" t="str">
        <f>"2025-03-02 12:09:39.913"</f>
        <v>2025-03-02 12:09:39.913</v>
      </c>
      <c r="H2350" t="s">
        <v>21</v>
      </c>
      <c r="I2350">
        <v>0</v>
      </c>
      <c r="J2350" t="s">
        <v>25</v>
      </c>
    </row>
    <row r="2351" spans="1:10" x14ac:dyDescent="0.25">
      <c r="A2351" s="1">
        <v>440</v>
      </c>
      <c r="B2351" t="s">
        <v>49</v>
      </c>
      <c r="C2351">
        <v>250</v>
      </c>
      <c r="D2351">
        <v>7</v>
      </c>
      <c r="E2351" t="s">
        <v>83</v>
      </c>
      <c r="F2351" t="s">
        <v>84</v>
      </c>
      <c r="G2351" t="str">
        <f>"2025-03-02 12:09:39.795"</f>
        <v>2025-03-02 12:09:39.795</v>
      </c>
      <c r="H2351" t="s">
        <v>21</v>
      </c>
    </row>
    <row r="2352" spans="1:10" x14ac:dyDescent="0.25">
      <c r="A2352" s="1">
        <v>441</v>
      </c>
      <c r="B2352" t="s">
        <v>49</v>
      </c>
      <c r="C2352">
        <v>248</v>
      </c>
      <c r="D2352">
        <v>7</v>
      </c>
      <c r="E2352" t="s">
        <v>85</v>
      </c>
      <c r="F2352" t="s">
        <v>86</v>
      </c>
      <c r="G2352" t="str">
        <f>"2025-03-02 12:09:39.694"</f>
        <v>2025-03-02 12:09:39.694</v>
      </c>
      <c r="H2352" t="s">
        <v>21</v>
      </c>
    </row>
    <row r="2353" spans="1:10" x14ac:dyDescent="0.25">
      <c r="A2353" s="1">
        <v>442</v>
      </c>
      <c r="B2353" t="s">
        <v>49</v>
      </c>
      <c r="C2353">
        <v>150</v>
      </c>
      <c r="D2353">
        <v>7</v>
      </c>
      <c r="E2353" t="s">
        <v>94</v>
      </c>
      <c r="F2353" t="s">
        <v>84</v>
      </c>
      <c r="G2353" t="str">
        <f>"2025-03-02 12:09:38.594"</f>
        <v>2025-03-02 12:09:38.594</v>
      </c>
      <c r="H2353" t="s">
        <v>21</v>
      </c>
    </row>
    <row r="2354" spans="1:10" x14ac:dyDescent="0.25">
      <c r="A2354" s="1">
        <v>443</v>
      </c>
      <c r="B2354" t="s">
        <v>49</v>
      </c>
      <c r="C2354">
        <v>148</v>
      </c>
      <c r="D2354">
        <v>7</v>
      </c>
      <c r="E2354" t="s">
        <v>95</v>
      </c>
      <c r="F2354" t="s">
        <v>86</v>
      </c>
      <c r="G2354" t="str">
        <f>"2025-03-02 12:09:38.294"</f>
        <v>2025-03-02 12:09:38.294</v>
      </c>
      <c r="H2354" t="s">
        <v>21</v>
      </c>
    </row>
    <row r="2355" spans="1:10" x14ac:dyDescent="0.25">
      <c r="A2355" s="1">
        <v>444</v>
      </c>
      <c r="B2355" t="s">
        <v>49</v>
      </c>
      <c r="C2355">
        <v>77</v>
      </c>
      <c r="D2355">
        <v>1</v>
      </c>
      <c r="E2355" t="s">
        <v>141</v>
      </c>
      <c r="F2355" t="s">
        <v>142</v>
      </c>
      <c r="G2355" t="str">
        <f>"2025-03-02 12:09:37.895"</f>
        <v>2025-03-02 12:09:37.895</v>
      </c>
      <c r="H2355" t="s">
        <v>63</v>
      </c>
    </row>
    <row r="2356" spans="1:10" x14ac:dyDescent="0.25">
      <c r="A2356" s="1">
        <v>445</v>
      </c>
      <c r="B2356" t="s">
        <v>39</v>
      </c>
      <c r="C2356">
        <v>250</v>
      </c>
      <c r="D2356">
        <v>7</v>
      </c>
      <c r="E2356" t="s">
        <v>83</v>
      </c>
      <c r="F2356" t="s">
        <v>84</v>
      </c>
      <c r="G2356" t="str">
        <f>"2025-03-02 12:09:34.658"</f>
        <v>2025-03-02 12:09:34.658</v>
      </c>
      <c r="H2356" t="s">
        <v>21</v>
      </c>
      <c r="I2356">
        <v>0</v>
      </c>
      <c r="J2356" t="s">
        <v>25</v>
      </c>
    </row>
    <row r="2357" spans="1:10" x14ac:dyDescent="0.25">
      <c r="A2357" s="1">
        <v>446</v>
      </c>
      <c r="B2357" t="s">
        <v>39</v>
      </c>
      <c r="C2357">
        <v>248</v>
      </c>
      <c r="D2357">
        <v>7</v>
      </c>
      <c r="E2357" t="s">
        <v>85</v>
      </c>
      <c r="F2357" t="s">
        <v>86</v>
      </c>
      <c r="G2357" t="str">
        <f>"2025-03-02 12:09:34.653"</f>
        <v>2025-03-02 12:09:34.653</v>
      </c>
      <c r="H2357" t="s">
        <v>21</v>
      </c>
      <c r="I2357">
        <v>0</v>
      </c>
      <c r="J2357" t="s">
        <v>25</v>
      </c>
    </row>
    <row r="2358" spans="1:10" x14ac:dyDescent="0.25">
      <c r="A2358" s="1">
        <v>447</v>
      </c>
      <c r="B2358" t="s">
        <v>30</v>
      </c>
      <c r="C2358">
        <v>107</v>
      </c>
      <c r="D2358">
        <v>1</v>
      </c>
      <c r="E2358" t="s">
        <v>89</v>
      </c>
      <c r="F2358" t="s">
        <v>145</v>
      </c>
      <c r="G2358" t="str">
        <f>"2025-03-02 12:09:33.267"</f>
        <v>2025-03-02 12:09:33.267</v>
      </c>
      <c r="H2358" t="s">
        <v>57</v>
      </c>
      <c r="I2358">
        <v>0</v>
      </c>
      <c r="J2358" t="s">
        <v>25</v>
      </c>
    </row>
    <row r="2359" spans="1:10" x14ac:dyDescent="0.25">
      <c r="A2359" s="1">
        <v>448</v>
      </c>
      <c r="B2359" t="s">
        <v>39</v>
      </c>
      <c r="C2359">
        <v>150</v>
      </c>
      <c r="D2359">
        <v>7</v>
      </c>
      <c r="E2359" t="s">
        <v>94</v>
      </c>
      <c r="F2359" t="s">
        <v>84</v>
      </c>
      <c r="G2359" t="str">
        <f>"2025-03-02 12:09:33.262"</f>
        <v>2025-03-02 12:09:33.262</v>
      </c>
      <c r="H2359" t="s">
        <v>21</v>
      </c>
      <c r="I2359">
        <v>0</v>
      </c>
      <c r="J2359" t="s">
        <v>25</v>
      </c>
    </row>
    <row r="2360" spans="1:10" x14ac:dyDescent="0.25">
      <c r="A2360" s="1">
        <v>449</v>
      </c>
      <c r="B2360" t="s">
        <v>39</v>
      </c>
      <c r="C2360">
        <v>148</v>
      </c>
      <c r="D2360">
        <v>7</v>
      </c>
      <c r="E2360" t="s">
        <v>95</v>
      </c>
      <c r="F2360" t="s">
        <v>86</v>
      </c>
      <c r="G2360" t="str">
        <f>"2025-03-02 12:09:33.258"</f>
        <v>2025-03-02 12:09:33.258</v>
      </c>
      <c r="H2360" t="s">
        <v>21</v>
      </c>
      <c r="I2360">
        <v>0</v>
      </c>
      <c r="J2360" t="s">
        <v>25</v>
      </c>
    </row>
    <row r="2361" spans="1:10" x14ac:dyDescent="0.25">
      <c r="A2361" s="1">
        <v>450</v>
      </c>
      <c r="B2361" t="s">
        <v>30</v>
      </c>
      <c r="C2361">
        <v>107</v>
      </c>
      <c r="D2361">
        <v>2</v>
      </c>
      <c r="E2361" t="s">
        <v>89</v>
      </c>
      <c r="F2361" t="s">
        <v>88</v>
      </c>
      <c r="G2361" t="str">
        <f>"2025-03-02 12:09:33.253"</f>
        <v>2025-03-02 12:09:33.253</v>
      </c>
      <c r="H2361" t="s">
        <v>57</v>
      </c>
      <c r="I2361">
        <v>0</v>
      </c>
      <c r="J2361" t="s">
        <v>25</v>
      </c>
    </row>
    <row r="2362" spans="1:10" x14ac:dyDescent="0.25">
      <c r="A2362" s="1">
        <v>451</v>
      </c>
      <c r="B2362" t="s">
        <v>30</v>
      </c>
      <c r="C2362">
        <v>207</v>
      </c>
      <c r="D2362">
        <v>1</v>
      </c>
      <c r="E2362" t="s">
        <v>87</v>
      </c>
      <c r="F2362" t="s">
        <v>145</v>
      </c>
      <c r="G2362" t="str">
        <f>"2025-03-02 12:09:33.153"</f>
        <v>2025-03-02 12:09:33.153</v>
      </c>
      <c r="H2362" t="s">
        <v>52</v>
      </c>
      <c r="I2362">
        <v>0</v>
      </c>
      <c r="J2362" t="s">
        <v>25</v>
      </c>
    </row>
    <row r="2363" spans="1:10" x14ac:dyDescent="0.25">
      <c r="A2363" s="1">
        <v>452</v>
      </c>
      <c r="B2363" t="s">
        <v>30</v>
      </c>
      <c r="C2363">
        <v>207</v>
      </c>
      <c r="D2363">
        <v>2</v>
      </c>
      <c r="E2363" t="s">
        <v>87</v>
      </c>
      <c r="F2363" t="s">
        <v>88</v>
      </c>
      <c r="G2363" t="str">
        <f>"2025-03-02 12:09:33.073"</f>
        <v>2025-03-02 12:09:33.073</v>
      </c>
      <c r="H2363" t="s">
        <v>52</v>
      </c>
      <c r="I2363">
        <v>0</v>
      </c>
      <c r="J2363" t="s">
        <v>25</v>
      </c>
    </row>
    <row r="2364" spans="1:10" x14ac:dyDescent="0.25">
      <c r="A2364" s="1">
        <v>453</v>
      </c>
      <c r="B2364" t="s">
        <v>39</v>
      </c>
      <c r="C2364">
        <v>77</v>
      </c>
      <c r="D2364">
        <v>1</v>
      </c>
      <c r="E2364" t="s">
        <v>141</v>
      </c>
      <c r="F2364" t="s">
        <v>142</v>
      </c>
      <c r="G2364" t="str">
        <f>"2025-03-02 12:09:32.868"</f>
        <v>2025-03-02 12:09:32.868</v>
      </c>
      <c r="H2364" t="s">
        <v>63</v>
      </c>
      <c r="I2364">
        <v>0</v>
      </c>
      <c r="J2364" t="s">
        <v>25</v>
      </c>
    </row>
    <row r="2365" spans="1:10" x14ac:dyDescent="0.25">
      <c r="A2365" s="1">
        <v>454</v>
      </c>
      <c r="B2365" t="s">
        <v>19</v>
      </c>
      <c r="C2365">
        <v>706</v>
      </c>
      <c r="D2365">
        <v>2</v>
      </c>
      <c r="E2365" t="s">
        <v>23</v>
      </c>
      <c r="F2365" t="s">
        <v>24</v>
      </c>
      <c r="G2365" t="str">
        <f>"2025-03-02 12:09:25.078"</f>
        <v>2025-03-02 12:09:25.078</v>
      </c>
      <c r="H2365" t="s">
        <v>21</v>
      </c>
      <c r="I2365">
        <v>0</v>
      </c>
      <c r="J2365" t="s">
        <v>25</v>
      </c>
    </row>
    <row r="2366" spans="1:10" x14ac:dyDescent="0.25">
      <c r="A2366" s="1">
        <v>455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"2025-03-02 12:01:39.178"</f>
        <v>2025-03-02 12:01:39.178</v>
      </c>
      <c r="H2366" t="s">
        <v>21</v>
      </c>
    </row>
    <row r="2367" spans="1:10" x14ac:dyDescent="0.25">
      <c r="A2367" s="1">
        <v>456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"2025-03-02 09:24:13.178"</f>
        <v>2025-03-02 09:24:13.178</v>
      </c>
      <c r="H2367" t="s">
        <v>21</v>
      </c>
      <c r="I2367">
        <v>0</v>
      </c>
      <c r="J2367" t="s">
        <v>22</v>
      </c>
    </row>
    <row r="2368" spans="1:10" x14ac:dyDescent="0.25">
      <c r="A2368" s="1">
        <v>457</v>
      </c>
      <c r="B2368" t="s">
        <v>19</v>
      </c>
      <c r="C2368">
        <v>700</v>
      </c>
      <c r="D2368">
        <v>0</v>
      </c>
      <c r="E2368" t="s">
        <v>20</v>
      </c>
      <c r="F2368" t="s">
        <v>20</v>
      </c>
      <c r="G2368" t="str">
        <f>"2025-03-02 09:13:03.211"</f>
        <v>2025-03-02 09:13:03.211</v>
      </c>
      <c r="H2368" t="s">
        <v>21</v>
      </c>
      <c r="I2368">
        <v>0</v>
      </c>
      <c r="J2368" t="s">
        <v>22</v>
      </c>
    </row>
    <row r="2369" spans="1:10" x14ac:dyDescent="0.25">
      <c r="A2369" s="1">
        <v>458</v>
      </c>
      <c r="B2369" t="s">
        <v>49</v>
      </c>
      <c r="C2369">
        <v>137</v>
      </c>
      <c r="D2369">
        <v>4</v>
      </c>
      <c r="E2369" t="s">
        <v>74</v>
      </c>
      <c r="F2369" t="s">
        <v>54</v>
      </c>
      <c r="G2369" t="str">
        <f>"2025-03-02 04:02:38.960"</f>
        <v>2025-03-02 04:02:38.960</v>
      </c>
      <c r="H2369" t="s">
        <v>57</v>
      </c>
    </row>
    <row r="2370" spans="1:10" x14ac:dyDescent="0.25">
      <c r="A2370" s="1">
        <v>459</v>
      </c>
      <c r="B2370" t="s">
        <v>39</v>
      </c>
      <c r="C2370">
        <v>137</v>
      </c>
      <c r="D2370">
        <v>4</v>
      </c>
      <c r="E2370" t="s">
        <v>74</v>
      </c>
      <c r="F2370" t="s">
        <v>54</v>
      </c>
      <c r="G2370" t="str">
        <f>"2025-03-02 04:02:33.908"</f>
        <v>2025-03-02 04:02:33.908</v>
      </c>
      <c r="H2370" t="s">
        <v>57</v>
      </c>
      <c r="I2370">
        <v>11.3</v>
      </c>
      <c r="J2370" t="s">
        <v>34</v>
      </c>
    </row>
    <row r="2371" spans="1:10" x14ac:dyDescent="0.25">
      <c r="A2371" s="1">
        <v>460</v>
      </c>
      <c r="B2371" t="s">
        <v>49</v>
      </c>
      <c r="C2371">
        <v>128</v>
      </c>
      <c r="D2371">
        <v>4</v>
      </c>
      <c r="E2371" t="s">
        <v>55</v>
      </c>
      <c r="F2371" t="s">
        <v>51</v>
      </c>
      <c r="G2371" t="str">
        <f>"2025-03-02 02:13:29.860"</f>
        <v>2025-03-02 02:13:29.860</v>
      </c>
      <c r="H2371" t="s">
        <v>57</v>
      </c>
    </row>
    <row r="2372" spans="1:10" x14ac:dyDescent="0.25">
      <c r="A2372" s="1">
        <v>461</v>
      </c>
      <c r="B2372" t="s">
        <v>39</v>
      </c>
      <c r="C2372">
        <v>128</v>
      </c>
      <c r="D2372">
        <v>4</v>
      </c>
      <c r="E2372" t="s">
        <v>55</v>
      </c>
      <c r="F2372" t="s">
        <v>51</v>
      </c>
      <c r="G2372" t="str">
        <f>"2025-03-02 02:13:24.768"</f>
        <v>2025-03-02 02:13:24.768</v>
      </c>
      <c r="H2372" t="s">
        <v>57</v>
      </c>
      <c r="I2372">
        <v>17.41</v>
      </c>
      <c r="J2372" t="s">
        <v>34</v>
      </c>
    </row>
    <row r="2373" spans="1:10" x14ac:dyDescent="0.25">
      <c r="A2373" s="1">
        <v>462</v>
      </c>
      <c r="B2373" t="s">
        <v>49</v>
      </c>
      <c r="C2373">
        <v>137</v>
      </c>
      <c r="D2373">
        <v>4</v>
      </c>
      <c r="E2373" t="s">
        <v>74</v>
      </c>
      <c r="F2373" t="s">
        <v>54</v>
      </c>
      <c r="G2373" t="str">
        <f>"2025-03-01 10:10:47.760"</f>
        <v>2025-03-01 10:10:47.760</v>
      </c>
      <c r="H2373" t="s">
        <v>57</v>
      </c>
    </row>
    <row r="2374" spans="1:10" x14ac:dyDescent="0.25">
      <c r="A2374" s="1">
        <v>463</v>
      </c>
      <c r="B2374" t="s">
        <v>39</v>
      </c>
      <c r="C2374">
        <v>137</v>
      </c>
      <c r="D2374">
        <v>4</v>
      </c>
      <c r="E2374" t="s">
        <v>74</v>
      </c>
      <c r="F2374" t="s">
        <v>54</v>
      </c>
      <c r="G2374" t="str">
        <f>"2025-03-01 10:10:42.728"</f>
        <v>2025-03-01 10:10:42.728</v>
      </c>
      <c r="H2374" t="s">
        <v>57</v>
      </c>
      <c r="I2374">
        <v>8.1199999999999992</v>
      </c>
      <c r="J2374" t="s">
        <v>31</v>
      </c>
    </row>
    <row r="2375" spans="1:10" x14ac:dyDescent="0.25">
      <c r="A2375" s="1">
        <v>464</v>
      </c>
      <c r="B2375" t="s">
        <v>19</v>
      </c>
      <c r="C2375">
        <v>700</v>
      </c>
      <c r="D2375">
        <v>0</v>
      </c>
      <c r="E2375" t="s">
        <v>20</v>
      </c>
      <c r="F2375" t="s">
        <v>20</v>
      </c>
      <c r="G2375" t="str">
        <f>"2025-03-01 07:46:38.161"</f>
        <v>2025-03-01 07:46:38.161</v>
      </c>
      <c r="H2375" t="s">
        <v>21</v>
      </c>
      <c r="I2375">
        <v>0</v>
      </c>
      <c r="J2375" t="s">
        <v>22</v>
      </c>
    </row>
    <row r="2376" spans="1:10" x14ac:dyDescent="0.25">
      <c r="A2376" s="1">
        <v>465</v>
      </c>
      <c r="B2376" t="s">
        <v>19</v>
      </c>
      <c r="C2376">
        <v>700</v>
      </c>
      <c r="D2376">
        <v>0</v>
      </c>
      <c r="E2376" t="s">
        <v>20</v>
      </c>
      <c r="F2376" t="s">
        <v>20</v>
      </c>
      <c r="G2376" t="str">
        <f>"2025-02-28 17:05:55.103"</f>
        <v>2025-02-28 17:05:55.103</v>
      </c>
      <c r="H2376" t="s">
        <v>21</v>
      </c>
    </row>
    <row r="2377" spans="1:10" x14ac:dyDescent="0.25">
      <c r="A2377" s="1">
        <v>466</v>
      </c>
      <c r="B2377" t="s">
        <v>19</v>
      </c>
      <c r="C2377">
        <v>700</v>
      </c>
      <c r="D2377">
        <v>0</v>
      </c>
      <c r="E2377" t="s">
        <v>20</v>
      </c>
      <c r="F2377" t="s">
        <v>20</v>
      </c>
      <c r="G2377" t="str">
        <f>"2025-02-28 16:09:29.111"</f>
        <v>2025-02-28 16:09:29.111</v>
      </c>
      <c r="H2377" t="s">
        <v>21</v>
      </c>
    </row>
    <row r="2378" spans="1:10" x14ac:dyDescent="0.25">
      <c r="A2378" s="1">
        <v>467</v>
      </c>
      <c r="B2378" t="s">
        <v>27</v>
      </c>
      <c r="C2378">
        <v>98</v>
      </c>
      <c r="D2378">
        <v>1</v>
      </c>
      <c r="E2378" t="s">
        <v>40</v>
      </c>
      <c r="F2378" t="s">
        <v>41</v>
      </c>
      <c r="G2378" t="str">
        <f>"2025-02-28 15:58:00.660"</f>
        <v>2025-02-28 15:58:00.660</v>
      </c>
      <c r="H2378" t="s">
        <v>21</v>
      </c>
    </row>
    <row r="2379" spans="1:10" x14ac:dyDescent="0.25">
      <c r="A2379" s="1">
        <v>468</v>
      </c>
      <c r="B2379" t="s">
        <v>30</v>
      </c>
      <c r="C2379">
        <v>98</v>
      </c>
      <c r="D2379">
        <v>1</v>
      </c>
      <c r="E2379" t="s">
        <v>40</v>
      </c>
      <c r="F2379" t="s">
        <v>41</v>
      </c>
      <c r="G2379" t="str">
        <f>"2025-02-28 15:57:59.660"</f>
        <v>2025-02-28 15:57:59.660</v>
      </c>
      <c r="H2379" t="s">
        <v>21</v>
      </c>
      <c r="I2379">
        <v>0</v>
      </c>
      <c r="J2379" t="s">
        <v>42</v>
      </c>
    </row>
    <row r="2380" spans="1:10" x14ac:dyDescent="0.25">
      <c r="A2380" s="1">
        <v>469</v>
      </c>
      <c r="B2380" t="s">
        <v>27</v>
      </c>
      <c r="C2380">
        <v>98</v>
      </c>
      <c r="D2380">
        <v>1</v>
      </c>
      <c r="E2380" t="s">
        <v>40</v>
      </c>
      <c r="F2380" t="s">
        <v>41</v>
      </c>
      <c r="G2380" t="str">
        <f>"2025-02-28 15:11:22.760"</f>
        <v>2025-02-28 15:11:22.760</v>
      </c>
      <c r="H2380" t="s">
        <v>21</v>
      </c>
    </row>
    <row r="2381" spans="1:10" x14ac:dyDescent="0.25">
      <c r="A2381" s="1">
        <v>470</v>
      </c>
      <c r="B2381" t="s">
        <v>30</v>
      </c>
      <c r="C2381">
        <v>98</v>
      </c>
      <c r="D2381">
        <v>1</v>
      </c>
      <c r="E2381" t="s">
        <v>40</v>
      </c>
      <c r="F2381" t="s">
        <v>41</v>
      </c>
      <c r="G2381" t="str">
        <f>"2025-02-28 15:11:21.560"</f>
        <v>2025-02-28 15:11:21.560</v>
      </c>
      <c r="H2381" t="s">
        <v>21</v>
      </c>
      <c r="I2381">
        <v>0</v>
      </c>
      <c r="J2381" t="s">
        <v>42</v>
      </c>
    </row>
    <row r="2382" spans="1:10" x14ac:dyDescent="0.25">
      <c r="A2382" s="1">
        <v>471</v>
      </c>
      <c r="B2382" t="s">
        <v>27</v>
      </c>
      <c r="C2382">
        <v>98</v>
      </c>
      <c r="D2382">
        <v>1</v>
      </c>
      <c r="E2382" t="s">
        <v>40</v>
      </c>
      <c r="F2382" t="s">
        <v>41</v>
      </c>
      <c r="G2382" t="str">
        <f>"2025-02-28 15:11:21.360"</f>
        <v>2025-02-28 15:11:21.360</v>
      </c>
      <c r="H2382" t="s">
        <v>21</v>
      </c>
    </row>
    <row r="2383" spans="1:10" x14ac:dyDescent="0.25">
      <c r="A2383" s="1">
        <v>472</v>
      </c>
      <c r="B2383" t="s">
        <v>30</v>
      </c>
      <c r="C2383">
        <v>98</v>
      </c>
      <c r="D2383">
        <v>1</v>
      </c>
      <c r="E2383" t="s">
        <v>40</v>
      </c>
      <c r="F2383" t="s">
        <v>41</v>
      </c>
      <c r="G2383" t="str">
        <f>"2025-02-28 15:11:20.360"</f>
        <v>2025-02-28 15:11:20.360</v>
      </c>
      <c r="H2383" t="s">
        <v>21</v>
      </c>
      <c r="I2383">
        <v>0</v>
      </c>
      <c r="J2383" t="s">
        <v>42</v>
      </c>
    </row>
    <row r="2384" spans="1:10" x14ac:dyDescent="0.25">
      <c r="A2384" s="1">
        <v>473</v>
      </c>
      <c r="B2384" t="s">
        <v>27</v>
      </c>
      <c r="C2384">
        <v>98</v>
      </c>
      <c r="D2384">
        <v>1</v>
      </c>
      <c r="E2384" t="s">
        <v>40</v>
      </c>
      <c r="F2384" t="s">
        <v>41</v>
      </c>
      <c r="G2384" t="str">
        <f>"2025-02-28 14:21:18.060"</f>
        <v>2025-02-28 14:21:18.060</v>
      </c>
      <c r="H2384" t="s">
        <v>21</v>
      </c>
    </row>
    <row r="2385" spans="1:10" x14ac:dyDescent="0.25">
      <c r="A2385" s="1">
        <v>474</v>
      </c>
      <c r="B2385" t="s">
        <v>30</v>
      </c>
      <c r="C2385">
        <v>98</v>
      </c>
      <c r="D2385">
        <v>1</v>
      </c>
      <c r="E2385" t="s">
        <v>40</v>
      </c>
      <c r="F2385" t="s">
        <v>41</v>
      </c>
      <c r="G2385" t="str">
        <f>"2025-02-28 14:21:17.060"</f>
        <v>2025-02-28 14:21:17.060</v>
      </c>
      <c r="H2385" t="s">
        <v>21</v>
      </c>
      <c r="I2385">
        <v>-0.64</v>
      </c>
      <c r="J2385" t="s">
        <v>31</v>
      </c>
    </row>
    <row r="2386" spans="1:10" x14ac:dyDescent="0.25">
      <c r="A2386" s="1">
        <v>475</v>
      </c>
      <c r="B2386" t="s">
        <v>27</v>
      </c>
      <c r="C2386">
        <v>98</v>
      </c>
      <c r="D2386">
        <v>1</v>
      </c>
      <c r="E2386" t="s">
        <v>40</v>
      </c>
      <c r="F2386" t="s">
        <v>41</v>
      </c>
      <c r="G2386" t="str">
        <f>"2025-02-28 14:21:16.860"</f>
        <v>2025-02-28 14:21:16.860</v>
      </c>
      <c r="H2386" t="s">
        <v>21</v>
      </c>
    </row>
    <row r="2387" spans="1:10" x14ac:dyDescent="0.25">
      <c r="A2387" s="1">
        <v>476</v>
      </c>
      <c r="B2387" t="s">
        <v>30</v>
      </c>
      <c r="C2387">
        <v>98</v>
      </c>
      <c r="D2387">
        <v>1</v>
      </c>
      <c r="E2387" t="s">
        <v>40</v>
      </c>
      <c r="F2387" t="s">
        <v>41</v>
      </c>
      <c r="G2387" t="str">
        <f>"2025-02-28 14:21:15.860"</f>
        <v>2025-02-28 14:21:15.860</v>
      </c>
      <c r="H2387" t="s">
        <v>21</v>
      </c>
      <c r="I2387">
        <v>-0.6</v>
      </c>
      <c r="J2387" t="s">
        <v>31</v>
      </c>
    </row>
    <row r="2388" spans="1:10" x14ac:dyDescent="0.25">
      <c r="A2388" s="1">
        <v>477</v>
      </c>
      <c r="B2388" t="s">
        <v>27</v>
      </c>
      <c r="C2388">
        <v>98</v>
      </c>
      <c r="D2388">
        <v>1</v>
      </c>
      <c r="E2388" t="s">
        <v>40</v>
      </c>
      <c r="F2388" t="s">
        <v>41</v>
      </c>
      <c r="G2388" t="str">
        <f>"2025-02-28 12:48:15.060"</f>
        <v>2025-02-28 12:48:15.060</v>
      </c>
      <c r="H2388" t="s">
        <v>21</v>
      </c>
    </row>
    <row r="2389" spans="1:10" x14ac:dyDescent="0.25">
      <c r="A2389" s="1">
        <v>478</v>
      </c>
      <c r="B2389" t="s">
        <v>30</v>
      </c>
      <c r="C2389">
        <v>98</v>
      </c>
      <c r="D2389">
        <v>1</v>
      </c>
      <c r="E2389" t="s">
        <v>40</v>
      </c>
      <c r="F2389" t="s">
        <v>41</v>
      </c>
      <c r="G2389" t="str">
        <f>"2025-02-28 12:48:14.060"</f>
        <v>2025-02-28 12:48:14.060</v>
      </c>
      <c r="H2389" t="s">
        <v>21</v>
      </c>
      <c r="I2389">
        <v>0</v>
      </c>
      <c r="J2389" t="s">
        <v>42</v>
      </c>
    </row>
    <row r="2390" spans="1:10" x14ac:dyDescent="0.25">
      <c r="A2390" s="1">
        <v>479</v>
      </c>
      <c r="B2390" t="s">
        <v>27</v>
      </c>
      <c r="C2390">
        <v>98</v>
      </c>
      <c r="D2390">
        <v>1</v>
      </c>
      <c r="E2390" t="s">
        <v>40</v>
      </c>
      <c r="F2390" t="s">
        <v>41</v>
      </c>
      <c r="G2390" t="str">
        <f>"2025-02-28 12:48:13.660"</f>
        <v>2025-02-28 12:48:13.660</v>
      </c>
      <c r="H2390" t="s">
        <v>21</v>
      </c>
    </row>
    <row r="2391" spans="1:10" x14ac:dyDescent="0.25">
      <c r="A2391" s="1">
        <v>480</v>
      </c>
      <c r="B2391" t="s">
        <v>30</v>
      </c>
      <c r="C2391">
        <v>98</v>
      </c>
      <c r="D2391">
        <v>1</v>
      </c>
      <c r="E2391" t="s">
        <v>40</v>
      </c>
      <c r="F2391" t="s">
        <v>41</v>
      </c>
      <c r="G2391" t="str">
        <f>"2025-02-28 12:48:12.661"</f>
        <v>2025-02-28 12:48:12.661</v>
      </c>
      <c r="H2391" t="s">
        <v>21</v>
      </c>
      <c r="I2391">
        <v>0</v>
      </c>
      <c r="J2391" t="s">
        <v>42</v>
      </c>
    </row>
    <row r="2392" spans="1:10" x14ac:dyDescent="0.25">
      <c r="A2392" s="1">
        <v>481</v>
      </c>
      <c r="B2392" t="s">
        <v>19</v>
      </c>
      <c r="C2392">
        <v>700</v>
      </c>
      <c r="D2392">
        <v>0</v>
      </c>
      <c r="E2392" t="s">
        <v>20</v>
      </c>
      <c r="F2392" t="s">
        <v>20</v>
      </c>
      <c r="G2392" t="str">
        <f>"2025-02-28 12:14:09.075"</f>
        <v>2025-02-28 12:14:09.075</v>
      </c>
      <c r="H2392" t="s">
        <v>21</v>
      </c>
      <c r="I2392">
        <v>0</v>
      </c>
      <c r="J2392" t="s">
        <v>22</v>
      </c>
    </row>
    <row r="2393" spans="1:10" x14ac:dyDescent="0.25">
      <c r="A2393" s="1">
        <v>482</v>
      </c>
      <c r="B2393" t="s">
        <v>19</v>
      </c>
      <c r="C2393">
        <v>706</v>
      </c>
      <c r="D2393">
        <v>4</v>
      </c>
      <c r="E2393" t="s">
        <v>23</v>
      </c>
      <c r="F2393" t="s">
        <v>26</v>
      </c>
      <c r="G2393" t="str">
        <f>"2025-02-28 12:06:34.244"</f>
        <v>2025-02-28 12:06:34.244</v>
      </c>
      <c r="H2393" t="s">
        <v>21</v>
      </c>
      <c r="I2393">
        <v>0</v>
      </c>
      <c r="J2393" t="s">
        <v>25</v>
      </c>
    </row>
    <row r="2394" spans="1:10" x14ac:dyDescent="0.25">
      <c r="A2394" s="1">
        <v>483</v>
      </c>
      <c r="B2394" t="s">
        <v>19</v>
      </c>
      <c r="C2394">
        <v>706</v>
      </c>
      <c r="D2394">
        <v>3</v>
      </c>
      <c r="E2394" t="s">
        <v>23</v>
      </c>
      <c r="F2394" t="s">
        <v>43</v>
      </c>
      <c r="G2394" t="str">
        <f>"2025-02-28 12:05:02.214"</f>
        <v>2025-02-28 12:05:02.214</v>
      </c>
      <c r="H2394" t="s">
        <v>21</v>
      </c>
      <c r="I2394">
        <v>0</v>
      </c>
      <c r="J2394" t="s">
        <v>25</v>
      </c>
    </row>
    <row r="2395" spans="1:10" x14ac:dyDescent="0.25">
      <c r="A2395" s="1">
        <v>484</v>
      </c>
      <c r="B2395" t="s">
        <v>19</v>
      </c>
      <c r="C2395">
        <v>700</v>
      </c>
      <c r="D2395">
        <v>0</v>
      </c>
      <c r="E2395" t="s">
        <v>20</v>
      </c>
      <c r="F2395" t="s">
        <v>20</v>
      </c>
      <c r="G2395" t="str">
        <f>"2025-02-28 12:03:26.064"</f>
        <v>2025-02-28 12:03:26.064</v>
      </c>
      <c r="H2395" t="s">
        <v>21</v>
      </c>
      <c r="I2395">
        <v>0</v>
      </c>
      <c r="J2395" t="s">
        <v>22</v>
      </c>
    </row>
    <row r="2396" spans="1:10" x14ac:dyDescent="0.25">
      <c r="A2396" s="1">
        <v>485</v>
      </c>
      <c r="B2396" t="s">
        <v>19</v>
      </c>
      <c r="C2396">
        <v>700</v>
      </c>
      <c r="D2396">
        <v>0</v>
      </c>
      <c r="E2396" t="s">
        <v>20</v>
      </c>
      <c r="F2396" t="s">
        <v>20</v>
      </c>
      <c r="G2396" t="str">
        <f>"2025-02-28 11:26:36.058"</f>
        <v>2025-02-28 11:26:36.058</v>
      </c>
      <c r="H2396" t="s">
        <v>21</v>
      </c>
      <c r="I2396">
        <v>0</v>
      </c>
      <c r="J2396" t="s">
        <v>22</v>
      </c>
    </row>
    <row r="2397" spans="1:10" x14ac:dyDescent="0.25">
      <c r="A2397" s="1">
        <v>486</v>
      </c>
      <c r="B2397" t="s">
        <v>19</v>
      </c>
      <c r="C2397">
        <v>706</v>
      </c>
      <c r="D2397">
        <v>2</v>
      </c>
      <c r="E2397" t="s">
        <v>23</v>
      </c>
      <c r="F2397" t="s">
        <v>24</v>
      </c>
      <c r="G2397" t="str">
        <f>"2025-02-28 10:32:36.217"</f>
        <v>2025-02-28 10:32:36.217</v>
      </c>
      <c r="H2397" t="s">
        <v>21</v>
      </c>
      <c r="I2397">
        <v>0</v>
      </c>
      <c r="J2397" t="s">
        <v>25</v>
      </c>
    </row>
    <row r="2398" spans="1:10" x14ac:dyDescent="0.25">
      <c r="A2398" s="1">
        <v>487</v>
      </c>
      <c r="B2398" t="s">
        <v>19</v>
      </c>
      <c r="C2398">
        <v>706</v>
      </c>
      <c r="D2398">
        <v>4</v>
      </c>
      <c r="E2398" t="s">
        <v>23</v>
      </c>
      <c r="F2398" t="s">
        <v>26</v>
      </c>
      <c r="G2398" t="str">
        <f>"2025-02-28 10:25:34.787"</f>
        <v>2025-02-28 10:25:34.787</v>
      </c>
      <c r="H2398" t="s">
        <v>21</v>
      </c>
      <c r="I2398">
        <v>0</v>
      </c>
      <c r="J2398" t="s">
        <v>25</v>
      </c>
    </row>
    <row r="2399" spans="1:10" x14ac:dyDescent="0.25">
      <c r="A2399" s="1">
        <v>488</v>
      </c>
      <c r="B2399" t="s">
        <v>19</v>
      </c>
      <c r="C2399">
        <v>706</v>
      </c>
      <c r="D2399">
        <v>4</v>
      </c>
      <c r="E2399" t="s">
        <v>23</v>
      </c>
      <c r="F2399" t="s">
        <v>26</v>
      </c>
      <c r="G2399" t="str">
        <f>"2025-02-28 10:22:23.797"</f>
        <v>2025-02-28 10:22:23.797</v>
      </c>
      <c r="H2399" t="s">
        <v>21</v>
      </c>
      <c r="I2399">
        <v>0</v>
      </c>
      <c r="J2399" t="s">
        <v>25</v>
      </c>
    </row>
    <row r="2400" spans="1:10" x14ac:dyDescent="0.25">
      <c r="A2400" s="1">
        <v>489</v>
      </c>
      <c r="B2400" t="s">
        <v>19</v>
      </c>
      <c r="C2400">
        <v>700</v>
      </c>
      <c r="D2400">
        <v>0</v>
      </c>
      <c r="E2400" t="s">
        <v>20</v>
      </c>
      <c r="F2400" t="s">
        <v>20</v>
      </c>
      <c r="G2400" t="str">
        <f>"2025-02-28 10:04:37.057"</f>
        <v>2025-02-28 10:04:37.057</v>
      </c>
      <c r="H2400" t="s">
        <v>21</v>
      </c>
    </row>
    <row r="2401" spans="1:10" x14ac:dyDescent="0.25">
      <c r="A2401" s="1">
        <v>490</v>
      </c>
      <c r="B2401" t="s">
        <v>19</v>
      </c>
      <c r="C2401">
        <v>706</v>
      </c>
      <c r="D2401">
        <v>4</v>
      </c>
      <c r="E2401" t="s">
        <v>23</v>
      </c>
      <c r="F2401" t="s">
        <v>26</v>
      </c>
      <c r="G2401" t="str">
        <f>"2025-02-28 09:52:28.040"</f>
        <v>2025-02-28 09:52:28.040</v>
      </c>
      <c r="H2401" t="s">
        <v>21</v>
      </c>
      <c r="I2401">
        <v>0</v>
      </c>
      <c r="J2401" t="s">
        <v>25</v>
      </c>
    </row>
    <row r="2402" spans="1:10" x14ac:dyDescent="0.25">
      <c r="A2402" s="1">
        <v>491</v>
      </c>
      <c r="B2402" t="s">
        <v>19</v>
      </c>
      <c r="C2402">
        <v>706</v>
      </c>
      <c r="D2402">
        <v>4</v>
      </c>
      <c r="E2402" t="s">
        <v>23</v>
      </c>
      <c r="F2402" t="s">
        <v>26</v>
      </c>
      <c r="G2402" t="str">
        <f>"2025-02-28 09:49:00.460"</f>
        <v>2025-02-28 09:49:00.460</v>
      </c>
      <c r="H2402" t="s">
        <v>21</v>
      </c>
      <c r="I2402">
        <v>0</v>
      </c>
      <c r="J2402" t="s">
        <v>93</v>
      </c>
    </row>
    <row r="2403" spans="1:10" x14ac:dyDescent="0.25">
      <c r="A2403" s="1">
        <v>494</v>
      </c>
      <c r="B2403" t="s">
        <v>19</v>
      </c>
      <c r="C2403">
        <v>782</v>
      </c>
      <c r="D2403">
        <v>7</v>
      </c>
      <c r="E2403" t="s">
        <v>81</v>
      </c>
      <c r="F2403" t="s">
        <v>82</v>
      </c>
      <c r="G2403" t="str">
        <f>"2025-02-28 09:48:00.764"</f>
        <v>2025-02-28 09:48:00.764</v>
      </c>
      <c r="H2403" t="s">
        <v>21</v>
      </c>
      <c r="I2403">
        <v>0</v>
      </c>
      <c r="J2403" t="s">
        <v>25</v>
      </c>
    </row>
    <row r="2404" spans="1:10" x14ac:dyDescent="0.25">
      <c r="A2404" s="1">
        <v>497</v>
      </c>
      <c r="B2404" t="s">
        <v>27</v>
      </c>
      <c r="C2404">
        <v>250</v>
      </c>
      <c r="D2404">
        <v>7</v>
      </c>
      <c r="E2404" t="s">
        <v>83</v>
      </c>
      <c r="F2404" t="s">
        <v>84</v>
      </c>
      <c r="G2404" t="str">
        <f>"2025-02-28 09:48:00.759"</f>
        <v>2025-02-28 09:48:00.759</v>
      </c>
      <c r="H2404" t="s">
        <v>21</v>
      </c>
    </row>
    <row r="2405" spans="1:10" x14ac:dyDescent="0.25">
      <c r="A2405" s="1">
        <v>498</v>
      </c>
      <c r="B2405" t="s">
        <v>27</v>
      </c>
      <c r="C2405">
        <v>248</v>
      </c>
      <c r="D2405">
        <v>7</v>
      </c>
      <c r="E2405" t="s">
        <v>85</v>
      </c>
      <c r="F2405" t="s">
        <v>86</v>
      </c>
      <c r="G2405" t="str">
        <f>"2025-02-28 09:48:00.757"</f>
        <v>2025-02-28 09:48:00.757</v>
      </c>
      <c r="H2405" t="s">
        <v>21</v>
      </c>
    </row>
    <row r="2406" spans="1:10" x14ac:dyDescent="0.25">
      <c r="A2406" s="1">
        <v>499</v>
      </c>
      <c r="B2406" t="s">
        <v>27</v>
      </c>
      <c r="C2406">
        <v>207</v>
      </c>
      <c r="D2406">
        <v>2</v>
      </c>
      <c r="E2406" t="s">
        <v>87</v>
      </c>
      <c r="F2406" t="s">
        <v>88</v>
      </c>
      <c r="G2406" t="str">
        <f>"2025-02-28 09:48:00.756"</f>
        <v>2025-02-28 09:48:00.756</v>
      </c>
      <c r="H2406" t="s">
        <v>52</v>
      </c>
    </row>
    <row r="2407" spans="1:10" x14ac:dyDescent="0.25">
      <c r="A2407" s="1">
        <v>500</v>
      </c>
      <c r="B2407" t="s">
        <v>27</v>
      </c>
      <c r="C2407">
        <v>207</v>
      </c>
      <c r="D2407">
        <v>1</v>
      </c>
      <c r="E2407" t="s">
        <v>87</v>
      </c>
      <c r="F2407" t="s">
        <v>145</v>
      </c>
      <c r="G2407" t="str">
        <f>"2025-02-28 09:48:00.755"</f>
        <v>2025-02-28 09:48:00.755</v>
      </c>
      <c r="H2407" t="s">
        <v>52</v>
      </c>
    </row>
    <row r="2408" spans="1:10" x14ac:dyDescent="0.25">
      <c r="A2408" s="1">
        <v>501</v>
      </c>
      <c r="B2408" t="s">
        <v>27</v>
      </c>
      <c r="C2408">
        <v>150</v>
      </c>
      <c r="D2408">
        <v>7</v>
      </c>
      <c r="E2408" t="s">
        <v>94</v>
      </c>
      <c r="F2408" t="s">
        <v>84</v>
      </c>
      <c r="G2408" t="str">
        <f>"2025-02-28 09:48:00.753"</f>
        <v>2025-02-28 09:48:00.753</v>
      </c>
      <c r="H2408" t="s">
        <v>21</v>
      </c>
    </row>
    <row r="2409" spans="1:10" x14ac:dyDescent="0.25">
      <c r="A2409" s="1">
        <v>502</v>
      </c>
      <c r="B2409" t="s">
        <v>27</v>
      </c>
      <c r="C2409">
        <v>107</v>
      </c>
      <c r="D2409">
        <v>2</v>
      </c>
      <c r="E2409" t="s">
        <v>89</v>
      </c>
      <c r="F2409" t="s">
        <v>88</v>
      </c>
      <c r="G2409" t="str">
        <f>"2025-02-28 09:48:00.750"</f>
        <v>2025-02-28 09:48:00.750</v>
      </c>
      <c r="H2409" t="s">
        <v>57</v>
      </c>
    </row>
    <row r="2410" spans="1:10" x14ac:dyDescent="0.25">
      <c r="A2410" s="1">
        <v>503</v>
      </c>
      <c r="B2410" t="s">
        <v>27</v>
      </c>
      <c r="C2410">
        <v>107</v>
      </c>
      <c r="D2410">
        <v>1</v>
      </c>
      <c r="E2410" t="s">
        <v>89</v>
      </c>
      <c r="F2410" t="s">
        <v>145</v>
      </c>
      <c r="G2410" t="str">
        <f>"2025-02-28 09:48:00.747"</f>
        <v>2025-02-28 09:48:00.747</v>
      </c>
      <c r="H2410" t="s">
        <v>57</v>
      </c>
    </row>
    <row r="2411" spans="1:10" x14ac:dyDescent="0.25">
      <c r="A2411" s="1">
        <v>504</v>
      </c>
      <c r="B2411" t="s">
        <v>19</v>
      </c>
      <c r="C2411">
        <v>782</v>
      </c>
      <c r="D2411">
        <v>7</v>
      </c>
      <c r="E2411" t="s">
        <v>81</v>
      </c>
      <c r="F2411" t="s">
        <v>82</v>
      </c>
      <c r="G2411" t="str">
        <f>"2025-02-28 09:48:00.746"</f>
        <v>2025-02-28 09:48:00.746</v>
      </c>
      <c r="H2411" t="s">
        <v>21</v>
      </c>
      <c r="I2411">
        <v>0</v>
      </c>
      <c r="J2411" t="s">
        <v>25</v>
      </c>
    </row>
    <row r="2412" spans="1:10" x14ac:dyDescent="0.25">
      <c r="A2412" s="1">
        <v>505</v>
      </c>
      <c r="B2412" t="s">
        <v>19</v>
      </c>
      <c r="C2412">
        <v>700</v>
      </c>
      <c r="D2412">
        <v>0</v>
      </c>
      <c r="E2412" t="s">
        <v>20</v>
      </c>
      <c r="F2412" t="s">
        <v>20</v>
      </c>
      <c r="G2412" t="str">
        <f>"2025-02-28 09:47:39.050"</f>
        <v>2025-02-28 09:47:39.050</v>
      </c>
      <c r="H2412" t="s">
        <v>21</v>
      </c>
      <c r="I2412">
        <v>0</v>
      </c>
      <c r="J2412" t="s">
        <v>22</v>
      </c>
    </row>
    <row r="2413" spans="1:10" x14ac:dyDescent="0.25">
      <c r="A2413" s="1">
        <v>506</v>
      </c>
      <c r="B2413" t="s">
        <v>19</v>
      </c>
      <c r="C2413">
        <v>700</v>
      </c>
      <c r="D2413">
        <v>0</v>
      </c>
      <c r="E2413" t="s">
        <v>20</v>
      </c>
      <c r="F2413" t="s">
        <v>20</v>
      </c>
      <c r="G2413" t="str">
        <f>"2025-02-27 17:20:55.066"</f>
        <v>2025-02-27 17:20:55.066</v>
      </c>
      <c r="H2413" t="s">
        <v>21</v>
      </c>
      <c r="I2413">
        <v>0</v>
      </c>
      <c r="J2413" t="s">
        <v>22</v>
      </c>
    </row>
    <row r="2414" spans="1:10" x14ac:dyDescent="0.25">
      <c r="A2414" s="1">
        <v>507</v>
      </c>
      <c r="B2414" t="s">
        <v>19</v>
      </c>
      <c r="C2414">
        <v>700</v>
      </c>
      <c r="D2414">
        <v>0</v>
      </c>
      <c r="E2414" t="s">
        <v>20</v>
      </c>
      <c r="F2414" t="s">
        <v>20</v>
      </c>
      <c r="G2414" t="str">
        <f>"2025-02-27 17:13:39.057"</f>
        <v>2025-02-27 17:13:39.057</v>
      </c>
      <c r="H2414" t="s">
        <v>21</v>
      </c>
      <c r="I2414">
        <v>0</v>
      </c>
      <c r="J2414" t="s">
        <v>22</v>
      </c>
    </row>
    <row r="2415" spans="1:10" x14ac:dyDescent="0.25">
      <c r="A2415" s="1">
        <v>508</v>
      </c>
      <c r="B2415" t="s">
        <v>30</v>
      </c>
      <c r="C2415">
        <v>248</v>
      </c>
      <c r="D2415">
        <v>7</v>
      </c>
      <c r="E2415" t="s">
        <v>85</v>
      </c>
      <c r="F2415" t="s">
        <v>86</v>
      </c>
      <c r="G2415" t="str">
        <f>"2025-02-27 16:22:34.129"</f>
        <v>2025-02-27 16:22:34.129</v>
      </c>
      <c r="H2415" t="s">
        <v>21</v>
      </c>
      <c r="I2415">
        <v>0</v>
      </c>
      <c r="J2415" t="s">
        <v>25</v>
      </c>
    </row>
    <row r="2416" spans="1:10" x14ac:dyDescent="0.25">
      <c r="A2416" s="1">
        <v>509</v>
      </c>
      <c r="B2416" t="s">
        <v>30</v>
      </c>
      <c r="C2416">
        <v>250</v>
      </c>
      <c r="D2416">
        <v>7</v>
      </c>
      <c r="E2416" t="s">
        <v>83</v>
      </c>
      <c r="F2416" t="s">
        <v>84</v>
      </c>
      <c r="G2416" t="str">
        <f>"2025-02-27 16:22:33.929"</f>
        <v>2025-02-27 16:22:33.929</v>
      </c>
      <c r="H2416" t="s">
        <v>21</v>
      </c>
      <c r="I2416">
        <v>0</v>
      </c>
      <c r="J2416" t="s">
        <v>25</v>
      </c>
    </row>
    <row r="2417" spans="1:10" x14ac:dyDescent="0.25">
      <c r="A2417" s="1">
        <v>510</v>
      </c>
      <c r="B2417" t="s">
        <v>49</v>
      </c>
      <c r="C2417">
        <v>250</v>
      </c>
      <c r="D2417">
        <v>7</v>
      </c>
      <c r="E2417" t="s">
        <v>83</v>
      </c>
      <c r="F2417" t="s">
        <v>84</v>
      </c>
      <c r="G2417" t="str">
        <f>"2025-02-27 16:22:33.827"</f>
        <v>2025-02-27 16:22:33.827</v>
      </c>
      <c r="H2417" t="s">
        <v>21</v>
      </c>
    </row>
    <row r="2418" spans="1:10" x14ac:dyDescent="0.25">
      <c r="A2418" s="1">
        <v>511</v>
      </c>
      <c r="B2418" t="s">
        <v>49</v>
      </c>
      <c r="C2418">
        <v>248</v>
      </c>
      <c r="D2418">
        <v>7</v>
      </c>
      <c r="E2418" t="s">
        <v>85</v>
      </c>
      <c r="F2418" t="s">
        <v>86</v>
      </c>
      <c r="G2418" t="str">
        <f>"2025-02-27 16:22:33.727"</f>
        <v>2025-02-27 16:22:33.727</v>
      </c>
      <c r="H2418" t="s">
        <v>21</v>
      </c>
    </row>
    <row r="2419" spans="1:10" x14ac:dyDescent="0.25">
      <c r="A2419" s="1">
        <v>512</v>
      </c>
      <c r="B2419" t="s">
        <v>30</v>
      </c>
      <c r="C2419">
        <v>150</v>
      </c>
      <c r="D2419">
        <v>7</v>
      </c>
      <c r="E2419" t="s">
        <v>94</v>
      </c>
      <c r="F2419" t="s">
        <v>84</v>
      </c>
      <c r="G2419" t="str">
        <f>"2025-02-27 16:22:32.749"</f>
        <v>2025-02-27 16:22:32.749</v>
      </c>
      <c r="H2419" t="s">
        <v>21</v>
      </c>
      <c r="I2419">
        <v>0</v>
      </c>
      <c r="J2419" t="s">
        <v>25</v>
      </c>
    </row>
    <row r="2420" spans="1:10" x14ac:dyDescent="0.25">
      <c r="A2420" s="1">
        <v>513</v>
      </c>
      <c r="B2420" t="s">
        <v>49</v>
      </c>
      <c r="C2420">
        <v>150</v>
      </c>
      <c r="D2420">
        <v>7</v>
      </c>
      <c r="E2420" t="s">
        <v>94</v>
      </c>
      <c r="F2420" t="s">
        <v>84</v>
      </c>
      <c r="G2420" t="str">
        <f>"2025-02-27 16:22:32.627"</f>
        <v>2025-02-27 16:22:32.627</v>
      </c>
      <c r="H2420" t="s">
        <v>21</v>
      </c>
    </row>
    <row r="2421" spans="1:10" x14ac:dyDescent="0.25">
      <c r="A2421" s="1">
        <v>514</v>
      </c>
      <c r="B2421" t="s">
        <v>49</v>
      </c>
      <c r="C2421">
        <v>148</v>
      </c>
      <c r="D2421">
        <v>7</v>
      </c>
      <c r="E2421" t="s">
        <v>95</v>
      </c>
      <c r="F2421" t="s">
        <v>86</v>
      </c>
      <c r="G2421" t="str">
        <f>"2025-02-27 16:22:32.527"</f>
        <v>2025-02-27 16:22:32.527</v>
      </c>
      <c r="H2421" t="s">
        <v>21</v>
      </c>
    </row>
    <row r="2422" spans="1:10" x14ac:dyDescent="0.25">
      <c r="A2422" s="1">
        <v>515</v>
      </c>
      <c r="B2422" t="s">
        <v>49</v>
      </c>
      <c r="C2422">
        <v>77</v>
      </c>
      <c r="D2422">
        <v>1</v>
      </c>
      <c r="E2422" t="s">
        <v>141</v>
      </c>
      <c r="F2422" t="s">
        <v>142</v>
      </c>
      <c r="G2422" t="str">
        <f>"2025-02-27 16:22:32.227"</f>
        <v>2025-02-27 16:22:32.227</v>
      </c>
      <c r="H2422" t="s">
        <v>63</v>
      </c>
    </row>
    <row r="2423" spans="1:10" x14ac:dyDescent="0.25">
      <c r="A2423" s="1">
        <v>516</v>
      </c>
      <c r="B2423" t="s">
        <v>39</v>
      </c>
      <c r="C2423">
        <v>248</v>
      </c>
      <c r="D2423">
        <v>7</v>
      </c>
      <c r="E2423" t="s">
        <v>85</v>
      </c>
      <c r="F2423" t="s">
        <v>86</v>
      </c>
      <c r="G2423" t="str">
        <f>"2025-02-27 16:22:28.714"</f>
        <v>2025-02-27 16:22:28.714</v>
      </c>
      <c r="H2423" t="s">
        <v>21</v>
      </c>
      <c r="I2423">
        <v>0</v>
      </c>
      <c r="J2423" t="s">
        <v>25</v>
      </c>
    </row>
    <row r="2424" spans="1:10" x14ac:dyDescent="0.25">
      <c r="A2424" s="1">
        <v>517</v>
      </c>
      <c r="B2424" t="s">
        <v>39</v>
      </c>
      <c r="C2424">
        <v>250</v>
      </c>
      <c r="D2424">
        <v>7</v>
      </c>
      <c r="E2424" t="s">
        <v>83</v>
      </c>
      <c r="F2424" t="s">
        <v>84</v>
      </c>
      <c r="G2424" t="str">
        <f>"2025-02-27 16:22:28.709"</f>
        <v>2025-02-27 16:22:28.709</v>
      </c>
      <c r="H2424" t="s">
        <v>21</v>
      </c>
      <c r="I2424">
        <v>0</v>
      </c>
      <c r="J2424" t="s">
        <v>25</v>
      </c>
    </row>
    <row r="2425" spans="1:10" x14ac:dyDescent="0.25">
      <c r="A2425" s="1">
        <v>518</v>
      </c>
      <c r="B2425" t="s">
        <v>30</v>
      </c>
      <c r="C2425">
        <v>107</v>
      </c>
      <c r="D2425">
        <v>1</v>
      </c>
      <c r="E2425" t="s">
        <v>89</v>
      </c>
      <c r="F2425" t="s">
        <v>145</v>
      </c>
      <c r="G2425" t="str">
        <f>"2025-02-27 16:22:27.629"</f>
        <v>2025-02-27 16:22:27.629</v>
      </c>
      <c r="H2425" t="s">
        <v>57</v>
      </c>
      <c r="I2425">
        <v>0</v>
      </c>
      <c r="J2425" t="s">
        <v>25</v>
      </c>
    </row>
    <row r="2426" spans="1:10" x14ac:dyDescent="0.25">
      <c r="A2426" s="1">
        <v>519</v>
      </c>
      <c r="B2426" t="s">
        <v>30</v>
      </c>
      <c r="C2426">
        <v>207</v>
      </c>
      <c r="D2426">
        <v>1</v>
      </c>
      <c r="E2426" t="s">
        <v>87</v>
      </c>
      <c r="F2426" t="s">
        <v>145</v>
      </c>
      <c r="G2426" t="str">
        <f>"2025-02-27 16:22:27.500"</f>
        <v>2025-02-27 16:22:27.500</v>
      </c>
      <c r="H2426" t="s">
        <v>52</v>
      </c>
      <c r="I2426">
        <v>0</v>
      </c>
      <c r="J2426" t="s">
        <v>25</v>
      </c>
    </row>
    <row r="2427" spans="1:10" x14ac:dyDescent="0.25">
      <c r="A2427" s="1">
        <v>520</v>
      </c>
      <c r="B2427" t="s">
        <v>30</v>
      </c>
      <c r="C2427">
        <v>207</v>
      </c>
      <c r="D2427">
        <v>2</v>
      </c>
      <c r="E2427" t="s">
        <v>87</v>
      </c>
      <c r="F2427" t="s">
        <v>88</v>
      </c>
      <c r="G2427" t="str">
        <f>"2025-02-27 16:22:27.489"</f>
        <v>2025-02-27 16:22:27.489</v>
      </c>
      <c r="H2427" t="s">
        <v>52</v>
      </c>
      <c r="I2427">
        <v>0</v>
      </c>
      <c r="J2427" t="s">
        <v>25</v>
      </c>
    </row>
    <row r="2428" spans="1:10" x14ac:dyDescent="0.25">
      <c r="A2428" s="1">
        <v>521</v>
      </c>
      <c r="B2428" t="s">
        <v>39</v>
      </c>
      <c r="C2428">
        <v>150</v>
      </c>
      <c r="D2428">
        <v>7</v>
      </c>
      <c r="E2428" t="s">
        <v>94</v>
      </c>
      <c r="F2428" t="s">
        <v>84</v>
      </c>
      <c r="G2428" t="str">
        <f>"2025-02-27 16:22:27.452"</f>
        <v>2025-02-27 16:22:27.452</v>
      </c>
      <c r="H2428" t="s">
        <v>21</v>
      </c>
      <c r="I2428">
        <v>0</v>
      </c>
      <c r="J2428" t="s">
        <v>25</v>
      </c>
    </row>
    <row r="2429" spans="1:10" x14ac:dyDescent="0.25">
      <c r="A2429" s="1">
        <v>522</v>
      </c>
      <c r="B2429" t="s">
        <v>39</v>
      </c>
      <c r="C2429">
        <v>148</v>
      </c>
      <c r="D2429">
        <v>7</v>
      </c>
      <c r="E2429" t="s">
        <v>95</v>
      </c>
      <c r="F2429" t="s">
        <v>86</v>
      </c>
      <c r="G2429" t="str">
        <f>"2025-02-27 16:22:27.450"</f>
        <v>2025-02-27 16:22:27.450</v>
      </c>
      <c r="H2429" t="s">
        <v>21</v>
      </c>
      <c r="I2429">
        <v>0</v>
      </c>
      <c r="J2429" t="s">
        <v>25</v>
      </c>
    </row>
    <row r="2430" spans="1:10" x14ac:dyDescent="0.25">
      <c r="A2430" s="1">
        <v>523</v>
      </c>
      <c r="B2430" t="s">
        <v>30</v>
      </c>
      <c r="C2430">
        <v>107</v>
      </c>
      <c r="D2430">
        <v>2</v>
      </c>
      <c r="E2430" t="s">
        <v>89</v>
      </c>
      <c r="F2430" t="s">
        <v>88</v>
      </c>
      <c r="G2430" t="str">
        <f>"2025-02-27 16:22:27.449"</f>
        <v>2025-02-27 16:22:27.449</v>
      </c>
      <c r="H2430" t="s">
        <v>57</v>
      </c>
      <c r="I2430">
        <v>0</v>
      </c>
      <c r="J2430" t="s">
        <v>25</v>
      </c>
    </row>
    <row r="2431" spans="1:10" x14ac:dyDescent="0.25">
      <c r="A2431" s="1">
        <v>524</v>
      </c>
      <c r="B2431" t="s">
        <v>39</v>
      </c>
      <c r="C2431">
        <v>77</v>
      </c>
      <c r="D2431">
        <v>1</v>
      </c>
      <c r="E2431" t="s">
        <v>141</v>
      </c>
      <c r="F2431" t="s">
        <v>142</v>
      </c>
      <c r="G2431" t="str">
        <f>"2025-02-27 16:22:27.194"</f>
        <v>2025-02-27 16:22:27.194</v>
      </c>
      <c r="H2431" t="s">
        <v>63</v>
      </c>
      <c r="I2431">
        <v>0</v>
      </c>
      <c r="J2431" t="s">
        <v>25</v>
      </c>
    </row>
    <row r="2432" spans="1:10" x14ac:dyDescent="0.25">
      <c r="A2432" s="1">
        <v>525</v>
      </c>
      <c r="B2432" t="s">
        <v>19</v>
      </c>
      <c r="C2432">
        <v>700</v>
      </c>
      <c r="D2432">
        <v>0</v>
      </c>
      <c r="E2432" t="s">
        <v>20</v>
      </c>
      <c r="F2432" t="s">
        <v>20</v>
      </c>
      <c r="G2432" t="str">
        <f>"2025-02-27 16:22:20.035"</f>
        <v>2025-02-27 16:22:20.035</v>
      </c>
      <c r="H2432" t="s">
        <v>21</v>
      </c>
    </row>
    <row r="2433" spans="1:10" x14ac:dyDescent="0.25">
      <c r="A2433" s="1">
        <v>526</v>
      </c>
      <c r="B2433" t="s">
        <v>19</v>
      </c>
      <c r="C2433">
        <v>700</v>
      </c>
      <c r="D2433">
        <v>0</v>
      </c>
      <c r="E2433" t="s">
        <v>20</v>
      </c>
      <c r="F2433" t="s">
        <v>20</v>
      </c>
      <c r="G2433" t="str">
        <f>"2025-02-27 12:46:13.058"</f>
        <v>2025-02-27 12:46:13.058</v>
      </c>
      <c r="H2433" t="s">
        <v>21</v>
      </c>
      <c r="I2433">
        <v>0</v>
      </c>
      <c r="J2433" t="s">
        <v>22</v>
      </c>
    </row>
    <row r="2434" spans="1:10" x14ac:dyDescent="0.25">
      <c r="A2434" s="1">
        <v>527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"2025-02-27 11:07:17.040"</f>
        <v>2025-02-27 11:07:17.040</v>
      </c>
      <c r="H2434" t="s">
        <v>21</v>
      </c>
    </row>
    <row r="2435" spans="1:10" x14ac:dyDescent="0.25">
      <c r="A2435" s="1">
        <v>528</v>
      </c>
      <c r="B2435" t="s">
        <v>19</v>
      </c>
      <c r="C2435">
        <v>706</v>
      </c>
      <c r="D2435">
        <v>2</v>
      </c>
      <c r="E2435" t="s">
        <v>23</v>
      </c>
      <c r="F2435" t="s">
        <v>24</v>
      </c>
      <c r="G2435" t="str">
        <f>"2025-02-27 09:44:44.099"</f>
        <v>2025-02-27 09:44:44.099</v>
      </c>
      <c r="H2435" t="s">
        <v>21</v>
      </c>
      <c r="I2435">
        <v>0</v>
      </c>
      <c r="J2435" t="s">
        <v>25</v>
      </c>
    </row>
    <row r="2436" spans="1:10" x14ac:dyDescent="0.25">
      <c r="A2436" s="1">
        <v>529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"2025-02-27 09:43:45.029"</f>
        <v>2025-02-27 09:43:45.029</v>
      </c>
      <c r="H2436" t="s">
        <v>21</v>
      </c>
    </row>
    <row r="2437" spans="1:10" x14ac:dyDescent="0.25">
      <c r="A2437" s="1">
        <v>530</v>
      </c>
      <c r="B2437" t="s">
        <v>19</v>
      </c>
      <c r="C2437">
        <v>706</v>
      </c>
      <c r="D2437">
        <v>4</v>
      </c>
      <c r="E2437" t="s">
        <v>23</v>
      </c>
      <c r="F2437" t="s">
        <v>26</v>
      </c>
      <c r="G2437" t="str">
        <f>"2025-02-27 09:26:24.010"</f>
        <v>2025-02-27 09:26:24.010</v>
      </c>
      <c r="H2437" t="s">
        <v>21</v>
      </c>
      <c r="I2437">
        <v>0</v>
      </c>
      <c r="J2437" t="s">
        <v>25</v>
      </c>
    </row>
    <row r="2438" spans="1:10" x14ac:dyDescent="0.25">
      <c r="A2438" s="1">
        <v>531</v>
      </c>
      <c r="B2438" t="s">
        <v>19</v>
      </c>
      <c r="C2438">
        <v>700</v>
      </c>
      <c r="D2438">
        <v>0</v>
      </c>
      <c r="E2438" t="s">
        <v>20</v>
      </c>
      <c r="F2438" t="s">
        <v>20</v>
      </c>
      <c r="G2438" t="str">
        <f>"2025-02-27 09:12:37.040"</f>
        <v>2025-02-27 09:12:37.040</v>
      </c>
      <c r="H2438" t="s">
        <v>21</v>
      </c>
    </row>
    <row r="2439" spans="1:10" x14ac:dyDescent="0.25">
      <c r="A2439" s="1">
        <v>532</v>
      </c>
      <c r="B2439" t="s">
        <v>19</v>
      </c>
      <c r="C2439">
        <v>700</v>
      </c>
      <c r="D2439">
        <v>0</v>
      </c>
      <c r="E2439" t="s">
        <v>20</v>
      </c>
      <c r="F2439" t="s">
        <v>20</v>
      </c>
      <c r="G2439" t="str">
        <f>"2025-02-27 08:53:26.044"</f>
        <v>2025-02-27 08:53:26.044</v>
      </c>
      <c r="H2439" t="s">
        <v>21</v>
      </c>
    </row>
    <row r="2440" spans="1:10" x14ac:dyDescent="0.25">
      <c r="A2440" s="1">
        <v>533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"2025-02-27 08:52:02.033"</f>
        <v>2025-02-27 08:52:02.033</v>
      </c>
      <c r="H2440" t="s">
        <v>21</v>
      </c>
      <c r="I2440">
        <v>0</v>
      </c>
      <c r="J2440" t="s">
        <v>22</v>
      </c>
    </row>
    <row r="2441" spans="1:10" x14ac:dyDescent="0.25">
      <c r="A2441" s="1">
        <v>534</v>
      </c>
      <c r="B2441" t="s">
        <v>19</v>
      </c>
      <c r="C2441">
        <v>700</v>
      </c>
      <c r="D2441">
        <v>0</v>
      </c>
      <c r="E2441" t="s">
        <v>20</v>
      </c>
      <c r="F2441" t="s">
        <v>20</v>
      </c>
      <c r="G2441" t="str">
        <f>"2025-02-26 22:53:02.043"</f>
        <v>2025-02-26 22:53:02.043</v>
      </c>
      <c r="H2441" t="s">
        <v>21</v>
      </c>
    </row>
    <row r="2442" spans="1:10" x14ac:dyDescent="0.25">
      <c r="A2442" s="1">
        <v>535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"2025-02-26 17:37:47.042"</f>
        <v>2025-02-26 17:37:47.042</v>
      </c>
      <c r="H2442" t="s">
        <v>21</v>
      </c>
      <c r="I2442">
        <v>0</v>
      </c>
      <c r="J2442" t="s">
        <v>22</v>
      </c>
    </row>
    <row r="2443" spans="1:10" x14ac:dyDescent="0.25">
      <c r="A2443" s="1">
        <v>536</v>
      </c>
      <c r="B2443" t="s">
        <v>19</v>
      </c>
      <c r="C2443">
        <v>700</v>
      </c>
      <c r="D2443">
        <v>0</v>
      </c>
      <c r="E2443" t="s">
        <v>20</v>
      </c>
      <c r="F2443" t="s">
        <v>20</v>
      </c>
      <c r="G2443" t="str">
        <f>"2025-02-26 16:55:19.038"</f>
        <v>2025-02-26 16:55:19.038</v>
      </c>
      <c r="H2443" t="s">
        <v>21</v>
      </c>
    </row>
    <row r="2444" spans="1:10" x14ac:dyDescent="0.25">
      <c r="A2444" s="1">
        <v>537</v>
      </c>
      <c r="B2444" t="s">
        <v>19</v>
      </c>
      <c r="C2444">
        <v>700</v>
      </c>
      <c r="D2444">
        <v>0</v>
      </c>
      <c r="E2444" t="s">
        <v>20</v>
      </c>
      <c r="F2444" t="s">
        <v>20</v>
      </c>
      <c r="G2444" t="str">
        <f>"2025-02-26 16:49:22.035"</f>
        <v>2025-02-26 16:49:22.035</v>
      </c>
      <c r="H2444" t="s">
        <v>21</v>
      </c>
      <c r="I2444">
        <v>0</v>
      </c>
      <c r="J2444" t="s">
        <v>22</v>
      </c>
    </row>
    <row r="2445" spans="1:10" x14ac:dyDescent="0.25">
      <c r="A2445" s="1">
        <v>538</v>
      </c>
      <c r="B2445" t="s">
        <v>19</v>
      </c>
      <c r="C2445">
        <v>700</v>
      </c>
      <c r="D2445">
        <v>0</v>
      </c>
      <c r="E2445" t="s">
        <v>20</v>
      </c>
      <c r="F2445" t="s">
        <v>20</v>
      </c>
      <c r="G2445" t="str">
        <f>"2025-02-26 16:46:34.046"</f>
        <v>2025-02-26 16:46:34.046</v>
      </c>
      <c r="H2445" t="s">
        <v>21</v>
      </c>
      <c r="I2445">
        <v>0</v>
      </c>
      <c r="J2445" t="s">
        <v>22</v>
      </c>
    </row>
    <row r="2446" spans="1:10" x14ac:dyDescent="0.25">
      <c r="A2446" s="1">
        <v>539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"2025-02-26 16:43:45.032"</f>
        <v>2025-02-26 16:43:45.032</v>
      </c>
      <c r="H2446" t="s">
        <v>21</v>
      </c>
      <c r="I2446">
        <v>0</v>
      </c>
      <c r="J2446" t="s">
        <v>22</v>
      </c>
    </row>
    <row r="2447" spans="1:10" x14ac:dyDescent="0.25">
      <c r="A2447" s="1">
        <v>540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"2025-02-26 16:02:45.033"</f>
        <v>2025-02-26 16:02:45.033</v>
      </c>
      <c r="H2447" t="s">
        <v>21</v>
      </c>
      <c r="I2447">
        <v>0</v>
      </c>
      <c r="J2447" t="s">
        <v>22</v>
      </c>
    </row>
    <row r="2448" spans="1:10" x14ac:dyDescent="0.25">
      <c r="A2448" s="1">
        <v>541</v>
      </c>
      <c r="B2448" t="s">
        <v>19</v>
      </c>
      <c r="C2448">
        <v>706</v>
      </c>
      <c r="D2448">
        <v>2</v>
      </c>
      <c r="E2448" t="s">
        <v>23</v>
      </c>
      <c r="F2448" t="s">
        <v>24</v>
      </c>
      <c r="G2448" t="str">
        <f>"2025-02-26 15:58:25.258"</f>
        <v>2025-02-26 15:58:25.258</v>
      </c>
      <c r="H2448" t="s">
        <v>21</v>
      </c>
      <c r="I2448">
        <v>0</v>
      </c>
      <c r="J2448" t="s">
        <v>25</v>
      </c>
    </row>
    <row r="2449" spans="1:10" x14ac:dyDescent="0.25">
      <c r="A2449" s="1">
        <v>542</v>
      </c>
      <c r="B2449" t="s">
        <v>19</v>
      </c>
      <c r="C2449">
        <v>700</v>
      </c>
      <c r="D2449">
        <v>0</v>
      </c>
      <c r="E2449" t="s">
        <v>20</v>
      </c>
      <c r="F2449" t="s">
        <v>20</v>
      </c>
      <c r="G2449" t="str">
        <f>"2025-02-26 15:57:54.038"</f>
        <v>2025-02-26 15:57:54.038</v>
      </c>
      <c r="H2449" t="s">
        <v>21</v>
      </c>
      <c r="I2449">
        <v>0</v>
      </c>
      <c r="J2449" t="s">
        <v>22</v>
      </c>
    </row>
    <row r="2450" spans="1:10" x14ac:dyDescent="0.25">
      <c r="A2450" s="1">
        <v>543</v>
      </c>
      <c r="B2450" t="s">
        <v>19</v>
      </c>
      <c r="C2450">
        <v>700</v>
      </c>
      <c r="D2450">
        <v>0</v>
      </c>
      <c r="E2450" t="s">
        <v>20</v>
      </c>
      <c r="F2450" t="s">
        <v>20</v>
      </c>
      <c r="G2450" t="str">
        <f>"2025-02-26 15:52:12.038"</f>
        <v>2025-02-26 15:52:12.038</v>
      </c>
      <c r="H2450" t="s">
        <v>21</v>
      </c>
      <c r="I2450">
        <v>0</v>
      </c>
      <c r="J2450" t="s">
        <v>22</v>
      </c>
    </row>
    <row r="2451" spans="1:10" x14ac:dyDescent="0.25">
      <c r="A2451" s="1">
        <v>544</v>
      </c>
      <c r="B2451" t="s">
        <v>19</v>
      </c>
      <c r="C2451">
        <v>700</v>
      </c>
      <c r="D2451">
        <v>0</v>
      </c>
      <c r="E2451" t="s">
        <v>20</v>
      </c>
      <c r="F2451" t="s">
        <v>20</v>
      </c>
      <c r="G2451" t="str">
        <f>"2025-02-26 14:14:49.029"</f>
        <v>2025-02-26 14:14:49.029</v>
      </c>
      <c r="H2451" t="s">
        <v>21</v>
      </c>
      <c r="I2451">
        <v>0</v>
      </c>
      <c r="J2451" t="s">
        <v>22</v>
      </c>
    </row>
    <row r="2452" spans="1:10" x14ac:dyDescent="0.25">
      <c r="A2452" s="1">
        <v>545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"2025-02-26 12:46:26.037"</f>
        <v>2025-02-26 12:46:26.037</v>
      </c>
      <c r="H2452" t="s">
        <v>21</v>
      </c>
    </row>
    <row r="2453" spans="1:10" x14ac:dyDescent="0.25">
      <c r="A2453" s="1">
        <v>546</v>
      </c>
      <c r="B2453" t="s">
        <v>19</v>
      </c>
      <c r="C2453">
        <v>700</v>
      </c>
      <c r="D2453">
        <v>0</v>
      </c>
      <c r="E2453" t="s">
        <v>20</v>
      </c>
      <c r="F2453" t="s">
        <v>20</v>
      </c>
      <c r="G2453" t="str">
        <f>"2025-02-26 10:23:13.020"</f>
        <v>2025-02-26 10:23:13.020</v>
      </c>
      <c r="H2453" t="s">
        <v>21</v>
      </c>
    </row>
    <row r="2454" spans="1:10" x14ac:dyDescent="0.25">
      <c r="A2454" s="1">
        <v>547</v>
      </c>
      <c r="B2454" t="s">
        <v>19</v>
      </c>
      <c r="C2454">
        <v>706</v>
      </c>
      <c r="D2454">
        <v>2</v>
      </c>
      <c r="E2454" t="s">
        <v>23</v>
      </c>
      <c r="F2454" t="s">
        <v>24</v>
      </c>
      <c r="G2454" t="str">
        <f>"2025-02-26 08:41:47.524"</f>
        <v>2025-02-26 08:41:47.524</v>
      </c>
      <c r="H2454" t="s">
        <v>21</v>
      </c>
      <c r="I2454">
        <v>0</v>
      </c>
      <c r="J2454" t="s">
        <v>25</v>
      </c>
    </row>
    <row r="2455" spans="1:10" x14ac:dyDescent="0.25">
      <c r="A2455" s="1">
        <v>548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"2025-02-26 08:41:16.014"</f>
        <v>2025-02-26 08:41:16.014</v>
      </c>
      <c r="H2455" t="s">
        <v>21</v>
      </c>
    </row>
    <row r="2456" spans="1:10" x14ac:dyDescent="0.25">
      <c r="A2456" s="1">
        <v>549</v>
      </c>
      <c r="B2456" t="s">
        <v>19</v>
      </c>
      <c r="C2456">
        <v>706</v>
      </c>
      <c r="D2456">
        <v>4</v>
      </c>
      <c r="E2456" t="s">
        <v>23</v>
      </c>
      <c r="F2456" t="s">
        <v>26</v>
      </c>
      <c r="G2456" t="str">
        <f>"2025-02-25 16:54:01.344"</f>
        <v>2025-02-25 16:54:01.344</v>
      </c>
      <c r="H2456" t="s">
        <v>21</v>
      </c>
      <c r="I2456">
        <v>0</v>
      </c>
      <c r="J2456" t="s">
        <v>25</v>
      </c>
    </row>
    <row r="2457" spans="1:10" x14ac:dyDescent="0.25">
      <c r="A2457" s="1">
        <v>550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"2025-02-25 16:27:31.004"</f>
        <v>2025-02-25 16:27:31.004</v>
      </c>
      <c r="H2457" t="s">
        <v>21</v>
      </c>
      <c r="I2457">
        <v>0</v>
      </c>
      <c r="J2457" t="s">
        <v>22</v>
      </c>
    </row>
    <row r="2458" spans="1:10" x14ac:dyDescent="0.25">
      <c r="A2458" s="1">
        <v>553</v>
      </c>
      <c r="B2458" t="s">
        <v>19</v>
      </c>
      <c r="C2458">
        <v>700</v>
      </c>
      <c r="D2458">
        <v>0</v>
      </c>
      <c r="E2458" t="s">
        <v>20</v>
      </c>
      <c r="F2458" t="s">
        <v>20</v>
      </c>
      <c r="G2458" t="str">
        <f>"2025-02-25 16:25:05.997"</f>
        <v>2025-02-25 16:25:05.997</v>
      </c>
      <c r="H2458" t="s">
        <v>21</v>
      </c>
    </row>
    <row r="2459" spans="1:10" x14ac:dyDescent="0.25">
      <c r="A2459" s="1">
        <v>554</v>
      </c>
      <c r="B2459" t="s">
        <v>19</v>
      </c>
      <c r="C2459">
        <v>782</v>
      </c>
      <c r="D2459">
        <v>7</v>
      </c>
      <c r="E2459" t="s">
        <v>81</v>
      </c>
      <c r="F2459" t="s">
        <v>82</v>
      </c>
      <c r="G2459" t="str">
        <f>"2025-02-25 16:17:04.433"</f>
        <v>2025-02-25 16:17:04.433</v>
      </c>
      <c r="H2459" t="s">
        <v>21</v>
      </c>
      <c r="I2459">
        <v>0</v>
      </c>
      <c r="J2459" t="s">
        <v>93</v>
      </c>
    </row>
    <row r="2460" spans="1:10" x14ac:dyDescent="0.25">
      <c r="A2460" s="1">
        <v>557</v>
      </c>
      <c r="B2460" t="s">
        <v>27</v>
      </c>
      <c r="C2460">
        <v>12</v>
      </c>
      <c r="D2460">
        <v>2</v>
      </c>
      <c r="E2460" t="s">
        <v>146</v>
      </c>
      <c r="F2460" t="s">
        <v>147</v>
      </c>
      <c r="G2460" t="str">
        <f>"2025-02-25 16:17:04.428"</f>
        <v>2025-02-25 16:17:04.428</v>
      </c>
      <c r="H2460" t="s">
        <v>21</v>
      </c>
    </row>
    <row r="2461" spans="1:10" x14ac:dyDescent="0.25">
      <c r="A2461" s="1">
        <v>558</v>
      </c>
      <c r="B2461" t="s">
        <v>27</v>
      </c>
      <c r="C2461">
        <v>12</v>
      </c>
      <c r="D2461">
        <v>1</v>
      </c>
      <c r="E2461" t="s">
        <v>146</v>
      </c>
      <c r="F2461" t="s">
        <v>148</v>
      </c>
      <c r="G2461" t="str">
        <f>"2025-02-25 16:17:04.427"</f>
        <v>2025-02-25 16:17:04.427</v>
      </c>
      <c r="H2461" t="s">
        <v>21</v>
      </c>
    </row>
    <row r="2462" spans="1:10" x14ac:dyDescent="0.25">
      <c r="A2462" s="1">
        <v>559</v>
      </c>
      <c r="B2462" t="s">
        <v>19</v>
      </c>
      <c r="C2462">
        <v>782</v>
      </c>
      <c r="D2462">
        <v>7</v>
      </c>
      <c r="E2462" t="s">
        <v>81</v>
      </c>
      <c r="F2462" t="s">
        <v>82</v>
      </c>
      <c r="G2462" t="str">
        <f>"2025-02-25 16:17:04.425"</f>
        <v>2025-02-25 16:17:04.425</v>
      </c>
      <c r="H2462" t="s">
        <v>21</v>
      </c>
      <c r="I2462">
        <v>0</v>
      </c>
      <c r="J2462" t="s">
        <v>93</v>
      </c>
    </row>
    <row r="2463" spans="1:10" x14ac:dyDescent="0.25">
      <c r="A2463" s="1">
        <v>560</v>
      </c>
      <c r="B2463" t="s">
        <v>27</v>
      </c>
      <c r="C2463">
        <v>4</v>
      </c>
      <c r="D2463">
        <v>1</v>
      </c>
      <c r="E2463" t="s">
        <v>64</v>
      </c>
      <c r="F2463" t="s">
        <v>65</v>
      </c>
      <c r="G2463" t="str">
        <f>"2025-02-25 16:16:56.756"</f>
        <v>2025-02-25 16:16:56.756</v>
      </c>
      <c r="H2463" t="s">
        <v>66</v>
      </c>
    </row>
    <row r="2464" spans="1:10" x14ac:dyDescent="0.25">
      <c r="A2464" s="1">
        <v>561</v>
      </c>
      <c r="B2464" t="s">
        <v>19</v>
      </c>
      <c r="C2464">
        <v>700</v>
      </c>
      <c r="D2464">
        <v>0</v>
      </c>
      <c r="E2464" t="s">
        <v>20</v>
      </c>
      <c r="F2464" t="s">
        <v>20</v>
      </c>
      <c r="G2464" t="str">
        <f>"2025-02-25 16:16:49.007"</f>
        <v>2025-02-25 16:16:49.007</v>
      </c>
      <c r="H2464" t="s">
        <v>21</v>
      </c>
      <c r="I2464">
        <v>0</v>
      </c>
      <c r="J2464" t="s">
        <v>22</v>
      </c>
    </row>
    <row r="2465" spans="1:10" x14ac:dyDescent="0.25">
      <c r="A2465" s="1">
        <v>562</v>
      </c>
      <c r="B2465" t="s">
        <v>19</v>
      </c>
      <c r="C2465">
        <v>719</v>
      </c>
      <c r="D2465">
        <v>1</v>
      </c>
      <c r="E2465" t="s">
        <v>96</v>
      </c>
      <c r="F2465" t="s">
        <v>149</v>
      </c>
      <c r="G2465" t="str">
        <f>"2025-02-25 16:13:00.703"</f>
        <v>2025-02-25 16:13:00.703</v>
      </c>
      <c r="H2465" t="s">
        <v>21</v>
      </c>
      <c r="I2465">
        <v>0</v>
      </c>
      <c r="J2465" t="s">
        <v>93</v>
      </c>
    </row>
    <row r="2466" spans="1:10" x14ac:dyDescent="0.25">
      <c r="A2466" s="1">
        <v>563</v>
      </c>
      <c r="B2466" t="s">
        <v>27</v>
      </c>
      <c r="C2466">
        <v>650</v>
      </c>
      <c r="D2466">
        <v>4</v>
      </c>
      <c r="E2466" t="s">
        <v>150</v>
      </c>
      <c r="F2466" t="s">
        <v>151</v>
      </c>
      <c r="G2466" t="str">
        <f>"2025-02-25 13:11:38.632"</f>
        <v>2025-02-25 13:11:38.632</v>
      </c>
      <c r="H2466" t="s">
        <v>21</v>
      </c>
    </row>
    <row r="2467" spans="1:10" x14ac:dyDescent="0.25">
      <c r="A2467" s="1">
        <v>564</v>
      </c>
      <c r="B2467" t="s">
        <v>27</v>
      </c>
      <c r="C2467">
        <v>98</v>
      </c>
      <c r="D2467">
        <v>1</v>
      </c>
      <c r="E2467" t="s">
        <v>40</v>
      </c>
      <c r="F2467" t="s">
        <v>41</v>
      </c>
      <c r="G2467" t="str">
        <f>"2025-02-25 13:11:07.043"</f>
        <v>2025-02-25 13:11:07.043</v>
      </c>
      <c r="H2467" t="s">
        <v>21</v>
      </c>
    </row>
    <row r="2468" spans="1:10" x14ac:dyDescent="0.25">
      <c r="A2468" s="1">
        <v>565</v>
      </c>
      <c r="B2468" t="s">
        <v>30</v>
      </c>
      <c r="C2468">
        <v>98</v>
      </c>
      <c r="D2468">
        <v>1</v>
      </c>
      <c r="E2468" t="s">
        <v>40</v>
      </c>
      <c r="F2468" t="s">
        <v>41</v>
      </c>
      <c r="G2468" t="str">
        <f>"2025-02-25 13:11:06.043"</f>
        <v>2025-02-25 13:11:06.043</v>
      </c>
      <c r="H2468" t="s">
        <v>21</v>
      </c>
      <c r="I2468">
        <v>0</v>
      </c>
      <c r="J2468" t="s">
        <v>93</v>
      </c>
    </row>
    <row r="2469" spans="1:10" x14ac:dyDescent="0.25">
      <c r="A2469" s="1">
        <v>566</v>
      </c>
      <c r="B2469" t="s">
        <v>27</v>
      </c>
      <c r="C2469">
        <v>98</v>
      </c>
      <c r="D2469">
        <v>1</v>
      </c>
      <c r="E2469" t="s">
        <v>40</v>
      </c>
      <c r="F2469" t="s">
        <v>41</v>
      </c>
      <c r="G2469" t="str">
        <f>"2025-02-25 13:11:05.243"</f>
        <v>2025-02-25 13:11:05.243</v>
      </c>
      <c r="H2469" t="s">
        <v>21</v>
      </c>
    </row>
    <row r="2470" spans="1:10" x14ac:dyDescent="0.25">
      <c r="A2470" s="1">
        <v>567</v>
      </c>
      <c r="B2470" t="s">
        <v>30</v>
      </c>
      <c r="C2470">
        <v>98</v>
      </c>
      <c r="D2470">
        <v>1</v>
      </c>
      <c r="E2470" t="s">
        <v>40</v>
      </c>
      <c r="F2470" t="s">
        <v>41</v>
      </c>
      <c r="G2470" t="str">
        <f>"2025-02-25 13:11:04.044"</f>
        <v>2025-02-25 13:11:04.044</v>
      </c>
      <c r="H2470" t="s">
        <v>21</v>
      </c>
      <c r="I2470">
        <v>0</v>
      </c>
      <c r="J2470" t="s">
        <v>93</v>
      </c>
    </row>
    <row r="2471" spans="1:10" x14ac:dyDescent="0.25">
      <c r="A2471" s="1">
        <v>568</v>
      </c>
      <c r="B2471" t="s">
        <v>19</v>
      </c>
      <c r="C2471">
        <v>700</v>
      </c>
      <c r="D2471">
        <v>0</v>
      </c>
      <c r="E2471" t="s">
        <v>20</v>
      </c>
      <c r="F2471" t="s">
        <v>20</v>
      </c>
      <c r="G2471" t="str">
        <f>"2025-02-25 13:09:00.994"</f>
        <v>2025-02-25 13:09:00.994</v>
      </c>
      <c r="H2471" t="s">
        <v>21</v>
      </c>
    </row>
    <row r="2472" spans="1:10" x14ac:dyDescent="0.25">
      <c r="A2472" s="1">
        <v>571</v>
      </c>
      <c r="B2472" t="s">
        <v>19</v>
      </c>
      <c r="C2472">
        <v>753</v>
      </c>
      <c r="D2472">
        <v>1</v>
      </c>
      <c r="E2472" t="s">
        <v>152</v>
      </c>
      <c r="F2472" t="s">
        <v>153</v>
      </c>
      <c r="G2472" t="str">
        <f>"2025-02-25 13:04:42.481"</f>
        <v>2025-02-25 13:04:42.481</v>
      </c>
      <c r="H2472" t="s">
        <v>21</v>
      </c>
      <c r="I2472">
        <v>0</v>
      </c>
      <c r="J2472" t="s">
        <v>25</v>
      </c>
    </row>
    <row r="2473" spans="1:10" x14ac:dyDescent="0.25">
      <c r="A2473" s="1">
        <v>572</v>
      </c>
      <c r="B2473" t="s">
        <v>39</v>
      </c>
      <c r="C2473">
        <v>641</v>
      </c>
      <c r="D2473">
        <v>1</v>
      </c>
      <c r="E2473" t="s">
        <v>154</v>
      </c>
      <c r="F2473" t="s">
        <v>147</v>
      </c>
      <c r="G2473" t="str">
        <f>"2025-02-25 13:04:36.706"</f>
        <v>2025-02-25 13:04:36.706</v>
      </c>
      <c r="H2473" t="s">
        <v>21</v>
      </c>
      <c r="I2473">
        <v>0</v>
      </c>
      <c r="J2473" t="s">
        <v>25</v>
      </c>
    </row>
    <row r="2474" spans="1:10" x14ac:dyDescent="0.25">
      <c r="A2474" s="1">
        <v>573</v>
      </c>
      <c r="B2474" t="s">
        <v>39</v>
      </c>
      <c r="C2474">
        <v>640</v>
      </c>
      <c r="D2474">
        <v>1</v>
      </c>
      <c r="E2474" t="s">
        <v>155</v>
      </c>
      <c r="F2474" t="s">
        <v>148</v>
      </c>
      <c r="G2474" t="str">
        <f>"2025-02-25 13:04:36.700"</f>
        <v>2025-02-25 13:04:36.700</v>
      </c>
      <c r="H2474" t="s">
        <v>45</v>
      </c>
      <c r="I2474">
        <v>0</v>
      </c>
      <c r="J2474" t="s">
        <v>25</v>
      </c>
    </row>
    <row r="2475" spans="1:10" x14ac:dyDescent="0.25">
      <c r="A2475" s="1">
        <v>574</v>
      </c>
      <c r="B2475" t="s">
        <v>30</v>
      </c>
      <c r="C2475">
        <v>4</v>
      </c>
      <c r="D2475">
        <v>1</v>
      </c>
      <c r="E2475" t="s">
        <v>64</v>
      </c>
      <c r="F2475" t="s">
        <v>65</v>
      </c>
      <c r="G2475" t="str">
        <f>"2025-02-25 13:04:31.491"</f>
        <v>2025-02-25 13:04:31.491</v>
      </c>
      <c r="H2475" t="s">
        <v>66</v>
      </c>
      <c r="I2475">
        <v>0</v>
      </c>
      <c r="J2475" t="s">
        <v>156</v>
      </c>
    </row>
    <row r="2476" spans="1:10" x14ac:dyDescent="0.25">
      <c r="A2476" s="1">
        <v>575</v>
      </c>
      <c r="B2476" t="s">
        <v>30</v>
      </c>
      <c r="C2476">
        <v>12</v>
      </c>
      <c r="D2476">
        <v>1</v>
      </c>
      <c r="E2476" t="s">
        <v>146</v>
      </c>
      <c r="F2476" t="s">
        <v>148</v>
      </c>
      <c r="G2476" t="str">
        <f>"2025-02-25 13:04:30.633"</f>
        <v>2025-02-25 13:04:30.633</v>
      </c>
      <c r="H2476" t="s">
        <v>21</v>
      </c>
      <c r="I2476">
        <v>0</v>
      </c>
      <c r="J2476" t="s">
        <v>156</v>
      </c>
    </row>
    <row r="2477" spans="1:10" x14ac:dyDescent="0.25">
      <c r="A2477" s="1">
        <v>576</v>
      </c>
      <c r="B2477" t="s">
        <v>30</v>
      </c>
      <c r="C2477">
        <v>12</v>
      </c>
      <c r="D2477">
        <v>2</v>
      </c>
      <c r="E2477" t="s">
        <v>146</v>
      </c>
      <c r="F2477" t="s">
        <v>147</v>
      </c>
      <c r="G2477" t="str">
        <f>"2025-02-25 13:04:30.533"</f>
        <v>2025-02-25 13:04:30.533</v>
      </c>
      <c r="H2477" t="s">
        <v>21</v>
      </c>
      <c r="I2477">
        <v>0</v>
      </c>
      <c r="J2477" t="s">
        <v>156</v>
      </c>
    </row>
    <row r="2478" spans="1:10" x14ac:dyDescent="0.25">
      <c r="A2478" s="1">
        <v>577</v>
      </c>
      <c r="B2478" t="s">
        <v>30</v>
      </c>
      <c r="C2478">
        <v>650</v>
      </c>
      <c r="D2478">
        <v>4</v>
      </c>
      <c r="E2478" t="s">
        <v>150</v>
      </c>
      <c r="F2478" t="s">
        <v>151</v>
      </c>
      <c r="G2478" t="str">
        <f>"2025-02-25 13:04:29.132"</f>
        <v>2025-02-25 13:04:29.132</v>
      </c>
      <c r="H2478" t="s">
        <v>21</v>
      </c>
      <c r="I2478">
        <v>0</v>
      </c>
      <c r="J2478" t="s">
        <v>22</v>
      </c>
    </row>
    <row r="2479" spans="1:10" x14ac:dyDescent="0.25">
      <c r="A2479" s="1">
        <v>578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"2025-02-25 13:04:26.591"</f>
        <v>2025-02-25 13:04:26.591</v>
      </c>
      <c r="H2479" t="s">
        <v>21</v>
      </c>
    </row>
  </sheetData>
  <autoFilter ref="C1:C2479" xr:uid="{19D5CC0A-5A95-4230-A06E-D017DB411946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6DC7FE-A1BC-4F95-9174-D1C326FB61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events_ru_77_20260608-135306 60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2026-06-08T05:08:24Z</dcterms:modified>
</cp:coreProperties>
</file>
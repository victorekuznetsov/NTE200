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075B4EF-9C2C-4155-A628-C6F8F7DD9A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9_20260513-211329 93" sheetId="2" r:id="rId1"/>
    <sheet name="Лист1" sheetId="1" r:id="rId2"/>
  </sheets>
  <definedNames>
    <definedName name="_xlnm._FilterDatabase" localSheetId="0" hidden="1">'events_ru_89_20260513-211329 93'!$A$9:$J$966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D8387F-FE69-4568-BB20-AEE4373AC751}" keepAlive="1" name="Запрос — events_ru_89_20260513-211329 937" description="Соединение с запросом &quot;events_ru_89_20260513-211329 937&quot; в книге." type="5" refreshedVersion="0" background="1">
    <dbPr connection="Provider=Microsoft.Mashup.OleDb.1;Data Source=$Workbook$;Location=&quot;events_ru_89_20260513-211329 937&quot;;Extended Properties=&quot;&quot;" command="SELECT * FROM [events_ru_89_20260513-211329 937]"/>
  </connection>
</connections>
</file>

<file path=xl/sharedStrings.xml><?xml version="1.0" encoding="utf-8"?>
<sst xmlns="http://schemas.openxmlformats.org/spreadsheetml/2006/main" count="4395" uniqueCount="66">
  <si>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</si>
  <si>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</si>
  <si>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</si>
  <si>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</si>
  <si>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</si>
  <si>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</si>
  <si>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</si>
  <si>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</si>
  <si>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</si>
  <si>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</si>
  <si>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</si>
  <si>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</si>
  <si>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</si>
  <si>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</si>
  <si>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</si>
  <si>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</si>
  <si>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</si>
  <si>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</si>
  <si>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</si>
  <si>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</si>
  <si>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</si>
  <si>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</si>
  <si>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</si>
  <si>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</si>
  <si>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</si>
  <si>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</si>
  <si>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SRst</t>
  </si>
  <si>
    <t>Самосвал перегружен - NR</t>
  </si>
  <si>
    <t>Не доступно</t>
  </si>
  <si>
    <t>Log+</t>
  </si>
  <si>
    <t>Retard</t>
  </si>
  <si>
    <t>Получено предупреждение ДВС</t>
  </si>
  <si>
    <t>Запрет тяги</t>
  </si>
  <si>
    <t>Rest</t>
  </si>
  <si>
    <t>Ready</t>
  </si>
  <si>
    <t>Вход в безопасный режим файловой системы - Ключ или CPS</t>
  </si>
  <si>
    <t>Команда сохранения данных PTU</t>
  </si>
  <si>
    <t>Инициированное водителем сохранение данных</t>
  </si>
  <si>
    <t>Propel</t>
  </si>
  <si>
    <t>Рабочий тормоз на ходу</t>
  </si>
  <si>
    <t>Рабочие тормоза использованы на ходу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</si>
  <si>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</si>
  <si>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</si>
  <si>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</si>
  <si>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</si>
  <si>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Log </t>
  </si>
  <si>
    <t>Вход в безопасный режим файловой системы - Запуск двигателя</t>
  </si>
  <si>
    <t>Превышении скорости</t>
  </si>
  <si>
    <t>Управление скоростью - превышение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</si>
  <si>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</si>
  <si>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</si>
  <si>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</si>
  <si>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</si>
  <si>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</si>
  <si>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</si>
  <si>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</si>
  <si>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</si>
  <si>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</si>
  <si>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</si>
  <si>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RTC не установлены или неисправная батарея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</si>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</sst>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AB96-6EC5-49DA-90CE-6038516DD5A8}">
  <dimension ref="A1:J966"/>
  <sheetViews>
    <sheetView tabSelected="1" workbookViewId="0">
      <selection activeCell="E67" sqref="E67"/>
    </sheetView>
  </sheetViews>
  <sheetFormatPr defaultRowHeight="15" x14ac:dyDescent="0.25"/>
  <cols>
    <col min="1" max="1" width="16" bestFit="1" customWidth="1"/>
    <col min="5" max="5" width="34.5703125" customWidth="1"/>
    <col min="6" max="6" width="72.28515625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"2026-05-13 21:13:29.937"</f>
        <v>2026-05-13 21:13:29.937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"2026-05-13 21:12:48.646"</f>
        <v>2026-05-13 21:12:48.646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"2026-05-13 19:48:21.728"</f>
        <v>2026-05-13 19:48:21.728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706</v>
      </c>
      <c r="D12">
        <v>4</v>
      </c>
      <c r="E12" t="s">
        <v>23</v>
      </c>
      <c r="F12" t="s">
        <v>24</v>
      </c>
      <c r="G12" t="str">
        <f>"2026-05-13 19:08:20.473"</f>
        <v>2026-05-13 19:08:20.473</v>
      </c>
      <c r="H12" t="s">
        <v>21</v>
      </c>
      <c r="I12">
        <v>0</v>
      </c>
      <c r="J12" t="s">
        <v>25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"2026-05-13 19:05:24.643"</f>
        <v>2026-05-13 19:05:24.643</v>
      </c>
      <c r="H13" t="s">
        <v>21</v>
      </c>
      <c r="I13">
        <v>0</v>
      </c>
      <c r="J13" t="s">
        <v>22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"2026-05-13 18:54:10.680"</f>
        <v>2026-05-13 18:54:10.680</v>
      </c>
      <c r="H14" t="s">
        <v>21</v>
      </c>
      <c r="I14">
        <v>0</v>
      </c>
      <c r="J14" t="s">
        <v>22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"2026-05-13 13:57:48.645"</f>
        <v>2026-05-13 13:57:48.645</v>
      </c>
      <c r="H15" t="s">
        <v>21</v>
      </c>
      <c r="I15">
        <v>0</v>
      </c>
      <c r="J15" t="s">
        <v>22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"2026-05-13 12:39:35.813"</f>
        <v>2026-05-13 12:39:35.813</v>
      </c>
      <c r="H16" t="s">
        <v>21</v>
      </c>
    </row>
    <row r="17" spans="1:10" x14ac:dyDescent="0.25">
      <c r="A17" s="1"/>
      <c r="B17" t="s">
        <v>26</v>
      </c>
      <c r="C17">
        <v>635</v>
      </c>
      <c r="D17">
        <v>1</v>
      </c>
      <c r="E17" t="s">
        <v>27</v>
      </c>
      <c r="F17" t="s">
        <v>28</v>
      </c>
      <c r="G17" t="str">
        <f>"2026-05-13 11:31:51.330"</f>
        <v>2026-05-13 11:31:51.330</v>
      </c>
      <c r="H17" t="s">
        <v>21</v>
      </c>
    </row>
    <row r="18" spans="1:10" x14ac:dyDescent="0.25">
      <c r="A18" s="1"/>
      <c r="B18" t="s">
        <v>29</v>
      </c>
      <c r="C18">
        <v>635</v>
      </c>
      <c r="D18">
        <v>1</v>
      </c>
      <c r="E18" t="s">
        <v>27</v>
      </c>
      <c r="F18" t="s">
        <v>28</v>
      </c>
      <c r="G18" t="str">
        <f>"2026-05-13 11:24:13.830"</f>
        <v>2026-05-13 11:24:13.830</v>
      </c>
      <c r="H18" t="s">
        <v>21</v>
      </c>
      <c r="I18">
        <v>3.83</v>
      </c>
      <c r="J18" t="s">
        <v>30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"2026-05-13 10:13:28.762"</f>
        <v>2026-05-13 10:13:28.762</v>
      </c>
      <c r="H19" t="s">
        <v>21</v>
      </c>
      <c r="I19">
        <v>0</v>
      </c>
      <c r="J19" t="s">
        <v>22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"2026-05-13 09:43:34.647"</f>
        <v>2026-05-13 09:43:34.647</v>
      </c>
      <c r="H20" t="s">
        <v>21</v>
      </c>
      <c r="I20">
        <v>0</v>
      </c>
      <c r="J20" t="s">
        <v>22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"2026-05-13 09:23:08.698"</f>
        <v>2026-05-13 09:23:08.698</v>
      </c>
      <c r="H21" t="s">
        <v>21</v>
      </c>
      <c r="I21">
        <v>0</v>
      </c>
      <c r="J21" t="s">
        <v>22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"2026-05-13 07:23:41.644"</f>
        <v>2026-05-13 07:23:41.644</v>
      </c>
      <c r="H22" t="s">
        <v>21</v>
      </c>
      <c r="I22">
        <v>0</v>
      </c>
      <c r="J22" t="s">
        <v>22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"2026-05-13 06:59:44.636"</f>
        <v>2026-05-13 06:59:44.636</v>
      </c>
      <c r="H23" t="s">
        <v>21</v>
      </c>
    </row>
    <row r="24" spans="1:10" x14ac:dyDescent="0.25">
      <c r="A24" s="1">
        <v>4</v>
      </c>
      <c r="B24" t="s">
        <v>26</v>
      </c>
      <c r="C24">
        <v>619</v>
      </c>
      <c r="D24">
        <v>1</v>
      </c>
      <c r="E24" t="s">
        <v>31</v>
      </c>
      <c r="F24" t="s">
        <v>28</v>
      </c>
      <c r="G24" t="str">
        <f>"2026-05-13 06:52:25.224"</f>
        <v>2026-05-13 06:52:25.224</v>
      </c>
      <c r="H24" t="s">
        <v>32</v>
      </c>
    </row>
    <row r="25" spans="1:10" x14ac:dyDescent="0.25">
      <c r="A25" s="1">
        <v>5</v>
      </c>
      <c r="B25" t="s">
        <v>29</v>
      </c>
      <c r="C25">
        <v>619</v>
      </c>
      <c r="D25">
        <v>1</v>
      </c>
      <c r="E25" t="s">
        <v>31</v>
      </c>
      <c r="F25" t="s">
        <v>28</v>
      </c>
      <c r="G25" t="str">
        <f>"2026-05-13 06:52:09.724"</f>
        <v>2026-05-13 06:52:09.724</v>
      </c>
      <c r="H25" t="s">
        <v>32</v>
      </c>
      <c r="I25">
        <v>0</v>
      </c>
      <c r="J25" t="s">
        <v>25</v>
      </c>
    </row>
    <row r="26" spans="1:10" x14ac:dyDescent="0.25">
      <c r="A26" s="1">
        <v>6</v>
      </c>
      <c r="B26" t="s">
        <v>19</v>
      </c>
      <c r="C26">
        <v>706</v>
      </c>
      <c r="D26">
        <v>4</v>
      </c>
      <c r="E26" t="s">
        <v>23</v>
      </c>
      <c r="F26" t="s">
        <v>24</v>
      </c>
      <c r="G26" t="str">
        <f>"2026-05-13 06:51:50.274"</f>
        <v>2026-05-13 06:51:50.274</v>
      </c>
      <c r="H26" t="s">
        <v>21</v>
      </c>
      <c r="I26">
        <v>0</v>
      </c>
      <c r="J26" t="s">
        <v>25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"2026-05-13 06:51:21.654"</f>
        <v>2026-05-13 06:51:21.654</v>
      </c>
      <c r="H27" t="s">
        <v>21</v>
      </c>
      <c r="I27">
        <v>0</v>
      </c>
      <c r="J27" t="s">
        <v>22</v>
      </c>
    </row>
    <row r="28" spans="1:10" x14ac:dyDescent="0.25">
      <c r="A28" s="1">
        <v>8</v>
      </c>
      <c r="B28" t="s">
        <v>26</v>
      </c>
      <c r="C28">
        <v>619</v>
      </c>
      <c r="D28">
        <v>1</v>
      </c>
      <c r="E28" t="s">
        <v>31</v>
      </c>
      <c r="F28" t="s">
        <v>28</v>
      </c>
      <c r="G28" t="str">
        <f>"2026-05-13 06:45:30.697"</f>
        <v>2026-05-13 06:45:30.697</v>
      </c>
      <c r="H28" t="s">
        <v>32</v>
      </c>
    </row>
    <row r="29" spans="1:10" x14ac:dyDescent="0.25">
      <c r="A29" s="1">
        <v>9</v>
      </c>
      <c r="B29" t="s">
        <v>29</v>
      </c>
      <c r="C29">
        <v>619</v>
      </c>
      <c r="D29">
        <v>1</v>
      </c>
      <c r="E29" t="s">
        <v>31</v>
      </c>
      <c r="F29" t="s">
        <v>28</v>
      </c>
      <c r="G29" t="str">
        <f>"2026-05-13 06:43:31.197"</f>
        <v>2026-05-13 06:43:31.197</v>
      </c>
      <c r="H29" t="s">
        <v>32</v>
      </c>
      <c r="I29">
        <v>0</v>
      </c>
      <c r="J29" t="s">
        <v>33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"2026-05-13 06:43:24.630"</f>
        <v>2026-05-13 06:43:24.630</v>
      </c>
      <c r="H30" t="s">
        <v>21</v>
      </c>
    </row>
    <row r="31" spans="1:10" x14ac:dyDescent="0.25">
      <c r="A31" s="1">
        <v>1</v>
      </c>
      <c r="B31" t="s">
        <v>26</v>
      </c>
      <c r="C31">
        <v>619</v>
      </c>
      <c r="D31">
        <v>1</v>
      </c>
      <c r="E31" t="s">
        <v>31</v>
      </c>
      <c r="F31" t="s">
        <v>28</v>
      </c>
      <c r="G31" t="str">
        <f>"2026-05-13 06:41:43.642"</f>
        <v>2026-05-13 06:41:43.642</v>
      </c>
      <c r="H31" t="s">
        <v>32</v>
      </c>
    </row>
    <row r="32" spans="1:10" x14ac:dyDescent="0.25">
      <c r="A32" s="1">
        <v>2</v>
      </c>
      <c r="B32" t="s">
        <v>29</v>
      </c>
      <c r="C32">
        <v>619</v>
      </c>
      <c r="D32">
        <v>1</v>
      </c>
      <c r="E32" t="s">
        <v>31</v>
      </c>
      <c r="F32" t="s">
        <v>28</v>
      </c>
      <c r="G32" t="str">
        <f>"2026-05-13 06:39:57.942"</f>
        <v>2026-05-13 06:39:57.942</v>
      </c>
      <c r="H32" t="s">
        <v>32</v>
      </c>
      <c r="I32">
        <v>0</v>
      </c>
      <c r="J32" t="s">
        <v>34</v>
      </c>
    </row>
    <row r="33" spans="1:10" x14ac:dyDescent="0.25">
      <c r="A33" s="1">
        <v>3</v>
      </c>
      <c r="B33" t="s">
        <v>19</v>
      </c>
      <c r="C33">
        <v>706</v>
      </c>
      <c r="D33">
        <v>3</v>
      </c>
      <c r="E33" t="s">
        <v>23</v>
      </c>
      <c r="F33" t="s">
        <v>35</v>
      </c>
      <c r="G33" t="str">
        <f>"2026-05-13 06:39:34.235"</f>
        <v>2026-05-13 06:39:34.235</v>
      </c>
      <c r="H33" t="s">
        <v>21</v>
      </c>
      <c r="I33">
        <v>0</v>
      </c>
      <c r="J33" t="s">
        <v>25</v>
      </c>
    </row>
    <row r="34" spans="1:10" x14ac:dyDescent="0.25">
      <c r="A34" s="1">
        <v>4</v>
      </c>
      <c r="B34" t="s">
        <v>26</v>
      </c>
      <c r="C34">
        <v>619</v>
      </c>
      <c r="D34">
        <v>1</v>
      </c>
      <c r="E34" t="s">
        <v>31</v>
      </c>
      <c r="F34" t="s">
        <v>28</v>
      </c>
      <c r="G34" t="str">
        <f>"2026-05-13 06:39:09.142"</f>
        <v>2026-05-13 06:39:09.142</v>
      </c>
      <c r="H34" t="s">
        <v>32</v>
      </c>
    </row>
    <row r="35" spans="1:10" x14ac:dyDescent="0.25">
      <c r="A35" s="1">
        <v>5</v>
      </c>
      <c r="B35" t="s">
        <v>29</v>
      </c>
      <c r="C35">
        <v>619</v>
      </c>
      <c r="D35">
        <v>1</v>
      </c>
      <c r="E35" t="s">
        <v>31</v>
      </c>
      <c r="F35" t="s">
        <v>28</v>
      </c>
      <c r="G35" t="str">
        <f>"2026-05-13 06:38:51.394"</f>
        <v>2026-05-13 06:38:51.394</v>
      </c>
      <c r="H35" t="s">
        <v>32</v>
      </c>
      <c r="I35">
        <v>0</v>
      </c>
      <c r="J35" t="s">
        <v>25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"2026-05-13 06:38:40.665"</f>
        <v>2026-05-13 06:38:40.665</v>
      </c>
      <c r="H36" t="s">
        <v>21</v>
      </c>
      <c r="I36">
        <v>0</v>
      </c>
      <c r="J36" t="s">
        <v>22</v>
      </c>
    </row>
    <row r="37" spans="1:10" x14ac:dyDescent="0.25">
      <c r="A37" s="1">
        <v>7</v>
      </c>
      <c r="B37" t="s">
        <v>26</v>
      </c>
      <c r="C37">
        <v>619</v>
      </c>
      <c r="D37">
        <v>1</v>
      </c>
      <c r="E37" t="s">
        <v>31</v>
      </c>
      <c r="F37" t="s">
        <v>28</v>
      </c>
      <c r="G37" t="str">
        <f>"2026-05-13 06:37:47.903"</f>
        <v>2026-05-13 06:37:47.903</v>
      </c>
      <c r="H37" t="s">
        <v>32</v>
      </c>
    </row>
    <row r="38" spans="1:10" x14ac:dyDescent="0.25">
      <c r="A38" s="1">
        <v>8</v>
      </c>
      <c r="B38" t="s">
        <v>26</v>
      </c>
      <c r="C38">
        <v>98</v>
      </c>
      <c r="D38">
        <v>1</v>
      </c>
      <c r="E38" t="s">
        <v>36</v>
      </c>
      <c r="F38" t="s">
        <v>37</v>
      </c>
      <c r="G38" t="str">
        <f>"2026-05-13 06:36:40.516"</f>
        <v>2026-05-13 06:36:40.516</v>
      </c>
      <c r="H38" t="s">
        <v>21</v>
      </c>
    </row>
    <row r="39" spans="1:10" x14ac:dyDescent="0.25">
      <c r="A39" s="1">
        <v>9</v>
      </c>
      <c r="B39" t="s">
        <v>29</v>
      </c>
      <c r="C39">
        <v>98</v>
      </c>
      <c r="D39">
        <v>1</v>
      </c>
      <c r="E39" t="s">
        <v>36</v>
      </c>
      <c r="F39" t="s">
        <v>37</v>
      </c>
      <c r="G39" t="str">
        <f>"2026-05-13 06:36:39.516"</f>
        <v>2026-05-13 06:36:39.516</v>
      </c>
      <c r="H39" t="s">
        <v>21</v>
      </c>
      <c r="I39">
        <v>0</v>
      </c>
      <c r="J39" t="s">
        <v>34</v>
      </c>
    </row>
    <row r="40" spans="1:10" x14ac:dyDescent="0.25">
      <c r="A40" s="1">
        <v>0</v>
      </c>
      <c r="B40" t="s">
        <v>29</v>
      </c>
      <c r="C40">
        <v>619</v>
      </c>
      <c r="D40">
        <v>1</v>
      </c>
      <c r="E40" t="s">
        <v>31</v>
      </c>
      <c r="F40" t="s">
        <v>28</v>
      </c>
      <c r="G40" t="str">
        <f>"2026-05-13 06:35:50.303"</f>
        <v>2026-05-13 06:35:50.303</v>
      </c>
      <c r="H40" t="s">
        <v>32</v>
      </c>
      <c r="I40">
        <v>4.01</v>
      </c>
      <c r="J40" t="s">
        <v>38</v>
      </c>
    </row>
    <row r="41" spans="1:10" s="3" customFormat="1" x14ac:dyDescent="0.25">
      <c r="A41" s="2">
        <v>1</v>
      </c>
      <c r="B41" s="3" t="s">
        <v>26</v>
      </c>
      <c r="C41" s="3">
        <v>647</v>
      </c>
      <c r="D41" s="3">
        <v>1</v>
      </c>
      <c r="E41" s="3" t="s">
        <v>39</v>
      </c>
      <c r="F41" s="3" t="s">
        <v>40</v>
      </c>
      <c r="G41" s="3" t="str">
        <f>"2026-05-13 01:07:00.503"</f>
        <v>2026-05-13 01:07:00.503</v>
      </c>
      <c r="H41" s="3" t="s">
        <v>21</v>
      </c>
    </row>
    <row r="42" spans="1:10" s="3" customFormat="1" x14ac:dyDescent="0.25">
      <c r="A42" s="2">
        <v>2</v>
      </c>
      <c r="B42" s="3" t="s">
        <v>29</v>
      </c>
      <c r="C42" s="3">
        <v>647</v>
      </c>
      <c r="D42" s="3">
        <v>1</v>
      </c>
      <c r="E42" s="3" t="s">
        <v>39</v>
      </c>
      <c r="F42" s="3" t="s">
        <v>40</v>
      </c>
      <c r="G42" s="3" t="str">
        <f>"2026-05-13 01:06:49.903"</f>
        <v>2026-05-13 01:06:49.903</v>
      </c>
      <c r="H42" s="3" t="s">
        <v>21</v>
      </c>
      <c r="I42" s="3">
        <v>15.45</v>
      </c>
      <c r="J42" s="3" t="s">
        <v>30</v>
      </c>
    </row>
    <row r="43" spans="1:10" x14ac:dyDescent="0.25">
      <c r="A43" s="1">
        <v>3</v>
      </c>
      <c r="B43" t="s">
        <v>26</v>
      </c>
      <c r="C43">
        <v>635</v>
      </c>
      <c r="D43">
        <v>1</v>
      </c>
      <c r="E43" t="s">
        <v>27</v>
      </c>
      <c r="F43" t="s">
        <v>28</v>
      </c>
      <c r="G43" t="str">
        <f>"2026-05-12 22:02:53.903"</f>
        <v>2026-05-12 22:02:53.903</v>
      </c>
      <c r="H43" t="s">
        <v>21</v>
      </c>
    </row>
    <row r="44" spans="1:10" x14ac:dyDescent="0.25">
      <c r="A44" s="1">
        <v>4</v>
      </c>
      <c r="B44" t="s">
        <v>29</v>
      </c>
      <c r="C44">
        <v>635</v>
      </c>
      <c r="D44">
        <v>1</v>
      </c>
      <c r="E44" t="s">
        <v>27</v>
      </c>
      <c r="F44" t="s">
        <v>28</v>
      </c>
      <c r="G44" t="str">
        <f>"2026-05-12 21:42:08.403"</f>
        <v>2026-05-12 21:42:08.403</v>
      </c>
      <c r="H44" t="s">
        <v>21</v>
      </c>
      <c r="I44">
        <v>9.4700000000000006</v>
      </c>
      <c r="J44" t="s">
        <v>38</v>
      </c>
    </row>
    <row r="45" spans="1:10" x14ac:dyDescent="0.25">
      <c r="A45" s="1">
        <v>5</v>
      </c>
      <c r="B45" t="s">
        <v>26</v>
      </c>
      <c r="C45">
        <v>635</v>
      </c>
      <c r="D45">
        <v>1</v>
      </c>
      <c r="E45" t="s">
        <v>27</v>
      </c>
      <c r="F45" t="s">
        <v>28</v>
      </c>
      <c r="G45" t="str">
        <f>"2026-05-12 15:27:07.803"</f>
        <v>2026-05-12 15:27:07.803</v>
      </c>
      <c r="H45" t="s">
        <v>21</v>
      </c>
    </row>
    <row r="46" spans="1:10" x14ac:dyDescent="0.25">
      <c r="A46" s="1">
        <v>6</v>
      </c>
      <c r="B46" t="s">
        <v>29</v>
      </c>
      <c r="C46">
        <v>635</v>
      </c>
      <c r="D46">
        <v>1</v>
      </c>
      <c r="E46" t="s">
        <v>27</v>
      </c>
      <c r="F46" t="s">
        <v>28</v>
      </c>
      <c r="G46" t="str">
        <f>"2026-05-12 15:22:01.803"</f>
        <v>2026-05-12 15:22:01.803</v>
      </c>
      <c r="H46" t="s">
        <v>21</v>
      </c>
      <c r="I46">
        <v>4.1500000000000004</v>
      </c>
      <c r="J46" t="s">
        <v>38</v>
      </c>
    </row>
    <row r="47" spans="1:10" x14ac:dyDescent="0.25">
      <c r="A47" s="1">
        <v>7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"2026-05-12 14:04:11.636"</f>
        <v>2026-05-12 14:04:11.636</v>
      </c>
      <c r="H47" t="s">
        <v>21</v>
      </c>
      <c r="I47">
        <v>0</v>
      </c>
      <c r="J47" t="s">
        <v>22</v>
      </c>
    </row>
    <row r="48" spans="1:10" x14ac:dyDescent="0.25">
      <c r="A48" s="1">
        <v>8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"2026-05-12 13:17:07.638"</f>
        <v>2026-05-12 13:17:07.638</v>
      </c>
      <c r="H48" t="s">
        <v>21</v>
      </c>
      <c r="I48">
        <v>0</v>
      </c>
      <c r="J48" t="s">
        <v>22</v>
      </c>
    </row>
    <row r="49" spans="1:10" x14ac:dyDescent="0.25">
      <c r="A49" s="1">
        <v>9</v>
      </c>
      <c r="B49" t="s">
        <v>26</v>
      </c>
      <c r="C49">
        <v>635</v>
      </c>
      <c r="D49">
        <v>1</v>
      </c>
      <c r="E49" t="s">
        <v>27</v>
      </c>
      <c r="F49" t="s">
        <v>28</v>
      </c>
      <c r="G49" t="str">
        <f>"2026-05-12 05:29:35.438"</f>
        <v>2026-05-12 05:29:35.438</v>
      </c>
      <c r="H49" t="s">
        <v>21</v>
      </c>
    </row>
    <row r="50" spans="1:10" x14ac:dyDescent="0.25">
      <c r="A50" s="1">
        <v>0</v>
      </c>
      <c r="B50" t="s">
        <v>29</v>
      </c>
      <c r="C50">
        <v>635</v>
      </c>
      <c r="D50">
        <v>1</v>
      </c>
      <c r="E50" t="s">
        <v>27</v>
      </c>
      <c r="F50" t="s">
        <v>28</v>
      </c>
      <c r="G50" t="str">
        <f>"2026-05-12 05:12:36.438"</f>
        <v>2026-05-12 05:12:36.438</v>
      </c>
      <c r="H50" t="s">
        <v>21</v>
      </c>
      <c r="I50">
        <v>9.5299999999999994</v>
      </c>
      <c r="J50" t="s">
        <v>38</v>
      </c>
    </row>
    <row r="51" spans="1:10" s="3" customFormat="1" x14ac:dyDescent="0.25">
      <c r="A51" s="2">
        <v>1</v>
      </c>
      <c r="B51" s="3" t="s">
        <v>26</v>
      </c>
      <c r="C51" s="3">
        <v>647</v>
      </c>
      <c r="D51" s="3">
        <v>1</v>
      </c>
      <c r="E51" s="3" t="s">
        <v>39</v>
      </c>
      <c r="F51" s="3" t="s">
        <v>40</v>
      </c>
      <c r="G51" s="3" t="str">
        <f>"2026-05-12 03:10:29.792"</f>
        <v>2026-05-12 03:10:29.792</v>
      </c>
      <c r="H51" s="3" t="s">
        <v>21</v>
      </c>
    </row>
    <row r="52" spans="1:10" s="3" customFormat="1" x14ac:dyDescent="0.25">
      <c r="A52" s="2">
        <v>2</v>
      </c>
      <c r="B52" s="3" t="s">
        <v>29</v>
      </c>
      <c r="C52" s="3">
        <v>647</v>
      </c>
      <c r="D52" s="3">
        <v>1</v>
      </c>
      <c r="E52" s="3" t="s">
        <v>39</v>
      </c>
      <c r="F52" s="3" t="s">
        <v>40</v>
      </c>
      <c r="G52" s="3" t="str">
        <f>"2026-05-12 03:10:26.692"</f>
        <v>2026-05-12 03:10:26.692</v>
      </c>
      <c r="H52" s="3" t="s">
        <v>21</v>
      </c>
      <c r="I52" s="3">
        <v>19.98</v>
      </c>
      <c r="J52" s="3" t="s">
        <v>30</v>
      </c>
    </row>
    <row r="53" spans="1:10" s="3" customFormat="1" x14ac:dyDescent="0.25">
      <c r="A53" s="2">
        <v>3</v>
      </c>
      <c r="B53" s="3" t="s">
        <v>26</v>
      </c>
      <c r="C53" s="3">
        <v>647</v>
      </c>
      <c r="D53" s="3">
        <v>1</v>
      </c>
      <c r="E53" s="3" t="s">
        <v>39</v>
      </c>
      <c r="F53" s="3" t="s">
        <v>40</v>
      </c>
      <c r="G53" s="3" t="str">
        <f>"2026-05-12 00:05:12.292"</f>
        <v>2026-05-12 00:05:12.292</v>
      </c>
      <c r="H53" s="3" t="s">
        <v>21</v>
      </c>
    </row>
    <row r="54" spans="1:10" s="3" customFormat="1" x14ac:dyDescent="0.25">
      <c r="A54" s="2">
        <v>4</v>
      </c>
      <c r="B54" s="3" t="s">
        <v>29</v>
      </c>
      <c r="C54" s="3">
        <v>647</v>
      </c>
      <c r="D54" s="3">
        <v>1</v>
      </c>
      <c r="E54" s="3" t="s">
        <v>39</v>
      </c>
      <c r="F54" s="3" t="s">
        <v>40</v>
      </c>
      <c r="G54" s="3" t="str">
        <f>"2026-05-12 00:05:07.092"</f>
        <v>2026-05-12 00:05:07.092</v>
      </c>
      <c r="H54" s="3" t="s">
        <v>21</v>
      </c>
      <c r="I54" s="3">
        <v>12.66</v>
      </c>
      <c r="J54" s="3" t="s">
        <v>30</v>
      </c>
    </row>
    <row r="55" spans="1:10" x14ac:dyDescent="0.25">
      <c r="A55" s="1">
        <v>5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"2026-05-11 21:55:08.730"</f>
        <v>2026-05-11 21:55:08.730</v>
      </c>
      <c r="H55" t="s">
        <v>21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"2026-05-11 21:02:20.658"</f>
        <v>2026-05-11 21:02:20.658</v>
      </c>
      <c r="H56" t="s">
        <v>21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"2026-05-11 12:28:29.635"</f>
        <v>2026-05-11 12:28:29.635</v>
      </c>
      <c r="H57" t="s">
        <v>21</v>
      </c>
    </row>
    <row r="58" spans="1:10" x14ac:dyDescent="0.25">
      <c r="A58" s="1">
        <v>8</v>
      </c>
      <c r="B58" t="s">
        <v>26</v>
      </c>
      <c r="C58">
        <v>635</v>
      </c>
      <c r="D58">
        <v>1</v>
      </c>
      <c r="E58" t="s">
        <v>27</v>
      </c>
      <c r="F58" t="s">
        <v>28</v>
      </c>
      <c r="G58" t="str">
        <f>"2026-05-11 10:03:57.801"</f>
        <v>2026-05-11 10:03:57.801</v>
      </c>
      <c r="H58" t="s">
        <v>21</v>
      </c>
    </row>
    <row r="59" spans="1:10" x14ac:dyDescent="0.25">
      <c r="A59" s="1">
        <v>9</v>
      </c>
      <c r="B59" t="s">
        <v>29</v>
      </c>
      <c r="C59">
        <v>635</v>
      </c>
      <c r="D59">
        <v>1</v>
      </c>
      <c r="E59" t="s">
        <v>27</v>
      </c>
      <c r="F59" t="s">
        <v>28</v>
      </c>
      <c r="G59" t="str">
        <f>"2026-05-11 09:59:26.901"</f>
        <v>2026-05-11 09:59:26.901</v>
      </c>
      <c r="H59" t="s">
        <v>21</v>
      </c>
      <c r="I59">
        <v>2.4</v>
      </c>
      <c r="J59" t="s">
        <v>30</v>
      </c>
    </row>
    <row r="60" spans="1:10" x14ac:dyDescent="0.25">
      <c r="A60" s="1">
        <v>0</v>
      </c>
      <c r="B60" t="s">
        <v>26</v>
      </c>
      <c r="C60">
        <v>635</v>
      </c>
      <c r="D60">
        <v>1</v>
      </c>
      <c r="E60" t="s">
        <v>27</v>
      </c>
      <c r="F60" t="s">
        <v>28</v>
      </c>
      <c r="G60" t="str">
        <f>"2026-05-10 22:05:40.501"</f>
        <v>2026-05-10 22:05:40.501</v>
      </c>
      <c r="H60" t="s">
        <v>21</v>
      </c>
    </row>
    <row r="61" spans="1:10" x14ac:dyDescent="0.25">
      <c r="A61" s="1">
        <v>1</v>
      </c>
      <c r="B61" t="s">
        <v>29</v>
      </c>
      <c r="C61">
        <v>635</v>
      </c>
      <c r="D61">
        <v>1</v>
      </c>
      <c r="E61" t="s">
        <v>27</v>
      </c>
      <c r="F61" t="s">
        <v>28</v>
      </c>
      <c r="G61" t="str">
        <f>"2026-05-10 22:02:22.001"</f>
        <v>2026-05-10 22:02:22.001</v>
      </c>
      <c r="H61" t="s">
        <v>21</v>
      </c>
      <c r="I61">
        <v>6.08</v>
      </c>
      <c r="J61" t="s">
        <v>34</v>
      </c>
    </row>
    <row r="62" spans="1:10" x14ac:dyDescent="0.25">
      <c r="A62" s="1">
        <v>2</v>
      </c>
      <c r="B62" t="s">
        <v>19</v>
      </c>
      <c r="C62">
        <v>706</v>
      </c>
      <c r="D62">
        <v>4</v>
      </c>
      <c r="E62" t="s">
        <v>23</v>
      </c>
      <c r="F62" t="s">
        <v>24</v>
      </c>
      <c r="G62" t="str">
        <f>"2026-05-10 02:39:19.991"</f>
        <v>2026-05-10 02:39:19.991</v>
      </c>
      <c r="H62" t="s">
        <v>21</v>
      </c>
      <c r="I62">
        <v>0</v>
      </c>
      <c r="J62" t="s">
        <v>25</v>
      </c>
    </row>
    <row r="63" spans="1:10" x14ac:dyDescent="0.25">
      <c r="A63" s="1">
        <v>3</v>
      </c>
      <c r="B63" t="s">
        <v>26</v>
      </c>
      <c r="C63">
        <v>635</v>
      </c>
      <c r="D63">
        <v>1</v>
      </c>
      <c r="E63" t="s">
        <v>27</v>
      </c>
      <c r="F63" t="s">
        <v>28</v>
      </c>
      <c r="G63" t="str">
        <f>"2026-05-10 00:25:10.401"</f>
        <v>2026-05-10 00:25:10.401</v>
      </c>
      <c r="H63" t="s">
        <v>21</v>
      </c>
    </row>
    <row r="64" spans="1:10" x14ac:dyDescent="0.25">
      <c r="A64" s="1">
        <v>4</v>
      </c>
      <c r="B64" t="s">
        <v>29</v>
      </c>
      <c r="C64">
        <v>635</v>
      </c>
      <c r="D64">
        <v>1</v>
      </c>
      <c r="E64" t="s">
        <v>27</v>
      </c>
      <c r="F64" t="s">
        <v>28</v>
      </c>
      <c r="G64" t="str">
        <f>"2026-05-10 00:01:41.401"</f>
        <v>2026-05-10 00:01:41.401</v>
      </c>
      <c r="H64" t="s">
        <v>21</v>
      </c>
      <c r="I64">
        <v>1.1399999999999999</v>
      </c>
      <c r="J64" t="s">
        <v>38</v>
      </c>
    </row>
    <row r="65" spans="1:10" x14ac:dyDescent="0.25">
      <c r="A65" s="1">
        <v>5</v>
      </c>
      <c r="B65" t="s">
        <v>26</v>
      </c>
      <c r="C65">
        <v>635</v>
      </c>
      <c r="D65">
        <v>1</v>
      </c>
      <c r="E65" t="s">
        <v>27</v>
      </c>
      <c r="F65" t="s">
        <v>28</v>
      </c>
      <c r="G65" t="str">
        <f>"2026-05-09 02:32:45.801"</f>
        <v>2026-05-09 02:32:45.801</v>
      </c>
      <c r="H65" t="s">
        <v>21</v>
      </c>
    </row>
    <row r="66" spans="1:10" x14ac:dyDescent="0.25">
      <c r="A66" s="1">
        <v>6</v>
      </c>
      <c r="B66" t="s">
        <v>29</v>
      </c>
      <c r="C66">
        <v>635</v>
      </c>
      <c r="D66">
        <v>1</v>
      </c>
      <c r="E66" t="s">
        <v>27</v>
      </c>
      <c r="F66" t="s">
        <v>28</v>
      </c>
      <c r="G66" t="str">
        <f>"2026-05-09 02:11:47.301"</f>
        <v>2026-05-09 02:11:47.301</v>
      </c>
      <c r="H66" t="s">
        <v>21</v>
      </c>
      <c r="I66">
        <v>3.63</v>
      </c>
      <c r="J66" t="s">
        <v>38</v>
      </c>
    </row>
    <row r="67" spans="1:10" s="3" customFormat="1" x14ac:dyDescent="0.25">
      <c r="A67" s="2">
        <v>7</v>
      </c>
      <c r="B67" s="3" t="s">
        <v>26</v>
      </c>
      <c r="C67" s="3">
        <v>647</v>
      </c>
      <c r="D67" s="3">
        <v>1</v>
      </c>
      <c r="E67" s="3" t="s">
        <v>39</v>
      </c>
      <c r="F67" s="3" t="s">
        <v>40</v>
      </c>
      <c r="G67" s="3" t="str">
        <f>"2026-05-08 21:30:52.455"</f>
        <v>2026-05-08 21:30:52.455</v>
      </c>
      <c r="H67" s="3" t="s">
        <v>21</v>
      </c>
    </row>
    <row r="68" spans="1:10" s="3" customFormat="1" x14ac:dyDescent="0.25">
      <c r="A68" s="2">
        <v>8</v>
      </c>
      <c r="B68" s="3" t="s">
        <v>29</v>
      </c>
      <c r="C68" s="3">
        <v>647</v>
      </c>
      <c r="D68" s="3">
        <v>1</v>
      </c>
      <c r="E68" s="3" t="s">
        <v>39</v>
      </c>
      <c r="F68" s="3" t="s">
        <v>40</v>
      </c>
      <c r="G68" s="3" t="str">
        <f>"2026-05-08 21:30:38.555"</f>
        <v>2026-05-08 21:30:38.555</v>
      </c>
      <c r="H68" s="3" t="s">
        <v>21</v>
      </c>
      <c r="I68" s="3">
        <v>21.85</v>
      </c>
      <c r="J68" s="3" t="s">
        <v>30</v>
      </c>
    </row>
    <row r="69" spans="1:10" s="3" customFormat="1" x14ac:dyDescent="0.25">
      <c r="A69" s="2">
        <v>9</v>
      </c>
      <c r="B69" s="3" t="s">
        <v>26</v>
      </c>
      <c r="C69" s="3">
        <v>647</v>
      </c>
      <c r="D69" s="3">
        <v>1</v>
      </c>
      <c r="E69" s="3" t="s">
        <v>39</v>
      </c>
      <c r="F69" s="3" t="s">
        <v>40</v>
      </c>
      <c r="G69" s="3" t="str">
        <f>"2026-05-08 21:30:36.055"</f>
        <v>2026-05-08 21:30:36.055</v>
      </c>
      <c r="H69" s="3" t="s">
        <v>21</v>
      </c>
    </row>
    <row r="70" spans="1:10" s="3" customFormat="1" x14ac:dyDescent="0.25">
      <c r="A70" s="2">
        <v>0</v>
      </c>
      <c r="B70" s="3" t="s">
        <v>29</v>
      </c>
      <c r="C70" s="3">
        <v>647</v>
      </c>
      <c r="D70" s="3">
        <v>1</v>
      </c>
      <c r="E70" s="3" t="s">
        <v>39</v>
      </c>
      <c r="F70" s="3" t="s">
        <v>40</v>
      </c>
      <c r="G70" s="3" t="str">
        <f>"2026-05-08 21:30:31.955"</f>
        <v>2026-05-08 21:30:31.955</v>
      </c>
      <c r="H70" s="3" t="s">
        <v>21</v>
      </c>
      <c r="I70" s="3">
        <v>21.38</v>
      </c>
      <c r="J70" s="3" t="s">
        <v>30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"2026-05-08 13:51:15.661"</f>
        <v>2026-05-08 13:51:15.661</v>
      </c>
      <c r="H71" t="s">
        <v>21</v>
      </c>
    </row>
    <row r="72" spans="1:10" s="3" customFormat="1" x14ac:dyDescent="0.25">
      <c r="A72" s="2">
        <v>2</v>
      </c>
      <c r="B72" s="3" t="s">
        <v>26</v>
      </c>
      <c r="C72" s="3">
        <v>647</v>
      </c>
      <c r="D72" s="3">
        <v>1</v>
      </c>
      <c r="E72" s="3" t="s">
        <v>39</v>
      </c>
      <c r="F72" s="3" t="s">
        <v>40</v>
      </c>
      <c r="G72" s="3" t="str">
        <f>"2026-05-08 05:00:01.601"</f>
        <v>2026-05-08 05:00:01.601</v>
      </c>
      <c r="H72" s="3" t="s">
        <v>21</v>
      </c>
    </row>
    <row r="73" spans="1:10" s="3" customFormat="1" x14ac:dyDescent="0.25">
      <c r="A73" s="2">
        <v>3</v>
      </c>
      <c r="B73" s="3" t="s">
        <v>29</v>
      </c>
      <c r="C73" s="3">
        <v>647</v>
      </c>
      <c r="D73" s="3">
        <v>1</v>
      </c>
      <c r="E73" s="3" t="s">
        <v>39</v>
      </c>
      <c r="F73" s="3" t="s">
        <v>40</v>
      </c>
      <c r="G73" s="3" t="str">
        <f>"2026-05-08 04:59:59.701"</f>
        <v>2026-05-08 04:59:59.701</v>
      </c>
      <c r="H73" s="3" t="s">
        <v>21</v>
      </c>
      <c r="I73" s="3">
        <v>18.02</v>
      </c>
      <c r="J73" s="3" t="s">
        <v>30</v>
      </c>
    </row>
    <row r="74" spans="1:10" s="3" customFormat="1" x14ac:dyDescent="0.25">
      <c r="A74" s="2">
        <v>4</v>
      </c>
      <c r="B74" s="3" t="s">
        <v>26</v>
      </c>
      <c r="C74" s="3">
        <v>647</v>
      </c>
      <c r="D74" s="3">
        <v>1</v>
      </c>
      <c r="E74" s="3" t="s">
        <v>39</v>
      </c>
      <c r="F74" s="3" t="s">
        <v>40</v>
      </c>
      <c r="G74" s="3" t="str">
        <f>"2026-05-07 21:45:10.301"</f>
        <v>2026-05-07 21:45:10.301</v>
      </c>
      <c r="H74" s="3" t="s">
        <v>21</v>
      </c>
    </row>
    <row r="75" spans="1:10" s="3" customFormat="1" x14ac:dyDescent="0.25">
      <c r="A75" s="2">
        <v>5</v>
      </c>
      <c r="B75" s="3" t="s">
        <v>29</v>
      </c>
      <c r="C75" s="3">
        <v>647</v>
      </c>
      <c r="D75" s="3">
        <v>1</v>
      </c>
      <c r="E75" s="3" t="s">
        <v>39</v>
      </c>
      <c r="F75" s="3" t="s">
        <v>40</v>
      </c>
      <c r="G75" s="3" t="str">
        <f>"2026-05-07 21:45:06.601"</f>
        <v>2026-05-07 21:45:06.601</v>
      </c>
      <c r="H75" s="3" t="s">
        <v>21</v>
      </c>
      <c r="I75" s="3">
        <v>8.8800000000000008</v>
      </c>
      <c r="J75" s="3" t="s">
        <v>30</v>
      </c>
    </row>
    <row r="76" spans="1:10" s="3" customFormat="1" x14ac:dyDescent="0.25">
      <c r="A76" s="2">
        <v>6</v>
      </c>
      <c r="B76" s="3" t="s">
        <v>26</v>
      </c>
      <c r="C76" s="3">
        <v>647</v>
      </c>
      <c r="D76" s="3">
        <v>1</v>
      </c>
      <c r="E76" s="3" t="s">
        <v>39</v>
      </c>
      <c r="F76" s="3" t="s">
        <v>40</v>
      </c>
      <c r="G76" s="3" t="str">
        <f>"2026-05-07 20:09:33.001"</f>
        <v>2026-05-07 20:09:33.001</v>
      </c>
      <c r="H76" s="3" t="s">
        <v>21</v>
      </c>
    </row>
    <row r="77" spans="1:10" s="3" customFormat="1" x14ac:dyDescent="0.25">
      <c r="A77" s="2">
        <v>7</v>
      </c>
      <c r="B77" s="3" t="s">
        <v>29</v>
      </c>
      <c r="C77" s="3">
        <v>647</v>
      </c>
      <c r="D77" s="3">
        <v>1</v>
      </c>
      <c r="E77" s="3" t="s">
        <v>39</v>
      </c>
      <c r="F77" s="3" t="s">
        <v>40</v>
      </c>
      <c r="G77" s="3" t="str">
        <f>"2026-05-07 20:09:25.901"</f>
        <v>2026-05-07 20:09:25.901</v>
      </c>
      <c r="H77" s="3" t="s">
        <v>21</v>
      </c>
      <c r="I77" s="3">
        <v>12.44</v>
      </c>
      <c r="J77" s="3" t="s">
        <v>30</v>
      </c>
    </row>
    <row r="78" spans="1:10" s="3" customFormat="1" x14ac:dyDescent="0.25">
      <c r="A78" s="2">
        <v>8</v>
      </c>
      <c r="B78" s="3" t="s">
        <v>26</v>
      </c>
      <c r="C78" s="3">
        <v>647</v>
      </c>
      <c r="D78" s="3">
        <v>1</v>
      </c>
      <c r="E78" s="3" t="s">
        <v>39</v>
      </c>
      <c r="F78" s="3" t="s">
        <v>40</v>
      </c>
      <c r="G78" s="3" t="str">
        <f>"2026-05-07 20:09:21.601"</f>
        <v>2026-05-07 20:09:21.601</v>
      </c>
      <c r="H78" s="3" t="s">
        <v>21</v>
      </c>
    </row>
    <row r="79" spans="1:10" s="3" customFormat="1" x14ac:dyDescent="0.25">
      <c r="A79" s="2">
        <v>9</v>
      </c>
      <c r="B79" s="3" t="s">
        <v>29</v>
      </c>
      <c r="C79" s="3">
        <v>647</v>
      </c>
      <c r="D79" s="3">
        <v>1</v>
      </c>
      <c r="E79" s="3" t="s">
        <v>39</v>
      </c>
      <c r="F79" s="3" t="s">
        <v>40</v>
      </c>
      <c r="G79" s="3" t="str">
        <f>"2026-05-07 20:09:17.901"</f>
        <v>2026-05-07 20:09:17.901</v>
      </c>
      <c r="H79" s="3" t="s">
        <v>21</v>
      </c>
      <c r="I79" s="3">
        <v>10.53</v>
      </c>
      <c r="J79" s="3" t="s">
        <v>30</v>
      </c>
    </row>
    <row r="80" spans="1:10" s="3" customFormat="1" x14ac:dyDescent="0.25">
      <c r="A80" s="2">
        <v>0</v>
      </c>
      <c r="B80" s="3" t="s">
        <v>26</v>
      </c>
      <c r="C80" s="3">
        <v>647</v>
      </c>
      <c r="D80" s="3">
        <v>1</v>
      </c>
      <c r="E80" s="3" t="s">
        <v>39</v>
      </c>
      <c r="F80" s="3" t="s">
        <v>40</v>
      </c>
      <c r="G80" s="3" t="str">
        <f>"2026-05-07 20:09:12.401"</f>
        <v>2026-05-07 20:09:12.401</v>
      </c>
      <c r="H80" s="3" t="s">
        <v>21</v>
      </c>
    </row>
    <row r="81" spans="1:10" s="3" customFormat="1" x14ac:dyDescent="0.25">
      <c r="A81" s="2">
        <v>1</v>
      </c>
      <c r="B81" s="3" t="s">
        <v>29</v>
      </c>
      <c r="C81" s="3">
        <v>647</v>
      </c>
      <c r="D81" s="3">
        <v>1</v>
      </c>
      <c r="E81" s="3" t="s">
        <v>39</v>
      </c>
      <c r="F81" s="3" t="s">
        <v>40</v>
      </c>
      <c r="G81" s="3" t="str">
        <f>"2026-05-07 20:09:11.301"</f>
        <v>2026-05-07 20:09:11.301</v>
      </c>
      <c r="H81" s="3" t="s">
        <v>21</v>
      </c>
      <c r="I81" s="3">
        <v>8.81</v>
      </c>
      <c r="J81" s="3" t="s">
        <v>30</v>
      </c>
    </row>
    <row r="82" spans="1:10" s="3" customFormat="1" x14ac:dyDescent="0.25">
      <c r="A82" s="2">
        <v>2</v>
      </c>
      <c r="B82" s="3" t="s">
        <v>26</v>
      </c>
      <c r="C82" s="3">
        <v>647</v>
      </c>
      <c r="D82" s="3">
        <v>1</v>
      </c>
      <c r="E82" s="3" t="s">
        <v>39</v>
      </c>
      <c r="F82" s="3" t="s">
        <v>40</v>
      </c>
      <c r="G82" s="3" t="str">
        <f>"2026-05-07 20:09:09.301"</f>
        <v>2026-05-07 20:09:09.301</v>
      </c>
      <c r="H82" s="3" t="s">
        <v>21</v>
      </c>
    </row>
    <row r="83" spans="1:10" s="3" customFormat="1" x14ac:dyDescent="0.25">
      <c r="A83" s="2">
        <v>3</v>
      </c>
      <c r="B83" s="3" t="s">
        <v>29</v>
      </c>
      <c r="C83" s="3">
        <v>647</v>
      </c>
      <c r="D83" s="3">
        <v>1</v>
      </c>
      <c r="E83" s="3" t="s">
        <v>39</v>
      </c>
      <c r="F83" s="3" t="s">
        <v>40</v>
      </c>
      <c r="G83" s="3" t="str">
        <f>"2026-05-07 20:09:07.701"</f>
        <v>2026-05-07 20:09:07.701</v>
      </c>
      <c r="H83" s="3" t="s">
        <v>21</v>
      </c>
      <c r="I83" s="3">
        <v>9.01</v>
      </c>
      <c r="J83" s="3" t="s">
        <v>30</v>
      </c>
    </row>
    <row r="84" spans="1:10" x14ac:dyDescent="0.25">
      <c r="A84" s="1">
        <v>4</v>
      </c>
      <c r="B84" t="s">
        <v>26</v>
      </c>
      <c r="C84">
        <v>635</v>
      </c>
      <c r="D84">
        <v>1</v>
      </c>
      <c r="E84" t="s">
        <v>27</v>
      </c>
      <c r="F84" t="s">
        <v>28</v>
      </c>
      <c r="G84" t="str">
        <f>"2026-05-07 16:50:17.753"</f>
        <v>2026-05-07 16:50:17.753</v>
      </c>
      <c r="H84" t="s">
        <v>21</v>
      </c>
    </row>
    <row r="85" spans="1:10" x14ac:dyDescent="0.25">
      <c r="A85" s="1">
        <v>5</v>
      </c>
      <c r="B85" t="s">
        <v>29</v>
      </c>
      <c r="C85">
        <v>635</v>
      </c>
      <c r="D85">
        <v>1</v>
      </c>
      <c r="E85" t="s">
        <v>27</v>
      </c>
      <c r="F85" t="s">
        <v>28</v>
      </c>
      <c r="G85" t="str">
        <f>"2026-05-07 16:47:32.753"</f>
        <v>2026-05-07 16:47:32.753</v>
      </c>
      <c r="H85" t="s">
        <v>21</v>
      </c>
      <c r="I85">
        <v>5.9</v>
      </c>
      <c r="J85" t="s">
        <v>38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"2026-05-07 11:37:07.609"</f>
        <v>2026-05-07 11:37:07.609</v>
      </c>
      <c r="H86" t="s">
        <v>21</v>
      </c>
    </row>
    <row r="87" spans="1:10" x14ac:dyDescent="0.25">
      <c r="A87" s="1">
        <v>7</v>
      </c>
      <c r="B87" t="s">
        <v>26</v>
      </c>
      <c r="C87">
        <v>635</v>
      </c>
      <c r="D87">
        <v>1</v>
      </c>
      <c r="E87" t="s">
        <v>27</v>
      </c>
      <c r="F87" t="s">
        <v>28</v>
      </c>
      <c r="G87" t="str">
        <f>"2026-05-07 09:21:55.357"</f>
        <v>2026-05-07 09:21:55.357</v>
      </c>
      <c r="H87" t="s">
        <v>21</v>
      </c>
    </row>
    <row r="88" spans="1:10" x14ac:dyDescent="0.25">
      <c r="A88" s="1">
        <v>8</v>
      </c>
      <c r="B88" t="s">
        <v>29</v>
      </c>
      <c r="C88">
        <v>635</v>
      </c>
      <c r="D88">
        <v>1</v>
      </c>
      <c r="E88" t="s">
        <v>27</v>
      </c>
      <c r="F88" t="s">
        <v>28</v>
      </c>
      <c r="G88" t="str">
        <f>"2026-05-07 09:17:14.856"</f>
        <v>2026-05-07 09:17:14.856</v>
      </c>
      <c r="H88" t="s">
        <v>21</v>
      </c>
      <c r="I88">
        <v>2.4900000000000002</v>
      </c>
      <c r="J88" t="s">
        <v>38</v>
      </c>
    </row>
    <row r="89" spans="1:10" s="3" customFormat="1" x14ac:dyDescent="0.25">
      <c r="A89" s="2">
        <v>9</v>
      </c>
      <c r="B89" s="3" t="s">
        <v>26</v>
      </c>
      <c r="C89" s="3">
        <v>647</v>
      </c>
      <c r="D89" s="3">
        <v>1</v>
      </c>
      <c r="E89" s="3" t="s">
        <v>39</v>
      </c>
      <c r="F89" s="3" t="s">
        <v>40</v>
      </c>
      <c r="G89" s="3" t="str">
        <f>"2026-05-06 22:31:51.204"</f>
        <v>2026-05-06 22:31:51.204</v>
      </c>
      <c r="H89" s="3" t="s">
        <v>21</v>
      </c>
    </row>
    <row r="90" spans="1:10" s="3" customFormat="1" x14ac:dyDescent="0.25">
      <c r="A90" s="2">
        <v>0</v>
      </c>
      <c r="B90" s="3" t="s">
        <v>29</v>
      </c>
      <c r="C90" s="3">
        <v>647</v>
      </c>
      <c r="D90" s="3">
        <v>1</v>
      </c>
      <c r="E90" s="3" t="s">
        <v>39</v>
      </c>
      <c r="F90" s="3" t="s">
        <v>40</v>
      </c>
      <c r="G90" s="3" t="str">
        <f>"2026-05-06 22:31:44.505"</f>
        <v>2026-05-06 22:31:44.505</v>
      </c>
      <c r="H90" s="3" t="s">
        <v>21</v>
      </c>
      <c r="I90" s="3">
        <v>15.14</v>
      </c>
      <c r="J90" s="3" t="s">
        <v>30</v>
      </c>
    </row>
    <row r="91" spans="1:10" x14ac:dyDescent="0.25">
      <c r="A91" s="1">
        <v>1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"2026-05-06 14:04:31.625"</f>
        <v>2026-05-06 14:04:31.625</v>
      </c>
      <c r="H91" t="s">
        <v>21</v>
      </c>
      <c r="I91">
        <v>0</v>
      </c>
      <c r="J91" t="s">
        <v>22</v>
      </c>
    </row>
    <row r="92" spans="1:10" s="3" customFormat="1" x14ac:dyDescent="0.25">
      <c r="A92" s="2">
        <v>2</v>
      </c>
      <c r="B92" s="3" t="s">
        <v>26</v>
      </c>
      <c r="C92" s="3">
        <v>647</v>
      </c>
      <c r="D92" s="3">
        <v>1</v>
      </c>
      <c r="E92" s="3" t="s">
        <v>39</v>
      </c>
      <c r="F92" s="3" t="s">
        <v>40</v>
      </c>
      <c r="G92" s="3" t="str">
        <f>"2026-05-06 06:54:22.905"</f>
        <v>2026-05-06 06:54:22.905</v>
      </c>
      <c r="H92" s="3" t="s">
        <v>21</v>
      </c>
    </row>
    <row r="93" spans="1:10" s="3" customFormat="1" x14ac:dyDescent="0.25">
      <c r="A93" s="2">
        <v>3</v>
      </c>
      <c r="B93" s="3" t="s">
        <v>29</v>
      </c>
      <c r="C93" s="3">
        <v>647</v>
      </c>
      <c r="D93" s="3">
        <v>1</v>
      </c>
      <c r="E93" s="3" t="s">
        <v>39</v>
      </c>
      <c r="F93" s="3" t="s">
        <v>40</v>
      </c>
      <c r="G93" s="3" t="str">
        <f>"2026-05-06 06:54:04.806"</f>
        <v>2026-05-06 06:54:04.806</v>
      </c>
      <c r="H93" s="3" t="s">
        <v>21</v>
      </c>
      <c r="I93" s="3">
        <v>8.91</v>
      </c>
      <c r="J93" s="3" t="s">
        <v>30</v>
      </c>
    </row>
    <row r="94" spans="1:10" x14ac:dyDescent="0.25">
      <c r="A94" s="1">
        <v>4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"2026-05-06 06:05:11.612"</f>
        <v>2026-05-06 06:05:11.612</v>
      </c>
      <c r="H94" t="s">
        <v>21</v>
      </c>
    </row>
    <row r="95" spans="1:10" x14ac:dyDescent="0.25">
      <c r="A95" s="1">
        <v>5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"2026-05-06 06:02:06.623"</f>
        <v>2026-05-06 06:02:06.623</v>
      </c>
      <c r="H95" t="s">
        <v>21</v>
      </c>
    </row>
    <row r="96" spans="1:10" s="3" customFormat="1" x14ac:dyDescent="0.25">
      <c r="A96" s="2">
        <v>6</v>
      </c>
      <c r="B96" s="3" t="s">
        <v>26</v>
      </c>
      <c r="C96" s="3">
        <v>647</v>
      </c>
      <c r="D96" s="3">
        <v>1</v>
      </c>
      <c r="E96" s="3" t="s">
        <v>39</v>
      </c>
      <c r="F96" s="3" t="s">
        <v>40</v>
      </c>
      <c r="G96" s="3" t="str">
        <f>"2026-05-05 21:17:00.747"</f>
        <v>2026-05-05 21:17:00.747</v>
      </c>
      <c r="H96" s="3" t="s">
        <v>21</v>
      </c>
    </row>
    <row r="97" spans="1:10" s="3" customFormat="1" x14ac:dyDescent="0.25">
      <c r="A97" s="2">
        <v>7</v>
      </c>
      <c r="B97" s="3" t="s">
        <v>29</v>
      </c>
      <c r="C97" s="3">
        <v>647</v>
      </c>
      <c r="D97" s="3">
        <v>1</v>
      </c>
      <c r="E97" s="3" t="s">
        <v>39</v>
      </c>
      <c r="F97" s="3" t="s">
        <v>40</v>
      </c>
      <c r="G97" s="3" t="str">
        <f>"2026-05-05 21:16:56.247"</f>
        <v>2026-05-05 21:16:56.247</v>
      </c>
      <c r="H97" s="3" t="s">
        <v>21</v>
      </c>
      <c r="I97" s="3">
        <v>12.71</v>
      </c>
      <c r="J97" s="3" t="s">
        <v>30</v>
      </c>
    </row>
    <row r="98" spans="1:10" s="3" customFormat="1" x14ac:dyDescent="0.25">
      <c r="A98" s="2">
        <v>8</v>
      </c>
      <c r="B98" s="3" t="s">
        <v>26</v>
      </c>
      <c r="C98" s="3">
        <v>647</v>
      </c>
      <c r="D98" s="3">
        <v>1</v>
      </c>
      <c r="E98" s="3" t="s">
        <v>39</v>
      </c>
      <c r="F98" s="3" t="s">
        <v>40</v>
      </c>
      <c r="G98" s="3" t="str">
        <f>"2026-05-05 20:23:50.047"</f>
        <v>2026-05-05 20:23:50.047</v>
      </c>
      <c r="H98" s="3" t="s">
        <v>21</v>
      </c>
    </row>
    <row r="99" spans="1:10" s="3" customFormat="1" x14ac:dyDescent="0.25">
      <c r="A99" s="2">
        <v>9</v>
      </c>
      <c r="B99" s="3" t="s">
        <v>29</v>
      </c>
      <c r="C99" s="3">
        <v>647</v>
      </c>
      <c r="D99" s="3">
        <v>1</v>
      </c>
      <c r="E99" s="3" t="s">
        <v>39</v>
      </c>
      <c r="F99" s="3" t="s">
        <v>40</v>
      </c>
      <c r="G99" s="3" t="str">
        <f>"2026-05-05 20:23:48.147"</f>
        <v>2026-05-05 20:23:48.147</v>
      </c>
      <c r="H99" s="3" t="s">
        <v>21</v>
      </c>
      <c r="I99" s="3">
        <v>8.32</v>
      </c>
      <c r="J99" s="3" t="s">
        <v>30</v>
      </c>
    </row>
    <row r="100" spans="1:10" s="3" customFormat="1" x14ac:dyDescent="0.25">
      <c r="A100" s="2">
        <v>0</v>
      </c>
      <c r="B100" s="3" t="s">
        <v>26</v>
      </c>
      <c r="C100" s="3">
        <v>647</v>
      </c>
      <c r="D100" s="3">
        <v>1</v>
      </c>
      <c r="E100" s="3" t="s">
        <v>39</v>
      </c>
      <c r="F100" s="3" t="s">
        <v>40</v>
      </c>
      <c r="G100" s="3" t="str">
        <f>"2026-05-05 20:20:10.647"</f>
        <v>2026-05-05 20:20:10.647</v>
      </c>
      <c r="H100" s="3" t="s">
        <v>21</v>
      </c>
    </row>
    <row r="101" spans="1:10" s="3" customFormat="1" x14ac:dyDescent="0.25">
      <c r="A101" s="2">
        <v>1</v>
      </c>
      <c r="B101" s="3" t="s">
        <v>29</v>
      </c>
      <c r="C101" s="3">
        <v>647</v>
      </c>
      <c r="D101" s="3">
        <v>1</v>
      </c>
      <c r="E101" s="3" t="s">
        <v>39</v>
      </c>
      <c r="F101" s="3" t="s">
        <v>40</v>
      </c>
      <c r="G101" s="3" t="str">
        <f>"2026-05-05 20:20:09.147"</f>
        <v>2026-05-05 20:20:09.147</v>
      </c>
      <c r="H101" s="3" t="s">
        <v>21</v>
      </c>
      <c r="I101" s="3">
        <v>21.21</v>
      </c>
      <c r="J101" s="3" t="s">
        <v>30</v>
      </c>
    </row>
    <row r="102" spans="1:10" x14ac:dyDescent="0.25">
      <c r="A102" s="1">
        <v>2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"2026-05-05 13:51:01.645"</f>
        <v>2026-05-05 13:51:01.645</v>
      </c>
      <c r="H102" t="s">
        <v>21</v>
      </c>
      <c r="I102">
        <v>0</v>
      </c>
      <c r="J102" t="s">
        <v>22</v>
      </c>
    </row>
    <row r="103" spans="1:10" s="3" customFormat="1" x14ac:dyDescent="0.25">
      <c r="A103" s="2">
        <v>3</v>
      </c>
      <c r="B103" s="3" t="s">
        <v>26</v>
      </c>
      <c r="C103" s="3">
        <v>647</v>
      </c>
      <c r="D103" s="3">
        <v>1</v>
      </c>
      <c r="E103" s="3" t="s">
        <v>39</v>
      </c>
      <c r="F103" s="3" t="s">
        <v>40</v>
      </c>
      <c r="G103" s="3" t="str">
        <f>"2026-05-05 07:10:10.808"</f>
        <v>2026-05-05 07:10:10.808</v>
      </c>
      <c r="H103" s="3" t="s">
        <v>21</v>
      </c>
    </row>
    <row r="104" spans="1:10" s="3" customFormat="1" x14ac:dyDescent="0.25">
      <c r="A104" s="2">
        <v>4</v>
      </c>
      <c r="B104" s="3" t="s">
        <v>29</v>
      </c>
      <c r="C104" s="3">
        <v>647</v>
      </c>
      <c r="D104" s="3">
        <v>1</v>
      </c>
      <c r="E104" s="3" t="s">
        <v>39</v>
      </c>
      <c r="F104" s="3" t="s">
        <v>40</v>
      </c>
      <c r="G104" s="3" t="str">
        <f>"2026-05-05 07:10:07.708"</f>
        <v>2026-05-05 07:10:07.708</v>
      </c>
      <c r="H104" s="3" t="s">
        <v>21</v>
      </c>
      <c r="I104" s="3">
        <v>13.37</v>
      </c>
      <c r="J104" s="3" t="s">
        <v>30</v>
      </c>
    </row>
    <row r="105" spans="1:10" x14ac:dyDescent="0.25">
      <c r="A105" s="1">
        <v>5</v>
      </c>
      <c r="B105" t="s">
        <v>26</v>
      </c>
      <c r="C105">
        <v>635</v>
      </c>
      <c r="D105">
        <v>1</v>
      </c>
      <c r="E105" t="s">
        <v>27</v>
      </c>
      <c r="F105" t="s">
        <v>28</v>
      </c>
      <c r="G105" t="str">
        <f>"2026-05-05 07:02:05.708"</f>
        <v>2026-05-05 07:02:05.708</v>
      </c>
      <c r="H105" t="s">
        <v>21</v>
      </c>
    </row>
    <row r="106" spans="1:10" x14ac:dyDescent="0.25">
      <c r="A106" s="1">
        <v>6</v>
      </c>
      <c r="B106" t="s">
        <v>29</v>
      </c>
      <c r="C106">
        <v>635</v>
      </c>
      <c r="D106">
        <v>1</v>
      </c>
      <c r="E106" t="s">
        <v>27</v>
      </c>
      <c r="F106" t="s">
        <v>28</v>
      </c>
      <c r="G106" t="str">
        <f>"2026-05-05 06:36:08.808"</f>
        <v>2026-05-05 06:36:08.808</v>
      </c>
      <c r="H106" t="s">
        <v>21</v>
      </c>
      <c r="I106">
        <v>0</v>
      </c>
      <c r="J106" t="s">
        <v>34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"2026-05-04 21:40:57.705"</f>
        <v>2026-05-04 21:40:57.705</v>
      </c>
      <c r="H107" t="s">
        <v>21</v>
      </c>
      <c r="I107">
        <v>0</v>
      </c>
      <c r="J107" t="s">
        <v>22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"2026-05-04 21:30:46.633"</f>
        <v>2026-05-04 21:30:46.633</v>
      </c>
      <c r="H108" t="s">
        <v>21</v>
      </c>
      <c r="I108">
        <v>0</v>
      </c>
      <c r="J108" t="s">
        <v>22</v>
      </c>
    </row>
    <row r="109" spans="1:10" s="3" customFormat="1" x14ac:dyDescent="0.25">
      <c r="A109" s="2">
        <v>9</v>
      </c>
      <c r="B109" s="3" t="s">
        <v>26</v>
      </c>
      <c r="C109" s="3">
        <v>647</v>
      </c>
      <c r="D109" s="3">
        <v>1</v>
      </c>
      <c r="E109" s="3" t="s">
        <v>39</v>
      </c>
      <c r="F109" s="3" t="s">
        <v>40</v>
      </c>
      <c r="G109" s="3" t="str">
        <f>"2026-05-04 19:54:46.901"</f>
        <v>2026-05-04 19:54:46.901</v>
      </c>
      <c r="H109" s="3" t="s">
        <v>21</v>
      </c>
    </row>
    <row r="110" spans="1:10" s="3" customFormat="1" x14ac:dyDescent="0.25">
      <c r="A110" s="2">
        <v>0</v>
      </c>
      <c r="B110" s="3" t="s">
        <v>29</v>
      </c>
      <c r="C110" s="3">
        <v>647</v>
      </c>
      <c r="D110" s="3">
        <v>1</v>
      </c>
      <c r="E110" s="3" t="s">
        <v>39</v>
      </c>
      <c r="F110" s="3" t="s">
        <v>40</v>
      </c>
      <c r="G110" s="3" t="str">
        <f>"2026-05-04 19:54:45.401"</f>
        <v>2026-05-04 19:54:45.401</v>
      </c>
      <c r="H110" s="3" t="s">
        <v>21</v>
      </c>
      <c r="I110" s="3">
        <v>19.73</v>
      </c>
      <c r="J110" s="3" t="s">
        <v>30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"2026-05-04 13:07:36.604"</f>
        <v>2026-05-04 13:07:36.604</v>
      </c>
      <c r="H111" t="s">
        <v>21</v>
      </c>
      <c r="I111">
        <v>0</v>
      </c>
      <c r="J111" t="s">
        <v>22</v>
      </c>
    </row>
    <row r="112" spans="1:10" x14ac:dyDescent="0.25">
      <c r="A112" s="1">
        <v>2</v>
      </c>
      <c r="B112" t="s">
        <v>26</v>
      </c>
      <c r="C112">
        <v>619</v>
      </c>
      <c r="D112">
        <v>1</v>
      </c>
      <c r="E112" t="s">
        <v>31</v>
      </c>
      <c r="F112" t="s">
        <v>28</v>
      </c>
      <c r="G112" t="str">
        <f>"2026-05-04 01:10:27.134"</f>
        <v>2026-05-04 01:10:27.134</v>
      </c>
      <c r="H112" t="s">
        <v>32</v>
      </c>
    </row>
    <row r="113" spans="1:10" x14ac:dyDescent="0.25">
      <c r="A113" s="1">
        <v>3</v>
      </c>
      <c r="B113" t="s">
        <v>29</v>
      </c>
      <c r="C113">
        <v>619</v>
      </c>
      <c r="D113">
        <v>1</v>
      </c>
      <c r="E113" t="s">
        <v>31</v>
      </c>
      <c r="F113" t="s">
        <v>28</v>
      </c>
      <c r="G113" t="str">
        <f>"2026-05-04 01:09:24.334"</f>
        <v>2026-05-04 01:09:24.334</v>
      </c>
      <c r="H113" t="s">
        <v>32</v>
      </c>
      <c r="I113">
        <v>0</v>
      </c>
      <c r="J113" t="s">
        <v>34</v>
      </c>
    </row>
    <row r="114" spans="1:10" x14ac:dyDescent="0.25">
      <c r="A114" s="1">
        <v>4</v>
      </c>
      <c r="B114" t="s">
        <v>26</v>
      </c>
      <c r="C114">
        <v>635</v>
      </c>
      <c r="D114">
        <v>1</v>
      </c>
      <c r="E114" t="s">
        <v>27</v>
      </c>
      <c r="F114" t="s">
        <v>28</v>
      </c>
      <c r="G114" t="str">
        <f>"2026-05-04 00:52:03.034"</f>
        <v>2026-05-04 00:52:03.034</v>
      </c>
      <c r="H114" t="s">
        <v>21</v>
      </c>
    </row>
    <row r="115" spans="1:10" x14ac:dyDescent="0.25">
      <c r="A115" s="1">
        <v>5</v>
      </c>
      <c r="B115" t="s">
        <v>29</v>
      </c>
      <c r="C115">
        <v>635</v>
      </c>
      <c r="D115">
        <v>1</v>
      </c>
      <c r="E115" t="s">
        <v>27</v>
      </c>
      <c r="F115" t="s">
        <v>28</v>
      </c>
      <c r="G115" t="str">
        <f>"2026-05-04 00:25:37.534"</f>
        <v>2026-05-04 00:25:37.534</v>
      </c>
      <c r="H115" t="s">
        <v>21</v>
      </c>
      <c r="I115">
        <v>2.41</v>
      </c>
      <c r="J115" t="s">
        <v>38</v>
      </c>
    </row>
    <row r="116" spans="1:10" x14ac:dyDescent="0.25">
      <c r="A116" s="1">
        <v>6</v>
      </c>
      <c r="B116" t="s">
        <v>19</v>
      </c>
      <c r="C116">
        <v>706</v>
      </c>
      <c r="D116">
        <v>4</v>
      </c>
      <c r="E116" t="s">
        <v>23</v>
      </c>
      <c r="F116" t="s">
        <v>24</v>
      </c>
      <c r="G116" t="str">
        <f>"2026-05-03 22:58:55.879"</f>
        <v>2026-05-03 22:58:55.879</v>
      </c>
      <c r="H116" t="s">
        <v>21</v>
      </c>
      <c r="I116">
        <v>0</v>
      </c>
      <c r="J116" t="s">
        <v>25</v>
      </c>
    </row>
    <row r="117" spans="1:10" x14ac:dyDescent="0.25">
      <c r="A117" s="1">
        <v>7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"2026-05-03 14:20:10.839"</f>
        <v>2026-05-03 14:20:10.839</v>
      </c>
      <c r="H117" t="s">
        <v>21</v>
      </c>
      <c r="I117">
        <v>0</v>
      </c>
      <c r="J117" t="s">
        <v>22</v>
      </c>
    </row>
    <row r="118" spans="1:10" x14ac:dyDescent="0.25">
      <c r="A118" s="1">
        <v>8</v>
      </c>
      <c r="B118" t="s">
        <v>41</v>
      </c>
      <c r="C118">
        <v>33</v>
      </c>
      <c r="D118">
        <v>1</v>
      </c>
      <c r="E118" t="s">
        <v>42</v>
      </c>
      <c r="F118" t="s">
        <v>43</v>
      </c>
      <c r="G118" t="str">
        <f>"2026-05-03 07:24:02.465"</f>
        <v>2026-05-03 07:24:02.465</v>
      </c>
      <c r="H118" t="s">
        <v>44</v>
      </c>
    </row>
    <row r="119" spans="1:10" x14ac:dyDescent="0.25">
      <c r="A119" s="1">
        <v>9</v>
      </c>
      <c r="B119" t="s">
        <v>45</v>
      </c>
      <c r="C119">
        <v>33</v>
      </c>
      <c r="D119">
        <v>1</v>
      </c>
      <c r="E119" t="s">
        <v>42</v>
      </c>
      <c r="F119" t="s">
        <v>43</v>
      </c>
      <c r="G119" t="str">
        <f>"2026-05-03 07:23:54.697"</f>
        <v>2026-05-03 07:23:54.697</v>
      </c>
      <c r="H119" t="s">
        <v>44</v>
      </c>
      <c r="I119">
        <v>8.7899999999999991</v>
      </c>
      <c r="J119" t="s">
        <v>38</v>
      </c>
    </row>
    <row r="120" spans="1:10" x14ac:dyDescent="0.25">
      <c r="A120" s="1">
        <v>10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"2026-05-03 04:41:34.596"</f>
        <v>2026-05-03 04:41:34.596</v>
      </c>
      <c r="H120" t="s">
        <v>21</v>
      </c>
    </row>
    <row r="121" spans="1:10" x14ac:dyDescent="0.25">
      <c r="A121" s="1">
        <v>11</v>
      </c>
      <c r="B121" t="s">
        <v>19</v>
      </c>
      <c r="C121">
        <v>706</v>
      </c>
      <c r="D121">
        <v>4</v>
      </c>
      <c r="E121" t="s">
        <v>23</v>
      </c>
      <c r="F121" t="s">
        <v>24</v>
      </c>
      <c r="G121" t="str">
        <f>"2026-05-03 04:35:13.420"</f>
        <v>2026-05-03 04:35:13.420</v>
      </c>
      <c r="H121" t="s">
        <v>21</v>
      </c>
      <c r="I121">
        <v>0</v>
      </c>
      <c r="J121" t="s">
        <v>25</v>
      </c>
    </row>
    <row r="122" spans="1:10" x14ac:dyDescent="0.25">
      <c r="A122" s="1">
        <v>12</v>
      </c>
      <c r="B122" t="s">
        <v>19</v>
      </c>
      <c r="C122">
        <v>706</v>
      </c>
      <c r="D122">
        <v>2</v>
      </c>
      <c r="E122" t="s">
        <v>23</v>
      </c>
      <c r="F122" t="s">
        <v>46</v>
      </c>
      <c r="G122" t="str">
        <f>"2026-05-03 04:33:39.270"</f>
        <v>2026-05-03 04:33:39.270</v>
      </c>
      <c r="H122" t="s">
        <v>21</v>
      </c>
      <c r="I122">
        <v>0</v>
      </c>
      <c r="J122" t="s">
        <v>25</v>
      </c>
    </row>
    <row r="123" spans="1:10" x14ac:dyDescent="0.25">
      <c r="A123" s="1">
        <v>13</v>
      </c>
      <c r="B123" t="s">
        <v>19</v>
      </c>
      <c r="C123">
        <v>706</v>
      </c>
      <c r="D123">
        <v>2</v>
      </c>
      <c r="E123" t="s">
        <v>23</v>
      </c>
      <c r="F123" t="s">
        <v>46</v>
      </c>
      <c r="G123" t="str">
        <f>"2026-05-03 04:33:29.270"</f>
        <v>2026-05-03 04:33:29.270</v>
      </c>
      <c r="H123" t="s">
        <v>21</v>
      </c>
      <c r="I123">
        <v>0</v>
      </c>
      <c r="J123" t="s">
        <v>25</v>
      </c>
    </row>
    <row r="124" spans="1:10" x14ac:dyDescent="0.25">
      <c r="A124" s="1">
        <v>14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"2026-05-03 04:18:58.600"</f>
        <v>2026-05-03 04:18:58.600</v>
      </c>
      <c r="H124" t="s">
        <v>21</v>
      </c>
    </row>
    <row r="125" spans="1:10" x14ac:dyDescent="0.25">
      <c r="A125" s="1">
        <v>15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"2026-05-03 02:36:51.597"</f>
        <v>2026-05-03 02:36:51.597</v>
      </c>
      <c r="H125" t="s">
        <v>21</v>
      </c>
    </row>
    <row r="126" spans="1:10" x14ac:dyDescent="0.25">
      <c r="A126" s="1">
        <v>16</v>
      </c>
      <c r="B126" t="s">
        <v>19</v>
      </c>
      <c r="C126">
        <v>706</v>
      </c>
      <c r="D126">
        <v>2</v>
      </c>
      <c r="E126" t="s">
        <v>23</v>
      </c>
      <c r="F126" t="s">
        <v>46</v>
      </c>
      <c r="G126" t="str">
        <f>"2026-05-03 02:30:50.067"</f>
        <v>2026-05-03 02:30:50.067</v>
      </c>
      <c r="H126" t="s">
        <v>21</v>
      </c>
      <c r="I126">
        <v>0</v>
      </c>
      <c r="J126" t="s">
        <v>25</v>
      </c>
    </row>
    <row r="127" spans="1:10" x14ac:dyDescent="0.25">
      <c r="A127" s="1">
        <v>17</v>
      </c>
      <c r="B127" t="s">
        <v>19</v>
      </c>
      <c r="C127">
        <v>706</v>
      </c>
      <c r="D127">
        <v>4</v>
      </c>
      <c r="E127" t="s">
        <v>23</v>
      </c>
      <c r="F127" t="s">
        <v>24</v>
      </c>
      <c r="G127" t="str">
        <f>"2026-05-03 00:30:58.267"</f>
        <v>2026-05-03 00:30:58.267</v>
      </c>
      <c r="H127" t="s">
        <v>21</v>
      </c>
      <c r="I127">
        <v>0</v>
      </c>
      <c r="J127" t="s">
        <v>25</v>
      </c>
    </row>
    <row r="128" spans="1:10" x14ac:dyDescent="0.25">
      <c r="A128" s="1">
        <v>18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"2026-05-03 00:24:44.607"</f>
        <v>2026-05-03 00:24:44.607</v>
      </c>
      <c r="H128" t="s">
        <v>21</v>
      </c>
    </row>
    <row r="129" spans="1:10" s="3" customFormat="1" x14ac:dyDescent="0.25">
      <c r="A129" s="2">
        <v>19</v>
      </c>
      <c r="B129" s="3" t="s">
        <v>26</v>
      </c>
      <c r="C129" s="3">
        <v>647</v>
      </c>
      <c r="D129" s="3">
        <v>1</v>
      </c>
      <c r="E129" s="3" t="s">
        <v>39</v>
      </c>
      <c r="F129" s="3" t="s">
        <v>40</v>
      </c>
      <c r="G129" s="3" t="str">
        <f>"2026-05-02 19:40:17.707"</f>
        <v>2026-05-02 19:40:17.707</v>
      </c>
      <c r="H129" s="3" t="s">
        <v>21</v>
      </c>
    </row>
    <row r="130" spans="1:10" s="3" customFormat="1" x14ac:dyDescent="0.25">
      <c r="A130" s="2">
        <v>20</v>
      </c>
      <c r="B130" s="3" t="s">
        <v>29</v>
      </c>
      <c r="C130" s="3">
        <v>647</v>
      </c>
      <c r="D130" s="3">
        <v>1</v>
      </c>
      <c r="E130" s="3" t="s">
        <v>39</v>
      </c>
      <c r="F130" s="3" t="s">
        <v>40</v>
      </c>
      <c r="G130" s="3" t="str">
        <f>"2026-05-02 19:40:15.708"</f>
        <v>2026-05-02 19:40:15.708</v>
      </c>
      <c r="H130" s="3" t="s">
        <v>21</v>
      </c>
      <c r="I130" s="3">
        <v>20.49</v>
      </c>
      <c r="J130" s="3" t="s">
        <v>30</v>
      </c>
    </row>
    <row r="131" spans="1:10" x14ac:dyDescent="0.25">
      <c r="A131" s="1">
        <v>21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"2026-05-02 16:11:34.594"</f>
        <v>2026-05-02 16:11:34.594</v>
      </c>
      <c r="H131" t="s">
        <v>21</v>
      </c>
    </row>
    <row r="132" spans="1:10" x14ac:dyDescent="0.25">
      <c r="A132" s="1">
        <v>22</v>
      </c>
      <c r="B132" t="s">
        <v>26</v>
      </c>
      <c r="C132">
        <v>635</v>
      </c>
      <c r="D132">
        <v>1</v>
      </c>
      <c r="E132" t="s">
        <v>27</v>
      </c>
      <c r="F132" t="s">
        <v>28</v>
      </c>
      <c r="G132" t="str">
        <f>"2026-05-02 15:11:06.321"</f>
        <v>2026-05-02 15:11:06.321</v>
      </c>
      <c r="H132" t="s">
        <v>21</v>
      </c>
    </row>
    <row r="133" spans="1:10" x14ac:dyDescent="0.25">
      <c r="A133" s="1">
        <v>23</v>
      </c>
      <c r="B133" t="s">
        <v>29</v>
      </c>
      <c r="C133">
        <v>635</v>
      </c>
      <c r="D133">
        <v>1</v>
      </c>
      <c r="E133" t="s">
        <v>27</v>
      </c>
      <c r="F133" t="s">
        <v>28</v>
      </c>
      <c r="G133" t="str">
        <f>"2026-05-02 15:05:15.822"</f>
        <v>2026-05-02 15:05:15.822</v>
      </c>
      <c r="H133" t="s">
        <v>21</v>
      </c>
      <c r="I133">
        <v>3.3</v>
      </c>
      <c r="J133" t="s">
        <v>38</v>
      </c>
    </row>
    <row r="134" spans="1:10" x14ac:dyDescent="0.25">
      <c r="A134" s="1">
        <v>24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"2026-05-02 13:32:28.620"</f>
        <v>2026-05-02 13:32:28.620</v>
      </c>
      <c r="H134" t="s">
        <v>21</v>
      </c>
    </row>
    <row r="135" spans="1:10" x14ac:dyDescent="0.25">
      <c r="A135" s="1">
        <v>25</v>
      </c>
      <c r="B135" t="s">
        <v>26</v>
      </c>
      <c r="C135">
        <v>635</v>
      </c>
      <c r="D135">
        <v>1</v>
      </c>
      <c r="E135" t="s">
        <v>27</v>
      </c>
      <c r="F135" t="s">
        <v>28</v>
      </c>
      <c r="G135" t="str">
        <f>"2026-05-02 08:10:25.693"</f>
        <v>2026-05-02 08:10:25.693</v>
      </c>
      <c r="H135" t="s">
        <v>21</v>
      </c>
    </row>
    <row r="136" spans="1:10" x14ac:dyDescent="0.25">
      <c r="A136" s="1">
        <v>26</v>
      </c>
      <c r="B136" t="s">
        <v>29</v>
      </c>
      <c r="C136">
        <v>635</v>
      </c>
      <c r="D136">
        <v>1</v>
      </c>
      <c r="E136" t="s">
        <v>27</v>
      </c>
      <c r="F136" t="s">
        <v>28</v>
      </c>
      <c r="G136" t="str">
        <f>"2026-05-02 08:02:18.193"</f>
        <v>2026-05-02 08:02:18.193</v>
      </c>
      <c r="H136" t="s">
        <v>21</v>
      </c>
      <c r="I136">
        <v>0.4</v>
      </c>
      <c r="J136" t="s">
        <v>38</v>
      </c>
    </row>
    <row r="137" spans="1:10" x14ac:dyDescent="0.25">
      <c r="A137" s="1">
        <v>27</v>
      </c>
      <c r="B137" t="s">
        <v>26</v>
      </c>
      <c r="C137">
        <v>635</v>
      </c>
      <c r="D137">
        <v>1</v>
      </c>
      <c r="E137" t="s">
        <v>27</v>
      </c>
      <c r="F137" t="s">
        <v>28</v>
      </c>
      <c r="G137" t="str">
        <f>"2026-05-02 05:25:26.093"</f>
        <v>2026-05-02 05:25:26.093</v>
      </c>
      <c r="H137" t="s">
        <v>21</v>
      </c>
    </row>
    <row r="138" spans="1:10" x14ac:dyDescent="0.25">
      <c r="A138" s="1">
        <v>28</v>
      </c>
      <c r="B138" t="s">
        <v>29</v>
      </c>
      <c r="C138">
        <v>635</v>
      </c>
      <c r="D138">
        <v>1</v>
      </c>
      <c r="E138" t="s">
        <v>27</v>
      </c>
      <c r="F138" t="s">
        <v>28</v>
      </c>
      <c r="G138" t="str">
        <f>"2026-05-02 05:20:10.593"</f>
        <v>2026-05-02 05:20:10.593</v>
      </c>
      <c r="H138" t="s">
        <v>21</v>
      </c>
      <c r="I138">
        <v>0.21</v>
      </c>
      <c r="J138" t="s">
        <v>38</v>
      </c>
    </row>
    <row r="139" spans="1:10" x14ac:dyDescent="0.25">
      <c r="A139" s="1">
        <v>29</v>
      </c>
      <c r="B139" t="s">
        <v>19</v>
      </c>
      <c r="C139">
        <v>706</v>
      </c>
      <c r="D139">
        <v>4</v>
      </c>
      <c r="E139" t="s">
        <v>23</v>
      </c>
      <c r="F139" t="s">
        <v>24</v>
      </c>
      <c r="G139" t="str">
        <f>"2026-05-02 04:12:54.272"</f>
        <v>2026-05-02 04:12:54.272</v>
      </c>
      <c r="H139" t="s">
        <v>21</v>
      </c>
      <c r="I139">
        <v>0</v>
      </c>
      <c r="J139" t="s">
        <v>25</v>
      </c>
    </row>
    <row r="140" spans="1:10" x14ac:dyDescent="0.25">
      <c r="A140" s="1">
        <v>30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"2026-05-02 04:02:36.632"</f>
        <v>2026-05-02 04:02:36.632</v>
      </c>
      <c r="H140" t="s">
        <v>21</v>
      </c>
      <c r="I140">
        <v>0</v>
      </c>
      <c r="J140" t="s">
        <v>22</v>
      </c>
    </row>
    <row r="141" spans="1:10" x14ac:dyDescent="0.25">
      <c r="A141" s="1">
        <v>31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"2026-05-01 18:27:02.607"</f>
        <v>2026-05-01 18:27:02.607</v>
      </c>
      <c r="H141" t="s">
        <v>21</v>
      </c>
      <c r="I141">
        <v>0</v>
      </c>
      <c r="J141" t="s">
        <v>22</v>
      </c>
    </row>
    <row r="142" spans="1:10" x14ac:dyDescent="0.25">
      <c r="A142" s="1">
        <v>32</v>
      </c>
      <c r="B142" t="s">
        <v>26</v>
      </c>
      <c r="C142">
        <v>619</v>
      </c>
      <c r="D142">
        <v>1</v>
      </c>
      <c r="E142" t="s">
        <v>31</v>
      </c>
      <c r="F142" t="s">
        <v>28</v>
      </c>
      <c r="G142" t="str">
        <f>"2026-05-01 18:25:12.396"</f>
        <v>2026-05-01 18:25:12.396</v>
      </c>
      <c r="H142" t="s">
        <v>32</v>
      </c>
    </row>
    <row r="143" spans="1:10" x14ac:dyDescent="0.25">
      <c r="A143" s="1">
        <v>33</v>
      </c>
      <c r="B143" t="s">
        <v>29</v>
      </c>
      <c r="C143">
        <v>619</v>
      </c>
      <c r="D143">
        <v>1</v>
      </c>
      <c r="E143" t="s">
        <v>31</v>
      </c>
      <c r="F143" t="s">
        <v>28</v>
      </c>
      <c r="G143" t="str">
        <f>"2026-05-01 18:24:54.697"</f>
        <v>2026-05-01 18:24:54.697</v>
      </c>
      <c r="H143" t="s">
        <v>32</v>
      </c>
      <c r="I143">
        <v>0</v>
      </c>
      <c r="J143" t="s">
        <v>25</v>
      </c>
    </row>
    <row r="144" spans="1:10" x14ac:dyDescent="0.25">
      <c r="A144" s="1">
        <v>34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"2026-05-01 18:24:34.631"</f>
        <v>2026-05-01 18:24:34.631</v>
      </c>
      <c r="H144" t="s">
        <v>21</v>
      </c>
      <c r="I144">
        <v>0</v>
      </c>
      <c r="J144" t="s">
        <v>22</v>
      </c>
    </row>
    <row r="145" spans="1:10" x14ac:dyDescent="0.25">
      <c r="A145" s="1">
        <v>35</v>
      </c>
      <c r="B145" t="s">
        <v>26</v>
      </c>
      <c r="C145">
        <v>619</v>
      </c>
      <c r="D145">
        <v>1</v>
      </c>
      <c r="E145" t="s">
        <v>31</v>
      </c>
      <c r="F145" t="s">
        <v>28</v>
      </c>
      <c r="G145" t="str">
        <f>"2026-05-01 18:23:45.626"</f>
        <v>2026-05-01 18:23:45.626</v>
      </c>
      <c r="H145" t="s">
        <v>32</v>
      </c>
    </row>
    <row r="146" spans="1:10" x14ac:dyDescent="0.25">
      <c r="A146" s="1">
        <v>36</v>
      </c>
      <c r="B146" t="s">
        <v>29</v>
      </c>
      <c r="C146">
        <v>619</v>
      </c>
      <c r="D146">
        <v>1</v>
      </c>
      <c r="E146" t="s">
        <v>31</v>
      </c>
      <c r="F146" t="s">
        <v>28</v>
      </c>
      <c r="G146" t="str">
        <f>"2026-05-01 18:23:26.226"</f>
        <v>2026-05-01 18:23:26.226</v>
      </c>
      <c r="H146" t="s">
        <v>32</v>
      </c>
      <c r="I146">
        <v>0</v>
      </c>
      <c r="J146" t="s">
        <v>34</v>
      </c>
    </row>
    <row r="147" spans="1:10" x14ac:dyDescent="0.25">
      <c r="A147" s="1">
        <v>37</v>
      </c>
      <c r="B147" t="s">
        <v>19</v>
      </c>
      <c r="C147">
        <v>706</v>
      </c>
      <c r="D147">
        <v>4</v>
      </c>
      <c r="E147" t="s">
        <v>23</v>
      </c>
      <c r="F147" t="s">
        <v>24</v>
      </c>
      <c r="G147" t="str">
        <f>"2026-05-01 18:23:14.743"</f>
        <v>2026-05-01 18:23:14.743</v>
      </c>
      <c r="H147" t="s">
        <v>21</v>
      </c>
      <c r="I147">
        <v>0</v>
      </c>
      <c r="J147" t="s">
        <v>25</v>
      </c>
    </row>
    <row r="148" spans="1:10" x14ac:dyDescent="0.25">
      <c r="A148" s="1">
        <v>38</v>
      </c>
      <c r="B148" t="s">
        <v>26</v>
      </c>
      <c r="C148">
        <v>619</v>
      </c>
      <c r="D148">
        <v>1</v>
      </c>
      <c r="E148" t="s">
        <v>31</v>
      </c>
      <c r="F148" t="s">
        <v>28</v>
      </c>
      <c r="G148" t="str">
        <f>"2026-05-01 18:23:07.826"</f>
        <v>2026-05-01 18:23:07.826</v>
      </c>
      <c r="H148" t="s">
        <v>32</v>
      </c>
    </row>
    <row r="149" spans="1:10" x14ac:dyDescent="0.25">
      <c r="A149" s="1">
        <v>39</v>
      </c>
      <c r="B149" t="s">
        <v>29</v>
      </c>
      <c r="C149">
        <v>619</v>
      </c>
      <c r="D149">
        <v>1</v>
      </c>
      <c r="E149" t="s">
        <v>31</v>
      </c>
      <c r="F149" t="s">
        <v>28</v>
      </c>
      <c r="G149" t="str">
        <f>"2026-05-01 18:22:04.073"</f>
        <v>2026-05-01 18:22:04.073</v>
      </c>
      <c r="H149" t="s">
        <v>32</v>
      </c>
      <c r="I149">
        <v>7.64</v>
      </c>
      <c r="J149" t="s">
        <v>38</v>
      </c>
    </row>
    <row r="150" spans="1:10" x14ac:dyDescent="0.25">
      <c r="A150" s="1">
        <v>40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"2026-05-01 14:29:18.613"</f>
        <v>2026-05-01 14:29:18.613</v>
      </c>
      <c r="H150" t="s">
        <v>21</v>
      </c>
      <c r="I150">
        <v>0</v>
      </c>
      <c r="J150" t="s">
        <v>22</v>
      </c>
    </row>
    <row r="151" spans="1:10" x14ac:dyDescent="0.25">
      <c r="A151" s="1">
        <v>41</v>
      </c>
      <c r="B151" t="s">
        <v>26</v>
      </c>
      <c r="C151">
        <v>635</v>
      </c>
      <c r="D151">
        <v>1</v>
      </c>
      <c r="E151" t="s">
        <v>27</v>
      </c>
      <c r="F151" t="s">
        <v>28</v>
      </c>
      <c r="G151" t="str">
        <f>"2026-05-01 07:17:57.658"</f>
        <v>2026-05-01 07:17:57.658</v>
      </c>
      <c r="H151" t="s">
        <v>21</v>
      </c>
    </row>
    <row r="152" spans="1:10" x14ac:dyDescent="0.25">
      <c r="A152" s="1">
        <v>42</v>
      </c>
      <c r="B152" t="s">
        <v>29</v>
      </c>
      <c r="C152">
        <v>635</v>
      </c>
      <c r="D152">
        <v>1</v>
      </c>
      <c r="E152" t="s">
        <v>27</v>
      </c>
      <c r="F152" t="s">
        <v>28</v>
      </c>
      <c r="G152" t="str">
        <f>"2026-05-01 07:15:15.658"</f>
        <v>2026-05-01 07:15:15.658</v>
      </c>
      <c r="H152" t="s">
        <v>21</v>
      </c>
      <c r="I152">
        <v>0</v>
      </c>
      <c r="J152" t="s">
        <v>34</v>
      </c>
    </row>
    <row r="153" spans="1:10" s="3" customFormat="1" x14ac:dyDescent="0.25">
      <c r="A153" s="2">
        <v>43</v>
      </c>
      <c r="B153" s="3" t="s">
        <v>26</v>
      </c>
      <c r="C153" s="3">
        <v>647</v>
      </c>
      <c r="D153" s="3">
        <v>1</v>
      </c>
      <c r="E153" s="3" t="s">
        <v>39</v>
      </c>
      <c r="F153" s="3" t="s">
        <v>40</v>
      </c>
      <c r="G153" s="3" t="str">
        <f>"2026-05-01 02:51:13.206"</f>
        <v>2026-05-01 02:51:13.206</v>
      </c>
      <c r="H153" s="3" t="s">
        <v>21</v>
      </c>
    </row>
    <row r="154" spans="1:10" s="3" customFormat="1" x14ac:dyDescent="0.25">
      <c r="A154" s="2">
        <v>44</v>
      </c>
      <c r="B154" s="3" t="s">
        <v>29</v>
      </c>
      <c r="C154" s="3">
        <v>647</v>
      </c>
      <c r="D154" s="3">
        <v>1</v>
      </c>
      <c r="E154" s="3" t="s">
        <v>39</v>
      </c>
      <c r="F154" s="3" t="s">
        <v>40</v>
      </c>
      <c r="G154" s="3" t="str">
        <f>"2026-05-01 02:51:12.107"</f>
        <v>2026-05-01 02:51:12.107</v>
      </c>
      <c r="H154" s="3" t="s">
        <v>21</v>
      </c>
      <c r="I154" s="3">
        <v>13.87</v>
      </c>
      <c r="J154" s="3" t="s">
        <v>30</v>
      </c>
    </row>
    <row r="155" spans="1:10" x14ac:dyDescent="0.25">
      <c r="A155" s="1">
        <v>45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"2026-04-30 14:19:23.598"</f>
        <v>2026-04-30 14:19:23.598</v>
      </c>
      <c r="H155" t="s">
        <v>21</v>
      </c>
      <c r="I155">
        <v>0</v>
      </c>
      <c r="J155" t="s">
        <v>22</v>
      </c>
    </row>
    <row r="156" spans="1:10" s="3" customFormat="1" x14ac:dyDescent="0.25">
      <c r="A156" s="2">
        <v>46</v>
      </c>
      <c r="B156" s="3" t="s">
        <v>26</v>
      </c>
      <c r="C156" s="3">
        <v>647</v>
      </c>
      <c r="D156" s="3">
        <v>1</v>
      </c>
      <c r="E156" s="3" t="s">
        <v>39</v>
      </c>
      <c r="F156" s="3" t="s">
        <v>40</v>
      </c>
      <c r="G156" s="3" t="str">
        <f>"2026-04-30 06:34:06.006"</f>
        <v>2026-04-30 06:34:06.006</v>
      </c>
      <c r="H156" s="3" t="s">
        <v>21</v>
      </c>
    </row>
    <row r="157" spans="1:10" s="3" customFormat="1" x14ac:dyDescent="0.25">
      <c r="A157" s="2">
        <v>47</v>
      </c>
      <c r="B157" s="3" t="s">
        <v>29</v>
      </c>
      <c r="C157" s="3">
        <v>647</v>
      </c>
      <c r="D157" s="3">
        <v>1</v>
      </c>
      <c r="E157" s="3" t="s">
        <v>39</v>
      </c>
      <c r="F157" s="3" t="s">
        <v>40</v>
      </c>
      <c r="G157" s="3" t="str">
        <f>"2026-04-30 06:34:03.507"</f>
        <v>2026-04-30 06:34:03.507</v>
      </c>
      <c r="H157" s="3" t="s">
        <v>21</v>
      </c>
      <c r="I157" s="3">
        <v>15.54</v>
      </c>
      <c r="J157" s="3" t="s">
        <v>30</v>
      </c>
    </row>
    <row r="158" spans="1:10" x14ac:dyDescent="0.25">
      <c r="A158" s="1">
        <v>48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"2026-04-29 13:24:20.588"</f>
        <v>2026-04-29 13:24:20.588</v>
      </c>
      <c r="H158" t="s">
        <v>21</v>
      </c>
      <c r="I158">
        <v>0</v>
      </c>
      <c r="J158" t="s">
        <v>22</v>
      </c>
    </row>
    <row r="159" spans="1:10" x14ac:dyDescent="0.25">
      <c r="A159" s="1">
        <v>49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"2026-04-29 11:56:55.585"</f>
        <v>2026-04-29 11:56:55.585</v>
      </c>
      <c r="H159" t="s">
        <v>21</v>
      </c>
    </row>
    <row r="160" spans="1:10" x14ac:dyDescent="0.25">
      <c r="A160" s="1">
        <v>50</v>
      </c>
      <c r="B160" t="s">
        <v>26</v>
      </c>
      <c r="C160">
        <v>635</v>
      </c>
      <c r="D160">
        <v>1</v>
      </c>
      <c r="E160" t="s">
        <v>27</v>
      </c>
      <c r="F160" t="s">
        <v>28</v>
      </c>
      <c r="G160" t="str">
        <f>"2026-04-29 08:40:57.505"</f>
        <v>2026-04-29 08:40:57.505</v>
      </c>
      <c r="H160" t="s">
        <v>21</v>
      </c>
    </row>
    <row r="161" spans="1:10" x14ac:dyDescent="0.25">
      <c r="A161" s="1">
        <v>51</v>
      </c>
      <c r="B161" t="s">
        <v>29</v>
      </c>
      <c r="C161">
        <v>635</v>
      </c>
      <c r="D161">
        <v>1</v>
      </c>
      <c r="E161" t="s">
        <v>27</v>
      </c>
      <c r="F161" t="s">
        <v>28</v>
      </c>
      <c r="G161" t="str">
        <f>"2026-04-29 08:37:51.505"</f>
        <v>2026-04-29 08:37:51.505</v>
      </c>
      <c r="H161" t="s">
        <v>21</v>
      </c>
      <c r="I161">
        <v>2.29</v>
      </c>
      <c r="J161" t="s">
        <v>30</v>
      </c>
    </row>
    <row r="162" spans="1:10" x14ac:dyDescent="0.25">
      <c r="A162" s="1">
        <v>52</v>
      </c>
      <c r="B162" t="s">
        <v>26</v>
      </c>
      <c r="C162">
        <v>635</v>
      </c>
      <c r="D162">
        <v>1</v>
      </c>
      <c r="E162" t="s">
        <v>27</v>
      </c>
      <c r="F162" t="s">
        <v>28</v>
      </c>
      <c r="G162" t="str">
        <f>"2026-04-29 08:30:18.005"</f>
        <v>2026-04-29 08:30:18.005</v>
      </c>
      <c r="H162" t="s">
        <v>21</v>
      </c>
    </row>
    <row r="163" spans="1:10" x14ac:dyDescent="0.25">
      <c r="A163" s="1">
        <v>53</v>
      </c>
      <c r="B163" t="s">
        <v>29</v>
      </c>
      <c r="C163">
        <v>635</v>
      </c>
      <c r="D163">
        <v>1</v>
      </c>
      <c r="E163" t="s">
        <v>27</v>
      </c>
      <c r="F163" t="s">
        <v>28</v>
      </c>
      <c r="G163" t="str">
        <f>"2026-04-29 08:27:13.005"</f>
        <v>2026-04-29 08:27:13.005</v>
      </c>
      <c r="H163" t="s">
        <v>21</v>
      </c>
      <c r="I163">
        <v>2.08</v>
      </c>
      <c r="J163" t="s">
        <v>38</v>
      </c>
    </row>
    <row r="164" spans="1:10" x14ac:dyDescent="0.25">
      <c r="A164" s="1">
        <v>54</v>
      </c>
      <c r="B164" t="s">
        <v>26</v>
      </c>
      <c r="C164">
        <v>635</v>
      </c>
      <c r="D164">
        <v>1</v>
      </c>
      <c r="E164" t="s">
        <v>27</v>
      </c>
      <c r="F164" t="s">
        <v>28</v>
      </c>
      <c r="G164" t="str">
        <f>"2026-04-29 04:02:04.105"</f>
        <v>2026-04-29 04:02:04.105</v>
      </c>
      <c r="H164" t="s">
        <v>21</v>
      </c>
    </row>
    <row r="165" spans="1:10" x14ac:dyDescent="0.25">
      <c r="A165" s="1">
        <v>55</v>
      </c>
      <c r="B165" t="s">
        <v>29</v>
      </c>
      <c r="C165">
        <v>635</v>
      </c>
      <c r="D165">
        <v>1</v>
      </c>
      <c r="E165" t="s">
        <v>27</v>
      </c>
      <c r="F165" t="s">
        <v>28</v>
      </c>
      <c r="G165" t="str">
        <f>"2026-04-29 03:59:23.105"</f>
        <v>2026-04-29 03:59:23.105</v>
      </c>
      <c r="H165" t="s">
        <v>21</v>
      </c>
      <c r="I165">
        <v>5.91</v>
      </c>
      <c r="J165" t="s">
        <v>38</v>
      </c>
    </row>
    <row r="166" spans="1:10" x14ac:dyDescent="0.25">
      <c r="A166" s="1">
        <v>56</v>
      </c>
      <c r="B166" t="s">
        <v>26</v>
      </c>
      <c r="C166">
        <v>635</v>
      </c>
      <c r="D166">
        <v>1</v>
      </c>
      <c r="E166" t="s">
        <v>27</v>
      </c>
      <c r="F166" t="s">
        <v>28</v>
      </c>
      <c r="G166" t="str">
        <f>"2026-04-28 21:30:24.905"</f>
        <v>2026-04-28 21:30:24.905</v>
      </c>
      <c r="H166" t="s">
        <v>21</v>
      </c>
    </row>
    <row r="167" spans="1:10" x14ac:dyDescent="0.25">
      <c r="A167" s="1">
        <v>57</v>
      </c>
      <c r="B167" t="s">
        <v>29</v>
      </c>
      <c r="C167">
        <v>635</v>
      </c>
      <c r="D167">
        <v>1</v>
      </c>
      <c r="E167" t="s">
        <v>27</v>
      </c>
      <c r="F167" t="s">
        <v>28</v>
      </c>
      <c r="G167" t="str">
        <f>"2026-04-28 21:26:39.905"</f>
        <v>2026-04-28 21:26:39.905</v>
      </c>
      <c r="H167" t="s">
        <v>21</v>
      </c>
      <c r="I167">
        <v>1.07</v>
      </c>
      <c r="J167" t="s">
        <v>38</v>
      </c>
    </row>
    <row r="168" spans="1:10" x14ac:dyDescent="0.25">
      <c r="A168" s="1">
        <v>58</v>
      </c>
      <c r="B168" t="s">
        <v>26</v>
      </c>
      <c r="C168">
        <v>635</v>
      </c>
      <c r="D168">
        <v>1</v>
      </c>
      <c r="E168" t="s">
        <v>27</v>
      </c>
      <c r="F168" t="s">
        <v>28</v>
      </c>
      <c r="G168" t="str">
        <f>"2026-04-28 20:17:29.105"</f>
        <v>2026-04-28 20:17:29.105</v>
      </c>
      <c r="H168" t="s">
        <v>21</v>
      </c>
    </row>
    <row r="169" spans="1:10" x14ac:dyDescent="0.25">
      <c r="A169" s="1">
        <v>59</v>
      </c>
      <c r="B169" t="s">
        <v>29</v>
      </c>
      <c r="C169">
        <v>635</v>
      </c>
      <c r="D169">
        <v>1</v>
      </c>
      <c r="E169" t="s">
        <v>27</v>
      </c>
      <c r="F169" t="s">
        <v>28</v>
      </c>
      <c r="G169" t="str">
        <f>"2026-04-28 19:55:50.705"</f>
        <v>2026-04-28 19:55:50.705</v>
      </c>
      <c r="H169" t="s">
        <v>21</v>
      </c>
      <c r="I169">
        <v>5.07</v>
      </c>
      <c r="J169" t="s">
        <v>38</v>
      </c>
    </row>
    <row r="170" spans="1:10" x14ac:dyDescent="0.25">
      <c r="A170" s="1">
        <v>60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"2026-04-28 13:48:05.735"</f>
        <v>2026-04-28 13:48:05.735</v>
      </c>
      <c r="H170" t="s">
        <v>21</v>
      </c>
      <c r="I170">
        <v>0</v>
      </c>
      <c r="J170" t="s">
        <v>22</v>
      </c>
    </row>
    <row r="171" spans="1:10" x14ac:dyDescent="0.25">
      <c r="A171" s="1">
        <v>61</v>
      </c>
      <c r="B171" t="s">
        <v>26</v>
      </c>
      <c r="C171">
        <v>635</v>
      </c>
      <c r="D171">
        <v>1</v>
      </c>
      <c r="E171" t="s">
        <v>27</v>
      </c>
      <c r="F171" t="s">
        <v>28</v>
      </c>
      <c r="G171" t="str">
        <f>"2026-04-28 12:01:42.007"</f>
        <v>2026-04-28 12:01:42.007</v>
      </c>
      <c r="H171" t="s">
        <v>21</v>
      </c>
    </row>
    <row r="172" spans="1:10" x14ac:dyDescent="0.25">
      <c r="A172" s="1">
        <v>62</v>
      </c>
      <c r="B172" t="s">
        <v>29</v>
      </c>
      <c r="C172">
        <v>635</v>
      </c>
      <c r="D172">
        <v>1</v>
      </c>
      <c r="E172" t="s">
        <v>27</v>
      </c>
      <c r="F172" t="s">
        <v>28</v>
      </c>
      <c r="G172" t="str">
        <f>"2026-04-28 11:58:33.007"</f>
        <v>2026-04-28 11:58:33.007</v>
      </c>
      <c r="H172" t="s">
        <v>21</v>
      </c>
      <c r="I172">
        <v>4.4800000000000004</v>
      </c>
      <c r="J172" t="s">
        <v>30</v>
      </c>
    </row>
    <row r="173" spans="1:10" x14ac:dyDescent="0.25">
      <c r="A173" s="1">
        <v>63</v>
      </c>
      <c r="B173" t="s">
        <v>19</v>
      </c>
      <c r="C173">
        <v>706</v>
      </c>
      <c r="D173">
        <v>2</v>
      </c>
      <c r="E173" t="s">
        <v>23</v>
      </c>
      <c r="F173" t="s">
        <v>46</v>
      </c>
      <c r="G173" t="str">
        <f>"2026-04-28 11:04:44.704"</f>
        <v>2026-04-28 11:04:44.704</v>
      </c>
      <c r="H173" t="s">
        <v>21</v>
      </c>
      <c r="I173">
        <v>0</v>
      </c>
      <c r="J173" t="s">
        <v>25</v>
      </c>
    </row>
    <row r="174" spans="1:10" x14ac:dyDescent="0.25">
      <c r="A174" s="1">
        <v>64</v>
      </c>
      <c r="B174" t="s">
        <v>26</v>
      </c>
      <c r="C174">
        <v>635</v>
      </c>
      <c r="D174">
        <v>1</v>
      </c>
      <c r="E174" t="s">
        <v>27</v>
      </c>
      <c r="F174" t="s">
        <v>28</v>
      </c>
      <c r="G174" t="str">
        <f>"2026-04-28 10:02:13.307"</f>
        <v>2026-04-28 10:02:13.307</v>
      </c>
      <c r="H174" t="s">
        <v>21</v>
      </c>
    </row>
    <row r="175" spans="1:10" x14ac:dyDescent="0.25">
      <c r="A175" s="1">
        <v>65</v>
      </c>
      <c r="B175" t="s">
        <v>29</v>
      </c>
      <c r="C175">
        <v>635</v>
      </c>
      <c r="D175">
        <v>1</v>
      </c>
      <c r="E175" t="s">
        <v>27</v>
      </c>
      <c r="F175" t="s">
        <v>28</v>
      </c>
      <c r="G175" t="str">
        <f>"2026-04-28 09:56:34.807"</f>
        <v>2026-04-28 09:56:34.807</v>
      </c>
      <c r="H175" t="s">
        <v>21</v>
      </c>
      <c r="I175">
        <v>2.19</v>
      </c>
      <c r="J175" t="s">
        <v>38</v>
      </c>
    </row>
    <row r="176" spans="1:10" x14ac:dyDescent="0.25">
      <c r="A176" s="1">
        <v>66</v>
      </c>
      <c r="B176" t="s">
        <v>26</v>
      </c>
      <c r="C176">
        <v>619</v>
      </c>
      <c r="D176">
        <v>1</v>
      </c>
      <c r="E176" t="s">
        <v>31</v>
      </c>
      <c r="F176" t="s">
        <v>28</v>
      </c>
      <c r="G176" t="str">
        <f>"2026-04-28 09:42:58.254"</f>
        <v>2026-04-28 09:42:58.254</v>
      </c>
      <c r="H176" t="s">
        <v>32</v>
      </c>
    </row>
    <row r="177" spans="1:10" x14ac:dyDescent="0.25">
      <c r="A177" s="1">
        <v>67</v>
      </c>
      <c r="B177" t="s">
        <v>29</v>
      </c>
      <c r="C177">
        <v>619</v>
      </c>
      <c r="D177">
        <v>1</v>
      </c>
      <c r="E177" t="s">
        <v>31</v>
      </c>
      <c r="F177" t="s">
        <v>28</v>
      </c>
      <c r="G177" t="str">
        <f>"2026-04-28 09:42:22.453"</f>
        <v>2026-04-28 09:42:22.453</v>
      </c>
      <c r="H177" t="s">
        <v>32</v>
      </c>
      <c r="I177">
        <v>4.78</v>
      </c>
      <c r="J177" t="s">
        <v>30</v>
      </c>
    </row>
    <row r="178" spans="1:10" x14ac:dyDescent="0.25">
      <c r="A178" s="1">
        <v>68</v>
      </c>
      <c r="B178" t="s">
        <v>26</v>
      </c>
      <c r="C178">
        <v>635</v>
      </c>
      <c r="D178">
        <v>1</v>
      </c>
      <c r="E178" t="s">
        <v>27</v>
      </c>
      <c r="F178" t="s">
        <v>28</v>
      </c>
      <c r="G178" t="str">
        <f>"2026-04-27 23:34:34.607"</f>
        <v>2026-04-27 23:34:34.607</v>
      </c>
      <c r="H178" t="s">
        <v>21</v>
      </c>
    </row>
    <row r="179" spans="1:10" x14ac:dyDescent="0.25">
      <c r="A179" s="1">
        <v>69</v>
      </c>
      <c r="B179" t="s">
        <v>29</v>
      </c>
      <c r="C179">
        <v>635</v>
      </c>
      <c r="D179">
        <v>1</v>
      </c>
      <c r="E179" t="s">
        <v>27</v>
      </c>
      <c r="F179" t="s">
        <v>28</v>
      </c>
      <c r="G179" t="str">
        <f>"2026-04-27 23:31:47.107"</f>
        <v>2026-04-27 23:31:47.107</v>
      </c>
      <c r="H179" t="s">
        <v>21</v>
      </c>
      <c r="I179">
        <v>0</v>
      </c>
      <c r="J179" t="s">
        <v>34</v>
      </c>
    </row>
    <row r="180" spans="1:10" x14ac:dyDescent="0.25">
      <c r="A180" s="1">
        <v>70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"2026-04-27 21:12:33.774"</f>
        <v>2026-04-27 21:12:33.774</v>
      </c>
      <c r="H180" t="s">
        <v>21</v>
      </c>
    </row>
    <row r="181" spans="1:10" x14ac:dyDescent="0.25">
      <c r="A181" s="1">
        <v>71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"2026-04-27 08:51:20.818"</f>
        <v>2026-04-27 08:51:20.818</v>
      </c>
      <c r="H181" t="s">
        <v>21</v>
      </c>
      <c r="I181">
        <v>0</v>
      </c>
      <c r="J181" t="s">
        <v>22</v>
      </c>
    </row>
    <row r="182" spans="1:10" s="3" customFormat="1" x14ac:dyDescent="0.25">
      <c r="A182" s="2">
        <v>72</v>
      </c>
      <c r="B182" s="3" t="s">
        <v>26</v>
      </c>
      <c r="C182" s="3">
        <v>647</v>
      </c>
      <c r="D182" s="3">
        <v>1</v>
      </c>
      <c r="E182" s="3" t="s">
        <v>39</v>
      </c>
      <c r="F182" s="3" t="s">
        <v>40</v>
      </c>
      <c r="G182" s="3" t="str">
        <f>"2026-04-27 04:19:54.508"</f>
        <v>2026-04-27 04:19:54.508</v>
      </c>
      <c r="H182" s="3" t="s">
        <v>21</v>
      </c>
    </row>
    <row r="183" spans="1:10" s="3" customFormat="1" x14ac:dyDescent="0.25">
      <c r="A183" s="2">
        <v>73</v>
      </c>
      <c r="B183" s="3" t="s">
        <v>29</v>
      </c>
      <c r="C183" s="3">
        <v>647</v>
      </c>
      <c r="D183" s="3">
        <v>1</v>
      </c>
      <c r="E183" s="3" t="s">
        <v>39</v>
      </c>
      <c r="F183" s="3" t="s">
        <v>40</v>
      </c>
      <c r="G183" s="3" t="str">
        <f>"2026-04-27 04:19:52.809"</f>
        <v>2026-04-27 04:19:52.809</v>
      </c>
      <c r="H183" s="3" t="s">
        <v>21</v>
      </c>
      <c r="I183" s="3">
        <v>16.86</v>
      </c>
      <c r="J183" s="3" t="s">
        <v>30</v>
      </c>
    </row>
    <row r="184" spans="1:10" x14ac:dyDescent="0.25">
      <c r="A184" s="1">
        <v>74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"2026-04-26 14:00:02.701"</f>
        <v>2026-04-26 14:00:02.701</v>
      </c>
      <c r="H184" t="s">
        <v>21</v>
      </c>
      <c r="I184">
        <v>0</v>
      </c>
      <c r="J184" t="s">
        <v>22</v>
      </c>
    </row>
    <row r="185" spans="1:10" x14ac:dyDescent="0.25">
      <c r="A185" s="1">
        <v>75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"2026-04-25 19:55:27.574"</f>
        <v>2026-04-25 19:55:27.574</v>
      </c>
      <c r="H185" t="s">
        <v>21</v>
      </c>
    </row>
    <row r="186" spans="1:10" x14ac:dyDescent="0.25">
      <c r="A186" s="1">
        <v>76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"2026-04-25 12:34:40.609"</f>
        <v>2026-04-25 12:34:40.609</v>
      </c>
      <c r="H186" t="s">
        <v>21</v>
      </c>
    </row>
    <row r="187" spans="1:10" x14ac:dyDescent="0.25">
      <c r="A187" s="1">
        <v>77</v>
      </c>
      <c r="B187" t="s">
        <v>26</v>
      </c>
      <c r="C187">
        <v>635</v>
      </c>
      <c r="D187">
        <v>1</v>
      </c>
      <c r="E187" t="s">
        <v>27</v>
      </c>
      <c r="F187" t="s">
        <v>28</v>
      </c>
      <c r="G187" t="str">
        <f>"2026-04-25 02:45:03.674"</f>
        <v>2026-04-25 02:45:03.674</v>
      </c>
      <c r="H187" t="s">
        <v>21</v>
      </c>
    </row>
    <row r="188" spans="1:10" x14ac:dyDescent="0.25">
      <c r="A188" s="1">
        <v>78</v>
      </c>
      <c r="B188" t="s">
        <v>29</v>
      </c>
      <c r="C188">
        <v>635</v>
      </c>
      <c r="D188">
        <v>1</v>
      </c>
      <c r="E188" t="s">
        <v>27</v>
      </c>
      <c r="F188" t="s">
        <v>28</v>
      </c>
      <c r="G188" t="str">
        <f>"2026-04-25 02:27:56.674"</f>
        <v>2026-04-25 02:27:56.674</v>
      </c>
      <c r="H188" t="s">
        <v>21</v>
      </c>
      <c r="I188">
        <v>5.62</v>
      </c>
      <c r="J188" t="s">
        <v>38</v>
      </c>
    </row>
    <row r="189" spans="1:10" x14ac:dyDescent="0.25">
      <c r="A189" s="1">
        <v>79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"2026-04-24 13:37:24.578"</f>
        <v>2026-04-24 13:37:24.578</v>
      </c>
      <c r="H189" t="s">
        <v>21</v>
      </c>
      <c r="I189">
        <v>0</v>
      </c>
      <c r="J189" t="s">
        <v>22</v>
      </c>
    </row>
    <row r="190" spans="1:10" x14ac:dyDescent="0.25">
      <c r="A190" s="1">
        <v>80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"2026-04-24 12:54:27.595"</f>
        <v>2026-04-24 12:54:27.595</v>
      </c>
      <c r="H190" t="s">
        <v>21</v>
      </c>
    </row>
    <row r="191" spans="1:10" x14ac:dyDescent="0.25">
      <c r="A191" s="1">
        <v>81</v>
      </c>
      <c r="B191" t="s">
        <v>26</v>
      </c>
      <c r="C191">
        <v>635</v>
      </c>
      <c r="D191">
        <v>1</v>
      </c>
      <c r="E191" t="s">
        <v>27</v>
      </c>
      <c r="F191" t="s">
        <v>28</v>
      </c>
      <c r="G191" t="str">
        <f>"2026-04-24 07:24:30.644"</f>
        <v>2026-04-24 07:24:30.644</v>
      </c>
      <c r="H191" t="s">
        <v>21</v>
      </c>
    </row>
    <row r="192" spans="1:10" x14ac:dyDescent="0.25">
      <c r="A192" s="1">
        <v>82</v>
      </c>
      <c r="B192" t="s">
        <v>29</v>
      </c>
      <c r="C192">
        <v>635</v>
      </c>
      <c r="D192">
        <v>1</v>
      </c>
      <c r="E192" t="s">
        <v>27</v>
      </c>
      <c r="F192" t="s">
        <v>28</v>
      </c>
      <c r="G192" t="str">
        <f>"2026-04-24 07:01:21.644"</f>
        <v>2026-04-24 07:01:21.644</v>
      </c>
      <c r="H192" t="s">
        <v>21</v>
      </c>
      <c r="I192">
        <v>8.6</v>
      </c>
      <c r="J192" t="s">
        <v>38</v>
      </c>
    </row>
    <row r="193" spans="1:10" x14ac:dyDescent="0.25">
      <c r="A193" s="1">
        <v>83</v>
      </c>
      <c r="B193" t="s">
        <v>26</v>
      </c>
      <c r="C193">
        <v>635</v>
      </c>
      <c r="D193">
        <v>1</v>
      </c>
      <c r="E193" t="s">
        <v>27</v>
      </c>
      <c r="F193" t="s">
        <v>28</v>
      </c>
      <c r="G193" t="str">
        <f>"2026-04-24 06:49:26.744"</f>
        <v>2026-04-24 06:49:26.744</v>
      </c>
      <c r="H193" t="s">
        <v>21</v>
      </c>
    </row>
    <row r="194" spans="1:10" x14ac:dyDescent="0.25">
      <c r="A194" s="1">
        <v>84</v>
      </c>
      <c r="B194" t="s">
        <v>29</v>
      </c>
      <c r="C194">
        <v>635</v>
      </c>
      <c r="D194">
        <v>1</v>
      </c>
      <c r="E194" t="s">
        <v>27</v>
      </c>
      <c r="F194" t="s">
        <v>28</v>
      </c>
      <c r="G194" t="str">
        <f>"2026-04-24 06:45:54.244"</f>
        <v>2026-04-24 06:45:54.244</v>
      </c>
      <c r="H194" t="s">
        <v>21</v>
      </c>
      <c r="I194">
        <v>7.58</v>
      </c>
      <c r="J194" t="s">
        <v>38</v>
      </c>
    </row>
    <row r="195" spans="1:10" x14ac:dyDescent="0.25">
      <c r="A195" s="1">
        <v>85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"2026-04-24 01:13:12.616"</f>
        <v>2026-04-24 01:13:12.616</v>
      </c>
      <c r="H195" t="s">
        <v>21</v>
      </c>
      <c r="I195">
        <v>0</v>
      </c>
      <c r="J195" t="s">
        <v>22</v>
      </c>
    </row>
    <row r="196" spans="1:10" x14ac:dyDescent="0.25">
      <c r="A196" s="1">
        <v>86</v>
      </c>
      <c r="B196" t="s">
        <v>26</v>
      </c>
      <c r="C196">
        <v>619</v>
      </c>
      <c r="D196">
        <v>1</v>
      </c>
      <c r="E196" t="s">
        <v>31</v>
      </c>
      <c r="F196" t="s">
        <v>28</v>
      </c>
      <c r="G196" t="str">
        <f>"2026-04-23 21:39:05.758"</f>
        <v>2026-04-23 21:39:05.758</v>
      </c>
      <c r="H196" t="s">
        <v>32</v>
      </c>
    </row>
    <row r="197" spans="1:10" x14ac:dyDescent="0.25">
      <c r="A197" s="1">
        <v>87</v>
      </c>
      <c r="B197" t="s">
        <v>29</v>
      </c>
      <c r="C197">
        <v>619</v>
      </c>
      <c r="D197">
        <v>1</v>
      </c>
      <c r="E197" t="s">
        <v>31</v>
      </c>
      <c r="F197" t="s">
        <v>28</v>
      </c>
      <c r="G197" t="str">
        <f>"2026-04-23 21:39:00.159"</f>
        <v>2026-04-23 21:39:00.159</v>
      </c>
      <c r="H197" t="s">
        <v>32</v>
      </c>
      <c r="I197">
        <v>0</v>
      </c>
      <c r="J197" t="s">
        <v>25</v>
      </c>
    </row>
    <row r="198" spans="1:10" x14ac:dyDescent="0.25">
      <c r="A198" s="1">
        <v>88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"2026-04-23 21:38:53.585"</f>
        <v>2026-04-23 21:38:53.585</v>
      </c>
      <c r="H198" t="s">
        <v>21</v>
      </c>
      <c r="I198">
        <v>0</v>
      </c>
      <c r="J198" t="s">
        <v>22</v>
      </c>
    </row>
    <row r="199" spans="1:10" x14ac:dyDescent="0.25">
      <c r="A199" s="1">
        <v>89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"2026-04-23 21:33:44.608"</f>
        <v>2026-04-23 21:33:44.608</v>
      </c>
      <c r="H199" t="s">
        <v>21</v>
      </c>
    </row>
    <row r="200" spans="1:10" x14ac:dyDescent="0.25">
      <c r="A200" s="1">
        <v>90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"2026-04-23 15:58:22.583"</f>
        <v>2026-04-23 15:58:22.583</v>
      </c>
      <c r="H200" t="s">
        <v>21</v>
      </c>
      <c r="I200">
        <v>0</v>
      </c>
      <c r="J200" t="s">
        <v>22</v>
      </c>
    </row>
    <row r="201" spans="1:10" x14ac:dyDescent="0.25">
      <c r="A201" s="1">
        <v>91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"2026-04-23 15:39:38.571"</f>
        <v>2026-04-23 15:39:38.571</v>
      </c>
      <c r="H201" t="s">
        <v>21</v>
      </c>
    </row>
    <row r="202" spans="1:10" x14ac:dyDescent="0.25">
      <c r="A202" s="1">
        <v>92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"2026-04-23 13:37:59.609"</f>
        <v>2026-04-23 13:37:59.609</v>
      </c>
      <c r="H202" t="s">
        <v>21</v>
      </c>
    </row>
    <row r="203" spans="1:10" s="3" customFormat="1" x14ac:dyDescent="0.25">
      <c r="A203" s="2">
        <v>94</v>
      </c>
      <c r="B203" s="3" t="s">
        <v>26</v>
      </c>
      <c r="C203" s="3">
        <v>647</v>
      </c>
      <c r="D203" s="3">
        <v>1</v>
      </c>
      <c r="E203" s="3" t="s">
        <v>39</v>
      </c>
      <c r="F203" s="3" t="s">
        <v>40</v>
      </c>
      <c r="G203" s="3" t="str">
        <f>"2026-04-23 04:52:55.065"</f>
        <v>2026-04-23 04:52:55.065</v>
      </c>
      <c r="H203" s="3" t="s">
        <v>21</v>
      </c>
    </row>
    <row r="204" spans="1:10" s="3" customFormat="1" x14ac:dyDescent="0.25">
      <c r="A204" s="2">
        <v>95</v>
      </c>
      <c r="B204" s="3" t="s">
        <v>29</v>
      </c>
      <c r="C204" s="3">
        <v>647</v>
      </c>
      <c r="D204" s="3">
        <v>1</v>
      </c>
      <c r="E204" s="3" t="s">
        <v>39</v>
      </c>
      <c r="F204" s="3" t="s">
        <v>40</v>
      </c>
      <c r="G204" s="3" t="str">
        <f>"2026-04-23 04:52:52.765"</f>
        <v>2026-04-23 04:52:52.765</v>
      </c>
      <c r="H204" s="3" t="s">
        <v>21</v>
      </c>
      <c r="I204" s="3">
        <v>18.84</v>
      </c>
      <c r="J204" s="3" t="s">
        <v>30</v>
      </c>
    </row>
    <row r="205" spans="1:10" x14ac:dyDescent="0.25">
      <c r="A205" s="1">
        <v>96</v>
      </c>
      <c r="B205" t="s">
        <v>26</v>
      </c>
      <c r="C205">
        <v>619</v>
      </c>
      <c r="D205">
        <v>1</v>
      </c>
      <c r="E205" t="s">
        <v>31</v>
      </c>
      <c r="F205" t="s">
        <v>28</v>
      </c>
      <c r="G205" t="str">
        <f>"2026-04-23 02:15:27.711"</f>
        <v>2026-04-23 02:15:27.711</v>
      </c>
      <c r="H205" t="s">
        <v>32</v>
      </c>
    </row>
    <row r="206" spans="1:10" x14ac:dyDescent="0.25">
      <c r="A206" s="1">
        <v>97</v>
      </c>
      <c r="B206" t="s">
        <v>29</v>
      </c>
      <c r="C206">
        <v>619</v>
      </c>
      <c r="D206">
        <v>1</v>
      </c>
      <c r="E206" t="s">
        <v>31</v>
      </c>
      <c r="F206" t="s">
        <v>28</v>
      </c>
      <c r="G206" t="str">
        <f>"2026-04-23 02:15:17.964"</f>
        <v>2026-04-23 02:15:17.964</v>
      </c>
      <c r="H206" t="s">
        <v>32</v>
      </c>
      <c r="I206">
        <v>0.57999999999999996</v>
      </c>
      <c r="J206" t="s">
        <v>38</v>
      </c>
    </row>
    <row r="207" spans="1:10" x14ac:dyDescent="0.25">
      <c r="A207" s="1">
        <v>98</v>
      </c>
      <c r="B207" t="s">
        <v>19</v>
      </c>
      <c r="C207">
        <v>706</v>
      </c>
      <c r="D207">
        <v>2</v>
      </c>
      <c r="E207" t="s">
        <v>23</v>
      </c>
      <c r="F207" t="s">
        <v>46</v>
      </c>
      <c r="G207" t="str">
        <f>"2026-04-23 01:59:28.353"</f>
        <v>2026-04-23 01:59:28.353</v>
      </c>
      <c r="H207" t="s">
        <v>21</v>
      </c>
      <c r="I207">
        <v>0</v>
      </c>
      <c r="J207" t="s">
        <v>25</v>
      </c>
    </row>
    <row r="208" spans="1:10" x14ac:dyDescent="0.25">
      <c r="A208" s="1">
        <v>99</v>
      </c>
      <c r="B208" t="s">
        <v>19</v>
      </c>
      <c r="C208">
        <v>706</v>
      </c>
      <c r="D208">
        <v>2</v>
      </c>
      <c r="E208" t="s">
        <v>23</v>
      </c>
      <c r="F208" t="s">
        <v>46</v>
      </c>
      <c r="G208" t="str">
        <f>"2026-04-22 23:02:30.953"</f>
        <v>2026-04-22 23:02:30.953</v>
      </c>
      <c r="H208" t="s">
        <v>21</v>
      </c>
      <c r="I208">
        <v>0</v>
      </c>
      <c r="J208" t="s">
        <v>25</v>
      </c>
    </row>
    <row r="209" spans="1:10" x14ac:dyDescent="0.25">
      <c r="A209" s="1">
        <v>0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"2026-04-22 13:01:27.633"</f>
        <v>2026-04-22 13:01:27.633</v>
      </c>
      <c r="H209" t="s">
        <v>21</v>
      </c>
      <c r="I209">
        <v>0</v>
      </c>
      <c r="J209" t="s">
        <v>22</v>
      </c>
    </row>
    <row r="210" spans="1:10" x14ac:dyDescent="0.25">
      <c r="A210" s="1">
        <v>1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"2026-04-22 05:54:56.580"</f>
        <v>2026-04-22 05:54:56.580</v>
      </c>
      <c r="H210" t="s">
        <v>21</v>
      </c>
      <c r="I210">
        <v>0</v>
      </c>
      <c r="J210" t="s">
        <v>22</v>
      </c>
    </row>
    <row r="211" spans="1:10" x14ac:dyDescent="0.25">
      <c r="A211" s="1">
        <v>2</v>
      </c>
      <c r="B211" t="s">
        <v>19</v>
      </c>
      <c r="C211">
        <v>706</v>
      </c>
      <c r="D211">
        <v>4</v>
      </c>
      <c r="E211" t="s">
        <v>23</v>
      </c>
      <c r="F211" t="s">
        <v>24</v>
      </c>
      <c r="G211" t="str">
        <f>"2026-04-22 05:26:35.456"</f>
        <v>2026-04-22 05:26:35.456</v>
      </c>
      <c r="H211" t="s">
        <v>21</v>
      </c>
      <c r="I211">
        <v>0</v>
      </c>
      <c r="J211" t="s">
        <v>25</v>
      </c>
    </row>
    <row r="212" spans="1:10" x14ac:dyDescent="0.25">
      <c r="A212" s="1">
        <v>3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"2026-04-22 05:11:42.606"</f>
        <v>2026-04-22 05:11:42.606</v>
      </c>
      <c r="H212" t="s">
        <v>21</v>
      </c>
      <c r="I212">
        <v>0</v>
      </c>
      <c r="J212" t="s">
        <v>22</v>
      </c>
    </row>
    <row r="213" spans="1:10" x14ac:dyDescent="0.25">
      <c r="A213" s="1">
        <v>4</v>
      </c>
      <c r="B213" t="s">
        <v>19</v>
      </c>
      <c r="C213">
        <v>706</v>
      </c>
      <c r="D213">
        <v>2</v>
      </c>
      <c r="E213" t="s">
        <v>23</v>
      </c>
      <c r="F213" t="s">
        <v>46</v>
      </c>
      <c r="G213" t="str">
        <f>"2026-04-21 22:04:43.032"</f>
        <v>2026-04-21 22:04:43.032</v>
      </c>
      <c r="H213" t="s">
        <v>21</v>
      </c>
      <c r="I213">
        <v>0</v>
      </c>
      <c r="J213" t="s">
        <v>25</v>
      </c>
    </row>
    <row r="214" spans="1:10" s="3" customFormat="1" x14ac:dyDescent="0.25">
      <c r="A214" s="2">
        <v>5</v>
      </c>
      <c r="B214" s="3" t="s">
        <v>26</v>
      </c>
      <c r="C214" s="3">
        <v>647</v>
      </c>
      <c r="D214" s="3">
        <v>1</v>
      </c>
      <c r="E214" s="3" t="s">
        <v>39</v>
      </c>
      <c r="F214" s="3" t="s">
        <v>40</v>
      </c>
      <c r="G214" s="3" t="str">
        <f>"2026-04-21 21:20:54.244"</f>
        <v>2026-04-21 21:20:54.244</v>
      </c>
      <c r="H214" s="3" t="s">
        <v>21</v>
      </c>
    </row>
    <row r="215" spans="1:10" s="3" customFormat="1" x14ac:dyDescent="0.25">
      <c r="A215" s="2">
        <v>6</v>
      </c>
      <c r="B215" s="3" t="s">
        <v>29</v>
      </c>
      <c r="C215" s="3">
        <v>647</v>
      </c>
      <c r="D215" s="3">
        <v>1</v>
      </c>
      <c r="E215" s="3" t="s">
        <v>39</v>
      </c>
      <c r="F215" s="3" t="s">
        <v>40</v>
      </c>
      <c r="G215" s="3" t="str">
        <f>"2026-04-21 21:20:52.144"</f>
        <v>2026-04-21 21:20:52.144</v>
      </c>
      <c r="H215" s="3" t="s">
        <v>21</v>
      </c>
      <c r="I215" s="3">
        <v>21.31</v>
      </c>
      <c r="J215" s="3" t="s">
        <v>30</v>
      </c>
    </row>
    <row r="216" spans="1:10" x14ac:dyDescent="0.25">
      <c r="A216" s="1">
        <v>7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"2026-04-21 13:46:47.602"</f>
        <v>2026-04-21 13:46:47.602</v>
      </c>
      <c r="H216" t="s">
        <v>21</v>
      </c>
    </row>
    <row r="217" spans="1:10" x14ac:dyDescent="0.25">
      <c r="A217" s="1">
        <v>8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"2026-04-21 11:10:19.638"</f>
        <v>2026-04-21 11:10:19.638</v>
      </c>
      <c r="H217" t="s">
        <v>21</v>
      </c>
    </row>
    <row r="218" spans="1:10" x14ac:dyDescent="0.25">
      <c r="A218" s="1">
        <v>9</v>
      </c>
      <c r="B218" t="s">
        <v>19</v>
      </c>
      <c r="C218">
        <v>706</v>
      </c>
      <c r="D218">
        <v>2</v>
      </c>
      <c r="E218" t="s">
        <v>23</v>
      </c>
      <c r="F218" t="s">
        <v>46</v>
      </c>
      <c r="G218" t="str">
        <f>"2026-04-20 22:07:22.629"</f>
        <v>2026-04-20 22:07:22.629</v>
      </c>
      <c r="H218" t="s">
        <v>21</v>
      </c>
      <c r="I218">
        <v>0</v>
      </c>
      <c r="J218" t="s">
        <v>25</v>
      </c>
    </row>
    <row r="219" spans="1:10" x14ac:dyDescent="0.25">
      <c r="A219" s="1">
        <v>10</v>
      </c>
      <c r="B219" t="s">
        <v>19</v>
      </c>
      <c r="C219">
        <v>706</v>
      </c>
      <c r="D219">
        <v>4</v>
      </c>
      <c r="E219" t="s">
        <v>23</v>
      </c>
      <c r="F219" t="s">
        <v>24</v>
      </c>
      <c r="G219" t="str">
        <f>"2026-04-20 13:49:24.079"</f>
        <v>2026-04-20 13:49:24.079</v>
      </c>
      <c r="H219" t="s">
        <v>21</v>
      </c>
      <c r="I219">
        <v>0</v>
      </c>
      <c r="J219" t="s">
        <v>25</v>
      </c>
    </row>
    <row r="220" spans="1:10" x14ac:dyDescent="0.25">
      <c r="A220" s="1">
        <v>11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"2026-04-20 13:49:01.589"</f>
        <v>2026-04-20 13:49:01.589</v>
      </c>
      <c r="H220" t="s">
        <v>21</v>
      </c>
    </row>
    <row r="221" spans="1:10" x14ac:dyDescent="0.25">
      <c r="A221" s="1">
        <v>12</v>
      </c>
      <c r="B221" t="s">
        <v>26</v>
      </c>
      <c r="C221">
        <v>635</v>
      </c>
      <c r="D221">
        <v>1</v>
      </c>
      <c r="E221" t="s">
        <v>27</v>
      </c>
      <c r="F221" t="s">
        <v>28</v>
      </c>
      <c r="G221" t="str">
        <f>"2026-04-20 06:10:57.411"</f>
        <v>2026-04-20 06:10:57.411</v>
      </c>
      <c r="H221" t="s">
        <v>21</v>
      </c>
    </row>
    <row r="222" spans="1:10" x14ac:dyDescent="0.25">
      <c r="A222" s="1">
        <v>13</v>
      </c>
      <c r="B222" t="s">
        <v>29</v>
      </c>
      <c r="C222">
        <v>635</v>
      </c>
      <c r="D222">
        <v>1</v>
      </c>
      <c r="E222" t="s">
        <v>27</v>
      </c>
      <c r="F222" t="s">
        <v>28</v>
      </c>
      <c r="G222" t="str">
        <f>"2026-04-20 06:08:33.911"</f>
        <v>2026-04-20 06:08:33.911</v>
      </c>
      <c r="H222" t="s">
        <v>21</v>
      </c>
      <c r="I222">
        <v>0.04</v>
      </c>
      <c r="J222" t="s">
        <v>34</v>
      </c>
    </row>
    <row r="223" spans="1:10" x14ac:dyDescent="0.25">
      <c r="A223" s="1">
        <v>14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"2026-04-19 15:05:46.576"</f>
        <v>2026-04-19 15:05:46.576</v>
      </c>
      <c r="H223" t="s">
        <v>21</v>
      </c>
      <c r="I223">
        <v>0</v>
      </c>
      <c r="J223" t="s">
        <v>22</v>
      </c>
    </row>
    <row r="224" spans="1:10" x14ac:dyDescent="0.25">
      <c r="A224" s="1">
        <v>15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"2026-04-19 02:56:33.574"</f>
        <v>2026-04-19 02:56:33.574</v>
      </c>
      <c r="H224" t="s">
        <v>21</v>
      </c>
      <c r="I224">
        <v>0</v>
      </c>
      <c r="J224" t="s">
        <v>22</v>
      </c>
    </row>
    <row r="225" spans="1:10" x14ac:dyDescent="0.25">
      <c r="A225" s="1">
        <v>16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"2026-04-17 22:19:03.574"</f>
        <v>2026-04-17 22:19:03.574</v>
      </c>
      <c r="H225" t="s">
        <v>21</v>
      </c>
      <c r="I225">
        <v>0</v>
      </c>
      <c r="J225" t="s">
        <v>22</v>
      </c>
    </row>
    <row r="226" spans="1:10" x14ac:dyDescent="0.25">
      <c r="A226" s="1">
        <v>17</v>
      </c>
      <c r="B226" t="s">
        <v>26</v>
      </c>
      <c r="C226">
        <v>635</v>
      </c>
      <c r="D226">
        <v>1</v>
      </c>
      <c r="E226" t="s">
        <v>27</v>
      </c>
      <c r="F226" t="s">
        <v>28</v>
      </c>
      <c r="G226" t="str">
        <f>"2026-04-17 17:39:02.745"</f>
        <v>2026-04-17 17:39:02.745</v>
      </c>
      <c r="H226" t="s">
        <v>21</v>
      </c>
    </row>
    <row r="227" spans="1:10" x14ac:dyDescent="0.25">
      <c r="A227" s="1">
        <v>18</v>
      </c>
      <c r="B227" t="s">
        <v>29</v>
      </c>
      <c r="C227">
        <v>635</v>
      </c>
      <c r="D227">
        <v>1</v>
      </c>
      <c r="E227" t="s">
        <v>27</v>
      </c>
      <c r="F227" t="s">
        <v>28</v>
      </c>
      <c r="G227" t="str">
        <f>"2026-04-17 17:30:32.245"</f>
        <v>2026-04-17 17:30:32.245</v>
      </c>
      <c r="H227" t="s">
        <v>21</v>
      </c>
      <c r="I227">
        <v>5.23</v>
      </c>
      <c r="J227" t="s">
        <v>38</v>
      </c>
    </row>
    <row r="228" spans="1:10" x14ac:dyDescent="0.25">
      <c r="A228" s="1">
        <v>19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"2026-04-16 13:55:09.605"</f>
        <v>2026-04-16 13:55:09.605</v>
      </c>
      <c r="H228" t="s">
        <v>21</v>
      </c>
    </row>
    <row r="229" spans="1:10" x14ac:dyDescent="0.25">
      <c r="A229" s="1">
        <v>20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"2026-04-16 02:00:51.603"</f>
        <v>2026-04-16 02:00:51.603</v>
      </c>
      <c r="H229" t="s">
        <v>21</v>
      </c>
    </row>
    <row r="230" spans="1:10" x14ac:dyDescent="0.25">
      <c r="A230" s="1">
        <v>21</v>
      </c>
      <c r="B230" t="s">
        <v>19</v>
      </c>
      <c r="C230">
        <v>706</v>
      </c>
      <c r="D230">
        <v>4</v>
      </c>
      <c r="E230" t="s">
        <v>23</v>
      </c>
      <c r="F230" t="s">
        <v>24</v>
      </c>
      <c r="G230" t="str">
        <f>"2026-04-15 17:07:15.661"</f>
        <v>2026-04-15 17:07:15.661</v>
      </c>
      <c r="H230" t="s">
        <v>21</v>
      </c>
      <c r="I230">
        <v>0</v>
      </c>
      <c r="J230" t="s">
        <v>25</v>
      </c>
    </row>
    <row r="231" spans="1:10" x14ac:dyDescent="0.25">
      <c r="A231" s="1">
        <v>22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"2026-04-15 17:03:19.601"</f>
        <v>2026-04-15 17:03:19.601</v>
      </c>
      <c r="H231" t="s">
        <v>21</v>
      </c>
      <c r="I231">
        <v>0</v>
      </c>
      <c r="J231" t="s">
        <v>22</v>
      </c>
    </row>
    <row r="232" spans="1:10" x14ac:dyDescent="0.25">
      <c r="A232" s="1">
        <v>23</v>
      </c>
      <c r="B232" t="s">
        <v>26</v>
      </c>
      <c r="C232">
        <v>635</v>
      </c>
      <c r="D232">
        <v>1</v>
      </c>
      <c r="E232" t="s">
        <v>27</v>
      </c>
      <c r="F232" t="s">
        <v>28</v>
      </c>
      <c r="G232" t="str">
        <f>"2026-04-15 11:44:12.085"</f>
        <v>2026-04-15 11:44:12.085</v>
      </c>
      <c r="H232" t="s">
        <v>21</v>
      </c>
    </row>
    <row r="233" spans="1:10" x14ac:dyDescent="0.25">
      <c r="A233" s="1">
        <v>24</v>
      </c>
      <c r="B233" t="s">
        <v>29</v>
      </c>
      <c r="C233">
        <v>635</v>
      </c>
      <c r="D233">
        <v>1</v>
      </c>
      <c r="E233" t="s">
        <v>27</v>
      </c>
      <c r="F233" t="s">
        <v>28</v>
      </c>
      <c r="G233" t="str">
        <f>"2026-04-15 11:40:44.185"</f>
        <v>2026-04-15 11:40:44.185</v>
      </c>
      <c r="H233" t="s">
        <v>21</v>
      </c>
      <c r="I233">
        <v>0.59</v>
      </c>
      <c r="J233" t="s">
        <v>38</v>
      </c>
    </row>
    <row r="234" spans="1:10" x14ac:dyDescent="0.25">
      <c r="A234" s="1">
        <v>25</v>
      </c>
      <c r="B234" t="s">
        <v>26</v>
      </c>
      <c r="C234">
        <v>61</v>
      </c>
      <c r="D234">
        <v>2</v>
      </c>
      <c r="E234" t="s">
        <v>47</v>
      </c>
      <c r="F234" t="s">
        <v>48</v>
      </c>
      <c r="G234" t="str">
        <f>"2026-04-15 07:30:49.198"</f>
        <v>2026-04-15 07:30:49.198</v>
      </c>
      <c r="H234" t="s">
        <v>21</v>
      </c>
    </row>
    <row r="235" spans="1:10" x14ac:dyDescent="0.25">
      <c r="A235" s="1">
        <v>26</v>
      </c>
      <c r="B235" t="s">
        <v>45</v>
      </c>
      <c r="C235">
        <v>61</v>
      </c>
      <c r="D235">
        <v>2</v>
      </c>
      <c r="E235" t="s">
        <v>47</v>
      </c>
      <c r="F235" t="s">
        <v>48</v>
      </c>
      <c r="G235" t="str">
        <f>"2026-04-15 07:30:37.298"</f>
        <v>2026-04-15 07:30:37.298</v>
      </c>
      <c r="H235" t="s">
        <v>21</v>
      </c>
      <c r="I235">
        <v>29.47</v>
      </c>
      <c r="J235" t="s">
        <v>30</v>
      </c>
    </row>
    <row r="236" spans="1:10" x14ac:dyDescent="0.25">
      <c r="A236" s="1">
        <v>27</v>
      </c>
      <c r="B236" t="s">
        <v>26</v>
      </c>
      <c r="C236">
        <v>635</v>
      </c>
      <c r="D236">
        <v>1</v>
      </c>
      <c r="E236" t="s">
        <v>27</v>
      </c>
      <c r="F236" t="s">
        <v>28</v>
      </c>
      <c r="G236" t="str">
        <f>"2026-04-14 21:28:21.485"</f>
        <v>2026-04-14 21:28:21.485</v>
      </c>
      <c r="H236" t="s">
        <v>21</v>
      </c>
    </row>
    <row r="237" spans="1:10" x14ac:dyDescent="0.25">
      <c r="A237" s="1">
        <v>28</v>
      </c>
      <c r="B237" t="s">
        <v>29</v>
      </c>
      <c r="C237">
        <v>635</v>
      </c>
      <c r="D237">
        <v>1</v>
      </c>
      <c r="E237" t="s">
        <v>27</v>
      </c>
      <c r="F237" t="s">
        <v>28</v>
      </c>
      <c r="G237" t="str">
        <f>"2026-04-14 21:24:41.485"</f>
        <v>2026-04-14 21:24:41.485</v>
      </c>
      <c r="H237" t="s">
        <v>21</v>
      </c>
      <c r="I237">
        <v>7.78</v>
      </c>
      <c r="J237" t="s">
        <v>38</v>
      </c>
    </row>
    <row r="238" spans="1:10" x14ac:dyDescent="0.25">
      <c r="A238" s="1">
        <v>29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"2026-04-14 14:05:10.557"</f>
        <v>2026-04-14 14:05:10.557</v>
      </c>
      <c r="H238" t="s">
        <v>21</v>
      </c>
      <c r="I238">
        <v>0</v>
      </c>
      <c r="J238" t="s">
        <v>22</v>
      </c>
    </row>
    <row r="239" spans="1:10" x14ac:dyDescent="0.25">
      <c r="A239" s="1">
        <v>30</v>
      </c>
      <c r="B239" t="s">
        <v>26</v>
      </c>
      <c r="C239">
        <v>635</v>
      </c>
      <c r="D239">
        <v>1</v>
      </c>
      <c r="E239" t="s">
        <v>27</v>
      </c>
      <c r="F239" t="s">
        <v>28</v>
      </c>
      <c r="G239" t="str">
        <f>"2026-04-14 11:49:28.340"</f>
        <v>2026-04-14 11:49:28.340</v>
      </c>
      <c r="H239" t="s">
        <v>21</v>
      </c>
    </row>
    <row r="240" spans="1:10" x14ac:dyDescent="0.25">
      <c r="A240" s="1">
        <v>31</v>
      </c>
      <c r="B240" t="s">
        <v>29</v>
      </c>
      <c r="C240">
        <v>635</v>
      </c>
      <c r="D240">
        <v>1</v>
      </c>
      <c r="E240" t="s">
        <v>27</v>
      </c>
      <c r="F240" t="s">
        <v>28</v>
      </c>
      <c r="G240" t="str">
        <f>"2026-04-14 11:47:25.840"</f>
        <v>2026-04-14 11:47:25.840</v>
      </c>
      <c r="H240" t="s">
        <v>21</v>
      </c>
      <c r="I240">
        <v>4.25</v>
      </c>
      <c r="J240" t="s">
        <v>38</v>
      </c>
    </row>
    <row r="241" spans="1:10" x14ac:dyDescent="0.25">
      <c r="A241" s="1">
        <v>32</v>
      </c>
      <c r="B241" t="s">
        <v>26</v>
      </c>
      <c r="C241">
        <v>635</v>
      </c>
      <c r="D241">
        <v>1</v>
      </c>
      <c r="E241" t="s">
        <v>27</v>
      </c>
      <c r="F241" t="s">
        <v>28</v>
      </c>
      <c r="G241" t="str">
        <f>"2026-04-14 02:32:13.540"</f>
        <v>2026-04-14 02:32:13.540</v>
      </c>
      <c r="H241" t="s">
        <v>21</v>
      </c>
    </row>
    <row r="242" spans="1:10" x14ac:dyDescent="0.25">
      <c r="A242" s="1">
        <v>33</v>
      </c>
      <c r="B242" t="s">
        <v>29</v>
      </c>
      <c r="C242">
        <v>635</v>
      </c>
      <c r="D242">
        <v>1</v>
      </c>
      <c r="E242" t="s">
        <v>27</v>
      </c>
      <c r="F242" t="s">
        <v>28</v>
      </c>
      <c r="G242" t="str">
        <f>"2026-04-14 02:21:02.540"</f>
        <v>2026-04-14 02:21:02.540</v>
      </c>
      <c r="H242" t="s">
        <v>21</v>
      </c>
      <c r="I242">
        <v>2.65</v>
      </c>
      <c r="J242" t="s">
        <v>34</v>
      </c>
    </row>
    <row r="243" spans="1:10" x14ac:dyDescent="0.25">
      <c r="A243" s="1">
        <v>34</v>
      </c>
      <c r="B243" t="s">
        <v>26</v>
      </c>
      <c r="C243">
        <v>635</v>
      </c>
      <c r="D243">
        <v>1</v>
      </c>
      <c r="E243" t="s">
        <v>27</v>
      </c>
      <c r="F243" t="s">
        <v>28</v>
      </c>
      <c r="G243" t="str">
        <f>"2026-04-13 16:58:15.240"</f>
        <v>2026-04-13 16:58:15.240</v>
      </c>
      <c r="H243" t="s">
        <v>21</v>
      </c>
    </row>
    <row r="244" spans="1:10" x14ac:dyDescent="0.25">
      <c r="A244" s="1">
        <v>35</v>
      </c>
      <c r="B244" t="s">
        <v>29</v>
      </c>
      <c r="C244">
        <v>635</v>
      </c>
      <c r="D244">
        <v>1</v>
      </c>
      <c r="E244" t="s">
        <v>27</v>
      </c>
      <c r="F244" t="s">
        <v>28</v>
      </c>
      <c r="G244" t="str">
        <f>"2026-04-13 16:47:25.340"</f>
        <v>2026-04-13 16:47:25.340</v>
      </c>
      <c r="H244" t="s">
        <v>21</v>
      </c>
      <c r="I244">
        <v>2.93</v>
      </c>
      <c r="J244" t="s">
        <v>38</v>
      </c>
    </row>
    <row r="245" spans="1:10" x14ac:dyDescent="0.25">
      <c r="A245" s="1">
        <v>36</v>
      </c>
      <c r="B245" t="s">
        <v>26</v>
      </c>
      <c r="C245">
        <v>61</v>
      </c>
      <c r="D245">
        <v>2</v>
      </c>
      <c r="E245" t="s">
        <v>47</v>
      </c>
      <c r="F245" t="s">
        <v>48</v>
      </c>
      <c r="G245" t="str">
        <f>"2026-04-13 07:35:12.640"</f>
        <v>2026-04-13 07:35:12.640</v>
      </c>
      <c r="H245" t="s">
        <v>21</v>
      </c>
    </row>
    <row r="246" spans="1:10" x14ac:dyDescent="0.25">
      <c r="A246" s="1">
        <v>37</v>
      </c>
      <c r="B246" t="s">
        <v>45</v>
      </c>
      <c r="C246">
        <v>61</v>
      </c>
      <c r="D246">
        <v>2</v>
      </c>
      <c r="E246" t="s">
        <v>47</v>
      </c>
      <c r="F246" t="s">
        <v>48</v>
      </c>
      <c r="G246" t="str">
        <f>"2026-04-13 07:35:00.841"</f>
        <v>2026-04-13 07:35:00.841</v>
      </c>
      <c r="H246" t="s">
        <v>21</v>
      </c>
      <c r="I246">
        <v>29.15</v>
      </c>
      <c r="J246" t="s">
        <v>30</v>
      </c>
    </row>
    <row r="247" spans="1:10" x14ac:dyDescent="0.25">
      <c r="A247" s="1">
        <v>38</v>
      </c>
      <c r="B247" t="s">
        <v>26</v>
      </c>
      <c r="C247">
        <v>635</v>
      </c>
      <c r="D247">
        <v>1</v>
      </c>
      <c r="E247" t="s">
        <v>27</v>
      </c>
      <c r="F247" t="s">
        <v>28</v>
      </c>
      <c r="G247" t="str">
        <f>"2026-04-13 07:24:59.040"</f>
        <v>2026-04-13 07:24:59.040</v>
      </c>
      <c r="H247" t="s">
        <v>21</v>
      </c>
    </row>
    <row r="248" spans="1:10" x14ac:dyDescent="0.25">
      <c r="A248" s="1">
        <v>39</v>
      </c>
      <c r="B248" t="s">
        <v>29</v>
      </c>
      <c r="C248">
        <v>635</v>
      </c>
      <c r="D248">
        <v>1</v>
      </c>
      <c r="E248" t="s">
        <v>27</v>
      </c>
      <c r="F248" t="s">
        <v>28</v>
      </c>
      <c r="G248" t="str">
        <f>"2026-04-13 07:21:23.540"</f>
        <v>2026-04-13 07:21:23.540</v>
      </c>
      <c r="H248" t="s">
        <v>21</v>
      </c>
      <c r="I248">
        <v>6.81</v>
      </c>
      <c r="J248" t="s">
        <v>38</v>
      </c>
    </row>
    <row r="249" spans="1:10" x14ac:dyDescent="0.25">
      <c r="A249" s="1">
        <v>40</v>
      </c>
      <c r="B249" t="s">
        <v>26</v>
      </c>
      <c r="C249">
        <v>635</v>
      </c>
      <c r="D249">
        <v>1</v>
      </c>
      <c r="E249" t="s">
        <v>27</v>
      </c>
      <c r="F249" t="s">
        <v>28</v>
      </c>
      <c r="G249" t="str">
        <f>"2026-04-12 23:39:42.540"</f>
        <v>2026-04-12 23:39:42.540</v>
      </c>
      <c r="H249" t="s">
        <v>21</v>
      </c>
    </row>
    <row r="250" spans="1:10" x14ac:dyDescent="0.25">
      <c r="A250" s="1">
        <v>41</v>
      </c>
      <c r="B250" t="s">
        <v>29</v>
      </c>
      <c r="C250">
        <v>635</v>
      </c>
      <c r="D250">
        <v>1</v>
      </c>
      <c r="E250" t="s">
        <v>27</v>
      </c>
      <c r="F250" t="s">
        <v>28</v>
      </c>
      <c r="G250" t="str">
        <f>"2026-04-12 23:33:58.540"</f>
        <v>2026-04-12 23:33:58.540</v>
      </c>
      <c r="H250" t="s">
        <v>21</v>
      </c>
      <c r="I250">
        <v>6.55</v>
      </c>
      <c r="J250" t="s">
        <v>38</v>
      </c>
    </row>
    <row r="251" spans="1:10" x14ac:dyDescent="0.25">
      <c r="A251" s="1">
        <v>42</v>
      </c>
      <c r="B251" t="s">
        <v>26</v>
      </c>
      <c r="C251">
        <v>635</v>
      </c>
      <c r="D251">
        <v>1</v>
      </c>
      <c r="E251" t="s">
        <v>27</v>
      </c>
      <c r="F251" t="s">
        <v>28</v>
      </c>
      <c r="G251" t="str">
        <f>"2026-04-12 17:46:10.340"</f>
        <v>2026-04-12 17:46:10.340</v>
      </c>
      <c r="H251" t="s">
        <v>21</v>
      </c>
    </row>
    <row r="252" spans="1:10" x14ac:dyDescent="0.25">
      <c r="A252" s="1">
        <v>43</v>
      </c>
      <c r="B252" t="s">
        <v>29</v>
      </c>
      <c r="C252">
        <v>635</v>
      </c>
      <c r="D252">
        <v>1</v>
      </c>
      <c r="E252" t="s">
        <v>27</v>
      </c>
      <c r="F252" t="s">
        <v>28</v>
      </c>
      <c r="G252" t="str">
        <f>"2026-04-12 17:42:31.840"</f>
        <v>2026-04-12 17:42:31.840</v>
      </c>
      <c r="H252" t="s">
        <v>21</v>
      </c>
      <c r="I252">
        <v>3.69</v>
      </c>
      <c r="J252" t="s">
        <v>38</v>
      </c>
    </row>
    <row r="253" spans="1:10" x14ac:dyDescent="0.25">
      <c r="A253" s="1">
        <v>44</v>
      </c>
      <c r="B253" t="s">
        <v>26</v>
      </c>
      <c r="C253">
        <v>635</v>
      </c>
      <c r="D253">
        <v>1</v>
      </c>
      <c r="E253" t="s">
        <v>27</v>
      </c>
      <c r="F253" t="s">
        <v>28</v>
      </c>
      <c r="G253" t="str">
        <f>"2026-04-12 17:33:35.340"</f>
        <v>2026-04-12 17:33:35.340</v>
      </c>
      <c r="H253" t="s">
        <v>21</v>
      </c>
    </row>
    <row r="254" spans="1:10" x14ac:dyDescent="0.25">
      <c r="A254" s="1">
        <v>45</v>
      </c>
      <c r="B254" t="s">
        <v>29</v>
      </c>
      <c r="C254">
        <v>635</v>
      </c>
      <c r="D254">
        <v>1</v>
      </c>
      <c r="E254" t="s">
        <v>27</v>
      </c>
      <c r="F254" t="s">
        <v>28</v>
      </c>
      <c r="G254" t="str">
        <f>"2026-04-12 17:29:38.340"</f>
        <v>2026-04-12 17:29:38.340</v>
      </c>
      <c r="H254" t="s">
        <v>21</v>
      </c>
      <c r="I254">
        <v>6.62</v>
      </c>
      <c r="J254" t="s">
        <v>38</v>
      </c>
    </row>
    <row r="255" spans="1:10" x14ac:dyDescent="0.25">
      <c r="A255" s="1">
        <v>46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"2026-04-11 13:55:38.729"</f>
        <v>2026-04-11 13:55:38.729</v>
      </c>
      <c r="H255" t="s">
        <v>21</v>
      </c>
      <c r="I255">
        <v>0</v>
      </c>
      <c r="J255" t="s">
        <v>22</v>
      </c>
    </row>
    <row r="256" spans="1:10" x14ac:dyDescent="0.25">
      <c r="A256" s="1">
        <v>47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"2026-04-11 10:48:20.555"</f>
        <v>2026-04-11 10:48:20.555</v>
      </c>
      <c r="H256" t="s">
        <v>21</v>
      </c>
    </row>
    <row r="257" spans="1:10" x14ac:dyDescent="0.25">
      <c r="A257" s="1">
        <v>48</v>
      </c>
      <c r="B257" t="s">
        <v>19</v>
      </c>
      <c r="C257">
        <v>706</v>
      </c>
      <c r="D257">
        <v>2</v>
      </c>
      <c r="E257" t="s">
        <v>23</v>
      </c>
      <c r="F257" t="s">
        <v>46</v>
      </c>
      <c r="G257" t="str">
        <f>"2026-04-11 10:32:50.494"</f>
        <v>2026-04-11 10:32:50.494</v>
      </c>
      <c r="H257" t="s">
        <v>21</v>
      </c>
      <c r="I257">
        <v>0</v>
      </c>
      <c r="J257" t="s">
        <v>25</v>
      </c>
    </row>
    <row r="258" spans="1:10" x14ac:dyDescent="0.25">
      <c r="A258" s="1">
        <v>49</v>
      </c>
      <c r="B258" t="s">
        <v>19</v>
      </c>
      <c r="C258">
        <v>706</v>
      </c>
      <c r="D258">
        <v>2</v>
      </c>
      <c r="E258" t="s">
        <v>23</v>
      </c>
      <c r="F258" t="s">
        <v>46</v>
      </c>
      <c r="G258" t="str">
        <f>"2026-04-11 10:19:37.494"</f>
        <v>2026-04-11 10:19:37.494</v>
      </c>
      <c r="H258" t="s">
        <v>21</v>
      </c>
      <c r="I258">
        <v>0</v>
      </c>
      <c r="J258" t="s">
        <v>25</v>
      </c>
    </row>
    <row r="259" spans="1:10" x14ac:dyDescent="0.25">
      <c r="A259" s="1">
        <v>50</v>
      </c>
      <c r="B259" t="s">
        <v>19</v>
      </c>
      <c r="C259">
        <v>706</v>
      </c>
      <c r="D259">
        <v>2</v>
      </c>
      <c r="E259" t="s">
        <v>23</v>
      </c>
      <c r="F259" t="s">
        <v>46</v>
      </c>
      <c r="G259" t="str">
        <f>"2026-04-11 10:10:42.494"</f>
        <v>2026-04-11 10:10:42.494</v>
      </c>
      <c r="H259" t="s">
        <v>21</v>
      </c>
      <c r="I259">
        <v>0</v>
      </c>
      <c r="J259" t="s">
        <v>25</v>
      </c>
    </row>
    <row r="260" spans="1:10" x14ac:dyDescent="0.25">
      <c r="A260" s="1">
        <v>51</v>
      </c>
      <c r="B260" t="s">
        <v>19</v>
      </c>
      <c r="C260">
        <v>706</v>
      </c>
      <c r="D260">
        <v>4</v>
      </c>
      <c r="E260" t="s">
        <v>23</v>
      </c>
      <c r="F260" t="s">
        <v>24</v>
      </c>
      <c r="G260" t="str">
        <f>"2026-04-11 10:09:33.664"</f>
        <v>2026-04-11 10:09:33.664</v>
      </c>
      <c r="H260" t="s">
        <v>21</v>
      </c>
      <c r="I260">
        <v>0</v>
      </c>
      <c r="J260" t="s">
        <v>25</v>
      </c>
    </row>
    <row r="261" spans="1:10" x14ac:dyDescent="0.25">
      <c r="A261" s="1">
        <v>52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"2026-04-11 10:01:58.554"</f>
        <v>2026-04-11 10:01:58.554</v>
      </c>
      <c r="H261" t="s">
        <v>21</v>
      </c>
      <c r="I261">
        <v>0</v>
      </c>
      <c r="J261" t="s">
        <v>22</v>
      </c>
    </row>
    <row r="262" spans="1:10" x14ac:dyDescent="0.25">
      <c r="A262" s="1">
        <v>53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"2026-04-11 09:03:31.555"</f>
        <v>2026-04-11 09:03:31.555</v>
      </c>
      <c r="H262" t="s">
        <v>21</v>
      </c>
      <c r="I262">
        <v>0</v>
      </c>
      <c r="J262" t="s">
        <v>22</v>
      </c>
    </row>
    <row r="263" spans="1:10" x14ac:dyDescent="0.25">
      <c r="A263" s="1">
        <v>54</v>
      </c>
      <c r="B263" t="s">
        <v>26</v>
      </c>
      <c r="C263">
        <v>635</v>
      </c>
      <c r="D263">
        <v>1</v>
      </c>
      <c r="E263" t="s">
        <v>27</v>
      </c>
      <c r="F263" t="s">
        <v>28</v>
      </c>
      <c r="G263" t="str">
        <f>"2026-04-10 14:13:46.897"</f>
        <v>2026-04-10 14:13:46.897</v>
      </c>
      <c r="H263" t="s">
        <v>21</v>
      </c>
    </row>
    <row r="264" spans="1:10" x14ac:dyDescent="0.25">
      <c r="A264" s="1">
        <v>55</v>
      </c>
      <c r="B264" t="s">
        <v>29</v>
      </c>
      <c r="C264">
        <v>635</v>
      </c>
      <c r="D264">
        <v>1</v>
      </c>
      <c r="E264" t="s">
        <v>27</v>
      </c>
      <c r="F264" t="s">
        <v>28</v>
      </c>
      <c r="G264" t="str">
        <f>"2026-04-10 14:08:04.497"</f>
        <v>2026-04-10 14:08:04.497</v>
      </c>
      <c r="H264" t="s">
        <v>21</v>
      </c>
      <c r="I264">
        <v>5.8</v>
      </c>
      <c r="J264" t="s">
        <v>38</v>
      </c>
    </row>
    <row r="265" spans="1:10" x14ac:dyDescent="0.25">
      <c r="A265" s="1">
        <v>56</v>
      </c>
      <c r="B265" t="s">
        <v>26</v>
      </c>
      <c r="C265">
        <v>61</v>
      </c>
      <c r="D265">
        <v>2</v>
      </c>
      <c r="E265" t="s">
        <v>47</v>
      </c>
      <c r="F265" t="s">
        <v>48</v>
      </c>
      <c r="G265" t="str">
        <f>"2026-04-10 07:35:41.798"</f>
        <v>2026-04-10 07:35:41.798</v>
      </c>
      <c r="H265" t="s">
        <v>21</v>
      </c>
    </row>
    <row r="266" spans="1:10" x14ac:dyDescent="0.25">
      <c r="A266" s="1">
        <v>57</v>
      </c>
      <c r="B266" t="s">
        <v>45</v>
      </c>
      <c r="C266">
        <v>61</v>
      </c>
      <c r="D266">
        <v>2</v>
      </c>
      <c r="E266" t="s">
        <v>47</v>
      </c>
      <c r="F266" t="s">
        <v>48</v>
      </c>
      <c r="G266" t="str">
        <f>"2026-04-10 07:35:29.098"</f>
        <v>2026-04-10 07:35:29.098</v>
      </c>
      <c r="H266" t="s">
        <v>21</v>
      </c>
      <c r="I266">
        <v>30.34</v>
      </c>
      <c r="J266" t="s">
        <v>30</v>
      </c>
    </row>
    <row r="267" spans="1:10" x14ac:dyDescent="0.25">
      <c r="A267" s="1">
        <v>58</v>
      </c>
      <c r="B267" t="s">
        <v>26</v>
      </c>
      <c r="C267">
        <v>619</v>
      </c>
      <c r="D267">
        <v>1</v>
      </c>
      <c r="E267" t="s">
        <v>31</v>
      </c>
      <c r="F267" t="s">
        <v>28</v>
      </c>
      <c r="G267" t="str">
        <f>"2026-04-10 01:05:10.697"</f>
        <v>2026-04-10 01:05:10.697</v>
      </c>
      <c r="H267" t="s">
        <v>32</v>
      </c>
    </row>
    <row r="268" spans="1:10" x14ac:dyDescent="0.25">
      <c r="A268" s="1">
        <v>59</v>
      </c>
      <c r="B268" t="s">
        <v>29</v>
      </c>
      <c r="C268">
        <v>619</v>
      </c>
      <c r="D268">
        <v>1</v>
      </c>
      <c r="E268" t="s">
        <v>31</v>
      </c>
      <c r="F268" t="s">
        <v>28</v>
      </c>
      <c r="G268" t="str">
        <f>"2026-04-10 01:05:04.044"</f>
        <v>2026-04-10 01:05:04.044</v>
      </c>
      <c r="H268" t="s">
        <v>32</v>
      </c>
      <c r="I268">
        <v>0</v>
      </c>
      <c r="J268" t="s">
        <v>25</v>
      </c>
    </row>
    <row r="269" spans="1:10" x14ac:dyDescent="0.25">
      <c r="A269" s="1">
        <v>60</v>
      </c>
      <c r="B269" t="s">
        <v>19</v>
      </c>
      <c r="C269">
        <v>706</v>
      </c>
      <c r="D269">
        <v>4</v>
      </c>
      <c r="E269" t="s">
        <v>23</v>
      </c>
      <c r="F269" t="s">
        <v>24</v>
      </c>
      <c r="G269" t="str">
        <f>"2026-04-10 01:04:50.637"</f>
        <v>2026-04-10 01:04:50.637</v>
      </c>
      <c r="H269" t="s">
        <v>21</v>
      </c>
      <c r="I269">
        <v>0</v>
      </c>
      <c r="J269" t="s">
        <v>25</v>
      </c>
    </row>
    <row r="270" spans="1:10" x14ac:dyDescent="0.25">
      <c r="A270" s="1">
        <v>61</v>
      </c>
      <c r="B270" t="s">
        <v>19</v>
      </c>
      <c r="C270">
        <v>706</v>
      </c>
      <c r="D270">
        <v>3</v>
      </c>
      <c r="E270" t="s">
        <v>23</v>
      </c>
      <c r="F270" t="s">
        <v>35</v>
      </c>
      <c r="G270" t="str">
        <f>"2026-04-10 01:04:41.887"</f>
        <v>2026-04-10 01:04:41.887</v>
      </c>
      <c r="H270" t="s">
        <v>21</v>
      </c>
      <c r="I270">
        <v>0</v>
      </c>
      <c r="J270" t="s">
        <v>25</v>
      </c>
    </row>
    <row r="271" spans="1:10" x14ac:dyDescent="0.25">
      <c r="A271" s="1">
        <v>62</v>
      </c>
      <c r="B271" t="s">
        <v>26</v>
      </c>
      <c r="C271">
        <v>619</v>
      </c>
      <c r="D271">
        <v>1</v>
      </c>
      <c r="E271" t="s">
        <v>31</v>
      </c>
      <c r="F271" t="s">
        <v>28</v>
      </c>
      <c r="G271" t="str">
        <f>"2026-04-10 01:04:16.597"</f>
        <v>2026-04-10 01:04:16.597</v>
      </c>
      <c r="H271" t="s">
        <v>32</v>
      </c>
    </row>
    <row r="272" spans="1:10" x14ac:dyDescent="0.25">
      <c r="A272" s="1">
        <v>63</v>
      </c>
      <c r="B272" t="s">
        <v>29</v>
      </c>
      <c r="C272">
        <v>619</v>
      </c>
      <c r="D272">
        <v>1</v>
      </c>
      <c r="E272" t="s">
        <v>31</v>
      </c>
      <c r="F272" t="s">
        <v>28</v>
      </c>
      <c r="G272" t="str">
        <f>"2026-04-10 01:04:03.744"</f>
        <v>2026-04-10 01:04:03.744</v>
      </c>
      <c r="H272" t="s">
        <v>32</v>
      </c>
      <c r="I272">
        <v>0</v>
      </c>
      <c r="J272" t="s">
        <v>34</v>
      </c>
    </row>
    <row r="273" spans="1:10" x14ac:dyDescent="0.25">
      <c r="A273" s="1">
        <v>64</v>
      </c>
      <c r="B273" t="s">
        <v>26</v>
      </c>
      <c r="C273">
        <v>635</v>
      </c>
      <c r="D273">
        <v>1</v>
      </c>
      <c r="E273" t="s">
        <v>27</v>
      </c>
      <c r="F273" t="s">
        <v>28</v>
      </c>
      <c r="G273" t="str">
        <f>"2026-04-10 00:11:02.097"</f>
        <v>2026-04-10 00:11:02.097</v>
      </c>
      <c r="H273" t="s">
        <v>21</v>
      </c>
    </row>
    <row r="274" spans="1:10" x14ac:dyDescent="0.25">
      <c r="A274" s="1">
        <v>65</v>
      </c>
      <c r="B274" t="s">
        <v>29</v>
      </c>
      <c r="C274">
        <v>635</v>
      </c>
      <c r="D274">
        <v>1</v>
      </c>
      <c r="E274" t="s">
        <v>27</v>
      </c>
      <c r="F274" t="s">
        <v>28</v>
      </c>
      <c r="G274" t="str">
        <f>"2026-04-10 00:07:16.097"</f>
        <v>2026-04-10 00:07:16.097</v>
      </c>
      <c r="H274" t="s">
        <v>21</v>
      </c>
      <c r="I274">
        <v>4.38</v>
      </c>
      <c r="J274" t="s">
        <v>38</v>
      </c>
    </row>
    <row r="275" spans="1:10" x14ac:dyDescent="0.25">
      <c r="A275" s="1">
        <v>66</v>
      </c>
      <c r="B275" t="s">
        <v>26</v>
      </c>
      <c r="C275">
        <v>635</v>
      </c>
      <c r="D275">
        <v>1</v>
      </c>
      <c r="E275" t="s">
        <v>27</v>
      </c>
      <c r="F275" t="s">
        <v>28</v>
      </c>
      <c r="G275" t="str">
        <f>"2026-04-09 07:23:15.797"</f>
        <v>2026-04-09 07:23:15.797</v>
      </c>
      <c r="H275" t="s">
        <v>21</v>
      </c>
    </row>
    <row r="276" spans="1:10" x14ac:dyDescent="0.25">
      <c r="A276" s="1">
        <v>67</v>
      </c>
      <c r="B276" t="s">
        <v>29</v>
      </c>
      <c r="C276">
        <v>635</v>
      </c>
      <c r="D276">
        <v>1</v>
      </c>
      <c r="E276" t="s">
        <v>27</v>
      </c>
      <c r="F276" t="s">
        <v>28</v>
      </c>
      <c r="G276" t="str">
        <f>"2026-04-09 07:19:53.797"</f>
        <v>2026-04-09 07:19:53.797</v>
      </c>
      <c r="H276" t="s">
        <v>21</v>
      </c>
      <c r="I276">
        <v>5.57</v>
      </c>
      <c r="J276" t="s">
        <v>38</v>
      </c>
    </row>
    <row r="277" spans="1:10" x14ac:dyDescent="0.25">
      <c r="A277" s="1">
        <v>70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"2026-04-08 21:45:13.537"</f>
        <v>2026-04-08 21:45:13.537</v>
      </c>
      <c r="H277" t="s">
        <v>21</v>
      </c>
    </row>
    <row r="278" spans="1:10" x14ac:dyDescent="0.25">
      <c r="A278" s="1">
        <v>72</v>
      </c>
      <c r="B278" t="s">
        <v>26</v>
      </c>
      <c r="C278">
        <v>635</v>
      </c>
      <c r="D278">
        <v>1</v>
      </c>
      <c r="E278" t="s">
        <v>27</v>
      </c>
      <c r="F278" t="s">
        <v>28</v>
      </c>
      <c r="G278" t="str">
        <f>"2026-04-07 12:18:49.496"</f>
        <v>2026-04-07 12:18:49.496</v>
      </c>
      <c r="H278" t="s">
        <v>21</v>
      </c>
    </row>
    <row r="279" spans="1:10" x14ac:dyDescent="0.25">
      <c r="A279" s="1">
        <v>73</v>
      </c>
      <c r="B279" t="s">
        <v>29</v>
      </c>
      <c r="C279">
        <v>635</v>
      </c>
      <c r="D279">
        <v>1</v>
      </c>
      <c r="E279" t="s">
        <v>27</v>
      </c>
      <c r="F279" t="s">
        <v>28</v>
      </c>
      <c r="G279" t="str">
        <f>"2026-04-07 12:11:04.997"</f>
        <v>2026-04-07 12:11:04.997</v>
      </c>
      <c r="H279" t="s">
        <v>21</v>
      </c>
      <c r="I279">
        <v>1.82</v>
      </c>
      <c r="J279" t="s">
        <v>38</v>
      </c>
    </row>
    <row r="280" spans="1:10" x14ac:dyDescent="0.25">
      <c r="A280" s="1">
        <v>74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"2026-04-07 05:01:55.547"</f>
        <v>2026-04-07 05:01:55.547</v>
      </c>
      <c r="H280" t="s">
        <v>21</v>
      </c>
    </row>
    <row r="281" spans="1:10" x14ac:dyDescent="0.25">
      <c r="A281" s="1">
        <v>75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"2026-04-07 04:25:43.563"</f>
        <v>2026-04-07 04:25:43.563</v>
      </c>
      <c r="H281" t="s">
        <v>21</v>
      </c>
    </row>
    <row r="282" spans="1:10" x14ac:dyDescent="0.25">
      <c r="A282" s="1">
        <v>76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"2026-04-07 01:22:58.554"</f>
        <v>2026-04-07 01:22:58.554</v>
      </c>
      <c r="H282" t="s">
        <v>21</v>
      </c>
      <c r="I282">
        <v>0</v>
      </c>
      <c r="J282" t="s">
        <v>22</v>
      </c>
    </row>
    <row r="283" spans="1:10" x14ac:dyDescent="0.25">
      <c r="A283" s="1">
        <v>77</v>
      </c>
      <c r="B283" t="s">
        <v>26</v>
      </c>
      <c r="C283">
        <v>619</v>
      </c>
      <c r="D283">
        <v>1</v>
      </c>
      <c r="E283" t="s">
        <v>31</v>
      </c>
      <c r="F283" t="s">
        <v>28</v>
      </c>
      <c r="G283" t="str">
        <f>"2026-04-07 01:20:16.804"</f>
        <v>2026-04-07 01:20:16.804</v>
      </c>
      <c r="H283" t="s">
        <v>32</v>
      </c>
    </row>
    <row r="284" spans="1:10" x14ac:dyDescent="0.25">
      <c r="A284" s="1">
        <v>78</v>
      </c>
      <c r="B284" t="s">
        <v>29</v>
      </c>
      <c r="C284">
        <v>619</v>
      </c>
      <c r="D284">
        <v>1</v>
      </c>
      <c r="E284" t="s">
        <v>31</v>
      </c>
      <c r="F284" t="s">
        <v>28</v>
      </c>
      <c r="G284" t="str">
        <f>"2026-04-07 01:20:10.104"</f>
        <v>2026-04-07 01:20:10.104</v>
      </c>
      <c r="H284" t="s">
        <v>32</v>
      </c>
      <c r="I284">
        <v>0</v>
      </c>
      <c r="J284" t="s">
        <v>34</v>
      </c>
    </row>
    <row r="285" spans="1:10" x14ac:dyDescent="0.25">
      <c r="A285" s="1">
        <v>79</v>
      </c>
      <c r="B285" t="s">
        <v>26</v>
      </c>
      <c r="C285">
        <v>635</v>
      </c>
      <c r="D285">
        <v>1</v>
      </c>
      <c r="E285" t="s">
        <v>27</v>
      </c>
      <c r="F285" t="s">
        <v>28</v>
      </c>
      <c r="G285" t="str">
        <f>"2026-04-07 00:22:33.004"</f>
        <v>2026-04-07 00:22:33.004</v>
      </c>
      <c r="H285" t="s">
        <v>21</v>
      </c>
    </row>
    <row r="286" spans="1:10" x14ac:dyDescent="0.25">
      <c r="A286" s="1">
        <v>80</v>
      </c>
      <c r="B286" t="s">
        <v>29</v>
      </c>
      <c r="C286">
        <v>635</v>
      </c>
      <c r="D286">
        <v>1</v>
      </c>
      <c r="E286" t="s">
        <v>27</v>
      </c>
      <c r="F286" t="s">
        <v>28</v>
      </c>
      <c r="G286" t="str">
        <f>"2026-04-07 00:17:18.005"</f>
        <v>2026-04-07 00:17:18.005</v>
      </c>
      <c r="H286" t="s">
        <v>21</v>
      </c>
      <c r="I286">
        <v>0.43</v>
      </c>
      <c r="J286" t="s">
        <v>38</v>
      </c>
    </row>
    <row r="287" spans="1:10" x14ac:dyDescent="0.25">
      <c r="A287" s="1">
        <v>81</v>
      </c>
      <c r="B287" t="s">
        <v>19</v>
      </c>
      <c r="C287">
        <v>706</v>
      </c>
      <c r="D287">
        <v>4</v>
      </c>
      <c r="E287" t="s">
        <v>23</v>
      </c>
      <c r="F287" t="s">
        <v>24</v>
      </c>
      <c r="G287" t="str">
        <f>"2026-04-06 23:12:11.355"</f>
        <v>2026-04-06 23:12:11.355</v>
      </c>
      <c r="H287" t="s">
        <v>21</v>
      </c>
      <c r="I287">
        <v>0</v>
      </c>
      <c r="J287" t="s">
        <v>25</v>
      </c>
    </row>
    <row r="288" spans="1:10" x14ac:dyDescent="0.25">
      <c r="A288" s="1">
        <v>82</v>
      </c>
      <c r="B288" t="s">
        <v>19</v>
      </c>
      <c r="C288">
        <v>706</v>
      </c>
      <c r="D288">
        <v>3</v>
      </c>
      <c r="E288" t="s">
        <v>23</v>
      </c>
      <c r="F288" t="s">
        <v>35</v>
      </c>
      <c r="G288" t="str">
        <f>"2026-04-06 23:12:02.465"</f>
        <v>2026-04-06 23:12:02.465</v>
      </c>
      <c r="H288" t="s">
        <v>21</v>
      </c>
      <c r="I288">
        <v>0</v>
      </c>
      <c r="J288" t="s">
        <v>25</v>
      </c>
    </row>
    <row r="289" spans="1:10" x14ac:dyDescent="0.25">
      <c r="A289" s="1">
        <v>83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"2026-04-06 23:11:46.535"</f>
        <v>2026-04-06 23:11:46.535</v>
      </c>
      <c r="H289" t="s">
        <v>21</v>
      </c>
      <c r="I289">
        <v>0</v>
      </c>
      <c r="J289" t="s">
        <v>22</v>
      </c>
    </row>
    <row r="290" spans="1:10" x14ac:dyDescent="0.25">
      <c r="A290" s="1">
        <v>84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"2026-04-06 23:09:03.574"</f>
        <v>2026-04-06 23:09:03.574</v>
      </c>
      <c r="H290" t="s">
        <v>21</v>
      </c>
    </row>
    <row r="291" spans="1:10" x14ac:dyDescent="0.25">
      <c r="A291" s="1">
        <v>85</v>
      </c>
      <c r="B291" t="s">
        <v>26</v>
      </c>
      <c r="C291">
        <v>635</v>
      </c>
      <c r="D291">
        <v>1</v>
      </c>
      <c r="E291" t="s">
        <v>27</v>
      </c>
      <c r="F291" t="s">
        <v>28</v>
      </c>
      <c r="G291" t="str">
        <f>"2026-04-06 19:34:06.535"</f>
        <v>2026-04-06 19:34:06.535</v>
      </c>
      <c r="H291" t="s">
        <v>21</v>
      </c>
    </row>
    <row r="292" spans="1:10" x14ac:dyDescent="0.25">
      <c r="A292" s="1">
        <v>86</v>
      </c>
      <c r="B292" t="s">
        <v>29</v>
      </c>
      <c r="C292">
        <v>635</v>
      </c>
      <c r="D292">
        <v>1</v>
      </c>
      <c r="E292" t="s">
        <v>27</v>
      </c>
      <c r="F292" t="s">
        <v>28</v>
      </c>
      <c r="G292" t="str">
        <f>"2026-04-06 19:30:11.036"</f>
        <v>2026-04-06 19:30:11.036</v>
      </c>
      <c r="H292" t="s">
        <v>21</v>
      </c>
      <c r="I292">
        <v>4.5599999999999996</v>
      </c>
      <c r="J292" t="s">
        <v>30</v>
      </c>
    </row>
    <row r="293" spans="1:10" x14ac:dyDescent="0.25">
      <c r="A293" s="1">
        <v>87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"2026-04-05 17:03:16.535"</f>
        <v>2026-04-05 17:03:16.535</v>
      </c>
      <c r="H293" t="s">
        <v>21</v>
      </c>
    </row>
    <row r="294" spans="1:10" x14ac:dyDescent="0.25">
      <c r="A294" s="1">
        <v>88</v>
      </c>
      <c r="B294" t="s">
        <v>19</v>
      </c>
      <c r="C294">
        <v>706</v>
      </c>
      <c r="D294">
        <v>4</v>
      </c>
      <c r="E294" t="s">
        <v>23</v>
      </c>
      <c r="F294" t="s">
        <v>24</v>
      </c>
      <c r="G294" t="str">
        <f>"2026-04-05 16:46:57.573"</f>
        <v>2026-04-05 16:46:57.573</v>
      </c>
      <c r="H294" t="s">
        <v>21</v>
      </c>
      <c r="I294">
        <v>0</v>
      </c>
      <c r="J294" t="s">
        <v>25</v>
      </c>
    </row>
    <row r="295" spans="1:10" x14ac:dyDescent="0.25">
      <c r="A295" s="1">
        <v>89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"2026-04-05 16:45:20.533"</f>
        <v>2026-04-05 16:45:20.533</v>
      </c>
      <c r="H295" t="s">
        <v>21</v>
      </c>
    </row>
    <row r="296" spans="1:10" x14ac:dyDescent="0.25">
      <c r="A296" s="1">
        <v>90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"2026-04-05 16:18:15.536"</f>
        <v>2026-04-05 16:18:15.536</v>
      </c>
      <c r="H296" t="s">
        <v>21</v>
      </c>
      <c r="I296">
        <v>0</v>
      </c>
      <c r="J296" t="s">
        <v>22</v>
      </c>
    </row>
    <row r="297" spans="1:10" x14ac:dyDescent="0.25">
      <c r="A297" s="1">
        <v>91</v>
      </c>
      <c r="B297" t="s">
        <v>19</v>
      </c>
      <c r="C297">
        <v>706</v>
      </c>
      <c r="D297">
        <v>2</v>
      </c>
      <c r="E297" t="s">
        <v>23</v>
      </c>
      <c r="F297" t="s">
        <v>46</v>
      </c>
      <c r="G297" t="str">
        <f>"2026-04-05 16:04:31.777"</f>
        <v>2026-04-05 16:04:31.777</v>
      </c>
      <c r="H297" t="s">
        <v>21</v>
      </c>
      <c r="I297">
        <v>0</v>
      </c>
      <c r="J297" t="s">
        <v>25</v>
      </c>
    </row>
    <row r="298" spans="1:10" x14ac:dyDescent="0.25">
      <c r="A298" s="1">
        <v>92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"2026-04-05 14:46:30.547"</f>
        <v>2026-04-05 14:46:30.547</v>
      </c>
      <c r="H298" t="s">
        <v>21</v>
      </c>
      <c r="I298">
        <v>0</v>
      </c>
      <c r="J298" t="s">
        <v>22</v>
      </c>
    </row>
    <row r="299" spans="1:10" x14ac:dyDescent="0.25">
      <c r="A299" s="1">
        <v>93</v>
      </c>
      <c r="B299" t="s">
        <v>19</v>
      </c>
      <c r="C299">
        <v>706</v>
      </c>
      <c r="D299">
        <v>3</v>
      </c>
      <c r="E299" t="s">
        <v>23</v>
      </c>
      <c r="F299" t="s">
        <v>35</v>
      </c>
      <c r="G299" t="str">
        <f>"2026-04-05 13:48:21.944"</f>
        <v>2026-04-05 13:48:21.944</v>
      </c>
      <c r="H299" t="s">
        <v>21</v>
      </c>
      <c r="I299">
        <v>0</v>
      </c>
      <c r="J299" t="s">
        <v>25</v>
      </c>
    </row>
    <row r="300" spans="1:10" x14ac:dyDescent="0.25">
      <c r="A300" s="1">
        <v>94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"2026-04-05 13:47:51.534"</f>
        <v>2026-04-05 13:47:51.534</v>
      </c>
      <c r="H300" t="s">
        <v>21</v>
      </c>
      <c r="I300">
        <v>0</v>
      </c>
      <c r="J300" t="s">
        <v>22</v>
      </c>
    </row>
    <row r="301" spans="1:10" x14ac:dyDescent="0.25">
      <c r="A301" s="1">
        <v>95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"2026-04-05 12:46:59.535"</f>
        <v>2026-04-05 12:46:59.535</v>
      </c>
      <c r="H301" t="s">
        <v>21</v>
      </c>
      <c r="I301">
        <v>0</v>
      </c>
      <c r="J301" t="s">
        <v>22</v>
      </c>
    </row>
    <row r="302" spans="1:10" x14ac:dyDescent="0.25">
      <c r="A302" s="1">
        <v>96</v>
      </c>
      <c r="B302" t="s">
        <v>26</v>
      </c>
      <c r="C302">
        <v>635</v>
      </c>
      <c r="D302">
        <v>1</v>
      </c>
      <c r="E302" t="s">
        <v>27</v>
      </c>
      <c r="F302" t="s">
        <v>28</v>
      </c>
      <c r="G302" t="str">
        <f>"2026-04-03 22:19:33.753"</f>
        <v>2026-04-03 22:19:33.753</v>
      </c>
      <c r="H302" t="s">
        <v>21</v>
      </c>
    </row>
    <row r="303" spans="1:10" x14ac:dyDescent="0.25">
      <c r="A303" s="1">
        <v>97</v>
      </c>
      <c r="B303" t="s">
        <v>29</v>
      </c>
      <c r="C303">
        <v>635</v>
      </c>
      <c r="D303">
        <v>1</v>
      </c>
      <c r="E303" t="s">
        <v>27</v>
      </c>
      <c r="F303" t="s">
        <v>28</v>
      </c>
      <c r="G303" t="str">
        <f>"2026-04-03 22:14:24.853"</f>
        <v>2026-04-03 22:14:24.853</v>
      </c>
      <c r="H303" t="s">
        <v>21</v>
      </c>
      <c r="I303">
        <v>0.28000000000000003</v>
      </c>
      <c r="J303" t="s">
        <v>38</v>
      </c>
    </row>
    <row r="304" spans="1:10" x14ac:dyDescent="0.25">
      <c r="A304" s="1">
        <v>98</v>
      </c>
      <c r="B304" t="s">
        <v>26</v>
      </c>
      <c r="C304">
        <v>635</v>
      </c>
      <c r="D304">
        <v>1</v>
      </c>
      <c r="E304" t="s">
        <v>27</v>
      </c>
      <c r="F304" t="s">
        <v>28</v>
      </c>
      <c r="G304" t="str">
        <f>"2026-04-03 21:13:46.953"</f>
        <v>2026-04-03 21:13:46.953</v>
      </c>
      <c r="H304" t="s">
        <v>21</v>
      </c>
    </row>
    <row r="305" spans="1:10" x14ac:dyDescent="0.25">
      <c r="A305" s="1">
        <v>99</v>
      </c>
      <c r="B305" t="s">
        <v>29</v>
      </c>
      <c r="C305">
        <v>635</v>
      </c>
      <c r="D305">
        <v>1</v>
      </c>
      <c r="E305" t="s">
        <v>27</v>
      </c>
      <c r="F305" t="s">
        <v>28</v>
      </c>
      <c r="G305" t="str">
        <f>"2026-04-03 21:08:15.453"</f>
        <v>2026-04-03 21:08:15.453</v>
      </c>
      <c r="H305" t="s">
        <v>21</v>
      </c>
      <c r="I305">
        <v>2.95</v>
      </c>
      <c r="J305" t="s">
        <v>34</v>
      </c>
    </row>
    <row r="306" spans="1:10" x14ac:dyDescent="0.25">
      <c r="A306" s="1">
        <v>0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"2026-04-02 00:19:40.533"</f>
        <v>2026-04-02 00:19:40.533</v>
      </c>
      <c r="H306" t="s">
        <v>21</v>
      </c>
      <c r="I306">
        <v>0</v>
      </c>
      <c r="J306" t="s">
        <v>22</v>
      </c>
    </row>
    <row r="307" spans="1:10" x14ac:dyDescent="0.25">
      <c r="A307" s="1">
        <v>1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"2026-04-02 00:09:55.526"</f>
        <v>2026-04-02 00:09:55.526</v>
      </c>
      <c r="H307" t="s">
        <v>21</v>
      </c>
      <c r="I307">
        <v>0</v>
      </c>
      <c r="J307" t="s">
        <v>22</v>
      </c>
    </row>
    <row r="308" spans="1:10" x14ac:dyDescent="0.25">
      <c r="A308" s="1">
        <v>2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"2026-04-01 23:59:20.525"</f>
        <v>2026-04-01 23:59:20.525</v>
      </c>
      <c r="H308" t="s">
        <v>21</v>
      </c>
    </row>
    <row r="309" spans="1:10" x14ac:dyDescent="0.25">
      <c r="A309" s="1">
        <v>3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"2026-04-01 23:54:58.517"</f>
        <v>2026-04-01 23:54:58.517</v>
      </c>
      <c r="H309" t="s">
        <v>21</v>
      </c>
      <c r="I309">
        <v>0</v>
      </c>
      <c r="J309" t="s">
        <v>22</v>
      </c>
    </row>
    <row r="310" spans="1:10" x14ac:dyDescent="0.25">
      <c r="A310" s="1">
        <v>4</v>
      </c>
      <c r="B310" t="s">
        <v>19</v>
      </c>
      <c r="C310">
        <v>706</v>
      </c>
      <c r="D310">
        <v>3</v>
      </c>
      <c r="E310" t="s">
        <v>23</v>
      </c>
      <c r="F310" t="s">
        <v>35</v>
      </c>
      <c r="G310" t="str">
        <f>"2026-04-01 23:48:44.331"</f>
        <v>2026-04-01 23:48:44.331</v>
      </c>
      <c r="H310" t="s">
        <v>21</v>
      </c>
      <c r="I310">
        <v>0</v>
      </c>
      <c r="J310" t="s">
        <v>25</v>
      </c>
    </row>
    <row r="311" spans="1:10" x14ac:dyDescent="0.25">
      <c r="A311" s="1">
        <v>5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"2026-04-01 23:47:15.541"</f>
        <v>2026-04-01 23:47:15.541</v>
      </c>
      <c r="H311" t="s">
        <v>21</v>
      </c>
      <c r="I311">
        <v>0</v>
      </c>
      <c r="J311" t="s">
        <v>22</v>
      </c>
    </row>
    <row r="312" spans="1:10" x14ac:dyDescent="0.25">
      <c r="A312" s="1">
        <v>6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"2026-04-01 23:05:49.532"</f>
        <v>2026-04-01 23:05:49.532</v>
      </c>
      <c r="H312" t="s">
        <v>21</v>
      </c>
    </row>
    <row r="313" spans="1:10" x14ac:dyDescent="0.25">
      <c r="A313" s="1">
        <v>7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"2026-04-01 22:47:28.658"</f>
        <v>2026-04-01 22:47:28.658</v>
      </c>
      <c r="H313" t="s">
        <v>21</v>
      </c>
    </row>
    <row r="314" spans="1:10" x14ac:dyDescent="0.25">
      <c r="A314" s="1">
        <v>8</v>
      </c>
      <c r="B314" t="s">
        <v>19</v>
      </c>
      <c r="C314">
        <v>706</v>
      </c>
      <c r="D314">
        <v>3</v>
      </c>
      <c r="E314" t="s">
        <v>23</v>
      </c>
      <c r="F314" t="s">
        <v>35</v>
      </c>
      <c r="G314" t="str">
        <f>"2026-04-01 22:45:26.544"</f>
        <v>2026-04-01 22:45:26.544</v>
      </c>
      <c r="H314" t="s">
        <v>21</v>
      </c>
      <c r="I314">
        <v>0</v>
      </c>
      <c r="J314" t="s">
        <v>25</v>
      </c>
    </row>
    <row r="315" spans="1:10" x14ac:dyDescent="0.25">
      <c r="A315" s="1">
        <v>9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"2026-04-01 19:37:23.544"</f>
        <v>2026-04-01 19:37:23.544</v>
      </c>
      <c r="H315" t="s">
        <v>21</v>
      </c>
    </row>
    <row r="316" spans="1:10" x14ac:dyDescent="0.25">
      <c r="A316" s="1">
        <v>10</v>
      </c>
      <c r="B316" t="s">
        <v>19</v>
      </c>
      <c r="C316">
        <v>706</v>
      </c>
      <c r="D316">
        <v>4</v>
      </c>
      <c r="E316" t="s">
        <v>23</v>
      </c>
      <c r="F316" t="s">
        <v>24</v>
      </c>
      <c r="G316" t="str">
        <f>"2026-04-01 05:53:48.967"</f>
        <v>2026-04-01 05:53:48.967</v>
      </c>
      <c r="H316" t="s">
        <v>21</v>
      </c>
      <c r="I316">
        <v>0</v>
      </c>
      <c r="J316" t="s">
        <v>25</v>
      </c>
    </row>
    <row r="317" spans="1:10" x14ac:dyDescent="0.25">
      <c r="A317" s="1">
        <v>11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"2026-04-01 05:53:13.667"</f>
        <v>2026-04-01 05:53:13.667</v>
      </c>
      <c r="H317" t="s">
        <v>21</v>
      </c>
    </row>
    <row r="318" spans="1:10" x14ac:dyDescent="0.25">
      <c r="A318" s="1">
        <v>12</v>
      </c>
      <c r="B318" t="s">
        <v>19</v>
      </c>
      <c r="C318">
        <v>706</v>
      </c>
      <c r="D318">
        <v>4</v>
      </c>
      <c r="E318" t="s">
        <v>23</v>
      </c>
      <c r="F318" t="s">
        <v>24</v>
      </c>
      <c r="G318" t="str">
        <f>"2026-04-01 05:26:21.696"</f>
        <v>2026-04-01 05:26:21.696</v>
      </c>
      <c r="H318" t="s">
        <v>21</v>
      </c>
      <c r="I318">
        <v>0</v>
      </c>
      <c r="J318" t="s">
        <v>25</v>
      </c>
    </row>
    <row r="319" spans="1:10" x14ac:dyDescent="0.25">
      <c r="A319" s="1">
        <v>13</v>
      </c>
      <c r="B319" t="s">
        <v>19</v>
      </c>
      <c r="C319">
        <v>706</v>
      </c>
      <c r="D319">
        <v>3</v>
      </c>
      <c r="E319" t="s">
        <v>23</v>
      </c>
      <c r="F319" t="s">
        <v>35</v>
      </c>
      <c r="G319" t="str">
        <f>"2026-04-01 05:26:14.946"</f>
        <v>2026-04-01 05:26:14.946</v>
      </c>
      <c r="H319" t="s">
        <v>21</v>
      </c>
      <c r="I319">
        <v>0</v>
      </c>
      <c r="J319" t="s">
        <v>25</v>
      </c>
    </row>
    <row r="320" spans="1:10" x14ac:dyDescent="0.25">
      <c r="A320" s="1">
        <v>14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"2026-04-01 04:12:00.566"</f>
        <v>2026-04-01 04:12:00.566</v>
      </c>
      <c r="H320" t="s">
        <v>21</v>
      </c>
      <c r="I320">
        <v>0</v>
      </c>
      <c r="J320" t="s">
        <v>22</v>
      </c>
    </row>
    <row r="321" spans="1:10" x14ac:dyDescent="0.25">
      <c r="A321" s="1">
        <v>15</v>
      </c>
      <c r="B321" t="s">
        <v>19</v>
      </c>
      <c r="C321">
        <v>706</v>
      </c>
      <c r="D321">
        <v>4</v>
      </c>
      <c r="E321" t="s">
        <v>23</v>
      </c>
      <c r="F321" t="s">
        <v>24</v>
      </c>
      <c r="G321" t="str">
        <f>"2026-03-31 20:03:31.905"</f>
        <v>2026-03-31 20:03:31.905</v>
      </c>
      <c r="H321" t="s">
        <v>21</v>
      </c>
      <c r="I321">
        <v>0</v>
      </c>
      <c r="J321" t="s">
        <v>25</v>
      </c>
    </row>
    <row r="322" spans="1:10" x14ac:dyDescent="0.25">
      <c r="A322" s="1">
        <v>16</v>
      </c>
      <c r="B322" t="s">
        <v>19</v>
      </c>
      <c r="C322">
        <v>706</v>
      </c>
      <c r="D322">
        <v>3</v>
      </c>
      <c r="E322" t="s">
        <v>23</v>
      </c>
      <c r="F322" t="s">
        <v>35</v>
      </c>
      <c r="G322" t="str">
        <f>"2026-03-31 20:03:12.975"</f>
        <v>2026-03-31 20:03:12.975</v>
      </c>
      <c r="H322" t="s">
        <v>21</v>
      </c>
      <c r="I322">
        <v>0</v>
      </c>
      <c r="J322" t="s">
        <v>25</v>
      </c>
    </row>
    <row r="323" spans="1:10" x14ac:dyDescent="0.25">
      <c r="A323" s="1">
        <v>17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"2026-03-31 19:41:49.525"</f>
        <v>2026-03-31 19:41:49.525</v>
      </c>
      <c r="H323" t="s">
        <v>21</v>
      </c>
    </row>
    <row r="324" spans="1:10" x14ac:dyDescent="0.25">
      <c r="A324" s="1">
        <v>18</v>
      </c>
      <c r="B324" t="s">
        <v>19</v>
      </c>
      <c r="C324">
        <v>706</v>
      </c>
      <c r="D324">
        <v>2</v>
      </c>
      <c r="E324" t="s">
        <v>23</v>
      </c>
      <c r="F324" t="s">
        <v>46</v>
      </c>
      <c r="G324" t="str">
        <f>"2026-03-31 16:26:55.761"</f>
        <v>2026-03-31 16:26:55.761</v>
      </c>
      <c r="H324" t="s">
        <v>21</v>
      </c>
      <c r="I324">
        <v>0</v>
      </c>
      <c r="J324" t="s">
        <v>25</v>
      </c>
    </row>
    <row r="325" spans="1:10" x14ac:dyDescent="0.25">
      <c r="A325" s="1">
        <v>19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"2026-03-31 16:23:04.531"</f>
        <v>2026-03-31 16:23:04.531</v>
      </c>
      <c r="H325" t="s">
        <v>21</v>
      </c>
    </row>
    <row r="326" spans="1:10" x14ac:dyDescent="0.25">
      <c r="A326" s="1">
        <v>20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"2026-03-31 14:51:57.536"</f>
        <v>2026-03-31 14:51:57.536</v>
      </c>
      <c r="H326" t="s">
        <v>21</v>
      </c>
      <c r="I326">
        <v>0</v>
      </c>
      <c r="J326" t="s">
        <v>22</v>
      </c>
    </row>
    <row r="327" spans="1:10" x14ac:dyDescent="0.25">
      <c r="A327" s="1">
        <v>21</v>
      </c>
      <c r="B327" t="s">
        <v>26</v>
      </c>
      <c r="C327">
        <v>635</v>
      </c>
      <c r="D327">
        <v>1</v>
      </c>
      <c r="E327" t="s">
        <v>27</v>
      </c>
      <c r="F327" t="s">
        <v>28</v>
      </c>
      <c r="G327" t="str">
        <f>"2026-03-31 08:39:01.598"</f>
        <v>2026-03-31 08:39:01.598</v>
      </c>
      <c r="H327" t="s">
        <v>21</v>
      </c>
    </row>
    <row r="328" spans="1:10" x14ac:dyDescent="0.25">
      <c r="A328" s="1">
        <v>22</v>
      </c>
      <c r="B328" t="s">
        <v>29</v>
      </c>
      <c r="C328">
        <v>635</v>
      </c>
      <c r="D328">
        <v>1</v>
      </c>
      <c r="E328" t="s">
        <v>27</v>
      </c>
      <c r="F328" t="s">
        <v>28</v>
      </c>
      <c r="G328" t="str">
        <f>"2026-03-31 08:35:15.598"</f>
        <v>2026-03-31 08:35:15.598</v>
      </c>
      <c r="H328" t="s">
        <v>21</v>
      </c>
      <c r="I328">
        <v>7.09</v>
      </c>
      <c r="J328" t="s">
        <v>38</v>
      </c>
    </row>
    <row r="329" spans="1:10" x14ac:dyDescent="0.25">
      <c r="A329" s="1">
        <v>23</v>
      </c>
      <c r="B329" t="s">
        <v>26</v>
      </c>
      <c r="C329">
        <v>61</v>
      </c>
      <c r="D329">
        <v>2</v>
      </c>
      <c r="E329" t="s">
        <v>47</v>
      </c>
      <c r="F329" t="s">
        <v>48</v>
      </c>
      <c r="G329" t="str">
        <f>"2026-03-31 07:37:04.911"</f>
        <v>2026-03-31 07:37:04.911</v>
      </c>
      <c r="H329" t="s">
        <v>21</v>
      </c>
    </row>
    <row r="330" spans="1:10" x14ac:dyDescent="0.25">
      <c r="A330" s="1">
        <v>24</v>
      </c>
      <c r="B330" t="s">
        <v>45</v>
      </c>
      <c r="C330">
        <v>61</v>
      </c>
      <c r="D330">
        <v>2</v>
      </c>
      <c r="E330" t="s">
        <v>47</v>
      </c>
      <c r="F330" t="s">
        <v>48</v>
      </c>
      <c r="G330" t="str">
        <f>"2026-03-31 07:36:33.611"</f>
        <v>2026-03-31 07:36:33.611</v>
      </c>
      <c r="H330" t="s">
        <v>21</v>
      </c>
      <c r="I330">
        <v>30.34</v>
      </c>
      <c r="J330" t="s">
        <v>30</v>
      </c>
    </row>
    <row r="331" spans="1:10" x14ac:dyDescent="0.25">
      <c r="A331" s="1">
        <v>25</v>
      </c>
      <c r="B331" t="s">
        <v>26</v>
      </c>
      <c r="C331">
        <v>635</v>
      </c>
      <c r="D331">
        <v>1</v>
      </c>
      <c r="E331" t="s">
        <v>27</v>
      </c>
      <c r="F331" t="s">
        <v>28</v>
      </c>
      <c r="G331" t="str">
        <f>"2026-03-30 05:28:48.198"</f>
        <v>2026-03-30 05:28:48.198</v>
      </c>
      <c r="H331" t="s">
        <v>21</v>
      </c>
    </row>
    <row r="332" spans="1:10" x14ac:dyDescent="0.25">
      <c r="A332" s="1">
        <v>26</v>
      </c>
      <c r="B332" t="s">
        <v>29</v>
      </c>
      <c r="C332">
        <v>635</v>
      </c>
      <c r="D332">
        <v>1</v>
      </c>
      <c r="E332" t="s">
        <v>27</v>
      </c>
      <c r="F332" t="s">
        <v>28</v>
      </c>
      <c r="G332" t="str">
        <f>"2026-03-30 05:23:36.698"</f>
        <v>2026-03-30 05:23:36.698</v>
      </c>
      <c r="H332" t="s">
        <v>21</v>
      </c>
      <c r="I332">
        <v>5.79</v>
      </c>
      <c r="J332" t="s">
        <v>38</v>
      </c>
    </row>
    <row r="333" spans="1:10" x14ac:dyDescent="0.25">
      <c r="A333" s="1">
        <v>27</v>
      </c>
      <c r="B333" t="s">
        <v>26</v>
      </c>
      <c r="C333">
        <v>635</v>
      </c>
      <c r="D333">
        <v>1</v>
      </c>
      <c r="E333" t="s">
        <v>27</v>
      </c>
      <c r="F333" t="s">
        <v>28</v>
      </c>
      <c r="G333" t="str">
        <f>"2026-03-29 05:39:13.298"</f>
        <v>2026-03-29 05:39:13.298</v>
      </c>
      <c r="H333" t="s">
        <v>21</v>
      </c>
    </row>
    <row r="334" spans="1:10" x14ac:dyDescent="0.25">
      <c r="A334" s="1">
        <v>28</v>
      </c>
      <c r="B334" t="s">
        <v>29</v>
      </c>
      <c r="C334">
        <v>635</v>
      </c>
      <c r="D334">
        <v>1</v>
      </c>
      <c r="E334" t="s">
        <v>27</v>
      </c>
      <c r="F334" t="s">
        <v>28</v>
      </c>
      <c r="G334" t="str">
        <f>"2026-03-29 05:37:14.798"</f>
        <v>2026-03-29 05:37:14.798</v>
      </c>
      <c r="H334" t="s">
        <v>21</v>
      </c>
      <c r="I334">
        <v>6.29</v>
      </c>
      <c r="J334" t="s">
        <v>38</v>
      </c>
    </row>
    <row r="335" spans="1:10" x14ac:dyDescent="0.25">
      <c r="A335" s="1">
        <v>29</v>
      </c>
      <c r="B335" t="s">
        <v>26</v>
      </c>
      <c r="C335">
        <v>635</v>
      </c>
      <c r="D335">
        <v>1</v>
      </c>
      <c r="E335" t="s">
        <v>27</v>
      </c>
      <c r="F335" t="s">
        <v>28</v>
      </c>
      <c r="G335" t="str">
        <f>"2026-03-28 21:50:56.298"</f>
        <v>2026-03-28 21:50:56.298</v>
      </c>
      <c r="H335" t="s">
        <v>21</v>
      </c>
    </row>
    <row r="336" spans="1:10" x14ac:dyDescent="0.25">
      <c r="A336" s="1">
        <v>30</v>
      </c>
      <c r="B336" t="s">
        <v>29</v>
      </c>
      <c r="C336">
        <v>635</v>
      </c>
      <c r="D336">
        <v>1</v>
      </c>
      <c r="E336" t="s">
        <v>27</v>
      </c>
      <c r="F336" t="s">
        <v>28</v>
      </c>
      <c r="G336" t="str">
        <f>"2026-03-28 21:48:05.798"</f>
        <v>2026-03-28 21:48:05.798</v>
      </c>
      <c r="H336" t="s">
        <v>21</v>
      </c>
      <c r="I336">
        <v>6.15</v>
      </c>
      <c r="J336" t="s">
        <v>38</v>
      </c>
    </row>
    <row r="337" spans="1:10" x14ac:dyDescent="0.25">
      <c r="A337" s="1">
        <v>31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"2026-03-28 09:24:55.528"</f>
        <v>2026-03-28 09:24:55.528</v>
      </c>
      <c r="H337" t="s">
        <v>21</v>
      </c>
    </row>
    <row r="338" spans="1:10" x14ac:dyDescent="0.25">
      <c r="A338" s="1">
        <v>32</v>
      </c>
      <c r="B338" t="s">
        <v>26</v>
      </c>
      <c r="C338">
        <v>61</v>
      </c>
      <c r="D338">
        <v>2</v>
      </c>
      <c r="E338" t="s">
        <v>47</v>
      </c>
      <c r="F338" t="s">
        <v>48</v>
      </c>
      <c r="G338" t="str">
        <f>"2026-03-28 07:36:19.164"</f>
        <v>2026-03-28 07:36:19.164</v>
      </c>
      <c r="H338" t="s">
        <v>21</v>
      </c>
    </row>
    <row r="339" spans="1:10" x14ac:dyDescent="0.25">
      <c r="A339" s="1">
        <v>33</v>
      </c>
      <c r="B339" t="s">
        <v>45</v>
      </c>
      <c r="C339">
        <v>61</v>
      </c>
      <c r="D339">
        <v>2</v>
      </c>
      <c r="E339" t="s">
        <v>47</v>
      </c>
      <c r="F339" t="s">
        <v>48</v>
      </c>
      <c r="G339" t="str">
        <f>"2026-03-28 07:36:07.265"</f>
        <v>2026-03-28 07:36:07.265</v>
      </c>
      <c r="H339" t="s">
        <v>21</v>
      </c>
      <c r="I339">
        <v>29.57</v>
      </c>
      <c r="J339" t="s">
        <v>30</v>
      </c>
    </row>
    <row r="340" spans="1:10" x14ac:dyDescent="0.25">
      <c r="A340" s="1">
        <v>34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"2026-03-28 00:26:54.524"</f>
        <v>2026-03-28 00:26:54.524</v>
      </c>
      <c r="H340" t="s">
        <v>21</v>
      </c>
    </row>
    <row r="341" spans="1:10" x14ac:dyDescent="0.25">
      <c r="A341" s="1">
        <v>35</v>
      </c>
      <c r="B341" t="s">
        <v>26</v>
      </c>
      <c r="C341">
        <v>635</v>
      </c>
      <c r="D341">
        <v>1</v>
      </c>
      <c r="E341" t="s">
        <v>27</v>
      </c>
      <c r="F341" t="s">
        <v>28</v>
      </c>
      <c r="G341" t="str">
        <f>"2026-03-27 17:31:07.539"</f>
        <v>2026-03-27 17:31:07.539</v>
      </c>
      <c r="H341" t="s">
        <v>21</v>
      </c>
    </row>
    <row r="342" spans="1:10" x14ac:dyDescent="0.25">
      <c r="A342" s="1">
        <v>36</v>
      </c>
      <c r="B342" t="s">
        <v>29</v>
      </c>
      <c r="C342">
        <v>635</v>
      </c>
      <c r="D342">
        <v>1</v>
      </c>
      <c r="E342" t="s">
        <v>27</v>
      </c>
      <c r="F342" t="s">
        <v>28</v>
      </c>
      <c r="G342" t="str">
        <f>"2026-03-27 17:28:07.539"</f>
        <v>2026-03-27 17:28:07.539</v>
      </c>
      <c r="H342" t="s">
        <v>21</v>
      </c>
      <c r="I342">
        <v>2.97</v>
      </c>
      <c r="J342" t="s">
        <v>38</v>
      </c>
    </row>
    <row r="343" spans="1:10" s="3" customFormat="1" x14ac:dyDescent="0.25">
      <c r="A343" s="2">
        <v>37</v>
      </c>
      <c r="B343" s="3" t="s">
        <v>26</v>
      </c>
      <c r="C343" s="3">
        <v>647</v>
      </c>
      <c r="D343" s="3">
        <v>1</v>
      </c>
      <c r="E343" s="3" t="s">
        <v>39</v>
      </c>
      <c r="F343" s="3" t="s">
        <v>40</v>
      </c>
      <c r="G343" s="3" t="str">
        <f>"2026-03-26 10:38:22.087"</f>
        <v>2026-03-26 10:38:22.087</v>
      </c>
      <c r="H343" s="3" t="s">
        <v>21</v>
      </c>
    </row>
    <row r="344" spans="1:10" s="3" customFormat="1" x14ac:dyDescent="0.25">
      <c r="A344" s="2">
        <v>38</v>
      </c>
      <c r="B344" s="3" t="s">
        <v>29</v>
      </c>
      <c r="C344" s="3">
        <v>647</v>
      </c>
      <c r="D344" s="3">
        <v>1</v>
      </c>
      <c r="E344" s="3" t="s">
        <v>39</v>
      </c>
      <c r="F344" s="3" t="s">
        <v>40</v>
      </c>
      <c r="G344" s="3" t="str">
        <f>"2026-03-26 10:38:13.587"</f>
        <v>2026-03-26 10:38:13.587</v>
      </c>
      <c r="H344" s="3" t="s">
        <v>21</v>
      </c>
      <c r="I344" s="3">
        <v>11.43</v>
      </c>
      <c r="J344" s="3" t="s">
        <v>30</v>
      </c>
    </row>
    <row r="345" spans="1:10" x14ac:dyDescent="0.25">
      <c r="A345" s="1">
        <v>39</v>
      </c>
      <c r="B345" t="s">
        <v>26</v>
      </c>
      <c r="C345">
        <v>635</v>
      </c>
      <c r="D345">
        <v>1</v>
      </c>
      <c r="E345" t="s">
        <v>27</v>
      </c>
      <c r="F345" t="s">
        <v>28</v>
      </c>
      <c r="G345" t="str">
        <f>"2026-03-26 09:57:46.639"</f>
        <v>2026-03-26 09:57:46.639</v>
      </c>
      <c r="H345" t="s">
        <v>21</v>
      </c>
    </row>
    <row r="346" spans="1:10" x14ac:dyDescent="0.25">
      <c r="A346" s="1">
        <v>40</v>
      </c>
      <c r="B346" t="s">
        <v>29</v>
      </c>
      <c r="C346">
        <v>635</v>
      </c>
      <c r="D346">
        <v>1</v>
      </c>
      <c r="E346" t="s">
        <v>27</v>
      </c>
      <c r="F346" t="s">
        <v>28</v>
      </c>
      <c r="G346" t="str">
        <f>"2026-03-26 09:53:31.640"</f>
        <v>2026-03-26 09:53:31.640</v>
      </c>
      <c r="H346" t="s">
        <v>21</v>
      </c>
      <c r="I346">
        <v>4.3499999999999996</v>
      </c>
      <c r="J346" t="s">
        <v>38</v>
      </c>
    </row>
    <row r="347" spans="1:10" x14ac:dyDescent="0.25">
      <c r="A347" s="1">
        <v>41</v>
      </c>
      <c r="B347" t="s">
        <v>26</v>
      </c>
      <c r="C347">
        <v>635</v>
      </c>
      <c r="D347">
        <v>1</v>
      </c>
      <c r="E347" t="s">
        <v>27</v>
      </c>
      <c r="F347" t="s">
        <v>28</v>
      </c>
      <c r="G347" t="str">
        <f>"2026-03-26 07:30:11.940"</f>
        <v>2026-03-26 07:30:11.940</v>
      </c>
      <c r="H347" t="s">
        <v>21</v>
      </c>
    </row>
    <row r="348" spans="1:10" x14ac:dyDescent="0.25">
      <c r="A348" s="1">
        <v>42</v>
      </c>
      <c r="B348" t="s">
        <v>29</v>
      </c>
      <c r="C348">
        <v>635</v>
      </c>
      <c r="D348">
        <v>1</v>
      </c>
      <c r="E348" t="s">
        <v>27</v>
      </c>
      <c r="F348" t="s">
        <v>28</v>
      </c>
      <c r="G348" t="str">
        <f>"2026-03-26 07:27:20.440"</f>
        <v>2026-03-26 07:27:20.440</v>
      </c>
      <c r="H348" t="s">
        <v>21</v>
      </c>
      <c r="I348">
        <v>5.81</v>
      </c>
      <c r="J348" t="s">
        <v>30</v>
      </c>
    </row>
    <row r="349" spans="1:10" x14ac:dyDescent="0.25">
      <c r="A349" s="1">
        <v>43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"2026-03-25 23:41:29.529"</f>
        <v>2026-03-25 23:41:29.529</v>
      </c>
      <c r="H349" t="s">
        <v>21</v>
      </c>
      <c r="I349">
        <v>0</v>
      </c>
      <c r="J349" t="s">
        <v>22</v>
      </c>
    </row>
    <row r="350" spans="1:10" x14ac:dyDescent="0.25">
      <c r="A350" s="1">
        <v>44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"2026-03-25 23:37:31.520"</f>
        <v>2026-03-25 23:37:31.520</v>
      </c>
      <c r="H350" t="s">
        <v>21</v>
      </c>
    </row>
    <row r="351" spans="1:10" x14ac:dyDescent="0.25">
      <c r="A351" s="1">
        <v>45</v>
      </c>
      <c r="B351" t="s">
        <v>26</v>
      </c>
      <c r="C351">
        <v>635</v>
      </c>
      <c r="D351">
        <v>1</v>
      </c>
      <c r="E351" t="s">
        <v>27</v>
      </c>
      <c r="F351" t="s">
        <v>28</v>
      </c>
      <c r="G351" t="str">
        <f>"2026-03-24 17:27:44.117"</f>
        <v>2026-03-24 17:27:44.117</v>
      </c>
      <c r="H351" t="s">
        <v>21</v>
      </c>
    </row>
    <row r="352" spans="1:10" x14ac:dyDescent="0.25">
      <c r="A352" s="1">
        <v>46</v>
      </c>
      <c r="B352" t="s">
        <v>29</v>
      </c>
      <c r="C352">
        <v>635</v>
      </c>
      <c r="D352">
        <v>1</v>
      </c>
      <c r="E352" t="s">
        <v>27</v>
      </c>
      <c r="F352" t="s">
        <v>28</v>
      </c>
      <c r="G352" t="str">
        <f>"2026-03-24 17:25:10.117"</f>
        <v>2026-03-24 17:25:10.117</v>
      </c>
      <c r="H352" t="s">
        <v>21</v>
      </c>
      <c r="I352">
        <v>4.29</v>
      </c>
      <c r="J352" t="s">
        <v>38</v>
      </c>
    </row>
    <row r="353" spans="1:10" x14ac:dyDescent="0.25">
      <c r="A353" s="1">
        <v>47</v>
      </c>
      <c r="B353" t="s">
        <v>26</v>
      </c>
      <c r="C353">
        <v>635</v>
      </c>
      <c r="D353">
        <v>1</v>
      </c>
      <c r="E353" t="s">
        <v>27</v>
      </c>
      <c r="F353" t="s">
        <v>28</v>
      </c>
      <c r="G353" t="str">
        <f>"2026-03-24 15:51:18.317"</f>
        <v>2026-03-24 15:51:18.317</v>
      </c>
      <c r="H353" t="s">
        <v>21</v>
      </c>
    </row>
    <row r="354" spans="1:10" x14ac:dyDescent="0.25">
      <c r="A354" s="1">
        <v>48</v>
      </c>
      <c r="B354" t="s">
        <v>29</v>
      </c>
      <c r="C354">
        <v>635</v>
      </c>
      <c r="D354">
        <v>1</v>
      </c>
      <c r="E354" t="s">
        <v>27</v>
      </c>
      <c r="F354" t="s">
        <v>28</v>
      </c>
      <c r="G354" t="str">
        <f>"2026-03-24 15:48:48.817"</f>
        <v>2026-03-24 15:48:48.817</v>
      </c>
      <c r="H354" t="s">
        <v>21</v>
      </c>
      <c r="I354">
        <v>4.8600000000000003</v>
      </c>
      <c r="J354" t="s">
        <v>38</v>
      </c>
    </row>
    <row r="355" spans="1:10" x14ac:dyDescent="0.25">
      <c r="A355" s="1">
        <v>49</v>
      </c>
      <c r="B355" t="s">
        <v>26</v>
      </c>
      <c r="C355">
        <v>619</v>
      </c>
      <c r="D355">
        <v>1</v>
      </c>
      <c r="E355" t="s">
        <v>31</v>
      </c>
      <c r="F355" t="s">
        <v>28</v>
      </c>
      <c r="G355" t="str">
        <f>"2026-03-24 12:18:18.164"</f>
        <v>2026-03-24 12:18:18.164</v>
      </c>
      <c r="H355" t="s">
        <v>32</v>
      </c>
    </row>
    <row r="356" spans="1:10" x14ac:dyDescent="0.25">
      <c r="A356" s="1">
        <v>50</v>
      </c>
      <c r="B356" t="s">
        <v>29</v>
      </c>
      <c r="C356">
        <v>619</v>
      </c>
      <c r="D356">
        <v>1</v>
      </c>
      <c r="E356" t="s">
        <v>31</v>
      </c>
      <c r="F356" t="s">
        <v>28</v>
      </c>
      <c r="G356" t="str">
        <f>"2026-03-24 12:17:59.065"</f>
        <v>2026-03-24 12:17:59.065</v>
      </c>
      <c r="H356" t="s">
        <v>32</v>
      </c>
      <c r="I356">
        <v>20.8</v>
      </c>
      <c r="J356" t="s">
        <v>30</v>
      </c>
    </row>
    <row r="357" spans="1:10" x14ac:dyDescent="0.25">
      <c r="A357" s="1">
        <v>51</v>
      </c>
      <c r="B357" t="s">
        <v>26</v>
      </c>
      <c r="C357">
        <v>635</v>
      </c>
      <c r="D357">
        <v>1</v>
      </c>
      <c r="E357" t="s">
        <v>27</v>
      </c>
      <c r="F357" t="s">
        <v>28</v>
      </c>
      <c r="G357" t="str">
        <f>"2026-03-24 04:23:47.817"</f>
        <v>2026-03-24 04:23:47.817</v>
      </c>
      <c r="H357" t="s">
        <v>21</v>
      </c>
    </row>
    <row r="358" spans="1:10" x14ac:dyDescent="0.25">
      <c r="A358" s="1">
        <v>52</v>
      </c>
      <c r="B358" t="s">
        <v>29</v>
      </c>
      <c r="C358">
        <v>635</v>
      </c>
      <c r="D358">
        <v>1</v>
      </c>
      <c r="E358" t="s">
        <v>27</v>
      </c>
      <c r="F358" t="s">
        <v>28</v>
      </c>
      <c r="G358" t="str">
        <f>"2026-03-24 04:20:52.317"</f>
        <v>2026-03-24 04:20:52.317</v>
      </c>
      <c r="H358" t="s">
        <v>21</v>
      </c>
      <c r="I358">
        <v>5.42</v>
      </c>
      <c r="J358" t="s">
        <v>38</v>
      </c>
    </row>
    <row r="359" spans="1:10" x14ac:dyDescent="0.25">
      <c r="A359" s="1">
        <v>53</v>
      </c>
      <c r="B359" t="s">
        <v>26</v>
      </c>
      <c r="C359">
        <v>635</v>
      </c>
      <c r="D359">
        <v>1</v>
      </c>
      <c r="E359" t="s">
        <v>27</v>
      </c>
      <c r="F359" t="s">
        <v>28</v>
      </c>
      <c r="G359" t="str">
        <f>"2026-03-22 22:36:04.717"</f>
        <v>2026-03-22 22:36:04.717</v>
      </c>
      <c r="H359" t="s">
        <v>21</v>
      </c>
    </row>
    <row r="360" spans="1:10" x14ac:dyDescent="0.25">
      <c r="A360" s="1">
        <v>54</v>
      </c>
      <c r="B360" t="s">
        <v>29</v>
      </c>
      <c r="C360">
        <v>635</v>
      </c>
      <c r="D360">
        <v>1</v>
      </c>
      <c r="E360" t="s">
        <v>27</v>
      </c>
      <c r="F360" t="s">
        <v>28</v>
      </c>
      <c r="G360" t="str">
        <f>"2026-03-22 22:28:57.718"</f>
        <v>2026-03-22 22:28:57.718</v>
      </c>
      <c r="H360" t="s">
        <v>21</v>
      </c>
      <c r="I360">
        <v>3.63</v>
      </c>
      <c r="J360" t="s">
        <v>38</v>
      </c>
    </row>
    <row r="361" spans="1:10" x14ac:dyDescent="0.25">
      <c r="A361" s="1">
        <v>55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"2026-03-22 13:05:11.537"</f>
        <v>2026-03-22 13:05:11.537</v>
      </c>
      <c r="H361" t="s">
        <v>21</v>
      </c>
      <c r="I361">
        <v>0</v>
      </c>
      <c r="J361" t="s">
        <v>22</v>
      </c>
    </row>
    <row r="362" spans="1:10" x14ac:dyDescent="0.25">
      <c r="A362" s="1">
        <v>56</v>
      </c>
      <c r="B362" t="s">
        <v>26</v>
      </c>
      <c r="C362">
        <v>619</v>
      </c>
      <c r="D362">
        <v>1</v>
      </c>
      <c r="E362" t="s">
        <v>31</v>
      </c>
      <c r="F362" t="s">
        <v>28</v>
      </c>
      <c r="G362" t="str">
        <f>"2026-03-22 13:04:20.197"</f>
        <v>2026-03-22 13:04:20.197</v>
      </c>
      <c r="H362" t="s">
        <v>32</v>
      </c>
    </row>
    <row r="363" spans="1:10" x14ac:dyDescent="0.25">
      <c r="A363" s="1">
        <v>57</v>
      </c>
      <c r="B363" t="s">
        <v>29</v>
      </c>
      <c r="C363">
        <v>619</v>
      </c>
      <c r="D363">
        <v>1</v>
      </c>
      <c r="E363" t="s">
        <v>31</v>
      </c>
      <c r="F363" t="s">
        <v>28</v>
      </c>
      <c r="G363" t="str">
        <f>"2026-03-22 13:04:13.544"</f>
        <v>2026-03-22 13:04:13.544</v>
      </c>
      <c r="H363" t="s">
        <v>32</v>
      </c>
      <c r="I363">
        <v>0</v>
      </c>
      <c r="J363" t="s">
        <v>34</v>
      </c>
    </row>
    <row r="364" spans="1:10" x14ac:dyDescent="0.25">
      <c r="A364" s="1">
        <v>58</v>
      </c>
      <c r="B364" t="s">
        <v>26</v>
      </c>
      <c r="C364">
        <v>635</v>
      </c>
      <c r="D364">
        <v>1</v>
      </c>
      <c r="E364" t="s">
        <v>27</v>
      </c>
      <c r="F364" t="s">
        <v>28</v>
      </c>
      <c r="G364" t="str">
        <f>"2026-03-21 20:39:08.697"</f>
        <v>2026-03-21 20:39:08.697</v>
      </c>
      <c r="H364" t="s">
        <v>21</v>
      </c>
    </row>
    <row r="365" spans="1:10" x14ac:dyDescent="0.25">
      <c r="A365" s="1">
        <v>59</v>
      </c>
      <c r="B365" t="s">
        <v>29</v>
      </c>
      <c r="C365">
        <v>635</v>
      </c>
      <c r="D365">
        <v>1</v>
      </c>
      <c r="E365" t="s">
        <v>27</v>
      </c>
      <c r="F365" t="s">
        <v>28</v>
      </c>
      <c r="G365" t="str">
        <f>"2026-03-21 20:36:45.197"</f>
        <v>2026-03-21 20:36:45.197</v>
      </c>
      <c r="H365" t="s">
        <v>21</v>
      </c>
      <c r="I365">
        <v>5.23</v>
      </c>
      <c r="J365" t="s">
        <v>38</v>
      </c>
    </row>
    <row r="366" spans="1:10" x14ac:dyDescent="0.25">
      <c r="A366" s="1">
        <v>60</v>
      </c>
      <c r="B366" t="s">
        <v>26</v>
      </c>
      <c r="C366">
        <v>635</v>
      </c>
      <c r="D366">
        <v>1</v>
      </c>
      <c r="E366" t="s">
        <v>27</v>
      </c>
      <c r="F366" t="s">
        <v>28</v>
      </c>
      <c r="G366" t="str">
        <f>"2026-03-21 19:57:22.797"</f>
        <v>2026-03-21 19:57:22.797</v>
      </c>
      <c r="H366" t="s">
        <v>21</v>
      </c>
    </row>
    <row r="367" spans="1:10" x14ac:dyDescent="0.25">
      <c r="A367" s="1">
        <v>61</v>
      </c>
      <c r="B367" t="s">
        <v>29</v>
      </c>
      <c r="C367">
        <v>635</v>
      </c>
      <c r="D367">
        <v>1</v>
      </c>
      <c r="E367" t="s">
        <v>27</v>
      </c>
      <c r="F367" t="s">
        <v>28</v>
      </c>
      <c r="G367" t="str">
        <f>"2026-03-21 19:53:53.797"</f>
        <v>2026-03-21 19:53:53.797</v>
      </c>
      <c r="H367" t="s">
        <v>21</v>
      </c>
      <c r="I367">
        <v>5.56</v>
      </c>
      <c r="J367" t="s">
        <v>38</v>
      </c>
    </row>
    <row r="368" spans="1:10" x14ac:dyDescent="0.25">
      <c r="A368" s="1">
        <v>62</v>
      </c>
      <c r="B368" t="s">
        <v>26</v>
      </c>
      <c r="C368">
        <v>635</v>
      </c>
      <c r="D368">
        <v>1</v>
      </c>
      <c r="E368" t="s">
        <v>27</v>
      </c>
      <c r="F368" t="s">
        <v>28</v>
      </c>
      <c r="G368" t="str">
        <f>"2026-03-21 14:35:50.497"</f>
        <v>2026-03-21 14:35:50.497</v>
      </c>
      <c r="H368" t="s">
        <v>21</v>
      </c>
    </row>
    <row r="369" spans="1:10" x14ac:dyDescent="0.25">
      <c r="A369" s="1">
        <v>63</v>
      </c>
      <c r="B369" t="s">
        <v>29</v>
      </c>
      <c r="C369">
        <v>635</v>
      </c>
      <c r="D369">
        <v>1</v>
      </c>
      <c r="E369" t="s">
        <v>27</v>
      </c>
      <c r="F369" t="s">
        <v>28</v>
      </c>
      <c r="G369" t="str">
        <f>"2026-03-21 14:32:09.497"</f>
        <v>2026-03-21 14:32:09.497</v>
      </c>
      <c r="H369" t="s">
        <v>21</v>
      </c>
      <c r="I369">
        <v>3.47</v>
      </c>
      <c r="J369" t="s">
        <v>38</v>
      </c>
    </row>
    <row r="370" spans="1:10" x14ac:dyDescent="0.25">
      <c r="A370" s="1">
        <v>64</v>
      </c>
      <c r="B370" t="s">
        <v>19</v>
      </c>
      <c r="C370">
        <v>706</v>
      </c>
      <c r="D370">
        <v>4</v>
      </c>
      <c r="E370" t="s">
        <v>23</v>
      </c>
      <c r="F370" t="s">
        <v>24</v>
      </c>
      <c r="G370" t="str">
        <f>"2026-03-21 11:17:37.066"</f>
        <v>2026-03-21 11:17:37.066</v>
      </c>
      <c r="H370" t="s">
        <v>21</v>
      </c>
      <c r="I370">
        <v>0</v>
      </c>
      <c r="J370" t="s">
        <v>25</v>
      </c>
    </row>
    <row r="371" spans="1:10" x14ac:dyDescent="0.25">
      <c r="A371" s="1">
        <v>65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"2026-03-21 11:16:54.516"</f>
        <v>2026-03-21 11:16:54.516</v>
      </c>
      <c r="H371" t="s">
        <v>21</v>
      </c>
      <c r="I371">
        <v>0</v>
      </c>
      <c r="J371" t="s">
        <v>22</v>
      </c>
    </row>
    <row r="372" spans="1:10" x14ac:dyDescent="0.25">
      <c r="A372" s="1">
        <v>66</v>
      </c>
      <c r="B372" t="s">
        <v>19</v>
      </c>
      <c r="C372">
        <v>706</v>
      </c>
      <c r="D372">
        <v>4</v>
      </c>
      <c r="E372" t="s">
        <v>23</v>
      </c>
      <c r="F372" t="s">
        <v>24</v>
      </c>
      <c r="G372" t="str">
        <f>"2026-03-21 11:03:03.071"</f>
        <v>2026-03-21 11:03:03.071</v>
      </c>
      <c r="H372" t="s">
        <v>21</v>
      </c>
      <c r="I372">
        <v>0</v>
      </c>
      <c r="J372" t="s">
        <v>25</v>
      </c>
    </row>
    <row r="373" spans="1:10" x14ac:dyDescent="0.25">
      <c r="A373" s="1">
        <v>67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"2026-03-21 10:57:47.511"</f>
        <v>2026-03-21 10:57:47.511</v>
      </c>
      <c r="H373" t="s">
        <v>21</v>
      </c>
    </row>
    <row r="374" spans="1:10" x14ac:dyDescent="0.25">
      <c r="A374" s="1">
        <v>68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"2026-03-21 10:49:17.527"</f>
        <v>2026-03-21 10:49:17.527</v>
      </c>
      <c r="H374" t="s">
        <v>21</v>
      </c>
    </row>
    <row r="375" spans="1:10" x14ac:dyDescent="0.25">
      <c r="A375" s="1">
        <v>69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"2026-03-21 09:17:57.529"</f>
        <v>2026-03-21 09:17:57.529</v>
      </c>
      <c r="H375" t="s">
        <v>21</v>
      </c>
      <c r="I375">
        <v>0</v>
      </c>
      <c r="J375" t="s">
        <v>22</v>
      </c>
    </row>
    <row r="376" spans="1:10" x14ac:dyDescent="0.25">
      <c r="A376" s="1">
        <v>70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"2026-03-21 08:34:38.530"</f>
        <v>2026-03-21 08:34:38.530</v>
      </c>
      <c r="H376" t="s">
        <v>21</v>
      </c>
      <c r="I376">
        <v>0</v>
      </c>
      <c r="J376" t="s">
        <v>22</v>
      </c>
    </row>
    <row r="377" spans="1:10" x14ac:dyDescent="0.25">
      <c r="A377" s="1">
        <v>71</v>
      </c>
      <c r="B377" t="s">
        <v>26</v>
      </c>
      <c r="C377">
        <v>635</v>
      </c>
      <c r="D377">
        <v>1</v>
      </c>
      <c r="E377" t="s">
        <v>27</v>
      </c>
      <c r="F377" t="s">
        <v>28</v>
      </c>
      <c r="G377" t="str">
        <f>"2026-03-21 03:50:39.001"</f>
        <v>2026-03-21 03:50:39.001</v>
      </c>
      <c r="H377" t="s">
        <v>21</v>
      </c>
    </row>
    <row r="378" spans="1:10" x14ac:dyDescent="0.25">
      <c r="A378" s="1">
        <v>72</v>
      </c>
      <c r="B378" t="s">
        <v>29</v>
      </c>
      <c r="C378">
        <v>635</v>
      </c>
      <c r="D378">
        <v>1</v>
      </c>
      <c r="E378" t="s">
        <v>27</v>
      </c>
      <c r="F378" t="s">
        <v>28</v>
      </c>
      <c r="G378" t="str">
        <f>"2026-03-21 03:43:44.001"</f>
        <v>2026-03-21 03:43:44.001</v>
      </c>
      <c r="H378" t="s">
        <v>21</v>
      </c>
      <c r="I378">
        <v>7.88</v>
      </c>
      <c r="J378" t="s">
        <v>34</v>
      </c>
    </row>
    <row r="379" spans="1:10" x14ac:dyDescent="0.25">
      <c r="A379" s="1">
        <v>73</v>
      </c>
      <c r="B379" t="s">
        <v>26</v>
      </c>
      <c r="C379">
        <v>61</v>
      </c>
      <c r="D379">
        <v>2</v>
      </c>
      <c r="E379" t="s">
        <v>47</v>
      </c>
      <c r="F379" t="s">
        <v>48</v>
      </c>
      <c r="G379" t="str">
        <f>"2026-03-20 23:24:09.214"</f>
        <v>2026-03-20 23:24:09.214</v>
      </c>
      <c r="H379" t="s">
        <v>21</v>
      </c>
    </row>
    <row r="380" spans="1:10" x14ac:dyDescent="0.25">
      <c r="A380" s="1">
        <v>74</v>
      </c>
      <c r="B380" t="s">
        <v>45</v>
      </c>
      <c r="C380">
        <v>61</v>
      </c>
      <c r="D380">
        <v>2</v>
      </c>
      <c r="E380" t="s">
        <v>47</v>
      </c>
      <c r="F380" t="s">
        <v>48</v>
      </c>
      <c r="G380" t="str">
        <f>"2026-03-20 23:24:01.114"</f>
        <v>2026-03-20 23:24:01.114</v>
      </c>
      <c r="H380" t="s">
        <v>21</v>
      </c>
      <c r="I380">
        <v>31.69</v>
      </c>
      <c r="J380" t="s">
        <v>30</v>
      </c>
    </row>
    <row r="381" spans="1:10" x14ac:dyDescent="0.25">
      <c r="A381" s="1">
        <v>75</v>
      </c>
      <c r="B381" t="s">
        <v>26</v>
      </c>
      <c r="C381">
        <v>635</v>
      </c>
      <c r="D381">
        <v>1</v>
      </c>
      <c r="E381" t="s">
        <v>27</v>
      </c>
      <c r="F381" t="s">
        <v>28</v>
      </c>
      <c r="G381" t="str">
        <f>"2026-03-19 00:58:03.201"</f>
        <v>2026-03-19 00:58:03.201</v>
      </c>
      <c r="H381" t="s">
        <v>21</v>
      </c>
    </row>
    <row r="382" spans="1:10" x14ac:dyDescent="0.25">
      <c r="A382" s="1">
        <v>76</v>
      </c>
      <c r="B382" t="s">
        <v>29</v>
      </c>
      <c r="C382">
        <v>635</v>
      </c>
      <c r="D382">
        <v>1</v>
      </c>
      <c r="E382" t="s">
        <v>27</v>
      </c>
      <c r="F382" t="s">
        <v>28</v>
      </c>
      <c r="G382" t="str">
        <f>"2026-03-19 00:54:07.701"</f>
        <v>2026-03-19 00:54:07.701</v>
      </c>
      <c r="H382" t="s">
        <v>21</v>
      </c>
      <c r="I382">
        <v>3.5</v>
      </c>
      <c r="J382" t="s">
        <v>34</v>
      </c>
    </row>
    <row r="383" spans="1:10" x14ac:dyDescent="0.25">
      <c r="A383" s="1">
        <v>77</v>
      </c>
      <c r="B383" t="s">
        <v>26</v>
      </c>
      <c r="C383">
        <v>61</v>
      </c>
      <c r="D383">
        <v>2</v>
      </c>
      <c r="E383" t="s">
        <v>47</v>
      </c>
      <c r="F383" t="s">
        <v>48</v>
      </c>
      <c r="G383" t="str">
        <f>"2026-03-18 14:50:23.914"</f>
        <v>2026-03-18 14:50:23.914</v>
      </c>
      <c r="H383" t="s">
        <v>21</v>
      </c>
    </row>
    <row r="384" spans="1:10" x14ac:dyDescent="0.25">
      <c r="A384" s="1">
        <v>78</v>
      </c>
      <c r="B384" t="s">
        <v>45</v>
      </c>
      <c r="C384">
        <v>61</v>
      </c>
      <c r="D384">
        <v>2</v>
      </c>
      <c r="E384" t="s">
        <v>47</v>
      </c>
      <c r="F384" t="s">
        <v>48</v>
      </c>
      <c r="G384" t="str">
        <f>"2026-03-18 14:50:18.714"</f>
        <v>2026-03-18 14:50:18.714</v>
      </c>
      <c r="H384" t="s">
        <v>21</v>
      </c>
      <c r="I384">
        <v>30.31</v>
      </c>
      <c r="J384" t="s">
        <v>30</v>
      </c>
    </row>
    <row r="385" spans="1:10" x14ac:dyDescent="0.25">
      <c r="A385" s="1">
        <v>79</v>
      </c>
      <c r="B385" t="s">
        <v>26</v>
      </c>
      <c r="C385">
        <v>61</v>
      </c>
      <c r="D385">
        <v>2</v>
      </c>
      <c r="E385" t="s">
        <v>47</v>
      </c>
      <c r="F385" t="s">
        <v>48</v>
      </c>
      <c r="G385" t="str">
        <f>"2026-03-18 14:30:44.914"</f>
        <v>2026-03-18 14:30:44.914</v>
      </c>
      <c r="H385" t="s">
        <v>21</v>
      </c>
    </row>
    <row r="386" spans="1:10" x14ac:dyDescent="0.25">
      <c r="A386" s="1">
        <v>80</v>
      </c>
      <c r="B386" t="s">
        <v>45</v>
      </c>
      <c r="C386">
        <v>61</v>
      </c>
      <c r="D386">
        <v>2</v>
      </c>
      <c r="E386" t="s">
        <v>47</v>
      </c>
      <c r="F386" t="s">
        <v>48</v>
      </c>
      <c r="G386" t="str">
        <f>"2026-03-18 14:30:35.014"</f>
        <v>2026-03-18 14:30:35.014</v>
      </c>
      <c r="H386" t="s">
        <v>21</v>
      </c>
      <c r="I386">
        <v>31.87</v>
      </c>
      <c r="J386" t="s">
        <v>30</v>
      </c>
    </row>
    <row r="387" spans="1:10" x14ac:dyDescent="0.25">
      <c r="A387" s="1">
        <v>81</v>
      </c>
      <c r="B387" t="s">
        <v>26</v>
      </c>
      <c r="C387">
        <v>61</v>
      </c>
      <c r="D387">
        <v>2</v>
      </c>
      <c r="E387" t="s">
        <v>47</v>
      </c>
      <c r="F387" t="s">
        <v>48</v>
      </c>
      <c r="G387" t="str">
        <f>"2026-03-18 14:05:58.214"</f>
        <v>2026-03-18 14:05:58.214</v>
      </c>
      <c r="H387" t="s">
        <v>21</v>
      </c>
    </row>
    <row r="388" spans="1:10" x14ac:dyDescent="0.25">
      <c r="A388" s="1">
        <v>82</v>
      </c>
      <c r="B388" t="s">
        <v>45</v>
      </c>
      <c r="C388">
        <v>61</v>
      </c>
      <c r="D388">
        <v>2</v>
      </c>
      <c r="E388" t="s">
        <v>47</v>
      </c>
      <c r="F388" t="s">
        <v>48</v>
      </c>
      <c r="G388" t="str">
        <f>"2026-03-18 14:05:47.614"</f>
        <v>2026-03-18 14:05:47.614</v>
      </c>
      <c r="H388" t="s">
        <v>21</v>
      </c>
      <c r="I388">
        <v>31.39</v>
      </c>
      <c r="J388" t="s">
        <v>30</v>
      </c>
    </row>
    <row r="389" spans="1:10" s="3" customFormat="1" x14ac:dyDescent="0.25">
      <c r="A389" s="2">
        <v>83</v>
      </c>
      <c r="B389" s="3" t="s">
        <v>26</v>
      </c>
      <c r="C389" s="3">
        <v>647</v>
      </c>
      <c r="D389" s="3">
        <v>1</v>
      </c>
      <c r="E389" s="3" t="s">
        <v>39</v>
      </c>
      <c r="F389" s="3" t="s">
        <v>40</v>
      </c>
      <c r="G389" s="3" t="str">
        <f>"2026-03-18 13:57:00.302"</f>
        <v>2026-03-18 13:57:00.302</v>
      </c>
      <c r="H389" s="3" t="s">
        <v>21</v>
      </c>
    </row>
    <row r="390" spans="1:10" s="3" customFormat="1" x14ac:dyDescent="0.25">
      <c r="A390" s="2">
        <v>84</v>
      </c>
      <c r="B390" s="3" t="s">
        <v>29</v>
      </c>
      <c r="C390" s="3">
        <v>647</v>
      </c>
      <c r="D390" s="3">
        <v>1</v>
      </c>
      <c r="E390" s="3" t="s">
        <v>39</v>
      </c>
      <c r="F390" s="3" t="s">
        <v>40</v>
      </c>
      <c r="G390" s="3" t="str">
        <f>"2026-03-18 13:56:55.902"</f>
        <v>2026-03-18 13:56:55.902</v>
      </c>
      <c r="H390" s="3" t="s">
        <v>21</v>
      </c>
      <c r="I390" s="3">
        <v>10.53</v>
      </c>
      <c r="J390" s="3" t="s">
        <v>30</v>
      </c>
    </row>
    <row r="391" spans="1:10" x14ac:dyDescent="0.25">
      <c r="A391" s="1">
        <v>85</v>
      </c>
      <c r="B391" t="s">
        <v>26</v>
      </c>
      <c r="C391">
        <v>61</v>
      </c>
      <c r="D391">
        <v>2</v>
      </c>
      <c r="E391" t="s">
        <v>47</v>
      </c>
      <c r="F391" t="s">
        <v>48</v>
      </c>
      <c r="G391" t="str">
        <f>"2026-03-18 13:50:43.913"</f>
        <v>2026-03-18 13:50:43.913</v>
      </c>
      <c r="H391" t="s">
        <v>21</v>
      </c>
    </row>
    <row r="392" spans="1:10" x14ac:dyDescent="0.25">
      <c r="A392" s="1">
        <v>86</v>
      </c>
      <c r="B392" t="s">
        <v>45</v>
      </c>
      <c r="C392">
        <v>61</v>
      </c>
      <c r="D392">
        <v>2</v>
      </c>
      <c r="E392" t="s">
        <v>47</v>
      </c>
      <c r="F392" t="s">
        <v>48</v>
      </c>
      <c r="G392" t="str">
        <f>"2026-03-18 13:50:36.514"</f>
        <v>2026-03-18 13:50:36.514</v>
      </c>
      <c r="H392" t="s">
        <v>21</v>
      </c>
      <c r="I392">
        <v>31.05</v>
      </c>
      <c r="J392" t="s">
        <v>30</v>
      </c>
    </row>
    <row r="393" spans="1:10" x14ac:dyDescent="0.25">
      <c r="A393" s="1">
        <v>87</v>
      </c>
      <c r="B393" t="s">
        <v>26</v>
      </c>
      <c r="C393">
        <v>61</v>
      </c>
      <c r="D393">
        <v>2</v>
      </c>
      <c r="E393" t="s">
        <v>47</v>
      </c>
      <c r="F393" t="s">
        <v>48</v>
      </c>
      <c r="G393" t="str">
        <f>"2026-03-18 13:37:23.114"</f>
        <v>2026-03-18 13:37:23.114</v>
      </c>
      <c r="H393" t="s">
        <v>21</v>
      </c>
    </row>
    <row r="394" spans="1:10" x14ac:dyDescent="0.25">
      <c r="A394" s="1">
        <v>88</v>
      </c>
      <c r="B394" t="s">
        <v>45</v>
      </c>
      <c r="C394">
        <v>61</v>
      </c>
      <c r="D394">
        <v>2</v>
      </c>
      <c r="E394" t="s">
        <v>47</v>
      </c>
      <c r="F394" t="s">
        <v>48</v>
      </c>
      <c r="G394" t="str">
        <f>"2026-03-18 13:37:14.214"</f>
        <v>2026-03-18 13:37:14.214</v>
      </c>
      <c r="H394" t="s">
        <v>21</v>
      </c>
      <c r="I394">
        <v>31.68</v>
      </c>
      <c r="J394" t="s">
        <v>30</v>
      </c>
    </row>
    <row r="395" spans="1:10" x14ac:dyDescent="0.25">
      <c r="A395" s="1">
        <v>89</v>
      </c>
      <c r="B395" t="s">
        <v>26</v>
      </c>
      <c r="C395">
        <v>635</v>
      </c>
      <c r="D395">
        <v>1</v>
      </c>
      <c r="E395" t="s">
        <v>27</v>
      </c>
      <c r="F395" t="s">
        <v>28</v>
      </c>
      <c r="G395" t="str">
        <f>"2026-03-18 13:30:51.701"</f>
        <v>2026-03-18 13:30:51.701</v>
      </c>
      <c r="H395" t="s">
        <v>21</v>
      </c>
    </row>
    <row r="396" spans="1:10" x14ac:dyDescent="0.25">
      <c r="A396" s="1">
        <v>90</v>
      </c>
      <c r="B396" t="s">
        <v>29</v>
      </c>
      <c r="C396">
        <v>635</v>
      </c>
      <c r="D396">
        <v>1</v>
      </c>
      <c r="E396" t="s">
        <v>27</v>
      </c>
      <c r="F396" t="s">
        <v>28</v>
      </c>
      <c r="G396" t="str">
        <f>"2026-03-18 13:27:32.201"</f>
        <v>2026-03-18 13:27:32.201</v>
      </c>
      <c r="H396" t="s">
        <v>21</v>
      </c>
      <c r="I396">
        <v>0</v>
      </c>
      <c r="J396" t="s">
        <v>34</v>
      </c>
    </row>
    <row r="397" spans="1:10" x14ac:dyDescent="0.25">
      <c r="A397" s="1">
        <v>91</v>
      </c>
      <c r="B397" t="s">
        <v>26</v>
      </c>
      <c r="C397">
        <v>61</v>
      </c>
      <c r="D397">
        <v>2</v>
      </c>
      <c r="E397" t="s">
        <v>47</v>
      </c>
      <c r="F397" t="s">
        <v>48</v>
      </c>
      <c r="G397" t="str">
        <f>"2026-03-18 13:04:15.214"</f>
        <v>2026-03-18 13:04:15.214</v>
      </c>
      <c r="H397" t="s">
        <v>21</v>
      </c>
    </row>
    <row r="398" spans="1:10" x14ac:dyDescent="0.25">
      <c r="A398" s="1">
        <v>92</v>
      </c>
      <c r="B398" t="s">
        <v>45</v>
      </c>
      <c r="C398">
        <v>61</v>
      </c>
      <c r="D398">
        <v>2</v>
      </c>
      <c r="E398" t="s">
        <v>47</v>
      </c>
      <c r="F398" t="s">
        <v>48</v>
      </c>
      <c r="G398" t="str">
        <f>"2026-03-18 13:04:08.414"</f>
        <v>2026-03-18 13:04:08.414</v>
      </c>
      <c r="H398" t="s">
        <v>21</v>
      </c>
      <c r="I398">
        <v>30.88</v>
      </c>
      <c r="J398" t="s">
        <v>30</v>
      </c>
    </row>
    <row r="399" spans="1:10" x14ac:dyDescent="0.25">
      <c r="A399" s="1">
        <v>93</v>
      </c>
      <c r="B399" t="s">
        <v>26</v>
      </c>
      <c r="C399">
        <v>635</v>
      </c>
      <c r="D399">
        <v>1</v>
      </c>
      <c r="E399" t="s">
        <v>27</v>
      </c>
      <c r="F399" t="s">
        <v>28</v>
      </c>
      <c r="G399" t="str">
        <f>"2026-03-18 10:22:02.601"</f>
        <v>2026-03-18 10:22:02.601</v>
      </c>
      <c r="H399" t="s">
        <v>21</v>
      </c>
    </row>
    <row r="400" spans="1:10" x14ac:dyDescent="0.25">
      <c r="A400" s="1">
        <v>94</v>
      </c>
      <c r="B400" t="s">
        <v>29</v>
      </c>
      <c r="C400">
        <v>635</v>
      </c>
      <c r="D400">
        <v>1</v>
      </c>
      <c r="E400" t="s">
        <v>27</v>
      </c>
      <c r="F400" t="s">
        <v>28</v>
      </c>
      <c r="G400" t="str">
        <f>"2026-03-18 10:18:52.602"</f>
        <v>2026-03-18 10:18:52.602</v>
      </c>
      <c r="H400" t="s">
        <v>21</v>
      </c>
      <c r="I400">
        <v>5.0199999999999996</v>
      </c>
      <c r="J400" t="s">
        <v>34</v>
      </c>
    </row>
    <row r="401" spans="1:10" x14ac:dyDescent="0.25">
      <c r="A401" s="1">
        <v>95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"2026-03-16 13:30:54.511"</f>
        <v>2026-03-16 13:30:54.511</v>
      </c>
      <c r="H401" t="s">
        <v>21</v>
      </c>
      <c r="I401">
        <v>0</v>
      </c>
      <c r="J401" t="s">
        <v>22</v>
      </c>
    </row>
    <row r="402" spans="1:10" s="3" customFormat="1" x14ac:dyDescent="0.25">
      <c r="A402" s="2">
        <v>96</v>
      </c>
      <c r="B402" s="3" t="s">
        <v>26</v>
      </c>
      <c r="C402" s="3">
        <v>647</v>
      </c>
      <c r="D402" s="3">
        <v>1</v>
      </c>
      <c r="E402" s="3" t="s">
        <v>39</v>
      </c>
      <c r="F402" s="3" t="s">
        <v>40</v>
      </c>
      <c r="G402" s="3" t="str">
        <f>"2026-03-16 12:06:41.149"</f>
        <v>2026-03-16 12:06:41.149</v>
      </c>
      <c r="H402" s="3" t="s">
        <v>21</v>
      </c>
    </row>
    <row r="403" spans="1:10" s="3" customFormat="1" x14ac:dyDescent="0.25">
      <c r="A403" s="2">
        <v>97</v>
      </c>
      <c r="B403" s="3" t="s">
        <v>29</v>
      </c>
      <c r="C403" s="3">
        <v>647</v>
      </c>
      <c r="D403" s="3">
        <v>1</v>
      </c>
      <c r="E403" s="3" t="s">
        <v>39</v>
      </c>
      <c r="F403" s="3" t="s">
        <v>40</v>
      </c>
      <c r="G403" s="3" t="str">
        <f>"2026-03-16 12:06:38.249"</f>
        <v>2026-03-16 12:06:38.249</v>
      </c>
      <c r="H403" s="3" t="s">
        <v>21</v>
      </c>
      <c r="I403" s="3">
        <v>14.07</v>
      </c>
      <c r="J403" s="3" t="s">
        <v>30</v>
      </c>
    </row>
    <row r="404" spans="1:10" x14ac:dyDescent="0.25">
      <c r="A404" s="1">
        <v>98</v>
      </c>
      <c r="B404" t="s">
        <v>26</v>
      </c>
      <c r="C404">
        <v>61</v>
      </c>
      <c r="D404">
        <v>2</v>
      </c>
      <c r="E404" t="s">
        <v>47</v>
      </c>
      <c r="F404" t="s">
        <v>48</v>
      </c>
      <c r="G404" t="str">
        <f>"2026-03-16 11:53:11.669"</f>
        <v>2026-03-16 11:53:11.669</v>
      </c>
      <c r="H404" t="s">
        <v>21</v>
      </c>
    </row>
    <row r="405" spans="1:10" x14ac:dyDescent="0.25">
      <c r="A405" s="1">
        <v>99</v>
      </c>
      <c r="B405" t="s">
        <v>45</v>
      </c>
      <c r="C405">
        <v>61</v>
      </c>
      <c r="D405">
        <v>2</v>
      </c>
      <c r="E405" t="s">
        <v>47</v>
      </c>
      <c r="F405" t="s">
        <v>48</v>
      </c>
      <c r="G405" t="str">
        <f>"2026-03-16 11:52:40.569"</f>
        <v>2026-03-16 11:52:40.569</v>
      </c>
      <c r="H405" t="s">
        <v>21</v>
      </c>
      <c r="I405">
        <v>30.34</v>
      </c>
      <c r="J405" t="s">
        <v>30</v>
      </c>
    </row>
    <row r="406" spans="1:10" x14ac:dyDescent="0.25">
      <c r="A406" s="1">
        <v>0</v>
      </c>
      <c r="B406" t="s">
        <v>26</v>
      </c>
      <c r="C406">
        <v>61</v>
      </c>
      <c r="D406">
        <v>2</v>
      </c>
      <c r="E406" t="s">
        <v>47</v>
      </c>
      <c r="F406" t="s">
        <v>48</v>
      </c>
      <c r="G406" t="str">
        <f>"2026-03-16 11:18:36.869"</f>
        <v>2026-03-16 11:18:36.869</v>
      </c>
      <c r="H406" t="s">
        <v>21</v>
      </c>
    </row>
    <row r="407" spans="1:10" x14ac:dyDescent="0.25">
      <c r="A407" s="1">
        <v>1</v>
      </c>
      <c r="B407" t="s">
        <v>45</v>
      </c>
      <c r="C407">
        <v>61</v>
      </c>
      <c r="D407">
        <v>2</v>
      </c>
      <c r="E407" t="s">
        <v>47</v>
      </c>
      <c r="F407" t="s">
        <v>48</v>
      </c>
      <c r="G407" t="str">
        <f>"2026-03-16 11:18:06.369"</f>
        <v>2026-03-16 11:18:06.369</v>
      </c>
      <c r="H407" t="s">
        <v>21</v>
      </c>
      <c r="I407">
        <v>30.13</v>
      </c>
      <c r="J407" t="s">
        <v>30</v>
      </c>
    </row>
    <row r="408" spans="1:10" x14ac:dyDescent="0.25">
      <c r="A408" s="1">
        <v>2</v>
      </c>
      <c r="B408" t="s">
        <v>26</v>
      </c>
      <c r="C408">
        <v>61</v>
      </c>
      <c r="D408">
        <v>2</v>
      </c>
      <c r="E408" t="s">
        <v>47</v>
      </c>
      <c r="F408" t="s">
        <v>48</v>
      </c>
      <c r="G408" t="str">
        <f>"2026-03-16 09:11:00.869"</f>
        <v>2026-03-16 09:11:00.869</v>
      </c>
      <c r="H408" t="s">
        <v>21</v>
      </c>
    </row>
    <row r="409" spans="1:10" x14ac:dyDescent="0.25">
      <c r="A409" s="1">
        <v>3</v>
      </c>
      <c r="B409" t="s">
        <v>45</v>
      </c>
      <c r="C409">
        <v>61</v>
      </c>
      <c r="D409">
        <v>2</v>
      </c>
      <c r="E409" t="s">
        <v>47</v>
      </c>
      <c r="F409" t="s">
        <v>48</v>
      </c>
      <c r="G409" t="str">
        <f>"2026-03-16 09:10:41.869"</f>
        <v>2026-03-16 09:10:41.869</v>
      </c>
      <c r="H409" t="s">
        <v>21</v>
      </c>
      <c r="I409">
        <v>30.27</v>
      </c>
      <c r="J409" t="s">
        <v>30</v>
      </c>
    </row>
    <row r="410" spans="1:10" x14ac:dyDescent="0.25">
      <c r="A410" s="1">
        <v>4</v>
      </c>
      <c r="B410" t="s">
        <v>26</v>
      </c>
      <c r="C410">
        <v>635</v>
      </c>
      <c r="D410">
        <v>1</v>
      </c>
      <c r="E410" t="s">
        <v>27</v>
      </c>
      <c r="F410" t="s">
        <v>28</v>
      </c>
      <c r="G410" t="str">
        <f>"2026-03-16 02:57:22.048"</f>
        <v>2026-03-16 02:57:22.048</v>
      </c>
      <c r="H410" t="s">
        <v>21</v>
      </c>
    </row>
    <row r="411" spans="1:10" x14ac:dyDescent="0.25">
      <c r="A411" s="1">
        <v>5</v>
      </c>
      <c r="B411" t="s">
        <v>29</v>
      </c>
      <c r="C411">
        <v>635</v>
      </c>
      <c r="D411">
        <v>1</v>
      </c>
      <c r="E411" t="s">
        <v>27</v>
      </c>
      <c r="F411" t="s">
        <v>28</v>
      </c>
      <c r="G411" t="str">
        <f>"2026-03-16 02:53:39.549"</f>
        <v>2026-03-16 02:53:39.549</v>
      </c>
      <c r="H411" t="s">
        <v>21</v>
      </c>
      <c r="I411">
        <v>2.63</v>
      </c>
      <c r="J411" t="s">
        <v>38</v>
      </c>
    </row>
    <row r="412" spans="1:10" x14ac:dyDescent="0.25">
      <c r="A412" s="1">
        <v>6</v>
      </c>
      <c r="B412" t="s">
        <v>26</v>
      </c>
      <c r="C412">
        <v>61</v>
      </c>
      <c r="D412">
        <v>2</v>
      </c>
      <c r="E412" t="s">
        <v>47</v>
      </c>
      <c r="F412" t="s">
        <v>48</v>
      </c>
      <c r="G412" t="str">
        <f>"2026-03-14 19:30:07.769"</f>
        <v>2026-03-14 19:30:07.769</v>
      </c>
      <c r="H412" t="s">
        <v>21</v>
      </c>
    </row>
    <row r="413" spans="1:10" x14ac:dyDescent="0.25">
      <c r="A413" s="1">
        <v>7</v>
      </c>
      <c r="B413" t="s">
        <v>45</v>
      </c>
      <c r="C413">
        <v>61</v>
      </c>
      <c r="D413">
        <v>2</v>
      </c>
      <c r="E413" t="s">
        <v>47</v>
      </c>
      <c r="F413" t="s">
        <v>48</v>
      </c>
      <c r="G413" t="str">
        <f>"2026-03-14 19:29:36.269"</f>
        <v>2026-03-14 19:29:36.269</v>
      </c>
      <c r="H413" t="s">
        <v>21</v>
      </c>
      <c r="I413">
        <v>30.22</v>
      </c>
      <c r="J413" t="s">
        <v>30</v>
      </c>
    </row>
    <row r="414" spans="1:10" x14ac:dyDescent="0.25">
      <c r="A414" s="1">
        <v>8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"2026-03-13 21:22:56.493"</f>
        <v>2026-03-13 21:22:56.493</v>
      </c>
      <c r="H414" t="s">
        <v>21</v>
      </c>
    </row>
    <row r="415" spans="1:10" x14ac:dyDescent="0.25">
      <c r="A415" s="1">
        <v>9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"2026-03-13 21:17:40.498"</f>
        <v>2026-03-13 21:17:40.498</v>
      </c>
      <c r="H415" t="s">
        <v>21</v>
      </c>
      <c r="I415">
        <v>0</v>
      </c>
      <c r="J415" t="s">
        <v>22</v>
      </c>
    </row>
    <row r="416" spans="1:10" x14ac:dyDescent="0.25">
      <c r="A416" s="1">
        <v>10</v>
      </c>
      <c r="B416" t="s">
        <v>26</v>
      </c>
      <c r="C416">
        <v>635</v>
      </c>
      <c r="D416">
        <v>1</v>
      </c>
      <c r="E416" t="s">
        <v>27</v>
      </c>
      <c r="F416" t="s">
        <v>28</v>
      </c>
      <c r="G416" t="str">
        <f>"2026-03-13 05:36:36.260"</f>
        <v>2026-03-13 05:36:36.260</v>
      </c>
      <c r="H416" t="s">
        <v>21</v>
      </c>
    </row>
    <row r="417" spans="1:10" x14ac:dyDescent="0.25">
      <c r="A417" s="1">
        <v>11</v>
      </c>
      <c r="B417" t="s">
        <v>29</v>
      </c>
      <c r="C417">
        <v>635</v>
      </c>
      <c r="D417">
        <v>1</v>
      </c>
      <c r="E417" t="s">
        <v>27</v>
      </c>
      <c r="F417" t="s">
        <v>28</v>
      </c>
      <c r="G417" t="str">
        <f>"2026-03-13 05:22:39.260"</f>
        <v>2026-03-13 05:22:39.260</v>
      </c>
      <c r="H417" t="s">
        <v>21</v>
      </c>
      <c r="I417">
        <v>8.65</v>
      </c>
      <c r="J417" t="s">
        <v>38</v>
      </c>
    </row>
    <row r="418" spans="1:10" x14ac:dyDescent="0.25">
      <c r="A418" s="1">
        <v>12</v>
      </c>
      <c r="B418" t="s">
        <v>26</v>
      </c>
      <c r="C418">
        <v>61</v>
      </c>
      <c r="D418">
        <v>2</v>
      </c>
      <c r="E418" t="s">
        <v>47</v>
      </c>
      <c r="F418" t="s">
        <v>48</v>
      </c>
      <c r="G418" t="str">
        <f>"2026-03-12 17:10:39.721"</f>
        <v>2026-03-12 17:10:39.721</v>
      </c>
      <c r="H418" t="s">
        <v>21</v>
      </c>
    </row>
    <row r="419" spans="1:10" x14ac:dyDescent="0.25">
      <c r="A419" s="1">
        <v>13</v>
      </c>
      <c r="B419" t="s">
        <v>45</v>
      </c>
      <c r="C419">
        <v>61</v>
      </c>
      <c r="D419">
        <v>2</v>
      </c>
      <c r="E419" t="s">
        <v>47</v>
      </c>
      <c r="F419" t="s">
        <v>48</v>
      </c>
      <c r="G419" t="str">
        <f>"2026-03-12 17:10:09.721"</f>
        <v>2026-03-12 17:10:09.721</v>
      </c>
      <c r="H419" t="s">
        <v>21</v>
      </c>
      <c r="I419">
        <v>30.21</v>
      </c>
      <c r="J419" t="s">
        <v>30</v>
      </c>
    </row>
    <row r="420" spans="1:10" x14ac:dyDescent="0.25">
      <c r="A420" s="1">
        <v>14</v>
      </c>
      <c r="B420" t="s">
        <v>26</v>
      </c>
      <c r="C420">
        <v>635</v>
      </c>
      <c r="D420">
        <v>1</v>
      </c>
      <c r="E420" t="s">
        <v>27</v>
      </c>
      <c r="F420" t="s">
        <v>28</v>
      </c>
      <c r="G420" t="str">
        <f>"2026-03-12 15:20:28.160"</f>
        <v>2026-03-12 15:20:28.160</v>
      </c>
      <c r="H420" t="s">
        <v>21</v>
      </c>
    </row>
    <row r="421" spans="1:10" x14ac:dyDescent="0.25">
      <c r="A421" s="1">
        <v>15</v>
      </c>
      <c r="B421" t="s">
        <v>29</v>
      </c>
      <c r="C421">
        <v>635</v>
      </c>
      <c r="D421">
        <v>1</v>
      </c>
      <c r="E421" t="s">
        <v>27</v>
      </c>
      <c r="F421" t="s">
        <v>28</v>
      </c>
      <c r="G421" t="str">
        <f>"2026-03-12 15:18:22.660"</f>
        <v>2026-03-12 15:18:22.660</v>
      </c>
      <c r="H421" t="s">
        <v>21</v>
      </c>
      <c r="I421">
        <v>2.67</v>
      </c>
      <c r="J421" t="s">
        <v>38</v>
      </c>
    </row>
    <row r="422" spans="1:10" x14ac:dyDescent="0.25">
      <c r="A422" s="1">
        <v>16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"2026-03-12 09:01:13.515"</f>
        <v>2026-03-12 09:01:13.515</v>
      </c>
      <c r="H422" t="s">
        <v>21</v>
      </c>
    </row>
    <row r="423" spans="1:10" s="3" customFormat="1" x14ac:dyDescent="0.25">
      <c r="A423" s="2">
        <v>17</v>
      </c>
      <c r="B423" s="3" t="s">
        <v>26</v>
      </c>
      <c r="C423" s="3">
        <v>647</v>
      </c>
      <c r="D423" s="3">
        <v>1</v>
      </c>
      <c r="E423" s="3" t="s">
        <v>39</v>
      </c>
      <c r="F423" s="3" t="s">
        <v>40</v>
      </c>
      <c r="G423" s="3" t="str">
        <f>"2026-03-12 06:08:57.395"</f>
        <v>2026-03-12 06:08:57.395</v>
      </c>
      <c r="H423" s="3" t="s">
        <v>21</v>
      </c>
    </row>
    <row r="424" spans="1:10" s="3" customFormat="1" x14ac:dyDescent="0.25">
      <c r="A424" s="2">
        <v>18</v>
      </c>
      <c r="B424" s="3" t="s">
        <v>29</v>
      </c>
      <c r="C424" s="3">
        <v>647</v>
      </c>
      <c r="D424" s="3">
        <v>1</v>
      </c>
      <c r="E424" s="3" t="s">
        <v>39</v>
      </c>
      <c r="F424" s="3" t="s">
        <v>40</v>
      </c>
      <c r="G424" s="3" t="str">
        <f>"2026-03-12 06:08:53.395"</f>
        <v>2026-03-12 06:08:53.395</v>
      </c>
      <c r="H424" s="3" t="s">
        <v>21</v>
      </c>
      <c r="I424" s="3">
        <v>8.27</v>
      </c>
      <c r="J424" s="3" t="s">
        <v>30</v>
      </c>
    </row>
    <row r="425" spans="1:10" x14ac:dyDescent="0.25">
      <c r="A425" s="1">
        <v>19</v>
      </c>
      <c r="B425" t="s">
        <v>26</v>
      </c>
      <c r="C425">
        <v>635</v>
      </c>
      <c r="D425">
        <v>1</v>
      </c>
      <c r="E425" t="s">
        <v>27</v>
      </c>
      <c r="F425" t="s">
        <v>28</v>
      </c>
      <c r="G425" t="str">
        <f>"2026-03-11 08:48:41.341"</f>
        <v>2026-03-11 08:48:41.341</v>
      </c>
      <c r="H425" t="s">
        <v>21</v>
      </c>
    </row>
    <row r="426" spans="1:10" x14ac:dyDescent="0.25">
      <c r="A426" s="1">
        <v>20</v>
      </c>
      <c r="B426" t="s">
        <v>29</v>
      </c>
      <c r="C426">
        <v>635</v>
      </c>
      <c r="D426">
        <v>1</v>
      </c>
      <c r="E426" t="s">
        <v>27</v>
      </c>
      <c r="F426" t="s">
        <v>28</v>
      </c>
      <c r="G426" t="str">
        <f>"2026-03-11 08:45:07.342"</f>
        <v>2026-03-11 08:45:07.342</v>
      </c>
      <c r="H426" t="s">
        <v>21</v>
      </c>
      <c r="I426">
        <v>4.5999999999999996</v>
      </c>
      <c r="J426" t="s">
        <v>38</v>
      </c>
    </row>
    <row r="427" spans="1:10" x14ac:dyDescent="0.25">
      <c r="A427" s="1">
        <v>21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"2026-03-11 07:43:02.511"</f>
        <v>2026-03-11 07:43:02.511</v>
      </c>
      <c r="H427" t="s">
        <v>21</v>
      </c>
      <c r="I427">
        <v>0</v>
      </c>
      <c r="J427" t="s">
        <v>22</v>
      </c>
    </row>
    <row r="428" spans="1:10" x14ac:dyDescent="0.25">
      <c r="A428" s="1">
        <v>22</v>
      </c>
      <c r="B428" t="s">
        <v>26</v>
      </c>
      <c r="C428">
        <v>635</v>
      </c>
      <c r="D428">
        <v>1</v>
      </c>
      <c r="E428" t="s">
        <v>27</v>
      </c>
      <c r="F428" t="s">
        <v>28</v>
      </c>
      <c r="G428" t="str">
        <f>"2026-03-11 07:10:34.069"</f>
        <v>2026-03-11 07:10:34.069</v>
      </c>
      <c r="H428" t="s">
        <v>21</v>
      </c>
    </row>
    <row r="429" spans="1:10" x14ac:dyDescent="0.25">
      <c r="A429" s="1">
        <v>23</v>
      </c>
      <c r="B429" t="s">
        <v>29</v>
      </c>
      <c r="C429">
        <v>635</v>
      </c>
      <c r="D429">
        <v>1</v>
      </c>
      <c r="E429" t="s">
        <v>27</v>
      </c>
      <c r="F429" t="s">
        <v>28</v>
      </c>
      <c r="G429" t="str">
        <f>"2026-03-11 07:08:07.070"</f>
        <v>2026-03-11 07:08:07.070</v>
      </c>
      <c r="H429" t="s">
        <v>21</v>
      </c>
      <c r="I429">
        <v>-1.29</v>
      </c>
      <c r="J429" t="s">
        <v>34</v>
      </c>
    </row>
    <row r="430" spans="1:10" x14ac:dyDescent="0.25">
      <c r="A430" s="1">
        <v>24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"2026-03-10 16:59:32.480"</f>
        <v>2026-03-10 16:59:32.480</v>
      </c>
      <c r="H430" t="s">
        <v>21</v>
      </c>
    </row>
    <row r="431" spans="1:10" x14ac:dyDescent="0.25">
      <c r="A431" s="1">
        <v>25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"2026-03-10 15:31:57.510"</f>
        <v>2026-03-10 15:31:57.510</v>
      </c>
      <c r="H431" t="s">
        <v>21</v>
      </c>
      <c r="I431">
        <v>0</v>
      </c>
      <c r="J431" t="s">
        <v>22</v>
      </c>
    </row>
    <row r="432" spans="1:10" x14ac:dyDescent="0.25">
      <c r="A432" s="1">
        <v>26</v>
      </c>
      <c r="B432" t="s">
        <v>19</v>
      </c>
      <c r="C432">
        <v>706</v>
      </c>
      <c r="D432">
        <v>4</v>
      </c>
      <c r="E432" t="s">
        <v>23</v>
      </c>
      <c r="F432" t="s">
        <v>24</v>
      </c>
      <c r="G432" t="str">
        <f>"2026-03-10 15:29:54.989"</f>
        <v>2026-03-10 15:29:54.989</v>
      </c>
      <c r="H432" t="s">
        <v>21</v>
      </c>
      <c r="I432">
        <v>0</v>
      </c>
      <c r="J432" t="s">
        <v>25</v>
      </c>
    </row>
    <row r="433" spans="1:10" x14ac:dyDescent="0.25">
      <c r="A433" s="1">
        <v>27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"2026-03-10 13:45:41.509"</f>
        <v>2026-03-10 13:45:41.509</v>
      </c>
      <c r="H433" t="s">
        <v>21</v>
      </c>
      <c r="I433">
        <v>0</v>
      </c>
      <c r="J433" t="s">
        <v>22</v>
      </c>
    </row>
    <row r="434" spans="1:10" x14ac:dyDescent="0.25">
      <c r="A434" s="1">
        <v>28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"2026-03-10 10:44:31.644"</f>
        <v>2026-03-10 10:44:31.644</v>
      </c>
      <c r="H434" t="s">
        <v>21</v>
      </c>
      <c r="I434">
        <v>0</v>
      </c>
      <c r="J434" t="s">
        <v>22</v>
      </c>
    </row>
    <row r="435" spans="1:10" x14ac:dyDescent="0.25">
      <c r="A435" s="1">
        <v>29</v>
      </c>
      <c r="B435" t="s">
        <v>19</v>
      </c>
      <c r="C435">
        <v>706</v>
      </c>
      <c r="D435">
        <v>4</v>
      </c>
      <c r="E435" t="s">
        <v>23</v>
      </c>
      <c r="F435" t="s">
        <v>24</v>
      </c>
      <c r="G435" t="str">
        <f>"2026-03-10 10:30:32.279"</f>
        <v>2026-03-10 10:30:32.279</v>
      </c>
      <c r="H435" t="s">
        <v>21</v>
      </c>
      <c r="I435">
        <v>0</v>
      </c>
      <c r="J435" t="s">
        <v>25</v>
      </c>
    </row>
    <row r="436" spans="1:10" x14ac:dyDescent="0.25">
      <c r="A436" s="1">
        <v>30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"2026-03-10 10:28:53.729"</f>
        <v>2026-03-10 10:28:53.729</v>
      </c>
      <c r="H436" t="s">
        <v>21</v>
      </c>
    </row>
    <row r="437" spans="1:10" x14ac:dyDescent="0.25">
      <c r="A437" s="1">
        <v>31</v>
      </c>
      <c r="B437" t="s">
        <v>26</v>
      </c>
      <c r="C437">
        <v>635</v>
      </c>
      <c r="D437">
        <v>1</v>
      </c>
      <c r="E437" t="s">
        <v>27</v>
      </c>
      <c r="F437" t="s">
        <v>28</v>
      </c>
      <c r="G437" t="str">
        <f>"2026-03-09 17:50:38.299"</f>
        <v>2026-03-09 17:50:38.299</v>
      </c>
      <c r="H437" t="s">
        <v>21</v>
      </c>
    </row>
    <row r="438" spans="1:10" x14ac:dyDescent="0.25">
      <c r="A438" s="1">
        <v>32</v>
      </c>
      <c r="B438" t="s">
        <v>29</v>
      </c>
      <c r="C438">
        <v>635</v>
      </c>
      <c r="D438">
        <v>1</v>
      </c>
      <c r="E438" t="s">
        <v>27</v>
      </c>
      <c r="F438" t="s">
        <v>28</v>
      </c>
      <c r="G438" t="str">
        <f>"2026-03-09 17:47:07.299"</f>
        <v>2026-03-09 17:47:07.299</v>
      </c>
      <c r="H438" t="s">
        <v>21</v>
      </c>
      <c r="I438">
        <v>3.55</v>
      </c>
      <c r="J438" t="s">
        <v>38</v>
      </c>
    </row>
    <row r="439" spans="1:10" s="3" customFormat="1" x14ac:dyDescent="0.25">
      <c r="A439" s="2">
        <v>33</v>
      </c>
      <c r="B439" s="3" t="s">
        <v>26</v>
      </c>
      <c r="C439" s="3">
        <v>647</v>
      </c>
      <c r="D439" s="3">
        <v>1</v>
      </c>
      <c r="E439" s="3" t="s">
        <v>39</v>
      </c>
      <c r="F439" s="3" t="s">
        <v>40</v>
      </c>
      <c r="G439" s="3" t="str">
        <f>"2026-03-08 10:51:16.099"</f>
        <v>2026-03-08 10:51:16.099</v>
      </c>
      <c r="H439" s="3" t="s">
        <v>21</v>
      </c>
    </row>
    <row r="440" spans="1:10" s="3" customFormat="1" x14ac:dyDescent="0.25">
      <c r="A440" s="2">
        <v>34</v>
      </c>
      <c r="B440" s="3" t="s">
        <v>29</v>
      </c>
      <c r="C440" s="3">
        <v>647</v>
      </c>
      <c r="D440" s="3">
        <v>1</v>
      </c>
      <c r="E440" s="3" t="s">
        <v>39</v>
      </c>
      <c r="F440" s="3" t="s">
        <v>40</v>
      </c>
      <c r="G440" s="3" t="str">
        <f>"2026-03-08 10:51:14.799"</f>
        <v>2026-03-08 10:51:14.799</v>
      </c>
      <c r="H440" s="3" t="s">
        <v>21</v>
      </c>
      <c r="I440" s="3">
        <v>13.12</v>
      </c>
      <c r="J440" s="3" t="s">
        <v>30</v>
      </c>
    </row>
    <row r="441" spans="1:10" x14ac:dyDescent="0.25">
      <c r="A441" s="1">
        <v>35</v>
      </c>
      <c r="B441" t="s">
        <v>26</v>
      </c>
      <c r="C441">
        <v>635</v>
      </c>
      <c r="D441">
        <v>1</v>
      </c>
      <c r="E441" t="s">
        <v>27</v>
      </c>
      <c r="F441" t="s">
        <v>28</v>
      </c>
      <c r="G441" t="str">
        <f>"2026-03-08 06:19:26.399"</f>
        <v>2026-03-08 06:19:26.399</v>
      </c>
      <c r="H441" t="s">
        <v>21</v>
      </c>
    </row>
    <row r="442" spans="1:10" x14ac:dyDescent="0.25">
      <c r="A442" s="1">
        <v>36</v>
      </c>
      <c r="B442" t="s">
        <v>29</v>
      </c>
      <c r="C442">
        <v>635</v>
      </c>
      <c r="D442">
        <v>1</v>
      </c>
      <c r="E442" t="s">
        <v>27</v>
      </c>
      <c r="F442" t="s">
        <v>28</v>
      </c>
      <c r="G442" t="str">
        <f>"2026-03-08 06:07:02.399"</f>
        <v>2026-03-08 06:07:02.399</v>
      </c>
      <c r="H442" t="s">
        <v>21</v>
      </c>
      <c r="I442">
        <v>5.01</v>
      </c>
      <c r="J442" t="s">
        <v>38</v>
      </c>
    </row>
    <row r="443" spans="1:10" x14ac:dyDescent="0.25">
      <c r="A443" s="1">
        <v>37</v>
      </c>
      <c r="B443" t="s">
        <v>26</v>
      </c>
      <c r="C443">
        <v>61</v>
      </c>
      <c r="D443">
        <v>2</v>
      </c>
      <c r="E443" t="s">
        <v>47</v>
      </c>
      <c r="F443" t="s">
        <v>48</v>
      </c>
      <c r="G443" t="str">
        <f>"2026-03-07 16:11:51.512"</f>
        <v>2026-03-07 16:11:51.512</v>
      </c>
      <c r="H443" t="s">
        <v>21</v>
      </c>
    </row>
    <row r="444" spans="1:10" x14ac:dyDescent="0.25">
      <c r="A444" s="1">
        <v>38</v>
      </c>
      <c r="B444" t="s">
        <v>45</v>
      </c>
      <c r="C444">
        <v>61</v>
      </c>
      <c r="D444">
        <v>2</v>
      </c>
      <c r="E444" t="s">
        <v>47</v>
      </c>
      <c r="F444" t="s">
        <v>48</v>
      </c>
      <c r="G444" t="str">
        <f>"2026-03-07 16:11:21.112"</f>
        <v>2026-03-07 16:11:21.112</v>
      </c>
      <c r="H444" t="s">
        <v>21</v>
      </c>
      <c r="I444">
        <v>30.13</v>
      </c>
      <c r="J444" t="s">
        <v>30</v>
      </c>
    </row>
    <row r="445" spans="1:10" x14ac:dyDescent="0.25">
      <c r="A445" s="1">
        <v>39</v>
      </c>
      <c r="B445" t="s">
        <v>26</v>
      </c>
      <c r="C445">
        <v>61</v>
      </c>
      <c r="D445">
        <v>2</v>
      </c>
      <c r="E445" t="s">
        <v>47</v>
      </c>
      <c r="F445" t="s">
        <v>48</v>
      </c>
      <c r="G445" t="str">
        <f>"2026-03-07 12:13:24.912"</f>
        <v>2026-03-07 12:13:24.912</v>
      </c>
      <c r="H445" t="s">
        <v>21</v>
      </c>
    </row>
    <row r="446" spans="1:10" x14ac:dyDescent="0.25">
      <c r="A446" s="1">
        <v>40</v>
      </c>
      <c r="B446" t="s">
        <v>45</v>
      </c>
      <c r="C446">
        <v>61</v>
      </c>
      <c r="D446">
        <v>2</v>
      </c>
      <c r="E446" t="s">
        <v>47</v>
      </c>
      <c r="F446" t="s">
        <v>48</v>
      </c>
      <c r="G446" t="str">
        <f>"2026-03-07 12:12:41.812"</f>
        <v>2026-03-07 12:12:41.812</v>
      </c>
      <c r="H446" t="s">
        <v>21</v>
      </c>
      <c r="I446">
        <v>30.73</v>
      </c>
      <c r="J446" t="s">
        <v>30</v>
      </c>
    </row>
    <row r="447" spans="1:10" x14ac:dyDescent="0.25">
      <c r="A447" s="1">
        <v>41</v>
      </c>
      <c r="B447" t="s">
        <v>26</v>
      </c>
      <c r="C447">
        <v>61</v>
      </c>
      <c r="D447">
        <v>2</v>
      </c>
      <c r="E447" t="s">
        <v>47</v>
      </c>
      <c r="F447" t="s">
        <v>48</v>
      </c>
      <c r="G447" t="str">
        <f>"2026-03-07 10:39:05.012"</f>
        <v>2026-03-07 10:39:05.012</v>
      </c>
      <c r="H447" t="s">
        <v>21</v>
      </c>
    </row>
    <row r="448" spans="1:10" x14ac:dyDescent="0.25">
      <c r="A448" s="1">
        <v>42</v>
      </c>
      <c r="B448" t="s">
        <v>45</v>
      </c>
      <c r="C448">
        <v>61</v>
      </c>
      <c r="D448">
        <v>2</v>
      </c>
      <c r="E448" t="s">
        <v>47</v>
      </c>
      <c r="F448" t="s">
        <v>48</v>
      </c>
      <c r="G448" t="str">
        <f>"2026-03-07 10:38:33.912"</f>
        <v>2026-03-07 10:38:33.912</v>
      </c>
      <c r="H448" t="s">
        <v>21</v>
      </c>
      <c r="I448">
        <v>30.41</v>
      </c>
      <c r="J448" t="s">
        <v>30</v>
      </c>
    </row>
    <row r="449" spans="1:10" x14ac:dyDescent="0.25">
      <c r="A449" s="1">
        <v>43</v>
      </c>
      <c r="B449" t="s">
        <v>26</v>
      </c>
      <c r="C449">
        <v>635</v>
      </c>
      <c r="D449">
        <v>1</v>
      </c>
      <c r="E449" t="s">
        <v>27</v>
      </c>
      <c r="F449" t="s">
        <v>28</v>
      </c>
      <c r="G449" t="str">
        <f>"2026-03-07 10:27:01.899"</f>
        <v>2026-03-07 10:27:01.899</v>
      </c>
      <c r="H449" t="s">
        <v>21</v>
      </c>
    </row>
    <row r="450" spans="1:10" x14ac:dyDescent="0.25">
      <c r="A450" s="1">
        <v>44</v>
      </c>
      <c r="B450" t="s">
        <v>29</v>
      </c>
      <c r="C450">
        <v>635</v>
      </c>
      <c r="D450">
        <v>1</v>
      </c>
      <c r="E450" t="s">
        <v>27</v>
      </c>
      <c r="F450" t="s">
        <v>28</v>
      </c>
      <c r="G450" t="str">
        <f>"2026-03-07 10:23:52.399"</f>
        <v>2026-03-07 10:23:52.399</v>
      </c>
      <c r="H450" t="s">
        <v>21</v>
      </c>
      <c r="I450">
        <v>0.01</v>
      </c>
      <c r="J450" t="s">
        <v>34</v>
      </c>
    </row>
    <row r="451" spans="1:10" s="3" customFormat="1" x14ac:dyDescent="0.25">
      <c r="A451" s="2">
        <v>45</v>
      </c>
      <c r="B451" s="3" t="s">
        <v>26</v>
      </c>
      <c r="C451" s="3">
        <v>647</v>
      </c>
      <c r="D451" s="3">
        <v>1</v>
      </c>
      <c r="E451" s="3" t="s">
        <v>39</v>
      </c>
      <c r="F451" s="3" t="s">
        <v>40</v>
      </c>
      <c r="G451" s="3" t="str">
        <f>"2026-03-05 15:40:00.899"</f>
        <v>2026-03-05 15:40:00.899</v>
      </c>
      <c r="H451" s="3" t="s">
        <v>21</v>
      </c>
    </row>
    <row r="452" spans="1:10" s="3" customFormat="1" x14ac:dyDescent="0.25">
      <c r="A452" s="2">
        <v>46</v>
      </c>
      <c r="B452" s="3" t="s">
        <v>29</v>
      </c>
      <c r="C452" s="3">
        <v>647</v>
      </c>
      <c r="D452" s="3">
        <v>1</v>
      </c>
      <c r="E452" s="3" t="s">
        <v>39</v>
      </c>
      <c r="F452" s="3" t="s">
        <v>40</v>
      </c>
      <c r="G452" s="3" t="str">
        <f>"2026-03-05 15:39:58.599"</f>
        <v>2026-03-05 15:39:58.599</v>
      </c>
      <c r="H452" s="3" t="s">
        <v>21</v>
      </c>
      <c r="I452" s="3">
        <v>9.68</v>
      </c>
      <c r="J452" s="3" t="s">
        <v>30</v>
      </c>
    </row>
    <row r="453" spans="1:10" x14ac:dyDescent="0.25">
      <c r="A453" s="1">
        <v>47</v>
      </c>
      <c r="B453" t="s">
        <v>26</v>
      </c>
      <c r="C453">
        <v>635</v>
      </c>
      <c r="D453">
        <v>1</v>
      </c>
      <c r="E453" t="s">
        <v>27</v>
      </c>
      <c r="F453" t="s">
        <v>28</v>
      </c>
      <c r="G453" t="str">
        <f>"2026-03-05 04:49:16.799"</f>
        <v>2026-03-05 04:49:16.799</v>
      </c>
      <c r="H453" t="s">
        <v>21</v>
      </c>
    </row>
    <row r="454" spans="1:10" x14ac:dyDescent="0.25">
      <c r="A454" s="1">
        <v>48</v>
      </c>
      <c r="B454" t="s">
        <v>29</v>
      </c>
      <c r="C454">
        <v>635</v>
      </c>
      <c r="D454">
        <v>1</v>
      </c>
      <c r="E454" t="s">
        <v>27</v>
      </c>
      <c r="F454" t="s">
        <v>28</v>
      </c>
      <c r="G454" t="str">
        <f>"2026-03-05 04:42:32.799"</f>
        <v>2026-03-05 04:42:32.799</v>
      </c>
      <c r="H454" t="s">
        <v>21</v>
      </c>
      <c r="I454">
        <v>1.07</v>
      </c>
      <c r="J454" t="s">
        <v>38</v>
      </c>
    </row>
    <row r="455" spans="1:10" s="3" customFormat="1" x14ac:dyDescent="0.25">
      <c r="A455" s="2">
        <v>49</v>
      </c>
      <c r="B455" s="3" t="s">
        <v>26</v>
      </c>
      <c r="C455" s="3">
        <v>647</v>
      </c>
      <c r="D455" s="3">
        <v>1</v>
      </c>
      <c r="E455" s="3" t="s">
        <v>39</v>
      </c>
      <c r="F455" s="3" t="s">
        <v>40</v>
      </c>
      <c r="G455" s="3" t="str">
        <f>"2026-03-04 20:00:27.199"</f>
        <v>2026-03-04 20:00:27.199</v>
      </c>
      <c r="H455" s="3" t="s">
        <v>21</v>
      </c>
    </row>
    <row r="456" spans="1:10" s="3" customFormat="1" x14ac:dyDescent="0.25">
      <c r="A456" s="2">
        <v>50</v>
      </c>
      <c r="B456" s="3" t="s">
        <v>29</v>
      </c>
      <c r="C456" s="3">
        <v>647</v>
      </c>
      <c r="D456" s="3">
        <v>1</v>
      </c>
      <c r="E456" s="3" t="s">
        <v>39</v>
      </c>
      <c r="F456" s="3" t="s">
        <v>40</v>
      </c>
      <c r="G456" s="3" t="str">
        <f>"2026-03-04 20:00:21.799"</f>
        <v>2026-03-04 20:00:21.799</v>
      </c>
      <c r="H456" s="3" t="s">
        <v>21</v>
      </c>
      <c r="I456" s="3">
        <v>13.11</v>
      </c>
      <c r="J456" s="3" t="s">
        <v>30</v>
      </c>
    </row>
    <row r="457" spans="1:10" s="3" customFormat="1" x14ac:dyDescent="0.25">
      <c r="A457" s="2">
        <v>51</v>
      </c>
      <c r="B457" s="3" t="s">
        <v>26</v>
      </c>
      <c r="C457" s="3">
        <v>647</v>
      </c>
      <c r="D457" s="3">
        <v>1</v>
      </c>
      <c r="E457" s="3" t="s">
        <v>39</v>
      </c>
      <c r="F457" s="3" t="s">
        <v>40</v>
      </c>
      <c r="G457" s="3" t="str">
        <f>"2026-03-04 19:00:11.199"</f>
        <v>2026-03-04 19:00:11.199</v>
      </c>
      <c r="H457" s="3" t="s">
        <v>21</v>
      </c>
    </row>
    <row r="458" spans="1:10" s="3" customFormat="1" x14ac:dyDescent="0.25">
      <c r="A458" s="2">
        <v>52</v>
      </c>
      <c r="B458" s="3" t="s">
        <v>29</v>
      </c>
      <c r="C458" s="3">
        <v>647</v>
      </c>
      <c r="D458" s="3">
        <v>1</v>
      </c>
      <c r="E458" s="3" t="s">
        <v>39</v>
      </c>
      <c r="F458" s="3" t="s">
        <v>40</v>
      </c>
      <c r="G458" s="3" t="str">
        <f>"2026-03-04 19:00:08.300"</f>
        <v>2026-03-04 19:00:08.300</v>
      </c>
      <c r="H458" s="3" t="s">
        <v>21</v>
      </c>
      <c r="I458" s="3">
        <v>22.7</v>
      </c>
      <c r="J458" s="3" t="s">
        <v>30</v>
      </c>
    </row>
    <row r="459" spans="1:10" x14ac:dyDescent="0.25">
      <c r="A459" s="1">
        <v>53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"2026-03-04 12:18:41.500"</f>
        <v>2026-03-04 12:18:41.500</v>
      </c>
      <c r="H459" t="s">
        <v>21</v>
      </c>
      <c r="I459">
        <v>0</v>
      </c>
      <c r="J459" t="s">
        <v>22</v>
      </c>
    </row>
    <row r="460" spans="1:10" x14ac:dyDescent="0.25">
      <c r="A460" s="1">
        <v>54</v>
      </c>
      <c r="B460" t="s">
        <v>26</v>
      </c>
      <c r="C460">
        <v>635</v>
      </c>
      <c r="D460">
        <v>1</v>
      </c>
      <c r="E460" t="s">
        <v>27</v>
      </c>
      <c r="F460" t="s">
        <v>28</v>
      </c>
      <c r="G460" t="str">
        <f>"2026-03-04 09:27:50.735"</f>
        <v>2026-03-04 09:27:50.735</v>
      </c>
      <c r="H460" t="s">
        <v>21</v>
      </c>
    </row>
    <row r="461" spans="1:10" x14ac:dyDescent="0.25">
      <c r="A461" s="1">
        <v>55</v>
      </c>
      <c r="B461" t="s">
        <v>29</v>
      </c>
      <c r="C461">
        <v>635</v>
      </c>
      <c r="D461">
        <v>1</v>
      </c>
      <c r="E461" t="s">
        <v>27</v>
      </c>
      <c r="F461" t="s">
        <v>28</v>
      </c>
      <c r="G461" t="str">
        <f>"2026-03-04 09:24:56.735"</f>
        <v>2026-03-04 09:24:56.735</v>
      </c>
      <c r="H461" t="s">
        <v>21</v>
      </c>
      <c r="I461">
        <v>3.85</v>
      </c>
      <c r="J461" t="s">
        <v>34</v>
      </c>
    </row>
    <row r="462" spans="1:10" x14ac:dyDescent="0.25">
      <c r="A462" s="1">
        <v>56</v>
      </c>
      <c r="B462" t="s">
        <v>26</v>
      </c>
      <c r="C462">
        <v>61</v>
      </c>
      <c r="D462">
        <v>2</v>
      </c>
      <c r="E462" t="s">
        <v>47</v>
      </c>
      <c r="F462" t="s">
        <v>48</v>
      </c>
      <c r="G462" t="str">
        <f>"2026-03-04 07:29:02.508"</f>
        <v>2026-03-04 07:29:02.508</v>
      </c>
      <c r="H462" t="s">
        <v>21</v>
      </c>
    </row>
    <row r="463" spans="1:10" x14ac:dyDescent="0.25">
      <c r="A463" s="1">
        <v>57</v>
      </c>
      <c r="B463" t="s">
        <v>45</v>
      </c>
      <c r="C463">
        <v>61</v>
      </c>
      <c r="D463">
        <v>2</v>
      </c>
      <c r="E463" t="s">
        <v>47</v>
      </c>
      <c r="F463" t="s">
        <v>48</v>
      </c>
      <c r="G463" t="str">
        <f>"2026-03-04 07:28:52.209"</f>
        <v>2026-03-04 07:28:52.209</v>
      </c>
      <c r="H463" t="s">
        <v>21</v>
      </c>
      <c r="I463">
        <v>30.7</v>
      </c>
      <c r="J463" t="s">
        <v>30</v>
      </c>
    </row>
    <row r="464" spans="1:10" x14ac:dyDescent="0.25">
      <c r="A464" s="1">
        <v>58</v>
      </c>
      <c r="B464" t="s">
        <v>26</v>
      </c>
      <c r="C464">
        <v>635</v>
      </c>
      <c r="D464">
        <v>1</v>
      </c>
      <c r="E464" t="s">
        <v>27</v>
      </c>
      <c r="F464" t="s">
        <v>28</v>
      </c>
      <c r="G464" t="str">
        <f>"2026-03-03 23:00:37.634"</f>
        <v>2026-03-03 23:00:37.634</v>
      </c>
      <c r="H464" t="s">
        <v>21</v>
      </c>
    </row>
    <row r="465" spans="1:10" x14ac:dyDescent="0.25">
      <c r="A465" s="1">
        <v>59</v>
      </c>
      <c r="B465" t="s">
        <v>29</v>
      </c>
      <c r="C465">
        <v>635</v>
      </c>
      <c r="D465">
        <v>1</v>
      </c>
      <c r="E465" t="s">
        <v>27</v>
      </c>
      <c r="F465" t="s">
        <v>28</v>
      </c>
      <c r="G465" t="str">
        <f>"2026-03-03 22:55:18.135"</f>
        <v>2026-03-03 22:55:18.135</v>
      </c>
      <c r="H465" t="s">
        <v>21</v>
      </c>
      <c r="I465">
        <v>6.01</v>
      </c>
      <c r="J465" t="s">
        <v>38</v>
      </c>
    </row>
    <row r="466" spans="1:10" x14ac:dyDescent="0.25">
      <c r="A466" s="1">
        <v>60</v>
      </c>
      <c r="B466" t="s">
        <v>26</v>
      </c>
      <c r="C466">
        <v>635</v>
      </c>
      <c r="D466">
        <v>1</v>
      </c>
      <c r="E466" t="s">
        <v>27</v>
      </c>
      <c r="F466" t="s">
        <v>28</v>
      </c>
      <c r="G466" t="str">
        <f>"2026-03-03 19:08:39.635"</f>
        <v>2026-03-03 19:08:39.635</v>
      </c>
      <c r="H466" t="s">
        <v>21</v>
      </c>
    </row>
    <row r="467" spans="1:10" x14ac:dyDescent="0.25">
      <c r="A467" s="1">
        <v>61</v>
      </c>
      <c r="B467" t="s">
        <v>29</v>
      </c>
      <c r="C467">
        <v>635</v>
      </c>
      <c r="D467">
        <v>1</v>
      </c>
      <c r="E467" t="s">
        <v>27</v>
      </c>
      <c r="F467" t="s">
        <v>28</v>
      </c>
      <c r="G467" t="str">
        <f>"2026-03-03 19:05:17.135"</f>
        <v>2026-03-03 19:05:17.135</v>
      </c>
      <c r="H467" t="s">
        <v>21</v>
      </c>
      <c r="I467">
        <v>0.88</v>
      </c>
      <c r="J467" t="s">
        <v>30</v>
      </c>
    </row>
    <row r="468" spans="1:10" s="3" customFormat="1" x14ac:dyDescent="0.25">
      <c r="A468" s="2">
        <v>62</v>
      </c>
      <c r="B468" s="3" t="s">
        <v>26</v>
      </c>
      <c r="C468" s="3">
        <v>647</v>
      </c>
      <c r="D468" s="3">
        <v>1</v>
      </c>
      <c r="E468" s="3" t="s">
        <v>39</v>
      </c>
      <c r="F468" s="3" t="s">
        <v>40</v>
      </c>
      <c r="G468" s="3" t="str">
        <f>"2026-03-03 08:02:48.788"</f>
        <v>2026-03-03 08:02:48.788</v>
      </c>
      <c r="H468" s="3" t="s">
        <v>21</v>
      </c>
    </row>
    <row r="469" spans="1:10" s="3" customFormat="1" x14ac:dyDescent="0.25">
      <c r="A469" s="2">
        <v>63</v>
      </c>
      <c r="B469" s="3" t="s">
        <v>29</v>
      </c>
      <c r="C469" s="3">
        <v>647</v>
      </c>
      <c r="D469" s="3">
        <v>1</v>
      </c>
      <c r="E469" s="3" t="s">
        <v>39</v>
      </c>
      <c r="F469" s="3" t="s">
        <v>40</v>
      </c>
      <c r="G469" s="3" t="str">
        <f>"2026-03-03 08:02:46.688"</f>
        <v>2026-03-03 08:02:46.688</v>
      </c>
      <c r="H469" s="3" t="s">
        <v>21</v>
      </c>
      <c r="I469" s="3">
        <v>21.4</v>
      </c>
      <c r="J469" s="3" t="s">
        <v>34</v>
      </c>
    </row>
    <row r="470" spans="1:10" x14ac:dyDescent="0.25">
      <c r="A470" s="1">
        <v>64</v>
      </c>
      <c r="B470" t="s">
        <v>26</v>
      </c>
      <c r="C470">
        <v>635</v>
      </c>
      <c r="D470">
        <v>1</v>
      </c>
      <c r="E470" t="s">
        <v>27</v>
      </c>
      <c r="F470" t="s">
        <v>28</v>
      </c>
      <c r="G470" t="str">
        <f>"2026-03-02 15:45:04.235"</f>
        <v>2026-03-02 15:45:04.235</v>
      </c>
      <c r="H470" t="s">
        <v>21</v>
      </c>
    </row>
    <row r="471" spans="1:10" x14ac:dyDescent="0.25">
      <c r="A471" s="1">
        <v>65</v>
      </c>
      <c r="B471" t="s">
        <v>29</v>
      </c>
      <c r="C471">
        <v>635</v>
      </c>
      <c r="D471">
        <v>1</v>
      </c>
      <c r="E471" t="s">
        <v>27</v>
      </c>
      <c r="F471" t="s">
        <v>28</v>
      </c>
      <c r="G471" t="str">
        <f>"2026-03-02 15:39:58.735"</f>
        <v>2026-03-02 15:39:58.735</v>
      </c>
      <c r="H471" t="s">
        <v>21</v>
      </c>
      <c r="I471">
        <v>2.4500000000000002</v>
      </c>
      <c r="J471" t="s">
        <v>34</v>
      </c>
    </row>
    <row r="472" spans="1:10" x14ac:dyDescent="0.25">
      <c r="A472" s="1">
        <v>66</v>
      </c>
      <c r="B472" t="s">
        <v>19</v>
      </c>
      <c r="C472">
        <v>706</v>
      </c>
      <c r="D472">
        <v>3</v>
      </c>
      <c r="E472" t="s">
        <v>23</v>
      </c>
      <c r="F472" t="s">
        <v>35</v>
      </c>
      <c r="G472" t="str">
        <f>"2026-03-02 11:11:03.547"</f>
        <v>2026-03-02 11:11:03.547</v>
      </c>
      <c r="H472" t="s">
        <v>21</v>
      </c>
      <c r="I472">
        <v>0</v>
      </c>
      <c r="J472" t="s">
        <v>25</v>
      </c>
    </row>
    <row r="473" spans="1:10" x14ac:dyDescent="0.25">
      <c r="A473" s="1">
        <v>67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"2026-03-02 11:10:42.607"</f>
        <v>2026-03-02 11:10:42.607</v>
      </c>
      <c r="H473" t="s">
        <v>21</v>
      </c>
    </row>
    <row r="474" spans="1:10" x14ac:dyDescent="0.25">
      <c r="A474" s="1">
        <v>68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"2026-02-28 08:43:11.480"</f>
        <v>2026-02-28 08:43:11.480</v>
      </c>
      <c r="H474" t="s">
        <v>21</v>
      </c>
    </row>
    <row r="475" spans="1:10" x14ac:dyDescent="0.25">
      <c r="A475" s="1">
        <v>69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"2026-02-27 16:40:06.459"</f>
        <v>2026-02-27 16:40:06.459</v>
      </c>
      <c r="H475" t="s">
        <v>21</v>
      </c>
    </row>
    <row r="476" spans="1:10" x14ac:dyDescent="0.25">
      <c r="A476" s="1">
        <v>70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"2026-02-27 16:36:06.500"</f>
        <v>2026-02-27 16:36:06.500</v>
      </c>
      <c r="H476" t="s">
        <v>21</v>
      </c>
    </row>
    <row r="477" spans="1:10" x14ac:dyDescent="0.25">
      <c r="A477" s="1">
        <v>71</v>
      </c>
      <c r="B477" t="s">
        <v>19</v>
      </c>
      <c r="C477">
        <v>706</v>
      </c>
      <c r="D477">
        <v>4</v>
      </c>
      <c r="E477" t="s">
        <v>23</v>
      </c>
      <c r="F477" t="s">
        <v>24</v>
      </c>
      <c r="G477" t="str">
        <f>"2026-02-27 10:57:41.875"</f>
        <v>2026-02-27 10:57:41.875</v>
      </c>
      <c r="H477" t="s">
        <v>21</v>
      </c>
      <c r="I477">
        <v>0</v>
      </c>
      <c r="J477" t="s">
        <v>25</v>
      </c>
    </row>
    <row r="478" spans="1:10" x14ac:dyDescent="0.25">
      <c r="A478" s="1">
        <v>72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"2026-02-27 09:41:06.475"</f>
        <v>2026-02-27 09:41:06.475</v>
      </c>
      <c r="H478" t="s">
        <v>21</v>
      </c>
      <c r="I478">
        <v>0</v>
      </c>
      <c r="J478" t="s">
        <v>22</v>
      </c>
    </row>
    <row r="479" spans="1:10" x14ac:dyDescent="0.25">
      <c r="A479" s="1">
        <v>73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"2026-02-27 09:24:42.464"</f>
        <v>2026-02-27 09:24:42.464</v>
      </c>
      <c r="H479" t="s">
        <v>21</v>
      </c>
    </row>
    <row r="480" spans="1:10" x14ac:dyDescent="0.25">
      <c r="A480" s="1">
        <v>74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"2026-02-27 08:38:42.457"</f>
        <v>2026-02-27 08:38:42.457</v>
      </c>
      <c r="H480" t="s">
        <v>21</v>
      </c>
    </row>
    <row r="481" spans="1:10" x14ac:dyDescent="0.25">
      <c r="A481" s="1">
        <v>75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"2026-02-27 08:33:45.707"</f>
        <v>2026-02-27 08:33:45.707</v>
      </c>
      <c r="H481" t="s">
        <v>21</v>
      </c>
    </row>
    <row r="482" spans="1:10" x14ac:dyDescent="0.25">
      <c r="A482" s="1">
        <v>76</v>
      </c>
      <c r="B482" t="s">
        <v>26</v>
      </c>
      <c r="C482">
        <v>635</v>
      </c>
      <c r="D482">
        <v>1</v>
      </c>
      <c r="E482" t="s">
        <v>27</v>
      </c>
      <c r="F482" t="s">
        <v>28</v>
      </c>
      <c r="G482" t="str">
        <f>"2026-02-25 21:38:17.948"</f>
        <v>2026-02-25 21:38:17.948</v>
      </c>
      <c r="H482" t="s">
        <v>21</v>
      </c>
    </row>
    <row r="483" spans="1:10" x14ac:dyDescent="0.25">
      <c r="A483" s="1">
        <v>77</v>
      </c>
      <c r="B483" t="s">
        <v>29</v>
      </c>
      <c r="C483">
        <v>635</v>
      </c>
      <c r="D483">
        <v>1</v>
      </c>
      <c r="E483" t="s">
        <v>27</v>
      </c>
      <c r="F483" t="s">
        <v>28</v>
      </c>
      <c r="G483" t="str">
        <f>"2026-02-25 21:34:30.948"</f>
        <v>2026-02-25 21:34:30.948</v>
      </c>
      <c r="H483" t="s">
        <v>21</v>
      </c>
      <c r="I483">
        <v>2.48</v>
      </c>
      <c r="J483" t="s">
        <v>38</v>
      </c>
    </row>
    <row r="484" spans="1:10" x14ac:dyDescent="0.25">
      <c r="A484" s="1">
        <v>79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"2026-02-25 21:18:08.480"</f>
        <v>2026-02-25 21:18:08.480</v>
      </c>
      <c r="H484" t="s">
        <v>21</v>
      </c>
      <c r="I484">
        <v>0</v>
      </c>
      <c r="J484" t="s">
        <v>22</v>
      </c>
    </row>
    <row r="485" spans="1:10" x14ac:dyDescent="0.25">
      <c r="A485" s="1">
        <v>81</v>
      </c>
      <c r="B485" t="s">
        <v>26</v>
      </c>
      <c r="C485">
        <v>61</v>
      </c>
      <c r="D485">
        <v>2</v>
      </c>
      <c r="E485" t="s">
        <v>47</v>
      </c>
      <c r="F485" t="s">
        <v>48</v>
      </c>
      <c r="G485" t="str">
        <f>"2026-02-25 19:15:55.292"</f>
        <v>2026-02-25 19:15:55.292</v>
      </c>
      <c r="H485" t="s">
        <v>21</v>
      </c>
    </row>
    <row r="486" spans="1:10" x14ac:dyDescent="0.25">
      <c r="A486" s="1">
        <v>82</v>
      </c>
      <c r="B486" t="s">
        <v>45</v>
      </c>
      <c r="C486">
        <v>61</v>
      </c>
      <c r="D486">
        <v>2</v>
      </c>
      <c r="E486" t="s">
        <v>47</v>
      </c>
      <c r="F486" t="s">
        <v>48</v>
      </c>
      <c r="G486" t="str">
        <f>"2026-02-25 19:15:35.392"</f>
        <v>2026-02-25 19:15:35.392</v>
      </c>
      <c r="H486" t="s">
        <v>21</v>
      </c>
      <c r="I486">
        <v>29.8</v>
      </c>
      <c r="J486" t="s">
        <v>30</v>
      </c>
    </row>
    <row r="487" spans="1:10" x14ac:dyDescent="0.25">
      <c r="A487" s="1">
        <v>83</v>
      </c>
      <c r="B487" t="s">
        <v>26</v>
      </c>
      <c r="C487">
        <v>635</v>
      </c>
      <c r="D487">
        <v>1</v>
      </c>
      <c r="E487" t="s">
        <v>27</v>
      </c>
      <c r="F487" t="s">
        <v>28</v>
      </c>
      <c r="G487" t="str">
        <f>"2026-02-25 16:35:29.231"</f>
        <v>2026-02-25 16:35:29.231</v>
      </c>
      <c r="H487" t="s">
        <v>21</v>
      </c>
    </row>
    <row r="488" spans="1:10" x14ac:dyDescent="0.25">
      <c r="A488" s="1">
        <v>84</v>
      </c>
      <c r="B488" t="s">
        <v>29</v>
      </c>
      <c r="C488">
        <v>635</v>
      </c>
      <c r="D488">
        <v>1</v>
      </c>
      <c r="E488" t="s">
        <v>27</v>
      </c>
      <c r="F488" t="s">
        <v>28</v>
      </c>
      <c r="G488" t="str">
        <f>"2026-02-25 16:22:19.731"</f>
        <v>2026-02-25 16:22:19.731</v>
      </c>
      <c r="H488" t="s">
        <v>21</v>
      </c>
      <c r="I488">
        <v>4.88</v>
      </c>
      <c r="J488" t="s">
        <v>34</v>
      </c>
    </row>
    <row r="489" spans="1:10" s="3" customFormat="1" x14ac:dyDescent="0.25">
      <c r="A489" s="2">
        <v>85</v>
      </c>
      <c r="B489" s="3" t="s">
        <v>26</v>
      </c>
      <c r="C489" s="3">
        <v>647</v>
      </c>
      <c r="D489" s="3">
        <v>1</v>
      </c>
      <c r="E489" s="3" t="s">
        <v>39</v>
      </c>
      <c r="F489" s="3" t="s">
        <v>40</v>
      </c>
      <c r="G489" s="3" t="str">
        <f>"2026-02-25 12:32:43.279"</f>
        <v>2026-02-25 12:32:43.279</v>
      </c>
      <c r="H489" s="3" t="s">
        <v>21</v>
      </c>
    </row>
    <row r="490" spans="1:10" s="3" customFormat="1" x14ac:dyDescent="0.25">
      <c r="A490" s="2">
        <v>86</v>
      </c>
      <c r="B490" s="3" t="s">
        <v>29</v>
      </c>
      <c r="C490" s="3">
        <v>647</v>
      </c>
      <c r="D490" s="3">
        <v>1</v>
      </c>
      <c r="E490" s="3" t="s">
        <v>39</v>
      </c>
      <c r="F490" s="3" t="s">
        <v>40</v>
      </c>
      <c r="G490" s="3" t="str">
        <f>"2026-02-25 12:32:40.979"</f>
        <v>2026-02-25 12:32:40.979</v>
      </c>
      <c r="H490" s="3" t="s">
        <v>21</v>
      </c>
      <c r="I490" s="3">
        <v>9.1999999999999993</v>
      </c>
      <c r="J490" s="3" t="s">
        <v>30</v>
      </c>
    </row>
    <row r="491" spans="1:10" x14ac:dyDescent="0.25">
      <c r="A491" s="1">
        <v>87</v>
      </c>
      <c r="B491" t="s">
        <v>26</v>
      </c>
      <c r="C491">
        <v>61</v>
      </c>
      <c r="D491">
        <v>2</v>
      </c>
      <c r="E491" t="s">
        <v>47</v>
      </c>
      <c r="F491" t="s">
        <v>48</v>
      </c>
      <c r="G491" t="str">
        <f>"2026-02-24 17:22:41.692"</f>
        <v>2026-02-24 17:22:41.692</v>
      </c>
      <c r="H491" t="s">
        <v>21</v>
      </c>
    </row>
    <row r="492" spans="1:10" x14ac:dyDescent="0.25">
      <c r="A492" s="1">
        <v>88</v>
      </c>
      <c r="B492" t="s">
        <v>45</v>
      </c>
      <c r="C492">
        <v>61</v>
      </c>
      <c r="D492">
        <v>2</v>
      </c>
      <c r="E492" t="s">
        <v>47</v>
      </c>
      <c r="F492" t="s">
        <v>48</v>
      </c>
      <c r="G492" t="str">
        <f>"2026-02-24 17:22:11.592"</f>
        <v>2026-02-24 17:22:11.592</v>
      </c>
      <c r="H492" t="s">
        <v>21</v>
      </c>
      <c r="I492">
        <v>30.06</v>
      </c>
      <c r="J492" t="s">
        <v>30</v>
      </c>
    </row>
    <row r="493" spans="1:10" x14ac:dyDescent="0.25">
      <c r="A493" s="1">
        <v>89</v>
      </c>
      <c r="B493" t="s">
        <v>26</v>
      </c>
      <c r="C493">
        <v>61</v>
      </c>
      <c r="D493">
        <v>2</v>
      </c>
      <c r="E493" t="s">
        <v>47</v>
      </c>
      <c r="F493" t="s">
        <v>48</v>
      </c>
      <c r="G493" t="str">
        <f>"2026-02-24 11:16:10.292"</f>
        <v>2026-02-24 11:16:10.292</v>
      </c>
      <c r="H493" t="s">
        <v>21</v>
      </c>
    </row>
    <row r="494" spans="1:10" x14ac:dyDescent="0.25">
      <c r="A494" s="1">
        <v>90</v>
      </c>
      <c r="B494" t="s">
        <v>45</v>
      </c>
      <c r="C494">
        <v>61</v>
      </c>
      <c r="D494">
        <v>2</v>
      </c>
      <c r="E494" t="s">
        <v>47</v>
      </c>
      <c r="F494" t="s">
        <v>48</v>
      </c>
      <c r="G494" t="str">
        <f>"2026-02-24 11:15:40.192"</f>
        <v>2026-02-24 11:15:40.192</v>
      </c>
      <c r="H494" t="s">
        <v>21</v>
      </c>
      <c r="I494">
        <v>30.22</v>
      </c>
      <c r="J494" t="s">
        <v>30</v>
      </c>
    </row>
    <row r="495" spans="1:10" s="3" customFormat="1" x14ac:dyDescent="0.25">
      <c r="A495" s="2">
        <v>91</v>
      </c>
      <c r="B495" s="3" t="s">
        <v>26</v>
      </c>
      <c r="C495" s="3">
        <v>647</v>
      </c>
      <c r="D495" s="3">
        <v>1</v>
      </c>
      <c r="E495" s="3" t="s">
        <v>39</v>
      </c>
      <c r="F495" s="3" t="s">
        <v>40</v>
      </c>
      <c r="G495" s="3" t="str">
        <f>"2026-02-24 10:15:10.079"</f>
        <v>2026-02-24 10:15:10.079</v>
      </c>
      <c r="H495" s="3" t="s">
        <v>21</v>
      </c>
    </row>
    <row r="496" spans="1:10" s="3" customFormat="1" x14ac:dyDescent="0.25">
      <c r="A496" s="2">
        <v>92</v>
      </c>
      <c r="B496" s="3" t="s">
        <v>29</v>
      </c>
      <c r="C496" s="3">
        <v>647</v>
      </c>
      <c r="D496" s="3">
        <v>1</v>
      </c>
      <c r="E496" s="3" t="s">
        <v>39</v>
      </c>
      <c r="F496" s="3" t="s">
        <v>40</v>
      </c>
      <c r="G496" s="3" t="str">
        <f>"2026-02-24 10:15:01.379"</f>
        <v>2026-02-24 10:15:01.379</v>
      </c>
      <c r="H496" s="3" t="s">
        <v>21</v>
      </c>
      <c r="I496" s="3">
        <v>9.41</v>
      </c>
      <c r="J496" s="3" t="s">
        <v>34</v>
      </c>
    </row>
    <row r="497" spans="1:10" s="3" customFormat="1" x14ac:dyDescent="0.25">
      <c r="A497" s="2">
        <v>93</v>
      </c>
      <c r="B497" s="3" t="s">
        <v>26</v>
      </c>
      <c r="C497" s="3">
        <v>647</v>
      </c>
      <c r="D497" s="3">
        <v>1</v>
      </c>
      <c r="E497" s="3" t="s">
        <v>39</v>
      </c>
      <c r="F497" s="3" t="s">
        <v>40</v>
      </c>
      <c r="G497" s="3" t="str">
        <f>"2026-02-24 10:14:56.879"</f>
        <v>2026-02-24 10:14:56.879</v>
      </c>
      <c r="H497" s="3" t="s">
        <v>21</v>
      </c>
    </row>
    <row r="498" spans="1:10" s="3" customFormat="1" x14ac:dyDescent="0.25">
      <c r="A498" s="2">
        <v>94</v>
      </c>
      <c r="B498" s="3" t="s">
        <v>29</v>
      </c>
      <c r="C498" s="3">
        <v>647</v>
      </c>
      <c r="D498" s="3">
        <v>1</v>
      </c>
      <c r="E498" s="3" t="s">
        <v>39</v>
      </c>
      <c r="F498" s="3" t="s">
        <v>40</v>
      </c>
      <c r="G498" s="3" t="str">
        <f>"2026-02-24 10:14:54.379"</f>
        <v>2026-02-24 10:14:54.379</v>
      </c>
      <c r="H498" s="3" t="s">
        <v>21</v>
      </c>
      <c r="I498" s="3">
        <v>9.18</v>
      </c>
      <c r="J498" s="3" t="s">
        <v>30</v>
      </c>
    </row>
    <row r="499" spans="1:10" x14ac:dyDescent="0.25">
      <c r="A499" s="1">
        <v>95</v>
      </c>
      <c r="B499" t="s">
        <v>26</v>
      </c>
      <c r="C499">
        <v>61</v>
      </c>
      <c r="D499">
        <v>2</v>
      </c>
      <c r="E499" t="s">
        <v>47</v>
      </c>
      <c r="F499" t="s">
        <v>48</v>
      </c>
      <c r="G499" t="str">
        <f>"2026-02-24 09:57:24.792"</f>
        <v>2026-02-24 09:57:24.792</v>
      </c>
      <c r="H499" t="s">
        <v>21</v>
      </c>
    </row>
    <row r="500" spans="1:10" x14ac:dyDescent="0.25">
      <c r="A500" s="1">
        <v>96</v>
      </c>
      <c r="B500" t="s">
        <v>45</v>
      </c>
      <c r="C500">
        <v>61</v>
      </c>
      <c r="D500">
        <v>2</v>
      </c>
      <c r="E500" t="s">
        <v>47</v>
      </c>
      <c r="F500" t="s">
        <v>48</v>
      </c>
      <c r="G500" t="str">
        <f>"2026-02-24 09:56:55.692"</f>
        <v>2026-02-24 09:56:55.692</v>
      </c>
      <c r="H500" t="s">
        <v>21</v>
      </c>
      <c r="I500">
        <v>30.27</v>
      </c>
      <c r="J500" t="s">
        <v>30</v>
      </c>
    </row>
    <row r="501" spans="1:10" x14ac:dyDescent="0.25">
      <c r="A501" s="1">
        <v>97</v>
      </c>
      <c r="B501" t="s">
        <v>26</v>
      </c>
      <c r="C501">
        <v>635</v>
      </c>
      <c r="D501">
        <v>1</v>
      </c>
      <c r="E501" t="s">
        <v>27</v>
      </c>
      <c r="F501" t="s">
        <v>28</v>
      </c>
      <c r="G501" t="str">
        <f>"2026-02-24 07:11:15.831"</f>
        <v>2026-02-24 07:11:15.831</v>
      </c>
      <c r="H501" t="s">
        <v>21</v>
      </c>
    </row>
    <row r="502" spans="1:10" x14ac:dyDescent="0.25">
      <c r="A502" s="1">
        <v>98</v>
      </c>
      <c r="B502" t="s">
        <v>29</v>
      </c>
      <c r="C502">
        <v>635</v>
      </c>
      <c r="D502">
        <v>1</v>
      </c>
      <c r="E502" t="s">
        <v>27</v>
      </c>
      <c r="F502" t="s">
        <v>28</v>
      </c>
      <c r="G502" t="str">
        <f>"2026-02-24 07:08:38.831"</f>
        <v>2026-02-24 07:08:38.831</v>
      </c>
      <c r="H502" t="s">
        <v>21</v>
      </c>
      <c r="I502">
        <v>5.44</v>
      </c>
      <c r="J502" t="s">
        <v>38</v>
      </c>
    </row>
    <row r="503" spans="1:10" x14ac:dyDescent="0.25">
      <c r="A503" s="1">
        <v>99</v>
      </c>
      <c r="B503" t="s">
        <v>26</v>
      </c>
      <c r="C503">
        <v>635</v>
      </c>
      <c r="D503">
        <v>1</v>
      </c>
      <c r="E503" t="s">
        <v>27</v>
      </c>
      <c r="F503" t="s">
        <v>28</v>
      </c>
      <c r="G503" t="str">
        <f>"2026-02-23 20:53:57.631"</f>
        <v>2026-02-23 20:53:57.631</v>
      </c>
      <c r="H503" t="s">
        <v>21</v>
      </c>
    </row>
    <row r="504" spans="1:10" x14ac:dyDescent="0.25">
      <c r="A504" s="1">
        <v>0</v>
      </c>
      <c r="B504" t="s">
        <v>29</v>
      </c>
      <c r="C504">
        <v>635</v>
      </c>
      <c r="D504">
        <v>1</v>
      </c>
      <c r="E504" t="s">
        <v>27</v>
      </c>
      <c r="F504" t="s">
        <v>28</v>
      </c>
      <c r="G504" t="str">
        <f>"2026-02-23 20:50:51.631"</f>
        <v>2026-02-23 20:50:51.631</v>
      </c>
      <c r="H504" t="s">
        <v>21</v>
      </c>
      <c r="I504">
        <v>3.23</v>
      </c>
      <c r="J504" t="s">
        <v>34</v>
      </c>
    </row>
    <row r="505" spans="1:10" x14ac:dyDescent="0.25">
      <c r="A505" s="1">
        <v>1</v>
      </c>
      <c r="B505" t="s">
        <v>26</v>
      </c>
      <c r="C505">
        <v>61</v>
      </c>
      <c r="D505">
        <v>2</v>
      </c>
      <c r="E505" t="s">
        <v>47</v>
      </c>
      <c r="F505" t="s">
        <v>48</v>
      </c>
      <c r="G505" t="str">
        <f>"2026-02-23 19:37:39.792"</f>
        <v>2026-02-23 19:37:39.792</v>
      </c>
      <c r="H505" t="s">
        <v>21</v>
      </c>
    </row>
    <row r="506" spans="1:10" x14ac:dyDescent="0.25">
      <c r="A506" s="1">
        <v>2</v>
      </c>
      <c r="B506" t="s">
        <v>45</v>
      </c>
      <c r="C506">
        <v>61</v>
      </c>
      <c r="D506">
        <v>2</v>
      </c>
      <c r="E506" t="s">
        <v>47</v>
      </c>
      <c r="F506" t="s">
        <v>48</v>
      </c>
      <c r="G506" t="str">
        <f>"2026-02-23 19:37:08.791"</f>
        <v>2026-02-23 19:37:08.791</v>
      </c>
      <c r="H506" t="s">
        <v>21</v>
      </c>
      <c r="I506">
        <v>30.25</v>
      </c>
      <c r="J506" t="s">
        <v>30</v>
      </c>
    </row>
    <row r="507" spans="1:10" x14ac:dyDescent="0.25">
      <c r="A507" s="1">
        <v>3</v>
      </c>
      <c r="B507" t="s">
        <v>26</v>
      </c>
      <c r="C507">
        <v>61</v>
      </c>
      <c r="D507">
        <v>2</v>
      </c>
      <c r="E507" t="s">
        <v>47</v>
      </c>
      <c r="F507" t="s">
        <v>48</v>
      </c>
      <c r="G507" t="str">
        <f>"2026-02-23 17:33:32.592"</f>
        <v>2026-02-23 17:33:32.592</v>
      </c>
      <c r="H507" t="s">
        <v>21</v>
      </c>
    </row>
    <row r="508" spans="1:10" x14ac:dyDescent="0.25">
      <c r="A508" s="1">
        <v>4</v>
      </c>
      <c r="B508" t="s">
        <v>45</v>
      </c>
      <c r="C508">
        <v>61</v>
      </c>
      <c r="D508">
        <v>2</v>
      </c>
      <c r="E508" t="s">
        <v>47</v>
      </c>
      <c r="F508" t="s">
        <v>48</v>
      </c>
      <c r="G508" t="str">
        <f>"2026-02-23 17:33:02.692"</f>
        <v>2026-02-23 17:33:02.692</v>
      </c>
      <c r="H508" t="s">
        <v>21</v>
      </c>
      <c r="I508">
        <v>30.02</v>
      </c>
      <c r="J508" t="s">
        <v>30</v>
      </c>
    </row>
    <row r="509" spans="1:10" s="3" customFormat="1" x14ac:dyDescent="0.25">
      <c r="A509" s="2">
        <v>5</v>
      </c>
      <c r="B509" s="3" t="s">
        <v>26</v>
      </c>
      <c r="C509" s="3">
        <v>647</v>
      </c>
      <c r="D509" s="3">
        <v>1</v>
      </c>
      <c r="E509" s="3" t="s">
        <v>39</v>
      </c>
      <c r="F509" s="3" t="s">
        <v>40</v>
      </c>
      <c r="G509" s="3" t="str">
        <f>"2026-02-23 13:27:26.079"</f>
        <v>2026-02-23 13:27:26.079</v>
      </c>
      <c r="H509" s="3" t="s">
        <v>21</v>
      </c>
    </row>
    <row r="510" spans="1:10" s="3" customFormat="1" x14ac:dyDescent="0.25">
      <c r="A510" s="2">
        <v>6</v>
      </c>
      <c r="B510" s="3" t="s">
        <v>29</v>
      </c>
      <c r="C510" s="3">
        <v>647</v>
      </c>
      <c r="D510" s="3">
        <v>1</v>
      </c>
      <c r="E510" s="3" t="s">
        <v>39</v>
      </c>
      <c r="F510" s="3" t="s">
        <v>40</v>
      </c>
      <c r="G510" s="3" t="str">
        <f>"2026-02-23 13:27:22.980"</f>
        <v>2026-02-23 13:27:22.980</v>
      </c>
      <c r="H510" s="3" t="s">
        <v>21</v>
      </c>
      <c r="I510" s="3">
        <v>22.45</v>
      </c>
      <c r="J510" s="3" t="s">
        <v>30</v>
      </c>
    </row>
    <row r="511" spans="1:10" x14ac:dyDescent="0.25">
      <c r="A511" s="1">
        <v>7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"2026-02-23 10:10:32.458"</f>
        <v>2026-02-23 10:10:32.458</v>
      </c>
      <c r="H511" t="s">
        <v>21</v>
      </c>
    </row>
    <row r="512" spans="1:10" x14ac:dyDescent="0.25">
      <c r="A512" s="1">
        <v>8</v>
      </c>
      <c r="B512" t="s">
        <v>26</v>
      </c>
      <c r="C512">
        <v>635</v>
      </c>
      <c r="D512">
        <v>1</v>
      </c>
      <c r="E512" t="s">
        <v>27</v>
      </c>
      <c r="F512" t="s">
        <v>28</v>
      </c>
      <c r="G512" t="str">
        <f>"2026-02-23 06:54:11.369"</f>
        <v>2026-02-23 06:54:11.369</v>
      </c>
      <c r="H512" t="s">
        <v>21</v>
      </c>
    </row>
    <row r="513" spans="1:10" x14ac:dyDescent="0.25">
      <c r="A513" s="1">
        <v>9</v>
      </c>
      <c r="B513" t="s">
        <v>29</v>
      </c>
      <c r="C513">
        <v>635</v>
      </c>
      <c r="D513">
        <v>1</v>
      </c>
      <c r="E513" t="s">
        <v>27</v>
      </c>
      <c r="F513" t="s">
        <v>28</v>
      </c>
      <c r="G513" t="str">
        <f>"2026-02-23 06:47:48.870"</f>
        <v>2026-02-23 06:47:48.870</v>
      </c>
      <c r="H513" t="s">
        <v>21</v>
      </c>
      <c r="I513">
        <v>2.68</v>
      </c>
      <c r="J513" t="s">
        <v>38</v>
      </c>
    </row>
    <row r="514" spans="1:10" x14ac:dyDescent="0.25">
      <c r="A514" s="1">
        <v>10</v>
      </c>
      <c r="B514" t="s">
        <v>26</v>
      </c>
      <c r="C514">
        <v>635</v>
      </c>
      <c r="D514">
        <v>1</v>
      </c>
      <c r="E514" t="s">
        <v>27</v>
      </c>
      <c r="F514" t="s">
        <v>28</v>
      </c>
      <c r="G514" t="str">
        <f>"2026-02-22 16:43:20.170"</f>
        <v>2026-02-22 16:43:20.170</v>
      </c>
      <c r="H514" t="s">
        <v>21</v>
      </c>
    </row>
    <row r="515" spans="1:10" x14ac:dyDescent="0.25">
      <c r="A515" s="1">
        <v>11</v>
      </c>
      <c r="B515" t="s">
        <v>29</v>
      </c>
      <c r="C515">
        <v>635</v>
      </c>
      <c r="D515">
        <v>1</v>
      </c>
      <c r="E515" t="s">
        <v>27</v>
      </c>
      <c r="F515" t="s">
        <v>28</v>
      </c>
      <c r="G515" t="str">
        <f>"2026-02-22 16:40:52.170"</f>
        <v>2026-02-22 16:40:52.170</v>
      </c>
      <c r="H515" t="s">
        <v>21</v>
      </c>
      <c r="I515">
        <v>8.24</v>
      </c>
      <c r="J515" t="s">
        <v>38</v>
      </c>
    </row>
    <row r="516" spans="1:10" x14ac:dyDescent="0.25">
      <c r="A516" s="1">
        <v>12</v>
      </c>
      <c r="B516" t="s">
        <v>26</v>
      </c>
      <c r="C516">
        <v>635</v>
      </c>
      <c r="D516">
        <v>1</v>
      </c>
      <c r="E516" t="s">
        <v>27</v>
      </c>
      <c r="F516" t="s">
        <v>28</v>
      </c>
      <c r="G516" t="str">
        <f>"2026-02-22 12:10:35.270"</f>
        <v>2026-02-22 12:10:35.270</v>
      </c>
      <c r="H516" t="s">
        <v>21</v>
      </c>
    </row>
    <row r="517" spans="1:10" x14ac:dyDescent="0.25">
      <c r="A517" s="1">
        <v>13</v>
      </c>
      <c r="B517" t="s">
        <v>29</v>
      </c>
      <c r="C517">
        <v>635</v>
      </c>
      <c r="D517">
        <v>1</v>
      </c>
      <c r="E517" t="s">
        <v>27</v>
      </c>
      <c r="F517" t="s">
        <v>28</v>
      </c>
      <c r="G517" t="str">
        <f>"2026-02-22 12:07:10.770"</f>
        <v>2026-02-22 12:07:10.770</v>
      </c>
      <c r="H517" t="s">
        <v>21</v>
      </c>
      <c r="I517">
        <v>2.08</v>
      </c>
      <c r="J517" t="s">
        <v>34</v>
      </c>
    </row>
    <row r="518" spans="1:10" s="3" customFormat="1" x14ac:dyDescent="0.25">
      <c r="A518" s="2">
        <v>14</v>
      </c>
      <c r="B518" s="3" t="s">
        <v>26</v>
      </c>
      <c r="C518" s="3">
        <v>647</v>
      </c>
      <c r="D518" s="3">
        <v>1</v>
      </c>
      <c r="E518" s="3" t="s">
        <v>39</v>
      </c>
      <c r="F518" s="3" t="s">
        <v>40</v>
      </c>
      <c r="G518" s="3" t="str">
        <f>"2026-02-22 09:36:45.170"</f>
        <v>2026-02-22 09:36:45.170</v>
      </c>
      <c r="H518" s="3" t="s">
        <v>21</v>
      </c>
    </row>
    <row r="519" spans="1:10" s="3" customFormat="1" x14ac:dyDescent="0.25">
      <c r="A519" s="2">
        <v>15</v>
      </c>
      <c r="B519" s="3" t="s">
        <v>29</v>
      </c>
      <c r="C519" s="3">
        <v>647</v>
      </c>
      <c r="D519" s="3">
        <v>1</v>
      </c>
      <c r="E519" s="3" t="s">
        <v>39</v>
      </c>
      <c r="F519" s="3" t="s">
        <v>40</v>
      </c>
      <c r="G519" s="3" t="str">
        <f>"2026-02-22 09:36:41.270"</f>
        <v>2026-02-22 09:36:41.270</v>
      </c>
      <c r="H519" s="3" t="s">
        <v>21</v>
      </c>
      <c r="I519" s="3">
        <v>11.95</v>
      </c>
      <c r="J519" s="3" t="s">
        <v>34</v>
      </c>
    </row>
    <row r="520" spans="1:10" s="3" customFormat="1" x14ac:dyDescent="0.25">
      <c r="A520" s="2">
        <v>16</v>
      </c>
      <c r="B520" s="3" t="s">
        <v>26</v>
      </c>
      <c r="C520" s="3">
        <v>647</v>
      </c>
      <c r="D520" s="3">
        <v>1</v>
      </c>
      <c r="E520" s="3" t="s">
        <v>39</v>
      </c>
      <c r="F520" s="3" t="s">
        <v>40</v>
      </c>
      <c r="G520" s="3" t="str">
        <f>"2026-02-21 07:46:34.470"</f>
        <v>2026-02-21 07:46:34.470</v>
      </c>
      <c r="H520" s="3" t="s">
        <v>21</v>
      </c>
    </row>
    <row r="521" spans="1:10" s="3" customFormat="1" x14ac:dyDescent="0.25">
      <c r="A521" s="2">
        <v>17</v>
      </c>
      <c r="B521" s="3" t="s">
        <v>29</v>
      </c>
      <c r="C521" s="3">
        <v>647</v>
      </c>
      <c r="D521" s="3">
        <v>1</v>
      </c>
      <c r="E521" s="3" t="s">
        <v>39</v>
      </c>
      <c r="F521" s="3" t="s">
        <v>40</v>
      </c>
      <c r="G521" s="3" t="str">
        <f>"2026-02-21 07:46:32.570"</f>
        <v>2026-02-21 07:46:32.570</v>
      </c>
      <c r="H521" s="3" t="s">
        <v>21</v>
      </c>
      <c r="I521" s="3">
        <v>10.51</v>
      </c>
      <c r="J521" s="3" t="s">
        <v>30</v>
      </c>
    </row>
    <row r="522" spans="1:10" x14ac:dyDescent="0.25">
      <c r="A522" s="1">
        <v>18</v>
      </c>
      <c r="B522" t="s">
        <v>26</v>
      </c>
      <c r="C522">
        <v>61</v>
      </c>
      <c r="D522">
        <v>2</v>
      </c>
      <c r="E522" t="s">
        <v>47</v>
      </c>
      <c r="F522" t="s">
        <v>48</v>
      </c>
      <c r="G522" t="str">
        <f>"2026-02-20 17:40:23.863"</f>
        <v>2026-02-20 17:40:23.863</v>
      </c>
      <c r="H522" t="s">
        <v>21</v>
      </c>
    </row>
    <row r="523" spans="1:10" x14ac:dyDescent="0.25">
      <c r="A523" s="1">
        <v>19</v>
      </c>
      <c r="B523" t="s">
        <v>45</v>
      </c>
      <c r="C523">
        <v>61</v>
      </c>
      <c r="D523">
        <v>2</v>
      </c>
      <c r="E523" t="s">
        <v>47</v>
      </c>
      <c r="F523" t="s">
        <v>48</v>
      </c>
      <c r="G523" t="str">
        <f>"2026-02-20 17:40:06.263"</f>
        <v>2026-02-20 17:40:06.263</v>
      </c>
      <c r="H523" t="s">
        <v>21</v>
      </c>
      <c r="I523">
        <v>30.42</v>
      </c>
      <c r="J523" t="s">
        <v>30</v>
      </c>
    </row>
    <row r="524" spans="1:10" x14ac:dyDescent="0.25">
      <c r="A524" s="1">
        <v>20</v>
      </c>
      <c r="B524" t="s">
        <v>26</v>
      </c>
      <c r="C524">
        <v>635</v>
      </c>
      <c r="D524">
        <v>1</v>
      </c>
      <c r="E524" t="s">
        <v>27</v>
      </c>
      <c r="F524" t="s">
        <v>28</v>
      </c>
      <c r="G524" t="str">
        <f>"2026-02-20 11:50:43.370"</f>
        <v>2026-02-20 11:50:43.370</v>
      </c>
      <c r="H524" t="s">
        <v>21</v>
      </c>
    </row>
    <row r="525" spans="1:10" x14ac:dyDescent="0.25">
      <c r="A525" s="1">
        <v>21</v>
      </c>
      <c r="B525" t="s">
        <v>29</v>
      </c>
      <c r="C525">
        <v>635</v>
      </c>
      <c r="D525">
        <v>1</v>
      </c>
      <c r="E525" t="s">
        <v>27</v>
      </c>
      <c r="F525" t="s">
        <v>28</v>
      </c>
      <c r="G525" t="str">
        <f>"2026-02-20 11:45:59.470"</f>
        <v>2026-02-20 11:45:59.470</v>
      </c>
      <c r="H525" t="s">
        <v>21</v>
      </c>
      <c r="I525">
        <v>3.34</v>
      </c>
      <c r="J525" t="s">
        <v>34</v>
      </c>
    </row>
    <row r="526" spans="1:10" x14ac:dyDescent="0.25">
      <c r="A526" s="1">
        <v>22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"2026-02-20 11:24:25.452"</f>
        <v>2026-02-20 11:24:25.452</v>
      </c>
      <c r="H526" t="s">
        <v>21</v>
      </c>
      <c r="I526">
        <v>0</v>
      </c>
      <c r="J526" t="s">
        <v>22</v>
      </c>
    </row>
    <row r="527" spans="1:10" x14ac:dyDescent="0.25">
      <c r="A527" s="1">
        <v>23</v>
      </c>
      <c r="B527" t="s">
        <v>26</v>
      </c>
      <c r="C527">
        <v>635</v>
      </c>
      <c r="D527">
        <v>1</v>
      </c>
      <c r="E527" t="s">
        <v>27</v>
      </c>
      <c r="F527" t="s">
        <v>28</v>
      </c>
      <c r="G527" t="str">
        <f>"2026-02-20 09:58:22.889"</f>
        <v>2026-02-20 09:58:22.889</v>
      </c>
      <c r="H527" t="s">
        <v>21</v>
      </c>
    </row>
    <row r="528" spans="1:10" x14ac:dyDescent="0.25">
      <c r="A528" s="1">
        <v>24</v>
      </c>
      <c r="B528" t="s">
        <v>29</v>
      </c>
      <c r="C528">
        <v>635</v>
      </c>
      <c r="D528">
        <v>1</v>
      </c>
      <c r="E528" t="s">
        <v>27</v>
      </c>
      <c r="F528" t="s">
        <v>28</v>
      </c>
      <c r="G528" t="str">
        <f>"2026-02-20 09:54:07.389"</f>
        <v>2026-02-20 09:54:07.389</v>
      </c>
      <c r="H528" t="s">
        <v>21</v>
      </c>
      <c r="I528">
        <v>3.37</v>
      </c>
      <c r="J528" t="s">
        <v>34</v>
      </c>
    </row>
    <row r="529" spans="1:10" x14ac:dyDescent="0.25">
      <c r="A529" s="1">
        <v>25</v>
      </c>
      <c r="B529" t="s">
        <v>26</v>
      </c>
      <c r="C529">
        <v>61</v>
      </c>
      <c r="D529">
        <v>2</v>
      </c>
      <c r="E529" t="s">
        <v>47</v>
      </c>
      <c r="F529" t="s">
        <v>48</v>
      </c>
      <c r="G529" t="str">
        <f>"2026-02-19 19:29:41.802"</f>
        <v>2026-02-19 19:29:41.802</v>
      </c>
      <c r="H529" t="s">
        <v>21</v>
      </c>
    </row>
    <row r="530" spans="1:10" x14ac:dyDescent="0.25">
      <c r="A530" s="1">
        <v>26</v>
      </c>
      <c r="B530" t="s">
        <v>45</v>
      </c>
      <c r="C530">
        <v>61</v>
      </c>
      <c r="D530">
        <v>2</v>
      </c>
      <c r="E530" t="s">
        <v>47</v>
      </c>
      <c r="F530" t="s">
        <v>48</v>
      </c>
      <c r="G530" t="str">
        <f>"2026-02-19 19:29:30.302"</f>
        <v>2026-02-19 19:29:30.302</v>
      </c>
      <c r="H530" t="s">
        <v>21</v>
      </c>
      <c r="I530">
        <v>29.65</v>
      </c>
      <c r="J530" t="s">
        <v>30</v>
      </c>
    </row>
    <row r="531" spans="1:10" x14ac:dyDescent="0.25">
      <c r="A531" s="1">
        <v>27</v>
      </c>
      <c r="B531" t="s">
        <v>26</v>
      </c>
      <c r="C531">
        <v>61</v>
      </c>
      <c r="D531">
        <v>2</v>
      </c>
      <c r="E531" t="s">
        <v>47</v>
      </c>
      <c r="F531" t="s">
        <v>48</v>
      </c>
      <c r="G531" t="str">
        <f>"2026-02-19 18:00:02.302"</f>
        <v>2026-02-19 18:00:02.302</v>
      </c>
      <c r="H531" t="s">
        <v>21</v>
      </c>
    </row>
    <row r="532" spans="1:10" x14ac:dyDescent="0.25">
      <c r="A532" s="1">
        <v>28</v>
      </c>
      <c r="B532" t="s">
        <v>45</v>
      </c>
      <c r="C532">
        <v>61</v>
      </c>
      <c r="D532">
        <v>2</v>
      </c>
      <c r="E532" t="s">
        <v>47</v>
      </c>
      <c r="F532" t="s">
        <v>48</v>
      </c>
      <c r="G532" t="str">
        <f>"2026-02-19 17:59:41.001"</f>
        <v>2026-02-19 17:59:41.001</v>
      </c>
      <c r="H532" t="s">
        <v>21</v>
      </c>
      <c r="I532">
        <v>30.03</v>
      </c>
      <c r="J532" t="s">
        <v>30</v>
      </c>
    </row>
    <row r="533" spans="1:10" x14ac:dyDescent="0.25">
      <c r="A533" s="1">
        <v>29</v>
      </c>
      <c r="B533" t="s">
        <v>26</v>
      </c>
      <c r="C533">
        <v>635</v>
      </c>
      <c r="D533">
        <v>1</v>
      </c>
      <c r="E533" t="s">
        <v>27</v>
      </c>
      <c r="F533" t="s">
        <v>28</v>
      </c>
      <c r="G533" t="str">
        <f>"2026-02-19 05:25:09.089"</f>
        <v>2026-02-19 05:25:09.089</v>
      </c>
      <c r="H533" t="s">
        <v>21</v>
      </c>
    </row>
    <row r="534" spans="1:10" x14ac:dyDescent="0.25">
      <c r="A534" s="1">
        <v>30</v>
      </c>
      <c r="B534" t="s">
        <v>29</v>
      </c>
      <c r="C534">
        <v>635</v>
      </c>
      <c r="D534">
        <v>1</v>
      </c>
      <c r="E534" t="s">
        <v>27</v>
      </c>
      <c r="F534" t="s">
        <v>28</v>
      </c>
      <c r="G534" t="str">
        <f>"2026-02-19 05:19:31.090"</f>
        <v>2026-02-19 05:19:31.090</v>
      </c>
      <c r="H534" t="s">
        <v>21</v>
      </c>
      <c r="I534">
        <v>1.69</v>
      </c>
      <c r="J534" t="s">
        <v>38</v>
      </c>
    </row>
    <row r="535" spans="1:10" x14ac:dyDescent="0.25">
      <c r="A535" s="1">
        <v>31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"2026-02-17 15:09:55.569"</f>
        <v>2026-02-17 15:09:55.569</v>
      </c>
      <c r="H535" t="s">
        <v>21</v>
      </c>
      <c r="I535">
        <v>0</v>
      </c>
      <c r="J535" t="s">
        <v>22</v>
      </c>
    </row>
    <row r="536" spans="1:10" x14ac:dyDescent="0.25">
      <c r="A536" s="1">
        <v>32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"2026-02-17 14:38:43.448"</f>
        <v>2026-02-17 14:38:43.448</v>
      </c>
      <c r="H536" t="s">
        <v>21</v>
      </c>
    </row>
    <row r="537" spans="1:10" x14ac:dyDescent="0.25">
      <c r="A537" s="1">
        <v>33</v>
      </c>
      <c r="B537" t="s">
        <v>26</v>
      </c>
      <c r="C537">
        <v>635</v>
      </c>
      <c r="D537">
        <v>1</v>
      </c>
      <c r="E537" t="s">
        <v>27</v>
      </c>
      <c r="F537" t="s">
        <v>28</v>
      </c>
      <c r="G537" t="str">
        <f>"2026-02-17 12:46:09.019"</f>
        <v>2026-02-17 12:46:09.019</v>
      </c>
      <c r="H537" t="s">
        <v>21</v>
      </c>
    </row>
    <row r="538" spans="1:10" x14ac:dyDescent="0.25">
      <c r="A538" s="1">
        <v>34</v>
      </c>
      <c r="B538" t="s">
        <v>29</v>
      </c>
      <c r="C538">
        <v>635</v>
      </c>
      <c r="D538">
        <v>1</v>
      </c>
      <c r="E538" t="s">
        <v>27</v>
      </c>
      <c r="F538" t="s">
        <v>28</v>
      </c>
      <c r="G538" t="str">
        <f>"2026-02-17 12:29:28.619"</f>
        <v>2026-02-17 12:29:28.619</v>
      </c>
      <c r="H538" t="s">
        <v>21</v>
      </c>
      <c r="I538">
        <v>0.43</v>
      </c>
      <c r="J538" t="s">
        <v>38</v>
      </c>
    </row>
    <row r="539" spans="1:10" x14ac:dyDescent="0.25">
      <c r="A539" s="1">
        <v>35</v>
      </c>
      <c r="B539" t="s">
        <v>26</v>
      </c>
      <c r="C539">
        <v>635</v>
      </c>
      <c r="D539">
        <v>1</v>
      </c>
      <c r="E539" t="s">
        <v>27</v>
      </c>
      <c r="F539" t="s">
        <v>28</v>
      </c>
      <c r="G539" t="str">
        <f>"2026-02-17 11:35:54.719"</f>
        <v>2026-02-17 11:35:54.719</v>
      </c>
      <c r="H539" t="s">
        <v>21</v>
      </c>
    </row>
    <row r="540" spans="1:10" x14ac:dyDescent="0.25">
      <c r="A540" s="1">
        <v>36</v>
      </c>
      <c r="B540" t="s">
        <v>29</v>
      </c>
      <c r="C540">
        <v>635</v>
      </c>
      <c r="D540">
        <v>1</v>
      </c>
      <c r="E540" t="s">
        <v>27</v>
      </c>
      <c r="F540" t="s">
        <v>28</v>
      </c>
      <c r="G540" t="str">
        <f>"2026-02-17 11:10:33.719"</f>
        <v>2026-02-17 11:10:33.719</v>
      </c>
      <c r="H540" t="s">
        <v>21</v>
      </c>
      <c r="I540">
        <v>7.48</v>
      </c>
      <c r="J540" t="s">
        <v>38</v>
      </c>
    </row>
    <row r="541" spans="1:10" x14ac:dyDescent="0.25">
      <c r="A541" s="1">
        <v>37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"2026-02-17 09:35:07.440"</f>
        <v>2026-02-17 09:35:07.440</v>
      </c>
      <c r="H541" t="s">
        <v>21</v>
      </c>
      <c r="I541">
        <v>0</v>
      </c>
      <c r="J541" t="s">
        <v>22</v>
      </c>
    </row>
    <row r="542" spans="1:10" x14ac:dyDescent="0.25">
      <c r="A542" s="1">
        <v>38</v>
      </c>
      <c r="B542" t="s">
        <v>19</v>
      </c>
      <c r="C542">
        <v>700</v>
      </c>
      <c r="D542">
        <v>0</v>
      </c>
      <c r="E542" t="s">
        <v>20</v>
      </c>
      <c r="F542" t="s">
        <v>20</v>
      </c>
      <c r="G542" t="str">
        <f>"2026-02-17 08:51:39.437"</f>
        <v>2026-02-17 08:51:39.437</v>
      </c>
      <c r="H542" t="s">
        <v>21</v>
      </c>
      <c r="I542">
        <v>0</v>
      </c>
      <c r="J542" t="s">
        <v>22</v>
      </c>
    </row>
    <row r="543" spans="1:10" x14ac:dyDescent="0.25">
      <c r="A543" s="1">
        <v>39</v>
      </c>
      <c r="B543" t="s">
        <v>19</v>
      </c>
      <c r="C543">
        <v>706</v>
      </c>
      <c r="D543">
        <v>3</v>
      </c>
      <c r="E543" t="s">
        <v>23</v>
      </c>
      <c r="F543" t="s">
        <v>35</v>
      </c>
      <c r="G543" t="str">
        <f>"2026-02-17 08:49:11.012"</f>
        <v>2026-02-17 08:49:11.012</v>
      </c>
      <c r="H543" t="s">
        <v>21</v>
      </c>
      <c r="I543">
        <v>0</v>
      </c>
      <c r="J543" t="s">
        <v>25</v>
      </c>
    </row>
    <row r="544" spans="1:10" x14ac:dyDescent="0.25">
      <c r="A544" s="1">
        <v>40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"2026-02-17 08:34:52.442"</f>
        <v>2026-02-17 08:34:52.442</v>
      </c>
      <c r="H544" t="s">
        <v>21</v>
      </c>
      <c r="I544">
        <v>0</v>
      </c>
      <c r="J544" t="s">
        <v>22</v>
      </c>
    </row>
    <row r="545" spans="1:10" x14ac:dyDescent="0.25">
      <c r="A545" s="1">
        <v>41</v>
      </c>
      <c r="B545" t="s">
        <v>19</v>
      </c>
      <c r="C545">
        <v>706</v>
      </c>
      <c r="D545">
        <v>2</v>
      </c>
      <c r="E545" t="s">
        <v>23</v>
      </c>
      <c r="F545" t="s">
        <v>46</v>
      </c>
      <c r="G545" t="str">
        <f>"2026-02-17 04:30:06.500"</f>
        <v>2026-02-17 04:30:06.500</v>
      </c>
      <c r="H545" t="s">
        <v>21</v>
      </c>
      <c r="I545">
        <v>0</v>
      </c>
      <c r="J545" t="s">
        <v>25</v>
      </c>
    </row>
    <row r="546" spans="1:10" x14ac:dyDescent="0.25">
      <c r="A546" s="1">
        <v>42</v>
      </c>
      <c r="B546" t="s">
        <v>19</v>
      </c>
      <c r="C546">
        <v>706</v>
      </c>
      <c r="D546">
        <v>3</v>
      </c>
      <c r="E546" t="s">
        <v>23</v>
      </c>
      <c r="F546" t="s">
        <v>35</v>
      </c>
      <c r="G546" t="str">
        <f>"2026-02-17 04:22:20.740"</f>
        <v>2026-02-17 04:22:20.740</v>
      </c>
      <c r="H546" t="s">
        <v>21</v>
      </c>
      <c r="I546">
        <v>0</v>
      </c>
      <c r="J546" t="s">
        <v>25</v>
      </c>
    </row>
    <row r="547" spans="1:10" x14ac:dyDescent="0.25">
      <c r="A547" s="1">
        <v>43</v>
      </c>
      <c r="B547" t="s">
        <v>19</v>
      </c>
      <c r="C547">
        <v>706</v>
      </c>
      <c r="D547">
        <v>4</v>
      </c>
      <c r="E547" t="s">
        <v>23</v>
      </c>
      <c r="F547" t="s">
        <v>24</v>
      </c>
      <c r="G547" t="str">
        <f>"2026-02-17 04:15:16.870"</f>
        <v>2026-02-17 04:15:16.870</v>
      </c>
      <c r="H547" t="s">
        <v>21</v>
      </c>
      <c r="I547">
        <v>0</v>
      </c>
      <c r="J547" t="s">
        <v>25</v>
      </c>
    </row>
    <row r="548" spans="1:10" x14ac:dyDescent="0.25">
      <c r="A548" s="1">
        <v>44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"2026-02-17 03:46:59.440"</f>
        <v>2026-02-17 03:46:59.440</v>
      </c>
      <c r="H548" t="s">
        <v>21</v>
      </c>
      <c r="I548">
        <v>0</v>
      </c>
      <c r="J548" t="s">
        <v>22</v>
      </c>
    </row>
    <row r="549" spans="1:10" x14ac:dyDescent="0.25">
      <c r="A549" s="1">
        <v>45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"2026-02-17 03:09:02.435"</f>
        <v>2026-02-17 03:09:02.435</v>
      </c>
      <c r="H549" t="s">
        <v>21</v>
      </c>
      <c r="I549">
        <v>0</v>
      </c>
      <c r="J549" t="s">
        <v>22</v>
      </c>
    </row>
    <row r="550" spans="1:10" x14ac:dyDescent="0.25">
      <c r="A550" s="1">
        <v>46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"2026-02-17 02:50:55.466"</f>
        <v>2026-02-17 02:50:55.466</v>
      </c>
      <c r="H550" t="s">
        <v>21</v>
      </c>
      <c r="I550">
        <v>0</v>
      </c>
      <c r="J550" t="s">
        <v>22</v>
      </c>
    </row>
    <row r="551" spans="1:10" x14ac:dyDescent="0.25">
      <c r="A551" s="1">
        <v>47</v>
      </c>
      <c r="B551" t="s">
        <v>26</v>
      </c>
      <c r="C551">
        <v>635</v>
      </c>
      <c r="D551">
        <v>1</v>
      </c>
      <c r="E551" t="s">
        <v>27</v>
      </c>
      <c r="F551" t="s">
        <v>28</v>
      </c>
      <c r="G551" t="str">
        <f>"2026-02-16 05:37:04.918"</f>
        <v>2026-02-16 05:37:04.918</v>
      </c>
      <c r="H551" t="s">
        <v>21</v>
      </c>
    </row>
    <row r="552" spans="1:10" x14ac:dyDescent="0.25">
      <c r="A552" s="1">
        <v>48</v>
      </c>
      <c r="B552" t="s">
        <v>29</v>
      </c>
      <c r="C552">
        <v>635</v>
      </c>
      <c r="D552">
        <v>1</v>
      </c>
      <c r="E552" t="s">
        <v>27</v>
      </c>
      <c r="F552" t="s">
        <v>28</v>
      </c>
      <c r="G552" t="str">
        <f>"2026-02-16 05:29:14.918"</f>
        <v>2026-02-16 05:29:14.918</v>
      </c>
      <c r="H552" t="s">
        <v>21</v>
      </c>
      <c r="I552">
        <v>0.23</v>
      </c>
      <c r="J552" t="s">
        <v>38</v>
      </c>
    </row>
    <row r="553" spans="1:10" x14ac:dyDescent="0.25">
      <c r="A553" s="1">
        <v>49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"2026-02-15 14:02:22.431"</f>
        <v>2026-02-15 14:02:22.431</v>
      </c>
      <c r="H553" t="s">
        <v>21</v>
      </c>
    </row>
    <row r="554" spans="1:10" x14ac:dyDescent="0.25">
      <c r="A554" s="1">
        <v>50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"2026-02-15 13:50:46.438"</f>
        <v>2026-02-15 13:50:46.438</v>
      </c>
      <c r="H554" t="s">
        <v>21</v>
      </c>
    </row>
    <row r="555" spans="1:10" x14ac:dyDescent="0.25">
      <c r="A555" s="1">
        <v>51</v>
      </c>
      <c r="B555" t="s">
        <v>26</v>
      </c>
      <c r="C555">
        <v>635</v>
      </c>
      <c r="D555">
        <v>1</v>
      </c>
      <c r="E555" t="s">
        <v>27</v>
      </c>
      <c r="F555" t="s">
        <v>28</v>
      </c>
      <c r="G555" t="str">
        <f>"2026-02-15 09:16:03.177"</f>
        <v>2026-02-15 09:16:03.177</v>
      </c>
      <c r="H555" t="s">
        <v>21</v>
      </c>
    </row>
    <row r="556" spans="1:10" x14ac:dyDescent="0.25">
      <c r="A556" s="1">
        <v>52</v>
      </c>
      <c r="B556" t="s">
        <v>29</v>
      </c>
      <c r="C556">
        <v>635</v>
      </c>
      <c r="D556">
        <v>1</v>
      </c>
      <c r="E556" t="s">
        <v>27</v>
      </c>
      <c r="F556" t="s">
        <v>28</v>
      </c>
      <c r="G556" t="str">
        <f>"2026-02-15 09:11:20.177"</f>
        <v>2026-02-15 09:11:20.177</v>
      </c>
      <c r="H556" t="s">
        <v>21</v>
      </c>
      <c r="I556">
        <v>6.42</v>
      </c>
      <c r="J556" t="s">
        <v>38</v>
      </c>
    </row>
    <row r="557" spans="1:10" x14ac:dyDescent="0.25">
      <c r="A557" s="1">
        <v>53</v>
      </c>
      <c r="B557" t="s">
        <v>26</v>
      </c>
      <c r="C557">
        <v>98</v>
      </c>
      <c r="D557">
        <v>1</v>
      </c>
      <c r="E557" t="s">
        <v>36</v>
      </c>
      <c r="F557" t="s">
        <v>37</v>
      </c>
      <c r="G557" t="str">
        <f>"2026-02-14 22:40:26.177"</f>
        <v>2026-02-14 22:40:26.177</v>
      </c>
      <c r="H557" t="s">
        <v>21</v>
      </c>
    </row>
    <row r="558" spans="1:10" x14ac:dyDescent="0.25">
      <c r="A558" s="1">
        <v>54</v>
      </c>
      <c r="B558" t="s">
        <v>29</v>
      </c>
      <c r="C558">
        <v>98</v>
      </c>
      <c r="D558">
        <v>1</v>
      </c>
      <c r="E558" t="s">
        <v>36</v>
      </c>
      <c r="F558" t="s">
        <v>37</v>
      </c>
      <c r="G558" t="str">
        <f>"2026-02-14 22:40:25.177"</f>
        <v>2026-02-14 22:40:25.177</v>
      </c>
      <c r="H558" t="s">
        <v>21</v>
      </c>
      <c r="I558">
        <v>3.91</v>
      </c>
      <c r="J558" t="s">
        <v>38</v>
      </c>
    </row>
    <row r="559" spans="1:10" x14ac:dyDescent="0.25">
      <c r="A559" s="1">
        <v>55</v>
      </c>
      <c r="B559" t="s">
        <v>26</v>
      </c>
      <c r="C559">
        <v>61</v>
      </c>
      <c r="D559">
        <v>2</v>
      </c>
      <c r="E559" t="s">
        <v>47</v>
      </c>
      <c r="F559" t="s">
        <v>48</v>
      </c>
      <c r="G559" t="str">
        <f>"2026-02-14 21:34:30.778"</f>
        <v>2026-02-14 21:34:30.778</v>
      </c>
      <c r="H559" t="s">
        <v>21</v>
      </c>
    </row>
    <row r="560" spans="1:10" x14ac:dyDescent="0.25">
      <c r="A560" s="1">
        <v>56</v>
      </c>
      <c r="B560" t="s">
        <v>45</v>
      </c>
      <c r="C560">
        <v>61</v>
      </c>
      <c r="D560">
        <v>2</v>
      </c>
      <c r="E560" t="s">
        <v>47</v>
      </c>
      <c r="F560" t="s">
        <v>48</v>
      </c>
      <c r="G560" t="str">
        <f>"2026-02-14 21:34:22.378"</f>
        <v>2026-02-14 21:34:22.378</v>
      </c>
      <c r="H560" t="s">
        <v>21</v>
      </c>
      <c r="I560">
        <v>30.15</v>
      </c>
      <c r="J560" t="s">
        <v>30</v>
      </c>
    </row>
    <row r="561" spans="1:10" x14ac:dyDescent="0.25">
      <c r="A561" s="1">
        <v>57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"2026-02-14 14:46:29.426"</f>
        <v>2026-02-14 14:46:29.426</v>
      </c>
      <c r="H561" t="s">
        <v>21</v>
      </c>
    </row>
    <row r="562" spans="1:10" x14ac:dyDescent="0.25">
      <c r="A562" s="1">
        <v>58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"2026-02-14 14:38:10.460"</f>
        <v>2026-02-14 14:38:10.460</v>
      </c>
      <c r="H562" t="s">
        <v>21</v>
      </c>
      <c r="I562">
        <v>0</v>
      </c>
      <c r="J562" t="s">
        <v>22</v>
      </c>
    </row>
    <row r="563" spans="1:10" x14ac:dyDescent="0.25">
      <c r="A563" s="1">
        <v>59</v>
      </c>
      <c r="B563" t="s">
        <v>26</v>
      </c>
      <c r="C563">
        <v>635</v>
      </c>
      <c r="D563">
        <v>1</v>
      </c>
      <c r="E563" t="s">
        <v>27</v>
      </c>
      <c r="F563" t="s">
        <v>28</v>
      </c>
      <c r="G563" t="str">
        <f>"2026-02-14 10:57:45.512"</f>
        <v>2026-02-14 10:57:45.512</v>
      </c>
      <c r="H563" t="s">
        <v>21</v>
      </c>
    </row>
    <row r="564" spans="1:10" x14ac:dyDescent="0.25">
      <c r="A564" s="1">
        <v>60</v>
      </c>
      <c r="B564" t="s">
        <v>29</v>
      </c>
      <c r="C564">
        <v>635</v>
      </c>
      <c r="D564">
        <v>1</v>
      </c>
      <c r="E564" t="s">
        <v>27</v>
      </c>
      <c r="F564" t="s">
        <v>28</v>
      </c>
      <c r="G564" t="str">
        <f>"2026-02-14 10:53:41.512"</f>
        <v>2026-02-14 10:53:41.512</v>
      </c>
      <c r="H564" t="s">
        <v>21</v>
      </c>
      <c r="I564">
        <v>7.83</v>
      </c>
      <c r="J564" t="s">
        <v>38</v>
      </c>
    </row>
    <row r="565" spans="1:10" x14ac:dyDescent="0.25">
      <c r="A565" s="1">
        <v>61</v>
      </c>
      <c r="B565" t="s">
        <v>26</v>
      </c>
      <c r="C565">
        <v>635</v>
      </c>
      <c r="D565">
        <v>1</v>
      </c>
      <c r="E565" t="s">
        <v>27</v>
      </c>
      <c r="F565" t="s">
        <v>28</v>
      </c>
      <c r="G565" t="str">
        <f>"2026-02-14 06:26:17.512"</f>
        <v>2026-02-14 06:26:17.512</v>
      </c>
      <c r="H565" t="s">
        <v>21</v>
      </c>
    </row>
    <row r="566" spans="1:10" x14ac:dyDescent="0.25">
      <c r="A566" s="1">
        <v>62</v>
      </c>
      <c r="B566" t="s">
        <v>29</v>
      </c>
      <c r="C566">
        <v>635</v>
      </c>
      <c r="D566">
        <v>1</v>
      </c>
      <c r="E566" t="s">
        <v>27</v>
      </c>
      <c r="F566" t="s">
        <v>28</v>
      </c>
      <c r="G566" t="str">
        <f>"2026-02-14 06:20:46.012"</f>
        <v>2026-02-14 06:20:46.012</v>
      </c>
      <c r="H566" t="s">
        <v>21</v>
      </c>
      <c r="I566">
        <v>1.52</v>
      </c>
      <c r="J566" t="s">
        <v>30</v>
      </c>
    </row>
    <row r="567" spans="1:10" x14ac:dyDescent="0.25">
      <c r="A567" s="1">
        <v>63</v>
      </c>
      <c r="B567" t="s">
        <v>26</v>
      </c>
      <c r="C567">
        <v>61</v>
      </c>
      <c r="D567">
        <v>2</v>
      </c>
      <c r="E567" t="s">
        <v>47</v>
      </c>
      <c r="F567" t="s">
        <v>48</v>
      </c>
      <c r="G567" t="str">
        <f>"2026-02-13 20:50:53.852"</f>
        <v>2026-02-13 20:50:53.852</v>
      </c>
      <c r="H567" t="s">
        <v>21</v>
      </c>
    </row>
    <row r="568" spans="1:10" x14ac:dyDescent="0.25">
      <c r="A568" s="1">
        <v>64</v>
      </c>
      <c r="B568" t="s">
        <v>45</v>
      </c>
      <c r="C568">
        <v>61</v>
      </c>
      <c r="D568">
        <v>2</v>
      </c>
      <c r="E568" t="s">
        <v>47</v>
      </c>
      <c r="F568" t="s">
        <v>48</v>
      </c>
      <c r="G568" t="str">
        <f>"2026-02-13 20:50:35.053"</f>
        <v>2026-02-13 20:50:35.053</v>
      </c>
      <c r="H568" t="s">
        <v>21</v>
      </c>
      <c r="I568">
        <v>29.87</v>
      </c>
      <c r="J568" t="s">
        <v>30</v>
      </c>
    </row>
    <row r="569" spans="1:10" x14ac:dyDescent="0.25">
      <c r="A569" s="1">
        <v>65</v>
      </c>
      <c r="B569" t="s">
        <v>19</v>
      </c>
      <c r="C569">
        <v>706</v>
      </c>
      <c r="D569">
        <v>3</v>
      </c>
      <c r="E569" t="s">
        <v>23</v>
      </c>
      <c r="F569" t="s">
        <v>35</v>
      </c>
      <c r="G569" t="str">
        <f>"2026-02-13 08:52:49.423"</f>
        <v>2026-02-13 08:52:49.423</v>
      </c>
      <c r="H569" t="s">
        <v>21</v>
      </c>
      <c r="I569">
        <v>0</v>
      </c>
      <c r="J569" t="s">
        <v>25</v>
      </c>
    </row>
    <row r="570" spans="1:10" x14ac:dyDescent="0.25">
      <c r="A570" s="1">
        <v>66</v>
      </c>
      <c r="B570" t="s">
        <v>19</v>
      </c>
      <c r="C570">
        <v>706</v>
      </c>
      <c r="D570">
        <v>4</v>
      </c>
      <c r="E570" t="s">
        <v>23</v>
      </c>
      <c r="F570" t="s">
        <v>24</v>
      </c>
      <c r="G570" t="str">
        <f>"2026-02-13 08:48:40.253"</f>
        <v>2026-02-13 08:48:40.253</v>
      </c>
      <c r="H570" t="s">
        <v>21</v>
      </c>
      <c r="I570">
        <v>0</v>
      </c>
      <c r="J570" t="s">
        <v>25</v>
      </c>
    </row>
    <row r="571" spans="1:10" x14ac:dyDescent="0.25">
      <c r="A571" s="1">
        <v>67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"2026-02-13 08:40:37.423"</f>
        <v>2026-02-13 08:40:37.423</v>
      </c>
      <c r="H571" t="s">
        <v>21</v>
      </c>
    </row>
    <row r="572" spans="1:10" x14ac:dyDescent="0.25">
      <c r="A572" s="1">
        <v>68</v>
      </c>
      <c r="B572" t="s">
        <v>19</v>
      </c>
      <c r="C572">
        <v>706</v>
      </c>
      <c r="D572">
        <v>4</v>
      </c>
      <c r="E572" t="s">
        <v>23</v>
      </c>
      <c r="F572" t="s">
        <v>24</v>
      </c>
      <c r="G572" t="str">
        <f>"2026-02-13 08:32:25.268"</f>
        <v>2026-02-13 08:32:25.268</v>
      </c>
      <c r="H572" t="s">
        <v>21</v>
      </c>
      <c r="I572">
        <v>0</v>
      </c>
      <c r="J572" t="s">
        <v>25</v>
      </c>
    </row>
    <row r="573" spans="1:10" x14ac:dyDescent="0.25">
      <c r="A573" s="1">
        <v>69</v>
      </c>
      <c r="B573" t="s">
        <v>19</v>
      </c>
      <c r="C573">
        <v>706</v>
      </c>
      <c r="D573">
        <v>2</v>
      </c>
      <c r="E573" t="s">
        <v>23</v>
      </c>
      <c r="F573" t="s">
        <v>46</v>
      </c>
      <c r="G573" t="str">
        <f>"2026-02-13 08:29:34.178"</f>
        <v>2026-02-13 08:29:34.178</v>
      </c>
      <c r="H573" t="s">
        <v>21</v>
      </c>
      <c r="I573">
        <v>0</v>
      </c>
      <c r="J573" t="s">
        <v>25</v>
      </c>
    </row>
    <row r="574" spans="1:10" x14ac:dyDescent="0.25">
      <c r="A574" s="1">
        <v>70</v>
      </c>
      <c r="B574" t="s">
        <v>19</v>
      </c>
      <c r="C574">
        <v>706</v>
      </c>
      <c r="D574">
        <v>4</v>
      </c>
      <c r="E574" t="s">
        <v>23</v>
      </c>
      <c r="F574" t="s">
        <v>24</v>
      </c>
      <c r="G574" t="str">
        <f>"2026-02-13 08:29:15.478"</f>
        <v>2026-02-13 08:29:15.478</v>
      </c>
      <c r="H574" t="s">
        <v>21</v>
      </c>
      <c r="I574">
        <v>0</v>
      </c>
      <c r="J574" t="s">
        <v>25</v>
      </c>
    </row>
    <row r="575" spans="1:10" x14ac:dyDescent="0.25">
      <c r="A575" s="1">
        <v>71</v>
      </c>
      <c r="B575" t="s">
        <v>19</v>
      </c>
      <c r="C575">
        <v>706</v>
      </c>
      <c r="D575">
        <v>4</v>
      </c>
      <c r="E575" t="s">
        <v>23</v>
      </c>
      <c r="F575" t="s">
        <v>24</v>
      </c>
      <c r="G575" t="str">
        <f>"2026-02-13 08:28:49.668"</f>
        <v>2026-02-13 08:28:49.668</v>
      </c>
      <c r="H575" t="s">
        <v>21</v>
      </c>
      <c r="I575">
        <v>0</v>
      </c>
      <c r="J575" t="s">
        <v>25</v>
      </c>
    </row>
    <row r="576" spans="1:10" x14ac:dyDescent="0.25">
      <c r="A576" s="1">
        <v>72</v>
      </c>
      <c r="B576" t="s">
        <v>19</v>
      </c>
      <c r="C576">
        <v>706</v>
      </c>
      <c r="D576">
        <v>3</v>
      </c>
      <c r="E576" t="s">
        <v>23</v>
      </c>
      <c r="F576" t="s">
        <v>35</v>
      </c>
      <c r="G576" t="str">
        <f>"2026-02-13 08:27:50.158"</f>
        <v>2026-02-13 08:27:50.158</v>
      </c>
      <c r="H576" t="s">
        <v>21</v>
      </c>
      <c r="I576">
        <v>0</v>
      </c>
      <c r="J576" t="s">
        <v>25</v>
      </c>
    </row>
    <row r="577" spans="1:10" x14ac:dyDescent="0.25">
      <c r="A577" s="1">
        <v>73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"2026-02-13 08:26:13.418"</f>
        <v>2026-02-13 08:26:13.418</v>
      </c>
      <c r="H577" t="s">
        <v>21</v>
      </c>
    </row>
    <row r="578" spans="1:10" x14ac:dyDescent="0.25">
      <c r="A578" s="1">
        <v>74</v>
      </c>
      <c r="B578" t="s">
        <v>19</v>
      </c>
      <c r="C578">
        <v>706</v>
      </c>
      <c r="D578">
        <v>2</v>
      </c>
      <c r="E578" t="s">
        <v>23</v>
      </c>
      <c r="F578" t="s">
        <v>46</v>
      </c>
      <c r="G578" t="str">
        <f>"2026-02-13 08:24:27.405"</f>
        <v>2026-02-13 08:24:27.405</v>
      </c>
      <c r="H578" t="s">
        <v>21</v>
      </c>
      <c r="I578">
        <v>0</v>
      </c>
      <c r="J578" t="s">
        <v>25</v>
      </c>
    </row>
    <row r="579" spans="1:10" x14ac:dyDescent="0.25">
      <c r="A579" s="1">
        <v>75</v>
      </c>
      <c r="B579" t="s">
        <v>19</v>
      </c>
      <c r="C579">
        <v>706</v>
      </c>
      <c r="D579">
        <v>4</v>
      </c>
      <c r="E579" t="s">
        <v>23</v>
      </c>
      <c r="F579" t="s">
        <v>24</v>
      </c>
      <c r="G579" t="str">
        <f>"2026-02-13 08:24:10.545"</f>
        <v>2026-02-13 08:24:10.545</v>
      </c>
      <c r="H579" t="s">
        <v>21</v>
      </c>
      <c r="I579">
        <v>0</v>
      </c>
      <c r="J579" t="s">
        <v>25</v>
      </c>
    </row>
    <row r="580" spans="1:10" x14ac:dyDescent="0.25">
      <c r="A580" s="1">
        <v>76</v>
      </c>
      <c r="B580" t="s">
        <v>19</v>
      </c>
      <c r="C580">
        <v>706</v>
      </c>
      <c r="D580">
        <v>3</v>
      </c>
      <c r="E580" t="s">
        <v>23</v>
      </c>
      <c r="F580" t="s">
        <v>35</v>
      </c>
      <c r="G580" t="str">
        <f>"2026-02-13 08:20:33.925"</f>
        <v>2026-02-13 08:20:33.925</v>
      </c>
      <c r="H580" t="s">
        <v>21</v>
      </c>
      <c r="I580">
        <v>0</v>
      </c>
      <c r="J580" t="s">
        <v>25</v>
      </c>
    </row>
    <row r="581" spans="1:10" x14ac:dyDescent="0.25">
      <c r="A581" s="1">
        <v>77</v>
      </c>
      <c r="B581" t="s">
        <v>19</v>
      </c>
      <c r="C581">
        <v>706</v>
      </c>
      <c r="D581">
        <v>4</v>
      </c>
      <c r="E581" t="s">
        <v>23</v>
      </c>
      <c r="F581" t="s">
        <v>24</v>
      </c>
      <c r="G581" t="str">
        <f>"2026-02-13 08:17:45.255"</f>
        <v>2026-02-13 08:17:45.255</v>
      </c>
      <c r="H581" t="s">
        <v>21</v>
      </c>
      <c r="I581">
        <v>0</v>
      </c>
      <c r="J581" t="s">
        <v>25</v>
      </c>
    </row>
    <row r="582" spans="1:10" x14ac:dyDescent="0.25">
      <c r="A582" s="1">
        <v>78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"2026-02-13 08:14:02.415"</f>
        <v>2026-02-13 08:14:02.415</v>
      </c>
      <c r="H582" t="s">
        <v>21</v>
      </c>
    </row>
    <row r="583" spans="1:10" x14ac:dyDescent="0.25">
      <c r="A583" s="1">
        <v>79</v>
      </c>
      <c r="B583" t="s">
        <v>19</v>
      </c>
      <c r="C583">
        <v>706</v>
      </c>
      <c r="D583">
        <v>2</v>
      </c>
      <c r="E583" t="s">
        <v>23</v>
      </c>
      <c r="F583" t="s">
        <v>46</v>
      </c>
      <c r="G583" t="str">
        <f>"2026-02-13 08:12:37.701"</f>
        <v>2026-02-13 08:12:37.701</v>
      </c>
      <c r="H583" t="s">
        <v>21</v>
      </c>
      <c r="I583">
        <v>0</v>
      </c>
      <c r="J583" t="s">
        <v>25</v>
      </c>
    </row>
    <row r="584" spans="1:10" x14ac:dyDescent="0.25">
      <c r="A584" s="1">
        <v>80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"2026-02-13 08:02:32.431"</f>
        <v>2026-02-13 08:02:32.431</v>
      </c>
      <c r="H584" t="s">
        <v>21</v>
      </c>
      <c r="I584">
        <v>0</v>
      </c>
      <c r="J584" t="s">
        <v>22</v>
      </c>
    </row>
    <row r="585" spans="1:10" x14ac:dyDescent="0.25">
      <c r="A585" s="1">
        <v>81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"2026-02-13 07:55:08.464"</f>
        <v>2026-02-13 07:55:08.464</v>
      </c>
      <c r="H585" t="s">
        <v>21</v>
      </c>
      <c r="I585">
        <v>0</v>
      </c>
      <c r="J585" t="s">
        <v>22</v>
      </c>
    </row>
    <row r="586" spans="1:10" x14ac:dyDescent="0.25">
      <c r="A586" s="1">
        <v>82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"2026-02-13 07:39:59.413"</f>
        <v>2026-02-13 07:39:59.413</v>
      </c>
      <c r="H586" t="s">
        <v>21</v>
      </c>
      <c r="I586">
        <v>0</v>
      </c>
      <c r="J586" t="s">
        <v>22</v>
      </c>
    </row>
    <row r="587" spans="1:10" x14ac:dyDescent="0.25">
      <c r="A587" s="1">
        <v>83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"2026-02-13 05:46:09.433"</f>
        <v>2026-02-13 05:46:09.433</v>
      </c>
      <c r="H587" t="s">
        <v>21</v>
      </c>
      <c r="I587">
        <v>0</v>
      </c>
      <c r="J587" t="s">
        <v>22</v>
      </c>
    </row>
    <row r="588" spans="1:10" x14ac:dyDescent="0.25">
      <c r="A588" s="1">
        <v>84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"2026-02-13 04:48:25.425"</f>
        <v>2026-02-13 04:48:25.425</v>
      </c>
      <c r="H588" t="s">
        <v>21</v>
      </c>
      <c r="I588">
        <v>0</v>
      </c>
      <c r="J588" t="s">
        <v>22</v>
      </c>
    </row>
    <row r="589" spans="1:10" x14ac:dyDescent="0.25">
      <c r="A589" s="1">
        <v>85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"2026-02-13 04:26:22.416"</f>
        <v>2026-02-13 04:26:22.416</v>
      </c>
      <c r="H589" t="s">
        <v>21</v>
      </c>
    </row>
    <row r="590" spans="1:10" x14ac:dyDescent="0.25">
      <c r="A590" s="1">
        <v>86</v>
      </c>
      <c r="B590" t="s">
        <v>19</v>
      </c>
      <c r="C590">
        <v>706</v>
      </c>
      <c r="D590">
        <v>3</v>
      </c>
      <c r="E590" t="s">
        <v>23</v>
      </c>
      <c r="F590" t="s">
        <v>35</v>
      </c>
      <c r="G590" t="str">
        <f>"2026-02-13 04:24:23.848"</f>
        <v>2026-02-13 04:24:23.848</v>
      </c>
      <c r="H590" t="s">
        <v>21</v>
      </c>
      <c r="I590">
        <v>0</v>
      </c>
      <c r="J590" t="s">
        <v>25</v>
      </c>
    </row>
    <row r="591" spans="1:10" x14ac:dyDescent="0.25">
      <c r="A591" s="1">
        <v>87</v>
      </c>
      <c r="B591" t="s">
        <v>19</v>
      </c>
      <c r="C591">
        <v>706</v>
      </c>
      <c r="D591">
        <v>4</v>
      </c>
      <c r="E591" t="s">
        <v>23</v>
      </c>
      <c r="F591" t="s">
        <v>24</v>
      </c>
      <c r="G591" t="str">
        <f>"2026-02-12 14:56:54.588"</f>
        <v>2026-02-12 14:56:54.588</v>
      </c>
      <c r="H591" t="s">
        <v>21</v>
      </c>
      <c r="I591">
        <v>0</v>
      </c>
      <c r="J591" t="s">
        <v>25</v>
      </c>
    </row>
    <row r="592" spans="1:10" x14ac:dyDescent="0.25">
      <c r="A592" s="1">
        <v>88</v>
      </c>
      <c r="B592" t="s">
        <v>19</v>
      </c>
      <c r="C592">
        <v>706</v>
      </c>
      <c r="D592">
        <v>3</v>
      </c>
      <c r="E592" t="s">
        <v>23</v>
      </c>
      <c r="F592" t="s">
        <v>35</v>
      </c>
      <c r="G592" t="str">
        <f>"2026-02-12 14:56:40.978"</f>
        <v>2026-02-12 14:56:40.978</v>
      </c>
      <c r="H592" t="s">
        <v>21</v>
      </c>
      <c r="I592">
        <v>0</v>
      </c>
      <c r="J592" t="s">
        <v>25</v>
      </c>
    </row>
    <row r="593" spans="1:10" x14ac:dyDescent="0.25">
      <c r="A593" s="1">
        <v>89</v>
      </c>
      <c r="B593" t="s">
        <v>19</v>
      </c>
      <c r="C593">
        <v>706</v>
      </c>
      <c r="D593">
        <v>2</v>
      </c>
      <c r="E593" t="s">
        <v>23</v>
      </c>
      <c r="F593" t="s">
        <v>46</v>
      </c>
      <c r="G593" t="str">
        <f>"2026-02-12 14:49:20.088"</f>
        <v>2026-02-12 14:49:20.088</v>
      </c>
      <c r="H593" t="s">
        <v>21</v>
      </c>
      <c r="I593">
        <v>0</v>
      </c>
      <c r="J593" t="s">
        <v>25</v>
      </c>
    </row>
    <row r="594" spans="1:10" x14ac:dyDescent="0.25">
      <c r="A594" s="1">
        <v>90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"2026-02-12 14:21:24.418"</f>
        <v>2026-02-12 14:21:24.418</v>
      </c>
      <c r="H594" t="s">
        <v>21</v>
      </c>
      <c r="I594">
        <v>0</v>
      </c>
      <c r="J594" t="s">
        <v>22</v>
      </c>
    </row>
    <row r="595" spans="1:10" x14ac:dyDescent="0.25">
      <c r="A595" s="1">
        <v>91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"2026-02-12 14:01:40.418"</f>
        <v>2026-02-12 14:01:40.418</v>
      </c>
      <c r="H595" t="s">
        <v>21</v>
      </c>
      <c r="I595">
        <v>0</v>
      </c>
      <c r="J595" t="s">
        <v>22</v>
      </c>
    </row>
    <row r="596" spans="1:10" x14ac:dyDescent="0.25">
      <c r="A596" s="1">
        <v>92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"2026-02-12 12:50:47.413"</f>
        <v>2026-02-12 12:50:47.413</v>
      </c>
      <c r="H596" t="s">
        <v>21</v>
      </c>
    </row>
    <row r="597" spans="1:10" x14ac:dyDescent="0.25">
      <c r="A597" s="1">
        <v>93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"2026-02-12 11:54:20.421"</f>
        <v>2026-02-12 11:54:20.421</v>
      </c>
      <c r="H597" t="s">
        <v>21</v>
      </c>
      <c r="I597">
        <v>0</v>
      </c>
      <c r="J597" t="s">
        <v>22</v>
      </c>
    </row>
    <row r="598" spans="1:10" x14ac:dyDescent="0.25">
      <c r="A598" s="1">
        <v>94</v>
      </c>
      <c r="B598" t="s">
        <v>19</v>
      </c>
      <c r="C598">
        <v>706</v>
      </c>
      <c r="D598">
        <v>2</v>
      </c>
      <c r="E598" t="s">
        <v>23</v>
      </c>
      <c r="F598" t="s">
        <v>46</v>
      </c>
      <c r="G598" t="str">
        <f>"2026-02-12 11:32:38.350"</f>
        <v>2026-02-12 11:32:38.350</v>
      </c>
      <c r="H598" t="s">
        <v>21</v>
      </c>
      <c r="I598">
        <v>0</v>
      </c>
      <c r="J598" t="s">
        <v>25</v>
      </c>
    </row>
    <row r="599" spans="1:10" x14ac:dyDescent="0.25">
      <c r="A599" s="1">
        <v>95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"2026-02-12 11:27:13.420"</f>
        <v>2026-02-12 11:27:13.420</v>
      </c>
      <c r="H599" t="s">
        <v>21</v>
      </c>
      <c r="I599">
        <v>0</v>
      </c>
      <c r="J599" t="s">
        <v>22</v>
      </c>
    </row>
    <row r="600" spans="1:10" x14ac:dyDescent="0.25">
      <c r="A600" s="1">
        <v>96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"2026-02-12 11:15:17.417"</f>
        <v>2026-02-12 11:15:17.417</v>
      </c>
      <c r="H600" t="s">
        <v>21</v>
      </c>
    </row>
    <row r="601" spans="1:10" x14ac:dyDescent="0.25">
      <c r="A601" s="1">
        <v>97</v>
      </c>
      <c r="B601" t="s">
        <v>26</v>
      </c>
      <c r="C601">
        <v>635</v>
      </c>
      <c r="D601">
        <v>1</v>
      </c>
      <c r="E601" t="s">
        <v>27</v>
      </c>
      <c r="F601" t="s">
        <v>28</v>
      </c>
      <c r="G601" t="str">
        <f>"2026-02-12 08:52:56.255"</f>
        <v>2026-02-12 08:52:56.255</v>
      </c>
      <c r="H601" t="s">
        <v>21</v>
      </c>
    </row>
    <row r="602" spans="1:10" x14ac:dyDescent="0.25">
      <c r="A602" s="1">
        <v>98</v>
      </c>
      <c r="B602" t="s">
        <v>29</v>
      </c>
      <c r="C602">
        <v>635</v>
      </c>
      <c r="D602">
        <v>1</v>
      </c>
      <c r="E602" t="s">
        <v>27</v>
      </c>
      <c r="F602" t="s">
        <v>28</v>
      </c>
      <c r="G602" t="str">
        <f>"2026-02-12 08:34:16.255"</f>
        <v>2026-02-12 08:34:16.255</v>
      </c>
      <c r="H602" t="s">
        <v>21</v>
      </c>
      <c r="I602">
        <v>3.33</v>
      </c>
      <c r="J602" t="s">
        <v>38</v>
      </c>
    </row>
    <row r="603" spans="1:10" x14ac:dyDescent="0.25">
      <c r="A603" s="1">
        <v>99</v>
      </c>
      <c r="B603" t="s">
        <v>26</v>
      </c>
      <c r="C603">
        <v>42</v>
      </c>
      <c r="D603">
        <v>1</v>
      </c>
      <c r="E603" t="s">
        <v>49</v>
      </c>
      <c r="F603" t="s">
        <v>50</v>
      </c>
      <c r="G603" t="str">
        <f>"2026-02-11 15:01:25.625"</f>
        <v>2026-02-11 15:01:25.625</v>
      </c>
      <c r="H603" t="s">
        <v>51</v>
      </c>
    </row>
    <row r="604" spans="1:10" x14ac:dyDescent="0.25">
      <c r="A604" s="1">
        <v>0</v>
      </c>
      <c r="B604" t="s">
        <v>29</v>
      </c>
      <c r="C604">
        <v>42</v>
      </c>
      <c r="D604">
        <v>1</v>
      </c>
      <c r="E604" t="s">
        <v>49</v>
      </c>
      <c r="F604" t="s">
        <v>50</v>
      </c>
      <c r="G604" t="str">
        <f>"2026-02-11 15:01:07.905"</f>
        <v>2026-02-11 15:01:07.905</v>
      </c>
      <c r="H604" t="s">
        <v>51</v>
      </c>
      <c r="I604">
        <v>0</v>
      </c>
      <c r="J604" t="s">
        <v>25</v>
      </c>
    </row>
    <row r="605" spans="1:10" x14ac:dyDescent="0.25">
      <c r="A605" s="1">
        <v>1</v>
      </c>
      <c r="B605" t="s">
        <v>26</v>
      </c>
      <c r="C605">
        <v>635</v>
      </c>
      <c r="D605">
        <v>1</v>
      </c>
      <c r="E605" t="s">
        <v>27</v>
      </c>
      <c r="F605" t="s">
        <v>28</v>
      </c>
      <c r="G605" t="str">
        <f>"2026-02-11 12:34:52.255"</f>
        <v>2026-02-11 12:34:52.255</v>
      </c>
      <c r="H605" t="s">
        <v>21</v>
      </c>
    </row>
    <row r="606" spans="1:10" x14ac:dyDescent="0.25">
      <c r="A606" s="1">
        <v>2</v>
      </c>
      <c r="B606" t="s">
        <v>29</v>
      </c>
      <c r="C606">
        <v>635</v>
      </c>
      <c r="D606">
        <v>1</v>
      </c>
      <c r="E606" t="s">
        <v>27</v>
      </c>
      <c r="F606" t="s">
        <v>28</v>
      </c>
      <c r="G606" t="str">
        <f>"2026-02-11 12:28:51.755"</f>
        <v>2026-02-11 12:28:51.755</v>
      </c>
      <c r="H606" t="s">
        <v>21</v>
      </c>
      <c r="I606">
        <v>8.57</v>
      </c>
      <c r="J606" t="s">
        <v>38</v>
      </c>
    </row>
    <row r="607" spans="1:10" x14ac:dyDescent="0.25">
      <c r="A607" s="1">
        <v>3</v>
      </c>
      <c r="B607" t="s">
        <v>26</v>
      </c>
      <c r="C607">
        <v>61</v>
      </c>
      <c r="D607">
        <v>2</v>
      </c>
      <c r="E607" t="s">
        <v>47</v>
      </c>
      <c r="F607" t="s">
        <v>48</v>
      </c>
      <c r="G607" t="str">
        <f>"2026-02-11 07:25:07.168"</f>
        <v>2026-02-11 07:25:07.168</v>
      </c>
      <c r="H607" t="s">
        <v>21</v>
      </c>
    </row>
    <row r="608" spans="1:10" x14ac:dyDescent="0.25">
      <c r="A608" s="1">
        <v>4</v>
      </c>
      <c r="B608" t="s">
        <v>45</v>
      </c>
      <c r="C608">
        <v>61</v>
      </c>
      <c r="D608">
        <v>2</v>
      </c>
      <c r="E608" t="s">
        <v>47</v>
      </c>
      <c r="F608" t="s">
        <v>48</v>
      </c>
      <c r="G608" t="str">
        <f>"2026-02-11 07:24:51.968"</f>
        <v>2026-02-11 07:24:51.968</v>
      </c>
      <c r="H608" t="s">
        <v>21</v>
      </c>
      <c r="I608">
        <v>30.47</v>
      </c>
      <c r="J608" t="s">
        <v>30</v>
      </c>
    </row>
    <row r="609" spans="1:10" x14ac:dyDescent="0.25">
      <c r="A609" s="1">
        <v>5</v>
      </c>
      <c r="B609" t="s">
        <v>26</v>
      </c>
      <c r="C609">
        <v>635</v>
      </c>
      <c r="D609">
        <v>1</v>
      </c>
      <c r="E609" t="s">
        <v>27</v>
      </c>
      <c r="F609" t="s">
        <v>28</v>
      </c>
      <c r="G609" t="str">
        <f>"2026-02-10 19:35:41.455"</f>
        <v>2026-02-10 19:35:41.455</v>
      </c>
      <c r="H609" t="s">
        <v>21</v>
      </c>
    </row>
    <row r="610" spans="1:10" x14ac:dyDescent="0.25">
      <c r="A610" s="1">
        <v>6</v>
      </c>
      <c r="B610" t="s">
        <v>29</v>
      </c>
      <c r="C610">
        <v>635</v>
      </c>
      <c r="D610">
        <v>1</v>
      </c>
      <c r="E610" t="s">
        <v>27</v>
      </c>
      <c r="F610" t="s">
        <v>28</v>
      </c>
      <c r="G610" t="str">
        <f>"2026-02-10 19:33:54.955"</f>
        <v>2026-02-10 19:33:54.955</v>
      </c>
      <c r="H610" t="s">
        <v>21</v>
      </c>
      <c r="I610">
        <v>0</v>
      </c>
      <c r="J610" t="s">
        <v>34</v>
      </c>
    </row>
    <row r="611" spans="1:10" x14ac:dyDescent="0.25">
      <c r="A611" s="1">
        <v>7</v>
      </c>
      <c r="B611" t="s">
        <v>26</v>
      </c>
      <c r="C611">
        <v>98</v>
      </c>
      <c r="D611">
        <v>1</v>
      </c>
      <c r="E611" t="s">
        <v>36</v>
      </c>
      <c r="F611" t="s">
        <v>37</v>
      </c>
      <c r="G611" t="str">
        <f>"2026-02-09 20:29:04.667"</f>
        <v>2026-02-09 20:29:04.667</v>
      </c>
      <c r="H611" t="s">
        <v>21</v>
      </c>
    </row>
    <row r="612" spans="1:10" x14ac:dyDescent="0.25">
      <c r="A612" s="1">
        <v>8</v>
      </c>
      <c r="B612" t="s">
        <v>29</v>
      </c>
      <c r="C612">
        <v>98</v>
      </c>
      <c r="D612">
        <v>1</v>
      </c>
      <c r="E612" t="s">
        <v>36</v>
      </c>
      <c r="F612" t="s">
        <v>37</v>
      </c>
      <c r="G612" t="str">
        <f>"2026-02-09 20:29:03.668"</f>
        <v>2026-02-09 20:29:03.668</v>
      </c>
      <c r="H612" t="s">
        <v>21</v>
      </c>
      <c r="I612">
        <v>0</v>
      </c>
      <c r="J612" t="s">
        <v>34</v>
      </c>
    </row>
    <row r="613" spans="1:10" x14ac:dyDescent="0.25">
      <c r="A613" s="1">
        <v>9</v>
      </c>
      <c r="B613" t="s">
        <v>19</v>
      </c>
      <c r="C613">
        <v>706</v>
      </c>
      <c r="D613">
        <v>4</v>
      </c>
      <c r="E613" t="s">
        <v>23</v>
      </c>
      <c r="F613" t="s">
        <v>24</v>
      </c>
      <c r="G613" t="str">
        <f>"2026-02-09 15:38:02.597"</f>
        <v>2026-02-09 15:38:02.597</v>
      </c>
      <c r="H613" t="s">
        <v>21</v>
      </c>
      <c r="I613">
        <v>0</v>
      </c>
      <c r="J613" t="s">
        <v>25</v>
      </c>
    </row>
    <row r="614" spans="1:10" x14ac:dyDescent="0.25">
      <c r="A614" s="1">
        <v>10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"2026-02-09 15:15:09.407"</f>
        <v>2026-02-09 15:15:09.407</v>
      </c>
      <c r="H614" t="s">
        <v>21</v>
      </c>
      <c r="I614">
        <v>0</v>
      </c>
      <c r="J614" t="s">
        <v>22</v>
      </c>
    </row>
    <row r="615" spans="1:10" x14ac:dyDescent="0.25">
      <c r="A615" s="1">
        <v>11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"2026-02-09 14:11:39.402"</f>
        <v>2026-02-09 14:11:39.402</v>
      </c>
      <c r="H615" t="s">
        <v>21</v>
      </c>
      <c r="I615">
        <v>0</v>
      </c>
      <c r="J615" t="s">
        <v>22</v>
      </c>
    </row>
    <row r="616" spans="1:10" x14ac:dyDescent="0.25">
      <c r="A616" s="1">
        <v>12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"2026-02-09 11:33:02.421"</f>
        <v>2026-02-09 11:33:02.421</v>
      </c>
      <c r="H616" t="s">
        <v>21</v>
      </c>
      <c r="I616">
        <v>0</v>
      </c>
      <c r="J616" t="s">
        <v>22</v>
      </c>
    </row>
    <row r="617" spans="1:10" x14ac:dyDescent="0.25">
      <c r="A617" s="1">
        <v>13</v>
      </c>
      <c r="B617" t="s">
        <v>26</v>
      </c>
      <c r="C617">
        <v>635</v>
      </c>
      <c r="D617">
        <v>1</v>
      </c>
      <c r="E617" t="s">
        <v>27</v>
      </c>
      <c r="F617" t="s">
        <v>28</v>
      </c>
      <c r="G617" t="str">
        <f>"2026-02-09 10:54:29.558"</f>
        <v>2026-02-09 10:54:29.558</v>
      </c>
      <c r="H617" t="s">
        <v>21</v>
      </c>
    </row>
    <row r="618" spans="1:10" x14ac:dyDescent="0.25">
      <c r="A618" s="1">
        <v>14</v>
      </c>
      <c r="B618" t="s">
        <v>29</v>
      </c>
      <c r="C618">
        <v>635</v>
      </c>
      <c r="D618">
        <v>1</v>
      </c>
      <c r="E618" t="s">
        <v>27</v>
      </c>
      <c r="F618" t="s">
        <v>28</v>
      </c>
      <c r="G618" t="str">
        <f>"2026-02-09 10:50:36.658"</f>
        <v>2026-02-09 10:50:36.658</v>
      </c>
      <c r="H618" t="s">
        <v>21</v>
      </c>
      <c r="I618">
        <v>3.39</v>
      </c>
      <c r="J618" t="s">
        <v>38</v>
      </c>
    </row>
    <row r="619" spans="1:10" x14ac:dyDescent="0.25">
      <c r="A619" s="1">
        <v>15</v>
      </c>
      <c r="B619" t="s">
        <v>26</v>
      </c>
      <c r="C619">
        <v>635</v>
      </c>
      <c r="D619">
        <v>1</v>
      </c>
      <c r="E619" t="s">
        <v>27</v>
      </c>
      <c r="F619" t="s">
        <v>28</v>
      </c>
      <c r="G619" t="str">
        <f>"2026-02-09 05:58:40.758"</f>
        <v>2026-02-09 05:58:40.758</v>
      </c>
      <c r="H619" t="s">
        <v>21</v>
      </c>
    </row>
    <row r="620" spans="1:10" x14ac:dyDescent="0.25">
      <c r="A620" s="1">
        <v>16</v>
      </c>
      <c r="B620" t="s">
        <v>29</v>
      </c>
      <c r="C620">
        <v>635</v>
      </c>
      <c r="D620">
        <v>1</v>
      </c>
      <c r="E620" t="s">
        <v>27</v>
      </c>
      <c r="F620" t="s">
        <v>28</v>
      </c>
      <c r="G620" t="str">
        <f>"2026-02-09 05:52:42.758"</f>
        <v>2026-02-09 05:52:42.758</v>
      </c>
      <c r="H620" t="s">
        <v>21</v>
      </c>
      <c r="I620">
        <v>0.02</v>
      </c>
      <c r="J620" t="s">
        <v>30</v>
      </c>
    </row>
    <row r="621" spans="1:10" x14ac:dyDescent="0.25">
      <c r="A621" s="1">
        <v>17</v>
      </c>
      <c r="B621" t="s">
        <v>19</v>
      </c>
      <c r="C621">
        <v>706</v>
      </c>
      <c r="D621">
        <v>2</v>
      </c>
      <c r="E621" t="s">
        <v>23</v>
      </c>
      <c r="F621" t="s">
        <v>46</v>
      </c>
      <c r="G621" t="str">
        <f>"2026-02-08 14:53:45.407"</f>
        <v>2026-02-08 14:53:45.407</v>
      </c>
      <c r="H621" t="s">
        <v>21</v>
      </c>
      <c r="I621">
        <v>0</v>
      </c>
      <c r="J621" t="s">
        <v>25</v>
      </c>
    </row>
    <row r="622" spans="1:10" x14ac:dyDescent="0.25">
      <c r="A622" s="1">
        <v>18</v>
      </c>
      <c r="B622" t="s">
        <v>19</v>
      </c>
      <c r="C622">
        <v>706</v>
      </c>
      <c r="D622">
        <v>3</v>
      </c>
      <c r="E622" t="s">
        <v>23</v>
      </c>
      <c r="F622" t="s">
        <v>35</v>
      </c>
      <c r="G622" t="str">
        <f>"2026-02-08 14:53:33.707"</f>
        <v>2026-02-08 14:53:33.707</v>
      </c>
      <c r="H622" t="s">
        <v>21</v>
      </c>
      <c r="I622">
        <v>0</v>
      </c>
      <c r="J622" t="s">
        <v>25</v>
      </c>
    </row>
    <row r="623" spans="1:10" x14ac:dyDescent="0.25">
      <c r="A623" s="1">
        <v>19</v>
      </c>
      <c r="B623" t="s">
        <v>26</v>
      </c>
      <c r="C623">
        <v>42</v>
      </c>
      <c r="D623">
        <v>1</v>
      </c>
      <c r="E623" t="s">
        <v>49</v>
      </c>
      <c r="F623" t="s">
        <v>50</v>
      </c>
      <c r="G623" t="str">
        <f>"2026-02-08 14:44:05.435"</f>
        <v>2026-02-08 14:44:05.435</v>
      </c>
      <c r="H623" t="s">
        <v>51</v>
      </c>
    </row>
    <row r="624" spans="1:10" x14ac:dyDescent="0.25">
      <c r="A624" s="1">
        <v>20</v>
      </c>
      <c r="B624" t="s">
        <v>29</v>
      </c>
      <c r="C624">
        <v>42</v>
      </c>
      <c r="D624">
        <v>1</v>
      </c>
      <c r="E624" t="s">
        <v>49</v>
      </c>
      <c r="F624" t="s">
        <v>50</v>
      </c>
      <c r="G624" t="str">
        <f>"2026-02-08 14:43:46.516"</f>
        <v>2026-02-08 14:43:46.516</v>
      </c>
      <c r="H624" t="s">
        <v>51</v>
      </c>
      <c r="I624">
        <v>0</v>
      </c>
      <c r="J624" t="s">
        <v>25</v>
      </c>
    </row>
    <row r="625" spans="1:10" x14ac:dyDescent="0.25">
      <c r="A625" s="1">
        <v>21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"2026-02-08 14:35:36.407"</f>
        <v>2026-02-08 14:35:36.407</v>
      </c>
      <c r="H625" t="s">
        <v>21</v>
      </c>
      <c r="I625">
        <v>0</v>
      </c>
      <c r="J625" t="s">
        <v>22</v>
      </c>
    </row>
    <row r="626" spans="1:10" x14ac:dyDescent="0.25">
      <c r="A626" s="1">
        <v>22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"2026-02-08 13:45:51.411"</f>
        <v>2026-02-08 13:45:51.411</v>
      </c>
      <c r="H626" t="s">
        <v>21</v>
      </c>
      <c r="I626">
        <v>0</v>
      </c>
      <c r="J626" t="s">
        <v>22</v>
      </c>
    </row>
    <row r="627" spans="1:10" x14ac:dyDescent="0.25">
      <c r="A627" s="1">
        <v>23</v>
      </c>
      <c r="B627" t="s">
        <v>26</v>
      </c>
      <c r="C627">
        <v>61</v>
      </c>
      <c r="D627">
        <v>2</v>
      </c>
      <c r="E627" t="s">
        <v>47</v>
      </c>
      <c r="F627" t="s">
        <v>48</v>
      </c>
      <c r="G627" t="str">
        <f>"2026-02-07 22:31:47.269"</f>
        <v>2026-02-07 22:31:47.269</v>
      </c>
      <c r="H627" t="s">
        <v>21</v>
      </c>
    </row>
    <row r="628" spans="1:10" x14ac:dyDescent="0.25">
      <c r="A628" s="1">
        <v>24</v>
      </c>
      <c r="B628" t="s">
        <v>45</v>
      </c>
      <c r="C628">
        <v>61</v>
      </c>
      <c r="D628">
        <v>2</v>
      </c>
      <c r="E628" t="s">
        <v>47</v>
      </c>
      <c r="F628" t="s">
        <v>48</v>
      </c>
      <c r="G628" t="str">
        <f>"2026-02-07 22:31:15.469"</f>
        <v>2026-02-07 22:31:15.469</v>
      </c>
      <c r="H628" t="s">
        <v>21</v>
      </c>
      <c r="I628">
        <v>30.43</v>
      </c>
      <c r="J628" t="s">
        <v>30</v>
      </c>
    </row>
    <row r="629" spans="1:10" x14ac:dyDescent="0.25">
      <c r="A629" s="1">
        <v>25</v>
      </c>
      <c r="B629" t="s">
        <v>26</v>
      </c>
      <c r="C629">
        <v>61</v>
      </c>
      <c r="D629">
        <v>2</v>
      </c>
      <c r="E629" t="s">
        <v>47</v>
      </c>
      <c r="F629" t="s">
        <v>48</v>
      </c>
      <c r="G629" t="str">
        <f>"2026-02-07 21:14:52.169"</f>
        <v>2026-02-07 21:14:52.169</v>
      </c>
      <c r="H629" t="s">
        <v>21</v>
      </c>
    </row>
    <row r="630" spans="1:10" x14ac:dyDescent="0.25">
      <c r="A630" s="1">
        <v>26</v>
      </c>
      <c r="B630" t="s">
        <v>45</v>
      </c>
      <c r="C630">
        <v>61</v>
      </c>
      <c r="D630">
        <v>2</v>
      </c>
      <c r="E630" t="s">
        <v>47</v>
      </c>
      <c r="F630" t="s">
        <v>48</v>
      </c>
      <c r="G630" t="str">
        <f>"2026-02-07 21:14:30.769"</f>
        <v>2026-02-07 21:14:30.769</v>
      </c>
      <c r="H630" t="s">
        <v>21</v>
      </c>
      <c r="I630">
        <v>30.29</v>
      </c>
      <c r="J630" t="s">
        <v>30</v>
      </c>
    </row>
    <row r="631" spans="1:10" x14ac:dyDescent="0.25">
      <c r="A631" s="1">
        <v>27</v>
      </c>
      <c r="B631" t="s">
        <v>26</v>
      </c>
      <c r="C631">
        <v>635</v>
      </c>
      <c r="D631">
        <v>1</v>
      </c>
      <c r="E631" t="s">
        <v>27</v>
      </c>
      <c r="F631" t="s">
        <v>28</v>
      </c>
      <c r="G631" t="str">
        <f>"2026-02-07 14:17:14.215"</f>
        <v>2026-02-07 14:17:14.215</v>
      </c>
      <c r="H631" t="s">
        <v>21</v>
      </c>
    </row>
    <row r="632" spans="1:10" x14ac:dyDescent="0.25">
      <c r="A632" s="1">
        <v>28</v>
      </c>
      <c r="B632" t="s">
        <v>29</v>
      </c>
      <c r="C632">
        <v>635</v>
      </c>
      <c r="D632">
        <v>1</v>
      </c>
      <c r="E632" t="s">
        <v>27</v>
      </c>
      <c r="F632" t="s">
        <v>28</v>
      </c>
      <c r="G632" t="str">
        <f>"2026-02-07 14:13:52.215"</f>
        <v>2026-02-07 14:13:52.215</v>
      </c>
      <c r="H632" t="s">
        <v>21</v>
      </c>
      <c r="I632">
        <v>0.19</v>
      </c>
      <c r="J632" t="s">
        <v>38</v>
      </c>
    </row>
    <row r="633" spans="1:10" x14ac:dyDescent="0.25">
      <c r="A633" s="1">
        <v>29</v>
      </c>
      <c r="B633" t="s">
        <v>26</v>
      </c>
      <c r="C633">
        <v>635</v>
      </c>
      <c r="D633">
        <v>1</v>
      </c>
      <c r="E633" t="s">
        <v>27</v>
      </c>
      <c r="F633" t="s">
        <v>28</v>
      </c>
      <c r="G633" t="str">
        <f>"2026-02-07 13:08:46.315"</f>
        <v>2026-02-07 13:08:46.315</v>
      </c>
      <c r="H633" t="s">
        <v>21</v>
      </c>
    </row>
    <row r="634" spans="1:10" x14ac:dyDescent="0.25">
      <c r="A634" s="1">
        <v>30</v>
      </c>
      <c r="B634" t="s">
        <v>29</v>
      </c>
      <c r="C634">
        <v>635</v>
      </c>
      <c r="D634">
        <v>1</v>
      </c>
      <c r="E634" t="s">
        <v>27</v>
      </c>
      <c r="F634" t="s">
        <v>28</v>
      </c>
      <c r="G634" t="str">
        <f>"2026-02-07 12:41:30.415"</f>
        <v>2026-02-07 12:41:30.415</v>
      </c>
      <c r="H634" t="s">
        <v>21</v>
      </c>
      <c r="I634">
        <v>8.9499999999999993</v>
      </c>
      <c r="J634" t="s">
        <v>30</v>
      </c>
    </row>
    <row r="635" spans="1:10" x14ac:dyDescent="0.25">
      <c r="A635" s="1">
        <v>31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"2026-02-07 12:16:45.398"</f>
        <v>2026-02-07 12:16:45.398</v>
      </c>
      <c r="H635" t="s">
        <v>21</v>
      </c>
    </row>
    <row r="636" spans="1:10" x14ac:dyDescent="0.25">
      <c r="A636" s="1">
        <v>32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"2026-02-07 10:14:11.421"</f>
        <v>2026-02-07 10:14:11.421</v>
      </c>
      <c r="H636" t="s">
        <v>21</v>
      </c>
    </row>
    <row r="637" spans="1:10" x14ac:dyDescent="0.25">
      <c r="A637" s="1">
        <v>33</v>
      </c>
      <c r="B637" t="s">
        <v>26</v>
      </c>
      <c r="C637">
        <v>635</v>
      </c>
      <c r="D637">
        <v>1</v>
      </c>
      <c r="E637" t="s">
        <v>27</v>
      </c>
      <c r="F637" t="s">
        <v>28</v>
      </c>
      <c r="G637" t="str">
        <f>"2026-02-06 18:28:59.614"</f>
        <v>2026-02-06 18:28:59.614</v>
      </c>
      <c r="H637" t="s">
        <v>21</v>
      </c>
    </row>
    <row r="638" spans="1:10" x14ac:dyDescent="0.25">
      <c r="A638" s="1">
        <v>34</v>
      </c>
      <c r="B638" t="s">
        <v>29</v>
      </c>
      <c r="C638">
        <v>635</v>
      </c>
      <c r="D638">
        <v>1</v>
      </c>
      <c r="E638" t="s">
        <v>27</v>
      </c>
      <c r="F638" t="s">
        <v>28</v>
      </c>
      <c r="G638" t="str">
        <f>"2026-02-06 18:24:09.214"</f>
        <v>2026-02-06 18:24:09.214</v>
      </c>
      <c r="H638" t="s">
        <v>21</v>
      </c>
      <c r="I638">
        <v>3.73</v>
      </c>
      <c r="J638" t="s">
        <v>38</v>
      </c>
    </row>
    <row r="639" spans="1:10" x14ac:dyDescent="0.25">
      <c r="A639" s="1">
        <v>36</v>
      </c>
      <c r="B639" t="s">
        <v>26</v>
      </c>
      <c r="C639">
        <v>98</v>
      </c>
      <c r="D639">
        <v>1</v>
      </c>
      <c r="E639" t="s">
        <v>36</v>
      </c>
      <c r="F639" t="s">
        <v>37</v>
      </c>
      <c r="G639" t="str">
        <f>"2026-02-06 04:12:51.067"</f>
        <v>2026-02-06 04:12:51.067</v>
      </c>
      <c r="H639" t="s">
        <v>21</v>
      </c>
    </row>
    <row r="640" spans="1:10" x14ac:dyDescent="0.25">
      <c r="A640" s="1">
        <v>37</v>
      </c>
      <c r="B640" t="s">
        <v>29</v>
      </c>
      <c r="C640">
        <v>98</v>
      </c>
      <c r="D640">
        <v>1</v>
      </c>
      <c r="E640" t="s">
        <v>36</v>
      </c>
      <c r="F640" t="s">
        <v>37</v>
      </c>
      <c r="G640" t="str">
        <f>"2026-02-06 04:12:50.068"</f>
        <v>2026-02-06 04:12:50.068</v>
      </c>
      <c r="H640" t="s">
        <v>21</v>
      </c>
      <c r="I640">
        <v>4.59</v>
      </c>
      <c r="J640" t="s">
        <v>38</v>
      </c>
    </row>
    <row r="641" spans="1:10" x14ac:dyDescent="0.25">
      <c r="A641" s="1">
        <v>38</v>
      </c>
      <c r="B641" t="s">
        <v>26</v>
      </c>
      <c r="C641">
        <v>635</v>
      </c>
      <c r="D641">
        <v>1</v>
      </c>
      <c r="E641" t="s">
        <v>27</v>
      </c>
      <c r="F641" t="s">
        <v>28</v>
      </c>
      <c r="G641" t="str">
        <f>"2026-02-05 10:15:04.214"</f>
        <v>2026-02-05 10:15:04.214</v>
      </c>
      <c r="H641" t="s">
        <v>21</v>
      </c>
    </row>
    <row r="642" spans="1:10" x14ac:dyDescent="0.25">
      <c r="A642" s="1">
        <v>39</v>
      </c>
      <c r="B642" t="s">
        <v>29</v>
      </c>
      <c r="C642">
        <v>635</v>
      </c>
      <c r="D642">
        <v>1</v>
      </c>
      <c r="E642" t="s">
        <v>27</v>
      </c>
      <c r="F642" t="s">
        <v>28</v>
      </c>
      <c r="G642" t="str">
        <f>"2026-02-05 10:11:52.214"</f>
        <v>2026-02-05 10:11:52.214</v>
      </c>
      <c r="H642" t="s">
        <v>21</v>
      </c>
      <c r="I642">
        <v>5.07</v>
      </c>
      <c r="J642" t="s">
        <v>38</v>
      </c>
    </row>
    <row r="643" spans="1:10" x14ac:dyDescent="0.25">
      <c r="A643" s="1">
        <v>40</v>
      </c>
      <c r="B643" t="s">
        <v>26</v>
      </c>
      <c r="C643">
        <v>635</v>
      </c>
      <c r="D643">
        <v>1</v>
      </c>
      <c r="E643" t="s">
        <v>27</v>
      </c>
      <c r="F643" t="s">
        <v>28</v>
      </c>
      <c r="G643" t="str">
        <f>"2026-02-05 08:27:09.514"</f>
        <v>2026-02-05 08:27:09.514</v>
      </c>
      <c r="H643" t="s">
        <v>21</v>
      </c>
    </row>
    <row r="644" spans="1:10" x14ac:dyDescent="0.25">
      <c r="A644" s="1">
        <v>41</v>
      </c>
      <c r="B644" t="s">
        <v>29</v>
      </c>
      <c r="C644">
        <v>635</v>
      </c>
      <c r="D644">
        <v>1</v>
      </c>
      <c r="E644" t="s">
        <v>27</v>
      </c>
      <c r="F644" t="s">
        <v>28</v>
      </c>
      <c r="G644" t="str">
        <f>"2026-02-05 08:23:24.514"</f>
        <v>2026-02-05 08:23:24.514</v>
      </c>
      <c r="H644" t="s">
        <v>21</v>
      </c>
      <c r="I644">
        <v>-0.09</v>
      </c>
      <c r="J644" t="s">
        <v>38</v>
      </c>
    </row>
    <row r="645" spans="1:10" x14ac:dyDescent="0.25">
      <c r="A645" s="1">
        <v>42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"2026-02-04 13:02:34.405"</f>
        <v>2026-02-04 13:02:34.405</v>
      </c>
      <c r="H645" t="s">
        <v>21</v>
      </c>
      <c r="I645">
        <v>0</v>
      </c>
      <c r="J645" t="s">
        <v>22</v>
      </c>
    </row>
    <row r="646" spans="1:10" x14ac:dyDescent="0.25">
      <c r="A646" s="1">
        <v>43</v>
      </c>
      <c r="B646" t="s">
        <v>26</v>
      </c>
      <c r="C646">
        <v>635</v>
      </c>
      <c r="D646">
        <v>1</v>
      </c>
      <c r="E646" t="s">
        <v>27</v>
      </c>
      <c r="F646" t="s">
        <v>28</v>
      </c>
      <c r="G646" t="str">
        <f>"2026-02-03 11:36:47.418"</f>
        <v>2026-02-03 11:36:47.418</v>
      </c>
      <c r="H646" t="s">
        <v>21</v>
      </c>
    </row>
    <row r="647" spans="1:10" x14ac:dyDescent="0.25">
      <c r="A647" s="1">
        <v>44</v>
      </c>
      <c r="B647" t="s">
        <v>29</v>
      </c>
      <c r="C647">
        <v>635</v>
      </c>
      <c r="D647">
        <v>1</v>
      </c>
      <c r="E647" t="s">
        <v>27</v>
      </c>
      <c r="F647" t="s">
        <v>28</v>
      </c>
      <c r="G647" t="str">
        <f>"2026-02-03 11:30:41.918"</f>
        <v>2026-02-03 11:30:41.918</v>
      </c>
      <c r="H647" t="s">
        <v>21</v>
      </c>
      <c r="I647">
        <v>1.38</v>
      </c>
      <c r="J647" t="s">
        <v>38</v>
      </c>
    </row>
    <row r="648" spans="1:10" x14ac:dyDescent="0.25">
      <c r="A648" s="1">
        <v>45</v>
      </c>
      <c r="B648" t="s">
        <v>26</v>
      </c>
      <c r="C648">
        <v>61</v>
      </c>
      <c r="D648">
        <v>2</v>
      </c>
      <c r="E648" t="s">
        <v>47</v>
      </c>
      <c r="F648" t="s">
        <v>48</v>
      </c>
      <c r="G648" t="str">
        <f>"2026-02-03 06:20:57.079"</f>
        <v>2026-02-03 06:20:57.079</v>
      </c>
      <c r="H648" t="s">
        <v>21</v>
      </c>
    </row>
    <row r="649" spans="1:10" x14ac:dyDescent="0.25">
      <c r="A649" s="1">
        <v>46</v>
      </c>
      <c r="B649" t="s">
        <v>45</v>
      </c>
      <c r="C649">
        <v>61</v>
      </c>
      <c r="D649">
        <v>2</v>
      </c>
      <c r="E649" t="s">
        <v>47</v>
      </c>
      <c r="F649" t="s">
        <v>48</v>
      </c>
      <c r="G649" t="str">
        <f>"2026-02-03 06:20:38.979"</f>
        <v>2026-02-03 06:20:38.979</v>
      </c>
      <c r="H649" t="s">
        <v>21</v>
      </c>
      <c r="I649">
        <v>30.35</v>
      </c>
      <c r="J649" t="s">
        <v>30</v>
      </c>
    </row>
    <row r="650" spans="1:10" x14ac:dyDescent="0.25">
      <c r="A650" s="1">
        <v>47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"2026-02-02 11:27:06.388"</f>
        <v>2026-02-02 11:27:06.388</v>
      </c>
      <c r="H650" t="s">
        <v>21</v>
      </c>
    </row>
    <row r="651" spans="1:10" x14ac:dyDescent="0.25">
      <c r="A651" s="1">
        <v>48</v>
      </c>
      <c r="B651" t="s">
        <v>26</v>
      </c>
      <c r="C651">
        <v>61</v>
      </c>
      <c r="D651">
        <v>2</v>
      </c>
      <c r="E651" t="s">
        <v>47</v>
      </c>
      <c r="F651" t="s">
        <v>48</v>
      </c>
      <c r="G651" t="str">
        <f>"2026-02-02 07:30:38.359"</f>
        <v>2026-02-02 07:30:38.359</v>
      </c>
      <c r="H651" t="s">
        <v>21</v>
      </c>
    </row>
    <row r="652" spans="1:10" x14ac:dyDescent="0.25">
      <c r="A652" s="1">
        <v>49</v>
      </c>
      <c r="B652" t="s">
        <v>45</v>
      </c>
      <c r="C652">
        <v>61</v>
      </c>
      <c r="D652">
        <v>2</v>
      </c>
      <c r="E652" t="s">
        <v>47</v>
      </c>
      <c r="F652" t="s">
        <v>48</v>
      </c>
      <c r="G652" t="str">
        <f>"2026-02-02 07:30:08.659"</f>
        <v>2026-02-02 07:30:08.659</v>
      </c>
      <c r="H652" t="s">
        <v>21</v>
      </c>
      <c r="I652">
        <v>30.03</v>
      </c>
      <c r="J652" t="s">
        <v>30</v>
      </c>
    </row>
    <row r="653" spans="1:10" x14ac:dyDescent="0.25">
      <c r="A653" s="1">
        <v>50</v>
      </c>
      <c r="B653" t="s">
        <v>26</v>
      </c>
      <c r="C653">
        <v>61</v>
      </c>
      <c r="D653">
        <v>2</v>
      </c>
      <c r="E653" t="s">
        <v>47</v>
      </c>
      <c r="F653" t="s">
        <v>48</v>
      </c>
      <c r="G653" t="str">
        <f>"2026-02-01 22:06:45.259"</f>
        <v>2026-02-01 22:06:45.259</v>
      </c>
      <c r="H653" t="s">
        <v>21</v>
      </c>
    </row>
    <row r="654" spans="1:10" x14ac:dyDescent="0.25">
      <c r="A654" s="1">
        <v>51</v>
      </c>
      <c r="B654" t="s">
        <v>45</v>
      </c>
      <c r="C654">
        <v>61</v>
      </c>
      <c r="D654">
        <v>2</v>
      </c>
      <c r="E654" t="s">
        <v>47</v>
      </c>
      <c r="F654" t="s">
        <v>48</v>
      </c>
      <c r="G654" t="str">
        <f>"2026-02-01 22:06:23.059"</f>
        <v>2026-02-01 22:06:23.059</v>
      </c>
      <c r="H654" t="s">
        <v>21</v>
      </c>
      <c r="I654">
        <v>29.99</v>
      </c>
      <c r="J654" t="s">
        <v>30</v>
      </c>
    </row>
    <row r="655" spans="1:10" x14ac:dyDescent="0.25">
      <c r="A655" s="1">
        <v>52</v>
      </c>
      <c r="B655" t="s">
        <v>19</v>
      </c>
      <c r="C655">
        <v>700</v>
      </c>
      <c r="D655">
        <v>0</v>
      </c>
      <c r="E655" t="s">
        <v>20</v>
      </c>
      <c r="F655" t="s">
        <v>20</v>
      </c>
      <c r="G655" t="str">
        <f>"2026-02-01 14:30:17.388"</f>
        <v>2026-02-01 14:30:17.388</v>
      </c>
      <c r="H655" t="s">
        <v>21</v>
      </c>
    </row>
    <row r="656" spans="1:10" x14ac:dyDescent="0.25">
      <c r="A656" s="1">
        <v>54</v>
      </c>
      <c r="B656" t="s">
        <v>26</v>
      </c>
      <c r="C656">
        <v>61</v>
      </c>
      <c r="D656">
        <v>2</v>
      </c>
      <c r="E656" t="s">
        <v>47</v>
      </c>
      <c r="F656" t="s">
        <v>48</v>
      </c>
      <c r="G656" t="str">
        <f>"2026-01-31 11:33:50.359"</f>
        <v>2026-01-31 11:33:50.359</v>
      </c>
      <c r="H656" t="s">
        <v>21</v>
      </c>
    </row>
    <row r="657" spans="1:10" x14ac:dyDescent="0.25">
      <c r="A657" s="1">
        <v>55</v>
      </c>
      <c r="B657" t="s">
        <v>45</v>
      </c>
      <c r="C657">
        <v>61</v>
      </c>
      <c r="D657">
        <v>2</v>
      </c>
      <c r="E657" t="s">
        <v>47</v>
      </c>
      <c r="F657" t="s">
        <v>48</v>
      </c>
      <c r="G657" t="str">
        <f>"2026-01-31 11:33:37.959"</f>
        <v>2026-01-31 11:33:37.959</v>
      </c>
      <c r="H657" t="s">
        <v>21</v>
      </c>
      <c r="I657">
        <v>30.35</v>
      </c>
      <c r="J657" t="s">
        <v>30</v>
      </c>
    </row>
    <row r="658" spans="1:10" x14ac:dyDescent="0.25">
      <c r="A658" s="1">
        <v>56</v>
      </c>
      <c r="B658" t="s">
        <v>26</v>
      </c>
      <c r="C658">
        <v>61</v>
      </c>
      <c r="D658">
        <v>2</v>
      </c>
      <c r="E658" t="s">
        <v>47</v>
      </c>
      <c r="F658" t="s">
        <v>48</v>
      </c>
      <c r="G658" t="str">
        <f>"2026-01-31 03:57:03.559"</f>
        <v>2026-01-31 03:57:03.559</v>
      </c>
      <c r="H658" t="s">
        <v>21</v>
      </c>
    </row>
    <row r="659" spans="1:10" x14ac:dyDescent="0.25">
      <c r="A659" s="1">
        <v>57</v>
      </c>
      <c r="B659" t="s">
        <v>45</v>
      </c>
      <c r="C659">
        <v>61</v>
      </c>
      <c r="D659">
        <v>2</v>
      </c>
      <c r="E659" t="s">
        <v>47</v>
      </c>
      <c r="F659" t="s">
        <v>48</v>
      </c>
      <c r="G659" t="str">
        <f>"2026-01-31 03:56:46.559"</f>
        <v>2026-01-31 03:56:46.559</v>
      </c>
      <c r="H659" t="s">
        <v>21</v>
      </c>
      <c r="I659">
        <v>30.15</v>
      </c>
      <c r="J659" t="s">
        <v>30</v>
      </c>
    </row>
    <row r="660" spans="1:10" x14ac:dyDescent="0.25">
      <c r="A660" s="1">
        <v>58</v>
      </c>
      <c r="B660" t="s">
        <v>26</v>
      </c>
      <c r="C660">
        <v>635</v>
      </c>
      <c r="D660">
        <v>1</v>
      </c>
      <c r="E660" t="s">
        <v>27</v>
      </c>
      <c r="F660" t="s">
        <v>28</v>
      </c>
      <c r="G660" t="str">
        <f>"2026-01-30 21:59:48.958"</f>
        <v>2026-01-30 21:59:48.958</v>
      </c>
      <c r="H660" t="s">
        <v>21</v>
      </c>
    </row>
    <row r="661" spans="1:10" x14ac:dyDescent="0.25">
      <c r="A661" s="1">
        <v>59</v>
      </c>
      <c r="B661" t="s">
        <v>29</v>
      </c>
      <c r="C661">
        <v>635</v>
      </c>
      <c r="D661">
        <v>1</v>
      </c>
      <c r="E661" t="s">
        <v>27</v>
      </c>
      <c r="F661" t="s">
        <v>28</v>
      </c>
      <c r="G661" t="str">
        <f>"2026-01-30 21:55:36.958"</f>
        <v>2026-01-30 21:55:36.958</v>
      </c>
      <c r="H661" t="s">
        <v>21</v>
      </c>
      <c r="I661">
        <v>0.1</v>
      </c>
      <c r="J661" t="s">
        <v>34</v>
      </c>
    </row>
    <row r="662" spans="1:10" x14ac:dyDescent="0.25">
      <c r="A662" s="1">
        <v>61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"2026-01-29 10:13:55.388"</f>
        <v>2026-01-29 10:13:55.388</v>
      </c>
      <c r="H662" t="s">
        <v>21</v>
      </c>
    </row>
    <row r="663" spans="1:10" x14ac:dyDescent="0.25">
      <c r="A663" s="1">
        <v>64</v>
      </c>
      <c r="B663" t="s">
        <v>26</v>
      </c>
      <c r="C663">
        <v>635</v>
      </c>
      <c r="D663">
        <v>1</v>
      </c>
      <c r="E663" t="s">
        <v>27</v>
      </c>
      <c r="F663" t="s">
        <v>28</v>
      </c>
      <c r="G663" t="str">
        <f>"2026-01-27 14:57:12.178"</f>
        <v>2026-01-27 14:57:12.178</v>
      </c>
      <c r="H663" t="s">
        <v>21</v>
      </c>
    </row>
    <row r="664" spans="1:10" x14ac:dyDescent="0.25">
      <c r="A664" s="1">
        <v>65</v>
      </c>
      <c r="B664" t="s">
        <v>29</v>
      </c>
      <c r="C664">
        <v>635</v>
      </c>
      <c r="D664">
        <v>1</v>
      </c>
      <c r="E664" t="s">
        <v>27</v>
      </c>
      <c r="F664" t="s">
        <v>28</v>
      </c>
      <c r="G664" t="str">
        <f>"2026-01-27 14:52:50.678"</f>
        <v>2026-01-27 14:52:50.678</v>
      </c>
      <c r="H664" t="s">
        <v>21</v>
      </c>
      <c r="I664">
        <v>4.4800000000000004</v>
      </c>
      <c r="J664" t="s">
        <v>38</v>
      </c>
    </row>
    <row r="665" spans="1:10" x14ac:dyDescent="0.25">
      <c r="A665" s="1">
        <v>66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"2026-01-27 12:54:36.408"</f>
        <v>2026-01-27 12:54:36.408</v>
      </c>
      <c r="H665" t="s">
        <v>21</v>
      </c>
      <c r="I665">
        <v>0</v>
      </c>
      <c r="J665" t="s">
        <v>22</v>
      </c>
    </row>
    <row r="666" spans="1:10" x14ac:dyDescent="0.25">
      <c r="A666" s="1">
        <v>67</v>
      </c>
      <c r="B666" t="s">
        <v>26</v>
      </c>
      <c r="C666">
        <v>61</v>
      </c>
      <c r="D666">
        <v>2</v>
      </c>
      <c r="E666" t="s">
        <v>47</v>
      </c>
      <c r="F666" t="s">
        <v>48</v>
      </c>
      <c r="G666" t="str">
        <f>"2026-01-27 07:30:26.360"</f>
        <v>2026-01-27 07:30:26.360</v>
      </c>
      <c r="H666" t="s">
        <v>21</v>
      </c>
    </row>
    <row r="667" spans="1:10" x14ac:dyDescent="0.25">
      <c r="A667" s="1">
        <v>68</v>
      </c>
      <c r="B667" t="s">
        <v>45</v>
      </c>
      <c r="C667">
        <v>61</v>
      </c>
      <c r="D667">
        <v>2</v>
      </c>
      <c r="E667" t="s">
        <v>47</v>
      </c>
      <c r="F667" t="s">
        <v>48</v>
      </c>
      <c r="G667" t="str">
        <f>"2026-01-27 07:30:07.160"</f>
        <v>2026-01-27 07:30:07.160</v>
      </c>
      <c r="H667" t="s">
        <v>21</v>
      </c>
      <c r="I667">
        <v>30.46</v>
      </c>
      <c r="J667" t="s">
        <v>30</v>
      </c>
    </row>
    <row r="668" spans="1:10" x14ac:dyDescent="0.25">
      <c r="A668" s="1">
        <v>69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"2026-01-27 05:43:39.389"</f>
        <v>2026-01-27 05:43:39.389</v>
      </c>
      <c r="H668" t="s">
        <v>21</v>
      </c>
      <c r="I668">
        <v>0</v>
      </c>
      <c r="J668" t="s">
        <v>22</v>
      </c>
    </row>
    <row r="669" spans="1:10" x14ac:dyDescent="0.25">
      <c r="A669" s="1">
        <v>70</v>
      </c>
      <c r="B669" t="s">
        <v>26</v>
      </c>
      <c r="C669">
        <v>635</v>
      </c>
      <c r="D669">
        <v>1</v>
      </c>
      <c r="E669" t="s">
        <v>27</v>
      </c>
      <c r="F669" t="s">
        <v>28</v>
      </c>
      <c r="G669" t="str">
        <f>"2026-01-27 03:57:53.868"</f>
        <v>2026-01-27 03:57:53.868</v>
      </c>
      <c r="H669" t="s">
        <v>21</v>
      </c>
    </row>
    <row r="670" spans="1:10" x14ac:dyDescent="0.25">
      <c r="A670" s="1">
        <v>71</v>
      </c>
      <c r="B670" t="s">
        <v>29</v>
      </c>
      <c r="C670">
        <v>635</v>
      </c>
      <c r="D670">
        <v>1</v>
      </c>
      <c r="E670" t="s">
        <v>27</v>
      </c>
      <c r="F670" t="s">
        <v>28</v>
      </c>
      <c r="G670" t="str">
        <f>"2026-01-27 03:54:31.368"</f>
        <v>2026-01-27 03:54:31.368</v>
      </c>
      <c r="H670" t="s">
        <v>21</v>
      </c>
      <c r="I670">
        <v>6.09</v>
      </c>
      <c r="J670" t="s">
        <v>30</v>
      </c>
    </row>
    <row r="671" spans="1:10" x14ac:dyDescent="0.25">
      <c r="A671" s="1">
        <v>72</v>
      </c>
      <c r="B671" t="s">
        <v>26</v>
      </c>
      <c r="C671">
        <v>635</v>
      </c>
      <c r="D671">
        <v>1</v>
      </c>
      <c r="E671" t="s">
        <v>27</v>
      </c>
      <c r="F671" t="s">
        <v>28</v>
      </c>
      <c r="G671" t="str">
        <f>"2026-01-27 00:59:34.268"</f>
        <v>2026-01-27 00:59:34.268</v>
      </c>
      <c r="H671" t="s">
        <v>21</v>
      </c>
    </row>
    <row r="672" spans="1:10" x14ac:dyDescent="0.25">
      <c r="A672" s="1">
        <v>73</v>
      </c>
      <c r="B672" t="s">
        <v>29</v>
      </c>
      <c r="C672">
        <v>635</v>
      </c>
      <c r="D672">
        <v>1</v>
      </c>
      <c r="E672" t="s">
        <v>27</v>
      </c>
      <c r="F672" t="s">
        <v>28</v>
      </c>
      <c r="G672" t="str">
        <f>"2026-01-27 00:55:31.768"</f>
        <v>2026-01-27 00:55:31.768</v>
      </c>
      <c r="H672" t="s">
        <v>21</v>
      </c>
      <c r="I672">
        <v>0.99</v>
      </c>
      <c r="J672" t="s">
        <v>30</v>
      </c>
    </row>
    <row r="673" spans="1:10" x14ac:dyDescent="0.25">
      <c r="A673" s="1">
        <v>74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"2026-01-26 23:16:28.450"</f>
        <v>2026-01-26 23:16:28.450</v>
      </c>
      <c r="H673" t="s">
        <v>21</v>
      </c>
    </row>
    <row r="674" spans="1:10" x14ac:dyDescent="0.25">
      <c r="A674" s="1">
        <v>75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"2026-01-26 22:50:40.446"</f>
        <v>2026-01-26 22:50:40.446</v>
      </c>
      <c r="H674" t="s">
        <v>21</v>
      </c>
      <c r="I674">
        <v>0</v>
      </c>
      <c r="J674" t="s">
        <v>22</v>
      </c>
    </row>
    <row r="675" spans="1:10" x14ac:dyDescent="0.25">
      <c r="A675" s="1">
        <v>76</v>
      </c>
      <c r="B675" t="s">
        <v>19</v>
      </c>
      <c r="C675">
        <v>706</v>
      </c>
      <c r="D675">
        <v>4</v>
      </c>
      <c r="E675" t="s">
        <v>23</v>
      </c>
      <c r="F675" t="s">
        <v>24</v>
      </c>
      <c r="G675" t="str">
        <f>"2026-01-26 22:35:34.411"</f>
        <v>2026-01-26 22:35:34.411</v>
      </c>
      <c r="H675" t="s">
        <v>21</v>
      </c>
      <c r="I675">
        <v>0</v>
      </c>
      <c r="J675" t="s">
        <v>25</v>
      </c>
    </row>
    <row r="676" spans="1:10" x14ac:dyDescent="0.25">
      <c r="A676" s="1">
        <v>77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"2026-01-26 22:01:28.381"</f>
        <v>2026-01-26 22:01:28.381</v>
      </c>
      <c r="H676" t="s">
        <v>21</v>
      </c>
      <c r="I676">
        <v>0</v>
      </c>
      <c r="J676" t="s">
        <v>22</v>
      </c>
    </row>
    <row r="677" spans="1:10" x14ac:dyDescent="0.25">
      <c r="A677" s="1">
        <v>78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"2026-01-26 21:20:10.413"</f>
        <v>2026-01-26 21:20:10.413</v>
      </c>
      <c r="H677" t="s">
        <v>21</v>
      </c>
      <c r="I677">
        <v>0</v>
      </c>
      <c r="J677" t="s">
        <v>22</v>
      </c>
    </row>
    <row r="678" spans="1:10" x14ac:dyDescent="0.25">
      <c r="A678" s="1">
        <v>80</v>
      </c>
      <c r="B678" t="s">
        <v>26</v>
      </c>
      <c r="C678">
        <v>61</v>
      </c>
      <c r="D678">
        <v>2</v>
      </c>
      <c r="E678" t="s">
        <v>47</v>
      </c>
      <c r="F678" t="s">
        <v>48</v>
      </c>
      <c r="G678" t="str">
        <f>"2026-01-26 07:32:07.370"</f>
        <v>2026-01-26 07:32:07.370</v>
      </c>
      <c r="H678" t="s">
        <v>21</v>
      </c>
    </row>
    <row r="679" spans="1:10" x14ac:dyDescent="0.25">
      <c r="A679" s="1">
        <v>81</v>
      </c>
      <c r="B679" t="s">
        <v>45</v>
      </c>
      <c r="C679">
        <v>61</v>
      </c>
      <c r="D679">
        <v>2</v>
      </c>
      <c r="E679" t="s">
        <v>47</v>
      </c>
      <c r="F679" t="s">
        <v>48</v>
      </c>
      <c r="G679" t="str">
        <f>"2026-01-26 07:31:55.871"</f>
        <v>2026-01-26 07:31:55.871</v>
      </c>
      <c r="H679" t="s">
        <v>21</v>
      </c>
      <c r="I679">
        <v>29.35</v>
      </c>
      <c r="J679" t="s">
        <v>30</v>
      </c>
    </row>
    <row r="680" spans="1:10" x14ac:dyDescent="0.25">
      <c r="A680" s="1">
        <v>83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"2026-01-25 16:18:05.376"</f>
        <v>2026-01-25 16:18:05.376</v>
      </c>
      <c r="H680" t="s">
        <v>21</v>
      </c>
    </row>
    <row r="681" spans="1:10" x14ac:dyDescent="0.25">
      <c r="A681" s="1">
        <v>84</v>
      </c>
      <c r="B681" t="s">
        <v>26</v>
      </c>
      <c r="C681">
        <v>635</v>
      </c>
      <c r="D681">
        <v>1</v>
      </c>
      <c r="E681" t="s">
        <v>27</v>
      </c>
      <c r="F681" t="s">
        <v>28</v>
      </c>
      <c r="G681" t="str">
        <f>"2026-01-25 15:06:59.851"</f>
        <v>2026-01-25 15:06:59.851</v>
      </c>
      <c r="H681" t="s">
        <v>21</v>
      </c>
    </row>
    <row r="682" spans="1:10" x14ac:dyDescent="0.25">
      <c r="A682" s="1">
        <v>85</v>
      </c>
      <c r="B682" t="s">
        <v>29</v>
      </c>
      <c r="C682">
        <v>635</v>
      </c>
      <c r="D682">
        <v>1</v>
      </c>
      <c r="E682" t="s">
        <v>27</v>
      </c>
      <c r="F682" t="s">
        <v>28</v>
      </c>
      <c r="G682" t="str">
        <f>"2026-01-25 14:54:08.951"</f>
        <v>2026-01-25 14:54:08.951</v>
      </c>
      <c r="H682" t="s">
        <v>21</v>
      </c>
      <c r="I682">
        <v>10.6</v>
      </c>
      <c r="J682" t="s">
        <v>30</v>
      </c>
    </row>
    <row r="683" spans="1:10" x14ac:dyDescent="0.25">
      <c r="A683" s="1">
        <v>86</v>
      </c>
      <c r="B683" t="s">
        <v>26</v>
      </c>
      <c r="C683">
        <v>61</v>
      </c>
      <c r="D683">
        <v>2</v>
      </c>
      <c r="E683" t="s">
        <v>47</v>
      </c>
      <c r="F683" t="s">
        <v>48</v>
      </c>
      <c r="G683" t="str">
        <f>"2026-01-25 07:24:26.052"</f>
        <v>2026-01-25 07:24:26.052</v>
      </c>
      <c r="H683" t="s">
        <v>21</v>
      </c>
    </row>
    <row r="684" spans="1:10" x14ac:dyDescent="0.25">
      <c r="A684" s="1">
        <v>87</v>
      </c>
      <c r="B684" t="s">
        <v>45</v>
      </c>
      <c r="C684">
        <v>61</v>
      </c>
      <c r="D684">
        <v>2</v>
      </c>
      <c r="E684" t="s">
        <v>47</v>
      </c>
      <c r="F684" t="s">
        <v>48</v>
      </c>
      <c r="G684" t="str">
        <f>"2026-01-25 07:24:08.052"</f>
        <v>2026-01-25 07:24:08.052</v>
      </c>
      <c r="H684" t="s">
        <v>21</v>
      </c>
      <c r="I684">
        <v>30.26</v>
      </c>
      <c r="J684" t="s">
        <v>30</v>
      </c>
    </row>
    <row r="685" spans="1:10" x14ac:dyDescent="0.25">
      <c r="A685" s="1">
        <v>88</v>
      </c>
      <c r="B685" t="s">
        <v>19</v>
      </c>
      <c r="C685">
        <v>706</v>
      </c>
      <c r="D685">
        <v>2</v>
      </c>
      <c r="E685" t="s">
        <v>23</v>
      </c>
      <c r="F685" t="s">
        <v>46</v>
      </c>
      <c r="G685" t="str">
        <f>"2026-01-24 18:32:24.107"</f>
        <v>2026-01-24 18:32:24.107</v>
      </c>
      <c r="H685" t="s">
        <v>21</v>
      </c>
      <c r="I685">
        <v>0</v>
      </c>
      <c r="J685" t="s">
        <v>25</v>
      </c>
    </row>
    <row r="686" spans="1:10" x14ac:dyDescent="0.25">
      <c r="A686" s="1">
        <v>89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"2026-01-24 18:32:09.367"</f>
        <v>2026-01-24 18:32:09.367</v>
      </c>
      <c r="H686" t="s">
        <v>21</v>
      </c>
    </row>
    <row r="687" spans="1:10" x14ac:dyDescent="0.25">
      <c r="A687" s="1">
        <v>90</v>
      </c>
      <c r="B687" t="s">
        <v>19</v>
      </c>
      <c r="C687">
        <v>706</v>
      </c>
      <c r="D687">
        <v>2</v>
      </c>
      <c r="E687" t="s">
        <v>23</v>
      </c>
      <c r="F687" t="s">
        <v>46</v>
      </c>
      <c r="G687" t="str">
        <f>"2026-01-24 18:28:56.321"</f>
        <v>2026-01-24 18:28:56.321</v>
      </c>
      <c r="H687" t="s">
        <v>21</v>
      </c>
      <c r="I687">
        <v>0</v>
      </c>
      <c r="J687" t="s">
        <v>25</v>
      </c>
    </row>
    <row r="688" spans="1:10" x14ac:dyDescent="0.25">
      <c r="A688" s="1">
        <v>91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"2026-01-24 18:28:40.391"</f>
        <v>2026-01-24 18:28:40.391</v>
      </c>
      <c r="H688" t="s">
        <v>21</v>
      </c>
    </row>
    <row r="689" spans="1:10" x14ac:dyDescent="0.25">
      <c r="A689" s="1">
        <v>92</v>
      </c>
      <c r="B689" t="s">
        <v>45</v>
      </c>
      <c r="C689">
        <v>33</v>
      </c>
      <c r="D689">
        <v>1</v>
      </c>
      <c r="E689" t="s">
        <v>42</v>
      </c>
      <c r="F689" t="s">
        <v>43</v>
      </c>
      <c r="G689" t="str">
        <f>"2026-01-24 18:06:38.753"</f>
        <v>2026-01-24 18:06:38.753</v>
      </c>
      <c r="H689" t="s">
        <v>44</v>
      </c>
      <c r="I689">
        <v>-1.4</v>
      </c>
      <c r="J689" t="s">
        <v>38</v>
      </c>
    </row>
    <row r="690" spans="1:10" x14ac:dyDescent="0.25">
      <c r="A690" s="1">
        <v>99</v>
      </c>
      <c r="B690" t="s">
        <v>19</v>
      </c>
      <c r="C690">
        <v>706</v>
      </c>
      <c r="D690">
        <v>2</v>
      </c>
      <c r="E690" t="s">
        <v>23</v>
      </c>
      <c r="F690" t="s">
        <v>46</v>
      </c>
      <c r="G690" t="str">
        <f>"2026-01-23 13:04:09.290"</f>
        <v>2026-01-23 13:04:09.290</v>
      </c>
      <c r="H690" t="s">
        <v>21</v>
      </c>
      <c r="I690">
        <v>0</v>
      </c>
      <c r="J690" t="s">
        <v>25</v>
      </c>
    </row>
    <row r="691" spans="1:10" x14ac:dyDescent="0.25">
      <c r="A691" s="1">
        <v>0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"2026-01-23 13:03:05.380"</f>
        <v>2026-01-23 13:03:05.380</v>
      </c>
      <c r="H691" t="s">
        <v>21</v>
      </c>
      <c r="I691">
        <v>0</v>
      </c>
      <c r="J691" t="s">
        <v>22</v>
      </c>
    </row>
    <row r="692" spans="1:10" x14ac:dyDescent="0.25">
      <c r="A692" s="1">
        <v>1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"2026-01-23 13:01:32.380"</f>
        <v>2026-01-23 13:01:32.380</v>
      </c>
      <c r="H692" t="s">
        <v>21</v>
      </c>
      <c r="I692">
        <v>0</v>
      </c>
      <c r="J692" t="s">
        <v>22</v>
      </c>
    </row>
    <row r="693" spans="1:10" x14ac:dyDescent="0.25">
      <c r="A693" s="1">
        <v>2</v>
      </c>
      <c r="B693" t="s">
        <v>26</v>
      </c>
      <c r="C693">
        <v>61</v>
      </c>
      <c r="D693">
        <v>2</v>
      </c>
      <c r="E693" t="s">
        <v>47</v>
      </c>
      <c r="F693" t="s">
        <v>48</v>
      </c>
      <c r="G693" t="str">
        <f>"2026-01-23 07:36:21.381"</f>
        <v>2026-01-23 07:36:21.381</v>
      </c>
      <c r="H693" t="s">
        <v>21</v>
      </c>
    </row>
    <row r="694" spans="1:10" x14ac:dyDescent="0.25">
      <c r="A694" s="1">
        <v>3</v>
      </c>
      <c r="B694" t="s">
        <v>45</v>
      </c>
      <c r="C694">
        <v>61</v>
      </c>
      <c r="D694">
        <v>2</v>
      </c>
      <c r="E694" t="s">
        <v>47</v>
      </c>
      <c r="F694" t="s">
        <v>48</v>
      </c>
      <c r="G694" t="str">
        <f>"2026-01-23 07:36:06.082"</f>
        <v>2026-01-23 07:36:06.082</v>
      </c>
      <c r="H694" t="s">
        <v>21</v>
      </c>
      <c r="I694">
        <v>30.28</v>
      </c>
      <c r="J694" t="s">
        <v>30</v>
      </c>
    </row>
    <row r="695" spans="1:10" x14ac:dyDescent="0.25">
      <c r="A695" s="1">
        <v>5</v>
      </c>
      <c r="B695" t="s">
        <v>26</v>
      </c>
      <c r="C695">
        <v>635</v>
      </c>
      <c r="D695">
        <v>1</v>
      </c>
      <c r="E695" t="s">
        <v>27</v>
      </c>
      <c r="F695" t="s">
        <v>28</v>
      </c>
      <c r="G695" t="str">
        <f>"2026-01-23 03:25:17.921"</f>
        <v>2026-01-23 03:25:17.921</v>
      </c>
      <c r="H695" t="s">
        <v>21</v>
      </c>
    </row>
    <row r="696" spans="1:10" x14ac:dyDescent="0.25">
      <c r="A696" s="1">
        <v>6</v>
      </c>
      <c r="B696" t="s">
        <v>29</v>
      </c>
      <c r="C696">
        <v>635</v>
      </c>
      <c r="D696">
        <v>1</v>
      </c>
      <c r="E696" t="s">
        <v>27</v>
      </c>
      <c r="F696" t="s">
        <v>28</v>
      </c>
      <c r="G696" t="str">
        <f>"2026-01-23 03:19:04.521"</f>
        <v>2026-01-23 03:19:04.521</v>
      </c>
      <c r="H696" t="s">
        <v>21</v>
      </c>
      <c r="I696">
        <v>3.18</v>
      </c>
      <c r="J696" t="s">
        <v>30</v>
      </c>
    </row>
    <row r="697" spans="1:10" x14ac:dyDescent="0.25">
      <c r="A697" s="1">
        <v>7</v>
      </c>
      <c r="B697" t="s">
        <v>26</v>
      </c>
      <c r="C697">
        <v>61</v>
      </c>
      <c r="D697">
        <v>2</v>
      </c>
      <c r="E697" t="s">
        <v>47</v>
      </c>
      <c r="F697" t="s">
        <v>48</v>
      </c>
      <c r="G697" t="str">
        <f>"2026-01-22 04:12:44.381"</f>
        <v>2026-01-22 04:12:44.381</v>
      </c>
      <c r="H697" t="s">
        <v>21</v>
      </c>
    </row>
    <row r="698" spans="1:10" x14ac:dyDescent="0.25">
      <c r="A698" s="1">
        <v>8</v>
      </c>
      <c r="B698" t="s">
        <v>45</v>
      </c>
      <c r="C698">
        <v>61</v>
      </c>
      <c r="D698">
        <v>2</v>
      </c>
      <c r="E698" t="s">
        <v>47</v>
      </c>
      <c r="F698" t="s">
        <v>48</v>
      </c>
      <c r="G698" t="str">
        <f>"2026-01-22 04:12:12.682"</f>
        <v>2026-01-22 04:12:12.682</v>
      </c>
      <c r="H698" t="s">
        <v>21</v>
      </c>
      <c r="I698">
        <v>30.29</v>
      </c>
      <c r="J698" t="s">
        <v>30</v>
      </c>
    </row>
    <row r="699" spans="1:10" x14ac:dyDescent="0.25">
      <c r="A699" s="1">
        <v>9</v>
      </c>
      <c r="B699" t="s">
        <v>26</v>
      </c>
      <c r="C699">
        <v>61</v>
      </c>
      <c r="D699">
        <v>2</v>
      </c>
      <c r="E699" t="s">
        <v>47</v>
      </c>
      <c r="F699" t="s">
        <v>48</v>
      </c>
      <c r="G699" t="str">
        <f>"2026-01-22 02:54:57.581"</f>
        <v>2026-01-22 02:54:57.581</v>
      </c>
      <c r="H699" t="s">
        <v>21</v>
      </c>
    </row>
    <row r="700" spans="1:10" x14ac:dyDescent="0.25">
      <c r="A700" s="1">
        <v>10</v>
      </c>
      <c r="B700" t="s">
        <v>45</v>
      </c>
      <c r="C700">
        <v>61</v>
      </c>
      <c r="D700">
        <v>2</v>
      </c>
      <c r="E700" t="s">
        <v>47</v>
      </c>
      <c r="F700" t="s">
        <v>48</v>
      </c>
      <c r="G700" t="str">
        <f>"2026-01-22 02:54:40.482"</f>
        <v>2026-01-22 02:54:40.482</v>
      </c>
      <c r="H700" t="s">
        <v>21</v>
      </c>
      <c r="I700">
        <v>30.3</v>
      </c>
      <c r="J700" t="s">
        <v>30</v>
      </c>
    </row>
    <row r="701" spans="1:10" x14ac:dyDescent="0.25">
      <c r="A701" s="1">
        <v>11</v>
      </c>
      <c r="B701" t="s">
        <v>26</v>
      </c>
      <c r="C701">
        <v>61</v>
      </c>
      <c r="D701">
        <v>2</v>
      </c>
      <c r="E701" t="s">
        <v>47</v>
      </c>
      <c r="F701" t="s">
        <v>48</v>
      </c>
      <c r="G701" t="str">
        <f>"2026-01-22 02:20:47.682"</f>
        <v>2026-01-22 02:20:47.682</v>
      </c>
      <c r="H701" t="s">
        <v>21</v>
      </c>
    </row>
    <row r="702" spans="1:10" x14ac:dyDescent="0.25">
      <c r="A702" s="1">
        <v>12</v>
      </c>
      <c r="B702" t="s">
        <v>45</v>
      </c>
      <c r="C702">
        <v>61</v>
      </c>
      <c r="D702">
        <v>2</v>
      </c>
      <c r="E702" t="s">
        <v>47</v>
      </c>
      <c r="F702" t="s">
        <v>48</v>
      </c>
      <c r="G702" t="str">
        <f>"2026-01-22 02:20:25.882"</f>
        <v>2026-01-22 02:20:25.882</v>
      </c>
      <c r="H702" t="s">
        <v>21</v>
      </c>
      <c r="I702">
        <v>30.13</v>
      </c>
      <c r="J702" t="s">
        <v>30</v>
      </c>
    </row>
    <row r="703" spans="1:10" x14ac:dyDescent="0.25">
      <c r="A703" s="1">
        <v>14</v>
      </c>
      <c r="B703" t="s">
        <v>26</v>
      </c>
      <c r="C703">
        <v>635</v>
      </c>
      <c r="D703">
        <v>1</v>
      </c>
      <c r="E703" t="s">
        <v>27</v>
      </c>
      <c r="F703" t="s">
        <v>28</v>
      </c>
      <c r="G703" t="str">
        <f>"2026-01-21 21:29:57.721"</f>
        <v>2026-01-21 21:29:57.721</v>
      </c>
      <c r="H703" t="s">
        <v>21</v>
      </c>
    </row>
    <row r="704" spans="1:10" x14ac:dyDescent="0.25">
      <c r="A704" s="1">
        <v>15</v>
      </c>
      <c r="B704" t="s">
        <v>29</v>
      </c>
      <c r="C704">
        <v>635</v>
      </c>
      <c r="D704">
        <v>1</v>
      </c>
      <c r="E704" t="s">
        <v>27</v>
      </c>
      <c r="F704" t="s">
        <v>28</v>
      </c>
      <c r="G704" t="str">
        <f>"2026-01-21 21:25:04.221"</f>
        <v>2026-01-21 21:25:04.221</v>
      </c>
      <c r="H704" t="s">
        <v>21</v>
      </c>
      <c r="I704">
        <v>2.9</v>
      </c>
      <c r="J704" t="s">
        <v>38</v>
      </c>
    </row>
    <row r="705" spans="1:10" x14ac:dyDescent="0.25">
      <c r="A705" s="1">
        <v>17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"2026-01-21 15:32:26.376"</f>
        <v>2026-01-21 15:32:26.376</v>
      </c>
      <c r="H705" t="s">
        <v>21</v>
      </c>
      <c r="I705">
        <v>0</v>
      </c>
      <c r="J705" t="s">
        <v>22</v>
      </c>
    </row>
    <row r="706" spans="1:10" x14ac:dyDescent="0.25">
      <c r="A706" s="1">
        <v>19</v>
      </c>
      <c r="B706" t="s">
        <v>26</v>
      </c>
      <c r="C706">
        <v>61</v>
      </c>
      <c r="D706">
        <v>2</v>
      </c>
      <c r="E706" t="s">
        <v>47</v>
      </c>
      <c r="F706" t="s">
        <v>48</v>
      </c>
      <c r="G706" t="str">
        <f>"2026-01-21 05:17:25.090"</f>
        <v>2026-01-21 05:17:25.090</v>
      </c>
      <c r="H706" t="s">
        <v>21</v>
      </c>
    </row>
    <row r="707" spans="1:10" x14ac:dyDescent="0.25">
      <c r="A707" s="1">
        <v>20</v>
      </c>
      <c r="B707" t="s">
        <v>45</v>
      </c>
      <c r="C707">
        <v>61</v>
      </c>
      <c r="D707">
        <v>2</v>
      </c>
      <c r="E707" t="s">
        <v>47</v>
      </c>
      <c r="F707" t="s">
        <v>48</v>
      </c>
      <c r="G707" t="str">
        <f>"2026-01-21 05:17:18.389"</f>
        <v>2026-01-21 05:17:18.389</v>
      </c>
      <c r="H707" t="s">
        <v>21</v>
      </c>
      <c r="I707">
        <v>31.07</v>
      </c>
      <c r="J707" t="s">
        <v>30</v>
      </c>
    </row>
    <row r="708" spans="1:10" x14ac:dyDescent="0.25">
      <c r="A708" s="1">
        <v>21</v>
      </c>
      <c r="B708" t="s">
        <v>26</v>
      </c>
      <c r="C708">
        <v>635</v>
      </c>
      <c r="D708">
        <v>1</v>
      </c>
      <c r="E708" t="s">
        <v>27</v>
      </c>
      <c r="F708" t="s">
        <v>28</v>
      </c>
      <c r="G708" t="str">
        <f>"2026-01-21 04:49:28.229"</f>
        <v>2026-01-21 04:49:28.229</v>
      </c>
      <c r="H708" t="s">
        <v>21</v>
      </c>
    </row>
    <row r="709" spans="1:10" x14ac:dyDescent="0.25">
      <c r="A709" s="1">
        <v>22</v>
      </c>
      <c r="B709" t="s">
        <v>29</v>
      </c>
      <c r="C709">
        <v>635</v>
      </c>
      <c r="D709">
        <v>1</v>
      </c>
      <c r="E709" t="s">
        <v>27</v>
      </c>
      <c r="F709" t="s">
        <v>28</v>
      </c>
      <c r="G709" t="str">
        <f>"2026-01-21 04:47:04.729"</f>
        <v>2026-01-21 04:47:04.729</v>
      </c>
      <c r="H709" t="s">
        <v>21</v>
      </c>
      <c r="I709">
        <v>-1.1599999999999999</v>
      </c>
      <c r="J709" t="s">
        <v>34</v>
      </c>
    </row>
    <row r="710" spans="1:10" x14ac:dyDescent="0.25">
      <c r="A710" s="1">
        <v>23</v>
      </c>
      <c r="B710" t="s">
        <v>26</v>
      </c>
      <c r="C710">
        <v>61</v>
      </c>
      <c r="D710">
        <v>2</v>
      </c>
      <c r="E710" t="s">
        <v>47</v>
      </c>
      <c r="F710" t="s">
        <v>48</v>
      </c>
      <c r="G710" t="str">
        <f>"2026-01-21 02:02:51.290"</f>
        <v>2026-01-21 02:02:51.290</v>
      </c>
      <c r="H710" t="s">
        <v>21</v>
      </c>
    </row>
    <row r="711" spans="1:10" x14ac:dyDescent="0.25">
      <c r="A711" s="1">
        <v>24</v>
      </c>
      <c r="B711" t="s">
        <v>45</v>
      </c>
      <c r="C711">
        <v>61</v>
      </c>
      <c r="D711">
        <v>2</v>
      </c>
      <c r="E711" t="s">
        <v>47</v>
      </c>
      <c r="F711" t="s">
        <v>48</v>
      </c>
      <c r="G711" t="str">
        <f>"2026-01-21 02:02:32.989"</f>
        <v>2026-01-21 02:02:32.989</v>
      </c>
      <c r="H711" t="s">
        <v>21</v>
      </c>
      <c r="I711">
        <v>30.02</v>
      </c>
      <c r="J711" t="s">
        <v>30</v>
      </c>
    </row>
    <row r="712" spans="1:10" x14ac:dyDescent="0.25">
      <c r="A712" s="1">
        <v>25</v>
      </c>
      <c r="B712" t="s">
        <v>26</v>
      </c>
      <c r="C712">
        <v>61</v>
      </c>
      <c r="D712">
        <v>2</v>
      </c>
      <c r="E712" t="s">
        <v>47</v>
      </c>
      <c r="F712" t="s">
        <v>48</v>
      </c>
      <c r="G712" t="str">
        <f>"2026-01-20 22:49:33.589"</f>
        <v>2026-01-20 22:49:33.589</v>
      </c>
      <c r="H712" t="s">
        <v>21</v>
      </c>
    </row>
    <row r="713" spans="1:10" x14ac:dyDescent="0.25">
      <c r="A713" s="1">
        <v>26</v>
      </c>
      <c r="B713" t="s">
        <v>45</v>
      </c>
      <c r="C713">
        <v>61</v>
      </c>
      <c r="D713">
        <v>2</v>
      </c>
      <c r="E713" t="s">
        <v>47</v>
      </c>
      <c r="F713" t="s">
        <v>48</v>
      </c>
      <c r="G713" t="str">
        <f>"2026-01-20 22:49:16.790"</f>
        <v>2026-01-20 22:49:16.790</v>
      </c>
      <c r="H713" t="s">
        <v>21</v>
      </c>
      <c r="I713">
        <v>30.31</v>
      </c>
      <c r="J713" t="s">
        <v>30</v>
      </c>
    </row>
    <row r="714" spans="1:10" x14ac:dyDescent="0.25">
      <c r="A714" s="1">
        <v>27</v>
      </c>
      <c r="B714" t="s">
        <v>26</v>
      </c>
      <c r="C714">
        <v>635</v>
      </c>
      <c r="D714">
        <v>1</v>
      </c>
      <c r="E714" t="s">
        <v>27</v>
      </c>
      <c r="F714" t="s">
        <v>28</v>
      </c>
      <c r="G714" t="str">
        <f>"2026-01-20 22:19:00.129"</f>
        <v>2026-01-20 22:19:00.129</v>
      </c>
      <c r="H714" t="s">
        <v>21</v>
      </c>
    </row>
    <row r="715" spans="1:10" x14ac:dyDescent="0.25">
      <c r="A715" s="1">
        <v>28</v>
      </c>
      <c r="B715" t="s">
        <v>29</v>
      </c>
      <c r="C715">
        <v>635</v>
      </c>
      <c r="D715">
        <v>1</v>
      </c>
      <c r="E715" t="s">
        <v>27</v>
      </c>
      <c r="F715" t="s">
        <v>28</v>
      </c>
      <c r="G715" t="str">
        <f>"2026-01-20 22:05:44.629"</f>
        <v>2026-01-20 22:05:44.629</v>
      </c>
      <c r="H715" t="s">
        <v>21</v>
      </c>
      <c r="I715">
        <v>10.26</v>
      </c>
      <c r="J715" t="s">
        <v>30</v>
      </c>
    </row>
    <row r="716" spans="1:10" x14ac:dyDescent="0.25">
      <c r="A716" s="1">
        <v>29</v>
      </c>
      <c r="B716" t="s">
        <v>26</v>
      </c>
      <c r="C716">
        <v>635</v>
      </c>
      <c r="D716">
        <v>1</v>
      </c>
      <c r="E716" t="s">
        <v>27</v>
      </c>
      <c r="F716" t="s">
        <v>28</v>
      </c>
      <c r="G716" t="str">
        <f>"2026-01-20 20:16:15.829"</f>
        <v>2026-01-20 20:16:15.829</v>
      </c>
      <c r="H716" t="s">
        <v>21</v>
      </c>
    </row>
    <row r="717" spans="1:10" x14ac:dyDescent="0.25">
      <c r="A717" s="1">
        <v>30</v>
      </c>
      <c r="B717" t="s">
        <v>29</v>
      </c>
      <c r="C717">
        <v>635</v>
      </c>
      <c r="D717">
        <v>1</v>
      </c>
      <c r="E717" t="s">
        <v>27</v>
      </c>
      <c r="F717" t="s">
        <v>28</v>
      </c>
      <c r="G717" t="str">
        <f>"2026-01-20 20:12:05.829"</f>
        <v>2026-01-20 20:12:05.829</v>
      </c>
      <c r="H717" t="s">
        <v>21</v>
      </c>
      <c r="I717">
        <v>3.78</v>
      </c>
      <c r="J717" t="s">
        <v>34</v>
      </c>
    </row>
    <row r="718" spans="1:10" x14ac:dyDescent="0.25">
      <c r="A718" s="1">
        <v>33</v>
      </c>
      <c r="B718" t="s">
        <v>26</v>
      </c>
      <c r="C718">
        <v>635</v>
      </c>
      <c r="D718">
        <v>1</v>
      </c>
      <c r="E718" t="s">
        <v>27</v>
      </c>
      <c r="F718" t="s">
        <v>28</v>
      </c>
      <c r="G718" t="str">
        <f>"2026-01-20 05:41:07.129"</f>
        <v>2026-01-20 05:41:07.129</v>
      </c>
      <c r="H718" t="s">
        <v>21</v>
      </c>
    </row>
    <row r="719" spans="1:10" x14ac:dyDescent="0.25">
      <c r="A719" s="1">
        <v>34</v>
      </c>
      <c r="B719" t="s">
        <v>29</v>
      </c>
      <c r="C719">
        <v>635</v>
      </c>
      <c r="D719">
        <v>1</v>
      </c>
      <c r="E719" t="s">
        <v>27</v>
      </c>
      <c r="F719" t="s">
        <v>28</v>
      </c>
      <c r="G719" t="str">
        <f>"2026-01-20 05:38:01.629"</f>
        <v>2026-01-20 05:38:01.629</v>
      </c>
      <c r="H719" t="s">
        <v>21</v>
      </c>
      <c r="I719">
        <v>2.97</v>
      </c>
      <c r="J719" t="s">
        <v>38</v>
      </c>
    </row>
    <row r="720" spans="1:10" x14ac:dyDescent="0.25">
      <c r="A720" s="1">
        <v>35</v>
      </c>
      <c r="B720" t="s">
        <v>26</v>
      </c>
      <c r="C720">
        <v>635</v>
      </c>
      <c r="D720">
        <v>1</v>
      </c>
      <c r="E720" t="s">
        <v>27</v>
      </c>
      <c r="F720" t="s">
        <v>28</v>
      </c>
      <c r="G720" t="str">
        <f>"2026-01-19 15:41:42.429"</f>
        <v>2026-01-19 15:41:42.429</v>
      </c>
      <c r="H720" t="s">
        <v>21</v>
      </c>
    </row>
    <row r="721" spans="1:10" x14ac:dyDescent="0.25">
      <c r="A721" s="1">
        <v>36</v>
      </c>
      <c r="B721" t="s">
        <v>29</v>
      </c>
      <c r="C721">
        <v>635</v>
      </c>
      <c r="D721">
        <v>1</v>
      </c>
      <c r="E721" t="s">
        <v>27</v>
      </c>
      <c r="F721" t="s">
        <v>28</v>
      </c>
      <c r="G721" t="str">
        <f>"2026-01-19 15:17:12.429"</f>
        <v>2026-01-19 15:17:12.429</v>
      </c>
      <c r="H721" t="s">
        <v>21</v>
      </c>
      <c r="I721">
        <v>7.62</v>
      </c>
      <c r="J721" t="s">
        <v>38</v>
      </c>
    </row>
    <row r="722" spans="1:10" x14ac:dyDescent="0.25">
      <c r="A722" s="1">
        <v>37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"2026-01-19 07:43:15.374"</f>
        <v>2026-01-19 07:43:15.374</v>
      </c>
      <c r="H722" t="s">
        <v>21</v>
      </c>
    </row>
    <row r="723" spans="1:10" x14ac:dyDescent="0.25">
      <c r="A723" s="1">
        <v>38</v>
      </c>
      <c r="B723" t="s">
        <v>19</v>
      </c>
      <c r="C723">
        <v>700</v>
      </c>
      <c r="D723">
        <v>0</v>
      </c>
      <c r="E723" t="s">
        <v>20</v>
      </c>
      <c r="F723" t="s">
        <v>20</v>
      </c>
      <c r="G723" t="str">
        <f>"2026-01-18 22:34:33.349"</f>
        <v>2026-01-18 22:34:33.349</v>
      </c>
      <c r="H723" t="s">
        <v>21</v>
      </c>
    </row>
    <row r="724" spans="1:10" x14ac:dyDescent="0.25">
      <c r="A724" s="1">
        <v>39</v>
      </c>
      <c r="B724" t="s">
        <v>26</v>
      </c>
      <c r="C724">
        <v>635</v>
      </c>
      <c r="D724">
        <v>1</v>
      </c>
      <c r="E724" t="s">
        <v>27</v>
      </c>
      <c r="F724" t="s">
        <v>28</v>
      </c>
      <c r="G724" t="str">
        <f>"2026-01-18 15:40:30.195"</f>
        <v>2026-01-18 15:40:30.195</v>
      </c>
      <c r="H724" t="s">
        <v>21</v>
      </c>
    </row>
    <row r="725" spans="1:10" x14ac:dyDescent="0.25">
      <c r="A725" s="1">
        <v>40</v>
      </c>
      <c r="B725" t="s">
        <v>29</v>
      </c>
      <c r="C725">
        <v>635</v>
      </c>
      <c r="D725">
        <v>1</v>
      </c>
      <c r="E725" t="s">
        <v>27</v>
      </c>
      <c r="F725" t="s">
        <v>28</v>
      </c>
      <c r="G725" t="str">
        <f>"2026-01-18 15:35:50.696"</f>
        <v>2026-01-18 15:35:50.696</v>
      </c>
      <c r="H725" t="s">
        <v>21</v>
      </c>
      <c r="I725">
        <v>-0.17</v>
      </c>
      <c r="J725" t="s">
        <v>34</v>
      </c>
    </row>
    <row r="726" spans="1:10" x14ac:dyDescent="0.25">
      <c r="A726" s="1">
        <v>42</v>
      </c>
      <c r="B726" t="s">
        <v>26</v>
      </c>
      <c r="C726">
        <v>61</v>
      </c>
      <c r="D726">
        <v>2</v>
      </c>
      <c r="E726" t="s">
        <v>47</v>
      </c>
      <c r="F726" t="s">
        <v>48</v>
      </c>
      <c r="G726" t="str">
        <f>"2026-01-18 11:09:14.856"</f>
        <v>2026-01-18 11:09:14.856</v>
      </c>
      <c r="H726" t="s">
        <v>21</v>
      </c>
    </row>
    <row r="727" spans="1:10" x14ac:dyDescent="0.25">
      <c r="A727" s="1">
        <v>43</v>
      </c>
      <c r="B727" t="s">
        <v>45</v>
      </c>
      <c r="C727">
        <v>61</v>
      </c>
      <c r="D727">
        <v>2</v>
      </c>
      <c r="E727" t="s">
        <v>47</v>
      </c>
      <c r="F727" t="s">
        <v>48</v>
      </c>
      <c r="G727" t="str">
        <f>"2026-01-18 11:09:09.256"</f>
        <v>2026-01-18 11:09:09.256</v>
      </c>
      <c r="H727" t="s">
        <v>21</v>
      </c>
      <c r="I727">
        <v>30.43</v>
      </c>
      <c r="J727" t="s">
        <v>30</v>
      </c>
    </row>
    <row r="728" spans="1:10" x14ac:dyDescent="0.25">
      <c r="A728" s="1">
        <v>44</v>
      </c>
      <c r="B728" t="s">
        <v>19</v>
      </c>
      <c r="C728">
        <v>706</v>
      </c>
      <c r="D728">
        <v>4</v>
      </c>
      <c r="E728" t="s">
        <v>23</v>
      </c>
      <c r="F728" t="s">
        <v>24</v>
      </c>
      <c r="G728" t="str">
        <f>"2026-01-18 10:36:26.050"</f>
        <v>2026-01-18 10:36:26.050</v>
      </c>
      <c r="H728" t="s">
        <v>21</v>
      </c>
      <c r="I728">
        <v>0</v>
      </c>
      <c r="J728" t="s">
        <v>25</v>
      </c>
    </row>
    <row r="729" spans="1:10" x14ac:dyDescent="0.25">
      <c r="A729" s="1">
        <v>45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"2026-01-18 09:48:59.330"</f>
        <v>2026-01-18 09:48:59.330</v>
      </c>
      <c r="H729" t="s">
        <v>21</v>
      </c>
    </row>
    <row r="730" spans="1:10" x14ac:dyDescent="0.25">
      <c r="A730" s="1">
        <v>46</v>
      </c>
      <c r="B730" t="s">
        <v>26</v>
      </c>
      <c r="C730">
        <v>635</v>
      </c>
      <c r="D730">
        <v>1</v>
      </c>
      <c r="E730" t="s">
        <v>27</v>
      </c>
      <c r="F730" t="s">
        <v>28</v>
      </c>
      <c r="G730" t="str">
        <f>"2026-01-18 09:16:03.075"</f>
        <v>2026-01-18 09:16:03.075</v>
      </c>
      <c r="H730" t="s">
        <v>21</v>
      </c>
    </row>
    <row r="731" spans="1:10" x14ac:dyDescent="0.25">
      <c r="A731" s="1">
        <v>47</v>
      </c>
      <c r="B731" t="s">
        <v>29</v>
      </c>
      <c r="C731">
        <v>635</v>
      </c>
      <c r="D731">
        <v>1</v>
      </c>
      <c r="E731" t="s">
        <v>27</v>
      </c>
      <c r="F731" t="s">
        <v>28</v>
      </c>
      <c r="G731" t="str">
        <f>"2026-01-18 09:06:21.575"</f>
        <v>2026-01-18 09:06:21.575</v>
      </c>
      <c r="H731" t="s">
        <v>21</v>
      </c>
      <c r="I731">
        <v>1.21</v>
      </c>
      <c r="J731" t="s">
        <v>34</v>
      </c>
    </row>
    <row r="732" spans="1:10" x14ac:dyDescent="0.25">
      <c r="A732" s="1">
        <v>48</v>
      </c>
      <c r="B732" t="s">
        <v>26</v>
      </c>
      <c r="C732">
        <v>98</v>
      </c>
      <c r="D732">
        <v>1</v>
      </c>
      <c r="E732" t="s">
        <v>36</v>
      </c>
      <c r="F732" t="s">
        <v>37</v>
      </c>
      <c r="G732" t="str">
        <f>"2026-01-18 04:53:21.828"</f>
        <v>2026-01-18 04:53:21.828</v>
      </c>
      <c r="H732" t="s">
        <v>21</v>
      </c>
    </row>
    <row r="733" spans="1:10" x14ac:dyDescent="0.25">
      <c r="A733" s="1">
        <v>49</v>
      </c>
      <c r="B733" t="s">
        <v>29</v>
      </c>
      <c r="C733">
        <v>98</v>
      </c>
      <c r="D733">
        <v>1</v>
      </c>
      <c r="E733" t="s">
        <v>36</v>
      </c>
      <c r="F733" t="s">
        <v>37</v>
      </c>
      <c r="G733" t="str">
        <f>"2026-01-18 04:53:20.828"</f>
        <v>2026-01-18 04:53:20.828</v>
      </c>
      <c r="H733" t="s">
        <v>21</v>
      </c>
      <c r="I733">
        <v>0</v>
      </c>
      <c r="J733" t="s">
        <v>34</v>
      </c>
    </row>
    <row r="734" spans="1:10" x14ac:dyDescent="0.25">
      <c r="A734" s="1">
        <v>50</v>
      </c>
      <c r="B734" t="s">
        <v>26</v>
      </c>
      <c r="C734">
        <v>635</v>
      </c>
      <c r="D734">
        <v>1</v>
      </c>
      <c r="E734" t="s">
        <v>27</v>
      </c>
      <c r="F734" t="s">
        <v>28</v>
      </c>
      <c r="G734" t="str">
        <f>"2026-01-17 11:56:34.775"</f>
        <v>2026-01-17 11:56:34.775</v>
      </c>
      <c r="H734" t="s">
        <v>21</v>
      </c>
    </row>
    <row r="735" spans="1:10" x14ac:dyDescent="0.25">
      <c r="A735" s="1">
        <v>51</v>
      </c>
      <c r="B735" t="s">
        <v>29</v>
      </c>
      <c r="C735">
        <v>635</v>
      </c>
      <c r="D735">
        <v>1</v>
      </c>
      <c r="E735" t="s">
        <v>27</v>
      </c>
      <c r="F735" t="s">
        <v>28</v>
      </c>
      <c r="G735" t="str">
        <f>"2026-01-17 11:49:41.775"</f>
        <v>2026-01-17 11:49:41.775</v>
      </c>
      <c r="H735" t="s">
        <v>21</v>
      </c>
      <c r="I735">
        <v>3.05</v>
      </c>
      <c r="J735" t="s">
        <v>30</v>
      </c>
    </row>
    <row r="736" spans="1:10" x14ac:dyDescent="0.25">
      <c r="A736" s="1">
        <v>52</v>
      </c>
      <c r="B736" t="s">
        <v>26</v>
      </c>
      <c r="C736">
        <v>635</v>
      </c>
      <c r="D736">
        <v>1</v>
      </c>
      <c r="E736" t="s">
        <v>27</v>
      </c>
      <c r="F736" t="s">
        <v>28</v>
      </c>
      <c r="G736" t="str">
        <f>"2026-01-17 11:26:07.375"</f>
        <v>2026-01-17 11:26:07.375</v>
      </c>
      <c r="H736" t="s">
        <v>21</v>
      </c>
    </row>
    <row r="737" spans="1:10" x14ac:dyDescent="0.25">
      <c r="A737" s="1">
        <v>53</v>
      </c>
      <c r="B737" t="s">
        <v>29</v>
      </c>
      <c r="C737">
        <v>635</v>
      </c>
      <c r="D737">
        <v>1</v>
      </c>
      <c r="E737" t="s">
        <v>27</v>
      </c>
      <c r="F737" t="s">
        <v>28</v>
      </c>
      <c r="G737" t="str">
        <f>"2026-01-17 11:21:01.875"</f>
        <v>2026-01-17 11:21:01.875</v>
      </c>
      <c r="H737" t="s">
        <v>21</v>
      </c>
      <c r="I737">
        <v>0.84</v>
      </c>
      <c r="J737" t="s">
        <v>30</v>
      </c>
    </row>
    <row r="738" spans="1:10" x14ac:dyDescent="0.25">
      <c r="A738" s="1">
        <v>54</v>
      </c>
      <c r="B738" t="s">
        <v>26</v>
      </c>
      <c r="C738">
        <v>61</v>
      </c>
      <c r="D738">
        <v>2</v>
      </c>
      <c r="E738" t="s">
        <v>47</v>
      </c>
      <c r="F738" t="s">
        <v>48</v>
      </c>
      <c r="G738" t="str">
        <f>"2026-01-16 16:52:00.029"</f>
        <v>2026-01-16 16:52:00.029</v>
      </c>
      <c r="H738" t="s">
        <v>21</v>
      </c>
    </row>
    <row r="739" spans="1:10" x14ac:dyDescent="0.25">
      <c r="A739" s="1">
        <v>55</v>
      </c>
      <c r="B739" t="s">
        <v>45</v>
      </c>
      <c r="C739">
        <v>61</v>
      </c>
      <c r="D739">
        <v>2</v>
      </c>
      <c r="E739" t="s">
        <v>47</v>
      </c>
      <c r="F739" t="s">
        <v>48</v>
      </c>
      <c r="G739" t="str">
        <f>"2026-01-16 16:51:28.229"</f>
        <v>2026-01-16 16:51:28.229</v>
      </c>
      <c r="H739" t="s">
        <v>21</v>
      </c>
      <c r="I739">
        <v>30.46</v>
      </c>
      <c r="J739" t="s">
        <v>30</v>
      </c>
    </row>
    <row r="740" spans="1:10" x14ac:dyDescent="0.25">
      <c r="A740" s="1">
        <v>56</v>
      </c>
      <c r="B740" t="s">
        <v>26</v>
      </c>
      <c r="C740">
        <v>61</v>
      </c>
      <c r="D740">
        <v>2</v>
      </c>
      <c r="E740" t="s">
        <v>47</v>
      </c>
      <c r="F740" t="s">
        <v>48</v>
      </c>
      <c r="G740" t="str">
        <f>"2026-01-16 15:39:32.529"</f>
        <v>2026-01-16 15:39:32.529</v>
      </c>
      <c r="H740" t="s">
        <v>21</v>
      </c>
    </row>
    <row r="741" spans="1:10" x14ac:dyDescent="0.25">
      <c r="A741" s="1">
        <v>57</v>
      </c>
      <c r="B741" t="s">
        <v>45</v>
      </c>
      <c r="C741">
        <v>61</v>
      </c>
      <c r="D741">
        <v>2</v>
      </c>
      <c r="E741" t="s">
        <v>47</v>
      </c>
      <c r="F741" t="s">
        <v>48</v>
      </c>
      <c r="G741" t="str">
        <f>"2026-01-16 15:38:50.329"</f>
        <v>2026-01-16 15:38:50.329</v>
      </c>
      <c r="H741" t="s">
        <v>21</v>
      </c>
      <c r="I741">
        <v>29.25</v>
      </c>
      <c r="J741" t="s">
        <v>30</v>
      </c>
    </row>
    <row r="742" spans="1:10" x14ac:dyDescent="0.25">
      <c r="A742" s="1">
        <v>58</v>
      </c>
      <c r="B742" t="s">
        <v>26</v>
      </c>
      <c r="C742">
        <v>61</v>
      </c>
      <c r="D742">
        <v>2</v>
      </c>
      <c r="E742" t="s">
        <v>47</v>
      </c>
      <c r="F742" t="s">
        <v>48</v>
      </c>
      <c r="G742" t="str">
        <f>"2026-01-16 15:11:31.229"</f>
        <v>2026-01-16 15:11:31.229</v>
      </c>
      <c r="H742" t="s">
        <v>21</v>
      </c>
    </row>
    <row r="743" spans="1:10" x14ac:dyDescent="0.25">
      <c r="A743" s="1">
        <v>59</v>
      </c>
      <c r="B743" t="s">
        <v>45</v>
      </c>
      <c r="C743">
        <v>61</v>
      </c>
      <c r="D743">
        <v>2</v>
      </c>
      <c r="E743" t="s">
        <v>47</v>
      </c>
      <c r="F743" t="s">
        <v>48</v>
      </c>
      <c r="G743" t="str">
        <f>"2026-01-16 15:10:59.729"</f>
        <v>2026-01-16 15:10:59.729</v>
      </c>
      <c r="H743" t="s">
        <v>21</v>
      </c>
      <c r="I743">
        <v>30.25</v>
      </c>
      <c r="J743" t="s">
        <v>30</v>
      </c>
    </row>
    <row r="744" spans="1:10" x14ac:dyDescent="0.25">
      <c r="A744" s="1">
        <v>60</v>
      </c>
      <c r="B744" t="s">
        <v>26</v>
      </c>
      <c r="C744">
        <v>61</v>
      </c>
      <c r="D744">
        <v>2</v>
      </c>
      <c r="E744" t="s">
        <v>47</v>
      </c>
      <c r="F744" t="s">
        <v>48</v>
      </c>
      <c r="G744" t="str">
        <f>"2026-01-16 14:41:06.829"</f>
        <v>2026-01-16 14:41:06.829</v>
      </c>
      <c r="H744" t="s">
        <v>21</v>
      </c>
    </row>
    <row r="745" spans="1:10" x14ac:dyDescent="0.25">
      <c r="A745" s="1">
        <v>61</v>
      </c>
      <c r="B745" t="s">
        <v>45</v>
      </c>
      <c r="C745">
        <v>61</v>
      </c>
      <c r="D745">
        <v>2</v>
      </c>
      <c r="E745" t="s">
        <v>47</v>
      </c>
      <c r="F745" t="s">
        <v>48</v>
      </c>
      <c r="G745" t="str">
        <f>"2026-01-16 14:40:46.229"</f>
        <v>2026-01-16 14:40:46.229</v>
      </c>
      <c r="H745" t="s">
        <v>21</v>
      </c>
      <c r="I745">
        <v>29.89</v>
      </c>
      <c r="J745" t="s">
        <v>30</v>
      </c>
    </row>
    <row r="746" spans="1:10" x14ac:dyDescent="0.25">
      <c r="A746" s="1">
        <v>62</v>
      </c>
      <c r="B746" t="s">
        <v>19</v>
      </c>
      <c r="C746">
        <v>700</v>
      </c>
      <c r="D746">
        <v>0</v>
      </c>
      <c r="E746" t="s">
        <v>20</v>
      </c>
      <c r="F746" t="s">
        <v>20</v>
      </c>
      <c r="G746" t="str">
        <f>"2026-01-16 14:16:30.325"</f>
        <v>2026-01-16 14:16:30.325</v>
      </c>
      <c r="H746" t="s">
        <v>21</v>
      </c>
      <c r="I746">
        <v>0</v>
      </c>
      <c r="J746" t="s">
        <v>22</v>
      </c>
    </row>
    <row r="747" spans="1:10" x14ac:dyDescent="0.25">
      <c r="A747" s="1">
        <v>63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"2026-01-16 11:31:38.324"</f>
        <v>2026-01-16 11:31:38.324</v>
      </c>
      <c r="H747" t="s">
        <v>21</v>
      </c>
      <c r="I747">
        <v>0</v>
      </c>
      <c r="J747" t="s">
        <v>22</v>
      </c>
    </row>
    <row r="748" spans="1:10" x14ac:dyDescent="0.25">
      <c r="A748" s="1">
        <v>64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"2026-01-16 11:19:50.314"</f>
        <v>2026-01-16 11:19:50.314</v>
      </c>
      <c r="H748" t="s">
        <v>21</v>
      </c>
      <c r="I748">
        <v>0</v>
      </c>
      <c r="J748" t="s">
        <v>22</v>
      </c>
    </row>
    <row r="749" spans="1:10" x14ac:dyDescent="0.25">
      <c r="A749" s="1">
        <v>65</v>
      </c>
      <c r="B749" t="s">
        <v>19</v>
      </c>
      <c r="C749">
        <v>706</v>
      </c>
      <c r="D749">
        <v>4</v>
      </c>
      <c r="E749" t="s">
        <v>23</v>
      </c>
      <c r="F749" t="s">
        <v>24</v>
      </c>
      <c r="G749" t="str">
        <f>"2026-01-16 10:25:04.448"</f>
        <v>2026-01-16 10:25:04.448</v>
      </c>
      <c r="H749" t="s">
        <v>21</v>
      </c>
      <c r="I749">
        <v>0</v>
      </c>
      <c r="J749" t="s">
        <v>25</v>
      </c>
    </row>
    <row r="750" spans="1:10" x14ac:dyDescent="0.25">
      <c r="A750" s="1">
        <v>66</v>
      </c>
      <c r="B750" t="s">
        <v>19</v>
      </c>
      <c r="C750">
        <v>706</v>
      </c>
      <c r="D750">
        <v>2</v>
      </c>
      <c r="E750" t="s">
        <v>23</v>
      </c>
      <c r="F750" t="s">
        <v>46</v>
      </c>
      <c r="G750" t="str">
        <f>"2026-01-16 10:23:28.338"</f>
        <v>2026-01-16 10:23:28.338</v>
      </c>
      <c r="H750" t="s">
        <v>21</v>
      </c>
      <c r="I750">
        <v>0</v>
      </c>
      <c r="J750" t="s">
        <v>25</v>
      </c>
    </row>
    <row r="751" spans="1:10" x14ac:dyDescent="0.25">
      <c r="A751" s="1">
        <v>67</v>
      </c>
      <c r="B751" t="s">
        <v>19</v>
      </c>
      <c r="C751">
        <v>706</v>
      </c>
      <c r="D751">
        <v>4</v>
      </c>
      <c r="E751" t="s">
        <v>23</v>
      </c>
      <c r="F751" t="s">
        <v>24</v>
      </c>
      <c r="G751" t="str">
        <f>"2026-01-16 10:23:09.258"</f>
        <v>2026-01-16 10:23:09.258</v>
      </c>
      <c r="H751" t="s">
        <v>21</v>
      </c>
      <c r="I751">
        <v>0</v>
      </c>
      <c r="J751" t="s">
        <v>25</v>
      </c>
    </row>
    <row r="752" spans="1:10" x14ac:dyDescent="0.25">
      <c r="A752" s="1">
        <v>68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"2026-01-16 10:19:19.398"</f>
        <v>2026-01-16 10:19:19.398</v>
      </c>
      <c r="H752" t="s">
        <v>21</v>
      </c>
    </row>
    <row r="753" spans="1:10" x14ac:dyDescent="0.25">
      <c r="A753" s="1">
        <v>69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"2026-01-16 09:04:38.319"</f>
        <v>2026-01-16 09:04:38.319</v>
      </c>
      <c r="H753" t="s">
        <v>21</v>
      </c>
      <c r="I753">
        <v>0</v>
      </c>
      <c r="J753" t="s">
        <v>22</v>
      </c>
    </row>
    <row r="754" spans="1:10" x14ac:dyDescent="0.25">
      <c r="A754" s="1">
        <v>70</v>
      </c>
      <c r="B754" t="s">
        <v>19</v>
      </c>
      <c r="C754">
        <v>706</v>
      </c>
      <c r="D754">
        <v>2</v>
      </c>
      <c r="E754" t="s">
        <v>23</v>
      </c>
      <c r="F754" t="s">
        <v>46</v>
      </c>
      <c r="G754" t="str">
        <f>"2026-01-16 08:55:28.747"</f>
        <v>2026-01-16 08:55:28.747</v>
      </c>
      <c r="H754" t="s">
        <v>21</v>
      </c>
      <c r="I754">
        <v>0</v>
      </c>
      <c r="J754" t="s">
        <v>25</v>
      </c>
    </row>
    <row r="755" spans="1:10" x14ac:dyDescent="0.25">
      <c r="A755" s="1">
        <v>71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"2026-01-16 08:50:27.407"</f>
        <v>2026-01-16 08:50:27.407</v>
      </c>
      <c r="H755" t="s">
        <v>21</v>
      </c>
    </row>
    <row r="756" spans="1:10" x14ac:dyDescent="0.25">
      <c r="A756" s="1">
        <v>72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"2026-01-16 08:39:11.332"</f>
        <v>2026-01-16 08:39:11.332</v>
      </c>
      <c r="H756" t="s">
        <v>21</v>
      </c>
    </row>
    <row r="757" spans="1:10" x14ac:dyDescent="0.25">
      <c r="A757" s="1">
        <v>73</v>
      </c>
      <c r="B757" t="s">
        <v>26</v>
      </c>
      <c r="C757">
        <v>635</v>
      </c>
      <c r="D757">
        <v>1</v>
      </c>
      <c r="E757" t="s">
        <v>27</v>
      </c>
      <c r="F757" t="s">
        <v>28</v>
      </c>
      <c r="G757" t="str">
        <f>"2026-01-15 20:32:34.794"</f>
        <v>2026-01-15 20:32:34.794</v>
      </c>
      <c r="H757" t="s">
        <v>21</v>
      </c>
    </row>
    <row r="758" spans="1:10" x14ac:dyDescent="0.25">
      <c r="A758" s="1">
        <v>74</v>
      </c>
      <c r="B758" t="s">
        <v>29</v>
      </c>
      <c r="C758">
        <v>635</v>
      </c>
      <c r="D758">
        <v>1</v>
      </c>
      <c r="E758" t="s">
        <v>27</v>
      </c>
      <c r="F758" t="s">
        <v>28</v>
      </c>
      <c r="G758" t="str">
        <f>"2026-01-15 20:28:57.794"</f>
        <v>2026-01-15 20:28:57.794</v>
      </c>
      <c r="H758" t="s">
        <v>21</v>
      </c>
      <c r="I758">
        <v>4.63</v>
      </c>
      <c r="J758" t="s">
        <v>38</v>
      </c>
    </row>
    <row r="759" spans="1:10" x14ac:dyDescent="0.25">
      <c r="A759" s="1">
        <v>75</v>
      </c>
      <c r="B759" t="s">
        <v>26</v>
      </c>
      <c r="C759">
        <v>635</v>
      </c>
      <c r="D759">
        <v>1</v>
      </c>
      <c r="E759" t="s">
        <v>27</v>
      </c>
      <c r="F759" t="s">
        <v>28</v>
      </c>
      <c r="G759" t="str">
        <f>"2026-01-15 20:08:03.794"</f>
        <v>2026-01-15 20:08:03.794</v>
      </c>
      <c r="H759" t="s">
        <v>21</v>
      </c>
    </row>
    <row r="760" spans="1:10" x14ac:dyDescent="0.25">
      <c r="A760" s="1">
        <v>76</v>
      </c>
      <c r="B760" t="s">
        <v>29</v>
      </c>
      <c r="C760">
        <v>635</v>
      </c>
      <c r="D760">
        <v>1</v>
      </c>
      <c r="E760" t="s">
        <v>27</v>
      </c>
      <c r="F760" t="s">
        <v>28</v>
      </c>
      <c r="G760" t="str">
        <f>"2026-01-15 20:04:29.794"</f>
        <v>2026-01-15 20:04:29.794</v>
      </c>
      <c r="H760" t="s">
        <v>21</v>
      </c>
      <c r="I760">
        <v>6.4</v>
      </c>
      <c r="J760" t="s">
        <v>38</v>
      </c>
    </row>
    <row r="761" spans="1:10" x14ac:dyDescent="0.25">
      <c r="A761" s="1">
        <v>77</v>
      </c>
      <c r="B761" t="s">
        <v>26</v>
      </c>
      <c r="C761">
        <v>635</v>
      </c>
      <c r="D761">
        <v>1</v>
      </c>
      <c r="E761" t="s">
        <v>27</v>
      </c>
      <c r="F761" t="s">
        <v>28</v>
      </c>
      <c r="G761" t="str">
        <f>"2026-01-15 04:31:16.194"</f>
        <v>2026-01-15 04:31:16.194</v>
      </c>
      <c r="H761" t="s">
        <v>21</v>
      </c>
    </row>
    <row r="762" spans="1:10" x14ac:dyDescent="0.25">
      <c r="A762" s="1">
        <v>78</v>
      </c>
      <c r="B762" t="s">
        <v>29</v>
      </c>
      <c r="C762">
        <v>635</v>
      </c>
      <c r="D762">
        <v>1</v>
      </c>
      <c r="E762" t="s">
        <v>27</v>
      </c>
      <c r="F762" t="s">
        <v>28</v>
      </c>
      <c r="G762" t="str">
        <f>"2026-01-15 04:27:58.694"</f>
        <v>2026-01-15 04:27:58.694</v>
      </c>
      <c r="H762" t="s">
        <v>21</v>
      </c>
      <c r="I762">
        <v>8.1300000000000008</v>
      </c>
      <c r="J762" t="s">
        <v>38</v>
      </c>
    </row>
    <row r="763" spans="1:10" x14ac:dyDescent="0.25">
      <c r="A763" s="1">
        <v>79</v>
      </c>
      <c r="B763" t="s">
        <v>26</v>
      </c>
      <c r="C763">
        <v>635</v>
      </c>
      <c r="D763">
        <v>1</v>
      </c>
      <c r="E763" t="s">
        <v>27</v>
      </c>
      <c r="F763" t="s">
        <v>28</v>
      </c>
      <c r="G763" t="str">
        <f>"2026-01-14 18:13:34.994"</f>
        <v>2026-01-14 18:13:34.994</v>
      </c>
      <c r="H763" t="s">
        <v>21</v>
      </c>
    </row>
    <row r="764" spans="1:10" x14ac:dyDescent="0.25">
      <c r="A764" s="1">
        <v>80</v>
      </c>
      <c r="B764" t="s">
        <v>29</v>
      </c>
      <c r="C764">
        <v>635</v>
      </c>
      <c r="D764">
        <v>1</v>
      </c>
      <c r="E764" t="s">
        <v>27</v>
      </c>
      <c r="F764" t="s">
        <v>28</v>
      </c>
      <c r="G764" t="str">
        <f>"2026-01-14 18:09:53.494"</f>
        <v>2026-01-14 18:09:53.494</v>
      </c>
      <c r="H764" t="s">
        <v>21</v>
      </c>
      <c r="I764">
        <v>2.86</v>
      </c>
      <c r="J764" t="s">
        <v>38</v>
      </c>
    </row>
    <row r="765" spans="1:10" x14ac:dyDescent="0.25">
      <c r="A765" s="1">
        <v>81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"2026-01-14 10:34:31.334"</f>
        <v>2026-01-14 10:34:31.334</v>
      </c>
      <c r="H765" t="s">
        <v>21</v>
      </c>
    </row>
    <row r="766" spans="1:10" x14ac:dyDescent="0.25">
      <c r="A766" s="1">
        <v>82</v>
      </c>
      <c r="B766" t="s">
        <v>26</v>
      </c>
      <c r="C766">
        <v>61</v>
      </c>
      <c r="D766">
        <v>2</v>
      </c>
      <c r="E766" t="s">
        <v>47</v>
      </c>
      <c r="F766" t="s">
        <v>48</v>
      </c>
      <c r="G766" t="str">
        <f>"2026-01-14 04:39:46.432"</f>
        <v>2026-01-14 04:39:46.432</v>
      </c>
      <c r="H766" t="s">
        <v>21</v>
      </c>
    </row>
    <row r="767" spans="1:10" x14ac:dyDescent="0.25">
      <c r="A767" s="1">
        <v>83</v>
      </c>
      <c r="B767" t="s">
        <v>45</v>
      </c>
      <c r="C767">
        <v>61</v>
      </c>
      <c r="D767">
        <v>2</v>
      </c>
      <c r="E767" t="s">
        <v>47</v>
      </c>
      <c r="F767" t="s">
        <v>48</v>
      </c>
      <c r="G767" t="str">
        <f>"2026-01-14 04:39:37.332"</f>
        <v>2026-01-14 04:39:37.332</v>
      </c>
      <c r="H767" t="s">
        <v>21</v>
      </c>
      <c r="I767">
        <v>29.66</v>
      </c>
      <c r="J767" t="s">
        <v>30</v>
      </c>
    </row>
    <row r="768" spans="1:10" x14ac:dyDescent="0.25">
      <c r="A768" s="1">
        <v>84</v>
      </c>
      <c r="B768" t="s">
        <v>26</v>
      </c>
      <c r="C768">
        <v>635</v>
      </c>
      <c r="D768">
        <v>1</v>
      </c>
      <c r="E768" t="s">
        <v>27</v>
      </c>
      <c r="F768" t="s">
        <v>28</v>
      </c>
      <c r="G768" t="str">
        <f>"2026-01-13 06:01:55.378"</f>
        <v>2026-01-13 06:01:55.378</v>
      </c>
      <c r="H768" t="s">
        <v>21</v>
      </c>
    </row>
    <row r="769" spans="1:10" x14ac:dyDescent="0.25">
      <c r="A769" s="1">
        <v>85</v>
      </c>
      <c r="B769" t="s">
        <v>29</v>
      </c>
      <c r="C769">
        <v>635</v>
      </c>
      <c r="D769">
        <v>1</v>
      </c>
      <c r="E769" t="s">
        <v>27</v>
      </c>
      <c r="F769" t="s">
        <v>28</v>
      </c>
      <c r="G769" t="str">
        <f>"2026-01-13 05:58:16.978"</f>
        <v>2026-01-13 05:58:16.978</v>
      </c>
      <c r="H769" t="s">
        <v>21</v>
      </c>
      <c r="I769">
        <v>9.89</v>
      </c>
      <c r="J769" t="s">
        <v>30</v>
      </c>
    </row>
    <row r="770" spans="1:10" x14ac:dyDescent="0.25">
      <c r="A770" s="1">
        <v>86</v>
      </c>
      <c r="B770" t="s">
        <v>26</v>
      </c>
      <c r="C770">
        <v>635</v>
      </c>
      <c r="D770">
        <v>1</v>
      </c>
      <c r="E770" t="s">
        <v>27</v>
      </c>
      <c r="F770" t="s">
        <v>28</v>
      </c>
      <c r="G770" t="str">
        <f>"2026-01-11 17:42:12.478"</f>
        <v>2026-01-11 17:42:12.478</v>
      </c>
      <c r="H770" t="s">
        <v>21</v>
      </c>
    </row>
    <row r="771" spans="1:10" x14ac:dyDescent="0.25">
      <c r="A771" s="1">
        <v>87</v>
      </c>
      <c r="B771" t="s">
        <v>29</v>
      </c>
      <c r="C771">
        <v>635</v>
      </c>
      <c r="D771">
        <v>1</v>
      </c>
      <c r="E771" t="s">
        <v>27</v>
      </c>
      <c r="F771" t="s">
        <v>28</v>
      </c>
      <c r="G771" t="str">
        <f>"2026-01-11 17:37:08.478"</f>
        <v>2026-01-11 17:37:08.478</v>
      </c>
      <c r="H771" t="s">
        <v>21</v>
      </c>
      <c r="I771">
        <v>0</v>
      </c>
      <c r="J771" t="s">
        <v>34</v>
      </c>
    </row>
    <row r="772" spans="1:10" x14ac:dyDescent="0.25">
      <c r="A772" s="1">
        <v>88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"2026-01-11 10:10:21.320"</f>
        <v>2026-01-11 10:10:21.320</v>
      </c>
      <c r="H772" t="s">
        <v>21</v>
      </c>
      <c r="I772">
        <v>0</v>
      </c>
      <c r="J772" t="s">
        <v>22</v>
      </c>
    </row>
    <row r="773" spans="1:10" x14ac:dyDescent="0.25">
      <c r="A773" s="1">
        <v>89</v>
      </c>
      <c r="B773" t="s">
        <v>26</v>
      </c>
      <c r="C773">
        <v>61</v>
      </c>
      <c r="D773">
        <v>2</v>
      </c>
      <c r="E773" t="s">
        <v>47</v>
      </c>
      <c r="F773" t="s">
        <v>48</v>
      </c>
      <c r="G773" t="str">
        <f>"2026-01-11 02:52:33.414"</f>
        <v>2026-01-11 02:52:33.414</v>
      </c>
      <c r="H773" t="s">
        <v>21</v>
      </c>
    </row>
    <row r="774" spans="1:10" x14ac:dyDescent="0.25">
      <c r="A774" s="1">
        <v>90</v>
      </c>
      <c r="B774" t="s">
        <v>45</v>
      </c>
      <c r="C774">
        <v>61</v>
      </c>
      <c r="D774">
        <v>2</v>
      </c>
      <c r="E774" t="s">
        <v>47</v>
      </c>
      <c r="F774" t="s">
        <v>48</v>
      </c>
      <c r="G774" t="str">
        <f>"2026-01-11 02:52:19.315"</f>
        <v>2026-01-11 02:52:19.315</v>
      </c>
      <c r="H774" t="s">
        <v>21</v>
      </c>
      <c r="I774">
        <v>30.2</v>
      </c>
      <c r="J774" t="s">
        <v>30</v>
      </c>
    </row>
    <row r="775" spans="1:10" x14ac:dyDescent="0.25">
      <c r="A775" s="1">
        <v>91</v>
      </c>
      <c r="B775" t="s">
        <v>19</v>
      </c>
      <c r="C775">
        <v>706</v>
      </c>
      <c r="D775">
        <v>4</v>
      </c>
      <c r="E775" t="s">
        <v>23</v>
      </c>
      <c r="F775" t="s">
        <v>24</v>
      </c>
      <c r="G775" t="str">
        <f>"2026-01-09 20:10:36.651"</f>
        <v>2026-01-09 20:10:36.651</v>
      </c>
      <c r="H775" t="s">
        <v>21</v>
      </c>
      <c r="I775">
        <v>0</v>
      </c>
      <c r="J775" t="s">
        <v>25</v>
      </c>
    </row>
    <row r="776" spans="1:10" x14ac:dyDescent="0.25">
      <c r="A776" s="1">
        <v>92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"2026-01-09 20:06:19.301"</f>
        <v>2026-01-09 20:06:19.301</v>
      </c>
      <c r="H776" t="s">
        <v>21</v>
      </c>
    </row>
    <row r="777" spans="1:10" x14ac:dyDescent="0.25">
      <c r="A777" s="1">
        <v>93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"2026-01-09 20:04:29.296"</f>
        <v>2026-01-09 20:04:29.296</v>
      </c>
      <c r="H777" t="s">
        <v>21</v>
      </c>
    </row>
    <row r="778" spans="1:10" x14ac:dyDescent="0.25">
      <c r="A778" s="1">
        <v>94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"2026-01-09 20:01:58.293"</f>
        <v>2026-01-09 20:01:58.293</v>
      </c>
      <c r="H778" t="s">
        <v>21</v>
      </c>
    </row>
    <row r="779" spans="1:10" x14ac:dyDescent="0.25">
      <c r="A779" s="1">
        <v>95</v>
      </c>
      <c r="B779" t="s">
        <v>19</v>
      </c>
      <c r="C779">
        <v>706</v>
      </c>
      <c r="D779">
        <v>2</v>
      </c>
      <c r="E779" t="s">
        <v>23</v>
      </c>
      <c r="F779" t="s">
        <v>46</v>
      </c>
      <c r="G779" t="str">
        <f>"2026-01-09 20:00:30.330"</f>
        <v>2026-01-09 20:00:30.330</v>
      </c>
      <c r="H779" t="s">
        <v>21</v>
      </c>
      <c r="I779">
        <v>0</v>
      </c>
      <c r="J779" t="s">
        <v>25</v>
      </c>
    </row>
    <row r="780" spans="1:10" x14ac:dyDescent="0.25">
      <c r="A780" s="1">
        <v>96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"2026-01-09 19:59:45.310"</f>
        <v>2026-01-09 19:59:45.310</v>
      </c>
      <c r="H780" t="s">
        <v>21</v>
      </c>
      <c r="I780">
        <v>0</v>
      </c>
      <c r="J780" t="s">
        <v>22</v>
      </c>
    </row>
    <row r="781" spans="1:10" x14ac:dyDescent="0.25">
      <c r="A781" s="1">
        <v>97</v>
      </c>
      <c r="B781" t="s">
        <v>26</v>
      </c>
      <c r="C781">
        <v>635</v>
      </c>
      <c r="D781">
        <v>1</v>
      </c>
      <c r="E781" t="s">
        <v>27</v>
      </c>
      <c r="F781" t="s">
        <v>28</v>
      </c>
      <c r="G781" t="str">
        <f>"2026-01-09 19:08:11.619"</f>
        <v>2026-01-09 19:08:11.619</v>
      </c>
      <c r="H781" t="s">
        <v>21</v>
      </c>
    </row>
    <row r="782" spans="1:10" x14ac:dyDescent="0.25">
      <c r="A782" s="1">
        <v>98</v>
      </c>
      <c r="B782" t="s">
        <v>29</v>
      </c>
      <c r="C782">
        <v>635</v>
      </c>
      <c r="D782">
        <v>1</v>
      </c>
      <c r="E782" t="s">
        <v>27</v>
      </c>
      <c r="F782" t="s">
        <v>28</v>
      </c>
      <c r="G782" t="str">
        <f>"2026-01-09 19:04:36.119"</f>
        <v>2026-01-09 19:04:36.119</v>
      </c>
      <c r="H782" t="s">
        <v>21</v>
      </c>
      <c r="I782">
        <v>5.66</v>
      </c>
      <c r="J782" t="s">
        <v>34</v>
      </c>
    </row>
    <row r="783" spans="1:10" x14ac:dyDescent="0.25">
      <c r="A783" s="1">
        <v>99</v>
      </c>
      <c r="B783" t="s">
        <v>26</v>
      </c>
      <c r="C783">
        <v>61</v>
      </c>
      <c r="D783">
        <v>2</v>
      </c>
      <c r="E783" t="s">
        <v>47</v>
      </c>
      <c r="F783" t="s">
        <v>48</v>
      </c>
      <c r="G783" t="str">
        <f>"2026-01-09 14:43:16.420"</f>
        <v>2026-01-09 14:43:16.420</v>
      </c>
      <c r="H783" t="s">
        <v>21</v>
      </c>
    </row>
    <row r="784" spans="1:10" x14ac:dyDescent="0.25">
      <c r="A784" s="1">
        <v>0</v>
      </c>
      <c r="B784" t="s">
        <v>45</v>
      </c>
      <c r="C784">
        <v>61</v>
      </c>
      <c r="D784">
        <v>2</v>
      </c>
      <c r="E784" t="s">
        <v>47</v>
      </c>
      <c r="F784" t="s">
        <v>48</v>
      </c>
      <c r="G784" t="str">
        <f>"2026-01-09 14:42:55.820"</f>
        <v>2026-01-09 14:42:55.820</v>
      </c>
      <c r="H784" t="s">
        <v>21</v>
      </c>
      <c r="I784">
        <v>29.91</v>
      </c>
      <c r="J784" t="s">
        <v>30</v>
      </c>
    </row>
    <row r="785" spans="1:10" x14ac:dyDescent="0.25">
      <c r="A785" s="1">
        <v>1</v>
      </c>
      <c r="B785" t="s">
        <v>26</v>
      </c>
      <c r="C785">
        <v>61</v>
      </c>
      <c r="D785">
        <v>2</v>
      </c>
      <c r="E785" t="s">
        <v>47</v>
      </c>
      <c r="F785" t="s">
        <v>48</v>
      </c>
      <c r="G785" t="str">
        <f>"2026-01-09 10:12:03.020"</f>
        <v>2026-01-09 10:12:03.020</v>
      </c>
      <c r="H785" t="s">
        <v>21</v>
      </c>
    </row>
    <row r="786" spans="1:10" x14ac:dyDescent="0.25">
      <c r="A786" s="1">
        <v>2</v>
      </c>
      <c r="B786" t="s">
        <v>45</v>
      </c>
      <c r="C786">
        <v>61</v>
      </c>
      <c r="D786">
        <v>2</v>
      </c>
      <c r="E786" t="s">
        <v>47</v>
      </c>
      <c r="F786" t="s">
        <v>48</v>
      </c>
      <c r="G786" t="str">
        <f>"2026-01-09 10:11:46.720"</f>
        <v>2026-01-09 10:11:46.720</v>
      </c>
      <c r="H786" t="s">
        <v>21</v>
      </c>
      <c r="I786">
        <v>30.44</v>
      </c>
      <c r="J786" t="s">
        <v>30</v>
      </c>
    </row>
    <row r="787" spans="1:10" x14ac:dyDescent="0.25">
      <c r="A787" s="1">
        <v>3</v>
      </c>
      <c r="B787" t="s">
        <v>26</v>
      </c>
      <c r="C787">
        <v>635</v>
      </c>
      <c r="D787">
        <v>1</v>
      </c>
      <c r="E787" t="s">
        <v>27</v>
      </c>
      <c r="F787" t="s">
        <v>28</v>
      </c>
      <c r="G787" t="str">
        <f>"2026-01-09 01:21:15.819"</f>
        <v>2026-01-09 01:21:15.819</v>
      </c>
      <c r="H787" t="s">
        <v>21</v>
      </c>
    </row>
    <row r="788" spans="1:10" x14ac:dyDescent="0.25">
      <c r="A788" s="1">
        <v>4</v>
      </c>
      <c r="B788" t="s">
        <v>29</v>
      </c>
      <c r="C788">
        <v>635</v>
      </c>
      <c r="D788">
        <v>1</v>
      </c>
      <c r="E788" t="s">
        <v>27</v>
      </c>
      <c r="F788" t="s">
        <v>28</v>
      </c>
      <c r="G788" t="str">
        <f>"2026-01-09 01:17:10.319"</f>
        <v>2026-01-09 01:17:10.319</v>
      </c>
      <c r="H788" t="s">
        <v>21</v>
      </c>
      <c r="I788">
        <v>9.64</v>
      </c>
      <c r="J788" t="s">
        <v>30</v>
      </c>
    </row>
    <row r="789" spans="1:10" x14ac:dyDescent="0.25">
      <c r="A789" s="1">
        <v>5</v>
      </c>
      <c r="B789" t="s">
        <v>26</v>
      </c>
      <c r="C789">
        <v>635</v>
      </c>
      <c r="D789">
        <v>1</v>
      </c>
      <c r="E789" t="s">
        <v>27</v>
      </c>
      <c r="F789" t="s">
        <v>28</v>
      </c>
      <c r="G789" t="str">
        <f>"2026-01-08 17:07:16.319"</f>
        <v>2026-01-08 17:07:16.319</v>
      </c>
      <c r="H789" t="s">
        <v>21</v>
      </c>
    </row>
    <row r="790" spans="1:10" x14ac:dyDescent="0.25">
      <c r="A790" s="1">
        <v>6</v>
      </c>
      <c r="B790" t="s">
        <v>29</v>
      </c>
      <c r="C790">
        <v>635</v>
      </c>
      <c r="D790">
        <v>1</v>
      </c>
      <c r="E790" t="s">
        <v>27</v>
      </c>
      <c r="F790" t="s">
        <v>28</v>
      </c>
      <c r="G790" t="str">
        <f>"2026-01-08 17:02:52.819"</f>
        <v>2026-01-08 17:02:52.819</v>
      </c>
      <c r="H790" t="s">
        <v>21</v>
      </c>
      <c r="I790">
        <v>0.14000000000000001</v>
      </c>
      <c r="J790" t="s">
        <v>34</v>
      </c>
    </row>
    <row r="791" spans="1:10" x14ac:dyDescent="0.25">
      <c r="A791" s="1">
        <v>7</v>
      </c>
      <c r="B791" t="s">
        <v>26</v>
      </c>
      <c r="C791">
        <v>635</v>
      </c>
      <c r="D791">
        <v>1</v>
      </c>
      <c r="E791" t="s">
        <v>27</v>
      </c>
      <c r="F791" t="s">
        <v>28</v>
      </c>
      <c r="G791" t="str">
        <f>"2026-01-07 09:26:22.319"</f>
        <v>2026-01-07 09:26:22.319</v>
      </c>
      <c r="H791" t="s">
        <v>21</v>
      </c>
    </row>
    <row r="792" spans="1:10" x14ac:dyDescent="0.25">
      <c r="A792" s="1">
        <v>8</v>
      </c>
      <c r="B792" t="s">
        <v>29</v>
      </c>
      <c r="C792">
        <v>635</v>
      </c>
      <c r="D792">
        <v>1</v>
      </c>
      <c r="E792" t="s">
        <v>27</v>
      </c>
      <c r="F792" t="s">
        <v>28</v>
      </c>
      <c r="G792" t="str">
        <f>"2026-01-07 09:21:04.419"</f>
        <v>2026-01-07 09:21:04.419</v>
      </c>
      <c r="H792" t="s">
        <v>21</v>
      </c>
      <c r="I792">
        <v>2.87</v>
      </c>
      <c r="J792" t="s">
        <v>34</v>
      </c>
    </row>
    <row r="793" spans="1:10" x14ac:dyDescent="0.25">
      <c r="A793" s="1">
        <v>9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"2026-01-07 08:49:26.298"</f>
        <v>2026-01-07 08:49:26.298</v>
      </c>
      <c r="H793" t="s">
        <v>21</v>
      </c>
      <c r="I793">
        <v>0</v>
      </c>
      <c r="J793" t="s">
        <v>22</v>
      </c>
    </row>
    <row r="794" spans="1:10" x14ac:dyDescent="0.25">
      <c r="A794" s="1">
        <v>11</v>
      </c>
      <c r="B794" t="s">
        <v>19</v>
      </c>
      <c r="C794">
        <v>706</v>
      </c>
      <c r="D794">
        <v>4</v>
      </c>
      <c r="E794" t="s">
        <v>23</v>
      </c>
      <c r="F794" t="s">
        <v>24</v>
      </c>
      <c r="G794" t="str">
        <f>"2026-01-05 23:04:12.402"</f>
        <v>2026-01-05 23:04:12.402</v>
      </c>
      <c r="H794" t="s">
        <v>21</v>
      </c>
      <c r="I794">
        <v>0</v>
      </c>
      <c r="J794" t="s">
        <v>25</v>
      </c>
    </row>
    <row r="795" spans="1:10" x14ac:dyDescent="0.25">
      <c r="A795" s="1">
        <v>12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"2026-01-05 23:02:52.282"</f>
        <v>2026-01-05 23:02:52.282</v>
      </c>
      <c r="H795" t="s">
        <v>21</v>
      </c>
    </row>
    <row r="796" spans="1:10" x14ac:dyDescent="0.25">
      <c r="A796" s="1">
        <v>13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"2026-01-05 22:00:18.285"</f>
        <v>2026-01-05 22:00:18.285</v>
      </c>
      <c r="H796" t="s">
        <v>21</v>
      </c>
    </row>
    <row r="797" spans="1:10" x14ac:dyDescent="0.25">
      <c r="A797" s="1">
        <v>14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"2026-01-05 21:05:16.550"</f>
        <v>2026-01-05 21:05:16.550</v>
      </c>
      <c r="H797" t="s">
        <v>21</v>
      </c>
      <c r="I797">
        <v>0</v>
      </c>
      <c r="J797" t="s">
        <v>22</v>
      </c>
    </row>
    <row r="798" spans="1:10" x14ac:dyDescent="0.25">
      <c r="A798" s="1">
        <v>15</v>
      </c>
      <c r="B798" t="s">
        <v>26</v>
      </c>
      <c r="C798">
        <v>61</v>
      </c>
      <c r="D798">
        <v>2</v>
      </c>
      <c r="E798" t="s">
        <v>47</v>
      </c>
      <c r="F798" t="s">
        <v>48</v>
      </c>
      <c r="G798" t="str">
        <f>"2026-01-05 19:31:33.205"</f>
        <v>2026-01-05 19:31:33.205</v>
      </c>
      <c r="H798" t="s">
        <v>21</v>
      </c>
    </row>
    <row r="799" spans="1:10" x14ac:dyDescent="0.25">
      <c r="A799" s="1">
        <v>16</v>
      </c>
      <c r="B799" t="s">
        <v>45</v>
      </c>
      <c r="C799">
        <v>61</v>
      </c>
      <c r="D799">
        <v>2</v>
      </c>
      <c r="E799" t="s">
        <v>47</v>
      </c>
      <c r="F799" t="s">
        <v>48</v>
      </c>
      <c r="G799" t="str">
        <f>"2026-01-05 19:31:26.805"</f>
        <v>2026-01-05 19:31:26.805</v>
      </c>
      <c r="H799" t="s">
        <v>21</v>
      </c>
      <c r="I799">
        <v>29.37</v>
      </c>
      <c r="J799" t="s">
        <v>30</v>
      </c>
    </row>
    <row r="800" spans="1:10" x14ac:dyDescent="0.25">
      <c r="A800" s="1">
        <v>17</v>
      </c>
      <c r="B800" t="s">
        <v>26</v>
      </c>
      <c r="C800">
        <v>61</v>
      </c>
      <c r="D800">
        <v>2</v>
      </c>
      <c r="E800" t="s">
        <v>47</v>
      </c>
      <c r="F800" t="s">
        <v>48</v>
      </c>
      <c r="G800" t="str">
        <f>"2026-01-05 15:59:45.605"</f>
        <v>2026-01-05 15:59:45.605</v>
      </c>
      <c r="H800" t="s">
        <v>21</v>
      </c>
    </row>
    <row r="801" spans="1:10" x14ac:dyDescent="0.25">
      <c r="A801" s="1">
        <v>18</v>
      </c>
      <c r="B801" t="s">
        <v>45</v>
      </c>
      <c r="C801">
        <v>61</v>
      </c>
      <c r="D801">
        <v>2</v>
      </c>
      <c r="E801" t="s">
        <v>47</v>
      </c>
      <c r="F801" t="s">
        <v>48</v>
      </c>
      <c r="G801" t="str">
        <f>"2026-01-05 15:59:25.705"</f>
        <v>2026-01-05 15:59:25.705</v>
      </c>
      <c r="H801" t="s">
        <v>21</v>
      </c>
      <c r="I801">
        <v>29.56</v>
      </c>
      <c r="J801" t="s">
        <v>30</v>
      </c>
    </row>
    <row r="802" spans="1:10" x14ac:dyDescent="0.25">
      <c r="A802" s="1">
        <v>19</v>
      </c>
      <c r="B802" t="s">
        <v>26</v>
      </c>
      <c r="C802">
        <v>61</v>
      </c>
      <c r="D802">
        <v>2</v>
      </c>
      <c r="E802" t="s">
        <v>47</v>
      </c>
      <c r="F802" t="s">
        <v>48</v>
      </c>
      <c r="G802" t="str">
        <f>"2026-01-05 14:52:34.205"</f>
        <v>2026-01-05 14:52:34.205</v>
      </c>
      <c r="H802" t="s">
        <v>21</v>
      </c>
    </row>
    <row r="803" spans="1:10" x14ac:dyDescent="0.25">
      <c r="A803" s="1">
        <v>20</v>
      </c>
      <c r="B803" t="s">
        <v>45</v>
      </c>
      <c r="C803">
        <v>61</v>
      </c>
      <c r="D803">
        <v>2</v>
      </c>
      <c r="E803" t="s">
        <v>47</v>
      </c>
      <c r="F803" t="s">
        <v>48</v>
      </c>
      <c r="G803" t="str">
        <f>"2026-01-05 14:52:13.806"</f>
        <v>2026-01-05 14:52:13.806</v>
      </c>
      <c r="H803" t="s">
        <v>21</v>
      </c>
      <c r="I803">
        <v>30.17</v>
      </c>
      <c r="J803" t="s">
        <v>30</v>
      </c>
    </row>
    <row r="804" spans="1:10" x14ac:dyDescent="0.25">
      <c r="A804" s="1">
        <v>21</v>
      </c>
      <c r="B804" t="s">
        <v>26</v>
      </c>
      <c r="C804">
        <v>42</v>
      </c>
      <c r="D804">
        <v>1</v>
      </c>
      <c r="E804" t="s">
        <v>49</v>
      </c>
      <c r="F804" t="s">
        <v>50</v>
      </c>
      <c r="G804" t="str">
        <f>"2026-01-05 01:15:42.343"</f>
        <v>2026-01-05 01:15:42.343</v>
      </c>
      <c r="H804" t="s">
        <v>51</v>
      </c>
    </row>
    <row r="805" spans="1:10" x14ac:dyDescent="0.25">
      <c r="A805" s="1">
        <v>22</v>
      </c>
      <c r="B805" t="s">
        <v>29</v>
      </c>
      <c r="C805">
        <v>42</v>
      </c>
      <c r="D805">
        <v>1</v>
      </c>
      <c r="E805" t="s">
        <v>49</v>
      </c>
      <c r="F805" t="s">
        <v>50</v>
      </c>
      <c r="G805" t="str">
        <f>"2026-01-05 01:15:25.024"</f>
        <v>2026-01-05 01:15:25.024</v>
      </c>
      <c r="H805" t="s">
        <v>51</v>
      </c>
      <c r="I805">
        <v>0</v>
      </c>
      <c r="J805" t="s">
        <v>25</v>
      </c>
    </row>
    <row r="806" spans="1:10" x14ac:dyDescent="0.25">
      <c r="A806" s="1">
        <v>23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"2026-01-04 21:15:49.286"</f>
        <v>2026-01-04 21:15:49.286</v>
      </c>
      <c r="H806" t="s">
        <v>21</v>
      </c>
      <c r="I806">
        <v>0</v>
      </c>
      <c r="J806" t="s">
        <v>22</v>
      </c>
    </row>
    <row r="807" spans="1:10" x14ac:dyDescent="0.25">
      <c r="A807" s="1">
        <v>24</v>
      </c>
      <c r="B807" t="s">
        <v>26</v>
      </c>
      <c r="C807">
        <v>635</v>
      </c>
      <c r="D807">
        <v>1</v>
      </c>
      <c r="E807" t="s">
        <v>27</v>
      </c>
      <c r="F807" t="s">
        <v>28</v>
      </c>
      <c r="G807" t="str">
        <f>"2026-01-04 00:15:36.111"</f>
        <v>2026-01-04 00:15:36.111</v>
      </c>
      <c r="H807" t="s">
        <v>21</v>
      </c>
    </row>
    <row r="808" spans="1:10" x14ac:dyDescent="0.25">
      <c r="A808" s="1">
        <v>25</v>
      </c>
      <c r="B808" t="s">
        <v>29</v>
      </c>
      <c r="C808">
        <v>635</v>
      </c>
      <c r="D808">
        <v>1</v>
      </c>
      <c r="E808" t="s">
        <v>27</v>
      </c>
      <c r="F808" t="s">
        <v>28</v>
      </c>
      <c r="G808" t="str">
        <f>"2026-01-04 00:13:16.611"</f>
        <v>2026-01-04 00:13:16.611</v>
      </c>
      <c r="H808" t="s">
        <v>21</v>
      </c>
      <c r="I808">
        <v>7.57</v>
      </c>
      <c r="J808" t="s">
        <v>30</v>
      </c>
    </row>
    <row r="809" spans="1:10" x14ac:dyDescent="0.25">
      <c r="A809" s="1">
        <v>26</v>
      </c>
      <c r="B809" t="s">
        <v>26</v>
      </c>
      <c r="C809">
        <v>635</v>
      </c>
      <c r="D809">
        <v>1</v>
      </c>
      <c r="E809" t="s">
        <v>27</v>
      </c>
      <c r="F809" t="s">
        <v>28</v>
      </c>
      <c r="G809" t="str">
        <f>"2026-01-03 15:12:00.211"</f>
        <v>2026-01-03 15:12:00.211</v>
      </c>
      <c r="H809" t="s">
        <v>21</v>
      </c>
    </row>
    <row r="810" spans="1:10" x14ac:dyDescent="0.25">
      <c r="A810" s="1">
        <v>27</v>
      </c>
      <c r="B810" t="s">
        <v>29</v>
      </c>
      <c r="C810">
        <v>635</v>
      </c>
      <c r="D810">
        <v>1</v>
      </c>
      <c r="E810" t="s">
        <v>27</v>
      </c>
      <c r="F810" t="s">
        <v>28</v>
      </c>
      <c r="G810" t="str">
        <f>"2026-01-03 15:08:45.711"</f>
        <v>2026-01-03 15:08:45.711</v>
      </c>
      <c r="H810" t="s">
        <v>21</v>
      </c>
      <c r="I810">
        <v>-0.26</v>
      </c>
      <c r="J810" t="s">
        <v>38</v>
      </c>
    </row>
    <row r="811" spans="1:10" x14ac:dyDescent="0.25">
      <c r="A811" s="1">
        <v>28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"2026-01-03 09:10:08.281"</f>
        <v>2026-01-03 09:10:08.281</v>
      </c>
      <c r="H811" t="s">
        <v>21</v>
      </c>
      <c r="I811">
        <v>0</v>
      </c>
      <c r="J811" t="s">
        <v>22</v>
      </c>
    </row>
    <row r="812" spans="1:10" x14ac:dyDescent="0.25">
      <c r="A812" s="1">
        <v>29</v>
      </c>
      <c r="B812" t="s">
        <v>26</v>
      </c>
      <c r="C812">
        <v>61</v>
      </c>
      <c r="D812">
        <v>2</v>
      </c>
      <c r="E812" t="s">
        <v>47</v>
      </c>
      <c r="F812" t="s">
        <v>48</v>
      </c>
      <c r="G812" t="str">
        <f>"2026-01-02 08:39:25.553"</f>
        <v>2026-01-02 08:39:25.553</v>
      </c>
      <c r="H812" t="s">
        <v>21</v>
      </c>
    </row>
    <row r="813" spans="1:10" x14ac:dyDescent="0.25">
      <c r="A813" s="1">
        <v>30</v>
      </c>
      <c r="B813" t="s">
        <v>45</v>
      </c>
      <c r="C813">
        <v>61</v>
      </c>
      <c r="D813">
        <v>2</v>
      </c>
      <c r="E813" t="s">
        <v>47</v>
      </c>
      <c r="F813" t="s">
        <v>48</v>
      </c>
      <c r="G813" t="str">
        <f>"2026-01-02 08:39:13.054"</f>
        <v>2026-01-02 08:39:13.054</v>
      </c>
      <c r="H813" t="s">
        <v>21</v>
      </c>
      <c r="I813">
        <v>30.58</v>
      </c>
      <c r="J813" t="s">
        <v>30</v>
      </c>
    </row>
    <row r="814" spans="1:10" x14ac:dyDescent="0.25">
      <c r="A814" s="1">
        <v>31</v>
      </c>
      <c r="B814" t="s">
        <v>26</v>
      </c>
      <c r="C814">
        <v>61</v>
      </c>
      <c r="D814">
        <v>2</v>
      </c>
      <c r="E814" t="s">
        <v>47</v>
      </c>
      <c r="F814" t="s">
        <v>48</v>
      </c>
      <c r="G814" t="str">
        <f>"2026-01-01 12:26:03.553"</f>
        <v>2026-01-01 12:26:03.553</v>
      </c>
      <c r="H814" t="s">
        <v>21</v>
      </c>
    </row>
    <row r="815" spans="1:10" x14ac:dyDescent="0.25">
      <c r="A815" s="1">
        <v>32</v>
      </c>
      <c r="B815" t="s">
        <v>45</v>
      </c>
      <c r="C815">
        <v>61</v>
      </c>
      <c r="D815">
        <v>2</v>
      </c>
      <c r="E815" t="s">
        <v>47</v>
      </c>
      <c r="F815" t="s">
        <v>48</v>
      </c>
      <c r="G815" t="str">
        <f>"2026-01-01 12:25:48.654"</f>
        <v>2026-01-01 12:25:48.654</v>
      </c>
      <c r="H815" t="s">
        <v>21</v>
      </c>
      <c r="I815">
        <v>30.17</v>
      </c>
      <c r="J815" t="s">
        <v>30</v>
      </c>
    </row>
    <row r="816" spans="1:10" x14ac:dyDescent="0.25">
      <c r="A816" s="1">
        <v>33</v>
      </c>
      <c r="B816" t="s">
        <v>26</v>
      </c>
      <c r="C816">
        <v>635</v>
      </c>
      <c r="D816">
        <v>1</v>
      </c>
      <c r="E816" t="s">
        <v>27</v>
      </c>
      <c r="F816" t="s">
        <v>28</v>
      </c>
      <c r="G816" t="str">
        <f>"2026-01-01 07:14:36.241"</f>
        <v>2026-01-01 07:14:36.241</v>
      </c>
      <c r="H816" t="s">
        <v>21</v>
      </c>
    </row>
    <row r="817" spans="1:10" x14ac:dyDescent="0.25">
      <c r="A817" s="1">
        <v>34</v>
      </c>
      <c r="B817" t="s">
        <v>29</v>
      </c>
      <c r="C817">
        <v>635</v>
      </c>
      <c r="D817">
        <v>1</v>
      </c>
      <c r="E817" t="s">
        <v>27</v>
      </c>
      <c r="F817" t="s">
        <v>28</v>
      </c>
      <c r="G817" t="str">
        <f>"2026-01-01 07:09:28.242"</f>
        <v>2026-01-01 07:09:28.242</v>
      </c>
      <c r="H817" t="s">
        <v>21</v>
      </c>
      <c r="I817">
        <v>0.14000000000000001</v>
      </c>
      <c r="J817" t="s">
        <v>34</v>
      </c>
    </row>
    <row r="818" spans="1:10" x14ac:dyDescent="0.25">
      <c r="A818" s="1">
        <v>35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"2026-01-01 05:05:08.404"</f>
        <v>2026-01-01 05:05:08.404</v>
      </c>
      <c r="H818" t="s">
        <v>21</v>
      </c>
    </row>
    <row r="819" spans="1:10" x14ac:dyDescent="0.25">
      <c r="A819" s="1">
        <v>36</v>
      </c>
      <c r="B819" t="s">
        <v>19</v>
      </c>
      <c r="C819">
        <v>706</v>
      </c>
      <c r="D819">
        <v>2</v>
      </c>
      <c r="E819" t="s">
        <v>23</v>
      </c>
      <c r="F819" t="s">
        <v>46</v>
      </c>
      <c r="G819" t="str">
        <f>"2026-01-01 04:26:09.795"</f>
        <v>2026-01-01 04:26:09.795</v>
      </c>
      <c r="H819" t="s">
        <v>21</v>
      </c>
      <c r="I819">
        <v>0</v>
      </c>
      <c r="J819" t="s">
        <v>25</v>
      </c>
    </row>
    <row r="820" spans="1:10" x14ac:dyDescent="0.25">
      <c r="A820" s="1">
        <v>37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"2025-12-31 21:08:37.265"</f>
        <v>2025-12-31 21:08:37.265</v>
      </c>
      <c r="H820" t="s">
        <v>21</v>
      </c>
    </row>
    <row r="821" spans="1:10" x14ac:dyDescent="0.25">
      <c r="A821" s="1">
        <v>38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"2025-12-31 18:05:54.337"</f>
        <v>2025-12-31 18:05:54.337</v>
      </c>
      <c r="H821" t="s">
        <v>21</v>
      </c>
    </row>
    <row r="822" spans="1:10" x14ac:dyDescent="0.25">
      <c r="A822" s="1">
        <v>39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"2025-12-31 18:01:46.293"</f>
        <v>2025-12-31 18:01:46.293</v>
      </c>
      <c r="H822" t="s">
        <v>21</v>
      </c>
    </row>
    <row r="823" spans="1:10" x14ac:dyDescent="0.25">
      <c r="A823" s="1">
        <v>40</v>
      </c>
      <c r="B823" t="s">
        <v>26</v>
      </c>
      <c r="C823">
        <v>61</v>
      </c>
      <c r="D823">
        <v>2</v>
      </c>
      <c r="E823" t="s">
        <v>47</v>
      </c>
      <c r="F823" t="s">
        <v>48</v>
      </c>
      <c r="G823" t="str">
        <f>"2025-12-31 11:31:00.244"</f>
        <v>2025-12-31 11:31:00.244</v>
      </c>
      <c r="H823" t="s">
        <v>21</v>
      </c>
    </row>
    <row r="824" spans="1:10" x14ac:dyDescent="0.25">
      <c r="A824" s="1">
        <v>41</v>
      </c>
      <c r="B824" t="s">
        <v>45</v>
      </c>
      <c r="C824">
        <v>61</v>
      </c>
      <c r="D824">
        <v>2</v>
      </c>
      <c r="E824" t="s">
        <v>47</v>
      </c>
      <c r="F824" t="s">
        <v>48</v>
      </c>
      <c r="G824" t="str">
        <f>"2025-12-31 11:30:42.145"</f>
        <v>2025-12-31 11:30:42.145</v>
      </c>
      <c r="H824" t="s">
        <v>21</v>
      </c>
      <c r="I824">
        <v>30.27</v>
      </c>
      <c r="J824" t="s">
        <v>30</v>
      </c>
    </row>
    <row r="825" spans="1:10" x14ac:dyDescent="0.25">
      <c r="A825" s="1">
        <v>42</v>
      </c>
      <c r="B825" t="s">
        <v>26</v>
      </c>
      <c r="C825">
        <v>61</v>
      </c>
      <c r="D825">
        <v>2</v>
      </c>
      <c r="E825" t="s">
        <v>47</v>
      </c>
      <c r="F825" t="s">
        <v>48</v>
      </c>
      <c r="G825" t="str">
        <f>"2025-12-31 10:56:00.945"</f>
        <v>2025-12-31 10:56:00.945</v>
      </c>
      <c r="H825" t="s">
        <v>21</v>
      </c>
    </row>
    <row r="826" spans="1:10" x14ac:dyDescent="0.25">
      <c r="A826" s="1">
        <v>43</v>
      </c>
      <c r="B826" t="s">
        <v>45</v>
      </c>
      <c r="C826">
        <v>61</v>
      </c>
      <c r="D826">
        <v>2</v>
      </c>
      <c r="E826" t="s">
        <v>47</v>
      </c>
      <c r="F826" t="s">
        <v>48</v>
      </c>
      <c r="G826" t="str">
        <f>"2025-12-31 10:55:43.845"</f>
        <v>2025-12-31 10:55:43.845</v>
      </c>
      <c r="H826" t="s">
        <v>21</v>
      </c>
      <c r="I826">
        <v>30.36</v>
      </c>
      <c r="J826" t="s">
        <v>30</v>
      </c>
    </row>
    <row r="827" spans="1:10" x14ac:dyDescent="0.25">
      <c r="A827" s="1">
        <v>44</v>
      </c>
      <c r="B827" t="s">
        <v>26</v>
      </c>
      <c r="C827">
        <v>635</v>
      </c>
      <c r="D827">
        <v>1</v>
      </c>
      <c r="E827" t="s">
        <v>27</v>
      </c>
      <c r="F827" t="s">
        <v>28</v>
      </c>
      <c r="G827" t="str">
        <f>"2025-12-30 21:58:49.532"</f>
        <v>2025-12-30 21:58:49.532</v>
      </c>
      <c r="H827" t="s">
        <v>21</v>
      </c>
    </row>
    <row r="828" spans="1:10" x14ac:dyDescent="0.25">
      <c r="A828" s="1">
        <v>45</v>
      </c>
      <c r="B828" t="s">
        <v>29</v>
      </c>
      <c r="C828">
        <v>635</v>
      </c>
      <c r="D828">
        <v>1</v>
      </c>
      <c r="E828" t="s">
        <v>27</v>
      </c>
      <c r="F828" t="s">
        <v>28</v>
      </c>
      <c r="G828" t="str">
        <f>"2025-12-30 21:56:00.532"</f>
        <v>2025-12-30 21:56:00.532</v>
      </c>
      <c r="H828" t="s">
        <v>21</v>
      </c>
      <c r="I828">
        <v>8.41</v>
      </c>
      <c r="J828" t="s">
        <v>38</v>
      </c>
    </row>
    <row r="829" spans="1:10" x14ac:dyDescent="0.25">
      <c r="A829" s="1">
        <v>46</v>
      </c>
      <c r="B829" t="s">
        <v>26</v>
      </c>
      <c r="C829">
        <v>635</v>
      </c>
      <c r="D829">
        <v>1</v>
      </c>
      <c r="E829" t="s">
        <v>27</v>
      </c>
      <c r="F829" t="s">
        <v>28</v>
      </c>
      <c r="G829" t="str">
        <f>"2025-12-30 21:44:57.632"</f>
        <v>2025-12-30 21:44:57.632</v>
      </c>
      <c r="H829" t="s">
        <v>21</v>
      </c>
    </row>
    <row r="830" spans="1:10" x14ac:dyDescent="0.25">
      <c r="A830" s="1">
        <v>47</v>
      </c>
      <c r="B830" t="s">
        <v>29</v>
      </c>
      <c r="C830">
        <v>635</v>
      </c>
      <c r="D830">
        <v>1</v>
      </c>
      <c r="E830" t="s">
        <v>27</v>
      </c>
      <c r="F830" t="s">
        <v>28</v>
      </c>
      <c r="G830" t="str">
        <f>"2025-12-30 21:40:27.632"</f>
        <v>2025-12-30 21:40:27.632</v>
      </c>
      <c r="H830" t="s">
        <v>21</v>
      </c>
      <c r="I830">
        <v>6.74</v>
      </c>
      <c r="J830" t="s">
        <v>38</v>
      </c>
    </row>
    <row r="831" spans="1:10" x14ac:dyDescent="0.25">
      <c r="A831" s="1">
        <v>48</v>
      </c>
      <c r="B831" t="s">
        <v>26</v>
      </c>
      <c r="C831">
        <v>635</v>
      </c>
      <c r="D831">
        <v>1</v>
      </c>
      <c r="E831" t="s">
        <v>27</v>
      </c>
      <c r="F831" t="s">
        <v>28</v>
      </c>
      <c r="G831" t="str">
        <f>"2025-12-30 18:55:46.932"</f>
        <v>2025-12-30 18:55:46.932</v>
      </c>
      <c r="H831" t="s">
        <v>21</v>
      </c>
    </row>
    <row r="832" spans="1:10" x14ac:dyDescent="0.25">
      <c r="A832" s="1">
        <v>49</v>
      </c>
      <c r="B832" t="s">
        <v>29</v>
      </c>
      <c r="C832">
        <v>635</v>
      </c>
      <c r="D832">
        <v>1</v>
      </c>
      <c r="E832" t="s">
        <v>27</v>
      </c>
      <c r="F832" t="s">
        <v>28</v>
      </c>
      <c r="G832" t="str">
        <f>"2025-12-30 18:50:29.432"</f>
        <v>2025-12-30 18:50:29.432</v>
      </c>
      <c r="H832" t="s">
        <v>21</v>
      </c>
      <c r="I832">
        <v>9.06</v>
      </c>
      <c r="J832" t="s">
        <v>38</v>
      </c>
    </row>
    <row r="833" spans="1:10" x14ac:dyDescent="0.25">
      <c r="A833" s="1">
        <v>50</v>
      </c>
      <c r="B833" t="s">
        <v>26</v>
      </c>
      <c r="C833">
        <v>635</v>
      </c>
      <c r="D833">
        <v>1</v>
      </c>
      <c r="E833" t="s">
        <v>27</v>
      </c>
      <c r="F833" t="s">
        <v>28</v>
      </c>
      <c r="G833" t="str">
        <f>"2025-12-29 17:38:16.032"</f>
        <v>2025-12-29 17:38:16.032</v>
      </c>
      <c r="H833" t="s">
        <v>21</v>
      </c>
    </row>
    <row r="834" spans="1:10" x14ac:dyDescent="0.25">
      <c r="A834" s="1">
        <v>51</v>
      </c>
      <c r="B834" t="s">
        <v>29</v>
      </c>
      <c r="C834">
        <v>635</v>
      </c>
      <c r="D834">
        <v>1</v>
      </c>
      <c r="E834" t="s">
        <v>27</v>
      </c>
      <c r="F834" t="s">
        <v>28</v>
      </c>
      <c r="G834" t="str">
        <f>"2025-12-29 17:33:40.532"</f>
        <v>2025-12-29 17:33:40.532</v>
      </c>
      <c r="H834" t="s">
        <v>21</v>
      </c>
      <c r="I834">
        <v>0.11</v>
      </c>
      <c r="J834" t="s">
        <v>34</v>
      </c>
    </row>
    <row r="835" spans="1:10" x14ac:dyDescent="0.25">
      <c r="A835" s="1">
        <v>52</v>
      </c>
      <c r="B835" t="s">
        <v>26</v>
      </c>
      <c r="C835">
        <v>635</v>
      </c>
      <c r="D835">
        <v>1</v>
      </c>
      <c r="E835" t="s">
        <v>27</v>
      </c>
      <c r="F835" t="s">
        <v>28</v>
      </c>
      <c r="G835" t="str">
        <f>"2025-12-29 17:26:59.032"</f>
        <v>2025-12-29 17:26:59.032</v>
      </c>
      <c r="H835" t="s">
        <v>21</v>
      </c>
    </row>
    <row r="836" spans="1:10" x14ac:dyDescent="0.25">
      <c r="A836" s="1">
        <v>53</v>
      </c>
      <c r="B836" t="s">
        <v>29</v>
      </c>
      <c r="C836">
        <v>635</v>
      </c>
      <c r="D836">
        <v>1</v>
      </c>
      <c r="E836" t="s">
        <v>27</v>
      </c>
      <c r="F836" t="s">
        <v>28</v>
      </c>
      <c r="G836" t="str">
        <f>"2025-12-29 17:21:04.532"</f>
        <v>2025-12-29 17:21:04.532</v>
      </c>
      <c r="H836" t="s">
        <v>21</v>
      </c>
      <c r="I836">
        <v>0.46</v>
      </c>
      <c r="J836" t="s">
        <v>38</v>
      </c>
    </row>
    <row r="837" spans="1:10" x14ac:dyDescent="0.25">
      <c r="A837" s="1">
        <v>54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"2025-12-29 13:49:56.285"</f>
        <v>2025-12-29 13:49:56.285</v>
      </c>
      <c r="H837" t="s">
        <v>21</v>
      </c>
      <c r="I837">
        <v>0</v>
      </c>
      <c r="J837" t="s">
        <v>22</v>
      </c>
    </row>
    <row r="838" spans="1:10" x14ac:dyDescent="0.25">
      <c r="A838" s="1">
        <v>55</v>
      </c>
      <c r="B838" t="s">
        <v>26</v>
      </c>
      <c r="C838">
        <v>635</v>
      </c>
      <c r="D838">
        <v>1</v>
      </c>
      <c r="E838" t="s">
        <v>27</v>
      </c>
      <c r="F838" t="s">
        <v>28</v>
      </c>
      <c r="G838" t="str">
        <f>"2025-12-29 12:05:20.105"</f>
        <v>2025-12-29 12:05:20.105</v>
      </c>
      <c r="H838" t="s">
        <v>21</v>
      </c>
    </row>
    <row r="839" spans="1:10" x14ac:dyDescent="0.25">
      <c r="A839" s="1">
        <v>56</v>
      </c>
      <c r="B839" t="s">
        <v>29</v>
      </c>
      <c r="C839">
        <v>635</v>
      </c>
      <c r="D839">
        <v>1</v>
      </c>
      <c r="E839" t="s">
        <v>27</v>
      </c>
      <c r="F839" t="s">
        <v>28</v>
      </c>
      <c r="G839" t="str">
        <f>"2025-12-29 12:00:55.105"</f>
        <v>2025-12-29 12:00:55.105</v>
      </c>
      <c r="H839" t="s">
        <v>21</v>
      </c>
      <c r="I839">
        <v>2.11</v>
      </c>
      <c r="J839" t="s">
        <v>38</v>
      </c>
    </row>
    <row r="840" spans="1:10" x14ac:dyDescent="0.25">
      <c r="A840" s="1">
        <v>57</v>
      </c>
      <c r="B840" t="s">
        <v>26</v>
      </c>
      <c r="C840">
        <v>635</v>
      </c>
      <c r="D840">
        <v>1</v>
      </c>
      <c r="E840" t="s">
        <v>27</v>
      </c>
      <c r="F840" t="s">
        <v>28</v>
      </c>
      <c r="G840" t="str">
        <f>"2025-12-28 22:36:59.705"</f>
        <v>2025-12-28 22:36:59.705</v>
      </c>
      <c r="H840" t="s">
        <v>21</v>
      </c>
    </row>
    <row r="841" spans="1:10" x14ac:dyDescent="0.25">
      <c r="A841" s="1">
        <v>58</v>
      </c>
      <c r="B841" t="s">
        <v>29</v>
      </c>
      <c r="C841">
        <v>635</v>
      </c>
      <c r="D841">
        <v>1</v>
      </c>
      <c r="E841" t="s">
        <v>27</v>
      </c>
      <c r="F841" t="s">
        <v>28</v>
      </c>
      <c r="G841" t="str">
        <f>"2025-12-28 22:23:17.805"</f>
        <v>2025-12-28 22:23:17.805</v>
      </c>
      <c r="H841" t="s">
        <v>21</v>
      </c>
      <c r="I841">
        <v>5.44</v>
      </c>
      <c r="J841" t="s">
        <v>38</v>
      </c>
    </row>
    <row r="842" spans="1:10" x14ac:dyDescent="0.25">
      <c r="A842" s="1">
        <v>59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"2025-12-28 20:50:26.258"</f>
        <v>2025-12-28 20:50:26.258</v>
      </c>
      <c r="H842" t="s">
        <v>21</v>
      </c>
      <c r="I842">
        <v>0</v>
      </c>
      <c r="J842" t="s">
        <v>22</v>
      </c>
    </row>
    <row r="843" spans="1:10" x14ac:dyDescent="0.25">
      <c r="A843" s="1">
        <v>60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"2025-12-28 09:07:37.320"</f>
        <v>2025-12-28 09:07:37.320</v>
      </c>
      <c r="H843" t="s">
        <v>21</v>
      </c>
    </row>
    <row r="844" spans="1:10" x14ac:dyDescent="0.25">
      <c r="A844" s="1">
        <v>61</v>
      </c>
      <c r="B844" t="s">
        <v>26</v>
      </c>
      <c r="C844">
        <v>61</v>
      </c>
      <c r="D844">
        <v>2</v>
      </c>
      <c r="E844" t="s">
        <v>47</v>
      </c>
      <c r="F844" t="s">
        <v>48</v>
      </c>
      <c r="G844" t="str">
        <f>"2025-12-27 18:35:44.493"</f>
        <v>2025-12-27 18:35:44.493</v>
      </c>
      <c r="H844" t="s">
        <v>21</v>
      </c>
    </row>
    <row r="845" spans="1:10" x14ac:dyDescent="0.25">
      <c r="A845" s="1">
        <v>62</v>
      </c>
      <c r="B845" t="s">
        <v>45</v>
      </c>
      <c r="C845">
        <v>61</v>
      </c>
      <c r="D845">
        <v>2</v>
      </c>
      <c r="E845" t="s">
        <v>47</v>
      </c>
      <c r="F845" t="s">
        <v>48</v>
      </c>
      <c r="G845" t="str">
        <f>"2025-12-27 18:35:25.593"</f>
        <v>2025-12-27 18:35:25.593</v>
      </c>
      <c r="H845" t="s">
        <v>21</v>
      </c>
      <c r="I845">
        <v>30.28</v>
      </c>
      <c r="J845" t="s">
        <v>30</v>
      </c>
    </row>
    <row r="846" spans="1:10" x14ac:dyDescent="0.25">
      <c r="A846" s="1">
        <v>63</v>
      </c>
      <c r="B846" t="s">
        <v>26</v>
      </c>
      <c r="C846">
        <v>61</v>
      </c>
      <c r="D846">
        <v>2</v>
      </c>
      <c r="E846" t="s">
        <v>47</v>
      </c>
      <c r="F846" t="s">
        <v>48</v>
      </c>
      <c r="G846" t="str">
        <f>"2025-12-27 17:39:36.593"</f>
        <v>2025-12-27 17:39:36.593</v>
      </c>
      <c r="H846" t="s">
        <v>21</v>
      </c>
    </row>
    <row r="847" spans="1:10" x14ac:dyDescent="0.25">
      <c r="A847" s="1">
        <v>64</v>
      </c>
      <c r="B847" t="s">
        <v>45</v>
      </c>
      <c r="C847">
        <v>61</v>
      </c>
      <c r="D847">
        <v>2</v>
      </c>
      <c r="E847" t="s">
        <v>47</v>
      </c>
      <c r="F847" t="s">
        <v>48</v>
      </c>
      <c r="G847" t="str">
        <f>"2025-12-27 17:39:19.993"</f>
        <v>2025-12-27 17:39:19.993</v>
      </c>
      <c r="H847" t="s">
        <v>21</v>
      </c>
      <c r="I847">
        <v>30.49</v>
      </c>
      <c r="J847" t="s">
        <v>30</v>
      </c>
    </row>
    <row r="848" spans="1:10" x14ac:dyDescent="0.25">
      <c r="A848" s="1">
        <v>65</v>
      </c>
      <c r="B848" t="s">
        <v>26</v>
      </c>
      <c r="C848">
        <v>61</v>
      </c>
      <c r="D848">
        <v>2</v>
      </c>
      <c r="E848" t="s">
        <v>47</v>
      </c>
      <c r="F848" t="s">
        <v>48</v>
      </c>
      <c r="G848" t="str">
        <f>"2025-12-27 13:24:53.093"</f>
        <v>2025-12-27 13:24:53.093</v>
      </c>
      <c r="H848" t="s">
        <v>21</v>
      </c>
    </row>
    <row r="849" spans="1:10" x14ac:dyDescent="0.25">
      <c r="A849" s="1">
        <v>66</v>
      </c>
      <c r="B849" t="s">
        <v>45</v>
      </c>
      <c r="C849">
        <v>61</v>
      </c>
      <c r="D849">
        <v>2</v>
      </c>
      <c r="E849" t="s">
        <v>47</v>
      </c>
      <c r="F849" t="s">
        <v>48</v>
      </c>
      <c r="G849" t="str">
        <f>"2025-12-27 13:24:32.793"</f>
        <v>2025-12-27 13:24:32.793</v>
      </c>
      <c r="H849" t="s">
        <v>21</v>
      </c>
      <c r="I849">
        <v>29.68</v>
      </c>
      <c r="J849" t="s">
        <v>30</v>
      </c>
    </row>
    <row r="850" spans="1:10" x14ac:dyDescent="0.25">
      <c r="A850" s="1">
        <v>67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"2025-12-27 10:02:57.222"</f>
        <v>2025-12-27 10:02:57.222</v>
      </c>
      <c r="H850" t="s">
        <v>21</v>
      </c>
    </row>
    <row r="851" spans="1:10" x14ac:dyDescent="0.25">
      <c r="A851" s="1">
        <v>68</v>
      </c>
      <c r="B851" t="s">
        <v>19</v>
      </c>
      <c r="C851">
        <v>706</v>
      </c>
      <c r="D851">
        <v>2</v>
      </c>
      <c r="E851" t="s">
        <v>23</v>
      </c>
      <c r="F851" t="s">
        <v>46</v>
      </c>
      <c r="G851" t="str">
        <f>"2025-12-26 15:20:12.805"</f>
        <v>2025-12-26 15:20:12.805</v>
      </c>
      <c r="H851" t="s">
        <v>21</v>
      </c>
      <c r="I851">
        <v>0</v>
      </c>
      <c r="J851" t="s">
        <v>25</v>
      </c>
    </row>
    <row r="852" spans="1:10" x14ac:dyDescent="0.25">
      <c r="A852" s="1">
        <v>69</v>
      </c>
      <c r="B852" t="s">
        <v>19</v>
      </c>
      <c r="C852">
        <v>706</v>
      </c>
      <c r="D852">
        <v>2</v>
      </c>
      <c r="E852" t="s">
        <v>23</v>
      </c>
      <c r="F852" t="s">
        <v>46</v>
      </c>
      <c r="G852" t="str">
        <f>"2025-12-26 15:19:59.005"</f>
        <v>2025-12-26 15:19:59.005</v>
      </c>
      <c r="H852" t="s">
        <v>21</v>
      </c>
      <c r="I852">
        <v>0</v>
      </c>
      <c r="J852" t="s">
        <v>25</v>
      </c>
    </row>
    <row r="853" spans="1:10" x14ac:dyDescent="0.25">
      <c r="A853" s="1">
        <v>70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"2025-12-26 14:05:37.225"</f>
        <v>2025-12-26 14:05:37.225</v>
      </c>
      <c r="H853" t="s">
        <v>21</v>
      </c>
    </row>
    <row r="854" spans="1:10" x14ac:dyDescent="0.25">
      <c r="A854" s="1">
        <v>71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"2025-12-26 13:49:20.469"</f>
        <v>2025-12-26 13:49:20.469</v>
      </c>
      <c r="H854" t="s">
        <v>21</v>
      </c>
      <c r="I854">
        <v>0</v>
      </c>
      <c r="J854" t="s">
        <v>22</v>
      </c>
    </row>
    <row r="855" spans="1:10" x14ac:dyDescent="0.25">
      <c r="A855" s="1">
        <v>72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"2025-12-26 01:08:45.247"</f>
        <v>2025-12-26 01:08:45.247</v>
      </c>
      <c r="H855" t="s">
        <v>21</v>
      </c>
    </row>
    <row r="856" spans="1:10" x14ac:dyDescent="0.25">
      <c r="A856" s="1">
        <v>73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"2025-12-25 10:02:06.259"</f>
        <v>2025-12-25 10:02:06.259</v>
      </c>
      <c r="H856" t="s">
        <v>21</v>
      </c>
      <c r="I856">
        <v>0</v>
      </c>
      <c r="J856" t="s">
        <v>22</v>
      </c>
    </row>
    <row r="857" spans="1:10" x14ac:dyDescent="0.25">
      <c r="A857" s="1">
        <v>74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"2025-12-24 21:17:20.256"</f>
        <v>2025-12-24 21:17:20.256</v>
      </c>
      <c r="H857" t="s">
        <v>21</v>
      </c>
    </row>
    <row r="858" spans="1:10" x14ac:dyDescent="0.25">
      <c r="A858" s="1">
        <v>75</v>
      </c>
      <c r="B858" t="s">
        <v>26</v>
      </c>
      <c r="C858">
        <v>635</v>
      </c>
      <c r="D858">
        <v>1</v>
      </c>
      <c r="E858" t="s">
        <v>27</v>
      </c>
      <c r="F858" t="s">
        <v>28</v>
      </c>
      <c r="G858" t="str">
        <f>"2025-12-24 09:08:44.690"</f>
        <v>2025-12-24 09:08:44.690</v>
      </c>
      <c r="H858" t="s">
        <v>21</v>
      </c>
    </row>
    <row r="859" spans="1:10" x14ac:dyDescent="0.25">
      <c r="A859" s="1">
        <v>76</v>
      </c>
      <c r="B859" t="s">
        <v>29</v>
      </c>
      <c r="C859">
        <v>635</v>
      </c>
      <c r="D859">
        <v>1</v>
      </c>
      <c r="E859" t="s">
        <v>27</v>
      </c>
      <c r="F859" t="s">
        <v>28</v>
      </c>
      <c r="G859" t="str">
        <f>"2025-12-24 08:54:30.690"</f>
        <v>2025-12-24 08:54:30.690</v>
      </c>
      <c r="H859" t="s">
        <v>21</v>
      </c>
      <c r="I859">
        <v>2.48</v>
      </c>
      <c r="J859" t="s">
        <v>38</v>
      </c>
    </row>
    <row r="860" spans="1:10" x14ac:dyDescent="0.25">
      <c r="A860" s="1">
        <v>77</v>
      </c>
      <c r="B860" t="s">
        <v>26</v>
      </c>
      <c r="C860">
        <v>635</v>
      </c>
      <c r="D860">
        <v>1</v>
      </c>
      <c r="E860" t="s">
        <v>27</v>
      </c>
      <c r="F860" t="s">
        <v>28</v>
      </c>
      <c r="G860" t="str">
        <f>"2025-12-23 04:05:44.790"</f>
        <v>2025-12-23 04:05:44.790</v>
      </c>
      <c r="H860" t="s">
        <v>21</v>
      </c>
    </row>
    <row r="861" spans="1:10" x14ac:dyDescent="0.25">
      <c r="A861" s="1">
        <v>78</v>
      </c>
      <c r="B861" t="s">
        <v>29</v>
      </c>
      <c r="C861">
        <v>635</v>
      </c>
      <c r="D861">
        <v>1</v>
      </c>
      <c r="E861" t="s">
        <v>27</v>
      </c>
      <c r="F861" t="s">
        <v>28</v>
      </c>
      <c r="G861" t="str">
        <f>"2025-12-23 04:01:45.790"</f>
        <v>2025-12-23 04:01:45.790</v>
      </c>
      <c r="H861" t="s">
        <v>21</v>
      </c>
      <c r="I861">
        <v>0.03</v>
      </c>
      <c r="J861" t="s">
        <v>38</v>
      </c>
    </row>
    <row r="862" spans="1:10" x14ac:dyDescent="0.25">
      <c r="A862" s="1">
        <v>79</v>
      </c>
      <c r="B862" t="s">
        <v>19</v>
      </c>
      <c r="C862">
        <v>706</v>
      </c>
      <c r="D862">
        <v>2</v>
      </c>
      <c r="E862" t="s">
        <v>23</v>
      </c>
      <c r="F862" t="s">
        <v>46</v>
      </c>
      <c r="G862" t="str">
        <f>"2025-12-22 23:02:21.879"</f>
        <v>2025-12-22 23:02:21.879</v>
      </c>
      <c r="H862" t="s">
        <v>21</v>
      </c>
      <c r="I862">
        <v>0</v>
      </c>
      <c r="J862" t="s">
        <v>25</v>
      </c>
    </row>
    <row r="863" spans="1:10" x14ac:dyDescent="0.25">
      <c r="A863" s="1">
        <v>80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"2025-12-22 23:02:07.219"</f>
        <v>2025-12-22 23:02:07.219</v>
      </c>
      <c r="H863" t="s">
        <v>21</v>
      </c>
    </row>
    <row r="864" spans="1:10" x14ac:dyDescent="0.25">
      <c r="A864" s="1">
        <v>81</v>
      </c>
      <c r="B864" t="s">
        <v>26</v>
      </c>
      <c r="C864">
        <v>61</v>
      </c>
      <c r="D864">
        <v>2</v>
      </c>
      <c r="E864" t="s">
        <v>47</v>
      </c>
      <c r="F864" t="s">
        <v>48</v>
      </c>
      <c r="G864" t="str">
        <f>"2025-12-21 16:31:28.049"</f>
        <v>2025-12-21 16:31:28.049</v>
      </c>
      <c r="H864" t="s">
        <v>21</v>
      </c>
    </row>
    <row r="865" spans="1:10" x14ac:dyDescent="0.25">
      <c r="A865" s="1">
        <v>82</v>
      </c>
      <c r="B865" t="s">
        <v>45</v>
      </c>
      <c r="C865">
        <v>61</v>
      </c>
      <c r="D865">
        <v>2</v>
      </c>
      <c r="E865" t="s">
        <v>47</v>
      </c>
      <c r="F865" t="s">
        <v>48</v>
      </c>
      <c r="G865" t="str">
        <f>"2025-12-21 16:31:11.449"</f>
        <v>2025-12-21 16:31:11.449</v>
      </c>
      <c r="H865" t="s">
        <v>21</v>
      </c>
      <c r="I865">
        <v>30.3</v>
      </c>
      <c r="J865" t="s">
        <v>30</v>
      </c>
    </row>
    <row r="866" spans="1:10" x14ac:dyDescent="0.25">
      <c r="A866" s="1">
        <v>83</v>
      </c>
      <c r="B866" t="s">
        <v>26</v>
      </c>
      <c r="C866">
        <v>635</v>
      </c>
      <c r="D866">
        <v>1</v>
      </c>
      <c r="E866" t="s">
        <v>27</v>
      </c>
      <c r="F866" t="s">
        <v>28</v>
      </c>
      <c r="G866" t="str">
        <f>"2025-12-21 10:30:01.536"</f>
        <v>2025-12-21 10:30:01.536</v>
      </c>
      <c r="H866" t="s">
        <v>21</v>
      </c>
    </row>
    <row r="867" spans="1:10" x14ac:dyDescent="0.25">
      <c r="A867" s="1">
        <v>84</v>
      </c>
      <c r="B867" t="s">
        <v>29</v>
      </c>
      <c r="C867">
        <v>635</v>
      </c>
      <c r="D867">
        <v>1</v>
      </c>
      <c r="E867" t="s">
        <v>27</v>
      </c>
      <c r="F867" t="s">
        <v>28</v>
      </c>
      <c r="G867" t="str">
        <f>"2025-12-21 10:27:00.536"</f>
        <v>2025-12-21 10:27:00.536</v>
      </c>
      <c r="H867" t="s">
        <v>21</v>
      </c>
      <c r="I867">
        <v>4.07</v>
      </c>
      <c r="J867" t="s">
        <v>34</v>
      </c>
    </row>
    <row r="868" spans="1:10" x14ac:dyDescent="0.25">
      <c r="A868" s="1">
        <v>85</v>
      </c>
      <c r="B868" t="s">
        <v>19</v>
      </c>
      <c r="C868">
        <v>700</v>
      </c>
      <c r="D868">
        <v>0</v>
      </c>
      <c r="E868" t="s">
        <v>20</v>
      </c>
      <c r="F868" t="s">
        <v>20</v>
      </c>
      <c r="G868" t="str">
        <f>"2025-12-20 14:32:30.234"</f>
        <v>2025-12-20 14:32:30.234</v>
      </c>
      <c r="H868" t="s">
        <v>21</v>
      </c>
    </row>
    <row r="869" spans="1:10" x14ac:dyDescent="0.25">
      <c r="A869" s="1">
        <v>86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"2025-12-19 16:21:01.211"</f>
        <v>2025-12-19 16:21:01.211</v>
      </c>
      <c r="H869" t="s">
        <v>21</v>
      </c>
    </row>
    <row r="870" spans="1:10" x14ac:dyDescent="0.25">
      <c r="A870" s="1">
        <v>87</v>
      </c>
      <c r="B870" t="s">
        <v>19</v>
      </c>
      <c r="C870">
        <v>706</v>
      </c>
      <c r="D870">
        <v>2</v>
      </c>
      <c r="E870" t="s">
        <v>23</v>
      </c>
      <c r="F870" t="s">
        <v>46</v>
      </c>
      <c r="G870" t="str">
        <f>"2025-12-19 16:19:24.172"</f>
        <v>2025-12-19 16:19:24.172</v>
      </c>
      <c r="H870" t="s">
        <v>21</v>
      </c>
      <c r="I870">
        <v>0</v>
      </c>
      <c r="J870" t="s">
        <v>25</v>
      </c>
    </row>
    <row r="871" spans="1:10" x14ac:dyDescent="0.25">
      <c r="A871" s="1">
        <v>88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"2025-12-19 13:45:52.202"</f>
        <v>2025-12-19 13:45:52.202</v>
      </c>
      <c r="H871" t="s">
        <v>21</v>
      </c>
      <c r="I871">
        <v>0</v>
      </c>
      <c r="J871" t="s">
        <v>22</v>
      </c>
    </row>
    <row r="872" spans="1:10" x14ac:dyDescent="0.25">
      <c r="A872" s="1">
        <v>89</v>
      </c>
      <c r="B872" t="s">
        <v>19</v>
      </c>
      <c r="C872">
        <v>706</v>
      </c>
      <c r="D872">
        <v>2</v>
      </c>
      <c r="E872" t="s">
        <v>23</v>
      </c>
      <c r="F872" t="s">
        <v>46</v>
      </c>
      <c r="G872" t="str">
        <f>"2025-12-19 07:48:10.546"</f>
        <v>2025-12-19 07:48:10.546</v>
      </c>
      <c r="H872" t="s">
        <v>21</v>
      </c>
      <c r="I872">
        <v>0</v>
      </c>
      <c r="J872" t="s">
        <v>25</v>
      </c>
    </row>
    <row r="873" spans="1:10" x14ac:dyDescent="0.25">
      <c r="A873" s="1">
        <v>90</v>
      </c>
      <c r="B873" t="s">
        <v>26</v>
      </c>
      <c r="C873">
        <v>98</v>
      </c>
      <c r="D873">
        <v>1</v>
      </c>
      <c r="E873" t="s">
        <v>36</v>
      </c>
      <c r="F873" t="s">
        <v>37</v>
      </c>
      <c r="G873" t="str">
        <f>"2025-12-18 22:32:08.395"</f>
        <v>2025-12-18 22:32:08.395</v>
      </c>
      <c r="H873" t="s">
        <v>21</v>
      </c>
    </row>
    <row r="874" spans="1:10" x14ac:dyDescent="0.25">
      <c r="A874" s="1">
        <v>91</v>
      </c>
      <c r="B874" t="s">
        <v>29</v>
      </c>
      <c r="C874">
        <v>98</v>
      </c>
      <c r="D874">
        <v>1</v>
      </c>
      <c r="E874" t="s">
        <v>36</v>
      </c>
      <c r="F874" t="s">
        <v>37</v>
      </c>
      <c r="G874" t="str">
        <f>"2025-12-18 22:32:07.396"</f>
        <v>2025-12-18 22:32:07.396</v>
      </c>
      <c r="H874" t="s">
        <v>21</v>
      </c>
      <c r="I874">
        <v>16.079999999999998</v>
      </c>
      <c r="J874" t="s">
        <v>38</v>
      </c>
    </row>
    <row r="875" spans="1:10" x14ac:dyDescent="0.25">
      <c r="A875" s="1">
        <v>92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"2025-12-18 11:29:20.186"</f>
        <v>2025-12-18 11:29:20.186</v>
      </c>
      <c r="H875" t="s">
        <v>21</v>
      </c>
    </row>
    <row r="876" spans="1:10" x14ac:dyDescent="0.25">
      <c r="A876" s="1">
        <v>93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"2025-12-18 11:18:57.229"</f>
        <v>2025-12-18 11:18:57.229</v>
      </c>
      <c r="H876" t="s">
        <v>21</v>
      </c>
      <c r="I876">
        <v>0</v>
      </c>
      <c r="J876" t="s">
        <v>22</v>
      </c>
    </row>
    <row r="877" spans="1:10" x14ac:dyDescent="0.25">
      <c r="A877" s="1">
        <v>94</v>
      </c>
      <c r="B877" t="s">
        <v>19</v>
      </c>
      <c r="C877">
        <v>706</v>
      </c>
      <c r="D877">
        <v>2</v>
      </c>
      <c r="E877" t="s">
        <v>23</v>
      </c>
      <c r="F877" t="s">
        <v>46</v>
      </c>
      <c r="G877" t="str">
        <f>"2025-12-17 16:47:10.957"</f>
        <v>2025-12-17 16:47:10.957</v>
      </c>
      <c r="H877" t="s">
        <v>21</v>
      </c>
      <c r="I877">
        <v>0</v>
      </c>
      <c r="J877" t="s">
        <v>25</v>
      </c>
    </row>
    <row r="878" spans="1:10" x14ac:dyDescent="0.25">
      <c r="A878" s="1">
        <v>95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"2025-12-17 16:34:48.177"</f>
        <v>2025-12-17 16:34:48.177</v>
      </c>
      <c r="H878" t="s">
        <v>21</v>
      </c>
      <c r="I878">
        <v>0</v>
      </c>
      <c r="J878" t="s">
        <v>22</v>
      </c>
    </row>
    <row r="879" spans="1:10" x14ac:dyDescent="0.25">
      <c r="A879" s="1">
        <v>96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"2025-12-17 14:54:54.187"</f>
        <v>2025-12-17 14:54:54.187</v>
      </c>
      <c r="H879" t="s">
        <v>21</v>
      </c>
      <c r="I879">
        <v>0</v>
      </c>
      <c r="J879" t="s">
        <v>22</v>
      </c>
    </row>
    <row r="880" spans="1:10" x14ac:dyDescent="0.25">
      <c r="A880" s="1">
        <v>97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"2025-12-16 13:47:28.160"</f>
        <v>2025-12-16 13:47:28.160</v>
      </c>
      <c r="H880" t="s">
        <v>21</v>
      </c>
      <c r="I880">
        <v>0</v>
      </c>
      <c r="J880" t="s">
        <v>22</v>
      </c>
    </row>
    <row r="881" spans="1:10" x14ac:dyDescent="0.25">
      <c r="A881" s="1">
        <v>98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"2025-12-16 11:08:10.160"</f>
        <v>2025-12-16 11:08:10.160</v>
      </c>
      <c r="H881" t="s">
        <v>21</v>
      </c>
      <c r="I881">
        <v>0</v>
      </c>
      <c r="J881" t="s">
        <v>22</v>
      </c>
    </row>
    <row r="882" spans="1:10" x14ac:dyDescent="0.25">
      <c r="A882" s="1">
        <v>99</v>
      </c>
      <c r="B882" t="s">
        <v>19</v>
      </c>
      <c r="C882">
        <v>706</v>
      </c>
      <c r="D882">
        <v>2</v>
      </c>
      <c r="E882" t="s">
        <v>23</v>
      </c>
      <c r="F882" t="s">
        <v>46</v>
      </c>
      <c r="G882" t="str">
        <f>"2025-12-15 22:47:46.442"</f>
        <v>2025-12-15 22:47:46.442</v>
      </c>
      <c r="H882" t="s">
        <v>21</v>
      </c>
      <c r="I882">
        <v>0</v>
      </c>
      <c r="J882" t="s">
        <v>25</v>
      </c>
    </row>
    <row r="883" spans="1:10" x14ac:dyDescent="0.25">
      <c r="A883" s="1">
        <v>0</v>
      </c>
      <c r="B883" t="s">
        <v>26</v>
      </c>
      <c r="C883">
        <v>98</v>
      </c>
      <c r="D883">
        <v>1</v>
      </c>
      <c r="E883" t="s">
        <v>36</v>
      </c>
      <c r="F883" t="s">
        <v>37</v>
      </c>
      <c r="G883" t="str">
        <f>"2025-12-15 22:38:13.078"</f>
        <v>2025-12-15 22:38:13.078</v>
      </c>
      <c r="H883" t="s">
        <v>21</v>
      </c>
    </row>
    <row r="884" spans="1:10" x14ac:dyDescent="0.25">
      <c r="A884" s="1">
        <v>1</v>
      </c>
      <c r="B884" t="s">
        <v>29</v>
      </c>
      <c r="C884">
        <v>98</v>
      </c>
      <c r="D884">
        <v>1</v>
      </c>
      <c r="E884" t="s">
        <v>36</v>
      </c>
      <c r="F884" t="s">
        <v>37</v>
      </c>
      <c r="G884" t="str">
        <f>"2025-12-15 22:38:12.078"</f>
        <v>2025-12-15 22:38:12.078</v>
      </c>
      <c r="H884" t="s">
        <v>21</v>
      </c>
      <c r="I884">
        <v>0</v>
      </c>
      <c r="J884" t="s">
        <v>25</v>
      </c>
    </row>
    <row r="885" spans="1:10" x14ac:dyDescent="0.25">
      <c r="A885" s="1">
        <v>2</v>
      </c>
      <c r="B885" t="s">
        <v>26</v>
      </c>
      <c r="C885">
        <v>98</v>
      </c>
      <c r="D885">
        <v>1</v>
      </c>
      <c r="E885" t="s">
        <v>36</v>
      </c>
      <c r="F885" t="s">
        <v>37</v>
      </c>
      <c r="G885" t="str">
        <f>"2025-12-15 22:38:10.078"</f>
        <v>2025-12-15 22:38:10.078</v>
      </c>
      <c r="H885" t="s">
        <v>21</v>
      </c>
    </row>
    <row r="886" spans="1:10" x14ac:dyDescent="0.25">
      <c r="A886" s="1">
        <v>3</v>
      </c>
      <c r="B886" t="s">
        <v>29</v>
      </c>
      <c r="C886">
        <v>98</v>
      </c>
      <c r="D886">
        <v>1</v>
      </c>
      <c r="E886" t="s">
        <v>36</v>
      </c>
      <c r="F886" t="s">
        <v>37</v>
      </c>
      <c r="G886" t="str">
        <f>"2025-12-15 22:38:08.679"</f>
        <v>2025-12-15 22:38:08.679</v>
      </c>
      <c r="H886" t="s">
        <v>21</v>
      </c>
      <c r="I886">
        <v>0</v>
      </c>
      <c r="J886" t="s">
        <v>25</v>
      </c>
    </row>
    <row r="887" spans="1:10" x14ac:dyDescent="0.25">
      <c r="A887" s="1">
        <v>4</v>
      </c>
      <c r="B887" t="s">
        <v>19</v>
      </c>
      <c r="C887">
        <v>706</v>
      </c>
      <c r="D887">
        <v>3</v>
      </c>
      <c r="E887" t="s">
        <v>23</v>
      </c>
      <c r="F887" t="s">
        <v>35</v>
      </c>
      <c r="G887" t="str">
        <f>"2025-12-15 22:30:35.022"</f>
        <v>2025-12-15 22:30:35.022</v>
      </c>
      <c r="H887" t="s">
        <v>21</v>
      </c>
      <c r="I887">
        <v>0</v>
      </c>
      <c r="J887" t="s">
        <v>25</v>
      </c>
    </row>
    <row r="888" spans="1:10" x14ac:dyDescent="0.25">
      <c r="A888" s="1">
        <v>5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"2025-12-15 20:41:13.092"</f>
        <v>2025-12-15 20:41:13.092</v>
      </c>
      <c r="H888" t="s">
        <v>21</v>
      </c>
      <c r="I888">
        <v>0</v>
      </c>
      <c r="J888" t="s">
        <v>22</v>
      </c>
    </row>
    <row r="889" spans="1:10" x14ac:dyDescent="0.25">
      <c r="A889" s="1">
        <v>6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"2025-12-15 09:32:46.089"</f>
        <v>2025-12-15 09:32:46.089</v>
      </c>
      <c r="H889" t="s">
        <v>21</v>
      </c>
    </row>
    <row r="890" spans="1:10" x14ac:dyDescent="0.25">
      <c r="A890" s="1">
        <v>7</v>
      </c>
      <c r="B890" t="s">
        <v>19</v>
      </c>
      <c r="C890">
        <v>700</v>
      </c>
      <c r="D890">
        <v>0</v>
      </c>
      <c r="E890" t="s">
        <v>20</v>
      </c>
      <c r="F890" t="s">
        <v>20</v>
      </c>
      <c r="G890" t="str">
        <f>"2025-12-15 08:27:06.084"</f>
        <v>2025-12-15 08:27:06.084</v>
      </c>
      <c r="H890" t="s">
        <v>21</v>
      </c>
    </row>
    <row r="891" spans="1:10" x14ac:dyDescent="0.25">
      <c r="A891" s="1">
        <v>8</v>
      </c>
      <c r="B891" t="s">
        <v>19</v>
      </c>
      <c r="C891">
        <v>706</v>
      </c>
      <c r="D891">
        <v>2</v>
      </c>
      <c r="E891" t="s">
        <v>23</v>
      </c>
      <c r="F891" t="s">
        <v>46</v>
      </c>
      <c r="G891" t="str">
        <f>"2025-12-15 08:06:36.148"</f>
        <v>2025-12-15 08:06:36.148</v>
      </c>
      <c r="H891" t="s">
        <v>21</v>
      </c>
      <c r="I891">
        <v>0</v>
      </c>
      <c r="J891" t="s">
        <v>25</v>
      </c>
    </row>
    <row r="892" spans="1:10" x14ac:dyDescent="0.25">
      <c r="A892" s="1">
        <v>9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"2025-12-15 08:06:20.078"</f>
        <v>2025-12-15 08:06:20.078</v>
      </c>
      <c r="H892" t="s">
        <v>21</v>
      </c>
    </row>
    <row r="893" spans="1:10" x14ac:dyDescent="0.25">
      <c r="A893" s="1">
        <v>10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"2025-12-14 10:34:00.071"</f>
        <v>2025-12-14 10:34:00.071</v>
      </c>
      <c r="H893" t="s">
        <v>21</v>
      </c>
    </row>
    <row r="894" spans="1:10" x14ac:dyDescent="0.25">
      <c r="A894" s="1">
        <v>11</v>
      </c>
      <c r="B894" t="s">
        <v>19</v>
      </c>
      <c r="C894">
        <v>706</v>
      </c>
      <c r="D894">
        <v>4</v>
      </c>
      <c r="E894" t="s">
        <v>23</v>
      </c>
      <c r="F894" t="s">
        <v>24</v>
      </c>
      <c r="G894" t="str">
        <f>"2025-12-14 09:10:52.262"</f>
        <v>2025-12-14 09:10:52.262</v>
      </c>
      <c r="H894" t="s">
        <v>21</v>
      </c>
      <c r="I894">
        <v>0</v>
      </c>
      <c r="J894" t="s">
        <v>25</v>
      </c>
    </row>
    <row r="895" spans="1:10" x14ac:dyDescent="0.25">
      <c r="A895" s="1">
        <v>12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"2025-12-14 09:07:30.092"</f>
        <v>2025-12-14 09:07:30.092</v>
      </c>
      <c r="H895" t="s">
        <v>21</v>
      </c>
    </row>
    <row r="896" spans="1:10" x14ac:dyDescent="0.25">
      <c r="A896" s="1">
        <v>13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"2025-12-14 03:26:47.094"</f>
        <v>2025-12-14 03:26:47.094</v>
      </c>
      <c r="H896" t="s">
        <v>21</v>
      </c>
      <c r="I896">
        <v>0</v>
      </c>
      <c r="J896" t="s">
        <v>22</v>
      </c>
    </row>
    <row r="897" spans="1:10" x14ac:dyDescent="0.25">
      <c r="A897" s="1">
        <v>14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"2025-12-11 15:37:15.083"</f>
        <v>2025-12-11 15:37:15.083</v>
      </c>
      <c r="H897" t="s">
        <v>21</v>
      </c>
    </row>
    <row r="898" spans="1:10" x14ac:dyDescent="0.25">
      <c r="A898" s="1">
        <v>15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"2025-12-11 14:31:33.083"</f>
        <v>2025-12-11 14:31:33.083</v>
      </c>
      <c r="H898" t="s">
        <v>21</v>
      </c>
      <c r="I898">
        <v>0</v>
      </c>
      <c r="J898" t="s">
        <v>22</v>
      </c>
    </row>
    <row r="899" spans="1:10" x14ac:dyDescent="0.25">
      <c r="A899" s="1">
        <v>16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"2025-12-11 11:36:06.085"</f>
        <v>2025-12-11 11:36:06.085</v>
      </c>
      <c r="H899" t="s">
        <v>21</v>
      </c>
      <c r="I899">
        <v>0</v>
      </c>
      <c r="J899" t="s">
        <v>22</v>
      </c>
    </row>
    <row r="900" spans="1:10" x14ac:dyDescent="0.25">
      <c r="A900" s="1">
        <v>17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"2025-12-11 11:20:19.084"</f>
        <v>2025-12-11 11:20:19.084</v>
      </c>
      <c r="H900" t="s">
        <v>21</v>
      </c>
      <c r="I900">
        <v>0</v>
      </c>
      <c r="J900" t="s">
        <v>22</v>
      </c>
    </row>
    <row r="901" spans="1:10" x14ac:dyDescent="0.25">
      <c r="A901" s="1">
        <v>18</v>
      </c>
      <c r="B901" t="s">
        <v>19</v>
      </c>
      <c r="C901">
        <v>706</v>
      </c>
      <c r="D901">
        <v>2</v>
      </c>
      <c r="E901" t="s">
        <v>23</v>
      </c>
      <c r="F901" t="s">
        <v>46</v>
      </c>
      <c r="G901" t="str">
        <f>"2025-12-11 11:05:18.755"</f>
        <v>2025-12-11 11:05:18.755</v>
      </c>
      <c r="H901" t="s">
        <v>21</v>
      </c>
      <c r="I901">
        <v>0</v>
      </c>
      <c r="J901" t="s">
        <v>25</v>
      </c>
    </row>
    <row r="902" spans="1:10" x14ac:dyDescent="0.25">
      <c r="A902" s="1">
        <v>19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"2025-12-11 10:59:50.075"</f>
        <v>2025-12-11 10:59:50.075</v>
      </c>
      <c r="H902" t="s">
        <v>21</v>
      </c>
      <c r="I902">
        <v>0</v>
      </c>
      <c r="J902" t="s">
        <v>22</v>
      </c>
    </row>
    <row r="903" spans="1:10" x14ac:dyDescent="0.25">
      <c r="A903" s="1">
        <v>20</v>
      </c>
      <c r="B903" t="s">
        <v>19</v>
      </c>
      <c r="C903">
        <v>706</v>
      </c>
      <c r="D903">
        <v>2</v>
      </c>
      <c r="E903" t="s">
        <v>23</v>
      </c>
      <c r="F903" t="s">
        <v>46</v>
      </c>
      <c r="G903" t="str">
        <f>"2025-12-11 09:19:34.635"</f>
        <v>2025-12-11 09:19:34.635</v>
      </c>
      <c r="H903" t="s">
        <v>21</v>
      </c>
      <c r="I903">
        <v>0</v>
      </c>
      <c r="J903" t="s">
        <v>25</v>
      </c>
    </row>
    <row r="904" spans="1:10" x14ac:dyDescent="0.25">
      <c r="A904" s="1">
        <v>21</v>
      </c>
      <c r="B904" t="s">
        <v>19</v>
      </c>
      <c r="C904">
        <v>706</v>
      </c>
      <c r="D904">
        <v>2</v>
      </c>
      <c r="E904" t="s">
        <v>23</v>
      </c>
      <c r="F904" t="s">
        <v>46</v>
      </c>
      <c r="G904" t="str">
        <f>"2025-12-11 09:18:51.835"</f>
        <v>2025-12-11 09:18:51.835</v>
      </c>
      <c r="H904" t="s">
        <v>21</v>
      </c>
      <c r="I904">
        <v>0</v>
      </c>
      <c r="J904" t="s">
        <v>25</v>
      </c>
    </row>
    <row r="905" spans="1:10" x14ac:dyDescent="0.25">
      <c r="A905" s="1">
        <v>22</v>
      </c>
      <c r="B905" t="s">
        <v>19</v>
      </c>
      <c r="C905">
        <v>706</v>
      </c>
      <c r="D905">
        <v>4</v>
      </c>
      <c r="E905" t="s">
        <v>23</v>
      </c>
      <c r="F905" t="s">
        <v>24</v>
      </c>
      <c r="G905" t="str">
        <f>"2025-12-11 09:12:39.785"</f>
        <v>2025-12-11 09:12:39.785</v>
      </c>
      <c r="H905" t="s">
        <v>21</v>
      </c>
      <c r="I905">
        <v>0</v>
      </c>
      <c r="J905" t="s">
        <v>25</v>
      </c>
    </row>
    <row r="906" spans="1:10" x14ac:dyDescent="0.25">
      <c r="A906" s="1">
        <v>23</v>
      </c>
      <c r="B906" t="s">
        <v>19</v>
      </c>
      <c r="C906">
        <v>706</v>
      </c>
      <c r="D906">
        <v>4</v>
      </c>
      <c r="E906" t="s">
        <v>23</v>
      </c>
      <c r="F906" t="s">
        <v>24</v>
      </c>
      <c r="G906" t="str">
        <f>"2025-12-11 09:03:58.215"</f>
        <v>2025-12-11 09:03:58.215</v>
      </c>
      <c r="H906" t="s">
        <v>21</v>
      </c>
      <c r="I906">
        <v>0</v>
      </c>
      <c r="J906" t="s">
        <v>25</v>
      </c>
    </row>
    <row r="907" spans="1:10" x14ac:dyDescent="0.25">
      <c r="A907" s="1">
        <v>24</v>
      </c>
      <c r="B907" t="s">
        <v>19</v>
      </c>
      <c r="C907">
        <v>706</v>
      </c>
      <c r="D907">
        <v>4</v>
      </c>
      <c r="E907" t="s">
        <v>23</v>
      </c>
      <c r="F907" t="s">
        <v>24</v>
      </c>
      <c r="G907" t="str">
        <f>"2025-12-11 08:56:02.625"</f>
        <v>2025-12-11 08:56:02.625</v>
      </c>
      <c r="H907" t="s">
        <v>21</v>
      </c>
      <c r="I907">
        <v>0</v>
      </c>
      <c r="J907" t="s">
        <v>25</v>
      </c>
    </row>
    <row r="908" spans="1:10" x14ac:dyDescent="0.25">
      <c r="A908" s="1">
        <v>25</v>
      </c>
      <c r="B908" t="s">
        <v>19</v>
      </c>
      <c r="C908">
        <v>706</v>
      </c>
      <c r="D908">
        <v>2</v>
      </c>
      <c r="E908" t="s">
        <v>23</v>
      </c>
      <c r="F908" t="s">
        <v>46</v>
      </c>
      <c r="G908" t="str">
        <f>"2025-12-11 08:46:45.335"</f>
        <v>2025-12-11 08:46:45.335</v>
      </c>
      <c r="H908" t="s">
        <v>21</v>
      </c>
      <c r="I908">
        <v>0</v>
      </c>
      <c r="J908" t="s">
        <v>25</v>
      </c>
    </row>
    <row r="909" spans="1:10" x14ac:dyDescent="0.25">
      <c r="A909" s="1">
        <v>26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"2025-12-11 08:40:29.065"</f>
        <v>2025-12-11 08:40:29.065</v>
      </c>
      <c r="H909" t="s">
        <v>21</v>
      </c>
      <c r="I909">
        <v>0</v>
      </c>
      <c r="J909" t="s">
        <v>22</v>
      </c>
    </row>
    <row r="910" spans="1:10" x14ac:dyDescent="0.25">
      <c r="A910" s="1">
        <v>27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"2025-12-10 16:29:11.078"</f>
        <v>2025-12-10 16:29:11.078</v>
      </c>
      <c r="H910" t="s">
        <v>21</v>
      </c>
      <c r="I910">
        <v>0</v>
      </c>
      <c r="J910" t="s">
        <v>22</v>
      </c>
    </row>
    <row r="911" spans="1:10" x14ac:dyDescent="0.25">
      <c r="A911" s="1">
        <v>28</v>
      </c>
      <c r="B911" t="s">
        <v>19</v>
      </c>
      <c r="C911">
        <v>706</v>
      </c>
      <c r="D911">
        <v>4</v>
      </c>
      <c r="E911" t="s">
        <v>23</v>
      </c>
      <c r="F911" t="s">
        <v>24</v>
      </c>
      <c r="G911" t="str">
        <f>"2025-12-10 16:21:23.449"</f>
        <v>2025-12-10 16:21:23.449</v>
      </c>
      <c r="H911" t="s">
        <v>21</v>
      </c>
      <c r="I911">
        <v>0</v>
      </c>
      <c r="J911" t="s">
        <v>25</v>
      </c>
    </row>
    <row r="912" spans="1:10" x14ac:dyDescent="0.25">
      <c r="A912" s="1">
        <v>29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"2025-12-10 16:15:11.079"</f>
        <v>2025-12-10 16:15:11.079</v>
      </c>
      <c r="H912" t="s">
        <v>21</v>
      </c>
      <c r="I912">
        <v>0</v>
      </c>
      <c r="J912" t="s">
        <v>22</v>
      </c>
    </row>
    <row r="913" spans="1:10" x14ac:dyDescent="0.25">
      <c r="A913" s="1">
        <v>30</v>
      </c>
      <c r="B913" t="s">
        <v>19</v>
      </c>
      <c r="C913">
        <v>706</v>
      </c>
      <c r="D913">
        <v>4</v>
      </c>
      <c r="E913" t="s">
        <v>23</v>
      </c>
      <c r="F913" t="s">
        <v>24</v>
      </c>
      <c r="G913" t="str">
        <f>"2025-12-10 16:10:27.951"</f>
        <v>2025-12-10 16:10:27.951</v>
      </c>
      <c r="H913" t="s">
        <v>21</v>
      </c>
      <c r="I913">
        <v>0</v>
      </c>
      <c r="J913" t="s">
        <v>25</v>
      </c>
    </row>
    <row r="914" spans="1:10" x14ac:dyDescent="0.25">
      <c r="A914" s="1">
        <v>31</v>
      </c>
      <c r="B914" t="s">
        <v>19</v>
      </c>
      <c r="C914">
        <v>706</v>
      </c>
      <c r="D914">
        <v>2</v>
      </c>
      <c r="E914" t="s">
        <v>23</v>
      </c>
      <c r="F914" t="s">
        <v>46</v>
      </c>
      <c r="G914" t="str">
        <f>"2025-12-10 15:38:22.741"</f>
        <v>2025-12-10 15:38:22.741</v>
      </c>
      <c r="H914" t="s">
        <v>21</v>
      </c>
      <c r="I914">
        <v>0</v>
      </c>
      <c r="J914" t="s">
        <v>25</v>
      </c>
    </row>
    <row r="915" spans="1:10" x14ac:dyDescent="0.25">
      <c r="A915" s="1">
        <v>32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"2025-12-10 15:28:48.071"</f>
        <v>2025-12-10 15:28:48.071</v>
      </c>
      <c r="H915" t="s">
        <v>21</v>
      </c>
      <c r="I915">
        <v>0</v>
      </c>
      <c r="J915" t="s">
        <v>22</v>
      </c>
    </row>
    <row r="916" spans="1:10" x14ac:dyDescent="0.25">
      <c r="A916" s="1">
        <v>33</v>
      </c>
      <c r="B916" t="s">
        <v>19</v>
      </c>
      <c r="C916">
        <v>706</v>
      </c>
      <c r="D916">
        <v>4</v>
      </c>
      <c r="E916" t="s">
        <v>23</v>
      </c>
      <c r="F916" t="s">
        <v>24</v>
      </c>
      <c r="G916" t="str">
        <f>"2025-12-10 15:23:39.253"</f>
        <v>2025-12-10 15:23:39.253</v>
      </c>
      <c r="H916" t="s">
        <v>21</v>
      </c>
      <c r="I916">
        <v>0</v>
      </c>
      <c r="J916" t="s">
        <v>25</v>
      </c>
    </row>
    <row r="917" spans="1:10" x14ac:dyDescent="0.25">
      <c r="A917" s="1">
        <v>34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"2025-12-10 15:21:11.063"</f>
        <v>2025-12-10 15:21:11.063</v>
      </c>
      <c r="H917" t="s">
        <v>21</v>
      </c>
    </row>
    <row r="918" spans="1:10" x14ac:dyDescent="0.25">
      <c r="A918" s="1">
        <v>35</v>
      </c>
      <c r="B918" t="s">
        <v>19</v>
      </c>
      <c r="C918">
        <v>706</v>
      </c>
      <c r="D918">
        <v>4</v>
      </c>
      <c r="E918" t="s">
        <v>23</v>
      </c>
      <c r="F918" t="s">
        <v>24</v>
      </c>
      <c r="G918" t="str">
        <f>"2025-12-10 15:15:32.236"</f>
        <v>2025-12-10 15:15:32.236</v>
      </c>
      <c r="H918" t="s">
        <v>21</v>
      </c>
      <c r="I918">
        <v>0</v>
      </c>
      <c r="J918" t="s">
        <v>25</v>
      </c>
    </row>
    <row r="919" spans="1:10" x14ac:dyDescent="0.25">
      <c r="A919" s="1">
        <v>36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"2025-12-10 15:04:02.046"</f>
        <v>2025-12-10 15:04:02.046</v>
      </c>
      <c r="H919" t="s">
        <v>21</v>
      </c>
    </row>
    <row r="920" spans="1:10" x14ac:dyDescent="0.25">
      <c r="A920" s="1">
        <v>37</v>
      </c>
      <c r="B920" t="s">
        <v>19</v>
      </c>
      <c r="C920">
        <v>706</v>
      </c>
      <c r="D920">
        <v>2</v>
      </c>
      <c r="E920" t="s">
        <v>23</v>
      </c>
      <c r="F920" t="s">
        <v>46</v>
      </c>
      <c r="G920" t="str">
        <f>"2025-12-10 14:25:43.532"</f>
        <v>2025-12-10 14:25:43.532</v>
      </c>
      <c r="H920" t="s">
        <v>21</v>
      </c>
      <c r="I920">
        <v>0</v>
      </c>
      <c r="J920" t="s">
        <v>25</v>
      </c>
    </row>
    <row r="921" spans="1:10" x14ac:dyDescent="0.25">
      <c r="A921" s="1">
        <v>38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"2025-12-10 14:25:00.062"</f>
        <v>2025-12-10 14:25:00.062</v>
      </c>
      <c r="H921" t="s">
        <v>21</v>
      </c>
      <c r="I921">
        <v>0</v>
      </c>
      <c r="J921" t="s">
        <v>22</v>
      </c>
    </row>
    <row r="922" spans="1:10" x14ac:dyDescent="0.25">
      <c r="A922" s="1">
        <v>39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"2025-12-10 11:15:32.052"</f>
        <v>2025-12-10 11:15:32.052</v>
      </c>
      <c r="H922" t="s">
        <v>21</v>
      </c>
    </row>
    <row r="923" spans="1:10" x14ac:dyDescent="0.25">
      <c r="A923" s="1">
        <v>40</v>
      </c>
      <c r="B923" t="s">
        <v>19</v>
      </c>
      <c r="C923">
        <v>706</v>
      </c>
      <c r="D923">
        <v>4</v>
      </c>
      <c r="E923" t="s">
        <v>23</v>
      </c>
      <c r="F923" t="s">
        <v>24</v>
      </c>
      <c r="G923" t="str">
        <f>"2025-12-10 10:31:20.278"</f>
        <v>2025-12-10 10:31:20.278</v>
      </c>
      <c r="H923" t="s">
        <v>21</v>
      </c>
      <c r="I923">
        <v>0</v>
      </c>
      <c r="J923" t="s">
        <v>25</v>
      </c>
    </row>
    <row r="924" spans="1:10" x14ac:dyDescent="0.25">
      <c r="A924" s="1">
        <v>41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"2025-12-10 10:30:16.058"</f>
        <v>2025-12-10 10:30:16.058</v>
      </c>
      <c r="H924" t="s">
        <v>21</v>
      </c>
      <c r="I924">
        <v>0</v>
      </c>
      <c r="J924" t="s">
        <v>22</v>
      </c>
    </row>
    <row r="925" spans="1:10" x14ac:dyDescent="0.25">
      <c r="A925" s="1">
        <v>42</v>
      </c>
      <c r="B925" t="s">
        <v>19</v>
      </c>
      <c r="C925">
        <v>706</v>
      </c>
      <c r="D925">
        <v>4</v>
      </c>
      <c r="E925" t="s">
        <v>23</v>
      </c>
      <c r="F925" t="s">
        <v>24</v>
      </c>
      <c r="G925" t="str">
        <f>"2025-12-10 10:19:42.814"</f>
        <v>2025-12-10 10:19:42.814</v>
      </c>
      <c r="H925" t="s">
        <v>21</v>
      </c>
      <c r="I925">
        <v>0</v>
      </c>
      <c r="J925" t="s">
        <v>25</v>
      </c>
    </row>
    <row r="926" spans="1:10" x14ac:dyDescent="0.25">
      <c r="A926" s="1">
        <v>43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"2025-12-10 09:54:07.054"</f>
        <v>2025-12-10 09:54:07.054</v>
      </c>
      <c r="H926" t="s">
        <v>21</v>
      </c>
    </row>
    <row r="927" spans="1:10" x14ac:dyDescent="0.25">
      <c r="A927" s="1">
        <v>44</v>
      </c>
      <c r="B927" t="s">
        <v>19</v>
      </c>
      <c r="C927">
        <v>706</v>
      </c>
      <c r="D927">
        <v>2</v>
      </c>
      <c r="E927" t="s">
        <v>23</v>
      </c>
      <c r="F927" t="s">
        <v>46</v>
      </c>
      <c r="G927" t="str">
        <f>"2025-12-09 17:55:35.154"</f>
        <v>2025-12-09 17:55:35.154</v>
      </c>
      <c r="H927" t="s">
        <v>21</v>
      </c>
      <c r="I927">
        <v>0</v>
      </c>
      <c r="J927" t="s">
        <v>25</v>
      </c>
    </row>
    <row r="928" spans="1:10" x14ac:dyDescent="0.25">
      <c r="A928" s="1">
        <v>45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"2025-12-09 17:54:37.064"</f>
        <v>2025-12-09 17:54:37.064</v>
      </c>
      <c r="H928" t="s">
        <v>21</v>
      </c>
    </row>
    <row r="929" spans="1:10" x14ac:dyDescent="0.25">
      <c r="A929" s="1">
        <v>46</v>
      </c>
      <c r="B929" t="s">
        <v>19</v>
      </c>
      <c r="C929">
        <v>706</v>
      </c>
      <c r="D929">
        <v>2</v>
      </c>
      <c r="E929" t="s">
        <v>23</v>
      </c>
      <c r="F929" t="s">
        <v>46</v>
      </c>
      <c r="G929" t="str">
        <f>"2025-12-09 16:41:56.033"</f>
        <v>2025-12-09 16:41:56.033</v>
      </c>
      <c r="H929" t="s">
        <v>21</v>
      </c>
      <c r="I929">
        <v>0</v>
      </c>
      <c r="J929" t="s">
        <v>25</v>
      </c>
    </row>
    <row r="930" spans="1:10" x14ac:dyDescent="0.25">
      <c r="A930" s="1">
        <v>47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"2025-12-09 15:50:52.063"</f>
        <v>2025-12-09 15:50:52.063</v>
      </c>
      <c r="H930" t="s">
        <v>21</v>
      </c>
      <c r="I930">
        <v>0</v>
      </c>
      <c r="J930" t="s">
        <v>22</v>
      </c>
    </row>
    <row r="931" spans="1:10" x14ac:dyDescent="0.25">
      <c r="A931" s="1">
        <v>48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"2025-12-09 15:45:20.047"</f>
        <v>2025-12-09 15:45:20.047</v>
      </c>
      <c r="H931" t="s">
        <v>21</v>
      </c>
      <c r="I931">
        <v>0</v>
      </c>
      <c r="J931" t="s">
        <v>22</v>
      </c>
    </row>
    <row r="932" spans="1:10" x14ac:dyDescent="0.25">
      <c r="A932" s="1">
        <v>49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"2025-12-09 15:06:36.050"</f>
        <v>2025-12-09 15:06:36.050</v>
      </c>
      <c r="H932" t="s">
        <v>21</v>
      </c>
    </row>
    <row r="933" spans="1:10" x14ac:dyDescent="0.25">
      <c r="A933" s="1">
        <v>50</v>
      </c>
      <c r="B933" t="s">
        <v>19</v>
      </c>
      <c r="C933">
        <v>706</v>
      </c>
      <c r="D933">
        <v>2</v>
      </c>
      <c r="E933" t="s">
        <v>23</v>
      </c>
      <c r="F933" t="s">
        <v>46</v>
      </c>
      <c r="G933" t="str">
        <f>"2025-12-09 14:17:26.739"</f>
        <v>2025-12-09 14:17:26.739</v>
      </c>
      <c r="H933" t="s">
        <v>21</v>
      </c>
      <c r="I933">
        <v>0</v>
      </c>
      <c r="J933" t="s">
        <v>25</v>
      </c>
    </row>
    <row r="934" spans="1:10" x14ac:dyDescent="0.25">
      <c r="A934" s="1">
        <v>51</v>
      </c>
      <c r="B934" t="s">
        <v>19</v>
      </c>
      <c r="C934">
        <v>700</v>
      </c>
      <c r="D934">
        <v>0</v>
      </c>
      <c r="E934" t="s">
        <v>20</v>
      </c>
      <c r="F934" t="s">
        <v>20</v>
      </c>
      <c r="G934" t="str">
        <f>"2025-12-09 14:10:36.039"</f>
        <v>2025-12-09 14:10:36.039</v>
      </c>
      <c r="H934" t="s">
        <v>21</v>
      </c>
    </row>
    <row r="935" spans="1:10" x14ac:dyDescent="0.25">
      <c r="A935" s="1">
        <v>52</v>
      </c>
      <c r="B935" t="s">
        <v>19</v>
      </c>
      <c r="C935">
        <v>706</v>
      </c>
      <c r="D935">
        <v>2</v>
      </c>
      <c r="E935" t="s">
        <v>23</v>
      </c>
      <c r="F935" t="s">
        <v>46</v>
      </c>
      <c r="G935" t="str">
        <f>"2025-12-09 10:41:01.719"</f>
        <v>2025-12-09 10:41:01.719</v>
      </c>
      <c r="H935" t="s">
        <v>21</v>
      </c>
      <c r="I935">
        <v>0</v>
      </c>
      <c r="J935" t="s">
        <v>25</v>
      </c>
    </row>
    <row r="936" spans="1:10" x14ac:dyDescent="0.25">
      <c r="A936" s="1">
        <v>53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"2025-12-09 10:39:07.039"</f>
        <v>2025-12-09 10:39:07.039</v>
      </c>
      <c r="H936" t="s">
        <v>21</v>
      </c>
      <c r="I936">
        <v>0</v>
      </c>
      <c r="J936" t="s">
        <v>22</v>
      </c>
    </row>
    <row r="937" spans="1:10" x14ac:dyDescent="0.25">
      <c r="A937" s="1">
        <v>54</v>
      </c>
      <c r="B937" t="s">
        <v>19</v>
      </c>
      <c r="C937">
        <v>706</v>
      </c>
      <c r="D937">
        <v>4</v>
      </c>
      <c r="E937" t="s">
        <v>23</v>
      </c>
      <c r="F937" t="s">
        <v>24</v>
      </c>
      <c r="G937" t="str">
        <f>"2025-12-08 15:52:19.070"</f>
        <v>2025-12-08 15:52:19.070</v>
      </c>
      <c r="H937" t="s">
        <v>21</v>
      </c>
      <c r="I937">
        <v>0</v>
      </c>
      <c r="J937" t="s">
        <v>25</v>
      </c>
    </row>
    <row r="938" spans="1:10" x14ac:dyDescent="0.25">
      <c r="A938" s="1">
        <v>55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"2025-12-08 15:50:55.020"</f>
        <v>2025-12-08 15:50:55.020</v>
      </c>
      <c r="H938" t="s">
        <v>21</v>
      </c>
      <c r="I938">
        <v>0</v>
      </c>
      <c r="J938" t="s">
        <v>22</v>
      </c>
    </row>
    <row r="939" spans="1:10" x14ac:dyDescent="0.25">
      <c r="A939" s="1">
        <v>56</v>
      </c>
      <c r="B939" t="s">
        <v>26</v>
      </c>
      <c r="C939">
        <v>98</v>
      </c>
      <c r="D939">
        <v>1</v>
      </c>
      <c r="E939" t="s">
        <v>36</v>
      </c>
      <c r="F939" t="s">
        <v>37</v>
      </c>
      <c r="G939" t="str">
        <f>"2025-12-08 15:24:16.207"</f>
        <v>2025-12-08 15:24:16.207</v>
      </c>
      <c r="H939" t="s">
        <v>21</v>
      </c>
    </row>
    <row r="940" spans="1:10" x14ac:dyDescent="0.25">
      <c r="A940" s="1">
        <v>57</v>
      </c>
      <c r="B940" t="s">
        <v>29</v>
      </c>
      <c r="C940">
        <v>98</v>
      </c>
      <c r="D940">
        <v>1</v>
      </c>
      <c r="E940" t="s">
        <v>36</v>
      </c>
      <c r="F940" t="s">
        <v>37</v>
      </c>
      <c r="G940" t="str">
        <f>"2025-12-08 15:24:15.208"</f>
        <v>2025-12-08 15:24:15.208</v>
      </c>
      <c r="H940" t="s">
        <v>21</v>
      </c>
      <c r="I940">
        <v>0</v>
      </c>
      <c r="J940" t="s">
        <v>25</v>
      </c>
    </row>
    <row r="941" spans="1:10" x14ac:dyDescent="0.25">
      <c r="A941" s="1">
        <v>58</v>
      </c>
      <c r="B941" t="s">
        <v>26</v>
      </c>
      <c r="C941">
        <v>98</v>
      </c>
      <c r="D941">
        <v>1</v>
      </c>
      <c r="E941" t="s">
        <v>36</v>
      </c>
      <c r="F941" t="s">
        <v>37</v>
      </c>
      <c r="G941" t="str">
        <f>"2025-12-08 15:22:52.207"</f>
        <v>2025-12-08 15:22:52.207</v>
      </c>
      <c r="H941" t="s">
        <v>21</v>
      </c>
    </row>
    <row r="942" spans="1:10" x14ac:dyDescent="0.25">
      <c r="A942" s="1">
        <v>59</v>
      </c>
      <c r="B942" t="s">
        <v>29</v>
      </c>
      <c r="C942">
        <v>98</v>
      </c>
      <c r="D942">
        <v>1</v>
      </c>
      <c r="E942" t="s">
        <v>36</v>
      </c>
      <c r="F942" t="s">
        <v>37</v>
      </c>
      <c r="G942" t="str">
        <f>"2025-12-08 15:22:51.207"</f>
        <v>2025-12-08 15:22:51.207</v>
      </c>
      <c r="H942" t="s">
        <v>21</v>
      </c>
      <c r="I942">
        <v>0</v>
      </c>
      <c r="J942" t="s">
        <v>25</v>
      </c>
    </row>
    <row r="943" spans="1:10" x14ac:dyDescent="0.25">
      <c r="A943" s="1">
        <v>60</v>
      </c>
      <c r="B943" t="s">
        <v>26</v>
      </c>
      <c r="C943">
        <v>98</v>
      </c>
      <c r="D943">
        <v>1</v>
      </c>
      <c r="E943" t="s">
        <v>36</v>
      </c>
      <c r="F943" t="s">
        <v>37</v>
      </c>
      <c r="G943" t="str">
        <f>"2025-12-08 15:21:19.058"</f>
        <v>2025-12-08 15:21:19.058</v>
      </c>
      <c r="H943" t="s">
        <v>21</v>
      </c>
    </row>
    <row r="944" spans="1:10" x14ac:dyDescent="0.25">
      <c r="A944" s="1">
        <v>61</v>
      </c>
      <c r="B944" t="s">
        <v>29</v>
      </c>
      <c r="C944">
        <v>98</v>
      </c>
      <c r="D944">
        <v>1</v>
      </c>
      <c r="E944" t="s">
        <v>36</v>
      </c>
      <c r="F944" t="s">
        <v>37</v>
      </c>
      <c r="G944" t="str">
        <f>"2025-12-08 15:21:18.058"</f>
        <v>2025-12-08 15:21:18.058</v>
      </c>
      <c r="H944" t="s">
        <v>21</v>
      </c>
      <c r="I944">
        <v>0</v>
      </c>
      <c r="J944" t="s">
        <v>25</v>
      </c>
    </row>
    <row r="945" spans="1:10" x14ac:dyDescent="0.25">
      <c r="A945" s="1">
        <v>62</v>
      </c>
      <c r="B945" t="s">
        <v>26</v>
      </c>
      <c r="C945">
        <v>98</v>
      </c>
      <c r="D945">
        <v>1</v>
      </c>
      <c r="E945" t="s">
        <v>36</v>
      </c>
      <c r="F945" t="s">
        <v>37</v>
      </c>
      <c r="G945" t="str">
        <f>"2025-12-08 15:21:17.257"</f>
        <v>2025-12-08 15:21:17.257</v>
      </c>
      <c r="H945" t="s">
        <v>21</v>
      </c>
    </row>
    <row r="946" spans="1:10" x14ac:dyDescent="0.25">
      <c r="A946" s="1">
        <v>63</v>
      </c>
      <c r="B946" t="s">
        <v>29</v>
      </c>
      <c r="C946">
        <v>98</v>
      </c>
      <c r="D946">
        <v>1</v>
      </c>
      <c r="E946" t="s">
        <v>36</v>
      </c>
      <c r="F946" t="s">
        <v>37</v>
      </c>
      <c r="G946" t="str">
        <f>"2025-12-08 15:21:16.257"</f>
        <v>2025-12-08 15:21:16.257</v>
      </c>
      <c r="H946" t="s">
        <v>21</v>
      </c>
      <c r="I946">
        <v>0</v>
      </c>
      <c r="J946" t="s">
        <v>25</v>
      </c>
    </row>
    <row r="947" spans="1:10" x14ac:dyDescent="0.25">
      <c r="A947" s="1">
        <v>64</v>
      </c>
      <c r="B947" t="s">
        <v>26</v>
      </c>
      <c r="C947">
        <v>98</v>
      </c>
      <c r="D947">
        <v>1</v>
      </c>
      <c r="E947" t="s">
        <v>36</v>
      </c>
      <c r="F947" t="s">
        <v>37</v>
      </c>
      <c r="G947" t="str">
        <f>"2025-12-08 15:21:16.057"</f>
        <v>2025-12-08 15:21:16.057</v>
      </c>
      <c r="H947" t="s">
        <v>21</v>
      </c>
    </row>
    <row r="948" spans="1:10" x14ac:dyDescent="0.25">
      <c r="A948" s="1">
        <v>65</v>
      </c>
      <c r="B948" t="s">
        <v>29</v>
      </c>
      <c r="C948">
        <v>98</v>
      </c>
      <c r="D948">
        <v>1</v>
      </c>
      <c r="E948" t="s">
        <v>36</v>
      </c>
      <c r="F948" t="s">
        <v>37</v>
      </c>
      <c r="G948" t="str">
        <f>"2025-12-08 15:21:15.057"</f>
        <v>2025-12-08 15:21:15.057</v>
      </c>
      <c r="H948" t="s">
        <v>21</v>
      </c>
      <c r="I948">
        <v>0</v>
      </c>
      <c r="J948" t="s">
        <v>25</v>
      </c>
    </row>
    <row r="949" spans="1:10" x14ac:dyDescent="0.25">
      <c r="A949" s="1">
        <v>66</v>
      </c>
      <c r="B949" t="s">
        <v>26</v>
      </c>
      <c r="C949">
        <v>98</v>
      </c>
      <c r="D949">
        <v>1</v>
      </c>
      <c r="E949" t="s">
        <v>36</v>
      </c>
      <c r="F949" t="s">
        <v>37</v>
      </c>
      <c r="G949" t="str">
        <f>"2025-12-08 15:18:07.657"</f>
        <v>2025-12-08 15:18:07.657</v>
      </c>
      <c r="H949" t="s">
        <v>21</v>
      </c>
    </row>
    <row r="950" spans="1:10" x14ac:dyDescent="0.25">
      <c r="A950" s="1">
        <v>67</v>
      </c>
      <c r="B950" t="s">
        <v>29</v>
      </c>
      <c r="C950">
        <v>98</v>
      </c>
      <c r="D950">
        <v>1</v>
      </c>
      <c r="E950" t="s">
        <v>36</v>
      </c>
      <c r="F950" t="s">
        <v>37</v>
      </c>
      <c r="G950" t="str">
        <f>"2025-12-08 15:18:06.658"</f>
        <v>2025-12-08 15:18:06.658</v>
      </c>
      <c r="H950" t="s">
        <v>21</v>
      </c>
      <c r="I950">
        <v>0</v>
      </c>
      <c r="J950" t="s">
        <v>25</v>
      </c>
    </row>
    <row r="951" spans="1:10" x14ac:dyDescent="0.25">
      <c r="A951" s="1">
        <v>70</v>
      </c>
      <c r="B951" t="s">
        <v>19</v>
      </c>
      <c r="C951">
        <v>782</v>
      </c>
      <c r="D951">
        <v>7</v>
      </c>
      <c r="E951" t="s">
        <v>52</v>
      </c>
      <c r="F951" t="s">
        <v>53</v>
      </c>
      <c r="G951" t="str">
        <f>"2025-12-08 15:10:46.010"</f>
        <v>2025-12-08 15:10:46.010</v>
      </c>
      <c r="H951" t="s">
        <v>21</v>
      </c>
      <c r="I951">
        <v>0</v>
      </c>
      <c r="J951" t="s">
        <v>25</v>
      </c>
    </row>
    <row r="952" spans="1:10" x14ac:dyDescent="0.25">
      <c r="A952" s="1">
        <v>73</v>
      </c>
      <c r="B952" t="s">
        <v>26</v>
      </c>
      <c r="C952">
        <v>12</v>
      </c>
      <c r="D952">
        <v>2</v>
      </c>
      <c r="E952" t="s">
        <v>54</v>
      </c>
      <c r="F952" t="s">
        <v>55</v>
      </c>
      <c r="G952" t="str">
        <f>"2025-12-08 15:10:46.006"</f>
        <v>2025-12-08 15:10:46.006</v>
      </c>
      <c r="H952" t="s">
        <v>21</v>
      </c>
    </row>
    <row r="953" spans="1:10" x14ac:dyDescent="0.25">
      <c r="A953" s="1">
        <v>74</v>
      </c>
      <c r="B953" t="s">
        <v>26</v>
      </c>
      <c r="C953">
        <v>12</v>
      </c>
      <c r="D953">
        <v>1</v>
      </c>
      <c r="E953" t="s">
        <v>54</v>
      </c>
      <c r="F953" t="s">
        <v>56</v>
      </c>
      <c r="G953" t="str">
        <f>"2025-12-08 15:10:46.005"</f>
        <v>2025-12-08 15:10:46.005</v>
      </c>
      <c r="H953" t="s">
        <v>21</v>
      </c>
    </row>
    <row r="954" spans="1:10" x14ac:dyDescent="0.25">
      <c r="A954" s="1">
        <v>75</v>
      </c>
      <c r="B954" t="s">
        <v>19</v>
      </c>
      <c r="C954">
        <v>782</v>
      </c>
      <c r="D954">
        <v>7</v>
      </c>
      <c r="E954" t="s">
        <v>52</v>
      </c>
      <c r="F954" t="s">
        <v>53</v>
      </c>
      <c r="G954" t="str">
        <f>"2025-12-08 15:10:46.004"</f>
        <v>2025-12-08 15:10:46.004</v>
      </c>
      <c r="H954" t="s">
        <v>21</v>
      </c>
      <c r="I954">
        <v>0</v>
      </c>
      <c r="J954" t="s">
        <v>25</v>
      </c>
    </row>
    <row r="955" spans="1:10" x14ac:dyDescent="0.25">
      <c r="A955" s="1">
        <v>76</v>
      </c>
      <c r="B955" t="s">
        <v>26</v>
      </c>
      <c r="C955">
        <v>650</v>
      </c>
      <c r="D955">
        <v>4</v>
      </c>
      <c r="E955" t="s">
        <v>57</v>
      </c>
      <c r="F955" t="s">
        <v>58</v>
      </c>
      <c r="G955" t="str">
        <f>"2025-12-08 15:10:18.758"</f>
        <v>2025-12-08 15:10:18.758</v>
      </c>
      <c r="H955" t="s">
        <v>21</v>
      </c>
    </row>
    <row r="956" spans="1:10" x14ac:dyDescent="0.25">
      <c r="A956" s="1">
        <v>77</v>
      </c>
      <c r="B956" t="s">
        <v>26</v>
      </c>
      <c r="C956">
        <v>704</v>
      </c>
      <c r="D956">
        <v>1</v>
      </c>
      <c r="E956" t="s">
        <v>59</v>
      </c>
      <c r="F956" t="s">
        <v>28</v>
      </c>
      <c r="G956" t="str">
        <f>"2025-12-08 15:09:43.178"</f>
        <v>2025-12-08 15:09:43.178</v>
      </c>
      <c r="H956" t="s">
        <v>21</v>
      </c>
    </row>
    <row r="957" spans="1:10" x14ac:dyDescent="0.25">
      <c r="A957" s="1">
        <v>78</v>
      </c>
      <c r="B957" t="s">
        <v>19</v>
      </c>
      <c r="C957">
        <v>719</v>
      </c>
      <c r="D957">
        <v>5</v>
      </c>
      <c r="E957" t="s">
        <v>60</v>
      </c>
      <c r="F957" t="s">
        <v>61</v>
      </c>
      <c r="G957" t="str">
        <f>"2025-12-08 15:09:40.337"</f>
        <v>2025-12-08 15:09:40.337</v>
      </c>
      <c r="H957" t="s">
        <v>21</v>
      </c>
      <c r="I957">
        <v>0</v>
      </c>
      <c r="J957" t="s">
        <v>25</v>
      </c>
    </row>
    <row r="958" spans="1:10" x14ac:dyDescent="0.25">
      <c r="A958" s="1">
        <v>79</v>
      </c>
      <c r="B958" t="s">
        <v>19</v>
      </c>
      <c r="C958">
        <v>700</v>
      </c>
      <c r="D958">
        <v>0</v>
      </c>
      <c r="E958" t="s">
        <v>20</v>
      </c>
      <c r="F958" t="s">
        <v>20</v>
      </c>
      <c r="G958" t="str">
        <f>"2006-03-28 07:31:09.026"</f>
        <v>2006-03-28 07:31:09.026</v>
      </c>
      <c r="H958" t="s">
        <v>21</v>
      </c>
      <c r="I958">
        <v>0</v>
      </c>
      <c r="J958" t="s">
        <v>22</v>
      </c>
    </row>
    <row r="959" spans="1:10" x14ac:dyDescent="0.25">
      <c r="A959" s="1">
        <v>82</v>
      </c>
      <c r="B959" t="s">
        <v>29</v>
      </c>
      <c r="C959">
        <v>704</v>
      </c>
      <c r="D959">
        <v>1</v>
      </c>
      <c r="E959" t="s">
        <v>59</v>
      </c>
      <c r="F959" t="s">
        <v>28</v>
      </c>
      <c r="G959" t="str">
        <f>"2006-03-28 07:25:42.935"</f>
        <v>2006-03-28 07:25:42.935</v>
      </c>
      <c r="H959" t="s">
        <v>21</v>
      </c>
      <c r="I959">
        <v>0</v>
      </c>
      <c r="J959" t="s">
        <v>25</v>
      </c>
    </row>
    <row r="960" spans="1:10" x14ac:dyDescent="0.25">
      <c r="A960" s="1">
        <v>83</v>
      </c>
      <c r="B960" t="s">
        <v>19</v>
      </c>
      <c r="C960">
        <v>753</v>
      </c>
      <c r="D960">
        <v>1</v>
      </c>
      <c r="E960" t="s">
        <v>62</v>
      </c>
      <c r="F960" t="s">
        <v>63</v>
      </c>
      <c r="G960" t="str">
        <f>"2006-03-28 07:25:41.502"</f>
        <v>2006-03-28 07:25:41.502</v>
      </c>
      <c r="H960" t="s">
        <v>21</v>
      </c>
      <c r="I960">
        <v>0</v>
      </c>
      <c r="J960" t="s">
        <v>25</v>
      </c>
    </row>
    <row r="961" spans="1:10" x14ac:dyDescent="0.25">
      <c r="A961" s="1">
        <v>84</v>
      </c>
      <c r="B961" t="s">
        <v>45</v>
      </c>
      <c r="C961">
        <v>641</v>
      </c>
      <c r="D961">
        <v>1</v>
      </c>
      <c r="E961" t="s">
        <v>64</v>
      </c>
      <c r="F961" t="s">
        <v>55</v>
      </c>
      <c r="G961" t="str">
        <f>"2006-03-28 07:25:35.801"</f>
        <v>2006-03-28 07:25:35.801</v>
      </c>
      <c r="H961" t="s">
        <v>21</v>
      </c>
      <c r="I961">
        <v>0</v>
      </c>
      <c r="J961" t="s">
        <v>25</v>
      </c>
    </row>
    <row r="962" spans="1:10" x14ac:dyDescent="0.25">
      <c r="A962" s="1">
        <v>85</v>
      </c>
      <c r="B962" t="s">
        <v>45</v>
      </c>
      <c r="C962">
        <v>640</v>
      </c>
      <c r="D962">
        <v>1</v>
      </c>
      <c r="E962" t="s">
        <v>65</v>
      </c>
      <c r="F962" t="s">
        <v>56</v>
      </c>
      <c r="G962" t="str">
        <f>"2006-03-28 07:25:35.792"</f>
        <v>2006-03-28 07:25:35.792</v>
      </c>
      <c r="H962" t="s">
        <v>32</v>
      </c>
      <c r="I962">
        <v>0</v>
      </c>
      <c r="J962" t="s">
        <v>25</v>
      </c>
    </row>
    <row r="963" spans="1:10" x14ac:dyDescent="0.25">
      <c r="A963" s="1">
        <v>86</v>
      </c>
      <c r="B963" t="s">
        <v>29</v>
      </c>
      <c r="C963">
        <v>12</v>
      </c>
      <c r="D963">
        <v>1</v>
      </c>
      <c r="E963" t="s">
        <v>54</v>
      </c>
      <c r="F963" t="s">
        <v>56</v>
      </c>
      <c r="G963" t="str">
        <f>"2006-03-28 07:25:29.653"</f>
        <v>2006-03-28 07:25:29.653</v>
      </c>
      <c r="H963" t="s">
        <v>21</v>
      </c>
      <c r="I963">
        <v>0</v>
      </c>
      <c r="J963" t="s">
        <v>25</v>
      </c>
    </row>
    <row r="964" spans="1:10" x14ac:dyDescent="0.25">
      <c r="A964" s="1">
        <v>87</v>
      </c>
      <c r="B964" t="s">
        <v>29</v>
      </c>
      <c r="C964">
        <v>12</v>
      </c>
      <c r="D964">
        <v>2</v>
      </c>
      <c r="E964" t="s">
        <v>54</v>
      </c>
      <c r="F964" t="s">
        <v>55</v>
      </c>
      <c r="G964" t="str">
        <f>"2006-03-28 07:25:29.555"</f>
        <v>2006-03-28 07:25:29.555</v>
      </c>
      <c r="H964" t="s">
        <v>21</v>
      </c>
      <c r="I964">
        <v>0</v>
      </c>
      <c r="J964" t="s">
        <v>25</v>
      </c>
    </row>
    <row r="965" spans="1:10" x14ac:dyDescent="0.25">
      <c r="A965" s="1">
        <v>88</v>
      </c>
      <c r="B965" t="s">
        <v>29</v>
      </c>
      <c r="C965">
        <v>650</v>
      </c>
      <c r="D965">
        <v>4</v>
      </c>
      <c r="E965" t="s">
        <v>57</v>
      </c>
      <c r="F965" t="s">
        <v>58</v>
      </c>
      <c r="G965" t="str">
        <f>"2006-03-28 07:25:28.260"</f>
        <v>2006-03-28 07:25:28.260</v>
      </c>
      <c r="H965" t="s">
        <v>21</v>
      </c>
      <c r="I965">
        <v>0</v>
      </c>
      <c r="J965" t="s">
        <v>22</v>
      </c>
    </row>
    <row r="966" spans="1:10" x14ac:dyDescent="0.25">
      <c r="A966" s="1">
        <v>89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"2006-03-28 07:25:25.622"</f>
        <v>2006-03-28 07:25:25.622</v>
      </c>
      <c r="H966" t="s">
        <v>21</v>
      </c>
      <c r="I966">
        <v>0</v>
      </c>
      <c r="J966" t="s">
        <v>22</v>
      </c>
    </row>
  </sheetData>
  <autoFilter ref="A9:J966" xr:uid="{B471AB96-6EC5-49DA-90CE-6038516DD5A8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8F4C1C-624C-468F-858C-1B55858C99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events_ru_89_20260513-211329 93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2026-05-13T22:51:59Z</dcterms:modified>
</cp:coreProperties>
</file>
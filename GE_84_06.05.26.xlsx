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3428CE1-BC92-418B-A7ED-B5A9394DAF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4_20260507-031030 26" sheetId="2" r:id="rId1"/>
    <sheet name="Лист1" sheetId="1" r:id="rId2"/>
  </sheets>
  <definedNames>
    <definedName name="_xlnm._FilterDatabase" localSheetId="0" hidden="1">'events_ru_84_20260507-031030 26'!$A$9:$J$992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0A9EA2-FAF9-459F-9B86-39FF506CBC14}" keepAlive="1" name="Запрос — events_ru_84_20260507-031030 268" description="Соединение с запросом &quot;events_ru_84_20260507-031030 268&quot; в книге." type="5" refreshedVersion="0" background="1">
    <dbPr connection="Provider=Microsoft.Mashup.OleDb.1;Data Source=$Workbook$;Location=&quot;events_ru_84_20260507-031030 268&quot;;Extended Properties=&quot;&quot;" command="SELECT * FROM [events_ru_84_20260507-031030 268]"/>
  </connection>
</connections>
</file>

<file path=xl/sharedStrings.xml><?xml version="1.0" encoding="utf-8"?>
<sst xmlns="http://schemas.openxmlformats.org/spreadsheetml/2006/main" count="4520" uniqueCount="89">
  <si>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</si>
  <si>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</si>
  <si>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</si>
  <si>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</si>
  <si>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</si>
  <si>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</si>
  <si>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</si>
  <si>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</si>
  <si>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</si>
  <si>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</si>
  <si>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</si>
  <si>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</si>
  <si>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</si>
  <si>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</si>
  <si>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</si>
  <si>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</si>
  <si>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</si>
  <si>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</si>
  <si>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</si>
  <si>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</si>
  <si>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</si>
  <si>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</si>
  <si>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</si>
  <si>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</si>
  <si>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Вход в безопасный режим файловой системы - Запуск двигателя</t>
  </si>
  <si>
    <t>Test</t>
  </si>
  <si>
    <t>SRst</t>
  </si>
  <si>
    <t>Самосвал перегружен - NR</t>
  </si>
  <si>
    <t>Не доступно</t>
  </si>
  <si>
    <t>Log+</t>
  </si>
  <si>
    <t>Propel</t>
  </si>
  <si>
    <t>Ready</t>
  </si>
  <si>
    <t>Retard</t>
  </si>
  <si>
    <t>ARst</t>
  </si>
  <si>
    <t>Тест VI не пройден</t>
  </si>
  <si>
    <t>Инвертор</t>
  </si>
  <si>
    <t>Нет питания</t>
  </si>
  <si>
    <t xml:space="preserve">Log 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</si>
  <si>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</si>
  <si>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</si>
  <si>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>Рабочий тормоз на ходу</t>
  </si>
  <si>
    <t>Рабочие тормоза использованы на ходу</t>
  </si>
  <si>
    <t>Получено предупреждение ДВС</t>
  </si>
  <si>
    <t>Запрет тяги</t>
  </si>
  <si>
    <t>Превышении скорости</t>
  </si>
  <si>
    <t>Управление скоростью - превышение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</si>
  <si>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</si>
  <si>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</si>
  <si>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</si>
  <si>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Команда сохранения данных PTU</t>
  </si>
  <si>
    <t>Инициированное водителем сохранение данных</t>
  </si>
  <si>
    <t>Самопроизвольный останов ДВС</t>
  </si>
  <si>
    <t>Unrequested Engine Speed Drop - While Stopped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</si>
  <si>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</si>
  <si>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</si>
  <si>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</si>
  <si>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</si>
  <si>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WRst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</si>
  <si>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</si>
  <si>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</si>
  <si>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</si>
  <si>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</si>
  <si>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</si>
  <si>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</si>
  <si>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</si>
  <si>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</si>
  <si>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</si>
  <si>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Чоппер 2 ИНВ (NR)</t>
  </si>
  <si>
    <t>TMC1 Отказ GDPS1 [FM589]</t>
  </si>
  <si>
    <t>Инв1 Выкл</t>
  </si>
  <si>
    <t>TMC1 Чоппер 1 ИНВ (NR)</t>
  </si>
  <si>
    <t>Ошибка ЗПТ</t>
  </si>
  <si>
    <t>КЗ ЗПТ или отказ цепи возбуждения от АКБ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</si>
  <si>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</si>
  <si>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</si>
  <si>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</si>
  <si>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</si>
  <si>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</si>
  <si>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</si>
  <si>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</si>
  <si>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</si>
  <si>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RTC не установлены или неисправная батарея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</si>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</sst>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2ACD-DD31-4F00-9293-67003A84F596}">
  <dimension ref="A1:J992"/>
  <sheetViews>
    <sheetView tabSelected="1" workbookViewId="0">
      <selection activeCell="D124" sqref="D124"/>
    </sheetView>
  </sheetViews>
  <sheetFormatPr defaultRowHeight="15" x14ac:dyDescent="0.25"/>
  <cols>
    <col min="1" max="1" width="16" bestFit="1" customWidth="1"/>
    <col min="5" max="5" width="35.7109375" customWidth="1"/>
    <col min="6" max="6" width="60.42578125" customWidth="1"/>
    <col min="7" max="7" width="22" bestFit="1" customWidth="1"/>
    <col min="8" max="8" width="28.5703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"2026-05-07 03:10:30.268"</f>
        <v>2026-05-07 03:10:30.268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"2026-05-07 03:06:39.721"</f>
        <v>2026-05-07 03:06:39.721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706</v>
      </c>
      <c r="D11">
        <v>2</v>
      </c>
      <c r="E11" t="s">
        <v>23</v>
      </c>
      <c r="F11" t="s">
        <v>24</v>
      </c>
      <c r="G11" t="str">
        <f>"2026-05-06 13:35:33.938"</f>
        <v>2026-05-06 13:35:33.938</v>
      </c>
      <c r="H11" t="s">
        <v>21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"2026-05-06 13:35:10.678"</f>
        <v>2026-05-06 13:35:10.678</v>
      </c>
      <c r="H12" t="s">
        <v>21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27</v>
      </c>
      <c r="F13" t="s">
        <v>28</v>
      </c>
      <c r="G13" t="str">
        <f>"2026-05-05 21:55:01.405"</f>
        <v>2026-05-05 21:55:01.405</v>
      </c>
      <c r="H13" t="s">
        <v>21</v>
      </c>
    </row>
    <row r="14" spans="1:10" x14ac:dyDescent="0.25">
      <c r="A14" s="1"/>
      <c r="B14" t="s">
        <v>29</v>
      </c>
      <c r="C14">
        <v>635</v>
      </c>
      <c r="D14">
        <v>1</v>
      </c>
      <c r="E14" t="s">
        <v>27</v>
      </c>
      <c r="F14" t="s">
        <v>28</v>
      </c>
      <c r="G14" t="str">
        <f>"2026-05-05 21:52:43.405"</f>
        <v>2026-05-05 21:52:43.405</v>
      </c>
      <c r="H14" t="s">
        <v>21</v>
      </c>
      <c r="I14">
        <v>0</v>
      </c>
      <c r="J14" t="s">
        <v>25</v>
      </c>
    </row>
    <row r="15" spans="1:10" x14ac:dyDescent="0.25">
      <c r="A15" s="1"/>
      <c r="B15" t="s">
        <v>26</v>
      </c>
      <c r="C15">
        <v>635</v>
      </c>
      <c r="D15">
        <v>1</v>
      </c>
      <c r="E15" t="s">
        <v>27</v>
      </c>
      <c r="F15" t="s">
        <v>28</v>
      </c>
      <c r="G15" t="str">
        <f>"2026-05-05 21:52:39.358"</f>
        <v>2026-05-05 21:52:39.358</v>
      </c>
      <c r="H15" t="s">
        <v>21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"2026-05-05 21:52:32.718"</f>
        <v>2026-05-05 21:52:32.718</v>
      </c>
      <c r="H16" t="s">
        <v>21</v>
      </c>
      <c r="I16">
        <v>0</v>
      </c>
      <c r="J16" t="s">
        <v>22</v>
      </c>
    </row>
    <row r="17" spans="1:10" x14ac:dyDescent="0.25">
      <c r="A17" s="1"/>
      <c r="B17" t="s">
        <v>29</v>
      </c>
      <c r="C17">
        <v>635</v>
      </c>
      <c r="D17">
        <v>1</v>
      </c>
      <c r="E17" t="s">
        <v>27</v>
      </c>
      <c r="F17" t="s">
        <v>28</v>
      </c>
      <c r="G17" t="str">
        <f>"2026-05-05 21:50:50.471"</f>
        <v>2026-05-05 21:50:50.471</v>
      </c>
      <c r="H17" t="s">
        <v>21</v>
      </c>
      <c r="I17">
        <v>0.47</v>
      </c>
      <c r="J17" t="s">
        <v>30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"2026-05-05 18:14:36.690"</f>
        <v>2026-05-05 18:14:36.690</v>
      </c>
      <c r="H18" t="s">
        <v>21</v>
      </c>
      <c r="I18">
        <v>0</v>
      </c>
      <c r="J18" t="s">
        <v>22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"2026-05-04 20:49:42.727"</f>
        <v>2026-05-04 20:49:42.727</v>
      </c>
      <c r="H19" t="s">
        <v>21</v>
      </c>
      <c r="I19">
        <v>0</v>
      </c>
      <c r="J19" t="s">
        <v>22</v>
      </c>
    </row>
    <row r="20" spans="1:10" x14ac:dyDescent="0.25">
      <c r="A20" s="1">
        <v>0</v>
      </c>
      <c r="B20" t="s">
        <v>26</v>
      </c>
      <c r="C20">
        <v>635</v>
      </c>
      <c r="D20">
        <v>1</v>
      </c>
      <c r="E20" t="s">
        <v>27</v>
      </c>
      <c r="F20" t="s">
        <v>28</v>
      </c>
      <c r="G20" t="str">
        <f>"2026-05-04 12:08:45.789"</f>
        <v>2026-05-04 12:08:45.789</v>
      </c>
      <c r="H20" t="s">
        <v>21</v>
      </c>
    </row>
    <row r="21" spans="1:10" x14ac:dyDescent="0.25">
      <c r="A21" s="1">
        <v>1</v>
      </c>
      <c r="B21" t="s">
        <v>29</v>
      </c>
      <c r="C21">
        <v>635</v>
      </c>
      <c r="D21">
        <v>1</v>
      </c>
      <c r="E21" t="s">
        <v>27</v>
      </c>
      <c r="F21" t="s">
        <v>28</v>
      </c>
      <c r="G21" t="str">
        <f>"2026-05-04 12:04:04.789"</f>
        <v>2026-05-04 12:04:04.789</v>
      </c>
      <c r="H21" t="s">
        <v>21</v>
      </c>
      <c r="I21">
        <v>3.95</v>
      </c>
      <c r="J21" t="s">
        <v>31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"2026-05-04 11:01:46.686"</f>
        <v>2026-05-04 11:01:46.686</v>
      </c>
      <c r="H22" t="s">
        <v>21</v>
      </c>
      <c r="I22">
        <v>0</v>
      </c>
      <c r="J22" t="s">
        <v>22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"2026-05-03 14:09:06.711"</f>
        <v>2026-05-03 14:09:06.711</v>
      </c>
      <c r="H23" t="s">
        <v>21</v>
      </c>
      <c r="I23">
        <v>0</v>
      </c>
      <c r="J23" t="s">
        <v>22</v>
      </c>
    </row>
    <row r="24" spans="1:10" x14ac:dyDescent="0.25">
      <c r="A24" s="1">
        <v>4</v>
      </c>
      <c r="B24" t="s">
        <v>26</v>
      </c>
      <c r="C24">
        <v>635</v>
      </c>
      <c r="D24">
        <v>1</v>
      </c>
      <c r="E24" t="s">
        <v>27</v>
      </c>
      <c r="F24" t="s">
        <v>28</v>
      </c>
      <c r="G24" t="str">
        <f>"2026-05-02 22:43:10.687"</f>
        <v>2026-05-02 22:43:10.687</v>
      </c>
      <c r="H24" t="s">
        <v>21</v>
      </c>
    </row>
    <row r="25" spans="1:10" x14ac:dyDescent="0.25">
      <c r="A25" s="1">
        <v>5</v>
      </c>
      <c r="B25" t="s">
        <v>29</v>
      </c>
      <c r="C25">
        <v>635</v>
      </c>
      <c r="D25">
        <v>1</v>
      </c>
      <c r="E25" t="s">
        <v>27</v>
      </c>
      <c r="F25" t="s">
        <v>28</v>
      </c>
      <c r="G25" t="str">
        <f>"2026-05-02 22:34:38.687"</f>
        <v>2026-05-02 22:34:38.687</v>
      </c>
      <c r="H25" t="s">
        <v>21</v>
      </c>
      <c r="I25">
        <v>1.99</v>
      </c>
      <c r="J25" t="s">
        <v>30</v>
      </c>
    </row>
    <row r="26" spans="1:10" x14ac:dyDescent="0.25">
      <c r="A26" s="1">
        <v>6</v>
      </c>
      <c r="B26" t="s">
        <v>26</v>
      </c>
      <c r="C26">
        <v>635</v>
      </c>
      <c r="D26">
        <v>1</v>
      </c>
      <c r="E26" t="s">
        <v>27</v>
      </c>
      <c r="F26" t="s">
        <v>28</v>
      </c>
      <c r="G26" t="str">
        <f>"2026-05-02 22:25:39.287"</f>
        <v>2026-05-02 22:25:39.287</v>
      </c>
      <c r="H26" t="s">
        <v>21</v>
      </c>
    </row>
    <row r="27" spans="1:10" x14ac:dyDescent="0.25">
      <c r="A27" s="1">
        <v>7</v>
      </c>
      <c r="B27" t="s">
        <v>29</v>
      </c>
      <c r="C27">
        <v>635</v>
      </c>
      <c r="D27">
        <v>1</v>
      </c>
      <c r="E27" t="s">
        <v>27</v>
      </c>
      <c r="F27" t="s">
        <v>28</v>
      </c>
      <c r="G27" t="str">
        <f>"2026-05-02 22:16:28.787"</f>
        <v>2026-05-02 22:16:28.787</v>
      </c>
      <c r="H27" t="s">
        <v>21</v>
      </c>
      <c r="I27">
        <v>8</v>
      </c>
      <c r="J27" t="s">
        <v>32</v>
      </c>
    </row>
    <row r="28" spans="1:10" x14ac:dyDescent="0.25">
      <c r="A28" s="1">
        <v>8</v>
      </c>
      <c r="B28" t="s">
        <v>26</v>
      </c>
      <c r="C28">
        <v>635</v>
      </c>
      <c r="D28">
        <v>1</v>
      </c>
      <c r="E28" t="s">
        <v>27</v>
      </c>
      <c r="F28" t="s">
        <v>28</v>
      </c>
      <c r="G28" t="str">
        <f>"2026-05-02 22:06:53.787"</f>
        <v>2026-05-02 22:06:53.787</v>
      </c>
      <c r="H28" t="s">
        <v>21</v>
      </c>
    </row>
    <row r="29" spans="1:10" x14ac:dyDescent="0.25">
      <c r="A29" s="1">
        <v>9</v>
      </c>
      <c r="B29" t="s">
        <v>29</v>
      </c>
      <c r="C29">
        <v>635</v>
      </c>
      <c r="D29">
        <v>1</v>
      </c>
      <c r="E29" t="s">
        <v>27</v>
      </c>
      <c r="F29" t="s">
        <v>28</v>
      </c>
      <c r="G29" t="str">
        <f>"2026-05-02 21:58:59.287"</f>
        <v>2026-05-02 21:58:59.287</v>
      </c>
      <c r="H29" t="s">
        <v>21</v>
      </c>
      <c r="I29">
        <v>6.1</v>
      </c>
      <c r="J29" t="s">
        <v>32</v>
      </c>
    </row>
    <row r="30" spans="1:10" x14ac:dyDescent="0.25">
      <c r="A30" s="1">
        <v>0</v>
      </c>
      <c r="B30" t="s">
        <v>26</v>
      </c>
      <c r="C30">
        <v>635</v>
      </c>
      <c r="D30">
        <v>1</v>
      </c>
      <c r="E30" t="s">
        <v>27</v>
      </c>
      <c r="F30" t="s">
        <v>28</v>
      </c>
      <c r="G30" t="str">
        <f>"2026-05-02 21:14:36.887"</f>
        <v>2026-05-02 21:14:36.887</v>
      </c>
      <c r="H30" t="s">
        <v>21</v>
      </c>
    </row>
    <row r="31" spans="1:10" x14ac:dyDescent="0.25">
      <c r="A31" s="1">
        <v>1</v>
      </c>
      <c r="B31" t="s">
        <v>29</v>
      </c>
      <c r="C31">
        <v>635</v>
      </c>
      <c r="D31">
        <v>1</v>
      </c>
      <c r="E31" t="s">
        <v>27</v>
      </c>
      <c r="F31" t="s">
        <v>28</v>
      </c>
      <c r="G31" t="str">
        <f>"2026-05-02 21:07:12.887"</f>
        <v>2026-05-02 21:07:12.887</v>
      </c>
      <c r="H31" t="s">
        <v>21</v>
      </c>
      <c r="I31">
        <v>7.16</v>
      </c>
      <c r="J31" t="s">
        <v>32</v>
      </c>
    </row>
    <row r="32" spans="1:10" x14ac:dyDescent="0.25">
      <c r="A32" s="1">
        <v>2</v>
      </c>
      <c r="B32" t="s">
        <v>26</v>
      </c>
      <c r="C32">
        <v>635</v>
      </c>
      <c r="D32">
        <v>1</v>
      </c>
      <c r="E32" t="s">
        <v>27</v>
      </c>
      <c r="F32" t="s">
        <v>28</v>
      </c>
      <c r="G32" t="str">
        <f>"2026-05-02 19:27:33.587"</f>
        <v>2026-05-02 19:27:33.587</v>
      </c>
      <c r="H32" t="s">
        <v>21</v>
      </c>
    </row>
    <row r="33" spans="1:10" x14ac:dyDescent="0.25">
      <c r="A33" s="1">
        <v>3</v>
      </c>
      <c r="B33" t="s">
        <v>29</v>
      </c>
      <c r="C33">
        <v>635</v>
      </c>
      <c r="D33">
        <v>1</v>
      </c>
      <c r="E33" t="s">
        <v>27</v>
      </c>
      <c r="F33" t="s">
        <v>28</v>
      </c>
      <c r="G33" t="str">
        <f>"2026-05-02 19:24:54.688"</f>
        <v>2026-05-02 19:24:54.688</v>
      </c>
      <c r="H33" t="s">
        <v>21</v>
      </c>
      <c r="I33">
        <v>6.35</v>
      </c>
      <c r="J33" t="s">
        <v>30</v>
      </c>
    </row>
    <row r="34" spans="1:10" x14ac:dyDescent="0.25">
      <c r="A34" s="1">
        <v>4</v>
      </c>
      <c r="B34" t="s">
        <v>33</v>
      </c>
      <c r="C34">
        <v>77</v>
      </c>
      <c r="D34">
        <v>1</v>
      </c>
      <c r="E34" t="s">
        <v>34</v>
      </c>
      <c r="F34" t="s">
        <v>35</v>
      </c>
      <c r="G34" t="str">
        <f>"2026-05-02 13:30:18.198"</f>
        <v>2026-05-02 13:30:18.198</v>
      </c>
      <c r="H34" t="s">
        <v>36</v>
      </c>
    </row>
    <row r="35" spans="1:10" x14ac:dyDescent="0.25">
      <c r="A35" s="1">
        <v>5</v>
      </c>
      <c r="B35" t="s">
        <v>37</v>
      </c>
      <c r="C35">
        <v>77</v>
      </c>
      <c r="D35">
        <v>1</v>
      </c>
      <c r="E35" t="s">
        <v>34</v>
      </c>
      <c r="F35" t="s">
        <v>35</v>
      </c>
      <c r="G35" t="str">
        <f>"2026-05-02 13:30:13.106"</f>
        <v>2026-05-02 13:30:13.106</v>
      </c>
      <c r="H35" t="s">
        <v>36</v>
      </c>
      <c r="I35">
        <v>0</v>
      </c>
      <c r="J35" t="s">
        <v>25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"2026-05-02 13:29:31.668"</f>
        <v>2026-05-02 13:29:31.668</v>
      </c>
      <c r="H36" t="s">
        <v>21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"2026-05-02 11:23:58.672"</f>
        <v>2026-05-02 11:23:58.672</v>
      </c>
      <c r="H37" t="s">
        <v>21</v>
      </c>
    </row>
    <row r="38" spans="1:10" x14ac:dyDescent="0.25">
      <c r="A38" s="1">
        <v>8</v>
      </c>
      <c r="B38" t="s">
        <v>26</v>
      </c>
      <c r="C38">
        <v>635</v>
      </c>
      <c r="D38">
        <v>1</v>
      </c>
      <c r="E38" t="s">
        <v>27</v>
      </c>
      <c r="F38" t="s">
        <v>28</v>
      </c>
      <c r="G38" t="str">
        <f>"2026-05-01 16:27:46.601"</f>
        <v>2026-05-01 16:27:46.601</v>
      </c>
      <c r="H38" t="s">
        <v>21</v>
      </c>
    </row>
    <row r="39" spans="1:10" x14ac:dyDescent="0.25">
      <c r="A39" s="1">
        <v>9</v>
      </c>
      <c r="B39" t="s">
        <v>29</v>
      </c>
      <c r="C39">
        <v>635</v>
      </c>
      <c r="D39">
        <v>1</v>
      </c>
      <c r="E39" t="s">
        <v>27</v>
      </c>
      <c r="F39" t="s">
        <v>28</v>
      </c>
      <c r="G39" t="str">
        <f>"2026-05-01 16:24:35.101"</f>
        <v>2026-05-01 16:24:35.101</v>
      </c>
      <c r="H39" t="s">
        <v>21</v>
      </c>
      <c r="I39">
        <v>4.29</v>
      </c>
      <c r="J39" t="s">
        <v>31</v>
      </c>
    </row>
    <row r="40" spans="1:10" x14ac:dyDescent="0.25">
      <c r="A40" s="1">
        <v>0</v>
      </c>
      <c r="B40" t="s">
        <v>19</v>
      </c>
      <c r="C40">
        <v>706</v>
      </c>
      <c r="D40">
        <v>4</v>
      </c>
      <c r="E40" t="s">
        <v>23</v>
      </c>
      <c r="F40" t="s">
        <v>38</v>
      </c>
      <c r="G40" t="str">
        <f>"2026-05-01 13:50:15.742"</f>
        <v>2026-05-01 13:50:15.742</v>
      </c>
      <c r="H40" t="s">
        <v>21</v>
      </c>
      <c r="I40">
        <v>0</v>
      </c>
      <c r="J40" t="s">
        <v>25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"2026-05-01 13:48:17.802"</f>
        <v>2026-05-01 13:48:17.802</v>
      </c>
      <c r="H41" t="s">
        <v>21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"2026-04-30 13:44:46.722"</f>
        <v>2026-04-30 13:44:46.722</v>
      </c>
      <c r="H42" t="s">
        <v>21</v>
      </c>
      <c r="I42">
        <v>0</v>
      </c>
      <c r="J42" t="s">
        <v>22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"2026-04-29 22:53:30.690"</f>
        <v>2026-04-29 22:53:30.690</v>
      </c>
      <c r="H43" t="s">
        <v>21</v>
      </c>
    </row>
    <row r="44" spans="1:10" x14ac:dyDescent="0.25">
      <c r="A44" s="1">
        <v>4</v>
      </c>
      <c r="B44" t="s">
        <v>26</v>
      </c>
      <c r="C44">
        <v>635</v>
      </c>
      <c r="D44">
        <v>1</v>
      </c>
      <c r="E44" t="s">
        <v>27</v>
      </c>
      <c r="F44" t="s">
        <v>28</v>
      </c>
      <c r="G44" t="str">
        <f>"2026-04-29 08:49:44.030"</f>
        <v>2026-04-29 08:49:44.030</v>
      </c>
      <c r="H44" t="s">
        <v>21</v>
      </c>
    </row>
    <row r="45" spans="1:10" x14ac:dyDescent="0.25">
      <c r="A45" s="1">
        <v>5</v>
      </c>
      <c r="B45" t="s">
        <v>29</v>
      </c>
      <c r="C45">
        <v>635</v>
      </c>
      <c r="D45">
        <v>1</v>
      </c>
      <c r="E45" t="s">
        <v>27</v>
      </c>
      <c r="F45" t="s">
        <v>28</v>
      </c>
      <c r="G45" t="str">
        <f>"2026-04-29 08:47:42.030"</f>
        <v>2026-04-29 08:47:42.030</v>
      </c>
      <c r="H45" t="s">
        <v>21</v>
      </c>
      <c r="I45">
        <v>7.51</v>
      </c>
      <c r="J45" t="s">
        <v>30</v>
      </c>
    </row>
    <row r="46" spans="1:10" x14ac:dyDescent="0.25">
      <c r="A46" s="1">
        <v>6</v>
      </c>
      <c r="B46" t="s">
        <v>26</v>
      </c>
      <c r="C46">
        <v>635</v>
      </c>
      <c r="D46">
        <v>1</v>
      </c>
      <c r="E46" t="s">
        <v>27</v>
      </c>
      <c r="F46" t="s">
        <v>28</v>
      </c>
      <c r="G46" t="str">
        <f>"2026-04-29 07:57:24.130"</f>
        <v>2026-04-29 07:57:24.130</v>
      </c>
      <c r="H46" t="s">
        <v>21</v>
      </c>
    </row>
    <row r="47" spans="1:10" x14ac:dyDescent="0.25">
      <c r="A47" s="1">
        <v>7</v>
      </c>
      <c r="B47" t="s">
        <v>29</v>
      </c>
      <c r="C47">
        <v>635</v>
      </c>
      <c r="D47">
        <v>1</v>
      </c>
      <c r="E47" t="s">
        <v>27</v>
      </c>
      <c r="F47" t="s">
        <v>28</v>
      </c>
      <c r="G47" t="str">
        <f>"2026-04-29 07:54:56.630"</f>
        <v>2026-04-29 07:54:56.630</v>
      </c>
      <c r="H47" t="s">
        <v>21</v>
      </c>
      <c r="I47">
        <v>5.58</v>
      </c>
      <c r="J47" t="s">
        <v>30</v>
      </c>
    </row>
    <row r="48" spans="1:10" x14ac:dyDescent="0.25">
      <c r="A48" s="1">
        <v>8</v>
      </c>
      <c r="B48" t="s">
        <v>19</v>
      </c>
      <c r="C48">
        <v>706</v>
      </c>
      <c r="D48">
        <v>4</v>
      </c>
      <c r="E48" t="s">
        <v>23</v>
      </c>
      <c r="F48" t="s">
        <v>38</v>
      </c>
      <c r="G48" t="str">
        <f>"2026-04-29 07:48:25.233"</f>
        <v>2026-04-29 07:48:25.233</v>
      </c>
      <c r="H48" t="s">
        <v>21</v>
      </c>
      <c r="I48">
        <v>0</v>
      </c>
      <c r="J48" t="s">
        <v>25</v>
      </c>
    </row>
    <row r="49" spans="1:10" x14ac:dyDescent="0.25">
      <c r="A49" s="1">
        <v>9</v>
      </c>
      <c r="B49" t="s">
        <v>19</v>
      </c>
      <c r="C49">
        <v>706</v>
      </c>
      <c r="D49">
        <v>3</v>
      </c>
      <c r="E49" t="s">
        <v>23</v>
      </c>
      <c r="F49" t="s">
        <v>39</v>
      </c>
      <c r="G49" t="str">
        <f>"2026-04-29 07:48:15.213"</f>
        <v>2026-04-29 07:48:15.213</v>
      </c>
      <c r="H49" t="s">
        <v>21</v>
      </c>
      <c r="I49">
        <v>0</v>
      </c>
      <c r="J49" t="s">
        <v>25</v>
      </c>
    </row>
    <row r="50" spans="1:10" s="3" customFormat="1" x14ac:dyDescent="0.25">
      <c r="A50" s="2">
        <v>0</v>
      </c>
      <c r="B50" s="3" t="s">
        <v>26</v>
      </c>
      <c r="C50" s="3">
        <v>647</v>
      </c>
      <c r="D50" s="3">
        <v>1</v>
      </c>
      <c r="E50" s="3" t="s">
        <v>40</v>
      </c>
      <c r="F50" s="3" t="s">
        <v>41</v>
      </c>
      <c r="G50" s="3" t="str">
        <f>"2026-04-28 21:25:03.230"</f>
        <v>2026-04-28 21:25:03.230</v>
      </c>
      <c r="H50" s="3" t="s">
        <v>21</v>
      </c>
    </row>
    <row r="51" spans="1:10" s="3" customFormat="1" x14ac:dyDescent="0.25">
      <c r="A51" s="2">
        <v>1</v>
      </c>
      <c r="B51" s="3" t="s">
        <v>29</v>
      </c>
      <c r="C51" s="3">
        <v>647</v>
      </c>
      <c r="D51" s="3">
        <v>1</v>
      </c>
      <c r="E51" s="3" t="s">
        <v>40</v>
      </c>
      <c r="F51" s="3" t="s">
        <v>41</v>
      </c>
      <c r="G51" s="3" t="str">
        <f>"2026-04-28 21:24:57.330"</f>
        <v>2026-04-28 21:24:57.330</v>
      </c>
      <c r="H51" s="3" t="s">
        <v>21</v>
      </c>
      <c r="I51" s="3">
        <v>17.649999999999999</v>
      </c>
      <c r="J51" s="3" t="s">
        <v>32</v>
      </c>
    </row>
    <row r="52" spans="1:10" x14ac:dyDescent="0.25">
      <c r="A52" s="1">
        <v>2</v>
      </c>
      <c r="B52" t="s">
        <v>26</v>
      </c>
      <c r="C52">
        <v>635</v>
      </c>
      <c r="D52">
        <v>1</v>
      </c>
      <c r="E52" t="s">
        <v>27</v>
      </c>
      <c r="F52" t="s">
        <v>28</v>
      </c>
      <c r="G52" t="str">
        <f>"2026-04-28 09:48:00.230"</f>
        <v>2026-04-28 09:48:00.230</v>
      </c>
      <c r="H52" t="s">
        <v>21</v>
      </c>
    </row>
    <row r="53" spans="1:10" x14ac:dyDescent="0.25">
      <c r="A53" s="1">
        <v>3</v>
      </c>
      <c r="B53" t="s">
        <v>29</v>
      </c>
      <c r="C53">
        <v>635</v>
      </c>
      <c r="D53">
        <v>1</v>
      </c>
      <c r="E53" t="s">
        <v>27</v>
      </c>
      <c r="F53" t="s">
        <v>28</v>
      </c>
      <c r="G53" t="str">
        <f>"2026-04-28 09:44:59.230"</f>
        <v>2026-04-28 09:44:59.230</v>
      </c>
      <c r="H53" t="s">
        <v>21</v>
      </c>
      <c r="I53">
        <v>7.1</v>
      </c>
      <c r="J53" t="s">
        <v>30</v>
      </c>
    </row>
    <row r="54" spans="1:10" x14ac:dyDescent="0.25">
      <c r="A54" s="1">
        <v>4</v>
      </c>
      <c r="B54" t="s">
        <v>19</v>
      </c>
      <c r="C54">
        <v>706</v>
      </c>
      <c r="D54">
        <v>4</v>
      </c>
      <c r="E54" t="s">
        <v>23</v>
      </c>
      <c r="F54" t="s">
        <v>38</v>
      </c>
      <c r="G54" t="str">
        <f>"2026-04-28 08:11:50.843"</f>
        <v>2026-04-28 08:11:50.843</v>
      </c>
      <c r="H54" t="s">
        <v>21</v>
      </c>
      <c r="I54">
        <v>0</v>
      </c>
      <c r="J54" t="s">
        <v>25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"2026-04-28 08:10:22.843"</f>
        <v>2026-04-28 08:10:22.843</v>
      </c>
      <c r="H55" t="s">
        <v>21</v>
      </c>
      <c r="I55">
        <v>0</v>
      </c>
      <c r="J55" t="s">
        <v>22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"2026-04-27 16:25:31.823"</f>
        <v>2026-04-27 16:25:31.823</v>
      </c>
      <c r="H56" t="s">
        <v>21</v>
      </c>
    </row>
    <row r="57" spans="1:10" x14ac:dyDescent="0.25">
      <c r="A57" s="1">
        <v>7</v>
      </c>
      <c r="B57" t="s">
        <v>26</v>
      </c>
      <c r="C57">
        <v>635</v>
      </c>
      <c r="D57">
        <v>1</v>
      </c>
      <c r="E57" t="s">
        <v>27</v>
      </c>
      <c r="F57" t="s">
        <v>28</v>
      </c>
      <c r="G57" t="str">
        <f>"2026-04-27 02:10:03.127"</f>
        <v>2026-04-27 02:10:03.127</v>
      </c>
      <c r="H57" t="s">
        <v>21</v>
      </c>
    </row>
    <row r="58" spans="1:10" x14ac:dyDescent="0.25">
      <c r="A58" s="1">
        <v>8</v>
      </c>
      <c r="B58" t="s">
        <v>29</v>
      </c>
      <c r="C58">
        <v>635</v>
      </c>
      <c r="D58">
        <v>1</v>
      </c>
      <c r="E58" t="s">
        <v>27</v>
      </c>
      <c r="F58" t="s">
        <v>28</v>
      </c>
      <c r="G58" t="str">
        <f>"2026-04-27 01:43:08.228"</f>
        <v>2026-04-27 01:43:08.228</v>
      </c>
      <c r="H58" t="s">
        <v>21</v>
      </c>
      <c r="I58">
        <v>7.77</v>
      </c>
      <c r="J58" t="s">
        <v>30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"2026-04-26 19:49:16.679"</f>
        <v>2026-04-26 19:49:16.679</v>
      </c>
      <c r="H59" t="s">
        <v>21</v>
      </c>
      <c r="I59">
        <v>0</v>
      </c>
      <c r="J59" t="s">
        <v>22</v>
      </c>
    </row>
    <row r="60" spans="1:10" x14ac:dyDescent="0.25">
      <c r="A60" s="1">
        <v>0</v>
      </c>
      <c r="B60" t="s">
        <v>19</v>
      </c>
      <c r="C60">
        <v>706</v>
      </c>
      <c r="D60">
        <v>4</v>
      </c>
      <c r="E60" t="s">
        <v>23</v>
      </c>
      <c r="F60" t="s">
        <v>38</v>
      </c>
      <c r="G60" t="str">
        <f>"2026-04-26 18:33:33.835"</f>
        <v>2026-04-26 18:33:33.835</v>
      </c>
      <c r="H60" t="s">
        <v>21</v>
      </c>
      <c r="I60">
        <v>0</v>
      </c>
      <c r="J60" t="s">
        <v>25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"2026-04-26 18:26:58.695"</f>
        <v>2026-04-26 18:26:58.695</v>
      </c>
      <c r="H61" t="s">
        <v>21</v>
      </c>
      <c r="I61">
        <v>0</v>
      </c>
      <c r="J61" t="s">
        <v>22</v>
      </c>
    </row>
    <row r="62" spans="1:10" x14ac:dyDescent="0.25">
      <c r="A62" s="1">
        <v>2</v>
      </c>
      <c r="B62" t="s">
        <v>19</v>
      </c>
      <c r="C62">
        <v>706</v>
      </c>
      <c r="D62">
        <v>2</v>
      </c>
      <c r="E62" t="s">
        <v>23</v>
      </c>
      <c r="F62" t="s">
        <v>24</v>
      </c>
      <c r="G62" t="str">
        <f>"2026-04-26 15:54:13.469"</f>
        <v>2026-04-26 15:54:13.469</v>
      </c>
      <c r="H62" t="s">
        <v>21</v>
      </c>
      <c r="I62">
        <v>0</v>
      </c>
      <c r="J62" t="s">
        <v>25</v>
      </c>
    </row>
    <row r="63" spans="1:10" x14ac:dyDescent="0.25">
      <c r="A63" s="1">
        <v>3</v>
      </c>
      <c r="B63" t="s">
        <v>26</v>
      </c>
      <c r="C63">
        <v>635</v>
      </c>
      <c r="D63">
        <v>1</v>
      </c>
      <c r="E63" t="s">
        <v>27</v>
      </c>
      <c r="F63" t="s">
        <v>28</v>
      </c>
      <c r="G63" t="str">
        <f>"2026-04-26 01:39:33.398"</f>
        <v>2026-04-26 01:39:33.398</v>
      </c>
      <c r="H63" t="s">
        <v>21</v>
      </c>
    </row>
    <row r="64" spans="1:10" x14ac:dyDescent="0.25">
      <c r="A64" s="1">
        <v>4</v>
      </c>
      <c r="B64" t="s">
        <v>29</v>
      </c>
      <c r="C64">
        <v>635</v>
      </c>
      <c r="D64">
        <v>1</v>
      </c>
      <c r="E64" t="s">
        <v>27</v>
      </c>
      <c r="F64" t="s">
        <v>28</v>
      </c>
      <c r="G64" t="str">
        <f>"2026-04-26 01:37:48.898"</f>
        <v>2026-04-26 01:37:48.898</v>
      </c>
      <c r="H64" t="s">
        <v>21</v>
      </c>
      <c r="I64">
        <v>2.96</v>
      </c>
      <c r="J64" t="s">
        <v>30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"2026-04-25 21:21:58.719"</f>
        <v>2026-04-25 21:21:58.719</v>
      </c>
      <c r="H65" t="s">
        <v>21</v>
      </c>
      <c r="I65">
        <v>0</v>
      </c>
      <c r="J65" t="s">
        <v>22</v>
      </c>
    </row>
    <row r="66" spans="1:10" x14ac:dyDescent="0.25">
      <c r="A66" s="1">
        <v>6</v>
      </c>
      <c r="B66" t="s">
        <v>26</v>
      </c>
      <c r="C66">
        <v>635</v>
      </c>
      <c r="D66">
        <v>1</v>
      </c>
      <c r="E66" t="s">
        <v>27</v>
      </c>
      <c r="F66" t="s">
        <v>28</v>
      </c>
      <c r="G66" t="str">
        <f>"2026-04-25 21:03:23.349"</f>
        <v>2026-04-25 21:03:23.349</v>
      </c>
      <c r="H66" t="s">
        <v>21</v>
      </c>
    </row>
    <row r="67" spans="1:10" x14ac:dyDescent="0.25">
      <c r="A67" s="1">
        <v>7</v>
      </c>
      <c r="B67" t="s">
        <v>29</v>
      </c>
      <c r="C67">
        <v>635</v>
      </c>
      <c r="D67">
        <v>1</v>
      </c>
      <c r="E67" t="s">
        <v>27</v>
      </c>
      <c r="F67" t="s">
        <v>28</v>
      </c>
      <c r="G67" t="str">
        <f>"2026-04-25 20:55:06.349"</f>
        <v>2026-04-25 20:55:06.349</v>
      </c>
      <c r="H67" t="s">
        <v>21</v>
      </c>
      <c r="I67">
        <v>7.23</v>
      </c>
      <c r="J67" t="s">
        <v>30</v>
      </c>
    </row>
    <row r="68" spans="1:10" x14ac:dyDescent="0.25">
      <c r="A68" s="1">
        <v>8</v>
      </c>
      <c r="B68" t="s">
        <v>26</v>
      </c>
      <c r="C68">
        <v>635</v>
      </c>
      <c r="D68">
        <v>1</v>
      </c>
      <c r="E68" t="s">
        <v>27</v>
      </c>
      <c r="F68" t="s">
        <v>28</v>
      </c>
      <c r="G68" t="str">
        <f>"2026-04-25 20:38:24.349"</f>
        <v>2026-04-25 20:38:24.349</v>
      </c>
      <c r="H68" t="s">
        <v>21</v>
      </c>
    </row>
    <row r="69" spans="1:10" x14ac:dyDescent="0.25">
      <c r="A69" s="1">
        <v>9</v>
      </c>
      <c r="B69" t="s">
        <v>29</v>
      </c>
      <c r="C69">
        <v>635</v>
      </c>
      <c r="D69">
        <v>1</v>
      </c>
      <c r="E69" t="s">
        <v>27</v>
      </c>
      <c r="F69" t="s">
        <v>28</v>
      </c>
      <c r="G69" t="str">
        <f>"2026-04-25 20:36:25.849"</f>
        <v>2026-04-25 20:36:25.849</v>
      </c>
      <c r="H69" t="s">
        <v>21</v>
      </c>
      <c r="I69">
        <v>0.69</v>
      </c>
      <c r="J69" t="s">
        <v>30</v>
      </c>
    </row>
    <row r="70" spans="1:10" x14ac:dyDescent="0.25">
      <c r="A70" s="1">
        <v>0</v>
      </c>
      <c r="B70" t="s">
        <v>26</v>
      </c>
      <c r="C70">
        <v>635</v>
      </c>
      <c r="D70">
        <v>1</v>
      </c>
      <c r="E70" t="s">
        <v>27</v>
      </c>
      <c r="F70" t="s">
        <v>28</v>
      </c>
      <c r="G70" t="str">
        <f>"2026-04-25 20:22:31.949"</f>
        <v>2026-04-25 20:22:31.949</v>
      </c>
      <c r="H70" t="s">
        <v>21</v>
      </c>
    </row>
    <row r="71" spans="1:10" x14ac:dyDescent="0.25">
      <c r="A71" s="1">
        <v>1</v>
      </c>
      <c r="B71" t="s">
        <v>29</v>
      </c>
      <c r="C71">
        <v>635</v>
      </c>
      <c r="D71">
        <v>1</v>
      </c>
      <c r="E71" t="s">
        <v>27</v>
      </c>
      <c r="F71" t="s">
        <v>28</v>
      </c>
      <c r="G71" t="str">
        <f>"2026-04-25 20:06:55.949"</f>
        <v>2026-04-25 20:06:55.949</v>
      </c>
      <c r="H71" t="s">
        <v>21</v>
      </c>
      <c r="I71">
        <v>1.31</v>
      </c>
      <c r="J71" t="s">
        <v>30</v>
      </c>
    </row>
    <row r="72" spans="1:10" x14ac:dyDescent="0.25">
      <c r="A72" s="1">
        <v>2</v>
      </c>
      <c r="B72" t="s">
        <v>26</v>
      </c>
      <c r="C72">
        <v>635</v>
      </c>
      <c r="D72">
        <v>1</v>
      </c>
      <c r="E72" t="s">
        <v>27</v>
      </c>
      <c r="F72" t="s">
        <v>28</v>
      </c>
      <c r="G72" t="str">
        <f>"2026-04-25 16:47:44.349"</f>
        <v>2026-04-25 16:47:44.349</v>
      </c>
      <c r="H72" t="s">
        <v>21</v>
      </c>
    </row>
    <row r="73" spans="1:10" x14ac:dyDescent="0.25">
      <c r="A73" s="1">
        <v>3</v>
      </c>
      <c r="B73" t="s">
        <v>29</v>
      </c>
      <c r="C73">
        <v>635</v>
      </c>
      <c r="D73">
        <v>1</v>
      </c>
      <c r="E73" t="s">
        <v>27</v>
      </c>
      <c r="F73" t="s">
        <v>28</v>
      </c>
      <c r="G73" t="str">
        <f>"2026-04-25 16:44:20.850"</f>
        <v>2026-04-25 16:44:20.850</v>
      </c>
      <c r="H73" t="s">
        <v>21</v>
      </c>
      <c r="I73">
        <v>-0.23</v>
      </c>
      <c r="J73" t="s">
        <v>30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"2026-04-25 08:16:13.699"</f>
        <v>2026-04-25 08:16:13.699</v>
      </c>
      <c r="H74" t="s">
        <v>21</v>
      </c>
      <c r="I74">
        <v>0</v>
      </c>
      <c r="J74" t="s">
        <v>22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"2026-04-25 04:14:28.671"</f>
        <v>2026-04-25 04:14:28.671</v>
      </c>
      <c r="H75" t="s">
        <v>21</v>
      </c>
      <c r="I75">
        <v>0</v>
      </c>
      <c r="J75" t="s">
        <v>22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"2026-04-25 04:09:46.674"</f>
        <v>2026-04-25 04:09:46.674</v>
      </c>
      <c r="H76" t="s">
        <v>21</v>
      </c>
      <c r="I76">
        <v>0</v>
      </c>
      <c r="J76" t="s">
        <v>22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"2026-04-25 04:05:50.664"</f>
        <v>2026-04-25 04:05:50.664</v>
      </c>
      <c r="H77" t="s">
        <v>21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"2026-04-25 03:48:06.678"</f>
        <v>2026-04-25 03:48:06.678</v>
      </c>
      <c r="H78" t="s">
        <v>21</v>
      </c>
      <c r="I78">
        <v>0</v>
      </c>
      <c r="J78" t="s">
        <v>22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"2026-04-25 02:47:59.668"</f>
        <v>2026-04-25 02:47:59.668</v>
      </c>
      <c r="H79" t="s">
        <v>21</v>
      </c>
      <c r="I79">
        <v>0</v>
      </c>
      <c r="J79" t="s">
        <v>22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"2026-04-25 02:42:14.665"</f>
        <v>2026-04-25 02:42:14.665</v>
      </c>
      <c r="H80" t="s">
        <v>21</v>
      </c>
      <c r="I80">
        <v>0</v>
      </c>
      <c r="J80" t="s">
        <v>22</v>
      </c>
    </row>
    <row r="81" spans="1:10" x14ac:dyDescent="0.25">
      <c r="A81" s="1">
        <v>1</v>
      </c>
      <c r="B81" t="s">
        <v>19</v>
      </c>
      <c r="C81">
        <v>706</v>
      </c>
      <c r="D81">
        <v>4</v>
      </c>
      <c r="E81" t="s">
        <v>23</v>
      </c>
      <c r="F81" t="s">
        <v>38</v>
      </c>
      <c r="G81" t="str">
        <f>"2026-04-25 02:33:57.420"</f>
        <v>2026-04-25 02:33:57.420</v>
      </c>
      <c r="H81" t="s">
        <v>21</v>
      </c>
      <c r="I81">
        <v>0</v>
      </c>
      <c r="J81" t="s">
        <v>25</v>
      </c>
    </row>
    <row r="82" spans="1:10" x14ac:dyDescent="0.25">
      <c r="A82" s="1">
        <v>2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"2026-04-25 02:19:02.660"</f>
        <v>2026-04-25 02:19:02.660</v>
      </c>
      <c r="H82" t="s">
        <v>21</v>
      </c>
      <c r="I82">
        <v>0</v>
      </c>
      <c r="J82" t="s">
        <v>22</v>
      </c>
    </row>
    <row r="83" spans="1:10" x14ac:dyDescent="0.25">
      <c r="A83" s="1">
        <v>3</v>
      </c>
      <c r="B83" t="s">
        <v>19</v>
      </c>
      <c r="C83">
        <v>706</v>
      </c>
      <c r="D83">
        <v>3</v>
      </c>
      <c r="E83" t="s">
        <v>23</v>
      </c>
      <c r="F83" t="s">
        <v>39</v>
      </c>
      <c r="G83" t="str">
        <f>"2026-04-25 02:00:19.414"</f>
        <v>2026-04-25 02:00:19.414</v>
      </c>
      <c r="H83" t="s">
        <v>21</v>
      </c>
      <c r="I83">
        <v>0</v>
      </c>
      <c r="J83" t="s">
        <v>25</v>
      </c>
    </row>
    <row r="84" spans="1:10" x14ac:dyDescent="0.25">
      <c r="A84" s="1">
        <v>4</v>
      </c>
      <c r="B84" t="s">
        <v>19</v>
      </c>
      <c r="C84">
        <v>706</v>
      </c>
      <c r="D84">
        <v>3</v>
      </c>
      <c r="E84" t="s">
        <v>23</v>
      </c>
      <c r="F84" t="s">
        <v>39</v>
      </c>
      <c r="G84" t="str">
        <f>"2026-04-25 02:00:09.454"</f>
        <v>2026-04-25 02:00:09.454</v>
      </c>
      <c r="H84" t="s">
        <v>21</v>
      </c>
      <c r="I84">
        <v>0</v>
      </c>
      <c r="J84" t="s">
        <v>25</v>
      </c>
    </row>
    <row r="85" spans="1:10" x14ac:dyDescent="0.25">
      <c r="A85" s="1">
        <v>5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"2026-04-25 01:59:29.654"</f>
        <v>2026-04-25 01:59:29.654</v>
      </c>
      <c r="H85" t="s">
        <v>21</v>
      </c>
      <c r="I85">
        <v>0</v>
      </c>
      <c r="J85" t="s">
        <v>22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"2026-04-25 01:44:35.661"</f>
        <v>2026-04-25 01:44:35.661</v>
      </c>
      <c r="H86" t="s">
        <v>21</v>
      </c>
      <c r="I86">
        <v>0</v>
      </c>
      <c r="J86" t="s">
        <v>22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"2026-04-25 01:22:24.665"</f>
        <v>2026-04-25 01:22:24.665</v>
      </c>
      <c r="H87" t="s">
        <v>21</v>
      </c>
      <c r="I87">
        <v>0</v>
      </c>
      <c r="J87" t="s">
        <v>22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"2026-04-25 01:11:11.656"</f>
        <v>2026-04-25 01:11:11.656</v>
      </c>
      <c r="H88" t="s">
        <v>21</v>
      </c>
      <c r="I88">
        <v>0</v>
      </c>
      <c r="J88" t="s">
        <v>22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"2026-04-25 01:03:27.735"</f>
        <v>2026-04-25 01:03:27.735</v>
      </c>
      <c r="H89" t="s">
        <v>21</v>
      </c>
    </row>
    <row r="90" spans="1:10" x14ac:dyDescent="0.25">
      <c r="A90" s="1">
        <v>0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"2026-04-25 00:48:15.657"</f>
        <v>2026-04-25 00:48:15.657</v>
      </c>
      <c r="H90" t="s">
        <v>21</v>
      </c>
      <c r="I90">
        <v>0</v>
      </c>
      <c r="J90" t="s">
        <v>22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"2026-04-25 00:39:55.661"</f>
        <v>2026-04-25 00:39:55.661</v>
      </c>
      <c r="H91" t="s">
        <v>21</v>
      </c>
      <c r="I91">
        <v>0</v>
      </c>
      <c r="J91" t="s">
        <v>22</v>
      </c>
    </row>
    <row r="92" spans="1:10" x14ac:dyDescent="0.25">
      <c r="A92" s="1">
        <v>2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"2026-04-25 00:37:38.678"</f>
        <v>2026-04-25 00:37:38.678</v>
      </c>
      <c r="H92" t="s">
        <v>21</v>
      </c>
      <c r="I92">
        <v>0</v>
      </c>
      <c r="J92" t="s">
        <v>22</v>
      </c>
    </row>
    <row r="93" spans="1:10" x14ac:dyDescent="0.25">
      <c r="A93" s="1">
        <v>3</v>
      </c>
      <c r="B93" t="s">
        <v>19</v>
      </c>
      <c r="C93">
        <v>706</v>
      </c>
      <c r="D93">
        <v>4</v>
      </c>
      <c r="E93" t="s">
        <v>23</v>
      </c>
      <c r="F93" t="s">
        <v>38</v>
      </c>
      <c r="G93" t="str">
        <f>"2026-04-25 00:34:41.644"</f>
        <v>2026-04-25 00:34:41.644</v>
      </c>
      <c r="H93" t="s">
        <v>21</v>
      </c>
      <c r="I93">
        <v>0</v>
      </c>
      <c r="J93" t="s">
        <v>25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"2026-04-25 00:34:04.654"</f>
        <v>2026-04-25 00:34:04.654</v>
      </c>
      <c r="H94" t="s">
        <v>21</v>
      </c>
    </row>
    <row r="95" spans="1:10" x14ac:dyDescent="0.25">
      <c r="A95" s="1">
        <v>5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"2026-04-24 23:47:36.662"</f>
        <v>2026-04-24 23:47:36.662</v>
      </c>
      <c r="H95" t="s">
        <v>21</v>
      </c>
      <c r="I95">
        <v>0</v>
      </c>
      <c r="J95" t="s">
        <v>22</v>
      </c>
    </row>
    <row r="96" spans="1:10" x14ac:dyDescent="0.25">
      <c r="A96" s="1">
        <v>6</v>
      </c>
      <c r="B96" t="s">
        <v>26</v>
      </c>
      <c r="C96">
        <v>635</v>
      </c>
      <c r="D96">
        <v>1</v>
      </c>
      <c r="E96" t="s">
        <v>27</v>
      </c>
      <c r="F96" t="s">
        <v>28</v>
      </c>
      <c r="G96" t="str">
        <f>"2026-04-24 15:57:49.097"</f>
        <v>2026-04-24 15:57:49.097</v>
      </c>
      <c r="H96" t="s">
        <v>21</v>
      </c>
    </row>
    <row r="97" spans="1:10" x14ac:dyDescent="0.25">
      <c r="A97" s="1">
        <v>7</v>
      </c>
      <c r="B97" t="s">
        <v>29</v>
      </c>
      <c r="C97">
        <v>635</v>
      </c>
      <c r="D97">
        <v>1</v>
      </c>
      <c r="E97" t="s">
        <v>27</v>
      </c>
      <c r="F97" t="s">
        <v>28</v>
      </c>
      <c r="G97" t="str">
        <f>"2026-04-24 15:53:34.097"</f>
        <v>2026-04-24 15:53:34.097</v>
      </c>
      <c r="H97" t="s">
        <v>21</v>
      </c>
      <c r="I97">
        <v>6.03</v>
      </c>
      <c r="J97" t="s">
        <v>30</v>
      </c>
    </row>
    <row r="98" spans="1:10" x14ac:dyDescent="0.25">
      <c r="A98" s="1">
        <v>8</v>
      </c>
      <c r="B98" t="s">
        <v>26</v>
      </c>
      <c r="C98">
        <v>635</v>
      </c>
      <c r="D98">
        <v>1</v>
      </c>
      <c r="E98" t="s">
        <v>27</v>
      </c>
      <c r="F98" t="s">
        <v>28</v>
      </c>
      <c r="G98" t="str">
        <f>"2026-04-24 05:29:40.497"</f>
        <v>2026-04-24 05:29:40.497</v>
      </c>
      <c r="H98" t="s">
        <v>21</v>
      </c>
    </row>
    <row r="99" spans="1:10" x14ac:dyDescent="0.25">
      <c r="A99" s="1">
        <v>9</v>
      </c>
      <c r="B99" t="s">
        <v>29</v>
      </c>
      <c r="C99">
        <v>635</v>
      </c>
      <c r="D99">
        <v>1</v>
      </c>
      <c r="E99" t="s">
        <v>27</v>
      </c>
      <c r="F99" t="s">
        <v>28</v>
      </c>
      <c r="G99" t="str">
        <f>"2026-04-24 05:27:34.497"</f>
        <v>2026-04-24 05:27:34.497</v>
      </c>
      <c r="H99" t="s">
        <v>21</v>
      </c>
      <c r="I99">
        <v>7.24</v>
      </c>
      <c r="J99" t="s">
        <v>30</v>
      </c>
    </row>
    <row r="100" spans="1:10" x14ac:dyDescent="0.25">
      <c r="A100" s="1">
        <v>0</v>
      </c>
      <c r="B100" t="s">
        <v>26</v>
      </c>
      <c r="C100">
        <v>635</v>
      </c>
      <c r="D100">
        <v>1</v>
      </c>
      <c r="E100" t="s">
        <v>27</v>
      </c>
      <c r="F100" t="s">
        <v>28</v>
      </c>
      <c r="G100" t="str">
        <f>"2026-04-24 03:42:32.197"</f>
        <v>2026-04-24 03:42:32.197</v>
      </c>
      <c r="H100" t="s">
        <v>21</v>
      </c>
    </row>
    <row r="101" spans="1:10" x14ac:dyDescent="0.25">
      <c r="A101" s="1">
        <v>1</v>
      </c>
      <c r="B101" t="s">
        <v>29</v>
      </c>
      <c r="C101">
        <v>635</v>
      </c>
      <c r="D101">
        <v>1</v>
      </c>
      <c r="E101" t="s">
        <v>27</v>
      </c>
      <c r="F101" t="s">
        <v>28</v>
      </c>
      <c r="G101" t="str">
        <f>"2026-04-24 03:40:17.697"</f>
        <v>2026-04-24 03:40:17.697</v>
      </c>
      <c r="H101" t="s">
        <v>21</v>
      </c>
      <c r="I101">
        <v>5.25</v>
      </c>
      <c r="J101" t="s">
        <v>30</v>
      </c>
    </row>
    <row r="102" spans="1:10" x14ac:dyDescent="0.25">
      <c r="A102" s="1">
        <v>2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"2026-04-23 14:04:34.677"</f>
        <v>2026-04-23 14:04:34.677</v>
      </c>
      <c r="H102" t="s">
        <v>21</v>
      </c>
    </row>
    <row r="103" spans="1:10" x14ac:dyDescent="0.25">
      <c r="A103" s="1">
        <v>3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"2026-04-23 03:10:10.651"</f>
        <v>2026-04-23 03:10:10.651</v>
      </c>
      <c r="H103" t="s">
        <v>21</v>
      </c>
      <c r="I103">
        <v>0</v>
      </c>
      <c r="J103" t="s">
        <v>22</v>
      </c>
    </row>
    <row r="104" spans="1:10" x14ac:dyDescent="0.25">
      <c r="A104" s="1">
        <v>4</v>
      </c>
      <c r="B104" t="s">
        <v>26</v>
      </c>
      <c r="C104">
        <v>635</v>
      </c>
      <c r="D104">
        <v>1</v>
      </c>
      <c r="E104" t="s">
        <v>27</v>
      </c>
      <c r="F104" t="s">
        <v>28</v>
      </c>
      <c r="G104" t="str">
        <f>"2026-04-23 01:47:23.620"</f>
        <v>2026-04-23 01:47:23.620</v>
      </c>
      <c r="H104" t="s">
        <v>21</v>
      </c>
    </row>
    <row r="105" spans="1:10" x14ac:dyDescent="0.25">
      <c r="A105" s="1">
        <v>5</v>
      </c>
      <c r="B105" t="s">
        <v>29</v>
      </c>
      <c r="C105">
        <v>635</v>
      </c>
      <c r="D105">
        <v>1</v>
      </c>
      <c r="E105" t="s">
        <v>27</v>
      </c>
      <c r="F105" t="s">
        <v>28</v>
      </c>
      <c r="G105" t="str">
        <f>"2026-04-23 01:44:12.120"</f>
        <v>2026-04-23 01:44:12.120</v>
      </c>
      <c r="H105" t="s">
        <v>21</v>
      </c>
      <c r="I105">
        <v>8</v>
      </c>
      <c r="J105" t="s">
        <v>30</v>
      </c>
    </row>
    <row r="106" spans="1:10" x14ac:dyDescent="0.25">
      <c r="A106" s="1">
        <v>6</v>
      </c>
      <c r="B106" t="s">
        <v>26</v>
      </c>
      <c r="C106">
        <v>635</v>
      </c>
      <c r="D106">
        <v>1</v>
      </c>
      <c r="E106" t="s">
        <v>27</v>
      </c>
      <c r="F106" t="s">
        <v>28</v>
      </c>
      <c r="G106" t="str">
        <f>"2026-04-22 23:30:16.920"</f>
        <v>2026-04-22 23:30:16.920</v>
      </c>
      <c r="H106" t="s">
        <v>21</v>
      </c>
    </row>
    <row r="107" spans="1:10" x14ac:dyDescent="0.25">
      <c r="A107" s="1">
        <v>7</v>
      </c>
      <c r="B107" t="s">
        <v>29</v>
      </c>
      <c r="C107">
        <v>635</v>
      </c>
      <c r="D107">
        <v>1</v>
      </c>
      <c r="E107" t="s">
        <v>27</v>
      </c>
      <c r="F107" t="s">
        <v>28</v>
      </c>
      <c r="G107" t="str">
        <f>"2026-04-22 23:27:47.420"</f>
        <v>2026-04-22 23:27:47.420</v>
      </c>
      <c r="H107" t="s">
        <v>21</v>
      </c>
      <c r="I107">
        <v>6.73</v>
      </c>
      <c r="J107" t="s">
        <v>30</v>
      </c>
    </row>
    <row r="108" spans="1:10" x14ac:dyDescent="0.25">
      <c r="A108" s="1">
        <v>8</v>
      </c>
      <c r="B108" t="s">
        <v>19</v>
      </c>
      <c r="C108">
        <v>706</v>
      </c>
      <c r="D108">
        <v>2</v>
      </c>
      <c r="E108" t="s">
        <v>23</v>
      </c>
      <c r="F108" t="s">
        <v>24</v>
      </c>
      <c r="G108" t="str">
        <f>"2026-04-22 08:19:55.292"</f>
        <v>2026-04-22 08:19:55.292</v>
      </c>
      <c r="H108" t="s">
        <v>21</v>
      </c>
      <c r="I108">
        <v>0</v>
      </c>
      <c r="J108" t="s">
        <v>25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"2026-04-22 08:19:39.652"</f>
        <v>2026-04-22 08:19:39.652</v>
      </c>
      <c r="H109" t="s">
        <v>21</v>
      </c>
    </row>
    <row r="110" spans="1:10" x14ac:dyDescent="0.25">
      <c r="A110" s="1">
        <v>0</v>
      </c>
      <c r="B110" t="s">
        <v>26</v>
      </c>
      <c r="C110">
        <v>635</v>
      </c>
      <c r="D110">
        <v>1</v>
      </c>
      <c r="E110" t="s">
        <v>27</v>
      </c>
      <c r="F110" t="s">
        <v>28</v>
      </c>
      <c r="G110" t="str">
        <f>"2026-04-22 08:03:27.149"</f>
        <v>2026-04-22 08:03:27.149</v>
      </c>
      <c r="H110" t="s">
        <v>21</v>
      </c>
    </row>
    <row r="111" spans="1:10" x14ac:dyDescent="0.25">
      <c r="A111" s="1">
        <v>1</v>
      </c>
      <c r="B111" t="s">
        <v>29</v>
      </c>
      <c r="C111">
        <v>635</v>
      </c>
      <c r="D111">
        <v>1</v>
      </c>
      <c r="E111" t="s">
        <v>27</v>
      </c>
      <c r="F111" t="s">
        <v>28</v>
      </c>
      <c r="G111" t="str">
        <f>"2026-04-22 07:59:17.649"</f>
        <v>2026-04-22 07:59:17.649</v>
      </c>
      <c r="H111" t="s">
        <v>21</v>
      </c>
      <c r="I111">
        <v>5.34</v>
      </c>
      <c r="J111" t="s">
        <v>30</v>
      </c>
    </row>
    <row r="112" spans="1:10" x14ac:dyDescent="0.25">
      <c r="A112" s="1">
        <v>2</v>
      </c>
      <c r="B112" t="s">
        <v>19</v>
      </c>
      <c r="C112">
        <v>706</v>
      </c>
      <c r="D112">
        <v>2</v>
      </c>
      <c r="E112" t="s">
        <v>23</v>
      </c>
      <c r="F112" t="s">
        <v>24</v>
      </c>
      <c r="G112" t="str">
        <f>"2026-04-21 09:38:49.648"</f>
        <v>2026-04-21 09:38:49.648</v>
      </c>
      <c r="H112" t="s">
        <v>21</v>
      </c>
      <c r="I112">
        <v>0</v>
      </c>
      <c r="J112" t="s">
        <v>25</v>
      </c>
    </row>
    <row r="113" spans="1:10" x14ac:dyDescent="0.25">
      <c r="A113" s="1">
        <v>3</v>
      </c>
      <c r="B113" t="s">
        <v>26</v>
      </c>
      <c r="C113">
        <v>635</v>
      </c>
      <c r="D113">
        <v>1</v>
      </c>
      <c r="E113" t="s">
        <v>27</v>
      </c>
      <c r="F113" t="s">
        <v>28</v>
      </c>
      <c r="G113" t="str">
        <f>"2026-04-20 23:08:26.749"</f>
        <v>2026-04-20 23:08:26.749</v>
      </c>
      <c r="H113" t="s">
        <v>21</v>
      </c>
    </row>
    <row r="114" spans="1:10" x14ac:dyDescent="0.25">
      <c r="A114" s="1">
        <v>4</v>
      </c>
      <c r="B114" t="s">
        <v>29</v>
      </c>
      <c r="C114">
        <v>635</v>
      </c>
      <c r="D114">
        <v>1</v>
      </c>
      <c r="E114" t="s">
        <v>27</v>
      </c>
      <c r="F114" t="s">
        <v>28</v>
      </c>
      <c r="G114" t="str">
        <f>"2026-04-20 23:05:46.749"</f>
        <v>2026-04-20 23:05:46.749</v>
      </c>
      <c r="H114" t="s">
        <v>21</v>
      </c>
      <c r="I114">
        <v>2.48</v>
      </c>
      <c r="J114" t="s">
        <v>30</v>
      </c>
    </row>
    <row r="115" spans="1:10" x14ac:dyDescent="0.25">
      <c r="A115" s="1">
        <v>5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"2026-04-20 21:23:07.688"</f>
        <v>2026-04-20 21:23:07.688</v>
      </c>
      <c r="H115" t="s">
        <v>21</v>
      </c>
      <c r="I115">
        <v>0</v>
      </c>
      <c r="J115" t="s">
        <v>22</v>
      </c>
    </row>
    <row r="116" spans="1:10" x14ac:dyDescent="0.25">
      <c r="A116" s="1">
        <v>6</v>
      </c>
      <c r="B116" t="s">
        <v>26</v>
      </c>
      <c r="C116">
        <v>635</v>
      </c>
      <c r="D116">
        <v>1</v>
      </c>
      <c r="E116" t="s">
        <v>27</v>
      </c>
      <c r="F116" t="s">
        <v>28</v>
      </c>
      <c r="G116" t="str">
        <f>"2026-04-20 16:00:17.802"</f>
        <v>2026-04-20 16:00:17.802</v>
      </c>
      <c r="H116" t="s">
        <v>21</v>
      </c>
    </row>
    <row r="117" spans="1:10" x14ac:dyDescent="0.25">
      <c r="A117" s="1">
        <v>7</v>
      </c>
      <c r="B117" t="s">
        <v>29</v>
      </c>
      <c r="C117">
        <v>635</v>
      </c>
      <c r="D117">
        <v>1</v>
      </c>
      <c r="E117" t="s">
        <v>27</v>
      </c>
      <c r="F117" t="s">
        <v>28</v>
      </c>
      <c r="G117" t="str">
        <f>"2026-04-20 15:51:54.302"</f>
        <v>2026-04-20 15:51:54.302</v>
      </c>
      <c r="H117" t="s">
        <v>21</v>
      </c>
      <c r="I117">
        <v>3.94</v>
      </c>
      <c r="J117" t="s">
        <v>30</v>
      </c>
    </row>
    <row r="118" spans="1:10" x14ac:dyDescent="0.25">
      <c r="A118" s="1">
        <v>8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"2026-04-19 13:26:19.655"</f>
        <v>2026-04-19 13:26:19.655</v>
      </c>
      <c r="H118" t="s">
        <v>21</v>
      </c>
    </row>
    <row r="119" spans="1:10" x14ac:dyDescent="0.25">
      <c r="A119" s="1">
        <v>9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"2026-04-19 11:10:46.668"</f>
        <v>2026-04-19 11:10:46.668</v>
      </c>
      <c r="H119" t="s">
        <v>21</v>
      </c>
      <c r="I119">
        <v>0</v>
      </c>
      <c r="J119" t="s">
        <v>22</v>
      </c>
    </row>
    <row r="120" spans="1:10" x14ac:dyDescent="0.25">
      <c r="A120" s="1">
        <v>10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"2026-04-18 13:48:32.844"</f>
        <v>2026-04-18 13:48:32.844</v>
      </c>
      <c r="H120" t="s">
        <v>21</v>
      </c>
      <c r="I120">
        <v>0</v>
      </c>
      <c r="J120" t="s">
        <v>22</v>
      </c>
    </row>
    <row r="121" spans="1:10" x14ac:dyDescent="0.25">
      <c r="A121" s="1">
        <v>11</v>
      </c>
      <c r="B121" t="s">
        <v>26</v>
      </c>
      <c r="C121">
        <v>635</v>
      </c>
      <c r="D121">
        <v>1</v>
      </c>
      <c r="E121" t="s">
        <v>27</v>
      </c>
      <c r="F121" t="s">
        <v>28</v>
      </c>
      <c r="G121" t="str">
        <f>"2026-04-17 14:14:38.469"</f>
        <v>2026-04-17 14:14:38.469</v>
      </c>
      <c r="H121" t="s">
        <v>21</v>
      </c>
    </row>
    <row r="122" spans="1:10" x14ac:dyDescent="0.25">
      <c r="A122" s="1">
        <v>12</v>
      </c>
      <c r="B122" t="s">
        <v>29</v>
      </c>
      <c r="C122">
        <v>635</v>
      </c>
      <c r="D122">
        <v>1</v>
      </c>
      <c r="E122" t="s">
        <v>27</v>
      </c>
      <c r="F122" t="s">
        <v>28</v>
      </c>
      <c r="G122" t="str">
        <f>"2026-04-17 14:03:57.468"</f>
        <v>2026-04-17 14:03:57.468</v>
      </c>
      <c r="H122" t="s">
        <v>21</v>
      </c>
      <c r="I122">
        <v>3.48</v>
      </c>
      <c r="J122" t="s">
        <v>30</v>
      </c>
    </row>
    <row r="123" spans="1:10" s="3" customFormat="1" x14ac:dyDescent="0.25">
      <c r="A123" s="2">
        <v>13</v>
      </c>
      <c r="B123" s="3" t="s">
        <v>26</v>
      </c>
      <c r="C123" s="3">
        <v>647</v>
      </c>
      <c r="D123" s="3">
        <v>1</v>
      </c>
      <c r="E123" s="3" t="s">
        <v>40</v>
      </c>
      <c r="F123" s="3" t="s">
        <v>41</v>
      </c>
      <c r="G123" s="3" t="str">
        <f>"2026-04-17 11:42:07.316"</f>
        <v>2026-04-17 11:42:07.316</v>
      </c>
      <c r="H123" s="3" t="s">
        <v>21</v>
      </c>
    </row>
    <row r="124" spans="1:10" s="3" customFormat="1" x14ac:dyDescent="0.25">
      <c r="A124" s="2">
        <v>14</v>
      </c>
      <c r="B124" s="3" t="s">
        <v>29</v>
      </c>
      <c r="C124" s="3">
        <v>647</v>
      </c>
      <c r="D124" s="3">
        <v>1</v>
      </c>
      <c r="E124" s="3" t="s">
        <v>40</v>
      </c>
      <c r="F124" s="3" t="s">
        <v>41</v>
      </c>
      <c r="G124" s="3" t="str">
        <f>"2026-04-17 11:42:06.016"</f>
        <v>2026-04-17 11:42:06.016</v>
      </c>
      <c r="H124" s="3" t="s">
        <v>21</v>
      </c>
      <c r="I124" s="3">
        <v>9.6300000000000008</v>
      </c>
      <c r="J124" s="3" t="s">
        <v>32</v>
      </c>
    </row>
    <row r="125" spans="1:10" x14ac:dyDescent="0.25">
      <c r="A125" s="1">
        <v>15</v>
      </c>
      <c r="B125" t="s">
        <v>26</v>
      </c>
      <c r="C125">
        <v>635</v>
      </c>
      <c r="D125">
        <v>1</v>
      </c>
      <c r="E125" t="s">
        <v>27</v>
      </c>
      <c r="F125" t="s">
        <v>28</v>
      </c>
      <c r="G125" t="str">
        <f>"2026-04-16 23:27:55.168"</f>
        <v>2026-04-16 23:27:55.168</v>
      </c>
      <c r="H125" t="s">
        <v>21</v>
      </c>
    </row>
    <row r="126" spans="1:10" x14ac:dyDescent="0.25">
      <c r="A126" s="1">
        <v>16</v>
      </c>
      <c r="B126" t="s">
        <v>29</v>
      </c>
      <c r="C126">
        <v>635</v>
      </c>
      <c r="D126">
        <v>1</v>
      </c>
      <c r="E126" t="s">
        <v>27</v>
      </c>
      <c r="F126" t="s">
        <v>28</v>
      </c>
      <c r="G126" t="str">
        <f>"2026-04-16 23:25:25.268"</f>
        <v>2026-04-16 23:25:25.268</v>
      </c>
      <c r="H126" t="s">
        <v>21</v>
      </c>
      <c r="I126">
        <v>4.4400000000000004</v>
      </c>
      <c r="J126" t="s">
        <v>30</v>
      </c>
    </row>
    <row r="127" spans="1:10" x14ac:dyDescent="0.25">
      <c r="A127" s="1">
        <v>17</v>
      </c>
      <c r="B127" t="s">
        <v>26</v>
      </c>
      <c r="C127">
        <v>635</v>
      </c>
      <c r="D127">
        <v>1</v>
      </c>
      <c r="E127" t="s">
        <v>27</v>
      </c>
      <c r="F127" t="s">
        <v>28</v>
      </c>
      <c r="G127" t="str">
        <f>"2026-04-16 17:13:04.468"</f>
        <v>2026-04-16 17:13:04.468</v>
      </c>
      <c r="H127" t="s">
        <v>21</v>
      </c>
    </row>
    <row r="128" spans="1:10" x14ac:dyDescent="0.25">
      <c r="A128" s="1">
        <v>18</v>
      </c>
      <c r="B128" t="s">
        <v>29</v>
      </c>
      <c r="C128">
        <v>635</v>
      </c>
      <c r="D128">
        <v>1</v>
      </c>
      <c r="E128" t="s">
        <v>27</v>
      </c>
      <c r="F128" t="s">
        <v>28</v>
      </c>
      <c r="G128" t="str">
        <f>"2026-04-16 17:06:53.469"</f>
        <v>2026-04-16 17:06:53.469</v>
      </c>
      <c r="H128" t="s">
        <v>21</v>
      </c>
      <c r="I128">
        <v>6.83</v>
      </c>
      <c r="J128" t="s">
        <v>30</v>
      </c>
    </row>
    <row r="129" spans="1:10" x14ac:dyDescent="0.25">
      <c r="A129" s="1">
        <v>19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"2026-04-16 13:35:24.668"</f>
        <v>2026-04-16 13:35:24.668</v>
      </c>
      <c r="H129" t="s">
        <v>21</v>
      </c>
      <c r="I129">
        <v>0</v>
      </c>
      <c r="J129" t="s">
        <v>22</v>
      </c>
    </row>
    <row r="130" spans="1:10" x14ac:dyDescent="0.25">
      <c r="A130" s="1">
        <v>20</v>
      </c>
      <c r="B130" t="s">
        <v>26</v>
      </c>
      <c r="C130">
        <v>635</v>
      </c>
      <c r="D130">
        <v>1</v>
      </c>
      <c r="E130" t="s">
        <v>27</v>
      </c>
      <c r="F130" t="s">
        <v>28</v>
      </c>
      <c r="G130" t="str">
        <f>"2026-04-16 12:29:25.473"</f>
        <v>2026-04-16 12:29:25.473</v>
      </c>
      <c r="H130" t="s">
        <v>21</v>
      </c>
    </row>
    <row r="131" spans="1:10" x14ac:dyDescent="0.25">
      <c r="A131" s="1">
        <v>21</v>
      </c>
      <c r="B131" t="s">
        <v>29</v>
      </c>
      <c r="C131">
        <v>635</v>
      </c>
      <c r="D131">
        <v>1</v>
      </c>
      <c r="E131" t="s">
        <v>27</v>
      </c>
      <c r="F131" t="s">
        <v>28</v>
      </c>
      <c r="G131" t="str">
        <f>"2026-04-16 12:21:07.973"</f>
        <v>2026-04-16 12:21:07.973</v>
      </c>
      <c r="H131" t="s">
        <v>21</v>
      </c>
      <c r="I131">
        <v>1.76</v>
      </c>
      <c r="J131" t="s">
        <v>30</v>
      </c>
    </row>
    <row r="132" spans="1:10" x14ac:dyDescent="0.25">
      <c r="A132" s="1">
        <v>22</v>
      </c>
      <c r="B132" t="s">
        <v>26</v>
      </c>
      <c r="C132">
        <v>635</v>
      </c>
      <c r="D132">
        <v>1</v>
      </c>
      <c r="E132" t="s">
        <v>27</v>
      </c>
      <c r="F132" t="s">
        <v>28</v>
      </c>
      <c r="G132" t="str">
        <f>"2026-04-15 21:48:12.773"</f>
        <v>2026-04-15 21:48:12.773</v>
      </c>
      <c r="H132" t="s">
        <v>21</v>
      </c>
    </row>
    <row r="133" spans="1:10" x14ac:dyDescent="0.25">
      <c r="A133" s="1">
        <v>23</v>
      </c>
      <c r="B133" t="s">
        <v>29</v>
      </c>
      <c r="C133">
        <v>635</v>
      </c>
      <c r="D133">
        <v>1</v>
      </c>
      <c r="E133" t="s">
        <v>27</v>
      </c>
      <c r="F133" t="s">
        <v>28</v>
      </c>
      <c r="G133" t="str">
        <f>"2026-04-15 21:44:44.273"</f>
        <v>2026-04-15 21:44:44.273</v>
      </c>
      <c r="H133" t="s">
        <v>21</v>
      </c>
      <c r="I133">
        <v>6.67</v>
      </c>
      <c r="J133" t="s">
        <v>30</v>
      </c>
    </row>
    <row r="134" spans="1:10" x14ac:dyDescent="0.25">
      <c r="A134" s="1">
        <v>24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"2026-04-15 20:06:31.651"</f>
        <v>2026-04-15 20:06:31.651</v>
      </c>
      <c r="H134" t="s">
        <v>21</v>
      </c>
      <c r="I134">
        <v>0</v>
      </c>
      <c r="J134" t="s">
        <v>22</v>
      </c>
    </row>
    <row r="135" spans="1:10" x14ac:dyDescent="0.25">
      <c r="A135" s="1">
        <v>25</v>
      </c>
      <c r="B135" t="s">
        <v>19</v>
      </c>
      <c r="C135">
        <v>706</v>
      </c>
      <c r="D135">
        <v>2</v>
      </c>
      <c r="E135" t="s">
        <v>23</v>
      </c>
      <c r="F135" t="s">
        <v>24</v>
      </c>
      <c r="G135" t="str">
        <f>"2026-04-15 18:51:04.676"</f>
        <v>2026-04-15 18:51:04.676</v>
      </c>
      <c r="H135" t="s">
        <v>21</v>
      </c>
      <c r="I135">
        <v>0</v>
      </c>
      <c r="J135" t="s">
        <v>25</v>
      </c>
    </row>
    <row r="136" spans="1:10" x14ac:dyDescent="0.25">
      <c r="A136" s="1">
        <v>26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"2026-04-15 18:24:08.646"</f>
        <v>2026-04-15 18:24:08.646</v>
      </c>
      <c r="H136" t="s">
        <v>21</v>
      </c>
    </row>
    <row r="137" spans="1:10" x14ac:dyDescent="0.25">
      <c r="A137" s="1">
        <v>27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"2026-04-15 17:58:39.671"</f>
        <v>2026-04-15 17:58:39.671</v>
      </c>
      <c r="H137" t="s">
        <v>21</v>
      </c>
      <c r="I137">
        <v>0</v>
      </c>
      <c r="J137" t="s">
        <v>22</v>
      </c>
    </row>
    <row r="138" spans="1:10" x14ac:dyDescent="0.25">
      <c r="A138" s="1">
        <v>28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"2026-04-15 17:21:18.929"</f>
        <v>2026-04-15 17:21:18.929</v>
      </c>
      <c r="H138" t="s">
        <v>21</v>
      </c>
      <c r="I138">
        <v>0</v>
      </c>
      <c r="J138" t="s">
        <v>22</v>
      </c>
    </row>
    <row r="139" spans="1:10" x14ac:dyDescent="0.25">
      <c r="A139" s="1">
        <v>29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"2026-04-15 14:03:24.655"</f>
        <v>2026-04-15 14:03:24.655</v>
      </c>
      <c r="H139" t="s">
        <v>21</v>
      </c>
    </row>
    <row r="140" spans="1:10" x14ac:dyDescent="0.25">
      <c r="A140" s="1">
        <v>30</v>
      </c>
      <c r="B140" t="s">
        <v>26</v>
      </c>
      <c r="C140">
        <v>635</v>
      </c>
      <c r="D140">
        <v>1</v>
      </c>
      <c r="E140" t="s">
        <v>27</v>
      </c>
      <c r="F140" t="s">
        <v>28</v>
      </c>
      <c r="G140" t="str">
        <f>"2026-04-15 08:14:35.229"</f>
        <v>2026-04-15 08:14:35.229</v>
      </c>
      <c r="H140" t="s">
        <v>21</v>
      </c>
    </row>
    <row r="141" spans="1:10" x14ac:dyDescent="0.25">
      <c r="A141" s="1">
        <v>31</v>
      </c>
      <c r="B141" t="s">
        <v>29</v>
      </c>
      <c r="C141">
        <v>635</v>
      </c>
      <c r="D141">
        <v>1</v>
      </c>
      <c r="E141" t="s">
        <v>27</v>
      </c>
      <c r="F141" t="s">
        <v>28</v>
      </c>
      <c r="G141" t="str">
        <f>"2026-04-15 08:10:45.729"</f>
        <v>2026-04-15 08:10:45.729</v>
      </c>
      <c r="H141" t="s">
        <v>21</v>
      </c>
      <c r="I141">
        <v>3.57</v>
      </c>
      <c r="J141" t="s">
        <v>32</v>
      </c>
    </row>
    <row r="142" spans="1:10" x14ac:dyDescent="0.25">
      <c r="A142" s="1">
        <v>32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"2026-04-14 13:03:01.859"</f>
        <v>2026-04-14 13:03:01.859</v>
      </c>
      <c r="H142" t="s">
        <v>21</v>
      </c>
    </row>
    <row r="143" spans="1:10" x14ac:dyDescent="0.25">
      <c r="A143" s="1">
        <v>33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"2026-04-12 12:33:26.680"</f>
        <v>2026-04-12 12:33:26.680</v>
      </c>
      <c r="H143" t="s">
        <v>21</v>
      </c>
      <c r="I143">
        <v>0</v>
      </c>
      <c r="J143" t="s">
        <v>22</v>
      </c>
    </row>
    <row r="144" spans="1:10" x14ac:dyDescent="0.25">
      <c r="A144" s="1">
        <v>34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"2026-04-11 13:20:09.855"</f>
        <v>2026-04-11 13:20:09.855</v>
      </c>
      <c r="H144" t="s">
        <v>21</v>
      </c>
    </row>
    <row r="145" spans="1:10" s="3" customFormat="1" x14ac:dyDescent="0.25">
      <c r="A145" s="2">
        <v>35</v>
      </c>
      <c r="B145" s="3" t="s">
        <v>26</v>
      </c>
      <c r="C145" s="3">
        <v>647</v>
      </c>
      <c r="D145" s="3">
        <v>1</v>
      </c>
      <c r="E145" s="3" t="s">
        <v>40</v>
      </c>
      <c r="F145" s="3" t="s">
        <v>41</v>
      </c>
      <c r="G145" s="3" t="str">
        <f>"2026-04-11 09:42:04.235"</f>
        <v>2026-04-11 09:42:04.235</v>
      </c>
      <c r="H145" s="3" t="s">
        <v>21</v>
      </c>
    </row>
    <row r="146" spans="1:10" s="3" customFormat="1" x14ac:dyDescent="0.25">
      <c r="A146" s="2">
        <v>36</v>
      </c>
      <c r="B146" s="3" t="s">
        <v>29</v>
      </c>
      <c r="C146" s="3">
        <v>647</v>
      </c>
      <c r="D146" s="3">
        <v>1</v>
      </c>
      <c r="E146" s="3" t="s">
        <v>40</v>
      </c>
      <c r="F146" s="3" t="s">
        <v>41</v>
      </c>
      <c r="G146" s="3" t="str">
        <f>"2026-04-11 09:42:03.135"</f>
        <v>2026-04-11 09:42:03.135</v>
      </c>
      <c r="H146" s="3" t="s">
        <v>21</v>
      </c>
      <c r="I146" s="3">
        <v>13.9</v>
      </c>
      <c r="J146" s="3" t="s">
        <v>32</v>
      </c>
    </row>
    <row r="147" spans="1:10" x14ac:dyDescent="0.25">
      <c r="A147" s="1">
        <v>37</v>
      </c>
      <c r="B147" t="s">
        <v>26</v>
      </c>
      <c r="C147">
        <v>635</v>
      </c>
      <c r="D147">
        <v>1</v>
      </c>
      <c r="E147" t="s">
        <v>27</v>
      </c>
      <c r="F147" t="s">
        <v>28</v>
      </c>
      <c r="G147" t="str">
        <f>"2026-04-11 05:29:59.087"</f>
        <v>2026-04-11 05:29:59.087</v>
      </c>
      <c r="H147" t="s">
        <v>21</v>
      </c>
    </row>
    <row r="148" spans="1:10" x14ac:dyDescent="0.25">
      <c r="A148" s="1">
        <v>38</v>
      </c>
      <c r="B148" t="s">
        <v>29</v>
      </c>
      <c r="C148">
        <v>635</v>
      </c>
      <c r="D148">
        <v>1</v>
      </c>
      <c r="E148" t="s">
        <v>27</v>
      </c>
      <c r="F148" t="s">
        <v>28</v>
      </c>
      <c r="G148" t="str">
        <f>"2026-04-11 05:24:59.587"</f>
        <v>2026-04-11 05:24:59.587</v>
      </c>
      <c r="H148" t="s">
        <v>21</v>
      </c>
      <c r="I148">
        <v>-0.88</v>
      </c>
      <c r="J148" t="s">
        <v>30</v>
      </c>
    </row>
    <row r="149" spans="1:10" x14ac:dyDescent="0.25">
      <c r="A149" s="1">
        <v>39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"2026-04-10 13:52:08.668"</f>
        <v>2026-04-10 13:52:08.668</v>
      </c>
      <c r="H149" t="s">
        <v>21</v>
      </c>
      <c r="I149">
        <v>0</v>
      </c>
      <c r="J149" t="s">
        <v>22</v>
      </c>
    </row>
    <row r="150" spans="1:10" x14ac:dyDescent="0.25">
      <c r="A150" s="1">
        <v>40</v>
      </c>
      <c r="B150" t="s">
        <v>26</v>
      </c>
      <c r="C150">
        <v>635</v>
      </c>
      <c r="D150">
        <v>1</v>
      </c>
      <c r="E150" t="s">
        <v>27</v>
      </c>
      <c r="F150" t="s">
        <v>28</v>
      </c>
      <c r="G150" t="str">
        <f>"2026-04-10 05:33:08.821"</f>
        <v>2026-04-10 05:33:08.821</v>
      </c>
      <c r="H150" t="s">
        <v>21</v>
      </c>
    </row>
    <row r="151" spans="1:10" x14ac:dyDescent="0.25">
      <c r="A151" s="1">
        <v>41</v>
      </c>
      <c r="B151" t="s">
        <v>29</v>
      </c>
      <c r="C151">
        <v>635</v>
      </c>
      <c r="D151">
        <v>1</v>
      </c>
      <c r="E151" t="s">
        <v>27</v>
      </c>
      <c r="F151" t="s">
        <v>28</v>
      </c>
      <c r="G151" t="str">
        <f>"2026-04-10 05:29:07.821"</f>
        <v>2026-04-10 05:29:07.821</v>
      </c>
      <c r="H151" t="s">
        <v>21</v>
      </c>
      <c r="I151">
        <v>6.54</v>
      </c>
      <c r="J151" t="s">
        <v>30</v>
      </c>
    </row>
    <row r="152" spans="1:10" x14ac:dyDescent="0.25">
      <c r="A152" s="1">
        <v>42</v>
      </c>
      <c r="B152" t="s">
        <v>26</v>
      </c>
      <c r="C152">
        <v>635</v>
      </c>
      <c r="D152">
        <v>1</v>
      </c>
      <c r="E152" t="s">
        <v>27</v>
      </c>
      <c r="F152" t="s">
        <v>28</v>
      </c>
      <c r="G152" t="str">
        <f>"2026-04-08 22:32:24.920"</f>
        <v>2026-04-08 22:32:24.920</v>
      </c>
      <c r="H152" t="s">
        <v>21</v>
      </c>
    </row>
    <row r="153" spans="1:10" x14ac:dyDescent="0.25">
      <c r="A153" s="1">
        <v>43</v>
      </c>
      <c r="B153" t="s">
        <v>29</v>
      </c>
      <c r="C153">
        <v>635</v>
      </c>
      <c r="D153">
        <v>1</v>
      </c>
      <c r="E153" t="s">
        <v>27</v>
      </c>
      <c r="F153" t="s">
        <v>28</v>
      </c>
      <c r="G153" t="str">
        <f>"2026-04-08 22:29:08.921"</f>
        <v>2026-04-08 22:29:08.921</v>
      </c>
      <c r="H153" t="s">
        <v>21</v>
      </c>
      <c r="I153">
        <v>4.66</v>
      </c>
      <c r="J153" t="s">
        <v>30</v>
      </c>
    </row>
    <row r="154" spans="1:10" s="3" customFormat="1" x14ac:dyDescent="0.25">
      <c r="A154" s="2">
        <v>44</v>
      </c>
      <c r="B154" s="3" t="s">
        <v>26</v>
      </c>
      <c r="C154" s="3">
        <v>647</v>
      </c>
      <c r="D154" s="3">
        <v>1</v>
      </c>
      <c r="E154" s="3" t="s">
        <v>40</v>
      </c>
      <c r="F154" s="3" t="s">
        <v>41</v>
      </c>
      <c r="G154" s="3" t="str">
        <f>"2026-04-08 15:22:10.475"</f>
        <v>2026-04-08 15:22:10.475</v>
      </c>
      <c r="H154" s="3" t="s">
        <v>21</v>
      </c>
    </row>
    <row r="155" spans="1:10" s="3" customFormat="1" x14ac:dyDescent="0.25">
      <c r="A155" s="2">
        <v>45</v>
      </c>
      <c r="B155" s="3" t="s">
        <v>29</v>
      </c>
      <c r="C155" s="3">
        <v>647</v>
      </c>
      <c r="D155" s="3">
        <v>1</v>
      </c>
      <c r="E155" s="3" t="s">
        <v>40</v>
      </c>
      <c r="F155" s="3" t="s">
        <v>41</v>
      </c>
      <c r="G155" s="3" t="str">
        <f>"2026-04-08 15:22:07.975"</f>
        <v>2026-04-08 15:22:07.975</v>
      </c>
      <c r="H155" s="3" t="s">
        <v>21</v>
      </c>
      <c r="I155" s="3">
        <v>8.69</v>
      </c>
      <c r="J155" s="3" t="s">
        <v>32</v>
      </c>
    </row>
    <row r="156" spans="1:10" x14ac:dyDescent="0.25">
      <c r="A156" s="1">
        <v>46</v>
      </c>
      <c r="B156" t="s">
        <v>19</v>
      </c>
      <c r="C156">
        <v>706</v>
      </c>
      <c r="D156">
        <v>4</v>
      </c>
      <c r="E156" t="s">
        <v>23</v>
      </c>
      <c r="F156" t="s">
        <v>38</v>
      </c>
      <c r="G156" t="str">
        <f>"2026-04-08 10:32:12.240"</f>
        <v>2026-04-08 10:32:12.240</v>
      </c>
      <c r="H156" t="s">
        <v>21</v>
      </c>
      <c r="I156">
        <v>0</v>
      </c>
      <c r="J156" t="s">
        <v>25</v>
      </c>
    </row>
    <row r="157" spans="1:10" x14ac:dyDescent="0.25">
      <c r="A157" s="1">
        <v>47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"2026-04-08 10:19:04.690"</f>
        <v>2026-04-08 10:19:04.690</v>
      </c>
      <c r="H157" t="s">
        <v>21</v>
      </c>
      <c r="I157">
        <v>0</v>
      </c>
      <c r="J157" t="s">
        <v>22</v>
      </c>
    </row>
    <row r="158" spans="1:10" x14ac:dyDescent="0.25">
      <c r="A158" s="1">
        <v>48</v>
      </c>
      <c r="B158" t="s">
        <v>26</v>
      </c>
      <c r="C158">
        <v>635</v>
      </c>
      <c r="D158">
        <v>1</v>
      </c>
      <c r="E158" t="s">
        <v>27</v>
      </c>
      <c r="F158" t="s">
        <v>28</v>
      </c>
      <c r="G158" t="str">
        <f>"2026-04-06 20:56:48.535"</f>
        <v>2026-04-06 20:56:48.535</v>
      </c>
      <c r="H158" t="s">
        <v>21</v>
      </c>
    </row>
    <row r="159" spans="1:10" x14ac:dyDescent="0.25">
      <c r="A159" s="1">
        <v>49</v>
      </c>
      <c r="B159" t="s">
        <v>29</v>
      </c>
      <c r="C159">
        <v>635</v>
      </c>
      <c r="D159">
        <v>1</v>
      </c>
      <c r="E159" t="s">
        <v>27</v>
      </c>
      <c r="F159" t="s">
        <v>28</v>
      </c>
      <c r="G159" t="str">
        <f>"2026-04-06 20:52:23.035"</f>
        <v>2026-04-06 20:52:23.035</v>
      </c>
      <c r="H159" t="s">
        <v>21</v>
      </c>
      <c r="I159">
        <v>8.0500000000000007</v>
      </c>
      <c r="J159" t="s">
        <v>30</v>
      </c>
    </row>
    <row r="160" spans="1:10" x14ac:dyDescent="0.25">
      <c r="A160" s="1">
        <v>50</v>
      </c>
      <c r="B160" t="s">
        <v>26</v>
      </c>
      <c r="C160">
        <v>635</v>
      </c>
      <c r="D160">
        <v>1</v>
      </c>
      <c r="E160" t="s">
        <v>27</v>
      </c>
      <c r="F160" t="s">
        <v>28</v>
      </c>
      <c r="G160" t="str">
        <f>"2026-04-06 18:55:00.335"</f>
        <v>2026-04-06 18:55:00.335</v>
      </c>
      <c r="H160" t="s">
        <v>21</v>
      </c>
    </row>
    <row r="161" spans="1:10" x14ac:dyDescent="0.25">
      <c r="A161" s="1">
        <v>51</v>
      </c>
      <c r="B161" t="s">
        <v>29</v>
      </c>
      <c r="C161">
        <v>635</v>
      </c>
      <c r="D161">
        <v>1</v>
      </c>
      <c r="E161" t="s">
        <v>27</v>
      </c>
      <c r="F161" t="s">
        <v>28</v>
      </c>
      <c r="G161" t="str">
        <f>"2026-04-06 18:51:29.835"</f>
        <v>2026-04-06 18:51:29.835</v>
      </c>
      <c r="H161" t="s">
        <v>21</v>
      </c>
      <c r="I161">
        <v>6.21</v>
      </c>
      <c r="J161" t="s">
        <v>30</v>
      </c>
    </row>
    <row r="162" spans="1:10" s="3" customFormat="1" x14ac:dyDescent="0.25">
      <c r="A162" s="2">
        <v>52</v>
      </c>
      <c r="B162" s="3" t="s">
        <v>26</v>
      </c>
      <c r="C162" s="3">
        <v>647</v>
      </c>
      <c r="D162" s="3">
        <v>1</v>
      </c>
      <c r="E162" s="3" t="s">
        <v>40</v>
      </c>
      <c r="F162" s="3" t="s">
        <v>41</v>
      </c>
      <c r="G162" s="3" t="str">
        <f>"2026-04-05 18:19:49.436"</f>
        <v>2026-04-05 18:19:49.436</v>
      </c>
      <c r="H162" s="3" t="s">
        <v>21</v>
      </c>
    </row>
    <row r="163" spans="1:10" s="3" customFormat="1" x14ac:dyDescent="0.25">
      <c r="A163" s="2">
        <v>53</v>
      </c>
      <c r="B163" s="3" t="s">
        <v>29</v>
      </c>
      <c r="C163" s="3">
        <v>647</v>
      </c>
      <c r="D163" s="3">
        <v>1</v>
      </c>
      <c r="E163" s="3" t="s">
        <v>40</v>
      </c>
      <c r="F163" s="3" t="s">
        <v>41</v>
      </c>
      <c r="G163" s="3" t="str">
        <f>"2026-04-05 18:19:47.636"</f>
        <v>2026-04-05 18:19:47.636</v>
      </c>
      <c r="H163" s="3" t="s">
        <v>21</v>
      </c>
      <c r="I163" s="3">
        <v>9.7200000000000006</v>
      </c>
      <c r="J163" s="3" t="s">
        <v>31</v>
      </c>
    </row>
    <row r="164" spans="1:10" x14ac:dyDescent="0.25">
      <c r="A164" s="1">
        <v>54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"2026-04-05 13:09:53.664"</f>
        <v>2026-04-05 13:09:53.664</v>
      </c>
      <c r="H164" t="s">
        <v>21</v>
      </c>
      <c r="I164">
        <v>0</v>
      </c>
      <c r="J164" t="s">
        <v>22</v>
      </c>
    </row>
    <row r="165" spans="1:10" x14ac:dyDescent="0.25">
      <c r="A165" s="1">
        <v>55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"2026-04-05 11:56:09.660"</f>
        <v>2026-04-05 11:56:09.660</v>
      </c>
      <c r="H165" t="s">
        <v>21</v>
      </c>
    </row>
    <row r="166" spans="1:10" x14ac:dyDescent="0.25">
      <c r="A166" s="1">
        <v>56</v>
      </c>
      <c r="B166" t="s">
        <v>19</v>
      </c>
      <c r="C166">
        <v>706</v>
      </c>
      <c r="D166">
        <v>4</v>
      </c>
      <c r="E166" t="s">
        <v>23</v>
      </c>
      <c r="F166" t="s">
        <v>38</v>
      </c>
      <c r="G166" t="str">
        <f>"2026-04-05 09:55:18.849"</f>
        <v>2026-04-05 09:55:18.849</v>
      </c>
      <c r="H166" t="s">
        <v>21</v>
      </c>
      <c r="I166">
        <v>0</v>
      </c>
      <c r="J166" t="s">
        <v>25</v>
      </c>
    </row>
    <row r="167" spans="1:10" x14ac:dyDescent="0.25">
      <c r="A167" s="1">
        <v>57</v>
      </c>
      <c r="B167" t="s">
        <v>19</v>
      </c>
      <c r="C167">
        <v>706</v>
      </c>
      <c r="D167">
        <v>4</v>
      </c>
      <c r="E167" t="s">
        <v>23</v>
      </c>
      <c r="F167" t="s">
        <v>38</v>
      </c>
      <c r="G167" t="str">
        <f>"2026-04-05 08:57:11.759"</f>
        <v>2026-04-05 08:57:11.759</v>
      </c>
      <c r="H167" t="s">
        <v>21</v>
      </c>
      <c r="I167">
        <v>0</v>
      </c>
      <c r="J167" t="s">
        <v>25</v>
      </c>
    </row>
    <row r="168" spans="1:10" x14ac:dyDescent="0.25">
      <c r="A168" s="1">
        <v>58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"2026-04-05 08:20:51.749"</f>
        <v>2026-04-05 08:20:51.749</v>
      </c>
      <c r="H168" t="s">
        <v>21</v>
      </c>
    </row>
    <row r="169" spans="1:10" x14ac:dyDescent="0.25">
      <c r="A169" s="1">
        <v>59</v>
      </c>
      <c r="B169" t="s">
        <v>26</v>
      </c>
      <c r="C169">
        <v>619</v>
      </c>
      <c r="D169">
        <v>1</v>
      </c>
      <c r="E169" t="s">
        <v>42</v>
      </c>
      <c r="F169" t="s">
        <v>28</v>
      </c>
      <c r="G169" t="str">
        <f>"2026-04-05 08:18:36.483"</f>
        <v>2026-04-05 08:18:36.483</v>
      </c>
      <c r="H169" t="s">
        <v>43</v>
      </c>
    </row>
    <row r="170" spans="1:10" x14ac:dyDescent="0.25">
      <c r="A170" s="1">
        <v>60</v>
      </c>
      <c r="B170" t="s">
        <v>29</v>
      </c>
      <c r="C170">
        <v>619</v>
      </c>
      <c r="D170">
        <v>1</v>
      </c>
      <c r="E170" t="s">
        <v>42</v>
      </c>
      <c r="F170" t="s">
        <v>28</v>
      </c>
      <c r="G170" t="str">
        <f>"2026-04-05 08:17:46.083"</f>
        <v>2026-04-05 08:17:46.083</v>
      </c>
      <c r="H170" t="s">
        <v>43</v>
      </c>
      <c r="I170">
        <v>4.78</v>
      </c>
      <c r="J170" t="s">
        <v>30</v>
      </c>
    </row>
    <row r="171" spans="1:10" x14ac:dyDescent="0.25">
      <c r="A171" s="1">
        <v>61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"2026-04-04 23:51:33.655"</f>
        <v>2026-04-04 23:51:33.655</v>
      </c>
      <c r="H171" t="s">
        <v>21</v>
      </c>
    </row>
    <row r="172" spans="1:10" x14ac:dyDescent="0.25">
      <c r="A172" s="1">
        <v>62</v>
      </c>
      <c r="B172" t="s">
        <v>19</v>
      </c>
      <c r="C172">
        <v>706</v>
      </c>
      <c r="D172">
        <v>2</v>
      </c>
      <c r="E172" t="s">
        <v>23</v>
      </c>
      <c r="F172" t="s">
        <v>24</v>
      </c>
      <c r="G172" t="str">
        <f>"2026-04-04 23:42:46.335"</f>
        <v>2026-04-04 23:42:46.335</v>
      </c>
      <c r="H172" t="s">
        <v>21</v>
      </c>
      <c r="I172">
        <v>0</v>
      </c>
      <c r="J172" t="s">
        <v>25</v>
      </c>
    </row>
    <row r="173" spans="1:10" x14ac:dyDescent="0.25">
      <c r="A173" s="1">
        <v>63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"2026-04-04 23:42:09.735"</f>
        <v>2026-04-04 23:42:09.735</v>
      </c>
      <c r="H173" t="s">
        <v>21</v>
      </c>
      <c r="I173">
        <v>0</v>
      </c>
      <c r="J173" t="s">
        <v>22</v>
      </c>
    </row>
    <row r="174" spans="1:10" x14ac:dyDescent="0.25">
      <c r="A174" s="1">
        <v>64</v>
      </c>
      <c r="B174" t="s">
        <v>19</v>
      </c>
      <c r="C174">
        <v>706</v>
      </c>
      <c r="D174">
        <v>4</v>
      </c>
      <c r="E174" t="s">
        <v>23</v>
      </c>
      <c r="F174" t="s">
        <v>38</v>
      </c>
      <c r="G174" t="str">
        <f>"2026-04-04 23:23:52.093"</f>
        <v>2026-04-04 23:23:52.093</v>
      </c>
      <c r="H174" t="s">
        <v>21</v>
      </c>
      <c r="I174">
        <v>0</v>
      </c>
      <c r="J174" t="s">
        <v>25</v>
      </c>
    </row>
    <row r="175" spans="1:10" x14ac:dyDescent="0.25">
      <c r="A175" s="1">
        <v>65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"2026-04-04 22:53:30.653"</f>
        <v>2026-04-04 22:53:30.653</v>
      </c>
      <c r="H175" t="s">
        <v>21</v>
      </c>
      <c r="I175">
        <v>0</v>
      </c>
      <c r="J175" t="s">
        <v>22</v>
      </c>
    </row>
    <row r="176" spans="1:10" x14ac:dyDescent="0.25">
      <c r="A176" s="1">
        <v>66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"2026-04-04 21:25:51.661"</f>
        <v>2026-04-04 21:25:51.661</v>
      </c>
      <c r="H176" t="s">
        <v>21</v>
      </c>
    </row>
    <row r="177" spans="1:10" x14ac:dyDescent="0.25">
      <c r="A177" s="1">
        <v>67</v>
      </c>
      <c r="B177" t="s">
        <v>26</v>
      </c>
      <c r="C177">
        <v>635</v>
      </c>
      <c r="D177">
        <v>1</v>
      </c>
      <c r="E177" t="s">
        <v>27</v>
      </c>
      <c r="F177" t="s">
        <v>28</v>
      </c>
      <c r="G177" t="str">
        <f>"2026-04-04 20:21:41.269"</f>
        <v>2026-04-04 20:21:41.269</v>
      </c>
      <c r="H177" t="s">
        <v>21</v>
      </c>
    </row>
    <row r="178" spans="1:10" x14ac:dyDescent="0.25">
      <c r="A178" s="1">
        <v>68</v>
      </c>
      <c r="B178" t="s">
        <v>29</v>
      </c>
      <c r="C178">
        <v>635</v>
      </c>
      <c r="D178">
        <v>1</v>
      </c>
      <c r="E178" t="s">
        <v>27</v>
      </c>
      <c r="F178" t="s">
        <v>28</v>
      </c>
      <c r="G178" t="str">
        <f>"2026-04-04 20:14:57.769"</f>
        <v>2026-04-04 20:14:57.769</v>
      </c>
      <c r="H178" t="s">
        <v>21</v>
      </c>
      <c r="I178">
        <v>1.75</v>
      </c>
      <c r="J178" t="s">
        <v>30</v>
      </c>
    </row>
    <row r="179" spans="1:10" x14ac:dyDescent="0.25">
      <c r="A179" s="1">
        <v>71</v>
      </c>
      <c r="B179" t="s">
        <v>26</v>
      </c>
      <c r="C179">
        <v>635</v>
      </c>
      <c r="D179">
        <v>1</v>
      </c>
      <c r="E179" t="s">
        <v>27</v>
      </c>
      <c r="F179" t="s">
        <v>28</v>
      </c>
      <c r="G179" t="str">
        <f>"2026-04-03 06:03:49.969"</f>
        <v>2026-04-03 06:03:49.969</v>
      </c>
      <c r="H179" t="s">
        <v>21</v>
      </c>
    </row>
    <row r="180" spans="1:10" x14ac:dyDescent="0.25">
      <c r="A180" s="1">
        <v>72</v>
      </c>
      <c r="B180" t="s">
        <v>29</v>
      </c>
      <c r="C180">
        <v>635</v>
      </c>
      <c r="D180">
        <v>1</v>
      </c>
      <c r="E180" t="s">
        <v>27</v>
      </c>
      <c r="F180" t="s">
        <v>28</v>
      </c>
      <c r="G180" t="str">
        <f>"2026-04-03 06:00:03.969"</f>
        <v>2026-04-03 06:00:03.969</v>
      </c>
      <c r="H180" t="s">
        <v>21</v>
      </c>
      <c r="I180">
        <v>1.74</v>
      </c>
      <c r="J180" t="s">
        <v>32</v>
      </c>
    </row>
    <row r="181" spans="1:10" x14ac:dyDescent="0.25">
      <c r="A181" s="1">
        <v>73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"2026-04-02 13:04:16.648"</f>
        <v>2026-04-02 13:04:16.648</v>
      </c>
      <c r="H181" t="s">
        <v>21</v>
      </c>
      <c r="I181">
        <v>0</v>
      </c>
      <c r="J181" t="s">
        <v>22</v>
      </c>
    </row>
    <row r="182" spans="1:10" x14ac:dyDescent="0.25">
      <c r="A182" s="1">
        <v>74</v>
      </c>
      <c r="B182" t="s">
        <v>26</v>
      </c>
      <c r="C182">
        <v>635</v>
      </c>
      <c r="D182">
        <v>1</v>
      </c>
      <c r="E182" t="s">
        <v>27</v>
      </c>
      <c r="F182" t="s">
        <v>28</v>
      </c>
      <c r="G182" t="str">
        <f>"2026-04-02 08:46:41.721"</f>
        <v>2026-04-02 08:46:41.721</v>
      </c>
      <c r="H182" t="s">
        <v>21</v>
      </c>
    </row>
    <row r="183" spans="1:10" x14ac:dyDescent="0.25">
      <c r="A183" s="1">
        <v>75</v>
      </c>
      <c r="B183" t="s">
        <v>29</v>
      </c>
      <c r="C183">
        <v>635</v>
      </c>
      <c r="D183">
        <v>1</v>
      </c>
      <c r="E183" t="s">
        <v>27</v>
      </c>
      <c r="F183" t="s">
        <v>28</v>
      </c>
      <c r="G183" t="str">
        <f>"2026-04-02 08:33:47.721"</f>
        <v>2026-04-02 08:33:47.721</v>
      </c>
      <c r="H183" t="s">
        <v>21</v>
      </c>
      <c r="I183">
        <v>10.47</v>
      </c>
      <c r="J183" t="s">
        <v>32</v>
      </c>
    </row>
    <row r="184" spans="1:10" x14ac:dyDescent="0.25">
      <c r="A184" s="1">
        <v>76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"2026-04-01 13:52:09.643"</f>
        <v>2026-04-01 13:52:09.643</v>
      </c>
      <c r="H184" t="s">
        <v>21</v>
      </c>
    </row>
    <row r="185" spans="1:10" x14ac:dyDescent="0.25">
      <c r="A185" s="1">
        <v>79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"2026-03-31 13:51:45.663"</f>
        <v>2026-03-31 13:51:45.663</v>
      </c>
      <c r="H185" t="s">
        <v>21</v>
      </c>
    </row>
    <row r="186" spans="1:10" x14ac:dyDescent="0.25">
      <c r="A186" s="1">
        <v>81</v>
      </c>
      <c r="B186" t="s">
        <v>26</v>
      </c>
      <c r="C186">
        <v>635</v>
      </c>
      <c r="D186">
        <v>1</v>
      </c>
      <c r="E186" t="s">
        <v>27</v>
      </c>
      <c r="F186" t="s">
        <v>28</v>
      </c>
      <c r="G186" t="str">
        <f>"2026-03-31 12:14:16.327"</f>
        <v>2026-03-31 12:14:16.327</v>
      </c>
      <c r="H186" t="s">
        <v>21</v>
      </c>
    </row>
    <row r="187" spans="1:10" x14ac:dyDescent="0.25">
      <c r="A187" s="1">
        <v>82</v>
      </c>
      <c r="B187" t="s">
        <v>29</v>
      </c>
      <c r="C187">
        <v>635</v>
      </c>
      <c r="D187">
        <v>1</v>
      </c>
      <c r="E187" t="s">
        <v>27</v>
      </c>
      <c r="F187" t="s">
        <v>28</v>
      </c>
      <c r="G187" t="str">
        <f>"2026-03-31 12:09:20.327"</f>
        <v>2026-03-31 12:09:20.327</v>
      </c>
      <c r="H187" t="s">
        <v>21</v>
      </c>
      <c r="I187">
        <v>5.35</v>
      </c>
      <c r="J187" t="s">
        <v>30</v>
      </c>
    </row>
    <row r="188" spans="1:10" s="3" customFormat="1" x14ac:dyDescent="0.25">
      <c r="A188" s="2">
        <v>83</v>
      </c>
      <c r="B188" s="3" t="s">
        <v>26</v>
      </c>
      <c r="C188" s="3">
        <v>647</v>
      </c>
      <c r="D188" s="3">
        <v>1</v>
      </c>
      <c r="E188" s="3" t="s">
        <v>40</v>
      </c>
      <c r="F188" s="3" t="s">
        <v>41</v>
      </c>
      <c r="G188" s="3" t="str">
        <f>"2026-03-31 10:03:22.876"</f>
        <v>2026-03-31 10:03:22.876</v>
      </c>
      <c r="H188" s="3" t="s">
        <v>21</v>
      </c>
    </row>
    <row r="189" spans="1:10" s="3" customFormat="1" x14ac:dyDescent="0.25">
      <c r="A189" s="2">
        <v>84</v>
      </c>
      <c r="B189" s="3" t="s">
        <v>29</v>
      </c>
      <c r="C189" s="3">
        <v>647</v>
      </c>
      <c r="D189" s="3">
        <v>1</v>
      </c>
      <c r="E189" s="3" t="s">
        <v>40</v>
      </c>
      <c r="F189" s="3" t="s">
        <v>41</v>
      </c>
      <c r="G189" s="3" t="str">
        <f>"2026-03-31 10:03:21.576"</f>
        <v>2026-03-31 10:03:21.576</v>
      </c>
      <c r="H189" s="3" t="s">
        <v>21</v>
      </c>
      <c r="I189" s="3">
        <v>14.94</v>
      </c>
      <c r="J189" s="3" t="s">
        <v>32</v>
      </c>
    </row>
    <row r="190" spans="1:10" x14ac:dyDescent="0.25">
      <c r="A190" s="1">
        <v>86</v>
      </c>
      <c r="B190" t="s">
        <v>26</v>
      </c>
      <c r="C190">
        <v>635</v>
      </c>
      <c r="D190">
        <v>1</v>
      </c>
      <c r="E190" t="s">
        <v>27</v>
      </c>
      <c r="F190" t="s">
        <v>28</v>
      </c>
      <c r="G190" t="str">
        <f>"2026-03-31 01:10:44.627"</f>
        <v>2026-03-31 01:10:44.627</v>
      </c>
      <c r="H190" t="s">
        <v>21</v>
      </c>
    </row>
    <row r="191" spans="1:10" x14ac:dyDescent="0.25">
      <c r="A191" s="1">
        <v>87</v>
      </c>
      <c r="B191" t="s">
        <v>29</v>
      </c>
      <c r="C191">
        <v>635</v>
      </c>
      <c r="D191">
        <v>1</v>
      </c>
      <c r="E191" t="s">
        <v>27</v>
      </c>
      <c r="F191" t="s">
        <v>28</v>
      </c>
      <c r="G191" t="str">
        <f>"2026-03-31 01:08:11.127"</f>
        <v>2026-03-31 01:08:11.127</v>
      </c>
      <c r="H191" t="s">
        <v>21</v>
      </c>
      <c r="I191">
        <v>3.98</v>
      </c>
      <c r="J191" t="s">
        <v>30</v>
      </c>
    </row>
    <row r="192" spans="1:10" x14ac:dyDescent="0.25">
      <c r="A192" s="1">
        <v>88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"2026-03-30 13:54:43.685"</f>
        <v>2026-03-30 13:54:43.685</v>
      </c>
      <c r="H192" t="s">
        <v>21</v>
      </c>
    </row>
    <row r="193" spans="1:10" x14ac:dyDescent="0.25">
      <c r="A193" s="1">
        <v>90</v>
      </c>
      <c r="B193" t="s">
        <v>26</v>
      </c>
      <c r="C193">
        <v>61</v>
      </c>
      <c r="D193">
        <v>2</v>
      </c>
      <c r="E193" t="s">
        <v>44</v>
      </c>
      <c r="F193" t="s">
        <v>45</v>
      </c>
      <c r="G193" t="str">
        <f>"2026-03-30 11:03:32.154"</f>
        <v>2026-03-30 11:03:32.154</v>
      </c>
      <c r="H193" t="s">
        <v>21</v>
      </c>
    </row>
    <row r="194" spans="1:10" x14ac:dyDescent="0.25">
      <c r="A194" s="1">
        <v>91</v>
      </c>
      <c r="B194" t="s">
        <v>37</v>
      </c>
      <c r="C194">
        <v>61</v>
      </c>
      <c r="D194">
        <v>2</v>
      </c>
      <c r="E194" t="s">
        <v>44</v>
      </c>
      <c r="F194" t="s">
        <v>45</v>
      </c>
      <c r="G194" t="str">
        <f>"2026-03-30 11:03:10.254"</f>
        <v>2026-03-30 11:03:10.254</v>
      </c>
      <c r="H194" t="s">
        <v>21</v>
      </c>
      <c r="I194">
        <v>37.15</v>
      </c>
      <c r="J194" t="s">
        <v>32</v>
      </c>
    </row>
    <row r="195" spans="1:10" x14ac:dyDescent="0.25">
      <c r="A195" s="1">
        <v>92</v>
      </c>
      <c r="B195" t="s">
        <v>26</v>
      </c>
      <c r="C195">
        <v>635</v>
      </c>
      <c r="D195">
        <v>1</v>
      </c>
      <c r="E195" t="s">
        <v>27</v>
      </c>
      <c r="F195" t="s">
        <v>28</v>
      </c>
      <c r="G195" t="str">
        <f>"2026-03-29 14:28:07.241"</f>
        <v>2026-03-29 14:28:07.241</v>
      </c>
      <c r="H195" t="s">
        <v>21</v>
      </c>
    </row>
    <row r="196" spans="1:10" x14ac:dyDescent="0.25">
      <c r="A196" s="1">
        <v>93</v>
      </c>
      <c r="B196" t="s">
        <v>29</v>
      </c>
      <c r="C196">
        <v>635</v>
      </c>
      <c r="D196">
        <v>1</v>
      </c>
      <c r="E196" t="s">
        <v>27</v>
      </c>
      <c r="F196" t="s">
        <v>28</v>
      </c>
      <c r="G196" t="str">
        <f>"2026-03-29 14:20:23.242"</f>
        <v>2026-03-29 14:20:23.242</v>
      </c>
      <c r="H196" t="s">
        <v>21</v>
      </c>
      <c r="I196">
        <v>8.59</v>
      </c>
      <c r="J196" t="s">
        <v>32</v>
      </c>
    </row>
    <row r="197" spans="1:10" x14ac:dyDescent="0.25">
      <c r="A197" s="1">
        <v>94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"2026-03-29 12:34:44.651"</f>
        <v>2026-03-29 12:34:44.651</v>
      </c>
      <c r="H197" t="s">
        <v>21</v>
      </c>
    </row>
    <row r="198" spans="1:10" x14ac:dyDescent="0.25">
      <c r="A198" s="1">
        <v>97</v>
      </c>
      <c r="B198" t="s">
        <v>26</v>
      </c>
      <c r="C198">
        <v>635</v>
      </c>
      <c r="D198">
        <v>1</v>
      </c>
      <c r="E198" t="s">
        <v>27</v>
      </c>
      <c r="F198" t="s">
        <v>28</v>
      </c>
      <c r="G198" t="str">
        <f>"2026-03-28 18:17:54.498"</f>
        <v>2026-03-28 18:17:54.498</v>
      </c>
      <c r="H198" t="s">
        <v>21</v>
      </c>
    </row>
    <row r="199" spans="1:10" x14ac:dyDescent="0.25">
      <c r="A199" s="1">
        <v>98</v>
      </c>
      <c r="B199" t="s">
        <v>29</v>
      </c>
      <c r="C199">
        <v>635</v>
      </c>
      <c r="D199">
        <v>1</v>
      </c>
      <c r="E199" t="s">
        <v>27</v>
      </c>
      <c r="F199" t="s">
        <v>28</v>
      </c>
      <c r="G199" t="str">
        <f>"2026-03-28 18:10:25.998"</f>
        <v>2026-03-28 18:10:25.998</v>
      </c>
      <c r="H199" t="s">
        <v>21</v>
      </c>
      <c r="I199">
        <v>8.14</v>
      </c>
      <c r="J199" t="s">
        <v>30</v>
      </c>
    </row>
    <row r="200" spans="1:10" x14ac:dyDescent="0.25">
      <c r="A200" s="1">
        <v>99</v>
      </c>
      <c r="B200" t="s">
        <v>26</v>
      </c>
      <c r="C200">
        <v>635</v>
      </c>
      <c r="D200">
        <v>1</v>
      </c>
      <c r="E200" t="s">
        <v>27</v>
      </c>
      <c r="F200" t="s">
        <v>28</v>
      </c>
      <c r="G200" t="str">
        <f>"2026-03-28 16:40:34.698"</f>
        <v>2026-03-28 16:40:34.698</v>
      </c>
      <c r="H200" t="s">
        <v>21</v>
      </c>
    </row>
    <row r="201" spans="1:10" x14ac:dyDescent="0.25">
      <c r="A201" s="1">
        <v>0</v>
      </c>
      <c r="B201" t="s">
        <v>29</v>
      </c>
      <c r="C201">
        <v>635</v>
      </c>
      <c r="D201">
        <v>1</v>
      </c>
      <c r="E201" t="s">
        <v>27</v>
      </c>
      <c r="F201" t="s">
        <v>28</v>
      </c>
      <c r="G201" t="str">
        <f>"2026-03-28 16:35:15.698"</f>
        <v>2026-03-28 16:35:15.698</v>
      </c>
      <c r="H201" t="s">
        <v>21</v>
      </c>
      <c r="I201">
        <v>0.17</v>
      </c>
      <c r="J201" t="s">
        <v>31</v>
      </c>
    </row>
    <row r="202" spans="1:10" x14ac:dyDescent="0.25">
      <c r="A202" s="1">
        <v>1</v>
      </c>
      <c r="B202" t="s">
        <v>26</v>
      </c>
      <c r="C202">
        <v>635</v>
      </c>
      <c r="D202">
        <v>1</v>
      </c>
      <c r="E202" t="s">
        <v>27</v>
      </c>
      <c r="F202" t="s">
        <v>28</v>
      </c>
      <c r="G202" t="str">
        <f>"2026-03-28 14:45:54.398"</f>
        <v>2026-03-28 14:45:54.398</v>
      </c>
      <c r="H202" t="s">
        <v>21</v>
      </c>
    </row>
    <row r="203" spans="1:10" x14ac:dyDescent="0.25">
      <c r="A203" s="1">
        <v>2</v>
      </c>
      <c r="B203" t="s">
        <v>29</v>
      </c>
      <c r="C203">
        <v>635</v>
      </c>
      <c r="D203">
        <v>1</v>
      </c>
      <c r="E203" t="s">
        <v>27</v>
      </c>
      <c r="F203" t="s">
        <v>28</v>
      </c>
      <c r="G203" t="str">
        <f>"2026-03-28 14:41:47.898"</f>
        <v>2026-03-28 14:41:47.898</v>
      </c>
      <c r="H203" t="s">
        <v>21</v>
      </c>
      <c r="I203">
        <v>2.66</v>
      </c>
      <c r="J203" t="s">
        <v>32</v>
      </c>
    </row>
    <row r="204" spans="1:10" x14ac:dyDescent="0.25">
      <c r="A204" s="1">
        <v>3</v>
      </c>
      <c r="B204" t="s">
        <v>26</v>
      </c>
      <c r="C204">
        <v>635</v>
      </c>
      <c r="D204">
        <v>1</v>
      </c>
      <c r="E204" t="s">
        <v>27</v>
      </c>
      <c r="F204" t="s">
        <v>28</v>
      </c>
      <c r="G204" t="str">
        <f>"2026-03-28 12:20:24.198"</f>
        <v>2026-03-28 12:20:24.198</v>
      </c>
      <c r="H204" t="s">
        <v>21</v>
      </c>
    </row>
    <row r="205" spans="1:10" x14ac:dyDescent="0.25">
      <c r="A205" s="1">
        <v>4</v>
      </c>
      <c r="B205" t="s">
        <v>29</v>
      </c>
      <c r="C205">
        <v>635</v>
      </c>
      <c r="D205">
        <v>1</v>
      </c>
      <c r="E205" t="s">
        <v>27</v>
      </c>
      <c r="F205" t="s">
        <v>28</v>
      </c>
      <c r="G205" t="str">
        <f>"2026-03-28 12:15:51.698"</f>
        <v>2026-03-28 12:15:51.698</v>
      </c>
      <c r="H205" t="s">
        <v>21</v>
      </c>
      <c r="I205">
        <v>9.44</v>
      </c>
      <c r="J205" t="s">
        <v>32</v>
      </c>
    </row>
    <row r="206" spans="1:10" s="3" customFormat="1" x14ac:dyDescent="0.25">
      <c r="A206" s="2">
        <v>5</v>
      </c>
      <c r="B206" s="3" t="s">
        <v>26</v>
      </c>
      <c r="C206" s="3">
        <v>647</v>
      </c>
      <c r="D206" s="3">
        <v>1</v>
      </c>
      <c r="E206" s="3" t="s">
        <v>40</v>
      </c>
      <c r="F206" s="3" t="s">
        <v>41</v>
      </c>
      <c r="G206" s="3" t="str">
        <f>"2026-03-28 07:49:28.599"</f>
        <v>2026-03-28 07:49:28.599</v>
      </c>
      <c r="H206" s="3" t="s">
        <v>21</v>
      </c>
    </row>
    <row r="207" spans="1:10" s="3" customFormat="1" x14ac:dyDescent="0.25">
      <c r="A207" s="2">
        <v>6</v>
      </c>
      <c r="B207" s="3" t="s">
        <v>29</v>
      </c>
      <c r="C207" s="3">
        <v>647</v>
      </c>
      <c r="D207" s="3">
        <v>1</v>
      </c>
      <c r="E207" s="3" t="s">
        <v>40</v>
      </c>
      <c r="F207" s="3" t="s">
        <v>41</v>
      </c>
      <c r="G207" s="3" t="str">
        <f>"2026-03-28 07:49:24.099"</f>
        <v>2026-03-28 07:49:24.099</v>
      </c>
      <c r="H207" s="3" t="s">
        <v>21</v>
      </c>
      <c r="I207" s="3">
        <v>22.21</v>
      </c>
      <c r="J207" s="3" t="s">
        <v>32</v>
      </c>
    </row>
    <row r="208" spans="1:10" x14ac:dyDescent="0.25">
      <c r="A208" s="1">
        <v>7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"2026-03-28 06:10:44.646"</f>
        <v>2026-03-28 06:10:44.646</v>
      </c>
      <c r="H208" t="s">
        <v>21</v>
      </c>
      <c r="I208">
        <v>0</v>
      </c>
      <c r="J208" t="s">
        <v>22</v>
      </c>
    </row>
    <row r="209" spans="1:10" x14ac:dyDescent="0.25">
      <c r="A209" s="1">
        <v>8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"2026-03-28 05:07:59.643"</f>
        <v>2026-03-28 05:07:59.643</v>
      </c>
      <c r="H209" t="s">
        <v>21</v>
      </c>
      <c r="I209">
        <v>0</v>
      </c>
      <c r="J209" t="s">
        <v>22</v>
      </c>
    </row>
    <row r="210" spans="1:10" x14ac:dyDescent="0.25">
      <c r="A210" s="1">
        <v>9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"2026-03-28 05:06:18.649"</f>
        <v>2026-03-28 05:06:18.649</v>
      </c>
      <c r="H210" t="s">
        <v>21</v>
      </c>
      <c r="I210">
        <v>0</v>
      </c>
      <c r="J210" t="s">
        <v>22</v>
      </c>
    </row>
    <row r="211" spans="1:10" x14ac:dyDescent="0.25">
      <c r="A211" s="1">
        <v>10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"2026-03-28 04:37:28.655"</f>
        <v>2026-03-28 04:37:28.655</v>
      </c>
      <c r="H211" t="s">
        <v>21</v>
      </c>
      <c r="I211">
        <v>0</v>
      </c>
      <c r="J211" t="s">
        <v>22</v>
      </c>
    </row>
    <row r="212" spans="1:10" x14ac:dyDescent="0.25">
      <c r="A212" s="1">
        <v>11</v>
      </c>
      <c r="B212" t="s">
        <v>26</v>
      </c>
      <c r="C212">
        <v>635</v>
      </c>
      <c r="D212">
        <v>1</v>
      </c>
      <c r="E212" t="s">
        <v>27</v>
      </c>
      <c r="F212" t="s">
        <v>28</v>
      </c>
      <c r="G212" t="str">
        <f>"2026-03-27 21:39:43.923"</f>
        <v>2026-03-27 21:39:43.923</v>
      </c>
      <c r="H212" t="s">
        <v>21</v>
      </c>
    </row>
    <row r="213" spans="1:10" x14ac:dyDescent="0.25">
      <c r="A213" s="1">
        <v>12</v>
      </c>
      <c r="B213" t="s">
        <v>29</v>
      </c>
      <c r="C213">
        <v>635</v>
      </c>
      <c r="D213">
        <v>1</v>
      </c>
      <c r="E213" t="s">
        <v>27</v>
      </c>
      <c r="F213" t="s">
        <v>28</v>
      </c>
      <c r="G213" t="str">
        <f>"2026-03-27 21:35:40.923"</f>
        <v>2026-03-27 21:35:40.923</v>
      </c>
      <c r="H213" t="s">
        <v>21</v>
      </c>
      <c r="I213">
        <v>6.08</v>
      </c>
      <c r="J213" t="s">
        <v>30</v>
      </c>
    </row>
    <row r="214" spans="1:10" x14ac:dyDescent="0.25">
      <c r="A214" s="1">
        <v>13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"2026-03-27 21:13:51.683"</f>
        <v>2026-03-27 21:13:51.683</v>
      </c>
      <c r="H214" t="s">
        <v>21</v>
      </c>
      <c r="I214">
        <v>0</v>
      </c>
      <c r="J214" t="s">
        <v>22</v>
      </c>
    </row>
    <row r="215" spans="1:10" s="3" customFormat="1" x14ac:dyDescent="0.25">
      <c r="A215" s="2">
        <v>14</v>
      </c>
      <c r="B215" s="3" t="s">
        <v>26</v>
      </c>
      <c r="C215" s="3">
        <v>647</v>
      </c>
      <c r="D215" s="3">
        <v>1</v>
      </c>
      <c r="E215" s="3" t="s">
        <v>40</v>
      </c>
      <c r="F215" s="3" t="s">
        <v>41</v>
      </c>
      <c r="G215" s="3" t="str">
        <f>"2026-03-27 19:29:03.846"</f>
        <v>2026-03-27 19:29:03.846</v>
      </c>
      <c r="H215" s="3" t="s">
        <v>21</v>
      </c>
    </row>
    <row r="216" spans="1:10" s="3" customFormat="1" x14ac:dyDescent="0.25">
      <c r="A216" s="2">
        <v>15</v>
      </c>
      <c r="B216" s="3" t="s">
        <v>29</v>
      </c>
      <c r="C216" s="3">
        <v>647</v>
      </c>
      <c r="D216" s="3">
        <v>1</v>
      </c>
      <c r="E216" s="3" t="s">
        <v>40</v>
      </c>
      <c r="F216" s="3" t="s">
        <v>41</v>
      </c>
      <c r="G216" s="3" t="str">
        <f>"2026-03-27 19:28:56.346"</f>
        <v>2026-03-27 19:28:56.346</v>
      </c>
      <c r="H216" s="3" t="s">
        <v>21</v>
      </c>
      <c r="I216" s="3">
        <v>12.4</v>
      </c>
      <c r="J216" s="3" t="s">
        <v>32</v>
      </c>
    </row>
    <row r="217" spans="1:10" x14ac:dyDescent="0.25">
      <c r="A217" s="1">
        <v>16</v>
      </c>
      <c r="B217" t="s">
        <v>26</v>
      </c>
      <c r="C217">
        <v>635</v>
      </c>
      <c r="D217">
        <v>1</v>
      </c>
      <c r="E217" t="s">
        <v>27</v>
      </c>
      <c r="F217" t="s">
        <v>28</v>
      </c>
      <c r="G217" t="str">
        <f>"2026-03-27 14:35:59.245"</f>
        <v>2026-03-27 14:35:59.245</v>
      </c>
      <c r="H217" t="s">
        <v>21</v>
      </c>
    </row>
    <row r="218" spans="1:10" x14ac:dyDescent="0.25">
      <c r="A218" s="1">
        <v>17</v>
      </c>
      <c r="B218" t="s">
        <v>29</v>
      </c>
      <c r="C218">
        <v>635</v>
      </c>
      <c r="D218">
        <v>1</v>
      </c>
      <c r="E218" t="s">
        <v>27</v>
      </c>
      <c r="F218" t="s">
        <v>28</v>
      </c>
      <c r="G218" t="str">
        <f>"2026-03-27 14:31:38.245"</f>
        <v>2026-03-27 14:31:38.245</v>
      </c>
      <c r="H218" t="s">
        <v>21</v>
      </c>
      <c r="I218">
        <v>8.7799999999999994</v>
      </c>
      <c r="J218" t="s">
        <v>30</v>
      </c>
    </row>
    <row r="219" spans="1:10" x14ac:dyDescent="0.25">
      <c r="A219" s="1">
        <v>18</v>
      </c>
      <c r="B219" t="s">
        <v>26</v>
      </c>
      <c r="C219">
        <v>635</v>
      </c>
      <c r="D219">
        <v>1</v>
      </c>
      <c r="E219" t="s">
        <v>27</v>
      </c>
      <c r="F219" t="s">
        <v>28</v>
      </c>
      <c r="G219" t="str">
        <f>"2026-03-26 19:57:09.945"</f>
        <v>2026-03-26 19:57:09.945</v>
      </c>
      <c r="H219" t="s">
        <v>21</v>
      </c>
    </row>
    <row r="220" spans="1:10" x14ac:dyDescent="0.25">
      <c r="A220" s="1">
        <v>19</v>
      </c>
      <c r="B220" t="s">
        <v>29</v>
      </c>
      <c r="C220">
        <v>635</v>
      </c>
      <c r="D220">
        <v>1</v>
      </c>
      <c r="E220" t="s">
        <v>27</v>
      </c>
      <c r="F220" t="s">
        <v>28</v>
      </c>
      <c r="G220" t="str">
        <f>"2026-03-26 19:50:16.945"</f>
        <v>2026-03-26 19:50:16.945</v>
      </c>
      <c r="H220" t="s">
        <v>21</v>
      </c>
      <c r="I220">
        <v>7.21</v>
      </c>
      <c r="J220" t="s">
        <v>30</v>
      </c>
    </row>
    <row r="221" spans="1:10" x14ac:dyDescent="0.25">
      <c r="A221" s="1">
        <v>20</v>
      </c>
      <c r="B221" t="s">
        <v>26</v>
      </c>
      <c r="C221">
        <v>635</v>
      </c>
      <c r="D221">
        <v>1</v>
      </c>
      <c r="E221" t="s">
        <v>27</v>
      </c>
      <c r="F221" t="s">
        <v>28</v>
      </c>
      <c r="G221" t="str">
        <f>"2026-03-26 16:41:13.845"</f>
        <v>2026-03-26 16:41:13.845</v>
      </c>
      <c r="H221" t="s">
        <v>21</v>
      </c>
    </row>
    <row r="222" spans="1:10" x14ac:dyDescent="0.25">
      <c r="A222" s="1">
        <v>21</v>
      </c>
      <c r="B222" t="s">
        <v>29</v>
      </c>
      <c r="C222">
        <v>635</v>
      </c>
      <c r="D222">
        <v>1</v>
      </c>
      <c r="E222" t="s">
        <v>27</v>
      </c>
      <c r="F222" t="s">
        <v>28</v>
      </c>
      <c r="G222" t="str">
        <f>"2026-03-26 16:38:44.845"</f>
        <v>2026-03-26 16:38:44.845</v>
      </c>
      <c r="H222" t="s">
        <v>21</v>
      </c>
      <c r="I222">
        <v>4.12</v>
      </c>
      <c r="J222" t="s">
        <v>30</v>
      </c>
    </row>
    <row r="223" spans="1:10" x14ac:dyDescent="0.25">
      <c r="A223" s="1">
        <v>22</v>
      </c>
      <c r="B223" t="s">
        <v>19</v>
      </c>
      <c r="C223">
        <v>706</v>
      </c>
      <c r="D223">
        <v>4</v>
      </c>
      <c r="E223" t="s">
        <v>23</v>
      </c>
      <c r="F223" t="s">
        <v>38</v>
      </c>
      <c r="G223" t="str">
        <f>"2026-03-26 13:54:50.781"</f>
        <v>2026-03-26 13:54:50.781</v>
      </c>
      <c r="H223" t="s">
        <v>21</v>
      </c>
      <c r="I223">
        <v>0</v>
      </c>
      <c r="J223" t="s">
        <v>25</v>
      </c>
    </row>
    <row r="224" spans="1:10" s="3" customFormat="1" x14ac:dyDescent="0.25">
      <c r="A224" s="2">
        <v>23</v>
      </c>
      <c r="B224" s="3" t="s">
        <v>26</v>
      </c>
      <c r="C224" s="3">
        <v>647</v>
      </c>
      <c r="D224" s="3">
        <v>1</v>
      </c>
      <c r="E224" s="3" t="s">
        <v>40</v>
      </c>
      <c r="F224" s="3" t="s">
        <v>41</v>
      </c>
      <c r="G224" s="3" t="str">
        <f>"2026-03-26 11:45:25.246"</f>
        <v>2026-03-26 11:45:25.246</v>
      </c>
      <c r="H224" s="3" t="s">
        <v>21</v>
      </c>
    </row>
    <row r="225" spans="1:10" s="3" customFormat="1" x14ac:dyDescent="0.25">
      <c r="A225" s="2">
        <v>24</v>
      </c>
      <c r="B225" s="3" t="s">
        <v>29</v>
      </c>
      <c r="C225" s="3">
        <v>647</v>
      </c>
      <c r="D225" s="3">
        <v>1</v>
      </c>
      <c r="E225" s="3" t="s">
        <v>40</v>
      </c>
      <c r="F225" s="3" t="s">
        <v>41</v>
      </c>
      <c r="G225" s="3" t="str">
        <f>"2026-03-26 11:45:20.746"</f>
        <v>2026-03-26 11:45:20.746</v>
      </c>
      <c r="H225" s="3" t="s">
        <v>21</v>
      </c>
      <c r="I225" s="3">
        <v>11.8</v>
      </c>
      <c r="J225" s="3" t="s">
        <v>32</v>
      </c>
    </row>
    <row r="226" spans="1:10" s="3" customFormat="1" x14ac:dyDescent="0.25">
      <c r="A226" s="2">
        <v>25</v>
      </c>
      <c r="B226" s="3" t="s">
        <v>26</v>
      </c>
      <c r="C226" s="3">
        <v>647</v>
      </c>
      <c r="D226" s="3">
        <v>1</v>
      </c>
      <c r="E226" s="3" t="s">
        <v>40</v>
      </c>
      <c r="F226" s="3" t="s">
        <v>41</v>
      </c>
      <c r="G226" s="3" t="str">
        <f>"2026-03-26 09:24:39.346"</f>
        <v>2026-03-26 09:24:39.346</v>
      </c>
      <c r="H226" s="3" t="s">
        <v>21</v>
      </c>
    </row>
    <row r="227" spans="1:10" s="3" customFormat="1" x14ac:dyDescent="0.25">
      <c r="A227" s="2">
        <v>26</v>
      </c>
      <c r="B227" s="3" t="s">
        <v>29</v>
      </c>
      <c r="C227" s="3">
        <v>647</v>
      </c>
      <c r="D227" s="3">
        <v>1</v>
      </c>
      <c r="E227" s="3" t="s">
        <v>40</v>
      </c>
      <c r="F227" s="3" t="s">
        <v>41</v>
      </c>
      <c r="G227" s="3" t="str">
        <f>"2026-03-26 09:24:37.246"</f>
        <v>2026-03-26 09:24:37.246</v>
      </c>
      <c r="H227" s="3" t="s">
        <v>21</v>
      </c>
      <c r="I227" s="3">
        <v>15.43</v>
      </c>
      <c r="J227" s="3" t="s">
        <v>32</v>
      </c>
    </row>
    <row r="228" spans="1:10" x14ac:dyDescent="0.25">
      <c r="A228" s="1">
        <v>27</v>
      </c>
      <c r="B228" t="s">
        <v>26</v>
      </c>
      <c r="C228">
        <v>635</v>
      </c>
      <c r="D228">
        <v>1</v>
      </c>
      <c r="E228" t="s">
        <v>27</v>
      </c>
      <c r="F228" t="s">
        <v>28</v>
      </c>
      <c r="G228" t="str">
        <f>"2026-03-25 16:52:39.745"</f>
        <v>2026-03-25 16:52:39.745</v>
      </c>
      <c r="H228" t="s">
        <v>21</v>
      </c>
    </row>
    <row r="229" spans="1:10" x14ac:dyDescent="0.25">
      <c r="A229" s="1">
        <v>28</v>
      </c>
      <c r="B229" t="s">
        <v>29</v>
      </c>
      <c r="C229">
        <v>635</v>
      </c>
      <c r="D229">
        <v>1</v>
      </c>
      <c r="E229" t="s">
        <v>27</v>
      </c>
      <c r="F229" t="s">
        <v>28</v>
      </c>
      <c r="G229" t="str">
        <f>"2026-03-25 16:50:09.745"</f>
        <v>2026-03-25 16:50:09.745</v>
      </c>
      <c r="H229" t="s">
        <v>21</v>
      </c>
      <c r="I229">
        <v>3.49</v>
      </c>
      <c r="J229" t="s">
        <v>32</v>
      </c>
    </row>
    <row r="230" spans="1:10" x14ac:dyDescent="0.25">
      <c r="A230" s="1">
        <v>29</v>
      </c>
      <c r="B230" t="s">
        <v>26</v>
      </c>
      <c r="C230">
        <v>635</v>
      </c>
      <c r="D230">
        <v>1</v>
      </c>
      <c r="E230" t="s">
        <v>27</v>
      </c>
      <c r="F230" t="s">
        <v>28</v>
      </c>
      <c r="G230" t="str">
        <f>"2026-03-25 16:45:24.245"</f>
        <v>2026-03-25 16:45:24.245</v>
      </c>
      <c r="H230" t="s">
        <v>21</v>
      </c>
    </row>
    <row r="231" spans="1:10" x14ac:dyDescent="0.25">
      <c r="A231" s="1">
        <v>30</v>
      </c>
      <c r="B231" t="s">
        <v>29</v>
      </c>
      <c r="C231">
        <v>635</v>
      </c>
      <c r="D231">
        <v>1</v>
      </c>
      <c r="E231" t="s">
        <v>27</v>
      </c>
      <c r="F231" t="s">
        <v>28</v>
      </c>
      <c r="G231" t="str">
        <f>"2026-03-25 16:43:04.245"</f>
        <v>2026-03-25 16:43:04.245</v>
      </c>
      <c r="H231" t="s">
        <v>21</v>
      </c>
      <c r="I231">
        <v>7.35</v>
      </c>
      <c r="J231" t="s">
        <v>30</v>
      </c>
    </row>
    <row r="232" spans="1:10" x14ac:dyDescent="0.25">
      <c r="A232" s="1">
        <v>31</v>
      </c>
      <c r="B232" t="s">
        <v>26</v>
      </c>
      <c r="C232">
        <v>635</v>
      </c>
      <c r="D232">
        <v>1</v>
      </c>
      <c r="E232" t="s">
        <v>27</v>
      </c>
      <c r="F232" t="s">
        <v>28</v>
      </c>
      <c r="G232" t="str">
        <f>"2026-03-25 12:38:10.745"</f>
        <v>2026-03-25 12:38:10.745</v>
      </c>
      <c r="H232" t="s">
        <v>21</v>
      </c>
    </row>
    <row r="233" spans="1:10" x14ac:dyDescent="0.25">
      <c r="A233" s="1">
        <v>32</v>
      </c>
      <c r="B233" t="s">
        <v>29</v>
      </c>
      <c r="C233">
        <v>635</v>
      </c>
      <c r="D233">
        <v>1</v>
      </c>
      <c r="E233" t="s">
        <v>27</v>
      </c>
      <c r="F233" t="s">
        <v>28</v>
      </c>
      <c r="G233" t="str">
        <f>"2026-03-25 12:34:49.745"</f>
        <v>2026-03-25 12:34:49.745</v>
      </c>
      <c r="H233" t="s">
        <v>21</v>
      </c>
      <c r="I233">
        <v>3.13</v>
      </c>
      <c r="J233" t="s">
        <v>30</v>
      </c>
    </row>
    <row r="234" spans="1:10" x14ac:dyDescent="0.25">
      <c r="A234" s="1">
        <v>33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"2026-03-25 11:05:06.631"</f>
        <v>2026-03-25 11:05:06.631</v>
      </c>
      <c r="H234" t="s">
        <v>21</v>
      </c>
    </row>
    <row r="235" spans="1:10" x14ac:dyDescent="0.25">
      <c r="A235" s="1">
        <v>34</v>
      </c>
      <c r="B235" t="s">
        <v>19</v>
      </c>
      <c r="C235">
        <v>706</v>
      </c>
      <c r="D235">
        <v>2</v>
      </c>
      <c r="E235" t="s">
        <v>23</v>
      </c>
      <c r="F235" t="s">
        <v>24</v>
      </c>
      <c r="G235" t="str">
        <f>"2026-03-25 10:27:48.486"</f>
        <v>2026-03-25 10:27:48.486</v>
      </c>
      <c r="H235" t="s">
        <v>21</v>
      </c>
      <c r="I235">
        <v>0</v>
      </c>
      <c r="J235" t="s">
        <v>25</v>
      </c>
    </row>
    <row r="236" spans="1:10" x14ac:dyDescent="0.25">
      <c r="A236" s="1">
        <v>35</v>
      </c>
      <c r="B236" t="s">
        <v>19</v>
      </c>
      <c r="C236">
        <v>706</v>
      </c>
      <c r="D236">
        <v>4</v>
      </c>
      <c r="E236" t="s">
        <v>23</v>
      </c>
      <c r="F236" t="s">
        <v>38</v>
      </c>
      <c r="G236" t="str">
        <f>"2026-03-25 10:22:46.386"</f>
        <v>2026-03-25 10:22:46.386</v>
      </c>
      <c r="H236" t="s">
        <v>21</v>
      </c>
      <c r="I236">
        <v>0</v>
      </c>
      <c r="J236" t="s">
        <v>25</v>
      </c>
    </row>
    <row r="237" spans="1:10" x14ac:dyDescent="0.25">
      <c r="A237" s="1">
        <v>36</v>
      </c>
      <c r="B237" t="s">
        <v>19</v>
      </c>
      <c r="C237">
        <v>706</v>
      </c>
      <c r="D237">
        <v>2</v>
      </c>
      <c r="E237" t="s">
        <v>23</v>
      </c>
      <c r="F237" t="s">
        <v>24</v>
      </c>
      <c r="G237" t="str">
        <f>"2026-03-25 10:22:34.486"</f>
        <v>2026-03-25 10:22:34.486</v>
      </c>
      <c r="H237" t="s">
        <v>21</v>
      </c>
      <c r="I237">
        <v>0</v>
      </c>
      <c r="J237" t="s">
        <v>25</v>
      </c>
    </row>
    <row r="238" spans="1:10" x14ac:dyDescent="0.25">
      <c r="A238" s="1">
        <v>37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"2026-03-25 09:31:08.646"</f>
        <v>2026-03-25 09:31:08.646</v>
      </c>
      <c r="H238" t="s">
        <v>21</v>
      </c>
    </row>
    <row r="239" spans="1:10" x14ac:dyDescent="0.25">
      <c r="A239" s="1">
        <v>38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"2026-03-25 09:12:14.879"</f>
        <v>2026-03-25 09:12:14.879</v>
      </c>
      <c r="H239" t="s">
        <v>21</v>
      </c>
    </row>
    <row r="240" spans="1:10" x14ac:dyDescent="0.25">
      <c r="A240" s="1">
        <v>39</v>
      </c>
      <c r="B240" t="s">
        <v>26</v>
      </c>
      <c r="C240">
        <v>635</v>
      </c>
      <c r="D240">
        <v>1</v>
      </c>
      <c r="E240" t="s">
        <v>27</v>
      </c>
      <c r="F240" t="s">
        <v>28</v>
      </c>
      <c r="G240" t="str">
        <f>"2026-03-24 17:27:55.165"</f>
        <v>2026-03-24 17:27:55.165</v>
      </c>
      <c r="H240" t="s">
        <v>21</v>
      </c>
    </row>
    <row r="241" spans="1:10" x14ac:dyDescent="0.25">
      <c r="A241" s="1">
        <v>40</v>
      </c>
      <c r="B241" t="s">
        <v>29</v>
      </c>
      <c r="C241">
        <v>635</v>
      </c>
      <c r="D241">
        <v>1</v>
      </c>
      <c r="E241" t="s">
        <v>27</v>
      </c>
      <c r="F241" t="s">
        <v>28</v>
      </c>
      <c r="G241" t="str">
        <f>"2026-03-24 17:24:24.665"</f>
        <v>2026-03-24 17:24:24.665</v>
      </c>
      <c r="H241" t="s">
        <v>21</v>
      </c>
      <c r="I241">
        <v>2.57</v>
      </c>
      <c r="J241" t="s">
        <v>30</v>
      </c>
    </row>
    <row r="242" spans="1:10" x14ac:dyDescent="0.25">
      <c r="A242" s="1">
        <v>41</v>
      </c>
      <c r="B242" t="s">
        <v>26</v>
      </c>
      <c r="C242">
        <v>635</v>
      </c>
      <c r="D242">
        <v>1</v>
      </c>
      <c r="E242" t="s">
        <v>27</v>
      </c>
      <c r="F242" t="s">
        <v>28</v>
      </c>
      <c r="G242" t="str">
        <f>"2026-03-24 09:08:02.665"</f>
        <v>2026-03-24 09:08:02.665</v>
      </c>
      <c r="H242" t="s">
        <v>21</v>
      </c>
    </row>
    <row r="243" spans="1:10" x14ac:dyDescent="0.25">
      <c r="A243" s="1">
        <v>42</v>
      </c>
      <c r="B243" t="s">
        <v>29</v>
      </c>
      <c r="C243">
        <v>635</v>
      </c>
      <c r="D243">
        <v>1</v>
      </c>
      <c r="E243" t="s">
        <v>27</v>
      </c>
      <c r="F243" t="s">
        <v>28</v>
      </c>
      <c r="G243" t="str">
        <f>"2026-03-24 09:04:48.165"</f>
        <v>2026-03-24 09:04:48.165</v>
      </c>
      <c r="H243" t="s">
        <v>21</v>
      </c>
      <c r="I243">
        <v>5.21</v>
      </c>
      <c r="J243" t="s">
        <v>30</v>
      </c>
    </row>
    <row r="244" spans="1:10" s="3" customFormat="1" x14ac:dyDescent="0.25">
      <c r="A244" s="2">
        <v>43</v>
      </c>
      <c r="B244" s="3" t="s">
        <v>26</v>
      </c>
      <c r="C244" s="3">
        <v>647</v>
      </c>
      <c r="D244" s="3">
        <v>1</v>
      </c>
      <c r="E244" s="3" t="s">
        <v>40</v>
      </c>
      <c r="F244" s="3" t="s">
        <v>41</v>
      </c>
      <c r="G244" s="3" t="str">
        <f>"2026-03-23 17:01:47.065"</f>
        <v>2026-03-23 17:01:47.065</v>
      </c>
      <c r="H244" s="3" t="s">
        <v>21</v>
      </c>
    </row>
    <row r="245" spans="1:10" s="3" customFormat="1" x14ac:dyDescent="0.25">
      <c r="A245" s="2">
        <v>44</v>
      </c>
      <c r="B245" s="3" t="s">
        <v>29</v>
      </c>
      <c r="C245" s="3">
        <v>647</v>
      </c>
      <c r="D245" s="3">
        <v>1</v>
      </c>
      <c r="E245" s="3" t="s">
        <v>40</v>
      </c>
      <c r="F245" s="3" t="s">
        <v>41</v>
      </c>
      <c r="G245" s="3" t="str">
        <f>"2026-03-23 17:01:45.765"</f>
        <v>2026-03-23 17:01:45.765</v>
      </c>
      <c r="H245" s="3" t="s">
        <v>21</v>
      </c>
      <c r="I245" s="3">
        <v>12.79</v>
      </c>
      <c r="J245" s="3" t="s">
        <v>32</v>
      </c>
    </row>
    <row r="246" spans="1:10" x14ac:dyDescent="0.25">
      <c r="A246" s="1">
        <v>45</v>
      </c>
      <c r="B246" t="s">
        <v>26</v>
      </c>
      <c r="C246">
        <v>635</v>
      </c>
      <c r="D246">
        <v>1</v>
      </c>
      <c r="E246" t="s">
        <v>27</v>
      </c>
      <c r="F246" t="s">
        <v>28</v>
      </c>
      <c r="G246" t="str">
        <f>"2026-03-23 10:12:58.865"</f>
        <v>2026-03-23 10:12:58.865</v>
      </c>
      <c r="H246" t="s">
        <v>21</v>
      </c>
    </row>
    <row r="247" spans="1:10" x14ac:dyDescent="0.25">
      <c r="A247" s="1">
        <v>46</v>
      </c>
      <c r="B247" t="s">
        <v>29</v>
      </c>
      <c r="C247">
        <v>635</v>
      </c>
      <c r="D247">
        <v>1</v>
      </c>
      <c r="E247" t="s">
        <v>27</v>
      </c>
      <c r="F247" t="s">
        <v>28</v>
      </c>
      <c r="G247" t="str">
        <f>"2026-03-23 10:07:40.465"</f>
        <v>2026-03-23 10:07:40.465</v>
      </c>
      <c r="H247" t="s">
        <v>21</v>
      </c>
      <c r="I247">
        <v>7.42</v>
      </c>
      <c r="J247" t="s">
        <v>30</v>
      </c>
    </row>
    <row r="248" spans="1:10" x14ac:dyDescent="0.25">
      <c r="A248" s="1">
        <v>47</v>
      </c>
      <c r="B248" t="s">
        <v>26</v>
      </c>
      <c r="C248">
        <v>635</v>
      </c>
      <c r="D248">
        <v>1</v>
      </c>
      <c r="E248" t="s">
        <v>27</v>
      </c>
      <c r="F248" t="s">
        <v>28</v>
      </c>
      <c r="G248" t="str">
        <f>"2026-03-22 16:29:01.565"</f>
        <v>2026-03-22 16:29:01.565</v>
      </c>
      <c r="H248" t="s">
        <v>21</v>
      </c>
    </row>
    <row r="249" spans="1:10" x14ac:dyDescent="0.25">
      <c r="A249" s="1">
        <v>48</v>
      </c>
      <c r="B249" t="s">
        <v>29</v>
      </c>
      <c r="C249">
        <v>635</v>
      </c>
      <c r="D249">
        <v>1</v>
      </c>
      <c r="E249" t="s">
        <v>27</v>
      </c>
      <c r="F249" t="s">
        <v>28</v>
      </c>
      <c r="G249" t="str">
        <f>"2026-03-22 16:21:57.565"</f>
        <v>2026-03-22 16:21:57.565</v>
      </c>
      <c r="H249" t="s">
        <v>21</v>
      </c>
      <c r="I249">
        <v>3.34</v>
      </c>
      <c r="J249" t="s">
        <v>30</v>
      </c>
    </row>
    <row r="250" spans="1:10" x14ac:dyDescent="0.25">
      <c r="A250" s="1">
        <v>49</v>
      </c>
      <c r="B250" t="s">
        <v>26</v>
      </c>
      <c r="C250">
        <v>635</v>
      </c>
      <c r="D250">
        <v>1</v>
      </c>
      <c r="E250" t="s">
        <v>27</v>
      </c>
      <c r="F250" t="s">
        <v>28</v>
      </c>
      <c r="G250" t="str">
        <f>"2026-03-22 14:05:39.865"</f>
        <v>2026-03-22 14:05:39.865</v>
      </c>
      <c r="H250" t="s">
        <v>21</v>
      </c>
    </row>
    <row r="251" spans="1:10" x14ac:dyDescent="0.25">
      <c r="A251" s="1">
        <v>50</v>
      </c>
      <c r="B251" t="s">
        <v>29</v>
      </c>
      <c r="C251">
        <v>635</v>
      </c>
      <c r="D251">
        <v>1</v>
      </c>
      <c r="E251" t="s">
        <v>27</v>
      </c>
      <c r="F251" t="s">
        <v>28</v>
      </c>
      <c r="G251" t="str">
        <f>"2026-03-22 14:02:20.865"</f>
        <v>2026-03-22 14:02:20.865</v>
      </c>
      <c r="H251" t="s">
        <v>21</v>
      </c>
      <c r="I251">
        <v>3.46</v>
      </c>
      <c r="J251" t="s">
        <v>31</v>
      </c>
    </row>
    <row r="252" spans="1:10" x14ac:dyDescent="0.25">
      <c r="A252" s="1">
        <v>51</v>
      </c>
      <c r="B252" t="s">
        <v>26</v>
      </c>
      <c r="C252">
        <v>61</v>
      </c>
      <c r="D252">
        <v>2</v>
      </c>
      <c r="E252" t="s">
        <v>44</v>
      </c>
      <c r="F252" t="s">
        <v>45</v>
      </c>
      <c r="G252" t="str">
        <f>"2026-03-22 10:21:02.558"</f>
        <v>2026-03-22 10:21:02.558</v>
      </c>
      <c r="H252" t="s">
        <v>21</v>
      </c>
    </row>
    <row r="253" spans="1:10" x14ac:dyDescent="0.25">
      <c r="A253" s="1">
        <v>52</v>
      </c>
      <c r="B253" t="s">
        <v>37</v>
      </c>
      <c r="C253">
        <v>61</v>
      </c>
      <c r="D253">
        <v>2</v>
      </c>
      <c r="E253" t="s">
        <v>44</v>
      </c>
      <c r="F253" t="s">
        <v>45</v>
      </c>
      <c r="G253" t="str">
        <f>"2026-03-22 10:20:40.458"</f>
        <v>2026-03-22 10:20:40.458</v>
      </c>
      <c r="H253" t="s">
        <v>21</v>
      </c>
      <c r="I253">
        <v>36.94</v>
      </c>
      <c r="J253" t="s">
        <v>32</v>
      </c>
    </row>
    <row r="254" spans="1:10" x14ac:dyDescent="0.25">
      <c r="A254" s="1">
        <v>53</v>
      </c>
      <c r="B254" t="s">
        <v>26</v>
      </c>
      <c r="C254">
        <v>635</v>
      </c>
      <c r="D254">
        <v>1</v>
      </c>
      <c r="E254" t="s">
        <v>27</v>
      </c>
      <c r="F254" t="s">
        <v>28</v>
      </c>
      <c r="G254" t="str">
        <f>"2026-03-22 07:57:07.065"</f>
        <v>2026-03-22 07:57:07.065</v>
      </c>
      <c r="H254" t="s">
        <v>21</v>
      </c>
    </row>
    <row r="255" spans="1:10" x14ac:dyDescent="0.25">
      <c r="A255" s="1">
        <v>54</v>
      </c>
      <c r="B255" t="s">
        <v>29</v>
      </c>
      <c r="C255">
        <v>635</v>
      </c>
      <c r="D255">
        <v>1</v>
      </c>
      <c r="E255" t="s">
        <v>27</v>
      </c>
      <c r="F255" t="s">
        <v>28</v>
      </c>
      <c r="G255" t="str">
        <f>"2026-03-22 07:52:29.065"</f>
        <v>2026-03-22 07:52:29.065</v>
      </c>
      <c r="H255" t="s">
        <v>21</v>
      </c>
      <c r="I255">
        <v>0</v>
      </c>
      <c r="J255" t="s">
        <v>31</v>
      </c>
    </row>
    <row r="256" spans="1:10" x14ac:dyDescent="0.25">
      <c r="A256" s="1">
        <v>55</v>
      </c>
      <c r="B256" t="s">
        <v>26</v>
      </c>
      <c r="C256">
        <v>635</v>
      </c>
      <c r="D256">
        <v>1</v>
      </c>
      <c r="E256" t="s">
        <v>27</v>
      </c>
      <c r="F256" t="s">
        <v>28</v>
      </c>
      <c r="G256" t="str">
        <f>"2026-03-22 04:08:11.465"</f>
        <v>2026-03-22 04:08:11.465</v>
      </c>
      <c r="H256" t="s">
        <v>21</v>
      </c>
    </row>
    <row r="257" spans="1:10" x14ac:dyDescent="0.25">
      <c r="A257" s="1">
        <v>56</v>
      </c>
      <c r="B257" t="s">
        <v>29</v>
      </c>
      <c r="C257">
        <v>635</v>
      </c>
      <c r="D257">
        <v>1</v>
      </c>
      <c r="E257" t="s">
        <v>27</v>
      </c>
      <c r="F257" t="s">
        <v>28</v>
      </c>
      <c r="G257" t="str">
        <f>"2026-03-22 04:04:27.965"</f>
        <v>2026-03-22 04:04:27.965</v>
      </c>
      <c r="H257" t="s">
        <v>21</v>
      </c>
      <c r="I257">
        <v>3.49</v>
      </c>
      <c r="J257" t="s">
        <v>31</v>
      </c>
    </row>
    <row r="258" spans="1:10" s="3" customFormat="1" x14ac:dyDescent="0.25">
      <c r="A258" s="2">
        <v>57</v>
      </c>
      <c r="B258" s="3" t="s">
        <v>26</v>
      </c>
      <c r="C258" s="3">
        <v>647</v>
      </c>
      <c r="D258" s="3">
        <v>1</v>
      </c>
      <c r="E258" s="3" t="s">
        <v>40</v>
      </c>
      <c r="F258" s="3" t="s">
        <v>41</v>
      </c>
      <c r="G258" s="3" t="str">
        <f>"2026-03-21 19:30:22.365"</f>
        <v>2026-03-21 19:30:22.365</v>
      </c>
      <c r="H258" s="3" t="s">
        <v>21</v>
      </c>
    </row>
    <row r="259" spans="1:10" s="3" customFormat="1" x14ac:dyDescent="0.25">
      <c r="A259" s="2">
        <v>58</v>
      </c>
      <c r="B259" s="3" t="s">
        <v>29</v>
      </c>
      <c r="C259" s="3">
        <v>647</v>
      </c>
      <c r="D259" s="3">
        <v>1</v>
      </c>
      <c r="E259" s="3" t="s">
        <v>40</v>
      </c>
      <c r="F259" s="3" t="s">
        <v>41</v>
      </c>
      <c r="G259" s="3" t="str">
        <f>"2026-03-21 19:30:20.466"</f>
        <v>2026-03-21 19:30:20.466</v>
      </c>
      <c r="H259" s="3" t="s">
        <v>21</v>
      </c>
      <c r="I259" s="3">
        <v>33.4</v>
      </c>
      <c r="J259" s="3" t="s">
        <v>32</v>
      </c>
    </row>
    <row r="260" spans="1:10" x14ac:dyDescent="0.25">
      <c r="A260" s="1">
        <v>59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"2026-03-21 12:12:06.657"</f>
        <v>2026-03-21 12:12:06.657</v>
      </c>
      <c r="H260" t="s">
        <v>21</v>
      </c>
      <c r="I260">
        <v>0</v>
      </c>
      <c r="J260" t="s">
        <v>22</v>
      </c>
    </row>
    <row r="261" spans="1:10" x14ac:dyDescent="0.25">
      <c r="A261" s="1">
        <v>60</v>
      </c>
      <c r="B261" t="s">
        <v>26</v>
      </c>
      <c r="C261">
        <v>635</v>
      </c>
      <c r="D261">
        <v>1</v>
      </c>
      <c r="E261" t="s">
        <v>27</v>
      </c>
      <c r="F261" t="s">
        <v>28</v>
      </c>
      <c r="G261" t="str">
        <f>"2026-03-21 08:25:40.170"</f>
        <v>2026-03-21 08:25:40.170</v>
      </c>
      <c r="H261" t="s">
        <v>21</v>
      </c>
    </row>
    <row r="262" spans="1:10" x14ac:dyDescent="0.25">
      <c r="A262" s="1">
        <v>61</v>
      </c>
      <c r="B262" t="s">
        <v>29</v>
      </c>
      <c r="C262">
        <v>635</v>
      </c>
      <c r="D262">
        <v>1</v>
      </c>
      <c r="E262" t="s">
        <v>27</v>
      </c>
      <c r="F262" t="s">
        <v>28</v>
      </c>
      <c r="G262" t="str">
        <f>"2026-03-21 08:21:12.170"</f>
        <v>2026-03-21 08:21:12.170</v>
      </c>
      <c r="H262" t="s">
        <v>21</v>
      </c>
      <c r="I262">
        <v>5.57</v>
      </c>
      <c r="J262" t="s">
        <v>30</v>
      </c>
    </row>
    <row r="263" spans="1:10" x14ac:dyDescent="0.25">
      <c r="A263" s="1">
        <v>62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"2026-03-20 13:27:47.618"</f>
        <v>2026-03-20 13:27:47.618</v>
      </c>
      <c r="H263" t="s">
        <v>21</v>
      </c>
    </row>
    <row r="264" spans="1:10" x14ac:dyDescent="0.25">
      <c r="A264" s="1">
        <v>63</v>
      </c>
      <c r="B264" t="s">
        <v>26</v>
      </c>
      <c r="C264">
        <v>635</v>
      </c>
      <c r="D264">
        <v>1</v>
      </c>
      <c r="E264" t="s">
        <v>27</v>
      </c>
      <c r="F264" t="s">
        <v>28</v>
      </c>
      <c r="G264" t="str">
        <f>"2026-03-20 08:54:04.170"</f>
        <v>2026-03-20 08:54:04.170</v>
      </c>
      <c r="H264" t="s">
        <v>21</v>
      </c>
    </row>
    <row r="265" spans="1:10" x14ac:dyDescent="0.25">
      <c r="A265" s="1">
        <v>64</v>
      </c>
      <c r="B265" t="s">
        <v>29</v>
      </c>
      <c r="C265">
        <v>635</v>
      </c>
      <c r="D265">
        <v>1</v>
      </c>
      <c r="E265" t="s">
        <v>27</v>
      </c>
      <c r="F265" t="s">
        <v>28</v>
      </c>
      <c r="G265" t="str">
        <f>"2026-03-20 08:51:15.170"</f>
        <v>2026-03-20 08:51:15.170</v>
      </c>
      <c r="H265" t="s">
        <v>21</v>
      </c>
      <c r="I265">
        <v>7.93</v>
      </c>
      <c r="J265" t="s">
        <v>30</v>
      </c>
    </row>
    <row r="266" spans="1:10" x14ac:dyDescent="0.25">
      <c r="A266" s="1">
        <v>65</v>
      </c>
      <c r="B266" t="s">
        <v>26</v>
      </c>
      <c r="C266">
        <v>635</v>
      </c>
      <c r="D266">
        <v>1</v>
      </c>
      <c r="E266" t="s">
        <v>27</v>
      </c>
      <c r="F266" t="s">
        <v>28</v>
      </c>
      <c r="G266" t="str">
        <f>"2026-03-18 03:34:46.270"</f>
        <v>2026-03-18 03:34:46.270</v>
      </c>
      <c r="H266" t="s">
        <v>21</v>
      </c>
    </row>
    <row r="267" spans="1:10" x14ac:dyDescent="0.25">
      <c r="A267" s="1">
        <v>66</v>
      </c>
      <c r="B267" t="s">
        <v>29</v>
      </c>
      <c r="C267">
        <v>635</v>
      </c>
      <c r="D267">
        <v>1</v>
      </c>
      <c r="E267" t="s">
        <v>27</v>
      </c>
      <c r="F267" t="s">
        <v>28</v>
      </c>
      <c r="G267" t="str">
        <f>"2026-03-18 03:31:33.770"</f>
        <v>2026-03-18 03:31:33.770</v>
      </c>
      <c r="H267" t="s">
        <v>21</v>
      </c>
      <c r="I267">
        <v>9.2799999999999994</v>
      </c>
      <c r="J267" t="s">
        <v>32</v>
      </c>
    </row>
    <row r="268" spans="1:10" x14ac:dyDescent="0.25">
      <c r="A268" s="1">
        <v>67</v>
      </c>
      <c r="B268" t="s">
        <v>26</v>
      </c>
      <c r="C268">
        <v>635</v>
      </c>
      <c r="D268">
        <v>1</v>
      </c>
      <c r="E268" t="s">
        <v>27</v>
      </c>
      <c r="F268" t="s">
        <v>28</v>
      </c>
      <c r="G268" t="str">
        <f>"2026-03-17 21:05:40.570"</f>
        <v>2026-03-17 21:05:40.570</v>
      </c>
      <c r="H268" t="s">
        <v>21</v>
      </c>
    </row>
    <row r="269" spans="1:10" x14ac:dyDescent="0.25">
      <c r="A269" s="1">
        <v>68</v>
      </c>
      <c r="B269" t="s">
        <v>29</v>
      </c>
      <c r="C269">
        <v>635</v>
      </c>
      <c r="D269">
        <v>1</v>
      </c>
      <c r="E269" t="s">
        <v>27</v>
      </c>
      <c r="F269" t="s">
        <v>28</v>
      </c>
      <c r="G269" t="str">
        <f>"2026-03-17 21:02:28.570"</f>
        <v>2026-03-17 21:02:28.570</v>
      </c>
      <c r="H269" t="s">
        <v>21</v>
      </c>
      <c r="I269">
        <v>5.93</v>
      </c>
      <c r="J269" t="s">
        <v>30</v>
      </c>
    </row>
    <row r="270" spans="1:10" x14ac:dyDescent="0.25">
      <c r="A270" s="1">
        <v>69</v>
      </c>
      <c r="B270" t="s">
        <v>26</v>
      </c>
      <c r="C270">
        <v>635</v>
      </c>
      <c r="D270">
        <v>1</v>
      </c>
      <c r="E270" t="s">
        <v>27</v>
      </c>
      <c r="F270" t="s">
        <v>28</v>
      </c>
      <c r="G270" t="str">
        <f>"2026-03-17 19:25:45.270"</f>
        <v>2026-03-17 19:25:45.270</v>
      </c>
      <c r="H270" t="s">
        <v>21</v>
      </c>
    </row>
    <row r="271" spans="1:10" x14ac:dyDescent="0.25">
      <c r="A271" s="1">
        <v>70</v>
      </c>
      <c r="B271" t="s">
        <v>29</v>
      </c>
      <c r="C271">
        <v>635</v>
      </c>
      <c r="D271">
        <v>1</v>
      </c>
      <c r="E271" t="s">
        <v>27</v>
      </c>
      <c r="F271" t="s">
        <v>28</v>
      </c>
      <c r="G271" t="str">
        <f>"2026-03-17 19:22:52.270"</f>
        <v>2026-03-17 19:22:52.270</v>
      </c>
      <c r="H271" t="s">
        <v>21</v>
      </c>
      <c r="I271">
        <v>5.98</v>
      </c>
      <c r="J271" t="s">
        <v>30</v>
      </c>
    </row>
    <row r="272" spans="1:10" x14ac:dyDescent="0.25">
      <c r="A272" s="1">
        <v>71</v>
      </c>
      <c r="B272" t="s">
        <v>26</v>
      </c>
      <c r="C272">
        <v>635</v>
      </c>
      <c r="D272">
        <v>1</v>
      </c>
      <c r="E272" t="s">
        <v>27</v>
      </c>
      <c r="F272" t="s">
        <v>28</v>
      </c>
      <c r="G272" t="str">
        <f>"2026-03-17 17:13:09.570"</f>
        <v>2026-03-17 17:13:09.570</v>
      </c>
      <c r="H272" t="s">
        <v>21</v>
      </c>
    </row>
    <row r="273" spans="1:10" x14ac:dyDescent="0.25">
      <c r="A273" s="1">
        <v>72</v>
      </c>
      <c r="B273" t="s">
        <v>29</v>
      </c>
      <c r="C273">
        <v>635</v>
      </c>
      <c r="D273">
        <v>1</v>
      </c>
      <c r="E273" t="s">
        <v>27</v>
      </c>
      <c r="F273" t="s">
        <v>28</v>
      </c>
      <c r="G273" t="str">
        <f>"2026-03-17 17:11:12.070"</f>
        <v>2026-03-17 17:11:12.070</v>
      </c>
      <c r="H273" t="s">
        <v>21</v>
      </c>
      <c r="I273">
        <v>8.61</v>
      </c>
      <c r="J273" t="s">
        <v>30</v>
      </c>
    </row>
    <row r="274" spans="1:10" x14ac:dyDescent="0.25">
      <c r="A274" s="1">
        <v>73</v>
      </c>
      <c r="B274" t="s">
        <v>19</v>
      </c>
      <c r="C274">
        <v>706</v>
      </c>
      <c r="D274">
        <v>4</v>
      </c>
      <c r="E274" t="s">
        <v>23</v>
      </c>
      <c r="F274" t="s">
        <v>38</v>
      </c>
      <c r="G274" t="str">
        <f>"2026-03-17 14:26:36.501"</f>
        <v>2026-03-17 14:26:36.501</v>
      </c>
      <c r="H274" t="s">
        <v>21</v>
      </c>
      <c r="I274">
        <v>0</v>
      </c>
      <c r="J274" t="s">
        <v>25</v>
      </c>
    </row>
    <row r="275" spans="1:10" x14ac:dyDescent="0.25">
      <c r="A275" s="1">
        <v>74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"2026-03-17 14:20:16.651"</f>
        <v>2026-03-17 14:20:16.651</v>
      </c>
      <c r="H275" t="s">
        <v>21</v>
      </c>
    </row>
    <row r="276" spans="1:10" x14ac:dyDescent="0.25">
      <c r="A276" s="1">
        <v>75</v>
      </c>
      <c r="B276" t="s">
        <v>26</v>
      </c>
      <c r="C276">
        <v>635</v>
      </c>
      <c r="D276">
        <v>1</v>
      </c>
      <c r="E276" t="s">
        <v>27</v>
      </c>
      <c r="F276" t="s">
        <v>28</v>
      </c>
      <c r="G276" t="str">
        <f>"2026-03-17 13:08:03.638"</f>
        <v>2026-03-17 13:08:03.638</v>
      </c>
      <c r="H276" t="s">
        <v>21</v>
      </c>
    </row>
    <row r="277" spans="1:10" x14ac:dyDescent="0.25">
      <c r="A277" s="1">
        <v>76</v>
      </c>
      <c r="B277" t="s">
        <v>29</v>
      </c>
      <c r="C277">
        <v>635</v>
      </c>
      <c r="D277">
        <v>1</v>
      </c>
      <c r="E277" t="s">
        <v>27</v>
      </c>
      <c r="F277" t="s">
        <v>28</v>
      </c>
      <c r="G277" t="str">
        <f>"2026-03-17 13:00:09.638"</f>
        <v>2026-03-17 13:00:09.638</v>
      </c>
      <c r="H277" t="s">
        <v>21</v>
      </c>
      <c r="I277">
        <v>5.85</v>
      </c>
      <c r="J277" t="s">
        <v>30</v>
      </c>
    </row>
    <row r="278" spans="1:10" x14ac:dyDescent="0.25">
      <c r="A278" s="1">
        <v>77</v>
      </c>
      <c r="B278" t="s">
        <v>26</v>
      </c>
      <c r="C278">
        <v>61</v>
      </c>
      <c r="D278">
        <v>2</v>
      </c>
      <c r="E278" t="s">
        <v>44</v>
      </c>
      <c r="F278" t="s">
        <v>45</v>
      </c>
      <c r="G278" t="str">
        <f>"2026-03-17 07:26:34.238"</f>
        <v>2026-03-17 07:26:34.238</v>
      </c>
      <c r="H278" t="s">
        <v>21</v>
      </c>
    </row>
    <row r="279" spans="1:10" x14ac:dyDescent="0.25">
      <c r="A279" s="1">
        <v>78</v>
      </c>
      <c r="B279" t="s">
        <v>37</v>
      </c>
      <c r="C279">
        <v>61</v>
      </c>
      <c r="D279">
        <v>2</v>
      </c>
      <c r="E279" t="s">
        <v>44</v>
      </c>
      <c r="F279" t="s">
        <v>45</v>
      </c>
      <c r="G279" t="str">
        <f>"2026-03-17 07:26:22.339"</f>
        <v>2026-03-17 07:26:22.339</v>
      </c>
      <c r="H279" t="s">
        <v>21</v>
      </c>
      <c r="I279">
        <v>29.2</v>
      </c>
      <c r="J279" t="s">
        <v>32</v>
      </c>
    </row>
    <row r="280" spans="1:10" x14ac:dyDescent="0.25">
      <c r="A280" s="1">
        <v>79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"2026-03-17 01:47:36.856"</f>
        <v>2026-03-17 01:47:36.856</v>
      </c>
      <c r="H280" t="s">
        <v>21</v>
      </c>
      <c r="I280">
        <v>0</v>
      </c>
      <c r="J280" t="s">
        <v>22</v>
      </c>
    </row>
    <row r="281" spans="1:10" s="3" customFormat="1" x14ac:dyDescent="0.25">
      <c r="A281" s="2">
        <v>80</v>
      </c>
      <c r="B281" s="3" t="s">
        <v>26</v>
      </c>
      <c r="C281" s="3">
        <v>647</v>
      </c>
      <c r="D281" s="3">
        <v>1</v>
      </c>
      <c r="E281" s="3" t="s">
        <v>40</v>
      </c>
      <c r="F281" s="3" t="s">
        <v>41</v>
      </c>
      <c r="G281" s="3" t="str">
        <f>"2026-03-16 22:38:25.964"</f>
        <v>2026-03-16 22:38:25.964</v>
      </c>
      <c r="H281" s="3" t="s">
        <v>21</v>
      </c>
    </row>
    <row r="282" spans="1:10" s="3" customFormat="1" x14ac:dyDescent="0.25">
      <c r="A282" s="2">
        <v>81</v>
      </c>
      <c r="B282" s="3" t="s">
        <v>29</v>
      </c>
      <c r="C282" s="3">
        <v>647</v>
      </c>
      <c r="D282" s="3">
        <v>1</v>
      </c>
      <c r="E282" s="3" t="s">
        <v>40</v>
      </c>
      <c r="F282" s="3" t="s">
        <v>41</v>
      </c>
      <c r="G282" s="3" t="str">
        <f>"2026-03-16 22:38:24.664"</f>
        <v>2026-03-16 22:38:24.664</v>
      </c>
      <c r="H282" s="3" t="s">
        <v>21</v>
      </c>
      <c r="I282" s="3">
        <v>8.1300000000000008</v>
      </c>
      <c r="J282" s="3" t="s">
        <v>32</v>
      </c>
    </row>
    <row r="283" spans="1:10" s="3" customFormat="1" x14ac:dyDescent="0.25">
      <c r="A283" s="2">
        <v>82</v>
      </c>
      <c r="B283" s="3" t="s">
        <v>26</v>
      </c>
      <c r="C283" s="3">
        <v>647</v>
      </c>
      <c r="D283" s="3">
        <v>1</v>
      </c>
      <c r="E283" s="3" t="s">
        <v>40</v>
      </c>
      <c r="F283" s="3" t="s">
        <v>41</v>
      </c>
      <c r="G283" s="3" t="str">
        <f>"2026-03-16 00:24:36.564"</f>
        <v>2026-03-16 00:24:36.564</v>
      </c>
      <c r="H283" s="3" t="s">
        <v>21</v>
      </c>
    </row>
    <row r="284" spans="1:10" s="3" customFormat="1" x14ac:dyDescent="0.25">
      <c r="A284" s="2">
        <v>83</v>
      </c>
      <c r="B284" s="3" t="s">
        <v>29</v>
      </c>
      <c r="C284" s="3">
        <v>647</v>
      </c>
      <c r="D284" s="3">
        <v>1</v>
      </c>
      <c r="E284" s="3" t="s">
        <v>40</v>
      </c>
      <c r="F284" s="3" t="s">
        <v>41</v>
      </c>
      <c r="G284" s="3" t="str">
        <f>"2026-03-16 00:24:34.264"</f>
        <v>2026-03-16 00:24:34.264</v>
      </c>
      <c r="H284" s="3" t="s">
        <v>21</v>
      </c>
      <c r="I284" s="3">
        <v>22.02</v>
      </c>
      <c r="J284" s="3" t="s">
        <v>32</v>
      </c>
    </row>
    <row r="285" spans="1:10" s="3" customFormat="1" x14ac:dyDescent="0.25">
      <c r="A285" s="2">
        <v>84</v>
      </c>
      <c r="B285" s="3" t="s">
        <v>26</v>
      </c>
      <c r="C285" s="3">
        <v>647</v>
      </c>
      <c r="D285" s="3">
        <v>1</v>
      </c>
      <c r="E285" s="3" t="s">
        <v>40</v>
      </c>
      <c r="F285" s="3" t="s">
        <v>41</v>
      </c>
      <c r="G285" s="3" t="str">
        <f>"2026-03-16 00:19:38.964"</f>
        <v>2026-03-16 00:19:38.964</v>
      </c>
      <c r="H285" s="3" t="s">
        <v>21</v>
      </c>
    </row>
    <row r="286" spans="1:10" s="3" customFormat="1" x14ac:dyDescent="0.25">
      <c r="A286" s="2">
        <v>85</v>
      </c>
      <c r="B286" s="3" t="s">
        <v>29</v>
      </c>
      <c r="C286" s="3">
        <v>647</v>
      </c>
      <c r="D286" s="3">
        <v>1</v>
      </c>
      <c r="E286" s="3" t="s">
        <v>40</v>
      </c>
      <c r="F286" s="3" t="s">
        <v>41</v>
      </c>
      <c r="G286" s="3" t="str">
        <f>"2026-03-16 00:19:34.864"</f>
        <v>2026-03-16 00:19:34.864</v>
      </c>
      <c r="H286" s="3" t="s">
        <v>21</v>
      </c>
      <c r="I286" s="3">
        <v>11.02</v>
      </c>
      <c r="J286" s="3" t="s">
        <v>32</v>
      </c>
    </row>
    <row r="287" spans="1:10" x14ac:dyDescent="0.25">
      <c r="A287" s="1">
        <v>86</v>
      </c>
      <c r="B287" t="s">
        <v>19</v>
      </c>
      <c r="C287">
        <v>706</v>
      </c>
      <c r="D287">
        <v>2</v>
      </c>
      <c r="E287" t="s">
        <v>23</v>
      </c>
      <c r="F287" t="s">
        <v>24</v>
      </c>
      <c r="G287" t="str">
        <f>"2026-03-14 20:15:43.880"</f>
        <v>2026-03-14 20:15:43.880</v>
      </c>
      <c r="H287" t="s">
        <v>21</v>
      </c>
      <c r="I287">
        <v>0</v>
      </c>
      <c r="J287" t="s">
        <v>25</v>
      </c>
    </row>
    <row r="288" spans="1:10" x14ac:dyDescent="0.25">
      <c r="A288" s="1">
        <v>87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"2026-03-14 20:06:19.640"</f>
        <v>2026-03-14 20:06:19.640</v>
      </c>
      <c r="H288" t="s">
        <v>21</v>
      </c>
      <c r="I288">
        <v>0</v>
      </c>
      <c r="J288" t="s">
        <v>22</v>
      </c>
    </row>
    <row r="289" spans="1:10" x14ac:dyDescent="0.25">
      <c r="A289" s="1">
        <v>88</v>
      </c>
      <c r="B289" t="s">
        <v>19</v>
      </c>
      <c r="C289">
        <v>706</v>
      </c>
      <c r="D289">
        <v>3</v>
      </c>
      <c r="E289" t="s">
        <v>23</v>
      </c>
      <c r="F289" t="s">
        <v>39</v>
      </c>
      <c r="G289" t="str">
        <f>"2026-03-14 20:05:05.912"</f>
        <v>2026-03-14 20:05:05.912</v>
      </c>
      <c r="H289" t="s">
        <v>21</v>
      </c>
      <c r="I289">
        <v>0</v>
      </c>
      <c r="J289" t="s">
        <v>25</v>
      </c>
    </row>
    <row r="290" spans="1:10" x14ac:dyDescent="0.25">
      <c r="A290" s="1">
        <v>89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"2026-03-14 11:55:42.692"</f>
        <v>2026-03-14 11:55:42.692</v>
      </c>
      <c r="H290" t="s">
        <v>21</v>
      </c>
    </row>
    <row r="291" spans="1:10" x14ac:dyDescent="0.25">
      <c r="A291" s="1">
        <v>90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"2026-03-14 06:50:45.628"</f>
        <v>2026-03-14 06:50:45.628</v>
      </c>
      <c r="H291" t="s">
        <v>21</v>
      </c>
      <c r="I291">
        <v>0</v>
      </c>
      <c r="J291" t="s">
        <v>22</v>
      </c>
    </row>
    <row r="292" spans="1:10" x14ac:dyDescent="0.25">
      <c r="A292" s="1">
        <v>91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"2026-03-14 05:32:40.603"</f>
        <v>2026-03-14 05:32:40.603</v>
      </c>
      <c r="H292" t="s">
        <v>21</v>
      </c>
    </row>
    <row r="293" spans="1:10" x14ac:dyDescent="0.25">
      <c r="A293" s="1">
        <v>92</v>
      </c>
      <c r="B293" t="s">
        <v>19</v>
      </c>
      <c r="C293">
        <v>706</v>
      </c>
      <c r="D293">
        <v>4</v>
      </c>
      <c r="E293" t="s">
        <v>23</v>
      </c>
      <c r="F293" t="s">
        <v>38</v>
      </c>
      <c r="G293" t="str">
        <f>"2026-03-14 03:03:56.994"</f>
        <v>2026-03-14 03:03:56.994</v>
      </c>
      <c r="H293" t="s">
        <v>21</v>
      </c>
      <c r="I293">
        <v>0</v>
      </c>
      <c r="J293" t="s">
        <v>25</v>
      </c>
    </row>
    <row r="294" spans="1:10" x14ac:dyDescent="0.25">
      <c r="A294" s="1">
        <v>93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"2026-03-14 02:33:04.624"</f>
        <v>2026-03-14 02:33:04.624</v>
      </c>
      <c r="H294" t="s">
        <v>21</v>
      </c>
      <c r="I294">
        <v>0</v>
      </c>
      <c r="J294" t="s">
        <v>22</v>
      </c>
    </row>
    <row r="295" spans="1:10" x14ac:dyDescent="0.25">
      <c r="A295" s="1">
        <v>94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"2026-03-14 01:11:16.889"</f>
        <v>2026-03-14 01:11:16.889</v>
      </c>
      <c r="H295" t="s">
        <v>21</v>
      </c>
      <c r="I295">
        <v>0</v>
      </c>
      <c r="J295" t="s">
        <v>22</v>
      </c>
    </row>
    <row r="296" spans="1:10" x14ac:dyDescent="0.25">
      <c r="A296" s="1">
        <v>95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"2026-03-13 13:18:08.652"</f>
        <v>2026-03-13 13:18:08.652</v>
      </c>
      <c r="H296" t="s">
        <v>21</v>
      </c>
      <c r="I296">
        <v>0</v>
      </c>
      <c r="J296" t="s">
        <v>22</v>
      </c>
    </row>
    <row r="297" spans="1:10" x14ac:dyDescent="0.25">
      <c r="A297" s="1">
        <v>96</v>
      </c>
      <c r="B297" t="s">
        <v>26</v>
      </c>
      <c r="C297">
        <v>635</v>
      </c>
      <c r="D297">
        <v>1</v>
      </c>
      <c r="E297" t="s">
        <v>27</v>
      </c>
      <c r="F297" t="s">
        <v>28</v>
      </c>
      <c r="G297" t="str">
        <f>"2026-03-13 11:28:54.420"</f>
        <v>2026-03-13 11:28:54.420</v>
      </c>
      <c r="H297" t="s">
        <v>21</v>
      </c>
    </row>
    <row r="298" spans="1:10" x14ac:dyDescent="0.25">
      <c r="A298" s="1">
        <v>97</v>
      </c>
      <c r="B298" t="s">
        <v>29</v>
      </c>
      <c r="C298">
        <v>635</v>
      </c>
      <c r="D298">
        <v>1</v>
      </c>
      <c r="E298" t="s">
        <v>27</v>
      </c>
      <c r="F298" t="s">
        <v>28</v>
      </c>
      <c r="G298" t="str">
        <f>"2026-03-13 11:26:29.420"</f>
        <v>2026-03-13 11:26:29.420</v>
      </c>
      <c r="H298" t="s">
        <v>21</v>
      </c>
      <c r="I298">
        <v>8.6199999999999992</v>
      </c>
      <c r="J298" t="s">
        <v>30</v>
      </c>
    </row>
    <row r="299" spans="1:10" x14ac:dyDescent="0.25">
      <c r="A299" s="1">
        <v>98</v>
      </c>
      <c r="B299" t="s">
        <v>26</v>
      </c>
      <c r="C299">
        <v>635</v>
      </c>
      <c r="D299">
        <v>1</v>
      </c>
      <c r="E299" t="s">
        <v>27</v>
      </c>
      <c r="F299" t="s">
        <v>28</v>
      </c>
      <c r="G299" t="str">
        <f>"2026-03-13 03:05:28.420"</f>
        <v>2026-03-13 03:05:28.420</v>
      </c>
      <c r="H299" t="s">
        <v>21</v>
      </c>
    </row>
    <row r="300" spans="1:10" x14ac:dyDescent="0.25">
      <c r="A300" s="1">
        <v>99</v>
      </c>
      <c r="B300" t="s">
        <v>29</v>
      </c>
      <c r="C300">
        <v>635</v>
      </c>
      <c r="D300">
        <v>1</v>
      </c>
      <c r="E300" t="s">
        <v>27</v>
      </c>
      <c r="F300" t="s">
        <v>28</v>
      </c>
      <c r="G300" t="str">
        <f>"2026-03-13 03:02:22.921"</f>
        <v>2026-03-13 03:02:22.921</v>
      </c>
      <c r="H300" t="s">
        <v>21</v>
      </c>
      <c r="I300">
        <v>5.09</v>
      </c>
      <c r="J300" t="s">
        <v>32</v>
      </c>
    </row>
    <row r="301" spans="1:10" x14ac:dyDescent="0.25">
      <c r="A301" s="1">
        <v>0</v>
      </c>
      <c r="B301" t="s">
        <v>26</v>
      </c>
      <c r="C301">
        <v>42</v>
      </c>
      <c r="D301">
        <v>1</v>
      </c>
      <c r="E301" t="s">
        <v>46</v>
      </c>
      <c r="F301" t="s">
        <v>47</v>
      </c>
      <c r="G301" t="str">
        <f>"2026-03-13 02:13:20.938"</f>
        <v>2026-03-13 02:13:20.938</v>
      </c>
      <c r="H301" t="s">
        <v>48</v>
      </c>
    </row>
    <row r="302" spans="1:10" x14ac:dyDescent="0.25">
      <c r="A302" s="1">
        <v>1</v>
      </c>
      <c r="B302" t="s">
        <v>29</v>
      </c>
      <c r="C302">
        <v>42</v>
      </c>
      <c r="D302">
        <v>1</v>
      </c>
      <c r="E302" t="s">
        <v>46</v>
      </c>
      <c r="F302" t="s">
        <v>47</v>
      </c>
      <c r="G302" t="str">
        <f>"2026-03-13 02:12:57.619"</f>
        <v>2026-03-13 02:12:57.619</v>
      </c>
      <c r="H302" t="s">
        <v>48</v>
      </c>
      <c r="I302">
        <v>0</v>
      </c>
      <c r="J302" t="s">
        <v>25</v>
      </c>
    </row>
    <row r="303" spans="1:10" x14ac:dyDescent="0.25">
      <c r="A303" s="1">
        <v>2</v>
      </c>
      <c r="B303" t="s">
        <v>19</v>
      </c>
      <c r="C303">
        <v>706</v>
      </c>
      <c r="D303">
        <v>2</v>
      </c>
      <c r="E303" t="s">
        <v>23</v>
      </c>
      <c r="F303" t="s">
        <v>24</v>
      </c>
      <c r="G303" t="str">
        <f>"2026-03-13 02:00:27.579"</f>
        <v>2026-03-13 02:00:27.579</v>
      </c>
      <c r="H303" t="s">
        <v>21</v>
      </c>
      <c r="I303">
        <v>0</v>
      </c>
      <c r="J303" t="s">
        <v>25</v>
      </c>
    </row>
    <row r="304" spans="1:10" x14ac:dyDescent="0.25">
      <c r="A304" s="1">
        <v>3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"2026-03-12 23:41:46.609"</f>
        <v>2026-03-12 23:41:46.609</v>
      </c>
      <c r="H304" t="s">
        <v>21</v>
      </c>
      <c r="I304">
        <v>0</v>
      </c>
      <c r="J304" t="s">
        <v>22</v>
      </c>
    </row>
    <row r="305" spans="1:10" x14ac:dyDescent="0.25">
      <c r="A305" s="1">
        <v>4</v>
      </c>
      <c r="B305" t="s">
        <v>19</v>
      </c>
      <c r="C305">
        <v>706</v>
      </c>
      <c r="D305">
        <v>4</v>
      </c>
      <c r="E305" t="s">
        <v>23</v>
      </c>
      <c r="F305" t="s">
        <v>38</v>
      </c>
      <c r="G305" t="str">
        <f>"2026-03-12 23:30:04.123"</f>
        <v>2026-03-12 23:30:04.123</v>
      </c>
      <c r="H305" t="s">
        <v>21</v>
      </c>
      <c r="I305">
        <v>0</v>
      </c>
      <c r="J305" t="s">
        <v>25</v>
      </c>
    </row>
    <row r="306" spans="1:10" x14ac:dyDescent="0.25">
      <c r="A306" s="1">
        <v>5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"2026-03-12 23:26:33.633"</f>
        <v>2026-03-12 23:26:33.633</v>
      </c>
      <c r="H306" t="s">
        <v>21</v>
      </c>
    </row>
    <row r="307" spans="1:10" s="3" customFormat="1" x14ac:dyDescent="0.25">
      <c r="A307" s="2">
        <v>6</v>
      </c>
      <c r="B307" s="3" t="s">
        <v>26</v>
      </c>
      <c r="C307" s="3">
        <v>647</v>
      </c>
      <c r="D307" s="3">
        <v>1</v>
      </c>
      <c r="E307" s="3" t="s">
        <v>40</v>
      </c>
      <c r="F307" s="3" t="s">
        <v>41</v>
      </c>
      <c r="G307" s="3" t="str">
        <f>"2026-03-12 23:25:04.935"</f>
        <v>2026-03-12 23:25:04.935</v>
      </c>
      <c r="H307" s="3" t="s">
        <v>21</v>
      </c>
    </row>
    <row r="308" spans="1:10" s="3" customFormat="1" x14ac:dyDescent="0.25">
      <c r="A308" s="2">
        <v>7</v>
      </c>
      <c r="B308" s="3" t="s">
        <v>29</v>
      </c>
      <c r="C308" s="3">
        <v>647</v>
      </c>
      <c r="D308" s="3">
        <v>1</v>
      </c>
      <c r="E308" s="3" t="s">
        <v>40</v>
      </c>
      <c r="F308" s="3" t="s">
        <v>41</v>
      </c>
      <c r="G308" s="3" t="str">
        <f>"2026-03-12 23:24:54.735"</f>
        <v>2026-03-12 23:24:54.735</v>
      </c>
      <c r="H308" s="3" t="s">
        <v>21</v>
      </c>
      <c r="I308" s="3">
        <v>14.78</v>
      </c>
      <c r="J308" s="3" t="s">
        <v>32</v>
      </c>
    </row>
    <row r="309" spans="1:10" s="3" customFormat="1" x14ac:dyDescent="0.25">
      <c r="A309" s="2">
        <v>8</v>
      </c>
      <c r="B309" s="3" t="s">
        <v>26</v>
      </c>
      <c r="C309" s="3">
        <v>647</v>
      </c>
      <c r="D309" s="3">
        <v>1</v>
      </c>
      <c r="E309" s="3" t="s">
        <v>40</v>
      </c>
      <c r="F309" s="3" t="s">
        <v>41</v>
      </c>
      <c r="G309" s="3" t="str">
        <f>"2026-03-12 21:18:51.935"</f>
        <v>2026-03-12 21:18:51.935</v>
      </c>
      <c r="H309" s="3" t="s">
        <v>21</v>
      </c>
    </row>
    <row r="310" spans="1:10" s="3" customFormat="1" x14ac:dyDescent="0.25">
      <c r="A310" s="2">
        <v>9</v>
      </c>
      <c r="B310" s="3" t="s">
        <v>29</v>
      </c>
      <c r="C310" s="3">
        <v>647</v>
      </c>
      <c r="D310" s="3">
        <v>1</v>
      </c>
      <c r="E310" s="3" t="s">
        <v>40</v>
      </c>
      <c r="F310" s="3" t="s">
        <v>41</v>
      </c>
      <c r="G310" s="3" t="str">
        <f>"2026-03-12 21:18:40.635"</f>
        <v>2026-03-12 21:18:40.635</v>
      </c>
      <c r="H310" s="3" t="s">
        <v>21</v>
      </c>
      <c r="I310" s="3">
        <v>17.64</v>
      </c>
      <c r="J310" s="3" t="s">
        <v>32</v>
      </c>
    </row>
    <row r="311" spans="1:10" s="3" customFormat="1" x14ac:dyDescent="0.25">
      <c r="A311" s="2">
        <v>10</v>
      </c>
      <c r="B311" s="3" t="s">
        <v>26</v>
      </c>
      <c r="C311" s="3">
        <v>647</v>
      </c>
      <c r="D311" s="3">
        <v>1</v>
      </c>
      <c r="E311" s="3" t="s">
        <v>40</v>
      </c>
      <c r="F311" s="3" t="s">
        <v>41</v>
      </c>
      <c r="G311" s="3" t="str">
        <f>"2026-03-12 19:47:12.235"</f>
        <v>2026-03-12 19:47:12.235</v>
      </c>
      <c r="H311" s="3" t="s">
        <v>21</v>
      </c>
    </row>
    <row r="312" spans="1:10" s="3" customFormat="1" x14ac:dyDescent="0.25">
      <c r="A312" s="2">
        <v>11</v>
      </c>
      <c r="B312" s="3" t="s">
        <v>29</v>
      </c>
      <c r="C312" s="3">
        <v>647</v>
      </c>
      <c r="D312" s="3">
        <v>1</v>
      </c>
      <c r="E312" s="3" t="s">
        <v>40</v>
      </c>
      <c r="F312" s="3" t="s">
        <v>41</v>
      </c>
      <c r="G312" s="3" t="str">
        <f>"2026-03-12 19:47:08.535"</f>
        <v>2026-03-12 19:47:08.535</v>
      </c>
      <c r="H312" s="3" t="s">
        <v>21</v>
      </c>
      <c r="I312" s="3">
        <v>17.28</v>
      </c>
      <c r="J312" s="3" t="s">
        <v>32</v>
      </c>
    </row>
    <row r="313" spans="1:10" x14ac:dyDescent="0.25">
      <c r="A313" s="1">
        <v>12</v>
      </c>
      <c r="B313" t="s">
        <v>26</v>
      </c>
      <c r="C313">
        <v>635</v>
      </c>
      <c r="D313">
        <v>1</v>
      </c>
      <c r="E313" t="s">
        <v>27</v>
      </c>
      <c r="F313" t="s">
        <v>28</v>
      </c>
      <c r="G313" t="str">
        <f>"2026-03-12 10:53:22.734"</f>
        <v>2026-03-12 10:53:22.734</v>
      </c>
      <c r="H313" t="s">
        <v>21</v>
      </c>
    </row>
    <row r="314" spans="1:10" x14ac:dyDescent="0.25">
      <c r="A314" s="1">
        <v>13</v>
      </c>
      <c r="B314" t="s">
        <v>29</v>
      </c>
      <c r="C314">
        <v>635</v>
      </c>
      <c r="D314">
        <v>1</v>
      </c>
      <c r="E314" t="s">
        <v>27</v>
      </c>
      <c r="F314" t="s">
        <v>28</v>
      </c>
      <c r="G314" t="str">
        <f>"2026-03-12 10:49:43.734"</f>
        <v>2026-03-12 10:49:43.734</v>
      </c>
      <c r="H314" t="s">
        <v>21</v>
      </c>
      <c r="I314">
        <v>2.61</v>
      </c>
      <c r="J314" t="s">
        <v>30</v>
      </c>
    </row>
    <row r="315" spans="1:10" x14ac:dyDescent="0.25">
      <c r="A315" s="1">
        <v>14</v>
      </c>
      <c r="B315" t="s">
        <v>26</v>
      </c>
      <c r="C315">
        <v>635</v>
      </c>
      <c r="D315">
        <v>1</v>
      </c>
      <c r="E315" t="s">
        <v>27</v>
      </c>
      <c r="F315" t="s">
        <v>28</v>
      </c>
      <c r="G315" t="str">
        <f>"2026-03-12 10:14:53.834"</f>
        <v>2026-03-12 10:14:53.834</v>
      </c>
      <c r="H315" t="s">
        <v>21</v>
      </c>
    </row>
    <row r="316" spans="1:10" x14ac:dyDescent="0.25">
      <c r="A316" s="1">
        <v>15</v>
      </c>
      <c r="B316" t="s">
        <v>29</v>
      </c>
      <c r="C316">
        <v>635</v>
      </c>
      <c r="D316">
        <v>1</v>
      </c>
      <c r="E316" t="s">
        <v>27</v>
      </c>
      <c r="F316" t="s">
        <v>28</v>
      </c>
      <c r="G316" t="str">
        <f>"2026-03-12 10:08:19.833"</f>
        <v>2026-03-12 10:08:19.833</v>
      </c>
      <c r="H316" t="s">
        <v>21</v>
      </c>
      <c r="I316">
        <v>7.25</v>
      </c>
      <c r="J316" t="s">
        <v>30</v>
      </c>
    </row>
    <row r="317" spans="1:10" x14ac:dyDescent="0.25">
      <c r="A317" s="1">
        <v>16</v>
      </c>
      <c r="B317" t="s">
        <v>26</v>
      </c>
      <c r="C317">
        <v>61</v>
      </c>
      <c r="D317">
        <v>2</v>
      </c>
      <c r="E317" t="s">
        <v>44</v>
      </c>
      <c r="F317" t="s">
        <v>45</v>
      </c>
      <c r="G317" t="str">
        <f>"2026-03-12 04:26:43.334"</f>
        <v>2026-03-12 04:26:43.334</v>
      </c>
      <c r="H317" t="s">
        <v>21</v>
      </c>
    </row>
    <row r="318" spans="1:10" x14ac:dyDescent="0.25">
      <c r="A318" s="1">
        <v>17</v>
      </c>
      <c r="B318" t="s">
        <v>37</v>
      </c>
      <c r="C318">
        <v>61</v>
      </c>
      <c r="D318">
        <v>2</v>
      </c>
      <c r="E318" t="s">
        <v>44</v>
      </c>
      <c r="F318" t="s">
        <v>45</v>
      </c>
      <c r="G318" t="str">
        <f>"2026-03-12 04:26:12.835"</f>
        <v>2026-03-12 04:26:12.835</v>
      </c>
      <c r="H318" t="s">
        <v>21</v>
      </c>
      <c r="I318">
        <v>30.08</v>
      </c>
      <c r="J318" t="s">
        <v>32</v>
      </c>
    </row>
    <row r="319" spans="1:10" s="3" customFormat="1" x14ac:dyDescent="0.25">
      <c r="A319" s="2">
        <v>18</v>
      </c>
      <c r="B319" s="3" t="s">
        <v>26</v>
      </c>
      <c r="C319" s="3">
        <v>647</v>
      </c>
      <c r="D319" s="3">
        <v>1</v>
      </c>
      <c r="E319" s="3" t="s">
        <v>40</v>
      </c>
      <c r="F319" s="3" t="s">
        <v>41</v>
      </c>
      <c r="G319" s="3" t="str">
        <f>"2026-03-11 22:08:08.035"</f>
        <v>2026-03-11 22:08:08.035</v>
      </c>
      <c r="H319" s="3" t="s">
        <v>21</v>
      </c>
    </row>
    <row r="320" spans="1:10" s="3" customFormat="1" x14ac:dyDescent="0.25">
      <c r="A320" s="2">
        <v>19</v>
      </c>
      <c r="B320" s="3" t="s">
        <v>29</v>
      </c>
      <c r="C320" s="3">
        <v>647</v>
      </c>
      <c r="D320" s="3">
        <v>1</v>
      </c>
      <c r="E320" s="3" t="s">
        <v>40</v>
      </c>
      <c r="F320" s="3" t="s">
        <v>41</v>
      </c>
      <c r="G320" s="3" t="str">
        <f>"2026-03-11 22:08:06.735"</f>
        <v>2026-03-11 22:08:06.735</v>
      </c>
      <c r="H320" s="3" t="s">
        <v>21</v>
      </c>
      <c r="I320" s="3">
        <v>12.92</v>
      </c>
      <c r="J320" s="3" t="s">
        <v>32</v>
      </c>
    </row>
    <row r="321" spans="1:10" x14ac:dyDescent="0.25">
      <c r="A321" s="1">
        <v>20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"2026-03-11 19:58:29.600"</f>
        <v>2026-03-11 19:58:29.600</v>
      </c>
      <c r="H321" t="s">
        <v>21</v>
      </c>
      <c r="I321">
        <v>0</v>
      </c>
      <c r="J321" t="s">
        <v>22</v>
      </c>
    </row>
    <row r="322" spans="1:10" x14ac:dyDescent="0.25">
      <c r="A322" s="1">
        <v>21</v>
      </c>
      <c r="B322" t="s">
        <v>26</v>
      </c>
      <c r="C322">
        <v>635</v>
      </c>
      <c r="D322">
        <v>1</v>
      </c>
      <c r="E322" t="s">
        <v>27</v>
      </c>
      <c r="F322" t="s">
        <v>28</v>
      </c>
      <c r="G322" t="str">
        <f>"2026-03-11 13:31:49.095"</f>
        <v>2026-03-11 13:31:49.095</v>
      </c>
      <c r="H322" t="s">
        <v>21</v>
      </c>
    </row>
    <row r="323" spans="1:10" x14ac:dyDescent="0.25">
      <c r="A323" s="1">
        <v>22</v>
      </c>
      <c r="B323" t="s">
        <v>29</v>
      </c>
      <c r="C323">
        <v>635</v>
      </c>
      <c r="D323">
        <v>1</v>
      </c>
      <c r="E323" t="s">
        <v>27</v>
      </c>
      <c r="F323" t="s">
        <v>28</v>
      </c>
      <c r="G323" t="str">
        <f>"2026-03-11 13:28:13.595"</f>
        <v>2026-03-11 13:28:13.595</v>
      </c>
      <c r="H323" t="s">
        <v>21</v>
      </c>
      <c r="I323">
        <v>7.63</v>
      </c>
      <c r="J323" t="s">
        <v>30</v>
      </c>
    </row>
    <row r="324" spans="1:10" s="3" customFormat="1" x14ac:dyDescent="0.25">
      <c r="A324" s="2">
        <v>23</v>
      </c>
      <c r="B324" s="3" t="s">
        <v>26</v>
      </c>
      <c r="C324" s="3">
        <v>647</v>
      </c>
      <c r="D324" s="3">
        <v>1</v>
      </c>
      <c r="E324" s="3" t="s">
        <v>40</v>
      </c>
      <c r="F324" s="3" t="s">
        <v>41</v>
      </c>
      <c r="G324" s="3" t="str">
        <f>"2026-03-11 08:37:30.949"</f>
        <v>2026-03-11 08:37:30.949</v>
      </c>
      <c r="H324" s="3" t="s">
        <v>21</v>
      </c>
    </row>
    <row r="325" spans="1:10" s="3" customFormat="1" x14ac:dyDescent="0.25">
      <c r="A325" s="2">
        <v>24</v>
      </c>
      <c r="B325" s="3" t="s">
        <v>29</v>
      </c>
      <c r="C325" s="3">
        <v>647</v>
      </c>
      <c r="D325" s="3">
        <v>1</v>
      </c>
      <c r="E325" s="3" t="s">
        <v>40</v>
      </c>
      <c r="F325" s="3" t="s">
        <v>41</v>
      </c>
      <c r="G325" s="3" t="str">
        <f>"2026-03-11 08:37:29.449"</f>
        <v>2026-03-11 08:37:29.449</v>
      </c>
      <c r="H325" s="3" t="s">
        <v>21</v>
      </c>
      <c r="I325" s="3">
        <v>13.13</v>
      </c>
      <c r="J325" s="3" t="s">
        <v>32</v>
      </c>
    </row>
    <row r="326" spans="1:10" s="3" customFormat="1" x14ac:dyDescent="0.25">
      <c r="A326" s="2">
        <v>25</v>
      </c>
      <c r="B326" s="3" t="s">
        <v>26</v>
      </c>
      <c r="C326" s="3">
        <v>647</v>
      </c>
      <c r="D326" s="3">
        <v>1</v>
      </c>
      <c r="E326" s="3" t="s">
        <v>40</v>
      </c>
      <c r="F326" s="3" t="s">
        <v>41</v>
      </c>
      <c r="G326" s="3" t="str">
        <f>"2026-03-11 02:30:17.349"</f>
        <v>2026-03-11 02:30:17.349</v>
      </c>
      <c r="H326" s="3" t="s">
        <v>21</v>
      </c>
    </row>
    <row r="327" spans="1:10" s="3" customFormat="1" x14ac:dyDescent="0.25">
      <c r="A327" s="2">
        <v>26</v>
      </c>
      <c r="B327" s="3" t="s">
        <v>29</v>
      </c>
      <c r="C327" s="3">
        <v>647</v>
      </c>
      <c r="D327" s="3">
        <v>1</v>
      </c>
      <c r="E327" s="3" t="s">
        <v>40</v>
      </c>
      <c r="F327" s="3" t="s">
        <v>41</v>
      </c>
      <c r="G327" s="3" t="str">
        <f>"2026-03-11 02:30:16.049"</f>
        <v>2026-03-11 02:30:16.049</v>
      </c>
      <c r="H327" s="3" t="s">
        <v>21</v>
      </c>
      <c r="I327" s="3">
        <v>8.94</v>
      </c>
      <c r="J327" s="3" t="s">
        <v>32</v>
      </c>
    </row>
    <row r="328" spans="1:10" s="3" customFormat="1" x14ac:dyDescent="0.25">
      <c r="A328" s="2">
        <v>27</v>
      </c>
      <c r="B328" s="3" t="s">
        <v>26</v>
      </c>
      <c r="C328" s="3">
        <v>647</v>
      </c>
      <c r="D328" s="3">
        <v>1</v>
      </c>
      <c r="E328" s="3" t="s">
        <v>40</v>
      </c>
      <c r="F328" s="3" t="s">
        <v>41</v>
      </c>
      <c r="G328" s="3" t="str">
        <f>"2026-03-11 01:10:10.249"</f>
        <v>2026-03-11 01:10:10.249</v>
      </c>
      <c r="H328" s="3" t="s">
        <v>21</v>
      </c>
    </row>
    <row r="329" spans="1:10" s="3" customFormat="1" x14ac:dyDescent="0.25">
      <c r="A329" s="2">
        <v>28</v>
      </c>
      <c r="B329" s="3" t="s">
        <v>29</v>
      </c>
      <c r="C329" s="3">
        <v>647</v>
      </c>
      <c r="D329" s="3">
        <v>1</v>
      </c>
      <c r="E329" s="3" t="s">
        <v>40</v>
      </c>
      <c r="F329" s="3" t="s">
        <v>41</v>
      </c>
      <c r="G329" s="3" t="str">
        <f>"2026-03-11 01:09:57.949"</f>
        <v>2026-03-11 01:09:57.949</v>
      </c>
      <c r="H329" s="3" t="s">
        <v>21</v>
      </c>
      <c r="I329" s="3">
        <v>12.49</v>
      </c>
      <c r="J329" s="3" t="s">
        <v>32</v>
      </c>
    </row>
    <row r="330" spans="1:10" s="3" customFormat="1" x14ac:dyDescent="0.25">
      <c r="A330" s="2">
        <v>29</v>
      </c>
      <c r="B330" s="3" t="s">
        <v>26</v>
      </c>
      <c r="C330" s="3">
        <v>647</v>
      </c>
      <c r="D330" s="3">
        <v>1</v>
      </c>
      <c r="E330" s="3" t="s">
        <v>40</v>
      </c>
      <c r="F330" s="3" t="s">
        <v>41</v>
      </c>
      <c r="G330" s="3" t="str">
        <f>"2026-03-10 23:41:51.649"</f>
        <v>2026-03-10 23:41:51.649</v>
      </c>
      <c r="H330" s="3" t="s">
        <v>21</v>
      </c>
    </row>
    <row r="331" spans="1:10" s="3" customFormat="1" x14ac:dyDescent="0.25">
      <c r="A331" s="2">
        <v>30</v>
      </c>
      <c r="B331" s="3" t="s">
        <v>29</v>
      </c>
      <c r="C331" s="3">
        <v>647</v>
      </c>
      <c r="D331" s="3">
        <v>1</v>
      </c>
      <c r="E331" s="3" t="s">
        <v>40</v>
      </c>
      <c r="F331" s="3" t="s">
        <v>41</v>
      </c>
      <c r="G331" s="3" t="str">
        <f>"2026-03-10 23:41:49.548"</f>
        <v>2026-03-10 23:41:49.548</v>
      </c>
      <c r="H331" s="3" t="s">
        <v>21</v>
      </c>
      <c r="I331" s="3">
        <v>8.85</v>
      </c>
      <c r="J331" s="3" t="s">
        <v>32</v>
      </c>
    </row>
    <row r="332" spans="1:10" x14ac:dyDescent="0.25">
      <c r="A332" s="1">
        <v>31</v>
      </c>
      <c r="B332" t="s">
        <v>26</v>
      </c>
      <c r="C332">
        <v>635</v>
      </c>
      <c r="D332">
        <v>1</v>
      </c>
      <c r="E332" t="s">
        <v>27</v>
      </c>
      <c r="F332" t="s">
        <v>28</v>
      </c>
      <c r="G332" t="str">
        <f>"2026-03-10 05:01:07.395"</f>
        <v>2026-03-10 05:01:07.395</v>
      </c>
      <c r="H332" t="s">
        <v>21</v>
      </c>
    </row>
    <row r="333" spans="1:10" x14ac:dyDescent="0.25">
      <c r="A333" s="1">
        <v>32</v>
      </c>
      <c r="B333" t="s">
        <v>29</v>
      </c>
      <c r="C333">
        <v>635</v>
      </c>
      <c r="D333">
        <v>1</v>
      </c>
      <c r="E333" t="s">
        <v>27</v>
      </c>
      <c r="F333" t="s">
        <v>28</v>
      </c>
      <c r="G333" t="str">
        <f>"2026-03-10 04:57:08.395"</f>
        <v>2026-03-10 04:57:08.395</v>
      </c>
      <c r="H333" t="s">
        <v>21</v>
      </c>
      <c r="I333">
        <v>5.61</v>
      </c>
      <c r="J333" t="s">
        <v>30</v>
      </c>
    </row>
    <row r="334" spans="1:10" s="3" customFormat="1" x14ac:dyDescent="0.25">
      <c r="A334" s="2">
        <v>33</v>
      </c>
      <c r="B334" s="3" t="s">
        <v>26</v>
      </c>
      <c r="C334" s="3">
        <v>647</v>
      </c>
      <c r="D334" s="3">
        <v>1</v>
      </c>
      <c r="E334" s="3" t="s">
        <v>40</v>
      </c>
      <c r="F334" s="3" t="s">
        <v>41</v>
      </c>
      <c r="G334" s="3" t="str">
        <f>"2026-03-10 04:13:34.149"</f>
        <v>2026-03-10 04:13:34.149</v>
      </c>
      <c r="H334" s="3" t="s">
        <v>21</v>
      </c>
    </row>
    <row r="335" spans="1:10" s="3" customFormat="1" x14ac:dyDescent="0.25">
      <c r="A335" s="2">
        <v>34</v>
      </c>
      <c r="B335" s="3" t="s">
        <v>29</v>
      </c>
      <c r="C335" s="3">
        <v>647</v>
      </c>
      <c r="D335" s="3">
        <v>1</v>
      </c>
      <c r="E335" s="3" t="s">
        <v>40</v>
      </c>
      <c r="F335" s="3" t="s">
        <v>41</v>
      </c>
      <c r="G335" s="3" t="str">
        <f>"2026-03-10 04:13:33.049"</f>
        <v>2026-03-10 04:13:33.049</v>
      </c>
      <c r="H335" s="3" t="s">
        <v>21</v>
      </c>
      <c r="I335" s="3">
        <v>14.8</v>
      </c>
      <c r="J335" s="3" t="s">
        <v>32</v>
      </c>
    </row>
    <row r="336" spans="1:10" x14ac:dyDescent="0.25">
      <c r="A336" s="1">
        <v>35</v>
      </c>
      <c r="B336" t="s">
        <v>26</v>
      </c>
      <c r="C336">
        <v>635</v>
      </c>
      <c r="D336">
        <v>1</v>
      </c>
      <c r="E336" t="s">
        <v>27</v>
      </c>
      <c r="F336" t="s">
        <v>28</v>
      </c>
      <c r="G336" t="str">
        <f>"2026-03-09 21:15:35.295"</f>
        <v>2026-03-09 21:15:35.295</v>
      </c>
      <c r="H336" t="s">
        <v>21</v>
      </c>
    </row>
    <row r="337" spans="1:10" x14ac:dyDescent="0.25">
      <c r="A337" s="1">
        <v>36</v>
      </c>
      <c r="B337" t="s">
        <v>29</v>
      </c>
      <c r="C337">
        <v>635</v>
      </c>
      <c r="D337">
        <v>1</v>
      </c>
      <c r="E337" t="s">
        <v>27</v>
      </c>
      <c r="F337" t="s">
        <v>28</v>
      </c>
      <c r="G337" t="str">
        <f>"2026-03-09 21:13:16.795"</f>
        <v>2026-03-09 21:13:16.795</v>
      </c>
      <c r="H337" t="s">
        <v>21</v>
      </c>
      <c r="I337">
        <v>4.91</v>
      </c>
      <c r="J337" t="s">
        <v>30</v>
      </c>
    </row>
    <row r="338" spans="1:10" x14ac:dyDescent="0.25">
      <c r="A338" s="1">
        <v>37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"2026-03-09 19:55:09.607"</f>
        <v>2026-03-09 19:55:09.607</v>
      </c>
      <c r="H338" t="s">
        <v>21</v>
      </c>
      <c r="I338">
        <v>0</v>
      </c>
      <c r="J338" t="s">
        <v>22</v>
      </c>
    </row>
    <row r="339" spans="1:10" x14ac:dyDescent="0.25">
      <c r="A339" s="1">
        <v>38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"2026-03-09 12:04:26.607"</f>
        <v>2026-03-09 12:04:26.607</v>
      </c>
      <c r="H339" t="s">
        <v>21</v>
      </c>
    </row>
    <row r="340" spans="1:10" x14ac:dyDescent="0.25">
      <c r="A340" s="1">
        <v>39</v>
      </c>
      <c r="B340" t="s">
        <v>19</v>
      </c>
      <c r="C340">
        <v>706</v>
      </c>
      <c r="D340">
        <v>4</v>
      </c>
      <c r="E340" t="s">
        <v>23</v>
      </c>
      <c r="F340" t="s">
        <v>38</v>
      </c>
      <c r="G340" t="str">
        <f>"2026-03-09 11:50:55.856"</f>
        <v>2026-03-09 11:50:55.856</v>
      </c>
      <c r="H340" t="s">
        <v>21</v>
      </c>
      <c r="I340">
        <v>0</v>
      </c>
      <c r="J340" t="s">
        <v>25</v>
      </c>
    </row>
    <row r="341" spans="1:10" x14ac:dyDescent="0.25">
      <c r="A341" s="1">
        <v>40</v>
      </c>
      <c r="B341" t="s">
        <v>19</v>
      </c>
      <c r="C341">
        <v>706</v>
      </c>
      <c r="D341">
        <v>3</v>
      </c>
      <c r="E341" t="s">
        <v>23</v>
      </c>
      <c r="F341" t="s">
        <v>39</v>
      </c>
      <c r="G341" t="str">
        <f>"2026-03-09 11:50:47.636"</f>
        <v>2026-03-09 11:50:47.636</v>
      </c>
      <c r="H341" t="s">
        <v>21</v>
      </c>
      <c r="I341">
        <v>0</v>
      </c>
      <c r="J341" t="s">
        <v>25</v>
      </c>
    </row>
    <row r="342" spans="1:10" x14ac:dyDescent="0.25">
      <c r="A342" s="1">
        <v>41</v>
      </c>
      <c r="B342" t="s">
        <v>19</v>
      </c>
      <c r="C342">
        <v>706</v>
      </c>
      <c r="D342">
        <v>4</v>
      </c>
      <c r="E342" t="s">
        <v>23</v>
      </c>
      <c r="F342" t="s">
        <v>38</v>
      </c>
      <c r="G342" t="str">
        <f>"2026-03-09 11:44:31.666"</f>
        <v>2026-03-09 11:44:31.666</v>
      </c>
      <c r="H342" t="s">
        <v>21</v>
      </c>
      <c r="I342">
        <v>0</v>
      </c>
      <c r="J342" t="s">
        <v>25</v>
      </c>
    </row>
    <row r="343" spans="1:10" x14ac:dyDescent="0.25">
      <c r="A343" s="1">
        <v>42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"2026-03-09 11:43:48.586"</f>
        <v>2026-03-09 11:43:48.586</v>
      </c>
      <c r="H343" t="s">
        <v>21</v>
      </c>
    </row>
    <row r="344" spans="1:10" x14ac:dyDescent="0.25">
      <c r="A344" s="1">
        <v>43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"2026-03-09 10:51:23.590"</f>
        <v>2026-03-09 10:51:23.590</v>
      </c>
      <c r="H344" t="s">
        <v>21</v>
      </c>
    </row>
    <row r="345" spans="1:10" x14ac:dyDescent="0.25">
      <c r="A345" s="1">
        <v>44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"2026-03-09 10:48:48.602"</f>
        <v>2026-03-09 10:48:48.602</v>
      </c>
      <c r="H345" t="s">
        <v>21</v>
      </c>
    </row>
    <row r="346" spans="1:10" x14ac:dyDescent="0.25">
      <c r="A346" s="1">
        <v>45</v>
      </c>
      <c r="B346" t="s">
        <v>19</v>
      </c>
      <c r="C346">
        <v>706</v>
      </c>
      <c r="D346">
        <v>2</v>
      </c>
      <c r="E346" t="s">
        <v>23</v>
      </c>
      <c r="F346" t="s">
        <v>24</v>
      </c>
      <c r="G346" t="str">
        <f>"2026-03-09 10:31:59.740"</f>
        <v>2026-03-09 10:31:59.740</v>
      </c>
      <c r="H346" t="s">
        <v>21</v>
      </c>
      <c r="I346">
        <v>0</v>
      </c>
      <c r="J346" t="s">
        <v>25</v>
      </c>
    </row>
    <row r="347" spans="1:10" x14ac:dyDescent="0.25">
      <c r="A347" s="1">
        <v>46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"2026-03-09 10:28:29.630"</f>
        <v>2026-03-09 10:28:29.630</v>
      </c>
      <c r="H347" t="s">
        <v>21</v>
      </c>
      <c r="I347">
        <v>0</v>
      </c>
      <c r="J347" t="s">
        <v>22</v>
      </c>
    </row>
    <row r="348" spans="1:10" s="3" customFormat="1" x14ac:dyDescent="0.25">
      <c r="A348" s="2">
        <v>47</v>
      </c>
      <c r="B348" s="3" t="s">
        <v>26</v>
      </c>
      <c r="C348" s="3">
        <v>647</v>
      </c>
      <c r="D348" s="3">
        <v>1</v>
      </c>
      <c r="E348" s="3" t="s">
        <v>40</v>
      </c>
      <c r="F348" s="3" t="s">
        <v>41</v>
      </c>
      <c r="G348" s="3" t="str">
        <f>"2026-03-09 04:21:54.310"</f>
        <v>2026-03-09 04:21:54.310</v>
      </c>
      <c r="H348" s="3" t="s">
        <v>21</v>
      </c>
    </row>
    <row r="349" spans="1:10" s="3" customFormat="1" x14ac:dyDescent="0.25">
      <c r="A349" s="2">
        <v>48</v>
      </c>
      <c r="B349" s="3" t="s">
        <v>29</v>
      </c>
      <c r="C349" s="3">
        <v>647</v>
      </c>
      <c r="D349" s="3">
        <v>1</v>
      </c>
      <c r="E349" s="3" t="s">
        <v>40</v>
      </c>
      <c r="F349" s="3" t="s">
        <v>41</v>
      </c>
      <c r="G349" s="3" t="str">
        <f>"2026-03-09 04:21:52.511"</f>
        <v>2026-03-09 04:21:52.511</v>
      </c>
      <c r="H349" s="3" t="s">
        <v>21</v>
      </c>
      <c r="I349" s="3">
        <v>11.18</v>
      </c>
      <c r="J349" s="3" t="s">
        <v>32</v>
      </c>
    </row>
    <row r="350" spans="1:10" x14ac:dyDescent="0.25">
      <c r="A350" s="1">
        <v>49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"2026-03-09 04:07:57.662"</f>
        <v>2026-03-09 04:07:57.662</v>
      </c>
      <c r="H350" t="s">
        <v>21</v>
      </c>
      <c r="I350">
        <v>0</v>
      </c>
      <c r="J350" t="s">
        <v>22</v>
      </c>
    </row>
    <row r="351" spans="1:10" x14ac:dyDescent="0.25">
      <c r="A351" s="1">
        <v>50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"2026-03-09 04:04:37.591"</f>
        <v>2026-03-09 04:04:37.591</v>
      </c>
      <c r="H351" t="s">
        <v>21</v>
      </c>
      <c r="I351">
        <v>0</v>
      </c>
      <c r="J351" t="s">
        <v>22</v>
      </c>
    </row>
    <row r="352" spans="1:10" x14ac:dyDescent="0.25">
      <c r="A352" s="1">
        <v>51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"2026-03-09 03:04:43.596"</f>
        <v>2026-03-09 03:04:43.596</v>
      </c>
      <c r="H352" t="s">
        <v>21</v>
      </c>
      <c r="I352">
        <v>0</v>
      </c>
      <c r="J352" t="s">
        <v>22</v>
      </c>
    </row>
    <row r="353" spans="1:10" x14ac:dyDescent="0.25">
      <c r="A353" s="1">
        <v>52</v>
      </c>
      <c r="B353" t="s">
        <v>19</v>
      </c>
      <c r="C353">
        <v>706</v>
      </c>
      <c r="D353">
        <v>4</v>
      </c>
      <c r="E353" t="s">
        <v>23</v>
      </c>
      <c r="F353" t="s">
        <v>38</v>
      </c>
      <c r="G353" t="str">
        <f>"2026-03-09 02:38:12.295"</f>
        <v>2026-03-09 02:38:12.295</v>
      </c>
      <c r="H353" t="s">
        <v>21</v>
      </c>
      <c r="I353">
        <v>0</v>
      </c>
      <c r="J353" t="s">
        <v>25</v>
      </c>
    </row>
    <row r="354" spans="1:10" x14ac:dyDescent="0.25">
      <c r="A354" s="1">
        <v>53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"2026-03-09 02:24:39.605"</f>
        <v>2026-03-09 02:24:39.605</v>
      </c>
      <c r="H354" t="s">
        <v>21</v>
      </c>
      <c r="I354">
        <v>0</v>
      </c>
      <c r="J354" t="s">
        <v>22</v>
      </c>
    </row>
    <row r="355" spans="1:10" x14ac:dyDescent="0.25">
      <c r="A355" s="1">
        <v>54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"2026-03-09 02:00:00.598"</f>
        <v>2026-03-09 02:00:00.598</v>
      </c>
      <c r="H355" t="s">
        <v>21</v>
      </c>
      <c r="I355">
        <v>0</v>
      </c>
      <c r="J355" t="s">
        <v>22</v>
      </c>
    </row>
    <row r="356" spans="1:10" x14ac:dyDescent="0.25">
      <c r="A356" s="1">
        <v>55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"2026-03-09 01:34:45.728"</f>
        <v>2026-03-09 01:34:45.728</v>
      </c>
      <c r="H356" t="s">
        <v>21</v>
      </c>
      <c r="I356">
        <v>0</v>
      </c>
      <c r="J356" t="s">
        <v>22</v>
      </c>
    </row>
    <row r="357" spans="1:10" x14ac:dyDescent="0.25">
      <c r="A357" s="1">
        <v>56</v>
      </c>
      <c r="B357" t="s">
        <v>26</v>
      </c>
      <c r="C357">
        <v>61</v>
      </c>
      <c r="D357">
        <v>2</v>
      </c>
      <c r="E357" t="s">
        <v>44</v>
      </c>
      <c r="F357" t="s">
        <v>45</v>
      </c>
      <c r="G357" t="str">
        <f>"2026-03-08 07:36:28.556"</f>
        <v>2026-03-08 07:36:28.556</v>
      </c>
      <c r="H357" t="s">
        <v>21</v>
      </c>
    </row>
    <row r="358" spans="1:10" x14ac:dyDescent="0.25">
      <c r="A358" s="1">
        <v>57</v>
      </c>
      <c r="B358" t="s">
        <v>37</v>
      </c>
      <c r="C358">
        <v>61</v>
      </c>
      <c r="D358">
        <v>2</v>
      </c>
      <c r="E358" t="s">
        <v>44</v>
      </c>
      <c r="F358" t="s">
        <v>45</v>
      </c>
      <c r="G358" t="str">
        <f>"2026-03-08 07:35:59.056"</f>
        <v>2026-03-08 07:35:59.056</v>
      </c>
      <c r="H358" t="s">
        <v>21</v>
      </c>
      <c r="I358">
        <v>30.58</v>
      </c>
      <c r="J358" t="s">
        <v>32</v>
      </c>
    </row>
    <row r="359" spans="1:10" x14ac:dyDescent="0.25">
      <c r="A359" s="1">
        <v>58</v>
      </c>
      <c r="B359" t="s">
        <v>26</v>
      </c>
      <c r="C359">
        <v>61</v>
      </c>
      <c r="D359">
        <v>2</v>
      </c>
      <c r="E359" t="s">
        <v>44</v>
      </c>
      <c r="F359" t="s">
        <v>45</v>
      </c>
      <c r="G359" t="str">
        <f>"2026-03-07 23:58:42.956"</f>
        <v>2026-03-07 23:58:42.956</v>
      </c>
      <c r="H359" t="s">
        <v>21</v>
      </c>
    </row>
    <row r="360" spans="1:10" x14ac:dyDescent="0.25">
      <c r="A360" s="1">
        <v>59</v>
      </c>
      <c r="B360" t="s">
        <v>37</v>
      </c>
      <c r="C360">
        <v>61</v>
      </c>
      <c r="D360">
        <v>2</v>
      </c>
      <c r="E360" t="s">
        <v>44</v>
      </c>
      <c r="F360" t="s">
        <v>45</v>
      </c>
      <c r="G360" t="str">
        <f>"2026-03-07 23:58:22.656"</f>
        <v>2026-03-07 23:58:22.656</v>
      </c>
      <c r="H360" t="s">
        <v>21</v>
      </c>
      <c r="I360">
        <v>29.8</v>
      </c>
      <c r="J360" t="s">
        <v>32</v>
      </c>
    </row>
    <row r="361" spans="1:10" x14ac:dyDescent="0.25">
      <c r="A361" s="1">
        <v>60</v>
      </c>
      <c r="B361" t="s">
        <v>26</v>
      </c>
      <c r="C361">
        <v>61</v>
      </c>
      <c r="D361">
        <v>2</v>
      </c>
      <c r="E361" t="s">
        <v>44</v>
      </c>
      <c r="F361" t="s">
        <v>45</v>
      </c>
      <c r="G361" t="str">
        <f>"2026-03-07 23:07:06.956"</f>
        <v>2026-03-07 23:07:06.956</v>
      </c>
      <c r="H361" t="s">
        <v>21</v>
      </c>
    </row>
    <row r="362" spans="1:10" x14ac:dyDescent="0.25">
      <c r="A362" s="1">
        <v>61</v>
      </c>
      <c r="B362" t="s">
        <v>37</v>
      </c>
      <c r="C362">
        <v>61</v>
      </c>
      <c r="D362">
        <v>2</v>
      </c>
      <c r="E362" t="s">
        <v>44</v>
      </c>
      <c r="F362" t="s">
        <v>45</v>
      </c>
      <c r="G362" t="str">
        <f>"2026-03-07 23:06:46.456"</f>
        <v>2026-03-07 23:06:46.456</v>
      </c>
      <c r="H362" t="s">
        <v>21</v>
      </c>
      <c r="I362">
        <v>29.97</v>
      </c>
      <c r="J362" t="s">
        <v>32</v>
      </c>
    </row>
    <row r="363" spans="1:10" x14ac:dyDescent="0.25">
      <c r="A363" s="1">
        <v>62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"2026-03-07 00:29:03.593"</f>
        <v>2026-03-07 00:29:03.593</v>
      </c>
      <c r="H363" t="s">
        <v>21</v>
      </c>
    </row>
    <row r="364" spans="1:10" x14ac:dyDescent="0.25">
      <c r="A364" s="1">
        <v>63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"2026-03-06 11:39:10.593"</f>
        <v>2026-03-06 11:39:10.593</v>
      </c>
      <c r="H364" t="s">
        <v>21</v>
      </c>
      <c r="I364">
        <v>0</v>
      </c>
      <c r="J364" t="s">
        <v>22</v>
      </c>
    </row>
    <row r="365" spans="1:10" x14ac:dyDescent="0.25">
      <c r="A365" s="1">
        <v>64</v>
      </c>
      <c r="B365" t="s">
        <v>26</v>
      </c>
      <c r="C365">
        <v>635</v>
      </c>
      <c r="D365">
        <v>1</v>
      </c>
      <c r="E365" t="s">
        <v>27</v>
      </c>
      <c r="F365" t="s">
        <v>28</v>
      </c>
      <c r="G365" t="str">
        <f>"2026-03-06 03:40:09.457"</f>
        <v>2026-03-06 03:40:09.457</v>
      </c>
      <c r="H365" t="s">
        <v>21</v>
      </c>
    </row>
    <row r="366" spans="1:10" x14ac:dyDescent="0.25">
      <c r="A366" s="1">
        <v>65</v>
      </c>
      <c r="B366" t="s">
        <v>29</v>
      </c>
      <c r="C366">
        <v>635</v>
      </c>
      <c r="D366">
        <v>1</v>
      </c>
      <c r="E366" t="s">
        <v>27</v>
      </c>
      <c r="F366" t="s">
        <v>28</v>
      </c>
      <c r="G366" t="str">
        <f>"2026-03-06 03:37:20.057"</f>
        <v>2026-03-06 03:37:20.057</v>
      </c>
      <c r="H366" t="s">
        <v>21</v>
      </c>
      <c r="I366">
        <v>5.0199999999999996</v>
      </c>
      <c r="J366" t="s">
        <v>30</v>
      </c>
    </row>
    <row r="367" spans="1:10" s="3" customFormat="1" x14ac:dyDescent="0.25">
      <c r="A367" s="2">
        <v>66</v>
      </c>
      <c r="B367" s="3" t="s">
        <v>26</v>
      </c>
      <c r="C367" s="3">
        <v>647</v>
      </c>
      <c r="D367" s="3">
        <v>1</v>
      </c>
      <c r="E367" s="3" t="s">
        <v>40</v>
      </c>
      <c r="F367" s="3" t="s">
        <v>41</v>
      </c>
      <c r="G367" s="3" t="str">
        <f>"2026-03-05 22:53:11.057"</f>
        <v>2026-03-05 22:53:11.057</v>
      </c>
      <c r="H367" s="3" t="s">
        <v>21</v>
      </c>
    </row>
    <row r="368" spans="1:10" s="3" customFormat="1" x14ac:dyDescent="0.25">
      <c r="A368" s="2">
        <v>67</v>
      </c>
      <c r="B368" s="3" t="s">
        <v>29</v>
      </c>
      <c r="C368" s="3">
        <v>647</v>
      </c>
      <c r="D368" s="3">
        <v>1</v>
      </c>
      <c r="E368" s="3" t="s">
        <v>40</v>
      </c>
      <c r="F368" s="3" t="s">
        <v>41</v>
      </c>
      <c r="G368" s="3" t="str">
        <f>"2026-03-05 22:53:05.757"</f>
        <v>2026-03-05 22:53:05.757</v>
      </c>
      <c r="H368" s="3" t="s">
        <v>21</v>
      </c>
      <c r="I368" s="3">
        <v>8.0399999999999991</v>
      </c>
      <c r="J368" s="3" t="s">
        <v>32</v>
      </c>
    </row>
    <row r="369" spans="1:10" s="3" customFormat="1" x14ac:dyDescent="0.25">
      <c r="A369" s="2">
        <v>68</v>
      </c>
      <c r="B369" s="3" t="s">
        <v>26</v>
      </c>
      <c r="C369" s="3">
        <v>647</v>
      </c>
      <c r="D369" s="3">
        <v>1</v>
      </c>
      <c r="E369" s="3" t="s">
        <v>40</v>
      </c>
      <c r="F369" s="3" t="s">
        <v>41</v>
      </c>
      <c r="G369" s="3" t="str">
        <f>"2026-03-04 23:08:19.457"</f>
        <v>2026-03-04 23:08:19.457</v>
      </c>
      <c r="H369" s="3" t="s">
        <v>21</v>
      </c>
    </row>
    <row r="370" spans="1:10" s="3" customFormat="1" x14ac:dyDescent="0.25">
      <c r="A370" s="2">
        <v>69</v>
      </c>
      <c r="B370" s="3" t="s">
        <v>29</v>
      </c>
      <c r="C370" s="3">
        <v>647</v>
      </c>
      <c r="D370" s="3">
        <v>1</v>
      </c>
      <c r="E370" s="3" t="s">
        <v>40</v>
      </c>
      <c r="F370" s="3" t="s">
        <v>41</v>
      </c>
      <c r="G370" s="3" t="str">
        <f>"2026-03-04 23:08:17.758"</f>
        <v>2026-03-04 23:08:17.758</v>
      </c>
      <c r="H370" s="3" t="s">
        <v>21</v>
      </c>
      <c r="I370" s="3">
        <v>8.2799999999999994</v>
      </c>
      <c r="J370" s="3" t="s">
        <v>32</v>
      </c>
    </row>
    <row r="371" spans="1:10" s="3" customFormat="1" x14ac:dyDescent="0.25">
      <c r="A371" s="2">
        <v>70</v>
      </c>
      <c r="B371" s="3" t="s">
        <v>26</v>
      </c>
      <c r="C371" s="3">
        <v>647</v>
      </c>
      <c r="D371" s="3">
        <v>1</v>
      </c>
      <c r="E371" s="3" t="s">
        <v>40</v>
      </c>
      <c r="F371" s="3" t="s">
        <v>41</v>
      </c>
      <c r="G371" s="3" t="str">
        <f>"2026-03-04 22:50:04.257"</f>
        <v>2026-03-04 22:50:04.257</v>
      </c>
      <c r="H371" s="3" t="s">
        <v>21</v>
      </c>
    </row>
    <row r="372" spans="1:10" s="3" customFormat="1" x14ac:dyDescent="0.25">
      <c r="A372" s="2">
        <v>71</v>
      </c>
      <c r="B372" s="3" t="s">
        <v>29</v>
      </c>
      <c r="C372" s="3">
        <v>647</v>
      </c>
      <c r="D372" s="3">
        <v>1</v>
      </c>
      <c r="E372" s="3" t="s">
        <v>40</v>
      </c>
      <c r="F372" s="3" t="s">
        <v>41</v>
      </c>
      <c r="G372" s="3" t="str">
        <f>"2026-03-04 22:49:51.957"</f>
        <v>2026-03-04 22:49:51.957</v>
      </c>
      <c r="H372" s="3" t="s">
        <v>21</v>
      </c>
      <c r="I372" s="3">
        <v>8.44</v>
      </c>
      <c r="J372" s="3" t="s">
        <v>32</v>
      </c>
    </row>
    <row r="373" spans="1:10" x14ac:dyDescent="0.25">
      <c r="A373" s="1">
        <v>72</v>
      </c>
      <c r="B373" t="s">
        <v>26</v>
      </c>
      <c r="C373">
        <v>635</v>
      </c>
      <c r="D373">
        <v>1</v>
      </c>
      <c r="E373" t="s">
        <v>27</v>
      </c>
      <c r="F373" t="s">
        <v>28</v>
      </c>
      <c r="G373" t="str">
        <f>"2026-03-04 11:38:57.157"</f>
        <v>2026-03-04 11:38:57.157</v>
      </c>
      <c r="H373" t="s">
        <v>21</v>
      </c>
    </row>
    <row r="374" spans="1:10" x14ac:dyDescent="0.25">
      <c r="A374" s="1">
        <v>73</v>
      </c>
      <c r="B374" t="s">
        <v>29</v>
      </c>
      <c r="C374">
        <v>635</v>
      </c>
      <c r="D374">
        <v>1</v>
      </c>
      <c r="E374" t="s">
        <v>27</v>
      </c>
      <c r="F374" t="s">
        <v>28</v>
      </c>
      <c r="G374" t="str">
        <f>"2026-03-04 11:30:49.157"</f>
        <v>2026-03-04 11:30:49.157</v>
      </c>
      <c r="H374" t="s">
        <v>21</v>
      </c>
      <c r="I374">
        <v>4.2</v>
      </c>
      <c r="J374" t="s">
        <v>30</v>
      </c>
    </row>
    <row r="375" spans="1:10" x14ac:dyDescent="0.25">
      <c r="A375" s="1">
        <v>74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"2026-03-04 00:44:56.599"</f>
        <v>2026-03-04 00:44:56.599</v>
      </c>
      <c r="H375" t="s">
        <v>21</v>
      </c>
    </row>
    <row r="376" spans="1:10" x14ac:dyDescent="0.25">
      <c r="A376" s="1">
        <v>75</v>
      </c>
      <c r="B376" t="s">
        <v>19</v>
      </c>
      <c r="C376">
        <v>706</v>
      </c>
      <c r="D376">
        <v>2</v>
      </c>
      <c r="E376" t="s">
        <v>23</v>
      </c>
      <c r="F376" t="s">
        <v>24</v>
      </c>
      <c r="G376" t="str">
        <f>"2026-03-03 11:45:30.306"</f>
        <v>2026-03-03 11:45:30.306</v>
      </c>
      <c r="H376" t="s">
        <v>21</v>
      </c>
      <c r="I376">
        <v>0</v>
      </c>
      <c r="J376" t="s">
        <v>25</v>
      </c>
    </row>
    <row r="377" spans="1:10" x14ac:dyDescent="0.25">
      <c r="A377" s="1">
        <v>76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"2026-03-03 11:43:33.576"</f>
        <v>2026-03-03 11:43:33.576</v>
      </c>
      <c r="H377" t="s">
        <v>21</v>
      </c>
      <c r="I377">
        <v>0</v>
      </c>
      <c r="J377" t="s">
        <v>22</v>
      </c>
    </row>
    <row r="378" spans="1:10" x14ac:dyDescent="0.25">
      <c r="A378" s="1">
        <v>77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"2026-03-03 09:54:58.582"</f>
        <v>2026-03-03 09:54:58.582</v>
      </c>
      <c r="H378" t="s">
        <v>21</v>
      </c>
    </row>
    <row r="379" spans="1:10" x14ac:dyDescent="0.25">
      <c r="A379" s="1">
        <v>78</v>
      </c>
      <c r="B379" t="s">
        <v>19</v>
      </c>
      <c r="C379">
        <v>706</v>
      </c>
      <c r="D379">
        <v>4</v>
      </c>
      <c r="E379" t="s">
        <v>23</v>
      </c>
      <c r="F379" t="s">
        <v>38</v>
      </c>
      <c r="G379" t="str">
        <f>"2026-03-03 09:27:36.842"</f>
        <v>2026-03-03 09:27:36.842</v>
      </c>
      <c r="H379" t="s">
        <v>21</v>
      </c>
      <c r="I379">
        <v>0</v>
      </c>
      <c r="J379" t="s">
        <v>25</v>
      </c>
    </row>
    <row r="380" spans="1:10" x14ac:dyDescent="0.25">
      <c r="A380" s="1">
        <v>79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"2026-03-03 09:27:18.592"</f>
        <v>2026-03-03 09:27:18.592</v>
      </c>
      <c r="H380" t="s">
        <v>21</v>
      </c>
    </row>
    <row r="381" spans="1:10" x14ac:dyDescent="0.25">
      <c r="A381" s="1">
        <v>80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"2026-03-03 09:16:51.583"</f>
        <v>2026-03-03 09:16:51.583</v>
      </c>
      <c r="H381" t="s">
        <v>21</v>
      </c>
      <c r="I381">
        <v>0</v>
      </c>
      <c r="J381" t="s">
        <v>22</v>
      </c>
    </row>
    <row r="382" spans="1:10" x14ac:dyDescent="0.25">
      <c r="A382" s="1">
        <v>81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"2026-03-03 08:41:40.689"</f>
        <v>2026-03-03 08:41:40.689</v>
      </c>
      <c r="H382" t="s">
        <v>21</v>
      </c>
      <c r="I382">
        <v>0</v>
      </c>
      <c r="J382" t="s">
        <v>22</v>
      </c>
    </row>
    <row r="383" spans="1:10" x14ac:dyDescent="0.25">
      <c r="A383" s="1">
        <v>82</v>
      </c>
      <c r="B383" t="s">
        <v>26</v>
      </c>
      <c r="C383">
        <v>61</v>
      </c>
      <c r="D383">
        <v>2</v>
      </c>
      <c r="E383" t="s">
        <v>44</v>
      </c>
      <c r="F383" t="s">
        <v>45</v>
      </c>
      <c r="G383" t="str">
        <f>"2026-03-03 02:40:38.236"</f>
        <v>2026-03-03 02:40:38.236</v>
      </c>
      <c r="H383" t="s">
        <v>21</v>
      </c>
    </row>
    <row r="384" spans="1:10" x14ac:dyDescent="0.25">
      <c r="A384" s="1">
        <v>83</v>
      </c>
      <c r="B384" t="s">
        <v>37</v>
      </c>
      <c r="C384">
        <v>61</v>
      </c>
      <c r="D384">
        <v>2</v>
      </c>
      <c r="E384" t="s">
        <v>44</v>
      </c>
      <c r="F384" t="s">
        <v>45</v>
      </c>
      <c r="G384" t="str">
        <f>"2026-03-03 02:40:08.037"</f>
        <v>2026-03-03 02:40:08.037</v>
      </c>
      <c r="H384" t="s">
        <v>21</v>
      </c>
      <c r="I384">
        <v>30.01</v>
      </c>
      <c r="J384" t="s">
        <v>32</v>
      </c>
    </row>
    <row r="385" spans="1:10" x14ac:dyDescent="0.25">
      <c r="A385" s="1">
        <v>84</v>
      </c>
      <c r="B385" t="s">
        <v>26</v>
      </c>
      <c r="C385">
        <v>61</v>
      </c>
      <c r="D385">
        <v>2</v>
      </c>
      <c r="E385" t="s">
        <v>44</v>
      </c>
      <c r="F385" t="s">
        <v>45</v>
      </c>
      <c r="G385" t="str">
        <f>"2026-03-03 01:52:40.737"</f>
        <v>2026-03-03 01:52:40.737</v>
      </c>
      <c r="H385" t="s">
        <v>21</v>
      </c>
    </row>
    <row r="386" spans="1:10" x14ac:dyDescent="0.25">
      <c r="A386" s="1">
        <v>85</v>
      </c>
      <c r="B386" t="s">
        <v>37</v>
      </c>
      <c r="C386">
        <v>61</v>
      </c>
      <c r="D386">
        <v>2</v>
      </c>
      <c r="E386" t="s">
        <v>44</v>
      </c>
      <c r="F386" t="s">
        <v>45</v>
      </c>
      <c r="G386" t="str">
        <f>"2026-03-03 01:52:21.337"</f>
        <v>2026-03-03 01:52:21.337</v>
      </c>
      <c r="H386" t="s">
        <v>21</v>
      </c>
      <c r="I386">
        <v>30.07</v>
      </c>
      <c r="J386" t="s">
        <v>32</v>
      </c>
    </row>
    <row r="387" spans="1:10" x14ac:dyDescent="0.25">
      <c r="A387" s="1">
        <v>86</v>
      </c>
      <c r="B387" t="s">
        <v>26</v>
      </c>
      <c r="C387">
        <v>61</v>
      </c>
      <c r="D387">
        <v>2</v>
      </c>
      <c r="E387" t="s">
        <v>44</v>
      </c>
      <c r="F387" t="s">
        <v>45</v>
      </c>
      <c r="G387" t="str">
        <f>"2026-03-03 01:07:32.637"</f>
        <v>2026-03-03 01:07:32.637</v>
      </c>
      <c r="H387" t="s">
        <v>21</v>
      </c>
    </row>
    <row r="388" spans="1:10" x14ac:dyDescent="0.25">
      <c r="A388" s="1">
        <v>87</v>
      </c>
      <c r="B388" t="s">
        <v>37</v>
      </c>
      <c r="C388">
        <v>61</v>
      </c>
      <c r="D388">
        <v>2</v>
      </c>
      <c r="E388" t="s">
        <v>44</v>
      </c>
      <c r="F388" t="s">
        <v>45</v>
      </c>
      <c r="G388" t="str">
        <f>"2026-03-03 01:07:01.937"</f>
        <v>2026-03-03 01:07:01.937</v>
      </c>
      <c r="H388" t="s">
        <v>21</v>
      </c>
      <c r="I388">
        <v>30.24</v>
      </c>
      <c r="J388" t="s">
        <v>32</v>
      </c>
    </row>
    <row r="389" spans="1:10" x14ac:dyDescent="0.25">
      <c r="A389" s="1">
        <v>88</v>
      </c>
      <c r="B389" t="s">
        <v>26</v>
      </c>
      <c r="C389">
        <v>61</v>
      </c>
      <c r="D389">
        <v>2</v>
      </c>
      <c r="E389" t="s">
        <v>44</v>
      </c>
      <c r="F389" t="s">
        <v>45</v>
      </c>
      <c r="G389" t="str">
        <f>"2026-03-02 23:34:05.037"</f>
        <v>2026-03-02 23:34:05.037</v>
      </c>
      <c r="H389" t="s">
        <v>21</v>
      </c>
    </row>
    <row r="390" spans="1:10" x14ac:dyDescent="0.25">
      <c r="A390" s="1">
        <v>89</v>
      </c>
      <c r="B390" t="s">
        <v>37</v>
      </c>
      <c r="C390">
        <v>61</v>
      </c>
      <c r="D390">
        <v>2</v>
      </c>
      <c r="E390" t="s">
        <v>44</v>
      </c>
      <c r="F390" t="s">
        <v>45</v>
      </c>
      <c r="G390" t="str">
        <f>"2026-03-02 23:33:34.637"</f>
        <v>2026-03-02 23:33:34.637</v>
      </c>
      <c r="H390" t="s">
        <v>21</v>
      </c>
      <c r="I390">
        <v>30.03</v>
      </c>
      <c r="J390" t="s">
        <v>32</v>
      </c>
    </row>
    <row r="391" spans="1:10" x14ac:dyDescent="0.25">
      <c r="A391" s="1">
        <v>90</v>
      </c>
      <c r="B391" t="s">
        <v>26</v>
      </c>
      <c r="C391">
        <v>61</v>
      </c>
      <c r="D391">
        <v>2</v>
      </c>
      <c r="E391" t="s">
        <v>44</v>
      </c>
      <c r="F391" t="s">
        <v>45</v>
      </c>
      <c r="G391" t="str">
        <f>"2026-03-02 22:04:37.237"</f>
        <v>2026-03-02 22:04:37.237</v>
      </c>
      <c r="H391" t="s">
        <v>21</v>
      </c>
    </row>
    <row r="392" spans="1:10" x14ac:dyDescent="0.25">
      <c r="A392" s="1">
        <v>91</v>
      </c>
      <c r="B392" t="s">
        <v>37</v>
      </c>
      <c r="C392">
        <v>61</v>
      </c>
      <c r="D392">
        <v>2</v>
      </c>
      <c r="E392" t="s">
        <v>44</v>
      </c>
      <c r="F392" t="s">
        <v>45</v>
      </c>
      <c r="G392" t="str">
        <f>"2026-03-02 22:04:06.937"</f>
        <v>2026-03-02 22:04:06.937</v>
      </c>
      <c r="H392" t="s">
        <v>21</v>
      </c>
      <c r="I392">
        <v>30.07</v>
      </c>
      <c r="J392" t="s">
        <v>32</v>
      </c>
    </row>
    <row r="393" spans="1:10" x14ac:dyDescent="0.25">
      <c r="A393" s="1">
        <v>92</v>
      </c>
      <c r="B393" t="s">
        <v>26</v>
      </c>
      <c r="C393">
        <v>61</v>
      </c>
      <c r="D393">
        <v>2</v>
      </c>
      <c r="E393" t="s">
        <v>44</v>
      </c>
      <c r="F393" t="s">
        <v>45</v>
      </c>
      <c r="G393" t="str">
        <f>"2026-03-02 20:34:32.037"</f>
        <v>2026-03-02 20:34:32.037</v>
      </c>
      <c r="H393" t="s">
        <v>21</v>
      </c>
    </row>
    <row r="394" spans="1:10" x14ac:dyDescent="0.25">
      <c r="A394" s="1">
        <v>93</v>
      </c>
      <c r="B394" t="s">
        <v>37</v>
      </c>
      <c r="C394">
        <v>61</v>
      </c>
      <c r="D394">
        <v>2</v>
      </c>
      <c r="E394" t="s">
        <v>44</v>
      </c>
      <c r="F394" t="s">
        <v>45</v>
      </c>
      <c r="G394" t="str">
        <f>"2026-03-02 20:34:14.437"</f>
        <v>2026-03-02 20:34:14.437</v>
      </c>
      <c r="H394" t="s">
        <v>21</v>
      </c>
      <c r="I394">
        <v>30.63</v>
      </c>
      <c r="J394" t="s">
        <v>32</v>
      </c>
    </row>
    <row r="395" spans="1:10" x14ac:dyDescent="0.25">
      <c r="A395" s="1">
        <v>94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"2026-03-02 20:00:50.574"</f>
        <v>2026-03-02 20:00:50.574</v>
      </c>
      <c r="H395" t="s">
        <v>21</v>
      </c>
    </row>
    <row r="396" spans="1:10" x14ac:dyDescent="0.25">
      <c r="A396" s="1">
        <v>96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"2026-03-01 01:35:25.577"</f>
        <v>2026-03-01 01:35:25.577</v>
      </c>
      <c r="H396" t="s">
        <v>21</v>
      </c>
    </row>
    <row r="397" spans="1:10" s="3" customFormat="1" x14ac:dyDescent="0.25">
      <c r="A397" s="2">
        <v>97</v>
      </c>
      <c r="B397" s="3" t="s">
        <v>26</v>
      </c>
      <c r="C397" s="3">
        <v>647</v>
      </c>
      <c r="D397" s="3">
        <v>1</v>
      </c>
      <c r="E397" s="3" t="s">
        <v>40</v>
      </c>
      <c r="F397" s="3" t="s">
        <v>41</v>
      </c>
      <c r="G397" s="3" t="str">
        <f>"2026-02-28 12:24:53.199"</f>
        <v>2026-02-28 12:24:53.199</v>
      </c>
      <c r="H397" s="3" t="s">
        <v>21</v>
      </c>
    </row>
    <row r="398" spans="1:10" s="3" customFormat="1" x14ac:dyDescent="0.25">
      <c r="A398" s="2">
        <v>98</v>
      </c>
      <c r="B398" s="3" t="s">
        <v>29</v>
      </c>
      <c r="C398" s="3">
        <v>647</v>
      </c>
      <c r="D398" s="3">
        <v>1</v>
      </c>
      <c r="E398" s="3" t="s">
        <v>40</v>
      </c>
      <c r="F398" s="3" t="s">
        <v>41</v>
      </c>
      <c r="G398" s="3" t="str">
        <f>"2026-02-28 12:24:51.099"</f>
        <v>2026-02-28 12:24:51.099</v>
      </c>
      <c r="H398" s="3" t="s">
        <v>21</v>
      </c>
      <c r="I398" s="3">
        <v>12.11</v>
      </c>
      <c r="J398" s="3" t="s">
        <v>32</v>
      </c>
    </row>
    <row r="399" spans="1:10" s="3" customFormat="1" x14ac:dyDescent="0.25">
      <c r="A399" s="2">
        <v>99</v>
      </c>
      <c r="B399" s="3" t="s">
        <v>26</v>
      </c>
      <c r="C399" s="3">
        <v>647</v>
      </c>
      <c r="D399" s="3">
        <v>1</v>
      </c>
      <c r="E399" s="3" t="s">
        <v>40</v>
      </c>
      <c r="F399" s="3" t="s">
        <v>41</v>
      </c>
      <c r="G399" s="3" t="str">
        <f>"2026-02-28 06:23:10.699"</f>
        <v>2026-02-28 06:23:10.699</v>
      </c>
      <c r="H399" s="3" t="s">
        <v>21</v>
      </c>
    </row>
    <row r="400" spans="1:10" s="3" customFormat="1" x14ac:dyDescent="0.25">
      <c r="A400" s="2">
        <v>0</v>
      </c>
      <c r="B400" s="3" t="s">
        <v>29</v>
      </c>
      <c r="C400" s="3">
        <v>647</v>
      </c>
      <c r="D400" s="3">
        <v>1</v>
      </c>
      <c r="E400" s="3" t="s">
        <v>40</v>
      </c>
      <c r="F400" s="3" t="s">
        <v>41</v>
      </c>
      <c r="G400" s="3" t="str">
        <f>"2026-02-28 06:23:09.399"</f>
        <v>2026-02-28 06:23:09.399</v>
      </c>
      <c r="H400" s="3" t="s">
        <v>21</v>
      </c>
      <c r="I400" s="3">
        <v>22.8</v>
      </c>
      <c r="J400" s="3" t="s">
        <v>32</v>
      </c>
    </row>
    <row r="401" spans="1:10" x14ac:dyDescent="0.25">
      <c r="A401" s="1">
        <v>1</v>
      </c>
      <c r="B401" t="s">
        <v>26</v>
      </c>
      <c r="C401">
        <v>635</v>
      </c>
      <c r="D401">
        <v>1</v>
      </c>
      <c r="E401" t="s">
        <v>27</v>
      </c>
      <c r="F401" t="s">
        <v>28</v>
      </c>
      <c r="G401" t="str">
        <f>"2026-02-27 20:32:44.198"</f>
        <v>2026-02-27 20:32:44.198</v>
      </c>
      <c r="H401" t="s">
        <v>21</v>
      </c>
    </row>
    <row r="402" spans="1:10" x14ac:dyDescent="0.25">
      <c r="A402" s="1">
        <v>2</v>
      </c>
      <c r="B402" t="s">
        <v>29</v>
      </c>
      <c r="C402">
        <v>635</v>
      </c>
      <c r="D402">
        <v>1</v>
      </c>
      <c r="E402" t="s">
        <v>27</v>
      </c>
      <c r="F402" t="s">
        <v>28</v>
      </c>
      <c r="G402" t="str">
        <f>"2026-02-27 20:29:03.198"</f>
        <v>2026-02-27 20:29:03.198</v>
      </c>
      <c r="H402" t="s">
        <v>21</v>
      </c>
      <c r="I402">
        <v>6.61</v>
      </c>
      <c r="J402" t="s">
        <v>30</v>
      </c>
    </row>
    <row r="403" spans="1:10" x14ac:dyDescent="0.25">
      <c r="A403" s="1">
        <v>3</v>
      </c>
      <c r="B403" t="s">
        <v>26</v>
      </c>
      <c r="C403">
        <v>635</v>
      </c>
      <c r="D403">
        <v>1</v>
      </c>
      <c r="E403" t="s">
        <v>27</v>
      </c>
      <c r="F403" t="s">
        <v>28</v>
      </c>
      <c r="G403" t="str">
        <f>"2026-02-27 03:06:30.598"</f>
        <v>2026-02-27 03:06:30.598</v>
      </c>
      <c r="H403" t="s">
        <v>21</v>
      </c>
    </row>
    <row r="404" spans="1:10" x14ac:dyDescent="0.25">
      <c r="A404" s="1">
        <v>4</v>
      </c>
      <c r="B404" t="s">
        <v>29</v>
      </c>
      <c r="C404">
        <v>635</v>
      </c>
      <c r="D404">
        <v>1</v>
      </c>
      <c r="E404" t="s">
        <v>27</v>
      </c>
      <c r="F404" t="s">
        <v>28</v>
      </c>
      <c r="G404" t="str">
        <f>"2026-02-27 03:02:10.198"</f>
        <v>2026-02-27 03:02:10.198</v>
      </c>
      <c r="H404" t="s">
        <v>21</v>
      </c>
      <c r="I404">
        <v>5.28</v>
      </c>
      <c r="J404" t="s">
        <v>30</v>
      </c>
    </row>
    <row r="405" spans="1:10" x14ac:dyDescent="0.25">
      <c r="A405" s="1">
        <v>5</v>
      </c>
      <c r="B405" t="s">
        <v>26</v>
      </c>
      <c r="C405">
        <v>635</v>
      </c>
      <c r="D405">
        <v>1</v>
      </c>
      <c r="E405" t="s">
        <v>27</v>
      </c>
      <c r="F405" t="s">
        <v>28</v>
      </c>
      <c r="G405" t="str">
        <f>"2026-02-26 21:25:01.798"</f>
        <v>2026-02-26 21:25:01.798</v>
      </c>
      <c r="H405" t="s">
        <v>21</v>
      </c>
    </row>
    <row r="406" spans="1:10" x14ac:dyDescent="0.25">
      <c r="A406" s="1">
        <v>6</v>
      </c>
      <c r="B406" t="s">
        <v>29</v>
      </c>
      <c r="C406">
        <v>635</v>
      </c>
      <c r="D406">
        <v>1</v>
      </c>
      <c r="E406" t="s">
        <v>27</v>
      </c>
      <c r="F406" t="s">
        <v>28</v>
      </c>
      <c r="G406" t="str">
        <f>"2026-02-26 21:22:52.298"</f>
        <v>2026-02-26 21:22:52.298</v>
      </c>
      <c r="H406" t="s">
        <v>21</v>
      </c>
      <c r="I406">
        <v>6.05</v>
      </c>
      <c r="J406" t="s">
        <v>31</v>
      </c>
    </row>
    <row r="407" spans="1:10" x14ac:dyDescent="0.25">
      <c r="A407" s="1">
        <v>7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"2026-02-26 19:55:06.737"</f>
        <v>2026-02-26 19:55:06.737</v>
      </c>
      <c r="H407" t="s">
        <v>21</v>
      </c>
    </row>
    <row r="408" spans="1:10" x14ac:dyDescent="0.25">
      <c r="A408" s="1">
        <v>8</v>
      </c>
      <c r="B408" t="s">
        <v>26</v>
      </c>
      <c r="C408">
        <v>635</v>
      </c>
      <c r="D408">
        <v>1</v>
      </c>
      <c r="E408" t="s">
        <v>27</v>
      </c>
      <c r="F408" t="s">
        <v>28</v>
      </c>
      <c r="G408" t="str">
        <f>"2026-02-26 08:40:22.465"</f>
        <v>2026-02-26 08:40:22.465</v>
      </c>
      <c r="H408" t="s">
        <v>21</v>
      </c>
    </row>
    <row r="409" spans="1:10" x14ac:dyDescent="0.25">
      <c r="A409" s="1">
        <v>9</v>
      </c>
      <c r="B409" t="s">
        <v>29</v>
      </c>
      <c r="C409">
        <v>635</v>
      </c>
      <c r="D409">
        <v>1</v>
      </c>
      <c r="E409" t="s">
        <v>27</v>
      </c>
      <c r="F409" t="s">
        <v>28</v>
      </c>
      <c r="G409" t="str">
        <f>"2026-02-26 08:37:13.465"</f>
        <v>2026-02-26 08:37:13.465</v>
      </c>
      <c r="H409" t="s">
        <v>21</v>
      </c>
      <c r="I409">
        <v>4.66</v>
      </c>
      <c r="J409" t="s">
        <v>30</v>
      </c>
    </row>
    <row r="410" spans="1:10" s="3" customFormat="1" x14ac:dyDescent="0.25">
      <c r="A410" s="2">
        <v>10</v>
      </c>
      <c r="B410" s="3" t="s">
        <v>26</v>
      </c>
      <c r="C410" s="3">
        <v>647</v>
      </c>
      <c r="D410" s="3">
        <v>1</v>
      </c>
      <c r="E410" s="3" t="s">
        <v>40</v>
      </c>
      <c r="F410" s="3" t="s">
        <v>41</v>
      </c>
      <c r="G410" s="3" t="str">
        <f>"2026-02-26 03:10:39.866"</f>
        <v>2026-02-26 03:10:39.866</v>
      </c>
      <c r="H410" s="3" t="s">
        <v>21</v>
      </c>
    </row>
    <row r="411" spans="1:10" s="3" customFormat="1" x14ac:dyDescent="0.25">
      <c r="A411" s="2">
        <v>11</v>
      </c>
      <c r="B411" s="3" t="s">
        <v>29</v>
      </c>
      <c r="C411" s="3">
        <v>647</v>
      </c>
      <c r="D411" s="3">
        <v>1</v>
      </c>
      <c r="E411" s="3" t="s">
        <v>40</v>
      </c>
      <c r="F411" s="3" t="s">
        <v>41</v>
      </c>
      <c r="G411" s="3" t="str">
        <f>"2026-02-26 03:10:37.966"</f>
        <v>2026-02-26 03:10:37.966</v>
      </c>
      <c r="H411" s="3" t="s">
        <v>21</v>
      </c>
      <c r="I411" s="3">
        <v>10.92</v>
      </c>
      <c r="J411" s="3" t="s">
        <v>32</v>
      </c>
    </row>
    <row r="412" spans="1:10" s="3" customFormat="1" x14ac:dyDescent="0.25">
      <c r="A412" s="2">
        <v>12</v>
      </c>
      <c r="B412" s="3" t="s">
        <v>26</v>
      </c>
      <c r="C412" s="3">
        <v>647</v>
      </c>
      <c r="D412" s="3">
        <v>1</v>
      </c>
      <c r="E412" s="3" t="s">
        <v>40</v>
      </c>
      <c r="F412" s="3" t="s">
        <v>41</v>
      </c>
      <c r="G412" s="3" t="str">
        <f>"2026-02-25 03:44:35.166"</f>
        <v>2026-02-25 03:44:35.166</v>
      </c>
      <c r="H412" s="3" t="s">
        <v>21</v>
      </c>
    </row>
    <row r="413" spans="1:10" s="3" customFormat="1" x14ac:dyDescent="0.25">
      <c r="A413" s="2">
        <v>13</v>
      </c>
      <c r="B413" s="3" t="s">
        <v>29</v>
      </c>
      <c r="C413" s="3">
        <v>647</v>
      </c>
      <c r="D413" s="3">
        <v>1</v>
      </c>
      <c r="E413" s="3" t="s">
        <v>40</v>
      </c>
      <c r="F413" s="3" t="s">
        <v>41</v>
      </c>
      <c r="G413" s="3" t="str">
        <f>"2026-02-25 03:44:30.466"</f>
        <v>2026-02-25 03:44:30.466</v>
      </c>
      <c r="H413" s="3" t="s">
        <v>21</v>
      </c>
      <c r="I413" s="3">
        <v>14.87</v>
      </c>
      <c r="J413" s="3" t="s">
        <v>32</v>
      </c>
    </row>
    <row r="414" spans="1:10" x14ac:dyDescent="0.25">
      <c r="A414" s="1">
        <v>14</v>
      </c>
      <c r="B414" t="s">
        <v>26</v>
      </c>
      <c r="C414">
        <v>635</v>
      </c>
      <c r="D414">
        <v>1</v>
      </c>
      <c r="E414" t="s">
        <v>27</v>
      </c>
      <c r="F414" t="s">
        <v>28</v>
      </c>
      <c r="G414" t="str">
        <f>"2026-02-25 03:02:40.865"</f>
        <v>2026-02-25 03:02:40.865</v>
      </c>
      <c r="H414" t="s">
        <v>21</v>
      </c>
    </row>
    <row r="415" spans="1:10" x14ac:dyDescent="0.25">
      <c r="A415" s="1">
        <v>15</v>
      </c>
      <c r="B415" t="s">
        <v>29</v>
      </c>
      <c r="C415">
        <v>635</v>
      </c>
      <c r="D415">
        <v>1</v>
      </c>
      <c r="E415" t="s">
        <v>27</v>
      </c>
      <c r="F415" t="s">
        <v>28</v>
      </c>
      <c r="G415" t="str">
        <f>"2026-02-25 02:58:17.865"</f>
        <v>2026-02-25 02:58:17.865</v>
      </c>
      <c r="H415" t="s">
        <v>21</v>
      </c>
      <c r="I415">
        <v>2.2200000000000002</v>
      </c>
      <c r="J415" t="s">
        <v>30</v>
      </c>
    </row>
    <row r="416" spans="1:10" s="3" customFormat="1" x14ac:dyDescent="0.25">
      <c r="A416" s="2">
        <v>16</v>
      </c>
      <c r="B416" s="3" t="s">
        <v>26</v>
      </c>
      <c r="C416" s="3">
        <v>647</v>
      </c>
      <c r="D416" s="3">
        <v>1</v>
      </c>
      <c r="E416" s="3" t="s">
        <v>40</v>
      </c>
      <c r="F416" s="3" t="s">
        <v>41</v>
      </c>
      <c r="G416" s="3" t="str">
        <f>"2026-02-24 23:12:46.766"</f>
        <v>2026-02-24 23:12:46.766</v>
      </c>
      <c r="H416" s="3" t="s">
        <v>21</v>
      </c>
    </row>
    <row r="417" spans="1:10" s="3" customFormat="1" x14ac:dyDescent="0.25">
      <c r="A417" s="2">
        <v>17</v>
      </c>
      <c r="B417" s="3" t="s">
        <v>29</v>
      </c>
      <c r="C417" s="3">
        <v>647</v>
      </c>
      <c r="D417" s="3">
        <v>1</v>
      </c>
      <c r="E417" s="3" t="s">
        <v>40</v>
      </c>
      <c r="F417" s="3" t="s">
        <v>41</v>
      </c>
      <c r="G417" s="3" t="str">
        <f>"2026-02-24 23:12:45.766"</f>
        <v>2026-02-24 23:12:45.766</v>
      </c>
      <c r="H417" s="3" t="s">
        <v>21</v>
      </c>
      <c r="I417" s="3">
        <v>17.59</v>
      </c>
      <c r="J417" s="3" t="s">
        <v>32</v>
      </c>
    </row>
    <row r="418" spans="1:10" x14ac:dyDescent="0.25">
      <c r="A418" s="1">
        <v>18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"2026-02-23 19:51:33.614"</f>
        <v>2026-02-23 19:51:33.614</v>
      </c>
      <c r="H418" t="s">
        <v>21</v>
      </c>
      <c r="I418">
        <v>0</v>
      </c>
      <c r="J418" t="s">
        <v>22</v>
      </c>
    </row>
    <row r="419" spans="1:10" s="3" customFormat="1" x14ac:dyDescent="0.25">
      <c r="A419" s="2">
        <v>19</v>
      </c>
      <c r="B419" s="3" t="s">
        <v>26</v>
      </c>
      <c r="C419" s="3">
        <v>647</v>
      </c>
      <c r="D419" s="3">
        <v>1</v>
      </c>
      <c r="E419" s="3" t="s">
        <v>40</v>
      </c>
      <c r="F419" s="3" t="s">
        <v>41</v>
      </c>
      <c r="G419" s="3" t="str">
        <f>"2026-02-23 04:39:55.155"</f>
        <v>2026-02-23 04:39:55.155</v>
      </c>
      <c r="H419" s="3" t="s">
        <v>21</v>
      </c>
    </row>
    <row r="420" spans="1:10" s="3" customFormat="1" x14ac:dyDescent="0.25">
      <c r="A420" s="2">
        <v>20</v>
      </c>
      <c r="B420" s="3" t="s">
        <v>29</v>
      </c>
      <c r="C420" s="3">
        <v>647</v>
      </c>
      <c r="D420" s="3">
        <v>1</v>
      </c>
      <c r="E420" s="3" t="s">
        <v>40</v>
      </c>
      <c r="F420" s="3" t="s">
        <v>41</v>
      </c>
      <c r="G420" s="3" t="str">
        <f>"2026-02-23 04:39:47.655"</f>
        <v>2026-02-23 04:39:47.655</v>
      </c>
      <c r="H420" s="3" t="s">
        <v>21</v>
      </c>
      <c r="I420" s="3">
        <v>9.76</v>
      </c>
      <c r="J420" s="3" t="s">
        <v>32</v>
      </c>
    </row>
    <row r="421" spans="1:10" x14ac:dyDescent="0.25">
      <c r="A421" s="1">
        <v>21</v>
      </c>
      <c r="B421" t="s">
        <v>26</v>
      </c>
      <c r="C421">
        <v>635</v>
      </c>
      <c r="D421">
        <v>1</v>
      </c>
      <c r="E421" t="s">
        <v>27</v>
      </c>
      <c r="F421" t="s">
        <v>28</v>
      </c>
      <c r="G421" t="str">
        <f>"2026-02-22 23:01:03.354"</f>
        <v>2026-02-22 23:01:03.354</v>
      </c>
      <c r="H421" t="s">
        <v>21</v>
      </c>
    </row>
    <row r="422" spans="1:10" x14ac:dyDescent="0.25">
      <c r="A422" s="1">
        <v>22</v>
      </c>
      <c r="B422" t="s">
        <v>29</v>
      </c>
      <c r="C422">
        <v>635</v>
      </c>
      <c r="D422">
        <v>1</v>
      </c>
      <c r="E422" t="s">
        <v>27</v>
      </c>
      <c r="F422" t="s">
        <v>28</v>
      </c>
      <c r="G422" t="str">
        <f>"2026-02-22 22:58:09.354"</f>
        <v>2026-02-22 22:58:09.354</v>
      </c>
      <c r="H422" t="s">
        <v>21</v>
      </c>
      <c r="I422">
        <v>2.9</v>
      </c>
      <c r="J422" t="s">
        <v>30</v>
      </c>
    </row>
    <row r="423" spans="1:10" x14ac:dyDescent="0.25">
      <c r="A423" s="1">
        <v>23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"2026-02-22 00:18:01.584"</f>
        <v>2026-02-22 00:18:01.584</v>
      </c>
      <c r="H423" t="s">
        <v>21</v>
      </c>
    </row>
    <row r="424" spans="1:10" x14ac:dyDescent="0.25">
      <c r="A424" s="1">
        <v>24</v>
      </c>
      <c r="B424" t="s">
        <v>26</v>
      </c>
      <c r="C424">
        <v>61</v>
      </c>
      <c r="D424">
        <v>2</v>
      </c>
      <c r="E424" t="s">
        <v>44</v>
      </c>
      <c r="F424" t="s">
        <v>45</v>
      </c>
      <c r="G424" t="str">
        <f>"2026-02-21 23:21:30.451"</f>
        <v>2026-02-21 23:21:30.451</v>
      </c>
      <c r="H424" t="s">
        <v>21</v>
      </c>
    </row>
    <row r="425" spans="1:10" x14ac:dyDescent="0.25">
      <c r="A425" s="1">
        <v>25</v>
      </c>
      <c r="B425" t="s">
        <v>37</v>
      </c>
      <c r="C425">
        <v>61</v>
      </c>
      <c r="D425">
        <v>2</v>
      </c>
      <c r="E425" t="s">
        <v>44</v>
      </c>
      <c r="F425" t="s">
        <v>45</v>
      </c>
      <c r="G425" t="str">
        <f>"2026-02-21 23:21:10.550"</f>
        <v>2026-02-21 23:21:10.550</v>
      </c>
      <c r="H425" t="s">
        <v>21</v>
      </c>
      <c r="I425">
        <v>30</v>
      </c>
      <c r="J425" t="s">
        <v>32</v>
      </c>
    </row>
    <row r="426" spans="1:10" x14ac:dyDescent="0.25">
      <c r="A426" s="1">
        <v>26</v>
      </c>
      <c r="B426" t="s">
        <v>26</v>
      </c>
      <c r="C426">
        <v>61</v>
      </c>
      <c r="D426">
        <v>2</v>
      </c>
      <c r="E426" t="s">
        <v>44</v>
      </c>
      <c r="F426" t="s">
        <v>45</v>
      </c>
      <c r="G426" t="str">
        <f>"2026-02-21 22:20:30.151"</f>
        <v>2026-02-21 22:20:30.151</v>
      </c>
      <c r="H426" t="s">
        <v>21</v>
      </c>
    </row>
    <row r="427" spans="1:10" x14ac:dyDescent="0.25">
      <c r="A427" s="1">
        <v>27</v>
      </c>
      <c r="B427" t="s">
        <v>37</v>
      </c>
      <c r="C427">
        <v>61</v>
      </c>
      <c r="D427">
        <v>2</v>
      </c>
      <c r="E427" t="s">
        <v>44</v>
      </c>
      <c r="F427" t="s">
        <v>45</v>
      </c>
      <c r="G427" t="str">
        <f>"2026-02-21 22:20:09.251"</f>
        <v>2026-02-21 22:20:09.251</v>
      </c>
      <c r="H427" t="s">
        <v>21</v>
      </c>
      <c r="I427">
        <v>30.21</v>
      </c>
      <c r="J427" t="s">
        <v>32</v>
      </c>
    </row>
    <row r="428" spans="1:10" x14ac:dyDescent="0.25">
      <c r="A428" s="1">
        <v>28</v>
      </c>
      <c r="B428" t="s">
        <v>26</v>
      </c>
      <c r="C428">
        <v>61</v>
      </c>
      <c r="D428">
        <v>2</v>
      </c>
      <c r="E428" t="s">
        <v>44</v>
      </c>
      <c r="F428" t="s">
        <v>45</v>
      </c>
      <c r="G428" t="str">
        <f>"2026-02-21 21:45:17.151"</f>
        <v>2026-02-21 21:45:17.151</v>
      </c>
      <c r="H428" t="s">
        <v>21</v>
      </c>
    </row>
    <row r="429" spans="1:10" x14ac:dyDescent="0.25">
      <c r="A429" s="1">
        <v>29</v>
      </c>
      <c r="B429" t="s">
        <v>37</v>
      </c>
      <c r="C429">
        <v>61</v>
      </c>
      <c r="D429">
        <v>2</v>
      </c>
      <c r="E429" t="s">
        <v>44</v>
      </c>
      <c r="F429" t="s">
        <v>45</v>
      </c>
      <c r="G429" t="str">
        <f>"2026-02-21 21:44:57.751"</f>
        <v>2026-02-21 21:44:57.751</v>
      </c>
      <c r="H429" t="s">
        <v>21</v>
      </c>
      <c r="I429">
        <v>29.87</v>
      </c>
      <c r="J429" t="s">
        <v>32</v>
      </c>
    </row>
    <row r="430" spans="1:10" s="3" customFormat="1" x14ac:dyDescent="0.25">
      <c r="A430" s="2">
        <v>30</v>
      </c>
      <c r="B430" s="3" t="s">
        <v>26</v>
      </c>
      <c r="C430" s="3">
        <v>647</v>
      </c>
      <c r="D430" s="3">
        <v>1</v>
      </c>
      <c r="E430" s="3" t="s">
        <v>40</v>
      </c>
      <c r="F430" s="3" t="s">
        <v>41</v>
      </c>
      <c r="G430" s="3" t="str">
        <f>"2026-02-21 21:23:12.259"</f>
        <v>2026-02-21 21:23:12.259</v>
      </c>
      <c r="H430" s="3" t="s">
        <v>21</v>
      </c>
    </row>
    <row r="431" spans="1:10" s="3" customFormat="1" x14ac:dyDescent="0.25">
      <c r="A431" s="2">
        <v>31</v>
      </c>
      <c r="B431" s="3" t="s">
        <v>29</v>
      </c>
      <c r="C431" s="3">
        <v>647</v>
      </c>
      <c r="D431" s="3">
        <v>1</v>
      </c>
      <c r="E431" s="3" t="s">
        <v>40</v>
      </c>
      <c r="F431" s="3" t="s">
        <v>41</v>
      </c>
      <c r="G431" s="3" t="str">
        <f>"2026-02-21 21:23:10.160"</f>
        <v>2026-02-21 21:23:10.160</v>
      </c>
      <c r="H431" s="3" t="s">
        <v>21</v>
      </c>
      <c r="I431" s="3">
        <v>10.26</v>
      </c>
      <c r="J431" s="3" t="s">
        <v>32</v>
      </c>
    </row>
    <row r="432" spans="1:10" x14ac:dyDescent="0.25">
      <c r="A432" s="1">
        <v>32</v>
      </c>
      <c r="B432" t="s">
        <v>26</v>
      </c>
      <c r="C432">
        <v>61</v>
      </c>
      <c r="D432">
        <v>2</v>
      </c>
      <c r="E432" t="s">
        <v>44</v>
      </c>
      <c r="F432" t="s">
        <v>45</v>
      </c>
      <c r="G432" t="str">
        <f>"2026-02-21 20:40:02.852"</f>
        <v>2026-02-21 20:40:02.852</v>
      </c>
      <c r="H432" t="s">
        <v>21</v>
      </c>
    </row>
    <row r="433" spans="1:10" x14ac:dyDescent="0.25">
      <c r="A433" s="1">
        <v>33</v>
      </c>
      <c r="B433" t="s">
        <v>37</v>
      </c>
      <c r="C433">
        <v>61</v>
      </c>
      <c r="D433">
        <v>2</v>
      </c>
      <c r="E433" t="s">
        <v>44</v>
      </c>
      <c r="F433" t="s">
        <v>45</v>
      </c>
      <c r="G433" t="str">
        <f>"2026-02-21 20:39:43.852"</f>
        <v>2026-02-21 20:39:43.852</v>
      </c>
      <c r="H433" t="s">
        <v>21</v>
      </c>
      <c r="I433">
        <v>30.19</v>
      </c>
      <c r="J433" t="s">
        <v>32</v>
      </c>
    </row>
    <row r="434" spans="1:10" x14ac:dyDescent="0.25">
      <c r="A434" s="1">
        <v>34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"2026-02-21 14:27:55.592"</f>
        <v>2026-02-21 14:27:55.592</v>
      </c>
      <c r="H434" t="s">
        <v>21</v>
      </c>
    </row>
    <row r="435" spans="1:10" x14ac:dyDescent="0.25">
      <c r="A435" s="1">
        <v>35</v>
      </c>
      <c r="B435" t="s">
        <v>26</v>
      </c>
      <c r="C435">
        <v>635</v>
      </c>
      <c r="D435">
        <v>1</v>
      </c>
      <c r="E435" t="s">
        <v>27</v>
      </c>
      <c r="F435" t="s">
        <v>28</v>
      </c>
      <c r="G435" t="str">
        <f>"2026-02-21 09:06:37.883"</f>
        <v>2026-02-21 09:06:37.883</v>
      </c>
      <c r="H435" t="s">
        <v>21</v>
      </c>
    </row>
    <row r="436" spans="1:10" x14ac:dyDescent="0.25">
      <c r="A436" s="1">
        <v>36</v>
      </c>
      <c r="B436" t="s">
        <v>29</v>
      </c>
      <c r="C436">
        <v>635</v>
      </c>
      <c r="D436">
        <v>1</v>
      </c>
      <c r="E436" t="s">
        <v>27</v>
      </c>
      <c r="F436" t="s">
        <v>28</v>
      </c>
      <c r="G436" t="str">
        <f>"2026-02-21 09:04:12.883"</f>
        <v>2026-02-21 09:04:12.883</v>
      </c>
      <c r="H436" t="s">
        <v>21</v>
      </c>
      <c r="I436">
        <v>5.44</v>
      </c>
      <c r="J436" t="s">
        <v>30</v>
      </c>
    </row>
    <row r="437" spans="1:10" x14ac:dyDescent="0.25">
      <c r="A437" s="1">
        <v>37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"2026-02-21 00:11:29.576"</f>
        <v>2026-02-21 00:11:29.576</v>
      </c>
      <c r="H437" t="s">
        <v>21</v>
      </c>
      <c r="I437">
        <v>0</v>
      </c>
      <c r="J437" t="s">
        <v>22</v>
      </c>
    </row>
    <row r="438" spans="1:10" x14ac:dyDescent="0.25">
      <c r="A438" s="1">
        <v>38</v>
      </c>
      <c r="B438" t="s">
        <v>19</v>
      </c>
      <c r="C438">
        <v>706</v>
      </c>
      <c r="D438">
        <v>2</v>
      </c>
      <c r="E438" t="s">
        <v>23</v>
      </c>
      <c r="F438" t="s">
        <v>24</v>
      </c>
      <c r="G438" t="str">
        <f>"2026-02-20 22:24:47.597"</f>
        <v>2026-02-20 22:24:47.597</v>
      </c>
      <c r="H438" t="s">
        <v>21</v>
      </c>
      <c r="I438">
        <v>0</v>
      </c>
      <c r="J438" t="s">
        <v>25</v>
      </c>
    </row>
    <row r="439" spans="1:10" x14ac:dyDescent="0.25">
      <c r="A439" s="1">
        <v>39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"2026-02-20 21:39:03.577"</f>
        <v>2026-02-20 21:39:03.577</v>
      </c>
      <c r="H439" t="s">
        <v>21</v>
      </c>
      <c r="I439">
        <v>0</v>
      </c>
      <c r="J439" t="s">
        <v>22</v>
      </c>
    </row>
    <row r="440" spans="1:10" x14ac:dyDescent="0.25">
      <c r="A440" s="1">
        <v>40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"2026-02-20 21:13:17.580"</f>
        <v>2026-02-20 21:13:17.580</v>
      </c>
      <c r="H440" t="s">
        <v>21</v>
      </c>
      <c r="I440">
        <v>0</v>
      </c>
      <c r="J440" t="s">
        <v>22</v>
      </c>
    </row>
    <row r="441" spans="1:10" x14ac:dyDescent="0.25">
      <c r="A441" s="1">
        <v>41</v>
      </c>
      <c r="B441" t="s">
        <v>26</v>
      </c>
      <c r="C441">
        <v>635</v>
      </c>
      <c r="D441">
        <v>1</v>
      </c>
      <c r="E441" t="s">
        <v>27</v>
      </c>
      <c r="F441" t="s">
        <v>28</v>
      </c>
      <c r="G441" t="str">
        <f>"2026-02-20 17:34:45.544"</f>
        <v>2026-02-20 17:34:45.544</v>
      </c>
      <c r="H441" t="s">
        <v>21</v>
      </c>
    </row>
    <row r="442" spans="1:10" x14ac:dyDescent="0.25">
      <c r="A442" s="1">
        <v>42</v>
      </c>
      <c r="B442" t="s">
        <v>29</v>
      </c>
      <c r="C442">
        <v>635</v>
      </c>
      <c r="D442">
        <v>1</v>
      </c>
      <c r="E442" t="s">
        <v>27</v>
      </c>
      <c r="F442" t="s">
        <v>28</v>
      </c>
      <c r="G442" t="str">
        <f>"2026-02-20 17:30:26.544"</f>
        <v>2026-02-20 17:30:26.544</v>
      </c>
      <c r="H442" t="s">
        <v>21</v>
      </c>
      <c r="I442">
        <v>3.16</v>
      </c>
      <c r="J442" t="s">
        <v>30</v>
      </c>
    </row>
    <row r="443" spans="1:10" x14ac:dyDescent="0.25">
      <c r="A443" s="1">
        <v>43</v>
      </c>
      <c r="B443" t="s">
        <v>26</v>
      </c>
      <c r="C443">
        <v>61</v>
      </c>
      <c r="D443">
        <v>2</v>
      </c>
      <c r="E443" t="s">
        <v>44</v>
      </c>
      <c r="F443" t="s">
        <v>45</v>
      </c>
      <c r="G443" t="str">
        <f>"2026-02-20 10:57:17.745"</f>
        <v>2026-02-20 10:57:17.745</v>
      </c>
      <c r="H443" t="s">
        <v>21</v>
      </c>
    </row>
    <row r="444" spans="1:10" x14ac:dyDescent="0.25">
      <c r="A444" s="1">
        <v>44</v>
      </c>
      <c r="B444" t="s">
        <v>37</v>
      </c>
      <c r="C444">
        <v>61</v>
      </c>
      <c r="D444">
        <v>2</v>
      </c>
      <c r="E444" t="s">
        <v>44</v>
      </c>
      <c r="F444" t="s">
        <v>45</v>
      </c>
      <c r="G444" t="str">
        <f>"2026-02-20 10:57:06.345"</f>
        <v>2026-02-20 10:57:06.345</v>
      </c>
      <c r="H444" t="s">
        <v>21</v>
      </c>
      <c r="I444">
        <v>29.1</v>
      </c>
      <c r="J444" t="s">
        <v>32</v>
      </c>
    </row>
    <row r="445" spans="1:10" x14ac:dyDescent="0.25">
      <c r="A445" s="1">
        <v>45</v>
      </c>
      <c r="B445" t="s">
        <v>26</v>
      </c>
      <c r="C445">
        <v>61</v>
      </c>
      <c r="D445">
        <v>2</v>
      </c>
      <c r="E445" t="s">
        <v>44</v>
      </c>
      <c r="F445" t="s">
        <v>45</v>
      </c>
      <c r="G445" t="str">
        <f>"2026-02-20 07:15:35.345"</f>
        <v>2026-02-20 07:15:35.345</v>
      </c>
      <c r="H445" t="s">
        <v>21</v>
      </c>
    </row>
    <row r="446" spans="1:10" x14ac:dyDescent="0.25">
      <c r="A446" s="1">
        <v>46</v>
      </c>
      <c r="B446" t="s">
        <v>37</v>
      </c>
      <c r="C446">
        <v>61</v>
      </c>
      <c r="D446">
        <v>2</v>
      </c>
      <c r="E446" t="s">
        <v>44</v>
      </c>
      <c r="F446" t="s">
        <v>45</v>
      </c>
      <c r="G446" t="str">
        <f>"2026-02-20 07:15:22.045"</f>
        <v>2026-02-20 07:15:22.045</v>
      </c>
      <c r="H446" t="s">
        <v>21</v>
      </c>
      <c r="I446">
        <v>29.99</v>
      </c>
      <c r="J446" t="s">
        <v>32</v>
      </c>
    </row>
    <row r="447" spans="1:10" x14ac:dyDescent="0.25">
      <c r="A447" s="1">
        <v>47</v>
      </c>
      <c r="B447" t="s">
        <v>26</v>
      </c>
      <c r="C447">
        <v>61</v>
      </c>
      <c r="D447">
        <v>2</v>
      </c>
      <c r="E447" t="s">
        <v>44</v>
      </c>
      <c r="F447" t="s">
        <v>45</v>
      </c>
      <c r="G447" t="str">
        <f>"2026-02-20 07:00:59.945"</f>
        <v>2026-02-20 07:00:59.945</v>
      </c>
      <c r="H447" t="s">
        <v>21</v>
      </c>
    </row>
    <row r="448" spans="1:10" x14ac:dyDescent="0.25">
      <c r="A448" s="1">
        <v>48</v>
      </c>
      <c r="B448" t="s">
        <v>37</v>
      </c>
      <c r="C448">
        <v>61</v>
      </c>
      <c r="D448">
        <v>2</v>
      </c>
      <c r="E448" t="s">
        <v>44</v>
      </c>
      <c r="F448" t="s">
        <v>45</v>
      </c>
      <c r="G448" t="str">
        <f>"2026-02-20 07:00:49.745"</f>
        <v>2026-02-20 07:00:49.745</v>
      </c>
      <c r="H448" t="s">
        <v>21</v>
      </c>
      <c r="I448">
        <v>31.87</v>
      </c>
      <c r="J448" t="s">
        <v>32</v>
      </c>
    </row>
    <row r="449" spans="1:10" x14ac:dyDescent="0.25">
      <c r="A449" s="1">
        <v>49</v>
      </c>
      <c r="B449" t="s">
        <v>26</v>
      </c>
      <c r="C449">
        <v>61</v>
      </c>
      <c r="D449">
        <v>2</v>
      </c>
      <c r="E449" t="s">
        <v>44</v>
      </c>
      <c r="F449" t="s">
        <v>45</v>
      </c>
      <c r="G449" t="str">
        <f>"2026-02-20 06:44:27.645"</f>
        <v>2026-02-20 06:44:27.645</v>
      </c>
      <c r="H449" t="s">
        <v>21</v>
      </c>
    </row>
    <row r="450" spans="1:10" x14ac:dyDescent="0.25">
      <c r="A450" s="1">
        <v>50</v>
      </c>
      <c r="B450" t="s">
        <v>37</v>
      </c>
      <c r="C450">
        <v>61</v>
      </c>
      <c r="D450">
        <v>2</v>
      </c>
      <c r="E450" t="s">
        <v>44</v>
      </c>
      <c r="F450" t="s">
        <v>45</v>
      </c>
      <c r="G450" t="str">
        <f>"2026-02-20 06:44:22.945"</f>
        <v>2026-02-20 06:44:22.945</v>
      </c>
      <c r="H450" t="s">
        <v>21</v>
      </c>
      <c r="I450">
        <v>29.73</v>
      </c>
      <c r="J450" t="s">
        <v>32</v>
      </c>
    </row>
    <row r="451" spans="1:10" x14ac:dyDescent="0.25">
      <c r="A451" s="1">
        <v>51</v>
      </c>
      <c r="B451" t="s">
        <v>26</v>
      </c>
      <c r="C451">
        <v>61</v>
      </c>
      <c r="D451">
        <v>2</v>
      </c>
      <c r="E451" t="s">
        <v>44</v>
      </c>
      <c r="F451" t="s">
        <v>45</v>
      </c>
      <c r="G451" t="str">
        <f>"2026-02-20 06:31:38.045"</f>
        <v>2026-02-20 06:31:38.045</v>
      </c>
      <c r="H451" t="s">
        <v>21</v>
      </c>
    </row>
    <row r="452" spans="1:10" x14ac:dyDescent="0.25">
      <c r="A452" s="1">
        <v>52</v>
      </c>
      <c r="B452" t="s">
        <v>37</v>
      </c>
      <c r="C452">
        <v>61</v>
      </c>
      <c r="D452">
        <v>2</v>
      </c>
      <c r="E452" t="s">
        <v>44</v>
      </c>
      <c r="F452" t="s">
        <v>45</v>
      </c>
      <c r="G452" t="str">
        <f>"2026-02-20 06:31:28.545"</f>
        <v>2026-02-20 06:31:28.545</v>
      </c>
      <c r="H452" t="s">
        <v>21</v>
      </c>
      <c r="I452">
        <v>32.049999999999997</v>
      </c>
      <c r="J452" t="s">
        <v>32</v>
      </c>
    </row>
    <row r="453" spans="1:10" x14ac:dyDescent="0.25">
      <c r="A453" s="1">
        <v>53</v>
      </c>
      <c r="B453" t="s">
        <v>26</v>
      </c>
      <c r="C453">
        <v>61</v>
      </c>
      <c r="D453">
        <v>2</v>
      </c>
      <c r="E453" t="s">
        <v>44</v>
      </c>
      <c r="F453" t="s">
        <v>45</v>
      </c>
      <c r="G453" t="str">
        <f>"2026-02-20 06:15:19.145"</f>
        <v>2026-02-20 06:15:19.145</v>
      </c>
      <c r="H453" t="s">
        <v>21</v>
      </c>
    </row>
    <row r="454" spans="1:10" x14ac:dyDescent="0.25">
      <c r="A454" s="1">
        <v>54</v>
      </c>
      <c r="B454" t="s">
        <v>37</v>
      </c>
      <c r="C454">
        <v>61</v>
      </c>
      <c r="D454">
        <v>2</v>
      </c>
      <c r="E454" t="s">
        <v>44</v>
      </c>
      <c r="F454" t="s">
        <v>45</v>
      </c>
      <c r="G454" t="str">
        <f>"2026-02-20 06:15:10.445"</f>
        <v>2026-02-20 06:15:10.445</v>
      </c>
      <c r="H454" t="s">
        <v>21</v>
      </c>
      <c r="I454">
        <v>31.85</v>
      </c>
      <c r="J454" t="s">
        <v>32</v>
      </c>
    </row>
    <row r="455" spans="1:10" x14ac:dyDescent="0.25">
      <c r="A455" s="1">
        <v>55</v>
      </c>
      <c r="B455" t="s">
        <v>26</v>
      </c>
      <c r="C455">
        <v>61</v>
      </c>
      <c r="D455">
        <v>2</v>
      </c>
      <c r="E455" t="s">
        <v>44</v>
      </c>
      <c r="F455" t="s">
        <v>45</v>
      </c>
      <c r="G455" t="str">
        <f>"2026-02-20 06:03:03.945"</f>
        <v>2026-02-20 06:03:03.945</v>
      </c>
      <c r="H455" t="s">
        <v>21</v>
      </c>
    </row>
    <row r="456" spans="1:10" x14ac:dyDescent="0.25">
      <c r="A456" s="1">
        <v>56</v>
      </c>
      <c r="B456" t="s">
        <v>37</v>
      </c>
      <c r="C456">
        <v>61</v>
      </c>
      <c r="D456">
        <v>2</v>
      </c>
      <c r="E456" t="s">
        <v>44</v>
      </c>
      <c r="F456" t="s">
        <v>45</v>
      </c>
      <c r="G456" t="str">
        <f>"2026-02-20 06:02:55.745"</f>
        <v>2026-02-20 06:02:55.745</v>
      </c>
      <c r="H456" t="s">
        <v>21</v>
      </c>
      <c r="I456">
        <v>31.69</v>
      </c>
      <c r="J456" t="s">
        <v>32</v>
      </c>
    </row>
    <row r="457" spans="1:10" x14ac:dyDescent="0.25">
      <c r="A457" s="1">
        <v>57</v>
      </c>
      <c r="B457" t="s">
        <v>26</v>
      </c>
      <c r="C457">
        <v>61</v>
      </c>
      <c r="D457">
        <v>2</v>
      </c>
      <c r="E457" t="s">
        <v>44</v>
      </c>
      <c r="F457" t="s">
        <v>45</v>
      </c>
      <c r="G457" t="str">
        <f>"2026-02-20 05:48:47.145"</f>
        <v>2026-02-20 05:48:47.145</v>
      </c>
      <c r="H457" t="s">
        <v>21</v>
      </c>
    </row>
    <row r="458" spans="1:10" x14ac:dyDescent="0.25">
      <c r="A458" s="1">
        <v>58</v>
      </c>
      <c r="B458" t="s">
        <v>37</v>
      </c>
      <c r="C458">
        <v>61</v>
      </c>
      <c r="D458">
        <v>2</v>
      </c>
      <c r="E458" t="s">
        <v>44</v>
      </c>
      <c r="F458" t="s">
        <v>45</v>
      </c>
      <c r="G458" t="str">
        <f>"2026-02-20 05:48:36.945"</f>
        <v>2026-02-20 05:48:36.945</v>
      </c>
      <c r="H458" t="s">
        <v>21</v>
      </c>
      <c r="I458">
        <v>31.85</v>
      </c>
      <c r="J458" t="s">
        <v>32</v>
      </c>
    </row>
    <row r="459" spans="1:10" x14ac:dyDescent="0.25">
      <c r="A459" s="1">
        <v>59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"2026-02-19 20:26:08.563"</f>
        <v>2026-02-19 20:26:08.563</v>
      </c>
      <c r="H459" t="s">
        <v>21</v>
      </c>
    </row>
    <row r="460" spans="1:10" x14ac:dyDescent="0.25">
      <c r="A460" s="1">
        <v>60</v>
      </c>
      <c r="B460" t="s">
        <v>26</v>
      </c>
      <c r="C460">
        <v>61</v>
      </c>
      <c r="D460">
        <v>2</v>
      </c>
      <c r="E460" t="s">
        <v>44</v>
      </c>
      <c r="F460" t="s">
        <v>45</v>
      </c>
      <c r="G460" t="str">
        <f>"2026-02-19 07:14:43.782"</f>
        <v>2026-02-19 07:14:43.782</v>
      </c>
      <c r="H460" t="s">
        <v>21</v>
      </c>
    </row>
    <row r="461" spans="1:10" x14ac:dyDescent="0.25">
      <c r="A461" s="1">
        <v>61</v>
      </c>
      <c r="B461" t="s">
        <v>37</v>
      </c>
      <c r="C461">
        <v>61</v>
      </c>
      <c r="D461">
        <v>2</v>
      </c>
      <c r="E461" t="s">
        <v>44</v>
      </c>
      <c r="F461" t="s">
        <v>45</v>
      </c>
      <c r="G461" t="str">
        <f>"2026-02-19 07:14:26.783"</f>
        <v>2026-02-19 07:14:26.783</v>
      </c>
      <c r="H461" t="s">
        <v>21</v>
      </c>
      <c r="I461">
        <v>30.48</v>
      </c>
      <c r="J461" t="s">
        <v>32</v>
      </c>
    </row>
    <row r="462" spans="1:10" x14ac:dyDescent="0.25">
      <c r="A462" s="1">
        <v>62</v>
      </c>
      <c r="B462" t="s">
        <v>26</v>
      </c>
      <c r="C462">
        <v>635</v>
      </c>
      <c r="D462">
        <v>1</v>
      </c>
      <c r="E462" t="s">
        <v>27</v>
      </c>
      <c r="F462" t="s">
        <v>28</v>
      </c>
      <c r="G462" t="str">
        <f>"2026-02-18 14:46:35.322"</f>
        <v>2026-02-18 14:46:35.322</v>
      </c>
      <c r="H462" t="s">
        <v>21</v>
      </c>
    </row>
    <row r="463" spans="1:10" x14ac:dyDescent="0.25">
      <c r="A463" s="1">
        <v>63</v>
      </c>
      <c r="B463" t="s">
        <v>29</v>
      </c>
      <c r="C463">
        <v>635</v>
      </c>
      <c r="D463">
        <v>1</v>
      </c>
      <c r="E463" t="s">
        <v>27</v>
      </c>
      <c r="F463" t="s">
        <v>28</v>
      </c>
      <c r="G463" t="str">
        <f>"2026-02-18 14:22:28.322"</f>
        <v>2026-02-18 14:22:28.322</v>
      </c>
      <c r="H463" t="s">
        <v>21</v>
      </c>
      <c r="I463">
        <v>5.98</v>
      </c>
      <c r="J463" t="s">
        <v>30</v>
      </c>
    </row>
    <row r="464" spans="1:10" x14ac:dyDescent="0.25">
      <c r="A464" s="1">
        <v>64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"2026-02-18 08:44:53.589"</f>
        <v>2026-02-18 08:44:53.589</v>
      </c>
      <c r="H464" t="s">
        <v>21</v>
      </c>
    </row>
    <row r="465" spans="1:10" x14ac:dyDescent="0.25">
      <c r="A465" s="1">
        <v>65</v>
      </c>
      <c r="B465" t="s">
        <v>26</v>
      </c>
      <c r="C465">
        <v>61</v>
      </c>
      <c r="D465">
        <v>2</v>
      </c>
      <c r="E465" t="s">
        <v>44</v>
      </c>
      <c r="F465" t="s">
        <v>45</v>
      </c>
      <c r="G465" t="str">
        <f>"2026-02-17 19:29:21.011"</f>
        <v>2026-02-17 19:29:21.011</v>
      </c>
      <c r="H465" t="s">
        <v>21</v>
      </c>
    </row>
    <row r="466" spans="1:10" x14ac:dyDescent="0.25">
      <c r="A466" s="1">
        <v>66</v>
      </c>
      <c r="B466" t="s">
        <v>37</v>
      </c>
      <c r="C466">
        <v>61</v>
      </c>
      <c r="D466">
        <v>2</v>
      </c>
      <c r="E466" t="s">
        <v>44</v>
      </c>
      <c r="F466" t="s">
        <v>45</v>
      </c>
      <c r="G466" t="str">
        <f>"2026-02-17 19:29:05.112"</f>
        <v>2026-02-17 19:29:05.112</v>
      </c>
      <c r="H466" t="s">
        <v>21</v>
      </c>
      <c r="I466">
        <v>30.24</v>
      </c>
      <c r="J466" t="s">
        <v>32</v>
      </c>
    </row>
    <row r="467" spans="1:10" x14ac:dyDescent="0.25">
      <c r="A467" s="1">
        <v>67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"2026-02-17 08:34:43.567"</f>
        <v>2026-02-17 08:34:43.567</v>
      </c>
      <c r="H467" t="s">
        <v>21</v>
      </c>
    </row>
    <row r="468" spans="1:10" x14ac:dyDescent="0.25">
      <c r="A468" s="1">
        <v>68</v>
      </c>
      <c r="B468" t="s">
        <v>26</v>
      </c>
      <c r="C468">
        <v>635</v>
      </c>
      <c r="D468">
        <v>1</v>
      </c>
      <c r="E468" t="s">
        <v>27</v>
      </c>
      <c r="F468" t="s">
        <v>28</v>
      </c>
      <c r="G468" t="str">
        <f>"2026-02-16 20:58:53.764"</f>
        <v>2026-02-16 20:58:53.764</v>
      </c>
      <c r="H468" t="s">
        <v>21</v>
      </c>
    </row>
    <row r="469" spans="1:10" x14ac:dyDescent="0.25">
      <c r="A469" s="1">
        <v>69</v>
      </c>
      <c r="B469" t="s">
        <v>29</v>
      </c>
      <c r="C469">
        <v>635</v>
      </c>
      <c r="D469">
        <v>1</v>
      </c>
      <c r="E469" t="s">
        <v>27</v>
      </c>
      <c r="F469" t="s">
        <v>28</v>
      </c>
      <c r="G469" t="str">
        <f>"2026-02-16 20:40:18.264"</f>
        <v>2026-02-16 20:40:18.264</v>
      </c>
      <c r="H469" t="s">
        <v>21</v>
      </c>
      <c r="I469">
        <v>2.89</v>
      </c>
      <c r="J469" t="s">
        <v>30</v>
      </c>
    </row>
    <row r="470" spans="1:10" x14ac:dyDescent="0.25">
      <c r="A470" s="1">
        <v>70</v>
      </c>
      <c r="B470" t="s">
        <v>26</v>
      </c>
      <c r="C470">
        <v>61</v>
      </c>
      <c r="D470">
        <v>2</v>
      </c>
      <c r="E470" t="s">
        <v>44</v>
      </c>
      <c r="F470" t="s">
        <v>45</v>
      </c>
      <c r="G470" t="str">
        <f>"2026-02-16 18:32:28.877"</f>
        <v>2026-02-16 18:32:28.877</v>
      </c>
      <c r="H470" t="s">
        <v>21</v>
      </c>
    </row>
    <row r="471" spans="1:10" x14ac:dyDescent="0.25">
      <c r="A471" s="1">
        <v>71</v>
      </c>
      <c r="B471" t="s">
        <v>37</v>
      </c>
      <c r="C471">
        <v>61</v>
      </c>
      <c r="D471">
        <v>2</v>
      </c>
      <c r="E471" t="s">
        <v>44</v>
      </c>
      <c r="F471" t="s">
        <v>45</v>
      </c>
      <c r="G471" t="str">
        <f>"2026-02-16 18:32:17.277"</f>
        <v>2026-02-16 18:32:17.277</v>
      </c>
      <c r="H471" t="s">
        <v>21</v>
      </c>
      <c r="I471">
        <v>29.34</v>
      </c>
      <c r="J471" t="s">
        <v>32</v>
      </c>
    </row>
    <row r="472" spans="1:10" x14ac:dyDescent="0.25">
      <c r="A472" s="1">
        <v>72</v>
      </c>
      <c r="B472" t="s">
        <v>26</v>
      </c>
      <c r="C472">
        <v>61</v>
      </c>
      <c r="D472">
        <v>2</v>
      </c>
      <c r="E472" t="s">
        <v>44</v>
      </c>
      <c r="F472" t="s">
        <v>45</v>
      </c>
      <c r="G472" t="str">
        <f>"2026-02-16 12:34:30.577"</f>
        <v>2026-02-16 12:34:30.577</v>
      </c>
      <c r="H472" t="s">
        <v>21</v>
      </c>
    </row>
    <row r="473" spans="1:10" x14ac:dyDescent="0.25">
      <c r="A473" s="1">
        <v>73</v>
      </c>
      <c r="B473" t="s">
        <v>37</v>
      </c>
      <c r="C473">
        <v>61</v>
      </c>
      <c r="D473">
        <v>2</v>
      </c>
      <c r="E473" t="s">
        <v>44</v>
      </c>
      <c r="F473" t="s">
        <v>45</v>
      </c>
      <c r="G473" t="str">
        <f>"2026-02-16 12:34:16.077"</f>
        <v>2026-02-16 12:34:16.077</v>
      </c>
      <c r="H473" t="s">
        <v>21</v>
      </c>
      <c r="I473">
        <v>30.37</v>
      </c>
      <c r="J473" t="s">
        <v>32</v>
      </c>
    </row>
    <row r="474" spans="1:10" x14ac:dyDescent="0.25">
      <c r="A474" s="1">
        <v>74</v>
      </c>
      <c r="B474" t="s">
        <v>26</v>
      </c>
      <c r="C474">
        <v>61</v>
      </c>
      <c r="D474">
        <v>2</v>
      </c>
      <c r="E474" t="s">
        <v>44</v>
      </c>
      <c r="F474" t="s">
        <v>45</v>
      </c>
      <c r="G474" t="str">
        <f>"2026-02-16 12:06:02.777"</f>
        <v>2026-02-16 12:06:02.777</v>
      </c>
      <c r="H474" t="s">
        <v>21</v>
      </c>
    </row>
    <row r="475" spans="1:10" x14ac:dyDescent="0.25">
      <c r="A475" s="1">
        <v>75</v>
      </c>
      <c r="B475" t="s">
        <v>37</v>
      </c>
      <c r="C475">
        <v>61</v>
      </c>
      <c r="D475">
        <v>2</v>
      </c>
      <c r="E475" t="s">
        <v>44</v>
      </c>
      <c r="F475" t="s">
        <v>45</v>
      </c>
      <c r="G475" t="str">
        <f>"2026-02-16 12:05:47.577"</f>
        <v>2026-02-16 12:05:47.577</v>
      </c>
      <c r="H475" t="s">
        <v>21</v>
      </c>
      <c r="I475">
        <v>30.08</v>
      </c>
      <c r="J475" t="s">
        <v>32</v>
      </c>
    </row>
    <row r="476" spans="1:10" x14ac:dyDescent="0.25">
      <c r="A476" s="1">
        <v>76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"2026-02-16 11:01:15.595"</f>
        <v>2026-02-16 11:01:15.595</v>
      </c>
      <c r="H476" t="s">
        <v>21</v>
      </c>
    </row>
    <row r="477" spans="1:10" x14ac:dyDescent="0.25">
      <c r="A477" s="1">
        <v>77</v>
      </c>
      <c r="B477" t="s">
        <v>26</v>
      </c>
      <c r="C477">
        <v>635</v>
      </c>
      <c r="D477">
        <v>1</v>
      </c>
      <c r="E477" t="s">
        <v>27</v>
      </c>
      <c r="F477" t="s">
        <v>28</v>
      </c>
      <c r="G477" t="str">
        <f>"2026-02-16 08:38:59.202"</f>
        <v>2026-02-16 08:38:59.202</v>
      </c>
      <c r="H477" t="s">
        <v>21</v>
      </c>
    </row>
    <row r="478" spans="1:10" x14ac:dyDescent="0.25">
      <c r="A478" s="1">
        <v>78</v>
      </c>
      <c r="B478" t="s">
        <v>29</v>
      </c>
      <c r="C478">
        <v>635</v>
      </c>
      <c r="D478">
        <v>1</v>
      </c>
      <c r="E478" t="s">
        <v>27</v>
      </c>
      <c r="F478" t="s">
        <v>28</v>
      </c>
      <c r="G478" t="str">
        <f>"2026-02-16 08:34:08.202"</f>
        <v>2026-02-16 08:34:08.202</v>
      </c>
      <c r="H478" t="s">
        <v>21</v>
      </c>
      <c r="I478">
        <v>4.3499999999999996</v>
      </c>
      <c r="J478" t="s">
        <v>30</v>
      </c>
    </row>
    <row r="479" spans="1:10" x14ac:dyDescent="0.25">
      <c r="A479" s="1">
        <v>79</v>
      </c>
      <c r="B479" t="s">
        <v>26</v>
      </c>
      <c r="C479">
        <v>61</v>
      </c>
      <c r="D479">
        <v>2</v>
      </c>
      <c r="E479" t="s">
        <v>44</v>
      </c>
      <c r="F479" t="s">
        <v>45</v>
      </c>
      <c r="G479" t="str">
        <f>"2026-02-15 19:30:24.763"</f>
        <v>2026-02-15 19:30:24.763</v>
      </c>
      <c r="H479" t="s">
        <v>21</v>
      </c>
    </row>
    <row r="480" spans="1:10" x14ac:dyDescent="0.25">
      <c r="A480" s="1">
        <v>80</v>
      </c>
      <c r="B480" t="s">
        <v>37</v>
      </c>
      <c r="C480">
        <v>61</v>
      </c>
      <c r="D480">
        <v>2</v>
      </c>
      <c r="E480" t="s">
        <v>44</v>
      </c>
      <c r="F480" t="s">
        <v>45</v>
      </c>
      <c r="G480" t="str">
        <f>"2026-02-15 19:30:10.663"</f>
        <v>2026-02-15 19:30:10.663</v>
      </c>
      <c r="H480" t="s">
        <v>21</v>
      </c>
      <c r="I480">
        <v>30.66</v>
      </c>
      <c r="J480" t="s">
        <v>32</v>
      </c>
    </row>
    <row r="481" spans="1:10" x14ac:dyDescent="0.25">
      <c r="A481" s="1">
        <v>81</v>
      </c>
      <c r="B481" t="s">
        <v>26</v>
      </c>
      <c r="C481">
        <v>635</v>
      </c>
      <c r="D481">
        <v>1</v>
      </c>
      <c r="E481" t="s">
        <v>27</v>
      </c>
      <c r="F481" t="s">
        <v>28</v>
      </c>
      <c r="G481" t="str">
        <f>"2026-02-15 17:07:34.502"</f>
        <v>2026-02-15 17:07:34.502</v>
      </c>
      <c r="H481" t="s">
        <v>21</v>
      </c>
    </row>
    <row r="482" spans="1:10" x14ac:dyDescent="0.25">
      <c r="A482" s="1">
        <v>82</v>
      </c>
      <c r="B482" t="s">
        <v>29</v>
      </c>
      <c r="C482">
        <v>635</v>
      </c>
      <c r="D482">
        <v>1</v>
      </c>
      <c r="E482" t="s">
        <v>27</v>
      </c>
      <c r="F482" t="s">
        <v>28</v>
      </c>
      <c r="G482" t="str">
        <f>"2026-02-15 17:03:40.002"</f>
        <v>2026-02-15 17:03:40.002</v>
      </c>
      <c r="H482" t="s">
        <v>21</v>
      </c>
      <c r="I482">
        <v>6.92</v>
      </c>
      <c r="J482" t="s">
        <v>30</v>
      </c>
    </row>
    <row r="483" spans="1:10" x14ac:dyDescent="0.25">
      <c r="A483" s="1">
        <v>83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"2026-02-15 13:27:44.569"</f>
        <v>2026-02-15 13:27:44.569</v>
      </c>
      <c r="H483" t="s">
        <v>21</v>
      </c>
      <c r="I483">
        <v>0</v>
      </c>
      <c r="J483" t="s">
        <v>22</v>
      </c>
    </row>
    <row r="484" spans="1:10" x14ac:dyDescent="0.25">
      <c r="A484" s="1">
        <v>84</v>
      </c>
      <c r="B484" t="s">
        <v>26</v>
      </c>
      <c r="C484">
        <v>635</v>
      </c>
      <c r="D484">
        <v>1</v>
      </c>
      <c r="E484" t="s">
        <v>27</v>
      </c>
      <c r="F484" t="s">
        <v>28</v>
      </c>
      <c r="G484" t="str">
        <f>"2026-02-15 10:49:57.954"</f>
        <v>2026-02-15 10:49:57.954</v>
      </c>
      <c r="H484" t="s">
        <v>21</v>
      </c>
    </row>
    <row r="485" spans="1:10" x14ac:dyDescent="0.25">
      <c r="A485" s="1">
        <v>85</v>
      </c>
      <c r="B485" t="s">
        <v>29</v>
      </c>
      <c r="C485">
        <v>635</v>
      </c>
      <c r="D485">
        <v>1</v>
      </c>
      <c r="E485" t="s">
        <v>27</v>
      </c>
      <c r="F485" t="s">
        <v>28</v>
      </c>
      <c r="G485" t="str">
        <f>"2026-02-15 10:46:06.454"</f>
        <v>2026-02-15 10:46:06.454</v>
      </c>
      <c r="H485" t="s">
        <v>21</v>
      </c>
      <c r="I485">
        <v>7.88</v>
      </c>
      <c r="J485" t="s">
        <v>30</v>
      </c>
    </row>
    <row r="486" spans="1:10" x14ac:dyDescent="0.25">
      <c r="A486" s="1">
        <v>86</v>
      </c>
      <c r="B486" t="s">
        <v>26</v>
      </c>
      <c r="C486">
        <v>635</v>
      </c>
      <c r="D486">
        <v>1</v>
      </c>
      <c r="E486" t="s">
        <v>27</v>
      </c>
      <c r="F486" t="s">
        <v>28</v>
      </c>
      <c r="G486" t="str">
        <f>"2026-02-14 17:54:16.454"</f>
        <v>2026-02-14 17:54:16.454</v>
      </c>
      <c r="H486" t="s">
        <v>21</v>
      </c>
    </row>
    <row r="487" spans="1:10" x14ac:dyDescent="0.25">
      <c r="A487" s="1">
        <v>87</v>
      </c>
      <c r="B487" t="s">
        <v>29</v>
      </c>
      <c r="C487">
        <v>635</v>
      </c>
      <c r="D487">
        <v>1</v>
      </c>
      <c r="E487" t="s">
        <v>27</v>
      </c>
      <c r="F487" t="s">
        <v>28</v>
      </c>
      <c r="G487" t="str">
        <f>"2026-02-14 17:25:24.455"</f>
        <v>2026-02-14 17:25:24.455</v>
      </c>
      <c r="H487" t="s">
        <v>21</v>
      </c>
      <c r="I487">
        <v>7.26</v>
      </c>
      <c r="J487" t="s">
        <v>32</v>
      </c>
    </row>
    <row r="488" spans="1:10" x14ac:dyDescent="0.25">
      <c r="A488" s="1">
        <v>88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"2026-02-14 13:48:05.713"</f>
        <v>2026-02-14 13:48:05.713</v>
      </c>
      <c r="H488" t="s">
        <v>21</v>
      </c>
    </row>
    <row r="489" spans="1:10" x14ac:dyDescent="0.25">
      <c r="A489" s="1">
        <v>89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"2026-02-14 12:19:59.548"</f>
        <v>2026-02-14 12:19:59.548</v>
      </c>
      <c r="H489" t="s">
        <v>21</v>
      </c>
    </row>
    <row r="490" spans="1:10" x14ac:dyDescent="0.25">
      <c r="A490" s="1">
        <v>90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"2026-02-14 10:00:01.738"</f>
        <v>2026-02-14 10:00:01.738</v>
      </c>
      <c r="H490" t="s">
        <v>21</v>
      </c>
    </row>
    <row r="491" spans="1:10" x14ac:dyDescent="0.25">
      <c r="A491" s="1">
        <v>91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"2026-02-14 08:18:46.557"</f>
        <v>2026-02-14 08:18:46.557</v>
      </c>
      <c r="H491" t="s">
        <v>21</v>
      </c>
      <c r="I491">
        <v>0</v>
      </c>
      <c r="J491" t="s">
        <v>22</v>
      </c>
    </row>
    <row r="492" spans="1:10" x14ac:dyDescent="0.25">
      <c r="A492" s="1">
        <v>92</v>
      </c>
      <c r="B492" t="s">
        <v>26</v>
      </c>
      <c r="C492">
        <v>98</v>
      </c>
      <c r="D492">
        <v>1</v>
      </c>
      <c r="E492" t="s">
        <v>49</v>
      </c>
      <c r="F492" t="s">
        <v>50</v>
      </c>
      <c r="G492" t="str">
        <f>"2026-02-14 06:57:27.836"</f>
        <v>2026-02-14 06:57:27.836</v>
      </c>
      <c r="H492" t="s">
        <v>21</v>
      </c>
    </row>
    <row r="493" spans="1:10" x14ac:dyDescent="0.25">
      <c r="A493" s="1">
        <v>93</v>
      </c>
      <c r="B493" t="s">
        <v>29</v>
      </c>
      <c r="C493">
        <v>98</v>
      </c>
      <c r="D493">
        <v>1</v>
      </c>
      <c r="E493" t="s">
        <v>49</v>
      </c>
      <c r="F493" t="s">
        <v>50</v>
      </c>
      <c r="G493" t="str">
        <f>"2026-02-14 06:57:26.836"</f>
        <v>2026-02-14 06:57:26.836</v>
      </c>
      <c r="H493" t="s">
        <v>21</v>
      </c>
      <c r="I493">
        <v>15.66</v>
      </c>
      <c r="J493" t="s">
        <v>32</v>
      </c>
    </row>
    <row r="494" spans="1:10" x14ac:dyDescent="0.25">
      <c r="A494" s="1">
        <v>94</v>
      </c>
      <c r="B494" t="s">
        <v>26</v>
      </c>
      <c r="C494">
        <v>98</v>
      </c>
      <c r="D494">
        <v>1</v>
      </c>
      <c r="E494" t="s">
        <v>49</v>
      </c>
      <c r="F494" t="s">
        <v>50</v>
      </c>
      <c r="G494" t="str">
        <f>"2026-02-14 06:57:26.736"</f>
        <v>2026-02-14 06:57:26.736</v>
      </c>
      <c r="H494" t="s">
        <v>21</v>
      </c>
    </row>
    <row r="495" spans="1:10" x14ac:dyDescent="0.25">
      <c r="A495" s="1">
        <v>95</v>
      </c>
      <c r="B495" t="s">
        <v>29</v>
      </c>
      <c r="C495">
        <v>98</v>
      </c>
      <c r="D495">
        <v>1</v>
      </c>
      <c r="E495" t="s">
        <v>49</v>
      </c>
      <c r="F495" t="s">
        <v>50</v>
      </c>
      <c r="G495" t="str">
        <f>"2026-02-14 06:57:25.436"</f>
        <v>2026-02-14 06:57:25.436</v>
      </c>
      <c r="H495" t="s">
        <v>21</v>
      </c>
      <c r="I495">
        <v>15.71</v>
      </c>
      <c r="J495" t="s">
        <v>32</v>
      </c>
    </row>
    <row r="496" spans="1:10" x14ac:dyDescent="0.25">
      <c r="A496" s="1">
        <v>96</v>
      </c>
      <c r="B496" t="s">
        <v>26</v>
      </c>
      <c r="C496">
        <v>98</v>
      </c>
      <c r="D496">
        <v>1</v>
      </c>
      <c r="E496" t="s">
        <v>49</v>
      </c>
      <c r="F496" t="s">
        <v>50</v>
      </c>
      <c r="G496" t="str">
        <f>"2026-02-14 06:55:26.236"</f>
        <v>2026-02-14 06:55:26.236</v>
      </c>
      <c r="H496" t="s">
        <v>21</v>
      </c>
    </row>
    <row r="497" spans="1:10" x14ac:dyDescent="0.25">
      <c r="A497" s="1">
        <v>97</v>
      </c>
      <c r="B497" t="s">
        <v>29</v>
      </c>
      <c r="C497">
        <v>98</v>
      </c>
      <c r="D497">
        <v>1</v>
      </c>
      <c r="E497" t="s">
        <v>49</v>
      </c>
      <c r="F497" t="s">
        <v>50</v>
      </c>
      <c r="G497" t="str">
        <f>"2026-02-14 06:55:24.836"</f>
        <v>2026-02-14 06:55:24.836</v>
      </c>
      <c r="H497" t="s">
        <v>21</v>
      </c>
      <c r="I497">
        <v>8.56</v>
      </c>
      <c r="J497" t="s">
        <v>30</v>
      </c>
    </row>
    <row r="498" spans="1:10" x14ac:dyDescent="0.25">
      <c r="A498" s="1">
        <v>98</v>
      </c>
      <c r="B498" t="s">
        <v>19</v>
      </c>
      <c r="C498">
        <v>706</v>
      </c>
      <c r="D498">
        <v>4</v>
      </c>
      <c r="E498" t="s">
        <v>23</v>
      </c>
      <c r="F498" t="s">
        <v>38</v>
      </c>
      <c r="G498" t="str">
        <f>"2026-02-14 06:53:18.764"</f>
        <v>2026-02-14 06:53:18.764</v>
      </c>
      <c r="H498" t="s">
        <v>21</v>
      </c>
      <c r="I498">
        <v>0</v>
      </c>
      <c r="J498" t="s">
        <v>25</v>
      </c>
    </row>
    <row r="499" spans="1:10" x14ac:dyDescent="0.25">
      <c r="A499" s="1">
        <v>99</v>
      </c>
      <c r="B499" t="s">
        <v>26</v>
      </c>
      <c r="C499">
        <v>98</v>
      </c>
      <c r="D499">
        <v>1</v>
      </c>
      <c r="E499" t="s">
        <v>49</v>
      </c>
      <c r="F499" t="s">
        <v>50</v>
      </c>
      <c r="G499" t="str">
        <f>"2026-02-14 06:50:08.135"</f>
        <v>2026-02-14 06:50:08.135</v>
      </c>
      <c r="H499" t="s">
        <v>21</v>
      </c>
    </row>
    <row r="500" spans="1:10" x14ac:dyDescent="0.25">
      <c r="A500" s="1">
        <v>0</v>
      </c>
      <c r="B500" t="s">
        <v>29</v>
      </c>
      <c r="C500">
        <v>98</v>
      </c>
      <c r="D500">
        <v>1</v>
      </c>
      <c r="E500" t="s">
        <v>49</v>
      </c>
      <c r="F500" t="s">
        <v>50</v>
      </c>
      <c r="G500" t="str">
        <f>"2026-02-14 06:50:07.135"</f>
        <v>2026-02-14 06:50:07.135</v>
      </c>
      <c r="H500" t="s">
        <v>21</v>
      </c>
      <c r="I500">
        <v>0</v>
      </c>
      <c r="J500" t="s">
        <v>31</v>
      </c>
    </row>
    <row r="501" spans="1:10" x14ac:dyDescent="0.25">
      <c r="A501" s="1">
        <v>1</v>
      </c>
      <c r="B501" t="s">
        <v>26</v>
      </c>
      <c r="C501">
        <v>98</v>
      </c>
      <c r="D501">
        <v>1</v>
      </c>
      <c r="E501" t="s">
        <v>49</v>
      </c>
      <c r="F501" t="s">
        <v>50</v>
      </c>
      <c r="G501" t="str">
        <f>"2026-02-14 06:37:42.735"</f>
        <v>2026-02-14 06:37:42.735</v>
      </c>
      <c r="H501" t="s">
        <v>21</v>
      </c>
    </row>
    <row r="502" spans="1:10" x14ac:dyDescent="0.25">
      <c r="A502" s="1">
        <v>2</v>
      </c>
      <c r="B502" t="s">
        <v>29</v>
      </c>
      <c r="C502">
        <v>98</v>
      </c>
      <c r="D502">
        <v>1</v>
      </c>
      <c r="E502" t="s">
        <v>49</v>
      </c>
      <c r="F502" t="s">
        <v>50</v>
      </c>
      <c r="G502" t="str">
        <f>"2026-02-14 06:37:41.735"</f>
        <v>2026-02-14 06:37:41.735</v>
      </c>
      <c r="H502" t="s">
        <v>21</v>
      </c>
      <c r="I502">
        <v>0</v>
      </c>
      <c r="J502" t="s">
        <v>31</v>
      </c>
    </row>
    <row r="503" spans="1:10" x14ac:dyDescent="0.25">
      <c r="A503" s="1">
        <v>3</v>
      </c>
      <c r="B503" t="s">
        <v>26</v>
      </c>
      <c r="C503">
        <v>98</v>
      </c>
      <c r="D503">
        <v>1</v>
      </c>
      <c r="E503" t="s">
        <v>49</v>
      </c>
      <c r="F503" t="s">
        <v>50</v>
      </c>
      <c r="G503" t="str">
        <f>"2026-02-14 06:12:49.535"</f>
        <v>2026-02-14 06:12:49.535</v>
      </c>
      <c r="H503" t="s">
        <v>21</v>
      </c>
    </row>
    <row r="504" spans="1:10" x14ac:dyDescent="0.25">
      <c r="A504" s="1">
        <v>4</v>
      </c>
      <c r="B504" t="s">
        <v>29</v>
      </c>
      <c r="C504">
        <v>98</v>
      </c>
      <c r="D504">
        <v>1</v>
      </c>
      <c r="E504" t="s">
        <v>49</v>
      </c>
      <c r="F504" t="s">
        <v>50</v>
      </c>
      <c r="G504" t="str">
        <f>"2026-02-14 06:12:48.535"</f>
        <v>2026-02-14 06:12:48.535</v>
      </c>
      <c r="H504" t="s">
        <v>21</v>
      </c>
      <c r="I504">
        <v>7.45</v>
      </c>
      <c r="J504" t="s">
        <v>30</v>
      </c>
    </row>
    <row r="505" spans="1:10" x14ac:dyDescent="0.25">
      <c r="A505" s="1">
        <v>5</v>
      </c>
      <c r="B505" t="s">
        <v>26</v>
      </c>
      <c r="C505">
        <v>98</v>
      </c>
      <c r="D505">
        <v>1</v>
      </c>
      <c r="E505" t="s">
        <v>49</v>
      </c>
      <c r="F505" t="s">
        <v>50</v>
      </c>
      <c r="G505" t="str">
        <f>"2026-02-14 06:12:48.135"</f>
        <v>2026-02-14 06:12:48.135</v>
      </c>
      <c r="H505" t="s">
        <v>21</v>
      </c>
    </row>
    <row r="506" spans="1:10" x14ac:dyDescent="0.25">
      <c r="A506" s="1">
        <v>6</v>
      </c>
      <c r="B506" t="s">
        <v>29</v>
      </c>
      <c r="C506">
        <v>98</v>
      </c>
      <c r="D506">
        <v>1</v>
      </c>
      <c r="E506" t="s">
        <v>49</v>
      </c>
      <c r="F506" t="s">
        <v>50</v>
      </c>
      <c r="G506" t="str">
        <f>"2026-02-14 06:12:46.936"</f>
        <v>2026-02-14 06:12:46.936</v>
      </c>
      <c r="H506" t="s">
        <v>21</v>
      </c>
      <c r="I506">
        <v>7.08</v>
      </c>
      <c r="J506" t="s">
        <v>30</v>
      </c>
    </row>
    <row r="507" spans="1:10" x14ac:dyDescent="0.25">
      <c r="A507" s="1">
        <v>7</v>
      </c>
      <c r="B507" t="s">
        <v>26</v>
      </c>
      <c r="C507">
        <v>98</v>
      </c>
      <c r="D507">
        <v>1</v>
      </c>
      <c r="E507" t="s">
        <v>49</v>
      </c>
      <c r="F507" t="s">
        <v>50</v>
      </c>
      <c r="G507" t="str">
        <f>"2026-02-14 06:10:06.736"</f>
        <v>2026-02-14 06:10:06.736</v>
      </c>
      <c r="H507" t="s">
        <v>21</v>
      </c>
    </row>
    <row r="508" spans="1:10" x14ac:dyDescent="0.25">
      <c r="A508" s="1">
        <v>8</v>
      </c>
      <c r="B508" t="s">
        <v>29</v>
      </c>
      <c r="C508">
        <v>98</v>
      </c>
      <c r="D508">
        <v>1</v>
      </c>
      <c r="E508" t="s">
        <v>49</v>
      </c>
      <c r="F508" t="s">
        <v>50</v>
      </c>
      <c r="G508" t="str">
        <f>"2026-02-14 06:10:01.736"</f>
        <v>2026-02-14 06:10:01.736</v>
      </c>
      <c r="H508" t="s">
        <v>21</v>
      </c>
      <c r="I508">
        <v>14.62</v>
      </c>
      <c r="J508" t="s">
        <v>32</v>
      </c>
    </row>
    <row r="509" spans="1:10" x14ac:dyDescent="0.25">
      <c r="A509" s="1">
        <v>9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"2026-02-14 06:06:42.544"</f>
        <v>2026-02-14 06:06:42.544</v>
      </c>
      <c r="H509" t="s">
        <v>21</v>
      </c>
    </row>
    <row r="510" spans="1:10" x14ac:dyDescent="0.25">
      <c r="A510" s="1">
        <v>10</v>
      </c>
      <c r="B510" t="s">
        <v>26</v>
      </c>
      <c r="C510">
        <v>98</v>
      </c>
      <c r="D510">
        <v>1</v>
      </c>
      <c r="E510" t="s">
        <v>49</v>
      </c>
      <c r="F510" t="s">
        <v>50</v>
      </c>
      <c r="G510" t="str">
        <f>"2026-02-14 02:27:55.673"</f>
        <v>2026-02-14 02:27:55.673</v>
      </c>
      <c r="H510" t="s">
        <v>21</v>
      </c>
    </row>
    <row r="511" spans="1:10" x14ac:dyDescent="0.25">
      <c r="A511" s="1">
        <v>11</v>
      </c>
      <c r="B511" t="s">
        <v>29</v>
      </c>
      <c r="C511">
        <v>98</v>
      </c>
      <c r="D511">
        <v>1</v>
      </c>
      <c r="E511" t="s">
        <v>49</v>
      </c>
      <c r="F511" t="s">
        <v>50</v>
      </c>
      <c r="G511" t="str">
        <f>"2026-02-14 02:27:54.073"</f>
        <v>2026-02-14 02:27:54.073</v>
      </c>
      <c r="H511" t="s">
        <v>21</v>
      </c>
      <c r="I511">
        <v>7.22</v>
      </c>
      <c r="J511" t="s">
        <v>30</v>
      </c>
    </row>
    <row r="512" spans="1:10" x14ac:dyDescent="0.25">
      <c r="A512" s="1">
        <v>12</v>
      </c>
      <c r="B512" t="s">
        <v>26</v>
      </c>
      <c r="C512">
        <v>635</v>
      </c>
      <c r="D512">
        <v>1</v>
      </c>
      <c r="E512" t="s">
        <v>27</v>
      </c>
      <c r="F512" t="s">
        <v>28</v>
      </c>
      <c r="G512" t="str">
        <f>"2026-02-13 19:57:34.412"</f>
        <v>2026-02-13 19:57:34.412</v>
      </c>
      <c r="H512" t="s">
        <v>21</v>
      </c>
    </row>
    <row r="513" spans="1:10" x14ac:dyDescent="0.25">
      <c r="A513" s="1">
        <v>13</v>
      </c>
      <c r="B513" t="s">
        <v>29</v>
      </c>
      <c r="C513">
        <v>635</v>
      </c>
      <c r="D513">
        <v>1</v>
      </c>
      <c r="E513" t="s">
        <v>27</v>
      </c>
      <c r="F513" t="s">
        <v>28</v>
      </c>
      <c r="G513" t="str">
        <f>"2026-02-13 19:53:46.412"</f>
        <v>2026-02-13 19:53:46.412</v>
      </c>
      <c r="H513" t="s">
        <v>21</v>
      </c>
      <c r="I513">
        <v>7.18</v>
      </c>
      <c r="J513" t="s">
        <v>32</v>
      </c>
    </row>
    <row r="514" spans="1:10" x14ac:dyDescent="0.25">
      <c r="A514" s="1">
        <v>14</v>
      </c>
      <c r="B514" t="s">
        <v>26</v>
      </c>
      <c r="C514">
        <v>635</v>
      </c>
      <c r="D514">
        <v>1</v>
      </c>
      <c r="E514" t="s">
        <v>27</v>
      </c>
      <c r="F514" t="s">
        <v>28</v>
      </c>
      <c r="G514" t="str">
        <f>"2026-02-13 15:21:31.412"</f>
        <v>2026-02-13 15:21:31.412</v>
      </c>
      <c r="H514" t="s">
        <v>21</v>
      </c>
    </row>
    <row r="515" spans="1:10" x14ac:dyDescent="0.25">
      <c r="A515" s="1">
        <v>15</v>
      </c>
      <c r="B515" t="s">
        <v>29</v>
      </c>
      <c r="C515">
        <v>635</v>
      </c>
      <c r="D515">
        <v>1</v>
      </c>
      <c r="E515" t="s">
        <v>27</v>
      </c>
      <c r="F515" t="s">
        <v>28</v>
      </c>
      <c r="G515" t="str">
        <f>"2026-02-13 15:16:02.912"</f>
        <v>2026-02-13 15:16:02.912</v>
      </c>
      <c r="H515" t="s">
        <v>21</v>
      </c>
      <c r="I515">
        <v>6.33</v>
      </c>
      <c r="J515" t="s">
        <v>30</v>
      </c>
    </row>
    <row r="516" spans="1:10" x14ac:dyDescent="0.25">
      <c r="A516" s="1">
        <v>16</v>
      </c>
      <c r="B516" t="s">
        <v>26</v>
      </c>
      <c r="C516">
        <v>635</v>
      </c>
      <c r="D516">
        <v>1</v>
      </c>
      <c r="E516" t="s">
        <v>27</v>
      </c>
      <c r="F516" t="s">
        <v>28</v>
      </c>
      <c r="G516" t="str">
        <f>"2026-02-12 18:11:45.812"</f>
        <v>2026-02-12 18:11:45.812</v>
      </c>
      <c r="H516" t="s">
        <v>21</v>
      </c>
    </row>
    <row r="517" spans="1:10" x14ac:dyDescent="0.25">
      <c r="A517" s="1">
        <v>17</v>
      </c>
      <c r="B517" t="s">
        <v>29</v>
      </c>
      <c r="C517">
        <v>635</v>
      </c>
      <c r="D517">
        <v>1</v>
      </c>
      <c r="E517" t="s">
        <v>27</v>
      </c>
      <c r="F517" t="s">
        <v>28</v>
      </c>
      <c r="G517" t="str">
        <f>"2026-02-12 17:54:47.813"</f>
        <v>2026-02-12 17:54:47.813</v>
      </c>
      <c r="H517" t="s">
        <v>21</v>
      </c>
      <c r="I517">
        <v>8.6199999999999992</v>
      </c>
      <c r="J517" t="s">
        <v>32</v>
      </c>
    </row>
    <row r="518" spans="1:10" x14ac:dyDescent="0.25">
      <c r="A518" s="1">
        <v>18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"2026-02-12 12:50:50.569"</f>
        <v>2026-02-12 12:50:50.569</v>
      </c>
      <c r="H518" t="s">
        <v>21</v>
      </c>
      <c r="I518">
        <v>0</v>
      </c>
      <c r="J518" t="s">
        <v>22</v>
      </c>
    </row>
    <row r="519" spans="1:10" x14ac:dyDescent="0.25">
      <c r="A519" s="1">
        <v>19</v>
      </c>
      <c r="B519" t="s">
        <v>26</v>
      </c>
      <c r="C519">
        <v>635</v>
      </c>
      <c r="D519">
        <v>1</v>
      </c>
      <c r="E519" t="s">
        <v>27</v>
      </c>
      <c r="F519" t="s">
        <v>28</v>
      </c>
      <c r="G519" t="str">
        <f>"2026-02-12 09:53:25.562"</f>
        <v>2026-02-12 09:53:25.562</v>
      </c>
      <c r="H519" t="s">
        <v>21</v>
      </c>
    </row>
    <row r="520" spans="1:10" x14ac:dyDescent="0.25">
      <c r="A520" s="1">
        <v>20</v>
      </c>
      <c r="B520" t="s">
        <v>29</v>
      </c>
      <c r="C520">
        <v>635</v>
      </c>
      <c r="D520">
        <v>1</v>
      </c>
      <c r="E520" t="s">
        <v>27</v>
      </c>
      <c r="F520" t="s">
        <v>28</v>
      </c>
      <c r="G520" t="str">
        <f>"2026-02-12 09:49:23.562"</f>
        <v>2026-02-12 09:49:23.562</v>
      </c>
      <c r="H520" t="s">
        <v>21</v>
      </c>
      <c r="I520">
        <v>9.8000000000000007</v>
      </c>
      <c r="J520" t="s">
        <v>30</v>
      </c>
    </row>
    <row r="521" spans="1:10" x14ac:dyDescent="0.25">
      <c r="A521" s="1">
        <v>21</v>
      </c>
      <c r="B521" t="s">
        <v>26</v>
      </c>
      <c r="C521">
        <v>635</v>
      </c>
      <c r="D521">
        <v>1</v>
      </c>
      <c r="E521" t="s">
        <v>27</v>
      </c>
      <c r="F521" t="s">
        <v>28</v>
      </c>
      <c r="G521" t="str">
        <f>"2026-02-12 09:38:41.562"</f>
        <v>2026-02-12 09:38:41.562</v>
      </c>
      <c r="H521" t="s">
        <v>21</v>
      </c>
    </row>
    <row r="522" spans="1:10" x14ac:dyDescent="0.25">
      <c r="A522" s="1">
        <v>22</v>
      </c>
      <c r="B522" t="s">
        <v>29</v>
      </c>
      <c r="C522">
        <v>635</v>
      </c>
      <c r="D522">
        <v>1</v>
      </c>
      <c r="E522" t="s">
        <v>27</v>
      </c>
      <c r="F522" t="s">
        <v>28</v>
      </c>
      <c r="G522" t="str">
        <f>"2026-02-12 09:32:54.562"</f>
        <v>2026-02-12 09:32:54.562</v>
      </c>
      <c r="H522" t="s">
        <v>21</v>
      </c>
      <c r="I522">
        <v>4.6399999999999997</v>
      </c>
      <c r="J522" t="s">
        <v>30</v>
      </c>
    </row>
    <row r="523" spans="1:10" x14ac:dyDescent="0.25">
      <c r="A523" s="1">
        <v>23</v>
      </c>
      <c r="B523" t="s">
        <v>26</v>
      </c>
      <c r="C523">
        <v>635</v>
      </c>
      <c r="D523">
        <v>1</v>
      </c>
      <c r="E523" t="s">
        <v>27</v>
      </c>
      <c r="F523" t="s">
        <v>28</v>
      </c>
      <c r="G523" t="str">
        <f>"2026-02-11 23:54:41.662"</f>
        <v>2026-02-11 23:54:41.662</v>
      </c>
      <c r="H523" t="s">
        <v>21</v>
      </c>
    </row>
    <row r="524" spans="1:10" x14ac:dyDescent="0.25">
      <c r="A524" s="1">
        <v>24</v>
      </c>
      <c r="B524" t="s">
        <v>29</v>
      </c>
      <c r="C524">
        <v>635</v>
      </c>
      <c r="D524">
        <v>1</v>
      </c>
      <c r="E524" t="s">
        <v>27</v>
      </c>
      <c r="F524" t="s">
        <v>28</v>
      </c>
      <c r="G524" t="str">
        <f>"2026-02-11 23:48:10.162"</f>
        <v>2026-02-11 23:48:10.162</v>
      </c>
      <c r="H524" t="s">
        <v>21</v>
      </c>
      <c r="I524">
        <v>3.2</v>
      </c>
      <c r="J524" t="s">
        <v>30</v>
      </c>
    </row>
    <row r="525" spans="1:10" x14ac:dyDescent="0.25">
      <c r="A525" s="1">
        <v>25</v>
      </c>
      <c r="B525" t="s">
        <v>26</v>
      </c>
      <c r="C525">
        <v>635</v>
      </c>
      <c r="D525">
        <v>1</v>
      </c>
      <c r="E525" t="s">
        <v>27</v>
      </c>
      <c r="F525" t="s">
        <v>28</v>
      </c>
      <c r="G525" t="str">
        <f>"2026-02-11 20:02:57.062"</f>
        <v>2026-02-11 20:02:57.062</v>
      </c>
      <c r="H525" t="s">
        <v>21</v>
      </c>
    </row>
    <row r="526" spans="1:10" x14ac:dyDescent="0.25">
      <c r="A526" s="1">
        <v>26</v>
      </c>
      <c r="B526" t="s">
        <v>29</v>
      </c>
      <c r="C526">
        <v>635</v>
      </c>
      <c r="D526">
        <v>1</v>
      </c>
      <c r="E526" t="s">
        <v>27</v>
      </c>
      <c r="F526" t="s">
        <v>28</v>
      </c>
      <c r="G526" t="str">
        <f>"2026-02-11 19:58:25.662"</f>
        <v>2026-02-11 19:58:25.662</v>
      </c>
      <c r="H526" t="s">
        <v>21</v>
      </c>
      <c r="I526">
        <v>1.66</v>
      </c>
      <c r="J526" t="s">
        <v>32</v>
      </c>
    </row>
    <row r="527" spans="1:10" x14ac:dyDescent="0.25">
      <c r="A527" s="1">
        <v>27</v>
      </c>
      <c r="B527" t="s">
        <v>26</v>
      </c>
      <c r="C527">
        <v>635</v>
      </c>
      <c r="D527">
        <v>1</v>
      </c>
      <c r="E527" t="s">
        <v>27</v>
      </c>
      <c r="F527" t="s">
        <v>28</v>
      </c>
      <c r="G527" t="str">
        <f>"2026-02-11 17:36:53.862"</f>
        <v>2026-02-11 17:36:53.862</v>
      </c>
      <c r="H527" t="s">
        <v>21</v>
      </c>
    </row>
    <row r="528" spans="1:10" x14ac:dyDescent="0.25">
      <c r="A528" s="1">
        <v>28</v>
      </c>
      <c r="B528" t="s">
        <v>29</v>
      </c>
      <c r="C528">
        <v>635</v>
      </c>
      <c r="D528">
        <v>1</v>
      </c>
      <c r="E528" t="s">
        <v>27</v>
      </c>
      <c r="F528" t="s">
        <v>28</v>
      </c>
      <c r="G528" t="str">
        <f>"2026-02-11 17:18:30.462"</f>
        <v>2026-02-11 17:18:30.462</v>
      </c>
      <c r="H528" t="s">
        <v>21</v>
      </c>
      <c r="I528">
        <v>5.33</v>
      </c>
      <c r="J528" t="s">
        <v>30</v>
      </c>
    </row>
    <row r="529" spans="1:10" x14ac:dyDescent="0.25">
      <c r="A529" s="1">
        <v>29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"2026-02-11 12:58:00.556"</f>
        <v>2026-02-11 12:58:00.556</v>
      </c>
      <c r="H529" t="s">
        <v>21</v>
      </c>
    </row>
    <row r="530" spans="1:10" x14ac:dyDescent="0.25">
      <c r="A530" s="1">
        <v>30</v>
      </c>
      <c r="B530" t="s">
        <v>26</v>
      </c>
      <c r="C530">
        <v>635</v>
      </c>
      <c r="D530">
        <v>1</v>
      </c>
      <c r="E530" t="s">
        <v>27</v>
      </c>
      <c r="F530" t="s">
        <v>28</v>
      </c>
      <c r="G530" t="str">
        <f>"2026-02-10 20:20:23.270"</f>
        <v>2026-02-10 20:20:23.270</v>
      </c>
      <c r="H530" t="s">
        <v>21</v>
      </c>
    </row>
    <row r="531" spans="1:10" x14ac:dyDescent="0.25">
      <c r="A531" s="1">
        <v>31</v>
      </c>
      <c r="B531" t="s">
        <v>29</v>
      </c>
      <c r="C531">
        <v>635</v>
      </c>
      <c r="D531">
        <v>1</v>
      </c>
      <c r="E531" t="s">
        <v>27</v>
      </c>
      <c r="F531" t="s">
        <v>28</v>
      </c>
      <c r="G531" t="str">
        <f>"2026-02-10 20:14:36.770"</f>
        <v>2026-02-10 20:14:36.770</v>
      </c>
      <c r="H531" t="s">
        <v>21</v>
      </c>
      <c r="I531">
        <v>2.97</v>
      </c>
      <c r="J531" t="s">
        <v>30</v>
      </c>
    </row>
    <row r="532" spans="1:10" x14ac:dyDescent="0.25">
      <c r="A532" s="1">
        <v>32</v>
      </c>
      <c r="B532" t="s">
        <v>26</v>
      </c>
      <c r="C532">
        <v>61</v>
      </c>
      <c r="D532">
        <v>2</v>
      </c>
      <c r="E532" t="s">
        <v>44</v>
      </c>
      <c r="F532" t="s">
        <v>45</v>
      </c>
      <c r="G532" t="str">
        <f>"2026-02-10 19:34:47.643"</f>
        <v>2026-02-10 19:34:47.643</v>
      </c>
      <c r="H532" t="s">
        <v>21</v>
      </c>
    </row>
    <row r="533" spans="1:10" x14ac:dyDescent="0.25">
      <c r="A533" s="1">
        <v>33</v>
      </c>
      <c r="B533" t="s">
        <v>37</v>
      </c>
      <c r="C533">
        <v>61</v>
      </c>
      <c r="D533">
        <v>2</v>
      </c>
      <c r="E533" t="s">
        <v>44</v>
      </c>
      <c r="F533" t="s">
        <v>45</v>
      </c>
      <c r="G533" t="str">
        <f>"2026-02-10 19:34:35.943"</f>
        <v>2026-02-10 19:34:35.943</v>
      </c>
      <c r="H533" t="s">
        <v>21</v>
      </c>
      <c r="I533">
        <v>29.46</v>
      </c>
      <c r="J533" t="s">
        <v>32</v>
      </c>
    </row>
    <row r="534" spans="1:10" x14ac:dyDescent="0.25">
      <c r="A534" s="1">
        <v>34</v>
      </c>
      <c r="B534" t="s">
        <v>26</v>
      </c>
      <c r="C534">
        <v>61</v>
      </c>
      <c r="D534">
        <v>2</v>
      </c>
      <c r="E534" t="s">
        <v>44</v>
      </c>
      <c r="F534" t="s">
        <v>45</v>
      </c>
      <c r="G534" t="str">
        <f>"2026-02-10 15:06:32.043"</f>
        <v>2026-02-10 15:06:32.043</v>
      </c>
      <c r="H534" t="s">
        <v>21</v>
      </c>
    </row>
    <row r="535" spans="1:10" x14ac:dyDescent="0.25">
      <c r="A535" s="1">
        <v>35</v>
      </c>
      <c r="B535" t="s">
        <v>37</v>
      </c>
      <c r="C535">
        <v>61</v>
      </c>
      <c r="D535">
        <v>2</v>
      </c>
      <c r="E535" t="s">
        <v>44</v>
      </c>
      <c r="F535" t="s">
        <v>45</v>
      </c>
      <c r="G535" t="str">
        <f>"2026-02-10 15:06:18.643"</f>
        <v>2026-02-10 15:06:18.643</v>
      </c>
      <c r="H535" t="s">
        <v>21</v>
      </c>
      <c r="I535">
        <v>30.57</v>
      </c>
      <c r="J535" t="s">
        <v>32</v>
      </c>
    </row>
    <row r="536" spans="1:10" x14ac:dyDescent="0.25">
      <c r="A536" s="1">
        <v>36</v>
      </c>
      <c r="B536" t="s">
        <v>26</v>
      </c>
      <c r="C536">
        <v>61</v>
      </c>
      <c r="D536">
        <v>2</v>
      </c>
      <c r="E536" t="s">
        <v>44</v>
      </c>
      <c r="F536" t="s">
        <v>45</v>
      </c>
      <c r="G536" t="str">
        <f>"2026-02-10 14:33:49.443"</f>
        <v>2026-02-10 14:33:49.443</v>
      </c>
      <c r="H536" t="s">
        <v>21</v>
      </c>
    </row>
    <row r="537" spans="1:10" x14ac:dyDescent="0.25">
      <c r="A537" s="1">
        <v>37</v>
      </c>
      <c r="B537" t="s">
        <v>37</v>
      </c>
      <c r="C537">
        <v>61</v>
      </c>
      <c r="D537">
        <v>2</v>
      </c>
      <c r="E537" t="s">
        <v>44</v>
      </c>
      <c r="F537" t="s">
        <v>45</v>
      </c>
      <c r="G537" t="str">
        <f>"2026-02-10 14:33:37.343"</f>
        <v>2026-02-10 14:33:37.343</v>
      </c>
      <c r="H537" t="s">
        <v>21</v>
      </c>
      <c r="I537">
        <v>29.63</v>
      </c>
      <c r="J537" t="s">
        <v>32</v>
      </c>
    </row>
    <row r="538" spans="1:10" x14ac:dyDescent="0.25">
      <c r="A538" s="1">
        <v>38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"2026-02-10 01:44:44.519"</f>
        <v>2026-02-10 01:44:44.519</v>
      </c>
      <c r="H538" t="s">
        <v>21</v>
      </c>
    </row>
    <row r="539" spans="1:10" x14ac:dyDescent="0.25">
      <c r="A539" s="1">
        <v>39</v>
      </c>
      <c r="B539" t="s">
        <v>19</v>
      </c>
      <c r="C539">
        <v>706</v>
      </c>
      <c r="D539">
        <v>4</v>
      </c>
      <c r="E539" t="s">
        <v>23</v>
      </c>
      <c r="F539" t="s">
        <v>38</v>
      </c>
      <c r="G539" t="str">
        <f>"2026-02-10 01:08:45.973"</f>
        <v>2026-02-10 01:08:45.973</v>
      </c>
      <c r="H539" t="s">
        <v>21</v>
      </c>
      <c r="I539">
        <v>0</v>
      </c>
      <c r="J539" t="s">
        <v>25</v>
      </c>
    </row>
    <row r="540" spans="1:10" x14ac:dyDescent="0.25">
      <c r="A540" s="1">
        <v>40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"2026-02-10 00:40:31.523"</f>
        <v>2026-02-10 00:40:31.523</v>
      </c>
      <c r="H540" t="s">
        <v>21</v>
      </c>
      <c r="I540">
        <v>0</v>
      </c>
      <c r="J540" t="s">
        <v>22</v>
      </c>
    </row>
    <row r="541" spans="1:10" x14ac:dyDescent="0.25">
      <c r="A541" s="1">
        <v>41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"2026-02-10 00:35:04.515"</f>
        <v>2026-02-10 00:35:04.515</v>
      </c>
      <c r="H541" t="s">
        <v>21</v>
      </c>
    </row>
    <row r="542" spans="1:10" x14ac:dyDescent="0.25">
      <c r="A542" s="1">
        <v>42</v>
      </c>
      <c r="B542" t="s">
        <v>26</v>
      </c>
      <c r="C542">
        <v>619</v>
      </c>
      <c r="D542">
        <v>1</v>
      </c>
      <c r="E542" t="s">
        <v>42</v>
      </c>
      <c r="F542" t="s">
        <v>28</v>
      </c>
      <c r="G542" t="str">
        <f>"2026-02-10 00:30:21.313"</f>
        <v>2026-02-10 00:30:21.313</v>
      </c>
      <c r="H542" t="s">
        <v>43</v>
      </c>
    </row>
    <row r="543" spans="1:10" x14ac:dyDescent="0.25">
      <c r="A543" s="1">
        <v>43</v>
      </c>
      <c r="B543" t="s">
        <v>29</v>
      </c>
      <c r="C543">
        <v>619</v>
      </c>
      <c r="D543">
        <v>1</v>
      </c>
      <c r="E543" t="s">
        <v>42</v>
      </c>
      <c r="F543" t="s">
        <v>28</v>
      </c>
      <c r="G543" t="str">
        <f>"2026-02-10 00:28:04.414"</f>
        <v>2026-02-10 00:28:04.414</v>
      </c>
      <c r="H543" t="s">
        <v>43</v>
      </c>
      <c r="I543">
        <v>5.0999999999999996</v>
      </c>
      <c r="J543" t="s">
        <v>30</v>
      </c>
    </row>
    <row r="544" spans="1:10" x14ac:dyDescent="0.25">
      <c r="A544" s="1">
        <v>44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"2026-02-09 23:59:12.527"</f>
        <v>2026-02-09 23:59:12.527</v>
      </c>
      <c r="H544" t="s">
        <v>21</v>
      </c>
      <c r="I544">
        <v>0</v>
      </c>
      <c r="J544" t="s">
        <v>22</v>
      </c>
    </row>
    <row r="545" spans="1:10" x14ac:dyDescent="0.25">
      <c r="A545" s="1">
        <v>45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"2026-02-09 23:27:52.609"</f>
        <v>2026-02-09 23:27:52.609</v>
      </c>
      <c r="H545" t="s">
        <v>21</v>
      </c>
      <c r="I545">
        <v>0</v>
      </c>
      <c r="J545" t="s">
        <v>22</v>
      </c>
    </row>
    <row r="546" spans="1:10" x14ac:dyDescent="0.25">
      <c r="A546" s="1">
        <v>46</v>
      </c>
      <c r="B546" t="s">
        <v>19</v>
      </c>
      <c r="C546">
        <v>706</v>
      </c>
      <c r="D546">
        <v>4</v>
      </c>
      <c r="E546" t="s">
        <v>23</v>
      </c>
      <c r="F546" t="s">
        <v>38</v>
      </c>
      <c r="G546" t="str">
        <f>"2026-02-09 22:59:35.348"</f>
        <v>2026-02-09 22:59:35.348</v>
      </c>
      <c r="H546" t="s">
        <v>21</v>
      </c>
      <c r="I546">
        <v>0</v>
      </c>
      <c r="J546" t="s">
        <v>25</v>
      </c>
    </row>
    <row r="547" spans="1:10" x14ac:dyDescent="0.25">
      <c r="A547" s="1">
        <v>47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"2026-02-09 22:14:34.538"</f>
        <v>2026-02-09 22:14:34.538</v>
      </c>
      <c r="H547" t="s">
        <v>21</v>
      </c>
      <c r="I547">
        <v>0</v>
      </c>
      <c r="J547" t="s">
        <v>22</v>
      </c>
    </row>
    <row r="548" spans="1:10" x14ac:dyDescent="0.25">
      <c r="A548" s="1">
        <v>48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"2026-02-09 10:29:02.530"</f>
        <v>2026-02-09 10:29:02.530</v>
      </c>
      <c r="H548" t="s">
        <v>21</v>
      </c>
    </row>
    <row r="549" spans="1:10" x14ac:dyDescent="0.25">
      <c r="A549" s="1">
        <v>49</v>
      </c>
      <c r="B549" t="s">
        <v>26</v>
      </c>
      <c r="C549">
        <v>635</v>
      </c>
      <c r="D549">
        <v>1</v>
      </c>
      <c r="E549" t="s">
        <v>27</v>
      </c>
      <c r="F549" t="s">
        <v>28</v>
      </c>
      <c r="G549" t="str">
        <f>"2026-02-08 15:46:54.766"</f>
        <v>2026-02-08 15:46:54.766</v>
      </c>
      <c r="H549" t="s">
        <v>21</v>
      </c>
    </row>
    <row r="550" spans="1:10" x14ac:dyDescent="0.25">
      <c r="A550" s="1">
        <v>50</v>
      </c>
      <c r="B550" t="s">
        <v>29</v>
      </c>
      <c r="C550">
        <v>635</v>
      </c>
      <c r="D550">
        <v>1</v>
      </c>
      <c r="E550" t="s">
        <v>27</v>
      </c>
      <c r="F550" t="s">
        <v>28</v>
      </c>
      <c r="G550" t="str">
        <f>"2026-02-08 15:43:09.767"</f>
        <v>2026-02-08 15:43:09.767</v>
      </c>
      <c r="H550" t="s">
        <v>21</v>
      </c>
      <c r="I550">
        <v>6.4</v>
      </c>
      <c r="J550" t="s">
        <v>30</v>
      </c>
    </row>
    <row r="551" spans="1:10" x14ac:dyDescent="0.25">
      <c r="A551" s="1">
        <v>51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"2026-02-08 14:22:18.533"</f>
        <v>2026-02-08 14:22:18.533</v>
      </c>
      <c r="H551" t="s">
        <v>21</v>
      </c>
      <c r="I551">
        <v>0</v>
      </c>
      <c r="J551" t="s">
        <v>22</v>
      </c>
    </row>
    <row r="552" spans="1:10" x14ac:dyDescent="0.25">
      <c r="A552" s="1">
        <v>52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"2026-02-08 13:17:12.553"</f>
        <v>2026-02-08 13:17:12.553</v>
      </c>
      <c r="H552" t="s">
        <v>21</v>
      </c>
    </row>
    <row r="553" spans="1:10" x14ac:dyDescent="0.25">
      <c r="A553" s="1">
        <v>53</v>
      </c>
      <c r="B553" t="s">
        <v>26</v>
      </c>
      <c r="C553">
        <v>635</v>
      </c>
      <c r="D553">
        <v>1</v>
      </c>
      <c r="E553" t="s">
        <v>27</v>
      </c>
      <c r="F553" t="s">
        <v>28</v>
      </c>
      <c r="G553" t="str">
        <f>"2026-02-07 21:03:14.001"</f>
        <v>2026-02-07 21:03:14.001</v>
      </c>
      <c r="H553" t="s">
        <v>21</v>
      </c>
    </row>
    <row r="554" spans="1:10" x14ac:dyDescent="0.25">
      <c r="A554" s="1">
        <v>54</v>
      </c>
      <c r="B554" t="s">
        <v>29</v>
      </c>
      <c r="C554">
        <v>635</v>
      </c>
      <c r="D554">
        <v>1</v>
      </c>
      <c r="E554" t="s">
        <v>27</v>
      </c>
      <c r="F554" t="s">
        <v>28</v>
      </c>
      <c r="G554" t="str">
        <f>"2026-02-07 20:56:34.501"</f>
        <v>2026-02-07 20:56:34.501</v>
      </c>
      <c r="H554" t="s">
        <v>21</v>
      </c>
      <c r="I554">
        <v>3.36</v>
      </c>
      <c r="J554" t="s">
        <v>30</v>
      </c>
    </row>
    <row r="555" spans="1:10" x14ac:dyDescent="0.25">
      <c r="A555" s="1">
        <v>55</v>
      </c>
      <c r="B555" t="s">
        <v>26</v>
      </c>
      <c r="C555">
        <v>635</v>
      </c>
      <c r="D555">
        <v>1</v>
      </c>
      <c r="E555" t="s">
        <v>27</v>
      </c>
      <c r="F555" t="s">
        <v>28</v>
      </c>
      <c r="G555" t="str">
        <f>"2026-02-07 17:16:45.901"</f>
        <v>2026-02-07 17:16:45.901</v>
      </c>
      <c r="H555" t="s">
        <v>21</v>
      </c>
    </row>
    <row r="556" spans="1:10" x14ac:dyDescent="0.25">
      <c r="A556" s="1">
        <v>56</v>
      </c>
      <c r="B556" t="s">
        <v>29</v>
      </c>
      <c r="C556">
        <v>635</v>
      </c>
      <c r="D556">
        <v>1</v>
      </c>
      <c r="E556" t="s">
        <v>27</v>
      </c>
      <c r="F556" t="s">
        <v>28</v>
      </c>
      <c r="G556" t="str">
        <f>"2026-02-07 16:56:24.501"</f>
        <v>2026-02-07 16:56:24.501</v>
      </c>
      <c r="H556" t="s">
        <v>21</v>
      </c>
      <c r="I556">
        <v>11.7</v>
      </c>
      <c r="J556" t="s">
        <v>32</v>
      </c>
    </row>
    <row r="557" spans="1:10" x14ac:dyDescent="0.25">
      <c r="A557" s="1">
        <v>57</v>
      </c>
      <c r="B557" t="s">
        <v>26</v>
      </c>
      <c r="C557">
        <v>635</v>
      </c>
      <c r="D557">
        <v>1</v>
      </c>
      <c r="E557" t="s">
        <v>27</v>
      </c>
      <c r="F557" t="s">
        <v>28</v>
      </c>
      <c r="G557" t="str">
        <f>"2026-02-07 13:18:32.401"</f>
        <v>2026-02-07 13:18:32.401</v>
      </c>
      <c r="H557" t="s">
        <v>21</v>
      </c>
    </row>
    <row r="558" spans="1:10" x14ac:dyDescent="0.25">
      <c r="A558" s="1">
        <v>58</v>
      </c>
      <c r="B558" t="s">
        <v>29</v>
      </c>
      <c r="C558">
        <v>635</v>
      </c>
      <c r="D558">
        <v>1</v>
      </c>
      <c r="E558" t="s">
        <v>27</v>
      </c>
      <c r="F558" t="s">
        <v>28</v>
      </c>
      <c r="G558" t="str">
        <f>"2026-02-07 12:59:09.401"</f>
        <v>2026-02-07 12:59:09.401</v>
      </c>
      <c r="H558" t="s">
        <v>21</v>
      </c>
      <c r="I558">
        <v>4.74</v>
      </c>
      <c r="J558" t="s">
        <v>32</v>
      </c>
    </row>
    <row r="559" spans="1:10" x14ac:dyDescent="0.25">
      <c r="A559" s="1">
        <v>59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"2026-02-07 12:46:01.541"</f>
        <v>2026-02-07 12:46:01.541</v>
      </c>
      <c r="H559" t="s">
        <v>21</v>
      </c>
    </row>
    <row r="560" spans="1:10" x14ac:dyDescent="0.25">
      <c r="A560" s="1">
        <v>60</v>
      </c>
      <c r="B560" t="s">
        <v>26</v>
      </c>
      <c r="C560">
        <v>635</v>
      </c>
      <c r="D560">
        <v>1</v>
      </c>
      <c r="E560" t="s">
        <v>27</v>
      </c>
      <c r="F560" t="s">
        <v>28</v>
      </c>
      <c r="G560" t="str">
        <f>"2026-02-07 10:54:06.113"</f>
        <v>2026-02-07 10:54:06.113</v>
      </c>
      <c r="H560" t="s">
        <v>21</v>
      </c>
    </row>
    <row r="561" spans="1:10" x14ac:dyDescent="0.25">
      <c r="A561" s="1">
        <v>61</v>
      </c>
      <c r="B561" t="s">
        <v>29</v>
      </c>
      <c r="C561">
        <v>635</v>
      </c>
      <c r="D561">
        <v>1</v>
      </c>
      <c r="E561" t="s">
        <v>27</v>
      </c>
      <c r="F561" t="s">
        <v>28</v>
      </c>
      <c r="G561" t="str">
        <f>"2026-02-07 10:50:51.113"</f>
        <v>2026-02-07 10:50:51.113</v>
      </c>
      <c r="H561" t="s">
        <v>21</v>
      </c>
      <c r="I561">
        <v>3.96</v>
      </c>
      <c r="J561" t="s">
        <v>30</v>
      </c>
    </row>
    <row r="562" spans="1:10" x14ac:dyDescent="0.25">
      <c r="A562" s="1">
        <v>62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"2026-02-07 08:17:57.514"</f>
        <v>2026-02-07 08:17:57.514</v>
      </c>
      <c r="H562" t="s">
        <v>21</v>
      </c>
      <c r="I562">
        <v>0</v>
      </c>
      <c r="J562" t="s">
        <v>22</v>
      </c>
    </row>
    <row r="563" spans="1:10" x14ac:dyDescent="0.25">
      <c r="A563" s="1">
        <v>63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"2026-02-07 08:15:08.736"</f>
        <v>2026-02-07 08:15:08.736</v>
      </c>
      <c r="H563" t="s">
        <v>21</v>
      </c>
      <c r="I563">
        <v>0</v>
      </c>
      <c r="J563" t="s">
        <v>22</v>
      </c>
    </row>
    <row r="564" spans="1:10" x14ac:dyDescent="0.25">
      <c r="A564" s="1">
        <v>64</v>
      </c>
      <c r="B564" t="s">
        <v>26</v>
      </c>
      <c r="C564">
        <v>635</v>
      </c>
      <c r="D564">
        <v>1</v>
      </c>
      <c r="E564" t="s">
        <v>27</v>
      </c>
      <c r="F564" t="s">
        <v>28</v>
      </c>
      <c r="G564" t="str">
        <f>"2026-02-06 17:27:44.162"</f>
        <v>2026-02-06 17:27:44.162</v>
      </c>
      <c r="H564" t="s">
        <v>21</v>
      </c>
    </row>
    <row r="565" spans="1:10" x14ac:dyDescent="0.25">
      <c r="A565" s="1">
        <v>65</v>
      </c>
      <c r="B565" t="s">
        <v>29</v>
      </c>
      <c r="C565">
        <v>635</v>
      </c>
      <c r="D565">
        <v>1</v>
      </c>
      <c r="E565" t="s">
        <v>27</v>
      </c>
      <c r="F565" t="s">
        <v>28</v>
      </c>
      <c r="G565" t="str">
        <f>"2026-02-06 16:48:21.162"</f>
        <v>2026-02-06 16:48:21.162</v>
      </c>
      <c r="H565" t="s">
        <v>21</v>
      </c>
      <c r="I565">
        <v>4.6500000000000004</v>
      </c>
      <c r="J565" t="s">
        <v>32</v>
      </c>
    </row>
    <row r="566" spans="1:10" x14ac:dyDescent="0.25">
      <c r="A566" s="1">
        <v>66</v>
      </c>
      <c r="B566" t="s">
        <v>26</v>
      </c>
      <c r="C566">
        <v>635</v>
      </c>
      <c r="D566">
        <v>1</v>
      </c>
      <c r="E566" t="s">
        <v>27</v>
      </c>
      <c r="F566" t="s">
        <v>28</v>
      </c>
      <c r="G566" t="str">
        <f>"2026-02-06 13:02:41.662"</f>
        <v>2026-02-06 13:02:41.662</v>
      </c>
      <c r="H566" t="s">
        <v>21</v>
      </c>
    </row>
    <row r="567" spans="1:10" x14ac:dyDescent="0.25">
      <c r="A567" s="1">
        <v>67</v>
      </c>
      <c r="B567" t="s">
        <v>29</v>
      </c>
      <c r="C567">
        <v>635</v>
      </c>
      <c r="D567">
        <v>1</v>
      </c>
      <c r="E567" t="s">
        <v>27</v>
      </c>
      <c r="F567" t="s">
        <v>28</v>
      </c>
      <c r="G567" t="str">
        <f>"2026-02-06 12:57:58.662"</f>
        <v>2026-02-06 12:57:58.662</v>
      </c>
      <c r="H567" t="s">
        <v>21</v>
      </c>
      <c r="I567">
        <v>1.87</v>
      </c>
      <c r="J567" t="s">
        <v>32</v>
      </c>
    </row>
    <row r="568" spans="1:10" x14ac:dyDescent="0.25">
      <c r="A568" s="1">
        <v>68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"2026-02-05 16:31:37.508"</f>
        <v>2026-02-05 16:31:37.508</v>
      </c>
      <c r="H568" t="s">
        <v>21</v>
      </c>
      <c r="I568">
        <v>0</v>
      </c>
      <c r="J568" t="s">
        <v>22</v>
      </c>
    </row>
    <row r="569" spans="1:10" x14ac:dyDescent="0.25">
      <c r="A569" s="1">
        <v>69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"2026-02-05 16:21:57.503"</f>
        <v>2026-02-05 16:21:57.503</v>
      </c>
      <c r="H569" t="s">
        <v>21</v>
      </c>
      <c r="I569">
        <v>0</v>
      </c>
      <c r="J569" t="s">
        <v>22</v>
      </c>
    </row>
    <row r="570" spans="1:10" x14ac:dyDescent="0.25">
      <c r="A570" s="1">
        <v>70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"2026-02-05 15:20:40.534"</f>
        <v>2026-02-05 15:20:40.534</v>
      </c>
      <c r="H570" t="s">
        <v>21</v>
      </c>
      <c r="I570">
        <v>0</v>
      </c>
      <c r="J570" t="s">
        <v>22</v>
      </c>
    </row>
    <row r="571" spans="1:10" x14ac:dyDescent="0.25">
      <c r="A571" s="1">
        <v>71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"2026-02-05 11:23:32.613"</f>
        <v>2026-02-05 11:23:32.613</v>
      </c>
      <c r="H571" t="s">
        <v>21</v>
      </c>
      <c r="I571">
        <v>0</v>
      </c>
      <c r="J571" t="s">
        <v>22</v>
      </c>
    </row>
    <row r="572" spans="1:10" x14ac:dyDescent="0.25">
      <c r="A572" s="1">
        <v>73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"2026-02-04 13:00:12.531"</f>
        <v>2026-02-04 13:00:12.531</v>
      </c>
      <c r="H572" t="s">
        <v>21</v>
      </c>
      <c r="I572">
        <v>0</v>
      </c>
      <c r="J572" t="s">
        <v>22</v>
      </c>
    </row>
    <row r="573" spans="1:10" x14ac:dyDescent="0.25">
      <c r="A573" s="1">
        <v>74</v>
      </c>
      <c r="B573" t="s">
        <v>26</v>
      </c>
      <c r="C573">
        <v>635</v>
      </c>
      <c r="D573">
        <v>1</v>
      </c>
      <c r="E573" t="s">
        <v>27</v>
      </c>
      <c r="F573" t="s">
        <v>28</v>
      </c>
      <c r="G573" t="str">
        <f>"2026-02-04 04:12:14.701"</f>
        <v>2026-02-04 04:12:14.701</v>
      </c>
      <c r="H573" t="s">
        <v>21</v>
      </c>
    </row>
    <row r="574" spans="1:10" x14ac:dyDescent="0.25">
      <c r="A574" s="1">
        <v>75</v>
      </c>
      <c r="B574" t="s">
        <v>29</v>
      </c>
      <c r="C574">
        <v>635</v>
      </c>
      <c r="D574">
        <v>1</v>
      </c>
      <c r="E574" t="s">
        <v>27</v>
      </c>
      <c r="F574" t="s">
        <v>28</v>
      </c>
      <c r="G574" t="str">
        <f>"2026-02-04 04:10:13.200"</f>
        <v>2026-02-04 04:10:13.200</v>
      </c>
      <c r="H574" t="s">
        <v>21</v>
      </c>
      <c r="I574">
        <v>8.3699999999999992</v>
      </c>
      <c r="J574" t="s">
        <v>30</v>
      </c>
    </row>
    <row r="575" spans="1:10" x14ac:dyDescent="0.25">
      <c r="A575" s="1">
        <v>76</v>
      </c>
      <c r="B575" t="s">
        <v>19</v>
      </c>
      <c r="C575">
        <v>706</v>
      </c>
      <c r="D575">
        <v>4</v>
      </c>
      <c r="E575" t="s">
        <v>23</v>
      </c>
      <c r="F575" t="s">
        <v>38</v>
      </c>
      <c r="G575" t="str">
        <f>"2026-02-04 03:00:19.392"</f>
        <v>2026-02-04 03:00:19.392</v>
      </c>
      <c r="H575" t="s">
        <v>21</v>
      </c>
      <c r="I575">
        <v>0</v>
      </c>
      <c r="J575" t="s">
        <v>25</v>
      </c>
    </row>
    <row r="576" spans="1:10" x14ac:dyDescent="0.25">
      <c r="A576" s="1">
        <v>77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"2026-02-04 02:30:22.522"</f>
        <v>2026-02-04 02:30:22.522</v>
      </c>
      <c r="H576" t="s">
        <v>21</v>
      </c>
    </row>
    <row r="577" spans="1:10" x14ac:dyDescent="0.25">
      <c r="A577" s="1">
        <v>78</v>
      </c>
      <c r="B577" t="s">
        <v>26</v>
      </c>
      <c r="C577">
        <v>61</v>
      </c>
      <c r="D577">
        <v>2</v>
      </c>
      <c r="E577" t="s">
        <v>44</v>
      </c>
      <c r="F577" t="s">
        <v>45</v>
      </c>
      <c r="G577" t="str">
        <f>"2026-02-03 19:31:44.540"</f>
        <v>2026-02-03 19:31:44.540</v>
      </c>
      <c r="H577" t="s">
        <v>21</v>
      </c>
    </row>
    <row r="578" spans="1:10" x14ac:dyDescent="0.25">
      <c r="A578" s="1">
        <v>79</v>
      </c>
      <c r="B578" t="s">
        <v>37</v>
      </c>
      <c r="C578">
        <v>61</v>
      </c>
      <c r="D578">
        <v>2</v>
      </c>
      <c r="E578" t="s">
        <v>44</v>
      </c>
      <c r="F578" t="s">
        <v>45</v>
      </c>
      <c r="G578" t="str">
        <f>"2026-02-03 19:31:32.741"</f>
        <v>2026-02-03 19:31:32.741</v>
      </c>
      <c r="H578" t="s">
        <v>21</v>
      </c>
      <c r="I578">
        <v>29.61</v>
      </c>
      <c r="J578" t="s">
        <v>32</v>
      </c>
    </row>
    <row r="579" spans="1:10" x14ac:dyDescent="0.25">
      <c r="A579" s="1">
        <v>80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"2026-02-03 13:13:57.530"</f>
        <v>2026-02-03 13:13:57.530</v>
      </c>
      <c r="H579" t="s">
        <v>21</v>
      </c>
    </row>
    <row r="580" spans="1:10" x14ac:dyDescent="0.25">
      <c r="A580" s="1">
        <v>81</v>
      </c>
      <c r="B580" t="s">
        <v>26</v>
      </c>
      <c r="C580">
        <v>635</v>
      </c>
      <c r="D580">
        <v>1</v>
      </c>
      <c r="E580" t="s">
        <v>27</v>
      </c>
      <c r="F580" t="s">
        <v>28</v>
      </c>
      <c r="G580" t="str">
        <f>"2026-02-03 05:30:25.016"</f>
        <v>2026-02-03 05:30:25.016</v>
      </c>
      <c r="H580" t="s">
        <v>21</v>
      </c>
    </row>
    <row r="581" spans="1:10" x14ac:dyDescent="0.25">
      <c r="A581" s="1">
        <v>82</v>
      </c>
      <c r="B581" t="s">
        <v>29</v>
      </c>
      <c r="C581">
        <v>635</v>
      </c>
      <c r="D581">
        <v>1</v>
      </c>
      <c r="E581" t="s">
        <v>27</v>
      </c>
      <c r="F581" t="s">
        <v>28</v>
      </c>
      <c r="G581" t="str">
        <f>"2026-02-03 05:27:56.016"</f>
        <v>2026-02-03 05:27:56.016</v>
      </c>
      <c r="H581" t="s">
        <v>21</v>
      </c>
      <c r="I581">
        <v>3.45</v>
      </c>
      <c r="J581" t="s">
        <v>30</v>
      </c>
    </row>
    <row r="582" spans="1:10" x14ac:dyDescent="0.25">
      <c r="A582" s="1">
        <v>83</v>
      </c>
      <c r="B582" t="s">
        <v>26</v>
      </c>
      <c r="C582">
        <v>635</v>
      </c>
      <c r="D582">
        <v>1</v>
      </c>
      <c r="E582" t="s">
        <v>27</v>
      </c>
      <c r="F582" t="s">
        <v>28</v>
      </c>
      <c r="G582" t="str">
        <f>"2026-02-02 14:45:04.116"</f>
        <v>2026-02-02 14:45:04.116</v>
      </c>
      <c r="H582" t="s">
        <v>21</v>
      </c>
    </row>
    <row r="583" spans="1:10" x14ac:dyDescent="0.25">
      <c r="A583" s="1">
        <v>84</v>
      </c>
      <c r="B583" t="s">
        <v>29</v>
      </c>
      <c r="C583">
        <v>635</v>
      </c>
      <c r="D583">
        <v>1</v>
      </c>
      <c r="E583" t="s">
        <v>27</v>
      </c>
      <c r="F583" t="s">
        <v>28</v>
      </c>
      <c r="G583" t="str">
        <f>"2026-02-02 14:41:07.216"</f>
        <v>2026-02-02 14:41:07.216</v>
      </c>
      <c r="H583" t="s">
        <v>21</v>
      </c>
      <c r="I583">
        <v>7.67</v>
      </c>
      <c r="J583" t="s">
        <v>30</v>
      </c>
    </row>
    <row r="584" spans="1:10" x14ac:dyDescent="0.25">
      <c r="A584" s="1">
        <v>85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"2026-02-02 11:43:34.506"</f>
        <v>2026-02-02 11:43:34.506</v>
      </c>
      <c r="H584" t="s">
        <v>21</v>
      </c>
    </row>
    <row r="585" spans="1:10" x14ac:dyDescent="0.25">
      <c r="A585" s="1">
        <v>86</v>
      </c>
      <c r="B585" t="s">
        <v>19</v>
      </c>
      <c r="C585">
        <v>706</v>
      </c>
      <c r="D585">
        <v>2</v>
      </c>
      <c r="E585" t="s">
        <v>23</v>
      </c>
      <c r="F585" t="s">
        <v>24</v>
      </c>
      <c r="G585" t="str">
        <f>"2026-02-01 16:27:55.861"</f>
        <v>2026-02-01 16:27:55.861</v>
      </c>
      <c r="H585" t="s">
        <v>21</v>
      </c>
      <c r="I585">
        <v>0</v>
      </c>
      <c r="J585" t="s">
        <v>25</v>
      </c>
    </row>
    <row r="586" spans="1:10" x14ac:dyDescent="0.25">
      <c r="A586" s="1">
        <v>87</v>
      </c>
      <c r="B586" t="s">
        <v>19</v>
      </c>
      <c r="C586">
        <v>706</v>
      </c>
      <c r="D586">
        <v>3</v>
      </c>
      <c r="E586" t="s">
        <v>23</v>
      </c>
      <c r="F586" t="s">
        <v>39</v>
      </c>
      <c r="G586" t="str">
        <f>"2026-02-01 16:11:15.321"</f>
        <v>2026-02-01 16:11:15.321</v>
      </c>
      <c r="H586" t="s">
        <v>21</v>
      </c>
      <c r="I586">
        <v>0</v>
      </c>
      <c r="J586" t="s">
        <v>25</v>
      </c>
    </row>
    <row r="587" spans="1:10" x14ac:dyDescent="0.25">
      <c r="A587" s="1">
        <v>88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"2026-02-01 16:10:32.501"</f>
        <v>2026-02-01 16:10:32.501</v>
      </c>
      <c r="H587" t="s">
        <v>21</v>
      </c>
    </row>
    <row r="588" spans="1:10" x14ac:dyDescent="0.25">
      <c r="A588" s="1">
        <v>89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"2026-02-01 16:07:28.610"</f>
        <v>2026-02-01 16:07:28.610</v>
      </c>
      <c r="H588" t="s">
        <v>21</v>
      </c>
    </row>
    <row r="589" spans="1:10" x14ac:dyDescent="0.25">
      <c r="A589" s="1">
        <v>90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"2026-02-01 16:01:58.516"</f>
        <v>2026-02-01 16:01:58.516</v>
      </c>
      <c r="H589" t="s">
        <v>21</v>
      </c>
      <c r="I589">
        <v>0</v>
      </c>
      <c r="J589" t="s">
        <v>22</v>
      </c>
    </row>
    <row r="590" spans="1:10" x14ac:dyDescent="0.25">
      <c r="A590" s="1">
        <v>91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"2026-02-01 13:07:15.525"</f>
        <v>2026-02-01 13:07:15.525</v>
      </c>
      <c r="H590" t="s">
        <v>21</v>
      </c>
      <c r="I590">
        <v>0</v>
      </c>
      <c r="J590" t="s">
        <v>22</v>
      </c>
    </row>
    <row r="591" spans="1:10" x14ac:dyDescent="0.25">
      <c r="A591" s="1">
        <v>92</v>
      </c>
      <c r="B591" t="s">
        <v>26</v>
      </c>
      <c r="C591">
        <v>635</v>
      </c>
      <c r="D591">
        <v>1</v>
      </c>
      <c r="E591" t="s">
        <v>27</v>
      </c>
      <c r="F591" t="s">
        <v>28</v>
      </c>
      <c r="G591" t="str">
        <f>"2026-02-01 08:34:00.300"</f>
        <v>2026-02-01 08:34:00.300</v>
      </c>
      <c r="H591" t="s">
        <v>21</v>
      </c>
    </row>
    <row r="592" spans="1:10" x14ac:dyDescent="0.25">
      <c r="A592" s="1">
        <v>93</v>
      </c>
      <c r="B592" t="s">
        <v>29</v>
      </c>
      <c r="C592">
        <v>635</v>
      </c>
      <c r="D592">
        <v>1</v>
      </c>
      <c r="E592" t="s">
        <v>27</v>
      </c>
      <c r="F592" t="s">
        <v>28</v>
      </c>
      <c r="G592" t="str">
        <f>"2026-02-01 08:25:48.800"</f>
        <v>2026-02-01 08:25:48.800</v>
      </c>
      <c r="H592" t="s">
        <v>21</v>
      </c>
      <c r="I592">
        <v>9.7799999999999994</v>
      </c>
      <c r="J592" t="s">
        <v>32</v>
      </c>
    </row>
    <row r="593" spans="1:10" x14ac:dyDescent="0.25">
      <c r="A593" s="1">
        <v>94</v>
      </c>
      <c r="B593" t="s">
        <v>26</v>
      </c>
      <c r="C593">
        <v>98</v>
      </c>
      <c r="D593">
        <v>1</v>
      </c>
      <c r="E593" t="s">
        <v>49</v>
      </c>
      <c r="F593" t="s">
        <v>50</v>
      </c>
      <c r="G593" t="str">
        <f>"2026-01-31 22:29:31.600"</f>
        <v>2026-01-31 22:29:31.600</v>
      </c>
      <c r="H593" t="s">
        <v>21</v>
      </c>
    </row>
    <row r="594" spans="1:10" x14ac:dyDescent="0.25">
      <c r="A594" s="1">
        <v>95</v>
      </c>
      <c r="B594" t="s">
        <v>29</v>
      </c>
      <c r="C594">
        <v>98</v>
      </c>
      <c r="D594">
        <v>1</v>
      </c>
      <c r="E594" t="s">
        <v>49</v>
      </c>
      <c r="F594" t="s">
        <v>50</v>
      </c>
      <c r="G594" t="str">
        <f>"2026-01-31 22:29:30.401"</f>
        <v>2026-01-31 22:29:30.401</v>
      </c>
      <c r="H594" t="s">
        <v>21</v>
      </c>
      <c r="I594">
        <v>0</v>
      </c>
      <c r="J594" t="s">
        <v>31</v>
      </c>
    </row>
    <row r="595" spans="1:10" x14ac:dyDescent="0.25">
      <c r="A595" s="1">
        <v>96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"2026-01-31 13:53:36.529"</f>
        <v>2026-01-31 13:53:36.529</v>
      </c>
      <c r="H595" t="s">
        <v>21</v>
      </c>
      <c r="I595">
        <v>0</v>
      </c>
      <c r="J595" t="s">
        <v>22</v>
      </c>
    </row>
    <row r="596" spans="1:10" x14ac:dyDescent="0.25">
      <c r="A596" s="1">
        <v>97</v>
      </c>
      <c r="B596" t="s">
        <v>26</v>
      </c>
      <c r="C596">
        <v>635</v>
      </c>
      <c r="D596">
        <v>1</v>
      </c>
      <c r="E596" t="s">
        <v>27</v>
      </c>
      <c r="F596" t="s">
        <v>28</v>
      </c>
      <c r="G596" t="str">
        <f>"2026-01-31 09:41:55.614"</f>
        <v>2026-01-31 09:41:55.614</v>
      </c>
      <c r="H596" t="s">
        <v>21</v>
      </c>
    </row>
    <row r="597" spans="1:10" x14ac:dyDescent="0.25">
      <c r="A597" s="1">
        <v>98</v>
      </c>
      <c r="B597" t="s">
        <v>29</v>
      </c>
      <c r="C597">
        <v>635</v>
      </c>
      <c r="D597">
        <v>1</v>
      </c>
      <c r="E597" t="s">
        <v>27</v>
      </c>
      <c r="F597" t="s">
        <v>28</v>
      </c>
      <c r="G597" t="str">
        <f>"2026-01-31 09:12:10.114"</f>
        <v>2026-01-31 09:12:10.114</v>
      </c>
      <c r="H597" t="s">
        <v>21</v>
      </c>
      <c r="I597">
        <v>7.27</v>
      </c>
      <c r="J597" t="s">
        <v>30</v>
      </c>
    </row>
    <row r="598" spans="1:10" x14ac:dyDescent="0.25">
      <c r="A598" s="1">
        <v>0</v>
      </c>
      <c r="B598" t="s">
        <v>26</v>
      </c>
      <c r="C598">
        <v>635</v>
      </c>
      <c r="D598">
        <v>1</v>
      </c>
      <c r="E598" t="s">
        <v>27</v>
      </c>
      <c r="F598" t="s">
        <v>28</v>
      </c>
      <c r="G598" t="str">
        <f>"2026-01-30 22:24:47.414"</f>
        <v>2026-01-30 22:24:47.414</v>
      </c>
      <c r="H598" t="s">
        <v>21</v>
      </c>
    </row>
    <row r="599" spans="1:10" x14ac:dyDescent="0.25">
      <c r="A599" s="1">
        <v>1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"2026-01-30 22:03:19.506"</f>
        <v>2026-01-30 22:03:19.506</v>
      </c>
      <c r="H599" t="s">
        <v>21</v>
      </c>
      <c r="I599">
        <v>0</v>
      </c>
      <c r="J599" t="s">
        <v>22</v>
      </c>
    </row>
    <row r="600" spans="1:10" x14ac:dyDescent="0.25">
      <c r="A600" s="1">
        <v>2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"2026-01-30 21:20:00.502"</f>
        <v>2026-01-30 21:20:00.502</v>
      </c>
      <c r="H600" t="s">
        <v>21</v>
      </c>
      <c r="I600">
        <v>0</v>
      </c>
      <c r="J600" t="s">
        <v>22</v>
      </c>
    </row>
    <row r="601" spans="1:10" x14ac:dyDescent="0.25">
      <c r="A601" s="1">
        <v>3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"2026-01-30 21:14:30.500"</f>
        <v>2026-01-30 21:14:30.500</v>
      </c>
      <c r="H601" t="s">
        <v>21</v>
      </c>
      <c r="I601">
        <v>0</v>
      </c>
      <c r="J601" t="s">
        <v>22</v>
      </c>
    </row>
    <row r="602" spans="1:10" x14ac:dyDescent="0.25">
      <c r="A602" s="1">
        <v>4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"2026-01-30 20:46:34.493"</f>
        <v>2026-01-30 20:46:34.493</v>
      </c>
      <c r="H602" t="s">
        <v>21</v>
      </c>
    </row>
    <row r="603" spans="1:10" x14ac:dyDescent="0.25">
      <c r="A603" s="1">
        <v>5</v>
      </c>
      <c r="B603" t="s">
        <v>29</v>
      </c>
      <c r="C603">
        <v>635</v>
      </c>
      <c r="D603">
        <v>1</v>
      </c>
      <c r="E603" t="s">
        <v>27</v>
      </c>
      <c r="F603" t="s">
        <v>28</v>
      </c>
      <c r="G603" t="str">
        <f>"2026-01-30 20:27:19.205"</f>
        <v>2026-01-30 20:27:19.205</v>
      </c>
      <c r="H603" t="s">
        <v>21</v>
      </c>
      <c r="I603">
        <v>5.38</v>
      </c>
      <c r="J603" t="s">
        <v>30</v>
      </c>
    </row>
    <row r="604" spans="1:10" x14ac:dyDescent="0.25">
      <c r="A604" s="1">
        <v>6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"2026-01-30 13:53:43.716"</f>
        <v>2026-01-30 13:53:43.716</v>
      </c>
      <c r="H604" t="s">
        <v>21</v>
      </c>
      <c r="I604">
        <v>0</v>
      </c>
      <c r="J604" t="s">
        <v>22</v>
      </c>
    </row>
    <row r="605" spans="1:10" x14ac:dyDescent="0.25">
      <c r="A605" s="1">
        <v>7</v>
      </c>
      <c r="B605" t="s">
        <v>26</v>
      </c>
      <c r="C605">
        <v>635</v>
      </c>
      <c r="D605">
        <v>1</v>
      </c>
      <c r="E605" t="s">
        <v>27</v>
      </c>
      <c r="F605" t="s">
        <v>28</v>
      </c>
      <c r="G605" t="str">
        <f>"2026-01-30 12:41:23.314"</f>
        <v>2026-01-30 12:41:23.314</v>
      </c>
      <c r="H605" t="s">
        <v>21</v>
      </c>
    </row>
    <row r="606" spans="1:10" x14ac:dyDescent="0.25">
      <c r="A606" s="1">
        <v>8</v>
      </c>
      <c r="B606" t="s">
        <v>29</v>
      </c>
      <c r="C606">
        <v>635</v>
      </c>
      <c r="D606">
        <v>1</v>
      </c>
      <c r="E606" t="s">
        <v>27</v>
      </c>
      <c r="F606" t="s">
        <v>28</v>
      </c>
      <c r="G606" t="str">
        <f>"2026-01-30 12:15:46.814"</f>
        <v>2026-01-30 12:15:46.814</v>
      </c>
      <c r="H606" t="s">
        <v>21</v>
      </c>
      <c r="I606">
        <v>6.42</v>
      </c>
      <c r="J606" t="s">
        <v>30</v>
      </c>
    </row>
    <row r="607" spans="1:10" x14ac:dyDescent="0.25">
      <c r="A607" s="1">
        <v>9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"2026-01-30 11:18:58.493"</f>
        <v>2026-01-30 11:18:58.493</v>
      </c>
      <c r="H607" t="s">
        <v>21</v>
      </c>
    </row>
    <row r="608" spans="1:10" x14ac:dyDescent="0.25">
      <c r="A608" s="1">
        <v>10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"2026-01-30 06:04:50.491"</f>
        <v>2026-01-30 06:04:50.491</v>
      </c>
      <c r="H608" t="s">
        <v>21</v>
      </c>
    </row>
    <row r="609" spans="1:10" x14ac:dyDescent="0.25">
      <c r="A609" s="1">
        <v>11</v>
      </c>
      <c r="B609" t="s">
        <v>19</v>
      </c>
      <c r="C609">
        <v>706</v>
      </c>
      <c r="D609">
        <v>4</v>
      </c>
      <c r="E609" t="s">
        <v>23</v>
      </c>
      <c r="F609" t="s">
        <v>38</v>
      </c>
      <c r="G609" t="str">
        <f>"2026-01-30 05:48:34.981"</f>
        <v>2026-01-30 05:48:34.981</v>
      </c>
      <c r="H609" t="s">
        <v>21</v>
      </c>
      <c r="I609">
        <v>0</v>
      </c>
      <c r="J609" t="s">
        <v>25</v>
      </c>
    </row>
    <row r="610" spans="1:10" x14ac:dyDescent="0.25">
      <c r="A610" s="1">
        <v>12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"2026-01-30 05:22:30.481"</f>
        <v>2026-01-30 05:22:30.481</v>
      </c>
      <c r="H610" t="s">
        <v>21</v>
      </c>
    </row>
    <row r="611" spans="1:10" x14ac:dyDescent="0.25">
      <c r="A611" s="1">
        <v>13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"2026-01-30 03:46:32.952"</f>
        <v>2026-01-30 03:46:32.952</v>
      </c>
      <c r="H611" t="s">
        <v>21</v>
      </c>
      <c r="I611">
        <v>0</v>
      </c>
      <c r="J611" t="s">
        <v>22</v>
      </c>
    </row>
    <row r="612" spans="1:10" x14ac:dyDescent="0.25">
      <c r="A612" s="1">
        <v>14</v>
      </c>
      <c r="B612" t="s">
        <v>26</v>
      </c>
      <c r="C612">
        <v>635</v>
      </c>
      <c r="D612">
        <v>1</v>
      </c>
      <c r="E612" t="s">
        <v>27</v>
      </c>
      <c r="F612" t="s">
        <v>28</v>
      </c>
      <c r="G612" t="str">
        <f>"2026-01-29 16:10:19.206"</f>
        <v>2026-01-29 16:10:19.206</v>
      </c>
      <c r="H612" t="s">
        <v>21</v>
      </c>
    </row>
    <row r="613" spans="1:10" x14ac:dyDescent="0.25">
      <c r="A613" s="1">
        <v>15</v>
      </c>
      <c r="B613" t="s">
        <v>29</v>
      </c>
      <c r="C613">
        <v>635</v>
      </c>
      <c r="D613">
        <v>1</v>
      </c>
      <c r="E613" t="s">
        <v>27</v>
      </c>
      <c r="F613" t="s">
        <v>28</v>
      </c>
      <c r="G613" t="str">
        <f>"2026-01-29 15:55:03.706"</f>
        <v>2026-01-29 15:55:03.706</v>
      </c>
      <c r="H613" t="s">
        <v>21</v>
      </c>
      <c r="I613">
        <v>5.84</v>
      </c>
      <c r="J613" t="s">
        <v>32</v>
      </c>
    </row>
    <row r="614" spans="1:10" x14ac:dyDescent="0.25">
      <c r="A614" s="1">
        <v>16</v>
      </c>
      <c r="B614" t="s">
        <v>26</v>
      </c>
      <c r="C614">
        <v>635</v>
      </c>
      <c r="D614">
        <v>1</v>
      </c>
      <c r="E614" t="s">
        <v>27</v>
      </c>
      <c r="F614" t="s">
        <v>28</v>
      </c>
      <c r="G614" t="str">
        <f>"2026-01-29 15:47:13.306"</f>
        <v>2026-01-29 15:47:13.306</v>
      </c>
      <c r="H614" t="s">
        <v>21</v>
      </c>
    </row>
    <row r="615" spans="1:10" x14ac:dyDescent="0.25">
      <c r="A615" s="1">
        <v>17</v>
      </c>
      <c r="B615" t="s">
        <v>29</v>
      </c>
      <c r="C615">
        <v>635</v>
      </c>
      <c r="D615">
        <v>1</v>
      </c>
      <c r="E615" t="s">
        <v>27</v>
      </c>
      <c r="F615" t="s">
        <v>28</v>
      </c>
      <c r="G615" t="str">
        <f>"2026-01-29 15:42:09.306"</f>
        <v>2026-01-29 15:42:09.306</v>
      </c>
      <c r="H615" t="s">
        <v>21</v>
      </c>
      <c r="I615">
        <v>2.68</v>
      </c>
      <c r="J615" t="s">
        <v>32</v>
      </c>
    </row>
    <row r="616" spans="1:10" x14ac:dyDescent="0.25">
      <c r="A616" s="1">
        <v>18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"2026-01-29 10:19:28.486"</f>
        <v>2026-01-29 10:19:28.486</v>
      </c>
      <c r="H616" t="s">
        <v>21</v>
      </c>
      <c r="I616">
        <v>0</v>
      </c>
      <c r="J616" t="s">
        <v>22</v>
      </c>
    </row>
    <row r="617" spans="1:10" x14ac:dyDescent="0.25">
      <c r="A617" s="1">
        <v>19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"2026-01-28 08:47:12.684"</f>
        <v>2026-01-28 08:47:12.684</v>
      </c>
      <c r="H617" t="s">
        <v>21</v>
      </c>
    </row>
    <row r="618" spans="1:10" x14ac:dyDescent="0.25">
      <c r="A618" s="1">
        <v>20</v>
      </c>
      <c r="B618" t="s">
        <v>26</v>
      </c>
      <c r="C618">
        <v>635</v>
      </c>
      <c r="D618">
        <v>1</v>
      </c>
      <c r="E618" t="s">
        <v>27</v>
      </c>
      <c r="F618" t="s">
        <v>28</v>
      </c>
      <c r="G618" t="str">
        <f>"2026-01-27 19:20:47.079"</f>
        <v>2026-01-27 19:20:47.079</v>
      </c>
      <c r="H618" t="s">
        <v>21</v>
      </c>
    </row>
    <row r="619" spans="1:10" x14ac:dyDescent="0.25">
      <c r="A619" s="1">
        <v>21</v>
      </c>
      <c r="B619" t="s">
        <v>29</v>
      </c>
      <c r="C619">
        <v>635</v>
      </c>
      <c r="D619">
        <v>1</v>
      </c>
      <c r="E619" t="s">
        <v>27</v>
      </c>
      <c r="F619" t="s">
        <v>28</v>
      </c>
      <c r="G619" t="str">
        <f>"2026-01-27 19:07:32.579"</f>
        <v>2026-01-27 19:07:32.579</v>
      </c>
      <c r="H619" t="s">
        <v>21</v>
      </c>
      <c r="I619">
        <v>5.73</v>
      </c>
      <c r="J619" t="s">
        <v>30</v>
      </c>
    </row>
    <row r="620" spans="1:10" x14ac:dyDescent="0.25">
      <c r="A620" s="1">
        <v>22</v>
      </c>
      <c r="B620" t="s">
        <v>26</v>
      </c>
      <c r="C620">
        <v>635</v>
      </c>
      <c r="D620">
        <v>1</v>
      </c>
      <c r="E620" t="s">
        <v>27</v>
      </c>
      <c r="F620" t="s">
        <v>28</v>
      </c>
      <c r="G620" t="str">
        <f>"2026-01-27 18:42:14.679"</f>
        <v>2026-01-27 18:42:14.679</v>
      </c>
      <c r="H620" t="s">
        <v>21</v>
      </c>
    </row>
    <row r="621" spans="1:10" x14ac:dyDescent="0.25">
      <c r="A621" s="1">
        <v>23</v>
      </c>
      <c r="B621" t="s">
        <v>29</v>
      </c>
      <c r="C621">
        <v>635</v>
      </c>
      <c r="D621">
        <v>1</v>
      </c>
      <c r="E621" t="s">
        <v>27</v>
      </c>
      <c r="F621" t="s">
        <v>28</v>
      </c>
      <c r="G621" t="str">
        <f>"2026-01-27 18:34:52.679"</f>
        <v>2026-01-27 18:34:52.679</v>
      </c>
      <c r="H621" t="s">
        <v>21</v>
      </c>
      <c r="I621">
        <v>6.58</v>
      </c>
      <c r="J621" t="s">
        <v>30</v>
      </c>
    </row>
    <row r="622" spans="1:10" x14ac:dyDescent="0.25">
      <c r="A622" s="1">
        <v>24</v>
      </c>
      <c r="B622" t="s">
        <v>26</v>
      </c>
      <c r="C622">
        <v>635</v>
      </c>
      <c r="D622">
        <v>1</v>
      </c>
      <c r="E622" t="s">
        <v>27</v>
      </c>
      <c r="F622" t="s">
        <v>28</v>
      </c>
      <c r="G622" t="str">
        <f>"2026-01-27 17:16:40.279"</f>
        <v>2026-01-27 17:16:40.279</v>
      </c>
      <c r="H622" t="s">
        <v>21</v>
      </c>
    </row>
    <row r="623" spans="1:10" x14ac:dyDescent="0.25">
      <c r="A623" s="1">
        <v>25</v>
      </c>
      <c r="B623" t="s">
        <v>29</v>
      </c>
      <c r="C623">
        <v>635</v>
      </c>
      <c r="D623">
        <v>1</v>
      </c>
      <c r="E623" t="s">
        <v>27</v>
      </c>
      <c r="F623" t="s">
        <v>28</v>
      </c>
      <c r="G623" t="str">
        <f>"2026-01-27 17:04:49.379"</f>
        <v>2026-01-27 17:04:49.379</v>
      </c>
      <c r="H623" t="s">
        <v>21</v>
      </c>
      <c r="I623">
        <v>5.81</v>
      </c>
      <c r="J623" t="s">
        <v>30</v>
      </c>
    </row>
    <row r="624" spans="1:10" x14ac:dyDescent="0.25">
      <c r="A624" s="1">
        <v>26</v>
      </c>
      <c r="B624" t="s">
        <v>26</v>
      </c>
      <c r="C624">
        <v>635</v>
      </c>
      <c r="D624">
        <v>1</v>
      </c>
      <c r="E624" t="s">
        <v>27</v>
      </c>
      <c r="F624" t="s">
        <v>28</v>
      </c>
      <c r="G624" t="str">
        <f>"2026-01-27 16:57:12.379"</f>
        <v>2026-01-27 16:57:12.379</v>
      </c>
      <c r="H624" t="s">
        <v>21</v>
      </c>
    </row>
    <row r="625" spans="1:10" x14ac:dyDescent="0.25">
      <c r="A625" s="1">
        <v>27</v>
      </c>
      <c r="B625" t="s">
        <v>29</v>
      </c>
      <c r="C625">
        <v>635</v>
      </c>
      <c r="D625">
        <v>1</v>
      </c>
      <c r="E625" t="s">
        <v>27</v>
      </c>
      <c r="F625" t="s">
        <v>28</v>
      </c>
      <c r="G625" t="str">
        <f>"2026-01-27 16:47:08.379"</f>
        <v>2026-01-27 16:47:08.379</v>
      </c>
      <c r="H625" t="s">
        <v>21</v>
      </c>
      <c r="I625">
        <v>3.49</v>
      </c>
      <c r="J625" t="s">
        <v>32</v>
      </c>
    </row>
    <row r="626" spans="1:10" x14ac:dyDescent="0.25">
      <c r="A626" s="1">
        <v>28</v>
      </c>
      <c r="B626" t="s">
        <v>26</v>
      </c>
      <c r="C626">
        <v>635</v>
      </c>
      <c r="D626">
        <v>1</v>
      </c>
      <c r="E626" t="s">
        <v>27</v>
      </c>
      <c r="F626" t="s">
        <v>28</v>
      </c>
      <c r="G626" t="str">
        <f>"2026-01-27 16:24:38.979"</f>
        <v>2026-01-27 16:24:38.979</v>
      </c>
      <c r="H626" t="s">
        <v>21</v>
      </c>
    </row>
    <row r="627" spans="1:10" x14ac:dyDescent="0.25">
      <c r="A627" s="1">
        <v>29</v>
      </c>
      <c r="B627" t="s">
        <v>29</v>
      </c>
      <c r="C627">
        <v>635</v>
      </c>
      <c r="D627">
        <v>1</v>
      </c>
      <c r="E627" t="s">
        <v>27</v>
      </c>
      <c r="F627" t="s">
        <v>28</v>
      </c>
      <c r="G627" t="str">
        <f>"2026-01-27 16:21:21.979"</f>
        <v>2026-01-27 16:21:21.979</v>
      </c>
      <c r="H627" t="s">
        <v>21</v>
      </c>
      <c r="I627">
        <v>5.6</v>
      </c>
      <c r="J627" t="s">
        <v>30</v>
      </c>
    </row>
    <row r="628" spans="1:10" x14ac:dyDescent="0.25">
      <c r="A628" s="1">
        <v>30</v>
      </c>
      <c r="B628" t="s">
        <v>26</v>
      </c>
      <c r="C628">
        <v>635</v>
      </c>
      <c r="D628">
        <v>1</v>
      </c>
      <c r="E628" t="s">
        <v>27</v>
      </c>
      <c r="F628" t="s">
        <v>28</v>
      </c>
      <c r="G628" t="str">
        <f>"2026-01-27 11:07:42.079"</f>
        <v>2026-01-27 11:07:42.079</v>
      </c>
      <c r="H628" t="s">
        <v>21</v>
      </c>
    </row>
    <row r="629" spans="1:10" x14ac:dyDescent="0.25">
      <c r="A629" s="1">
        <v>31</v>
      </c>
      <c r="B629" t="s">
        <v>29</v>
      </c>
      <c r="C629">
        <v>635</v>
      </c>
      <c r="D629">
        <v>1</v>
      </c>
      <c r="E629" t="s">
        <v>27</v>
      </c>
      <c r="F629" t="s">
        <v>28</v>
      </c>
      <c r="G629" t="str">
        <f>"2026-01-27 10:37:47.180"</f>
        <v>2026-01-27 10:37:47.180</v>
      </c>
      <c r="H629" t="s">
        <v>21</v>
      </c>
      <c r="I629">
        <v>9.01</v>
      </c>
      <c r="J629" t="s">
        <v>32</v>
      </c>
    </row>
    <row r="630" spans="1:10" x14ac:dyDescent="0.25">
      <c r="A630" s="1">
        <v>32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"2026-01-27 08:13:53.499"</f>
        <v>2026-01-27 08:13:53.499</v>
      </c>
      <c r="H630" t="s">
        <v>21</v>
      </c>
    </row>
    <row r="631" spans="1:10" x14ac:dyDescent="0.25">
      <c r="A631" s="1">
        <v>33</v>
      </c>
      <c r="B631" t="s">
        <v>26</v>
      </c>
      <c r="C631">
        <v>635</v>
      </c>
      <c r="D631">
        <v>1</v>
      </c>
      <c r="E631" t="s">
        <v>27</v>
      </c>
      <c r="F631" t="s">
        <v>28</v>
      </c>
      <c r="G631" t="str">
        <f>"2026-01-26 16:39:41.289"</f>
        <v>2026-01-26 16:39:41.289</v>
      </c>
      <c r="H631" t="s">
        <v>21</v>
      </c>
    </row>
    <row r="632" spans="1:10" x14ac:dyDescent="0.25">
      <c r="A632" s="1">
        <v>34</v>
      </c>
      <c r="B632" t="s">
        <v>29</v>
      </c>
      <c r="C632">
        <v>635</v>
      </c>
      <c r="D632">
        <v>1</v>
      </c>
      <c r="E632" t="s">
        <v>27</v>
      </c>
      <c r="F632" t="s">
        <v>28</v>
      </c>
      <c r="G632" t="str">
        <f>"2026-01-26 16:34:37.789"</f>
        <v>2026-01-26 16:34:37.789</v>
      </c>
      <c r="H632" t="s">
        <v>21</v>
      </c>
      <c r="I632">
        <v>5.07</v>
      </c>
      <c r="J632" t="s">
        <v>30</v>
      </c>
    </row>
    <row r="633" spans="1:10" x14ac:dyDescent="0.25">
      <c r="A633" s="1">
        <v>35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"2026-01-26 15:24:40.472"</f>
        <v>2026-01-26 15:24:40.472</v>
      </c>
      <c r="H633" t="s">
        <v>21</v>
      </c>
    </row>
    <row r="634" spans="1:10" x14ac:dyDescent="0.25">
      <c r="A634" s="1">
        <v>36</v>
      </c>
      <c r="B634" t="s">
        <v>26</v>
      </c>
      <c r="C634">
        <v>61</v>
      </c>
      <c r="D634">
        <v>2</v>
      </c>
      <c r="E634" t="s">
        <v>44</v>
      </c>
      <c r="F634" t="s">
        <v>45</v>
      </c>
      <c r="G634" t="str">
        <f>"2026-01-26 09:02:33.309"</f>
        <v>2026-01-26 09:02:33.309</v>
      </c>
      <c r="H634" t="s">
        <v>21</v>
      </c>
    </row>
    <row r="635" spans="1:10" x14ac:dyDescent="0.25">
      <c r="A635" s="1">
        <v>37</v>
      </c>
      <c r="B635" t="s">
        <v>37</v>
      </c>
      <c r="C635">
        <v>61</v>
      </c>
      <c r="D635">
        <v>2</v>
      </c>
      <c r="E635" t="s">
        <v>44</v>
      </c>
      <c r="F635" t="s">
        <v>45</v>
      </c>
      <c r="G635" t="str">
        <f>"2026-01-26 09:01:47.309"</f>
        <v>2026-01-26 09:01:47.309</v>
      </c>
      <c r="H635" t="s">
        <v>21</v>
      </c>
      <c r="I635">
        <v>31.1</v>
      </c>
      <c r="J635" t="s">
        <v>32</v>
      </c>
    </row>
    <row r="636" spans="1:10" x14ac:dyDescent="0.25">
      <c r="A636" s="1">
        <v>38</v>
      </c>
      <c r="B636" t="s">
        <v>26</v>
      </c>
      <c r="C636">
        <v>635</v>
      </c>
      <c r="D636">
        <v>1</v>
      </c>
      <c r="E636" t="s">
        <v>27</v>
      </c>
      <c r="F636" t="s">
        <v>28</v>
      </c>
      <c r="G636" t="str">
        <f>"2026-01-26 03:57:44.048"</f>
        <v>2026-01-26 03:57:44.048</v>
      </c>
      <c r="H636" t="s">
        <v>21</v>
      </c>
    </row>
    <row r="637" spans="1:10" x14ac:dyDescent="0.25">
      <c r="A637" s="1">
        <v>39</v>
      </c>
      <c r="B637" t="s">
        <v>29</v>
      </c>
      <c r="C637">
        <v>635</v>
      </c>
      <c r="D637">
        <v>1</v>
      </c>
      <c r="E637" t="s">
        <v>27</v>
      </c>
      <c r="F637" t="s">
        <v>28</v>
      </c>
      <c r="G637" t="str">
        <f>"2026-01-26 03:52:02.048"</f>
        <v>2026-01-26 03:52:02.048</v>
      </c>
      <c r="H637" t="s">
        <v>21</v>
      </c>
      <c r="I637">
        <v>2.5</v>
      </c>
      <c r="J637" t="s">
        <v>30</v>
      </c>
    </row>
    <row r="638" spans="1:10" x14ac:dyDescent="0.25">
      <c r="A638" s="1">
        <v>40</v>
      </c>
      <c r="B638" t="s">
        <v>19</v>
      </c>
      <c r="C638">
        <v>706</v>
      </c>
      <c r="D638">
        <v>2</v>
      </c>
      <c r="E638" t="s">
        <v>23</v>
      </c>
      <c r="F638" t="s">
        <v>24</v>
      </c>
      <c r="G638" t="str">
        <f>"2026-01-25 16:10:00.929"</f>
        <v>2026-01-25 16:10:00.929</v>
      </c>
      <c r="H638" t="s">
        <v>21</v>
      </c>
      <c r="I638">
        <v>0</v>
      </c>
      <c r="J638" t="s">
        <v>25</v>
      </c>
    </row>
    <row r="639" spans="1:10" x14ac:dyDescent="0.25">
      <c r="A639" s="1">
        <v>41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"2026-01-25 16:07:55.469"</f>
        <v>2026-01-25 16:07:55.469</v>
      </c>
      <c r="H639" t="s">
        <v>21</v>
      </c>
      <c r="I639">
        <v>0</v>
      </c>
      <c r="J639" t="s">
        <v>22</v>
      </c>
    </row>
    <row r="640" spans="1:10" x14ac:dyDescent="0.25">
      <c r="A640" s="1">
        <v>42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"2026-01-25 15:57:26.563"</f>
        <v>2026-01-25 15:57:26.563</v>
      </c>
      <c r="H640" t="s">
        <v>21</v>
      </c>
    </row>
    <row r="641" spans="1:10" x14ac:dyDescent="0.25">
      <c r="A641" s="1">
        <v>43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"2026-01-25 15:53:27.470"</f>
        <v>2026-01-25 15:53:27.470</v>
      </c>
      <c r="H641" t="s">
        <v>21</v>
      </c>
      <c r="I641">
        <v>0</v>
      </c>
      <c r="J641" t="s">
        <v>22</v>
      </c>
    </row>
    <row r="642" spans="1:10" x14ac:dyDescent="0.25">
      <c r="A642" s="1">
        <v>44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"2026-01-25 15:41:00.469"</f>
        <v>2026-01-25 15:41:00.469</v>
      </c>
      <c r="H642" t="s">
        <v>21</v>
      </c>
    </row>
    <row r="643" spans="1:10" x14ac:dyDescent="0.25">
      <c r="A643" s="1">
        <v>45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"2026-01-25 13:46:16.498"</f>
        <v>2026-01-25 13:46:16.498</v>
      </c>
      <c r="H643" t="s">
        <v>21</v>
      </c>
    </row>
    <row r="644" spans="1:10" x14ac:dyDescent="0.25">
      <c r="A644" s="1">
        <v>46</v>
      </c>
      <c r="B644" t="s">
        <v>26</v>
      </c>
      <c r="C644">
        <v>635</v>
      </c>
      <c r="D644">
        <v>1</v>
      </c>
      <c r="E644" t="s">
        <v>27</v>
      </c>
      <c r="F644" t="s">
        <v>28</v>
      </c>
      <c r="G644" t="str">
        <f>"2026-01-24 18:39:15.868"</f>
        <v>2026-01-24 18:39:15.868</v>
      </c>
      <c r="H644" t="s">
        <v>21</v>
      </c>
    </row>
    <row r="645" spans="1:10" x14ac:dyDescent="0.25">
      <c r="A645" s="1">
        <v>47</v>
      </c>
      <c r="B645" t="s">
        <v>29</v>
      </c>
      <c r="C645">
        <v>635</v>
      </c>
      <c r="D645">
        <v>1</v>
      </c>
      <c r="E645" t="s">
        <v>27</v>
      </c>
      <c r="F645" t="s">
        <v>28</v>
      </c>
      <c r="G645" t="str">
        <f>"2026-01-24 18:02:14.968"</f>
        <v>2026-01-24 18:02:14.968</v>
      </c>
      <c r="H645" t="s">
        <v>21</v>
      </c>
      <c r="I645">
        <v>6.08</v>
      </c>
      <c r="J645" t="s">
        <v>30</v>
      </c>
    </row>
    <row r="646" spans="1:10" x14ac:dyDescent="0.25">
      <c r="A646" s="1">
        <v>48</v>
      </c>
      <c r="B646" t="s">
        <v>26</v>
      </c>
      <c r="C646">
        <v>635</v>
      </c>
      <c r="D646">
        <v>1</v>
      </c>
      <c r="E646" t="s">
        <v>27</v>
      </c>
      <c r="F646" t="s">
        <v>28</v>
      </c>
      <c r="G646" t="str">
        <f>"2026-01-24 15:44:37.668"</f>
        <v>2026-01-24 15:44:37.668</v>
      </c>
      <c r="H646" t="s">
        <v>21</v>
      </c>
    </row>
    <row r="647" spans="1:10" x14ac:dyDescent="0.25">
      <c r="A647" s="1">
        <v>49</v>
      </c>
      <c r="B647" t="s">
        <v>29</v>
      </c>
      <c r="C647">
        <v>635</v>
      </c>
      <c r="D647">
        <v>1</v>
      </c>
      <c r="E647" t="s">
        <v>27</v>
      </c>
      <c r="F647" t="s">
        <v>28</v>
      </c>
      <c r="G647" t="str">
        <f>"2026-01-24 15:41:16.268"</f>
        <v>2026-01-24 15:41:16.268</v>
      </c>
      <c r="H647" t="s">
        <v>21</v>
      </c>
      <c r="I647">
        <v>5.26</v>
      </c>
      <c r="J647" t="s">
        <v>31</v>
      </c>
    </row>
    <row r="648" spans="1:10" x14ac:dyDescent="0.25">
      <c r="A648" s="1">
        <v>50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"2026-01-24 13:38:29.478"</f>
        <v>2026-01-24 13:38:29.478</v>
      </c>
      <c r="H648" t="s">
        <v>21</v>
      </c>
      <c r="I648">
        <v>0</v>
      </c>
      <c r="J648" t="s">
        <v>22</v>
      </c>
    </row>
    <row r="649" spans="1:10" x14ac:dyDescent="0.25">
      <c r="A649" s="1">
        <v>51</v>
      </c>
      <c r="B649" t="s">
        <v>26</v>
      </c>
      <c r="C649">
        <v>61</v>
      </c>
      <c r="D649">
        <v>2</v>
      </c>
      <c r="E649" t="s">
        <v>44</v>
      </c>
      <c r="F649" t="s">
        <v>45</v>
      </c>
      <c r="G649" t="str">
        <f>"2026-01-24 11:16:15.925"</f>
        <v>2026-01-24 11:16:15.925</v>
      </c>
      <c r="H649" t="s">
        <v>21</v>
      </c>
    </row>
    <row r="650" spans="1:10" x14ac:dyDescent="0.25">
      <c r="A650" s="1">
        <v>52</v>
      </c>
      <c r="B650" t="s">
        <v>37</v>
      </c>
      <c r="C650">
        <v>61</v>
      </c>
      <c r="D650">
        <v>2</v>
      </c>
      <c r="E650" t="s">
        <v>44</v>
      </c>
      <c r="F650" t="s">
        <v>45</v>
      </c>
      <c r="G650" t="str">
        <f>"2026-01-24 11:16:03.425"</f>
        <v>2026-01-24 11:16:03.425</v>
      </c>
      <c r="H650" t="s">
        <v>21</v>
      </c>
      <c r="I650">
        <v>30.83</v>
      </c>
      <c r="J650" t="s">
        <v>32</v>
      </c>
    </row>
    <row r="651" spans="1:10" x14ac:dyDescent="0.25">
      <c r="A651" s="1">
        <v>53</v>
      </c>
      <c r="B651" t="s">
        <v>26</v>
      </c>
      <c r="C651">
        <v>61</v>
      </c>
      <c r="D651">
        <v>2</v>
      </c>
      <c r="E651" t="s">
        <v>44</v>
      </c>
      <c r="F651" t="s">
        <v>45</v>
      </c>
      <c r="G651" t="str">
        <f>"2026-01-24 10:27:28.825"</f>
        <v>2026-01-24 10:27:28.825</v>
      </c>
      <c r="H651" t="s">
        <v>21</v>
      </c>
    </row>
    <row r="652" spans="1:10" x14ac:dyDescent="0.25">
      <c r="A652" s="1">
        <v>54</v>
      </c>
      <c r="B652" t="s">
        <v>37</v>
      </c>
      <c r="C652">
        <v>61</v>
      </c>
      <c r="D652">
        <v>2</v>
      </c>
      <c r="E652" t="s">
        <v>44</v>
      </c>
      <c r="F652" t="s">
        <v>45</v>
      </c>
      <c r="G652" t="str">
        <f>"2026-01-24 10:27:18.225"</f>
        <v>2026-01-24 10:27:18.225</v>
      </c>
      <c r="H652" t="s">
        <v>21</v>
      </c>
      <c r="I652">
        <v>29.92</v>
      </c>
      <c r="J652" t="s">
        <v>32</v>
      </c>
    </row>
    <row r="653" spans="1:10" x14ac:dyDescent="0.25">
      <c r="A653" s="1">
        <v>55</v>
      </c>
      <c r="B653" t="s">
        <v>26</v>
      </c>
      <c r="C653">
        <v>635</v>
      </c>
      <c r="D653">
        <v>1</v>
      </c>
      <c r="E653" t="s">
        <v>27</v>
      </c>
      <c r="F653" t="s">
        <v>28</v>
      </c>
      <c r="G653" t="str">
        <f>"2026-01-24 08:22:12.264"</f>
        <v>2026-01-24 08:22:12.264</v>
      </c>
      <c r="H653" t="s">
        <v>21</v>
      </c>
    </row>
    <row r="654" spans="1:10" x14ac:dyDescent="0.25">
      <c r="A654" s="1">
        <v>56</v>
      </c>
      <c r="B654" t="s">
        <v>29</v>
      </c>
      <c r="C654">
        <v>635</v>
      </c>
      <c r="D654">
        <v>1</v>
      </c>
      <c r="E654" t="s">
        <v>27</v>
      </c>
      <c r="F654" t="s">
        <v>28</v>
      </c>
      <c r="G654" t="str">
        <f>"2026-01-24 08:17:03.265"</f>
        <v>2026-01-24 08:17:03.265</v>
      </c>
      <c r="H654" t="s">
        <v>21</v>
      </c>
      <c r="I654">
        <v>6.82</v>
      </c>
      <c r="J654" t="s">
        <v>30</v>
      </c>
    </row>
    <row r="655" spans="1:10" x14ac:dyDescent="0.25">
      <c r="A655" s="1">
        <v>57</v>
      </c>
      <c r="B655" t="s">
        <v>26</v>
      </c>
      <c r="C655">
        <v>61</v>
      </c>
      <c r="D655">
        <v>2</v>
      </c>
      <c r="E655" t="s">
        <v>44</v>
      </c>
      <c r="F655" t="s">
        <v>45</v>
      </c>
      <c r="G655" t="str">
        <f>"2026-01-23 19:33:58.325"</f>
        <v>2026-01-23 19:33:58.325</v>
      </c>
      <c r="H655" t="s">
        <v>21</v>
      </c>
    </row>
    <row r="656" spans="1:10" x14ac:dyDescent="0.25">
      <c r="A656" s="1">
        <v>58</v>
      </c>
      <c r="B656" t="s">
        <v>37</v>
      </c>
      <c r="C656">
        <v>61</v>
      </c>
      <c r="D656">
        <v>2</v>
      </c>
      <c r="E656" t="s">
        <v>44</v>
      </c>
      <c r="F656" t="s">
        <v>45</v>
      </c>
      <c r="G656" t="str">
        <f>"2026-01-23 19:33:46.725"</f>
        <v>2026-01-23 19:33:46.725</v>
      </c>
      <c r="H656" t="s">
        <v>21</v>
      </c>
      <c r="I656">
        <v>29.04</v>
      </c>
      <c r="J656" t="s">
        <v>32</v>
      </c>
    </row>
    <row r="657" spans="1:10" x14ac:dyDescent="0.25">
      <c r="A657" s="1">
        <v>59</v>
      </c>
      <c r="B657" t="s">
        <v>26</v>
      </c>
      <c r="C657">
        <v>61</v>
      </c>
      <c r="D657">
        <v>2</v>
      </c>
      <c r="E657" t="s">
        <v>44</v>
      </c>
      <c r="F657" t="s">
        <v>45</v>
      </c>
      <c r="G657" t="str">
        <f>"2026-01-23 17:33:11.325"</f>
        <v>2026-01-23 17:33:11.325</v>
      </c>
      <c r="H657" t="s">
        <v>21</v>
      </c>
    </row>
    <row r="658" spans="1:10" x14ac:dyDescent="0.25">
      <c r="A658" s="1">
        <v>60</v>
      </c>
      <c r="B658" t="s">
        <v>37</v>
      </c>
      <c r="C658">
        <v>61</v>
      </c>
      <c r="D658">
        <v>2</v>
      </c>
      <c r="E658" t="s">
        <v>44</v>
      </c>
      <c r="F658" t="s">
        <v>45</v>
      </c>
      <c r="G658" t="str">
        <f>"2026-01-23 17:32:59.725"</f>
        <v>2026-01-23 17:32:59.725</v>
      </c>
      <c r="H658" t="s">
        <v>21</v>
      </c>
      <c r="I658">
        <v>30.67</v>
      </c>
      <c r="J658" t="s">
        <v>32</v>
      </c>
    </row>
    <row r="659" spans="1:10" x14ac:dyDescent="0.25">
      <c r="A659" s="1">
        <v>61</v>
      </c>
      <c r="B659" t="s">
        <v>26</v>
      </c>
      <c r="C659">
        <v>61</v>
      </c>
      <c r="D659">
        <v>2</v>
      </c>
      <c r="E659" t="s">
        <v>44</v>
      </c>
      <c r="F659" t="s">
        <v>45</v>
      </c>
      <c r="G659" t="str">
        <f>"2026-01-23 16:49:20.025"</f>
        <v>2026-01-23 16:49:20.025</v>
      </c>
      <c r="H659" t="s">
        <v>21</v>
      </c>
    </row>
    <row r="660" spans="1:10" x14ac:dyDescent="0.25">
      <c r="A660" s="1">
        <v>62</v>
      </c>
      <c r="B660" t="s">
        <v>37</v>
      </c>
      <c r="C660">
        <v>61</v>
      </c>
      <c r="D660">
        <v>2</v>
      </c>
      <c r="E660" t="s">
        <v>44</v>
      </c>
      <c r="F660" t="s">
        <v>45</v>
      </c>
      <c r="G660" t="str">
        <f>"2026-01-23 16:49:10.425"</f>
        <v>2026-01-23 16:49:10.425</v>
      </c>
      <c r="H660" t="s">
        <v>21</v>
      </c>
      <c r="I660">
        <v>29.54</v>
      </c>
      <c r="J660" t="s">
        <v>32</v>
      </c>
    </row>
    <row r="661" spans="1:10" x14ac:dyDescent="0.25">
      <c r="A661" s="1">
        <v>63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"2026-01-23 13:38:06.494"</f>
        <v>2026-01-23 13:38:06.494</v>
      </c>
      <c r="H661" t="s">
        <v>21</v>
      </c>
      <c r="I661">
        <v>0</v>
      </c>
      <c r="J661" t="s">
        <v>22</v>
      </c>
    </row>
    <row r="662" spans="1:10" x14ac:dyDescent="0.25">
      <c r="A662" s="1">
        <v>65</v>
      </c>
      <c r="B662" t="s">
        <v>26</v>
      </c>
      <c r="C662">
        <v>635</v>
      </c>
      <c r="D662">
        <v>1</v>
      </c>
      <c r="E662" t="s">
        <v>27</v>
      </c>
      <c r="F662" t="s">
        <v>28</v>
      </c>
      <c r="G662" t="str">
        <f>"2026-01-23 05:08:09.119"</f>
        <v>2026-01-23 05:08:09.119</v>
      </c>
      <c r="H662" t="s">
        <v>21</v>
      </c>
    </row>
    <row r="663" spans="1:10" x14ac:dyDescent="0.25">
      <c r="A663" s="1">
        <v>66</v>
      </c>
      <c r="B663" t="s">
        <v>29</v>
      </c>
      <c r="C663">
        <v>635</v>
      </c>
      <c r="D663">
        <v>1</v>
      </c>
      <c r="E663" t="s">
        <v>27</v>
      </c>
      <c r="F663" t="s">
        <v>28</v>
      </c>
      <c r="G663" t="str">
        <f>"2026-01-23 05:04:40.619"</f>
        <v>2026-01-23 05:04:40.619</v>
      </c>
      <c r="H663" t="s">
        <v>21</v>
      </c>
      <c r="I663">
        <v>0.41</v>
      </c>
      <c r="J663" t="s">
        <v>30</v>
      </c>
    </row>
    <row r="664" spans="1:10" x14ac:dyDescent="0.25">
      <c r="A664" s="1">
        <v>67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"2026-01-22 13:23:39.600"</f>
        <v>2026-01-22 13:23:39.600</v>
      </c>
      <c r="H664" t="s">
        <v>21</v>
      </c>
      <c r="I664">
        <v>0</v>
      </c>
      <c r="J664" t="s">
        <v>22</v>
      </c>
    </row>
    <row r="665" spans="1:10" x14ac:dyDescent="0.25">
      <c r="A665" s="1">
        <v>68</v>
      </c>
      <c r="B665" t="s">
        <v>26</v>
      </c>
      <c r="C665">
        <v>635</v>
      </c>
      <c r="D665">
        <v>1</v>
      </c>
      <c r="E665" t="s">
        <v>27</v>
      </c>
      <c r="F665" t="s">
        <v>28</v>
      </c>
      <c r="G665" t="str">
        <f>"2026-01-22 07:55:00.798"</f>
        <v>2026-01-22 07:55:00.798</v>
      </c>
      <c r="H665" t="s">
        <v>21</v>
      </c>
    </row>
    <row r="666" spans="1:10" x14ac:dyDescent="0.25">
      <c r="A666" s="1">
        <v>69</v>
      </c>
      <c r="B666" t="s">
        <v>29</v>
      </c>
      <c r="C666">
        <v>635</v>
      </c>
      <c r="D666">
        <v>1</v>
      </c>
      <c r="E666" t="s">
        <v>27</v>
      </c>
      <c r="F666" t="s">
        <v>28</v>
      </c>
      <c r="G666" t="str">
        <f>"2026-01-22 07:50:37.298"</f>
        <v>2026-01-22 07:50:37.298</v>
      </c>
      <c r="H666" t="s">
        <v>21</v>
      </c>
      <c r="I666">
        <v>4.93</v>
      </c>
      <c r="J666" t="s">
        <v>30</v>
      </c>
    </row>
    <row r="667" spans="1:10" x14ac:dyDescent="0.25">
      <c r="A667" s="1">
        <v>70</v>
      </c>
      <c r="B667" t="s">
        <v>26</v>
      </c>
      <c r="C667">
        <v>635</v>
      </c>
      <c r="D667">
        <v>1</v>
      </c>
      <c r="E667" t="s">
        <v>27</v>
      </c>
      <c r="F667" t="s">
        <v>28</v>
      </c>
      <c r="G667" t="str">
        <f>"2026-01-22 07:01:08.898"</f>
        <v>2026-01-22 07:01:08.898</v>
      </c>
      <c r="H667" t="s">
        <v>21</v>
      </c>
    </row>
    <row r="668" spans="1:10" x14ac:dyDescent="0.25">
      <c r="A668" s="1">
        <v>71</v>
      </c>
      <c r="B668" t="s">
        <v>29</v>
      </c>
      <c r="C668">
        <v>635</v>
      </c>
      <c r="D668">
        <v>1</v>
      </c>
      <c r="E668" t="s">
        <v>27</v>
      </c>
      <c r="F668" t="s">
        <v>28</v>
      </c>
      <c r="G668" t="str">
        <f>"2026-01-22 06:56:46.398"</f>
        <v>2026-01-22 06:56:46.398</v>
      </c>
      <c r="H668" t="s">
        <v>21</v>
      </c>
      <c r="I668">
        <v>5.4</v>
      </c>
      <c r="J668" t="s">
        <v>30</v>
      </c>
    </row>
    <row r="669" spans="1:10" x14ac:dyDescent="0.25">
      <c r="A669" s="1">
        <v>72</v>
      </c>
      <c r="B669" t="s">
        <v>26</v>
      </c>
      <c r="C669">
        <v>635</v>
      </c>
      <c r="D669">
        <v>1</v>
      </c>
      <c r="E669" t="s">
        <v>27</v>
      </c>
      <c r="F669" t="s">
        <v>28</v>
      </c>
      <c r="G669" t="str">
        <f>"2026-01-21 21:47:24.398"</f>
        <v>2026-01-21 21:47:24.398</v>
      </c>
      <c r="H669" t="s">
        <v>21</v>
      </c>
    </row>
    <row r="670" spans="1:10" x14ac:dyDescent="0.25">
      <c r="A670" s="1">
        <v>73</v>
      </c>
      <c r="B670" t="s">
        <v>29</v>
      </c>
      <c r="C670">
        <v>635</v>
      </c>
      <c r="D670">
        <v>1</v>
      </c>
      <c r="E670" t="s">
        <v>27</v>
      </c>
      <c r="F670" t="s">
        <v>28</v>
      </c>
      <c r="G670" t="str">
        <f>"2026-01-21 21:43:35.898"</f>
        <v>2026-01-21 21:43:35.898</v>
      </c>
      <c r="H670" t="s">
        <v>21</v>
      </c>
      <c r="I670">
        <v>9.2799999999999994</v>
      </c>
      <c r="J670" t="s">
        <v>32</v>
      </c>
    </row>
    <row r="671" spans="1:10" x14ac:dyDescent="0.25">
      <c r="A671" s="1">
        <v>74</v>
      </c>
      <c r="B671" t="s">
        <v>26</v>
      </c>
      <c r="C671">
        <v>635</v>
      </c>
      <c r="D671">
        <v>1</v>
      </c>
      <c r="E671" t="s">
        <v>27</v>
      </c>
      <c r="F671" t="s">
        <v>28</v>
      </c>
      <c r="G671" t="str">
        <f>"2026-01-21 09:33:15.298"</f>
        <v>2026-01-21 09:33:15.298</v>
      </c>
      <c r="H671" t="s">
        <v>21</v>
      </c>
    </row>
    <row r="672" spans="1:10" x14ac:dyDescent="0.25">
      <c r="A672" s="1">
        <v>75</v>
      </c>
      <c r="B672" t="s">
        <v>29</v>
      </c>
      <c r="C672">
        <v>635</v>
      </c>
      <c r="D672">
        <v>1</v>
      </c>
      <c r="E672" t="s">
        <v>27</v>
      </c>
      <c r="F672" t="s">
        <v>28</v>
      </c>
      <c r="G672" t="str">
        <f>"2026-01-21 09:29:55.298"</f>
        <v>2026-01-21 09:29:55.298</v>
      </c>
      <c r="H672" t="s">
        <v>21</v>
      </c>
      <c r="I672">
        <v>7.49</v>
      </c>
      <c r="J672" t="s">
        <v>32</v>
      </c>
    </row>
    <row r="673" spans="1:10" x14ac:dyDescent="0.25">
      <c r="A673" s="1">
        <v>76</v>
      </c>
      <c r="B673" t="s">
        <v>26</v>
      </c>
      <c r="C673">
        <v>635</v>
      </c>
      <c r="D673">
        <v>1</v>
      </c>
      <c r="E673" t="s">
        <v>27</v>
      </c>
      <c r="F673" t="s">
        <v>28</v>
      </c>
      <c r="G673" t="str">
        <f>"2026-01-20 16:39:48.298"</f>
        <v>2026-01-20 16:39:48.298</v>
      </c>
      <c r="H673" t="s">
        <v>21</v>
      </c>
    </row>
    <row r="674" spans="1:10" x14ac:dyDescent="0.25">
      <c r="A674" s="1">
        <v>77</v>
      </c>
      <c r="B674" t="s">
        <v>29</v>
      </c>
      <c r="C674">
        <v>635</v>
      </c>
      <c r="D674">
        <v>1</v>
      </c>
      <c r="E674" t="s">
        <v>27</v>
      </c>
      <c r="F674" t="s">
        <v>28</v>
      </c>
      <c r="G674" t="str">
        <f>"2026-01-20 16:37:26.798"</f>
        <v>2026-01-20 16:37:26.798</v>
      </c>
      <c r="H674" t="s">
        <v>21</v>
      </c>
      <c r="I674">
        <v>4.4000000000000004</v>
      </c>
      <c r="J674" t="s">
        <v>30</v>
      </c>
    </row>
    <row r="675" spans="1:10" x14ac:dyDescent="0.25">
      <c r="A675" s="1">
        <v>78</v>
      </c>
      <c r="B675" t="s">
        <v>19</v>
      </c>
      <c r="C675">
        <v>706</v>
      </c>
      <c r="D675">
        <v>4</v>
      </c>
      <c r="E675" t="s">
        <v>23</v>
      </c>
      <c r="F675" t="s">
        <v>38</v>
      </c>
      <c r="G675" t="str">
        <f>"2026-01-20 13:29:28.627"</f>
        <v>2026-01-20 13:29:28.627</v>
      </c>
      <c r="H675" t="s">
        <v>21</v>
      </c>
      <c r="I675">
        <v>0</v>
      </c>
      <c r="J675" t="s">
        <v>25</v>
      </c>
    </row>
    <row r="676" spans="1:10" x14ac:dyDescent="0.25">
      <c r="A676" s="1">
        <v>79</v>
      </c>
      <c r="B676" t="s">
        <v>19</v>
      </c>
      <c r="C676">
        <v>706</v>
      </c>
      <c r="D676">
        <v>3</v>
      </c>
      <c r="E676" t="s">
        <v>23</v>
      </c>
      <c r="F676" t="s">
        <v>39</v>
      </c>
      <c r="G676" t="str">
        <f>"2026-01-20 13:28:59.117"</f>
        <v>2026-01-20 13:28:59.117</v>
      </c>
      <c r="H676" t="s">
        <v>21</v>
      </c>
      <c r="I676">
        <v>0</v>
      </c>
      <c r="J676" t="s">
        <v>25</v>
      </c>
    </row>
    <row r="677" spans="1:10" x14ac:dyDescent="0.25">
      <c r="A677" s="1">
        <v>80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"2026-01-20 13:27:47.457"</f>
        <v>2026-01-20 13:27:47.457</v>
      </c>
      <c r="H677" t="s">
        <v>21</v>
      </c>
      <c r="I677">
        <v>0</v>
      </c>
      <c r="J677" t="s">
        <v>22</v>
      </c>
    </row>
    <row r="678" spans="1:10" x14ac:dyDescent="0.25">
      <c r="A678" s="1">
        <v>81</v>
      </c>
      <c r="B678" t="s">
        <v>19</v>
      </c>
      <c r="C678">
        <v>706</v>
      </c>
      <c r="D678">
        <v>4</v>
      </c>
      <c r="E678" t="s">
        <v>23</v>
      </c>
      <c r="F678" t="s">
        <v>38</v>
      </c>
      <c r="G678" t="str">
        <f>"2026-01-20 10:55:25.451"</f>
        <v>2026-01-20 10:55:25.451</v>
      </c>
      <c r="H678" t="s">
        <v>21</v>
      </c>
      <c r="I678">
        <v>0</v>
      </c>
      <c r="J678" t="s">
        <v>25</v>
      </c>
    </row>
    <row r="679" spans="1:10" x14ac:dyDescent="0.25">
      <c r="A679" s="1">
        <v>82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"2026-01-20 10:48:18.451"</f>
        <v>2026-01-20 10:48:18.451</v>
      </c>
      <c r="H679" t="s">
        <v>21</v>
      </c>
    </row>
    <row r="680" spans="1:10" x14ac:dyDescent="0.25">
      <c r="A680" s="1">
        <v>83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"2026-01-20 10:44:45.452"</f>
        <v>2026-01-20 10:44:45.452</v>
      </c>
      <c r="H680" t="s">
        <v>21</v>
      </c>
      <c r="I680">
        <v>0</v>
      </c>
      <c r="J680" t="s">
        <v>22</v>
      </c>
    </row>
    <row r="681" spans="1:10" x14ac:dyDescent="0.25">
      <c r="A681" s="1">
        <v>84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"2026-01-20 08:29:34.607"</f>
        <v>2026-01-20 08:29:34.607</v>
      </c>
      <c r="H681" t="s">
        <v>21</v>
      </c>
      <c r="I681">
        <v>0</v>
      </c>
      <c r="J681" t="s">
        <v>22</v>
      </c>
    </row>
    <row r="682" spans="1:10" x14ac:dyDescent="0.25">
      <c r="A682" s="1">
        <v>85</v>
      </c>
      <c r="B682" t="s">
        <v>26</v>
      </c>
      <c r="C682">
        <v>635</v>
      </c>
      <c r="D682">
        <v>1</v>
      </c>
      <c r="E682" t="s">
        <v>27</v>
      </c>
      <c r="F682" t="s">
        <v>28</v>
      </c>
      <c r="G682" t="str">
        <f>"2026-01-20 06:00:17.286"</f>
        <v>2026-01-20 06:00:17.286</v>
      </c>
      <c r="H682" t="s">
        <v>21</v>
      </c>
    </row>
    <row r="683" spans="1:10" x14ac:dyDescent="0.25">
      <c r="A683" s="1">
        <v>86</v>
      </c>
      <c r="B683" t="s">
        <v>29</v>
      </c>
      <c r="C683">
        <v>635</v>
      </c>
      <c r="D683">
        <v>1</v>
      </c>
      <c r="E683" t="s">
        <v>27</v>
      </c>
      <c r="F683" t="s">
        <v>28</v>
      </c>
      <c r="G683" t="str">
        <f>"2026-01-20 05:56:37.786"</f>
        <v>2026-01-20 05:56:37.786</v>
      </c>
      <c r="H683" t="s">
        <v>21</v>
      </c>
      <c r="I683">
        <v>8.49</v>
      </c>
      <c r="J683" t="s">
        <v>30</v>
      </c>
    </row>
    <row r="684" spans="1:10" x14ac:dyDescent="0.25">
      <c r="A684" s="1">
        <v>88</v>
      </c>
      <c r="B684" t="s">
        <v>26</v>
      </c>
      <c r="C684">
        <v>61</v>
      </c>
      <c r="D684">
        <v>2</v>
      </c>
      <c r="E684" t="s">
        <v>44</v>
      </c>
      <c r="F684" t="s">
        <v>45</v>
      </c>
      <c r="G684" t="str">
        <f>"2026-01-19 16:36:16.179"</f>
        <v>2026-01-19 16:36:16.179</v>
      </c>
      <c r="H684" t="s">
        <v>21</v>
      </c>
    </row>
    <row r="685" spans="1:10" x14ac:dyDescent="0.25">
      <c r="A685" s="1">
        <v>89</v>
      </c>
      <c r="B685" t="s">
        <v>37</v>
      </c>
      <c r="C685">
        <v>61</v>
      </c>
      <c r="D685">
        <v>2</v>
      </c>
      <c r="E685" t="s">
        <v>44</v>
      </c>
      <c r="F685" t="s">
        <v>45</v>
      </c>
      <c r="G685" t="str">
        <f>"2026-01-19 16:36:02.579"</f>
        <v>2026-01-19 16:36:02.579</v>
      </c>
      <c r="H685" t="s">
        <v>21</v>
      </c>
      <c r="I685">
        <v>30.46</v>
      </c>
      <c r="J685" t="s">
        <v>32</v>
      </c>
    </row>
    <row r="686" spans="1:10" x14ac:dyDescent="0.25">
      <c r="A686" s="1">
        <v>90</v>
      </c>
      <c r="B686" t="s">
        <v>19</v>
      </c>
      <c r="C686">
        <v>706</v>
      </c>
      <c r="D686">
        <v>2</v>
      </c>
      <c r="E686" t="s">
        <v>23</v>
      </c>
      <c r="F686" t="s">
        <v>24</v>
      </c>
      <c r="G686" t="str">
        <f>"2026-01-19 16:16:36.448"</f>
        <v>2026-01-19 16:16:36.448</v>
      </c>
      <c r="H686" t="s">
        <v>21</v>
      </c>
      <c r="I686">
        <v>0</v>
      </c>
      <c r="J686" t="s">
        <v>25</v>
      </c>
    </row>
    <row r="687" spans="1:10" x14ac:dyDescent="0.25">
      <c r="A687" s="1">
        <v>91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"2026-01-19 15:49:29.448"</f>
        <v>2026-01-19 15:49:29.448</v>
      </c>
      <c r="H687" t="s">
        <v>21</v>
      </c>
      <c r="I687">
        <v>0</v>
      </c>
      <c r="J687" t="s">
        <v>22</v>
      </c>
    </row>
    <row r="688" spans="1:10" x14ac:dyDescent="0.25">
      <c r="A688" s="1">
        <v>92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"2026-01-19 15:40:48.446"</f>
        <v>2026-01-19 15:40:48.446</v>
      </c>
      <c r="H688" t="s">
        <v>21</v>
      </c>
      <c r="I688">
        <v>0</v>
      </c>
      <c r="J688" t="s">
        <v>22</v>
      </c>
    </row>
    <row r="689" spans="1:10" x14ac:dyDescent="0.25">
      <c r="A689" s="1">
        <v>93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"2026-01-19 15:39:12.451"</f>
        <v>2026-01-19 15:39:12.451</v>
      </c>
      <c r="H689" t="s">
        <v>21</v>
      </c>
      <c r="I689">
        <v>0</v>
      </c>
      <c r="J689" t="s">
        <v>22</v>
      </c>
    </row>
    <row r="690" spans="1:10" x14ac:dyDescent="0.25">
      <c r="A690" s="1">
        <v>94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"2026-01-19 15:30:57.436"</f>
        <v>2026-01-19 15:30:57.436</v>
      </c>
      <c r="H690" t="s">
        <v>21</v>
      </c>
    </row>
    <row r="691" spans="1:10" x14ac:dyDescent="0.25">
      <c r="A691" s="1">
        <v>96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"2026-01-19 14:30:13.691"</f>
        <v>2026-01-19 14:30:13.691</v>
      </c>
      <c r="H691" t="s">
        <v>21</v>
      </c>
      <c r="I691">
        <v>0</v>
      </c>
      <c r="J691" t="s">
        <v>22</v>
      </c>
    </row>
    <row r="692" spans="1:10" x14ac:dyDescent="0.25">
      <c r="A692" s="1">
        <v>98</v>
      </c>
      <c r="B692" t="s">
        <v>37</v>
      </c>
      <c r="C692">
        <v>47</v>
      </c>
      <c r="D692">
        <v>2</v>
      </c>
      <c r="E692" t="s">
        <v>51</v>
      </c>
      <c r="F692" t="s">
        <v>52</v>
      </c>
      <c r="G692" t="str">
        <f>"2026-01-19 14:28:58.840"</f>
        <v>2026-01-19 14:28:58.840</v>
      </c>
      <c r="H692" t="s">
        <v>36</v>
      </c>
      <c r="I692">
        <v>0</v>
      </c>
      <c r="J692" t="s">
        <v>31</v>
      </c>
    </row>
    <row r="693" spans="1:10" x14ac:dyDescent="0.25">
      <c r="A693" s="1">
        <v>99</v>
      </c>
      <c r="B693" t="s">
        <v>19</v>
      </c>
      <c r="C693">
        <v>706</v>
      </c>
      <c r="D693">
        <v>4</v>
      </c>
      <c r="E693" t="s">
        <v>23</v>
      </c>
      <c r="F693" t="s">
        <v>38</v>
      </c>
      <c r="G693" t="str">
        <f>"2026-01-19 14:24:14.540"</f>
        <v>2026-01-19 14:24:14.540</v>
      </c>
      <c r="H693" t="s">
        <v>21</v>
      </c>
      <c r="I693">
        <v>0</v>
      </c>
      <c r="J693" t="s">
        <v>25</v>
      </c>
    </row>
    <row r="694" spans="1:10" x14ac:dyDescent="0.25">
      <c r="A694" s="1">
        <v>1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"2026-01-19 14:18:04.580"</f>
        <v>2026-01-19 14:18:04.580</v>
      </c>
      <c r="H694" t="s">
        <v>21</v>
      </c>
    </row>
    <row r="695" spans="1:10" x14ac:dyDescent="0.25">
      <c r="A695" s="1">
        <v>3</v>
      </c>
      <c r="B695" t="s">
        <v>26</v>
      </c>
      <c r="C695">
        <v>98</v>
      </c>
      <c r="D695">
        <v>1</v>
      </c>
      <c r="E695" t="s">
        <v>49</v>
      </c>
      <c r="F695" t="s">
        <v>50</v>
      </c>
      <c r="G695" t="str">
        <f>"2026-01-19 00:30:41.091"</f>
        <v>2026-01-19 00:30:41.091</v>
      </c>
      <c r="H695" t="s">
        <v>21</v>
      </c>
    </row>
    <row r="696" spans="1:10" x14ac:dyDescent="0.25">
      <c r="A696" s="1">
        <v>4</v>
      </c>
      <c r="B696" t="s">
        <v>29</v>
      </c>
      <c r="C696">
        <v>98</v>
      </c>
      <c r="D696">
        <v>1</v>
      </c>
      <c r="E696" t="s">
        <v>49</v>
      </c>
      <c r="F696" t="s">
        <v>50</v>
      </c>
      <c r="G696" t="str">
        <f>"2026-01-19 00:30:39.991"</f>
        <v>2026-01-19 00:30:39.991</v>
      </c>
      <c r="H696" t="s">
        <v>21</v>
      </c>
      <c r="I696">
        <v>0</v>
      </c>
      <c r="J696" t="s">
        <v>31</v>
      </c>
    </row>
    <row r="697" spans="1:10" x14ac:dyDescent="0.25">
      <c r="A697" s="1">
        <v>6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"2026-01-18 09:18:08.440"</f>
        <v>2026-01-18 09:18:08.440</v>
      </c>
      <c r="H697" t="s">
        <v>21</v>
      </c>
      <c r="I697">
        <v>0</v>
      </c>
      <c r="J697" t="s">
        <v>22</v>
      </c>
    </row>
    <row r="698" spans="1:10" x14ac:dyDescent="0.25">
      <c r="A698" s="1">
        <v>8</v>
      </c>
      <c r="B698" t="s">
        <v>37</v>
      </c>
      <c r="C698">
        <v>47</v>
      </c>
      <c r="D698">
        <v>2</v>
      </c>
      <c r="E698" t="s">
        <v>51</v>
      </c>
      <c r="F698" t="s">
        <v>52</v>
      </c>
      <c r="G698" t="str">
        <f>"2026-01-18 09:11:23.898"</f>
        <v>2026-01-18 09:11:23.898</v>
      </c>
      <c r="H698" t="s">
        <v>36</v>
      </c>
      <c r="I698">
        <v>0</v>
      </c>
      <c r="J698" t="s">
        <v>31</v>
      </c>
    </row>
    <row r="699" spans="1:10" x14ac:dyDescent="0.25">
      <c r="A699" s="1">
        <v>9</v>
      </c>
      <c r="B699" t="s">
        <v>26</v>
      </c>
      <c r="C699">
        <v>61</v>
      </c>
      <c r="D699">
        <v>2</v>
      </c>
      <c r="E699" t="s">
        <v>44</v>
      </c>
      <c r="F699" t="s">
        <v>45</v>
      </c>
      <c r="G699" t="str">
        <f>"2026-01-18 05:48:51.898"</f>
        <v>2026-01-18 05:48:51.898</v>
      </c>
      <c r="H699" t="s">
        <v>21</v>
      </c>
    </row>
    <row r="700" spans="1:10" x14ac:dyDescent="0.25">
      <c r="A700" s="1">
        <v>10</v>
      </c>
      <c r="B700" t="s">
        <v>37</v>
      </c>
      <c r="C700">
        <v>61</v>
      </c>
      <c r="D700">
        <v>2</v>
      </c>
      <c r="E700" t="s">
        <v>44</v>
      </c>
      <c r="F700" t="s">
        <v>45</v>
      </c>
      <c r="G700" t="str">
        <f>"2026-01-18 05:48:38.698"</f>
        <v>2026-01-18 05:48:38.698</v>
      </c>
      <c r="H700" t="s">
        <v>21</v>
      </c>
      <c r="I700">
        <v>31.36</v>
      </c>
      <c r="J700" t="s">
        <v>32</v>
      </c>
    </row>
    <row r="701" spans="1:10" x14ac:dyDescent="0.25">
      <c r="A701" s="1">
        <v>11</v>
      </c>
      <c r="B701" t="s">
        <v>26</v>
      </c>
      <c r="C701">
        <v>635</v>
      </c>
      <c r="D701">
        <v>1</v>
      </c>
      <c r="E701" t="s">
        <v>27</v>
      </c>
      <c r="F701" t="s">
        <v>28</v>
      </c>
      <c r="G701" t="str">
        <f>"2026-01-18 02:53:58.337"</f>
        <v>2026-01-18 02:53:58.337</v>
      </c>
      <c r="H701" t="s">
        <v>21</v>
      </c>
    </row>
    <row r="702" spans="1:10" x14ac:dyDescent="0.25">
      <c r="A702" s="1">
        <v>12</v>
      </c>
      <c r="B702" t="s">
        <v>29</v>
      </c>
      <c r="C702">
        <v>635</v>
      </c>
      <c r="D702">
        <v>1</v>
      </c>
      <c r="E702" t="s">
        <v>27</v>
      </c>
      <c r="F702" t="s">
        <v>28</v>
      </c>
      <c r="G702" t="str">
        <f>"2026-01-18 02:50:04.836"</f>
        <v>2026-01-18 02:50:04.836</v>
      </c>
      <c r="H702" t="s">
        <v>21</v>
      </c>
      <c r="I702">
        <v>7.92</v>
      </c>
      <c r="J702" t="s">
        <v>30</v>
      </c>
    </row>
    <row r="703" spans="1:10" x14ac:dyDescent="0.25">
      <c r="A703" s="1">
        <v>13</v>
      </c>
      <c r="B703" t="s">
        <v>26</v>
      </c>
      <c r="C703">
        <v>61</v>
      </c>
      <c r="D703">
        <v>2</v>
      </c>
      <c r="E703" t="s">
        <v>44</v>
      </c>
      <c r="F703" t="s">
        <v>45</v>
      </c>
      <c r="G703" t="str">
        <f>"2026-01-18 02:25:00.198"</f>
        <v>2026-01-18 02:25:00.198</v>
      </c>
      <c r="H703" t="s">
        <v>21</v>
      </c>
    </row>
    <row r="704" spans="1:10" x14ac:dyDescent="0.25">
      <c r="A704" s="1">
        <v>14</v>
      </c>
      <c r="B704" t="s">
        <v>37</v>
      </c>
      <c r="C704">
        <v>61</v>
      </c>
      <c r="D704">
        <v>2</v>
      </c>
      <c r="E704" t="s">
        <v>44</v>
      </c>
      <c r="F704" t="s">
        <v>45</v>
      </c>
      <c r="G704" t="str">
        <f>"2026-01-18 02:24:47.898"</f>
        <v>2026-01-18 02:24:47.898</v>
      </c>
      <c r="H704" t="s">
        <v>21</v>
      </c>
      <c r="I704">
        <v>30.75</v>
      </c>
      <c r="J704" t="s">
        <v>32</v>
      </c>
    </row>
    <row r="705" spans="1:10" x14ac:dyDescent="0.25">
      <c r="A705" s="1">
        <v>15</v>
      </c>
      <c r="B705" t="s">
        <v>26</v>
      </c>
      <c r="C705">
        <v>61</v>
      </c>
      <c r="D705">
        <v>2</v>
      </c>
      <c r="E705" t="s">
        <v>44</v>
      </c>
      <c r="F705" t="s">
        <v>45</v>
      </c>
      <c r="G705" t="str">
        <f>"2026-01-17 21:06:36.898"</f>
        <v>2026-01-17 21:06:36.898</v>
      </c>
      <c r="H705" t="s">
        <v>21</v>
      </c>
    </row>
    <row r="706" spans="1:10" x14ac:dyDescent="0.25">
      <c r="A706" s="1">
        <v>16</v>
      </c>
      <c r="B706" t="s">
        <v>37</v>
      </c>
      <c r="C706">
        <v>61</v>
      </c>
      <c r="D706">
        <v>2</v>
      </c>
      <c r="E706" t="s">
        <v>44</v>
      </c>
      <c r="F706" t="s">
        <v>45</v>
      </c>
      <c r="G706" t="str">
        <f>"2026-01-17 21:06:29.798"</f>
        <v>2026-01-17 21:06:29.798</v>
      </c>
      <c r="H706" t="s">
        <v>21</v>
      </c>
      <c r="I706">
        <v>29.25</v>
      </c>
      <c r="J706" t="s">
        <v>32</v>
      </c>
    </row>
    <row r="707" spans="1:10" x14ac:dyDescent="0.25">
      <c r="A707" s="1">
        <v>20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"2026-01-16 08:20:18.437"</f>
        <v>2026-01-16 08:20:18.437</v>
      </c>
      <c r="H707" t="s">
        <v>21</v>
      </c>
      <c r="I707">
        <v>0</v>
      </c>
      <c r="J707" t="s">
        <v>22</v>
      </c>
    </row>
    <row r="708" spans="1:10" x14ac:dyDescent="0.25">
      <c r="A708" s="1">
        <v>23</v>
      </c>
      <c r="B708" t="s">
        <v>26</v>
      </c>
      <c r="C708">
        <v>635</v>
      </c>
      <c r="D708">
        <v>1</v>
      </c>
      <c r="E708" t="s">
        <v>27</v>
      </c>
      <c r="F708" t="s">
        <v>28</v>
      </c>
      <c r="G708" t="str">
        <f>"2026-01-15 20:43:55.373"</f>
        <v>2026-01-15 20:43:55.373</v>
      </c>
      <c r="H708" t="s">
        <v>21</v>
      </c>
    </row>
    <row r="709" spans="1:10" x14ac:dyDescent="0.25">
      <c r="A709" s="1">
        <v>24</v>
      </c>
      <c r="B709" t="s">
        <v>29</v>
      </c>
      <c r="C709">
        <v>635</v>
      </c>
      <c r="D709">
        <v>1</v>
      </c>
      <c r="E709" t="s">
        <v>27</v>
      </c>
      <c r="F709" t="s">
        <v>28</v>
      </c>
      <c r="G709" t="str">
        <f>"2026-01-15 20:39:47.873"</f>
        <v>2026-01-15 20:39:47.873</v>
      </c>
      <c r="H709" t="s">
        <v>21</v>
      </c>
      <c r="I709">
        <v>7.65</v>
      </c>
      <c r="J709" t="s">
        <v>30</v>
      </c>
    </row>
    <row r="710" spans="1:10" x14ac:dyDescent="0.25">
      <c r="A710" s="1">
        <v>27</v>
      </c>
      <c r="B710" t="s">
        <v>19</v>
      </c>
      <c r="C710">
        <v>706</v>
      </c>
      <c r="D710">
        <v>2</v>
      </c>
      <c r="E710" t="s">
        <v>23</v>
      </c>
      <c r="F710" t="s">
        <v>24</v>
      </c>
      <c r="G710" t="str">
        <f>"2026-01-14 15:42:50.564"</f>
        <v>2026-01-14 15:42:50.564</v>
      </c>
      <c r="H710" t="s">
        <v>21</v>
      </c>
      <c r="I710">
        <v>0</v>
      </c>
      <c r="J710" t="s">
        <v>25</v>
      </c>
    </row>
    <row r="711" spans="1:10" x14ac:dyDescent="0.25">
      <c r="A711" s="1">
        <v>31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"2026-01-14 15:23:08.414"</f>
        <v>2026-01-14 15:23:08.414</v>
      </c>
      <c r="H711" t="s">
        <v>21</v>
      </c>
    </row>
    <row r="712" spans="1:10" x14ac:dyDescent="0.25">
      <c r="A712" s="1">
        <v>33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"2026-01-14 15:10:43.407"</f>
        <v>2026-01-14 15:10:43.407</v>
      </c>
      <c r="H712" t="s">
        <v>21</v>
      </c>
    </row>
    <row r="713" spans="1:10" x14ac:dyDescent="0.25">
      <c r="A713" s="1">
        <v>35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"2026-01-14 15:07:29.424"</f>
        <v>2026-01-14 15:07:29.424</v>
      </c>
      <c r="H713" t="s">
        <v>21</v>
      </c>
      <c r="I713">
        <v>0</v>
      </c>
      <c r="J713" t="s">
        <v>22</v>
      </c>
    </row>
    <row r="714" spans="1:10" x14ac:dyDescent="0.25">
      <c r="A714" s="1">
        <v>38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"2026-01-14 10:40:40.443"</f>
        <v>2026-01-14 10:40:40.443</v>
      </c>
      <c r="H714" t="s">
        <v>21</v>
      </c>
    </row>
    <row r="715" spans="1:10" x14ac:dyDescent="0.25">
      <c r="A715" s="1">
        <v>40</v>
      </c>
      <c r="B715" t="s">
        <v>37</v>
      </c>
      <c r="C715">
        <v>47</v>
      </c>
      <c r="D715">
        <v>2</v>
      </c>
      <c r="E715" t="s">
        <v>51</v>
      </c>
      <c r="F715" t="s">
        <v>52</v>
      </c>
      <c r="G715" t="str">
        <f>"2026-01-14 10:31:35.011"</f>
        <v>2026-01-14 10:31:35.011</v>
      </c>
      <c r="H715" t="s">
        <v>36</v>
      </c>
      <c r="I715">
        <v>0</v>
      </c>
      <c r="J715" t="s">
        <v>31</v>
      </c>
    </row>
    <row r="716" spans="1:10" x14ac:dyDescent="0.25">
      <c r="A716" s="1">
        <v>41</v>
      </c>
      <c r="B716" t="s">
        <v>26</v>
      </c>
      <c r="C716">
        <v>635</v>
      </c>
      <c r="D716">
        <v>1</v>
      </c>
      <c r="E716" t="s">
        <v>27</v>
      </c>
      <c r="F716" t="s">
        <v>28</v>
      </c>
      <c r="G716" t="str">
        <f>"2026-01-14 10:25:14.551"</f>
        <v>2026-01-14 10:25:14.551</v>
      </c>
      <c r="H716" t="s">
        <v>21</v>
      </c>
    </row>
    <row r="717" spans="1:10" x14ac:dyDescent="0.25">
      <c r="A717" s="1">
        <v>42</v>
      </c>
      <c r="B717" t="s">
        <v>29</v>
      </c>
      <c r="C717">
        <v>635</v>
      </c>
      <c r="D717">
        <v>1</v>
      </c>
      <c r="E717" t="s">
        <v>27</v>
      </c>
      <c r="F717" t="s">
        <v>28</v>
      </c>
      <c r="G717" t="str">
        <f>"2026-01-14 10:23:07.551"</f>
        <v>2026-01-14 10:23:07.551</v>
      </c>
      <c r="H717" t="s">
        <v>21</v>
      </c>
      <c r="I717">
        <v>7.35</v>
      </c>
      <c r="J717" t="s">
        <v>30</v>
      </c>
    </row>
    <row r="718" spans="1:10" x14ac:dyDescent="0.25">
      <c r="A718" s="1">
        <v>43</v>
      </c>
      <c r="B718" t="s">
        <v>26</v>
      </c>
      <c r="C718">
        <v>635</v>
      </c>
      <c r="D718">
        <v>1</v>
      </c>
      <c r="E718" t="s">
        <v>27</v>
      </c>
      <c r="F718" t="s">
        <v>28</v>
      </c>
      <c r="G718" t="str">
        <f>"2026-01-14 09:04:32.251"</f>
        <v>2026-01-14 09:04:32.251</v>
      </c>
      <c r="H718" t="s">
        <v>21</v>
      </c>
    </row>
    <row r="719" spans="1:10" x14ac:dyDescent="0.25">
      <c r="A719" s="1">
        <v>44</v>
      </c>
      <c r="B719" t="s">
        <v>29</v>
      </c>
      <c r="C719">
        <v>635</v>
      </c>
      <c r="D719">
        <v>1</v>
      </c>
      <c r="E719" t="s">
        <v>27</v>
      </c>
      <c r="F719" t="s">
        <v>28</v>
      </c>
      <c r="G719" t="str">
        <f>"2026-01-14 09:02:03.751"</f>
        <v>2026-01-14 09:02:03.751</v>
      </c>
      <c r="H719" t="s">
        <v>21</v>
      </c>
      <c r="I719">
        <v>4.3499999999999996</v>
      </c>
      <c r="J719" t="s">
        <v>30</v>
      </c>
    </row>
    <row r="720" spans="1:10" x14ac:dyDescent="0.25">
      <c r="A720" s="1">
        <v>45</v>
      </c>
      <c r="B720" t="s">
        <v>26</v>
      </c>
      <c r="C720">
        <v>635</v>
      </c>
      <c r="D720">
        <v>1</v>
      </c>
      <c r="E720" t="s">
        <v>27</v>
      </c>
      <c r="F720" t="s">
        <v>28</v>
      </c>
      <c r="G720" t="str">
        <f>"2026-01-13 22:30:52.451"</f>
        <v>2026-01-13 22:30:52.451</v>
      </c>
      <c r="H720" t="s">
        <v>21</v>
      </c>
    </row>
    <row r="721" spans="1:10" x14ac:dyDescent="0.25">
      <c r="A721" s="1">
        <v>46</v>
      </c>
      <c r="B721" t="s">
        <v>29</v>
      </c>
      <c r="C721">
        <v>635</v>
      </c>
      <c r="D721">
        <v>1</v>
      </c>
      <c r="E721" t="s">
        <v>27</v>
      </c>
      <c r="F721" t="s">
        <v>28</v>
      </c>
      <c r="G721" t="str">
        <f>"2026-01-13 22:27:12.951"</f>
        <v>2026-01-13 22:27:12.951</v>
      </c>
      <c r="H721" t="s">
        <v>21</v>
      </c>
      <c r="I721">
        <v>5.68</v>
      </c>
      <c r="J721" t="s">
        <v>30</v>
      </c>
    </row>
    <row r="722" spans="1:10" x14ac:dyDescent="0.25">
      <c r="A722" s="1">
        <v>47</v>
      </c>
      <c r="B722" t="s">
        <v>26</v>
      </c>
      <c r="C722">
        <v>635</v>
      </c>
      <c r="D722">
        <v>1</v>
      </c>
      <c r="E722" t="s">
        <v>27</v>
      </c>
      <c r="F722" t="s">
        <v>28</v>
      </c>
      <c r="G722" t="str">
        <f>"2026-01-13 21:14:22.051"</f>
        <v>2026-01-13 21:14:22.051</v>
      </c>
      <c r="H722" t="s">
        <v>21</v>
      </c>
    </row>
    <row r="723" spans="1:10" x14ac:dyDescent="0.25">
      <c r="A723" s="1">
        <v>48</v>
      </c>
      <c r="B723" t="s">
        <v>29</v>
      </c>
      <c r="C723">
        <v>635</v>
      </c>
      <c r="D723">
        <v>1</v>
      </c>
      <c r="E723" t="s">
        <v>27</v>
      </c>
      <c r="F723" t="s">
        <v>28</v>
      </c>
      <c r="G723" t="str">
        <f>"2026-01-13 21:02:57.051"</f>
        <v>2026-01-13 21:02:57.051</v>
      </c>
      <c r="H723" t="s">
        <v>21</v>
      </c>
      <c r="I723">
        <v>4.7</v>
      </c>
      <c r="J723" t="s">
        <v>31</v>
      </c>
    </row>
    <row r="724" spans="1:10" x14ac:dyDescent="0.25">
      <c r="A724" s="1">
        <v>49</v>
      </c>
      <c r="B724" t="s">
        <v>26</v>
      </c>
      <c r="C724">
        <v>635</v>
      </c>
      <c r="D724">
        <v>1</v>
      </c>
      <c r="E724" t="s">
        <v>27</v>
      </c>
      <c r="F724" t="s">
        <v>28</v>
      </c>
      <c r="G724" t="str">
        <f>"2026-01-13 08:05:19.651"</f>
        <v>2026-01-13 08:05:19.651</v>
      </c>
      <c r="H724" t="s">
        <v>21</v>
      </c>
    </row>
    <row r="725" spans="1:10" x14ac:dyDescent="0.25">
      <c r="A725" s="1">
        <v>50</v>
      </c>
      <c r="B725" t="s">
        <v>29</v>
      </c>
      <c r="C725">
        <v>635</v>
      </c>
      <c r="D725">
        <v>1</v>
      </c>
      <c r="E725" t="s">
        <v>27</v>
      </c>
      <c r="F725" t="s">
        <v>28</v>
      </c>
      <c r="G725" t="str">
        <f>"2026-01-13 08:02:49.151"</f>
        <v>2026-01-13 08:02:49.151</v>
      </c>
      <c r="H725" t="s">
        <v>21</v>
      </c>
      <c r="I725">
        <v>7.55</v>
      </c>
      <c r="J725" t="s">
        <v>30</v>
      </c>
    </row>
    <row r="726" spans="1:10" x14ac:dyDescent="0.25">
      <c r="A726" s="1">
        <v>51</v>
      </c>
      <c r="B726" t="s">
        <v>26</v>
      </c>
      <c r="C726">
        <v>635</v>
      </c>
      <c r="D726">
        <v>1</v>
      </c>
      <c r="E726" t="s">
        <v>27</v>
      </c>
      <c r="F726" t="s">
        <v>28</v>
      </c>
      <c r="G726" t="str">
        <f>"2026-01-13 05:59:03.451"</f>
        <v>2026-01-13 05:59:03.451</v>
      </c>
      <c r="H726" t="s">
        <v>21</v>
      </c>
    </row>
    <row r="727" spans="1:10" x14ac:dyDescent="0.25">
      <c r="A727" s="1">
        <v>52</v>
      </c>
      <c r="B727" t="s">
        <v>29</v>
      </c>
      <c r="C727">
        <v>635</v>
      </c>
      <c r="D727">
        <v>1</v>
      </c>
      <c r="E727" t="s">
        <v>27</v>
      </c>
      <c r="F727" t="s">
        <v>28</v>
      </c>
      <c r="G727" t="str">
        <f>"2026-01-13 05:55:42.451"</f>
        <v>2026-01-13 05:55:42.451</v>
      </c>
      <c r="H727" t="s">
        <v>21</v>
      </c>
      <c r="I727">
        <v>7.72</v>
      </c>
      <c r="J727" t="s">
        <v>30</v>
      </c>
    </row>
    <row r="728" spans="1:10" x14ac:dyDescent="0.25">
      <c r="A728" s="1">
        <v>53</v>
      </c>
      <c r="B728" t="s">
        <v>26</v>
      </c>
      <c r="C728">
        <v>635</v>
      </c>
      <c r="D728">
        <v>1</v>
      </c>
      <c r="E728" t="s">
        <v>27</v>
      </c>
      <c r="F728" t="s">
        <v>28</v>
      </c>
      <c r="G728" t="str">
        <f>"2026-01-13 03:36:48.651"</f>
        <v>2026-01-13 03:36:48.651</v>
      </c>
      <c r="H728" t="s">
        <v>21</v>
      </c>
    </row>
    <row r="729" spans="1:10" x14ac:dyDescent="0.25">
      <c r="A729" s="1">
        <v>54</v>
      </c>
      <c r="B729" t="s">
        <v>29</v>
      </c>
      <c r="C729">
        <v>635</v>
      </c>
      <c r="D729">
        <v>1</v>
      </c>
      <c r="E729" t="s">
        <v>27</v>
      </c>
      <c r="F729" t="s">
        <v>28</v>
      </c>
      <c r="G729" t="str">
        <f>"2026-01-13 03:33:07.151"</f>
        <v>2026-01-13 03:33:07.151</v>
      </c>
      <c r="H729" t="s">
        <v>21</v>
      </c>
      <c r="I729">
        <v>7.27</v>
      </c>
      <c r="J729" t="s">
        <v>30</v>
      </c>
    </row>
    <row r="730" spans="1:10" x14ac:dyDescent="0.25">
      <c r="A730" s="1">
        <v>56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"2026-01-12 21:03:04.426"</f>
        <v>2026-01-12 21:03:04.426</v>
      </c>
      <c r="H730" t="s">
        <v>21</v>
      </c>
    </row>
    <row r="731" spans="1:10" x14ac:dyDescent="0.25">
      <c r="A731" s="1">
        <v>58</v>
      </c>
      <c r="B731" t="s">
        <v>37</v>
      </c>
      <c r="C731">
        <v>47</v>
      </c>
      <c r="D731">
        <v>2</v>
      </c>
      <c r="E731" t="s">
        <v>51</v>
      </c>
      <c r="F731" t="s">
        <v>52</v>
      </c>
      <c r="G731" t="str">
        <f>"2026-01-12 20:51:21.580"</f>
        <v>2026-01-12 20:51:21.580</v>
      </c>
      <c r="H731" t="s">
        <v>36</v>
      </c>
      <c r="I731">
        <v>0</v>
      </c>
      <c r="J731" t="s">
        <v>31</v>
      </c>
    </row>
    <row r="732" spans="1:10" x14ac:dyDescent="0.25">
      <c r="A732" s="1">
        <v>59</v>
      </c>
      <c r="B732" t="s">
        <v>26</v>
      </c>
      <c r="C732">
        <v>635</v>
      </c>
      <c r="D732">
        <v>1</v>
      </c>
      <c r="E732" t="s">
        <v>27</v>
      </c>
      <c r="F732" t="s">
        <v>28</v>
      </c>
      <c r="G732" t="str">
        <f>"2026-01-12 02:12:42.020"</f>
        <v>2026-01-12 02:12:42.020</v>
      </c>
      <c r="H732" t="s">
        <v>21</v>
      </c>
    </row>
    <row r="733" spans="1:10" x14ac:dyDescent="0.25">
      <c r="A733" s="1">
        <v>60</v>
      </c>
      <c r="B733" t="s">
        <v>29</v>
      </c>
      <c r="C733">
        <v>635</v>
      </c>
      <c r="D733">
        <v>1</v>
      </c>
      <c r="E733" t="s">
        <v>27</v>
      </c>
      <c r="F733" t="s">
        <v>28</v>
      </c>
      <c r="G733" t="str">
        <f>"2026-01-12 02:09:16.020"</f>
        <v>2026-01-12 02:09:16.020</v>
      </c>
      <c r="H733" t="s">
        <v>21</v>
      </c>
      <c r="I733">
        <v>4.2699999999999996</v>
      </c>
      <c r="J733" t="s">
        <v>30</v>
      </c>
    </row>
    <row r="734" spans="1:10" x14ac:dyDescent="0.25">
      <c r="A734" s="1">
        <v>61</v>
      </c>
      <c r="B734" t="s">
        <v>26</v>
      </c>
      <c r="C734">
        <v>635</v>
      </c>
      <c r="D734">
        <v>1</v>
      </c>
      <c r="E734" t="s">
        <v>27</v>
      </c>
      <c r="F734" t="s">
        <v>28</v>
      </c>
      <c r="G734" t="str">
        <f>"2026-01-11 15:43:41.720"</f>
        <v>2026-01-11 15:43:41.720</v>
      </c>
      <c r="H734" t="s">
        <v>21</v>
      </c>
    </row>
    <row r="735" spans="1:10" x14ac:dyDescent="0.25">
      <c r="A735" s="1">
        <v>62</v>
      </c>
      <c r="B735" t="s">
        <v>29</v>
      </c>
      <c r="C735">
        <v>635</v>
      </c>
      <c r="D735">
        <v>1</v>
      </c>
      <c r="E735" t="s">
        <v>27</v>
      </c>
      <c r="F735" t="s">
        <v>28</v>
      </c>
      <c r="G735" t="str">
        <f>"2026-01-11 15:39:59.220"</f>
        <v>2026-01-11 15:39:59.220</v>
      </c>
      <c r="H735" t="s">
        <v>21</v>
      </c>
      <c r="I735">
        <v>9.33</v>
      </c>
      <c r="J735" t="s">
        <v>32</v>
      </c>
    </row>
    <row r="736" spans="1:10" x14ac:dyDescent="0.25">
      <c r="A736" s="1">
        <v>65</v>
      </c>
      <c r="B736" t="s">
        <v>26</v>
      </c>
      <c r="C736">
        <v>61</v>
      </c>
      <c r="D736">
        <v>2</v>
      </c>
      <c r="E736" t="s">
        <v>44</v>
      </c>
      <c r="F736" t="s">
        <v>45</v>
      </c>
      <c r="G736" t="str">
        <f>"2026-01-11 02:04:37.581"</f>
        <v>2026-01-11 02:04:37.581</v>
      </c>
      <c r="H736" t="s">
        <v>21</v>
      </c>
    </row>
    <row r="737" spans="1:10" x14ac:dyDescent="0.25">
      <c r="A737" s="1">
        <v>66</v>
      </c>
      <c r="B737" t="s">
        <v>37</v>
      </c>
      <c r="C737">
        <v>61</v>
      </c>
      <c r="D737">
        <v>2</v>
      </c>
      <c r="E737" t="s">
        <v>44</v>
      </c>
      <c r="F737" t="s">
        <v>45</v>
      </c>
      <c r="G737" t="str">
        <f>"2026-01-11 02:04:31.881"</f>
        <v>2026-01-11 02:04:31.881</v>
      </c>
      <c r="H737" t="s">
        <v>21</v>
      </c>
      <c r="I737">
        <v>29.22</v>
      </c>
      <c r="J737" t="s">
        <v>32</v>
      </c>
    </row>
    <row r="738" spans="1:10" x14ac:dyDescent="0.25">
      <c r="A738" s="1">
        <v>67</v>
      </c>
      <c r="B738" t="s">
        <v>26</v>
      </c>
      <c r="C738">
        <v>635</v>
      </c>
      <c r="D738">
        <v>1</v>
      </c>
      <c r="E738" t="s">
        <v>27</v>
      </c>
      <c r="F738" t="s">
        <v>28</v>
      </c>
      <c r="G738" t="str">
        <f>"2026-01-10 21:05:46.420"</f>
        <v>2026-01-10 21:05:46.420</v>
      </c>
      <c r="H738" t="s">
        <v>21</v>
      </c>
    </row>
    <row r="739" spans="1:10" x14ac:dyDescent="0.25">
      <c r="A739" s="1">
        <v>68</v>
      </c>
      <c r="B739" t="s">
        <v>29</v>
      </c>
      <c r="C739">
        <v>635</v>
      </c>
      <c r="D739">
        <v>1</v>
      </c>
      <c r="E739" t="s">
        <v>27</v>
      </c>
      <c r="F739" t="s">
        <v>28</v>
      </c>
      <c r="G739" t="str">
        <f>"2026-01-10 21:02:21.920"</f>
        <v>2026-01-10 21:02:21.920</v>
      </c>
      <c r="H739" t="s">
        <v>21</v>
      </c>
      <c r="I739">
        <v>6.81</v>
      </c>
      <c r="J739" t="s">
        <v>30</v>
      </c>
    </row>
    <row r="740" spans="1:10" x14ac:dyDescent="0.25">
      <c r="A740" s="1">
        <v>69</v>
      </c>
      <c r="B740" t="s">
        <v>26</v>
      </c>
      <c r="C740">
        <v>635</v>
      </c>
      <c r="D740">
        <v>1</v>
      </c>
      <c r="E740" t="s">
        <v>27</v>
      </c>
      <c r="F740" t="s">
        <v>28</v>
      </c>
      <c r="G740" t="str">
        <f>"2026-01-10 18:53:00.220"</f>
        <v>2026-01-10 18:53:00.220</v>
      </c>
      <c r="H740" t="s">
        <v>21</v>
      </c>
    </row>
    <row r="741" spans="1:10" x14ac:dyDescent="0.25">
      <c r="A741" s="1">
        <v>70</v>
      </c>
      <c r="B741" t="s">
        <v>29</v>
      </c>
      <c r="C741">
        <v>635</v>
      </c>
      <c r="D741">
        <v>1</v>
      </c>
      <c r="E741" t="s">
        <v>27</v>
      </c>
      <c r="F741" t="s">
        <v>28</v>
      </c>
      <c r="G741" t="str">
        <f>"2026-01-10 18:49:02.220"</f>
        <v>2026-01-10 18:49:02.220</v>
      </c>
      <c r="H741" t="s">
        <v>21</v>
      </c>
      <c r="I741">
        <v>1.04</v>
      </c>
      <c r="J741" t="s">
        <v>30</v>
      </c>
    </row>
    <row r="742" spans="1:10" x14ac:dyDescent="0.25">
      <c r="A742" s="1">
        <v>73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"2026-01-10 13:31:52.393"</f>
        <v>2026-01-10 13:31:52.393</v>
      </c>
      <c r="H742" t="s">
        <v>21</v>
      </c>
      <c r="I742">
        <v>0</v>
      </c>
      <c r="J742" t="s">
        <v>22</v>
      </c>
    </row>
    <row r="743" spans="1:10" x14ac:dyDescent="0.25">
      <c r="A743" s="1">
        <v>75</v>
      </c>
      <c r="B743" t="s">
        <v>37</v>
      </c>
      <c r="C743">
        <v>47</v>
      </c>
      <c r="D743">
        <v>2</v>
      </c>
      <c r="E743" t="s">
        <v>51</v>
      </c>
      <c r="F743" t="s">
        <v>52</v>
      </c>
      <c r="G743" t="str">
        <f>"2026-01-10 13:14:33.792"</f>
        <v>2026-01-10 13:14:33.792</v>
      </c>
      <c r="H743" t="s">
        <v>36</v>
      </c>
      <c r="I743">
        <v>0</v>
      </c>
      <c r="J743" t="s">
        <v>31</v>
      </c>
    </row>
    <row r="744" spans="1:10" x14ac:dyDescent="0.25">
      <c r="A744" s="1">
        <v>76</v>
      </c>
      <c r="B744" t="s">
        <v>26</v>
      </c>
      <c r="C744">
        <v>635</v>
      </c>
      <c r="D744">
        <v>1</v>
      </c>
      <c r="E744" t="s">
        <v>27</v>
      </c>
      <c r="F744" t="s">
        <v>28</v>
      </c>
      <c r="G744" t="str">
        <f>"2026-01-10 07:33:56.292"</f>
        <v>2026-01-10 07:33:56.292</v>
      </c>
      <c r="H744" t="s">
        <v>21</v>
      </c>
    </row>
    <row r="745" spans="1:10" x14ac:dyDescent="0.25">
      <c r="A745" s="1">
        <v>77</v>
      </c>
      <c r="B745" t="s">
        <v>29</v>
      </c>
      <c r="C745">
        <v>635</v>
      </c>
      <c r="D745">
        <v>1</v>
      </c>
      <c r="E745" t="s">
        <v>27</v>
      </c>
      <c r="F745" t="s">
        <v>28</v>
      </c>
      <c r="G745" t="str">
        <f>"2026-01-10 07:24:53.292"</f>
        <v>2026-01-10 07:24:53.292</v>
      </c>
      <c r="H745" t="s">
        <v>21</v>
      </c>
      <c r="I745">
        <v>4.74</v>
      </c>
      <c r="J745" t="s">
        <v>30</v>
      </c>
    </row>
    <row r="746" spans="1:10" x14ac:dyDescent="0.25">
      <c r="A746" s="1">
        <v>78</v>
      </c>
      <c r="B746" t="s">
        <v>26</v>
      </c>
      <c r="C746">
        <v>635</v>
      </c>
      <c r="D746">
        <v>1</v>
      </c>
      <c r="E746" t="s">
        <v>27</v>
      </c>
      <c r="F746" t="s">
        <v>28</v>
      </c>
      <c r="G746" t="str">
        <f>"2026-01-10 02:53:24.792"</f>
        <v>2026-01-10 02:53:24.792</v>
      </c>
      <c r="H746" t="s">
        <v>21</v>
      </c>
    </row>
    <row r="747" spans="1:10" x14ac:dyDescent="0.25">
      <c r="A747" s="1">
        <v>79</v>
      </c>
      <c r="B747" t="s">
        <v>29</v>
      </c>
      <c r="C747">
        <v>635</v>
      </c>
      <c r="D747">
        <v>1</v>
      </c>
      <c r="E747" t="s">
        <v>27</v>
      </c>
      <c r="F747" t="s">
        <v>28</v>
      </c>
      <c r="G747" t="str">
        <f>"2026-01-10 02:23:19.292"</f>
        <v>2026-01-10 02:23:19.292</v>
      </c>
      <c r="H747" t="s">
        <v>21</v>
      </c>
      <c r="I747">
        <v>6.39</v>
      </c>
      <c r="J747" t="s">
        <v>32</v>
      </c>
    </row>
    <row r="748" spans="1:10" x14ac:dyDescent="0.25">
      <c r="A748" s="1">
        <v>81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"2026-01-09 19:59:30.508"</f>
        <v>2026-01-09 19:59:30.508</v>
      </c>
      <c r="H748" t="s">
        <v>21</v>
      </c>
    </row>
    <row r="749" spans="1:10" x14ac:dyDescent="0.25">
      <c r="A749" s="1">
        <v>84</v>
      </c>
      <c r="B749" t="s">
        <v>19</v>
      </c>
      <c r="C749">
        <v>706</v>
      </c>
      <c r="D749">
        <v>4</v>
      </c>
      <c r="E749" t="s">
        <v>23</v>
      </c>
      <c r="F749" t="s">
        <v>38</v>
      </c>
      <c r="G749" t="str">
        <f>"2026-01-08 15:26:35.513"</f>
        <v>2026-01-08 15:26:35.513</v>
      </c>
      <c r="H749" t="s">
        <v>21</v>
      </c>
      <c r="I749">
        <v>0</v>
      </c>
      <c r="J749" t="s">
        <v>25</v>
      </c>
    </row>
    <row r="750" spans="1:10" x14ac:dyDescent="0.25">
      <c r="A750" s="1">
        <v>85</v>
      </c>
      <c r="B750" t="s">
        <v>19</v>
      </c>
      <c r="C750">
        <v>706</v>
      </c>
      <c r="D750">
        <v>4</v>
      </c>
      <c r="E750" t="s">
        <v>23</v>
      </c>
      <c r="F750" t="s">
        <v>38</v>
      </c>
      <c r="G750" t="str">
        <f>"2026-01-08 15:19:11.833"</f>
        <v>2026-01-08 15:19:11.833</v>
      </c>
      <c r="H750" t="s">
        <v>21</v>
      </c>
      <c r="I750">
        <v>0</v>
      </c>
      <c r="J750" t="s">
        <v>25</v>
      </c>
    </row>
    <row r="751" spans="1:10" x14ac:dyDescent="0.25">
      <c r="A751" s="1">
        <v>86</v>
      </c>
      <c r="B751" t="s">
        <v>26</v>
      </c>
      <c r="C751">
        <v>49</v>
      </c>
      <c r="D751">
        <v>1</v>
      </c>
      <c r="E751" t="s">
        <v>53</v>
      </c>
      <c r="F751" t="s">
        <v>54</v>
      </c>
      <c r="G751" t="str">
        <f>"2026-01-08 15:16:31.214"</f>
        <v>2026-01-08 15:16:31.214</v>
      </c>
      <c r="H751" t="s">
        <v>55</v>
      </c>
    </row>
    <row r="752" spans="1:10" x14ac:dyDescent="0.25">
      <c r="A752" s="1">
        <v>88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"2026-01-08 15:16:01.433"</f>
        <v>2026-01-08 15:16:01.433</v>
      </c>
      <c r="H752" t="s">
        <v>21</v>
      </c>
      <c r="I752">
        <v>0</v>
      </c>
      <c r="J752" t="s">
        <v>22</v>
      </c>
    </row>
    <row r="753" spans="1:10" x14ac:dyDescent="0.25">
      <c r="A753" s="1">
        <v>89</v>
      </c>
      <c r="B753" t="s">
        <v>29</v>
      </c>
      <c r="C753">
        <v>49</v>
      </c>
      <c r="D753">
        <v>1</v>
      </c>
      <c r="E753" t="s">
        <v>53</v>
      </c>
      <c r="F753" t="s">
        <v>54</v>
      </c>
      <c r="G753" t="str">
        <f>"2026-01-08 15:10:23.149"</f>
        <v>2026-01-08 15:10:23.149</v>
      </c>
      <c r="H753" t="s">
        <v>55</v>
      </c>
      <c r="I753">
        <v>0</v>
      </c>
      <c r="J753" t="s">
        <v>56</v>
      </c>
    </row>
    <row r="754" spans="1:10" x14ac:dyDescent="0.25">
      <c r="A754" s="1">
        <v>90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"2026-01-08 15:09:03.385"</f>
        <v>2026-01-08 15:09:03.385</v>
      </c>
      <c r="H754" t="s">
        <v>21</v>
      </c>
      <c r="I754">
        <v>0</v>
      </c>
      <c r="J754" t="s">
        <v>22</v>
      </c>
    </row>
    <row r="755" spans="1:10" x14ac:dyDescent="0.25">
      <c r="A755" s="1">
        <v>93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"2026-01-08 13:58:56.377"</f>
        <v>2026-01-08 13:58:56.377</v>
      </c>
      <c r="H755" t="s">
        <v>21</v>
      </c>
      <c r="I755">
        <v>0</v>
      </c>
      <c r="J755" t="s">
        <v>22</v>
      </c>
    </row>
    <row r="756" spans="1:10" x14ac:dyDescent="0.25">
      <c r="A756" s="1">
        <v>94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"2026-01-08 13:51:18.373"</f>
        <v>2026-01-08 13:51:18.373</v>
      </c>
      <c r="H756" t="s">
        <v>21</v>
      </c>
    </row>
    <row r="757" spans="1:10" x14ac:dyDescent="0.25">
      <c r="A757" s="1">
        <v>95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"2026-01-08 13:30:23.384"</f>
        <v>2026-01-08 13:30:23.384</v>
      </c>
      <c r="H757" t="s">
        <v>21</v>
      </c>
      <c r="I757">
        <v>0</v>
      </c>
      <c r="J757" t="s">
        <v>22</v>
      </c>
    </row>
    <row r="758" spans="1:10" x14ac:dyDescent="0.25">
      <c r="A758" s="1">
        <v>98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"2026-01-08 11:20:50.381"</f>
        <v>2026-01-08 11:20:50.381</v>
      </c>
      <c r="H758" t="s">
        <v>21</v>
      </c>
    </row>
    <row r="759" spans="1:10" x14ac:dyDescent="0.25">
      <c r="A759" s="1">
        <v>1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"2026-01-08 11:02:40.380"</f>
        <v>2026-01-08 11:02:40.380</v>
      </c>
      <c r="H759" t="s">
        <v>21</v>
      </c>
    </row>
    <row r="760" spans="1:10" x14ac:dyDescent="0.25">
      <c r="A760" s="1">
        <v>4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"2026-01-08 10:50:43.631"</f>
        <v>2026-01-08 10:50:43.631</v>
      </c>
      <c r="H760" t="s">
        <v>21</v>
      </c>
      <c r="I760">
        <v>0</v>
      </c>
      <c r="J760" t="s">
        <v>22</v>
      </c>
    </row>
    <row r="761" spans="1:10" x14ac:dyDescent="0.25">
      <c r="A761" s="1">
        <v>7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"2026-01-08 00:14:11.376"</f>
        <v>2026-01-08 00:14:11.376</v>
      </c>
      <c r="H761" t="s">
        <v>21</v>
      </c>
      <c r="I761">
        <v>0</v>
      </c>
      <c r="J761" t="s">
        <v>22</v>
      </c>
    </row>
    <row r="762" spans="1:10" x14ac:dyDescent="0.25">
      <c r="A762" s="1">
        <v>10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"2026-01-07 23:06:07.369"</f>
        <v>2026-01-07 23:06:07.369</v>
      </c>
      <c r="H762" t="s">
        <v>21</v>
      </c>
    </row>
    <row r="763" spans="1:10" x14ac:dyDescent="0.25">
      <c r="A763" s="1">
        <v>14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"2026-01-07 08:13:22.546"</f>
        <v>2026-01-07 08:13:22.546</v>
      </c>
      <c r="H763" t="s">
        <v>21</v>
      </c>
    </row>
    <row r="764" spans="1:10" x14ac:dyDescent="0.25">
      <c r="A764" s="1">
        <v>16</v>
      </c>
      <c r="B764" t="s">
        <v>26</v>
      </c>
      <c r="C764">
        <v>61</v>
      </c>
      <c r="D764">
        <v>2</v>
      </c>
      <c r="E764" t="s">
        <v>44</v>
      </c>
      <c r="F764" t="s">
        <v>45</v>
      </c>
      <c r="G764" t="str">
        <f>"2026-01-07 07:33:06.596"</f>
        <v>2026-01-07 07:33:06.596</v>
      </c>
      <c r="H764" t="s">
        <v>21</v>
      </c>
    </row>
    <row r="765" spans="1:10" x14ac:dyDescent="0.25">
      <c r="A765" s="1">
        <v>17</v>
      </c>
      <c r="B765" t="s">
        <v>37</v>
      </c>
      <c r="C765">
        <v>61</v>
      </c>
      <c r="D765">
        <v>2</v>
      </c>
      <c r="E765" t="s">
        <v>44</v>
      </c>
      <c r="F765" t="s">
        <v>45</v>
      </c>
      <c r="G765" t="str">
        <f>"2026-01-07 07:32:53.696"</f>
        <v>2026-01-07 07:32:53.696</v>
      </c>
      <c r="H765" t="s">
        <v>21</v>
      </c>
      <c r="I765">
        <v>30.63</v>
      </c>
      <c r="J765" t="s">
        <v>32</v>
      </c>
    </row>
    <row r="766" spans="1:10" x14ac:dyDescent="0.25">
      <c r="A766" s="1">
        <v>19</v>
      </c>
      <c r="B766" t="s">
        <v>26</v>
      </c>
      <c r="C766">
        <v>635</v>
      </c>
      <c r="D766">
        <v>1</v>
      </c>
      <c r="E766" t="s">
        <v>27</v>
      </c>
      <c r="F766" t="s">
        <v>28</v>
      </c>
      <c r="G766" t="str">
        <f>"2026-01-07 01:04:14.935"</f>
        <v>2026-01-07 01:04:14.935</v>
      </c>
      <c r="H766" t="s">
        <v>21</v>
      </c>
    </row>
    <row r="767" spans="1:10" x14ac:dyDescent="0.25">
      <c r="A767" s="1">
        <v>20</v>
      </c>
      <c r="B767" t="s">
        <v>29</v>
      </c>
      <c r="C767">
        <v>635</v>
      </c>
      <c r="D767">
        <v>1</v>
      </c>
      <c r="E767" t="s">
        <v>27</v>
      </c>
      <c r="F767" t="s">
        <v>28</v>
      </c>
      <c r="G767" t="str">
        <f>"2026-01-07 01:01:26.935"</f>
        <v>2026-01-07 01:01:26.935</v>
      </c>
      <c r="H767" t="s">
        <v>21</v>
      </c>
      <c r="I767">
        <v>5.88</v>
      </c>
      <c r="J767" t="s">
        <v>30</v>
      </c>
    </row>
    <row r="768" spans="1:10" x14ac:dyDescent="0.25">
      <c r="A768" s="1">
        <v>21</v>
      </c>
      <c r="B768" t="s">
        <v>26</v>
      </c>
      <c r="C768">
        <v>635</v>
      </c>
      <c r="D768">
        <v>1</v>
      </c>
      <c r="E768" t="s">
        <v>27</v>
      </c>
      <c r="F768" t="s">
        <v>28</v>
      </c>
      <c r="G768" t="str">
        <f>"2026-01-07 00:01:50.535"</f>
        <v>2026-01-07 00:01:50.535</v>
      </c>
      <c r="H768" t="s">
        <v>21</v>
      </c>
    </row>
    <row r="769" spans="1:10" x14ac:dyDescent="0.25">
      <c r="A769" s="1">
        <v>22</v>
      </c>
      <c r="B769" t="s">
        <v>29</v>
      </c>
      <c r="C769">
        <v>635</v>
      </c>
      <c r="D769">
        <v>1</v>
      </c>
      <c r="E769" t="s">
        <v>27</v>
      </c>
      <c r="F769" t="s">
        <v>28</v>
      </c>
      <c r="G769" t="str">
        <f>"2026-01-06 23:58:19.035"</f>
        <v>2026-01-06 23:58:19.035</v>
      </c>
      <c r="H769" t="s">
        <v>21</v>
      </c>
      <c r="I769">
        <v>4.05</v>
      </c>
      <c r="J769" t="s">
        <v>30</v>
      </c>
    </row>
    <row r="770" spans="1:10" x14ac:dyDescent="0.25">
      <c r="A770" s="1">
        <v>24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"2026-01-06 13:04:18.392"</f>
        <v>2026-01-06 13:04:18.392</v>
      </c>
      <c r="H770" t="s">
        <v>21</v>
      </c>
      <c r="I770">
        <v>0</v>
      </c>
      <c r="J770" t="s">
        <v>22</v>
      </c>
    </row>
    <row r="771" spans="1:10" x14ac:dyDescent="0.25">
      <c r="A771" s="1">
        <v>26</v>
      </c>
      <c r="B771" t="s">
        <v>37</v>
      </c>
      <c r="C771">
        <v>47</v>
      </c>
      <c r="D771">
        <v>2</v>
      </c>
      <c r="E771" t="s">
        <v>51</v>
      </c>
      <c r="F771" t="s">
        <v>52</v>
      </c>
      <c r="G771" t="str">
        <f>"2026-01-06 12:53:26.189"</f>
        <v>2026-01-06 12:53:26.189</v>
      </c>
      <c r="H771" t="s">
        <v>36</v>
      </c>
      <c r="I771">
        <v>0</v>
      </c>
      <c r="J771" t="s">
        <v>31</v>
      </c>
    </row>
    <row r="772" spans="1:10" x14ac:dyDescent="0.25">
      <c r="A772" s="1">
        <v>27</v>
      </c>
      <c r="B772" t="s">
        <v>26</v>
      </c>
      <c r="C772">
        <v>635</v>
      </c>
      <c r="D772">
        <v>1</v>
      </c>
      <c r="E772" t="s">
        <v>27</v>
      </c>
      <c r="F772" t="s">
        <v>28</v>
      </c>
      <c r="G772" t="str">
        <f>"2026-01-06 04:49:08.729"</f>
        <v>2026-01-06 04:49:08.729</v>
      </c>
      <c r="H772" t="s">
        <v>21</v>
      </c>
    </row>
    <row r="773" spans="1:10" x14ac:dyDescent="0.25">
      <c r="A773" s="1">
        <v>28</v>
      </c>
      <c r="B773" t="s">
        <v>29</v>
      </c>
      <c r="C773">
        <v>635</v>
      </c>
      <c r="D773">
        <v>1</v>
      </c>
      <c r="E773" t="s">
        <v>27</v>
      </c>
      <c r="F773" t="s">
        <v>28</v>
      </c>
      <c r="G773" t="str">
        <f>"2026-01-06 04:45:55.729"</f>
        <v>2026-01-06 04:45:55.729</v>
      </c>
      <c r="H773" t="s">
        <v>21</v>
      </c>
      <c r="I773">
        <v>7.84</v>
      </c>
      <c r="J773" t="s">
        <v>30</v>
      </c>
    </row>
    <row r="774" spans="1:10" x14ac:dyDescent="0.25">
      <c r="A774" s="1">
        <v>29</v>
      </c>
      <c r="B774" t="s">
        <v>26</v>
      </c>
      <c r="C774">
        <v>635</v>
      </c>
      <c r="D774">
        <v>1</v>
      </c>
      <c r="E774" t="s">
        <v>27</v>
      </c>
      <c r="F774" t="s">
        <v>28</v>
      </c>
      <c r="G774" t="str">
        <f>"2026-01-06 01:50:38.029"</f>
        <v>2026-01-06 01:50:38.029</v>
      </c>
      <c r="H774" t="s">
        <v>21</v>
      </c>
    </row>
    <row r="775" spans="1:10" x14ac:dyDescent="0.25">
      <c r="A775" s="1">
        <v>30</v>
      </c>
      <c r="B775" t="s">
        <v>29</v>
      </c>
      <c r="C775">
        <v>635</v>
      </c>
      <c r="D775">
        <v>1</v>
      </c>
      <c r="E775" t="s">
        <v>27</v>
      </c>
      <c r="F775" t="s">
        <v>28</v>
      </c>
      <c r="G775" t="str">
        <f>"2026-01-06 01:40:07.029"</f>
        <v>2026-01-06 01:40:07.029</v>
      </c>
      <c r="H775" t="s">
        <v>21</v>
      </c>
      <c r="I775">
        <v>8.83</v>
      </c>
      <c r="J775" t="s">
        <v>30</v>
      </c>
    </row>
    <row r="776" spans="1:10" x14ac:dyDescent="0.25">
      <c r="A776" s="1">
        <v>31</v>
      </c>
      <c r="B776" t="s">
        <v>26</v>
      </c>
      <c r="C776">
        <v>635</v>
      </c>
      <c r="D776">
        <v>1</v>
      </c>
      <c r="E776" t="s">
        <v>27</v>
      </c>
      <c r="F776" t="s">
        <v>28</v>
      </c>
      <c r="G776" t="str">
        <f>"2026-01-05 23:01:57.329"</f>
        <v>2026-01-05 23:01:57.329</v>
      </c>
      <c r="H776" t="s">
        <v>21</v>
      </c>
    </row>
    <row r="777" spans="1:10" x14ac:dyDescent="0.25">
      <c r="A777" s="1">
        <v>32</v>
      </c>
      <c r="B777" t="s">
        <v>29</v>
      </c>
      <c r="C777">
        <v>635</v>
      </c>
      <c r="D777">
        <v>1</v>
      </c>
      <c r="E777" t="s">
        <v>27</v>
      </c>
      <c r="F777" t="s">
        <v>28</v>
      </c>
      <c r="G777" t="str">
        <f>"2026-01-05 22:54:52.429"</f>
        <v>2026-01-05 22:54:52.429</v>
      </c>
      <c r="H777" t="s">
        <v>21</v>
      </c>
      <c r="I777">
        <v>2.33</v>
      </c>
      <c r="J777" t="s">
        <v>30</v>
      </c>
    </row>
    <row r="778" spans="1:10" x14ac:dyDescent="0.25">
      <c r="A778" s="1">
        <v>34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"2026-01-05 22:22:51.371"</f>
        <v>2026-01-05 22:22:51.371</v>
      </c>
      <c r="H778" t="s">
        <v>21</v>
      </c>
      <c r="I778">
        <v>0</v>
      </c>
      <c r="J778" t="s">
        <v>22</v>
      </c>
    </row>
    <row r="779" spans="1:10" x14ac:dyDescent="0.25">
      <c r="A779" s="1">
        <v>37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"2026-01-05 09:28:49.370"</f>
        <v>2026-01-05 09:28:49.370</v>
      </c>
      <c r="H779" t="s">
        <v>21</v>
      </c>
    </row>
    <row r="780" spans="1:10" x14ac:dyDescent="0.25">
      <c r="A780" s="1">
        <v>39</v>
      </c>
      <c r="B780" t="s">
        <v>26</v>
      </c>
      <c r="C780">
        <v>635</v>
      </c>
      <c r="D780">
        <v>1</v>
      </c>
      <c r="E780" t="s">
        <v>27</v>
      </c>
      <c r="F780" t="s">
        <v>28</v>
      </c>
      <c r="G780" t="str">
        <f>"2026-01-05 01:55:24.052"</f>
        <v>2026-01-05 01:55:24.052</v>
      </c>
      <c r="H780" t="s">
        <v>21</v>
      </c>
    </row>
    <row r="781" spans="1:10" x14ac:dyDescent="0.25">
      <c r="A781" s="1">
        <v>40</v>
      </c>
      <c r="B781" t="s">
        <v>29</v>
      </c>
      <c r="C781">
        <v>635</v>
      </c>
      <c r="D781">
        <v>1</v>
      </c>
      <c r="E781" t="s">
        <v>27</v>
      </c>
      <c r="F781" t="s">
        <v>28</v>
      </c>
      <c r="G781" t="str">
        <f>"2026-01-05 01:53:48.552"</f>
        <v>2026-01-05 01:53:48.552</v>
      </c>
      <c r="H781" t="s">
        <v>21</v>
      </c>
      <c r="I781">
        <v>5.35</v>
      </c>
      <c r="J781" t="s">
        <v>30</v>
      </c>
    </row>
    <row r="782" spans="1:10" x14ac:dyDescent="0.25">
      <c r="A782" s="1">
        <v>42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"2026-01-05 01:29:11.387"</f>
        <v>2026-01-05 01:29:11.387</v>
      </c>
      <c r="H782" t="s">
        <v>21</v>
      </c>
    </row>
    <row r="783" spans="1:10" x14ac:dyDescent="0.25">
      <c r="A783" s="1">
        <v>44</v>
      </c>
      <c r="B783" t="s">
        <v>26</v>
      </c>
      <c r="C783">
        <v>635</v>
      </c>
      <c r="D783">
        <v>1</v>
      </c>
      <c r="E783" t="s">
        <v>27</v>
      </c>
      <c r="F783" t="s">
        <v>28</v>
      </c>
      <c r="G783" t="str">
        <f>"2026-01-04 22:07:39.200"</f>
        <v>2026-01-04 22:07:39.200</v>
      </c>
      <c r="H783" t="s">
        <v>21</v>
      </c>
    </row>
    <row r="784" spans="1:10" x14ac:dyDescent="0.25">
      <c r="A784" s="1">
        <v>45</v>
      </c>
      <c r="B784" t="s">
        <v>29</v>
      </c>
      <c r="C784">
        <v>635</v>
      </c>
      <c r="D784">
        <v>1</v>
      </c>
      <c r="E784" t="s">
        <v>27</v>
      </c>
      <c r="F784" t="s">
        <v>28</v>
      </c>
      <c r="G784" t="str">
        <f>"2026-01-04 22:04:07.201"</f>
        <v>2026-01-04 22:04:07.201</v>
      </c>
      <c r="H784" t="s">
        <v>21</v>
      </c>
      <c r="I784">
        <v>6.5</v>
      </c>
      <c r="J784" t="s">
        <v>30</v>
      </c>
    </row>
    <row r="785" spans="1:10" x14ac:dyDescent="0.25">
      <c r="A785" s="1">
        <v>47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"2026-01-04 21:51:10.351"</f>
        <v>2026-01-04 21:51:10.351</v>
      </c>
      <c r="H785" t="s">
        <v>21</v>
      </c>
    </row>
    <row r="786" spans="1:10" x14ac:dyDescent="0.25">
      <c r="A786" s="1">
        <v>49</v>
      </c>
      <c r="B786" t="s">
        <v>37</v>
      </c>
      <c r="C786">
        <v>47</v>
      </c>
      <c r="D786">
        <v>2</v>
      </c>
      <c r="E786" t="s">
        <v>51</v>
      </c>
      <c r="F786" t="s">
        <v>52</v>
      </c>
      <c r="G786" t="str">
        <f>"2026-01-04 21:38:44.653"</f>
        <v>2026-01-04 21:38:44.653</v>
      </c>
      <c r="H786" t="s">
        <v>36</v>
      </c>
      <c r="I786">
        <v>0</v>
      </c>
      <c r="J786" t="s">
        <v>31</v>
      </c>
    </row>
    <row r="787" spans="1:10" x14ac:dyDescent="0.25">
      <c r="A787" s="1">
        <v>50</v>
      </c>
      <c r="B787" t="s">
        <v>26</v>
      </c>
      <c r="C787">
        <v>635</v>
      </c>
      <c r="D787">
        <v>1</v>
      </c>
      <c r="E787" t="s">
        <v>27</v>
      </c>
      <c r="F787" t="s">
        <v>28</v>
      </c>
      <c r="G787" t="str">
        <f>"2026-01-04 05:53:37.499"</f>
        <v>2026-01-04 05:53:37.499</v>
      </c>
      <c r="H787" t="s">
        <v>21</v>
      </c>
    </row>
    <row r="788" spans="1:10" x14ac:dyDescent="0.25">
      <c r="A788" s="1">
        <v>51</v>
      </c>
      <c r="B788" t="s">
        <v>29</v>
      </c>
      <c r="C788">
        <v>635</v>
      </c>
      <c r="D788">
        <v>1</v>
      </c>
      <c r="E788" t="s">
        <v>27</v>
      </c>
      <c r="F788" t="s">
        <v>28</v>
      </c>
      <c r="G788" t="str">
        <f>"2026-01-04 05:50:22.499"</f>
        <v>2026-01-04 05:50:22.499</v>
      </c>
      <c r="H788" t="s">
        <v>21</v>
      </c>
      <c r="I788">
        <v>6.44</v>
      </c>
      <c r="J788" t="s">
        <v>30</v>
      </c>
    </row>
    <row r="789" spans="1:10" x14ac:dyDescent="0.25">
      <c r="A789" s="1">
        <v>52</v>
      </c>
      <c r="B789" t="s">
        <v>26</v>
      </c>
      <c r="C789">
        <v>635</v>
      </c>
      <c r="D789">
        <v>1</v>
      </c>
      <c r="E789" t="s">
        <v>27</v>
      </c>
      <c r="F789" t="s">
        <v>28</v>
      </c>
      <c r="G789" t="str">
        <f>"2026-01-03 23:09:46.199"</f>
        <v>2026-01-03 23:09:46.199</v>
      </c>
      <c r="H789" t="s">
        <v>21</v>
      </c>
    </row>
    <row r="790" spans="1:10" x14ac:dyDescent="0.25">
      <c r="A790" s="1">
        <v>53</v>
      </c>
      <c r="B790" t="s">
        <v>29</v>
      </c>
      <c r="C790">
        <v>635</v>
      </c>
      <c r="D790">
        <v>1</v>
      </c>
      <c r="E790" t="s">
        <v>27</v>
      </c>
      <c r="F790" t="s">
        <v>28</v>
      </c>
      <c r="G790" t="str">
        <f>"2026-01-03 23:07:29.199"</f>
        <v>2026-01-03 23:07:29.199</v>
      </c>
      <c r="H790" t="s">
        <v>21</v>
      </c>
      <c r="I790">
        <v>3.16</v>
      </c>
      <c r="J790" t="s">
        <v>30</v>
      </c>
    </row>
    <row r="791" spans="1:10" x14ac:dyDescent="0.25">
      <c r="A791" s="1">
        <v>55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"2026-01-03 20:12:33.350"</f>
        <v>2026-01-03 20:12:33.350</v>
      </c>
      <c r="H791" t="s">
        <v>21</v>
      </c>
      <c r="I791">
        <v>0</v>
      </c>
      <c r="J791" t="s">
        <v>22</v>
      </c>
    </row>
    <row r="792" spans="1:10" x14ac:dyDescent="0.25">
      <c r="A792" s="1">
        <v>57</v>
      </c>
      <c r="B792" t="s">
        <v>37</v>
      </c>
      <c r="C792">
        <v>47</v>
      </c>
      <c r="D792">
        <v>2</v>
      </c>
      <c r="E792" t="s">
        <v>51</v>
      </c>
      <c r="F792" t="s">
        <v>52</v>
      </c>
      <c r="G792" t="str">
        <f>"2026-01-03 19:59:11.286"</f>
        <v>2026-01-03 19:59:11.286</v>
      </c>
      <c r="H792" t="s">
        <v>36</v>
      </c>
      <c r="I792">
        <v>0</v>
      </c>
      <c r="J792" t="s">
        <v>31</v>
      </c>
    </row>
    <row r="793" spans="1:10" x14ac:dyDescent="0.25">
      <c r="A793" s="1">
        <v>59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"2026-01-02 09:30:31.375"</f>
        <v>2026-01-02 09:30:31.375</v>
      </c>
      <c r="H793" t="s">
        <v>21</v>
      </c>
    </row>
    <row r="794" spans="1:10" x14ac:dyDescent="0.25">
      <c r="A794" s="1">
        <v>63</v>
      </c>
      <c r="B794" t="s">
        <v>37</v>
      </c>
      <c r="C794">
        <v>47</v>
      </c>
      <c r="D794">
        <v>2</v>
      </c>
      <c r="E794" t="s">
        <v>51</v>
      </c>
      <c r="F794" t="s">
        <v>52</v>
      </c>
      <c r="G794" t="str">
        <f>"2026-01-02 09:25:12.945"</f>
        <v>2026-01-02 09:25:12.945</v>
      </c>
      <c r="H794" t="s">
        <v>36</v>
      </c>
      <c r="I794">
        <v>0</v>
      </c>
      <c r="J794" t="s">
        <v>31</v>
      </c>
    </row>
    <row r="795" spans="1:10" x14ac:dyDescent="0.25">
      <c r="A795" s="1">
        <v>64</v>
      </c>
      <c r="B795" t="s">
        <v>26</v>
      </c>
      <c r="C795">
        <v>635</v>
      </c>
      <c r="D795">
        <v>1</v>
      </c>
      <c r="E795" t="s">
        <v>27</v>
      </c>
      <c r="F795" t="s">
        <v>28</v>
      </c>
      <c r="G795" t="str">
        <f>"2026-01-02 07:15:40.553"</f>
        <v>2026-01-02 07:15:40.553</v>
      </c>
      <c r="H795" t="s">
        <v>21</v>
      </c>
    </row>
    <row r="796" spans="1:10" x14ac:dyDescent="0.25">
      <c r="A796" s="1">
        <v>65</v>
      </c>
      <c r="B796" t="s">
        <v>29</v>
      </c>
      <c r="C796">
        <v>635</v>
      </c>
      <c r="D796">
        <v>1</v>
      </c>
      <c r="E796" t="s">
        <v>27</v>
      </c>
      <c r="F796" t="s">
        <v>28</v>
      </c>
      <c r="G796" t="str">
        <f>"2026-01-02 07:11:59.553"</f>
        <v>2026-01-02 07:11:59.553</v>
      </c>
      <c r="H796" t="s">
        <v>21</v>
      </c>
      <c r="I796">
        <v>3.71</v>
      </c>
      <c r="J796" t="s">
        <v>30</v>
      </c>
    </row>
    <row r="797" spans="1:10" x14ac:dyDescent="0.25">
      <c r="A797" s="1">
        <v>67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"2026-01-01 20:44:23.445"</f>
        <v>2026-01-01 20:44:23.445</v>
      </c>
      <c r="H797" t="s">
        <v>21</v>
      </c>
      <c r="I797">
        <v>0</v>
      </c>
      <c r="J797" t="s">
        <v>22</v>
      </c>
    </row>
    <row r="798" spans="1:10" x14ac:dyDescent="0.25">
      <c r="A798" s="1">
        <v>71</v>
      </c>
      <c r="B798" t="s">
        <v>26</v>
      </c>
      <c r="C798">
        <v>635</v>
      </c>
      <c r="D798">
        <v>1</v>
      </c>
      <c r="E798" t="s">
        <v>27</v>
      </c>
      <c r="F798" t="s">
        <v>28</v>
      </c>
      <c r="G798" t="str">
        <f>"2026-01-01 05:18:08.257"</f>
        <v>2026-01-01 05:18:08.257</v>
      </c>
      <c r="H798" t="s">
        <v>21</v>
      </c>
    </row>
    <row r="799" spans="1:10" x14ac:dyDescent="0.25">
      <c r="A799" s="1">
        <v>72</v>
      </c>
      <c r="B799" t="s">
        <v>29</v>
      </c>
      <c r="C799">
        <v>635</v>
      </c>
      <c r="D799">
        <v>1</v>
      </c>
      <c r="E799" t="s">
        <v>27</v>
      </c>
      <c r="F799" t="s">
        <v>28</v>
      </c>
      <c r="G799" t="str">
        <f>"2026-01-01 05:13:47.757"</f>
        <v>2026-01-01 05:13:47.757</v>
      </c>
      <c r="H799" t="s">
        <v>21</v>
      </c>
      <c r="I799">
        <v>0.54</v>
      </c>
      <c r="J799" t="s">
        <v>30</v>
      </c>
    </row>
    <row r="800" spans="1:10" x14ac:dyDescent="0.25">
      <c r="A800" s="1">
        <v>73</v>
      </c>
      <c r="B800" t="s">
        <v>26</v>
      </c>
      <c r="C800">
        <v>635</v>
      </c>
      <c r="D800">
        <v>1</v>
      </c>
      <c r="E800" t="s">
        <v>27</v>
      </c>
      <c r="F800" t="s">
        <v>28</v>
      </c>
      <c r="G800" t="str">
        <f>"2026-01-01 01:24:56.157"</f>
        <v>2026-01-01 01:24:56.157</v>
      </c>
      <c r="H800" t="s">
        <v>21</v>
      </c>
    </row>
    <row r="801" spans="1:10" x14ac:dyDescent="0.25">
      <c r="A801" s="1">
        <v>74</v>
      </c>
      <c r="B801" t="s">
        <v>29</v>
      </c>
      <c r="C801">
        <v>635</v>
      </c>
      <c r="D801">
        <v>1</v>
      </c>
      <c r="E801" t="s">
        <v>27</v>
      </c>
      <c r="F801" t="s">
        <v>28</v>
      </c>
      <c r="G801" t="str">
        <f>"2026-01-01 01:22:21.157"</f>
        <v>2026-01-01 01:22:21.157</v>
      </c>
      <c r="H801" t="s">
        <v>21</v>
      </c>
      <c r="I801">
        <v>0.61</v>
      </c>
      <c r="J801" t="s">
        <v>30</v>
      </c>
    </row>
    <row r="802" spans="1:10" x14ac:dyDescent="0.25">
      <c r="A802" s="1">
        <v>75</v>
      </c>
      <c r="B802" t="s">
        <v>26</v>
      </c>
      <c r="C802">
        <v>635</v>
      </c>
      <c r="D802">
        <v>1</v>
      </c>
      <c r="E802" t="s">
        <v>27</v>
      </c>
      <c r="F802" t="s">
        <v>28</v>
      </c>
      <c r="G802" t="str">
        <f>"2025-12-31 06:18:01.857"</f>
        <v>2025-12-31 06:18:01.857</v>
      </c>
      <c r="H802" t="s">
        <v>21</v>
      </c>
    </row>
    <row r="803" spans="1:10" x14ac:dyDescent="0.25">
      <c r="A803" s="1">
        <v>76</v>
      </c>
      <c r="B803" t="s">
        <v>29</v>
      </c>
      <c r="C803">
        <v>635</v>
      </c>
      <c r="D803">
        <v>1</v>
      </c>
      <c r="E803" t="s">
        <v>27</v>
      </c>
      <c r="F803" t="s">
        <v>28</v>
      </c>
      <c r="G803" t="str">
        <f>"2025-12-31 05:41:02.957"</f>
        <v>2025-12-31 05:41:02.957</v>
      </c>
      <c r="H803" t="s">
        <v>21</v>
      </c>
      <c r="I803">
        <v>4.54</v>
      </c>
      <c r="J803" t="s">
        <v>30</v>
      </c>
    </row>
    <row r="804" spans="1:10" x14ac:dyDescent="0.25">
      <c r="A804" s="1">
        <v>78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"2025-12-30 21:39:14.338"</f>
        <v>2025-12-30 21:39:14.338</v>
      </c>
      <c r="H804" t="s">
        <v>21</v>
      </c>
      <c r="I804">
        <v>0</v>
      </c>
      <c r="J804" t="s">
        <v>22</v>
      </c>
    </row>
    <row r="805" spans="1:10" x14ac:dyDescent="0.25">
      <c r="A805" s="1">
        <v>80</v>
      </c>
      <c r="B805" t="s">
        <v>37</v>
      </c>
      <c r="C805">
        <v>47</v>
      </c>
      <c r="D805">
        <v>2</v>
      </c>
      <c r="E805" t="s">
        <v>51</v>
      </c>
      <c r="F805" t="s">
        <v>52</v>
      </c>
      <c r="G805" t="str">
        <f>"2025-12-30 21:25:45.849"</f>
        <v>2025-12-30 21:25:45.849</v>
      </c>
      <c r="H805" t="s">
        <v>36</v>
      </c>
      <c r="I805">
        <v>0</v>
      </c>
      <c r="J805" t="s">
        <v>31</v>
      </c>
    </row>
    <row r="806" spans="1:10" x14ac:dyDescent="0.25">
      <c r="A806" s="1">
        <v>83</v>
      </c>
      <c r="B806" t="s">
        <v>26</v>
      </c>
      <c r="C806">
        <v>635</v>
      </c>
      <c r="D806">
        <v>1</v>
      </c>
      <c r="E806" t="s">
        <v>27</v>
      </c>
      <c r="F806" t="s">
        <v>28</v>
      </c>
      <c r="G806" t="str">
        <f>"2025-12-29 17:59:14.737"</f>
        <v>2025-12-29 17:59:14.737</v>
      </c>
      <c r="H806" t="s">
        <v>21</v>
      </c>
    </row>
    <row r="807" spans="1:10" x14ac:dyDescent="0.25">
      <c r="A807" s="1">
        <v>84</v>
      </c>
      <c r="B807" t="s">
        <v>29</v>
      </c>
      <c r="C807">
        <v>635</v>
      </c>
      <c r="D807">
        <v>1</v>
      </c>
      <c r="E807" t="s">
        <v>27</v>
      </c>
      <c r="F807" t="s">
        <v>28</v>
      </c>
      <c r="G807" t="str">
        <f>"2025-12-29 17:56:59.837"</f>
        <v>2025-12-29 17:56:59.837</v>
      </c>
      <c r="H807" t="s">
        <v>21</v>
      </c>
      <c r="I807">
        <v>-2.4300000000000002</v>
      </c>
      <c r="J807" t="s">
        <v>31</v>
      </c>
    </row>
    <row r="808" spans="1:10" x14ac:dyDescent="0.25">
      <c r="A808" s="1">
        <v>85</v>
      </c>
      <c r="B808" t="s">
        <v>26</v>
      </c>
      <c r="C808">
        <v>635</v>
      </c>
      <c r="D808">
        <v>1</v>
      </c>
      <c r="E808" t="s">
        <v>27</v>
      </c>
      <c r="F808" t="s">
        <v>28</v>
      </c>
      <c r="G808" t="str">
        <f>"2025-12-29 17:02:19.937"</f>
        <v>2025-12-29 17:02:19.937</v>
      </c>
      <c r="H808" t="s">
        <v>21</v>
      </c>
    </row>
    <row r="809" spans="1:10" x14ac:dyDescent="0.25">
      <c r="A809" s="1">
        <v>86</v>
      </c>
      <c r="B809" t="s">
        <v>29</v>
      </c>
      <c r="C809">
        <v>635</v>
      </c>
      <c r="D809">
        <v>1</v>
      </c>
      <c r="E809" t="s">
        <v>27</v>
      </c>
      <c r="F809" t="s">
        <v>28</v>
      </c>
      <c r="G809" t="str">
        <f>"2025-12-29 17:00:18.937"</f>
        <v>2025-12-29 17:00:18.937</v>
      </c>
      <c r="H809" t="s">
        <v>21</v>
      </c>
      <c r="I809">
        <v>5.99</v>
      </c>
      <c r="J809" t="s">
        <v>30</v>
      </c>
    </row>
    <row r="810" spans="1:10" x14ac:dyDescent="0.25">
      <c r="A810" s="1">
        <v>87</v>
      </c>
      <c r="B810" t="s">
        <v>26</v>
      </c>
      <c r="C810">
        <v>635</v>
      </c>
      <c r="D810">
        <v>1</v>
      </c>
      <c r="E810" t="s">
        <v>27</v>
      </c>
      <c r="F810" t="s">
        <v>28</v>
      </c>
      <c r="G810" t="str">
        <f>"2025-12-29 13:16:07.337"</f>
        <v>2025-12-29 13:16:07.337</v>
      </c>
      <c r="H810" t="s">
        <v>21</v>
      </c>
    </row>
    <row r="811" spans="1:10" x14ac:dyDescent="0.25">
      <c r="A811" s="1">
        <v>88</v>
      </c>
      <c r="B811" t="s">
        <v>29</v>
      </c>
      <c r="C811">
        <v>635</v>
      </c>
      <c r="D811">
        <v>1</v>
      </c>
      <c r="E811" t="s">
        <v>27</v>
      </c>
      <c r="F811" t="s">
        <v>28</v>
      </c>
      <c r="G811" t="str">
        <f>"2025-12-29 13:14:22.337"</f>
        <v>2025-12-29 13:14:22.337</v>
      </c>
      <c r="H811" t="s">
        <v>21</v>
      </c>
      <c r="I811">
        <v>8</v>
      </c>
      <c r="J811" t="s">
        <v>32</v>
      </c>
    </row>
    <row r="812" spans="1:10" x14ac:dyDescent="0.25">
      <c r="A812" s="1">
        <v>89</v>
      </c>
      <c r="B812" t="s">
        <v>26</v>
      </c>
      <c r="C812">
        <v>635</v>
      </c>
      <c r="D812">
        <v>1</v>
      </c>
      <c r="E812" t="s">
        <v>27</v>
      </c>
      <c r="F812" t="s">
        <v>28</v>
      </c>
      <c r="G812" t="str">
        <f>"2025-12-29 11:38:31.537"</f>
        <v>2025-12-29 11:38:31.537</v>
      </c>
      <c r="H812" t="s">
        <v>21</v>
      </c>
    </row>
    <row r="813" spans="1:10" x14ac:dyDescent="0.25">
      <c r="A813" s="1">
        <v>90</v>
      </c>
      <c r="B813" t="s">
        <v>29</v>
      </c>
      <c r="C813">
        <v>635</v>
      </c>
      <c r="D813">
        <v>1</v>
      </c>
      <c r="E813" t="s">
        <v>27</v>
      </c>
      <c r="F813" t="s">
        <v>28</v>
      </c>
      <c r="G813" t="str">
        <f>"2025-12-29 11:32:18.537"</f>
        <v>2025-12-29 11:32:18.537</v>
      </c>
      <c r="H813" t="s">
        <v>21</v>
      </c>
      <c r="I813">
        <v>4.07</v>
      </c>
      <c r="J813" t="s">
        <v>31</v>
      </c>
    </row>
    <row r="814" spans="1:10" x14ac:dyDescent="0.25">
      <c r="A814" s="1">
        <v>92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"2025-12-29 11:10:54.309"</f>
        <v>2025-12-29 11:10:54.309</v>
      </c>
      <c r="H814" t="s">
        <v>21</v>
      </c>
      <c r="I814">
        <v>0</v>
      </c>
      <c r="J814" t="s">
        <v>22</v>
      </c>
    </row>
    <row r="815" spans="1:10" x14ac:dyDescent="0.25">
      <c r="A815" s="1">
        <v>94</v>
      </c>
      <c r="B815" t="s">
        <v>19</v>
      </c>
      <c r="C815">
        <v>706</v>
      </c>
      <c r="D815">
        <v>2</v>
      </c>
      <c r="E815" t="s">
        <v>23</v>
      </c>
      <c r="F815" t="s">
        <v>24</v>
      </c>
      <c r="G815" t="str">
        <f>"2025-12-28 22:52:51.381"</f>
        <v>2025-12-28 22:52:51.381</v>
      </c>
      <c r="H815" t="s">
        <v>21</v>
      </c>
      <c r="I815">
        <v>0</v>
      </c>
      <c r="J815" t="s">
        <v>25</v>
      </c>
    </row>
    <row r="816" spans="1:10" x14ac:dyDescent="0.25">
      <c r="A816" s="1">
        <v>96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"2025-12-28 22:49:45.301"</f>
        <v>2025-12-28 22:49:45.301</v>
      </c>
      <c r="H816" t="s">
        <v>21</v>
      </c>
    </row>
    <row r="817" spans="1:10" x14ac:dyDescent="0.25">
      <c r="A817" s="1">
        <v>98</v>
      </c>
      <c r="B817" t="s">
        <v>19</v>
      </c>
      <c r="C817">
        <v>706</v>
      </c>
      <c r="D817">
        <v>4</v>
      </c>
      <c r="E817" t="s">
        <v>23</v>
      </c>
      <c r="F817" t="s">
        <v>38</v>
      </c>
      <c r="G817" t="str">
        <f>"2025-12-28 22:46:59.021"</f>
        <v>2025-12-28 22:46:59.021</v>
      </c>
      <c r="H817" t="s">
        <v>21</v>
      </c>
      <c r="I817">
        <v>0</v>
      </c>
      <c r="J817" t="s">
        <v>25</v>
      </c>
    </row>
    <row r="818" spans="1:10" x14ac:dyDescent="0.25">
      <c r="A818" s="1">
        <v>0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"2025-12-28 21:52:03.301"</f>
        <v>2025-12-28 21:52:03.301</v>
      </c>
      <c r="H818" t="s">
        <v>21</v>
      </c>
      <c r="I818">
        <v>0</v>
      </c>
      <c r="J818" t="s">
        <v>22</v>
      </c>
    </row>
    <row r="819" spans="1:10" x14ac:dyDescent="0.25">
      <c r="A819" s="1">
        <v>3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"2025-12-28 20:44:40.295"</f>
        <v>2025-12-28 20:44:40.295</v>
      </c>
      <c r="H819" t="s">
        <v>21</v>
      </c>
      <c r="I819">
        <v>0</v>
      </c>
      <c r="J819" t="s">
        <v>22</v>
      </c>
    </row>
    <row r="820" spans="1:10" x14ac:dyDescent="0.25">
      <c r="A820" s="1">
        <v>5</v>
      </c>
      <c r="B820" t="s">
        <v>37</v>
      </c>
      <c r="C820">
        <v>47</v>
      </c>
      <c r="D820">
        <v>2</v>
      </c>
      <c r="E820" t="s">
        <v>51</v>
      </c>
      <c r="F820" t="s">
        <v>52</v>
      </c>
      <c r="G820" t="str">
        <f>"2025-12-28 20:43:08.627"</f>
        <v>2025-12-28 20:43:08.627</v>
      </c>
      <c r="H820" t="s">
        <v>36</v>
      </c>
      <c r="I820">
        <v>0</v>
      </c>
      <c r="J820" t="s">
        <v>31</v>
      </c>
    </row>
    <row r="821" spans="1:10" x14ac:dyDescent="0.25">
      <c r="A821" s="1">
        <v>6</v>
      </c>
      <c r="B821" t="s">
        <v>26</v>
      </c>
      <c r="C821">
        <v>635</v>
      </c>
      <c r="D821">
        <v>1</v>
      </c>
      <c r="E821" t="s">
        <v>27</v>
      </c>
      <c r="F821" t="s">
        <v>28</v>
      </c>
      <c r="G821" t="str">
        <f>"2025-12-27 17:54:39.514"</f>
        <v>2025-12-27 17:54:39.514</v>
      </c>
      <c r="H821" t="s">
        <v>21</v>
      </c>
    </row>
    <row r="822" spans="1:10" x14ac:dyDescent="0.25">
      <c r="A822" s="1">
        <v>7</v>
      </c>
      <c r="B822" t="s">
        <v>29</v>
      </c>
      <c r="C822">
        <v>635</v>
      </c>
      <c r="D822">
        <v>1</v>
      </c>
      <c r="E822" t="s">
        <v>27</v>
      </c>
      <c r="F822" t="s">
        <v>28</v>
      </c>
      <c r="G822" t="str">
        <f>"2025-12-27 17:45:46.014"</f>
        <v>2025-12-27 17:45:46.014</v>
      </c>
      <c r="H822" t="s">
        <v>21</v>
      </c>
      <c r="I822">
        <v>5.28</v>
      </c>
      <c r="J822" t="s">
        <v>30</v>
      </c>
    </row>
    <row r="823" spans="1:10" x14ac:dyDescent="0.25">
      <c r="A823" s="1">
        <v>9</v>
      </c>
      <c r="B823" t="s">
        <v>19</v>
      </c>
      <c r="C823">
        <v>706</v>
      </c>
      <c r="D823">
        <v>4</v>
      </c>
      <c r="E823" t="s">
        <v>23</v>
      </c>
      <c r="F823" t="s">
        <v>38</v>
      </c>
      <c r="G823" t="str">
        <f>"2025-12-27 09:48:01.436"</f>
        <v>2025-12-27 09:48:01.436</v>
      </c>
      <c r="H823" t="s">
        <v>21</v>
      </c>
      <c r="I823">
        <v>0</v>
      </c>
      <c r="J823" t="s">
        <v>25</v>
      </c>
    </row>
    <row r="824" spans="1:10" x14ac:dyDescent="0.25">
      <c r="A824" s="1">
        <v>10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"2025-12-27 09:47:42.316"</f>
        <v>2025-12-27 09:47:42.316</v>
      </c>
      <c r="H824" t="s">
        <v>21</v>
      </c>
      <c r="I824">
        <v>0</v>
      </c>
      <c r="J824" t="s">
        <v>22</v>
      </c>
    </row>
    <row r="825" spans="1:10" x14ac:dyDescent="0.25">
      <c r="A825" s="1">
        <v>12</v>
      </c>
      <c r="B825" t="s">
        <v>37</v>
      </c>
      <c r="C825">
        <v>47</v>
      </c>
      <c r="D825">
        <v>2</v>
      </c>
      <c r="E825" t="s">
        <v>51</v>
      </c>
      <c r="F825" t="s">
        <v>52</v>
      </c>
      <c r="G825" t="str">
        <f>"2025-12-27 09:40:18.360"</f>
        <v>2025-12-27 09:40:18.360</v>
      </c>
      <c r="H825" t="s">
        <v>36</v>
      </c>
      <c r="I825">
        <v>0</v>
      </c>
      <c r="J825" t="s">
        <v>31</v>
      </c>
    </row>
    <row r="826" spans="1:10" x14ac:dyDescent="0.25">
      <c r="A826" s="1">
        <v>14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"2025-12-26 20:20:27.420"</f>
        <v>2025-12-26 20:20:27.420</v>
      </c>
      <c r="H826" t="s">
        <v>21</v>
      </c>
      <c r="I826">
        <v>0</v>
      </c>
      <c r="J826" t="s">
        <v>22</v>
      </c>
    </row>
    <row r="827" spans="1:10" x14ac:dyDescent="0.25">
      <c r="A827" s="1">
        <v>16</v>
      </c>
      <c r="B827" t="s">
        <v>37</v>
      </c>
      <c r="C827">
        <v>47</v>
      </c>
      <c r="D827">
        <v>2</v>
      </c>
      <c r="E827" t="s">
        <v>51</v>
      </c>
      <c r="F827" t="s">
        <v>52</v>
      </c>
      <c r="G827" t="str">
        <f>"2025-12-26 20:12:41.760"</f>
        <v>2025-12-26 20:12:41.760</v>
      </c>
      <c r="H827" t="s">
        <v>36</v>
      </c>
      <c r="I827">
        <v>0</v>
      </c>
      <c r="J827" t="s">
        <v>31</v>
      </c>
    </row>
    <row r="828" spans="1:10" x14ac:dyDescent="0.25">
      <c r="A828" s="1">
        <v>18</v>
      </c>
      <c r="B828" t="s">
        <v>26</v>
      </c>
      <c r="C828">
        <v>635</v>
      </c>
      <c r="D828">
        <v>1</v>
      </c>
      <c r="E828" t="s">
        <v>27</v>
      </c>
      <c r="F828" t="s">
        <v>28</v>
      </c>
      <c r="G828" t="str">
        <f>"2025-12-25 20:26:47.548"</f>
        <v>2025-12-25 20:26:47.548</v>
      </c>
      <c r="H828" t="s">
        <v>21</v>
      </c>
    </row>
    <row r="829" spans="1:10" x14ac:dyDescent="0.25">
      <c r="A829" s="1">
        <v>19</v>
      </c>
      <c r="B829" t="s">
        <v>29</v>
      </c>
      <c r="C829">
        <v>635</v>
      </c>
      <c r="D829">
        <v>1</v>
      </c>
      <c r="E829" t="s">
        <v>27</v>
      </c>
      <c r="F829" t="s">
        <v>28</v>
      </c>
      <c r="G829" t="str">
        <f>"2025-12-25 20:01:28.648"</f>
        <v>2025-12-25 20:01:28.648</v>
      </c>
      <c r="H829" t="s">
        <v>21</v>
      </c>
      <c r="I829">
        <v>5.62</v>
      </c>
      <c r="J829" t="s">
        <v>30</v>
      </c>
    </row>
    <row r="830" spans="1:10" x14ac:dyDescent="0.25">
      <c r="A830" s="1">
        <v>20</v>
      </c>
      <c r="B830" t="s">
        <v>26</v>
      </c>
      <c r="C830">
        <v>635</v>
      </c>
      <c r="D830">
        <v>1</v>
      </c>
      <c r="E830" t="s">
        <v>27</v>
      </c>
      <c r="F830" t="s">
        <v>28</v>
      </c>
      <c r="G830" t="str">
        <f>"2025-12-25 15:26:11.648"</f>
        <v>2025-12-25 15:26:11.648</v>
      </c>
      <c r="H830" t="s">
        <v>21</v>
      </c>
    </row>
    <row r="831" spans="1:10" x14ac:dyDescent="0.25">
      <c r="A831" s="1">
        <v>21</v>
      </c>
      <c r="B831" t="s">
        <v>29</v>
      </c>
      <c r="C831">
        <v>635</v>
      </c>
      <c r="D831">
        <v>1</v>
      </c>
      <c r="E831" t="s">
        <v>27</v>
      </c>
      <c r="F831" t="s">
        <v>28</v>
      </c>
      <c r="G831" t="str">
        <f>"2025-12-25 15:23:50.648"</f>
        <v>2025-12-25 15:23:50.648</v>
      </c>
      <c r="H831" t="s">
        <v>21</v>
      </c>
      <c r="I831">
        <v>3.01</v>
      </c>
      <c r="J831" t="s">
        <v>32</v>
      </c>
    </row>
    <row r="832" spans="1:10" x14ac:dyDescent="0.25">
      <c r="A832" s="1">
        <v>23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"2025-12-25 11:41:50.301"</f>
        <v>2025-12-25 11:41:50.301</v>
      </c>
      <c r="H832" t="s">
        <v>21</v>
      </c>
    </row>
    <row r="833" spans="1:10" x14ac:dyDescent="0.25">
      <c r="A833" s="1">
        <v>25</v>
      </c>
      <c r="B833" t="s">
        <v>37</v>
      </c>
      <c r="C833">
        <v>47</v>
      </c>
      <c r="D833">
        <v>2</v>
      </c>
      <c r="E833" t="s">
        <v>51</v>
      </c>
      <c r="F833" t="s">
        <v>52</v>
      </c>
      <c r="G833" t="str">
        <f>"2025-12-25 11:33:28.442"</f>
        <v>2025-12-25 11:33:28.442</v>
      </c>
      <c r="H833" t="s">
        <v>36</v>
      </c>
      <c r="I833">
        <v>0</v>
      </c>
      <c r="J833" t="s">
        <v>31</v>
      </c>
    </row>
    <row r="834" spans="1:10" x14ac:dyDescent="0.25">
      <c r="A834" s="1">
        <v>26</v>
      </c>
      <c r="B834" t="s">
        <v>26</v>
      </c>
      <c r="C834">
        <v>635</v>
      </c>
      <c r="D834">
        <v>1</v>
      </c>
      <c r="E834" t="s">
        <v>27</v>
      </c>
      <c r="F834" t="s">
        <v>28</v>
      </c>
      <c r="G834" t="str">
        <f>"2025-12-25 02:34:15.989"</f>
        <v>2025-12-25 02:34:15.989</v>
      </c>
      <c r="H834" t="s">
        <v>21</v>
      </c>
    </row>
    <row r="835" spans="1:10" x14ac:dyDescent="0.25">
      <c r="A835" s="1">
        <v>27</v>
      </c>
      <c r="B835" t="s">
        <v>29</v>
      </c>
      <c r="C835">
        <v>635</v>
      </c>
      <c r="D835">
        <v>1</v>
      </c>
      <c r="E835" t="s">
        <v>27</v>
      </c>
      <c r="F835" t="s">
        <v>28</v>
      </c>
      <c r="G835" t="str">
        <f>"2025-12-25 02:05:29.489"</f>
        <v>2025-12-25 02:05:29.489</v>
      </c>
      <c r="H835" t="s">
        <v>21</v>
      </c>
      <c r="I835">
        <v>3.8</v>
      </c>
      <c r="J835" t="s">
        <v>30</v>
      </c>
    </row>
    <row r="836" spans="1:10" x14ac:dyDescent="0.25">
      <c r="A836" s="1">
        <v>29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"2025-12-24 20:13:38.292"</f>
        <v>2025-12-24 20:13:38.292</v>
      </c>
      <c r="H836" t="s">
        <v>21</v>
      </c>
      <c r="I836">
        <v>0</v>
      </c>
      <c r="J836" t="s">
        <v>22</v>
      </c>
    </row>
    <row r="837" spans="1:10" x14ac:dyDescent="0.25">
      <c r="A837" s="1">
        <v>31</v>
      </c>
      <c r="B837" t="s">
        <v>37</v>
      </c>
      <c r="C837">
        <v>47</v>
      </c>
      <c r="D837">
        <v>2</v>
      </c>
      <c r="E837" t="s">
        <v>51</v>
      </c>
      <c r="F837" t="s">
        <v>52</v>
      </c>
      <c r="G837" t="str">
        <f>"2025-12-24 20:12:36.505"</f>
        <v>2025-12-24 20:12:36.505</v>
      </c>
      <c r="H837" t="s">
        <v>36</v>
      </c>
      <c r="I837">
        <v>0</v>
      </c>
      <c r="J837" t="s">
        <v>31</v>
      </c>
    </row>
    <row r="838" spans="1:10" x14ac:dyDescent="0.25">
      <c r="A838" s="1">
        <v>32</v>
      </c>
      <c r="B838" t="s">
        <v>26</v>
      </c>
      <c r="C838">
        <v>635</v>
      </c>
      <c r="D838">
        <v>1</v>
      </c>
      <c r="E838" t="s">
        <v>27</v>
      </c>
      <c r="F838" t="s">
        <v>28</v>
      </c>
      <c r="G838" t="str">
        <f>"2025-12-24 08:06:00.793"</f>
        <v>2025-12-24 08:06:00.793</v>
      </c>
      <c r="H838" t="s">
        <v>21</v>
      </c>
    </row>
    <row r="839" spans="1:10" x14ac:dyDescent="0.25">
      <c r="A839" s="1">
        <v>33</v>
      </c>
      <c r="B839" t="s">
        <v>29</v>
      </c>
      <c r="C839">
        <v>635</v>
      </c>
      <c r="D839">
        <v>1</v>
      </c>
      <c r="E839" t="s">
        <v>27</v>
      </c>
      <c r="F839" t="s">
        <v>28</v>
      </c>
      <c r="G839" t="str">
        <f>"2025-12-24 08:03:39.793"</f>
        <v>2025-12-24 08:03:39.793</v>
      </c>
      <c r="H839" t="s">
        <v>21</v>
      </c>
      <c r="I839">
        <v>6.09</v>
      </c>
      <c r="J839" t="s">
        <v>30</v>
      </c>
    </row>
    <row r="840" spans="1:10" x14ac:dyDescent="0.25">
      <c r="A840" s="1">
        <v>35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"2025-12-23 22:28:04.345"</f>
        <v>2025-12-23 22:28:04.345</v>
      </c>
      <c r="H840" t="s">
        <v>21</v>
      </c>
      <c r="I840">
        <v>0</v>
      </c>
      <c r="J840" t="s">
        <v>22</v>
      </c>
    </row>
    <row r="841" spans="1:10" x14ac:dyDescent="0.25">
      <c r="A841" s="1">
        <v>37</v>
      </c>
      <c r="B841" t="s">
        <v>37</v>
      </c>
      <c r="C841">
        <v>47</v>
      </c>
      <c r="D841">
        <v>2</v>
      </c>
      <c r="E841" t="s">
        <v>51</v>
      </c>
      <c r="F841" t="s">
        <v>52</v>
      </c>
      <c r="G841" t="str">
        <f>"2025-12-23 22:19:05.596"</f>
        <v>2025-12-23 22:19:05.596</v>
      </c>
      <c r="H841" t="s">
        <v>36</v>
      </c>
      <c r="I841">
        <v>0</v>
      </c>
      <c r="J841" t="s">
        <v>31</v>
      </c>
    </row>
    <row r="842" spans="1:10" x14ac:dyDescent="0.25">
      <c r="A842" s="1">
        <v>38</v>
      </c>
      <c r="B842" t="s">
        <v>26</v>
      </c>
      <c r="C842">
        <v>635</v>
      </c>
      <c r="D842">
        <v>1</v>
      </c>
      <c r="E842" t="s">
        <v>27</v>
      </c>
      <c r="F842" t="s">
        <v>28</v>
      </c>
      <c r="G842" t="str">
        <f>"2025-12-23 12:31:23.856"</f>
        <v>2025-12-23 12:31:23.856</v>
      </c>
      <c r="H842" t="s">
        <v>21</v>
      </c>
    </row>
    <row r="843" spans="1:10" x14ac:dyDescent="0.25">
      <c r="A843" s="1">
        <v>39</v>
      </c>
      <c r="B843" t="s">
        <v>29</v>
      </c>
      <c r="C843">
        <v>635</v>
      </c>
      <c r="D843">
        <v>1</v>
      </c>
      <c r="E843" t="s">
        <v>27</v>
      </c>
      <c r="F843" t="s">
        <v>28</v>
      </c>
      <c r="G843" t="str">
        <f>"2025-12-23 12:29:10.356"</f>
        <v>2025-12-23 12:29:10.356</v>
      </c>
      <c r="H843" t="s">
        <v>21</v>
      </c>
      <c r="I843">
        <v>0.37</v>
      </c>
      <c r="J843" t="s">
        <v>30</v>
      </c>
    </row>
    <row r="844" spans="1:10" x14ac:dyDescent="0.25">
      <c r="A844" s="1">
        <v>41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"2025-12-23 11:16:55.247"</f>
        <v>2025-12-23 11:16:55.247</v>
      </c>
      <c r="H844" t="s">
        <v>21</v>
      </c>
      <c r="I844">
        <v>0</v>
      </c>
      <c r="J844" t="s">
        <v>22</v>
      </c>
    </row>
    <row r="845" spans="1:10" x14ac:dyDescent="0.25">
      <c r="A845" s="1">
        <v>43</v>
      </c>
      <c r="B845" t="s">
        <v>37</v>
      </c>
      <c r="C845">
        <v>47</v>
      </c>
      <c r="D845">
        <v>2</v>
      </c>
      <c r="E845" t="s">
        <v>51</v>
      </c>
      <c r="F845" t="s">
        <v>52</v>
      </c>
      <c r="G845" t="str">
        <f>"2025-12-23 11:10:14.321"</f>
        <v>2025-12-23 11:10:14.321</v>
      </c>
      <c r="H845" t="s">
        <v>36</v>
      </c>
      <c r="I845">
        <v>0</v>
      </c>
      <c r="J845" t="s">
        <v>31</v>
      </c>
    </row>
    <row r="846" spans="1:10" x14ac:dyDescent="0.25">
      <c r="A846" s="1">
        <v>45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"2025-12-23 08:53:28.271"</f>
        <v>2025-12-23 08:53:28.271</v>
      </c>
      <c r="H846" t="s">
        <v>21</v>
      </c>
      <c r="I846">
        <v>0</v>
      </c>
      <c r="J846" t="s">
        <v>22</v>
      </c>
    </row>
    <row r="847" spans="1:10" x14ac:dyDescent="0.25">
      <c r="A847" s="1">
        <v>47</v>
      </c>
      <c r="B847" t="s">
        <v>37</v>
      </c>
      <c r="C847">
        <v>47</v>
      </c>
      <c r="D847">
        <v>2</v>
      </c>
      <c r="E847" t="s">
        <v>51</v>
      </c>
      <c r="F847" t="s">
        <v>52</v>
      </c>
      <c r="G847" t="str">
        <f>"2025-12-23 08:47:26.243"</f>
        <v>2025-12-23 08:47:26.243</v>
      </c>
      <c r="H847" t="s">
        <v>36</v>
      </c>
      <c r="I847">
        <v>0</v>
      </c>
      <c r="J847" t="s">
        <v>31</v>
      </c>
    </row>
    <row r="848" spans="1:10" x14ac:dyDescent="0.25">
      <c r="A848" s="1">
        <v>48</v>
      </c>
      <c r="B848" t="s">
        <v>26</v>
      </c>
      <c r="C848">
        <v>635</v>
      </c>
      <c r="D848">
        <v>1</v>
      </c>
      <c r="E848" t="s">
        <v>27</v>
      </c>
      <c r="F848" t="s">
        <v>28</v>
      </c>
      <c r="G848" t="str">
        <f>"2025-12-22 21:42:55.243"</f>
        <v>2025-12-22 21:42:55.243</v>
      </c>
      <c r="H848" t="s">
        <v>21</v>
      </c>
    </row>
    <row r="849" spans="1:10" x14ac:dyDescent="0.25">
      <c r="A849" s="1">
        <v>49</v>
      </c>
      <c r="B849" t="s">
        <v>29</v>
      </c>
      <c r="C849">
        <v>635</v>
      </c>
      <c r="D849">
        <v>1</v>
      </c>
      <c r="E849" t="s">
        <v>27</v>
      </c>
      <c r="F849" t="s">
        <v>28</v>
      </c>
      <c r="G849" t="str">
        <f>"2025-12-22 21:39:35.743"</f>
        <v>2025-12-22 21:39:35.743</v>
      </c>
      <c r="H849" t="s">
        <v>21</v>
      </c>
      <c r="I849">
        <v>0.41</v>
      </c>
      <c r="J849" t="s">
        <v>30</v>
      </c>
    </row>
    <row r="850" spans="1:10" x14ac:dyDescent="0.25">
      <c r="A850" s="1">
        <v>50</v>
      </c>
      <c r="B850" t="s">
        <v>26</v>
      </c>
      <c r="C850">
        <v>635</v>
      </c>
      <c r="D850">
        <v>1</v>
      </c>
      <c r="E850" t="s">
        <v>27</v>
      </c>
      <c r="F850" t="s">
        <v>28</v>
      </c>
      <c r="G850" t="str">
        <f>"2025-12-22 21:27:42.343"</f>
        <v>2025-12-22 21:27:42.343</v>
      </c>
      <c r="H850" t="s">
        <v>21</v>
      </c>
    </row>
    <row r="851" spans="1:10" x14ac:dyDescent="0.25">
      <c r="A851" s="1">
        <v>51</v>
      </c>
      <c r="B851" t="s">
        <v>29</v>
      </c>
      <c r="C851">
        <v>635</v>
      </c>
      <c r="D851">
        <v>1</v>
      </c>
      <c r="E851" t="s">
        <v>27</v>
      </c>
      <c r="F851" t="s">
        <v>28</v>
      </c>
      <c r="G851" t="str">
        <f>"2025-12-22 21:24:24.343"</f>
        <v>2025-12-22 21:24:24.343</v>
      </c>
      <c r="H851" t="s">
        <v>21</v>
      </c>
      <c r="I851">
        <v>2.75</v>
      </c>
      <c r="J851" t="s">
        <v>30</v>
      </c>
    </row>
    <row r="852" spans="1:10" x14ac:dyDescent="0.25">
      <c r="A852" s="1">
        <v>53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"2025-12-22 20:27:30.270"</f>
        <v>2025-12-22 20:27:30.270</v>
      </c>
      <c r="H852" t="s">
        <v>21</v>
      </c>
    </row>
    <row r="853" spans="1:10" x14ac:dyDescent="0.25">
      <c r="A853" s="1">
        <v>55</v>
      </c>
      <c r="B853" t="s">
        <v>37</v>
      </c>
      <c r="C853">
        <v>47</v>
      </c>
      <c r="D853">
        <v>2</v>
      </c>
      <c r="E853" t="s">
        <v>51</v>
      </c>
      <c r="F853" t="s">
        <v>52</v>
      </c>
      <c r="G853" t="str">
        <f>"2025-12-22 20:13:16.508"</f>
        <v>2025-12-22 20:13:16.508</v>
      </c>
      <c r="H853" t="s">
        <v>36</v>
      </c>
      <c r="I853">
        <v>0</v>
      </c>
      <c r="J853" t="s">
        <v>31</v>
      </c>
    </row>
    <row r="854" spans="1:10" x14ac:dyDescent="0.25">
      <c r="A854" s="1">
        <v>56</v>
      </c>
      <c r="B854" t="s">
        <v>26</v>
      </c>
      <c r="C854">
        <v>635</v>
      </c>
      <c r="D854">
        <v>1</v>
      </c>
      <c r="E854" t="s">
        <v>27</v>
      </c>
      <c r="F854" t="s">
        <v>28</v>
      </c>
      <c r="G854" t="str">
        <f>"2025-12-22 19:13:28.208"</f>
        <v>2025-12-22 19:13:28.208</v>
      </c>
      <c r="H854" t="s">
        <v>21</v>
      </c>
    </row>
    <row r="855" spans="1:10" x14ac:dyDescent="0.25">
      <c r="A855" s="1">
        <v>57</v>
      </c>
      <c r="B855" t="s">
        <v>29</v>
      </c>
      <c r="C855">
        <v>635</v>
      </c>
      <c r="D855">
        <v>1</v>
      </c>
      <c r="E855" t="s">
        <v>27</v>
      </c>
      <c r="F855" t="s">
        <v>28</v>
      </c>
      <c r="G855" t="str">
        <f>"2025-12-22 19:11:32.208"</f>
        <v>2025-12-22 19:11:32.208</v>
      </c>
      <c r="H855" t="s">
        <v>21</v>
      </c>
      <c r="I855">
        <v>0.62</v>
      </c>
      <c r="J855" t="s">
        <v>31</v>
      </c>
    </row>
    <row r="856" spans="1:10" x14ac:dyDescent="0.25">
      <c r="A856" s="1">
        <v>58</v>
      </c>
      <c r="B856" t="s">
        <v>26</v>
      </c>
      <c r="C856">
        <v>635</v>
      </c>
      <c r="D856">
        <v>1</v>
      </c>
      <c r="E856" t="s">
        <v>27</v>
      </c>
      <c r="F856" t="s">
        <v>28</v>
      </c>
      <c r="G856" t="str">
        <f>"2025-12-22 18:49:24.808"</f>
        <v>2025-12-22 18:49:24.808</v>
      </c>
      <c r="H856" t="s">
        <v>21</v>
      </c>
    </row>
    <row r="857" spans="1:10" x14ac:dyDescent="0.25">
      <c r="A857" s="1">
        <v>59</v>
      </c>
      <c r="B857" t="s">
        <v>29</v>
      </c>
      <c r="C857">
        <v>635</v>
      </c>
      <c r="D857">
        <v>1</v>
      </c>
      <c r="E857" t="s">
        <v>27</v>
      </c>
      <c r="F857" t="s">
        <v>28</v>
      </c>
      <c r="G857" t="str">
        <f>"2025-12-22 18:47:23.808"</f>
        <v>2025-12-22 18:47:23.808</v>
      </c>
      <c r="H857" t="s">
        <v>21</v>
      </c>
      <c r="I857">
        <v>-3.91</v>
      </c>
      <c r="J857" t="s">
        <v>32</v>
      </c>
    </row>
    <row r="858" spans="1:10" x14ac:dyDescent="0.25">
      <c r="A858" s="1">
        <v>60</v>
      </c>
      <c r="B858" t="s">
        <v>26</v>
      </c>
      <c r="C858">
        <v>635</v>
      </c>
      <c r="D858">
        <v>1</v>
      </c>
      <c r="E858" t="s">
        <v>27</v>
      </c>
      <c r="F858" t="s">
        <v>28</v>
      </c>
      <c r="G858" t="str">
        <f>"2025-12-22 17:15:59.908"</f>
        <v>2025-12-22 17:15:59.908</v>
      </c>
      <c r="H858" t="s">
        <v>21</v>
      </c>
    </row>
    <row r="859" spans="1:10" x14ac:dyDescent="0.25">
      <c r="A859" s="1">
        <v>61</v>
      </c>
      <c r="B859" t="s">
        <v>29</v>
      </c>
      <c r="C859">
        <v>635</v>
      </c>
      <c r="D859">
        <v>1</v>
      </c>
      <c r="E859" t="s">
        <v>27</v>
      </c>
      <c r="F859" t="s">
        <v>28</v>
      </c>
      <c r="G859" t="str">
        <f>"2025-12-22 17:12:26.908"</f>
        <v>2025-12-22 17:12:26.908</v>
      </c>
      <c r="H859" t="s">
        <v>21</v>
      </c>
      <c r="I859">
        <v>-0.41</v>
      </c>
      <c r="J859" t="s">
        <v>30</v>
      </c>
    </row>
    <row r="860" spans="1:10" x14ac:dyDescent="0.25">
      <c r="A860" s="1">
        <v>62</v>
      </c>
      <c r="B860" t="s">
        <v>26</v>
      </c>
      <c r="C860">
        <v>635</v>
      </c>
      <c r="D860">
        <v>1</v>
      </c>
      <c r="E860" t="s">
        <v>27</v>
      </c>
      <c r="F860" t="s">
        <v>28</v>
      </c>
      <c r="G860" t="str">
        <f>"2025-12-22 14:40:17.208"</f>
        <v>2025-12-22 14:40:17.208</v>
      </c>
      <c r="H860" t="s">
        <v>21</v>
      </c>
    </row>
    <row r="861" spans="1:10" x14ac:dyDescent="0.25">
      <c r="A861" s="1">
        <v>63</v>
      </c>
      <c r="B861" t="s">
        <v>29</v>
      </c>
      <c r="C861">
        <v>635</v>
      </c>
      <c r="D861">
        <v>1</v>
      </c>
      <c r="E861" t="s">
        <v>27</v>
      </c>
      <c r="F861" t="s">
        <v>28</v>
      </c>
      <c r="G861" t="str">
        <f>"2025-12-22 14:34:01.308"</f>
        <v>2025-12-22 14:34:01.308</v>
      </c>
      <c r="H861" t="s">
        <v>21</v>
      </c>
      <c r="I861">
        <v>9.84</v>
      </c>
      <c r="J861" t="s">
        <v>32</v>
      </c>
    </row>
    <row r="862" spans="1:10" x14ac:dyDescent="0.25">
      <c r="A862" s="1">
        <v>65</v>
      </c>
      <c r="B862" t="s">
        <v>57</v>
      </c>
      <c r="C862">
        <v>47</v>
      </c>
      <c r="D862">
        <v>2</v>
      </c>
      <c r="E862" t="s">
        <v>51</v>
      </c>
      <c r="F862" t="s">
        <v>52</v>
      </c>
      <c r="G862" t="str">
        <f>"2025-12-22 04:36:06.008"</f>
        <v>2025-12-22 04:36:06.008</v>
      </c>
      <c r="H862" t="s">
        <v>36</v>
      </c>
    </row>
    <row r="863" spans="1:10" x14ac:dyDescent="0.25">
      <c r="A863" s="1">
        <v>66</v>
      </c>
      <c r="B863" t="s">
        <v>19</v>
      </c>
      <c r="C863">
        <v>706</v>
      </c>
      <c r="D863">
        <v>4</v>
      </c>
      <c r="E863" t="s">
        <v>23</v>
      </c>
      <c r="F863" t="s">
        <v>38</v>
      </c>
      <c r="G863" t="str">
        <f>"2025-12-22 04:36:02.394"</f>
        <v>2025-12-22 04:36:02.394</v>
      </c>
      <c r="H863" t="s">
        <v>21</v>
      </c>
      <c r="I863">
        <v>0</v>
      </c>
      <c r="J863" t="s">
        <v>25</v>
      </c>
    </row>
    <row r="864" spans="1:10" x14ac:dyDescent="0.25">
      <c r="A864" s="1">
        <v>67</v>
      </c>
      <c r="B864" t="s">
        <v>37</v>
      </c>
      <c r="C864">
        <v>47</v>
      </c>
      <c r="D864">
        <v>2</v>
      </c>
      <c r="E864" t="s">
        <v>51</v>
      </c>
      <c r="F864" t="s">
        <v>52</v>
      </c>
      <c r="G864" t="str">
        <f>"2025-12-22 04:01:19.108"</f>
        <v>2025-12-22 04:01:19.108</v>
      </c>
      <c r="H864" t="s">
        <v>36</v>
      </c>
      <c r="I864">
        <v>0</v>
      </c>
      <c r="J864" t="s">
        <v>31</v>
      </c>
    </row>
    <row r="865" spans="1:10" x14ac:dyDescent="0.25">
      <c r="A865" s="1">
        <v>69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"2025-12-21 22:15:05.224"</f>
        <v>2025-12-21 22:15:05.224</v>
      </c>
      <c r="H865" t="s">
        <v>21</v>
      </c>
      <c r="I865">
        <v>0</v>
      </c>
      <c r="J865" t="s">
        <v>22</v>
      </c>
    </row>
    <row r="866" spans="1:10" x14ac:dyDescent="0.25">
      <c r="A866" s="1">
        <v>72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"2025-12-21 10:01:48.253"</f>
        <v>2025-12-21 10:01:48.253</v>
      </c>
      <c r="H866" t="s">
        <v>21</v>
      </c>
      <c r="I866">
        <v>0</v>
      </c>
      <c r="J866" t="s">
        <v>22</v>
      </c>
    </row>
    <row r="867" spans="1:10" x14ac:dyDescent="0.25">
      <c r="A867" s="1">
        <v>75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"2025-12-20 20:37:25.202"</f>
        <v>2025-12-20 20:37:25.202</v>
      </c>
      <c r="H867" t="s">
        <v>21</v>
      </c>
    </row>
    <row r="868" spans="1:10" x14ac:dyDescent="0.25">
      <c r="A868" s="1">
        <v>77</v>
      </c>
      <c r="B868" t="s">
        <v>19</v>
      </c>
      <c r="C868">
        <v>706</v>
      </c>
      <c r="D868">
        <v>2</v>
      </c>
      <c r="E868" t="s">
        <v>23</v>
      </c>
      <c r="F868" t="s">
        <v>24</v>
      </c>
      <c r="G868" t="str">
        <f>"2025-12-20 17:49:11.987"</f>
        <v>2025-12-20 17:49:11.987</v>
      </c>
      <c r="H868" t="s">
        <v>21</v>
      </c>
      <c r="I868">
        <v>0</v>
      </c>
      <c r="J868" t="s">
        <v>25</v>
      </c>
    </row>
    <row r="869" spans="1:10" x14ac:dyDescent="0.25">
      <c r="A869" s="1">
        <v>80</v>
      </c>
      <c r="B869" t="s">
        <v>19</v>
      </c>
      <c r="C869">
        <v>706</v>
      </c>
      <c r="D869">
        <v>2</v>
      </c>
      <c r="E869" t="s">
        <v>23</v>
      </c>
      <c r="F869" t="s">
        <v>24</v>
      </c>
      <c r="G869" t="str">
        <f>"2025-12-20 17:48:23.587"</f>
        <v>2025-12-20 17:48:23.587</v>
      </c>
      <c r="H869" t="s">
        <v>21</v>
      </c>
      <c r="I869">
        <v>0</v>
      </c>
      <c r="J869" t="s">
        <v>25</v>
      </c>
    </row>
    <row r="870" spans="1:10" x14ac:dyDescent="0.25">
      <c r="A870" s="1">
        <v>81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"2025-12-20 17:04:18.207"</f>
        <v>2025-12-20 17:04:18.207</v>
      </c>
      <c r="H870" t="s">
        <v>21</v>
      </c>
    </row>
    <row r="871" spans="1:10" x14ac:dyDescent="0.25">
      <c r="A871" s="1">
        <v>83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"2025-12-20 16:06:35.233"</f>
        <v>2025-12-20 16:06:35.233</v>
      </c>
      <c r="H871" t="s">
        <v>21</v>
      </c>
    </row>
    <row r="872" spans="1:10" x14ac:dyDescent="0.25">
      <c r="A872" s="1">
        <v>86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"2025-12-19 10:19:47.187"</f>
        <v>2025-12-19 10:19:47.187</v>
      </c>
      <c r="H872" t="s">
        <v>21</v>
      </c>
      <c r="I872">
        <v>0</v>
      </c>
      <c r="J872" t="s">
        <v>22</v>
      </c>
    </row>
    <row r="873" spans="1:10" x14ac:dyDescent="0.25">
      <c r="A873" s="1">
        <v>88</v>
      </c>
      <c r="B873" t="s">
        <v>37</v>
      </c>
      <c r="C873">
        <v>47</v>
      </c>
      <c r="D873">
        <v>2</v>
      </c>
      <c r="E873" t="s">
        <v>51</v>
      </c>
      <c r="F873" t="s">
        <v>52</v>
      </c>
      <c r="G873" t="str">
        <f>"2025-12-19 10:15:04.448"</f>
        <v>2025-12-19 10:15:04.448</v>
      </c>
      <c r="H873" t="s">
        <v>36</v>
      </c>
      <c r="I873">
        <v>0</v>
      </c>
      <c r="J873" t="s">
        <v>31</v>
      </c>
    </row>
    <row r="874" spans="1:10" x14ac:dyDescent="0.25">
      <c r="A874" s="1">
        <v>90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"2025-12-19 09:57:40.195"</f>
        <v>2025-12-19 09:57:40.195</v>
      </c>
      <c r="H874" t="s">
        <v>21</v>
      </c>
    </row>
    <row r="875" spans="1:10" x14ac:dyDescent="0.25">
      <c r="A875" s="1">
        <v>92</v>
      </c>
      <c r="B875" t="s">
        <v>37</v>
      </c>
      <c r="C875">
        <v>47</v>
      </c>
      <c r="D875">
        <v>2</v>
      </c>
      <c r="E875" t="s">
        <v>51</v>
      </c>
      <c r="F875" t="s">
        <v>52</v>
      </c>
      <c r="G875" t="str">
        <f>"2025-12-19 09:51:56.802"</f>
        <v>2025-12-19 09:51:56.802</v>
      </c>
      <c r="H875" t="s">
        <v>36</v>
      </c>
      <c r="I875">
        <v>0</v>
      </c>
      <c r="J875" t="s">
        <v>31</v>
      </c>
    </row>
    <row r="876" spans="1:10" x14ac:dyDescent="0.25">
      <c r="A876" s="1">
        <v>94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"2025-12-18 23:19:02.141"</f>
        <v>2025-12-18 23:19:02.141</v>
      </c>
      <c r="H876" t="s">
        <v>21</v>
      </c>
    </row>
    <row r="877" spans="1:10" x14ac:dyDescent="0.25">
      <c r="A877" s="1">
        <v>97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"2025-12-18 23:10:43.146"</f>
        <v>2025-12-18 23:10:43.146</v>
      </c>
      <c r="H877" t="s">
        <v>21</v>
      </c>
    </row>
    <row r="878" spans="1:10" x14ac:dyDescent="0.25">
      <c r="A878" s="1">
        <v>99</v>
      </c>
      <c r="B878" t="s">
        <v>26</v>
      </c>
      <c r="C878">
        <v>49</v>
      </c>
      <c r="D878">
        <v>1</v>
      </c>
      <c r="E878" t="s">
        <v>53</v>
      </c>
      <c r="F878" t="s">
        <v>54</v>
      </c>
      <c r="G878" t="str">
        <f>"2025-12-18 22:26:36.978"</f>
        <v>2025-12-18 22:26:36.978</v>
      </c>
      <c r="H878" t="s">
        <v>55</v>
      </c>
    </row>
    <row r="879" spans="1:10" x14ac:dyDescent="0.25">
      <c r="A879" s="1">
        <v>1</v>
      </c>
      <c r="B879" t="s">
        <v>29</v>
      </c>
      <c r="C879">
        <v>49</v>
      </c>
      <c r="D879">
        <v>1</v>
      </c>
      <c r="E879" t="s">
        <v>53</v>
      </c>
      <c r="F879" t="s">
        <v>54</v>
      </c>
      <c r="G879" t="str">
        <f>"2025-12-18 22:26:17.279"</f>
        <v>2025-12-18 22:26:17.279</v>
      </c>
      <c r="H879" t="s">
        <v>55</v>
      </c>
      <c r="I879">
        <v>0</v>
      </c>
      <c r="J879" t="s">
        <v>25</v>
      </c>
    </row>
    <row r="880" spans="1:10" x14ac:dyDescent="0.25">
      <c r="A880" s="1">
        <v>3</v>
      </c>
      <c r="B880" t="s">
        <v>37</v>
      </c>
      <c r="C880">
        <v>47</v>
      </c>
      <c r="D880">
        <v>2</v>
      </c>
      <c r="E880" t="s">
        <v>51</v>
      </c>
      <c r="F880" t="s">
        <v>52</v>
      </c>
      <c r="G880" t="str">
        <f>"2025-12-18 22:24:20.779"</f>
        <v>2025-12-18 22:24:20.779</v>
      </c>
      <c r="H880" t="s">
        <v>36</v>
      </c>
      <c r="I880">
        <v>0</v>
      </c>
      <c r="J880" t="s">
        <v>31</v>
      </c>
    </row>
    <row r="881" spans="1:10" x14ac:dyDescent="0.25">
      <c r="A881" s="1">
        <v>4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"2025-12-18 17:43:21.117"</f>
        <v>2025-12-18 17:43:21.117</v>
      </c>
      <c r="H881" t="s">
        <v>21</v>
      </c>
      <c r="I881">
        <v>0</v>
      </c>
      <c r="J881" t="s">
        <v>22</v>
      </c>
    </row>
    <row r="882" spans="1:10" x14ac:dyDescent="0.25">
      <c r="A882" s="1">
        <v>6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"2025-12-18 02:13:39.100"</f>
        <v>2025-12-18 02:13:39.100</v>
      </c>
      <c r="H882" t="s">
        <v>21</v>
      </c>
    </row>
    <row r="883" spans="1:10" x14ac:dyDescent="0.25">
      <c r="A883" s="1">
        <v>8</v>
      </c>
      <c r="B883" t="s">
        <v>37</v>
      </c>
      <c r="C883">
        <v>47</v>
      </c>
      <c r="D883">
        <v>2</v>
      </c>
      <c r="E883" t="s">
        <v>51</v>
      </c>
      <c r="F883" t="s">
        <v>52</v>
      </c>
      <c r="G883" t="str">
        <f>"2025-12-18 00:03:57.803"</f>
        <v>2025-12-18 00:03:57.803</v>
      </c>
      <c r="H883" t="s">
        <v>36</v>
      </c>
      <c r="I883">
        <v>0</v>
      </c>
      <c r="J883" t="s">
        <v>31</v>
      </c>
    </row>
    <row r="884" spans="1:10" x14ac:dyDescent="0.25">
      <c r="A884" s="1">
        <v>11</v>
      </c>
      <c r="B884" t="s">
        <v>19</v>
      </c>
      <c r="C884">
        <v>782</v>
      </c>
      <c r="D884">
        <v>7</v>
      </c>
      <c r="E884" t="s">
        <v>58</v>
      </c>
      <c r="F884" t="s">
        <v>59</v>
      </c>
      <c r="G884" t="str">
        <f>"2025-12-18 00:02:58.805"</f>
        <v>2025-12-18 00:02:58.805</v>
      </c>
      <c r="H884" t="s">
        <v>21</v>
      </c>
      <c r="I884">
        <v>0</v>
      </c>
      <c r="J884" t="s">
        <v>25</v>
      </c>
    </row>
    <row r="885" spans="1:10" x14ac:dyDescent="0.25">
      <c r="A885" s="1">
        <v>14</v>
      </c>
      <c r="B885" t="s">
        <v>26</v>
      </c>
      <c r="C885">
        <v>250</v>
      </c>
      <c r="D885">
        <v>7</v>
      </c>
      <c r="E885" t="s">
        <v>60</v>
      </c>
      <c r="F885" t="s">
        <v>61</v>
      </c>
      <c r="G885" t="str">
        <f>"2025-12-18 00:02:58.801"</f>
        <v>2025-12-18 00:02:58.801</v>
      </c>
      <c r="H885" t="s">
        <v>21</v>
      </c>
    </row>
    <row r="886" spans="1:10" x14ac:dyDescent="0.25">
      <c r="A886" s="1">
        <v>15</v>
      </c>
      <c r="B886" t="s">
        <v>26</v>
      </c>
      <c r="C886">
        <v>248</v>
      </c>
      <c r="D886">
        <v>7</v>
      </c>
      <c r="E886" t="s">
        <v>62</v>
      </c>
      <c r="F886" t="s">
        <v>63</v>
      </c>
      <c r="G886" t="str">
        <f>"2025-12-18 00:02:58.798"</f>
        <v>2025-12-18 00:02:58.798</v>
      </c>
      <c r="H886" t="s">
        <v>21</v>
      </c>
    </row>
    <row r="887" spans="1:10" x14ac:dyDescent="0.25">
      <c r="A887" s="1">
        <v>16</v>
      </c>
      <c r="B887" t="s">
        <v>26</v>
      </c>
      <c r="C887">
        <v>207</v>
      </c>
      <c r="D887">
        <v>2</v>
      </c>
      <c r="E887" t="s">
        <v>64</v>
      </c>
      <c r="F887" t="s">
        <v>65</v>
      </c>
      <c r="G887" t="str">
        <f>"2025-12-18 00:02:58.795"</f>
        <v>2025-12-18 00:02:58.795</v>
      </c>
      <c r="H887" t="s">
        <v>66</v>
      </c>
    </row>
    <row r="888" spans="1:10" x14ac:dyDescent="0.25">
      <c r="A888" s="1">
        <v>17</v>
      </c>
      <c r="B888" t="s">
        <v>26</v>
      </c>
      <c r="C888">
        <v>150</v>
      </c>
      <c r="D888">
        <v>7</v>
      </c>
      <c r="E888" t="s">
        <v>67</v>
      </c>
      <c r="F888" t="s">
        <v>61</v>
      </c>
      <c r="G888" t="str">
        <f>"2025-12-18 00:02:58.794"</f>
        <v>2025-12-18 00:02:58.794</v>
      </c>
      <c r="H888" t="s">
        <v>21</v>
      </c>
    </row>
    <row r="889" spans="1:10" x14ac:dyDescent="0.25">
      <c r="A889" s="1">
        <v>18</v>
      </c>
      <c r="B889" t="s">
        <v>26</v>
      </c>
      <c r="C889">
        <v>107</v>
      </c>
      <c r="D889">
        <v>2</v>
      </c>
      <c r="E889" t="s">
        <v>68</v>
      </c>
      <c r="F889" t="s">
        <v>65</v>
      </c>
      <c r="G889" t="str">
        <f>"2025-12-18 00:02:58.792"</f>
        <v>2025-12-18 00:02:58.792</v>
      </c>
      <c r="H889" t="s">
        <v>69</v>
      </c>
    </row>
    <row r="890" spans="1:10" x14ac:dyDescent="0.25">
      <c r="A890" s="1">
        <v>19</v>
      </c>
      <c r="B890" t="s">
        <v>19</v>
      </c>
      <c r="C890">
        <v>782</v>
      </c>
      <c r="D890">
        <v>7</v>
      </c>
      <c r="E890" t="s">
        <v>58</v>
      </c>
      <c r="F890" t="s">
        <v>59</v>
      </c>
      <c r="G890" t="str">
        <f>"2025-12-18 00:02:58.791"</f>
        <v>2025-12-18 00:02:58.791</v>
      </c>
      <c r="H890" t="s">
        <v>21</v>
      </c>
      <c r="I890">
        <v>0</v>
      </c>
      <c r="J890" t="s">
        <v>25</v>
      </c>
    </row>
    <row r="891" spans="1:10" x14ac:dyDescent="0.25">
      <c r="A891" s="1">
        <v>20</v>
      </c>
      <c r="B891" t="s">
        <v>29</v>
      </c>
      <c r="C891">
        <v>248</v>
      </c>
      <c r="D891">
        <v>7</v>
      </c>
      <c r="E891" t="s">
        <v>62</v>
      </c>
      <c r="F891" t="s">
        <v>63</v>
      </c>
      <c r="G891" t="str">
        <f>"2025-12-18 00:02:16.237"</f>
        <v>2025-12-18 00:02:16.237</v>
      </c>
      <c r="H891" t="s">
        <v>21</v>
      </c>
      <c r="I891">
        <v>0</v>
      </c>
      <c r="J891" t="s">
        <v>25</v>
      </c>
    </row>
    <row r="892" spans="1:10" x14ac:dyDescent="0.25">
      <c r="A892" s="1">
        <v>21</v>
      </c>
      <c r="B892" t="s">
        <v>29</v>
      </c>
      <c r="C892">
        <v>250</v>
      </c>
      <c r="D892">
        <v>7</v>
      </c>
      <c r="E892" t="s">
        <v>60</v>
      </c>
      <c r="F892" t="s">
        <v>61</v>
      </c>
      <c r="G892" t="str">
        <f>"2025-12-18 00:02:16.037"</f>
        <v>2025-12-18 00:02:16.037</v>
      </c>
      <c r="H892" t="s">
        <v>21</v>
      </c>
      <c r="I892">
        <v>0</v>
      </c>
      <c r="J892" t="s">
        <v>25</v>
      </c>
    </row>
    <row r="893" spans="1:10" x14ac:dyDescent="0.25">
      <c r="A893" s="1">
        <v>22</v>
      </c>
      <c r="B893" t="s">
        <v>33</v>
      </c>
      <c r="C893">
        <v>250</v>
      </c>
      <c r="D893">
        <v>7</v>
      </c>
      <c r="E893" t="s">
        <v>60</v>
      </c>
      <c r="F893" t="s">
        <v>61</v>
      </c>
      <c r="G893" t="str">
        <f>"2025-12-18 00:02:15.970"</f>
        <v>2025-12-18 00:02:15.970</v>
      </c>
      <c r="H893" t="s">
        <v>21</v>
      </c>
    </row>
    <row r="894" spans="1:10" x14ac:dyDescent="0.25">
      <c r="A894" s="1">
        <v>23</v>
      </c>
      <c r="B894" t="s">
        <v>33</v>
      </c>
      <c r="C894">
        <v>248</v>
      </c>
      <c r="D894">
        <v>7</v>
      </c>
      <c r="E894" t="s">
        <v>62</v>
      </c>
      <c r="F894" t="s">
        <v>63</v>
      </c>
      <c r="G894" t="str">
        <f>"2025-12-18 00:02:15.870"</f>
        <v>2025-12-18 00:02:15.870</v>
      </c>
      <c r="H894" t="s">
        <v>21</v>
      </c>
    </row>
    <row r="895" spans="1:10" x14ac:dyDescent="0.25">
      <c r="A895" s="1">
        <v>24</v>
      </c>
      <c r="B895" t="s">
        <v>29</v>
      </c>
      <c r="C895">
        <v>150</v>
      </c>
      <c r="D895">
        <v>7</v>
      </c>
      <c r="E895" t="s">
        <v>67</v>
      </c>
      <c r="F895" t="s">
        <v>61</v>
      </c>
      <c r="G895" t="str">
        <f>"2025-12-18 00:02:14.737"</f>
        <v>2025-12-18 00:02:14.737</v>
      </c>
      <c r="H895" t="s">
        <v>21</v>
      </c>
      <c r="I895">
        <v>0</v>
      </c>
      <c r="J895" t="s">
        <v>25</v>
      </c>
    </row>
    <row r="896" spans="1:10" x14ac:dyDescent="0.25">
      <c r="A896" s="1">
        <v>25</v>
      </c>
      <c r="B896" t="s">
        <v>33</v>
      </c>
      <c r="C896">
        <v>150</v>
      </c>
      <c r="D896">
        <v>7</v>
      </c>
      <c r="E896" t="s">
        <v>67</v>
      </c>
      <c r="F896" t="s">
        <v>61</v>
      </c>
      <c r="G896" t="str">
        <f>"2025-12-18 00:02:14.670"</f>
        <v>2025-12-18 00:02:14.670</v>
      </c>
      <c r="H896" t="s">
        <v>21</v>
      </c>
    </row>
    <row r="897" spans="1:10" x14ac:dyDescent="0.25">
      <c r="A897" s="1">
        <v>26</v>
      </c>
      <c r="B897" t="s">
        <v>33</v>
      </c>
      <c r="C897">
        <v>148</v>
      </c>
      <c r="D897">
        <v>7</v>
      </c>
      <c r="E897" t="s">
        <v>70</v>
      </c>
      <c r="F897" t="s">
        <v>63</v>
      </c>
      <c r="G897" t="str">
        <f>"2025-12-18 00:02:14.571"</f>
        <v>2025-12-18 00:02:14.571</v>
      </c>
      <c r="H897" t="s">
        <v>21</v>
      </c>
    </row>
    <row r="898" spans="1:10" x14ac:dyDescent="0.25">
      <c r="A898" s="1">
        <v>27</v>
      </c>
      <c r="B898" t="s">
        <v>37</v>
      </c>
      <c r="C898">
        <v>250</v>
      </c>
      <c r="D898">
        <v>7</v>
      </c>
      <c r="E898" t="s">
        <v>60</v>
      </c>
      <c r="F898" t="s">
        <v>61</v>
      </c>
      <c r="G898" t="str">
        <f>"2025-12-18 00:02:10.799"</f>
        <v>2025-12-18 00:02:10.799</v>
      </c>
      <c r="H898" t="s">
        <v>21</v>
      </c>
      <c r="I898">
        <v>0</v>
      </c>
      <c r="J898" t="s">
        <v>25</v>
      </c>
    </row>
    <row r="899" spans="1:10" x14ac:dyDescent="0.25">
      <c r="A899" s="1">
        <v>28</v>
      </c>
      <c r="B899" t="s">
        <v>37</v>
      </c>
      <c r="C899">
        <v>248</v>
      </c>
      <c r="D899">
        <v>7</v>
      </c>
      <c r="E899" t="s">
        <v>62</v>
      </c>
      <c r="F899" t="s">
        <v>63</v>
      </c>
      <c r="G899" t="str">
        <f>"2025-12-18 00:02:10.797"</f>
        <v>2025-12-18 00:02:10.797</v>
      </c>
      <c r="H899" t="s">
        <v>21</v>
      </c>
      <c r="I899">
        <v>0</v>
      </c>
      <c r="J899" t="s">
        <v>25</v>
      </c>
    </row>
    <row r="900" spans="1:10" x14ac:dyDescent="0.25">
      <c r="A900" s="1">
        <v>29</v>
      </c>
      <c r="B900" t="s">
        <v>37</v>
      </c>
      <c r="C900">
        <v>150</v>
      </c>
      <c r="D900">
        <v>7</v>
      </c>
      <c r="E900" t="s">
        <v>67</v>
      </c>
      <c r="F900" t="s">
        <v>61</v>
      </c>
      <c r="G900" t="str">
        <f>"2025-12-18 00:02:09.520"</f>
        <v>2025-12-18 00:02:09.520</v>
      </c>
      <c r="H900" t="s">
        <v>21</v>
      </c>
      <c r="I900">
        <v>0</v>
      </c>
      <c r="J900" t="s">
        <v>25</v>
      </c>
    </row>
    <row r="901" spans="1:10" x14ac:dyDescent="0.25">
      <c r="A901" s="1">
        <v>30</v>
      </c>
      <c r="B901" t="s">
        <v>37</v>
      </c>
      <c r="C901">
        <v>148</v>
      </c>
      <c r="D901">
        <v>7</v>
      </c>
      <c r="E901" t="s">
        <v>70</v>
      </c>
      <c r="F901" t="s">
        <v>63</v>
      </c>
      <c r="G901" t="str">
        <f>"2025-12-18 00:02:09.518"</f>
        <v>2025-12-18 00:02:09.518</v>
      </c>
      <c r="H901" t="s">
        <v>21</v>
      </c>
      <c r="I901">
        <v>0</v>
      </c>
      <c r="J901" t="s">
        <v>25</v>
      </c>
    </row>
    <row r="902" spans="1:10" x14ac:dyDescent="0.25">
      <c r="A902" s="1">
        <v>31</v>
      </c>
      <c r="B902" t="s">
        <v>29</v>
      </c>
      <c r="C902">
        <v>107</v>
      </c>
      <c r="D902">
        <v>2</v>
      </c>
      <c r="E902" t="s">
        <v>68</v>
      </c>
      <c r="F902" t="s">
        <v>65</v>
      </c>
      <c r="G902" t="str">
        <f>"2025-12-18 00:02:09.517"</f>
        <v>2025-12-18 00:02:09.517</v>
      </c>
      <c r="H902" t="s">
        <v>69</v>
      </c>
      <c r="I902">
        <v>0</v>
      </c>
      <c r="J902" t="s">
        <v>25</v>
      </c>
    </row>
    <row r="903" spans="1:10" x14ac:dyDescent="0.25">
      <c r="A903" s="1">
        <v>32</v>
      </c>
      <c r="B903" t="s">
        <v>29</v>
      </c>
      <c r="C903">
        <v>207</v>
      </c>
      <c r="D903">
        <v>2</v>
      </c>
      <c r="E903" t="s">
        <v>64</v>
      </c>
      <c r="F903" t="s">
        <v>65</v>
      </c>
      <c r="G903" t="str">
        <f>"2025-12-18 00:02:09.477"</f>
        <v>2025-12-18 00:02:09.477</v>
      </c>
      <c r="H903" t="s">
        <v>66</v>
      </c>
      <c r="I903">
        <v>0</v>
      </c>
      <c r="J903" t="s">
        <v>25</v>
      </c>
    </row>
    <row r="904" spans="1:10" x14ac:dyDescent="0.25">
      <c r="A904" s="1">
        <v>33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"2025-12-18 00:02:04.109"</f>
        <v>2025-12-18 00:02:04.109</v>
      </c>
      <c r="H904" t="s">
        <v>21</v>
      </c>
      <c r="I904">
        <v>0</v>
      </c>
      <c r="J904" t="s">
        <v>22</v>
      </c>
    </row>
    <row r="905" spans="1:10" x14ac:dyDescent="0.25">
      <c r="A905" s="1">
        <v>35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"2025-12-17 21:06:07.098"</f>
        <v>2025-12-17 21:06:07.098</v>
      </c>
      <c r="H905" t="s">
        <v>21</v>
      </c>
      <c r="I905">
        <v>0</v>
      </c>
      <c r="J905" t="s">
        <v>22</v>
      </c>
    </row>
    <row r="906" spans="1:10" x14ac:dyDescent="0.25">
      <c r="A906" s="1">
        <v>37</v>
      </c>
      <c r="B906" t="s">
        <v>37</v>
      </c>
      <c r="C906">
        <v>47</v>
      </c>
      <c r="D906">
        <v>2</v>
      </c>
      <c r="E906" t="s">
        <v>51</v>
      </c>
      <c r="F906" t="s">
        <v>52</v>
      </c>
      <c r="G906" t="str">
        <f>"2025-12-17 20:35:37.899"</f>
        <v>2025-12-17 20:35:37.899</v>
      </c>
      <c r="H906" t="s">
        <v>36</v>
      </c>
      <c r="I906">
        <v>0</v>
      </c>
      <c r="J906" t="s">
        <v>31</v>
      </c>
    </row>
    <row r="907" spans="1:10" x14ac:dyDescent="0.25">
      <c r="A907" s="1">
        <v>38</v>
      </c>
      <c r="B907" t="s">
        <v>19</v>
      </c>
      <c r="C907">
        <v>706</v>
      </c>
      <c r="D907">
        <v>4</v>
      </c>
      <c r="E907" t="s">
        <v>23</v>
      </c>
      <c r="F907" t="s">
        <v>38</v>
      </c>
      <c r="G907" t="str">
        <f>"2025-12-17 20:26:27.544"</f>
        <v>2025-12-17 20:26:27.544</v>
      </c>
      <c r="H907" t="s">
        <v>21</v>
      </c>
      <c r="I907">
        <v>0</v>
      </c>
      <c r="J907" t="s">
        <v>25</v>
      </c>
    </row>
    <row r="908" spans="1:10" x14ac:dyDescent="0.25">
      <c r="A908" s="1">
        <v>39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"2025-12-17 20:20:11.104"</f>
        <v>2025-12-17 20:20:11.104</v>
      </c>
      <c r="H908" t="s">
        <v>21</v>
      </c>
      <c r="I908">
        <v>0</v>
      </c>
      <c r="J908" t="s">
        <v>22</v>
      </c>
    </row>
    <row r="909" spans="1:10" x14ac:dyDescent="0.25">
      <c r="A909" s="1">
        <v>40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"2025-12-17 06:12:58.090"</f>
        <v>2025-12-17 06:12:58.090</v>
      </c>
      <c r="H909" t="s">
        <v>21</v>
      </c>
      <c r="I909">
        <v>0</v>
      </c>
      <c r="J909" t="s">
        <v>22</v>
      </c>
    </row>
    <row r="910" spans="1:10" x14ac:dyDescent="0.25">
      <c r="A910" s="1">
        <v>41</v>
      </c>
      <c r="B910" t="s">
        <v>19</v>
      </c>
      <c r="C910">
        <v>706</v>
      </c>
      <c r="D910">
        <v>2</v>
      </c>
      <c r="E910" t="s">
        <v>23</v>
      </c>
      <c r="F910" t="s">
        <v>24</v>
      </c>
      <c r="G910" t="str">
        <f>"2025-12-17 06:04:42.857"</f>
        <v>2025-12-17 06:04:42.857</v>
      </c>
      <c r="H910" t="s">
        <v>21</v>
      </c>
      <c r="I910">
        <v>0</v>
      </c>
      <c r="J910" t="s">
        <v>25</v>
      </c>
    </row>
    <row r="911" spans="1:10" x14ac:dyDescent="0.25">
      <c r="A911" s="1">
        <v>42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"2025-12-17 05:54:57.087"</f>
        <v>2025-12-17 05:54:57.087</v>
      </c>
      <c r="H911" t="s">
        <v>21</v>
      </c>
    </row>
    <row r="912" spans="1:10" x14ac:dyDescent="0.25">
      <c r="A912" s="1">
        <v>43</v>
      </c>
      <c r="B912" t="s">
        <v>19</v>
      </c>
      <c r="C912">
        <v>706</v>
      </c>
      <c r="D912">
        <v>2</v>
      </c>
      <c r="E912" t="s">
        <v>23</v>
      </c>
      <c r="F912" t="s">
        <v>24</v>
      </c>
      <c r="G912" t="str">
        <f>"2025-12-17 05:53:33.446"</f>
        <v>2025-12-17 05:53:33.446</v>
      </c>
      <c r="H912" t="s">
        <v>21</v>
      </c>
      <c r="I912">
        <v>0</v>
      </c>
      <c r="J912" t="s">
        <v>25</v>
      </c>
    </row>
    <row r="913" spans="1:10" x14ac:dyDescent="0.25">
      <c r="A913" s="1">
        <v>44</v>
      </c>
      <c r="B913" t="s">
        <v>19</v>
      </c>
      <c r="C913">
        <v>706</v>
      </c>
      <c r="D913">
        <v>4</v>
      </c>
      <c r="E913" t="s">
        <v>23</v>
      </c>
      <c r="F913" t="s">
        <v>38</v>
      </c>
      <c r="G913" t="str">
        <f>"2025-12-17 05:51:20.586"</f>
        <v>2025-12-17 05:51:20.586</v>
      </c>
      <c r="H913" t="s">
        <v>21</v>
      </c>
      <c r="I913">
        <v>0</v>
      </c>
      <c r="J913" t="s">
        <v>25</v>
      </c>
    </row>
    <row r="914" spans="1:10" x14ac:dyDescent="0.25">
      <c r="A914" s="1">
        <v>45</v>
      </c>
      <c r="B914" t="s">
        <v>19</v>
      </c>
      <c r="C914">
        <v>706</v>
      </c>
      <c r="D914">
        <v>4</v>
      </c>
      <c r="E914" t="s">
        <v>23</v>
      </c>
      <c r="F914" t="s">
        <v>38</v>
      </c>
      <c r="G914" t="str">
        <f>"2025-12-17 05:37:15.816"</f>
        <v>2025-12-17 05:37:15.816</v>
      </c>
      <c r="H914" t="s">
        <v>21</v>
      </c>
      <c r="I914">
        <v>0</v>
      </c>
      <c r="J914" t="s">
        <v>25</v>
      </c>
    </row>
    <row r="915" spans="1:10" x14ac:dyDescent="0.25">
      <c r="A915" s="1">
        <v>46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"2025-12-17 05:30:32.086"</f>
        <v>2025-12-17 05:30:32.086</v>
      </c>
      <c r="H915" t="s">
        <v>21</v>
      </c>
      <c r="I915">
        <v>0</v>
      </c>
      <c r="J915" t="s">
        <v>22</v>
      </c>
    </row>
    <row r="916" spans="1:10" x14ac:dyDescent="0.25">
      <c r="A916" s="1">
        <v>47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"2025-12-17 05:28:33.098"</f>
        <v>2025-12-17 05:28:33.098</v>
      </c>
      <c r="H916" t="s">
        <v>21</v>
      </c>
    </row>
    <row r="917" spans="1:10" x14ac:dyDescent="0.25">
      <c r="A917" s="1">
        <v>48</v>
      </c>
      <c r="B917" t="s">
        <v>19</v>
      </c>
      <c r="C917">
        <v>706</v>
      </c>
      <c r="D917">
        <v>2</v>
      </c>
      <c r="E917" t="s">
        <v>23</v>
      </c>
      <c r="F917" t="s">
        <v>24</v>
      </c>
      <c r="G917" t="str">
        <f>"2025-12-17 04:47:04.958"</f>
        <v>2025-12-17 04:47:04.958</v>
      </c>
      <c r="H917" t="s">
        <v>21</v>
      </c>
      <c r="I917">
        <v>0</v>
      </c>
      <c r="J917" t="s">
        <v>25</v>
      </c>
    </row>
    <row r="918" spans="1:10" x14ac:dyDescent="0.25">
      <c r="A918" s="1">
        <v>49</v>
      </c>
      <c r="B918" t="s">
        <v>19</v>
      </c>
      <c r="C918">
        <v>706</v>
      </c>
      <c r="D918">
        <v>2</v>
      </c>
      <c r="E918" t="s">
        <v>23</v>
      </c>
      <c r="F918" t="s">
        <v>24</v>
      </c>
      <c r="G918" t="str">
        <f>"2025-12-17 04:33:11.758"</f>
        <v>2025-12-17 04:33:11.758</v>
      </c>
      <c r="H918" t="s">
        <v>21</v>
      </c>
      <c r="I918">
        <v>0</v>
      </c>
      <c r="J918" t="s">
        <v>25</v>
      </c>
    </row>
    <row r="919" spans="1:10" x14ac:dyDescent="0.25">
      <c r="A919" s="1">
        <v>50</v>
      </c>
      <c r="B919" t="s">
        <v>19</v>
      </c>
      <c r="C919">
        <v>706</v>
      </c>
      <c r="D919">
        <v>3</v>
      </c>
      <c r="E919" t="s">
        <v>23</v>
      </c>
      <c r="F919" t="s">
        <v>39</v>
      </c>
      <c r="G919" t="str">
        <f>"2025-12-17 04:15:48.518"</f>
        <v>2025-12-17 04:15:48.518</v>
      </c>
      <c r="H919" t="s">
        <v>21</v>
      </c>
      <c r="I919">
        <v>0</v>
      </c>
      <c r="J919" t="s">
        <v>25</v>
      </c>
    </row>
    <row r="920" spans="1:10" x14ac:dyDescent="0.25">
      <c r="A920" s="1">
        <v>51</v>
      </c>
      <c r="B920" t="s">
        <v>19</v>
      </c>
      <c r="C920">
        <v>706</v>
      </c>
      <c r="D920">
        <v>4</v>
      </c>
      <c r="E920" t="s">
        <v>23</v>
      </c>
      <c r="F920" t="s">
        <v>38</v>
      </c>
      <c r="G920" t="str">
        <f>"2025-12-17 04:15:08.248"</f>
        <v>2025-12-17 04:15:08.248</v>
      </c>
      <c r="H920" t="s">
        <v>21</v>
      </c>
      <c r="I920">
        <v>0</v>
      </c>
      <c r="J920" t="s">
        <v>25</v>
      </c>
    </row>
    <row r="921" spans="1:10" x14ac:dyDescent="0.25">
      <c r="A921" s="1">
        <v>52</v>
      </c>
      <c r="B921" t="s">
        <v>19</v>
      </c>
      <c r="C921">
        <v>706</v>
      </c>
      <c r="D921">
        <v>4</v>
      </c>
      <c r="E921" t="s">
        <v>23</v>
      </c>
      <c r="F921" t="s">
        <v>38</v>
      </c>
      <c r="G921" t="str">
        <f>"2025-12-17 04:14:46.048"</f>
        <v>2025-12-17 04:14:46.048</v>
      </c>
      <c r="H921" t="s">
        <v>21</v>
      </c>
      <c r="I921">
        <v>0</v>
      </c>
      <c r="J921" t="s">
        <v>25</v>
      </c>
    </row>
    <row r="922" spans="1:10" x14ac:dyDescent="0.25">
      <c r="A922" s="1">
        <v>53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"2025-12-17 04:11:58.088"</f>
        <v>2025-12-17 04:11:58.088</v>
      </c>
      <c r="H922" t="s">
        <v>21</v>
      </c>
      <c r="I922">
        <v>0</v>
      </c>
      <c r="J922" t="s">
        <v>22</v>
      </c>
    </row>
    <row r="923" spans="1:10" x14ac:dyDescent="0.25">
      <c r="A923" s="1">
        <v>54</v>
      </c>
      <c r="B923" t="s">
        <v>19</v>
      </c>
      <c r="C923">
        <v>706</v>
      </c>
      <c r="D923">
        <v>2</v>
      </c>
      <c r="E923" t="s">
        <v>23</v>
      </c>
      <c r="F923" t="s">
        <v>24</v>
      </c>
      <c r="G923" t="str">
        <f>"2025-12-17 03:50:59.139"</f>
        <v>2025-12-17 03:50:59.139</v>
      </c>
      <c r="H923" t="s">
        <v>21</v>
      </c>
      <c r="I923">
        <v>0</v>
      </c>
      <c r="J923" t="s">
        <v>25</v>
      </c>
    </row>
    <row r="924" spans="1:10" x14ac:dyDescent="0.25">
      <c r="A924" s="1">
        <v>55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"2025-12-17 03:49:40.079"</f>
        <v>2025-12-17 03:49:40.079</v>
      </c>
      <c r="H924" t="s">
        <v>21</v>
      </c>
    </row>
    <row r="925" spans="1:10" x14ac:dyDescent="0.25">
      <c r="A925" s="1">
        <v>56</v>
      </c>
      <c r="B925" t="s">
        <v>19</v>
      </c>
      <c r="C925">
        <v>706</v>
      </c>
      <c r="D925">
        <v>4</v>
      </c>
      <c r="E925" t="s">
        <v>23</v>
      </c>
      <c r="F925" t="s">
        <v>38</v>
      </c>
      <c r="G925" t="str">
        <f>"2025-12-17 03:11:04.049"</f>
        <v>2025-12-17 03:11:04.049</v>
      </c>
      <c r="H925" t="s">
        <v>21</v>
      </c>
      <c r="I925">
        <v>0</v>
      </c>
      <c r="J925" t="s">
        <v>25</v>
      </c>
    </row>
    <row r="926" spans="1:10" x14ac:dyDescent="0.25">
      <c r="A926" s="1">
        <v>57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"2025-12-17 03:09:35.089"</f>
        <v>2025-12-17 03:09:35.089</v>
      </c>
      <c r="H926" t="s">
        <v>21</v>
      </c>
      <c r="I926">
        <v>0</v>
      </c>
      <c r="J926" t="s">
        <v>22</v>
      </c>
    </row>
    <row r="927" spans="1:10" x14ac:dyDescent="0.25">
      <c r="A927" s="1">
        <v>58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"2025-12-17 02:48:23.079"</f>
        <v>2025-12-17 02:48:23.079</v>
      </c>
      <c r="H927" t="s">
        <v>21</v>
      </c>
      <c r="I927">
        <v>0</v>
      </c>
      <c r="J927" t="s">
        <v>22</v>
      </c>
    </row>
    <row r="928" spans="1:10" x14ac:dyDescent="0.25">
      <c r="A928" s="1">
        <v>59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"2025-12-17 02:32:53.082"</f>
        <v>2025-12-17 02:32:53.082</v>
      </c>
      <c r="H928" t="s">
        <v>21</v>
      </c>
      <c r="I928">
        <v>0</v>
      </c>
      <c r="J928" t="s">
        <v>22</v>
      </c>
    </row>
    <row r="929" spans="1:10" x14ac:dyDescent="0.25">
      <c r="A929" s="1">
        <v>60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"2025-12-17 01:41:17.076"</f>
        <v>2025-12-17 01:41:17.076</v>
      </c>
      <c r="H929" t="s">
        <v>21</v>
      </c>
      <c r="I929">
        <v>0</v>
      </c>
      <c r="J929" t="s">
        <v>22</v>
      </c>
    </row>
    <row r="930" spans="1:10" x14ac:dyDescent="0.25">
      <c r="A930" s="1">
        <v>61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"2025-12-16 22:47:36.077"</f>
        <v>2025-12-16 22:47:36.077</v>
      </c>
      <c r="H930" t="s">
        <v>21</v>
      </c>
      <c r="I930">
        <v>0</v>
      </c>
      <c r="J930" t="s">
        <v>22</v>
      </c>
    </row>
    <row r="931" spans="1:10" x14ac:dyDescent="0.25">
      <c r="A931" s="1">
        <v>62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"2025-12-16 16:00:37.079"</f>
        <v>2025-12-16 16:00:37.079</v>
      </c>
      <c r="H931" t="s">
        <v>21</v>
      </c>
    </row>
    <row r="932" spans="1:10" x14ac:dyDescent="0.25">
      <c r="A932" s="1">
        <v>63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"2025-12-16 12:32:06.095"</f>
        <v>2025-12-16 12:32:06.095</v>
      </c>
      <c r="H932" t="s">
        <v>21</v>
      </c>
      <c r="I932">
        <v>0</v>
      </c>
      <c r="J932" t="s">
        <v>22</v>
      </c>
    </row>
    <row r="933" spans="1:10" x14ac:dyDescent="0.25">
      <c r="A933" s="1">
        <v>64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"2025-12-16 11:11:06.052"</f>
        <v>2025-12-16 11:11:06.052</v>
      </c>
      <c r="H933" t="s">
        <v>21</v>
      </c>
      <c r="I933">
        <v>0</v>
      </c>
      <c r="J933" t="s">
        <v>22</v>
      </c>
    </row>
    <row r="934" spans="1:10" x14ac:dyDescent="0.25">
      <c r="A934" s="1">
        <v>65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"2025-12-16 11:01:00.050"</f>
        <v>2025-12-16 11:01:00.050</v>
      </c>
      <c r="H934" t="s">
        <v>21</v>
      </c>
    </row>
    <row r="935" spans="1:10" x14ac:dyDescent="0.25">
      <c r="A935" s="1">
        <v>66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"2025-12-16 10:47:06.063"</f>
        <v>2025-12-16 10:47:06.063</v>
      </c>
      <c r="H935" t="s">
        <v>21</v>
      </c>
      <c r="I935">
        <v>0</v>
      </c>
      <c r="J935" t="s">
        <v>22</v>
      </c>
    </row>
    <row r="936" spans="1:10" x14ac:dyDescent="0.25">
      <c r="A936" s="1">
        <v>67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"2025-12-16 10:17:54.059"</f>
        <v>2025-12-16 10:17:54.059</v>
      </c>
      <c r="H936" t="s">
        <v>21</v>
      </c>
      <c r="I936">
        <v>0</v>
      </c>
      <c r="J936" t="s">
        <v>22</v>
      </c>
    </row>
    <row r="937" spans="1:10" x14ac:dyDescent="0.25">
      <c r="A937" s="1">
        <v>68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"2025-12-16 09:52:54.046"</f>
        <v>2025-12-16 09:52:54.046</v>
      </c>
      <c r="H937" t="s">
        <v>21</v>
      </c>
      <c r="I937">
        <v>0</v>
      </c>
      <c r="J937" t="s">
        <v>22</v>
      </c>
    </row>
    <row r="938" spans="1:10" x14ac:dyDescent="0.25">
      <c r="A938" s="1">
        <v>69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"2025-12-16 03:55:52.036"</f>
        <v>2025-12-16 03:55:52.036</v>
      </c>
      <c r="H938" t="s">
        <v>21</v>
      </c>
    </row>
    <row r="939" spans="1:10" x14ac:dyDescent="0.25">
      <c r="A939" s="1">
        <v>72</v>
      </c>
      <c r="B939" t="s">
        <v>19</v>
      </c>
      <c r="C939">
        <v>782</v>
      </c>
      <c r="D939">
        <v>7</v>
      </c>
      <c r="E939" t="s">
        <v>58</v>
      </c>
      <c r="F939" t="s">
        <v>59</v>
      </c>
      <c r="G939" t="str">
        <f>"2025-12-15 16:13:41.525"</f>
        <v>2025-12-15 16:13:41.525</v>
      </c>
      <c r="H939" t="s">
        <v>21</v>
      </c>
      <c r="I939">
        <v>0</v>
      </c>
      <c r="J939" t="s">
        <v>25</v>
      </c>
    </row>
    <row r="940" spans="1:10" x14ac:dyDescent="0.25">
      <c r="A940" s="1">
        <v>75</v>
      </c>
      <c r="B940" t="s">
        <v>26</v>
      </c>
      <c r="C940">
        <v>48</v>
      </c>
      <c r="D940">
        <v>1</v>
      </c>
      <c r="E940" t="s">
        <v>71</v>
      </c>
      <c r="F940" t="s">
        <v>72</v>
      </c>
      <c r="G940" t="str">
        <f>"2025-12-15 16:13:41.519"</f>
        <v>2025-12-15 16:13:41.519</v>
      </c>
      <c r="H940" t="s">
        <v>36</v>
      </c>
    </row>
    <row r="941" spans="1:10" x14ac:dyDescent="0.25">
      <c r="A941" s="1">
        <v>76</v>
      </c>
      <c r="B941" t="s">
        <v>19</v>
      </c>
      <c r="C941">
        <v>782</v>
      </c>
      <c r="D941">
        <v>7</v>
      </c>
      <c r="E941" t="s">
        <v>58</v>
      </c>
      <c r="F941" t="s">
        <v>59</v>
      </c>
      <c r="G941" t="str">
        <f>"2025-12-15 16:13:41.518"</f>
        <v>2025-12-15 16:13:41.518</v>
      </c>
      <c r="H941" t="s">
        <v>21</v>
      </c>
      <c r="I941">
        <v>0</v>
      </c>
      <c r="J941" t="s">
        <v>25</v>
      </c>
    </row>
    <row r="942" spans="1:10" x14ac:dyDescent="0.25">
      <c r="A942" s="1">
        <v>77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"2025-12-15 16:11:34.047"</f>
        <v>2025-12-15 16:11:34.047</v>
      </c>
      <c r="H942" t="s">
        <v>21</v>
      </c>
      <c r="I942">
        <v>0</v>
      </c>
      <c r="J942" t="s">
        <v>22</v>
      </c>
    </row>
    <row r="943" spans="1:10" x14ac:dyDescent="0.25">
      <c r="A943" s="1">
        <v>78</v>
      </c>
      <c r="B943" t="s">
        <v>29</v>
      </c>
      <c r="C943">
        <v>48</v>
      </c>
      <c r="D943">
        <v>1</v>
      </c>
      <c r="E943" t="s">
        <v>71</v>
      </c>
      <c r="F943" t="s">
        <v>72</v>
      </c>
      <c r="G943" t="str">
        <f>"2025-12-15 15:56:33.865"</f>
        <v>2025-12-15 15:56:33.865</v>
      </c>
      <c r="H943" t="s">
        <v>36</v>
      </c>
      <c r="I943">
        <v>0</v>
      </c>
      <c r="J943" t="s">
        <v>25</v>
      </c>
    </row>
    <row r="944" spans="1:10" x14ac:dyDescent="0.25">
      <c r="A944" s="1">
        <v>79</v>
      </c>
      <c r="B944" t="s">
        <v>33</v>
      </c>
      <c r="C944">
        <v>48</v>
      </c>
      <c r="D944">
        <v>1</v>
      </c>
      <c r="E944" t="s">
        <v>71</v>
      </c>
      <c r="F944" t="s">
        <v>72</v>
      </c>
      <c r="G944" t="str">
        <f>"2025-12-15 15:56:26.136"</f>
        <v>2025-12-15 15:56:26.136</v>
      </c>
      <c r="H944" t="s">
        <v>36</v>
      </c>
    </row>
    <row r="945" spans="1:10" x14ac:dyDescent="0.25">
      <c r="A945" s="1">
        <v>80</v>
      </c>
      <c r="B945" t="s">
        <v>37</v>
      </c>
      <c r="C945">
        <v>48</v>
      </c>
      <c r="D945">
        <v>1</v>
      </c>
      <c r="E945" t="s">
        <v>71</v>
      </c>
      <c r="F945" t="s">
        <v>72</v>
      </c>
      <c r="G945" t="str">
        <f>"2025-12-15 15:56:21.065"</f>
        <v>2025-12-15 15:56:21.065</v>
      </c>
      <c r="H945" t="s">
        <v>36</v>
      </c>
      <c r="I945">
        <v>0</v>
      </c>
      <c r="J945" t="s">
        <v>25</v>
      </c>
    </row>
    <row r="946" spans="1:10" x14ac:dyDescent="0.25">
      <c r="A946" s="1">
        <v>81</v>
      </c>
      <c r="B946" t="s">
        <v>33</v>
      </c>
      <c r="C946">
        <v>48</v>
      </c>
      <c r="D946">
        <v>1</v>
      </c>
      <c r="E946" t="s">
        <v>71</v>
      </c>
      <c r="F946" t="s">
        <v>72</v>
      </c>
      <c r="G946" t="str">
        <f>"2025-12-15 15:56:13.336"</f>
        <v>2025-12-15 15:56:13.336</v>
      </c>
      <c r="H946" t="s">
        <v>36</v>
      </c>
    </row>
    <row r="947" spans="1:10" x14ac:dyDescent="0.25">
      <c r="A947" s="1">
        <v>82</v>
      </c>
      <c r="B947" t="s">
        <v>37</v>
      </c>
      <c r="C947">
        <v>48</v>
      </c>
      <c r="D947">
        <v>1</v>
      </c>
      <c r="E947" t="s">
        <v>71</v>
      </c>
      <c r="F947" t="s">
        <v>72</v>
      </c>
      <c r="G947" t="str">
        <f>"2025-12-15 15:56:08.246"</f>
        <v>2025-12-15 15:56:08.246</v>
      </c>
      <c r="H947" t="s">
        <v>36</v>
      </c>
      <c r="I947">
        <v>0</v>
      </c>
      <c r="J947" t="s">
        <v>25</v>
      </c>
    </row>
    <row r="948" spans="1:10" x14ac:dyDescent="0.25">
      <c r="A948" s="1">
        <v>83</v>
      </c>
      <c r="B948" t="s">
        <v>19</v>
      </c>
      <c r="C948">
        <v>706</v>
      </c>
      <c r="D948">
        <v>4</v>
      </c>
      <c r="E948" t="s">
        <v>23</v>
      </c>
      <c r="F948" t="s">
        <v>38</v>
      </c>
      <c r="G948" t="str">
        <f>"2025-12-15 15:55:54.839"</f>
        <v>2025-12-15 15:55:54.839</v>
      </c>
      <c r="H948" t="s">
        <v>21</v>
      </c>
      <c r="I948">
        <v>0</v>
      </c>
      <c r="J948" t="s">
        <v>25</v>
      </c>
    </row>
    <row r="949" spans="1:10" x14ac:dyDescent="0.25">
      <c r="A949" s="1">
        <v>84</v>
      </c>
      <c r="B949" t="s">
        <v>19</v>
      </c>
      <c r="C949">
        <v>706</v>
      </c>
      <c r="D949">
        <v>2</v>
      </c>
      <c r="E949" t="s">
        <v>23</v>
      </c>
      <c r="F949" t="s">
        <v>24</v>
      </c>
      <c r="G949" t="str">
        <f>"2025-12-15 15:55:39.059"</f>
        <v>2025-12-15 15:55:39.059</v>
      </c>
      <c r="H949" t="s">
        <v>21</v>
      </c>
      <c r="I949">
        <v>0</v>
      </c>
      <c r="J949" t="s">
        <v>25</v>
      </c>
    </row>
    <row r="950" spans="1:10" x14ac:dyDescent="0.25">
      <c r="A950" s="1">
        <v>85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"2025-12-15 15:54:09.029"</f>
        <v>2025-12-15 15:54:09.029</v>
      </c>
      <c r="H950" t="s">
        <v>21</v>
      </c>
    </row>
    <row r="951" spans="1:10" x14ac:dyDescent="0.25">
      <c r="A951" s="1">
        <v>86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"2025-12-15 15:51:40.033"</f>
        <v>2025-12-15 15:51:40.033</v>
      </c>
      <c r="H951" t="s">
        <v>21</v>
      </c>
      <c r="I951">
        <v>0</v>
      </c>
      <c r="J951" t="s">
        <v>22</v>
      </c>
    </row>
    <row r="952" spans="1:10" x14ac:dyDescent="0.25">
      <c r="A952" s="1">
        <v>87</v>
      </c>
      <c r="B952" t="s">
        <v>19</v>
      </c>
      <c r="C952">
        <v>706</v>
      </c>
      <c r="D952">
        <v>3</v>
      </c>
      <c r="E952" t="s">
        <v>23</v>
      </c>
      <c r="F952" t="s">
        <v>39</v>
      </c>
      <c r="G952" t="str">
        <f>"2025-12-15 15:47:33.126"</f>
        <v>2025-12-15 15:47:33.126</v>
      </c>
      <c r="H952" t="s">
        <v>21</v>
      </c>
      <c r="I952">
        <v>0</v>
      </c>
      <c r="J952" t="s">
        <v>25</v>
      </c>
    </row>
    <row r="953" spans="1:10" x14ac:dyDescent="0.25">
      <c r="A953" s="1">
        <v>88</v>
      </c>
      <c r="B953" t="s">
        <v>19</v>
      </c>
      <c r="C953">
        <v>706</v>
      </c>
      <c r="D953">
        <v>3</v>
      </c>
      <c r="E953" t="s">
        <v>23</v>
      </c>
      <c r="F953" t="s">
        <v>39</v>
      </c>
      <c r="G953" t="str">
        <f>"2025-12-15 15:45:23.946"</f>
        <v>2025-12-15 15:45:23.946</v>
      </c>
      <c r="H953" t="s">
        <v>21</v>
      </c>
      <c r="I953">
        <v>0</v>
      </c>
      <c r="J953" t="s">
        <v>25</v>
      </c>
    </row>
    <row r="954" spans="1:10" x14ac:dyDescent="0.25">
      <c r="A954" s="1">
        <v>89</v>
      </c>
      <c r="B954" t="s">
        <v>19</v>
      </c>
      <c r="C954">
        <v>706</v>
      </c>
      <c r="D954">
        <v>3</v>
      </c>
      <c r="E954" t="s">
        <v>23</v>
      </c>
      <c r="F954" t="s">
        <v>39</v>
      </c>
      <c r="G954" t="str">
        <f>"2025-12-15 15:43:51.446"</f>
        <v>2025-12-15 15:43:51.446</v>
      </c>
      <c r="H954" t="s">
        <v>21</v>
      </c>
      <c r="I954">
        <v>0</v>
      </c>
      <c r="J954" t="s">
        <v>25</v>
      </c>
    </row>
    <row r="955" spans="1:10" x14ac:dyDescent="0.25">
      <c r="A955" s="1">
        <v>90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"2025-12-15 15:42:51.036"</f>
        <v>2025-12-15 15:42:51.036</v>
      </c>
      <c r="H955" t="s">
        <v>21</v>
      </c>
    </row>
    <row r="956" spans="1:10" x14ac:dyDescent="0.25">
      <c r="A956" s="1">
        <v>91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"2025-12-15 14:23:44.029"</f>
        <v>2025-12-15 14:23:44.029</v>
      </c>
      <c r="H956" t="s">
        <v>21</v>
      </c>
      <c r="I956">
        <v>0</v>
      </c>
      <c r="J956" t="s">
        <v>22</v>
      </c>
    </row>
    <row r="957" spans="1:10" x14ac:dyDescent="0.25">
      <c r="A957" s="1">
        <v>92</v>
      </c>
      <c r="B957" t="s">
        <v>19</v>
      </c>
      <c r="C957">
        <v>706</v>
      </c>
      <c r="D957">
        <v>3</v>
      </c>
      <c r="E957" t="s">
        <v>23</v>
      </c>
      <c r="F957" t="s">
        <v>39</v>
      </c>
      <c r="G957" t="str">
        <f>"2025-12-15 14:21:35.927"</f>
        <v>2025-12-15 14:21:35.927</v>
      </c>
      <c r="H957" t="s">
        <v>21</v>
      </c>
      <c r="I957">
        <v>0</v>
      </c>
      <c r="J957" t="s">
        <v>25</v>
      </c>
    </row>
    <row r="958" spans="1:10" x14ac:dyDescent="0.25">
      <c r="A958" s="1">
        <v>93</v>
      </c>
      <c r="B958" t="s">
        <v>19</v>
      </c>
      <c r="C958">
        <v>706</v>
      </c>
      <c r="D958">
        <v>3</v>
      </c>
      <c r="E958" t="s">
        <v>23</v>
      </c>
      <c r="F958" t="s">
        <v>39</v>
      </c>
      <c r="G958" t="str">
        <f>"2025-12-15 14:20:02.137"</f>
        <v>2025-12-15 14:20:02.137</v>
      </c>
      <c r="H958" t="s">
        <v>21</v>
      </c>
      <c r="I958">
        <v>0</v>
      </c>
      <c r="J958" t="s">
        <v>25</v>
      </c>
    </row>
    <row r="959" spans="1:10" x14ac:dyDescent="0.25">
      <c r="A959" s="1">
        <v>94</v>
      </c>
      <c r="B959" t="s">
        <v>19</v>
      </c>
      <c r="C959">
        <v>706</v>
      </c>
      <c r="D959">
        <v>3</v>
      </c>
      <c r="E959" t="s">
        <v>23</v>
      </c>
      <c r="F959" t="s">
        <v>39</v>
      </c>
      <c r="G959" t="str">
        <f>"2025-12-15 14:18:06.347"</f>
        <v>2025-12-15 14:18:06.347</v>
      </c>
      <c r="H959" t="s">
        <v>21</v>
      </c>
      <c r="I959">
        <v>0</v>
      </c>
      <c r="J959" t="s">
        <v>25</v>
      </c>
    </row>
    <row r="960" spans="1:10" x14ac:dyDescent="0.25">
      <c r="A960" s="1">
        <v>95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"2025-12-15 14:15:58.037"</f>
        <v>2025-12-15 14:15:58.037</v>
      </c>
      <c r="H960" t="s">
        <v>21</v>
      </c>
      <c r="I960">
        <v>0</v>
      </c>
      <c r="J960" t="s">
        <v>22</v>
      </c>
    </row>
    <row r="961" spans="1:10" x14ac:dyDescent="0.25">
      <c r="A961" s="1">
        <v>96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"2025-12-15 04:45:46.026"</f>
        <v>2025-12-15 04:45:46.026</v>
      </c>
      <c r="H961" t="s">
        <v>21</v>
      </c>
    </row>
    <row r="962" spans="1:10" x14ac:dyDescent="0.25">
      <c r="A962" s="1">
        <v>97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"2025-12-15 04:28:07.028"</f>
        <v>2025-12-15 04:28:07.028</v>
      </c>
      <c r="H962" t="s">
        <v>21</v>
      </c>
    </row>
    <row r="963" spans="1:10" x14ac:dyDescent="0.25">
      <c r="A963" s="1">
        <v>98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"2025-12-15 04:23:24.023"</f>
        <v>2025-12-15 04:23:24.023</v>
      </c>
      <c r="H963" t="s">
        <v>21</v>
      </c>
    </row>
    <row r="964" spans="1:10" x14ac:dyDescent="0.25">
      <c r="A964" s="1">
        <v>99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"2025-12-15 03:30:38.023"</f>
        <v>2025-12-15 03:30:38.023</v>
      </c>
      <c r="H964" t="s">
        <v>21</v>
      </c>
    </row>
    <row r="965" spans="1:10" x14ac:dyDescent="0.25">
      <c r="A965" s="1">
        <v>100</v>
      </c>
      <c r="B965" t="s">
        <v>26</v>
      </c>
      <c r="C965">
        <v>4</v>
      </c>
      <c r="D965">
        <v>1</v>
      </c>
      <c r="E965" t="s">
        <v>73</v>
      </c>
      <c r="F965" t="s">
        <v>74</v>
      </c>
      <c r="G965" t="str">
        <f>"2025-12-14 23:55:12.752"</f>
        <v>2025-12-14 23:55:12.752</v>
      </c>
      <c r="H965" t="s">
        <v>75</v>
      </c>
    </row>
    <row r="966" spans="1:10" x14ac:dyDescent="0.25">
      <c r="A966" s="1">
        <v>101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"2025-12-14 23:55:05.024"</f>
        <v>2025-12-14 23:55:05.024</v>
      </c>
      <c r="H966" t="s">
        <v>21</v>
      </c>
      <c r="I966">
        <v>0</v>
      </c>
      <c r="J966" t="s">
        <v>22</v>
      </c>
    </row>
    <row r="967" spans="1:10" x14ac:dyDescent="0.25">
      <c r="A967" s="1">
        <v>102</v>
      </c>
      <c r="B967" t="s">
        <v>26</v>
      </c>
      <c r="C967">
        <v>98</v>
      </c>
      <c r="D967">
        <v>1</v>
      </c>
      <c r="E967" t="s">
        <v>49</v>
      </c>
      <c r="F967" t="s">
        <v>50</v>
      </c>
      <c r="G967" t="str">
        <f>"2025-12-14 14:33:48.408"</f>
        <v>2025-12-14 14:33:48.408</v>
      </c>
      <c r="H967" t="s">
        <v>21</v>
      </c>
    </row>
    <row r="968" spans="1:10" x14ac:dyDescent="0.25">
      <c r="A968" s="1">
        <v>103</v>
      </c>
      <c r="B968" t="s">
        <v>29</v>
      </c>
      <c r="C968">
        <v>98</v>
      </c>
      <c r="D968">
        <v>1</v>
      </c>
      <c r="E968" t="s">
        <v>49</v>
      </c>
      <c r="F968" t="s">
        <v>50</v>
      </c>
      <c r="G968" t="str">
        <f>"2025-12-14 14:33:47.409"</f>
        <v>2025-12-14 14:33:47.409</v>
      </c>
      <c r="H968" t="s">
        <v>21</v>
      </c>
      <c r="I968">
        <v>0</v>
      </c>
      <c r="J968" t="s">
        <v>25</v>
      </c>
    </row>
    <row r="969" spans="1:10" x14ac:dyDescent="0.25">
      <c r="A969" s="1">
        <v>104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"2025-12-14 14:30:15.017"</f>
        <v>2025-12-14 14:30:15.017</v>
      </c>
      <c r="H969" t="s">
        <v>21</v>
      </c>
    </row>
    <row r="970" spans="1:10" x14ac:dyDescent="0.25">
      <c r="A970" s="1">
        <v>105</v>
      </c>
      <c r="B970" t="s">
        <v>26</v>
      </c>
      <c r="C970">
        <v>98</v>
      </c>
      <c r="D970">
        <v>1</v>
      </c>
      <c r="E970" t="s">
        <v>49</v>
      </c>
      <c r="F970" t="s">
        <v>50</v>
      </c>
      <c r="G970" t="str">
        <f>"2025-12-14 14:26:54.735"</f>
        <v>2025-12-14 14:26:54.735</v>
      </c>
      <c r="H970" t="s">
        <v>21</v>
      </c>
    </row>
    <row r="971" spans="1:10" x14ac:dyDescent="0.25">
      <c r="A971" s="1">
        <v>106</v>
      </c>
      <c r="B971" t="s">
        <v>29</v>
      </c>
      <c r="C971">
        <v>98</v>
      </c>
      <c r="D971">
        <v>1</v>
      </c>
      <c r="E971" t="s">
        <v>49</v>
      </c>
      <c r="F971" t="s">
        <v>50</v>
      </c>
      <c r="G971" t="str">
        <f>"2025-12-14 14:26:53.735"</f>
        <v>2025-12-14 14:26:53.735</v>
      </c>
      <c r="H971" t="s">
        <v>21</v>
      </c>
      <c r="I971">
        <v>0</v>
      </c>
      <c r="J971" t="s">
        <v>25</v>
      </c>
    </row>
    <row r="972" spans="1:10" x14ac:dyDescent="0.25">
      <c r="A972" s="1">
        <v>107</v>
      </c>
      <c r="B972" t="s">
        <v>26</v>
      </c>
      <c r="C972">
        <v>98</v>
      </c>
      <c r="D972">
        <v>1</v>
      </c>
      <c r="E972" t="s">
        <v>49</v>
      </c>
      <c r="F972" t="s">
        <v>50</v>
      </c>
      <c r="G972" t="str">
        <f>"2025-12-14 14:26:52.935"</f>
        <v>2025-12-14 14:26:52.935</v>
      </c>
      <c r="H972" t="s">
        <v>21</v>
      </c>
    </row>
    <row r="973" spans="1:10" x14ac:dyDescent="0.25">
      <c r="A973" s="1">
        <v>108</v>
      </c>
      <c r="B973" t="s">
        <v>29</v>
      </c>
      <c r="C973">
        <v>98</v>
      </c>
      <c r="D973">
        <v>1</v>
      </c>
      <c r="E973" t="s">
        <v>49</v>
      </c>
      <c r="F973" t="s">
        <v>50</v>
      </c>
      <c r="G973" t="str">
        <f>"2025-12-14 14:26:51.935"</f>
        <v>2025-12-14 14:26:51.935</v>
      </c>
      <c r="H973" t="s">
        <v>21</v>
      </c>
      <c r="I973">
        <v>0</v>
      </c>
      <c r="J973" t="s">
        <v>25</v>
      </c>
    </row>
    <row r="974" spans="1:10" x14ac:dyDescent="0.25">
      <c r="A974" s="1">
        <v>111</v>
      </c>
      <c r="B974" t="s">
        <v>29</v>
      </c>
      <c r="C974">
        <v>4</v>
      </c>
      <c r="D974">
        <v>1</v>
      </c>
      <c r="E974" t="s">
        <v>73</v>
      </c>
      <c r="F974" t="s">
        <v>74</v>
      </c>
      <c r="G974" t="str">
        <f>"2025-12-14 14:26:31.653"</f>
        <v>2025-12-14 14:26:31.653</v>
      </c>
      <c r="H974" t="s">
        <v>75</v>
      </c>
      <c r="I974">
        <v>0</v>
      </c>
      <c r="J974" t="s">
        <v>25</v>
      </c>
    </row>
    <row r="975" spans="1:10" x14ac:dyDescent="0.25">
      <c r="A975" s="1">
        <v>112</v>
      </c>
      <c r="B975" t="s">
        <v>19</v>
      </c>
      <c r="C975">
        <v>782</v>
      </c>
      <c r="D975">
        <v>7</v>
      </c>
      <c r="E975" t="s">
        <v>58</v>
      </c>
      <c r="F975" t="s">
        <v>59</v>
      </c>
      <c r="G975" t="str">
        <f>"2025-12-14 14:26:31.643"</f>
        <v>2025-12-14 14:26:31.643</v>
      </c>
      <c r="H975" t="s">
        <v>21</v>
      </c>
      <c r="I975">
        <v>0</v>
      </c>
      <c r="J975" t="s">
        <v>25</v>
      </c>
    </row>
    <row r="976" spans="1:10" x14ac:dyDescent="0.25">
      <c r="A976" s="1">
        <v>115</v>
      </c>
      <c r="B976" t="s">
        <v>26</v>
      </c>
      <c r="C976">
        <v>12</v>
      </c>
      <c r="D976">
        <v>2</v>
      </c>
      <c r="E976" t="s">
        <v>76</v>
      </c>
      <c r="F976" t="s">
        <v>77</v>
      </c>
      <c r="G976" t="str">
        <f>"2025-12-14 14:26:31.638"</f>
        <v>2025-12-14 14:26:31.638</v>
      </c>
      <c r="H976" t="s">
        <v>21</v>
      </c>
    </row>
    <row r="977" spans="1:10" x14ac:dyDescent="0.25">
      <c r="A977" s="1">
        <v>116</v>
      </c>
      <c r="B977" t="s">
        <v>26</v>
      </c>
      <c r="C977">
        <v>12</v>
      </c>
      <c r="D977">
        <v>1</v>
      </c>
      <c r="E977" t="s">
        <v>76</v>
      </c>
      <c r="F977" t="s">
        <v>78</v>
      </c>
      <c r="G977" t="str">
        <f>"2025-12-14 14:26:31.637"</f>
        <v>2025-12-14 14:26:31.637</v>
      </c>
      <c r="H977" t="s">
        <v>21</v>
      </c>
    </row>
    <row r="978" spans="1:10" x14ac:dyDescent="0.25">
      <c r="A978" s="1">
        <v>117</v>
      </c>
      <c r="B978" t="s">
        <v>26</v>
      </c>
      <c r="C978">
        <v>4</v>
      </c>
      <c r="D978">
        <v>1</v>
      </c>
      <c r="E978" t="s">
        <v>73</v>
      </c>
      <c r="F978" t="s">
        <v>74</v>
      </c>
      <c r="G978" t="str">
        <f>"2025-12-14 14:26:31.636"</f>
        <v>2025-12-14 14:26:31.636</v>
      </c>
      <c r="H978" t="s">
        <v>75</v>
      </c>
    </row>
    <row r="979" spans="1:10" x14ac:dyDescent="0.25">
      <c r="A979" s="1">
        <v>118</v>
      </c>
      <c r="B979" t="s">
        <v>19</v>
      </c>
      <c r="C979">
        <v>782</v>
      </c>
      <c r="D979">
        <v>7</v>
      </c>
      <c r="E979" t="s">
        <v>58</v>
      </c>
      <c r="F979" t="s">
        <v>59</v>
      </c>
      <c r="G979" t="str">
        <f>"2025-12-14 14:26:31.635"</f>
        <v>2025-12-14 14:26:31.635</v>
      </c>
      <c r="H979" t="s">
        <v>21</v>
      </c>
      <c r="I979">
        <v>0</v>
      </c>
      <c r="J979" t="s">
        <v>25</v>
      </c>
    </row>
    <row r="980" spans="1:10" x14ac:dyDescent="0.25">
      <c r="A980" s="1">
        <v>119</v>
      </c>
      <c r="B980" t="s">
        <v>26</v>
      </c>
      <c r="C980">
        <v>650</v>
      </c>
      <c r="D980">
        <v>4</v>
      </c>
      <c r="E980" t="s">
        <v>79</v>
      </c>
      <c r="F980" t="s">
        <v>80</v>
      </c>
      <c r="G980" t="str">
        <f>"2025-12-14 14:26:12.736"</f>
        <v>2025-12-14 14:26:12.736</v>
      </c>
      <c r="H980" t="s">
        <v>21</v>
      </c>
    </row>
    <row r="981" spans="1:10" x14ac:dyDescent="0.25">
      <c r="A981" s="1">
        <v>120</v>
      </c>
      <c r="B981" t="s">
        <v>26</v>
      </c>
      <c r="C981">
        <v>704</v>
      </c>
      <c r="D981">
        <v>1</v>
      </c>
      <c r="E981" t="s">
        <v>81</v>
      </c>
      <c r="F981" t="s">
        <v>28</v>
      </c>
      <c r="G981" t="str">
        <f>"2025-12-14 14:25:34.123"</f>
        <v>2025-12-14 14:25:34.123</v>
      </c>
      <c r="H981" t="s">
        <v>21</v>
      </c>
    </row>
    <row r="982" spans="1:10" x14ac:dyDescent="0.25">
      <c r="A982" s="1">
        <v>121</v>
      </c>
      <c r="B982" t="s">
        <v>19</v>
      </c>
      <c r="C982">
        <v>719</v>
      </c>
      <c r="D982">
        <v>5</v>
      </c>
      <c r="E982" t="s">
        <v>82</v>
      </c>
      <c r="F982" t="s">
        <v>83</v>
      </c>
      <c r="G982" t="str">
        <f>"2025-12-14 14:25:30.683"</f>
        <v>2025-12-14 14:25:30.683</v>
      </c>
      <c r="H982" t="s">
        <v>21</v>
      </c>
      <c r="I982">
        <v>0</v>
      </c>
      <c r="J982" t="s">
        <v>25</v>
      </c>
    </row>
    <row r="983" spans="1:10" x14ac:dyDescent="0.25">
      <c r="A983" s="1">
        <v>122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"2006-04-03 06:46:38.005"</f>
        <v>2006-04-03 06:46:38.005</v>
      </c>
      <c r="H983" t="s">
        <v>21</v>
      </c>
    </row>
    <row r="984" spans="1:10" x14ac:dyDescent="0.25">
      <c r="A984" s="1">
        <v>125</v>
      </c>
      <c r="B984" t="s">
        <v>29</v>
      </c>
      <c r="C984">
        <v>704</v>
      </c>
      <c r="D984">
        <v>1</v>
      </c>
      <c r="E984" t="s">
        <v>81</v>
      </c>
      <c r="F984" t="s">
        <v>28</v>
      </c>
      <c r="G984" t="str">
        <f>"2006-04-03 06:41:34.832"</f>
        <v>2006-04-03 06:41:34.832</v>
      </c>
      <c r="H984" t="s">
        <v>21</v>
      </c>
      <c r="I984">
        <v>0</v>
      </c>
      <c r="J984" t="s">
        <v>25</v>
      </c>
    </row>
    <row r="985" spans="1:10" x14ac:dyDescent="0.25">
      <c r="A985" s="1">
        <v>126</v>
      </c>
      <c r="B985" t="s">
        <v>19</v>
      </c>
      <c r="C985">
        <v>753</v>
      </c>
      <c r="D985">
        <v>1</v>
      </c>
      <c r="E985" t="s">
        <v>84</v>
      </c>
      <c r="F985" t="s">
        <v>85</v>
      </c>
      <c r="G985" t="str">
        <f>"2006-04-03 06:41:33.406"</f>
        <v>2006-04-03 06:41:33.406</v>
      </c>
      <c r="H985" t="s">
        <v>21</v>
      </c>
      <c r="I985">
        <v>0</v>
      </c>
      <c r="J985" t="s">
        <v>25</v>
      </c>
    </row>
    <row r="986" spans="1:10" x14ac:dyDescent="0.25">
      <c r="A986" s="1">
        <v>127</v>
      </c>
      <c r="B986" t="s">
        <v>37</v>
      </c>
      <c r="C986">
        <v>641</v>
      </c>
      <c r="D986">
        <v>1</v>
      </c>
      <c r="E986" t="s">
        <v>86</v>
      </c>
      <c r="F986" t="s">
        <v>77</v>
      </c>
      <c r="G986" t="str">
        <f>"2006-04-03 06:41:27.670"</f>
        <v>2006-04-03 06:41:27.670</v>
      </c>
      <c r="H986" t="s">
        <v>21</v>
      </c>
      <c r="I986">
        <v>0</v>
      </c>
      <c r="J986" t="s">
        <v>25</v>
      </c>
    </row>
    <row r="987" spans="1:10" x14ac:dyDescent="0.25">
      <c r="A987" s="1">
        <v>128</v>
      </c>
      <c r="B987" t="s">
        <v>37</v>
      </c>
      <c r="C987">
        <v>640</v>
      </c>
      <c r="D987">
        <v>1</v>
      </c>
      <c r="E987" t="s">
        <v>87</v>
      </c>
      <c r="F987" t="s">
        <v>78</v>
      </c>
      <c r="G987" t="str">
        <f>"2006-04-03 06:41:27.664"</f>
        <v>2006-04-03 06:41:27.664</v>
      </c>
      <c r="H987" t="s">
        <v>43</v>
      </c>
      <c r="I987">
        <v>0</v>
      </c>
      <c r="J987" t="s">
        <v>25</v>
      </c>
    </row>
    <row r="988" spans="1:10" x14ac:dyDescent="0.25">
      <c r="A988" s="1">
        <v>129</v>
      </c>
      <c r="B988" t="s">
        <v>29</v>
      </c>
      <c r="C988">
        <v>4</v>
      </c>
      <c r="D988">
        <v>1</v>
      </c>
      <c r="E988" t="s">
        <v>73</v>
      </c>
      <c r="F988" t="s">
        <v>74</v>
      </c>
      <c r="G988" t="str">
        <f>"2006-04-03 06:41:22.295"</f>
        <v>2006-04-03 06:41:22.295</v>
      </c>
      <c r="H988" t="s">
        <v>75</v>
      </c>
      <c r="I988">
        <v>0</v>
      </c>
      <c r="J988" t="s">
        <v>25</v>
      </c>
    </row>
    <row r="989" spans="1:10" x14ac:dyDescent="0.25">
      <c r="A989" s="1">
        <v>130</v>
      </c>
      <c r="B989" t="s">
        <v>29</v>
      </c>
      <c r="C989">
        <v>12</v>
      </c>
      <c r="D989">
        <v>1</v>
      </c>
      <c r="E989" t="s">
        <v>76</v>
      </c>
      <c r="F989" t="s">
        <v>78</v>
      </c>
      <c r="G989" t="str">
        <f>"2006-04-03 06:41:21.418"</f>
        <v>2006-04-03 06:41:21.418</v>
      </c>
      <c r="H989" t="s">
        <v>21</v>
      </c>
      <c r="I989">
        <v>0</v>
      </c>
      <c r="J989" t="s">
        <v>25</v>
      </c>
    </row>
    <row r="990" spans="1:10" x14ac:dyDescent="0.25">
      <c r="A990" s="1">
        <v>131</v>
      </c>
      <c r="B990" t="s">
        <v>29</v>
      </c>
      <c r="C990">
        <v>12</v>
      </c>
      <c r="D990">
        <v>2</v>
      </c>
      <c r="E990" t="s">
        <v>76</v>
      </c>
      <c r="F990" t="s">
        <v>77</v>
      </c>
      <c r="G990" t="str">
        <f>"2006-04-03 06:41:21.318"</f>
        <v>2006-04-03 06:41:21.318</v>
      </c>
      <c r="H990" t="s">
        <v>21</v>
      </c>
      <c r="I990">
        <v>0</v>
      </c>
      <c r="J990" t="s">
        <v>88</v>
      </c>
    </row>
    <row r="991" spans="1:10" x14ac:dyDescent="0.25">
      <c r="A991" s="1">
        <v>132</v>
      </c>
      <c r="B991" t="s">
        <v>29</v>
      </c>
      <c r="C991">
        <v>650</v>
      </c>
      <c r="D991">
        <v>4</v>
      </c>
      <c r="E991" t="s">
        <v>79</v>
      </c>
      <c r="F991" t="s">
        <v>80</v>
      </c>
      <c r="G991" t="str">
        <f>"2006-04-03 06:41:20.133"</f>
        <v>2006-04-03 06:41:20.133</v>
      </c>
      <c r="H991" t="s">
        <v>21</v>
      </c>
      <c r="I991">
        <v>0</v>
      </c>
      <c r="J991" t="s">
        <v>22</v>
      </c>
    </row>
    <row r="992" spans="1:10" x14ac:dyDescent="0.25">
      <c r="A992" s="1">
        <v>133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"2006-04-03 06:41:17.526"</f>
        <v>2006-04-03 06:41:17.526</v>
      </c>
      <c r="H992" t="s">
        <v>21</v>
      </c>
      <c r="I992">
        <v>0</v>
      </c>
      <c r="J992" t="s">
        <v>22</v>
      </c>
    </row>
  </sheetData>
  <autoFilter ref="A9:J992" xr:uid="{97CC2ACD-DD31-4F00-9293-67003A84F59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5A0FC-620C-40F9-9650-0022CE19F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events_ru_84_20260507-031030 26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2026-05-06T22:11:04Z</dcterms:modified>
</cp:coreProperties>
</file>
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F0F97FF-4219-4E2E-81F8-4C1BBABA7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0_20260605-070728 47" sheetId="2" r:id="rId1"/>
    <sheet name="Лист1" sheetId="1" r:id="rId2"/>
  </sheets>
  <definedNames>
    <definedName name="_xlnm._FilterDatabase" localSheetId="0" hidden="1">'events_ru_80_20260605-070728 47'!$C$1:$C$912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2371B9-E687-4709-9C11-F403910FF9B4}" keepAlive="1" name="Запрос — events_ru_80_20260605-070728 477" description="Соединение с запросом &quot;events_ru_80_20260605-070728 477&quot; в книге." type="5" refreshedVersion="0" background="1">
    <dbPr connection="Provider=Microsoft.Mashup.OleDb.1;Data Source=$Workbook$;Location=&quot;events_ru_80_20260605-070728 477&quot;;Extended Properties=&quot;&quot;" command="SELECT * FROM [events_ru_80_20260605-070728 477]"/>
  </connection>
</connections>
</file>

<file path=xl/sharedStrings.xml><?xml version="1.0" encoding="utf-8"?>
<sst xmlns="http://schemas.openxmlformats.org/spreadsheetml/2006/main" count="4186" uniqueCount="72">
  <si>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</si>
  <si>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</si>
  <si>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</si>
  <si>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</si>
  <si>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</si>
  <si>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</si>
  <si>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</si>
  <si>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</si>
  <si>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</si>
  <si>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</si>
  <si>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</si>
  <si>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</si>
  <si>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</si>
  <si>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</si>
  <si>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</si>
  <si>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</si>
  <si>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</si>
  <si>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</si>
  <si>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</si>
  <si>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</si>
  <si>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</si>
  <si>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</si>
  <si>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</si>
  <si>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</si>
  <si>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</si>
  <si>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</si>
  <si>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</si>
  <si>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Ready</t>
  </si>
  <si>
    <t>SRst</t>
  </si>
  <si>
    <t>Самосвал перегружен - NR</t>
  </si>
  <si>
    <t>Не доступно</t>
  </si>
  <si>
    <t>Log+</t>
  </si>
  <si>
    <t>Propel</t>
  </si>
  <si>
    <t>WRst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</si>
  <si>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</si>
  <si>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</si>
  <si>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</si>
  <si>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</si>
  <si>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Retard</t>
  </si>
  <si>
    <t>Рабочий тормоз на ходу</t>
  </si>
  <si>
    <t>Рабочие тормоза использованы на ходу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</si>
  <si>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</si>
  <si>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</si>
  <si>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</si>
  <si>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</si>
  <si>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</si>
  <si>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</si>
  <si>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</si>
  <si>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</si>
  <si>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</si>
  <si>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</si>
  <si>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Останов ДВС во время движения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</si>
  <si>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</si>
  <si>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</si>
  <si>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</si>
  <si>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</si>
  <si>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Получено предупреждение ДВС</t>
  </si>
  <si>
    <t>--Сброс статистики--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</si>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</sst>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2DD8-CCC2-410E-8462-E34EA81DD7C3}">
  <dimension ref="A1:J912"/>
  <sheetViews>
    <sheetView tabSelected="1" workbookViewId="0">
      <selection activeCell="A76" sqref="A76:XFD910"/>
    </sheetView>
  </sheetViews>
  <sheetFormatPr defaultRowHeight="15" x14ac:dyDescent="0.25"/>
  <cols>
    <col min="1" max="1" width="16" bestFit="1" customWidth="1"/>
    <col min="5" max="5" width="33" customWidth="1"/>
    <col min="6" max="6" width="65.710937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"2026-06-05 07:07:28.477"</f>
        <v>2026-06-05 07:07:28.477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"2026-06-05 07:06:31.936"</f>
        <v>2026-06-05 07:06:31.936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"2026-06-05 06:58:58.695"</f>
        <v>2026-06-05 06:58:58.695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47</v>
      </c>
      <c r="D12">
        <v>2</v>
      </c>
      <c r="E12" t="s">
        <v>24</v>
      </c>
      <c r="F12" t="s">
        <v>25</v>
      </c>
      <c r="G12" t="str">
        <f>"2026-06-05 06:56:38.861"</f>
        <v>2026-06-05 06:56:38.861</v>
      </c>
      <c r="H12" t="s">
        <v>26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"2026-06-05 06:50:19.690"</f>
        <v>2026-06-05 06:50:19.690</v>
      </c>
      <c r="H13" t="s">
        <v>21</v>
      </c>
      <c r="I13">
        <v>0</v>
      </c>
      <c r="J13" t="s">
        <v>22</v>
      </c>
    </row>
    <row r="14" spans="1:10" x14ac:dyDescent="0.25">
      <c r="A14" s="1">
        <v>0</v>
      </c>
      <c r="B14" t="s">
        <v>23</v>
      </c>
      <c r="C14">
        <v>47</v>
      </c>
      <c r="D14">
        <v>2</v>
      </c>
      <c r="E14" t="s">
        <v>24</v>
      </c>
      <c r="F14" t="s">
        <v>25</v>
      </c>
      <c r="G14" t="str">
        <f>"2026-06-05 06:35:25.299"</f>
        <v>2026-06-05 06:35:25.299</v>
      </c>
      <c r="H14" t="s">
        <v>26</v>
      </c>
      <c r="I14">
        <v>0</v>
      </c>
      <c r="J14" t="s">
        <v>27</v>
      </c>
    </row>
    <row r="15" spans="1:10" x14ac:dyDescent="0.25">
      <c r="A15" s="1">
        <v>1</v>
      </c>
      <c r="B15" t="s">
        <v>28</v>
      </c>
      <c r="C15">
        <v>635</v>
      </c>
      <c r="D15">
        <v>1</v>
      </c>
      <c r="E15" t="s">
        <v>29</v>
      </c>
      <c r="F15" t="s">
        <v>30</v>
      </c>
      <c r="G15" t="str">
        <f>"2026-06-05 00:09:40.339"</f>
        <v>2026-06-05 00:09:40.339</v>
      </c>
      <c r="H15" t="s">
        <v>21</v>
      </c>
    </row>
    <row r="16" spans="1:10" x14ac:dyDescent="0.25">
      <c r="A16" s="1">
        <v>2</v>
      </c>
      <c r="B16" t="s">
        <v>31</v>
      </c>
      <c r="C16">
        <v>635</v>
      </c>
      <c r="D16">
        <v>1</v>
      </c>
      <c r="E16" t="s">
        <v>29</v>
      </c>
      <c r="F16" t="s">
        <v>30</v>
      </c>
      <c r="G16" t="str">
        <f>"2026-06-05 00:05:54.339"</f>
        <v>2026-06-05 00:05:54.339</v>
      </c>
      <c r="H16" t="s">
        <v>21</v>
      </c>
      <c r="I16">
        <v>6.17</v>
      </c>
      <c r="J16" t="s">
        <v>27</v>
      </c>
    </row>
    <row r="17" spans="1:10" x14ac:dyDescent="0.25">
      <c r="A17" s="1">
        <v>3</v>
      </c>
      <c r="B17" t="s">
        <v>28</v>
      </c>
      <c r="C17">
        <v>635</v>
      </c>
      <c r="D17">
        <v>1</v>
      </c>
      <c r="E17" t="s">
        <v>29</v>
      </c>
      <c r="F17" t="s">
        <v>30</v>
      </c>
      <c r="G17" t="str">
        <f>"2026-06-04 15:19:53.139"</f>
        <v>2026-06-04 15:19:53.139</v>
      </c>
      <c r="H17" t="s">
        <v>21</v>
      </c>
    </row>
    <row r="18" spans="1:10" x14ac:dyDescent="0.25">
      <c r="A18" s="1">
        <v>4</v>
      </c>
      <c r="B18" t="s">
        <v>31</v>
      </c>
      <c r="C18">
        <v>635</v>
      </c>
      <c r="D18">
        <v>1</v>
      </c>
      <c r="E18" t="s">
        <v>29</v>
      </c>
      <c r="F18" t="s">
        <v>30</v>
      </c>
      <c r="G18" t="str">
        <f>"2026-06-04 15:15:13.139"</f>
        <v>2026-06-04 15:15:13.139</v>
      </c>
      <c r="H18" t="s">
        <v>21</v>
      </c>
      <c r="I18">
        <v>7.4</v>
      </c>
      <c r="J18" t="s">
        <v>32</v>
      </c>
    </row>
    <row r="19" spans="1:10" x14ac:dyDescent="0.25">
      <c r="A19" s="1">
        <v>5</v>
      </c>
      <c r="B19" t="s">
        <v>33</v>
      </c>
      <c r="C19">
        <v>47</v>
      </c>
      <c r="D19">
        <v>2</v>
      </c>
      <c r="E19" t="s">
        <v>24</v>
      </c>
      <c r="F19" t="s">
        <v>25</v>
      </c>
      <c r="G19" t="str">
        <f>"2026-06-04 13:51:22.399"</f>
        <v>2026-06-04 13:51:22.399</v>
      </c>
      <c r="H19" t="s">
        <v>26</v>
      </c>
    </row>
    <row r="20" spans="1:10" x14ac:dyDescent="0.25">
      <c r="A20" s="1">
        <v>6</v>
      </c>
      <c r="B20" t="s">
        <v>19</v>
      </c>
      <c r="C20">
        <v>706</v>
      </c>
      <c r="D20">
        <v>2</v>
      </c>
      <c r="E20" t="s">
        <v>34</v>
      </c>
      <c r="F20" t="s">
        <v>35</v>
      </c>
      <c r="G20" t="str">
        <f>"2026-06-04 13:51:20.189"</f>
        <v>2026-06-04 13:51:20.189</v>
      </c>
      <c r="H20" t="s">
        <v>21</v>
      </c>
      <c r="I20">
        <v>0</v>
      </c>
      <c r="J20" t="s">
        <v>36</v>
      </c>
    </row>
    <row r="21" spans="1:10" x14ac:dyDescent="0.25">
      <c r="A21" s="1">
        <v>7</v>
      </c>
      <c r="B21" t="s">
        <v>23</v>
      </c>
      <c r="C21">
        <v>47</v>
      </c>
      <c r="D21">
        <v>2</v>
      </c>
      <c r="E21" t="s">
        <v>24</v>
      </c>
      <c r="F21" t="s">
        <v>25</v>
      </c>
      <c r="G21" t="str">
        <f>"2026-06-04 12:57:28.899"</f>
        <v>2026-06-04 12:57:28.899</v>
      </c>
      <c r="H21" t="s">
        <v>26</v>
      </c>
      <c r="I21">
        <v>0</v>
      </c>
      <c r="J21" t="s">
        <v>27</v>
      </c>
    </row>
    <row r="22" spans="1:10" x14ac:dyDescent="0.25">
      <c r="A22" s="1">
        <v>8</v>
      </c>
      <c r="B22" t="s">
        <v>33</v>
      </c>
      <c r="C22">
        <v>47</v>
      </c>
      <c r="D22">
        <v>2</v>
      </c>
      <c r="E22" t="s">
        <v>24</v>
      </c>
      <c r="F22" t="s">
        <v>25</v>
      </c>
      <c r="G22" t="str">
        <f>"2026-06-04 09:47:40.499"</f>
        <v>2026-06-04 09:47:40.499</v>
      </c>
      <c r="H22" t="s">
        <v>26</v>
      </c>
    </row>
    <row r="23" spans="1:10" x14ac:dyDescent="0.25">
      <c r="A23" s="1">
        <v>9</v>
      </c>
      <c r="B23" t="s">
        <v>19</v>
      </c>
      <c r="C23">
        <v>706</v>
      </c>
      <c r="D23">
        <v>4</v>
      </c>
      <c r="E23" t="s">
        <v>34</v>
      </c>
      <c r="F23" t="s">
        <v>37</v>
      </c>
      <c r="G23" t="str">
        <f>"2026-06-04 09:47:37.049"</f>
        <v>2026-06-04 09:47:37.049</v>
      </c>
      <c r="H23" t="s">
        <v>21</v>
      </c>
      <c r="I23">
        <v>0</v>
      </c>
      <c r="J23" t="s">
        <v>36</v>
      </c>
    </row>
    <row r="24" spans="1:10" x14ac:dyDescent="0.25">
      <c r="A24" s="1">
        <v>0</v>
      </c>
      <c r="B24" t="s">
        <v>23</v>
      </c>
      <c r="C24">
        <v>47</v>
      </c>
      <c r="D24">
        <v>2</v>
      </c>
      <c r="E24" t="s">
        <v>24</v>
      </c>
      <c r="F24" t="s">
        <v>25</v>
      </c>
      <c r="G24" t="str">
        <f>"2026-06-04 09:37:34.399"</f>
        <v>2026-06-04 09:37:34.399</v>
      </c>
      <c r="H24" t="s">
        <v>26</v>
      </c>
      <c r="I24">
        <v>0</v>
      </c>
      <c r="J24" t="s">
        <v>36</v>
      </c>
    </row>
    <row r="25" spans="1:10" x14ac:dyDescent="0.25">
      <c r="A25" s="1">
        <v>2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"2026-06-03 23:32:49.719"</f>
        <v>2026-06-03 23:32:49.719</v>
      </c>
      <c r="H25" t="s">
        <v>21</v>
      </c>
      <c r="I25">
        <v>0</v>
      </c>
      <c r="J25" t="s">
        <v>22</v>
      </c>
    </row>
    <row r="26" spans="1:10" x14ac:dyDescent="0.25">
      <c r="A26" s="1">
        <v>4</v>
      </c>
      <c r="B26" t="s">
        <v>33</v>
      </c>
      <c r="C26">
        <v>47</v>
      </c>
      <c r="D26">
        <v>2</v>
      </c>
      <c r="E26" t="s">
        <v>24</v>
      </c>
      <c r="F26" t="s">
        <v>25</v>
      </c>
      <c r="G26" t="str">
        <f>"2026-06-03 12:47:37.835"</f>
        <v>2026-06-03 12:47:37.835</v>
      </c>
      <c r="H26" t="s">
        <v>26</v>
      </c>
    </row>
    <row r="27" spans="1:10" x14ac:dyDescent="0.25">
      <c r="A27" s="1">
        <v>5</v>
      </c>
      <c r="B27" t="s">
        <v>19</v>
      </c>
      <c r="C27">
        <v>706</v>
      </c>
      <c r="D27">
        <v>2</v>
      </c>
      <c r="E27" t="s">
        <v>34</v>
      </c>
      <c r="F27" t="s">
        <v>35</v>
      </c>
      <c r="G27" t="str">
        <f>"2026-06-03 12:47:35.536"</f>
        <v>2026-06-03 12:47:35.536</v>
      </c>
      <c r="H27" t="s">
        <v>21</v>
      </c>
      <c r="I27">
        <v>0</v>
      </c>
      <c r="J27" t="s">
        <v>36</v>
      </c>
    </row>
    <row r="28" spans="1:10" x14ac:dyDescent="0.25">
      <c r="A28" s="1">
        <v>6</v>
      </c>
      <c r="B28" t="s">
        <v>23</v>
      </c>
      <c r="C28">
        <v>47</v>
      </c>
      <c r="D28">
        <v>2</v>
      </c>
      <c r="E28" t="s">
        <v>24</v>
      </c>
      <c r="F28" t="s">
        <v>25</v>
      </c>
      <c r="G28" t="str">
        <f>"2026-06-03 12:13:02.035"</f>
        <v>2026-06-03 12:13:02.035</v>
      </c>
      <c r="H28" t="s">
        <v>26</v>
      </c>
      <c r="I28">
        <v>0</v>
      </c>
      <c r="J28" t="s">
        <v>27</v>
      </c>
    </row>
    <row r="29" spans="1:10" x14ac:dyDescent="0.25">
      <c r="A29" s="1">
        <v>7</v>
      </c>
      <c r="B29" t="s">
        <v>28</v>
      </c>
      <c r="C29">
        <v>635</v>
      </c>
      <c r="D29">
        <v>1</v>
      </c>
      <c r="E29" t="s">
        <v>29</v>
      </c>
      <c r="F29" t="s">
        <v>30</v>
      </c>
      <c r="G29" t="str">
        <f>"2026-06-02 20:50:03.675"</f>
        <v>2026-06-02 20:50:03.675</v>
      </c>
      <c r="H29" t="s">
        <v>21</v>
      </c>
    </row>
    <row r="30" spans="1:10" x14ac:dyDescent="0.25">
      <c r="A30" s="1">
        <v>8</v>
      </c>
      <c r="B30" t="s">
        <v>31</v>
      </c>
      <c r="C30">
        <v>635</v>
      </c>
      <c r="D30">
        <v>1</v>
      </c>
      <c r="E30" t="s">
        <v>29</v>
      </c>
      <c r="F30" t="s">
        <v>30</v>
      </c>
      <c r="G30" t="str">
        <f>"2026-06-02 20:45:41.675"</f>
        <v>2026-06-02 20:45:41.675</v>
      </c>
      <c r="H30" t="s">
        <v>21</v>
      </c>
      <c r="I30">
        <v>7.39</v>
      </c>
      <c r="J30" t="s">
        <v>27</v>
      </c>
    </row>
    <row r="31" spans="1:10" x14ac:dyDescent="0.25">
      <c r="A31" s="1">
        <v>9</v>
      </c>
      <c r="B31" t="s">
        <v>28</v>
      </c>
      <c r="C31">
        <v>635</v>
      </c>
      <c r="D31">
        <v>1</v>
      </c>
      <c r="E31" t="s">
        <v>29</v>
      </c>
      <c r="F31" t="s">
        <v>30</v>
      </c>
      <c r="G31" t="str">
        <f>"2026-06-02 19:16:51.375"</f>
        <v>2026-06-02 19:16:51.375</v>
      </c>
      <c r="H31" t="s">
        <v>21</v>
      </c>
    </row>
    <row r="32" spans="1:10" x14ac:dyDescent="0.25">
      <c r="A32" s="1">
        <v>0</v>
      </c>
      <c r="B32" t="s">
        <v>31</v>
      </c>
      <c r="C32">
        <v>635</v>
      </c>
      <c r="D32">
        <v>1</v>
      </c>
      <c r="E32" t="s">
        <v>29</v>
      </c>
      <c r="F32" t="s">
        <v>30</v>
      </c>
      <c r="G32" t="str">
        <f>"2026-06-02 19:14:04.875"</f>
        <v>2026-06-02 19:14:04.875</v>
      </c>
      <c r="H32" t="s">
        <v>21</v>
      </c>
      <c r="I32">
        <v>7.85</v>
      </c>
      <c r="J32" t="s">
        <v>32</v>
      </c>
    </row>
    <row r="33" spans="1:10" x14ac:dyDescent="0.25">
      <c r="A33" s="1">
        <v>1</v>
      </c>
      <c r="B33" t="s">
        <v>19</v>
      </c>
      <c r="C33">
        <v>706</v>
      </c>
      <c r="D33">
        <v>2</v>
      </c>
      <c r="E33" t="s">
        <v>34</v>
      </c>
      <c r="F33" t="s">
        <v>35</v>
      </c>
      <c r="G33" t="str">
        <f>"2026-06-02 13:48:03.036"</f>
        <v>2026-06-02 13:48:03.036</v>
      </c>
      <c r="H33" t="s">
        <v>21</v>
      </c>
      <c r="I33">
        <v>0</v>
      </c>
      <c r="J33" t="s">
        <v>36</v>
      </c>
    </row>
    <row r="34" spans="1:10" x14ac:dyDescent="0.25">
      <c r="A34" s="1">
        <v>2</v>
      </c>
      <c r="B34" t="s">
        <v>19</v>
      </c>
      <c r="C34">
        <v>706</v>
      </c>
      <c r="D34">
        <v>4</v>
      </c>
      <c r="E34" t="s">
        <v>34</v>
      </c>
      <c r="F34" t="s">
        <v>37</v>
      </c>
      <c r="G34" t="str">
        <f>"2026-06-01 14:19:32.376"</f>
        <v>2026-06-01 14:19:32.376</v>
      </c>
      <c r="H34" t="s">
        <v>21</v>
      </c>
      <c r="I34">
        <v>0</v>
      </c>
      <c r="J34" t="s">
        <v>36</v>
      </c>
    </row>
    <row r="35" spans="1:10" x14ac:dyDescent="0.25">
      <c r="A35" s="1">
        <v>3</v>
      </c>
      <c r="B35" t="s">
        <v>28</v>
      </c>
      <c r="C35">
        <v>635</v>
      </c>
      <c r="D35">
        <v>1</v>
      </c>
      <c r="E35" t="s">
        <v>29</v>
      </c>
      <c r="F35" t="s">
        <v>30</v>
      </c>
      <c r="G35" t="str">
        <f>"2026-06-01 10:35:38.175"</f>
        <v>2026-06-01 10:35:38.175</v>
      </c>
      <c r="H35" t="s">
        <v>21</v>
      </c>
    </row>
    <row r="36" spans="1:10" x14ac:dyDescent="0.25">
      <c r="A36" s="1">
        <v>4</v>
      </c>
      <c r="B36" t="s">
        <v>31</v>
      </c>
      <c r="C36">
        <v>635</v>
      </c>
      <c r="D36">
        <v>1</v>
      </c>
      <c r="E36" t="s">
        <v>29</v>
      </c>
      <c r="F36" t="s">
        <v>30</v>
      </c>
      <c r="G36" t="str">
        <f>"2026-06-01 10:31:11.675"</f>
        <v>2026-06-01 10:31:11.675</v>
      </c>
      <c r="H36" t="s">
        <v>21</v>
      </c>
      <c r="I36">
        <v>4.9000000000000004</v>
      </c>
      <c r="J36" t="s">
        <v>32</v>
      </c>
    </row>
    <row r="37" spans="1:10" x14ac:dyDescent="0.25">
      <c r="A37" s="1">
        <v>5</v>
      </c>
      <c r="B37" t="s">
        <v>28</v>
      </c>
      <c r="C37">
        <v>635</v>
      </c>
      <c r="D37">
        <v>1</v>
      </c>
      <c r="E37" t="s">
        <v>29</v>
      </c>
      <c r="F37" t="s">
        <v>30</v>
      </c>
      <c r="G37" t="str">
        <f>"2026-05-31 18:59:29.875"</f>
        <v>2026-05-31 18:59:29.875</v>
      </c>
      <c r="H37" t="s">
        <v>21</v>
      </c>
    </row>
    <row r="38" spans="1:10" x14ac:dyDescent="0.25">
      <c r="A38" s="1">
        <v>6</v>
      </c>
      <c r="B38" t="s">
        <v>31</v>
      </c>
      <c r="C38">
        <v>635</v>
      </c>
      <c r="D38">
        <v>1</v>
      </c>
      <c r="E38" t="s">
        <v>29</v>
      </c>
      <c r="F38" t="s">
        <v>30</v>
      </c>
      <c r="G38" t="str">
        <f>"2026-05-31 18:56:59.375"</f>
        <v>2026-05-31 18:56:59.375</v>
      </c>
      <c r="H38" t="s">
        <v>21</v>
      </c>
      <c r="I38">
        <v>3.79</v>
      </c>
      <c r="J38" t="s">
        <v>32</v>
      </c>
    </row>
    <row r="39" spans="1:10" x14ac:dyDescent="0.25">
      <c r="A39" s="1">
        <v>7</v>
      </c>
      <c r="B39" t="s">
        <v>33</v>
      </c>
      <c r="C39">
        <v>47</v>
      </c>
      <c r="D39">
        <v>2</v>
      </c>
      <c r="E39" t="s">
        <v>24</v>
      </c>
      <c r="F39" t="s">
        <v>25</v>
      </c>
      <c r="G39" t="str">
        <f>"2026-05-31 13:47:26.035"</f>
        <v>2026-05-31 13:47:26.035</v>
      </c>
      <c r="H39" t="s">
        <v>26</v>
      </c>
    </row>
    <row r="40" spans="1:10" x14ac:dyDescent="0.25">
      <c r="A40" s="1">
        <v>8</v>
      </c>
      <c r="B40" t="s">
        <v>19</v>
      </c>
      <c r="C40">
        <v>706</v>
      </c>
      <c r="D40">
        <v>4</v>
      </c>
      <c r="E40" t="s">
        <v>34</v>
      </c>
      <c r="F40" t="s">
        <v>37</v>
      </c>
      <c r="G40" t="str">
        <f>"2026-05-31 13:47:23.816"</f>
        <v>2026-05-31 13:47:23.816</v>
      </c>
      <c r="H40" t="s">
        <v>21</v>
      </c>
      <c r="I40">
        <v>0</v>
      </c>
      <c r="J40" t="s">
        <v>36</v>
      </c>
    </row>
    <row r="41" spans="1:10" x14ac:dyDescent="0.25">
      <c r="A41" s="1">
        <v>9</v>
      </c>
      <c r="B41" t="s">
        <v>23</v>
      </c>
      <c r="C41">
        <v>47</v>
      </c>
      <c r="D41">
        <v>2</v>
      </c>
      <c r="E41" t="s">
        <v>24</v>
      </c>
      <c r="F41" t="s">
        <v>25</v>
      </c>
      <c r="G41" t="str">
        <f>"2026-05-31 12:38:00.235"</f>
        <v>2026-05-31 12:38:00.235</v>
      </c>
      <c r="H41" t="s">
        <v>26</v>
      </c>
      <c r="I41">
        <v>0</v>
      </c>
      <c r="J41" t="s">
        <v>27</v>
      </c>
    </row>
    <row r="42" spans="1:10" x14ac:dyDescent="0.25">
      <c r="A42" s="1">
        <v>0</v>
      </c>
      <c r="B42" t="s">
        <v>28</v>
      </c>
      <c r="C42">
        <v>635</v>
      </c>
      <c r="D42">
        <v>1</v>
      </c>
      <c r="E42" t="s">
        <v>29</v>
      </c>
      <c r="F42" t="s">
        <v>30</v>
      </c>
      <c r="G42" t="str">
        <f>"2026-05-30 20:41:10.675"</f>
        <v>2026-05-30 20:41:10.675</v>
      </c>
      <c r="H42" t="s">
        <v>21</v>
      </c>
    </row>
    <row r="43" spans="1:10" x14ac:dyDescent="0.25">
      <c r="A43" s="1">
        <v>1</v>
      </c>
      <c r="B43" t="s">
        <v>31</v>
      </c>
      <c r="C43">
        <v>635</v>
      </c>
      <c r="D43">
        <v>1</v>
      </c>
      <c r="E43" t="s">
        <v>29</v>
      </c>
      <c r="F43" t="s">
        <v>30</v>
      </c>
      <c r="G43" t="str">
        <f>"2026-05-30 20:36:02.675"</f>
        <v>2026-05-30 20:36:02.675</v>
      </c>
      <c r="H43" t="s">
        <v>21</v>
      </c>
      <c r="I43">
        <v>6.77</v>
      </c>
      <c r="J43" t="s">
        <v>38</v>
      </c>
    </row>
    <row r="44" spans="1:10" x14ac:dyDescent="0.25">
      <c r="A44" s="1">
        <v>2</v>
      </c>
      <c r="B44" t="s">
        <v>19</v>
      </c>
      <c r="C44">
        <v>706</v>
      </c>
      <c r="D44">
        <v>4</v>
      </c>
      <c r="E44" t="s">
        <v>34</v>
      </c>
      <c r="F44" t="s">
        <v>37</v>
      </c>
      <c r="G44" t="str">
        <f>"2026-05-27 13:41:13.866"</f>
        <v>2026-05-27 13:41:13.866</v>
      </c>
      <c r="H44" t="s">
        <v>21</v>
      </c>
      <c r="I44">
        <v>0</v>
      </c>
      <c r="J44" t="s">
        <v>36</v>
      </c>
    </row>
    <row r="45" spans="1:10" x14ac:dyDescent="0.25">
      <c r="A45" s="1">
        <v>3</v>
      </c>
      <c r="B45" t="s">
        <v>28</v>
      </c>
      <c r="C45">
        <v>635</v>
      </c>
      <c r="D45">
        <v>1</v>
      </c>
      <c r="E45" t="s">
        <v>29</v>
      </c>
      <c r="F45" t="s">
        <v>30</v>
      </c>
      <c r="G45" t="str">
        <f>"2026-05-27 00:41:03.475"</f>
        <v>2026-05-27 00:41:03.475</v>
      </c>
      <c r="H45" t="s">
        <v>21</v>
      </c>
    </row>
    <row r="46" spans="1:10" x14ac:dyDescent="0.25">
      <c r="A46" s="1">
        <v>4</v>
      </c>
      <c r="B46" t="s">
        <v>31</v>
      </c>
      <c r="C46">
        <v>635</v>
      </c>
      <c r="D46">
        <v>1</v>
      </c>
      <c r="E46" t="s">
        <v>29</v>
      </c>
      <c r="F46" t="s">
        <v>30</v>
      </c>
      <c r="G46" t="str">
        <f>"2026-05-27 00:38:43.975"</f>
        <v>2026-05-27 00:38:43.975</v>
      </c>
      <c r="H46" t="s">
        <v>21</v>
      </c>
      <c r="I46">
        <v>4.13</v>
      </c>
      <c r="J46" t="s">
        <v>38</v>
      </c>
    </row>
    <row r="47" spans="1:10" x14ac:dyDescent="0.25">
      <c r="A47" s="1">
        <v>5</v>
      </c>
      <c r="B47" t="s">
        <v>28</v>
      </c>
      <c r="C47">
        <v>635</v>
      </c>
      <c r="D47">
        <v>1</v>
      </c>
      <c r="E47" t="s">
        <v>29</v>
      </c>
      <c r="F47" t="s">
        <v>30</v>
      </c>
      <c r="G47" t="str">
        <f>"2026-05-26 23:46:57.075"</f>
        <v>2026-05-26 23:46:57.075</v>
      </c>
      <c r="H47" t="s">
        <v>21</v>
      </c>
    </row>
    <row r="48" spans="1:10" x14ac:dyDescent="0.25">
      <c r="A48" s="1">
        <v>6</v>
      </c>
      <c r="B48" t="s">
        <v>31</v>
      </c>
      <c r="C48">
        <v>635</v>
      </c>
      <c r="D48">
        <v>1</v>
      </c>
      <c r="E48" t="s">
        <v>29</v>
      </c>
      <c r="F48" t="s">
        <v>30</v>
      </c>
      <c r="G48" t="str">
        <f>"2026-05-26 23:43:20.575"</f>
        <v>2026-05-26 23:43:20.575</v>
      </c>
      <c r="H48" t="s">
        <v>21</v>
      </c>
      <c r="I48">
        <v>5.09</v>
      </c>
      <c r="J48" t="s">
        <v>38</v>
      </c>
    </row>
    <row r="49" spans="1:10" x14ac:dyDescent="0.25">
      <c r="A49" s="1">
        <v>7</v>
      </c>
      <c r="B49" t="s">
        <v>28</v>
      </c>
      <c r="C49">
        <v>635</v>
      </c>
      <c r="D49">
        <v>1</v>
      </c>
      <c r="E49" t="s">
        <v>29</v>
      </c>
      <c r="F49" t="s">
        <v>30</v>
      </c>
      <c r="G49" t="str">
        <f>"2026-05-26 16:21:00.675"</f>
        <v>2026-05-26 16:21:00.675</v>
      </c>
      <c r="H49" t="s">
        <v>21</v>
      </c>
    </row>
    <row r="50" spans="1:10" x14ac:dyDescent="0.25">
      <c r="A50" s="1">
        <v>8</v>
      </c>
      <c r="B50" t="s">
        <v>31</v>
      </c>
      <c r="C50">
        <v>635</v>
      </c>
      <c r="D50">
        <v>1</v>
      </c>
      <c r="E50" t="s">
        <v>29</v>
      </c>
      <c r="F50" t="s">
        <v>30</v>
      </c>
      <c r="G50" t="str">
        <f>"2026-05-26 15:50:58.175"</f>
        <v>2026-05-26 15:50:58.175</v>
      </c>
      <c r="H50" t="s">
        <v>21</v>
      </c>
      <c r="I50">
        <v>5.83</v>
      </c>
      <c r="J50" t="s">
        <v>38</v>
      </c>
    </row>
    <row r="51" spans="1:10" x14ac:dyDescent="0.25">
      <c r="A51" s="1">
        <v>9</v>
      </c>
      <c r="B51" t="s">
        <v>19</v>
      </c>
      <c r="C51">
        <v>706</v>
      </c>
      <c r="D51">
        <v>2</v>
      </c>
      <c r="E51" t="s">
        <v>34</v>
      </c>
      <c r="F51" t="s">
        <v>35</v>
      </c>
      <c r="G51" t="str">
        <f>"2026-05-26 13:23:30.036"</f>
        <v>2026-05-26 13:23:30.036</v>
      </c>
      <c r="H51" t="s">
        <v>21</v>
      </c>
      <c r="I51">
        <v>0</v>
      </c>
      <c r="J51" t="s">
        <v>36</v>
      </c>
    </row>
    <row r="52" spans="1:10" x14ac:dyDescent="0.25">
      <c r="A52" s="1">
        <v>0</v>
      </c>
      <c r="B52" t="s">
        <v>28</v>
      </c>
      <c r="C52">
        <v>635</v>
      </c>
      <c r="D52">
        <v>1</v>
      </c>
      <c r="E52" t="s">
        <v>29</v>
      </c>
      <c r="F52" t="s">
        <v>30</v>
      </c>
      <c r="G52" t="str">
        <f>"2026-05-26 03:33:37.975"</f>
        <v>2026-05-26 03:33:37.975</v>
      </c>
      <c r="H52" t="s">
        <v>21</v>
      </c>
    </row>
    <row r="53" spans="1:10" x14ac:dyDescent="0.25">
      <c r="A53" s="1">
        <v>1</v>
      </c>
      <c r="B53" t="s">
        <v>31</v>
      </c>
      <c r="C53">
        <v>635</v>
      </c>
      <c r="D53">
        <v>1</v>
      </c>
      <c r="E53" t="s">
        <v>29</v>
      </c>
      <c r="F53" t="s">
        <v>30</v>
      </c>
      <c r="G53" t="str">
        <f>"2026-05-26 03:27:56.975"</f>
        <v>2026-05-26 03:27:56.975</v>
      </c>
      <c r="H53" t="s">
        <v>21</v>
      </c>
      <c r="I53">
        <v>1.55</v>
      </c>
      <c r="J53" t="s">
        <v>32</v>
      </c>
    </row>
    <row r="54" spans="1:10" x14ac:dyDescent="0.25">
      <c r="A54" s="1">
        <v>3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"2026-05-25 16:40:06.746"</f>
        <v>2026-05-25 16:40:06.746</v>
      </c>
      <c r="H54" t="s">
        <v>21</v>
      </c>
      <c r="I54">
        <v>0</v>
      </c>
      <c r="J54" t="s">
        <v>22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"2026-05-25 16:28:01.674"</f>
        <v>2026-05-25 16:28:01.674</v>
      </c>
      <c r="H55" t="s">
        <v>21</v>
      </c>
      <c r="I55">
        <v>0</v>
      </c>
      <c r="J55" t="s">
        <v>22</v>
      </c>
    </row>
    <row r="56" spans="1:10" x14ac:dyDescent="0.25">
      <c r="A56" s="1">
        <v>8</v>
      </c>
      <c r="B56" t="s">
        <v>19</v>
      </c>
      <c r="C56">
        <v>706</v>
      </c>
      <c r="D56">
        <v>4</v>
      </c>
      <c r="E56" t="s">
        <v>34</v>
      </c>
      <c r="F56" t="s">
        <v>37</v>
      </c>
      <c r="G56" t="str">
        <f>"2026-05-25 16:19:34.075"</f>
        <v>2026-05-25 16:19:34.075</v>
      </c>
      <c r="H56" t="s">
        <v>21</v>
      </c>
      <c r="I56">
        <v>0</v>
      </c>
      <c r="J56" t="s">
        <v>36</v>
      </c>
    </row>
    <row r="57" spans="1:10" x14ac:dyDescent="0.25">
      <c r="A57" s="1">
        <v>0</v>
      </c>
      <c r="B57" t="s">
        <v>19</v>
      </c>
      <c r="C57">
        <v>706</v>
      </c>
      <c r="D57">
        <v>4</v>
      </c>
      <c r="E57" t="s">
        <v>34</v>
      </c>
      <c r="F57" t="s">
        <v>37</v>
      </c>
      <c r="G57" t="str">
        <f>"2026-05-25 16:17:22.775"</f>
        <v>2026-05-25 16:17:22.775</v>
      </c>
      <c r="H57" t="s">
        <v>21</v>
      </c>
      <c r="I57">
        <v>0</v>
      </c>
      <c r="J57" t="s">
        <v>36</v>
      </c>
    </row>
    <row r="58" spans="1:10" x14ac:dyDescent="0.25">
      <c r="A58" s="1">
        <v>1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"2026-05-25 16:17:03.825"</f>
        <v>2026-05-25 16:17:03.825</v>
      </c>
      <c r="H58" t="s">
        <v>21</v>
      </c>
      <c r="I58">
        <v>0</v>
      </c>
      <c r="J58" t="s">
        <v>22</v>
      </c>
    </row>
    <row r="59" spans="1:10" x14ac:dyDescent="0.25">
      <c r="A59" s="1">
        <v>3</v>
      </c>
      <c r="B59" t="s">
        <v>33</v>
      </c>
      <c r="C59">
        <v>47</v>
      </c>
      <c r="D59">
        <v>2</v>
      </c>
      <c r="E59" t="s">
        <v>24</v>
      </c>
      <c r="F59" t="s">
        <v>25</v>
      </c>
      <c r="G59" t="str">
        <f>"2026-05-25 11:22:15.673"</f>
        <v>2026-05-25 11:22:15.673</v>
      </c>
      <c r="H59" t="s">
        <v>26</v>
      </c>
    </row>
    <row r="60" spans="1:10" x14ac:dyDescent="0.25">
      <c r="A60" s="1">
        <v>4</v>
      </c>
      <c r="B60" t="s">
        <v>19</v>
      </c>
      <c r="C60">
        <v>706</v>
      </c>
      <c r="D60">
        <v>2</v>
      </c>
      <c r="E60" t="s">
        <v>34</v>
      </c>
      <c r="F60" t="s">
        <v>35</v>
      </c>
      <c r="G60" t="str">
        <f>"2026-05-25 11:22:12.059"</f>
        <v>2026-05-25 11:22:12.059</v>
      </c>
      <c r="H60" t="s">
        <v>21</v>
      </c>
      <c r="I60">
        <v>0</v>
      </c>
      <c r="J60" t="s">
        <v>36</v>
      </c>
    </row>
    <row r="61" spans="1:10" x14ac:dyDescent="0.25">
      <c r="A61" s="1">
        <v>5</v>
      </c>
      <c r="B61" t="s">
        <v>23</v>
      </c>
      <c r="C61">
        <v>47</v>
      </c>
      <c r="D61">
        <v>2</v>
      </c>
      <c r="E61" t="s">
        <v>24</v>
      </c>
      <c r="F61" t="s">
        <v>25</v>
      </c>
      <c r="G61" t="str">
        <f>"2026-05-25 11:20:40.773"</f>
        <v>2026-05-25 11:20:40.773</v>
      </c>
      <c r="H61" t="s">
        <v>26</v>
      </c>
      <c r="I61">
        <v>0</v>
      </c>
      <c r="J61" t="s">
        <v>27</v>
      </c>
    </row>
    <row r="62" spans="1:10" x14ac:dyDescent="0.25">
      <c r="A62" s="1">
        <v>6</v>
      </c>
      <c r="B62" t="s">
        <v>33</v>
      </c>
      <c r="C62">
        <v>47</v>
      </c>
      <c r="D62">
        <v>2</v>
      </c>
      <c r="E62" t="s">
        <v>24</v>
      </c>
      <c r="F62" t="s">
        <v>25</v>
      </c>
      <c r="G62" t="str">
        <f>"2026-05-24 17:59:05.973"</f>
        <v>2026-05-24 17:59:05.973</v>
      </c>
      <c r="H62" t="s">
        <v>26</v>
      </c>
    </row>
    <row r="63" spans="1:10" x14ac:dyDescent="0.25">
      <c r="A63" s="1">
        <v>7</v>
      </c>
      <c r="B63" t="s">
        <v>19</v>
      </c>
      <c r="C63">
        <v>706</v>
      </c>
      <c r="D63">
        <v>4</v>
      </c>
      <c r="E63" t="s">
        <v>34</v>
      </c>
      <c r="F63" t="s">
        <v>37</v>
      </c>
      <c r="G63" t="str">
        <f>"2026-05-24 17:59:02.359"</f>
        <v>2026-05-24 17:59:02.359</v>
      </c>
      <c r="H63" t="s">
        <v>21</v>
      </c>
      <c r="I63">
        <v>0</v>
      </c>
      <c r="J63" t="s">
        <v>36</v>
      </c>
    </row>
    <row r="64" spans="1:10" x14ac:dyDescent="0.25">
      <c r="A64" s="1">
        <v>0</v>
      </c>
      <c r="B64" t="s">
        <v>23</v>
      </c>
      <c r="C64">
        <v>47</v>
      </c>
      <c r="D64">
        <v>2</v>
      </c>
      <c r="E64" t="s">
        <v>24</v>
      </c>
      <c r="F64" t="s">
        <v>25</v>
      </c>
      <c r="G64" t="str">
        <f>"2026-05-24 17:44:55.673"</f>
        <v>2026-05-24 17:44:55.673</v>
      </c>
      <c r="H64" t="s">
        <v>26</v>
      </c>
      <c r="I64">
        <v>0</v>
      </c>
      <c r="J64" t="s">
        <v>27</v>
      </c>
    </row>
    <row r="65" spans="1:10" x14ac:dyDescent="0.25">
      <c r="A65" s="1">
        <v>1</v>
      </c>
      <c r="B65" t="s">
        <v>19</v>
      </c>
      <c r="C65">
        <v>706</v>
      </c>
      <c r="D65">
        <v>2</v>
      </c>
      <c r="E65" t="s">
        <v>34</v>
      </c>
      <c r="F65" t="s">
        <v>35</v>
      </c>
      <c r="G65" t="str">
        <f>"2026-05-24 13:11:31.559"</f>
        <v>2026-05-24 13:11:31.559</v>
      </c>
      <c r="H65" t="s">
        <v>21</v>
      </c>
      <c r="I65">
        <v>0</v>
      </c>
      <c r="J65" t="s">
        <v>36</v>
      </c>
    </row>
    <row r="66" spans="1:10" x14ac:dyDescent="0.25">
      <c r="A66" s="1">
        <v>2</v>
      </c>
      <c r="B66" t="s">
        <v>28</v>
      </c>
      <c r="C66">
        <v>635</v>
      </c>
      <c r="D66">
        <v>1</v>
      </c>
      <c r="E66" t="s">
        <v>29</v>
      </c>
      <c r="F66" t="s">
        <v>30</v>
      </c>
      <c r="G66" t="str">
        <f>"2026-05-23 20:07:33.561"</f>
        <v>2026-05-23 20:07:33.561</v>
      </c>
      <c r="H66" t="s">
        <v>21</v>
      </c>
    </row>
    <row r="67" spans="1:10" x14ac:dyDescent="0.25">
      <c r="A67" s="1">
        <v>3</v>
      </c>
      <c r="B67" t="s">
        <v>31</v>
      </c>
      <c r="C67">
        <v>635</v>
      </c>
      <c r="D67">
        <v>1</v>
      </c>
      <c r="E67" t="s">
        <v>29</v>
      </c>
      <c r="F67" t="s">
        <v>30</v>
      </c>
      <c r="G67" t="str">
        <f>"2026-05-23 20:00:34.661"</f>
        <v>2026-05-23 20:00:34.661</v>
      </c>
      <c r="H67" t="s">
        <v>21</v>
      </c>
      <c r="I67">
        <v>0.01</v>
      </c>
      <c r="J67" t="s">
        <v>27</v>
      </c>
    </row>
    <row r="68" spans="1:10" x14ac:dyDescent="0.25">
      <c r="A68" s="1">
        <v>4</v>
      </c>
      <c r="B68" t="s">
        <v>28</v>
      </c>
      <c r="C68">
        <v>635</v>
      </c>
      <c r="D68">
        <v>1</v>
      </c>
      <c r="E68" t="s">
        <v>29</v>
      </c>
      <c r="F68" t="s">
        <v>30</v>
      </c>
      <c r="G68" t="str">
        <f>"2026-05-23 16:29:59.561"</f>
        <v>2026-05-23 16:29:59.561</v>
      </c>
      <c r="H68" t="s">
        <v>21</v>
      </c>
    </row>
    <row r="69" spans="1:10" x14ac:dyDescent="0.25">
      <c r="A69" s="1">
        <v>5</v>
      </c>
      <c r="B69" t="s">
        <v>31</v>
      </c>
      <c r="C69">
        <v>635</v>
      </c>
      <c r="D69">
        <v>1</v>
      </c>
      <c r="E69" t="s">
        <v>29</v>
      </c>
      <c r="F69" t="s">
        <v>30</v>
      </c>
      <c r="G69" t="str">
        <f>"2026-05-23 16:24:53.161"</f>
        <v>2026-05-23 16:24:53.161</v>
      </c>
      <c r="H69" t="s">
        <v>21</v>
      </c>
      <c r="I69">
        <v>8.65</v>
      </c>
      <c r="J69" t="s">
        <v>32</v>
      </c>
    </row>
    <row r="70" spans="1:10" x14ac:dyDescent="0.25">
      <c r="A70" s="1">
        <v>6</v>
      </c>
      <c r="B70" t="s">
        <v>19</v>
      </c>
      <c r="C70">
        <v>706</v>
      </c>
      <c r="D70">
        <v>2</v>
      </c>
      <c r="E70" t="s">
        <v>34</v>
      </c>
      <c r="F70" t="s">
        <v>35</v>
      </c>
      <c r="G70" t="str">
        <f>"2026-05-23 13:45:33.358"</f>
        <v>2026-05-23 13:45:33.358</v>
      </c>
      <c r="H70" t="s">
        <v>21</v>
      </c>
      <c r="I70">
        <v>0</v>
      </c>
      <c r="J70" t="s">
        <v>36</v>
      </c>
    </row>
    <row r="71" spans="1:10" x14ac:dyDescent="0.25">
      <c r="A71" s="1">
        <v>7</v>
      </c>
      <c r="B71" t="s">
        <v>28</v>
      </c>
      <c r="C71">
        <v>635</v>
      </c>
      <c r="D71">
        <v>1</v>
      </c>
      <c r="E71" t="s">
        <v>29</v>
      </c>
      <c r="F71" t="s">
        <v>30</v>
      </c>
      <c r="G71" t="str">
        <f>"2026-05-23 11:11:49.161"</f>
        <v>2026-05-23 11:11:49.161</v>
      </c>
      <c r="H71" t="s">
        <v>21</v>
      </c>
    </row>
    <row r="72" spans="1:10" x14ac:dyDescent="0.25">
      <c r="A72" s="1">
        <v>8</v>
      </c>
      <c r="B72" t="s">
        <v>31</v>
      </c>
      <c r="C72">
        <v>635</v>
      </c>
      <c r="D72">
        <v>1</v>
      </c>
      <c r="E72" t="s">
        <v>29</v>
      </c>
      <c r="F72" t="s">
        <v>30</v>
      </c>
      <c r="G72" t="str">
        <f>"2026-05-23 11:06:58.661"</f>
        <v>2026-05-23 11:06:58.661</v>
      </c>
      <c r="H72" t="s">
        <v>21</v>
      </c>
      <c r="I72">
        <v>9.31</v>
      </c>
      <c r="J72" t="s">
        <v>38</v>
      </c>
    </row>
    <row r="73" spans="1:10" x14ac:dyDescent="0.25">
      <c r="A73" s="1">
        <v>9</v>
      </c>
      <c r="B73" t="s">
        <v>19</v>
      </c>
      <c r="C73">
        <v>706</v>
      </c>
      <c r="D73">
        <v>4</v>
      </c>
      <c r="E73" t="s">
        <v>34</v>
      </c>
      <c r="F73" t="s">
        <v>37</v>
      </c>
      <c r="G73" t="str">
        <f>"2026-05-22 14:16:55.979"</f>
        <v>2026-05-22 14:16:55.979</v>
      </c>
      <c r="H73" t="s">
        <v>21</v>
      </c>
      <c r="I73">
        <v>0</v>
      </c>
      <c r="J73" t="s">
        <v>36</v>
      </c>
    </row>
    <row r="74" spans="1:10" x14ac:dyDescent="0.25">
      <c r="A74" s="1">
        <v>0</v>
      </c>
      <c r="B74" t="s">
        <v>19</v>
      </c>
      <c r="C74">
        <v>706</v>
      </c>
      <c r="D74">
        <v>2</v>
      </c>
      <c r="E74" t="s">
        <v>34</v>
      </c>
      <c r="F74" t="s">
        <v>35</v>
      </c>
      <c r="G74" t="str">
        <f>"2026-05-21 13:32:20.459"</f>
        <v>2026-05-21 13:32:20.459</v>
      </c>
      <c r="H74" t="s">
        <v>21</v>
      </c>
      <c r="I74">
        <v>0</v>
      </c>
      <c r="J74" t="s">
        <v>36</v>
      </c>
    </row>
    <row r="75" spans="1:10" x14ac:dyDescent="0.25">
      <c r="A75" s="1">
        <v>2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"2026-05-21 13:25:41.659"</f>
        <v>2026-05-21 13:25:41.659</v>
      </c>
      <c r="H75" t="s">
        <v>21</v>
      </c>
    </row>
    <row r="76" spans="1:10" s="3" customFormat="1" x14ac:dyDescent="0.25">
      <c r="A76" s="2">
        <v>4</v>
      </c>
      <c r="B76" s="3" t="s">
        <v>28</v>
      </c>
      <c r="C76" s="3">
        <v>647</v>
      </c>
      <c r="D76" s="3">
        <v>1</v>
      </c>
      <c r="E76" s="3" t="s">
        <v>39</v>
      </c>
      <c r="F76" s="3" t="s">
        <v>40</v>
      </c>
      <c r="G76" s="3" t="str">
        <f>"2026-05-21 10:15:44.854"</f>
        <v>2026-05-21 10:15:44.854</v>
      </c>
      <c r="H76" s="3" t="s">
        <v>21</v>
      </c>
    </row>
    <row r="77" spans="1:10" s="3" customFormat="1" x14ac:dyDescent="0.25">
      <c r="A77" s="2">
        <v>5</v>
      </c>
      <c r="B77" s="3" t="s">
        <v>31</v>
      </c>
      <c r="C77" s="3">
        <v>647</v>
      </c>
      <c r="D77" s="3">
        <v>1</v>
      </c>
      <c r="E77" s="3" t="s">
        <v>39</v>
      </c>
      <c r="F77" s="3" t="s">
        <v>40</v>
      </c>
      <c r="G77" s="3" t="str">
        <f>"2026-05-21 10:15:40.154"</f>
        <v>2026-05-21 10:15:40.154</v>
      </c>
      <c r="H77" s="3" t="s">
        <v>21</v>
      </c>
      <c r="I77" s="3">
        <v>10.77</v>
      </c>
      <c r="J77" s="3" t="s">
        <v>38</v>
      </c>
    </row>
    <row r="78" spans="1:10" x14ac:dyDescent="0.25">
      <c r="A78" s="1">
        <v>6</v>
      </c>
      <c r="B78" t="s">
        <v>28</v>
      </c>
      <c r="C78">
        <v>635</v>
      </c>
      <c r="D78">
        <v>1</v>
      </c>
      <c r="E78" t="s">
        <v>29</v>
      </c>
      <c r="F78" t="s">
        <v>30</v>
      </c>
      <c r="G78" t="str">
        <f>"2026-05-21 10:10:52.454"</f>
        <v>2026-05-21 10:10:52.454</v>
      </c>
      <c r="H78" t="s">
        <v>21</v>
      </c>
    </row>
    <row r="79" spans="1:10" x14ac:dyDescent="0.25">
      <c r="A79" s="1">
        <v>7</v>
      </c>
      <c r="B79" t="s">
        <v>31</v>
      </c>
      <c r="C79">
        <v>635</v>
      </c>
      <c r="D79">
        <v>1</v>
      </c>
      <c r="E79" t="s">
        <v>29</v>
      </c>
      <c r="F79" t="s">
        <v>30</v>
      </c>
      <c r="G79" t="str">
        <f>"2026-05-21 10:06:58.454"</f>
        <v>2026-05-21 10:06:58.454</v>
      </c>
      <c r="H79" t="s">
        <v>21</v>
      </c>
      <c r="I79">
        <v>1.81</v>
      </c>
      <c r="J79" t="s">
        <v>32</v>
      </c>
    </row>
    <row r="80" spans="1:10" x14ac:dyDescent="0.25">
      <c r="A80" s="1">
        <v>8</v>
      </c>
      <c r="B80" t="s">
        <v>28</v>
      </c>
      <c r="C80">
        <v>635</v>
      </c>
      <c r="D80">
        <v>1</v>
      </c>
      <c r="E80" t="s">
        <v>29</v>
      </c>
      <c r="F80" t="s">
        <v>30</v>
      </c>
      <c r="G80" t="str">
        <f>"2026-05-21 09:50:12.454"</f>
        <v>2026-05-21 09:50:12.454</v>
      </c>
      <c r="H80" t="s">
        <v>21</v>
      </c>
    </row>
    <row r="81" spans="1:10" x14ac:dyDescent="0.25">
      <c r="A81" s="1">
        <v>9</v>
      </c>
      <c r="B81" t="s">
        <v>31</v>
      </c>
      <c r="C81">
        <v>635</v>
      </c>
      <c r="D81">
        <v>1</v>
      </c>
      <c r="E81" t="s">
        <v>29</v>
      </c>
      <c r="F81" t="s">
        <v>30</v>
      </c>
      <c r="G81" t="str">
        <f>"2026-05-21 09:44:22.954"</f>
        <v>2026-05-21 09:44:22.954</v>
      </c>
      <c r="H81" t="s">
        <v>21</v>
      </c>
      <c r="I81">
        <v>6.96</v>
      </c>
      <c r="J81" t="s">
        <v>32</v>
      </c>
    </row>
    <row r="82" spans="1:10" x14ac:dyDescent="0.25">
      <c r="A82" s="1">
        <v>0</v>
      </c>
      <c r="B82" t="s">
        <v>28</v>
      </c>
      <c r="C82">
        <v>635</v>
      </c>
      <c r="D82">
        <v>1</v>
      </c>
      <c r="E82" t="s">
        <v>29</v>
      </c>
      <c r="F82" t="s">
        <v>30</v>
      </c>
      <c r="G82" t="str">
        <f>"2026-05-21 05:45:58.554"</f>
        <v>2026-05-21 05:45:58.554</v>
      </c>
      <c r="H82" t="s">
        <v>21</v>
      </c>
    </row>
    <row r="83" spans="1:10" x14ac:dyDescent="0.25">
      <c r="A83" s="1">
        <v>1</v>
      </c>
      <c r="B83" t="s">
        <v>31</v>
      </c>
      <c r="C83">
        <v>635</v>
      </c>
      <c r="D83">
        <v>1</v>
      </c>
      <c r="E83" t="s">
        <v>29</v>
      </c>
      <c r="F83" t="s">
        <v>30</v>
      </c>
      <c r="G83" t="str">
        <f>"2026-05-21 05:37:53.554"</f>
        <v>2026-05-21 05:37:53.554</v>
      </c>
      <c r="H83" t="s">
        <v>21</v>
      </c>
      <c r="I83">
        <v>0</v>
      </c>
      <c r="J83" t="s">
        <v>27</v>
      </c>
    </row>
    <row r="84" spans="1:10" x14ac:dyDescent="0.25">
      <c r="A84" s="1">
        <v>2</v>
      </c>
      <c r="B84" t="s">
        <v>28</v>
      </c>
      <c r="C84">
        <v>635</v>
      </c>
      <c r="D84">
        <v>1</v>
      </c>
      <c r="E84" t="s">
        <v>29</v>
      </c>
      <c r="F84" t="s">
        <v>30</v>
      </c>
      <c r="G84" t="str">
        <f>"2026-05-20 19:27:37.354"</f>
        <v>2026-05-20 19:27:37.354</v>
      </c>
      <c r="H84" t="s">
        <v>21</v>
      </c>
    </row>
    <row r="85" spans="1:10" x14ac:dyDescent="0.25">
      <c r="A85" s="1">
        <v>3</v>
      </c>
      <c r="B85" t="s">
        <v>31</v>
      </c>
      <c r="C85">
        <v>635</v>
      </c>
      <c r="D85">
        <v>1</v>
      </c>
      <c r="E85" t="s">
        <v>29</v>
      </c>
      <c r="F85" t="s">
        <v>30</v>
      </c>
      <c r="G85" t="str">
        <f>"2026-05-20 19:24:53.954"</f>
        <v>2026-05-20 19:24:53.954</v>
      </c>
      <c r="H85" t="s">
        <v>21</v>
      </c>
      <c r="I85">
        <v>7.84</v>
      </c>
      <c r="J85" t="s">
        <v>32</v>
      </c>
    </row>
    <row r="86" spans="1:10" x14ac:dyDescent="0.25">
      <c r="A86" s="1">
        <v>4</v>
      </c>
      <c r="B86" t="s">
        <v>28</v>
      </c>
      <c r="C86">
        <v>635</v>
      </c>
      <c r="D86">
        <v>1</v>
      </c>
      <c r="E86" t="s">
        <v>29</v>
      </c>
      <c r="F86" t="s">
        <v>30</v>
      </c>
      <c r="G86" t="str">
        <f>"2026-05-19 22:27:17.154"</f>
        <v>2026-05-19 22:27:17.154</v>
      </c>
      <c r="H86" t="s">
        <v>21</v>
      </c>
    </row>
    <row r="87" spans="1:10" x14ac:dyDescent="0.25">
      <c r="A87" s="1">
        <v>5</v>
      </c>
      <c r="B87" t="s">
        <v>31</v>
      </c>
      <c r="C87">
        <v>635</v>
      </c>
      <c r="D87">
        <v>1</v>
      </c>
      <c r="E87" t="s">
        <v>29</v>
      </c>
      <c r="F87" t="s">
        <v>30</v>
      </c>
      <c r="G87" t="str">
        <f>"2026-05-19 22:22:03.754"</f>
        <v>2026-05-19 22:22:03.754</v>
      </c>
      <c r="H87" t="s">
        <v>21</v>
      </c>
      <c r="I87">
        <v>7.07</v>
      </c>
      <c r="J87" t="s">
        <v>32</v>
      </c>
    </row>
    <row r="88" spans="1:10" x14ac:dyDescent="0.25">
      <c r="A88" s="1">
        <v>6</v>
      </c>
      <c r="B88" t="s">
        <v>28</v>
      </c>
      <c r="C88">
        <v>635</v>
      </c>
      <c r="D88">
        <v>1</v>
      </c>
      <c r="E88" t="s">
        <v>29</v>
      </c>
      <c r="F88" t="s">
        <v>30</v>
      </c>
      <c r="G88" t="str">
        <f>"2026-05-18 09:15:33.054"</f>
        <v>2026-05-18 09:15:33.054</v>
      </c>
      <c r="H88" t="s">
        <v>21</v>
      </c>
    </row>
    <row r="89" spans="1:10" x14ac:dyDescent="0.25">
      <c r="A89" s="1">
        <v>7</v>
      </c>
      <c r="B89" t="s">
        <v>31</v>
      </c>
      <c r="C89">
        <v>635</v>
      </c>
      <c r="D89">
        <v>1</v>
      </c>
      <c r="E89" t="s">
        <v>29</v>
      </c>
      <c r="F89" t="s">
        <v>30</v>
      </c>
      <c r="G89" t="str">
        <f>"2026-05-18 09:13:29.554"</f>
        <v>2026-05-18 09:13:29.554</v>
      </c>
      <c r="H89" t="s">
        <v>21</v>
      </c>
      <c r="I89">
        <v>2.38</v>
      </c>
      <c r="J89" t="s">
        <v>32</v>
      </c>
    </row>
    <row r="90" spans="1:10" x14ac:dyDescent="0.25">
      <c r="A90" s="1">
        <v>8</v>
      </c>
      <c r="B90" t="s">
        <v>28</v>
      </c>
      <c r="C90">
        <v>635</v>
      </c>
      <c r="D90">
        <v>1</v>
      </c>
      <c r="E90" t="s">
        <v>29</v>
      </c>
      <c r="F90" t="s">
        <v>30</v>
      </c>
      <c r="G90" t="str">
        <f>"2026-05-18 00:50:22.554"</f>
        <v>2026-05-18 00:50:22.554</v>
      </c>
      <c r="H90" t="s">
        <v>21</v>
      </c>
    </row>
    <row r="91" spans="1:10" x14ac:dyDescent="0.25">
      <c r="A91" s="1">
        <v>9</v>
      </c>
      <c r="B91" t="s">
        <v>31</v>
      </c>
      <c r="C91">
        <v>635</v>
      </c>
      <c r="D91">
        <v>1</v>
      </c>
      <c r="E91" t="s">
        <v>29</v>
      </c>
      <c r="F91" t="s">
        <v>30</v>
      </c>
      <c r="G91" t="str">
        <f>"2026-05-18 00:43:48.654"</f>
        <v>2026-05-18 00:43:48.654</v>
      </c>
      <c r="H91" t="s">
        <v>21</v>
      </c>
      <c r="I91">
        <v>0.61</v>
      </c>
      <c r="J91" t="s">
        <v>27</v>
      </c>
    </row>
    <row r="92" spans="1:10" x14ac:dyDescent="0.25">
      <c r="A92" s="1">
        <v>0</v>
      </c>
      <c r="B92" t="s">
        <v>28</v>
      </c>
      <c r="C92">
        <v>635</v>
      </c>
      <c r="D92">
        <v>1</v>
      </c>
      <c r="E92" t="s">
        <v>29</v>
      </c>
      <c r="F92" t="s">
        <v>30</v>
      </c>
      <c r="G92" t="str">
        <f>"2026-05-17 20:50:15.054"</f>
        <v>2026-05-17 20:50:15.054</v>
      </c>
      <c r="H92" t="s">
        <v>21</v>
      </c>
    </row>
    <row r="93" spans="1:10" x14ac:dyDescent="0.25">
      <c r="A93" s="1">
        <v>1</v>
      </c>
      <c r="B93" t="s">
        <v>31</v>
      </c>
      <c r="C93">
        <v>635</v>
      </c>
      <c r="D93">
        <v>1</v>
      </c>
      <c r="E93" t="s">
        <v>29</v>
      </c>
      <c r="F93" t="s">
        <v>30</v>
      </c>
      <c r="G93" t="str">
        <f>"2026-05-17 20:42:13.154"</f>
        <v>2026-05-17 20:42:13.154</v>
      </c>
      <c r="H93" t="s">
        <v>21</v>
      </c>
      <c r="I93">
        <v>8.1999999999999993</v>
      </c>
      <c r="J93" t="s">
        <v>32</v>
      </c>
    </row>
    <row r="94" spans="1:10" x14ac:dyDescent="0.25">
      <c r="A94" s="1">
        <v>3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"2026-05-16 13:52:06.657"</f>
        <v>2026-05-16 13:52:06.657</v>
      </c>
      <c r="H94" t="s">
        <v>21</v>
      </c>
      <c r="I94">
        <v>0</v>
      </c>
      <c r="J94" t="s">
        <v>22</v>
      </c>
    </row>
    <row r="95" spans="1:10" x14ac:dyDescent="0.25">
      <c r="A95" s="1">
        <v>5</v>
      </c>
      <c r="B95" t="s">
        <v>23</v>
      </c>
      <c r="C95">
        <v>47</v>
      </c>
      <c r="D95">
        <v>2</v>
      </c>
      <c r="E95" t="s">
        <v>24</v>
      </c>
      <c r="F95" t="s">
        <v>25</v>
      </c>
      <c r="G95" t="str">
        <f>"2026-05-16 12:47:49.256"</f>
        <v>2026-05-16 12:47:49.256</v>
      </c>
      <c r="H95" t="s">
        <v>26</v>
      </c>
      <c r="I95">
        <v>0</v>
      </c>
      <c r="J95" t="s">
        <v>27</v>
      </c>
    </row>
    <row r="96" spans="1:10" x14ac:dyDescent="0.25">
      <c r="A96" s="1">
        <v>6</v>
      </c>
      <c r="B96" t="s">
        <v>28</v>
      </c>
      <c r="C96">
        <v>635</v>
      </c>
      <c r="D96">
        <v>1</v>
      </c>
      <c r="E96" t="s">
        <v>29</v>
      </c>
      <c r="F96" t="s">
        <v>30</v>
      </c>
      <c r="G96" t="str">
        <f>"2026-05-16 10:50:29.244"</f>
        <v>2026-05-16 10:50:29.244</v>
      </c>
      <c r="H96" t="s">
        <v>21</v>
      </c>
    </row>
    <row r="97" spans="1:10" x14ac:dyDescent="0.25">
      <c r="A97" s="1">
        <v>7</v>
      </c>
      <c r="B97" t="s">
        <v>31</v>
      </c>
      <c r="C97">
        <v>635</v>
      </c>
      <c r="D97">
        <v>1</v>
      </c>
      <c r="E97" t="s">
        <v>29</v>
      </c>
      <c r="F97" t="s">
        <v>30</v>
      </c>
      <c r="G97" t="str">
        <f>"2026-05-16 10:47:35.244"</f>
        <v>2026-05-16 10:47:35.244</v>
      </c>
      <c r="H97" t="s">
        <v>21</v>
      </c>
      <c r="I97">
        <v>3.72</v>
      </c>
      <c r="J97" t="s">
        <v>32</v>
      </c>
    </row>
    <row r="98" spans="1:10" x14ac:dyDescent="0.25">
      <c r="A98" s="1">
        <v>8</v>
      </c>
      <c r="B98" t="s">
        <v>28</v>
      </c>
      <c r="C98">
        <v>49</v>
      </c>
      <c r="D98">
        <v>1</v>
      </c>
      <c r="E98" t="s">
        <v>41</v>
      </c>
      <c r="F98" t="s">
        <v>42</v>
      </c>
      <c r="G98" t="str">
        <f>"2026-05-14 21:31:15.457"</f>
        <v>2026-05-14 21:31:15.457</v>
      </c>
      <c r="H98" t="s">
        <v>43</v>
      </c>
    </row>
    <row r="99" spans="1:10" x14ac:dyDescent="0.25">
      <c r="A99" s="1">
        <v>10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"2026-05-14 21:30:45.633"</f>
        <v>2026-05-14 21:30:45.633</v>
      </c>
      <c r="H99" t="s">
        <v>21</v>
      </c>
      <c r="I99">
        <v>0</v>
      </c>
      <c r="J99" t="s">
        <v>22</v>
      </c>
    </row>
    <row r="100" spans="1:10" x14ac:dyDescent="0.25">
      <c r="A100" s="1">
        <v>11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"2026-05-14 21:20:20.631"</f>
        <v>2026-05-14 21:20:20.631</v>
      </c>
      <c r="H100" t="s">
        <v>21</v>
      </c>
      <c r="I100">
        <v>0</v>
      </c>
      <c r="J100" t="s">
        <v>22</v>
      </c>
    </row>
    <row r="101" spans="1:10" x14ac:dyDescent="0.25">
      <c r="A101" s="1">
        <v>12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"2026-05-14 21:18:47.628"</f>
        <v>2026-05-14 21:18:47.628</v>
      </c>
      <c r="H101" t="s">
        <v>21</v>
      </c>
      <c r="I101">
        <v>0</v>
      </c>
      <c r="J101" t="s">
        <v>22</v>
      </c>
    </row>
    <row r="102" spans="1:10" x14ac:dyDescent="0.25">
      <c r="A102" s="1">
        <v>13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"2026-05-14 21:15:32.641"</f>
        <v>2026-05-14 21:15:32.641</v>
      </c>
      <c r="H102" t="s">
        <v>21</v>
      </c>
      <c r="I102">
        <v>0</v>
      </c>
      <c r="J102" t="s">
        <v>22</v>
      </c>
    </row>
    <row r="103" spans="1:10" x14ac:dyDescent="0.25">
      <c r="A103" s="1">
        <v>14</v>
      </c>
      <c r="B103" t="s">
        <v>31</v>
      </c>
      <c r="C103">
        <v>49</v>
      </c>
      <c r="D103">
        <v>1</v>
      </c>
      <c r="E103" t="s">
        <v>41</v>
      </c>
      <c r="F103" t="s">
        <v>42</v>
      </c>
      <c r="G103" t="str">
        <f>"2026-05-14 21:14:54.502"</f>
        <v>2026-05-14 21:14:54.502</v>
      </c>
      <c r="H103" t="s">
        <v>43</v>
      </c>
      <c r="I103">
        <v>0</v>
      </c>
      <c r="J103" t="s">
        <v>44</v>
      </c>
    </row>
    <row r="104" spans="1:10" x14ac:dyDescent="0.25">
      <c r="A104" s="1">
        <v>15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"2026-05-14 21:13:34.641"</f>
        <v>2026-05-14 21:13:34.641</v>
      </c>
      <c r="H104" t="s">
        <v>21</v>
      </c>
      <c r="I104">
        <v>0</v>
      </c>
      <c r="J104" t="s">
        <v>22</v>
      </c>
    </row>
    <row r="105" spans="1:10" x14ac:dyDescent="0.25">
      <c r="A105" s="1">
        <v>16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"2026-05-14 21:10:59.685"</f>
        <v>2026-05-14 21:10:59.685</v>
      </c>
      <c r="H105" t="s">
        <v>21</v>
      </c>
      <c r="I105">
        <v>0</v>
      </c>
      <c r="J105" t="s">
        <v>22</v>
      </c>
    </row>
    <row r="106" spans="1:10" x14ac:dyDescent="0.25">
      <c r="A106" s="1">
        <v>18</v>
      </c>
      <c r="B106" t="s">
        <v>23</v>
      </c>
      <c r="C106">
        <v>47</v>
      </c>
      <c r="D106">
        <v>2</v>
      </c>
      <c r="E106" t="s">
        <v>24</v>
      </c>
      <c r="F106" t="s">
        <v>25</v>
      </c>
      <c r="G106" t="str">
        <f>"2026-05-14 20:16:07.645"</f>
        <v>2026-05-14 20:16:07.645</v>
      </c>
      <c r="H106" t="s">
        <v>26</v>
      </c>
      <c r="I106">
        <v>0</v>
      </c>
      <c r="J106" t="s">
        <v>27</v>
      </c>
    </row>
    <row r="107" spans="1:10" x14ac:dyDescent="0.25">
      <c r="A107" s="1">
        <v>19</v>
      </c>
      <c r="B107" t="s">
        <v>19</v>
      </c>
      <c r="C107">
        <v>706</v>
      </c>
      <c r="D107">
        <v>2</v>
      </c>
      <c r="E107" t="s">
        <v>34</v>
      </c>
      <c r="F107" t="s">
        <v>35</v>
      </c>
      <c r="G107" t="str">
        <f>"2026-05-14 20:04:16.312"</f>
        <v>2026-05-14 20:04:16.312</v>
      </c>
      <c r="H107" t="s">
        <v>21</v>
      </c>
      <c r="I107">
        <v>0</v>
      </c>
      <c r="J107" t="s">
        <v>36</v>
      </c>
    </row>
    <row r="108" spans="1:10" x14ac:dyDescent="0.25">
      <c r="A108" s="1">
        <v>20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"2026-05-14 20:03:36.632"</f>
        <v>2026-05-14 20:03:36.632</v>
      </c>
      <c r="H108" t="s">
        <v>21</v>
      </c>
      <c r="I108">
        <v>0</v>
      </c>
      <c r="J108" t="s">
        <v>22</v>
      </c>
    </row>
    <row r="109" spans="1:10" x14ac:dyDescent="0.25">
      <c r="A109" s="1">
        <v>21</v>
      </c>
      <c r="B109" t="s">
        <v>19</v>
      </c>
      <c r="C109">
        <v>706</v>
      </c>
      <c r="D109">
        <v>4</v>
      </c>
      <c r="E109" t="s">
        <v>34</v>
      </c>
      <c r="F109" t="s">
        <v>37</v>
      </c>
      <c r="G109" t="str">
        <f>"2026-05-14 19:15:36.322"</f>
        <v>2026-05-14 19:15:36.322</v>
      </c>
      <c r="H109" t="s">
        <v>21</v>
      </c>
      <c r="I109">
        <v>0</v>
      </c>
      <c r="J109" t="s">
        <v>36</v>
      </c>
    </row>
    <row r="110" spans="1:10" x14ac:dyDescent="0.25">
      <c r="A110" s="1">
        <v>24</v>
      </c>
      <c r="B110" t="s">
        <v>28</v>
      </c>
      <c r="C110">
        <v>49</v>
      </c>
      <c r="D110">
        <v>1</v>
      </c>
      <c r="E110" t="s">
        <v>41</v>
      </c>
      <c r="F110" t="s">
        <v>42</v>
      </c>
      <c r="G110" t="str">
        <f>"2026-05-14 19:11:44.997"</f>
        <v>2026-05-14 19:11:44.997</v>
      </c>
      <c r="H110" t="s">
        <v>43</v>
      </c>
    </row>
    <row r="111" spans="1:10" x14ac:dyDescent="0.25">
      <c r="A111" s="1">
        <v>26</v>
      </c>
      <c r="B111" t="s">
        <v>31</v>
      </c>
      <c r="C111">
        <v>49</v>
      </c>
      <c r="D111">
        <v>1</v>
      </c>
      <c r="E111" t="s">
        <v>41</v>
      </c>
      <c r="F111" t="s">
        <v>42</v>
      </c>
      <c r="G111" t="str">
        <f>"2026-05-14 19:10:01.697"</f>
        <v>2026-05-14 19:10:01.697</v>
      </c>
      <c r="H111" t="s">
        <v>43</v>
      </c>
      <c r="I111">
        <v>0</v>
      </c>
      <c r="J111" t="s">
        <v>36</v>
      </c>
    </row>
    <row r="112" spans="1:10" x14ac:dyDescent="0.25">
      <c r="A112" s="1">
        <v>28</v>
      </c>
      <c r="B112" t="s">
        <v>19</v>
      </c>
      <c r="C112">
        <v>706</v>
      </c>
      <c r="D112">
        <v>4</v>
      </c>
      <c r="E112" t="s">
        <v>34</v>
      </c>
      <c r="F112" t="s">
        <v>37</v>
      </c>
      <c r="G112" t="str">
        <f>"2026-05-14 19:08:20.052"</f>
        <v>2026-05-14 19:08:20.052</v>
      </c>
      <c r="H112" t="s">
        <v>21</v>
      </c>
      <c r="I112">
        <v>0</v>
      </c>
      <c r="J112" t="s">
        <v>36</v>
      </c>
    </row>
    <row r="113" spans="1:10" x14ac:dyDescent="0.25">
      <c r="A113" s="1">
        <v>29</v>
      </c>
      <c r="B113" t="s">
        <v>19</v>
      </c>
      <c r="C113">
        <v>706</v>
      </c>
      <c r="D113">
        <v>4</v>
      </c>
      <c r="E113" t="s">
        <v>34</v>
      </c>
      <c r="F113" t="s">
        <v>37</v>
      </c>
      <c r="G113" t="str">
        <f>"2026-05-14 19:08:04.152"</f>
        <v>2026-05-14 19:08:04.152</v>
      </c>
      <c r="H113" t="s">
        <v>21</v>
      </c>
      <c r="I113">
        <v>0</v>
      </c>
      <c r="J113" t="s">
        <v>36</v>
      </c>
    </row>
    <row r="114" spans="1:10" x14ac:dyDescent="0.25">
      <c r="A114" s="1">
        <v>30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"2026-05-14 18:54:00.832"</f>
        <v>2026-05-14 18:54:00.832</v>
      </c>
      <c r="H114" t="s">
        <v>21</v>
      </c>
    </row>
    <row r="115" spans="1:10" s="3" customFormat="1" x14ac:dyDescent="0.25">
      <c r="A115" s="2">
        <v>31</v>
      </c>
      <c r="B115" s="3" t="s">
        <v>28</v>
      </c>
      <c r="C115" s="3">
        <v>647</v>
      </c>
      <c r="D115" s="3">
        <v>1</v>
      </c>
      <c r="E115" s="3" t="s">
        <v>39</v>
      </c>
      <c r="F115" s="3" t="s">
        <v>40</v>
      </c>
      <c r="G115" s="3" t="str">
        <f>"2026-05-14 03:16:09.446"</f>
        <v>2026-05-14 03:16:09.446</v>
      </c>
      <c r="H115" s="3" t="s">
        <v>21</v>
      </c>
    </row>
    <row r="116" spans="1:10" s="3" customFormat="1" x14ac:dyDescent="0.25">
      <c r="A116" s="2">
        <v>32</v>
      </c>
      <c r="B116" s="3" t="s">
        <v>31</v>
      </c>
      <c r="C116" s="3">
        <v>647</v>
      </c>
      <c r="D116" s="3">
        <v>1</v>
      </c>
      <c r="E116" s="3" t="s">
        <v>39</v>
      </c>
      <c r="F116" s="3" t="s">
        <v>40</v>
      </c>
      <c r="G116" s="3" t="str">
        <f>"2026-05-14 03:16:07.545"</f>
        <v>2026-05-14 03:16:07.545</v>
      </c>
      <c r="H116" s="3" t="s">
        <v>21</v>
      </c>
      <c r="I116" s="3">
        <v>15.49</v>
      </c>
      <c r="J116" s="3" t="s">
        <v>38</v>
      </c>
    </row>
    <row r="117" spans="1:10" x14ac:dyDescent="0.25">
      <c r="A117" s="1">
        <v>34</v>
      </c>
      <c r="B117" t="s">
        <v>28</v>
      </c>
      <c r="C117">
        <v>635</v>
      </c>
      <c r="D117">
        <v>1</v>
      </c>
      <c r="E117" t="s">
        <v>29</v>
      </c>
      <c r="F117" t="s">
        <v>30</v>
      </c>
      <c r="G117" t="str">
        <f>"2026-05-13 16:05:50.197"</f>
        <v>2026-05-13 16:05:50.197</v>
      </c>
      <c r="H117" t="s">
        <v>21</v>
      </c>
    </row>
    <row r="118" spans="1:10" x14ac:dyDescent="0.25">
      <c r="A118" s="1">
        <v>35</v>
      </c>
      <c r="B118" t="s">
        <v>31</v>
      </c>
      <c r="C118">
        <v>635</v>
      </c>
      <c r="D118">
        <v>1</v>
      </c>
      <c r="E118" t="s">
        <v>29</v>
      </c>
      <c r="F118" t="s">
        <v>30</v>
      </c>
      <c r="G118" t="str">
        <f>"2026-05-13 16:00:15.197"</f>
        <v>2026-05-13 16:00:15.197</v>
      </c>
      <c r="H118" t="s">
        <v>21</v>
      </c>
      <c r="I118">
        <v>8.58</v>
      </c>
      <c r="J118" t="s">
        <v>38</v>
      </c>
    </row>
    <row r="119" spans="1:10" x14ac:dyDescent="0.25">
      <c r="A119" s="1">
        <v>36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"2026-05-13 13:50:32.630"</f>
        <v>2026-05-13 13:50:32.630</v>
      </c>
      <c r="H119" t="s">
        <v>21</v>
      </c>
      <c r="I119">
        <v>0</v>
      </c>
      <c r="J119" t="s">
        <v>22</v>
      </c>
    </row>
    <row r="120" spans="1:10" x14ac:dyDescent="0.25">
      <c r="A120" s="1">
        <v>37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"2026-05-12 12:34:08.625"</f>
        <v>2026-05-12 12:34:08.625</v>
      </c>
      <c r="H120" t="s">
        <v>21</v>
      </c>
      <c r="I120">
        <v>0</v>
      </c>
      <c r="J120" t="s">
        <v>22</v>
      </c>
    </row>
    <row r="121" spans="1:10" x14ac:dyDescent="0.25">
      <c r="A121" s="1">
        <v>38</v>
      </c>
      <c r="B121" t="s">
        <v>28</v>
      </c>
      <c r="C121">
        <v>635</v>
      </c>
      <c r="D121">
        <v>1</v>
      </c>
      <c r="E121" t="s">
        <v>29</v>
      </c>
      <c r="F121" t="s">
        <v>30</v>
      </c>
      <c r="G121" t="str">
        <f>"2026-05-12 10:55:22.148"</f>
        <v>2026-05-12 10:55:22.148</v>
      </c>
      <c r="H121" t="s">
        <v>21</v>
      </c>
    </row>
    <row r="122" spans="1:10" x14ac:dyDescent="0.25">
      <c r="A122" s="1">
        <v>39</v>
      </c>
      <c r="B122" t="s">
        <v>31</v>
      </c>
      <c r="C122">
        <v>635</v>
      </c>
      <c r="D122">
        <v>1</v>
      </c>
      <c r="E122" t="s">
        <v>29</v>
      </c>
      <c r="F122" t="s">
        <v>30</v>
      </c>
      <c r="G122" t="str">
        <f>"2026-05-12 10:49:08.148"</f>
        <v>2026-05-12 10:49:08.148</v>
      </c>
      <c r="H122" t="s">
        <v>21</v>
      </c>
      <c r="I122">
        <v>4.84</v>
      </c>
      <c r="J122" t="s">
        <v>38</v>
      </c>
    </row>
    <row r="123" spans="1:10" x14ac:dyDescent="0.25">
      <c r="A123" s="1">
        <v>40</v>
      </c>
      <c r="B123" t="s">
        <v>19</v>
      </c>
      <c r="C123">
        <v>706</v>
      </c>
      <c r="D123">
        <v>4</v>
      </c>
      <c r="E123" t="s">
        <v>34</v>
      </c>
      <c r="F123" t="s">
        <v>37</v>
      </c>
      <c r="G123" t="str">
        <f>"2026-05-11 20:56:02.996"</f>
        <v>2026-05-11 20:56:02.996</v>
      </c>
      <c r="H123" t="s">
        <v>21</v>
      </c>
      <c r="I123">
        <v>0</v>
      </c>
      <c r="J123" t="s">
        <v>36</v>
      </c>
    </row>
    <row r="124" spans="1:10" x14ac:dyDescent="0.25">
      <c r="A124" s="1">
        <v>41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"2026-05-09 14:04:54.626"</f>
        <v>2026-05-09 14:04:54.626</v>
      </c>
      <c r="H124" t="s">
        <v>21</v>
      </c>
      <c r="I124">
        <v>0</v>
      </c>
      <c r="J124" t="s">
        <v>22</v>
      </c>
    </row>
    <row r="125" spans="1:10" x14ac:dyDescent="0.25">
      <c r="A125" s="1">
        <v>42</v>
      </c>
      <c r="B125" t="s">
        <v>19</v>
      </c>
      <c r="C125">
        <v>706</v>
      </c>
      <c r="D125">
        <v>4</v>
      </c>
      <c r="E125" t="s">
        <v>34</v>
      </c>
      <c r="F125" t="s">
        <v>37</v>
      </c>
      <c r="G125" t="str">
        <f>"2026-05-09 01:41:22.618"</f>
        <v>2026-05-09 01:41:22.618</v>
      </c>
      <c r="H125" t="s">
        <v>21</v>
      </c>
      <c r="I125">
        <v>0</v>
      </c>
      <c r="J125" t="s">
        <v>36</v>
      </c>
    </row>
    <row r="126" spans="1:10" x14ac:dyDescent="0.25">
      <c r="A126" s="1">
        <v>44</v>
      </c>
      <c r="B126" t="s">
        <v>28</v>
      </c>
      <c r="C126">
        <v>635</v>
      </c>
      <c r="D126">
        <v>1</v>
      </c>
      <c r="E126" t="s">
        <v>29</v>
      </c>
      <c r="F126" t="s">
        <v>30</v>
      </c>
      <c r="G126" t="str">
        <f>"2026-05-08 20:37:28.757"</f>
        <v>2026-05-08 20:37:28.757</v>
      </c>
      <c r="H126" t="s">
        <v>21</v>
      </c>
    </row>
    <row r="127" spans="1:10" x14ac:dyDescent="0.25">
      <c r="A127" s="1">
        <v>45</v>
      </c>
      <c r="B127" t="s">
        <v>31</v>
      </c>
      <c r="C127">
        <v>635</v>
      </c>
      <c r="D127">
        <v>1</v>
      </c>
      <c r="E127" t="s">
        <v>29</v>
      </c>
      <c r="F127" t="s">
        <v>30</v>
      </c>
      <c r="G127" t="str">
        <f>"2026-05-08 20:34:55.257"</f>
        <v>2026-05-08 20:34:55.257</v>
      </c>
      <c r="H127" t="s">
        <v>21</v>
      </c>
      <c r="I127">
        <v>7.41</v>
      </c>
      <c r="J127" t="s">
        <v>32</v>
      </c>
    </row>
    <row r="128" spans="1:10" x14ac:dyDescent="0.25">
      <c r="A128" s="1">
        <v>46</v>
      </c>
      <c r="B128" t="s">
        <v>28</v>
      </c>
      <c r="C128">
        <v>635</v>
      </c>
      <c r="D128">
        <v>1</v>
      </c>
      <c r="E128" t="s">
        <v>29</v>
      </c>
      <c r="F128" t="s">
        <v>30</v>
      </c>
      <c r="G128" t="str">
        <f>"2026-05-08 08:32:37.357"</f>
        <v>2026-05-08 08:32:37.357</v>
      </c>
      <c r="H128" t="s">
        <v>21</v>
      </c>
    </row>
    <row r="129" spans="1:10" x14ac:dyDescent="0.25">
      <c r="A129" s="1">
        <v>47</v>
      </c>
      <c r="B129" t="s">
        <v>31</v>
      </c>
      <c r="C129">
        <v>635</v>
      </c>
      <c r="D129">
        <v>1</v>
      </c>
      <c r="E129" t="s">
        <v>29</v>
      </c>
      <c r="F129" t="s">
        <v>30</v>
      </c>
      <c r="G129" t="str">
        <f>"2026-05-08 08:26:41.357"</f>
        <v>2026-05-08 08:26:41.357</v>
      </c>
      <c r="H129" t="s">
        <v>21</v>
      </c>
      <c r="I129">
        <v>4.2699999999999996</v>
      </c>
      <c r="J129" t="s">
        <v>38</v>
      </c>
    </row>
    <row r="130" spans="1:10" x14ac:dyDescent="0.25">
      <c r="A130" s="1">
        <v>48</v>
      </c>
      <c r="B130" t="s">
        <v>28</v>
      </c>
      <c r="C130">
        <v>635</v>
      </c>
      <c r="D130">
        <v>1</v>
      </c>
      <c r="E130" t="s">
        <v>29</v>
      </c>
      <c r="F130" t="s">
        <v>30</v>
      </c>
      <c r="G130" t="str">
        <f>"2026-05-08 06:57:35.057"</f>
        <v>2026-05-08 06:57:35.057</v>
      </c>
      <c r="H130" t="s">
        <v>21</v>
      </c>
    </row>
    <row r="131" spans="1:10" x14ac:dyDescent="0.25">
      <c r="A131" s="1">
        <v>49</v>
      </c>
      <c r="B131" t="s">
        <v>31</v>
      </c>
      <c r="C131">
        <v>635</v>
      </c>
      <c r="D131">
        <v>1</v>
      </c>
      <c r="E131" t="s">
        <v>29</v>
      </c>
      <c r="F131" t="s">
        <v>30</v>
      </c>
      <c r="G131" t="str">
        <f>"2026-05-08 06:29:56.557"</f>
        <v>2026-05-08 06:29:56.557</v>
      </c>
      <c r="H131" t="s">
        <v>21</v>
      </c>
      <c r="I131">
        <v>4.03</v>
      </c>
      <c r="J131" t="s">
        <v>32</v>
      </c>
    </row>
    <row r="132" spans="1:10" x14ac:dyDescent="0.25">
      <c r="A132" s="1">
        <v>50</v>
      </c>
      <c r="B132" t="s">
        <v>28</v>
      </c>
      <c r="C132">
        <v>635</v>
      </c>
      <c r="D132">
        <v>1</v>
      </c>
      <c r="E132" t="s">
        <v>29</v>
      </c>
      <c r="F132" t="s">
        <v>30</v>
      </c>
      <c r="G132" t="str">
        <f>"2026-05-07 14:19:04.657"</f>
        <v>2026-05-07 14:19:04.657</v>
      </c>
      <c r="H132" t="s">
        <v>21</v>
      </c>
    </row>
    <row r="133" spans="1:10" x14ac:dyDescent="0.25">
      <c r="A133" s="1">
        <v>51</v>
      </c>
      <c r="B133" t="s">
        <v>31</v>
      </c>
      <c r="C133">
        <v>635</v>
      </c>
      <c r="D133">
        <v>1</v>
      </c>
      <c r="E133" t="s">
        <v>29</v>
      </c>
      <c r="F133" t="s">
        <v>30</v>
      </c>
      <c r="G133" t="str">
        <f>"2026-05-07 14:15:47.657"</f>
        <v>2026-05-07 14:15:47.657</v>
      </c>
      <c r="H133" t="s">
        <v>21</v>
      </c>
      <c r="I133">
        <v>1.81</v>
      </c>
      <c r="J133" t="s">
        <v>32</v>
      </c>
    </row>
    <row r="134" spans="1:10" s="3" customFormat="1" x14ac:dyDescent="0.25">
      <c r="A134" s="2">
        <v>52</v>
      </c>
      <c r="B134" s="3" t="s">
        <v>28</v>
      </c>
      <c r="C134" s="3">
        <v>647</v>
      </c>
      <c r="D134" s="3">
        <v>1</v>
      </c>
      <c r="E134" s="3" t="s">
        <v>39</v>
      </c>
      <c r="F134" s="3" t="s">
        <v>40</v>
      </c>
      <c r="G134" s="3" t="str">
        <f>"2026-05-06 22:45:23.011"</f>
        <v>2026-05-06 22:45:23.011</v>
      </c>
      <c r="H134" s="3" t="s">
        <v>21</v>
      </c>
    </row>
    <row r="135" spans="1:10" s="3" customFormat="1" x14ac:dyDescent="0.25">
      <c r="A135" s="2">
        <v>53</v>
      </c>
      <c r="B135" s="3" t="s">
        <v>31</v>
      </c>
      <c r="C135" s="3">
        <v>647</v>
      </c>
      <c r="D135" s="3">
        <v>1</v>
      </c>
      <c r="E135" s="3" t="s">
        <v>39</v>
      </c>
      <c r="F135" s="3" t="s">
        <v>40</v>
      </c>
      <c r="G135" s="3" t="str">
        <f>"2026-05-06 22:45:21.111"</f>
        <v>2026-05-06 22:45:21.111</v>
      </c>
      <c r="H135" s="3" t="s">
        <v>21</v>
      </c>
      <c r="I135" s="3">
        <v>9.23</v>
      </c>
      <c r="J135" s="3" t="s">
        <v>38</v>
      </c>
    </row>
    <row r="136" spans="1:10" x14ac:dyDescent="0.25">
      <c r="A136" s="1">
        <v>55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"2026-05-06 12:33:56.628"</f>
        <v>2026-05-06 12:33:56.628</v>
      </c>
      <c r="H136" t="s">
        <v>21</v>
      </c>
    </row>
    <row r="137" spans="1:10" x14ac:dyDescent="0.25">
      <c r="A137" s="1">
        <v>56</v>
      </c>
      <c r="B137" t="s">
        <v>28</v>
      </c>
      <c r="C137">
        <v>635</v>
      </c>
      <c r="D137">
        <v>1</v>
      </c>
      <c r="E137" t="s">
        <v>29</v>
      </c>
      <c r="F137" t="s">
        <v>30</v>
      </c>
      <c r="G137" t="str">
        <f>"2026-05-05 23:01:44.971"</f>
        <v>2026-05-05 23:01:44.971</v>
      </c>
      <c r="H137" t="s">
        <v>21</v>
      </c>
    </row>
    <row r="138" spans="1:10" x14ac:dyDescent="0.25">
      <c r="A138" s="1">
        <v>57</v>
      </c>
      <c r="B138" t="s">
        <v>31</v>
      </c>
      <c r="C138">
        <v>635</v>
      </c>
      <c r="D138">
        <v>1</v>
      </c>
      <c r="E138" t="s">
        <v>29</v>
      </c>
      <c r="F138" t="s">
        <v>30</v>
      </c>
      <c r="G138" t="str">
        <f>"2026-05-05 22:47:17.471"</f>
        <v>2026-05-05 22:47:17.471</v>
      </c>
      <c r="H138" t="s">
        <v>21</v>
      </c>
      <c r="I138">
        <v>4.71</v>
      </c>
      <c r="J138" t="s">
        <v>38</v>
      </c>
    </row>
    <row r="139" spans="1:10" x14ac:dyDescent="0.25">
      <c r="A139" s="1">
        <v>58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"2026-05-04 04:57:42.604"</f>
        <v>2026-05-04 04:57:42.604</v>
      </c>
      <c r="H139" t="s">
        <v>21</v>
      </c>
    </row>
    <row r="140" spans="1:10" x14ac:dyDescent="0.25">
      <c r="A140" s="1">
        <v>59</v>
      </c>
      <c r="B140" t="s">
        <v>19</v>
      </c>
      <c r="C140">
        <v>706</v>
      </c>
      <c r="D140">
        <v>4</v>
      </c>
      <c r="E140" t="s">
        <v>34</v>
      </c>
      <c r="F140" t="s">
        <v>37</v>
      </c>
      <c r="G140" t="str">
        <f>"2026-05-04 04:47:39.567"</f>
        <v>2026-05-04 04:47:39.567</v>
      </c>
      <c r="H140" t="s">
        <v>21</v>
      </c>
      <c r="I140">
        <v>0</v>
      </c>
      <c r="J140" t="s">
        <v>36</v>
      </c>
    </row>
    <row r="141" spans="1:10" x14ac:dyDescent="0.25">
      <c r="A141" s="1">
        <v>60</v>
      </c>
      <c r="B141" t="s">
        <v>19</v>
      </c>
      <c r="C141">
        <v>706</v>
      </c>
      <c r="D141">
        <v>4</v>
      </c>
      <c r="E141" t="s">
        <v>34</v>
      </c>
      <c r="F141" t="s">
        <v>37</v>
      </c>
      <c r="G141" t="str">
        <f>"2026-05-04 04:42:28.487"</f>
        <v>2026-05-04 04:42:28.487</v>
      </c>
      <c r="H141" t="s">
        <v>21</v>
      </c>
      <c r="I141">
        <v>0</v>
      </c>
      <c r="J141" t="s">
        <v>36</v>
      </c>
    </row>
    <row r="142" spans="1:10" x14ac:dyDescent="0.25">
      <c r="A142" s="1">
        <v>61</v>
      </c>
      <c r="B142" t="s">
        <v>19</v>
      </c>
      <c r="C142">
        <v>706</v>
      </c>
      <c r="D142">
        <v>4</v>
      </c>
      <c r="E142" t="s">
        <v>34</v>
      </c>
      <c r="F142" t="s">
        <v>37</v>
      </c>
      <c r="G142" t="str">
        <f>"2026-05-04 04:28:31.617"</f>
        <v>2026-05-04 04:28:31.617</v>
      </c>
      <c r="H142" t="s">
        <v>21</v>
      </c>
      <c r="I142">
        <v>0</v>
      </c>
      <c r="J142" t="s">
        <v>36</v>
      </c>
    </row>
    <row r="143" spans="1:10" x14ac:dyDescent="0.25">
      <c r="A143" s="1">
        <v>62</v>
      </c>
      <c r="B143" t="s">
        <v>19</v>
      </c>
      <c r="C143">
        <v>706</v>
      </c>
      <c r="D143">
        <v>4</v>
      </c>
      <c r="E143" t="s">
        <v>34</v>
      </c>
      <c r="F143" t="s">
        <v>37</v>
      </c>
      <c r="G143" t="str">
        <f>"2026-05-04 04:23:47.637"</f>
        <v>2026-05-04 04:23:47.637</v>
      </c>
      <c r="H143" t="s">
        <v>21</v>
      </c>
      <c r="I143">
        <v>0</v>
      </c>
      <c r="J143" t="s">
        <v>36</v>
      </c>
    </row>
    <row r="144" spans="1:10" x14ac:dyDescent="0.25">
      <c r="A144" s="1">
        <v>63</v>
      </c>
      <c r="B144" t="s">
        <v>19</v>
      </c>
      <c r="C144">
        <v>706</v>
      </c>
      <c r="D144">
        <v>2</v>
      </c>
      <c r="E144" t="s">
        <v>34</v>
      </c>
      <c r="F144" t="s">
        <v>35</v>
      </c>
      <c r="G144" t="str">
        <f>"2026-05-04 04:23:11.707"</f>
        <v>2026-05-04 04:23:11.707</v>
      </c>
      <c r="H144" t="s">
        <v>21</v>
      </c>
      <c r="I144">
        <v>0</v>
      </c>
      <c r="J144" t="s">
        <v>36</v>
      </c>
    </row>
    <row r="145" spans="1:10" x14ac:dyDescent="0.25">
      <c r="A145" s="1">
        <v>64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"2026-05-04 04:08:39.847"</f>
        <v>2026-05-04 04:08:39.847</v>
      </c>
      <c r="H145" t="s">
        <v>21</v>
      </c>
      <c r="I145">
        <v>0</v>
      </c>
      <c r="J145" t="s">
        <v>22</v>
      </c>
    </row>
    <row r="146" spans="1:10" x14ac:dyDescent="0.25">
      <c r="A146" s="1">
        <v>65</v>
      </c>
      <c r="B146" t="s">
        <v>19</v>
      </c>
      <c r="C146">
        <v>706</v>
      </c>
      <c r="D146">
        <v>4</v>
      </c>
      <c r="E146" t="s">
        <v>34</v>
      </c>
      <c r="F146" t="s">
        <v>37</v>
      </c>
      <c r="G146" t="str">
        <f>"2026-05-03 14:00:32.077"</f>
        <v>2026-05-03 14:00:32.077</v>
      </c>
      <c r="H146" t="s">
        <v>21</v>
      </c>
      <c r="I146">
        <v>0</v>
      </c>
      <c r="J146" t="s">
        <v>36</v>
      </c>
    </row>
    <row r="147" spans="1:10" x14ac:dyDescent="0.25">
      <c r="A147" s="1">
        <v>66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"2026-05-03 13:59:04.807"</f>
        <v>2026-05-03 13:59:04.807</v>
      </c>
      <c r="H147" t="s">
        <v>21</v>
      </c>
      <c r="I147">
        <v>0</v>
      </c>
      <c r="J147" t="s">
        <v>22</v>
      </c>
    </row>
    <row r="148" spans="1:10" x14ac:dyDescent="0.25">
      <c r="A148" s="1">
        <v>67</v>
      </c>
      <c r="B148" t="s">
        <v>28</v>
      </c>
      <c r="C148">
        <v>635</v>
      </c>
      <c r="D148">
        <v>1</v>
      </c>
      <c r="E148" t="s">
        <v>29</v>
      </c>
      <c r="F148" t="s">
        <v>30</v>
      </c>
      <c r="G148" t="str">
        <f>"2026-05-03 10:48:56.142"</f>
        <v>2026-05-03 10:48:56.142</v>
      </c>
      <c r="H148" t="s">
        <v>21</v>
      </c>
    </row>
    <row r="149" spans="1:10" x14ac:dyDescent="0.25">
      <c r="A149" s="1">
        <v>68</v>
      </c>
      <c r="B149" t="s">
        <v>31</v>
      </c>
      <c r="C149">
        <v>635</v>
      </c>
      <c r="D149">
        <v>1</v>
      </c>
      <c r="E149" t="s">
        <v>29</v>
      </c>
      <c r="F149" t="s">
        <v>30</v>
      </c>
      <c r="G149" t="str">
        <f>"2026-05-03 10:46:39.742"</f>
        <v>2026-05-03 10:46:39.742</v>
      </c>
      <c r="H149" t="s">
        <v>21</v>
      </c>
      <c r="I149">
        <v>8.69</v>
      </c>
      <c r="J149" t="s">
        <v>32</v>
      </c>
    </row>
    <row r="150" spans="1:10" x14ac:dyDescent="0.25">
      <c r="A150" s="1">
        <v>70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"2026-05-02 16:59:54.614"</f>
        <v>2026-05-02 16:59:54.614</v>
      </c>
      <c r="H150" t="s">
        <v>21</v>
      </c>
    </row>
    <row r="151" spans="1:10" x14ac:dyDescent="0.25">
      <c r="A151" s="1">
        <v>71</v>
      </c>
      <c r="B151" t="s">
        <v>28</v>
      </c>
      <c r="C151">
        <v>635</v>
      </c>
      <c r="D151">
        <v>1</v>
      </c>
      <c r="E151" t="s">
        <v>29</v>
      </c>
      <c r="F151" t="s">
        <v>30</v>
      </c>
      <c r="G151" t="str">
        <f>"2026-05-02 14:06:24.356"</f>
        <v>2026-05-02 14:06:24.356</v>
      </c>
      <c r="H151" t="s">
        <v>21</v>
      </c>
    </row>
    <row r="152" spans="1:10" x14ac:dyDescent="0.25">
      <c r="A152" s="1">
        <v>72</v>
      </c>
      <c r="B152" t="s">
        <v>31</v>
      </c>
      <c r="C152">
        <v>635</v>
      </c>
      <c r="D152">
        <v>1</v>
      </c>
      <c r="E152" t="s">
        <v>29</v>
      </c>
      <c r="F152" t="s">
        <v>30</v>
      </c>
      <c r="G152" t="str">
        <f>"2026-05-02 14:02:33.856"</f>
        <v>2026-05-02 14:02:33.856</v>
      </c>
      <c r="H152" t="s">
        <v>21</v>
      </c>
      <c r="I152">
        <v>2.8</v>
      </c>
      <c r="J152" t="s">
        <v>32</v>
      </c>
    </row>
    <row r="153" spans="1:10" x14ac:dyDescent="0.25">
      <c r="A153" s="1">
        <v>73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"2026-05-01 14:01:49.628"</f>
        <v>2026-05-01 14:01:49.628</v>
      </c>
      <c r="H153" t="s">
        <v>21</v>
      </c>
      <c r="I153">
        <v>0</v>
      </c>
      <c r="J153" t="s">
        <v>22</v>
      </c>
    </row>
    <row r="154" spans="1:10" x14ac:dyDescent="0.25">
      <c r="A154" s="1">
        <v>74</v>
      </c>
      <c r="B154" t="s">
        <v>28</v>
      </c>
      <c r="C154">
        <v>635</v>
      </c>
      <c r="D154">
        <v>1</v>
      </c>
      <c r="E154" t="s">
        <v>29</v>
      </c>
      <c r="F154" t="s">
        <v>30</v>
      </c>
      <c r="G154" t="str">
        <f>"2026-05-01 05:38:40.349"</f>
        <v>2026-05-01 05:38:40.349</v>
      </c>
      <c r="H154" t="s">
        <v>21</v>
      </c>
    </row>
    <row r="155" spans="1:10" x14ac:dyDescent="0.25">
      <c r="A155" s="1">
        <v>75</v>
      </c>
      <c r="B155" t="s">
        <v>31</v>
      </c>
      <c r="C155">
        <v>635</v>
      </c>
      <c r="D155">
        <v>1</v>
      </c>
      <c r="E155" t="s">
        <v>29</v>
      </c>
      <c r="F155" t="s">
        <v>30</v>
      </c>
      <c r="G155" t="str">
        <f>"2026-05-01 05:32:22.349"</f>
        <v>2026-05-01 05:32:22.349</v>
      </c>
      <c r="H155" t="s">
        <v>21</v>
      </c>
      <c r="I155">
        <v>9.58</v>
      </c>
      <c r="J155" t="s">
        <v>38</v>
      </c>
    </row>
    <row r="156" spans="1:10" x14ac:dyDescent="0.25">
      <c r="A156" s="1">
        <v>76</v>
      </c>
      <c r="B156" t="s">
        <v>28</v>
      </c>
      <c r="C156">
        <v>635</v>
      </c>
      <c r="D156">
        <v>1</v>
      </c>
      <c r="E156" t="s">
        <v>29</v>
      </c>
      <c r="F156" t="s">
        <v>30</v>
      </c>
      <c r="G156" t="str">
        <f>"2026-04-30 16:36:31.949"</f>
        <v>2026-04-30 16:36:31.949</v>
      </c>
      <c r="H156" t="s">
        <v>21</v>
      </c>
    </row>
    <row r="157" spans="1:10" x14ac:dyDescent="0.25">
      <c r="A157" s="1">
        <v>77</v>
      </c>
      <c r="B157" t="s">
        <v>31</v>
      </c>
      <c r="C157">
        <v>635</v>
      </c>
      <c r="D157">
        <v>1</v>
      </c>
      <c r="E157" t="s">
        <v>29</v>
      </c>
      <c r="F157" t="s">
        <v>30</v>
      </c>
      <c r="G157" t="str">
        <f>"2026-04-30 16:33:50.450"</f>
        <v>2026-04-30 16:33:50.450</v>
      </c>
      <c r="H157" t="s">
        <v>21</v>
      </c>
      <c r="I157">
        <v>4.95</v>
      </c>
      <c r="J157" t="s">
        <v>32</v>
      </c>
    </row>
    <row r="158" spans="1:10" x14ac:dyDescent="0.25">
      <c r="A158" s="1">
        <v>78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"2026-04-29 12:51:00.631"</f>
        <v>2026-04-29 12:51:00.631</v>
      </c>
      <c r="H158" t="s">
        <v>21</v>
      </c>
      <c r="I158">
        <v>0</v>
      </c>
      <c r="J158" t="s">
        <v>22</v>
      </c>
    </row>
    <row r="159" spans="1:10" x14ac:dyDescent="0.25">
      <c r="A159" s="1">
        <v>79</v>
      </c>
      <c r="B159" t="s">
        <v>19</v>
      </c>
      <c r="C159">
        <v>706</v>
      </c>
      <c r="D159">
        <v>4</v>
      </c>
      <c r="E159" t="s">
        <v>34</v>
      </c>
      <c r="F159" t="s">
        <v>37</v>
      </c>
      <c r="G159" t="str">
        <f>"2026-04-28 11:39:41.448"</f>
        <v>2026-04-28 11:39:41.448</v>
      </c>
      <c r="H159" t="s">
        <v>21</v>
      </c>
      <c r="I159">
        <v>0</v>
      </c>
      <c r="J159" t="s">
        <v>36</v>
      </c>
    </row>
    <row r="160" spans="1:10" x14ac:dyDescent="0.25">
      <c r="A160" s="1">
        <v>80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"2026-04-28 11:28:38.598"</f>
        <v>2026-04-28 11:28:38.598</v>
      </c>
      <c r="H160" t="s">
        <v>21</v>
      </c>
    </row>
    <row r="161" spans="1:10" x14ac:dyDescent="0.25">
      <c r="A161" s="1">
        <v>81</v>
      </c>
      <c r="B161" t="s">
        <v>28</v>
      </c>
      <c r="C161">
        <v>635</v>
      </c>
      <c r="D161">
        <v>1</v>
      </c>
      <c r="E161" t="s">
        <v>29</v>
      </c>
      <c r="F161" t="s">
        <v>30</v>
      </c>
      <c r="G161" t="str">
        <f>"2026-04-27 10:14:29.476"</f>
        <v>2026-04-27 10:14:29.476</v>
      </c>
      <c r="H161" t="s">
        <v>21</v>
      </c>
    </row>
    <row r="162" spans="1:10" x14ac:dyDescent="0.25">
      <c r="A162" s="1">
        <v>82</v>
      </c>
      <c r="B162" t="s">
        <v>31</v>
      </c>
      <c r="C162">
        <v>635</v>
      </c>
      <c r="D162">
        <v>1</v>
      </c>
      <c r="E162" t="s">
        <v>29</v>
      </c>
      <c r="F162" t="s">
        <v>30</v>
      </c>
      <c r="G162" t="str">
        <f>"2026-04-27 10:10:27.476"</f>
        <v>2026-04-27 10:10:27.476</v>
      </c>
      <c r="H162" t="s">
        <v>21</v>
      </c>
      <c r="I162">
        <v>8.99</v>
      </c>
      <c r="J162" t="s">
        <v>32</v>
      </c>
    </row>
    <row r="163" spans="1:10" x14ac:dyDescent="0.25">
      <c r="A163" s="1">
        <v>83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"2026-04-26 13:38:06.649"</f>
        <v>2026-04-26 13:38:06.649</v>
      </c>
      <c r="H163" t="s">
        <v>21</v>
      </c>
    </row>
    <row r="164" spans="1:10" x14ac:dyDescent="0.25">
      <c r="A164" s="1">
        <v>85</v>
      </c>
      <c r="B164" t="s">
        <v>28</v>
      </c>
      <c r="C164">
        <v>635</v>
      </c>
      <c r="D164">
        <v>1</v>
      </c>
      <c r="E164" t="s">
        <v>29</v>
      </c>
      <c r="F164" t="s">
        <v>30</v>
      </c>
      <c r="G164" t="str">
        <f>"2026-04-25 08:53:32.705"</f>
        <v>2026-04-25 08:53:32.705</v>
      </c>
      <c r="H164" t="s">
        <v>21</v>
      </c>
    </row>
    <row r="165" spans="1:10" x14ac:dyDescent="0.25">
      <c r="A165" s="1">
        <v>86</v>
      </c>
      <c r="B165" t="s">
        <v>31</v>
      </c>
      <c r="C165">
        <v>635</v>
      </c>
      <c r="D165">
        <v>1</v>
      </c>
      <c r="E165" t="s">
        <v>29</v>
      </c>
      <c r="F165" t="s">
        <v>30</v>
      </c>
      <c r="G165" t="str">
        <f>"2026-04-25 08:48:56.205"</f>
        <v>2026-04-25 08:48:56.205</v>
      </c>
      <c r="H165" t="s">
        <v>21</v>
      </c>
      <c r="I165">
        <v>7.23</v>
      </c>
      <c r="J165" t="s">
        <v>32</v>
      </c>
    </row>
    <row r="166" spans="1:10" x14ac:dyDescent="0.25">
      <c r="A166" s="1">
        <v>87</v>
      </c>
      <c r="B166" t="s">
        <v>19</v>
      </c>
      <c r="C166">
        <v>706</v>
      </c>
      <c r="D166">
        <v>4</v>
      </c>
      <c r="E166" t="s">
        <v>34</v>
      </c>
      <c r="F166" t="s">
        <v>37</v>
      </c>
      <c r="G166" t="str">
        <f>"2026-04-24 18:56:18.597"</f>
        <v>2026-04-24 18:56:18.597</v>
      </c>
      <c r="H166" t="s">
        <v>21</v>
      </c>
      <c r="I166">
        <v>0</v>
      </c>
      <c r="J166" t="s">
        <v>36</v>
      </c>
    </row>
    <row r="167" spans="1:10" x14ac:dyDescent="0.25">
      <c r="A167" s="1">
        <v>88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"2026-04-24 18:30:10.587"</f>
        <v>2026-04-24 18:30:10.587</v>
      </c>
      <c r="H167" t="s">
        <v>21</v>
      </c>
      <c r="I167">
        <v>0</v>
      </c>
      <c r="J167" t="s">
        <v>22</v>
      </c>
    </row>
    <row r="168" spans="1:10" x14ac:dyDescent="0.25">
      <c r="A168" s="1">
        <v>89</v>
      </c>
      <c r="B168" t="s">
        <v>19</v>
      </c>
      <c r="C168">
        <v>706</v>
      </c>
      <c r="D168">
        <v>4</v>
      </c>
      <c r="E168" t="s">
        <v>34</v>
      </c>
      <c r="F168" t="s">
        <v>37</v>
      </c>
      <c r="G168" t="str">
        <f>"2026-04-23 16:05:22.293"</f>
        <v>2026-04-23 16:05:22.293</v>
      </c>
      <c r="H168" t="s">
        <v>21</v>
      </c>
      <c r="I168">
        <v>0</v>
      </c>
      <c r="J168" t="s">
        <v>36</v>
      </c>
    </row>
    <row r="169" spans="1:10" x14ac:dyDescent="0.25">
      <c r="A169" s="1">
        <v>90</v>
      </c>
      <c r="B169" t="s">
        <v>19</v>
      </c>
      <c r="C169">
        <v>706</v>
      </c>
      <c r="D169">
        <v>4</v>
      </c>
      <c r="E169" t="s">
        <v>34</v>
      </c>
      <c r="F169" t="s">
        <v>37</v>
      </c>
      <c r="G169" t="str">
        <f>"2026-04-23 14:54:04.653"</f>
        <v>2026-04-23 14:54:04.653</v>
      </c>
      <c r="H169" t="s">
        <v>21</v>
      </c>
      <c r="I169">
        <v>0</v>
      </c>
      <c r="J169" t="s">
        <v>36</v>
      </c>
    </row>
    <row r="170" spans="1:10" x14ac:dyDescent="0.25">
      <c r="A170" s="1">
        <v>91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"2026-04-23 14:48:41.593"</f>
        <v>2026-04-23 14:48:41.593</v>
      </c>
      <c r="H170" t="s">
        <v>21</v>
      </c>
    </row>
    <row r="171" spans="1:10" x14ac:dyDescent="0.25">
      <c r="A171" s="1">
        <v>92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"2026-04-23 14:39:44.591"</f>
        <v>2026-04-23 14:39:44.591</v>
      </c>
      <c r="H171" t="s">
        <v>21</v>
      </c>
      <c r="I171">
        <v>0</v>
      </c>
      <c r="J171" t="s">
        <v>22</v>
      </c>
    </row>
    <row r="172" spans="1:10" x14ac:dyDescent="0.25">
      <c r="A172" s="1">
        <v>93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"2026-04-23 13:37:19.589"</f>
        <v>2026-04-23 13:37:19.589</v>
      </c>
      <c r="H172" t="s">
        <v>21</v>
      </c>
    </row>
    <row r="173" spans="1:10" x14ac:dyDescent="0.25">
      <c r="A173" s="1">
        <v>94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"2026-04-23 12:15:59.579"</f>
        <v>2026-04-23 12:15:59.579</v>
      </c>
      <c r="H173" t="s">
        <v>21</v>
      </c>
    </row>
    <row r="174" spans="1:10" x14ac:dyDescent="0.25">
      <c r="A174" s="1">
        <v>95</v>
      </c>
      <c r="B174" t="s">
        <v>19</v>
      </c>
      <c r="C174">
        <v>706</v>
      </c>
      <c r="D174">
        <v>2</v>
      </c>
      <c r="E174" t="s">
        <v>34</v>
      </c>
      <c r="F174" t="s">
        <v>35</v>
      </c>
      <c r="G174" t="str">
        <f>"2026-04-23 12:00:08.506"</f>
        <v>2026-04-23 12:00:08.506</v>
      </c>
      <c r="H174" t="s">
        <v>21</v>
      </c>
      <c r="I174">
        <v>0</v>
      </c>
      <c r="J174" t="s">
        <v>36</v>
      </c>
    </row>
    <row r="175" spans="1:10" x14ac:dyDescent="0.25">
      <c r="A175" s="1">
        <v>96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"2026-04-23 11:50:17.596"</f>
        <v>2026-04-23 11:50:17.596</v>
      </c>
      <c r="H175" t="s">
        <v>21</v>
      </c>
      <c r="I175">
        <v>0</v>
      </c>
      <c r="J175" t="s">
        <v>22</v>
      </c>
    </row>
    <row r="176" spans="1:10" x14ac:dyDescent="0.25">
      <c r="A176" s="1">
        <v>97</v>
      </c>
      <c r="B176" t="s">
        <v>28</v>
      </c>
      <c r="C176">
        <v>4</v>
      </c>
      <c r="D176">
        <v>1</v>
      </c>
      <c r="E176" t="s">
        <v>45</v>
      </c>
      <c r="F176" t="s">
        <v>46</v>
      </c>
      <c r="G176" t="str">
        <f>"2026-04-23 11:26:49.937"</f>
        <v>2026-04-23 11:26:49.937</v>
      </c>
      <c r="H176" t="s">
        <v>47</v>
      </c>
    </row>
    <row r="177" spans="1:10" x14ac:dyDescent="0.25">
      <c r="A177" s="1">
        <v>98</v>
      </c>
      <c r="B177" t="s">
        <v>31</v>
      </c>
      <c r="C177">
        <v>4</v>
      </c>
      <c r="D177">
        <v>1</v>
      </c>
      <c r="E177" t="s">
        <v>45</v>
      </c>
      <c r="F177" t="s">
        <v>46</v>
      </c>
      <c r="G177" t="str">
        <f>"2026-04-23 11:26:39.478"</f>
        <v>2026-04-23 11:26:39.478</v>
      </c>
      <c r="H177" t="s">
        <v>47</v>
      </c>
      <c r="I177">
        <v>0</v>
      </c>
      <c r="J177" t="s">
        <v>36</v>
      </c>
    </row>
    <row r="178" spans="1:10" x14ac:dyDescent="0.25">
      <c r="A178" s="1">
        <v>99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"2026-04-23 11:26:34.597"</f>
        <v>2026-04-23 11:26:34.597</v>
      </c>
      <c r="H178" t="s">
        <v>21</v>
      </c>
      <c r="I178">
        <v>0</v>
      </c>
      <c r="J178" t="s">
        <v>22</v>
      </c>
    </row>
    <row r="179" spans="1:10" x14ac:dyDescent="0.25">
      <c r="A179" s="1">
        <v>0</v>
      </c>
      <c r="B179" t="s">
        <v>28</v>
      </c>
      <c r="C179">
        <v>635</v>
      </c>
      <c r="D179">
        <v>1</v>
      </c>
      <c r="E179" t="s">
        <v>29</v>
      </c>
      <c r="F179" t="s">
        <v>30</v>
      </c>
      <c r="G179" t="str">
        <f>"2026-04-22 08:34:14.544"</f>
        <v>2026-04-22 08:34:14.544</v>
      </c>
      <c r="H179" t="s">
        <v>21</v>
      </c>
    </row>
    <row r="180" spans="1:10" x14ac:dyDescent="0.25">
      <c r="A180" s="1">
        <v>1</v>
      </c>
      <c r="B180" t="s">
        <v>31</v>
      </c>
      <c r="C180">
        <v>635</v>
      </c>
      <c r="D180">
        <v>1</v>
      </c>
      <c r="E180" t="s">
        <v>29</v>
      </c>
      <c r="F180" t="s">
        <v>30</v>
      </c>
      <c r="G180" t="str">
        <f>"2026-04-22 08:30:40.544"</f>
        <v>2026-04-22 08:30:40.544</v>
      </c>
      <c r="H180" t="s">
        <v>21</v>
      </c>
      <c r="I180">
        <v>7.13</v>
      </c>
      <c r="J180" t="s">
        <v>32</v>
      </c>
    </row>
    <row r="181" spans="1:10" x14ac:dyDescent="0.25">
      <c r="A181" s="1">
        <v>2</v>
      </c>
      <c r="B181" t="s">
        <v>28</v>
      </c>
      <c r="C181">
        <v>635</v>
      </c>
      <c r="D181">
        <v>1</v>
      </c>
      <c r="E181" t="s">
        <v>29</v>
      </c>
      <c r="F181" t="s">
        <v>30</v>
      </c>
      <c r="G181" t="str">
        <f>"2026-04-22 03:41:08.144"</f>
        <v>2026-04-22 03:41:08.144</v>
      </c>
      <c r="H181" t="s">
        <v>21</v>
      </c>
    </row>
    <row r="182" spans="1:10" x14ac:dyDescent="0.25">
      <c r="A182" s="1">
        <v>3</v>
      </c>
      <c r="B182" t="s">
        <v>31</v>
      </c>
      <c r="C182">
        <v>635</v>
      </c>
      <c r="D182">
        <v>1</v>
      </c>
      <c r="E182" t="s">
        <v>29</v>
      </c>
      <c r="F182" t="s">
        <v>30</v>
      </c>
      <c r="G182" t="str">
        <f>"2026-04-22 03:37:47.144"</f>
        <v>2026-04-22 03:37:47.144</v>
      </c>
      <c r="H182" t="s">
        <v>21</v>
      </c>
      <c r="I182">
        <v>6.26</v>
      </c>
      <c r="J182" t="s">
        <v>32</v>
      </c>
    </row>
    <row r="183" spans="1:10" x14ac:dyDescent="0.25">
      <c r="A183" s="1">
        <v>4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"2026-04-21 16:53:38.608"</f>
        <v>2026-04-21 16:53:38.608</v>
      </c>
      <c r="H183" t="s">
        <v>21</v>
      </c>
    </row>
    <row r="184" spans="1:10" x14ac:dyDescent="0.25">
      <c r="A184" s="1">
        <v>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"2026-04-21 12:51:59.597"</f>
        <v>2026-04-21 12:51:59.597</v>
      </c>
      <c r="H184" t="s">
        <v>21</v>
      </c>
      <c r="I184">
        <v>0</v>
      </c>
      <c r="J184" t="s">
        <v>22</v>
      </c>
    </row>
    <row r="185" spans="1:10" x14ac:dyDescent="0.25">
      <c r="A185" s="1">
        <v>6</v>
      </c>
      <c r="B185" t="s">
        <v>28</v>
      </c>
      <c r="C185">
        <v>635</v>
      </c>
      <c r="D185">
        <v>1</v>
      </c>
      <c r="E185" t="s">
        <v>29</v>
      </c>
      <c r="F185" t="s">
        <v>30</v>
      </c>
      <c r="G185" t="str">
        <f>"2026-04-20 21:37:17.317"</f>
        <v>2026-04-20 21:37:17.317</v>
      </c>
      <c r="H185" t="s">
        <v>21</v>
      </c>
    </row>
    <row r="186" spans="1:10" x14ac:dyDescent="0.25">
      <c r="A186" s="1">
        <v>7</v>
      </c>
      <c r="B186" t="s">
        <v>31</v>
      </c>
      <c r="C186">
        <v>635</v>
      </c>
      <c r="D186">
        <v>1</v>
      </c>
      <c r="E186" t="s">
        <v>29</v>
      </c>
      <c r="F186" t="s">
        <v>30</v>
      </c>
      <c r="G186" t="str">
        <f>"2026-04-20 21:34:12.417"</f>
        <v>2026-04-20 21:34:12.417</v>
      </c>
      <c r="H186" t="s">
        <v>21</v>
      </c>
      <c r="I186">
        <v>5.84</v>
      </c>
      <c r="J186" t="s">
        <v>38</v>
      </c>
    </row>
    <row r="187" spans="1:10" x14ac:dyDescent="0.25">
      <c r="A187" s="1">
        <v>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"2026-04-20 20:33:52.599"</f>
        <v>2026-04-20 20:33:52.599</v>
      </c>
      <c r="H187" t="s">
        <v>21</v>
      </c>
      <c r="I187">
        <v>0</v>
      </c>
      <c r="J187" t="s">
        <v>22</v>
      </c>
    </row>
    <row r="188" spans="1:10" x14ac:dyDescent="0.25">
      <c r="A188" s="1">
        <v>9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"2026-04-20 20:13:06.584"</f>
        <v>2026-04-20 20:13:06.584</v>
      </c>
      <c r="H188" t="s">
        <v>21</v>
      </c>
    </row>
    <row r="189" spans="1:10" x14ac:dyDescent="0.25">
      <c r="A189" s="1">
        <v>10</v>
      </c>
      <c r="B189" t="s">
        <v>28</v>
      </c>
      <c r="C189">
        <v>635</v>
      </c>
      <c r="D189">
        <v>1</v>
      </c>
      <c r="E189" t="s">
        <v>29</v>
      </c>
      <c r="F189" t="s">
        <v>30</v>
      </c>
      <c r="G189" t="str">
        <f>"2026-04-20 13:10:49.633"</f>
        <v>2026-04-20 13:10:49.633</v>
      </c>
      <c r="H189" t="s">
        <v>21</v>
      </c>
    </row>
    <row r="190" spans="1:10" x14ac:dyDescent="0.25">
      <c r="A190" s="1">
        <v>11</v>
      </c>
      <c r="B190" t="s">
        <v>31</v>
      </c>
      <c r="C190">
        <v>635</v>
      </c>
      <c r="D190">
        <v>1</v>
      </c>
      <c r="E190" t="s">
        <v>29</v>
      </c>
      <c r="F190" t="s">
        <v>30</v>
      </c>
      <c r="G190" t="str">
        <f>"2026-04-20 13:03:21.133"</f>
        <v>2026-04-20 13:03:21.133</v>
      </c>
      <c r="H190" t="s">
        <v>21</v>
      </c>
      <c r="I190">
        <v>5.78</v>
      </c>
      <c r="J190" t="s">
        <v>32</v>
      </c>
    </row>
    <row r="191" spans="1:10" x14ac:dyDescent="0.25">
      <c r="A191" s="1">
        <v>12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"2026-04-19 13:25:48.615"</f>
        <v>2026-04-19 13:25:48.615</v>
      </c>
      <c r="H191" t="s">
        <v>21</v>
      </c>
      <c r="I191">
        <v>0</v>
      </c>
      <c r="J191" t="s">
        <v>22</v>
      </c>
    </row>
    <row r="192" spans="1:10" x14ac:dyDescent="0.25">
      <c r="A192" s="1">
        <v>13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"2026-04-18 01:07:41.635"</f>
        <v>2026-04-18 01:07:41.635</v>
      </c>
      <c r="H192" t="s">
        <v>21</v>
      </c>
      <c r="I192">
        <v>0</v>
      </c>
      <c r="J192" t="s">
        <v>22</v>
      </c>
    </row>
    <row r="193" spans="1:10" x14ac:dyDescent="0.25">
      <c r="A193" s="1">
        <v>14</v>
      </c>
      <c r="B193" t="s">
        <v>28</v>
      </c>
      <c r="C193">
        <v>635</v>
      </c>
      <c r="D193">
        <v>1</v>
      </c>
      <c r="E193" t="s">
        <v>29</v>
      </c>
      <c r="F193" t="s">
        <v>30</v>
      </c>
      <c r="G193" t="str">
        <f>"2026-04-17 19:32:24.836"</f>
        <v>2026-04-17 19:32:24.836</v>
      </c>
      <c r="H193" t="s">
        <v>21</v>
      </c>
    </row>
    <row r="194" spans="1:10" x14ac:dyDescent="0.25">
      <c r="A194" s="1">
        <v>15</v>
      </c>
      <c r="B194" t="s">
        <v>31</v>
      </c>
      <c r="C194">
        <v>635</v>
      </c>
      <c r="D194">
        <v>1</v>
      </c>
      <c r="E194" t="s">
        <v>29</v>
      </c>
      <c r="F194" t="s">
        <v>30</v>
      </c>
      <c r="G194" t="str">
        <f>"2026-04-17 19:27:03.336"</f>
        <v>2026-04-17 19:27:03.336</v>
      </c>
      <c r="H194" t="s">
        <v>21</v>
      </c>
      <c r="I194">
        <v>5.0599999999999996</v>
      </c>
      <c r="J194" t="s">
        <v>32</v>
      </c>
    </row>
    <row r="195" spans="1:10" x14ac:dyDescent="0.25">
      <c r="A195" s="1">
        <v>16</v>
      </c>
      <c r="B195" t="s">
        <v>28</v>
      </c>
      <c r="C195">
        <v>635</v>
      </c>
      <c r="D195">
        <v>1</v>
      </c>
      <c r="E195" t="s">
        <v>29</v>
      </c>
      <c r="F195" t="s">
        <v>30</v>
      </c>
      <c r="G195" t="str">
        <f>"2026-04-17 10:38:25.436"</f>
        <v>2026-04-17 10:38:25.436</v>
      </c>
      <c r="H195" t="s">
        <v>21</v>
      </c>
    </row>
    <row r="196" spans="1:10" x14ac:dyDescent="0.25">
      <c r="A196" s="1">
        <v>17</v>
      </c>
      <c r="B196" t="s">
        <v>31</v>
      </c>
      <c r="C196">
        <v>635</v>
      </c>
      <c r="D196">
        <v>1</v>
      </c>
      <c r="E196" t="s">
        <v>29</v>
      </c>
      <c r="F196" t="s">
        <v>30</v>
      </c>
      <c r="G196" t="str">
        <f>"2026-04-17 10:30:52.936"</f>
        <v>2026-04-17 10:30:52.936</v>
      </c>
      <c r="H196" t="s">
        <v>21</v>
      </c>
      <c r="I196">
        <v>4.8600000000000003</v>
      </c>
      <c r="J196" t="s">
        <v>32</v>
      </c>
    </row>
    <row r="197" spans="1:10" x14ac:dyDescent="0.25">
      <c r="A197" s="1">
        <v>18</v>
      </c>
      <c r="B197" t="s">
        <v>28</v>
      </c>
      <c r="C197">
        <v>635</v>
      </c>
      <c r="D197">
        <v>1</v>
      </c>
      <c r="E197" t="s">
        <v>29</v>
      </c>
      <c r="F197" t="s">
        <v>30</v>
      </c>
      <c r="G197" t="str">
        <f>"2026-04-15 18:19:54.836"</f>
        <v>2026-04-15 18:19:54.836</v>
      </c>
      <c r="H197" t="s">
        <v>21</v>
      </c>
    </row>
    <row r="198" spans="1:10" x14ac:dyDescent="0.25">
      <c r="A198" s="1">
        <v>19</v>
      </c>
      <c r="B198" t="s">
        <v>31</v>
      </c>
      <c r="C198">
        <v>635</v>
      </c>
      <c r="D198">
        <v>1</v>
      </c>
      <c r="E198" t="s">
        <v>29</v>
      </c>
      <c r="F198" t="s">
        <v>30</v>
      </c>
      <c r="G198" t="str">
        <f>"2026-04-15 18:15:10.336"</f>
        <v>2026-04-15 18:15:10.336</v>
      </c>
      <c r="H198" t="s">
        <v>21</v>
      </c>
      <c r="I198">
        <v>6.08</v>
      </c>
      <c r="J198" t="s">
        <v>32</v>
      </c>
    </row>
    <row r="199" spans="1:10" x14ac:dyDescent="0.25">
      <c r="A199" s="1">
        <v>20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"2026-04-15 00:33:42.606"</f>
        <v>2026-04-15 00:33:42.606</v>
      </c>
      <c r="H199" t="s">
        <v>21</v>
      </c>
      <c r="I199">
        <v>0</v>
      </c>
      <c r="J199" t="s">
        <v>22</v>
      </c>
    </row>
    <row r="200" spans="1:10" x14ac:dyDescent="0.25">
      <c r="A200" s="1">
        <v>21</v>
      </c>
      <c r="B200" t="s">
        <v>28</v>
      </c>
      <c r="C200">
        <v>635</v>
      </c>
      <c r="D200">
        <v>1</v>
      </c>
      <c r="E200" t="s">
        <v>29</v>
      </c>
      <c r="F200" t="s">
        <v>30</v>
      </c>
      <c r="G200" t="str">
        <f>"2026-04-14 21:52:09.169"</f>
        <v>2026-04-14 21:52:09.169</v>
      </c>
      <c r="H200" t="s">
        <v>21</v>
      </c>
    </row>
    <row r="201" spans="1:10" x14ac:dyDescent="0.25">
      <c r="A201" s="1">
        <v>22</v>
      </c>
      <c r="B201" t="s">
        <v>31</v>
      </c>
      <c r="C201">
        <v>635</v>
      </c>
      <c r="D201">
        <v>1</v>
      </c>
      <c r="E201" t="s">
        <v>29</v>
      </c>
      <c r="F201" t="s">
        <v>30</v>
      </c>
      <c r="G201" t="str">
        <f>"2026-04-14 21:49:58.669"</f>
        <v>2026-04-14 21:49:58.669</v>
      </c>
      <c r="H201" t="s">
        <v>21</v>
      </c>
      <c r="I201">
        <v>5.74</v>
      </c>
      <c r="J201" t="s">
        <v>32</v>
      </c>
    </row>
    <row r="202" spans="1:10" x14ac:dyDescent="0.25">
      <c r="A202" s="1">
        <v>23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"2026-04-12 21:09:31.580"</f>
        <v>2026-04-12 21:09:31.580</v>
      </c>
      <c r="H202" t="s">
        <v>21</v>
      </c>
    </row>
    <row r="203" spans="1:10" x14ac:dyDescent="0.25">
      <c r="A203" s="1">
        <v>24</v>
      </c>
      <c r="B203" t="s">
        <v>19</v>
      </c>
      <c r="C203">
        <v>706</v>
      </c>
      <c r="D203">
        <v>4</v>
      </c>
      <c r="E203" t="s">
        <v>34</v>
      </c>
      <c r="F203" t="s">
        <v>37</v>
      </c>
      <c r="G203" t="str">
        <f>"2026-04-12 20:46:27.250"</f>
        <v>2026-04-12 20:46:27.250</v>
      </c>
      <c r="H203" t="s">
        <v>21</v>
      </c>
      <c r="I203">
        <v>0</v>
      </c>
      <c r="J203" t="s">
        <v>36</v>
      </c>
    </row>
    <row r="204" spans="1:10" x14ac:dyDescent="0.25">
      <c r="A204" s="1">
        <v>25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"2026-04-12 20:42:02.570"</f>
        <v>2026-04-12 20:42:02.570</v>
      </c>
      <c r="H204" t="s">
        <v>21</v>
      </c>
    </row>
    <row r="205" spans="1:10" x14ac:dyDescent="0.25">
      <c r="A205" s="1">
        <v>26</v>
      </c>
      <c r="B205" t="s">
        <v>19</v>
      </c>
      <c r="C205">
        <v>706</v>
      </c>
      <c r="D205">
        <v>4</v>
      </c>
      <c r="E205" t="s">
        <v>34</v>
      </c>
      <c r="F205" t="s">
        <v>37</v>
      </c>
      <c r="G205" t="str">
        <f>"2026-04-12 20:26:11.867"</f>
        <v>2026-04-12 20:26:11.867</v>
      </c>
      <c r="H205" t="s">
        <v>21</v>
      </c>
      <c r="I205">
        <v>0</v>
      </c>
      <c r="J205" t="s">
        <v>36</v>
      </c>
    </row>
    <row r="206" spans="1:10" x14ac:dyDescent="0.25">
      <c r="A206" s="1">
        <v>27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"2026-04-12 20:25:49.577"</f>
        <v>2026-04-12 20:25:49.577</v>
      </c>
      <c r="H206" t="s">
        <v>21</v>
      </c>
      <c r="I206">
        <v>0</v>
      </c>
      <c r="J206" t="s">
        <v>22</v>
      </c>
    </row>
    <row r="207" spans="1:10" x14ac:dyDescent="0.25">
      <c r="A207" s="1">
        <v>28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"2026-04-12 19:28:18.571"</f>
        <v>2026-04-12 19:28:18.571</v>
      </c>
      <c r="H207" t="s">
        <v>21</v>
      </c>
      <c r="I207">
        <v>0</v>
      </c>
      <c r="J207" t="s">
        <v>22</v>
      </c>
    </row>
    <row r="208" spans="1:10" x14ac:dyDescent="0.25">
      <c r="A208" s="1">
        <v>29</v>
      </c>
      <c r="B208" t="s">
        <v>19</v>
      </c>
      <c r="C208">
        <v>706</v>
      </c>
      <c r="D208">
        <v>3</v>
      </c>
      <c r="E208" t="s">
        <v>34</v>
      </c>
      <c r="F208" t="s">
        <v>48</v>
      </c>
      <c r="G208" t="str">
        <f>"2026-04-12 19:21:20.651"</f>
        <v>2026-04-12 19:21:20.651</v>
      </c>
      <c r="H208" t="s">
        <v>21</v>
      </c>
      <c r="I208">
        <v>0</v>
      </c>
      <c r="J208" t="s">
        <v>36</v>
      </c>
    </row>
    <row r="209" spans="1:10" x14ac:dyDescent="0.25">
      <c r="A209" s="1">
        <v>30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"2026-04-12 19:15:35.571"</f>
        <v>2026-04-12 19:15:35.571</v>
      </c>
      <c r="H209" t="s">
        <v>21</v>
      </c>
      <c r="I209">
        <v>0</v>
      </c>
      <c r="J209" t="s">
        <v>22</v>
      </c>
    </row>
    <row r="210" spans="1:10" x14ac:dyDescent="0.25">
      <c r="A210" s="1">
        <v>31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"2026-04-12 16:50:31.566"</f>
        <v>2026-04-12 16:50:31.566</v>
      </c>
      <c r="H210" t="s">
        <v>21</v>
      </c>
      <c r="I210">
        <v>0</v>
      </c>
      <c r="J210" t="s">
        <v>22</v>
      </c>
    </row>
    <row r="211" spans="1:10" x14ac:dyDescent="0.25">
      <c r="A211" s="1">
        <v>32</v>
      </c>
      <c r="B211" t="s">
        <v>28</v>
      </c>
      <c r="C211">
        <v>635</v>
      </c>
      <c r="D211">
        <v>1</v>
      </c>
      <c r="E211" t="s">
        <v>29</v>
      </c>
      <c r="F211" t="s">
        <v>30</v>
      </c>
      <c r="G211" t="str">
        <f>"2026-04-11 20:40:33.793"</f>
        <v>2026-04-11 20:40:33.793</v>
      </c>
      <c r="H211" t="s">
        <v>21</v>
      </c>
    </row>
    <row r="212" spans="1:10" x14ac:dyDescent="0.25">
      <c r="A212" s="1">
        <v>33</v>
      </c>
      <c r="B212" t="s">
        <v>31</v>
      </c>
      <c r="C212">
        <v>635</v>
      </c>
      <c r="D212">
        <v>1</v>
      </c>
      <c r="E212" t="s">
        <v>29</v>
      </c>
      <c r="F212" t="s">
        <v>30</v>
      </c>
      <c r="G212" t="str">
        <f>"2026-04-11 20:34:20.793"</f>
        <v>2026-04-11 20:34:20.793</v>
      </c>
      <c r="H212" t="s">
        <v>21</v>
      </c>
      <c r="I212">
        <v>4.0599999999999996</v>
      </c>
      <c r="J212" t="s">
        <v>32</v>
      </c>
    </row>
    <row r="213" spans="1:10" x14ac:dyDescent="0.25">
      <c r="A213" s="1">
        <v>34</v>
      </c>
      <c r="B213" t="s">
        <v>28</v>
      </c>
      <c r="C213">
        <v>635</v>
      </c>
      <c r="D213">
        <v>1</v>
      </c>
      <c r="E213" t="s">
        <v>29</v>
      </c>
      <c r="F213" t="s">
        <v>30</v>
      </c>
      <c r="G213" t="str">
        <f>"2026-04-11 11:53:51.793"</f>
        <v>2026-04-11 11:53:51.793</v>
      </c>
      <c r="H213" t="s">
        <v>21</v>
      </c>
    </row>
    <row r="214" spans="1:10" x14ac:dyDescent="0.25">
      <c r="A214" s="1">
        <v>35</v>
      </c>
      <c r="B214" t="s">
        <v>31</v>
      </c>
      <c r="C214">
        <v>635</v>
      </c>
      <c r="D214">
        <v>1</v>
      </c>
      <c r="E214" t="s">
        <v>29</v>
      </c>
      <c r="F214" t="s">
        <v>30</v>
      </c>
      <c r="G214" t="str">
        <f>"2026-04-11 11:49:10.293"</f>
        <v>2026-04-11 11:49:10.293</v>
      </c>
      <c r="H214" t="s">
        <v>21</v>
      </c>
      <c r="I214">
        <v>0.05</v>
      </c>
      <c r="J214" t="s">
        <v>27</v>
      </c>
    </row>
    <row r="215" spans="1:10" s="3" customFormat="1" x14ac:dyDescent="0.25">
      <c r="A215" s="2">
        <v>36</v>
      </c>
      <c r="B215" s="3" t="s">
        <v>28</v>
      </c>
      <c r="C215" s="3">
        <v>647</v>
      </c>
      <c r="D215" s="3">
        <v>1</v>
      </c>
      <c r="E215" s="3" t="s">
        <v>39</v>
      </c>
      <c r="F215" s="3" t="s">
        <v>40</v>
      </c>
      <c r="G215" s="3" t="str">
        <f>"2026-04-11 11:07:11.241"</f>
        <v>2026-04-11 11:07:11.241</v>
      </c>
      <c r="H215" s="3" t="s">
        <v>21</v>
      </c>
    </row>
    <row r="216" spans="1:10" s="3" customFormat="1" x14ac:dyDescent="0.25">
      <c r="A216" s="2">
        <v>37</v>
      </c>
      <c r="B216" s="3" t="s">
        <v>31</v>
      </c>
      <c r="C216" s="3">
        <v>647</v>
      </c>
      <c r="D216" s="3">
        <v>1</v>
      </c>
      <c r="E216" s="3" t="s">
        <v>39</v>
      </c>
      <c r="F216" s="3" t="s">
        <v>40</v>
      </c>
      <c r="G216" s="3" t="str">
        <f>"2026-04-11 11:06:48.942"</f>
        <v>2026-04-11 11:06:48.942</v>
      </c>
      <c r="H216" s="3" t="s">
        <v>21</v>
      </c>
      <c r="I216" s="3">
        <v>8.59</v>
      </c>
      <c r="J216" s="3" t="s">
        <v>38</v>
      </c>
    </row>
    <row r="217" spans="1:10" x14ac:dyDescent="0.25">
      <c r="A217" s="1">
        <v>38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"2026-04-11 01:37:32.713"</f>
        <v>2026-04-11 01:37:32.713</v>
      </c>
      <c r="H217" t="s">
        <v>21</v>
      </c>
      <c r="I217">
        <v>0</v>
      </c>
      <c r="J217" t="s">
        <v>22</v>
      </c>
    </row>
    <row r="218" spans="1:10" x14ac:dyDescent="0.25">
      <c r="A218" s="1">
        <v>39</v>
      </c>
      <c r="B218" t="s">
        <v>28</v>
      </c>
      <c r="C218">
        <v>635</v>
      </c>
      <c r="D218">
        <v>1</v>
      </c>
      <c r="E218" t="s">
        <v>29</v>
      </c>
      <c r="F218" t="s">
        <v>30</v>
      </c>
      <c r="G218" t="str">
        <f>"2026-04-10 21:03:04.137"</f>
        <v>2026-04-10 21:03:04.137</v>
      </c>
      <c r="H218" t="s">
        <v>21</v>
      </c>
    </row>
    <row r="219" spans="1:10" x14ac:dyDescent="0.25">
      <c r="A219" s="1">
        <v>40</v>
      </c>
      <c r="B219" t="s">
        <v>31</v>
      </c>
      <c r="C219">
        <v>635</v>
      </c>
      <c r="D219">
        <v>1</v>
      </c>
      <c r="E219" t="s">
        <v>29</v>
      </c>
      <c r="F219" t="s">
        <v>30</v>
      </c>
      <c r="G219" t="str">
        <f>"2026-04-10 20:58:24.737"</f>
        <v>2026-04-10 20:58:24.737</v>
      </c>
      <c r="H219" t="s">
        <v>21</v>
      </c>
      <c r="I219">
        <v>4.66</v>
      </c>
      <c r="J219" t="s">
        <v>38</v>
      </c>
    </row>
    <row r="220" spans="1:10" x14ac:dyDescent="0.25">
      <c r="A220" s="1">
        <v>41</v>
      </c>
      <c r="B220" t="s">
        <v>28</v>
      </c>
      <c r="C220">
        <v>635</v>
      </c>
      <c r="D220">
        <v>1</v>
      </c>
      <c r="E220" t="s">
        <v>29</v>
      </c>
      <c r="F220" t="s">
        <v>30</v>
      </c>
      <c r="G220" t="str">
        <f>"2026-04-10 11:23:53.337"</f>
        <v>2026-04-10 11:23:53.337</v>
      </c>
      <c r="H220" t="s">
        <v>21</v>
      </c>
    </row>
    <row r="221" spans="1:10" x14ac:dyDescent="0.25">
      <c r="A221" s="1">
        <v>42</v>
      </c>
      <c r="B221" t="s">
        <v>31</v>
      </c>
      <c r="C221">
        <v>635</v>
      </c>
      <c r="D221">
        <v>1</v>
      </c>
      <c r="E221" t="s">
        <v>29</v>
      </c>
      <c r="F221" t="s">
        <v>30</v>
      </c>
      <c r="G221" t="str">
        <f>"2026-04-10 11:19:02.337"</f>
        <v>2026-04-10 11:19:02.337</v>
      </c>
      <c r="H221" t="s">
        <v>21</v>
      </c>
      <c r="I221">
        <v>6.72</v>
      </c>
      <c r="J221" t="s">
        <v>32</v>
      </c>
    </row>
    <row r="222" spans="1:10" x14ac:dyDescent="0.25">
      <c r="A222" s="1">
        <v>43</v>
      </c>
      <c r="B222" t="s">
        <v>28</v>
      </c>
      <c r="C222">
        <v>635</v>
      </c>
      <c r="D222">
        <v>1</v>
      </c>
      <c r="E222" t="s">
        <v>29</v>
      </c>
      <c r="F222" t="s">
        <v>30</v>
      </c>
      <c r="G222" t="str">
        <f>"2026-04-10 10:36:07.437"</f>
        <v>2026-04-10 10:36:07.437</v>
      </c>
      <c r="H222" t="s">
        <v>21</v>
      </c>
    </row>
    <row r="223" spans="1:10" x14ac:dyDescent="0.25">
      <c r="A223" s="1">
        <v>44</v>
      </c>
      <c r="B223" t="s">
        <v>31</v>
      </c>
      <c r="C223">
        <v>635</v>
      </c>
      <c r="D223">
        <v>1</v>
      </c>
      <c r="E223" t="s">
        <v>29</v>
      </c>
      <c r="F223" t="s">
        <v>30</v>
      </c>
      <c r="G223" t="str">
        <f>"2026-04-10 10:31:14.937"</f>
        <v>2026-04-10 10:31:14.937</v>
      </c>
      <c r="H223" t="s">
        <v>21</v>
      </c>
      <c r="I223">
        <v>2.2200000000000002</v>
      </c>
      <c r="J223" t="s">
        <v>32</v>
      </c>
    </row>
    <row r="224" spans="1:10" x14ac:dyDescent="0.25">
      <c r="A224" s="1">
        <v>45</v>
      </c>
      <c r="B224" t="s">
        <v>28</v>
      </c>
      <c r="C224">
        <v>635</v>
      </c>
      <c r="D224">
        <v>1</v>
      </c>
      <c r="E224" t="s">
        <v>29</v>
      </c>
      <c r="F224" t="s">
        <v>30</v>
      </c>
      <c r="G224" t="str">
        <f>"2026-04-10 01:40:52.937"</f>
        <v>2026-04-10 01:40:52.937</v>
      </c>
      <c r="H224" t="s">
        <v>21</v>
      </c>
    </row>
    <row r="225" spans="1:10" x14ac:dyDescent="0.25">
      <c r="A225" s="1">
        <v>46</v>
      </c>
      <c r="B225" t="s">
        <v>31</v>
      </c>
      <c r="C225">
        <v>635</v>
      </c>
      <c r="D225">
        <v>1</v>
      </c>
      <c r="E225" t="s">
        <v>29</v>
      </c>
      <c r="F225" t="s">
        <v>30</v>
      </c>
      <c r="G225" t="str">
        <f>"2026-04-10 01:36:37.937"</f>
        <v>2026-04-10 01:36:37.937</v>
      </c>
      <c r="H225" t="s">
        <v>21</v>
      </c>
      <c r="I225">
        <v>6.34</v>
      </c>
      <c r="J225" t="s">
        <v>32</v>
      </c>
    </row>
    <row r="226" spans="1:10" x14ac:dyDescent="0.25">
      <c r="A226" s="1">
        <v>47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"2026-04-10 01:16:45.747"</f>
        <v>2026-04-10 01:16:45.747</v>
      </c>
      <c r="H226" t="s">
        <v>21</v>
      </c>
      <c r="I226">
        <v>0</v>
      </c>
      <c r="J226" t="s">
        <v>22</v>
      </c>
    </row>
    <row r="227" spans="1:10" x14ac:dyDescent="0.25">
      <c r="A227" s="1">
        <v>48</v>
      </c>
      <c r="B227" t="s">
        <v>28</v>
      </c>
      <c r="C227">
        <v>635</v>
      </c>
      <c r="D227">
        <v>1</v>
      </c>
      <c r="E227" t="s">
        <v>29</v>
      </c>
      <c r="F227" t="s">
        <v>30</v>
      </c>
      <c r="G227" t="str">
        <f>"2026-04-07 11:13:25.832"</f>
        <v>2026-04-07 11:13:25.832</v>
      </c>
      <c r="H227" t="s">
        <v>21</v>
      </c>
    </row>
    <row r="228" spans="1:10" x14ac:dyDescent="0.25">
      <c r="A228" s="1">
        <v>49</v>
      </c>
      <c r="B228" t="s">
        <v>31</v>
      </c>
      <c r="C228">
        <v>635</v>
      </c>
      <c r="D228">
        <v>1</v>
      </c>
      <c r="E228" t="s">
        <v>29</v>
      </c>
      <c r="F228" t="s">
        <v>30</v>
      </c>
      <c r="G228" t="str">
        <f>"2026-04-07 11:08:38.333"</f>
        <v>2026-04-07 11:08:38.333</v>
      </c>
      <c r="H228" t="s">
        <v>21</v>
      </c>
      <c r="I228">
        <v>6.16</v>
      </c>
      <c r="J228" t="s">
        <v>32</v>
      </c>
    </row>
    <row r="229" spans="1:10" x14ac:dyDescent="0.25">
      <c r="A229" s="1">
        <v>50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"2026-04-07 01:28:50.574"</f>
        <v>2026-04-07 01:28:50.574</v>
      </c>
      <c r="H229" t="s">
        <v>21</v>
      </c>
    </row>
    <row r="230" spans="1:10" x14ac:dyDescent="0.25">
      <c r="A230" s="1">
        <v>52</v>
      </c>
      <c r="B230" t="s">
        <v>28</v>
      </c>
      <c r="C230">
        <v>635</v>
      </c>
      <c r="D230">
        <v>1</v>
      </c>
      <c r="E230" t="s">
        <v>29</v>
      </c>
      <c r="F230" t="s">
        <v>30</v>
      </c>
      <c r="G230" t="str">
        <f>"2026-04-06 21:11:54.691"</f>
        <v>2026-04-06 21:11:54.691</v>
      </c>
      <c r="H230" t="s">
        <v>21</v>
      </c>
    </row>
    <row r="231" spans="1:10" x14ac:dyDescent="0.25">
      <c r="A231" s="1">
        <v>53</v>
      </c>
      <c r="B231" t="s">
        <v>31</v>
      </c>
      <c r="C231">
        <v>635</v>
      </c>
      <c r="D231">
        <v>1</v>
      </c>
      <c r="E231" t="s">
        <v>29</v>
      </c>
      <c r="F231" t="s">
        <v>30</v>
      </c>
      <c r="G231" t="str">
        <f>"2026-04-06 21:07:10.691"</f>
        <v>2026-04-06 21:07:10.691</v>
      </c>
      <c r="H231" t="s">
        <v>21</v>
      </c>
      <c r="I231">
        <v>4.3099999999999996</v>
      </c>
      <c r="J231" t="s">
        <v>32</v>
      </c>
    </row>
    <row r="232" spans="1:10" x14ac:dyDescent="0.25">
      <c r="A232" s="1">
        <v>54</v>
      </c>
      <c r="B232" t="s">
        <v>28</v>
      </c>
      <c r="C232">
        <v>635</v>
      </c>
      <c r="D232">
        <v>1</v>
      </c>
      <c r="E232" t="s">
        <v>29</v>
      </c>
      <c r="F232" t="s">
        <v>30</v>
      </c>
      <c r="G232" t="str">
        <f>"2026-04-06 16:10:05.291"</f>
        <v>2026-04-06 16:10:05.291</v>
      </c>
      <c r="H232" t="s">
        <v>21</v>
      </c>
    </row>
    <row r="233" spans="1:10" x14ac:dyDescent="0.25">
      <c r="A233" s="1">
        <v>55</v>
      </c>
      <c r="B233" t="s">
        <v>31</v>
      </c>
      <c r="C233">
        <v>635</v>
      </c>
      <c r="D233">
        <v>1</v>
      </c>
      <c r="E233" t="s">
        <v>29</v>
      </c>
      <c r="F233" t="s">
        <v>30</v>
      </c>
      <c r="G233" t="str">
        <f>"2026-04-06 16:03:36.791"</f>
        <v>2026-04-06 16:03:36.791</v>
      </c>
      <c r="H233" t="s">
        <v>21</v>
      </c>
      <c r="I233">
        <v>7.63</v>
      </c>
      <c r="J233" t="s">
        <v>32</v>
      </c>
    </row>
    <row r="234" spans="1:10" s="3" customFormat="1" x14ac:dyDescent="0.25">
      <c r="A234" s="2">
        <v>56</v>
      </c>
      <c r="B234" s="3" t="s">
        <v>28</v>
      </c>
      <c r="C234" s="3">
        <v>647</v>
      </c>
      <c r="D234" s="3">
        <v>1</v>
      </c>
      <c r="E234" s="3" t="s">
        <v>39</v>
      </c>
      <c r="F234" s="3" t="s">
        <v>40</v>
      </c>
      <c r="G234" s="3" t="str">
        <f>"2026-04-06 15:00:22.092"</f>
        <v>2026-04-06 15:00:22.092</v>
      </c>
      <c r="H234" s="3" t="s">
        <v>21</v>
      </c>
    </row>
    <row r="235" spans="1:10" s="3" customFormat="1" x14ac:dyDescent="0.25">
      <c r="A235" s="2">
        <v>57</v>
      </c>
      <c r="B235" s="3" t="s">
        <v>31</v>
      </c>
      <c r="C235" s="3">
        <v>647</v>
      </c>
      <c r="D235" s="3">
        <v>1</v>
      </c>
      <c r="E235" s="3" t="s">
        <v>39</v>
      </c>
      <c r="F235" s="3" t="s">
        <v>40</v>
      </c>
      <c r="G235" s="3" t="str">
        <f>"2026-04-06 15:00:19.392"</f>
        <v>2026-04-06 15:00:19.392</v>
      </c>
      <c r="H235" s="3" t="s">
        <v>21</v>
      </c>
      <c r="I235" s="3">
        <v>8.16</v>
      </c>
      <c r="J235" s="3" t="s">
        <v>38</v>
      </c>
    </row>
    <row r="236" spans="1:10" s="3" customFormat="1" x14ac:dyDescent="0.25">
      <c r="A236" s="2">
        <v>58</v>
      </c>
      <c r="B236" s="3" t="s">
        <v>28</v>
      </c>
      <c r="C236" s="3">
        <v>647</v>
      </c>
      <c r="D236" s="3">
        <v>1</v>
      </c>
      <c r="E236" s="3" t="s">
        <v>39</v>
      </c>
      <c r="F236" s="3" t="s">
        <v>40</v>
      </c>
      <c r="G236" s="3" t="str">
        <f>"2026-04-06 11:17:12.292"</f>
        <v>2026-04-06 11:17:12.292</v>
      </c>
      <c r="H236" s="3" t="s">
        <v>21</v>
      </c>
    </row>
    <row r="237" spans="1:10" s="3" customFormat="1" x14ac:dyDescent="0.25">
      <c r="A237" s="2">
        <v>59</v>
      </c>
      <c r="B237" s="3" t="s">
        <v>31</v>
      </c>
      <c r="C237" s="3">
        <v>647</v>
      </c>
      <c r="D237" s="3">
        <v>1</v>
      </c>
      <c r="E237" s="3" t="s">
        <v>39</v>
      </c>
      <c r="F237" s="3" t="s">
        <v>40</v>
      </c>
      <c r="G237" s="3" t="str">
        <f>"2026-04-06 11:17:08.591"</f>
        <v>2026-04-06 11:17:08.591</v>
      </c>
      <c r="H237" s="3" t="s">
        <v>21</v>
      </c>
      <c r="I237" s="3">
        <v>15.11</v>
      </c>
      <c r="J237" s="3" t="s">
        <v>38</v>
      </c>
    </row>
    <row r="238" spans="1:10" s="3" customFormat="1" x14ac:dyDescent="0.25">
      <c r="A238" s="2">
        <v>60</v>
      </c>
      <c r="B238" s="3" t="s">
        <v>28</v>
      </c>
      <c r="C238" s="3">
        <v>647</v>
      </c>
      <c r="D238" s="3">
        <v>1</v>
      </c>
      <c r="E238" s="3" t="s">
        <v>39</v>
      </c>
      <c r="F238" s="3" t="s">
        <v>40</v>
      </c>
      <c r="G238" s="3" t="str">
        <f>"2026-04-06 09:15:53.292"</f>
        <v>2026-04-06 09:15:53.292</v>
      </c>
      <c r="H238" s="3" t="s">
        <v>21</v>
      </c>
    </row>
    <row r="239" spans="1:10" s="3" customFormat="1" x14ac:dyDescent="0.25">
      <c r="A239" s="2">
        <v>61</v>
      </c>
      <c r="B239" s="3" t="s">
        <v>31</v>
      </c>
      <c r="C239" s="3">
        <v>647</v>
      </c>
      <c r="D239" s="3">
        <v>1</v>
      </c>
      <c r="E239" s="3" t="s">
        <v>39</v>
      </c>
      <c r="F239" s="3" t="s">
        <v>40</v>
      </c>
      <c r="G239" s="3" t="str">
        <f>"2026-04-06 09:15:48.792"</f>
        <v>2026-04-06 09:15:48.792</v>
      </c>
      <c r="H239" s="3" t="s">
        <v>21</v>
      </c>
      <c r="I239" s="3">
        <v>18.309999999999999</v>
      </c>
      <c r="J239" s="3" t="s">
        <v>38</v>
      </c>
    </row>
    <row r="240" spans="1:10" x14ac:dyDescent="0.25">
      <c r="A240" s="1">
        <v>62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"2026-04-04 12:50:09.554"</f>
        <v>2026-04-04 12:50:09.554</v>
      </c>
      <c r="H240" t="s">
        <v>21</v>
      </c>
    </row>
    <row r="241" spans="1:10" x14ac:dyDescent="0.25">
      <c r="A241" s="1">
        <v>63</v>
      </c>
      <c r="B241" t="s">
        <v>28</v>
      </c>
      <c r="C241">
        <v>635</v>
      </c>
      <c r="D241">
        <v>1</v>
      </c>
      <c r="E241" t="s">
        <v>29</v>
      </c>
      <c r="F241" t="s">
        <v>30</v>
      </c>
      <c r="G241" t="str">
        <f>"2026-04-04 08:10:00.727"</f>
        <v>2026-04-04 08:10:00.727</v>
      </c>
      <c r="H241" t="s">
        <v>21</v>
      </c>
    </row>
    <row r="242" spans="1:10" x14ac:dyDescent="0.25">
      <c r="A242" s="1">
        <v>64</v>
      </c>
      <c r="B242" t="s">
        <v>31</v>
      </c>
      <c r="C242">
        <v>635</v>
      </c>
      <c r="D242">
        <v>1</v>
      </c>
      <c r="E242" t="s">
        <v>29</v>
      </c>
      <c r="F242" t="s">
        <v>30</v>
      </c>
      <c r="G242" t="str">
        <f>"2026-04-04 08:05:00.727"</f>
        <v>2026-04-04 08:05:00.727</v>
      </c>
      <c r="H242" t="s">
        <v>21</v>
      </c>
      <c r="I242">
        <v>1.74</v>
      </c>
      <c r="J242" t="s">
        <v>38</v>
      </c>
    </row>
    <row r="243" spans="1:10" x14ac:dyDescent="0.25">
      <c r="A243" s="1">
        <v>65</v>
      </c>
      <c r="B243" t="s">
        <v>28</v>
      </c>
      <c r="C243">
        <v>635</v>
      </c>
      <c r="D243">
        <v>1</v>
      </c>
      <c r="E243" t="s">
        <v>29</v>
      </c>
      <c r="F243" t="s">
        <v>30</v>
      </c>
      <c r="G243" t="str">
        <f>"2026-04-03 09:46:31.927"</f>
        <v>2026-04-03 09:46:31.927</v>
      </c>
      <c r="H243" t="s">
        <v>21</v>
      </c>
    </row>
    <row r="244" spans="1:10" x14ac:dyDescent="0.25">
      <c r="A244" s="1">
        <v>66</v>
      </c>
      <c r="B244" t="s">
        <v>31</v>
      </c>
      <c r="C244">
        <v>635</v>
      </c>
      <c r="D244">
        <v>1</v>
      </c>
      <c r="E244" t="s">
        <v>29</v>
      </c>
      <c r="F244" t="s">
        <v>30</v>
      </c>
      <c r="G244" t="str">
        <f>"2026-04-03 09:42:09.427"</f>
        <v>2026-04-03 09:42:09.427</v>
      </c>
      <c r="H244" t="s">
        <v>21</v>
      </c>
      <c r="I244">
        <v>4.55</v>
      </c>
      <c r="J244" t="s">
        <v>32</v>
      </c>
    </row>
    <row r="245" spans="1:10" x14ac:dyDescent="0.25">
      <c r="A245" s="1">
        <v>67</v>
      </c>
      <c r="B245" t="s">
        <v>28</v>
      </c>
      <c r="C245">
        <v>635</v>
      </c>
      <c r="D245">
        <v>1</v>
      </c>
      <c r="E245" t="s">
        <v>29</v>
      </c>
      <c r="F245" t="s">
        <v>30</v>
      </c>
      <c r="G245" t="str">
        <f>"2026-04-03 06:31:23.327"</f>
        <v>2026-04-03 06:31:23.327</v>
      </c>
      <c r="H245" t="s">
        <v>21</v>
      </c>
    </row>
    <row r="246" spans="1:10" x14ac:dyDescent="0.25">
      <c r="A246" s="1">
        <v>68</v>
      </c>
      <c r="B246" t="s">
        <v>31</v>
      </c>
      <c r="C246">
        <v>635</v>
      </c>
      <c r="D246">
        <v>1</v>
      </c>
      <c r="E246" t="s">
        <v>29</v>
      </c>
      <c r="F246" t="s">
        <v>30</v>
      </c>
      <c r="G246" t="str">
        <f>"2026-04-03 06:14:59.827"</f>
        <v>2026-04-03 06:14:59.827</v>
      </c>
      <c r="H246" t="s">
        <v>21</v>
      </c>
      <c r="I246">
        <v>4.99</v>
      </c>
      <c r="J246" t="s">
        <v>32</v>
      </c>
    </row>
    <row r="247" spans="1:10" x14ac:dyDescent="0.25">
      <c r="A247" s="1">
        <v>69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"2026-04-03 05:25:51.565"</f>
        <v>2026-04-03 05:25:51.565</v>
      </c>
      <c r="H247" t="s">
        <v>21</v>
      </c>
    </row>
    <row r="248" spans="1:10" s="3" customFormat="1" x14ac:dyDescent="0.25">
      <c r="A248" s="2">
        <v>70</v>
      </c>
      <c r="B248" s="3" t="s">
        <v>28</v>
      </c>
      <c r="C248" s="3">
        <v>647</v>
      </c>
      <c r="D248" s="3">
        <v>1</v>
      </c>
      <c r="E248" s="3" t="s">
        <v>39</v>
      </c>
      <c r="F248" s="3" t="s">
        <v>40</v>
      </c>
      <c r="G248" s="3" t="str">
        <f>"2026-04-02 19:29:04.223"</f>
        <v>2026-04-02 19:29:04.223</v>
      </c>
      <c r="H248" s="3" t="s">
        <v>21</v>
      </c>
    </row>
    <row r="249" spans="1:10" s="3" customFormat="1" x14ac:dyDescent="0.25">
      <c r="A249" s="2">
        <v>71</v>
      </c>
      <c r="B249" s="3" t="s">
        <v>31</v>
      </c>
      <c r="C249" s="3">
        <v>647</v>
      </c>
      <c r="D249" s="3">
        <v>1</v>
      </c>
      <c r="E249" s="3" t="s">
        <v>39</v>
      </c>
      <c r="F249" s="3" t="s">
        <v>40</v>
      </c>
      <c r="G249" s="3" t="str">
        <f>"2026-04-02 19:28:59.524"</f>
        <v>2026-04-02 19:28:59.524</v>
      </c>
      <c r="H249" s="3" t="s">
        <v>21</v>
      </c>
      <c r="I249" s="3">
        <v>19.34</v>
      </c>
      <c r="J249" s="3" t="s">
        <v>38</v>
      </c>
    </row>
    <row r="250" spans="1:10" x14ac:dyDescent="0.25">
      <c r="A250" s="1">
        <v>72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"2026-04-02 14:00:48.574"</f>
        <v>2026-04-02 14:00:48.574</v>
      </c>
      <c r="H250" t="s">
        <v>21</v>
      </c>
      <c r="I250">
        <v>0</v>
      </c>
      <c r="J250" t="s">
        <v>22</v>
      </c>
    </row>
    <row r="251" spans="1:10" x14ac:dyDescent="0.25">
      <c r="A251" s="1">
        <v>73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"2026-04-02 08:32:22.572"</f>
        <v>2026-04-02 08:32:22.572</v>
      </c>
      <c r="H251" t="s">
        <v>21</v>
      </c>
    </row>
    <row r="252" spans="1:10" x14ac:dyDescent="0.25">
      <c r="A252" s="1">
        <v>74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"2026-04-02 05:18:35.546"</f>
        <v>2026-04-02 05:18:35.546</v>
      </c>
      <c r="H252" t="s">
        <v>21</v>
      </c>
    </row>
    <row r="253" spans="1:10" x14ac:dyDescent="0.25">
      <c r="A253" s="1">
        <v>75</v>
      </c>
      <c r="B253" t="s">
        <v>19</v>
      </c>
      <c r="C253">
        <v>706</v>
      </c>
      <c r="D253">
        <v>2</v>
      </c>
      <c r="E253" t="s">
        <v>34</v>
      </c>
      <c r="F253" t="s">
        <v>35</v>
      </c>
      <c r="G253" t="str">
        <f>"2026-04-02 05:16:33.352"</f>
        <v>2026-04-02 05:16:33.352</v>
      </c>
      <c r="H253" t="s">
        <v>21</v>
      </c>
      <c r="I253">
        <v>0</v>
      </c>
      <c r="J253" t="s">
        <v>36</v>
      </c>
    </row>
    <row r="254" spans="1:10" x14ac:dyDescent="0.25">
      <c r="A254" s="1">
        <v>76</v>
      </c>
      <c r="B254" t="s">
        <v>19</v>
      </c>
      <c r="C254">
        <v>706</v>
      </c>
      <c r="D254">
        <v>2</v>
      </c>
      <c r="E254" t="s">
        <v>34</v>
      </c>
      <c r="F254" t="s">
        <v>35</v>
      </c>
      <c r="G254" t="str">
        <f>"2026-04-02 05:13:35.152"</f>
        <v>2026-04-02 05:13:35.152</v>
      </c>
      <c r="H254" t="s">
        <v>21</v>
      </c>
      <c r="I254">
        <v>0</v>
      </c>
      <c r="J254" t="s">
        <v>36</v>
      </c>
    </row>
    <row r="255" spans="1:10" x14ac:dyDescent="0.25">
      <c r="A255" s="1">
        <v>77</v>
      </c>
      <c r="B255" t="s">
        <v>19</v>
      </c>
      <c r="C255">
        <v>706</v>
      </c>
      <c r="D255">
        <v>4</v>
      </c>
      <c r="E255" t="s">
        <v>34</v>
      </c>
      <c r="F255" t="s">
        <v>37</v>
      </c>
      <c r="G255" t="str">
        <f>"2026-04-02 05:13:23.462"</f>
        <v>2026-04-02 05:13:23.462</v>
      </c>
      <c r="H255" t="s">
        <v>21</v>
      </c>
      <c r="I255">
        <v>0</v>
      </c>
      <c r="J255" t="s">
        <v>36</v>
      </c>
    </row>
    <row r="256" spans="1:10" x14ac:dyDescent="0.25">
      <c r="A256" s="1">
        <v>78</v>
      </c>
      <c r="B256" t="s">
        <v>19</v>
      </c>
      <c r="C256">
        <v>706</v>
      </c>
      <c r="D256">
        <v>4</v>
      </c>
      <c r="E256" t="s">
        <v>34</v>
      </c>
      <c r="F256" t="s">
        <v>37</v>
      </c>
      <c r="G256" t="str">
        <f>"2026-04-02 05:12:39.272"</f>
        <v>2026-04-02 05:12:39.272</v>
      </c>
      <c r="H256" t="s">
        <v>21</v>
      </c>
      <c r="I256">
        <v>0</v>
      </c>
      <c r="J256" t="s">
        <v>36</v>
      </c>
    </row>
    <row r="257" spans="1:10" x14ac:dyDescent="0.25">
      <c r="A257" s="1">
        <v>79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"2026-04-02 05:09:34.562"</f>
        <v>2026-04-02 05:09:34.562</v>
      </c>
      <c r="H257" t="s">
        <v>21</v>
      </c>
      <c r="I257">
        <v>0</v>
      </c>
      <c r="J257" t="s">
        <v>22</v>
      </c>
    </row>
    <row r="258" spans="1:10" x14ac:dyDescent="0.25">
      <c r="A258" s="1">
        <v>80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"2026-04-02 03:22:53.540"</f>
        <v>2026-04-02 03:22:53.540</v>
      </c>
      <c r="H258" t="s">
        <v>21</v>
      </c>
    </row>
    <row r="259" spans="1:10" x14ac:dyDescent="0.25">
      <c r="A259" s="1">
        <v>81</v>
      </c>
      <c r="B259" t="s">
        <v>19</v>
      </c>
      <c r="C259">
        <v>706</v>
      </c>
      <c r="D259">
        <v>3</v>
      </c>
      <c r="E259" t="s">
        <v>34</v>
      </c>
      <c r="F259" t="s">
        <v>48</v>
      </c>
      <c r="G259" t="str">
        <f>"2026-04-02 03:18:42.490"</f>
        <v>2026-04-02 03:18:42.490</v>
      </c>
      <c r="H259" t="s">
        <v>21</v>
      </c>
      <c r="I259">
        <v>0</v>
      </c>
      <c r="J259" t="s">
        <v>36</v>
      </c>
    </row>
    <row r="260" spans="1:10" x14ac:dyDescent="0.25">
      <c r="A260" s="1">
        <v>82</v>
      </c>
      <c r="B260" t="s">
        <v>19</v>
      </c>
      <c r="C260">
        <v>706</v>
      </c>
      <c r="D260">
        <v>4</v>
      </c>
      <c r="E260" t="s">
        <v>34</v>
      </c>
      <c r="F260" t="s">
        <v>37</v>
      </c>
      <c r="G260" t="str">
        <f>"2026-04-01 09:25:13.810"</f>
        <v>2026-04-01 09:25:13.810</v>
      </c>
      <c r="H260" t="s">
        <v>21</v>
      </c>
      <c r="I260">
        <v>0</v>
      </c>
      <c r="J260" t="s">
        <v>36</v>
      </c>
    </row>
    <row r="261" spans="1:10" x14ac:dyDescent="0.25">
      <c r="A261" s="1">
        <v>83</v>
      </c>
      <c r="B261" t="s">
        <v>28</v>
      </c>
      <c r="C261">
        <v>635</v>
      </c>
      <c r="D261">
        <v>1</v>
      </c>
      <c r="E261" t="s">
        <v>29</v>
      </c>
      <c r="F261" t="s">
        <v>30</v>
      </c>
      <c r="G261" t="str">
        <f>"2026-03-30 18:33:10.751"</f>
        <v>2026-03-30 18:33:10.751</v>
      </c>
      <c r="H261" t="s">
        <v>21</v>
      </c>
    </row>
    <row r="262" spans="1:10" x14ac:dyDescent="0.25">
      <c r="A262" s="1">
        <v>84</v>
      </c>
      <c r="B262" t="s">
        <v>31</v>
      </c>
      <c r="C262">
        <v>635</v>
      </c>
      <c r="D262">
        <v>1</v>
      </c>
      <c r="E262" t="s">
        <v>29</v>
      </c>
      <c r="F262" t="s">
        <v>30</v>
      </c>
      <c r="G262" t="str">
        <f>"2026-03-30 18:29:35.251"</f>
        <v>2026-03-30 18:29:35.251</v>
      </c>
      <c r="H262" t="s">
        <v>21</v>
      </c>
      <c r="I262">
        <v>6.65</v>
      </c>
      <c r="J262" t="s">
        <v>27</v>
      </c>
    </row>
    <row r="263" spans="1:10" x14ac:dyDescent="0.25">
      <c r="A263" s="1">
        <v>85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"2026-03-29 12:44:03.690"</f>
        <v>2026-03-29 12:44:03.690</v>
      </c>
      <c r="H263" t="s">
        <v>21</v>
      </c>
    </row>
    <row r="264" spans="1:10" x14ac:dyDescent="0.25">
      <c r="A264" s="1">
        <v>86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"2026-03-29 02:05:38.619"</f>
        <v>2026-03-29 02:05:38.619</v>
      </c>
      <c r="H264" t="s">
        <v>21</v>
      </c>
    </row>
    <row r="265" spans="1:10" x14ac:dyDescent="0.25">
      <c r="A265" s="1">
        <v>87</v>
      </c>
      <c r="B265" t="s">
        <v>28</v>
      </c>
      <c r="C265">
        <v>635</v>
      </c>
      <c r="D265">
        <v>1</v>
      </c>
      <c r="E265" t="s">
        <v>29</v>
      </c>
      <c r="F265" t="s">
        <v>30</v>
      </c>
      <c r="G265" t="str">
        <f>"2026-03-28 18:18:24.918"</f>
        <v>2026-03-28 18:18:24.918</v>
      </c>
      <c r="H265" t="s">
        <v>21</v>
      </c>
    </row>
    <row r="266" spans="1:10" x14ac:dyDescent="0.25">
      <c r="A266" s="1">
        <v>88</v>
      </c>
      <c r="B266" t="s">
        <v>31</v>
      </c>
      <c r="C266">
        <v>635</v>
      </c>
      <c r="D266">
        <v>1</v>
      </c>
      <c r="E266" t="s">
        <v>29</v>
      </c>
      <c r="F266" t="s">
        <v>30</v>
      </c>
      <c r="G266" t="str">
        <f>"2026-03-28 18:13:00.918"</f>
        <v>2026-03-28 18:13:00.918</v>
      </c>
      <c r="H266" t="s">
        <v>21</v>
      </c>
      <c r="I266">
        <v>8.08</v>
      </c>
      <c r="J266" t="s">
        <v>27</v>
      </c>
    </row>
    <row r="267" spans="1:10" x14ac:dyDescent="0.25">
      <c r="A267" s="1">
        <v>89</v>
      </c>
      <c r="B267" t="s">
        <v>19</v>
      </c>
      <c r="C267">
        <v>706</v>
      </c>
      <c r="D267">
        <v>4</v>
      </c>
      <c r="E267" t="s">
        <v>34</v>
      </c>
      <c r="F267" t="s">
        <v>37</v>
      </c>
      <c r="G267" t="str">
        <f>"2026-03-28 12:39:50.880"</f>
        <v>2026-03-28 12:39:50.880</v>
      </c>
      <c r="H267" t="s">
        <v>21</v>
      </c>
      <c r="I267">
        <v>0</v>
      </c>
      <c r="J267" t="s">
        <v>36</v>
      </c>
    </row>
    <row r="268" spans="1:10" x14ac:dyDescent="0.25">
      <c r="A268" s="1">
        <v>90</v>
      </c>
      <c r="B268" t="s">
        <v>28</v>
      </c>
      <c r="C268">
        <v>635</v>
      </c>
      <c r="D268">
        <v>1</v>
      </c>
      <c r="E268" t="s">
        <v>29</v>
      </c>
      <c r="F268" t="s">
        <v>30</v>
      </c>
      <c r="G268" t="str">
        <f>"2026-03-27 08:56:17.918"</f>
        <v>2026-03-27 08:56:17.918</v>
      </c>
      <c r="H268" t="s">
        <v>21</v>
      </c>
    </row>
    <row r="269" spans="1:10" x14ac:dyDescent="0.25">
      <c r="A269" s="1">
        <v>91</v>
      </c>
      <c r="B269" t="s">
        <v>31</v>
      </c>
      <c r="C269">
        <v>635</v>
      </c>
      <c r="D269">
        <v>1</v>
      </c>
      <c r="E269" t="s">
        <v>29</v>
      </c>
      <c r="F269" t="s">
        <v>30</v>
      </c>
      <c r="G269" t="str">
        <f>"2026-03-27 08:49:39.019"</f>
        <v>2026-03-27 08:49:39.019</v>
      </c>
      <c r="H269" t="s">
        <v>21</v>
      </c>
      <c r="I269">
        <v>2.33</v>
      </c>
      <c r="J269" t="s">
        <v>38</v>
      </c>
    </row>
    <row r="270" spans="1:10" x14ac:dyDescent="0.25">
      <c r="A270" s="1">
        <v>92</v>
      </c>
      <c r="B270" t="s">
        <v>19</v>
      </c>
      <c r="C270">
        <v>706</v>
      </c>
      <c r="D270">
        <v>4</v>
      </c>
      <c r="E270" t="s">
        <v>34</v>
      </c>
      <c r="F270" t="s">
        <v>37</v>
      </c>
      <c r="G270" t="str">
        <f>"2026-03-27 05:50:46.400"</f>
        <v>2026-03-27 05:50:46.400</v>
      </c>
      <c r="H270" t="s">
        <v>21</v>
      </c>
      <c r="I270">
        <v>0</v>
      </c>
      <c r="J270" t="s">
        <v>36</v>
      </c>
    </row>
    <row r="271" spans="1:10" x14ac:dyDescent="0.25">
      <c r="A271" s="1">
        <v>93</v>
      </c>
      <c r="B271" t="s">
        <v>19</v>
      </c>
      <c r="C271">
        <v>706</v>
      </c>
      <c r="D271">
        <v>3</v>
      </c>
      <c r="E271" t="s">
        <v>34</v>
      </c>
      <c r="F271" t="s">
        <v>48</v>
      </c>
      <c r="G271" t="str">
        <f>"2026-03-27 05:45:43.200"</f>
        <v>2026-03-27 05:45:43.200</v>
      </c>
      <c r="H271" t="s">
        <v>21</v>
      </c>
      <c r="I271">
        <v>0</v>
      </c>
      <c r="J271" t="s">
        <v>36</v>
      </c>
    </row>
    <row r="272" spans="1:10" x14ac:dyDescent="0.25">
      <c r="A272" s="1">
        <v>94</v>
      </c>
      <c r="B272" t="s">
        <v>19</v>
      </c>
      <c r="C272">
        <v>706</v>
      </c>
      <c r="D272">
        <v>3</v>
      </c>
      <c r="E272" t="s">
        <v>34</v>
      </c>
      <c r="F272" t="s">
        <v>48</v>
      </c>
      <c r="G272" t="str">
        <f>"2026-03-27 05:25:33.850"</f>
        <v>2026-03-27 05:25:33.850</v>
      </c>
      <c r="H272" t="s">
        <v>21</v>
      </c>
      <c r="I272">
        <v>0</v>
      </c>
      <c r="J272" t="s">
        <v>36</v>
      </c>
    </row>
    <row r="273" spans="1:10" x14ac:dyDescent="0.25">
      <c r="A273" s="1">
        <v>95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"2026-03-27 05:22:06.570"</f>
        <v>2026-03-27 05:22:06.570</v>
      </c>
      <c r="H273" t="s">
        <v>21</v>
      </c>
      <c r="I273">
        <v>0</v>
      </c>
      <c r="J273" t="s">
        <v>22</v>
      </c>
    </row>
    <row r="274" spans="1:10" x14ac:dyDescent="0.25">
      <c r="A274" s="1">
        <v>96</v>
      </c>
      <c r="B274" t="s">
        <v>28</v>
      </c>
      <c r="C274">
        <v>635</v>
      </c>
      <c r="D274">
        <v>1</v>
      </c>
      <c r="E274" t="s">
        <v>29</v>
      </c>
      <c r="F274" t="s">
        <v>30</v>
      </c>
      <c r="G274" t="str">
        <f>"2026-03-26 10:44:01.203"</f>
        <v>2026-03-26 10:44:01.203</v>
      </c>
      <c r="H274" t="s">
        <v>21</v>
      </c>
    </row>
    <row r="275" spans="1:10" x14ac:dyDescent="0.25">
      <c r="A275" s="1">
        <v>97</v>
      </c>
      <c r="B275" t="s">
        <v>31</v>
      </c>
      <c r="C275">
        <v>635</v>
      </c>
      <c r="D275">
        <v>1</v>
      </c>
      <c r="E275" t="s">
        <v>29</v>
      </c>
      <c r="F275" t="s">
        <v>30</v>
      </c>
      <c r="G275" t="str">
        <f>"2026-03-26 10:34:03.703"</f>
        <v>2026-03-26 10:34:03.703</v>
      </c>
      <c r="H275" t="s">
        <v>21</v>
      </c>
      <c r="I275">
        <v>2.2000000000000002</v>
      </c>
      <c r="J275" t="s">
        <v>32</v>
      </c>
    </row>
    <row r="276" spans="1:10" x14ac:dyDescent="0.25">
      <c r="A276" s="1">
        <v>98</v>
      </c>
      <c r="B276" t="s">
        <v>19</v>
      </c>
      <c r="C276">
        <v>706</v>
      </c>
      <c r="D276">
        <v>2</v>
      </c>
      <c r="E276" t="s">
        <v>34</v>
      </c>
      <c r="F276" t="s">
        <v>35</v>
      </c>
      <c r="G276" t="str">
        <f>"2026-03-26 01:25:13.885"</f>
        <v>2026-03-26 01:25:13.885</v>
      </c>
      <c r="H276" t="s">
        <v>21</v>
      </c>
      <c r="I276">
        <v>0</v>
      </c>
      <c r="J276" t="s">
        <v>36</v>
      </c>
    </row>
    <row r="277" spans="1:10" x14ac:dyDescent="0.25">
      <c r="A277" s="1">
        <v>99</v>
      </c>
      <c r="B277" t="s">
        <v>19</v>
      </c>
      <c r="C277">
        <v>706</v>
      </c>
      <c r="D277">
        <v>3</v>
      </c>
      <c r="E277" t="s">
        <v>34</v>
      </c>
      <c r="F277" t="s">
        <v>48</v>
      </c>
      <c r="G277" t="str">
        <f>"2026-03-26 01:22:46.035"</f>
        <v>2026-03-26 01:22:46.035</v>
      </c>
      <c r="H277" t="s">
        <v>21</v>
      </c>
      <c r="I277">
        <v>0</v>
      </c>
      <c r="J277" t="s">
        <v>36</v>
      </c>
    </row>
    <row r="278" spans="1:10" x14ac:dyDescent="0.25">
      <c r="A278" s="1">
        <v>0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"2026-03-26 01:22:02.535"</f>
        <v>2026-03-26 01:22:02.535</v>
      </c>
      <c r="H278" t="s">
        <v>21</v>
      </c>
    </row>
    <row r="279" spans="1:10" x14ac:dyDescent="0.25">
      <c r="A279" s="1">
        <v>1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"2026-03-26 01:20:24.552"</f>
        <v>2026-03-26 01:20:24.552</v>
      </c>
      <c r="H279" t="s">
        <v>21</v>
      </c>
      <c r="I279">
        <v>0</v>
      </c>
      <c r="J279" t="s">
        <v>22</v>
      </c>
    </row>
    <row r="280" spans="1:10" x14ac:dyDescent="0.25">
      <c r="A280" s="1">
        <v>2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"2026-03-25 15:25:52.538"</f>
        <v>2026-03-25 15:25:52.538</v>
      </c>
      <c r="H280" t="s">
        <v>21</v>
      </c>
    </row>
    <row r="281" spans="1:10" x14ac:dyDescent="0.25">
      <c r="A281" s="1">
        <v>3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"2026-03-25 15:21:48.651"</f>
        <v>2026-03-25 15:21:48.651</v>
      </c>
      <c r="H281" t="s">
        <v>21</v>
      </c>
      <c r="I281">
        <v>0</v>
      </c>
      <c r="J281" t="s">
        <v>22</v>
      </c>
    </row>
    <row r="282" spans="1:10" s="3" customFormat="1" x14ac:dyDescent="0.25">
      <c r="A282" s="2">
        <v>5</v>
      </c>
      <c r="B282" s="3" t="s">
        <v>28</v>
      </c>
      <c r="C282" s="3">
        <v>647</v>
      </c>
      <c r="D282" s="3">
        <v>1</v>
      </c>
      <c r="E282" s="3" t="s">
        <v>39</v>
      </c>
      <c r="F282" s="3" t="s">
        <v>40</v>
      </c>
      <c r="G282" s="3" t="str">
        <f>"2026-03-24 18:54:35.990"</f>
        <v>2026-03-24 18:54:35.990</v>
      </c>
      <c r="H282" s="3" t="s">
        <v>21</v>
      </c>
    </row>
    <row r="283" spans="1:10" s="3" customFormat="1" x14ac:dyDescent="0.25">
      <c r="A283" s="2">
        <v>6</v>
      </c>
      <c r="B283" s="3" t="s">
        <v>31</v>
      </c>
      <c r="C283" s="3">
        <v>647</v>
      </c>
      <c r="D283" s="3">
        <v>1</v>
      </c>
      <c r="E283" s="3" t="s">
        <v>39</v>
      </c>
      <c r="F283" s="3" t="s">
        <v>40</v>
      </c>
      <c r="G283" s="3" t="str">
        <f>"2026-03-24 18:54:26.890"</f>
        <v>2026-03-24 18:54:26.890</v>
      </c>
      <c r="H283" s="3" t="s">
        <v>21</v>
      </c>
      <c r="I283" s="3">
        <v>9.36</v>
      </c>
      <c r="J283" s="3" t="s">
        <v>27</v>
      </c>
    </row>
    <row r="284" spans="1:10" x14ac:dyDescent="0.25">
      <c r="A284" s="1">
        <v>7</v>
      </c>
      <c r="B284" t="s">
        <v>28</v>
      </c>
      <c r="C284">
        <v>635</v>
      </c>
      <c r="D284">
        <v>1</v>
      </c>
      <c r="E284" t="s">
        <v>29</v>
      </c>
      <c r="F284" t="s">
        <v>30</v>
      </c>
      <c r="G284" t="str">
        <f>"2026-03-24 05:12:31.889"</f>
        <v>2026-03-24 05:12:31.889</v>
      </c>
      <c r="H284" t="s">
        <v>21</v>
      </c>
    </row>
    <row r="285" spans="1:10" x14ac:dyDescent="0.25">
      <c r="A285" s="1">
        <v>8</v>
      </c>
      <c r="B285" t="s">
        <v>31</v>
      </c>
      <c r="C285">
        <v>635</v>
      </c>
      <c r="D285">
        <v>1</v>
      </c>
      <c r="E285" t="s">
        <v>29</v>
      </c>
      <c r="F285" t="s">
        <v>30</v>
      </c>
      <c r="G285" t="str">
        <f>"2026-03-24 05:09:06.989"</f>
        <v>2026-03-24 05:09:06.989</v>
      </c>
      <c r="H285" t="s">
        <v>21</v>
      </c>
      <c r="I285">
        <v>7.18</v>
      </c>
      <c r="J285" t="s">
        <v>32</v>
      </c>
    </row>
    <row r="286" spans="1:10" x14ac:dyDescent="0.25">
      <c r="A286" s="1">
        <v>9</v>
      </c>
      <c r="B286" t="s">
        <v>28</v>
      </c>
      <c r="C286">
        <v>635</v>
      </c>
      <c r="D286">
        <v>1</v>
      </c>
      <c r="E286" t="s">
        <v>29</v>
      </c>
      <c r="F286" t="s">
        <v>30</v>
      </c>
      <c r="G286" t="str">
        <f>"2026-03-23 09:26:25.389"</f>
        <v>2026-03-23 09:26:25.389</v>
      </c>
      <c r="H286" t="s">
        <v>21</v>
      </c>
    </row>
    <row r="287" spans="1:10" x14ac:dyDescent="0.25">
      <c r="A287" s="1">
        <v>10</v>
      </c>
      <c r="B287" t="s">
        <v>31</v>
      </c>
      <c r="C287">
        <v>635</v>
      </c>
      <c r="D287">
        <v>1</v>
      </c>
      <c r="E287" t="s">
        <v>29</v>
      </c>
      <c r="F287" t="s">
        <v>30</v>
      </c>
      <c r="G287" t="str">
        <f>"2026-03-23 09:18:53.389"</f>
        <v>2026-03-23 09:18:53.389</v>
      </c>
      <c r="H287" t="s">
        <v>21</v>
      </c>
      <c r="I287">
        <v>8.9</v>
      </c>
      <c r="J287" t="s">
        <v>27</v>
      </c>
    </row>
    <row r="288" spans="1:10" x14ac:dyDescent="0.25">
      <c r="A288" s="1">
        <v>11</v>
      </c>
      <c r="B288" t="s">
        <v>19</v>
      </c>
      <c r="C288">
        <v>706</v>
      </c>
      <c r="D288">
        <v>4</v>
      </c>
      <c r="E288" t="s">
        <v>34</v>
      </c>
      <c r="F288" t="s">
        <v>37</v>
      </c>
      <c r="G288" t="str">
        <f>"2026-03-22 20:27:18.528"</f>
        <v>2026-03-22 20:27:18.528</v>
      </c>
      <c r="H288" t="s">
        <v>21</v>
      </c>
      <c r="I288">
        <v>0</v>
      </c>
      <c r="J288" t="s">
        <v>36</v>
      </c>
    </row>
    <row r="289" spans="1:10" x14ac:dyDescent="0.25">
      <c r="A289" s="1">
        <v>12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"2026-03-22 20:11:11.528"</f>
        <v>2026-03-22 20:11:11.528</v>
      </c>
      <c r="H289" t="s">
        <v>21</v>
      </c>
      <c r="I289">
        <v>0</v>
      </c>
      <c r="J289" t="s">
        <v>22</v>
      </c>
    </row>
    <row r="290" spans="1:10" x14ac:dyDescent="0.25">
      <c r="A290" s="1">
        <v>13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"2026-03-22 16:50:45.519"</f>
        <v>2026-03-22 16:50:45.519</v>
      </c>
      <c r="H290" t="s">
        <v>21</v>
      </c>
    </row>
    <row r="291" spans="1:10" x14ac:dyDescent="0.25">
      <c r="A291" s="1">
        <v>14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"2026-03-22 16:35:38.532"</f>
        <v>2026-03-22 16:35:38.532</v>
      </c>
      <c r="H291" t="s">
        <v>21</v>
      </c>
    </row>
    <row r="292" spans="1:10" x14ac:dyDescent="0.25">
      <c r="A292" s="1">
        <v>15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"2026-03-22 15:45:29.710"</f>
        <v>2026-03-22 15:45:29.710</v>
      </c>
      <c r="H292" t="s">
        <v>21</v>
      </c>
      <c r="I292">
        <v>0</v>
      </c>
      <c r="J292" t="s">
        <v>22</v>
      </c>
    </row>
    <row r="293" spans="1:10" x14ac:dyDescent="0.25">
      <c r="A293" s="1">
        <v>16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"2026-03-21 01:09:38.722"</f>
        <v>2026-03-21 01:09:38.722</v>
      </c>
      <c r="H293" t="s">
        <v>21</v>
      </c>
      <c r="I293">
        <v>0</v>
      </c>
      <c r="J293" t="s">
        <v>22</v>
      </c>
    </row>
    <row r="294" spans="1:10" x14ac:dyDescent="0.25">
      <c r="A294" s="1">
        <v>17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"2026-03-20 13:32:08.526"</f>
        <v>2026-03-20 13:32:08.526</v>
      </c>
      <c r="H294" t="s">
        <v>21</v>
      </c>
      <c r="I294">
        <v>0</v>
      </c>
      <c r="J294" t="s">
        <v>22</v>
      </c>
    </row>
    <row r="295" spans="1:10" x14ac:dyDescent="0.25">
      <c r="A295" s="1">
        <v>18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"2026-03-19 12:36:34.564"</f>
        <v>2026-03-19 12:36:34.564</v>
      </c>
      <c r="H295" t="s">
        <v>21</v>
      </c>
    </row>
    <row r="296" spans="1:10" x14ac:dyDescent="0.25">
      <c r="A296" s="1">
        <v>19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"2026-03-19 01:02:48.528"</f>
        <v>2026-03-19 01:02:48.528</v>
      </c>
      <c r="H296" t="s">
        <v>21</v>
      </c>
      <c r="I296">
        <v>0</v>
      </c>
      <c r="J296" t="s">
        <v>22</v>
      </c>
    </row>
    <row r="297" spans="1:10" x14ac:dyDescent="0.25">
      <c r="A297" s="1">
        <v>20</v>
      </c>
      <c r="B297" t="s">
        <v>28</v>
      </c>
      <c r="C297">
        <v>635</v>
      </c>
      <c r="D297">
        <v>1</v>
      </c>
      <c r="E297" t="s">
        <v>29</v>
      </c>
      <c r="F297" t="s">
        <v>30</v>
      </c>
      <c r="G297" t="str">
        <f>"2026-03-17 20:43:57.956"</f>
        <v>2026-03-17 20:43:57.956</v>
      </c>
      <c r="H297" t="s">
        <v>21</v>
      </c>
    </row>
    <row r="298" spans="1:10" x14ac:dyDescent="0.25">
      <c r="A298" s="1">
        <v>21</v>
      </c>
      <c r="B298" t="s">
        <v>31</v>
      </c>
      <c r="C298">
        <v>635</v>
      </c>
      <c r="D298">
        <v>1</v>
      </c>
      <c r="E298" t="s">
        <v>29</v>
      </c>
      <c r="F298" t="s">
        <v>30</v>
      </c>
      <c r="G298" t="str">
        <f>"2026-03-17 20:35:40.456"</f>
        <v>2026-03-17 20:35:40.456</v>
      </c>
      <c r="H298" t="s">
        <v>21</v>
      </c>
      <c r="I298">
        <v>2.12</v>
      </c>
      <c r="J298" t="s">
        <v>38</v>
      </c>
    </row>
    <row r="299" spans="1:10" x14ac:dyDescent="0.25">
      <c r="A299" s="1">
        <v>22</v>
      </c>
      <c r="B299" t="s">
        <v>28</v>
      </c>
      <c r="C299">
        <v>635</v>
      </c>
      <c r="D299">
        <v>1</v>
      </c>
      <c r="E299" t="s">
        <v>29</v>
      </c>
      <c r="F299" t="s">
        <v>30</v>
      </c>
      <c r="G299" t="str">
        <f>"2026-03-17 15:07:02.155"</f>
        <v>2026-03-17 15:07:02.155</v>
      </c>
      <c r="H299" t="s">
        <v>21</v>
      </c>
    </row>
    <row r="300" spans="1:10" x14ac:dyDescent="0.25">
      <c r="A300" s="1">
        <v>23</v>
      </c>
      <c r="B300" t="s">
        <v>31</v>
      </c>
      <c r="C300">
        <v>635</v>
      </c>
      <c r="D300">
        <v>1</v>
      </c>
      <c r="E300" t="s">
        <v>29</v>
      </c>
      <c r="F300" t="s">
        <v>30</v>
      </c>
      <c r="G300" t="str">
        <f>"2026-03-17 15:03:05.156"</f>
        <v>2026-03-17 15:03:05.156</v>
      </c>
      <c r="H300" t="s">
        <v>21</v>
      </c>
      <c r="I300">
        <v>7.3</v>
      </c>
      <c r="J300" t="s">
        <v>32</v>
      </c>
    </row>
    <row r="301" spans="1:10" x14ac:dyDescent="0.25">
      <c r="A301" s="1">
        <v>24</v>
      </c>
      <c r="B301" t="s">
        <v>28</v>
      </c>
      <c r="C301">
        <v>635</v>
      </c>
      <c r="D301">
        <v>1</v>
      </c>
      <c r="E301" t="s">
        <v>29</v>
      </c>
      <c r="F301" t="s">
        <v>30</v>
      </c>
      <c r="G301" t="str">
        <f>"2026-03-17 10:57:01.155"</f>
        <v>2026-03-17 10:57:01.155</v>
      </c>
      <c r="H301" t="s">
        <v>21</v>
      </c>
    </row>
    <row r="302" spans="1:10" x14ac:dyDescent="0.25">
      <c r="A302" s="1">
        <v>25</v>
      </c>
      <c r="B302" t="s">
        <v>31</v>
      </c>
      <c r="C302">
        <v>635</v>
      </c>
      <c r="D302">
        <v>1</v>
      </c>
      <c r="E302" t="s">
        <v>29</v>
      </c>
      <c r="F302" t="s">
        <v>30</v>
      </c>
      <c r="G302" t="str">
        <f>"2026-03-17 10:54:03.656"</f>
        <v>2026-03-17 10:54:03.656</v>
      </c>
      <c r="H302" t="s">
        <v>21</v>
      </c>
      <c r="I302">
        <v>7.92</v>
      </c>
      <c r="J302" t="s">
        <v>32</v>
      </c>
    </row>
    <row r="303" spans="1:10" x14ac:dyDescent="0.25">
      <c r="A303" s="1">
        <v>26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"2026-03-17 04:00:29.695"</f>
        <v>2026-03-17 04:00:29.695</v>
      </c>
      <c r="H303" t="s">
        <v>21</v>
      </c>
      <c r="I303">
        <v>0</v>
      </c>
      <c r="J303" t="s">
        <v>22</v>
      </c>
    </row>
    <row r="304" spans="1:10" x14ac:dyDescent="0.25">
      <c r="A304" s="1">
        <v>27</v>
      </c>
      <c r="B304" t="s">
        <v>28</v>
      </c>
      <c r="C304">
        <v>635</v>
      </c>
      <c r="D304">
        <v>1</v>
      </c>
      <c r="E304" t="s">
        <v>29</v>
      </c>
      <c r="F304" t="s">
        <v>30</v>
      </c>
      <c r="G304" t="str">
        <f>"2026-03-17 02:13:34.688"</f>
        <v>2026-03-17 02:13:34.688</v>
      </c>
      <c r="H304" t="s">
        <v>21</v>
      </c>
    </row>
    <row r="305" spans="1:10" x14ac:dyDescent="0.25">
      <c r="A305" s="1">
        <v>28</v>
      </c>
      <c r="B305" t="s">
        <v>31</v>
      </c>
      <c r="C305">
        <v>635</v>
      </c>
      <c r="D305">
        <v>1</v>
      </c>
      <c r="E305" t="s">
        <v>29</v>
      </c>
      <c r="F305" t="s">
        <v>30</v>
      </c>
      <c r="G305" t="str">
        <f>"2026-03-17 02:10:41.188"</f>
        <v>2026-03-17 02:10:41.188</v>
      </c>
      <c r="H305" t="s">
        <v>21</v>
      </c>
      <c r="I305">
        <v>1.92</v>
      </c>
      <c r="J305" t="s">
        <v>32</v>
      </c>
    </row>
    <row r="306" spans="1:10" x14ac:dyDescent="0.25">
      <c r="A306" s="1">
        <v>29</v>
      </c>
      <c r="B306" t="s">
        <v>19</v>
      </c>
      <c r="C306">
        <v>706</v>
      </c>
      <c r="D306">
        <v>4</v>
      </c>
      <c r="E306" t="s">
        <v>34</v>
      </c>
      <c r="F306" t="s">
        <v>37</v>
      </c>
      <c r="G306" t="str">
        <f>"2026-03-16 02:32:17.046"</f>
        <v>2026-03-16 02:32:17.046</v>
      </c>
      <c r="H306" t="s">
        <v>21</v>
      </c>
      <c r="I306">
        <v>0</v>
      </c>
      <c r="J306" t="s">
        <v>36</v>
      </c>
    </row>
    <row r="307" spans="1:10" x14ac:dyDescent="0.25">
      <c r="A307" s="1">
        <v>30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"2026-03-16 02:30:59.526"</f>
        <v>2026-03-16 02:30:59.526</v>
      </c>
      <c r="H307" t="s">
        <v>21</v>
      </c>
      <c r="I307">
        <v>0</v>
      </c>
      <c r="J307" t="s">
        <v>22</v>
      </c>
    </row>
    <row r="308" spans="1:10" x14ac:dyDescent="0.25">
      <c r="A308" s="1">
        <v>31</v>
      </c>
      <c r="B308" t="s">
        <v>28</v>
      </c>
      <c r="C308">
        <v>635</v>
      </c>
      <c r="D308">
        <v>1</v>
      </c>
      <c r="E308" t="s">
        <v>29</v>
      </c>
      <c r="F308" t="s">
        <v>30</v>
      </c>
      <c r="G308" t="str">
        <f>"2026-03-15 03:59:57.848"</f>
        <v>2026-03-15 03:59:57.848</v>
      </c>
      <c r="H308" t="s">
        <v>21</v>
      </c>
    </row>
    <row r="309" spans="1:10" x14ac:dyDescent="0.25">
      <c r="A309" s="1">
        <v>32</v>
      </c>
      <c r="B309" t="s">
        <v>31</v>
      </c>
      <c r="C309">
        <v>635</v>
      </c>
      <c r="D309">
        <v>1</v>
      </c>
      <c r="E309" t="s">
        <v>29</v>
      </c>
      <c r="F309" t="s">
        <v>30</v>
      </c>
      <c r="G309" t="str">
        <f>"2026-03-15 03:55:15.848"</f>
        <v>2026-03-15 03:55:15.848</v>
      </c>
      <c r="H309" t="s">
        <v>21</v>
      </c>
      <c r="I309">
        <v>3.51</v>
      </c>
      <c r="J309" t="s">
        <v>27</v>
      </c>
    </row>
    <row r="310" spans="1:10" x14ac:dyDescent="0.25">
      <c r="A310" s="1">
        <v>33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"2026-03-14 18:32:53.587"</f>
        <v>2026-03-14 18:32:53.587</v>
      </c>
      <c r="H310" t="s">
        <v>21</v>
      </c>
      <c r="I310">
        <v>0</v>
      </c>
      <c r="J310" t="s">
        <v>22</v>
      </c>
    </row>
    <row r="311" spans="1:10" x14ac:dyDescent="0.25">
      <c r="A311" s="1">
        <v>34</v>
      </c>
      <c r="B311" t="s">
        <v>28</v>
      </c>
      <c r="C311">
        <v>635</v>
      </c>
      <c r="D311">
        <v>1</v>
      </c>
      <c r="E311" t="s">
        <v>29</v>
      </c>
      <c r="F311" t="s">
        <v>30</v>
      </c>
      <c r="G311" t="str">
        <f>"2026-03-14 14:55:02.499"</f>
        <v>2026-03-14 14:55:02.499</v>
      </c>
      <c r="H311" t="s">
        <v>21</v>
      </c>
    </row>
    <row r="312" spans="1:10" x14ac:dyDescent="0.25">
      <c r="A312" s="1">
        <v>35</v>
      </c>
      <c r="B312" t="s">
        <v>31</v>
      </c>
      <c r="C312">
        <v>635</v>
      </c>
      <c r="D312">
        <v>1</v>
      </c>
      <c r="E312" t="s">
        <v>29</v>
      </c>
      <c r="F312" t="s">
        <v>30</v>
      </c>
      <c r="G312" t="str">
        <f>"2026-03-14 14:50:17.499"</f>
        <v>2026-03-14 14:50:17.499</v>
      </c>
      <c r="H312" t="s">
        <v>21</v>
      </c>
      <c r="I312">
        <v>6.97</v>
      </c>
      <c r="J312" t="s">
        <v>32</v>
      </c>
    </row>
    <row r="313" spans="1:10" x14ac:dyDescent="0.25">
      <c r="A313" s="1">
        <v>36</v>
      </c>
      <c r="B313" t="s">
        <v>19</v>
      </c>
      <c r="C313">
        <v>706</v>
      </c>
      <c r="D313">
        <v>2</v>
      </c>
      <c r="E313" t="s">
        <v>34</v>
      </c>
      <c r="F313" t="s">
        <v>35</v>
      </c>
      <c r="G313" t="str">
        <f>"2026-03-14 02:31:58.081"</f>
        <v>2026-03-14 02:31:58.081</v>
      </c>
      <c r="H313" t="s">
        <v>21</v>
      </c>
      <c r="I313">
        <v>0</v>
      </c>
      <c r="J313" t="s">
        <v>36</v>
      </c>
    </row>
    <row r="314" spans="1:10" x14ac:dyDescent="0.25">
      <c r="A314" s="1">
        <v>37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"2026-03-14 02:21:42.541"</f>
        <v>2026-03-14 02:21:42.541</v>
      </c>
      <c r="H314" t="s">
        <v>21</v>
      </c>
      <c r="I314">
        <v>0</v>
      </c>
      <c r="J314" t="s">
        <v>22</v>
      </c>
    </row>
    <row r="315" spans="1:10" x14ac:dyDescent="0.25">
      <c r="A315" s="1">
        <v>39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"2026-03-11 21:27:10.518"</f>
        <v>2026-03-11 21:27:10.518</v>
      </c>
      <c r="H315" t="s">
        <v>21</v>
      </c>
    </row>
    <row r="316" spans="1:10" x14ac:dyDescent="0.25">
      <c r="A316" s="1">
        <v>40</v>
      </c>
      <c r="B316" t="s">
        <v>19</v>
      </c>
      <c r="C316">
        <v>706</v>
      </c>
      <c r="D316">
        <v>2</v>
      </c>
      <c r="E316" t="s">
        <v>34</v>
      </c>
      <c r="F316" t="s">
        <v>35</v>
      </c>
      <c r="G316" t="str">
        <f>"2026-03-11 20:13:49.648"</f>
        <v>2026-03-11 20:13:49.648</v>
      </c>
      <c r="H316" t="s">
        <v>21</v>
      </c>
      <c r="I316">
        <v>0</v>
      </c>
      <c r="J316" t="s">
        <v>36</v>
      </c>
    </row>
    <row r="317" spans="1:10" x14ac:dyDescent="0.25">
      <c r="A317" s="1">
        <v>41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"2026-03-11 19:34:56.568"</f>
        <v>2026-03-11 19:34:56.568</v>
      </c>
      <c r="H317" t="s">
        <v>21</v>
      </c>
      <c r="I317">
        <v>0</v>
      </c>
      <c r="J317" t="s">
        <v>22</v>
      </c>
    </row>
    <row r="318" spans="1:10" x14ac:dyDescent="0.25">
      <c r="A318" s="1">
        <v>42</v>
      </c>
      <c r="B318" t="s">
        <v>28</v>
      </c>
      <c r="C318">
        <v>635</v>
      </c>
      <c r="D318">
        <v>1</v>
      </c>
      <c r="E318" t="s">
        <v>29</v>
      </c>
      <c r="F318" t="s">
        <v>30</v>
      </c>
      <c r="G318" t="str">
        <f>"2026-03-11 16:18:19.328"</f>
        <v>2026-03-11 16:18:19.328</v>
      </c>
      <c r="H318" t="s">
        <v>21</v>
      </c>
    </row>
    <row r="319" spans="1:10" x14ac:dyDescent="0.25">
      <c r="A319" s="1">
        <v>43</v>
      </c>
      <c r="B319" t="s">
        <v>31</v>
      </c>
      <c r="C319">
        <v>635</v>
      </c>
      <c r="D319">
        <v>1</v>
      </c>
      <c r="E319" t="s">
        <v>29</v>
      </c>
      <c r="F319" t="s">
        <v>30</v>
      </c>
      <c r="G319" t="str">
        <f>"2026-03-11 16:13:12.828"</f>
        <v>2026-03-11 16:13:12.828</v>
      </c>
      <c r="H319" t="s">
        <v>21</v>
      </c>
      <c r="I319">
        <v>3.93</v>
      </c>
      <c r="J319" t="s">
        <v>38</v>
      </c>
    </row>
    <row r="320" spans="1:10" x14ac:dyDescent="0.25">
      <c r="A320" s="1">
        <v>44</v>
      </c>
      <c r="B320" t="s">
        <v>28</v>
      </c>
      <c r="C320">
        <v>635</v>
      </c>
      <c r="D320">
        <v>1</v>
      </c>
      <c r="E320" t="s">
        <v>29</v>
      </c>
      <c r="F320" t="s">
        <v>30</v>
      </c>
      <c r="G320" t="str">
        <f>"2026-03-11 02:08:13.428"</f>
        <v>2026-03-11 02:08:13.428</v>
      </c>
      <c r="H320" t="s">
        <v>21</v>
      </c>
    </row>
    <row r="321" spans="1:10" x14ac:dyDescent="0.25">
      <c r="A321" s="1">
        <v>45</v>
      </c>
      <c r="B321" t="s">
        <v>31</v>
      </c>
      <c r="C321">
        <v>635</v>
      </c>
      <c r="D321">
        <v>1</v>
      </c>
      <c r="E321" t="s">
        <v>29</v>
      </c>
      <c r="F321" t="s">
        <v>30</v>
      </c>
      <c r="G321" t="str">
        <f>"2026-03-11 02:04:56.528"</f>
        <v>2026-03-11 02:04:56.528</v>
      </c>
      <c r="H321" t="s">
        <v>21</v>
      </c>
      <c r="I321">
        <v>6</v>
      </c>
      <c r="J321" t="s">
        <v>32</v>
      </c>
    </row>
    <row r="322" spans="1:10" x14ac:dyDescent="0.25">
      <c r="A322" s="1">
        <v>46</v>
      </c>
      <c r="B322" t="s">
        <v>28</v>
      </c>
      <c r="C322">
        <v>635</v>
      </c>
      <c r="D322">
        <v>1</v>
      </c>
      <c r="E322" t="s">
        <v>29</v>
      </c>
      <c r="F322" t="s">
        <v>30</v>
      </c>
      <c r="G322" t="str">
        <f>"2026-03-09 00:33:50.528"</f>
        <v>2026-03-09 00:33:50.528</v>
      </c>
      <c r="H322" t="s">
        <v>21</v>
      </c>
    </row>
    <row r="323" spans="1:10" x14ac:dyDescent="0.25">
      <c r="A323" s="1">
        <v>47</v>
      </c>
      <c r="B323" t="s">
        <v>31</v>
      </c>
      <c r="C323">
        <v>635</v>
      </c>
      <c r="D323">
        <v>1</v>
      </c>
      <c r="E323" t="s">
        <v>29</v>
      </c>
      <c r="F323" t="s">
        <v>30</v>
      </c>
      <c r="G323" t="str">
        <f>"2026-03-09 00:29:30.528"</f>
        <v>2026-03-09 00:29:30.528</v>
      </c>
      <c r="H323" t="s">
        <v>21</v>
      </c>
      <c r="I323">
        <v>2.27</v>
      </c>
      <c r="J323" t="s">
        <v>32</v>
      </c>
    </row>
    <row r="324" spans="1:10" x14ac:dyDescent="0.25">
      <c r="A324" s="1">
        <v>48</v>
      </c>
      <c r="B324" t="s">
        <v>19</v>
      </c>
      <c r="C324">
        <v>706</v>
      </c>
      <c r="D324">
        <v>2</v>
      </c>
      <c r="E324" t="s">
        <v>34</v>
      </c>
      <c r="F324" t="s">
        <v>35</v>
      </c>
      <c r="G324" t="str">
        <f>"2026-03-08 04:40:10.311"</f>
        <v>2026-03-08 04:40:10.311</v>
      </c>
      <c r="H324" t="s">
        <v>21</v>
      </c>
      <c r="I324">
        <v>0</v>
      </c>
      <c r="J324" t="s">
        <v>36</v>
      </c>
    </row>
    <row r="325" spans="1:10" x14ac:dyDescent="0.25">
      <c r="A325" s="1">
        <v>49</v>
      </c>
      <c r="B325" t="s">
        <v>28</v>
      </c>
      <c r="C325">
        <v>635</v>
      </c>
      <c r="D325">
        <v>1</v>
      </c>
      <c r="E325" t="s">
        <v>29</v>
      </c>
      <c r="F325" t="s">
        <v>30</v>
      </c>
      <c r="G325" t="str">
        <f>"2026-03-06 02:04:34.928"</f>
        <v>2026-03-06 02:04:34.928</v>
      </c>
      <c r="H325" t="s">
        <v>21</v>
      </c>
    </row>
    <row r="326" spans="1:10" x14ac:dyDescent="0.25">
      <c r="A326" s="1">
        <v>50</v>
      </c>
      <c r="B326" t="s">
        <v>31</v>
      </c>
      <c r="C326">
        <v>635</v>
      </c>
      <c r="D326">
        <v>1</v>
      </c>
      <c r="E326" t="s">
        <v>29</v>
      </c>
      <c r="F326" t="s">
        <v>30</v>
      </c>
      <c r="G326" t="str">
        <f>"2026-03-06 02:01:43.428"</f>
        <v>2026-03-06 02:01:43.428</v>
      </c>
      <c r="H326" t="s">
        <v>21</v>
      </c>
      <c r="I326">
        <v>5.44</v>
      </c>
      <c r="J326" t="s">
        <v>32</v>
      </c>
    </row>
    <row r="327" spans="1:10" x14ac:dyDescent="0.25">
      <c r="A327" s="1">
        <v>51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"2026-03-05 21:27:43.511"</f>
        <v>2026-03-05 21:27:43.511</v>
      </c>
      <c r="H327" t="s">
        <v>21</v>
      </c>
      <c r="I327">
        <v>0</v>
      </c>
      <c r="J327" t="s">
        <v>22</v>
      </c>
    </row>
    <row r="328" spans="1:10" x14ac:dyDescent="0.25">
      <c r="A328" s="1">
        <v>52</v>
      </c>
      <c r="B328" t="s">
        <v>28</v>
      </c>
      <c r="C328">
        <v>635</v>
      </c>
      <c r="D328">
        <v>1</v>
      </c>
      <c r="E328" t="s">
        <v>29</v>
      </c>
      <c r="F328" t="s">
        <v>30</v>
      </c>
      <c r="G328" t="str">
        <f>"2026-03-05 17:35:57.710"</f>
        <v>2026-03-05 17:35:57.710</v>
      </c>
      <c r="H328" t="s">
        <v>21</v>
      </c>
    </row>
    <row r="329" spans="1:10" x14ac:dyDescent="0.25">
      <c r="A329" s="1">
        <v>53</v>
      </c>
      <c r="B329" t="s">
        <v>31</v>
      </c>
      <c r="C329">
        <v>635</v>
      </c>
      <c r="D329">
        <v>1</v>
      </c>
      <c r="E329" t="s">
        <v>29</v>
      </c>
      <c r="F329" t="s">
        <v>30</v>
      </c>
      <c r="G329" t="str">
        <f>"2026-03-05 17:31:41.710"</f>
        <v>2026-03-05 17:31:41.710</v>
      </c>
      <c r="H329" t="s">
        <v>21</v>
      </c>
      <c r="I329">
        <v>6.11</v>
      </c>
      <c r="J329" t="s">
        <v>32</v>
      </c>
    </row>
    <row r="330" spans="1:10" x14ac:dyDescent="0.25">
      <c r="A330" s="1">
        <v>54</v>
      </c>
      <c r="B330" t="s">
        <v>28</v>
      </c>
      <c r="C330">
        <v>635</v>
      </c>
      <c r="D330">
        <v>1</v>
      </c>
      <c r="E330" t="s">
        <v>29</v>
      </c>
      <c r="F330" t="s">
        <v>30</v>
      </c>
      <c r="G330" t="str">
        <f>"2026-03-03 20:32:28.210"</f>
        <v>2026-03-03 20:32:28.210</v>
      </c>
      <c r="H330" t="s">
        <v>21</v>
      </c>
    </row>
    <row r="331" spans="1:10" x14ac:dyDescent="0.25">
      <c r="A331" s="1">
        <v>55</v>
      </c>
      <c r="B331" t="s">
        <v>31</v>
      </c>
      <c r="C331">
        <v>635</v>
      </c>
      <c r="D331">
        <v>1</v>
      </c>
      <c r="E331" t="s">
        <v>29</v>
      </c>
      <c r="F331" t="s">
        <v>30</v>
      </c>
      <c r="G331" t="str">
        <f>"2026-03-03 20:29:05.710"</f>
        <v>2026-03-03 20:29:05.710</v>
      </c>
      <c r="H331" t="s">
        <v>21</v>
      </c>
      <c r="I331">
        <v>5.5</v>
      </c>
      <c r="J331" t="s">
        <v>27</v>
      </c>
    </row>
    <row r="332" spans="1:10" x14ac:dyDescent="0.25">
      <c r="A332" s="1">
        <v>56</v>
      </c>
      <c r="B332" t="s">
        <v>28</v>
      </c>
      <c r="C332">
        <v>635</v>
      </c>
      <c r="D332">
        <v>1</v>
      </c>
      <c r="E332" t="s">
        <v>29</v>
      </c>
      <c r="F332" t="s">
        <v>30</v>
      </c>
      <c r="G332" t="str">
        <f>"2026-03-03 11:47:58.710"</f>
        <v>2026-03-03 11:47:58.710</v>
      </c>
      <c r="H332" t="s">
        <v>21</v>
      </c>
    </row>
    <row r="333" spans="1:10" x14ac:dyDescent="0.25">
      <c r="A333" s="1">
        <v>57</v>
      </c>
      <c r="B333" t="s">
        <v>31</v>
      </c>
      <c r="C333">
        <v>635</v>
      </c>
      <c r="D333">
        <v>1</v>
      </c>
      <c r="E333" t="s">
        <v>29</v>
      </c>
      <c r="F333" t="s">
        <v>30</v>
      </c>
      <c r="G333" t="str">
        <f>"2026-03-03 11:44:08.710"</f>
        <v>2026-03-03 11:44:08.710</v>
      </c>
      <c r="H333" t="s">
        <v>21</v>
      </c>
      <c r="I333">
        <v>8.33</v>
      </c>
      <c r="J333" t="s">
        <v>38</v>
      </c>
    </row>
    <row r="334" spans="1:10" x14ac:dyDescent="0.25">
      <c r="A334" s="1">
        <v>58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"2026-03-02 20:14:11.505"</f>
        <v>2026-03-02 20:14:11.505</v>
      </c>
      <c r="H334" t="s">
        <v>21</v>
      </c>
    </row>
    <row r="335" spans="1:10" x14ac:dyDescent="0.25">
      <c r="A335" s="1">
        <v>59</v>
      </c>
      <c r="B335" t="s">
        <v>28</v>
      </c>
      <c r="C335">
        <v>635</v>
      </c>
      <c r="D335">
        <v>1</v>
      </c>
      <c r="E335" t="s">
        <v>29</v>
      </c>
      <c r="F335" t="s">
        <v>30</v>
      </c>
      <c r="G335" t="str">
        <f>"2026-03-02 12:07:57.792"</f>
        <v>2026-03-02 12:07:57.792</v>
      </c>
      <c r="H335" t="s">
        <v>21</v>
      </c>
    </row>
    <row r="336" spans="1:10" x14ac:dyDescent="0.25">
      <c r="A336" s="1">
        <v>60</v>
      </c>
      <c r="B336" t="s">
        <v>31</v>
      </c>
      <c r="C336">
        <v>635</v>
      </c>
      <c r="D336">
        <v>1</v>
      </c>
      <c r="E336" t="s">
        <v>29</v>
      </c>
      <c r="F336" t="s">
        <v>30</v>
      </c>
      <c r="G336" t="str">
        <f>"2026-03-02 12:02:10.292"</f>
        <v>2026-03-02 12:02:10.292</v>
      </c>
      <c r="H336" t="s">
        <v>21</v>
      </c>
      <c r="I336">
        <v>5.03</v>
      </c>
      <c r="J336" t="s">
        <v>32</v>
      </c>
    </row>
    <row r="337" spans="1:10" x14ac:dyDescent="0.25">
      <c r="A337" s="1">
        <v>61</v>
      </c>
      <c r="B337" t="s">
        <v>28</v>
      </c>
      <c r="C337">
        <v>635</v>
      </c>
      <c r="D337">
        <v>1</v>
      </c>
      <c r="E337" t="s">
        <v>29</v>
      </c>
      <c r="F337" t="s">
        <v>30</v>
      </c>
      <c r="G337" t="str">
        <f>"2026-03-02 03:46:17.692"</f>
        <v>2026-03-02 03:46:17.692</v>
      </c>
      <c r="H337" t="s">
        <v>21</v>
      </c>
    </row>
    <row r="338" spans="1:10" x14ac:dyDescent="0.25">
      <c r="A338" s="1">
        <v>62</v>
      </c>
      <c r="B338" t="s">
        <v>31</v>
      </c>
      <c r="C338">
        <v>635</v>
      </c>
      <c r="D338">
        <v>1</v>
      </c>
      <c r="E338" t="s">
        <v>29</v>
      </c>
      <c r="F338" t="s">
        <v>30</v>
      </c>
      <c r="G338" t="str">
        <f>"2026-03-02 03:41:34.692"</f>
        <v>2026-03-02 03:41:34.692</v>
      </c>
      <c r="H338" t="s">
        <v>21</v>
      </c>
      <c r="I338">
        <v>2.83</v>
      </c>
      <c r="J338" t="s">
        <v>38</v>
      </c>
    </row>
    <row r="339" spans="1:10" x14ac:dyDescent="0.25">
      <c r="A339" s="1">
        <v>63</v>
      </c>
      <c r="B339" t="s">
        <v>28</v>
      </c>
      <c r="C339">
        <v>635</v>
      </c>
      <c r="D339">
        <v>1</v>
      </c>
      <c r="E339" t="s">
        <v>29</v>
      </c>
      <c r="F339" t="s">
        <v>30</v>
      </c>
      <c r="G339" t="str">
        <f>"2026-03-02 02:57:56.292"</f>
        <v>2026-03-02 02:57:56.292</v>
      </c>
      <c r="H339" t="s">
        <v>21</v>
      </c>
    </row>
    <row r="340" spans="1:10" x14ac:dyDescent="0.25">
      <c r="A340" s="1">
        <v>64</v>
      </c>
      <c r="B340" t="s">
        <v>31</v>
      </c>
      <c r="C340">
        <v>635</v>
      </c>
      <c r="D340">
        <v>1</v>
      </c>
      <c r="E340" t="s">
        <v>29</v>
      </c>
      <c r="F340" t="s">
        <v>30</v>
      </c>
      <c r="G340" t="str">
        <f>"2026-03-02 02:52:50.792"</f>
        <v>2026-03-02 02:52:50.792</v>
      </c>
      <c r="H340" t="s">
        <v>21</v>
      </c>
      <c r="I340">
        <v>0.6</v>
      </c>
      <c r="J340" t="s">
        <v>38</v>
      </c>
    </row>
    <row r="341" spans="1:10" x14ac:dyDescent="0.25">
      <c r="A341" s="1">
        <v>65</v>
      </c>
      <c r="B341" t="s">
        <v>28</v>
      </c>
      <c r="C341">
        <v>635</v>
      </c>
      <c r="D341">
        <v>1</v>
      </c>
      <c r="E341" t="s">
        <v>29</v>
      </c>
      <c r="F341" t="s">
        <v>30</v>
      </c>
      <c r="G341" t="str">
        <f>"2026-03-01 20:39:06.492"</f>
        <v>2026-03-01 20:39:06.492</v>
      </c>
      <c r="H341" t="s">
        <v>21</v>
      </c>
    </row>
    <row r="342" spans="1:10" x14ac:dyDescent="0.25">
      <c r="A342" s="1">
        <v>66</v>
      </c>
      <c r="B342" t="s">
        <v>31</v>
      </c>
      <c r="C342">
        <v>635</v>
      </c>
      <c r="D342">
        <v>1</v>
      </c>
      <c r="E342" t="s">
        <v>29</v>
      </c>
      <c r="F342" t="s">
        <v>30</v>
      </c>
      <c r="G342" t="str">
        <f>"2026-03-01 20:35:17.492"</f>
        <v>2026-03-01 20:35:17.492</v>
      </c>
      <c r="H342" t="s">
        <v>21</v>
      </c>
      <c r="I342">
        <v>5.18</v>
      </c>
      <c r="J342" t="s">
        <v>38</v>
      </c>
    </row>
    <row r="343" spans="1:10" x14ac:dyDescent="0.25">
      <c r="A343" s="1">
        <v>67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"2026-03-01 08:46:50.504"</f>
        <v>2026-03-01 08:46:50.504</v>
      </c>
      <c r="H343" t="s">
        <v>21</v>
      </c>
    </row>
    <row r="344" spans="1:10" x14ac:dyDescent="0.25">
      <c r="A344" s="1">
        <v>68</v>
      </c>
      <c r="B344" t="s">
        <v>19</v>
      </c>
      <c r="C344">
        <v>706</v>
      </c>
      <c r="D344">
        <v>4</v>
      </c>
      <c r="E344" t="s">
        <v>34</v>
      </c>
      <c r="F344" t="s">
        <v>37</v>
      </c>
      <c r="G344" t="str">
        <f>"2026-03-01 04:14:50.555"</f>
        <v>2026-03-01 04:14:50.555</v>
      </c>
      <c r="H344" t="s">
        <v>21</v>
      </c>
      <c r="I344">
        <v>0</v>
      </c>
      <c r="J344" t="s">
        <v>36</v>
      </c>
    </row>
    <row r="345" spans="1:10" x14ac:dyDescent="0.25">
      <c r="A345" s="1">
        <v>69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"2026-03-01 03:24:42.495"</f>
        <v>2026-03-01 03:24:42.495</v>
      </c>
      <c r="H345" t="s">
        <v>21</v>
      </c>
    </row>
    <row r="346" spans="1:10" x14ac:dyDescent="0.25">
      <c r="A346" s="1">
        <v>70</v>
      </c>
      <c r="B346" t="s">
        <v>28</v>
      </c>
      <c r="C346">
        <v>635</v>
      </c>
      <c r="D346">
        <v>1</v>
      </c>
      <c r="E346" t="s">
        <v>29</v>
      </c>
      <c r="F346" t="s">
        <v>30</v>
      </c>
      <c r="G346" t="str">
        <f>"2026-02-27 23:04:01.987"</f>
        <v>2026-02-27 23:04:01.987</v>
      </c>
      <c r="H346" t="s">
        <v>21</v>
      </c>
    </row>
    <row r="347" spans="1:10" x14ac:dyDescent="0.25">
      <c r="A347" s="1">
        <v>71</v>
      </c>
      <c r="B347" t="s">
        <v>31</v>
      </c>
      <c r="C347">
        <v>635</v>
      </c>
      <c r="D347">
        <v>1</v>
      </c>
      <c r="E347" t="s">
        <v>29</v>
      </c>
      <c r="F347" t="s">
        <v>30</v>
      </c>
      <c r="G347" t="str">
        <f>"2026-02-27 23:00:30.487"</f>
        <v>2026-02-27 23:00:30.487</v>
      </c>
      <c r="H347" t="s">
        <v>21</v>
      </c>
      <c r="I347">
        <v>5.12</v>
      </c>
      <c r="J347" t="s">
        <v>32</v>
      </c>
    </row>
    <row r="348" spans="1:10" x14ac:dyDescent="0.25">
      <c r="A348" s="1">
        <v>72</v>
      </c>
      <c r="B348" t="s">
        <v>28</v>
      </c>
      <c r="C348">
        <v>635</v>
      </c>
      <c r="D348">
        <v>1</v>
      </c>
      <c r="E348" t="s">
        <v>29</v>
      </c>
      <c r="F348" t="s">
        <v>30</v>
      </c>
      <c r="G348" t="str">
        <f>"2026-02-27 11:30:40.287"</f>
        <v>2026-02-27 11:30:40.287</v>
      </c>
      <c r="H348" t="s">
        <v>21</v>
      </c>
    </row>
    <row r="349" spans="1:10" x14ac:dyDescent="0.25">
      <c r="A349" s="1">
        <v>73</v>
      </c>
      <c r="B349" t="s">
        <v>31</v>
      </c>
      <c r="C349">
        <v>635</v>
      </c>
      <c r="D349">
        <v>1</v>
      </c>
      <c r="E349" t="s">
        <v>29</v>
      </c>
      <c r="F349" t="s">
        <v>30</v>
      </c>
      <c r="G349" t="str">
        <f>"2026-02-27 11:27:17.287"</f>
        <v>2026-02-27 11:27:17.287</v>
      </c>
      <c r="H349" t="s">
        <v>21</v>
      </c>
      <c r="I349">
        <v>6.38</v>
      </c>
      <c r="J349" t="s">
        <v>27</v>
      </c>
    </row>
    <row r="350" spans="1:10" x14ac:dyDescent="0.25">
      <c r="A350" s="1">
        <v>74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"2026-02-26 20:01:42.506"</f>
        <v>2026-02-26 20:01:42.506</v>
      </c>
      <c r="H350" t="s">
        <v>21</v>
      </c>
    </row>
    <row r="351" spans="1:10" s="3" customFormat="1" x14ac:dyDescent="0.25">
      <c r="A351" s="2">
        <v>75</v>
      </c>
      <c r="B351" s="3" t="s">
        <v>28</v>
      </c>
      <c r="C351" s="3">
        <v>647</v>
      </c>
      <c r="D351" s="3">
        <v>1</v>
      </c>
      <c r="E351" s="3" t="s">
        <v>39</v>
      </c>
      <c r="F351" s="3" t="s">
        <v>40</v>
      </c>
      <c r="G351" s="3" t="str">
        <f>"2026-02-26 17:13:40.573"</f>
        <v>2026-02-26 17:13:40.573</v>
      </c>
      <c r="H351" s="3" t="s">
        <v>21</v>
      </c>
    </row>
    <row r="352" spans="1:10" s="3" customFormat="1" x14ac:dyDescent="0.25">
      <c r="A352" s="2">
        <v>76</v>
      </c>
      <c r="B352" s="3" t="s">
        <v>31</v>
      </c>
      <c r="C352" s="3">
        <v>647</v>
      </c>
      <c r="D352" s="3">
        <v>1</v>
      </c>
      <c r="E352" s="3" t="s">
        <v>39</v>
      </c>
      <c r="F352" s="3" t="s">
        <v>40</v>
      </c>
      <c r="G352" s="3" t="str">
        <f>"2026-02-26 17:13:39.273"</f>
        <v>2026-02-26 17:13:39.273</v>
      </c>
      <c r="H352" s="3" t="s">
        <v>21</v>
      </c>
      <c r="I352" s="3">
        <v>23.11</v>
      </c>
      <c r="J352" s="3" t="s">
        <v>38</v>
      </c>
    </row>
    <row r="353" spans="1:10" x14ac:dyDescent="0.25">
      <c r="A353" s="1">
        <v>77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"2026-02-26 03:30:21.481"</f>
        <v>2026-02-26 03:30:21.481</v>
      </c>
      <c r="H353" t="s">
        <v>21</v>
      </c>
    </row>
    <row r="354" spans="1:10" x14ac:dyDescent="0.25">
      <c r="A354" s="1">
        <v>78</v>
      </c>
      <c r="B354" t="s">
        <v>19</v>
      </c>
      <c r="C354">
        <v>706</v>
      </c>
      <c r="D354">
        <v>2</v>
      </c>
      <c r="E354" t="s">
        <v>34</v>
      </c>
      <c r="F354" t="s">
        <v>35</v>
      </c>
      <c r="G354" t="str">
        <f>"2026-02-25 22:51:58.602"</f>
        <v>2026-02-25 22:51:58.602</v>
      </c>
      <c r="H354" t="s">
        <v>21</v>
      </c>
      <c r="I354">
        <v>0</v>
      </c>
      <c r="J354" t="s">
        <v>36</v>
      </c>
    </row>
    <row r="355" spans="1:10" x14ac:dyDescent="0.25">
      <c r="A355" s="1">
        <v>79</v>
      </c>
      <c r="B355" t="s">
        <v>28</v>
      </c>
      <c r="C355">
        <v>635</v>
      </c>
      <c r="D355">
        <v>1</v>
      </c>
      <c r="E355" t="s">
        <v>29</v>
      </c>
      <c r="F355" t="s">
        <v>30</v>
      </c>
      <c r="G355" t="str">
        <f>"2026-02-25 00:00:11.232"</f>
        <v>2026-02-25 00:00:11.232</v>
      </c>
      <c r="H355" t="s">
        <v>21</v>
      </c>
    </row>
    <row r="356" spans="1:10" x14ac:dyDescent="0.25">
      <c r="A356" s="1">
        <v>80</v>
      </c>
      <c r="B356" t="s">
        <v>31</v>
      </c>
      <c r="C356">
        <v>635</v>
      </c>
      <c r="D356">
        <v>1</v>
      </c>
      <c r="E356" t="s">
        <v>29</v>
      </c>
      <c r="F356" t="s">
        <v>30</v>
      </c>
      <c r="G356" t="str">
        <f>"2026-02-24 23:53:51.232"</f>
        <v>2026-02-24 23:53:51.232</v>
      </c>
      <c r="H356" t="s">
        <v>21</v>
      </c>
      <c r="I356">
        <v>3.78</v>
      </c>
      <c r="J356" t="s">
        <v>38</v>
      </c>
    </row>
    <row r="357" spans="1:10" x14ac:dyDescent="0.25">
      <c r="A357" s="1">
        <v>81</v>
      </c>
      <c r="B357" t="s">
        <v>19</v>
      </c>
      <c r="C357">
        <v>706</v>
      </c>
      <c r="D357">
        <v>2</v>
      </c>
      <c r="E357" t="s">
        <v>34</v>
      </c>
      <c r="F357" t="s">
        <v>35</v>
      </c>
      <c r="G357" t="str">
        <f>"2026-02-22 19:53:55.402"</f>
        <v>2026-02-22 19:53:55.402</v>
      </c>
      <c r="H357" t="s">
        <v>21</v>
      </c>
      <c r="I357">
        <v>0</v>
      </c>
      <c r="J357" t="s">
        <v>36</v>
      </c>
    </row>
    <row r="358" spans="1:10" x14ac:dyDescent="0.25">
      <c r="A358" s="1">
        <v>82</v>
      </c>
      <c r="B358" t="s">
        <v>28</v>
      </c>
      <c r="C358">
        <v>635</v>
      </c>
      <c r="D358">
        <v>1</v>
      </c>
      <c r="E358" t="s">
        <v>29</v>
      </c>
      <c r="F358" t="s">
        <v>30</v>
      </c>
      <c r="G358" t="str">
        <f>"2026-02-21 02:34:51.032"</f>
        <v>2026-02-21 02:34:51.032</v>
      </c>
      <c r="H358" t="s">
        <v>21</v>
      </c>
    </row>
    <row r="359" spans="1:10" x14ac:dyDescent="0.25">
      <c r="A359" s="1">
        <v>83</v>
      </c>
      <c r="B359" t="s">
        <v>31</v>
      </c>
      <c r="C359">
        <v>635</v>
      </c>
      <c r="D359">
        <v>1</v>
      </c>
      <c r="E359" t="s">
        <v>29</v>
      </c>
      <c r="F359" t="s">
        <v>30</v>
      </c>
      <c r="G359" t="str">
        <f>"2026-02-21 02:28:20.032"</f>
        <v>2026-02-21 02:28:20.032</v>
      </c>
      <c r="H359" t="s">
        <v>21</v>
      </c>
      <c r="I359">
        <v>5.96</v>
      </c>
      <c r="J359" t="s">
        <v>32</v>
      </c>
    </row>
    <row r="360" spans="1:10" x14ac:dyDescent="0.25">
      <c r="A360" s="1">
        <v>84</v>
      </c>
      <c r="B360" t="s">
        <v>19</v>
      </c>
      <c r="C360">
        <v>706</v>
      </c>
      <c r="D360">
        <v>4</v>
      </c>
      <c r="E360" t="s">
        <v>34</v>
      </c>
      <c r="F360" t="s">
        <v>37</v>
      </c>
      <c r="G360" t="str">
        <f>"2026-02-20 21:21:11.692"</f>
        <v>2026-02-20 21:21:11.692</v>
      </c>
      <c r="H360" t="s">
        <v>21</v>
      </c>
      <c r="I360">
        <v>0</v>
      </c>
      <c r="J360" t="s">
        <v>36</v>
      </c>
    </row>
    <row r="361" spans="1:10" x14ac:dyDescent="0.25">
      <c r="A361" s="1">
        <v>85</v>
      </c>
      <c r="B361" t="s">
        <v>28</v>
      </c>
      <c r="C361">
        <v>635</v>
      </c>
      <c r="D361">
        <v>1</v>
      </c>
      <c r="E361" t="s">
        <v>29</v>
      </c>
      <c r="F361" t="s">
        <v>30</v>
      </c>
      <c r="G361" t="str">
        <f>"2026-02-19 18:42:30.032"</f>
        <v>2026-02-19 18:42:30.032</v>
      </c>
      <c r="H361" t="s">
        <v>21</v>
      </c>
    </row>
    <row r="362" spans="1:10" x14ac:dyDescent="0.25">
      <c r="A362" s="1">
        <v>86</v>
      </c>
      <c r="B362" t="s">
        <v>31</v>
      </c>
      <c r="C362">
        <v>635</v>
      </c>
      <c r="D362">
        <v>1</v>
      </c>
      <c r="E362" t="s">
        <v>29</v>
      </c>
      <c r="F362" t="s">
        <v>30</v>
      </c>
      <c r="G362" t="str">
        <f>"2026-02-19 18:38:30.532"</f>
        <v>2026-02-19 18:38:30.532</v>
      </c>
      <c r="H362" t="s">
        <v>21</v>
      </c>
      <c r="I362">
        <v>5.93</v>
      </c>
      <c r="J362" t="s">
        <v>27</v>
      </c>
    </row>
    <row r="363" spans="1:10" x14ac:dyDescent="0.25">
      <c r="A363" s="1">
        <v>87</v>
      </c>
      <c r="B363" t="s">
        <v>28</v>
      </c>
      <c r="C363">
        <v>635</v>
      </c>
      <c r="D363">
        <v>1</v>
      </c>
      <c r="E363" t="s">
        <v>29</v>
      </c>
      <c r="F363" t="s">
        <v>30</v>
      </c>
      <c r="G363" t="str">
        <f>"2026-02-19 17:02:32.732"</f>
        <v>2026-02-19 17:02:32.732</v>
      </c>
      <c r="H363" t="s">
        <v>21</v>
      </c>
    </row>
    <row r="364" spans="1:10" x14ac:dyDescent="0.25">
      <c r="A364" s="1">
        <v>88</v>
      </c>
      <c r="B364" t="s">
        <v>31</v>
      </c>
      <c r="C364">
        <v>635</v>
      </c>
      <c r="D364">
        <v>1</v>
      </c>
      <c r="E364" t="s">
        <v>29</v>
      </c>
      <c r="F364" t="s">
        <v>30</v>
      </c>
      <c r="G364" t="str">
        <f>"2026-02-19 16:55:51.232"</f>
        <v>2026-02-19 16:55:51.232</v>
      </c>
      <c r="H364" t="s">
        <v>21</v>
      </c>
      <c r="I364">
        <v>6.62</v>
      </c>
      <c r="J364" t="s">
        <v>38</v>
      </c>
    </row>
    <row r="365" spans="1:10" x14ac:dyDescent="0.25">
      <c r="A365" s="1">
        <v>89</v>
      </c>
      <c r="B365" t="s">
        <v>19</v>
      </c>
      <c r="C365">
        <v>706</v>
      </c>
      <c r="D365">
        <v>4</v>
      </c>
      <c r="E365" t="s">
        <v>34</v>
      </c>
      <c r="F365" t="s">
        <v>37</v>
      </c>
      <c r="G365" t="str">
        <f>"2026-02-19 05:34:49.042"</f>
        <v>2026-02-19 05:34:49.042</v>
      </c>
      <c r="H365" t="s">
        <v>21</v>
      </c>
      <c r="I365">
        <v>0</v>
      </c>
      <c r="J365" t="s">
        <v>36</v>
      </c>
    </row>
    <row r="366" spans="1:10" x14ac:dyDescent="0.25">
      <c r="A366" s="1">
        <v>90</v>
      </c>
      <c r="B366" t="s">
        <v>19</v>
      </c>
      <c r="C366">
        <v>706</v>
      </c>
      <c r="D366">
        <v>2</v>
      </c>
      <c r="E366" t="s">
        <v>34</v>
      </c>
      <c r="F366" t="s">
        <v>35</v>
      </c>
      <c r="G366" t="str">
        <f>"2026-02-19 05:34:19.902"</f>
        <v>2026-02-19 05:34:19.902</v>
      </c>
      <c r="H366" t="s">
        <v>21</v>
      </c>
      <c r="I366">
        <v>0</v>
      </c>
      <c r="J366" t="s">
        <v>36</v>
      </c>
    </row>
    <row r="367" spans="1:10" x14ac:dyDescent="0.25">
      <c r="A367" s="1">
        <v>91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"2026-02-19 05:23:09.502"</f>
        <v>2026-02-19 05:23:09.502</v>
      </c>
      <c r="H367" t="s">
        <v>21</v>
      </c>
    </row>
    <row r="368" spans="1:10" x14ac:dyDescent="0.25">
      <c r="A368" s="1">
        <v>92</v>
      </c>
      <c r="B368" t="s">
        <v>19</v>
      </c>
      <c r="C368">
        <v>706</v>
      </c>
      <c r="D368">
        <v>2</v>
      </c>
      <c r="E368" t="s">
        <v>34</v>
      </c>
      <c r="F368" t="s">
        <v>35</v>
      </c>
      <c r="G368" t="str">
        <f>"2026-02-19 03:28:56.113"</f>
        <v>2026-02-19 03:28:56.113</v>
      </c>
      <c r="H368" t="s">
        <v>21</v>
      </c>
      <c r="I368">
        <v>0</v>
      </c>
      <c r="J368" t="s">
        <v>36</v>
      </c>
    </row>
    <row r="369" spans="1:10" x14ac:dyDescent="0.25">
      <c r="A369" s="1">
        <v>93</v>
      </c>
      <c r="B369" t="s">
        <v>19</v>
      </c>
      <c r="C369">
        <v>706</v>
      </c>
      <c r="D369">
        <v>4</v>
      </c>
      <c r="E369" t="s">
        <v>34</v>
      </c>
      <c r="F369" t="s">
        <v>37</v>
      </c>
      <c r="G369" t="str">
        <f>"2026-02-18 17:31:57.703"</f>
        <v>2026-02-18 17:31:57.703</v>
      </c>
      <c r="H369" t="s">
        <v>21</v>
      </c>
      <c r="I369">
        <v>0</v>
      </c>
      <c r="J369" t="s">
        <v>36</v>
      </c>
    </row>
    <row r="370" spans="1:10" x14ac:dyDescent="0.25">
      <c r="A370" s="1">
        <v>94</v>
      </c>
      <c r="B370" t="s">
        <v>19</v>
      </c>
      <c r="C370">
        <v>706</v>
      </c>
      <c r="D370">
        <v>2</v>
      </c>
      <c r="E370" t="s">
        <v>34</v>
      </c>
      <c r="F370" t="s">
        <v>35</v>
      </c>
      <c r="G370" t="str">
        <f>"2026-02-16 11:14:55.113"</f>
        <v>2026-02-16 11:14:55.113</v>
      </c>
      <c r="H370" t="s">
        <v>21</v>
      </c>
      <c r="I370">
        <v>0</v>
      </c>
      <c r="J370" t="s">
        <v>36</v>
      </c>
    </row>
    <row r="371" spans="1:10" x14ac:dyDescent="0.25">
      <c r="A371" s="1">
        <v>95</v>
      </c>
      <c r="B371" t="s">
        <v>28</v>
      </c>
      <c r="C371">
        <v>635</v>
      </c>
      <c r="D371">
        <v>1</v>
      </c>
      <c r="E371" t="s">
        <v>29</v>
      </c>
      <c r="F371" t="s">
        <v>30</v>
      </c>
      <c r="G371" t="str">
        <f>"2026-02-15 17:27:25.661"</f>
        <v>2026-02-15 17:27:25.661</v>
      </c>
      <c r="H371" t="s">
        <v>21</v>
      </c>
    </row>
    <row r="372" spans="1:10" x14ac:dyDescent="0.25">
      <c r="A372" s="1">
        <v>96</v>
      </c>
      <c r="B372" t="s">
        <v>31</v>
      </c>
      <c r="C372">
        <v>635</v>
      </c>
      <c r="D372">
        <v>1</v>
      </c>
      <c r="E372" t="s">
        <v>29</v>
      </c>
      <c r="F372" t="s">
        <v>30</v>
      </c>
      <c r="G372" t="str">
        <f>"2026-02-15 17:23:46.161"</f>
        <v>2026-02-15 17:23:46.161</v>
      </c>
      <c r="H372" t="s">
        <v>21</v>
      </c>
      <c r="I372">
        <v>9.0399999999999991</v>
      </c>
      <c r="J372" t="s">
        <v>38</v>
      </c>
    </row>
    <row r="373" spans="1:10" x14ac:dyDescent="0.25">
      <c r="A373" s="1">
        <v>97</v>
      </c>
      <c r="B373" t="s">
        <v>19</v>
      </c>
      <c r="C373">
        <v>706</v>
      </c>
      <c r="D373">
        <v>4</v>
      </c>
      <c r="E373" t="s">
        <v>34</v>
      </c>
      <c r="F373" t="s">
        <v>37</v>
      </c>
      <c r="G373" t="str">
        <f>"2026-02-15 12:47:55.063"</f>
        <v>2026-02-15 12:47:55.063</v>
      </c>
      <c r="H373" t="s">
        <v>21</v>
      </c>
      <c r="I373">
        <v>0</v>
      </c>
      <c r="J373" t="s">
        <v>36</v>
      </c>
    </row>
    <row r="374" spans="1:10" s="3" customFormat="1" x14ac:dyDescent="0.25">
      <c r="A374" s="2">
        <v>99</v>
      </c>
      <c r="B374" s="3" t="s">
        <v>28</v>
      </c>
      <c r="C374" s="3">
        <v>647</v>
      </c>
      <c r="D374" s="3">
        <v>1</v>
      </c>
      <c r="E374" s="3" t="s">
        <v>39</v>
      </c>
      <c r="F374" s="3" t="s">
        <v>40</v>
      </c>
      <c r="G374" s="3" t="str">
        <f>"2026-02-14 16:07:20.761"</f>
        <v>2026-02-14 16:07:20.761</v>
      </c>
      <c r="H374" s="3" t="s">
        <v>21</v>
      </c>
    </row>
    <row r="375" spans="1:10" s="3" customFormat="1" x14ac:dyDescent="0.25">
      <c r="A375" s="2">
        <v>0</v>
      </c>
      <c r="B375" s="3" t="s">
        <v>31</v>
      </c>
      <c r="C375" s="3">
        <v>647</v>
      </c>
      <c r="D375" s="3">
        <v>1</v>
      </c>
      <c r="E375" s="3" t="s">
        <v>39</v>
      </c>
      <c r="F375" s="3" t="s">
        <v>40</v>
      </c>
      <c r="G375" s="3" t="str">
        <f>"2026-02-14 16:07:16.061"</f>
        <v>2026-02-14 16:07:16.061</v>
      </c>
      <c r="H375" s="3" t="s">
        <v>21</v>
      </c>
      <c r="I375" s="3">
        <v>9.89</v>
      </c>
      <c r="J375" s="3" t="s">
        <v>38</v>
      </c>
    </row>
    <row r="376" spans="1:10" x14ac:dyDescent="0.25">
      <c r="A376" s="1">
        <v>2</v>
      </c>
      <c r="B376" t="s">
        <v>19</v>
      </c>
      <c r="C376">
        <v>706</v>
      </c>
      <c r="D376">
        <v>2</v>
      </c>
      <c r="E376" t="s">
        <v>34</v>
      </c>
      <c r="F376" t="s">
        <v>35</v>
      </c>
      <c r="G376" t="str">
        <f>"2026-02-12 12:51:30.213"</f>
        <v>2026-02-12 12:51:30.213</v>
      </c>
      <c r="H376" t="s">
        <v>21</v>
      </c>
      <c r="I376">
        <v>0</v>
      </c>
      <c r="J376" t="s">
        <v>36</v>
      </c>
    </row>
    <row r="377" spans="1:10" s="3" customFormat="1" x14ac:dyDescent="0.25">
      <c r="A377" s="2">
        <v>3</v>
      </c>
      <c r="B377" s="3" t="s">
        <v>28</v>
      </c>
      <c r="C377" s="3">
        <v>647</v>
      </c>
      <c r="D377" s="3">
        <v>1</v>
      </c>
      <c r="E377" s="3" t="s">
        <v>39</v>
      </c>
      <c r="F377" s="3" t="s">
        <v>40</v>
      </c>
      <c r="G377" s="3" t="str">
        <f>"2026-02-12 03:22:55.161"</f>
        <v>2026-02-12 03:22:55.161</v>
      </c>
      <c r="H377" s="3" t="s">
        <v>21</v>
      </c>
    </row>
    <row r="378" spans="1:10" s="3" customFormat="1" x14ac:dyDescent="0.25">
      <c r="A378" s="2">
        <v>4</v>
      </c>
      <c r="B378" s="3" t="s">
        <v>31</v>
      </c>
      <c r="C378" s="3">
        <v>647</v>
      </c>
      <c r="D378" s="3">
        <v>1</v>
      </c>
      <c r="E378" s="3" t="s">
        <v>39</v>
      </c>
      <c r="F378" s="3" t="s">
        <v>40</v>
      </c>
      <c r="G378" s="3" t="str">
        <f>"2026-02-12 03:22:49.461"</f>
        <v>2026-02-12 03:22:49.461</v>
      </c>
      <c r="H378" s="3" t="s">
        <v>21</v>
      </c>
      <c r="I378" s="3">
        <v>15.35</v>
      </c>
      <c r="J378" s="3" t="s">
        <v>38</v>
      </c>
    </row>
    <row r="379" spans="1:10" x14ac:dyDescent="0.25">
      <c r="A379" s="1">
        <v>5</v>
      </c>
      <c r="B379" t="s">
        <v>28</v>
      </c>
      <c r="C379">
        <v>635</v>
      </c>
      <c r="D379">
        <v>1</v>
      </c>
      <c r="E379" t="s">
        <v>29</v>
      </c>
      <c r="F379" t="s">
        <v>30</v>
      </c>
      <c r="G379" t="str">
        <f>"2026-02-12 01:24:47.261"</f>
        <v>2026-02-12 01:24:47.261</v>
      </c>
      <c r="H379" t="s">
        <v>21</v>
      </c>
    </row>
    <row r="380" spans="1:10" x14ac:dyDescent="0.25">
      <c r="A380" s="1">
        <v>6</v>
      </c>
      <c r="B380" t="s">
        <v>31</v>
      </c>
      <c r="C380">
        <v>635</v>
      </c>
      <c r="D380">
        <v>1</v>
      </c>
      <c r="E380" t="s">
        <v>29</v>
      </c>
      <c r="F380" t="s">
        <v>30</v>
      </c>
      <c r="G380" t="str">
        <f>"2026-02-12 01:20:40.761"</f>
        <v>2026-02-12 01:20:40.761</v>
      </c>
      <c r="H380" t="s">
        <v>21</v>
      </c>
      <c r="I380">
        <v>8.26</v>
      </c>
      <c r="J380" t="s">
        <v>32</v>
      </c>
    </row>
    <row r="381" spans="1:10" x14ac:dyDescent="0.25">
      <c r="A381" s="1">
        <v>7</v>
      </c>
      <c r="B381" t="s">
        <v>28</v>
      </c>
      <c r="C381">
        <v>635</v>
      </c>
      <c r="D381">
        <v>1</v>
      </c>
      <c r="E381" t="s">
        <v>29</v>
      </c>
      <c r="F381" t="s">
        <v>30</v>
      </c>
      <c r="G381" t="str">
        <f>"2026-02-12 01:08:37.861"</f>
        <v>2026-02-12 01:08:37.861</v>
      </c>
      <c r="H381" t="s">
        <v>21</v>
      </c>
    </row>
    <row r="382" spans="1:10" x14ac:dyDescent="0.25">
      <c r="A382" s="1">
        <v>8</v>
      </c>
      <c r="B382" t="s">
        <v>31</v>
      </c>
      <c r="C382">
        <v>635</v>
      </c>
      <c r="D382">
        <v>1</v>
      </c>
      <c r="E382" t="s">
        <v>29</v>
      </c>
      <c r="F382" t="s">
        <v>30</v>
      </c>
      <c r="G382" t="str">
        <f>"2026-02-12 01:04:35.361"</f>
        <v>2026-02-12 01:04:35.361</v>
      </c>
      <c r="H382" t="s">
        <v>21</v>
      </c>
      <c r="I382">
        <v>7.2</v>
      </c>
      <c r="J382" t="s">
        <v>32</v>
      </c>
    </row>
    <row r="383" spans="1:10" s="3" customFormat="1" x14ac:dyDescent="0.25">
      <c r="A383" s="2">
        <v>9</v>
      </c>
      <c r="B383" s="3" t="s">
        <v>28</v>
      </c>
      <c r="C383" s="3">
        <v>647</v>
      </c>
      <c r="D383" s="3">
        <v>1</v>
      </c>
      <c r="E383" s="3" t="s">
        <v>39</v>
      </c>
      <c r="F383" s="3" t="s">
        <v>40</v>
      </c>
      <c r="G383" s="3" t="str">
        <f>"2026-02-11 20:34:31.661"</f>
        <v>2026-02-11 20:34:31.661</v>
      </c>
      <c r="H383" s="3" t="s">
        <v>21</v>
      </c>
    </row>
    <row r="384" spans="1:10" s="3" customFormat="1" x14ac:dyDescent="0.25">
      <c r="A384" s="2">
        <v>10</v>
      </c>
      <c r="B384" s="3" t="s">
        <v>31</v>
      </c>
      <c r="C384" s="3">
        <v>647</v>
      </c>
      <c r="D384" s="3">
        <v>1</v>
      </c>
      <c r="E384" s="3" t="s">
        <v>39</v>
      </c>
      <c r="F384" s="3" t="s">
        <v>40</v>
      </c>
      <c r="G384" s="3" t="str">
        <f>"2026-02-11 20:34:29.761"</f>
        <v>2026-02-11 20:34:29.761</v>
      </c>
      <c r="H384" s="3" t="s">
        <v>21</v>
      </c>
      <c r="I384" s="3">
        <v>8.75</v>
      </c>
      <c r="J384" s="3" t="s">
        <v>38</v>
      </c>
    </row>
    <row r="385" spans="1:10" x14ac:dyDescent="0.25">
      <c r="A385" s="1">
        <v>11</v>
      </c>
      <c r="B385" t="s">
        <v>28</v>
      </c>
      <c r="C385">
        <v>635</v>
      </c>
      <c r="D385">
        <v>1</v>
      </c>
      <c r="E385" t="s">
        <v>29</v>
      </c>
      <c r="F385" t="s">
        <v>30</v>
      </c>
      <c r="G385" t="str">
        <f>"2026-02-11 15:44:24.361"</f>
        <v>2026-02-11 15:44:24.361</v>
      </c>
      <c r="H385" t="s">
        <v>21</v>
      </c>
    </row>
    <row r="386" spans="1:10" x14ac:dyDescent="0.25">
      <c r="A386" s="1">
        <v>12</v>
      </c>
      <c r="B386" t="s">
        <v>31</v>
      </c>
      <c r="C386">
        <v>635</v>
      </c>
      <c r="D386">
        <v>1</v>
      </c>
      <c r="E386" t="s">
        <v>29</v>
      </c>
      <c r="F386" t="s">
        <v>30</v>
      </c>
      <c r="G386" t="str">
        <f>"2026-02-11 15:12:12.361"</f>
        <v>2026-02-11 15:12:12.361</v>
      </c>
      <c r="H386" t="s">
        <v>21</v>
      </c>
      <c r="I386">
        <v>7.18</v>
      </c>
      <c r="J386" t="s">
        <v>38</v>
      </c>
    </row>
    <row r="387" spans="1:10" x14ac:dyDescent="0.25">
      <c r="A387" s="1">
        <v>13</v>
      </c>
      <c r="B387" t="s">
        <v>28</v>
      </c>
      <c r="C387">
        <v>635</v>
      </c>
      <c r="D387">
        <v>1</v>
      </c>
      <c r="E387" t="s">
        <v>29</v>
      </c>
      <c r="F387" t="s">
        <v>30</v>
      </c>
      <c r="G387" t="str">
        <f>"2026-02-10 07:27:59.361"</f>
        <v>2026-02-10 07:27:59.361</v>
      </c>
      <c r="H387" t="s">
        <v>21</v>
      </c>
    </row>
    <row r="388" spans="1:10" x14ac:dyDescent="0.25">
      <c r="A388" s="1">
        <v>14</v>
      </c>
      <c r="B388" t="s">
        <v>31</v>
      </c>
      <c r="C388">
        <v>635</v>
      </c>
      <c r="D388">
        <v>1</v>
      </c>
      <c r="E388" t="s">
        <v>29</v>
      </c>
      <c r="F388" t="s">
        <v>30</v>
      </c>
      <c r="G388" t="str">
        <f>"2026-02-10 07:23:03.360"</f>
        <v>2026-02-10 07:23:03.360</v>
      </c>
      <c r="H388" t="s">
        <v>21</v>
      </c>
      <c r="I388">
        <v>5.41</v>
      </c>
      <c r="J388" t="s">
        <v>27</v>
      </c>
    </row>
    <row r="389" spans="1:10" x14ac:dyDescent="0.25">
      <c r="A389" s="1">
        <v>15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"2026-02-08 00:06:23.473"</f>
        <v>2026-02-08 00:06:23.473</v>
      </c>
      <c r="H389" t="s">
        <v>21</v>
      </c>
      <c r="I389">
        <v>0</v>
      </c>
      <c r="J389" t="s">
        <v>22</v>
      </c>
    </row>
    <row r="390" spans="1:10" x14ac:dyDescent="0.25">
      <c r="A390" s="1">
        <v>16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"2026-02-07 23:34:26.521"</f>
        <v>2026-02-07 23:34:26.521</v>
      </c>
      <c r="H390" t="s">
        <v>21</v>
      </c>
      <c r="I390">
        <v>0</v>
      </c>
      <c r="J390" t="s">
        <v>22</v>
      </c>
    </row>
    <row r="391" spans="1:10" x14ac:dyDescent="0.25">
      <c r="A391" s="1">
        <v>17</v>
      </c>
      <c r="B391" t="s">
        <v>19</v>
      </c>
      <c r="C391">
        <v>706</v>
      </c>
      <c r="D391">
        <v>2</v>
      </c>
      <c r="E391" t="s">
        <v>34</v>
      </c>
      <c r="F391" t="s">
        <v>35</v>
      </c>
      <c r="G391" t="str">
        <f>"2026-02-07 23:28:41.302"</f>
        <v>2026-02-07 23:28:41.302</v>
      </c>
      <c r="H391" t="s">
        <v>21</v>
      </c>
      <c r="I391">
        <v>0</v>
      </c>
      <c r="J391" t="s">
        <v>36</v>
      </c>
    </row>
    <row r="392" spans="1:10" x14ac:dyDescent="0.25">
      <c r="A392" s="1">
        <v>18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"2026-02-07 23:28:20.452"</f>
        <v>2026-02-07 23:28:20.452</v>
      </c>
      <c r="H392" t="s">
        <v>21</v>
      </c>
    </row>
    <row r="393" spans="1:10" x14ac:dyDescent="0.25">
      <c r="A393" s="1">
        <v>19</v>
      </c>
      <c r="B393" t="s">
        <v>19</v>
      </c>
      <c r="C393">
        <v>706</v>
      </c>
      <c r="D393">
        <v>4</v>
      </c>
      <c r="E393" t="s">
        <v>34</v>
      </c>
      <c r="F393" t="s">
        <v>37</v>
      </c>
      <c r="G393" t="str">
        <f>"2026-02-07 22:40:05.456"</f>
        <v>2026-02-07 22:40:05.456</v>
      </c>
      <c r="H393" t="s">
        <v>21</v>
      </c>
      <c r="I393">
        <v>0</v>
      </c>
      <c r="J393" t="s">
        <v>36</v>
      </c>
    </row>
    <row r="394" spans="1:10" x14ac:dyDescent="0.25">
      <c r="A394" s="1">
        <v>20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"2026-02-07 22:36:56.486"</f>
        <v>2026-02-07 22:36:56.486</v>
      </c>
      <c r="H394" t="s">
        <v>21</v>
      </c>
    </row>
    <row r="395" spans="1:10" s="3" customFormat="1" x14ac:dyDescent="0.25">
      <c r="A395" s="2">
        <v>21</v>
      </c>
      <c r="B395" s="3" t="s">
        <v>28</v>
      </c>
      <c r="C395" s="3">
        <v>647</v>
      </c>
      <c r="D395" s="3">
        <v>1</v>
      </c>
      <c r="E395" s="3" t="s">
        <v>39</v>
      </c>
      <c r="F395" s="3" t="s">
        <v>40</v>
      </c>
      <c r="G395" s="3" t="str">
        <f>"2026-02-07 10:29:29.504"</f>
        <v>2026-02-07 10:29:29.504</v>
      </c>
      <c r="H395" s="3" t="s">
        <v>21</v>
      </c>
    </row>
    <row r="396" spans="1:10" s="3" customFormat="1" x14ac:dyDescent="0.25">
      <c r="A396" s="2">
        <v>22</v>
      </c>
      <c r="B396" s="3" t="s">
        <v>31</v>
      </c>
      <c r="C396" s="3">
        <v>647</v>
      </c>
      <c r="D396" s="3">
        <v>1</v>
      </c>
      <c r="E396" s="3" t="s">
        <v>39</v>
      </c>
      <c r="F396" s="3" t="s">
        <v>40</v>
      </c>
      <c r="G396" s="3" t="str">
        <f>"2026-02-07 10:29:27.204"</f>
        <v>2026-02-07 10:29:27.204</v>
      </c>
      <c r="H396" s="3" t="s">
        <v>21</v>
      </c>
      <c r="I396" s="3">
        <v>17.55</v>
      </c>
      <c r="J396" s="3" t="s">
        <v>38</v>
      </c>
    </row>
    <row r="397" spans="1:10" x14ac:dyDescent="0.25">
      <c r="A397" s="1">
        <v>23</v>
      </c>
      <c r="B397" t="s">
        <v>19</v>
      </c>
      <c r="C397">
        <v>706</v>
      </c>
      <c r="D397">
        <v>2</v>
      </c>
      <c r="E397" t="s">
        <v>34</v>
      </c>
      <c r="F397" t="s">
        <v>35</v>
      </c>
      <c r="G397" t="str">
        <f>"2026-02-06 13:19:04.612"</f>
        <v>2026-02-06 13:19:04.612</v>
      </c>
      <c r="H397" t="s">
        <v>21</v>
      </c>
      <c r="I397">
        <v>0</v>
      </c>
      <c r="J397" t="s">
        <v>36</v>
      </c>
    </row>
    <row r="398" spans="1:10" x14ac:dyDescent="0.25">
      <c r="A398" s="1">
        <v>24</v>
      </c>
      <c r="B398" t="s">
        <v>28</v>
      </c>
      <c r="C398">
        <v>635</v>
      </c>
      <c r="D398">
        <v>1</v>
      </c>
      <c r="E398" t="s">
        <v>29</v>
      </c>
      <c r="F398" t="s">
        <v>30</v>
      </c>
      <c r="G398" t="str">
        <f>"2026-02-04 21:39:48.055"</f>
        <v>2026-02-04 21:39:48.055</v>
      </c>
      <c r="H398" t="s">
        <v>21</v>
      </c>
    </row>
    <row r="399" spans="1:10" x14ac:dyDescent="0.25">
      <c r="A399" s="1">
        <v>25</v>
      </c>
      <c r="B399" t="s">
        <v>31</v>
      </c>
      <c r="C399">
        <v>635</v>
      </c>
      <c r="D399">
        <v>1</v>
      </c>
      <c r="E399" t="s">
        <v>29</v>
      </c>
      <c r="F399" t="s">
        <v>30</v>
      </c>
      <c r="G399" t="str">
        <f>"2026-02-04 21:35:59.555"</f>
        <v>2026-02-04 21:35:59.555</v>
      </c>
      <c r="H399" t="s">
        <v>21</v>
      </c>
      <c r="I399">
        <v>6.26</v>
      </c>
      <c r="J399" t="s">
        <v>32</v>
      </c>
    </row>
    <row r="400" spans="1:10" x14ac:dyDescent="0.25">
      <c r="A400" s="1">
        <v>26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"2026-02-01 13:04:38.462"</f>
        <v>2026-02-01 13:04:38.462</v>
      </c>
      <c r="H400" t="s">
        <v>21</v>
      </c>
      <c r="I400">
        <v>0</v>
      </c>
      <c r="J400" t="s">
        <v>22</v>
      </c>
    </row>
    <row r="401" spans="1:10" x14ac:dyDescent="0.25">
      <c r="A401" s="1">
        <v>27</v>
      </c>
      <c r="B401" t="s">
        <v>28</v>
      </c>
      <c r="C401">
        <v>635</v>
      </c>
      <c r="D401">
        <v>1</v>
      </c>
      <c r="E401" t="s">
        <v>29</v>
      </c>
      <c r="F401" t="s">
        <v>30</v>
      </c>
      <c r="G401" t="str">
        <f>"2026-01-30 09:52:39.487"</f>
        <v>2026-01-30 09:52:39.487</v>
      </c>
      <c r="H401" t="s">
        <v>21</v>
      </c>
    </row>
    <row r="402" spans="1:10" x14ac:dyDescent="0.25">
      <c r="A402" s="1">
        <v>28</v>
      </c>
      <c r="B402" t="s">
        <v>31</v>
      </c>
      <c r="C402">
        <v>635</v>
      </c>
      <c r="D402">
        <v>1</v>
      </c>
      <c r="E402" t="s">
        <v>29</v>
      </c>
      <c r="F402" t="s">
        <v>30</v>
      </c>
      <c r="G402" t="str">
        <f>"2026-01-30 09:47:30.487"</f>
        <v>2026-01-30 09:47:30.487</v>
      </c>
      <c r="H402" t="s">
        <v>21</v>
      </c>
      <c r="I402">
        <v>6.11</v>
      </c>
      <c r="J402" t="s">
        <v>38</v>
      </c>
    </row>
    <row r="403" spans="1:10" x14ac:dyDescent="0.25">
      <c r="A403" s="1">
        <v>29</v>
      </c>
      <c r="B403" t="s">
        <v>28</v>
      </c>
      <c r="C403">
        <v>635</v>
      </c>
      <c r="D403">
        <v>1</v>
      </c>
      <c r="E403" t="s">
        <v>29</v>
      </c>
      <c r="F403" t="s">
        <v>30</v>
      </c>
      <c r="G403" t="str">
        <f>"2026-01-29 11:35:30.987"</f>
        <v>2026-01-29 11:35:30.987</v>
      </c>
      <c r="H403" t="s">
        <v>21</v>
      </c>
    </row>
    <row r="404" spans="1:10" x14ac:dyDescent="0.25">
      <c r="A404" s="1">
        <v>30</v>
      </c>
      <c r="B404" t="s">
        <v>31</v>
      </c>
      <c r="C404">
        <v>635</v>
      </c>
      <c r="D404">
        <v>1</v>
      </c>
      <c r="E404" t="s">
        <v>29</v>
      </c>
      <c r="F404" t="s">
        <v>30</v>
      </c>
      <c r="G404" t="str">
        <f>"2026-01-29 11:28:04.087"</f>
        <v>2026-01-29 11:28:04.087</v>
      </c>
      <c r="H404" t="s">
        <v>21</v>
      </c>
      <c r="I404">
        <v>5.2</v>
      </c>
      <c r="J404" t="s">
        <v>32</v>
      </c>
    </row>
    <row r="405" spans="1:10" x14ac:dyDescent="0.25">
      <c r="A405" s="1">
        <v>31</v>
      </c>
      <c r="B405" t="s">
        <v>28</v>
      </c>
      <c r="C405">
        <v>635</v>
      </c>
      <c r="D405">
        <v>1</v>
      </c>
      <c r="E405" t="s">
        <v>29</v>
      </c>
      <c r="F405" t="s">
        <v>30</v>
      </c>
      <c r="G405" t="str">
        <f>"2026-01-29 09:35:57.787"</f>
        <v>2026-01-29 09:35:57.787</v>
      </c>
      <c r="H405" t="s">
        <v>21</v>
      </c>
    </row>
    <row r="406" spans="1:10" x14ac:dyDescent="0.25">
      <c r="A406" s="1">
        <v>32</v>
      </c>
      <c r="B406" t="s">
        <v>31</v>
      </c>
      <c r="C406">
        <v>635</v>
      </c>
      <c r="D406">
        <v>1</v>
      </c>
      <c r="E406" t="s">
        <v>29</v>
      </c>
      <c r="F406" t="s">
        <v>30</v>
      </c>
      <c r="G406" t="str">
        <f>"2026-01-29 09:25:58.287"</f>
        <v>2026-01-29 09:25:58.287</v>
      </c>
      <c r="H406" t="s">
        <v>21</v>
      </c>
      <c r="I406">
        <v>6.83</v>
      </c>
      <c r="J406" t="s">
        <v>38</v>
      </c>
    </row>
    <row r="407" spans="1:10" s="3" customFormat="1" x14ac:dyDescent="0.25">
      <c r="A407" s="2">
        <v>33</v>
      </c>
      <c r="B407" s="3" t="s">
        <v>28</v>
      </c>
      <c r="C407" s="3">
        <v>647</v>
      </c>
      <c r="D407" s="3">
        <v>1</v>
      </c>
      <c r="E407" s="3" t="s">
        <v>39</v>
      </c>
      <c r="F407" s="3" t="s">
        <v>40</v>
      </c>
      <c r="G407" s="3" t="str">
        <f>"2026-01-29 01:05:46.641"</f>
        <v>2026-01-29 01:05:46.641</v>
      </c>
      <c r="H407" s="3" t="s">
        <v>21</v>
      </c>
    </row>
    <row r="408" spans="1:10" s="3" customFormat="1" x14ac:dyDescent="0.25">
      <c r="A408" s="2">
        <v>34</v>
      </c>
      <c r="B408" s="3" t="s">
        <v>31</v>
      </c>
      <c r="C408" s="3">
        <v>647</v>
      </c>
      <c r="D408" s="3">
        <v>1</v>
      </c>
      <c r="E408" s="3" t="s">
        <v>39</v>
      </c>
      <c r="F408" s="3" t="s">
        <v>40</v>
      </c>
      <c r="G408" s="3" t="str">
        <f>"2026-01-29 01:05:44.541"</f>
        <v>2026-01-29 01:05:44.541</v>
      </c>
      <c r="H408" s="3" t="s">
        <v>21</v>
      </c>
      <c r="I408" s="3">
        <v>24.22</v>
      </c>
      <c r="J408" s="3" t="s">
        <v>38</v>
      </c>
    </row>
    <row r="409" spans="1:10" s="3" customFormat="1" x14ac:dyDescent="0.25">
      <c r="A409" s="2">
        <v>35</v>
      </c>
      <c r="B409" s="3" t="s">
        <v>28</v>
      </c>
      <c r="C409" s="3">
        <v>647</v>
      </c>
      <c r="D409" s="3">
        <v>1</v>
      </c>
      <c r="E409" s="3" t="s">
        <v>39</v>
      </c>
      <c r="F409" s="3" t="s">
        <v>40</v>
      </c>
      <c r="G409" s="3" t="str">
        <f>"2026-01-29 01:04:40.741"</f>
        <v>2026-01-29 01:04:40.741</v>
      </c>
      <c r="H409" s="3" t="s">
        <v>21</v>
      </c>
    </row>
    <row r="410" spans="1:10" s="3" customFormat="1" x14ac:dyDescent="0.25">
      <c r="A410" s="2">
        <v>36</v>
      </c>
      <c r="B410" s="3" t="s">
        <v>31</v>
      </c>
      <c r="C410" s="3">
        <v>647</v>
      </c>
      <c r="D410" s="3">
        <v>1</v>
      </c>
      <c r="E410" s="3" t="s">
        <v>39</v>
      </c>
      <c r="F410" s="3" t="s">
        <v>40</v>
      </c>
      <c r="G410" s="3" t="str">
        <f>"2026-01-29 01:04:39.241"</f>
        <v>2026-01-29 01:04:39.241</v>
      </c>
      <c r="H410" s="3" t="s">
        <v>21</v>
      </c>
      <c r="I410" s="3">
        <v>12.66</v>
      </c>
      <c r="J410" s="3" t="s">
        <v>38</v>
      </c>
    </row>
    <row r="411" spans="1:10" s="3" customFormat="1" x14ac:dyDescent="0.25">
      <c r="A411" s="2">
        <v>37</v>
      </c>
      <c r="B411" s="3" t="s">
        <v>28</v>
      </c>
      <c r="C411" s="3">
        <v>647</v>
      </c>
      <c r="D411" s="3">
        <v>1</v>
      </c>
      <c r="E411" s="3" t="s">
        <v>39</v>
      </c>
      <c r="F411" s="3" t="s">
        <v>40</v>
      </c>
      <c r="G411" s="3" t="str">
        <f>"2026-01-28 07:28:01.441"</f>
        <v>2026-01-28 07:28:01.441</v>
      </c>
      <c r="H411" s="3" t="s">
        <v>21</v>
      </c>
    </row>
    <row r="412" spans="1:10" s="3" customFormat="1" x14ac:dyDescent="0.25">
      <c r="A412" s="2">
        <v>38</v>
      </c>
      <c r="B412" s="3" t="s">
        <v>31</v>
      </c>
      <c r="C412" s="3">
        <v>647</v>
      </c>
      <c r="D412" s="3">
        <v>1</v>
      </c>
      <c r="E412" s="3" t="s">
        <v>39</v>
      </c>
      <c r="F412" s="3" t="s">
        <v>40</v>
      </c>
      <c r="G412" s="3" t="str">
        <f>"2026-01-28 07:28:00.041"</f>
        <v>2026-01-28 07:28:00.041</v>
      </c>
      <c r="H412" s="3" t="s">
        <v>21</v>
      </c>
      <c r="I412" s="3">
        <v>16.329999999999998</v>
      </c>
      <c r="J412" s="3" t="s">
        <v>38</v>
      </c>
    </row>
    <row r="413" spans="1:10" s="3" customFormat="1" x14ac:dyDescent="0.25">
      <c r="A413" s="2">
        <v>39</v>
      </c>
      <c r="B413" s="3" t="s">
        <v>28</v>
      </c>
      <c r="C413" s="3">
        <v>647</v>
      </c>
      <c r="D413" s="3">
        <v>1</v>
      </c>
      <c r="E413" s="3" t="s">
        <v>39</v>
      </c>
      <c r="F413" s="3" t="s">
        <v>40</v>
      </c>
      <c r="G413" s="3" t="str">
        <f>"2026-01-28 06:31:08.441"</f>
        <v>2026-01-28 06:31:08.441</v>
      </c>
      <c r="H413" s="3" t="s">
        <v>21</v>
      </c>
    </row>
    <row r="414" spans="1:10" s="3" customFormat="1" x14ac:dyDescent="0.25">
      <c r="A414" s="2">
        <v>40</v>
      </c>
      <c r="B414" s="3" t="s">
        <v>31</v>
      </c>
      <c r="C414" s="3">
        <v>647</v>
      </c>
      <c r="D414" s="3">
        <v>1</v>
      </c>
      <c r="E414" s="3" t="s">
        <v>39</v>
      </c>
      <c r="F414" s="3" t="s">
        <v>40</v>
      </c>
      <c r="G414" s="3" t="str">
        <f>"2026-01-28 06:31:06.341"</f>
        <v>2026-01-28 06:31:06.341</v>
      </c>
      <c r="H414" s="3" t="s">
        <v>21</v>
      </c>
      <c r="I414" s="3">
        <v>11.45</v>
      </c>
      <c r="J414" s="3" t="s">
        <v>38</v>
      </c>
    </row>
    <row r="415" spans="1:10" s="3" customFormat="1" x14ac:dyDescent="0.25">
      <c r="A415" s="2">
        <v>41</v>
      </c>
      <c r="B415" s="3" t="s">
        <v>28</v>
      </c>
      <c r="C415" s="3">
        <v>647</v>
      </c>
      <c r="D415" s="3">
        <v>1</v>
      </c>
      <c r="E415" s="3" t="s">
        <v>39</v>
      </c>
      <c r="F415" s="3" t="s">
        <v>40</v>
      </c>
      <c r="G415" s="3" t="str">
        <f>"2026-01-28 06:31:04.641"</f>
        <v>2026-01-28 06:31:04.641</v>
      </c>
      <c r="H415" s="3" t="s">
        <v>21</v>
      </c>
    </row>
    <row r="416" spans="1:10" s="3" customFormat="1" x14ac:dyDescent="0.25">
      <c r="A416" s="2">
        <v>42</v>
      </c>
      <c r="B416" s="3" t="s">
        <v>31</v>
      </c>
      <c r="C416" s="3">
        <v>647</v>
      </c>
      <c r="D416" s="3">
        <v>1</v>
      </c>
      <c r="E416" s="3" t="s">
        <v>39</v>
      </c>
      <c r="F416" s="3" t="s">
        <v>40</v>
      </c>
      <c r="G416" s="3" t="str">
        <f>"2026-01-28 06:30:55.541"</f>
        <v>2026-01-28 06:30:55.541</v>
      </c>
      <c r="H416" s="3" t="s">
        <v>21</v>
      </c>
      <c r="I416" s="3">
        <v>9.1</v>
      </c>
      <c r="J416" s="3" t="s">
        <v>38</v>
      </c>
    </row>
    <row r="417" spans="1:10" s="3" customFormat="1" x14ac:dyDescent="0.25">
      <c r="A417" s="2">
        <v>43</v>
      </c>
      <c r="B417" s="3" t="s">
        <v>28</v>
      </c>
      <c r="C417" s="3">
        <v>647</v>
      </c>
      <c r="D417" s="3">
        <v>1</v>
      </c>
      <c r="E417" s="3" t="s">
        <v>39</v>
      </c>
      <c r="F417" s="3" t="s">
        <v>40</v>
      </c>
      <c r="G417" s="3" t="str">
        <f>"2026-01-28 06:30:44.641"</f>
        <v>2026-01-28 06:30:44.641</v>
      </c>
      <c r="H417" s="3" t="s">
        <v>21</v>
      </c>
    </row>
    <row r="418" spans="1:10" s="3" customFormat="1" x14ac:dyDescent="0.25">
      <c r="A418" s="2">
        <v>44</v>
      </c>
      <c r="B418" s="3" t="s">
        <v>31</v>
      </c>
      <c r="C418" s="3">
        <v>647</v>
      </c>
      <c r="D418" s="3">
        <v>1</v>
      </c>
      <c r="E418" s="3" t="s">
        <v>39</v>
      </c>
      <c r="F418" s="3" t="s">
        <v>40</v>
      </c>
      <c r="G418" s="3" t="str">
        <f>"2026-01-28 06:30:43.341"</f>
        <v>2026-01-28 06:30:43.341</v>
      </c>
      <c r="H418" s="3" t="s">
        <v>21</v>
      </c>
      <c r="I418" s="3">
        <v>11.47</v>
      </c>
      <c r="J418" s="3" t="s">
        <v>38</v>
      </c>
    </row>
    <row r="419" spans="1:10" s="3" customFormat="1" x14ac:dyDescent="0.25">
      <c r="A419" s="2">
        <v>45</v>
      </c>
      <c r="B419" s="3" t="s">
        <v>28</v>
      </c>
      <c r="C419" s="3">
        <v>647</v>
      </c>
      <c r="D419" s="3">
        <v>1</v>
      </c>
      <c r="E419" s="3" t="s">
        <v>39</v>
      </c>
      <c r="F419" s="3" t="s">
        <v>40</v>
      </c>
      <c r="G419" s="3" t="str">
        <f>"2026-01-28 06:30:39.441"</f>
        <v>2026-01-28 06:30:39.441</v>
      </c>
      <c r="H419" s="3" t="s">
        <v>21</v>
      </c>
    </row>
    <row r="420" spans="1:10" s="3" customFormat="1" x14ac:dyDescent="0.25">
      <c r="A420" s="2">
        <v>46</v>
      </c>
      <c r="B420" s="3" t="s">
        <v>31</v>
      </c>
      <c r="C420" s="3">
        <v>647</v>
      </c>
      <c r="D420" s="3">
        <v>1</v>
      </c>
      <c r="E420" s="3" t="s">
        <v>39</v>
      </c>
      <c r="F420" s="3" t="s">
        <v>40</v>
      </c>
      <c r="G420" s="3" t="str">
        <f>"2026-01-28 06:30:36.141"</f>
        <v>2026-01-28 06:30:36.141</v>
      </c>
      <c r="H420" s="3" t="s">
        <v>21</v>
      </c>
      <c r="I420" s="3">
        <v>14.27</v>
      </c>
      <c r="J420" s="3" t="s">
        <v>38</v>
      </c>
    </row>
    <row r="421" spans="1:10" x14ac:dyDescent="0.25">
      <c r="A421" s="1">
        <v>47</v>
      </c>
      <c r="B421" t="s">
        <v>19</v>
      </c>
      <c r="C421">
        <v>706</v>
      </c>
      <c r="D421">
        <v>2</v>
      </c>
      <c r="E421" t="s">
        <v>34</v>
      </c>
      <c r="F421" t="s">
        <v>35</v>
      </c>
      <c r="G421" t="str">
        <f>"2026-01-28 06:21:58.446"</f>
        <v>2026-01-28 06:21:58.446</v>
      </c>
      <c r="H421" t="s">
        <v>21</v>
      </c>
      <c r="I421">
        <v>0</v>
      </c>
      <c r="J421" t="s">
        <v>36</v>
      </c>
    </row>
    <row r="422" spans="1:10" x14ac:dyDescent="0.25">
      <c r="A422" s="1">
        <v>48</v>
      </c>
      <c r="B422" t="s">
        <v>19</v>
      </c>
      <c r="C422">
        <v>706</v>
      </c>
      <c r="D422">
        <v>4</v>
      </c>
      <c r="E422" t="s">
        <v>34</v>
      </c>
      <c r="F422" t="s">
        <v>37</v>
      </c>
      <c r="G422" t="str">
        <f>"2026-01-28 06:05:24.536"</f>
        <v>2026-01-28 06:05:24.536</v>
      </c>
      <c r="H422" t="s">
        <v>21</v>
      </c>
      <c r="I422">
        <v>0</v>
      </c>
      <c r="J422" t="s">
        <v>36</v>
      </c>
    </row>
    <row r="423" spans="1:10" x14ac:dyDescent="0.25">
      <c r="A423" s="1">
        <v>49</v>
      </c>
      <c r="B423" t="s">
        <v>19</v>
      </c>
      <c r="C423">
        <v>706</v>
      </c>
      <c r="D423">
        <v>2</v>
      </c>
      <c r="E423" t="s">
        <v>34</v>
      </c>
      <c r="F423" t="s">
        <v>35</v>
      </c>
      <c r="G423" t="str">
        <f>"2026-01-28 05:57:05.146"</f>
        <v>2026-01-28 05:57:05.146</v>
      </c>
      <c r="H423" t="s">
        <v>21</v>
      </c>
      <c r="I423">
        <v>0</v>
      </c>
      <c r="J423" t="s">
        <v>36</v>
      </c>
    </row>
    <row r="424" spans="1:10" x14ac:dyDescent="0.25">
      <c r="A424" s="1">
        <v>50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"2026-01-28 05:52:46.446"</f>
        <v>2026-01-28 05:52:46.446</v>
      </c>
      <c r="H424" t="s">
        <v>21</v>
      </c>
      <c r="I424">
        <v>0</v>
      </c>
      <c r="J424" t="s">
        <v>22</v>
      </c>
    </row>
    <row r="425" spans="1:10" x14ac:dyDescent="0.25">
      <c r="A425" s="1">
        <v>51</v>
      </c>
      <c r="B425" t="s">
        <v>19</v>
      </c>
      <c r="C425">
        <v>706</v>
      </c>
      <c r="D425">
        <v>4</v>
      </c>
      <c r="E425" t="s">
        <v>34</v>
      </c>
      <c r="F425" t="s">
        <v>37</v>
      </c>
      <c r="G425" t="str">
        <f>"2026-01-28 05:50:53.054"</f>
        <v>2026-01-28 05:50:53.054</v>
      </c>
      <c r="H425" t="s">
        <v>21</v>
      </c>
      <c r="I425">
        <v>0</v>
      </c>
      <c r="J425" t="s">
        <v>36</v>
      </c>
    </row>
    <row r="426" spans="1:10" x14ac:dyDescent="0.25">
      <c r="A426" s="1">
        <v>52</v>
      </c>
      <c r="B426" t="s">
        <v>19</v>
      </c>
      <c r="C426">
        <v>706</v>
      </c>
      <c r="D426">
        <v>4</v>
      </c>
      <c r="E426" t="s">
        <v>34</v>
      </c>
      <c r="F426" t="s">
        <v>37</v>
      </c>
      <c r="G426" t="str">
        <f>"2026-01-28 05:50:44.254"</f>
        <v>2026-01-28 05:50:44.254</v>
      </c>
      <c r="H426" t="s">
        <v>21</v>
      </c>
      <c r="I426">
        <v>0</v>
      </c>
      <c r="J426" t="s">
        <v>36</v>
      </c>
    </row>
    <row r="427" spans="1:10" x14ac:dyDescent="0.25">
      <c r="A427" s="1">
        <v>53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"2026-01-28 05:38:34.454"</f>
        <v>2026-01-28 05:38:34.454</v>
      </c>
      <c r="H427" t="s">
        <v>21</v>
      </c>
      <c r="I427">
        <v>0</v>
      </c>
      <c r="J427" t="s">
        <v>22</v>
      </c>
    </row>
    <row r="428" spans="1:10" x14ac:dyDescent="0.25">
      <c r="A428" s="1">
        <v>54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"2026-01-28 04:00:09.687"</f>
        <v>2026-01-28 04:00:09.687</v>
      </c>
      <c r="H428" t="s">
        <v>21</v>
      </c>
      <c r="I428">
        <v>0</v>
      </c>
      <c r="J428" t="s">
        <v>22</v>
      </c>
    </row>
    <row r="429" spans="1:10" x14ac:dyDescent="0.25">
      <c r="A429" s="1">
        <v>56</v>
      </c>
      <c r="B429" t="s">
        <v>28</v>
      </c>
      <c r="C429">
        <v>635</v>
      </c>
      <c r="D429">
        <v>1</v>
      </c>
      <c r="E429" t="s">
        <v>29</v>
      </c>
      <c r="F429" t="s">
        <v>30</v>
      </c>
      <c r="G429" t="str">
        <f>"2026-01-27 14:51:03.839"</f>
        <v>2026-01-27 14:51:03.839</v>
      </c>
      <c r="H429" t="s">
        <v>21</v>
      </c>
    </row>
    <row r="430" spans="1:10" x14ac:dyDescent="0.25">
      <c r="A430" s="1">
        <v>57</v>
      </c>
      <c r="B430" t="s">
        <v>31</v>
      </c>
      <c r="C430">
        <v>635</v>
      </c>
      <c r="D430">
        <v>1</v>
      </c>
      <c r="E430" t="s">
        <v>29</v>
      </c>
      <c r="F430" t="s">
        <v>30</v>
      </c>
      <c r="G430" t="str">
        <f>"2026-01-27 14:47:43.340"</f>
        <v>2026-01-27 14:47:43.340</v>
      </c>
      <c r="H430" t="s">
        <v>21</v>
      </c>
      <c r="I430">
        <v>9.39</v>
      </c>
      <c r="J430" t="s">
        <v>32</v>
      </c>
    </row>
    <row r="431" spans="1:10" x14ac:dyDescent="0.25">
      <c r="A431" s="1">
        <v>58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"2026-01-27 13:46:54.478"</f>
        <v>2026-01-27 13:46:54.478</v>
      </c>
      <c r="H431" t="s">
        <v>21</v>
      </c>
      <c r="I431">
        <v>0</v>
      </c>
      <c r="J431" t="s">
        <v>22</v>
      </c>
    </row>
    <row r="432" spans="1:10" x14ac:dyDescent="0.25">
      <c r="A432" s="1">
        <v>63</v>
      </c>
      <c r="B432" t="s">
        <v>28</v>
      </c>
      <c r="C432">
        <v>635</v>
      </c>
      <c r="D432">
        <v>1</v>
      </c>
      <c r="E432" t="s">
        <v>29</v>
      </c>
      <c r="F432" t="s">
        <v>30</v>
      </c>
      <c r="G432" t="str">
        <f>"2026-01-26 10:36:45.305"</f>
        <v>2026-01-26 10:36:45.305</v>
      </c>
      <c r="H432" t="s">
        <v>21</v>
      </c>
    </row>
    <row r="433" spans="1:10" x14ac:dyDescent="0.25">
      <c r="A433" s="1">
        <v>64</v>
      </c>
      <c r="B433" t="s">
        <v>31</v>
      </c>
      <c r="C433">
        <v>635</v>
      </c>
      <c r="D433">
        <v>1</v>
      </c>
      <c r="E433" t="s">
        <v>29</v>
      </c>
      <c r="F433" t="s">
        <v>30</v>
      </c>
      <c r="G433" t="str">
        <f>"2026-01-26 10:33:41.805"</f>
        <v>2026-01-26 10:33:41.805</v>
      </c>
      <c r="H433" t="s">
        <v>21</v>
      </c>
      <c r="I433">
        <v>8.25</v>
      </c>
      <c r="J433" t="s">
        <v>32</v>
      </c>
    </row>
    <row r="434" spans="1:10" x14ac:dyDescent="0.25">
      <c r="A434" s="1">
        <v>68</v>
      </c>
      <c r="B434" t="s">
        <v>28</v>
      </c>
      <c r="C434">
        <v>635</v>
      </c>
      <c r="D434">
        <v>1</v>
      </c>
      <c r="E434" t="s">
        <v>29</v>
      </c>
      <c r="F434" t="s">
        <v>30</v>
      </c>
      <c r="G434" t="str">
        <f>"2026-01-25 10:58:24.505"</f>
        <v>2026-01-25 10:58:24.505</v>
      </c>
      <c r="H434" t="s">
        <v>21</v>
      </c>
    </row>
    <row r="435" spans="1:10" x14ac:dyDescent="0.25">
      <c r="A435" s="1">
        <v>69</v>
      </c>
      <c r="B435" t="s">
        <v>31</v>
      </c>
      <c r="C435">
        <v>635</v>
      </c>
      <c r="D435">
        <v>1</v>
      </c>
      <c r="E435" t="s">
        <v>29</v>
      </c>
      <c r="F435" t="s">
        <v>30</v>
      </c>
      <c r="G435" t="str">
        <f>"2026-01-25 10:44:43.505"</f>
        <v>2026-01-25 10:44:43.505</v>
      </c>
      <c r="H435" t="s">
        <v>21</v>
      </c>
      <c r="I435">
        <v>7.27</v>
      </c>
      <c r="J435" t="s">
        <v>32</v>
      </c>
    </row>
    <row r="436" spans="1:10" x14ac:dyDescent="0.25">
      <c r="A436" s="1">
        <v>71</v>
      </c>
      <c r="B436" t="s">
        <v>28</v>
      </c>
      <c r="C436">
        <v>635</v>
      </c>
      <c r="D436">
        <v>1</v>
      </c>
      <c r="E436" t="s">
        <v>29</v>
      </c>
      <c r="F436" t="s">
        <v>30</v>
      </c>
      <c r="G436" t="str">
        <f>"2026-01-23 17:14:21.105"</f>
        <v>2026-01-23 17:14:21.105</v>
      </c>
      <c r="H436" t="s">
        <v>21</v>
      </c>
    </row>
    <row r="437" spans="1:10" x14ac:dyDescent="0.25">
      <c r="A437" s="1">
        <v>72</v>
      </c>
      <c r="B437" t="s">
        <v>31</v>
      </c>
      <c r="C437">
        <v>635</v>
      </c>
      <c r="D437">
        <v>1</v>
      </c>
      <c r="E437" t="s">
        <v>29</v>
      </c>
      <c r="F437" t="s">
        <v>30</v>
      </c>
      <c r="G437" t="str">
        <f>"2026-01-23 17:10:09.105"</f>
        <v>2026-01-23 17:10:09.105</v>
      </c>
      <c r="H437" t="s">
        <v>21</v>
      </c>
      <c r="I437">
        <v>9.18</v>
      </c>
      <c r="J437" t="s">
        <v>38</v>
      </c>
    </row>
    <row r="438" spans="1:10" x14ac:dyDescent="0.25">
      <c r="A438" s="1">
        <v>73</v>
      </c>
      <c r="B438" t="s">
        <v>28</v>
      </c>
      <c r="C438">
        <v>635</v>
      </c>
      <c r="D438">
        <v>1</v>
      </c>
      <c r="E438" t="s">
        <v>29</v>
      </c>
      <c r="F438" t="s">
        <v>30</v>
      </c>
      <c r="G438" t="str">
        <f>"2026-01-22 08:35:08.705"</f>
        <v>2026-01-22 08:35:08.705</v>
      </c>
      <c r="H438" t="s">
        <v>21</v>
      </c>
    </row>
    <row r="439" spans="1:10" x14ac:dyDescent="0.25">
      <c r="A439" s="1">
        <v>74</v>
      </c>
      <c r="B439" t="s">
        <v>31</v>
      </c>
      <c r="C439">
        <v>635</v>
      </c>
      <c r="D439">
        <v>1</v>
      </c>
      <c r="E439" t="s">
        <v>29</v>
      </c>
      <c r="F439" t="s">
        <v>30</v>
      </c>
      <c r="G439" t="str">
        <f>"2026-01-22 08:31:09.205"</f>
        <v>2026-01-22 08:31:09.205</v>
      </c>
      <c r="H439" t="s">
        <v>21</v>
      </c>
      <c r="I439">
        <v>5.92</v>
      </c>
      <c r="J439" t="s">
        <v>32</v>
      </c>
    </row>
    <row r="440" spans="1:10" s="3" customFormat="1" x14ac:dyDescent="0.25">
      <c r="A440" s="2">
        <v>75</v>
      </c>
      <c r="B440" s="3" t="s">
        <v>28</v>
      </c>
      <c r="C440" s="3">
        <v>647</v>
      </c>
      <c r="D440" s="3">
        <v>1</v>
      </c>
      <c r="E440" s="3" t="s">
        <v>39</v>
      </c>
      <c r="F440" s="3" t="s">
        <v>40</v>
      </c>
      <c r="G440" s="3" t="str">
        <f>"2026-01-22 05:38:49.259"</f>
        <v>2026-01-22 05:38:49.259</v>
      </c>
      <c r="H440" s="3" t="s">
        <v>21</v>
      </c>
    </row>
    <row r="441" spans="1:10" s="3" customFormat="1" x14ac:dyDescent="0.25">
      <c r="A441" s="2">
        <v>76</v>
      </c>
      <c r="B441" s="3" t="s">
        <v>31</v>
      </c>
      <c r="C441" s="3">
        <v>647</v>
      </c>
      <c r="D441" s="3">
        <v>1</v>
      </c>
      <c r="E441" s="3" t="s">
        <v>39</v>
      </c>
      <c r="F441" s="3" t="s">
        <v>40</v>
      </c>
      <c r="G441" s="3" t="str">
        <f>"2026-01-22 05:38:42.159"</f>
        <v>2026-01-22 05:38:42.159</v>
      </c>
      <c r="H441" s="3" t="s">
        <v>21</v>
      </c>
      <c r="I441" s="3">
        <v>14.16</v>
      </c>
      <c r="J441" s="3" t="s">
        <v>38</v>
      </c>
    </row>
    <row r="442" spans="1:10" x14ac:dyDescent="0.25">
      <c r="A442" s="1">
        <v>77</v>
      </c>
      <c r="B442" t="s">
        <v>28</v>
      </c>
      <c r="C442">
        <v>635</v>
      </c>
      <c r="D442">
        <v>1</v>
      </c>
      <c r="E442" t="s">
        <v>29</v>
      </c>
      <c r="F442" t="s">
        <v>30</v>
      </c>
      <c r="G442" t="str">
        <f>"2026-01-21 15:54:38.005"</f>
        <v>2026-01-21 15:54:38.005</v>
      </c>
      <c r="H442" t="s">
        <v>21</v>
      </c>
    </row>
    <row r="443" spans="1:10" x14ac:dyDescent="0.25">
      <c r="A443" s="1">
        <v>78</v>
      </c>
      <c r="B443" t="s">
        <v>31</v>
      </c>
      <c r="C443">
        <v>635</v>
      </c>
      <c r="D443">
        <v>1</v>
      </c>
      <c r="E443" t="s">
        <v>29</v>
      </c>
      <c r="F443" t="s">
        <v>30</v>
      </c>
      <c r="G443" t="str">
        <f>"2026-01-21 15:52:20.005"</f>
        <v>2026-01-21 15:52:20.005</v>
      </c>
      <c r="H443" t="s">
        <v>21</v>
      </c>
      <c r="I443">
        <v>8.51</v>
      </c>
      <c r="J443" t="s">
        <v>32</v>
      </c>
    </row>
    <row r="444" spans="1:10" x14ac:dyDescent="0.25">
      <c r="A444" s="1">
        <v>80</v>
      </c>
      <c r="B444" t="s">
        <v>28</v>
      </c>
      <c r="C444">
        <v>635</v>
      </c>
      <c r="D444">
        <v>1</v>
      </c>
      <c r="E444" t="s">
        <v>29</v>
      </c>
      <c r="F444" t="s">
        <v>30</v>
      </c>
      <c r="G444" t="str">
        <f>"2026-01-20 17:01:30.104"</f>
        <v>2026-01-20 17:01:30.104</v>
      </c>
      <c r="H444" t="s">
        <v>21</v>
      </c>
    </row>
    <row r="445" spans="1:10" x14ac:dyDescent="0.25">
      <c r="A445" s="1">
        <v>81</v>
      </c>
      <c r="B445" t="s">
        <v>31</v>
      </c>
      <c r="C445">
        <v>635</v>
      </c>
      <c r="D445">
        <v>1</v>
      </c>
      <c r="E445" t="s">
        <v>29</v>
      </c>
      <c r="F445" t="s">
        <v>30</v>
      </c>
      <c r="G445" t="str">
        <f>"2026-01-20 16:58:07.605"</f>
        <v>2026-01-20 16:58:07.605</v>
      </c>
      <c r="H445" t="s">
        <v>21</v>
      </c>
      <c r="I445">
        <v>7.93</v>
      </c>
      <c r="J445" t="s">
        <v>27</v>
      </c>
    </row>
    <row r="446" spans="1:10" x14ac:dyDescent="0.25">
      <c r="A446" s="1">
        <v>82</v>
      </c>
      <c r="B446" t="s">
        <v>28</v>
      </c>
      <c r="C446">
        <v>635</v>
      </c>
      <c r="D446">
        <v>1</v>
      </c>
      <c r="E446" t="s">
        <v>29</v>
      </c>
      <c r="F446" t="s">
        <v>30</v>
      </c>
      <c r="G446" t="str">
        <f>"2026-01-20 02:51:09.105"</f>
        <v>2026-01-20 02:51:09.105</v>
      </c>
      <c r="H446" t="s">
        <v>21</v>
      </c>
    </row>
    <row r="447" spans="1:10" x14ac:dyDescent="0.25">
      <c r="A447" s="1">
        <v>83</v>
      </c>
      <c r="B447" t="s">
        <v>31</v>
      </c>
      <c r="C447">
        <v>635</v>
      </c>
      <c r="D447">
        <v>1</v>
      </c>
      <c r="E447" t="s">
        <v>29</v>
      </c>
      <c r="F447" t="s">
        <v>30</v>
      </c>
      <c r="G447" t="str">
        <f>"2026-01-20 02:47:36.605"</f>
        <v>2026-01-20 02:47:36.605</v>
      </c>
      <c r="H447" t="s">
        <v>21</v>
      </c>
      <c r="I447">
        <v>7.92</v>
      </c>
      <c r="J447" t="s">
        <v>32</v>
      </c>
    </row>
    <row r="448" spans="1:10" x14ac:dyDescent="0.25">
      <c r="A448" s="1">
        <v>84</v>
      </c>
      <c r="B448" t="s">
        <v>28</v>
      </c>
      <c r="C448">
        <v>98</v>
      </c>
      <c r="D448">
        <v>1</v>
      </c>
      <c r="E448" t="s">
        <v>49</v>
      </c>
      <c r="F448" t="s">
        <v>50</v>
      </c>
      <c r="G448" t="str">
        <f>"2026-01-19 19:44:31.558"</f>
        <v>2026-01-19 19:44:31.558</v>
      </c>
      <c r="H448" t="s">
        <v>21</v>
      </c>
    </row>
    <row r="449" spans="1:10" x14ac:dyDescent="0.25">
      <c r="A449" s="1">
        <v>85</v>
      </c>
      <c r="B449" t="s">
        <v>31</v>
      </c>
      <c r="C449">
        <v>98</v>
      </c>
      <c r="D449">
        <v>1</v>
      </c>
      <c r="E449" t="s">
        <v>49</v>
      </c>
      <c r="F449" t="s">
        <v>50</v>
      </c>
      <c r="G449" t="str">
        <f>"2026-01-19 19:44:30.559"</f>
        <v>2026-01-19 19:44:30.559</v>
      </c>
      <c r="H449" t="s">
        <v>21</v>
      </c>
      <c r="I449">
        <v>0</v>
      </c>
      <c r="J449" t="s">
        <v>27</v>
      </c>
    </row>
    <row r="450" spans="1:10" x14ac:dyDescent="0.25">
      <c r="A450" s="1">
        <v>86</v>
      </c>
      <c r="B450" t="s">
        <v>28</v>
      </c>
      <c r="C450">
        <v>635</v>
      </c>
      <c r="D450">
        <v>1</v>
      </c>
      <c r="E450" t="s">
        <v>29</v>
      </c>
      <c r="F450" t="s">
        <v>30</v>
      </c>
      <c r="G450" t="str">
        <f>"2026-01-19 11:26:29.805"</f>
        <v>2026-01-19 11:26:29.805</v>
      </c>
      <c r="H450" t="s">
        <v>21</v>
      </c>
    </row>
    <row r="451" spans="1:10" x14ac:dyDescent="0.25">
      <c r="A451" s="1">
        <v>87</v>
      </c>
      <c r="B451" t="s">
        <v>31</v>
      </c>
      <c r="C451">
        <v>635</v>
      </c>
      <c r="D451">
        <v>1</v>
      </c>
      <c r="E451" t="s">
        <v>29</v>
      </c>
      <c r="F451" t="s">
        <v>30</v>
      </c>
      <c r="G451" t="str">
        <f>"2026-01-19 11:23:18.805"</f>
        <v>2026-01-19 11:23:18.805</v>
      </c>
      <c r="H451" t="s">
        <v>21</v>
      </c>
      <c r="I451">
        <v>9.82</v>
      </c>
      <c r="J451" t="s">
        <v>27</v>
      </c>
    </row>
    <row r="452" spans="1:10" s="3" customFormat="1" x14ac:dyDescent="0.25">
      <c r="A452" s="2">
        <v>88</v>
      </c>
      <c r="B452" s="3" t="s">
        <v>28</v>
      </c>
      <c r="C452" s="3">
        <v>647</v>
      </c>
      <c r="D452" s="3">
        <v>1</v>
      </c>
      <c r="E452" s="3" t="s">
        <v>39</v>
      </c>
      <c r="F452" s="3" t="s">
        <v>40</v>
      </c>
      <c r="G452" s="3" t="str">
        <f>"2026-01-18 22:22:16.259"</f>
        <v>2026-01-18 22:22:16.259</v>
      </c>
      <c r="H452" s="3" t="s">
        <v>21</v>
      </c>
    </row>
    <row r="453" spans="1:10" s="3" customFormat="1" x14ac:dyDescent="0.25">
      <c r="A453" s="2">
        <v>89</v>
      </c>
      <c r="B453" s="3" t="s">
        <v>31</v>
      </c>
      <c r="C453" s="3">
        <v>647</v>
      </c>
      <c r="D453" s="3">
        <v>1</v>
      </c>
      <c r="E453" s="3" t="s">
        <v>39</v>
      </c>
      <c r="F453" s="3" t="s">
        <v>40</v>
      </c>
      <c r="G453" s="3" t="str">
        <f>"2026-01-18 22:22:15.159"</f>
        <v>2026-01-18 22:22:15.159</v>
      </c>
      <c r="H453" s="3" t="s">
        <v>21</v>
      </c>
      <c r="I453" s="3">
        <v>14.48</v>
      </c>
      <c r="J453" s="3" t="s">
        <v>38</v>
      </c>
    </row>
    <row r="454" spans="1:10" x14ac:dyDescent="0.25">
      <c r="A454" s="1">
        <v>90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"2026-01-17 22:05:01.437"</f>
        <v>2026-01-17 22:05:01.437</v>
      </c>
      <c r="H454" t="s">
        <v>21</v>
      </c>
    </row>
    <row r="455" spans="1:10" x14ac:dyDescent="0.25">
      <c r="A455" s="1">
        <v>91</v>
      </c>
      <c r="B455" t="s">
        <v>19</v>
      </c>
      <c r="C455">
        <v>706</v>
      </c>
      <c r="D455">
        <v>4</v>
      </c>
      <c r="E455" t="s">
        <v>34</v>
      </c>
      <c r="F455" t="s">
        <v>37</v>
      </c>
      <c r="G455" t="str">
        <f>"2026-01-17 21:38:30.407"</f>
        <v>2026-01-17 21:38:30.407</v>
      </c>
      <c r="H455" t="s">
        <v>21</v>
      </c>
      <c r="I455">
        <v>0</v>
      </c>
      <c r="J455" t="s">
        <v>36</v>
      </c>
    </row>
    <row r="456" spans="1:10" x14ac:dyDescent="0.25">
      <c r="A456" s="1">
        <v>92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"2026-01-17 21:15:10.437"</f>
        <v>2026-01-17 21:15:10.437</v>
      </c>
      <c r="H456" t="s">
        <v>21</v>
      </c>
      <c r="I456">
        <v>0</v>
      </c>
      <c r="J456" t="s">
        <v>22</v>
      </c>
    </row>
    <row r="457" spans="1:10" x14ac:dyDescent="0.25">
      <c r="A457" s="1">
        <v>93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"2026-01-17 20:27:08.672"</f>
        <v>2026-01-17 20:27:08.672</v>
      </c>
      <c r="H457" t="s">
        <v>21</v>
      </c>
      <c r="I457">
        <v>0</v>
      </c>
      <c r="J457" t="s">
        <v>22</v>
      </c>
    </row>
    <row r="458" spans="1:10" x14ac:dyDescent="0.25">
      <c r="A458" s="1">
        <v>95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"2026-01-15 11:43:28.425"</f>
        <v>2026-01-15 11:43:28.425</v>
      </c>
      <c r="H458" t="s">
        <v>21</v>
      </c>
    </row>
    <row r="459" spans="1:10" x14ac:dyDescent="0.25">
      <c r="A459" s="1">
        <v>97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"2026-01-12 13:03:25.463"</f>
        <v>2026-01-12 13:03:25.463</v>
      </c>
      <c r="H459" t="s">
        <v>21</v>
      </c>
      <c r="I459">
        <v>0</v>
      </c>
      <c r="J459" t="s">
        <v>22</v>
      </c>
    </row>
    <row r="460" spans="1:10" x14ac:dyDescent="0.25">
      <c r="A460" s="1">
        <v>98</v>
      </c>
      <c r="B460" t="s">
        <v>28</v>
      </c>
      <c r="C460">
        <v>635</v>
      </c>
      <c r="D460">
        <v>1</v>
      </c>
      <c r="E460" t="s">
        <v>29</v>
      </c>
      <c r="F460" t="s">
        <v>30</v>
      </c>
      <c r="G460" t="str">
        <f>"2026-01-11 12:43:24.766"</f>
        <v>2026-01-11 12:43:24.766</v>
      </c>
      <c r="H460" t="s">
        <v>21</v>
      </c>
    </row>
    <row r="461" spans="1:10" x14ac:dyDescent="0.25">
      <c r="A461" s="1">
        <v>99</v>
      </c>
      <c r="B461" t="s">
        <v>31</v>
      </c>
      <c r="C461">
        <v>635</v>
      </c>
      <c r="D461">
        <v>1</v>
      </c>
      <c r="E461" t="s">
        <v>29</v>
      </c>
      <c r="F461" t="s">
        <v>30</v>
      </c>
      <c r="G461" t="str">
        <f>"2026-01-11 12:38:52.766"</f>
        <v>2026-01-11 12:38:52.766</v>
      </c>
      <c r="H461" t="s">
        <v>21</v>
      </c>
      <c r="I461">
        <v>3.33</v>
      </c>
      <c r="J461" t="s">
        <v>32</v>
      </c>
    </row>
    <row r="462" spans="1:10" x14ac:dyDescent="0.25">
      <c r="A462" s="1">
        <v>1</v>
      </c>
      <c r="B462" t="s">
        <v>28</v>
      </c>
      <c r="C462">
        <v>635</v>
      </c>
      <c r="D462">
        <v>1</v>
      </c>
      <c r="E462" t="s">
        <v>29</v>
      </c>
      <c r="F462" t="s">
        <v>30</v>
      </c>
      <c r="G462" t="str">
        <f>"2026-01-10 16:08:31.166"</f>
        <v>2026-01-10 16:08:31.166</v>
      </c>
      <c r="H462" t="s">
        <v>21</v>
      </c>
    </row>
    <row r="463" spans="1:10" x14ac:dyDescent="0.25">
      <c r="A463" s="1">
        <v>2</v>
      </c>
      <c r="B463" t="s">
        <v>31</v>
      </c>
      <c r="C463">
        <v>635</v>
      </c>
      <c r="D463">
        <v>1</v>
      </c>
      <c r="E463" t="s">
        <v>29</v>
      </c>
      <c r="F463" t="s">
        <v>30</v>
      </c>
      <c r="G463" t="str">
        <f>"2026-01-10 16:05:15.667"</f>
        <v>2026-01-10 16:05:15.667</v>
      </c>
      <c r="H463" t="s">
        <v>21</v>
      </c>
      <c r="I463">
        <v>4.43</v>
      </c>
      <c r="J463" t="s">
        <v>32</v>
      </c>
    </row>
    <row r="464" spans="1:10" x14ac:dyDescent="0.25">
      <c r="A464" s="1">
        <v>3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"2026-01-10 13:02:09.445"</f>
        <v>2026-01-10 13:02:09.445</v>
      </c>
      <c r="H464" t="s">
        <v>21</v>
      </c>
      <c r="I464">
        <v>0</v>
      </c>
      <c r="J464" t="s">
        <v>22</v>
      </c>
    </row>
    <row r="465" spans="1:10" x14ac:dyDescent="0.25">
      <c r="A465" s="1">
        <v>4</v>
      </c>
      <c r="B465" t="s">
        <v>19</v>
      </c>
      <c r="C465">
        <v>706</v>
      </c>
      <c r="D465">
        <v>4</v>
      </c>
      <c r="E465" t="s">
        <v>34</v>
      </c>
      <c r="F465" t="s">
        <v>37</v>
      </c>
      <c r="G465" t="str">
        <f>"2026-01-08 01:30:31.443"</f>
        <v>2026-01-08 01:30:31.443</v>
      </c>
      <c r="H465" t="s">
        <v>21</v>
      </c>
      <c r="I465">
        <v>0</v>
      </c>
      <c r="J465" t="s">
        <v>36</v>
      </c>
    </row>
    <row r="466" spans="1:10" x14ac:dyDescent="0.25">
      <c r="A466" s="1">
        <v>5</v>
      </c>
      <c r="B466" t="s">
        <v>19</v>
      </c>
      <c r="C466">
        <v>706</v>
      </c>
      <c r="D466">
        <v>2</v>
      </c>
      <c r="E466" t="s">
        <v>34</v>
      </c>
      <c r="F466" t="s">
        <v>35</v>
      </c>
      <c r="G466" t="str">
        <f>"2026-01-08 01:30:19.933"</f>
        <v>2026-01-08 01:30:19.933</v>
      </c>
      <c r="H466" t="s">
        <v>21</v>
      </c>
      <c r="I466">
        <v>0</v>
      </c>
      <c r="J466" t="s">
        <v>36</v>
      </c>
    </row>
    <row r="467" spans="1:10" x14ac:dyDescent="0.25">
      <c r="A467" s="1">
        <v>6</v>
      </c>
      <c r="B467" t="s">
        <v>19</v>
      </c>
      <c r="C467">
        <v>706</v>
      </c>
      <c r="D467">
        <v>2</v>
      </c>
      <c r="E467" t="s">
        <v>34</v>
      </c>
      <c r="F467" t="s">
        <v>35</v>
      </c>
      <c r="G467" t="str">
        <f>"2026-01-08 01:28:26.933"</f>
        <v>2026-01-08 01:28:26.933</v>
      </c>
      <c r="H467" t="s">
        <v>21</v>
      </c>
      <c r="I467">
        <v>0</v>
      </c>
      <c r="J467" t="s">
        <v>36</v>
      </c>
    </row>
    <row r="468" spans="1:10" x14ac:dyDescent="0.25">
      <c r="A468" s="1">
        <v>7</v>
      </c>
      <c r="B468" t="s">
        <v>19</v>
      </c>
      <c r="C468">
        <v>706</v>
      </c>
      <c r="D468">
        <v>4</v>
      </c>
      <c r="E468" t="s">
        <v>34</v>
      </c>
      <c r="F468" t="s">
        <v>37</v>
      </c>
      <c r="G468" t="str">
        <f>"2026-01-08 01:28:14.653"</f>
        <v>2026-01-08 01:28:14.653</v>
      </c>
      <c r="H468" t="s">
        <v>21</v>
      </c>
      <c r="I468">
        <v>0</v>
      </c>
      <c r="J468" t="s">
        <v>36</v>
      </c>
    </row>
    <row r="469" spans="1:10" x14ac:dyDescent="0.25">
      <c r="A469" s="1">
        <v>8</v>
      </c>
      <c r="B469" t="s">
        <v>19</v>
      </c>
      <c r="C469">
        <v>706</v>
      </c>
      <c r="D469">
        <v>2</v>
      </c>
      <c r="E469" t="s">
        <v>34</v>
      </c>
      <c r="F469" t="s">
        <v>35</v>
      </c>
      <c r="G469" t="str">
        <f>"2026-01-08 01:23:38.133"</f>
        <v>2026-01-08 01:23:38.133</v>
      </c>
      <c r="H469" t="s">
        <v>21</v>
      </c>
      <c r="I469">
        <v>0</v>
      </c>
      <c r="J469" t="s">
        <v>36</v>
      </c>
    </row>
    <row r="470" spans="1:10" x14ac:dyDescent="0.25">
      <c r="A470" s="1">
        <v>9</v>
      </c>
      <c r="B470" t="s">
        <v>19</v>
      </c>
      <c r="C470">
        <v>706</v>
      </c>
      <c r="D470">
        <v>2</v>
      </c>
      <c r="E470" t="s">
        <v>34</v>
      </c>
      <c r="F470" t="s">
        <v>35</v>
      </c>
      <c r="G470" t="str">
        <f>"2026-01-08 01:23:30.133"</f>
        <v>2026-01-08 01:23:30.133</v>
      </c>
      <c r="H470" t="s">
        <v>21</v>
      </c>
      <c r="I470">
        <v>0</v>
      </c>
      <c r="J470" t="s">
        <v>36</v>
      </c>
    </row>
    <row r="471" spans="1:10" x14ac:dyDescent="0.25">
      <c r="A471" s="1">
        <v>10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"2026-01-08 01:23:10.423"</f>
        <v>2026-01-08 01:23:10.423</v>
      </c>
      <c r="H471" t="s">
        <v>21</v>
      </c>
    </row>
    <row r="472" spans="1:10" x14ac:dyDescent="0.25">
      <c r="A472" s="1">
        <v>11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"2026-01-08 00:22:19.435"</f>
        <v>2026-01-08 00:22:19.435</v>
      </c>
      <c r="H472" t="s">
        <v>21</v>
      </c>
      <c r="I472">
        <v>0</v>
      </c>
      <c r="J472" t="s">
        <v>22</v>
      </c>
    </row>
    <row r="473" spans="1:10" x14ac:dyDescent="0.25">
      <c r="A473" s="1">
        <v>12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"2026-01-07 22:01:49.594"</f>
        <v>2026-01-07 22:01:49.594</v>
      </c>
      <c r="H473" t="s">
        <v>21</v>
      </c>
    </row>
    <row r="474" spans="1:10" x14ac:dyDescent="0.25">
      <c r="A474" s="1">
        <v>13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"2026-01-06 13:18:40.574"</f>
        <v>2026-01-06 13:18:40.574</v>
      </c>
      <c r="H474" t="s">
        <v>21</v>
      </c>
    </row>
    <row r="475" spans="1:10" x14ac:dyDescent="0.25">
      <c r="A475" s="1">
        <v>15</v>
      </c>
      <c r="B475" t="s">
        <v>28</v>
      </c>
      <c r="C475">
        <v>635</v>
      </c>
      <c r="D475">
        <v>1</v>
      </c>
      <c r="E475" t="s">
        <v>29</v>
      </c>
      <c r="F475" t="s">
        <v>30</v>
      </c>
      <c r="G475" t="str">
        <f>"2026-01-04 16:40:47.483"</f>
        <v>2026-01-04 16:40:47.483</v>
      </c>
      <c r="H475" t="s">
        <v>21</v>
      </c>
    </row>
    <row r="476" spans="1:10" x14ac:dyDescent="0.25">
      <c r="A476" s="1">
        <v>16</v>
      </c>
      <c r="B476" t="s">
        <v>31</v>
      </c>
      <c r="C476">
        <v>635</v>
      </c>
      <c r="D476">
        <v>1</v>
      </c>
      <c r="E476" t="s">
        <v>29</v>
      </c>
      <c r="F476" t="s">
        <v>30</v>
      </c>
      <c r="G476" t="str">
        <f>"2026-01-04 16:36:45.983"</f>
        <v>2026-01-04 16:36:45.983</v>
      </c>
      <c r="H476" t="s">
        <v>21</v>
      </c>
      <c r="I476">
        <v>4.8899999999999997</v>
      </c>
      <c r="J476" t="s">
        <v>32</v>
      </c>
    </row>
    <row r="477" spans="1:10" x14ac:dyDescent="0.25">
      <c r="A477" s="1">
        <v>17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"2026-01-03 12:56:24.413"</f>
        <v>2026-01-03 12:56:24.413</v>
      </c>
      <c r="H477" t="s">
        <v>21</v>
      </c>
      <c r="I477">
        <v>0</v>
      </c>
      <c r="J477" t="s">
        <v>22</v>
      </c>
    </row>
    <row r="478" spans="1:10" x14ac:dyDescent="0.25">
      <c r="A478" s="1">
        <v>18</v>
      </c>
      <c r="B478" t="s">
        <v>28</v>
      </c>
      <c r="C478">
        <v>635</v>
      </c>
      <c r="D478">
        <v>1</v>
      </c>
      <c r="E478" t="s">
        <v>29</v>
      </c>
      <c r="F478" t="s">
        <v>30</v>
      </c>
      <c r="G478" t="str">
        <f>"2026-01-02 20:40:30.179"</f>
        <v>2026-01-02 20:40:30.179</v>
      </c>
      <c r="H478" t="s">
        <v>21</v>
      </c>
    </row>
    <row r="479" spans="1:10" x14ac:dyDescent="0.25">
      <c r="A479" s="1">
        <v>19</v>
      </c>
      <c r="B479" t="s">
        <v>31</v>
      </c>
      <c r="C479">
        <v>635</v>
      </c>
      <c r="D479">
        <v>1</v>
      </c>
      <c r="E479" t="s">
        <v>29</v>
      </c>
      <c r="F479" t="s">
        <v>30</v>
      </c>
      <c r="G479" t="str">
        <f>"2026-01-02 20:35:22.780"</f>
        <v>2026-01-02 20:35:22.780</v>
      </c>
      <c r="H479" t="s">
        <v>21</v>
      </c>
      <c r="I479">
        <v>3.83</v>
      </c>
      <c r="J479" t="s">
        <v>38</v>
      </c>
    </row>
    <row r="480" spans="1:10" x14ac:dyDescent="0.25">
      <c r="A480" s="1">
        <v>20</v>
      </c>
      <c r="B480" t="s">
        <v>28</v>
      </c>
      <c r="C480">
        <v>635</v>
      </c>
      <c r="D480">
        <v>1</v>
      </c>
      <c r="E480" t="s">
        <v>29</v>
      </c>
      <c r="F480" t="s">
        <v>30</v>
      </c>
      <c r="G480" t="str">
        <f>"2026-01-02 13:11:59.079"</f>
        <v>2026-01-02 13:11:59.079</v>
      </c>
      <c r="H480" t="s">
        <v>21</v>
      </c>
    </row>
    <row r="481" spans="1:10" x14ac:dyDescent="0.25">
      <c r="A481" s="1">
        <v>21</v>
      </c>
      <c r="B481" t="s">
        <v>31</v>
      </c>
      <c r="C481">
        <v>635</v>
      </c>
      <c r="D481">
        <v>1</v>
      </c>
      <c r="E481" t="s">
        <v>29</v>
      </c>
      <c r="F481" t="s">
        <v>30</v>
      </c>
      <c r="G481" t="str">
        <f>"2026-01-02 13:05:54.080"</f>
        <v>2026-01-02 13:05:54.080</v>
      </c>
      <c r="H481" t="s">
        <v>21</v>
      </c>
      <c r="I481">
        <v>5.41</v>
      </c>
      <c r="J481" t="s">
        <v>32</v>
      </c>
    </row>
    <row r="482" spans="1:10" x14ac:dyDescent="0.25">
      <c r="A482" s="1">
        <v>22</v>
      </c>
      <c r="B482" t="s">
        <v>19</v>
      </c>
      <c r="C482">
        <v>706</v>
      </c>
      <c r="D482">
        <v>4</v>
      </c>
      <c r="E482" t="s">
        <v>34</v>
      </c>
      <c r="F482" t="s">
        <v>37</v>
      </c>
      <c r="G482" t="str">
        <f>"2026-01-01 18:05:18.746"</f>
        <v>2026-01-01 18:05:18.746</v>
      </c>
      <c r="H482" t="s">
        <v>21</v>
      </c>
      <c r="I482">
        <v>0</v>
      </c>
      <c r="J482" t="s">
        <v>36</v>
      </c>
    </row>
    <row r="483" spans="1:10" x14ac:dyDescent="0.25">
      <c r="A483" s="1">
        <v>23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"2026-01-01 13:38:48.497"</f>
        <v>2026-01-01 13:38:48.497</v>
      </c>
      <c r="H483" t="s">
        <v>21</v>
      </c>
      <c r="I483">
        <v>0</v>
      </c>
      <c r="J483" t="s">
        <v>22</v>
      </c>
    </row>
    <row r="484" spans="1:10" x14ac:dyDescent="0.25">
      <c r="A484" s="1">
        <v>24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"2025-12-31 13:56:00.429"</f>
        <v>2025-12-31 13:56:00.429</v>
      </c>
      <c r="H484" t="s">
        <v>21</v>
      </c>
    </row>
    <row r="485" spans="1:10" s="3" customFormat="1" x14ac:dyDescent="0.25">
      <c r="A485" s="2">
        <v>25</v>
      </c>
      <c r="B485" s="3" t="s">
        <v>28</v>
      </c>
      <c r="C485" s="3">
        <v>647</v>
      </c>
      <c r="D485" s="3">
        <v>1</v>
      </c>
      <c r="E485" s="3" t="s">
        <v>39</v>
      </c>
      <c r="F485" s="3" t="s">
        <v>40</v>
      </c>
      <c r="G485" s="3" t="str">
        <f>"2025-12-30 21:14:24.101"</f>
        <v>2025-12-30 21:14:24.101</v>
      </c>
      <c r="H485" s="3" t="s">
        <v>21</v>
      </c>
    </row>
    <row r="486" spans="1:10" s="3" customFormat="1" x14ac:dyDescent="0.25">
      <c r="A486" s="2">
        <v>26</v>
      </c>
      <c r="B486" s="3" t="s">
        <v>31</v>
      </c>
      <c r="C486" s="3">
        <v>647</v>
      </c>
      <c r="D486" s="3">
        <v>1</v>
      </c>
      <c r="E486" s="3" t="s">
        <v>39</v>
      </c>
      <c r="F486" s="3" t="s">
        <v>40</v>
      </c>
      <c r="G486" s="3" t="str">
        <f>"2025-12-30 21:14:21.402"</f>
        <v>2025-12-30 21:14:21.402</v>
      </c>
      <c r="H486" s="3" t="s">
        <v>21</v>
      </c>
      <c r="I486" s="3">
        <v>13.06</v>
      </c>
      <c r="J486" s="3" t="s">
        <v>38</v>
      </c>
    </row>
    <row r="487" spans="1:10" x14ac:dyDescent="0.25">
      <c r="A487" s="1">
        <v>27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"2025-12-30 17:26:07.394"</f>
        <v>2025-12-30 17:26:07.394</v>
      </c>
      <c r="H487" t="s">
        <v>21</v>
      </c>
      <c r="I487">
        <v>0</v>
      </c>
      <c r="J487" t="s">
        <v>22</v>
      </c>
    </row>
    <row r="488" spans="1:10" x14ac:dyDescent="0.25">
      <c r="A488" s="1">
        <v>28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"2025-12-30 13:45:05.396"</f>
        <v>2025-12-30 13:45:05.396</v>
      </c>
      <c r="H488" t="s">
        <v>21</v>
      </c>
      <c r="I488">
        <v>0</v>
      </c>
      <c r="J488" t="s">
        <v>22</v>
      </c>
    </row>
    <row r="489" spans="1:10" x14ac:dyDescent="0.25">
      <c r="A489" s="1">
        <v>29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"2025-12-30 11:45:11.391"</f>
        <v>2025-12-30 11:45:11.391</v>
      </c>
      <c r="H489" t="s">
        <v>21</v>
      </c>
      <c r="I489">
        <v>0</v>
      </c>
      <c r="J489" t="s">
        <v>22</v>
      </c>
    </row>
    <row r="490" spans="1:10" x14ac:dyDescent="0.25">
      <c r="A490" s="1">
        <v>30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"2025-12-30 11:02:50.397"</f>
        <v>2025-12-30 11:02:50.397</v>
      </c>
      <c r="H490" t="s">
        <v>21</v>
      </c>
    </row>
    <row r="491" spans="1:10" x14ac:dyDescent="0.25">
      <c r="A491" s="1">
        <v>31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"2025-12-29 12:09:38.430"</f>
        <v>2025-12-29 12:09:38.430</v>
      </c>
      <c r="H491" t="s">
        <v>21</v>
      </c>
      <c r="I491">
        <v>0</v>
      </c>
      <c r="J491" t="s">
        <v>22</v>
      </c>
    </row>
    <row r="492" spans="1:10" x14ac:dyDescent="0.25">
      <c r="A492" s="1">
        <v>32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"2025-12-28 22:45:17.400"</f>
        <v>2025-12-28 22:45:17.400</v>
      </c>
      <c r="H492" t="s">
        <v>21</v>
      </c>
    </row>
    <row r="493" spans="1:10" x14ac:dyDescent="0.25">
      <c r="A493" s="1">
        <v>33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"2025-12-28 22:12:28.433"</f>
        <v>2025-12-28 22:12:28.433</v>
      </c>
      <c r="H493" t="s">
        <v>21</v>
      </c>
      <c r="I493">
        <v>0</v>
      </c>
      <c r="J493" t="s">
        <v>22</v>
      </c>
    </row>
    <row r="494" spans="1:10" x14ac:dyDescent="0.25">
      <c r="A494" s="1">
        <v>34</v>
      </c>
      <c r="B494" t="s">
        <v>28</v>
      </c>
      <c r="C494">
        <v>635</v>
      </c>
      <c r="D494">
        <v>1</v>
      </c>
      <c r="E494" t="s">
        <v>29</v>
      </c>
      <c r="F494" t="s">
        <v>30</v>
      </c>
      <c r="G494" t="str">
        <f>"2025-12-28 01:47:04.418"</f>
        <v>2025-12-28 01:47:04.418</v>
      </c>
      <c r="H494" t="s">
        <v>21</v>
      </c>
    </row>
    <row r="495" spans="1:10" x14ac:dyDescent="0.25">
      <c r="A495" s="1">
        <v>35</v>
      </c>
      <c r="B495" t="s">
        <v>31</v>
      </c>
      <c r="C495">
        <v>635</v>
      </c>
      <c r="D495">
        <v>1</v>
      </c>
      <c r="E495" t="s">
        <v>29</v>
      </c>
      <c r="F495" t="s">
        <v>30</v>
      </c>
      <c r="G495" t="str">
        <f>"2025-12-28 01:43:34.418"</f>
        <v>2025-12-28 01:43:34.418</v>
      </c>
      <c r="H495" t="s">
        <v>21</v>
      </c>
      <c r="I495">
        <v>3.63</v>
      </c>
      <c r="J495" t="s">
        <v>27</v>
      </c>
    </row>
    <row r="496" spans="1:10" x14ac:dyDescent="0.25">
      <c r="A496" s="1">
        <v>36</v>
      </c>
      <c r="B496" t="s">
        <v>28</v>
      </c>
      <c r="C496">
        <v>635</v>
      </c>
      <c r="D496">
        <v>1</v>
      </c>
      <c r="E496" t="s">
        <v>29</v>
      </c>
      <c r="F496" t="s">
        <v>30</v>
      </c>
      <c r="G496" t="str">
        <f>"2025-12-28 00:58:49.518"</f>
        <v>2025-12-28 00:58:49.518</v>
      </c>
      <c r="H496" t="s">
        <v>21</v>
      </c>
    </row>
    <row r="497" spans="1:10" x14ac:dyDescent="0.25">
      <c r="A497" s="1">
        <v>37</v>
      </c>
      <c r="B497" t="s">
        <v>31</v>
      </c>
      <c r="C497">
        <v>635</v>
      </c>
      <c r="D497">
        <v>1</v>
      </c>
      <c r="E497" t="s">
        <v>29</v>
      </c>
      <c r="F497" t="s">
        <v>30</v>
      </c>
      <c r="G497" t="str">
        <f>"2025-12-28 00:55:49.018"</f>
        <v>2025-12-28 00:55:49.018</v>
      </c>
      <c r="H497" t="s">
        <v>21</v>
      </c>
      <c r="I497">
        <v>5.53</v>
      </c>
      <c r="J497" t="s">
        <v>32</v>
      </c>
    </row>
    <row r="498" spans="1:10" x14ac:dyDescent="0.25">
      <c r="A498" s="1">
        <v>38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"2025-12-27 17:03:16.391"</f>
        <v>2025-12-27 17:03:16.391</v>
      </c>
      <c r="H498" t="s">
        <v>21</v>
      </c>
      <c r="I498">
        <v>0</v>
      </c>
      <c r="J498" t="s">
        <v>22</v>
      </c>
    </row>
    <row r="499" spans="1:10" x14ac:dyDescent="0.25">
      <c r="A499" s="1">
        <v>39</v>
      </c>
      <c r="B499" t="s">
        <v>19</v>
      </c>
      <c r="C499">
        <v>706</v>
      </c>
      <c r="D499">
        <v>4</v>
      </c>
      <c r="E499" t="s">
        <v>34</v>
      </c>
      <c r="F499" t="s">
        <v>37</v>
      </c>
      <c r="G499" t="str">
        <f>"2025-12-27 16:37:40.613"</f>
        <v>2025-12-27 16:37:40.613</v>
      </c>
      <c r="H499" t="s">
        <v>21</v>
      </c>
      <c r="I499">
        <v>0</v>
      </c>
      <c r="J499" t="s">
        <v>36</v>
      </c>
    </row>
    <row r="500" spans="1:10" x14ac:dyDescent="0.25">
      <c r="A500" s="1">
        <v>40</v>
      </c>
      <c r="B500" t="s">
        <v>19</v>
      </c>
      <c r="C500">
        <v>706</v>
      </c>
      <c r="D500">
        <v>4</v>
      </c>
      <c r="E500" t="s">
        <v>34</v>
      </c>
      <c r="F500" t="s">
        <v>37</v>
      </c>
      <c r="G500" t="str">
        <f>"2025-12-27 16:25:51.843"</f>
        <v>2025-12-27 16:25:51.843</v>
      </c>
      <c r="H500" t="s">
        <v>21</v>
      </c>
      <c r="I500">
        <v>0</v>
      </c>
      <c r="J500" t="s">
        <v>36</v>
      </c>
    </row>
    <row r="501" spans="1:10" x14ac:dyDescent="0.25">
      <c r="A501" s="1">
        <v>41</v>
      </c>
      <c r="B501" t="s">
        <v>19</v>
      </c>
      <c r="C501">
        <v>706</v>
      </c>
      <c r="D501">
        <v>4</v>
      </c>
      <c r="E501" t="s">
        <v>34</v>
      </c>
      <c r="F501" t="s">
        <v>37</v>
      </c>
      <c r="G501" t="str">
        <f>"2025-12-27 16:25:08.643"</f>
        <v>2025-12-27 16:25:08.643</v>
      </c>
      <c r="H501" t="s">
        <v>21</v>
      </c>
      <c r="I501">
        <v>0</v>
      </c>
      <c r="J501" t="s">
        <v>36</v>
      </c>
    </row>
    <row r="502" spans="1:10" x14ac:dyDescent="0.25">
      <c r="A502" s="1">
        <v>42</v>
      </c>
      <c r="B502" t="s">
        <v>19</v>
      </c>
      <c r="C502">
        <v>706</v>
      </c>
      <c r="D502">
        <v>2</v>
      </c>
      <c r="E502" t="s">
        <v>34</v>
      </c>
      <c r="F502" t="s">
        <v>35</v>
      </c>
      <c r="G502" t="str">
        <f>"2025-12-27 16:08:04.773"</f>
        <v>2025-12-27 16:08:04.773</v>
      </c>
      <c r="H502" t="s">
        <v>21</v>
      </c>
      <c r="I502">
        <v>0</v>
      </c>
      <c r="J502" t="s">
        <v>36</v>
      </c>
    </row>
    <row r="503" spans="1:10" x14ac:dyDescent="0.25">
      <c r="A503" s="1">
        <v>43</v>
      </c>
      <c r="B503" t="s">
        <v>19</v>
      </c>
      <c r="C503">
        <v>706</v>
      </c>
      <c r="D503">
        <v>4</v>
      </c>
      <c r="E503" t="s">
        <v>34</v>
      </c>
      <c r="F503" t="s">
        <v>37</v>
      </c>
      <c r="G503" t="str">
        <f>"2025-12-27 16:07:47.083"</f>
        <v>2025-12-27 16:07:47.083</v>
      </c>
      <c r="H503" t="s">
        <v>21</v>
      </c>
      <c r="I503">
        <v>0</v>
      </c>
      <c r="J503" t="s">
        <v>36</v>
      </c>
    </row>
    <row r="504" spans="1:10" x14ac:dyDescent="0.25">
      <c r="A504" s="1">
        <v>44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"2025-12-27 15:47:02.413"</f>
        <v>2025-12-27 15:47:02.413</v>
      </c>
      <c r="H504" t="s">
        <v>21</v>
      </c>
      <c r="I504">
        <v>0</v>
      </c>
      <c r="J504" t="s">
        <v>22</v>
      </c>
    </row>
    <row r="505" spans="1:10" x14ac:dyDescent="0.25">
      <c r="A505" s="1">
        <v>45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"2025-12-27 13:47:23.385"</f>
        <v>2025-12-27 13:47:23.385</v>
      </c>
      <c r="H505" t="s">
        <v>21</v>
      </c>
    </row>
    <row r="506" spans="1:10" x14ac:dyDescent="0.25">
      <c r="A506" s="1">
        <v>46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"2025-12-27 13:32:19.550"</f>
        <v>2025-12-27 13:32:19.550</v>
      </c>
      <c r="H506" t="s">
        <v>21</v>
      </c>
      <c r="I506">
        <v>0</v>
      </c>
      <c r="J506" t="s">
        <v>22</v>
      </c>
    </row>
    <row r="507" spans="1:10" x14ac:dyDescent="0.25">
      <c r="A507" s="1">
        <v>47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"2025-12-26 13:27:43.413"</f>
        <v>2025-12-26 13:27:43.413</v>
      </c>
      <c r="H507" t="s">
        <v>21</v>
      </c>
    </row>
    <row r="508" spans="1:10" x14ac:dyDescent="0.25">
      <c r="A508" s="1">
        <v>48</v>
      </c>
      <c r="B508" t="s">
        <v>28</v>
      </c>
      <c r="C508">
        <v>635</v>
      </c>
      <c r="D508">
        <v>1</v>
      </c>
      <c r="E508" t="s">
        <v>29</v>
      </c>
      <c r="F508" t="s">
        <v>30</v>
      </c>
      <c r="G508" t="str">
        <f>"2025-12-26 05:02:36.219"</f>
        <v>2025-12-26 05:02:36.219</v>
      </c>
      <c r="H508" t="s">
        <v>21</v>
      </c>
    </row>
    <row r="509" spans="1:10" x14ac:dyDescent="0.25">
      <c r="A509" s="1">
        <v>49</v>
      </c>
      <c r="B509" t="s">
        <v>31</v>
      </c>
      <c r="C509">
        <v>635</v>
      </c>
      <c r="D509">
        <v>1</v>
      </c>
      <c r="E509" t="s">
        <v>29</v>
      </c>
      <c r="F509" t="s">
        <v>30</v>
      </c>
      <c r="G509" t="str">
        <f>"2025-12-26 04:58:15.219"</f>
        <v>2025-12-26 04:58:15.219</v>
      </c>
      <c r="H509" t="s">
        <v>21</v>
      </c>
      <c r="I509">
        <v>1.62</v>
      </c>
      <c r="J509" t="s">
        <v>27</v>
      </c>
    </row>
    <row r="510" spans="1:10" x14ac:dyDescent="0.25">
      <c r="A510" s="1">
        <v>50</v>
      </c>
      <c r="B510" t="s">
        <v>28</v>
      </c>
      <c r="C510">
        <v>635</v>
      </c>
      <c r="D510">
        <v>1</v>
      </c>
      <c r="E510" t="s">
        <v>29</v>
      </c>
      <c r="F510" t="s">
        <v>30</v>
      </c>
      <c r="G510" t="str">
        <f>"2025-12-26 01:56:33.519"</f>
        <v>2025-12-26 01:56:33.519</v>
      </c>
      <c r="H510" t="s">
        <v>21</v>
      </c>
    </row>
    <row r="511" spans="1:10" x14ac:dyDescent="0.25">
      <c r="A511" s="1">
        <v>51</v>
      </c>
      <c r="B511" t="s">
        <v>31</v>
      </c>
      <c r="C511">
        <v>635</v>
      </c>
      <c r="D511">
        <v>1</v>
      </c>
      <c r="E511" t="s">
        <v>29</v>
      </c>
      <c r="F511" t="s">
        <v>30</v>
      </c>
      <c r="G511" t="str">
        <f>"2025-12-26 01:52:03.019"</f>
        <v>2025-12-26 01:52:03.019</v>
      </c>
      <c r="H511" t="s">
        <v>21</v>
      </c>
      <c r="I511">
        <v>5.0599999999999996</v>
      </c>
      <c r="J511" t="s">
        <v>32</v>
      </c>
    </row>
    <row r="512" spans="1:10" x14ac:dyDescent="0.25">
      <c r="A512" s="1">
        <v>52</v>
      </c>
      <c r="B512" t="s">
        <v>28</v>
      </c>
      <c r="C512">
        <v>635</v>
      </c>
      <c r="D512">
        <v>1</v>
      </c>
      <c r="E512" t="s">
        <v>29</v>
      </c>
      <c r="F512" t="s">
        <v>30</v>
      </c>
      <c r="G512" t="str">
        <f>"2025-12-25 16:23:08.119"</f>
        <v>2025-12-25 16:23:08.119</v>
      </c>
      <c r="H512" t="s">
        <v>21</v>
      </c>
    </row>
    <row r="513" spans="1:10" x14ac:dyDescent="0.25">
      <c r="A513" s="1">
        <v>53</v>
      </c>
      <c r="B513" t="s">
        <v>31</v>
      </c>
      <c r="C513">
        <v>635</v>
      </c>
      <c r="D513">
        <v>1</v>
      </c>
      <c r="E513" t="s">
        <v>29</v>
      </c>
      <c r="F513" t="s">
        <v>30</v>
      </c>
      <c r="G513" t="str">
        <f>"2025-12-25 16:17:52.120"</f>
        <v>2025-12-25 16:17:52.120</v>
      </c>
      <c r="H513" t="s">
        <v>21</v>
      </c>
      <c r="I513">
        <v>5.0599999999999996</v>
      </c>
      <c r="J513" t="s">
        <v>38</v>
      </c>
    </row>
    <row r="514" spans="1:10" x14ac:dyDescent="0.25">
      <c r="A514" s="1">
        <v>54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"2025-12-24 14:05:17.378"</f>
        <v>2025-12-24 14:05:17.378</v>
      </c>
      <c r="H514" t="s">
        <v>21</v>
      </c>
    </row>
    <row r="515" spans="1:10" x14ac:dyDescent="0.25">
      <c r="A515" s="1">
        <v>55</v>
      </c>
      <c r="B515" t="s">
        <v>28</v>
      </c>
      <c r="C515">
        <v>635</v>
      </c>
      <c r="D515">
        <v>1</v>
      </c>
      <c r="E515" t="s">
        <v>29</v>
      </c>
      <c r="F515" t="s">
        <v>30</v>
      </c>
      <c r="G515" t="str">
        <f>"2025-12-23 12:14:35.507"</f>
        <v>2025-12-23 12:14:35.507</v>
      </c>
      <c r="H515" t="s">
        <v>21</v>
      </c>
    </row>
    <row r="516" spans="1:10" x14ac:dyDescent="0.25">
      <c r="A516" s="1">
        <v>56</v>
      </c>
      <c r="B516" t="s">
        <v>31</v>
      </c>
      <c r="C516">
        <v>635</v>
      </c>
      <c r="D516">
        <v>1</v>
      </c>
      <c r="E516" t="s">
        <v>29</v>
      </c>
      <c r="F516" t="s">
        <v>30</v>
      </c>
      <c r="G516" t="str">
        <f>"2025-12-23 12:11:26.507"</f>
        <v>2025-12-23 12:11:26.507</v>
      </c>
      <c r="H516" t="s">
        <v>21</v>
      </c>
      <c r="I516">
        <v>1.89</v>
      </c>
      <c r="J516" t="s">
        <v>32</v>
      </c>
    </row>
    <row r="517" spans="1:10" x14ac:dyDescent="0.25">
      <c r="A517" s="1">
        <v>57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"2025-12-22 13:30:25.414"</f>
        <v>2025-12-22 13:30:25.414</v>
      </c>
      <c r="H517" t="s">
        <v>21</v>
      </c>
      <c r="I517">
        <v>0</v>
      </c>
      <c r="J517" t="s">
        <v>22</v>
      </c>
    </row>
    <row r="518" spans="1:10" x14ac:dyDescent="0.25">
      <c r="A518" s="1">
        <v>58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"2025-12-21 09:32:04.428"</f>
        <v>2025-12-21 09:32:04.428</v>
      </c>
      <c r="H518" t="s">
        <v>21</v>
      </c>
      <c r="I518">
        <v>0</v>
      </c>
      <c r="J518" t="s">
        <v>22</v>
      </c>
    </row>
    <row r="519" spans="1:10" x14ac:dyDescent="0.25">
      <c r="A519" s="1">
        <v>60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"2025-12-20 13:38:01.389"</f>
        <v>2025-12-20 13:38:01.389</v>
      </c>
      <c r="H519" t="s">
        <v>21</v>
      </c>
      <c r="I519">
        <v>0</v>
      </c>
      <c r="J519" t="s">
        <v>22</v>
      </c>
    </row>
    <row r="520" spans="1:10" x14ac:dyDescent="0.25">
      <c r="A520" s="1">
        <v>61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"2025-12-19 12:38:20.409"</f>
        <v>2025-12-19 12:38:20.409</v>
      </c>
      <c r="H520" t="s">
        <v>21</v>
      </c>
      <c r="I520">
        <v>0</v>
      </c>
      <c r="J520" t="s">
        <v>22</v>
      </c>
    </row>
    <row r="521" spans="1:10" x14ac:dyDescent="0.25">
      <c r="A521" s="1">
        <v>62</v>
      </c>
      <c r="B521" t="s">
        <v>28</v>
      </c>
      <c r="C521">
        <v>635</v>
      </c>
      <c r="D521">
        <v>1</v>
      </c>
      <c r="E521" t="s">
        <v>29</v>
      </c>
      <c r="F521" t="s">
        <v>30</v>
      </c>
      <c r="G521" t="str">
        <f>"2025-12-19 09:04:07.268"</f>
        <v>2025-12-19 09:04:07.268</v>
      </c>
      <c r="H521" t="s">
        <v>21</v>
      </c>
    </row>
    <row r="522" spans="1:10" x14ac:dyDescent="0.25">
      <c r="A522" s="1">
        <v>63</v>
      </c>
      <c r="B522" t="s">
        <v>31</v>
      </c>
      <c r="C522">
        <v>635</v>
      </c>
      <c r="D522">
        <v>1</v>
      </c>
      <c r="E522" t="s">
        <v>29</v>
      </c>
      <c r="F522" t="s">
        <v>30</v>
      </c>
      <c r="G522" t="str">
        <f>"2025-12-19 08:53:51.768"</f>
        <v>2025-12-19 08:53:51.768</v>
      </c>
      <c r="H522" t="s">
        <v>21</v>
      </c>
      <c r="I522">
        <v>7.94</v>
      </c>
      <c r="J522" t="s">
        <v>27</v>
      </c>
    </row>
    <row r="523" spans="1:10" s="3" customFormat="1" x14ac:dyDescent="0.25">
      <c r="A523" s="2">
        <v>65</v>
      </c>
      <c r="B523" s="3" t="s">
        <v>28</v>
      </c>
      <c r="C523" s="3">
        <v>647</v>
      </c>
      <c r="D523" s="3">
        <v>1</v>
      </c>
      <c r="E523" s="3" t="s">
        <v>39</v>
      </c>
      <c r="F523" s="3" t="s">
        <v>40</v>
      </c>
      <c r="G523" s="3" t="str">
        <f>"2025-12-17 11:08:21.369"</f>
        <v>2025-12-17 11:08:21.369</v>
      </c>
      <c r="H523" s="3" t="s">
        <v>21</v>
      </c>
    </row>
    <row r="524" spans="1:10" s="3" customFormat="1" x14ac:dyDescent="0.25">
      <c r="A524" s="2">
        <v>66</v>
      </c>
      <c r="B524" s="3" t="s">
        <v>31</v>
      </c>
      <c r="C524" s="3">
        <v>647</v>
      </c>
      <c r="D524" s="3">
        <v>1</v>
      </c>
      <c r="E524" s="3" t="s">
        <v>39</v>
      </c>
      <c r="F524" s="3" t="s">
        <v>40</v>
      </c>
      <c r="G524" s="3" t="str">
        <f>"2025-12-17 11:08:19.769"</f>
        <v>2025-12-17 11:08:19.769</v>
      </c>
      <c r="H524" s="3" t="s">
        <v>21</v>
      </c>
      <c r="I524" s="3">
        <v>10.66</v>
      </c>
      <c r="J524" s="3" t="s">
        <v>38</v>
      </c>
    </row>
    <row r="525" spans="1:10" x14ac:dyDescent="0.25">
      <c r="A525" s="1">
        <v>67</v>
      </c>
      <c r="B525" t="s">
        <v>19</v>
      </c>
      <c r="C525">
        <v>706</v>
      </c>
      <c r="D525">
        <v>2</v>
      </c>
      <c r="E525" t="s">
        <v>34</v>
      </c>
      <c r="F525" t="s">
        <v>35</v>
      </c>
      <c r="G525" t="str">
        <f>"2025-12-17 09:23:44.157"</f>
        <v>2025-12-17 09:23:44.157</v>
      </c>
      <c r="H525" t="s">
        <v>21</v>
      </c>
      <c r="I525">
        <v>0</v>
      </c>
      <c r="J525" t="s">
        <v>36</v>
      </c>
    </row>
    <row r="526" spans="1:10" x14ac:dyDescent="0.25">
      <c r="A526" s="1">
        <v>68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"2025-12-17 09:23:21.517"</f>
        <v>2025-12-17 09:23:21.517</v>
      </c>
      <c r="H526" t="s">
        <v>21</v>
      </c>
      <c r="I526">
        <v>0</v>
      </c>
      <c r="J526" t="s">
        <v>22</v>
      </c>
    </row>
    <row r="527" spans="1:10" x14ac:dyDescent="0.25">
      <c r="A527" s="1">
        <v>69</v>
      </c>
      <c r="B527" t="s">
        <v>28</v>
      </c>
      <c r="C527">
        <v>635</v>
      </c>
      <c r="D527">
        <v>1</v>
      </c>
      <c r="E527" t="s">
        <v>29</v>
      </c>
      <c r="F527" t="s">
        <v>30</v>
      </c>
      <c r="G527" t="str">
        <f>"2025-12-17 09:13:22.222"</f>
        <v>2025-12-17 09:13:22.222</v>
      </c>
      <c r="H527" t="s">
        <v>21</v>
      </c>
    </row>
    <row r="528" spans="1:10" x14ac:dyDescent="0.25">
      <c r="A528" s="1">
        <v>70</v>
      </c>
      <c r="B528" t="s">
        <v>31</v>
      </c>
      <c r="C528">
        <v>635</v>
      </c>
      <c r="D528">
        <v>1</v>
      </c>
      <c r="E528" t="s">
        <v>29</v>
      </c>
      <c r="F528" t="s">
        <v>30</v>
      </c>
      <c r="G528" t="str">
        <f>"2025-12-17 09:09:25.222"</f>
        <v>2025-12-17 09:09:25.222</v>
      </c>
      <c r="H528" t="s">
        <v>21</v>
      </c>
      <c r="I528">
        <v>2.91</v>
      </c>
      <c r="J528" t="s">
        <v>27</v>
      </c>
    </row>
    <row r="529" spans="1:10" x14ac:dyDescent="0.25">
      <c r="A529" s="1">
        <v>71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"2025-12-17 02:49:04.370"</f>
        <v>2025-12-17 02:49:04.370</v>
      </c>
      <c r="H529" t="s">
        <v>21</v>
      </c>
      <c r="I529">
        <v>0</v>
      </c>
      <c r="J529" t="s">
        <v>22</v>
      </c>
    </row>
    <row r="530" spans="1:10" x14ac:dyDescent="0.25">
      <c r="A530" s="1">
        <v>72</v>
      </c>
      <c r="B530" t="s">
        <v>19</v>
      </c>
      <c r="C530">
        <v>706</v>
      </c>
      <c r="D530">
        <v>2</v>
      </c>
      <c r="E530" t="s">
        <v>34</v>
      </c>
      <c r="F530" t="s">
        <v>35</v>
      </c>
      <c r="G530" t="str">
        <f>"2025-12-17 02:08:29.522"</f>
        <v>2025-12-17 02:08:29.522</v>
      </c>
      <c r="H530" t="s">
        <v>21</v>
      </c>
      <c r="I530">
        <v>0</v>
      </c>
      <c r="J530" t="s">
        <v>36</v>
      </c>
    </row>
    <row r="531" spans="1:10" x14ac:dyDescent="0.25">
      <c r="A531" s="1">
        <v>73</v>
      </c>
      <c r="B531" t="s">
        <v>19</v>
      </c>
      <c r="C531">
        <v>706</v>
      </c>
      <c r="D531">
        <v>2</v>
      </c>
      <c r="E531" t="s">
        <v>34</v>
      </c>
      <c r="F531" t="s">
        <v>35</v>
      </c>
      <c r="G531" t="str">
        <f>"2025-12-17 02:06:54.122"</f>
        <v>2025-12-17 02:06:54.122</v>
      </c>
      <c r="H531" t="s">
        <v>21</v>
      </c>
      <c r="I531">
        <v>0</v>
      </c>
      <c r="J531" t="s">
        <v>36</v>
      </c>
    </row>
    <row r="532" spans="1:10" x14ac:dyDescent="0.25">
      <c r="A532" s="1">
        <v>74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"2025-12-17 02:06:11.372"</f>
        <v>2025-12-17 02:06:11.372</v>
      </c>
      <c r="H532" t="s">
        <v>21</v>
      </c>
    </row>
    <row r="533" spans="1:10" x14ac:dyDescent="0.25">
      <c r="A533" s="1">
        <v>75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"2025-12-16 22:18:50.368"</f>
        <v>2025-12-16 22:18:50.368</v>
      </c>
      <c r="H533" t="s">
        <v>21</v>
      </c>
    </row>
    <row r="534" spans="1:10" x14ac:dyDescent="0.25">
      <c r="A534" s="1">
        <v>76</v>
      </c>
      <c r="B534" t="s">
        <v>28</v>
      </c>
      <c r="C534">
        <v>635</v>
      </c>
      <c r="D534">
        <v>1</v>
      </c>
      <c r="E534" t="s">
        <v>29</v>
      </c>
      <c r="F534" t="s">
        <v>30</v>
      </c>
      <c r="G534" t="str">
        <f>"2025-12-15 14:53:12.744"</f>
        <v>2025-12-15 14:53:12.744</v>
      </c>
      <c r="H534" t="s">
        <v>21</v>
      </c>
    </row>
    <row r="535" spans="1:10" x14ac:dyDescent="0.25">
      <c r="A535" s="1">
        <v>77</v>
      </c>
      <c r="B535" t="s">
        <v>31</v>
      </c>
      <c r="C535">
        <v>635</v>
      </c>
      <c r="D535">
        <v>1</v>
      </c>
      <c r="E535" t="s">
        <v>29</v>
      </c>
      <c r="F535" t="s">
        <v>30</v>
      </c>
      <c r="G535" t="str">
        <f>"2025-12-15 14:49:35.244"</f>
        <v>2025-12-15 14:49:35.244</v>
      </c>
      <c r="H535" t="s">
        <v>21</v>
      </c>
      <c r="I535">
        <v>7.2</v>
      </c>
      <c r="J535" t="s">
        <v>32</v>
      </c>
    </row>
    <row r="536" spans="1:10" x14ac:dyDescent="0.25">
      <c r="A536" s="1">
        <v>78</v>
      </c>
      <c r="B536" t="s">
        <v>19</v>
      </c>
      <c r="C536">
        <v>706</v>
      </c>
      <c r="D536">
        <v>4</v>
      </c>
      <c r="E536" t="s">
        <v>34</v>
      </c>
      <c r="F536" t="s">
        <v>37</v>
      </c>
      <c r="G536" t="str">
        <f>"2025-12-15 10:04:00.166"</f>
        <v>2025-12-15 10:04:00.166</v>
      </c>
      <c r="H536" t="s">
        <v>21</v>
      </c>
      <c r="I536">
        <v>0</v>
      </c>
      <c r="J536" t="s">
        <v>36</v>
      </c>
    </row>
    <row r="537" spans="1:10" x14ac:dyDescent="0.25">
      <c r="A537" s="1">
        <v>79</v>
      </c>
      <c r="B537" t="s">
        <v>28</v>
      </c>
      <c r="C537">
        <v>635</v>
      </c>
      <c r="D537">
        <v>1</v>
      </c>
      <c r="E537" t="s">
        <v>29</v>
      </c>
      <c r="F537" t="s">
        <v>30</v>
      </c>
      <c r="G537" t="str">
        <f>"2025-12-15 08:08:54.944"</f>
        <v>2025-12-15 08:08:54.944</v>
      </c>
      <c r="H537" t="s">
        <v>21</v>
      </c>
    </row>
    <row r="538" spans="1:10" x14ac:dyDescent="0.25">
      <c r="A538" s="1">
        <v>80</v>
      </c>
      <c r="B538" t="s">
        <v>31</v>
      </c>
      <c r="C538">
        <v>635</v>
      </c>
      <c r="D538">
        <v>1</v>
      </c>
      <c r="E538" t="s">
        <v>29</v>
      </c>
      <c r="F538" t="s">
        <v>30</v>
      </c>
      <c r="G538" t="str">
        <f>"2025-12-15 08:04:22.444"</f>
        <v>2025-12-15 08:04:22.444</v>
      </c>
      <c r="H538" t="s">
        <v>21</v>
      </c>
      <c r="I538">
        <v>5.59</v>
      </c>
      <c r="J538" t="s">
        <v>32</v>
      </c>
    </row>
    <row r="539" spans="1:10" x14ac:dyDescent="0.25">
      <c r="A539" s="1">
        <v>81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"2025-12-15 03:55:23.396"</f>
        <v>2025-12-15 03:55:23.396</v>
      </c>
      <c r="H539" t="s">
        <v>21</v>
      </c>
    </row>
    <row r="540" spans="1:10" x14ac:dyDescent="0.25">
      <c r="A540" s="1">
        <v>82</v>
      </c>
      <c r="B540" t="s">
        <v>33</v>
      </c>
      <c r="C540">
        <v>620</v>
      </c>
      <c r="D540">
        <v>1</v>
      </c>
      <c r="E540" t="s">
        <v>51</v>
      </c>
      <c r="F540" t="s">
        <v>30</v>
      </c>
      <c r="G540" t="str">
        <f>"2025-12-15 03:49:39.976"</f>
        <v>2025-12-15 03:49:39.976</v>
      </c>
      <c r="H540" t="s">
        <v>52</v>
      </c>
    </row>
    <row r="541" spans="1:10" x14ac:dyDescent="0.25">
      <c r="A541" s="1">
        <v>83</v>
      </c>
      <c r="B541" t="s">
        <v>23</v>
      </c>
      <c r="C541">
        <v>620</v>
      </c>
      <c r="D541">
        <v>1</v>
      </c>
      <c r="E541" t="s">
        <v>51</v>
      </c>
      <c r="F541" t="s">
        <v>30</v>
      </c>
      <c r="G541" t="str">
        <f>"2025-12-15 03:49:35.844"</f>
        <v>2025-12-15 03:49:35.844</v>
      </c>
      <c r="H541" t="s">
        <v>52</v>
      </c>
      <c r="I541">
        <v>7.81</v>
      </c>
      <c r="J541" t="s">
        <v>32</v>
      </c>
    </row>
    <row r="542" spans="1:10" x14ac:dyDescent="0.25">
      <c r="A542" s="1">
        <v>86</v>
      </c>
      <c r="B542" t="s">
        <v>28</v>
      </c>
      <c r="C542">
        <v>635</v>
      </c>
      <c r="D542">
        <v>1</v>
      </c>
      <c r="E542" t="s">
        <v>29</v>
      </c>
      <c r="F542" t="s">
        <v>30</v>
      </c>
      <c r="G542" t="str">
        <f>"2025-12-14 05:03:47.976"</f>
        <v>2025-12-14 05:03:47.976</v>
      </c>
      <c r="H542" t="s">
        <v>21</v>
      </c>
    </row>
    <row r="543" spans="1:10" x14ac:dyDescent="0.25">
      <c r="A543" s="1">
        <v>87</v>
      </c>
      <c r="B543" t="s">
        <v>31</v>
      </c>
      <c r="C543">
        <v>635</v>
      </c>
      <c r="D543">
        <v>1</v>
      </c>
      <c r="E543" t="s">
        <v>29</v>
      </c>
      <c r="F543" t="s">
        <v>30</v>
      </c>
      <c r="G543" t="str">
        <f>"2025-12-14 04:50:36.476"</f>
        <v>2025-12-14 04:50:36.476</v>
      </c>
      <c r="H543" t="s">
        <v>21</v>
      </c>
      <c r="I543">
        <v>3.87</v>
      </c>
      <c r="J543" t="s">
        <v>32</v>
      </c>
    </row>
    <row r="544" spans="1:10" x14ac:dyDescent="0.25">
      <c r="A544" s="1">
        <v>88</v>
      </c>
      <c r="B544" t="s">
        <v>19</v>
      </c>
      <c r="C544">
        <v>706</v>
      </c>
      <c r="D544">
        <v>4</v>
      </c>
      <c r="E544" t="s">
        <v>34</v>
      </c>
      <c r="F544" t="s">
        <v>37</v>
      </c>
      <c r="G544" t="str">
        <f>"2025-12-13 15:58:04.987"</f>
        <v>2025-12-13 15:58:04.987</v>
      </c>
      <c r="H544" t="s">
        <v>21</v>
      </c>
      <c r="I544">
        <v>0</v>
      </c>
      <c r="J544" t="s">
        <v>36</v>
      </c>
    </row>
    <row r="545" spans="1:10" s="3" customFormat="1" x14ac:dyDescent="0.25">
      <c r="A545" s="2">
        <v>90</v>
      </c>
      <c r="B545" s="3" t="s">
        <v>28</v>
      </c>
      <c r="C545" s="3">
        <v>647</v>
      </c>
      <c r="D545" s="3">
        <v>1</v>
      </c>
      <c r="E545" s="3" t="s">
        <v>39</v>
      </c>
      <c r="F545" s="3" t="s">
        <v>40</v>
      </c>
      <c r="G545" s="3" t="str">
        <f>"2025-12-11 11:26:25.224"</f>
        <v>2025-12-11 11:26:25.224</v>
      </c>
      <c r="H545" s="3" t="s">
        <v>21</v>
      </c>
    </row>
    <row r="546" spans="1:10" s="3" customFormat="1" x14ac:dyDescent="0.25">
      <c r="A546" s="2">
        <v>91</v>
      </c>
      <c r="B546" s="3" t="s">
        <v>31</v>
      </c>
      <c r="C546" s="3">
        <v>647</v>
      </c>
      <c r="D546" s="3">
        <v>1</v>
      </c>
      <c r="E546" s="3" t="s">
        <v>39</v>
      </c>
      <c r="F546" s="3" t="s">
        <v>40</v>
      </c>
      <c r="G546" s="3" t="str">
        <f>"2025-12-11 11:26:22.525"</f>
        <v>2025-12-11 11:26:22.525</v>
      </c>
      <c r="H546" s="3" t="s">
        <v>21</v>
      </c>
      <c r="I546" s="3">
        <v>20.77</v>
      </c>
      <c r="J546" s="3" t="s">
        <v>38</v>
      </c>
    </row>
    <row r="547" spans="1:10" x14ac:dyDescent="0.25">
      <c r="A547" s="1">
        <v>92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"2025-12-11 08:22:09.357"</f>
        <v>2025-12-11 08:22:09.357</v>
      </c>
      <c r="H547" t="s">
        <v>21</v>
      </c>
    </row>
    <row r="548" spans="1:10" x14ac:dyDescent="0.25">
      <c r="A548" s="1">
        <v>93</v>
      </c>
      <c r="B548" t="s">
        <v>19</v>
      </c>
      <c r="C548">
        <v>706</v>
      </c>
      <c r="D548">
        <v>3</v>
      </c>
      <c r="E548" t="s">
        <v>34</v>
      </c>
      <c r="F548" t="s">
        <v>48</v>
      </c>
      <c r="G548" t="str">
        <f>"2025-12-09 13:41:12.755"</f>
        <v>2025-12-09 13:41:12.755</v>
      </c>
      <c r="H548" t="s">
        <v>21</v>
      </c>
      <c r="I548">
        <v>0</v>
      </c>
      <c r="J548" t="s">
        <v>27</v>
      </c>
    </row>
    <row r="549" spans="1:10" x14ac:dyDescent="0.25">
      <c r="A549" s="1">
        <v>94</v>
      </c>
      <c r="B549" t="s">
        <v>19</v>
      </c>
      <c r="C549">
        <v>706</v>
      </c>
      <c r="D549">
        <v>4</v>
      </c>
      <c r="E549" t="s">
        <v>34</v>
      </c>
      <c r="F549" t="s">
        <v>37</v>
      </c>
      <c r="G549" t="str">
        <f>"2025-12-09 13:13:32.535"</f>
        <v>2025-12-09 13:13:32.535</v>
      </c>
      <c r="H549" t="s">
        <v>21</v>
      </c>
      <c r="I549">
        <v>0</v>
      </c>
      <c r="J549" t="s">
        <v>36</v>
      </c>
    </row>
    <row r="550" spans="1:10" x14ac:dyDescent="0.25">
      <c r="A550" s="1">
        <v>95</v>
      </c>
      <c r="B550" t="s">
        <v>28</v>
      </c>
      <c r="C550">
        <v>635</v>
      </c>
      <c r="D550">
        <v>1</v>
      </c>
      <c r="E550" t="s">
        <v>29</v>
      </c>
      <c r="F550" t="s">
        <v>30</v>
      </c>
      <c r="G550" t="str">
        <f>"2025-12-06 14:16:08.982"</f>
        <v>2025-12-06 14:16:08.982</v>
      </c>
      <c r="H550" t="s">
        <v>21</v>
      </c>
    </row>
    <row r="551" spans="1:10" x14ac:dyDescent="0.25">
      <c r="A551" s="1">
        <v>96</v>
      </c>
      <c r="B551" t="s">
        <v>31</v>
      </c>
      <c r="C551">
        <v>635</v>
      </c>
      <c r="D551">
        <v>1</v>
      </c>
      <c r="E551" t="s">
        <v>29</v>
      </c>
      <c r="F551" t="s">
        <v>30</v>
      </c>
      <c r="G551" t="str">
        <f>"2025-12-06 14:08:38.582"</f>
        <v>2025-12-06 14:08:38.582</v>
      </c>
      <c r="H551" t="s">
        <v>21</v>
      </c>
      <c r="I551">
        <v>1.83</v>
      </c>
      <c r="J551" t="s">
        <v>38</v>
      </c>
    </row>
    <row r="552" spans="1:10" x14ac:dyDescent="0.25">
      <c r="A552" s="1">
        <v>97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"2025-12-06 10:28:32.375"</f>
        <v>2025-12-06 10:28:32.375</v>
      </c>
      <c r="H552" t="s">
        <v>21</v>
      </c>
      <c r="I552">
        <v>0</v>
      </c>
      <c r="J552" t="s">
        <v>22</v>
      </c>
    </row>
    <row r="553" spans="1:10" x14ac:dyDescent="0.25">
      <c r="A553" s="1">
        <v>99</v>
      </c>
      <c r="B553" t="s">
        <v>19</v>
      </c>
      <c r="C553">
        <v>706</v>
      </c>
      <c r="D553">
        <v>2</v>
      </c>
      <c r="E553" t="s">
        <v>34</v>
      </c>
      <c r="F553" t="s">
        <v>35</v>
      </c>
      <c r="G553" t="str">
        <f>"2025-12-06 01:21:42.921"</f>
        <v>2025-12-06 01:21:42.921</v>
      </c>
      <c r="H553" t="s">
        <v>21</v>
      </c>
      <c r="I553">
        <v>0</v>
      </c>
      <c r="J553" t="s">
        <v>36</v>
      </c>
    </row>
    <row r="554" spans="1:10" x14ac:dyDescent="0.25">
      <c r="A554" s="1">
        <v>0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"2025-12-06 01:08:15.331"</f>
        <v>2025-12-06 01:08:15.331</v>
      </c>
      <c r="H554" t="s">
        <v>21</v>
      </c>
      <c r="I554">
        <v>0</v>
      </c>
      <c r="J554" t="s">
        <v>22</v>
      </c>
    </row>
    <row r="555" spans="1:10" x14ac:dyDescent="0.25">
      <c r="A555" s="1">
        <v>1</v>
      </c>
      <c r="B555" t="s">
        <v>19</v>
      </c>
      <c r="C555">
        <v>706</v>
      </c>
      <c r="D555">
        <v>2</v>
      </c>
      <c r="E555" t="s">
        <v>34</v>
      </c>
      <c r="F555" t="s">
        <v>35</v>
      </c>
      <c r="G555" t="str">
        <f>"2025-12-06 00:48:38.940"</f>
        <v>2025-12-06 00:48:38.940</v>
      </c>
      <c r="H555" t="s">
        <v>21</v>
      </c>
      <c r="I555">
        <v>0</v>
      </c>
      <c r="J555" t="s">
        <v>36</v>
      </c>
    </row>
    <row r="556" spans="1:10" x14ac:dyDescent="0.25">
      <c r="A556" s="1">
        <v>2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"2025-12-06 00:48:21.330"</f>
        <v>2025-12-06 00:48:21.330</v>
      </c>
      <c r="H556" t="s">
        <v>21</v>
      </c>
    </row>
    <row r="557" spans="1:10" x14ac:dyDescent="0.25">
      <c r="A557" s="1">
        <v>3</v>
      </c>
      <c r="B557" t="s">
        <v>19</v>
      </c>
      <c r="C557">
        <v>706</v>
      </c>
      <c r="D557">
        <v>4</v>
      </c>
      <c r="E557" t="s">
        <v>34</v>
      </c>
      <c r="F557" t="s">
        <v>37</v>
      </c>
      <c r="G557" t="str">
        <f>"2025-12-06 00:16:33.801"</f>
        <v>2025-12-06 00:16:33.801</v>
      </c>
      <c r="H557" t="s">
        <v>21</v>
      </c>
      <c r="I557">
        <v>0</v>
      </c>
      <c r="J557" t="s">
        <v>36</v>
      </c>
    </row>
    <row r="558" spans="1:10" x14ac:dyDescent="0.25">
      <c r="A558" s="1">
        <v>4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"2025-12-05 23:39:17.361"</f>
        <v>2025-12-05 23:39:17.361</v>
      </c>
      <c r="H558" t="s">
        <v>21</v>
      </c>
    </row>
    <row r="559" spans="1:10" x14ac:dyDescent="0.25">
      <c r="A559" s="1">
        <v>5</v>
      </c>
      <c r="B559" t="s">
        <v>19</v>
      </c>
      <c r="C559">
        <v>706</v>
      </c>
      <c r="D559">
        <v>3</v>
      </c>
      <c r="E559" t="s">
        <v>34</v>
      </c>
      <c r="F559" t="s">
        <v>48</v>
      </c>
      <c r="G559" t="str">
        <f>"2025-12-05 22:33:59.713"</f>
        <v>2025-12-05 22:33:59.713</v>
      </c>
      <c r="H559" t="s">
        <v>21</v>
      </c>
      <c r="I559">
        <v>0</v>
      </c>
      <c r="J559" t="s">
        <v>36</v>
      </c>
    </row>
    <row r="560" spans="1:10" x14ac:dyDescent="0.25">
      <c r="A560" s="1">
        <v>6</v>
      </c>
      <c r="B560" t="s">
        <v>19</v>
      </c>
      <c r="C560">
        <v>706</v>
      </c>
      <c r="D560">
        <v>2</v>
      </c>
      <c r="E560" t="s">
        <v>34</v>
      </c>
      <c r="F560" t="s">
        <v>35</v>
      </c>
      <c r="G560" t="str">
        <f>"2025-12-03 11:09:37.073"</f>
        <v>2025-12-03 11:09:37.073</v>
      </c>
      <c r="H560" t="s">
        <v>21</v>
      </c>
      <c r="I560">
        <v>0</v>
      </c>
      <c r="J560" t="s">
        <v>36</v>
      </c>
    </row>
    <row r="561" spans="1:10" x14ac:dyDescent="0.25">
      <c r="A561" s="1">
        <v>7</v>
      </c>
      <c r="B561" t="s">
        <v>28</v>
      </c>
      <c r="C561">
        <v>635</v>
      </c>
      <c r="D561">
        <v>1</v>
      </c>
      <c r="E561" t="s">
        <v>29</v>
      </c>
      <c r="F561" t="s">
        <v>30</v>
      </c>
      <c r="G561" t="str">
        <f>"2025-12-02 01:57:13.176"</f>
        <v>2025-12-02 01:57:13.176</v>
      </c>
      <c r="H561" t="s">
        <v>21</v>
      </c>
    </row>
    <row r="562" spans="1:10" x14ac:dyDescent="0.25">
      <c r="A562" s="1">
        <v>8</v>
      </c>
      <c r="B562" t="s">
        <v>31</v>
      </c>
      <c r="C562">
        <v>635</v>
      </c>
      <c r="D562">
        <v>1</v>
      </c>
      <c r="E562" t="s">
        <v>29</v>
      </c>
      <c r="F562" t="s">
        <v>30</v>
      </c>
      <c r="G562" t="str">
        <f>"2025-12-02 01:52:27.676"</f>
        <v>2025-12-02 01:52:27.676</v>
      </c>
      <c r="H562" t="s">
        <v>21</v>
      </c>
      <c r="I562">
        <v>5.5</v>
      </c>
      <c r="J562" t="s">
        <v>32</v>
      </c>
    </row>
    <row r="563" spans="1:10" x14ac:dyDescent="0.25">
      <c r="A563" s="1">
        <v>9</v>
      </c>
      <c r="B563" t="s">
        <v>19</v>
      </c>
      <c r="C563">
        <v>706</v>
      </c>
      <c r="D563">
        <v>4</v>
      </c>
      <c r="E563" t="s">
        <v>34</v>
      </c>
      <c r="F563" t="s">
        <v>37</v>
      </c>
      <c r="G563" t="str">
        <f>"2025-12-01 09:33:27.863"</f>
        <v>2025-12-01 09:33:27.863</v>
      </c>
      <c r="H563" t="s">
        <v>21</v>
      </c>
      <c r="I563">
        <v>0</v>
      </c>
      <c r="J563" t="s">
        <v>36</v>
      </c>
    </row>
    <row r="564" spans="1:10" x14ac:dyDescent="0.25">
      <c r="A564" s="1">
        <v>10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"2025-12-01 09:31:39.493"</f>
        <v>2025-12-01 09:31:39.493</v>
      </c>
      <c r="H564" t="s">
        <v>21</v>
      </c>
    </row>
    <row r="565" spans="1:10" x14ac:dyDescent="0.25">
      <c r="A565" s="1">
        <v>14</v>
      </c>
      <c r="B565" t="s">
        <v>28</v>
      </c>
      <c r="C565">
        <v>635</v>
      </c>
      <c r="D565">
        <v>1</v>
      </c>
      <c r="E565" t="s">
        <v>29</v>
      </c>
      <c r="F565" t="s">
        <v>30</v>
      </c>
      <c r="G565" t="str">
        <f>"2025-11-29 16:52:12.538"</f>
        <v>2025-11-29 16:52:12.538</v>
      </c>
      <c r="H565" t="s">
        <v>21</v>
      </c>
    </row>
    <row r="566" spans="1:10" x14ac:dyDescent="0.25">
      <c r="A566" s="1">
        <v>15</v>
      </c>
      <c r="B566" t="s">
        <v>31</v>
      </c>
      <c r="C566">
        <v>635</v>
      </c>
      <c r="D566">
        <v>1</v>
      </c>
      <c r="E566" t="s">
        <v>29</v>
      </c>
      <c r="F566" t="s">
        <v>30</v>
      </c>
      <c r="G566" t="str">
        <f>"2025-11-29 16:49:32.038"</f>
        <v>2025-11-29 16:49:32.038</v>
      </c>
      <c r="H566" t="s">
        <v>21</v>
      </c>
      <c r="I566">
        <v>3.84</v>
      </c>
      <c r="J566" t="s">
        <v>38</v>
      </c>
    </row>
    <row r="567" spans="1:10" x14ac:dyDescent="0.25">
      <c r="A567" s="1">
        <v>17</v>
      </c>
      <c r="B567" t="s">
        <v>33</v>
      </c>
      <c r="C567">
        <v>33</v>
      </c>
      <c r="D567">
        <v>1</v>
      </c>
      <c r="E567" t="s">
        <v>53</v>
      </c>
      <c r="F567" t="s">
        <v>54</v>
      </c>
      <c r="G567" t="str">
        <f>"2025-11-29 04:38:06.985"</f>
        <v>2025-11-29 04:38:06.985</v>
      </c>
      <c r="H567" t="s">
        <v>55</v>
      </c>
    </row>
    <row r="568" spans="1:10" x14ac:dyDescent="0.25">
      <c r="A568" s="1">
        <v>18</v>
      </c>
      <c r="B568" t="s">
        <v>23</v>
      </c>
      <c r="C568">
        <v>33</v>
      </c>
      <c r="D568">
        <v>1</v>
      </c>
      <c r="E568" t="s">
        <v>53</v>
      </c>
      <c r="F568" t="s">
        <v>54</v>
      </c>
      <c r="G568" t="str">
        <f>"2025-11-29 04:37:53.237"</f>
        <v>2025-11-29 04:37:53.237</v>
      </c>
      <c r="H568" t="s">
        <v>55</v>
      </c>
      <c r="I568">
        <v>8</v>
      </c>
      <c r="J568" t="s">
        <v>32</v>
      </c>
    </row>
    <row r="569" spans="1:10" x14ac:dyDescent="0.25">
      <c r="A569" s="1">
        <v>21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"2025-11-28 13:17:58.356"</f>
        <v>2025-11-28 13:17:58.356</v>
      </c>
      <c r="H569" t="s">
        <v>21</v>
      </c>
    </row>
    <row r="570" spans="1:10" x14ac:dyDescent="0.25">
      <c r="A570" s="1">
        <v>22</v>
      </c>
      <c r="B570" t="s">
        <v>19</v>
      </c>
      <c r="C570">
        <v>706</v>
      </c>
      <c r="D570">
        <v>4</v>
      </c>
      <c r="E570" t="s">
        <v>34</v>
      </c>
      <c r="F570" t="s">
        <v>37</v>
      </c>
      <c r="G570" t="str">
        <f>"2025-11-26 09:50:25.500"</f>
        <v>2025-11-26 09:50:25.500</v>
      </c>
      <c r="H570" t="s">
        <v>21</v>
      </c>
      <c r="I570">
        <v>0</v>
      </c>
      <c r="J570" t="s">
        <v>36</v>
      </c>
    </row>
    <row r="571" spans="1:10" x14ac:dyDescent="0.25">
      <c r="A571" s="1">
        <v>23</v>
      </c>
      <c r="B571" t="s">
        <v>19</v>
      </c>
      <c r="C571">
        <v>706</v>
      </c>
      <c r="D571">
        <v>4</v>
      </c>
      <c r="E571" t="s">
        <v>34</v>
      </c>
      <c r="F571" t="s">
        <v>37</v>
      </c>
      <c r="G571" t="str">
        <f>"2025-11-25 12:39:12.680"</f>
        <v>2025-11-25 12:39:12.680</v>
      </c>
      <c r="H571" t="s">
        <v>21</v>
      </c>
      <c r="I571">
        <v>0</v>
      </c>
      <c r="J571" t="s">
        <v>36</v>
      </c>
    </row>
    <row r="572" spans="1:10" x14ac:dyDescent="0.25">
      <c r="A572" s="1">
        <v>24</v>
      </c>
      <c r="B572" t="s">
        <v>19</v>
      </c>
      <c r="C572">
        <v>706</v>
      </c>
      <c r="D572">
        <v>3</v>
      </c>
      <c r="E572" t="s">
        <v>34</v>
      </c>
      <c r="F572" t="s">
        <v>48</v>
      </c>
      <c r="G572" t="str">
        <f>"2025-11-25 12:38:51.470"</f>
        <v>2025-11-25 12:38:51.470</v>
      </c>
      <c r="H572" t="s">
        <v>21</v>
      </c>
      <c r="I572">
        <v>0</v>
      </c>
      <c r="J572" t="s">
        <v>36</v>
      </c>
    </row>
    <row r="573" spans="1:10" x14ac:dyDescent="0.25">
      <c r="A573" s="1">
        <v>25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"2025-11-25 12:08:37.340"</f>
        <v>2025-11-25 12:08:37.340</v>
      </c>
      <c r="H573" t="s">
        <v>21</v>
      </c>
      <c r="I573">
        <v>0</v>
      </c>
      <c r="J573" t="s">
        <v>22</v>
      </c>
    </row>
    <row r="574" spans="1:10" x14ac:dyDescent="0.25">
      <c r="A574" s="1">
        <v>26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"2025-11-25 10:57:10.321"</f>
        <v>2025-11-25 10:57:10.321</v>
      </c>
      <c r="H574" t="s">
        <v>21</v>
      </c>
      <c r="I574">
        <v>0</v>
      </c>
      <c r="J574" t="s">
        <v>22</v>
      </c>
    </row>
    <row r="575" spans="1:10" x14ac:dyDescent="0.25">
      <c r="A575" s="1">
        <v>27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"2025-11-25 10:07:40.421"</f>
        <v>2025-11-25 10:07:40.421</v>
      </c>
      <c r="H575" t="s">
        <v>21</v>
      </c>
      <c r="I575">
        <v>0</v>
      </c>
      <c r="J575" t="s">
        <v>22</v>
      </c>
    </row>
    <row r="576" spans="1:10" x14ac:dyDescent="0.25">
      <c r="A576" s="1">
        <v>28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"2025-11-24 17:47:23.325"</f>
        <v>2025-11-24 17:47:23.325</v>
      </c>
      <c r="H576" t="s">
        <v>21</v>
      </c>
    </row>
    <row r="577" spans="1:10" x14ac:dyDescent="0.25">
      <c r="A577" s="1">
        <v>29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"2025-11-24 17:40:08.331"</f>
        <v>2025-11-24 17:40:08.331</v>
      </c>
      <c r="H577" t="s">
        <v>21</v>
      </c>
      <c r="I577">
        <v>0</v>
      </c>
      <c r="J577" t="s">
        <v>22</v>
      </c>
    </row>
    <row r="578" spans="1:10" x14ac:dyDescent="0.25">
      <c r="A578" s="1">
        <v>30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"2025-11-24 13:28:07.390"</f>
        <v>2025-11-24 13:28:07.390</v>
      </c>
      <c r="H578" t="s">
        <v>21</v>
      </c>
    </row>
    <row r="579" spans="1:10" x14ac:dyDescent="0.25">
      <c r="A579" s="1">
        <v>31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"2025-11-24 12:18:59.362"</f>
        <v>2025-11-24 12:18:59.362</v>
      </c>
      <c r="H579" t="s">
        <v>21</v>
      </c>
      <c r="I579">
        <v>0</v>
      </c>
      <c r="J579" t="s">
        <v>22</v>
      </c>
    </row>
    <row r="580" spans="1:10" x14ac:dyDescent="0.25">
      <c r="A580" s="1">
        <v>32</v>
      </c>
      <c r="B580" t="s">
        <v>19</v>
      </c>
      <c r="C580">
        <v>706</v>
      </c>
      <c r="D580">
        <v>2</v>
      </c>
      <c r="E580" t="s">
        <v>34</v>
      </c>
      <c r="F580" t="s">
        <v>35</v>
      </c>
      <c r="G580" t="str">
        <f>"2025-11-22 10:45:17.734"</f>
        <v>2025-11-22 10:45:17.734</v>
      </c>
      <c r="H580" t="s">
        <v>21</v>
      </c>
      <c r="I580">
        <v>0</v>
      </c>
      <c r="J580" t="s">
        <v>36</v>
      </c>
    </row>
    <row r="581" spans="1:10" x14ac:dyDescent="0.25">
      <c r="A581" s="1">
        <v>33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"2025-11-22 09:11:51.314"</f>
        <v>2025-11-22 09:11:51.314</v>
      </c>
      <c r="H581" t="s">
        <v>21</v>
      </c>
    </row>
    <row r="582" spans="1:10" x14ac:dyDescent="0.25">
      <c r="A582" s="1">
        <v>34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"2025-11-22 09:10:42.349"</f>
        <v>2025-11-22 09:10:42.349</v>
      </c>
      <c r="H582" t="s">
        <v>21</v>
      </c>
    </row>
    <row r="583" spans="1:10" x14ac:dyDescent="0.25">
      <c r="A583" s="1">
        <v>35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"2025-11-20 13:01:00.341"</f>
        <v>2025-11-20 13:01:00.341</v>
      </c>
      <c r="H583" t="s">
        <v>21</v>
      </c>
      <c r="I583">
        <v>0</v>
      </c>
      <c r="J583" t="s">
        <v>22</v>
      </c>
    </row>
    <row r="584" spans="1:10" s="3" customFormat="1" x14ac:dyDescent="0.25">
      <c r="A584" s="2">
        <v>36</v>
      </c>
      <c r="B584" s="3" t="s">
        <v>28</v>
      </c>
      <c r="C584" s="3">
        <v>647</v>
      </c>
      <c r="D584" s="3">
        <v>1</v>
      </c>
      <c r="E584" s="3" t="s">
        <v>39</v>
      </c>
      <c r="F584" s="3" t="s">
        <v>40</v>
      </c>
      <c r="G584" s="3" t="str">
        <f>"2025-11-20 07:49:51.221"</f>
        <v>2025-11-20 07:49:51.221</v>
      </c>
      <c r="H584" s="3" t="s">
        <v>21</v>
      </c>
    </row>
    <row r="585" spans="1:10" s="3" customFormat="1" x14ac:dyDescent="0.25">
      <c r="A585" s="2">
        <v>37</v>
      </c>
      <c r="B585" s="3" t="s">
        <v>31</v>
      </c>
      <c r="C585" s="3">
        <v>647</v>
      </c>
      <c r="D585" s="3">
        <v>1</v>
      </c>
      <c r="E585" s="3" t="s">
        <v>39</v>
      </c>
      <c r="F585" s="3" t="s">
        <v>40</v>
      </c>
      <c r="G585" s="3" t="str">
        <f>"2025-11-20 07:49:50.121"</f>
        <v>2025-11-20 07:49:50.121</v>
      </c>
      <c r="H585" s="3" t="s">
        <v>21</v>
      </c>
      <c r="I585" s="3">
        <v>14.38</v>
      </c>
      <c r="J585" s="3" t="s">
        <v>38</v>
      </c>
    </row>
    <row r="586" spans="1:10" s="3" customFormat="1" x14ac:dyDescent="0.25">
      <c r="A586" s="2">
        <v>38</v>
      </c>
      <c r="B586" s="3" t="s">
        <v>28</v>
      </c>
      <c r="C586" s="3">
        <v>647</v>
      </c>
      <c r="D586" s="3">
        <v>1</v>
      </c>
      <c r="E586" s="3" t="s">
        <v>39</v>
      </c>
      <c r="F586" s="3" t="s">
        <v>40</v>
      </c>
      <c r="G586" s="3" t="str">
        <f>"2025-11-18 10:04:50.321"</f>
        <v>2025-11-18 10:04:50.321</v>
      </c>
      <c r="H586" s="3" t="s">
        <v>21</v>
      </c>
    </row>
    <row r="587" spans="1:10" s="3" customFormat="1" x14ac:dyDescent="0.25">
      <c r="A587" s="2">
        <v>39</v>
      </c>
      <c r="B587" s="3" t="s">
        <v>31</v>
      </c>
      <c r="C587" s="3">
        <v>647</v>
      </c>
      <c r="D587" s="3">
        <v>1</v>
      </c>
      <c r="E587" s="3" t="s">
        <v>39</v>
      </c>
      <c r="F587" s="3" t="s">
        <v>40</v>
      </c>
      <c r="G587" s="3" t="str">
        <f>"2025-11-18 10:04:49.221"</f>
        <v>2025-11-18 10:04:49.221</v>
      </c>
      <c r="H587" s="3" t="s">
        <v>21</v>
      </c>
      <c r="I587" s="3">
        <v>18.86</v>
      </c>
      <c r="J587" s="3" t="s">
        <v>38</v>
      </c>
    </row>
    <row r="588" spans="1:10" s="3" customFormat="1" x14ac:dyDescent="0.25">
      <c r="A588" s="2">
        <v>40</v>
      </c>
      <c r="B588" s="3" t="s">
        <v>28</v>
      </c>
      <c r="C588" s="3">
        <v>647</v>
      </c>
      <c r="D588" s="3">
        <v>1</v>
      </c>
      <c r="E588" s="3" t="s">
        <v>39</v>
      </c>
      <c r="F588" s="3" t="s">
        <v>40</v>
      </c>
      <c r="G588" s="3" t="str">
        <f>"2025-11-18 10:04:35.521"</f>
        <v>2025-11-18 10:04:35.521</v>
      </c>
      <c r="H588" s="3" t="s">
        <v>21</v>
      </c>
    </row>
    <row r="589" spans="1:10" s="3" customFormat="1" x14ac:dyDescent="0.25">
      <c r="A589" s="2">
        <v>41</v>
      </c>
      <c r="B589" s="3" t="s">
        <v>31</v>
      </c>
      <c r="C589" s="3">
        <v>647</v>
      </c>
      <c r="D589" s="3">
        <v>1</v>
      </c>
      <c r="E589" s="3" t="s">
        <v>39</v>
      </c>
      <c r="F589" s="3" t="s">
        <v>40</v>
      </c>
      <c r="G589" s="3" t="str">
        <f>"2025-11-18 10:04:34.221"</f>
        <v>2025-11-18 10:04:34.221</v>
      </c>
      <c r="H589" s="3" t="s">
        <v>21</v>
      </c>
      <c r="I589" s="3">
        <v>22.42</v>
      </c>
      <c r="J589" s="3" t="s">
        <v>38</v>
      </c>
    </row>
    <row r="590" spans="1:10" x14ac:dyDescent="0.25">
      <c r="A590" s="1">
        <v>42</v>
      </c>
      <c r="B590" t="s">
        <v>28</v>
      </c>
      <c r="C590">
        <v>635</v>
      </c>
      <c r="D590">
        <v>1</v>
      </c>
      <c r="E590" t="s">
        <v>29</v>
      </c>
      <c r="F590" t="s">
        <v>30</v>
      </c>
      <c r="G590" t="str">
        <f>"2025-11-18 06:39:48.321"</f>
        <v>2025-11-18 06:39:48.321</v>
      </c>
      <c r="H590" t="s">
        <v>21</v>
      </c>
    </row>
    <row r="591" spans="1:10" x14ac:dyDescent="0.25">
      <c r="A591" s="1">
        <v>43</v>
      </c>
      <c r="B591" t="s">
        <v>31</v>
      </c>
      <c r="C591">
        <v>635</v>
      </c>
      <c r="D591">
        <v>1</v>
      </c>
      <c r="E591" t="s">
        <v>29</v>
      </c>
      <c r="F591" t="s">
        <v>30</v>
      </c>
      <c r="G591" t="str">
        <f>"2025-11-18 06:16:44.820"</f>
        <v>2025-11-18 06:16:44.820</v>
      </c>
      <c r="H591" t="s">
        <v>21</v>
      </c>
      <c r="I591">
        <v>2.11</v>
      </c>
      <c r="J591" t="s">
        <v>32</v>
      </c>
    </row>
    <row r="592" spans="1:10" x14ac:dyDescent="0.25">
      <c r="A592" s="1">
        <v>44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"2025-11-17 20:16:55.319"</f>
        <v>2025-11-17 20:16:55.319</v>
      </c>
      <c r="H592" t="s">
        <v>21</v>
      </c>
    </row>
    <row r="593" spans="1:10" x14ac:dyDescent="0.25">
      <c r="A593" s="1">
        <v>47</v>
      </c>
      <c r="B593" t="s">
        <v>19</v>
      </c>
      <c r="C593">
        <v>706</v>
      </c>
      <c r="D593">
        <v>4</v>
      </c>
      <c r="E593" t="s">
        <v>34</v>
      </c>
      <c r="F593" t="s">
        <v>37</v>
      </c>
      <c r="G593" t="str">
        <f>"2025-11-17 05:18:58.660"</f>
        <v>2025-11-17 05:18:58.660</v>
      </c>
      <c r="H593" t="s">
        <v>21</v>
      </c>
      <c r="I593">
        <v>0</v>
      </c>
      <c r="J593" t="s">
        <v>36</v>
      </c>
    </row>
    <row r="594" spans="1:10" x14ac:dyDescent="0.25">
      <c r="A594" s="1">
        <v>48</v>
      </c>
      <c r="B594" t="s">
        <v>28</v>
      </c>
      <c r="C594">
        <v>635</v>
      </c>
      <c r="D594">
        <v>1</v>
      </c>
      <c r="E594" t="s">
        <v>29</v>
      </c>
      <c r="F594" t="s">
        <v>30</v>
      </c>
      <c r="G594" t="str">
        <f>"2025-11-16 15:28:22.509"</f>
        <v>2025-11-16 15:28:22.509</v>
      </c>
      <c r="H594" t="s">
        <v>21</v>
      </c>
    </row>
    <row r="595" spans="1:10" x14ac:dyDescent="0.25">
      <c r="A595" s="1">
        <v>49</v>
      </c>
      <c r="B595" t="s">
        <v>31</v>
      </c>
      <c r="C595">
        <v>635</v>
      </c>
      <c r="D595">
        <v>1</v>
      </c>
      <c r="E595" t="s">
        <v>29</v>
      </c>
      <c r="F595" t="s">
        <v>30</v>
      </c>
      <c r="G595" t="str">
        <f>"2025-11-16 15:22:02.509"</f>
        <v>2025-11-16 15:22:02.509</v>
      </c>
      <c r="H595" t="s">
        <v>21</v>
      </c>
      <c r="I595">
        <v>5.55</v>
      </c>
      <c r="J595" t="s">
        <v>32</v>
      </c>
    </row>
    <row r="596" spans="1:10" s="3" customFormat="1" x14ac:dyDescent="0.25">
      <c r="A596" s="2">
        <v>51</v>
      </c>
      <c r="B596" s="3" t="s">
        <v>28</v>
      </c>
      <c r="C596" s="3">
        <v>647</v>
      </c>
      <c r="D596" s="3">
        <v>1</v>
      </c>
      <c r="E596" s="3" t="s">
        <v>39</v>
      </c>
      <c r="F596" s="3" t="s">
        <v>40</v>
      </c>
      <c r="G596" s="3" t="str">
        <f>"2025-11-15 10:24:52.410"</f>
        <v>2025-11-15 10:24:52.410</v>
      </c>
      <c r="H596" s="3" t="s">
        <v>21</v>
      </c>
    </row>
    <row r="597" spans="1:10" s="3" customFormat="1" x14ac:dyDescent="0.25">
      <c r="A597" s="2">
        <v>52</v>
      </c>
      <c r="B597" s="3" t="s">
        <v>31</v>
      </c>
      <c r="C597" s="3">
        <v>647</v>
      </c>
      <c r="D597" s="3">
        <v>1</v>
      </c>
      <c r="E597" s="3" t="s">
        <v>39</v>
      </c>
      <c r="F597" s="3" t="s">
        <v>40</v>
      </c>
      <c r="G597" s="3" t="str">
        <f>"2025-11-15 10:24:50.110"</f>
        <v>2025-11-15 10:24:50.110</v>
      </c>
      <c r="H597" s="3" t="s">
        <v>21</v>
      </c>
      <c r="I597" s="3">
        <v>12.67</v>
      </c>
      <c r="J597" s="3" t="s">
        <v>38</v>
      </c>
    </row>
    <row r="598" spans="1:10" x14ac:dyDescent="0.25">
      <c r="A598" s="1">
        <v>53</v>
      </c>
      <c r="B598" t="s">
        <v>28</v>
      </c>
      <c r="C598">
        <v>635</v>
      </c>
      <c r="D598">
        <v>1</v>
      </c>
      <c r="E598" t="s">
        <v>29</v>
      </c>
      <c r="F598" t="s">
        <v>30</v>
      </c>
      <c r="G598" t="str">
        <f>"2025-11-15 05:16:08.709"</f>
        <v>2025-11-15 05:16:08.709</v>
      </c>
      <c r="H598" t="s">
        <v>21</v>
      </c>
    </row>
    <row r="599" spans="1:10" x14ac:dyDescent="0.25">
      <c r="A599" s="1">
        <v>54</v>
      </c>
      <c r="B599" t="s">
        <v>31</v>
      </c>
      <c r="C599">
        <v>635</v>
      </c>
      <c r="D599">
        <v>1</v>
      </c>
      <c r="E599" t="s">
        <v>29</v>
      </c>
      <c r="F599" t="s">
        <v>30</v>
      </c>
      <c r="G599" t="str">
        <f>"2025-11-15 05:12:03.710"</f>
        <v>2025-11-15 05:12:03.710</v>
      </c>
      <c r="H599" t="s">
        <v>21</v>
      </c>
      <c r="I599">
        <v>8.1199999999999992</v>
      </c>
      <c r="J599" t="s">
        <v>38</v>
      </c>
    </row>
    <row r="600" spans="1:10" x14ac:dyDescent="0.25">
      <c r="A600" s="1">
        <v>55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"2025-11-15 03:07:02.310"</f>
        <v>2025-11-15 03:07:02.310</v>
      </c>
      <c r="H600" t="s">
        <v>21</v>
      </c>
      <c r="I600">
        <v>0</v>
      </c>
      <c r="J600" t="s">
        <v>22</v>
      </c>
    </row>
    <row r="601" spans="1:10" x14ac:dyDescent="0.25">
      <c r="A601" s="1">
        <v>56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"2025-11-15 02:42:14.348"</f>
        <v>2025-11-15 02:42:14.348</v>
      </c>
      <c r="H601" t="s">
        <v>21</v>
      </c>
    </row>
    <row r="602" spans="1:10" x14ac:dyDescent="0.25">
      <c r="A602" s="1">
        <v>57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"2025-11-14 23:43:53.550"</f>
        <v>2025-11-14 23:43:53.550</v>
      </c>
      <c r="H602" t="s">
        <v>21</v>
      </c>
      <c r="I602">
        <v>0</v>
      </c>
      <c r="J602" t="s">
        <v>22</v>
      </c>
    </row>
    <row r="603" spans="1:10" x14ac:dyDescent="0.25">
      <c r="A603" s="1">
        <v>58</v>
      </c>
      <c r="B603" t="s">
        <v>28</v>
      </c>
      <c r="C603">
        <v>635</v>
      </c>
      <c r="D603">
        <v>1</v>
      </c>
      <c r="E603" t="s">
        <v>29</v>
      </c>
      <c r="F603" t="s">
        <v>30</v>
      </c>
      <c r="G603" t="str">
        <f>"2025-11-14 08:49:18.789"</f>
        <v>2025-11-14 08:49:18.789</v>
      </c>
      <c r="H603" t="s">
        <v>21</v>
      </c>
    </row>
    <row r="604" spans="1:10" x14ac:dyDescent="0.25">
      <c r="A604" s="1">
        <v>59</v>
      </c>
      <c r="B604" t="s">
        <v>31</v>
      </c>
      <c r="C604">
        <v>635</v>
      </c>
      <c r="D604">
        <v>1</v>
      </c>
      <c r="E604" t="s">
        <v>29</v>
      </c>
      <c r="F604" t="s">
        <v>30</v>
      </c>
      <c r="G604" t="str">
        <f>"2025-11-14 08:46:18.789"</f>
        <v>2025-11-14 08:46:18.789</v>
      </c>
      <c r="H604" t="s">
        <v>21</v>
      </c>
      <c r="I604">
        <v>9.73</v>
      </c>
      <c r="J604" t="s">
        <v>38</v>
      </c>
    </row>
    <row r="605" spans="1:10" x14ac:dyDescent="0.25">
      <c r="A605" s="1">
        <v>60</v>
      </c>
      <c r="B605" t="s">
        <v>19</v>
      </c>
      <c r="C605">
        <v>706</v>
      </c>
      <c r="D605">
        <v>4</v>
      </c>
      <c r="E605" t="s">
        <v>34</v>
      </c>
      <c r="F605" t="s">
        <v>37</v>
      </c>
      <c r="G605" t="str">
        <f>"2025-11-13 20:37:10.612"</f>
        <v>2025-11-13 20:37:10.612</v>
      </c>
      <c r="H605" t="s">
        <v>21</v>
      </c>
      <c r="I605">
        <v>0</v>
      </c>
      <c r="J605" t="s">
        <v>36</v>
      </c>
    </row>
    <row r="606" spans="1:10" x14ac:dyDescent="0.25">
      <c r="A606" s="1">
        <v>61</v>
      </c>
      <c r="B606" t="s">
        <v>28</v>
      </c>
      <c r="C606">
        <v>635</v>
      </c>
      <c r="D606">
        <v>1</v>
      </c>
      <c r="E606" t="s">
        <v>29</v>
      </c>
      <c r="F606" t="s">
        <v>30</v>
      </c>
      <c r="G606" t="str">
        <f>"2025-11-13 05:59:02.189"</f>
        <v>2025-11-13 05:59:02.189</v>
      </c>
      <c r="H606" t="s">
        <v>21</v>
      </c>
    </row>
    <row r="607" spans="1:10" x14ac:dyDescent="0.25">
      <c r="A607" s="1">
        <v>62</v>
      </c>
      <c r="B607" t="s">
        <v>31</v>
      </c>
      <c r="C607">
        <v>635</v>
      </c>
      <c r="D607">
        <v>1</v>
      </c>
      <c r="E607" t="s">
        <v>29</v>
      </c>
      <c r="F607" t="s">
        <v>30</v>
      </c>
      <c r="G607" t="str">
        <f>"2025-11-13 05:55:00.689"</f>
        <v>2025-11-13 05:55:00.689</v>
      </c>
      <c r="H607" t="s">
        <v>21</v>
      </c>
      <c r="I607">
        <v>3.38</v>
      </c>
      <c r="J607" t="s">
        <v>32</v>
      </c>
    </row>
    <row r="608" spans="1:10" s="3" customFormat="1" x14ac:dyDescent="0.25">
      <c r="A608" s="2">
        <v>63</v>
      </c>
      <c r="B608" s="3" t="s">
        <v>28</v>
      </c>
      <c r="C608" s="3">
        <v>647</v>
      </c>
      <c r="D608" s="3">
        <v>1</v>
      </c>
      <c r="E608" s="3" t="s">
        <v>39</v>
      </c>
      <c r="F608" s="3" t="s">
        <v>40</v>
      </c>
      <c r="G608" s="3" t="str">
        <f>"2025-11-12 17:40:49.489"</f>
        <v>2025-11-12 17:40:49.489</v>
      </c>
      <c r="H608" s="3" t="s">
        <v>21</v>
      </c>
    </row>
    <row r="609" spans="1:10" s="3" customFormat="1" x14ac:dyDescent="0.25">
      <c r="A609" s="2">
        <v>64</v>
      </c>
      <c r="B609" s="3" t="s">
        <v>31</v>
      </c>
      <c r="C609" s="3">
        <v>647</v>
      </c>
      <c r="D609" s="3">
        <v>1</v>
      </c>
      <c r="E609" s="3" t="s">
        <v>39</v>
      </c>
      <c r="F609" s="3" t="s">
        <v>40</v>
      </c>
      <c r="G609" s="3" t="str">
        <f>"2025-11-12 17:40:47.989"</f>
        <v>2025-11-12 17:40:47.989</v>
      </c>
      <c r="H609" s="3" t="s">
        <v>21</v>
      </c>
      <c r="I609" s="3">
        <v>24.23</v>
      </c>
      <c r="J609" s="3" t="s">
        <v>27</v>
      </c>
    </row>
    <row r="610" spans="1:10" x14ac:dyDescent="0.25">
      <c r="A610" s="1">
        <v>66</v>
      </c>
      <c r="B610" t="s">
        <v>28</v>
      </c>
      <c r="C610">
        <v>635</v>
      </c>
      <c r="D610">
        <v>1</v>
      </c>
      <c r="E610" t="s">
        <v>29</v>
      </c>
      <c r="F610" t="s">
        <v>30</v>
      </c>
      <c r="G610" t="str">
        <f>"2025-11-11 23:31:50.489"</f>
        <v>2025-11-11 23:31:50.489</v>
      </c>
      <c r="H610" t="s">
        <v>21</v>
      </c>
    </row>
    <row r="611" spans="1:10" x14ac:dyDescent="0.25">
      <c r="A611" s="1">
        <v>67</v>
      </c>
      <c r="B611" t="s">
        <v>31</v>
      </c>
      <c r="C611">
        <v>635</v>
      </c>
      <c r="D611">
        <v>1</v>
      </c>
      <c r="E611" t="s">
        <v>29</v>
      </c>
      <c r="F611" t="s">
        <v>30</v>
      </c>
      <c r="G611" t="str">
        <f>"2025-11-11 23:26:57.989"</f>
        <v>2025-11-11 23:26:57.989</v>
      </c>
      <c r="H611" t="s">
        <v>21</v>
      </c>
      <c r="I611">
        <v>2.86</v>
      </c>
      <c r="J611" t="s">
        <v>32</v>
      </c>
    </row>
    <row r="612" spans="1:10" x14ac:dyDescent="0.25">
      <c r="A612" s="1">
        <v>68</v>
      </c>
      <c r="B612" t="s">
        <v>19</v>
      </c>
      <c r="C612">
        <v>706</v>
      </c>
      <c r="D612">
        <v>2</v>
      </c>
      <c r="E612" t="s">
        <v>34</v>
      </c>
      <c r="F612" t="s">
        <v>35</v>
      </c>
      <c r="G612" t="str">
        <f>"2025-11-11 20:40:24.292"</f>
        <v>2025-11-11 20:40:24.292</v>
      </c>
      <c r="H612" t="s">
        <v>21</v>
      </c>
      <c r="I612">
        <v>0</v>
      </c>
      <c r="J612" t="s">
        <v>36</v>
      </c>
    </row>
    <row r="613" spans="1:10" s="3" customFormat="1" x14ac:dyDescent="0.25">
      <c r="A613" s="2">
        <v>69</v>
      </c>
      <c r="B613" s="3" t="s">
        <v>28</v>
      </c>
      <c r="C613" s="3">
        <v>647</v>
      </c>
      <c r="D613" s="3">
        <v>1</v>
      </c>
      <c r="E613" s="3" t="s">
        <v>39</v>
      </c>
      <c r="F613" s="3" t="s">
        <v>40</v>
      </c>
      <c r="G613" s="3" t="str">
        <f>"2025-11-11 18:16:39.389"</f>
        <v>2025-11-11 18:16:39.389</v>
      </c>
      <c r="H613" s="3" t="s">
        <v>21</v>
      </c>
    </row>
    <row r="614" spans="1:10" s="3" customFormat="1" x14ac:dyDescent="0.25">
      <c r="A614" s="2">
        <v>70</v>
      </c>
      <c r="B614" s="3" t="s">
        <v>31</v>
      </c>
      <c r="C614" s="3">
        <v>647</v>
      </c>
      <c r="D614" s="3">
        <v>1</v>
      </c>
      <c r="E614" s="3" t="s">
        <v>39</v>
      </c>
      <c r="F614" s="3" t="s">
        <v>40</v>
      </c>
      <c r="G614" s="3" t="str">
        <f>"2025-11-11 18:16:37.090"</f>
        <v>2025-11-11 18:16:37.090</v>
      </c>
      <c r="H614" s="3" t="s">
        <v>21</v>
      </c>
      <c r="I614" s="3">
        <v>16.55</v>
      </c>
      <c r="J614" s="3" t="s">
        <v>38</v>
      </c>
    </row>
    <row r="615" spans="1:10" x14ac:dyDescent="0.25">
      <c r="A615" s="1">
        <v>72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"2025-11-10 10:44:30.282"</f>
        <v>2025-11-10 10:44:30.282</v>
      </c>
      <c r="H615" t="s">
        <v>21</v>
      </c>
      <c r="I615">
        <v>0</v>
      </c>
      <c r="J615" t="s">
        <v>22</v>
      </c>
    </row>
    <row r="616" spans="1:10" x14ac:dyDescent="0.25">
      <c r="A616" s="1">
        <v>73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"2025-11-10 04:15:00.393"</f>
        <v>2025-11-10 04:15:00.393</v>
      </c>
      <c r="H616" t="s">
        <v>21</v>
      </c>
    </row>
    <row r="617" spans="1:10" x14ac:dyDescent="0.25">
      <c r="A617" s="1">
        <v>74</v>
      </c>
      <c r="B617" t="s">
        <v>19</v>
      </c>
      <c r="C617">
        <v>706</v>
      </c>
      <c r="D617">
        <v>2</v>
      </c>
      <c r="E617" t="s">
        <v>34</v>
      </c>
      <c r="F617" t="s">
        <v>35</v>
      </c>
      <c r="G617" t="str">
        <f>"2025-11-10 03:46:44.300"</f>
        <v>2025-11-10 03:46:44.300</v>
      </c>
      <c r="H617" t="s">
        <v>21</v>
      </c>
      <c r="I617">
        <v>0</v>
      </c>
      <c r="J617" t="s">
        <v>36</v>
      </c>
    </row>
    <row r="618" spans="1:10" x14ac:dyDescent="0.25">
      <c r="A618" s="1">
        <v>75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"2025-11-10 03:46:06.300"</f>
        <v>2025-11-10 03:46:06.300</v>
      </c>
      <c r="H618" t="s">
        <v>21</v>
      </c>
      <c r="I618">
        <v>0</v>
      </c>
      <c r="J618" t="s">
        <v>22</v>
      </c>
    </row>
    <row r="619" spans="1:10" x14ac:dyDescent="0.25">
      <c r="A619" s="1">
        <v>76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"2025-11-08 19:58:44.348"</f>
        <v>2025-11-08 19:58:44.348</v>
      </c>
      <c r="H619" t="s">
        <v>21</v>
      </c>
    </row>
    <row r="620" spans="1:10" x14ac:dyDescent="0.25">
      <c r="A620" s="1">
        <v>77</v>
      </c>
      <c r="B620" t="s">
        <v>28</v>
      </c>
      <c r="C620">
        <v>98</v>
      </c>
      <c r="D620">
        <v>1</v>
      </c>
      <c r="E620" t="s">
        <v>49</v>
      </c>
      <c r="F620" t="s">
        <v>50</v>
      </c>
      <c r="G620" t="str">
        <f>"2025-11-08 07:48:27.210"</f>
        <v>2025-11-08 07:48:27.210</v>
      </c>
      <c r="H620" t="s">
        <v>21</v>
      </c>
    </row>
    <row r="621" spans="1:10" x14ac:dyDescent="0.25">
      <c r="A621" s="1">
        <v>78</v>
      </c>
      <c r="B621" t="s">
        <v>31</v>
      </c>
      <c r="C621">
        <v>98</v>
      </c>
      <c r="D621">
        <v>1</v>
      </c>
      <c r="E621" t="s">
        <v>49</v>
      </c>
      <c r="F621" t="s">
        <v>50</v>
      </c>
      <c r="G621" t="str">
        <f>"2025-11-08 07:48:26.210"</f>
        <v>2025-11-08 07:48:26.210</v>
      </c>
      <c r="H621" t="s">
        <v>21</v>
      </c>
      <c r="I621">
        <v>0</v>
      </c>
      <c r="J621" t="s">
        <v>27</v>
      </c>
    </row>
    <row r="622" spans="1:10" x14ac:dyDescent="0.25">
      <c r="A622" s="1">
        <v>79</v>
      </c>
      <c r="B622" t="s">
        <v>28</v>
      </c>
      <c r="C622">
        <v>98</v>
      </c>
      <c r="D622">
        <v>1</v>
      </c>
      <c r="E622" t="s">
        <v>49</v>
      </c>
      <c r="F622" t="s">
        <v>50</v>
      </c>
      <c r="G622" t="str">
        <f>"2025-11-07 13:17:46.409"</f>
        <v>2025-11-07 13:17:46.409</v>
      </c>
      <c r="H622" t="s">
        <v>21</v>
      </c>
    </row>
    <row r="623" spans="1:10" x14ac:dyDescent="0.25">
      <c r="A623" s="1">
        <v>80</v>
      </c>
      <c r="B623" t="s">
        <v>31</v>
      </c>
      <c r="C623">
        <v>98</v>
      </c>
      <c r="D623">
        <v>1</v>
      </c>
      <c r="E623" t="s">
        <v>49</v>
      </c>
      <c r="F623" t="s">
        <v>50</v>
      </c>
      <c r="G623" t="str">
        <f>"2025-11-07 13:17:45.410"</f>
        <v>2025-11-07 13:17:45.410</v>
      </c>
      <c r="H623" t="s">
        <v>21</v>
      </c>
      <c r="I623">
        <v>0</v>
      </c>
      <c r="J623" t="s">
        <v>27</v>
      </c>
    </row>
    <row r="624" spans="1:10" x14ac:dyDescent="0.25">
      <c r="A624" s="1">
        <v>81</v>
      </c>
      <c r="B624" t="s">
        <v>19</v>
      </c>
      <c r="C624">
        <v>706</v>
      </c>
      <c r="D624">
        <v>4</v>
      </c>
      <c r="E624" t="s">
        <v>34</v>
      </c>
      <c r="F624" t="s">
        <v>37</v>
      </c>
      <c r="G624" t="str">
        <f>"2025-11-07 09:21:52.059"</f>
        <v>2025-11-07 09:21:52.059</v>
      </c>
      <c r="H624" t="s">
        <v>21</v>
      </c>
      <c r="I624">
        <v>0</v>
      </c>
      <c r="J624" t="s">
        <v>36</v>
      </c>
    </row>
    <row r="625" spans="1:10" x14ac:dyDescent="0.25">
      <c r="A625" s="1">
        <v>82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"2025-11-07 09:21:26.369"</f>
        <v>2025-11-07 09:21:26.369</v>
      </c>
      <c r="H625" t="s">
        <v>21</v>
      </c>
    </row>
    <row r="626" spans="1:10" x14ac:dyDescent="0.25">
      <c r="A626" s="1">
        <v>83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"2025-11-07 08:49:57.286"</f>
        <v>2025-11-07 08:49:57.286</v>
      </c>
      <c r="H626" t="s">
        <v>21</v>
      </c>
      <c r="I626">
        <v>0</v>
      </c>
      <c r="J626" t="s">
        <v>22</v>
      </c>
    </row>
    <row r="627" spans="1:10" x14ac:dyDescent="0.25">
      <c r="A627" s="1">
        <v>84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"2025-11-07 08:45:38.269"</f>
        <v>2025-11-07 08:45:38.269</v>
      </c>
      <c r="H627" t="s">
        <v>21</v>
      </c>
    </row>
    <row r="628" spans="1:10" x14ac:dyDescent="0.25">
      <c r="A628" s="1">
        <v>85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"2025-11-06 04:45:28.265"</f>
        <v>2025-11-06 04:45:28.265</v>
      </c>
      <c r="H628" t="s">
        <v>21</v>
      </c>
    </row>
    <row r="629" spans="1:10" x14ac:dyDescent="0.25">
      <c r="A629" s="1">
        <v>86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"2025-11-06 02:51:46.272"</f>
        <v>2025-11-06 02:51:46.272</v>
      </c>
      <c r="H629" t="s">
        <v>21</v>
      </c>
    </row>
    <row r="630" spans="1:10" x14ac:dyDescent="0.25">
      <c r="A630" s="1">
        <v>87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"2025-11-06 02:15:51.258"</f>
        <v>2025-11-06 02:15:51.258</v>
      </c>
      <c r="H630" t="s">
        <v>21</v>
      </c>
    </row>
    <row r="631" spans="1:10" x14ac:dyDescent="0.25">
      <c r="A631" s="1">
        <v>88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"2025-11-05 17:46:25.251"</f>
        <v>2025-11-05 17:46:25.251</v>
      </c>
      <c r="H631" t="s">
        <v>21</v>
      </c>
    </row>
    <row r="632" spans="1:10" x14ac:dyDescent="0.25">
      <c r="A632" s="1">
        <v>89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"2025-11-05 17:32:05.253"</f>
        <v>2025-11-05 17:32:05.253</v>
      </c>
      <c r="H632" t="s">
        <v>21</v>
      </c>
    </row>
    <row r="633" spans="1:10" x14ac:dyDescent="0.25">
      <c r="A633" s="1">
        <v>90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"2025-11-05 17:22:22.247"</f>
        <v>2025-11-05 17:22:22.247</v>
      </c>
      <c r="H633" t="s">
        <v>21</v>
      </c>
    </row>
    <row r="634" spans="1:10" x14ac:dyDescent="0.25">
      <c r="A634" s="1">
        <v>91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"2025-11-05 16:48:13.251"</f>
        <v>2025-11-05 16:48:13.251</v>
      </c>
      <c r="H634" t="s">
        <v>21</v>
      </c>
    </row>
    <row r="635" spans="1:10" x14ac:dyDescent="0.25">
      <c r="A635" s="1">
        <v>92</v>
      </c>
      <c r="B635" t="s">
        <v>19</v>
      </c>
      <c r="C635">
        <v>706</v>
      </c>
      <c r="D635">
        <v>4</v>
      </c>
      <c r="E635" t="s">
        <v>34</v>
      </c>
      <c r="F635" t="s">
        <v>37</v>
      </c>
      <c r="G635" t="str">
        <f>"2025-11-05 16:40:13.613"</f>
        <v>2025-11-05 16:40:13.613</v>
      </c>
      <c r="H635" t="s">
        <v>21</v>
      </c>
      <c r="I635">
        <v>0</v>
      </c>
      <c r="J635" t="s">
        <v>36</v>
      </c>
    </row>
    <row r="636" spans="1:10" x14ac:dyDescent="0.25">
      <c r="A636" s="1">
        <v>93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"2025-11-05 16:22:13.243"</f>
        <v>2025-11-05 16:22:13.243</v>
      </c>
      <c r="H636" t="s">
        <v>21</v>
      </c>
      <c r="I636">
        <v>0</v>
      </c>
      <c r="J636" t="s">
        <v>22</v>
      </c>
    </row>
    <row r="637" spans="1:10" x14ac:dyDescent="0.25">
      <c r="A637" s="1">
        <v>94</v>
      </c>
      <c r="B637" t="s">
        <v>19</v>
      </c>
      <c r="C637">
        <v>706</v>
      </c>
      <c r="D637">
        <v>4</v>
      </c>
      <c r="E637" t="s">
        <v>34</v>
      </c>
      <c r="F637" t="s">
        <v>37</v>
      </c>
      <c r="G637" t="str">
        <f>"2025-11-05 15:52:31.431"</f>
        <v>2025-11-05 15:52:31.431</v>
      </c>
      <c r="H637" t="s">
        <v>21</v>
      </c>
      <c r="I637">
        <v>0</v>
      </c>
      <c r="J637" t="s">
        <v>36</v>
      </c>
    </row>
    <row r="638" spans="1:10" x14ac:dyDescent="0.25">
      <c r="A638" s="1">
        <v>95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"2025-11-05 15:47:34.251"</f>
        <v>2025-11-05 15:47:34.251</v>
      </c>
      <c r="H638" t="s">
        <v>21</v>
      </c>
      <c r="I638">
        <v>0</v>
      </c>
      <c r="J638" t="s">
        <v>22</v>
      </c>
    </row>
    <row r="639" spans="1:10" x14ac:dyDescent="0.25">
      <c r="A639" s="1">
        <v>96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"2025-11-05 15:36:02.236"</f>
        <v>2025-11-05 15:36:02.236</v>
      </c>
      <c r="H639" t="s">
        <v>21</v>
      </c>
    </row>
    <row r="640" spans="1:10" x14ac:dyDescent="0.25">
      <c r="A640" s="1">
        <v>97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"2025-11-05 14:45:54.235"</f>
        <v>2025-11-05 14:45:54.235</v>
      </c>
      <c r="H640" t="s">
        <v>21</v>
      </c>
    </row>
    <row r="641" spans="1:10" x14ac:dyDescent="0.25">
      <c r="A641" s="1">
        <v>98</v>
      </c>
      <c r="B641" t="s">
        <v>19</v>
      </c>
      <c r="C641">
        <v>706</v>
      </c>
      <c r="D641">
        <v>4</v>
      </c>
      <c r="E641" t="s">
        <v>34</v>
      </c>
      <c r="F641" t="s">
        <v>37</v>
      </c>
      <c r="G641" t="str">
        <f>"2025-11-05 14:20:14.021"</f>
        <v>2025-11-05 14:20:14.021</v>
      </c>
      <c r="H641" t="s">
        <v>21</v>
      </c>
      <c r="I641">
        <v>0</v>
      </c>
      <c r="J641" t="s">
        <v>36</v>
      </c>
    </row>
    <row r="642" spans="1:10" x14ac:dyDescent="0.25">
      <c r="A642" s="1">
        <v>99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"2025-11-05 14:10:55.231"</f>
        <v>2025-11-05 14:10:55.231</v>
      </c>
      <c r="H642" t="s">
        <v>21</v>
      </c>
    </row>
    <row r="643" spans="1:10" x14ac:dyDescent="0.25">
      <c r="A643" s="1">
        <v>0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"2025-11-05 14:00:39.235"</f>
        <v>2025-11-05 14:00:39.235</v>
      </c>
      <c r="H643" t="s">
        <v>21</v>
      </c>
    </row>
    <row r="644" spans="1:10" x14ac:dyDescent="0.25">
      <c r="A644" s="1">
        <v>1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"2025-11-05 09:14:45.219"</f>
        <v>2025-11-05 09:14:45.219</v>
      </c>
      <c r="H644" t="s">
        <v>21</v>
      </c>
      <c r="I644">
        <v>0</v>
      </c>
      <c r="J644" t="s">
        <v>22</v>
      </c>
    </row>
    <row r="645" spans="1:10" x14ac:dyDescent="0.25">
      <c r="A645" s="1">
        <v>2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"2025-11-05 09:09:40.228"</f>
        <v>2025-11-05 09:09:40.228</v>
      </c>
      <c r="H645" t="s">
        <v>21</v>
      </c>
      <c r="I645">
        <v>0</v>
      </c>
      <c r="J645" t="s">
        <v>22</v>
      </c>
    </row>
    <row r="646" spans="1:10" x14ac:dyDescent="0.25">
      <c r="A646" s="1">
        <v>3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"2025-11-05 09:02:09.233"</f>
        <v>2025-11-05 09:02:09.233</v>
      </c>
      <c r="H646" t="s">
        <v>21</v>
      </c>
      <c r="I646">
        <v>0</v>
      </c>
      <c r="J646" t="s">
        <v>22</v>
      </c>
    </row>
    <row r="647" spans="1:10" x14ac:dyDescent="0.25">
      <c r="A647" s="1">
        <v>4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"2025-11-05 07:14:35.232"</f>
        <v>2025-11-05 07:14:35.232</v>
      </c>
      <c r="H647" t="s">
        <v>21</v>
      </c>
      <c r="I647">
        <v>0</v>
      </c>
      <c r="J647" t="s">
        <v>22</v>
      </c>
    </row>
    <row r="648" spans="1:10" x14ac:dyDescent="0.25">
      <c r="A648" s="1">
        <v>5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"2025-11-05 07:09:16.228"</f>
        <v>2025-11-05 07:09:16.228</v>
      </c>
      <c r="H648" t="s">
        <v>21</v>
      </c>
      <c r="I648">
        <v>0</v>
      </c>
      <c r="J648" t="s">
        <v>22</v>
      </c>
    </row>
    <row r="649" spans="1:10" x14ac:dyDescent="0.25">
      <c r="A649" s="1">
        <v>6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"2025-11-05 06:47:41.248"</f>
        <v>2025-11-05 06:47:41.248</v>
      </c>
      <c r="H649" t="s">
        <v>21</v>
      </c>
      <c r="I649">
        <v>0</v>
      </c>
      <c r="J649" t="s">
        <v>22</v>
      </c>
    </row>
    <row r="650" spans="1:10" x14ac:dyDescent="0.25">
      <c r="A650" s="1">
        <v>7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"2025-11-05 04:42:58.231"</f>
        <v>2025-11-05 04:42:58.231</v>
      </c>
      <c r="H650" t="s">
        <v>21</v>
      </c>
    </row>
    <row r="651" spans="1:10" x14ac:dyDescent="0.25">
      <c r="A651" s="1">
        <v>8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"2025-11-04 21:28:49.245"</f>
        <v>2025-11-04 21:28:49.245</v>
      </c>
      <c r="H651" t="s">
        <v>21</v>
      </c>
      <c r="I651">
        <v>0</v>
      </c>
      <c r="J651" t="s">
        <v>22</v>
      </c>
    </row>
    <row r="652" spans="1:10" x14ac:dyDescent="0.25">
      <c r="A652" s="1">
        <v>9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"2025-11-04 18:51:53.320"</f>
        <v>2025-11-04 18:51:53.320</v>
      </c>
      <c r="H652" t="s">
        <v>21</v>
      </c>
      <c r="I652">
        <v>0</v>
      </c>
      <c r="J652" t="s">
        <v>22</v>
      </c>
    </row>
    <row r="653" spans="1:10" x14ac:dyDescent="0.25">
      <c r="A653" s="1">
        <v>10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"2025-11-04 18:45:59.237"</f>
        <v>2025-11-04 18:45:59.237</v>
      </c>
      <c r="H653" t="s">
        <v>21</v>
      </c>
      <c r="I653">
        <v>0</v>
      </c>
      <c r="J653" t="s">
        <v>22</v>
      </c>
    </row>
    <row r="654" spans="1:10" x14ac:dyDescent="0.25">
      <c r="A654" s="1">
        <v>11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"2025-11-04 18:38:17.229"</f>
        <v>2025-11-04 18:38:17.229</v>
      </c>
      <c r="H654" t="s">
        <v>21</v>
      </c>
    </row>
    <row r="655" spans="1:10" x14ac:dyDescent="0.25">
      <c r="A655" s="1">
        <v>12</v>
      </c>
      <c r="B655" t="s">
        <v>19</v>
      </c>
      <c r="C655">
        <v>706</v>
      </c>
      <c r="D655">
        <v>4</v>
      </c>
      <c r="E655" t="s">
        <v>34</v>
      </c>
      <c r="F655" t="s">
        <v>37</v>
      </c>
      <c r="G655" t="str">
        <f>"2025-11-04 18:25:34.568"</f>
        <v>2025-11-04 18:25:34.568</v>
      </c>
      <c r="H655" t="s">
        <v>21</v>
      </c>
      <c r="I655">
        <v>0</v>
      </c>
      <c r="J655" t="s">
        <v>36</v>
      </c>
    </row>
    <row r="656" spans="1:10" x14ac:dyDescent="0.25">
      <c r="A656" s="1">
        <v>13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"2025-11-04 18:24:43.228"</f>
        <v>2025-11-04 18:24:43.228</v>
      </c>
      <c r="H656" t="s">
        <v>21</v>
      </c>
      <c r="I656">
        <v>0</v>
      </c>
      <c r="J656" t="s">
        <v>22</v>
      </c>
    </row>
    <row r="657" spans="1:10" x14ac:dyDescent="0.25">
      <c r="A657" s="1">
        <v>14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"2025-11-04 16:19:31.224"</f>
        <v>2025-11-04 16:19:31.224</v>
      </c>
      <c r="H657" t="s">
        <v>21</v>
      </c>
    </row>
    <row r="658" spans="1:10" x14ac:dyDescent="0.25">
      <c r="A658" s="1">
        <v>15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"2025-11-03 21:36:21.251"</f>
        <v>2025-11-03 21:36:21.251</v>
      </c>
      <c r="H658" t="s">
        <v>21</v>
      </c>
      <c r="I658">
        <v>0</v>
      </c>
      <c r="J658" t="s">
        <v>22</v>
      </c>
    </row>
    <row r="659" spans="1:10" x14ac:dyDescent="0.25">
      <c r="A659" s="1">
        <v>16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"2025-11-02 09:45:57.235"</f>
        <v>2025-11-02 09:45:57.235</v>
      </c>
      <c r="H659" t="s">
        <v>21</v>
      </c>
      <c r="I659">
        <v>0</v>
      </c>
      <c r="J659" t="s">
        <v>22</v>
      </c>
    </row>
    <row r="660" spans="1:10" x14ac:dyDescent="0.25">
      <c r="A660" s="1">
        <v>17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"2025-11-02 07:04:46.225"</f>
        <v>2025-11-02 07:04:46.225</v>
      </c>
      <c r="H660" t="s">
        <v>21</v>
      </c>
    </row>
    <row r="661" spans="1:10" x14ac:dyDescent="0.25">
      <c r="A661" s="1">
        <v>18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"2025-11-01 06:44:57.222"</f>
        <v>2025-11-01 06:44:57.222</v>
      </c>
      <c r="H661" t="s">
        <v>21</v>
      </c>
    </row>
    <row r="662" spans="1:10" x14ac:dyDescent="0.25">
      <c r="A662" s="1">
        <v>19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"2025-11-01 04:20:44.241"</f>
        <v>2025-11-01 04:20:44.241</v>
      </c>
      <c r="H662" t="s">
        <v>21</v>
      </c>
      <c r="I662">
        <v>0</v>
      </c>
      <c r="J662" t="s">
        <v>22</v>
      </c>
    </row>
    <row r="663" spans="1:10" x14ac:dyDescent="0.25">
      <c r="A663" s="1">
        <v>20</v>
      </c>
      <c r="B663" t="s">
        <v>19</v>
      </c>
      <c r="C663">
        <v>706</v>
      </c>
      <c r="D663">
        <v>4</v>
      </c>
      <c r="E663" t="s">
        <v>34</v>
      </c>
      <c r="F663" t="s">
        <v>37</v>
      </c>
      <c r="G663" t="str">
        <f>"2025-11-01 03:34:08.600"</f>
        <v>2025-11-01 03:34:08.600</v>
      </c>
      <c r="H663" t="s">
        <v>21</v>
      </c>
      <c r="I663">
        <v>0</v>
      </c>
      <c r="J663" t="s">
        <v>36</v>
      </c>
    </row>
    <row r="664" spans="1:10" x14ac:dyDescent="0.25">
      <c r="A664" s="1">
        <v>21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"2025-11-01 03:11:57.220"</f>
        <v>2025-11-01 03:11:57.220</v>
      </c>
      <c r="H664" t="s">
        <v>21</v>
      </c>
    </row>
    <row r="665" spans="1:10" x14ac:dyDescent="0.25">
      <c r="A665" s="1">
        <v>22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"2025-11-01 03:06:04.238"</f>
        <v>2025-11-01 03:06:04.238</v>
      </c>
      <c r="H665" t="s">
        <v>21</v>
      </c>
    </row>
    <row r="666" spans="1:10" x14ac:dyDescent="0.25">
      <c r="A666" s="1">
        <v>23</v>
      </c>
      <c r="B666" t="s">
        <v>19</v>
      </c>
      <c r="C666">
        <v>706</v>
      </c>
      <c r="D666">
        <v>2</v>
      </c>
      <c r="E666" t="s">
        <v>34</v>
      </c>
      <c r="F666" t="s">
        <v>35</v>
      </c>
      <c r="G666" t="str">
        <f>"2025-11-01 02:42:18.461"</f>
        <v>2025-11-01 02:42:18.461</v>
      </c>
      <c r="H666" t="s">
        <v>21</v>
      </c>
      <c r="I666">
        <v>0</v>
      </c>
      <c r="J666" t="s">
        <v>36</v>
      </c>
    </row>
    <row r="667" spans="1:10" x14ac:dyDescent="0.25">
      <c r="A667" s="1">
        <v>24</v>
      </c>
      <c r="B667" t="s">
        <v>19</v>
      </c>
      <c r="C667">
        <v>706</v>
      </c>
      <c r="D667">
        <v>4</v>
      </c>
      <c r="E667" t="s">
        <v>34</v>
      </c>
      <c r="F667" t="s">
        <v>37</v>
      </c>
      <c r="G667" t="str">
        <f>"2025-11-01 01:58:46.261"</f>
        <v>2025-11-01 01:58:46.261</v>
      </c>
      <c r="H667" t="s">
        <v>21</v>
      </c>
      <c r="I667">
        <v>0</v>
      </c>
      <c r="J667" t="s">
        <v>36</v>
      </c>
    </row>
    <row r="668" spans="1:10" x14ac:dyDescent="0.25">
      <c r="A668" s="1">
        <v>25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"2025-11-01 01:58:17.231"</f>
        <v>2025-11-01 01:58:17.231</v>
      </c>
      <c r="H668" t="s">
        <v>21</v>
      </c>
    </row>
    <row r="669" spans="1:10" x14ac:dyDescent="0.25">
      <c r="A669" s="1">
        <v>26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"2025-10-31 22:45:13.229"</f>
        <v>2025-10-31 22:45:13.229</v>
      </c>
      <c r="H669" t="s">
        <v>21</v>
      </c>
    </row>
    <row r="670" spans="1:10" x14ac:dyDescent="0.25">
      <c r="A670" s="1">
        <v>27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"2025-10-31 21:32:15.241"</f>
        <v>2025-10-31 21:32:15.241</v>
      </c>
      <c r="H670" t="s">
        <v>21</v>
      </c>
    </row>
    <row r="671" spans="1:10" x14ac:dyDescent="0.25">
      <c r="A671" s="1">
        <v>28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"2025-10-31 15:39:09.236"</f>
        <v>2025-10-31 15:39:09.236</v>
      </c>
      <c r="H671" t="s">
        <v>21</v>
      </c>
      <c r="I671">
        <v>0</v>
      </c>
      <c r="J671" t="s">
        <v>22</v>
      </c>
    </row>
    <row r="672" spans="1:10" x14ac:dyDescent="0.25">
      <c r="A672" s="1">
        <v>29</v>
      </c>
      <c r="B672" t="s">
        <v>19</v>
      </c>
      <c r="C672">
        <v>706</v>
      </c>
      <c r="D672">
        <v>4</v>
      </c>
      <c r="E672" t="s">
        <v>34</v>
      </c>
      <c r="F672" t="s">
        <v>37</v>
      </c>
      <c r="G672" t="str">
        <f>"2025-10-31 15:26:28.662"</f>
        <v>2025-10-31 15:26:28.662</v>
      </c>
      <c r="H672" t="s">
        <v>21</v>
      </c>
      <c r="I672">
        <v>0</v>
      </c>
      <c r="J672" t="s">
        <v>36</v>
      </c>
    </row>
    <row r="673" spans="1:10" x14ac:dyDescent="0.25">
      <c r="A673" s="1">
        <v>30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"2025-10-31 15:25:29.232"</f>
        <v>2025-10-31 15:25:29.232</v>
      </c>
      <c r="H673" t="s">
        <v>21</v>
      </c>
      <c r="I673">
        <v>0</v>
      </c>
      <c r="J673" t="s">
        <v>22</v>
      </c>
    </row>
    <row r="674" spans="1:10" x14ac:dyDescent="0.25">
      <c r="A674" s="1">
        <v>31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"2025-10-31 08:58:27.250"</f>
        <v>2025-10-31 08:58:27.250</v>
      </c>
      <c r="H674" t="s">
        <v>21</v>
      </c>
      <c r="I674">
        <v>0</v>
      </c>
      <c r="J674" t="s">
        <v>22</v>
      </c>
    </row>
    <row r="675" spans="1:10" x14ac:dyDescent="0.25">
      <c r="A675" s="1">
        <v>32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"2025-10-30 18:17:46.231"</f>
        <v>2025-10-30 18:17:46.231</v>
      </c>
      <c r="H675" t="s">
        <v>21</v>
      </c>
    </row>
    <row r="676" spans="1:10" x14ac:dyDescent="0.25">
      <c r="A676" s="1">
        <v>33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"2025-10-30 17:37:26.225"</f>
        <v>2025-10-30 17:37:26.225</v>
      </c>
      <c r="H676" t="s">
        <v>21</v>
      </c>
    </row>
    <row r="677" spans="1:10" x14ac:dyDescent="0.25">
      <c r="A677" s="1">
        <v>34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"2025-10-30 16:04:44.247"</f>
        <v>2025-10-30 16:04:44.247</v>
      </c>
      <c r="H677" t="s">
        <v>21</v>
      </c>
      <c r="I677">
        <v>0</v>
      </c>
      <c r="J677" t="s">
        <v>22</v>
      </c>
    </row>
    <row r="678" spans="1:10" x14ac:dyDescent="0.25">
      <c r="A678" s="1">
        <v>35</v>
      </c>
      <c r="B678" t="s">
        <v>19</v>
      </c>
      <c r="C678">
        <v>706</v>
      </c>
      <c r="D678">
        <v>4</v>
      </c>
      <c r="E678" t="s">
        <v>34</v>
      </c>
      <c r="F678" t="s">
        <v>37</v>
      </c>
      <c r="G678" t="str">
        <f>"2025-10-30 15:56:24.667"</f>
        <v>2025-10-30 15:56:24.667</v>
      </c>
      <c r="H678" t="s">
        <v>21</v>
      </c>
      <c r="I678">
        <v>0</v>
      </c>
      <c r="J678" t="s">
        <v>36</v>
      </c>
    </row>
    <row r="679" spans="1:10" x14ac:dyDescent="0.25">
      <c r="A679" s="1">
        <v>36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"2025-10-30 15:55:11.227"</f>
        <v>2025-10-30 15:55:11.227</v>
      </c>
      <c r="H679" t="s">
        <v>21</v>
      </c>
    </row>
    <row r="680" spans="1:10" x14ac:dyDescent="0.25">
      <c r="A680" s="1">
        <v>37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"2025-10-30 14:45:47.336"</f>
        <v>2025-10-30 14:45:47.336</v>
      </c>
      <c r="H680" t="s">
        <v>21</v>
      </c>
      <c r="I680">
        <v>0</v>
      </c>
      <c r="J680" t="s">
        <v>22</v>
      </c>
    </row>
    <row r="681" spans="1:10" x14ac:dyDescent="0.25">
      <c r="A681" s="1">
        <v>38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"2025-10-30 14:38:08.242"</f>
        <v>2025-10-30 14:38:08.242</v>
      </c>
      <c r="H681" t="s">
        <v>21</v>
      </c>
      <c r="I681">
        <v>0</v>
      </c>
      <c r="J681" t="s">
        <v>22</v>
      </c>
    </row>
    <row r="682" spans="1:10" x14ac:dyDescent="0.25">
      <c r="A682" s="1">
        <v>39</v>
      </c>
      <c r="B682" t="s">
        <v>19</v>
      </c>
      <c r="C682">
        <v>706</v>
      </c>
      <c r="D682">
        <v>2</v>
      </c>
      <c r="E682" t="s">
        <v>34</v>
      </c>
      <c r="F682" t="s">
        <v>35</v>
      </c>
      <c r="G682" t="str">
        <f>"2025-10-30 13:51:22.491"</f>
        <v>2025-10-30 13:51:22.491</v>
      </c>
      <c r="H682" t="s">
        <v>21</v>
      </c>
      <c r="I682">
        <v>0</v>
      </c>
      <c r="J682" t="s">
        <v>36</v>
      </c>
    </row>
    <row r="683" spans="1:10" x14ac:dyDescent="0.25">
      <c r="A683" s="1">
        <v>40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"2025-10-30 13:46:44.231"</f>
        <v>2025-10-30 13:46:44.231</v>
      </c>
      <c r="H683" t="s">
        <v>21</v>
      </c>
      <c r="I683">
        <v>0</v>
      </c>
      <c r="J683" t="s">
        <v>22</v>
      </c>
    </row>
    <row r="684" spans="1:10" x14ac:dyDescent="0.25">
      <c r="A684" s="1">
        <v>41</v>
      </c>
      <c r="B684" t="s">
        <v>19</v>
      </c>
      <c r="C684">
        <v>706</v>
      </c>
      <c r="D684">
        <v>4</v>
      </c>
      <c r="E684" t="s">
        <v>34</v>
      </c>
      <c r="F684" t="s">
        <v>37</v>
      </c>
      <c r="G684" t="str">
        <f>"2025-10-30 11:05:31.657"</f>
        <v>2025-10-30 11:05:31.657</v>
      </c>
      <c r="H684" t="s">
        <v>21</v>
      </c>
      <c r="I684">
        <v>0</v>
      </c>
      <c r="J684" t="s">
        <v>36</v>
      </c>
    </row>
    <row r="685" spans="1:10" x14ac:dyDescent="0.25">
      <c r="A685" s="1">
        <v>42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"2025-10-30 11:01:45.327"</f>
        <v>2025-10-30 11:01:45.327</v>
      </c>
      <c r="H685" t="s">
        <v>21</v>
      </c>
    </row>
    <row r="686" spans="1:10" x14ac:dyDescent="0.25">
      <c r="A686" s="1">
        <v>43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"2025-10-30 10:42:14.224"</f>
        <v>2025-10-30 10:42:14.224</v>
      </c>
      <c r="H686" t="s">
        <v>21</v>
      </c>
      <c r="I686">
        <v>0</v>
      </c>
      <c r="J686" t="s">
        <v>22</v>
      </c>
    </row>
    <row r="687" spans="1:10" x14ac:dyDescent="0.25">
      <c r="A687" s="1">
        <v>44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"2025-10-30 10:31:32.219"</f>
        <v>2025-10-30 10:31:32.219</v>
      </c>
      <c r="H687" t="s">
        <v>21</v>
      </c>
    </row>
    <row r="688" spans="1:10" x14ac:dyDescent="0.25">
      <c r="A688" s="1">
        <v>45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"2025-10-30 09:18:11.224"</f>
        <v>2025-10-30 09:18:11.224</v>
      </c>
      <c r="H688" t="s">
        <v>21</v>
      </c>
      <c r="I688">
        <v>0</v>
      </c>
      <c r="J688" t="s">
        <v>22</v>
      </c>
    </row>
    <row r="689" spans="1:10" x14ac:dyDescent="0.25">
      <c r="A689" s="1">
        <v>46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"2025-10-30 05:24:27.232"</f>
        <v>2025-10-30 05:24:27.232</v>
      </c>
      <c r="H689" t="s">
        <v>21</v>
      </c>
      <c r="I689">
        <v>0</v>
      </c>
      <c r="J689" t="s">
        <v>22</v>
      </c>
    </row>
    <row r="690" spans="1:10" x14ac:dyDescent="0.25">
      <c r="A690" s="1">
        <v>47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"2025-10-29 20:24:37.239"</f>
        <v>2025-10-29 20:24:37.239</v>
      </c>
      <c r="H690" t="s">
        <v>21</v>
      </c>
      <c r="I690">
        <v>0</v>
      </c>
      <c r="J690" t="s">
        <v>22</v>
      </c>
    </row>
    <row r="691" spans="1:10" x14ac:dyDescent="0.25">
      <c r="A691" s="1">
        <v>48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"2025-10-29 19:56:29.235"</f>
        <v>2025-10-29 19:56:29.235</v>
      </c>
      <c r="H691" t="s">
        <v>21</v>
      </c>
    </row>
    <row r="692" spans="1:10" x14ac:dyDescent="0.25">
      <c r="A692" s="1">
        <v>49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"2025-10-29 19:45:04.232"</f>
        <v>2025-10-29 19:45:04.232</v>
      </c>
      <c r="H692" t="s">
        <v>21</v>
      </c>
    </row>
    <row r="693" spans="1:10" x14ac:dyDescent="0.25">
      <c r="A693" s="1">
        <v>50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"2025-10-29 19:15:46.245"</f>
        <v>2025-10-29 19:15:46.245</v>
      </c>
      <c r="H693" t="s">
        <v>21</v>
      </c>
      <c r="I693">
        <v>0</v>
      </c>
      <c r="J693" t="s">
        <v>22</v>
      </c>
    </row>
    <row r="694" spans="1:10" x14ac:dyDescent="0.25">
      <c r="A694" s="1">
        <v>51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"2025-10-29 18:55:15.236"</f>
        <v>2025-10-29 18:55:15.236</v>
      </c>
      <c r="H694" t="s">
        <v>21</v>
      </c>
    </row>
    <row r="695" spans="1:10" x14ac:dyDescent="0.25">
      <c r="A695" s="1">
        <v>52</v>
      </c>
      <c r="B695" t="s">
        <v>19</v>
      </c>
      <c r="C695">
        <v>706</v>
      </c>
      <c r="D695">
        <v>4</v>
      </c>
      <c r="E695" t="s">
        <v>34</v>
      </c>
      <c r="F695" t="s">
        <v>37</v>
      </c>
      <c r="G695" t="str">
        <f>"2025-10-29 18:03:30.680"</f>
        <v>2025-10-29 18:03:30.680</v>
      </c>
      <c r="H695" t="s">
        <v>21</v>
      </c>
      <c r="I695">
        <v>0</v>
      </c>
      <c r="J695" t="s">
        <v>36</v>
      </c>
    </row>
    <row r="696" spans="1:10" x14ac:dyDescent="0.25">
      <c r="A696" s="1">
        <v>53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"2025-10-29 18:01:08.230"</f>
        <v>2025-10-29 18:01:08.230</v>
      </c>
      <c r="H696" t="s">
        <v>21</v>
      </c>
      <c r="I696">
        <v>0</v>
      </c>
      <c r="J696" t="s">
        <v>22</v>
      </c>
    </row>
    <row r="697" spans="1:10" x14ac:dyDescent="0.25">
      <c r="A697" s="1">
        <v>54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"2025-10-29 17:20:21.229"</f>
        <v>2025-10-29 17:20:21.229</v>
      </c>
      <c r="H697" t="s">
        <v>21</v>
      </c>
    </row>
    <row r="698" spans="1:10" x14ac:dyDescent="0.25">
      <c r="A698" s="1">
        <v>55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"2025-10-29 17:09:32.238"</f>
        <v>2025-10-29 17:09:32.238</v>
      </c>
      <c r="H698" t="s">
        <v>21</v>
      </c>
      <c r="I698">
        <v>0</v>
      </c>
      <c r="J698" t="s">
        <v>22</v>
      </c>
    </row>
    <row r="699" spans="1:10" x14ac:dyDescent="0.25">
      <c r="A699" s="1">
        <v>56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"2025-10-29 16:29:26.232"</f>
        <v>2025-10-29 16:29:26.232</v>
      </c>
      <c r="H699" t="s">
        <v>21</v>
      </c>
    </row>
    <row r="700" spans="1:10" x14ac:dyDescent="0.25">
      <c r="A700" s="1">
        <v>57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"2025-10-29 15:39:47.240"</f>
        <v>2025-10-29 15:39:47.240</v>
      </c>
      <c r="H700" t="s">
        <v>21</v>
      </c>
    </row>
    <row r="701" spans="1:10" x14ac:dyDescent="0.25">
      <c r="A701" s="1">
        <v>58</v>
      </c>
      <c r="B701" t="s">
        <v>19</v>
      </c>
      <c r="C701">
        <v>706</v>
      </c>
      <c r="D701">
        <v>2</v>
      </c>
      <c r="E701" t="s">
        <v>34</v>
      </c>
      <c r="F701" t="s">
        <v>35</v>
      </c>
      <c r="G701" t="str">
        <f>"2025-10-29 15:03:00.061"</f>
        <v>2025-10-29 15:03:00.061</v>
      </c>
      <c r="H701" t="s">
        <v>21</v>
      </c>
      <c r="I701">
        <v>0</v>
      </c>
      <c r="J701" t="s">
        <v>36</v>
      </c>
    </row>
    <row r="702" spans="1:10" x14ac:dyDescent="0.25">
      <c r="A702" s="1">
        <v>59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"2025-10-29 14:54:47.241"</f>
        <v>2025-10-29 14:54:47.241</v>
      </c>
      <c r="H702" t="s">
        <v>21</v>
      </c>
      <c r="I702">
        <v>0</v>
      </c>
      <c r="J702" t="s">
        <v>22</v>
      </c>
    </row>
    <row r="703" spans="1:10" x14ac:dyDescent="0.25">
      <c r="A703" s="1">
        <v>60</v>
      </c>
      <c r="B703" t="s">
        <v>19</v>
      </c>
      <c r="C703">
        <v>706</v>
      </c>
      <c r="D703">
        <v>2</v>
      </c>
      <c r="E703" t="s">
        <v>34</v>
      </c>
      <c r="F703" t="s">
        <v>35</v>
      </c>
      <c r="G703" t="str">
        <f>"2025-10-29 13:50:53.889"</f>
        <v>2025-10-29 13:50:53.889</v>
      </c>
      <c r="H703" t="s">
        <v>21</v>
      </c>
      <c r="I703">
        <v>0</v>
      </c>
      <c r="J703" t="s">
        <v>36</v>
      </c>
    </row>
    <row r="704" spans="1:10" x14ac:dyDescent="0.25">
      <c r="A704" s="1">
        <v>61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"2025-10-29 13:47:47.249"</f>
        <v>2025-10-29 13:47:47.249</v>
      </c>
      <c r="H704" t="s">
        <v>21</v>
      </c>
      <c r="I704">
        <v>0</v>
      </c>
      <c r="J704" t="s">
        <v>22</v>
      </c>
    </row>
    <row r="705" spans="1:10" x14ac:dyDescent="0.25">
      <c r="A705" s="1">
        <v>62</v>
      </c>
      <c r="B705" t="s">
        <v>19</v>
      </c>
      <c r="C705">
        <v>706</v>
      </c>
      <c r="D705">
        <v>4</v>
      </c>
      <c r="E705" t="s">
        <v>34</v>
      </c>
      <c r="F705" t="s">
        <v>37</v>
      </c>
      <c r="G705" t="str">
        <f>"2025-10-29 12:20:39.647"</f>
        <v>2025-10-29 12:20:39.647</v>
      </c>
      <c r="H705" t="s">
        <v>21</v>
      </c>
      <c r="I705">
        <v>0</v>
      </c>
      <c r="J705" t="s">
        <v>36</v>
      </c>
    </row>
    <row r="706" spans="1:10" x14ac:dyDescent="0.25">
      <c r="A706" s="1">
        <v>63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"2025-10-29 12:18:47.217"</f>
        <v>2025-10-29 12:18:47.217</v>
      </c>
      <c r="H706" t="s">
        <v>21</v>
      </c>
    </row>
    <row r="707" spans="1:10" x14ac:dyDescent="0.25">
      <c r="A707" s="1">
        <v>64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"2025-10-29 12:14:41.223"</f>
        <v>2025-10-29 12:14:41.223</v>
      </c>
      <c r="H707" t="s">
        <v>21</v>
      </c>
    </row>
    <row r="708" spans="1:10" x14ac:dyDescent="0.25">
      <c r="A708" s="1">
        <v>65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"2025-10-29 11:16:38.223"</f>
        <v>2025-10-29 11:16:38.223</v>
      </c>
      <c r="H708" t="s">
        <v>21</v>
      </c>
    </row>
    <row r="709" spans="1:10" x14ac:dyDescent="0.25">
      <c r="A709" s="1">
        <v>66</v>
      </c>
      <c r="B709" t="s">
        <v>19</v>
      </c>
      <c r="C709">
        <v>706</v>
      </c>
      <c r="D709">
        <v>4</v>
      </c>
      <c r="E709" t="s">
        <v>34</v>
      </c>
      <c r="F709" t="s">
        <v>37</v>
      </c>
      <c r="G709" t="str">
        <f>"2025-10-29 11:09:19.680"</f>
        <v>2025-10-29 11:09:19.680</v>
      </c>
      <c r="H709" t="s">
        <v>21</v>
      </c>
      <c r="I709">
        <v>0</v>
      </c>
      <c r="J709" t="s">
        <v>36</v>
      </c>
    </row>
    <row r="710" spans="1:10" x14ac:dyDescent="0.25">
      <c r="A710" s="1">
        <v>67</v>
      </c>
      <c r="B710" t="s">
        <v>19</v>
      </c>
      <c r="C710">
        <v>706</v>
      </c>
      <c r="D710">
        <v>4</v>
      </c>
      <c r="E710" t="s">
        <v>34</v>
      </c>
      <c r="F710" t="s">
        <v>37</v>
      </c>
      <c r="G710" t="str">
        <f>"2025-10-29 09:45:39.950"</f>
        <v>2025-10-29 09:45:39.950</v>
      </c>
      <c r="H710" t="s">
        <v>21</v>
      </c>
      <c r="I710">
        <v>0</v>
      </c>
      <c r="J710" t="s">
        <v>36</v>
      </c>
    </row>
    <row r="711" spans="1:10" x14ac:dyDescent="0.25">
      <c r="A711" s="1">
        <v>68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"2025-10-29 09:38:56.230"</f>
        <v>2025-10-29 09:38:56.230</v>
      </c>
      <c r="H711" t="s">
        <v>21</v>
      </c>
      <c r="I711">
        <v>0</v>
      </c>
      <c r="J711" t="s">
        <v>22</v>
      </c>
    </row>
    <row r="712" spans="1:10" x14ac:dyDescent="0.25">
      <c r="A712" s="1">
        <v>69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"2025-10-29 09:36:25.258"</f>
        <v>2025-10-29 09:36:25.258</v>
      </c>
      <c r="H712" t="s">
        <v>21</v>
      </c>
      <c r="I712">
        <v>0</v>
      </c>
      <c r="J712" t="s">
        <v>22</v>
      </c>
    </row>
    <row r="713" spans="1:10" x14ac:dyDescent="0.25">
      <c r="A713" s="1">
        <v>72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"2025-10-28 23:54:38.313"</f>
        <v>2025-10-28 23:54:38.313</v>
      </c>
      <c r="H713" t="s">
        <v>21</v>
      </c>
      <c r="I713">
        <v>0</v>
      </c>
      <c r="J713" t="s">
        <v>22</v>
      </c>
    </row>
    <row r="714" spans="1:10" x14ac:dyDescent="0.25">
      <c r="A714" s="1">
        <v>73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"2025-10-28 23:53:37.220"</f>
        <v>2025-10-28 23:53:37.220</v>
      </c>
      <c r="H714" t="s">
        <v>21</v>
      </c>
      <c r="I714">
        <v>0</v>
      </c>
      <c r="J714" t="s">
        <v>22</v>
      </c>
    </row>
    <row r="715" spans="1:10" x14ac:dyDescent="0.25">
      <c r="A715" s="1">
        <v>74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"2025-10-28 23:51:55.251"</f>
        <v>2025-10-28 23:51:55.251</v>
      </c>
      <c r="H715" t="s">
        <v>21</v>
      </c>
    </row>
    <row r="716" spans="1:10" x14ac:dyDescent="0.25">
      <c r="A716" s="1">
        <v>75</v>
      </c>
      <c r="B716" t="s">
        <v>19</v>
      </c>
      <c r="C716">
        <v>706</v>
      </c>
      <c r="D716">
        <v>4</v>
      </c>
      <c r="E716" t="s">
        <v>34</v>
      </c>
      <c r="F716" t="s">
        <v>37</v>
      </c>
      <c r="G716" t="str">
        <f>"2025-10-28 18:43:11.660"</f>
        <v>2025-10-28 18:43:11.660</v>
      </c>
      <c r="H716" t="s">
        <v>21</v>
      </c>
      <c r="I716">
        <v>0</v>
      </c>
      <c r="J716" t="s">
        <v>36</v>
      </c>
    </row>
    <row r="717" spans="1:10" x14ac:dyDescent="0.25">
      <c r="A717" s="1">
        <v>76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"2025-10-28 18:39:34.210"</f>
        <v>2025-10-28 18:39:34.210</v>
      </c>
      <c r="H717" t="s">
        <v>21</v>
      </c>
    </row>
    <row r="718" spans="1:10" x14ac:dyDescent="0.25">
      <c r="A718" s="1">
        <v>77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"2025-10-28 17:17:58.210"</f>
        <v>2025-10-28 17:17:58.210</v>
      </c>
      <c r="H718" t="s">
        <v>21</v>
      </c>
    </row>
    <row r="719" spans="1:10" x14ac:dyDescent="0.25">
      <c r="A719" s="1">
        <v>78</v>
      </c>
      <c r="B719" t="s">
        <v>19</v>
      </c>
      <c r="C719">
        <v>706</v>
      </c>
      <c r="D719">
        <v>4</v>
      </c>
      <c r="E719" t="s">
        <v>34</v>
      </c>
      <c r="F719" t="s">
        <v>37</v>
      </c>
      <c r="G719" t="str">
        <f>"2025-10-28 17:07:50.471"</f>
        <v>2025-10-28 17:07:50.471</v>
      </c>
      <c r="H719" t="s">
        <v>21</v>
      </c>
      <c r="I719">
        <v>0</v>
      </c>
      <c r="J719" t="s">
        <v>36</v>
      </c>
    </row>
    <row r="720" spans="1:10" x14ac:dyDescent="0.25">
      <c r="A720" s="1">
        <v>79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"2025-10-28 17:07:08.281"</f>
        <v>2025-10-28 17:07:08.281</v>
      </c>
      <c r="H720" t="s">
        <v>21</v>
      </c>
    </row>
    <row r="721" spans="1:10" x14ac:dyDescent="0.25">
      <c r="A721" s="1">
        <v>80</v>
      </c>
      <c r="B721" t="s">
        <v>19</v>
      </c>
      <c r="C721">
        <v>706</v>
      </c>
      <c r="D721">
        <v>2</v>
      </c>
      <c r="E721" t="s">
        <v>34</v>
      </c>
      <c r="F721" t="s">
        <v>35</v>
      </c>
      <c r="G721" t="str">
        <f>"2025-10-28 12:14:55.300"</f>
        <v>2025-10-28 12:14:55.300</v>
      </c>
      <c r="H721" t="s">
        <v>21</v>
      </c>
      <c r="I721">
        <v>0</v>
      </c>
      <c r="J721" t="s">
        <v>36</v>
      </c>
    </row>
    <row r="722" spans="1:10" x14ac:dyDescent="0.25">
      <c r="A722" s="1">
        <v>81</v>
      </c>
      <c r="B722" t="s">
        <v>19</v>
      </c>
      <c r="C722">
        <v>706</v>
      </c>
      <c r="D722">
        <v>3</v>
      </c>
      <c r="E722" t="s">
        <v>34</v>
      </c>
      <c r="F722" t="s">
        <v>48</v>
      </c>
      <c r="G722" t="str">
        <f>"2025-10-28 12:14:45.450"</f>
        <v>2025-10-28 12:14:45.450</v>
      </c>
      <c r="H722" t="s">
        <v>21</v>
      </c>
      <c r="I722">
        <v>0</v>
      </c>
      <c r="J722" t="s">
        <v>36</v>
      </c>
    </row>
    <row r="723" spans="1:10" x14ac:dyDescent="0.25">
      <c r="A723" s="1">
        <v>82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"2025-10-27 21:32:22.220"</f>
        <v>2025-10-27 21:32:22.220</v>
      </c>
      <c r="H723" t="s">
        <v>21</v>
      </c>
    </row>
    <row r="724" spans="1:10" x14ac:dyDescent="0.25">
      <c r="A724" s="1">
        <v>83</v>
      </c>
      <c r="B724" t="s">
        <v>19</v>
      </c>
      <c r="C724">
        <v>706</v>
      </c>
      <c r="D724">
        <v>2</v>
      </c>
      <c r="E724" t="s">
        <v>34</v>
      </c>
      <c r="F724" t="s">
        <v>35</v>
      </c>
      <c r="G724" t="str">
        <f>"2025-10-27 11:38:17.138"</f>
        <v>2025-10-27 11:38:17.138</v>
      </c>
      <c r="H724" t="s">
        <v>21</v>
      </c>
      <c r="I724">
        <v>0</v>
      </c>
      <c r="J724" t="s">
        <v>36</v>
      </c>
    </row>
    <row r="725" spans="1:10" x14ac:dyDescent="0.25">
      <c r="A725" s="1">
        <v>84</v>
      </c>
      <c r="B725" t="s">
        <v>19</v>
      </c>
      <c r="C725">
        <v>706</v>
      </c>
      <c r="D725">
        <v>3</v>
      </c>
      <c r="E725" t="s">
        <v>34</v>
      </c>
      <c r="F725" t="s">
        <v>48</v>
      </c>
      <c r="G725" t="str">
        <f>"2025-10-27 11:26:29.798"</f>
        <v>2025-10-27 11:26:29.798</v>
      </c>
      <c r="H725" t="s">
        <v>21</v>
      </c>
      <c r="I725">
        <v>0</v>
      </c>
      <c r="J725" t="s">
        <v>36</v>
      </c>
    </row>
    <row r="726" spans="1:10" x14ac:dyDescent="0.25">
      <c r="A726" s="1">
        <v>85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"2025-10-27 10:17:40.198"</f>
        <v>2025-10-27 10:17:40.198</v>
      </c>
      <c r="H726" t="s">
        <v>21</v>
      </c>
      <c r="I726">
        <v>0</v>
      </c>
      <c r="J726" t="s">
        <v>22</v>
      </c>
    </row>
    <row r="727" spans="1:10" x14ac:dyDescent="0.25">
      <c r="A727" s="1">
        <v>87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"2025-10-26 18:54:27.153"</f>
        <v>2025-10-26 18:54:27.153</v>
      </c>
      <c r="H727" t="s">
        <v>21</v>
      </c>
    </row>
    <row r="728" spans="1:10" x14ac:dyDescent="0.25">
      <c r="A728" s="1">
        <v>88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"2025-10-26 18:51:37.181"</f>
        <v>2025-10-26 18:51:37.181</v>
      </c>
      <c r="H728" t="s">
        <v>21</v>
      </c>
      <c r="I728">
        <v>0</v>
      </c>
      <c r="J728" t="s">
        <v>22</v>
      </c>
    </row>
    <row r="729" spans="1:10" x14ac:dyDescent="0.25">
      <c r="A729" s="1">
        <v>89</v>
      </c>
      <c r="B729" t="s">
        <v>19</v>
      </c>
      <c r="C729">
        <v>706</v>
      </c>
      <c r="D729">
        <v>4</v>
      </c>
      <c r="E729" t="s">
        <v>34</v>
      </c>
      <c r="F729" t="s">
        <v>37</v>
      </c>
      <c r="G729" t="str">
        <f>"2025-10-26 18:20:51.457"</f>
        <v>2025-10-26 18:20:51.457</v>
      </c>
      <c r="H729" t="s">
        <v>21</v>
      </c>
      <c r="I729">
        <v>0</v>
      </c>
      <c r="J729" t="s">
        <v>36</v>
      </c>
    </row>
    <row r="730" spans="1:10" x14ac:dyDescent="0.25">
      <c r="A730" s="1">
        <v>90</v>
      </c>
      <c r="B730" t="s">
        <v>28</v>
      </c>
      <c r="C730">
        <v>619</v>
      </c>
      <c r="D730">
        <v>1</v>
      </c>
      <c r="E730" t="s">
        <v>56</v>
      </c>
      <c r="F730" t="s">
        <v>30</v>
      </c>
      <c r="G730" t="str">
        <f>"2025-10-26 18:20:36.589"</f>
        <v>2025-10-26 18:20:36.589</v>
      </c>
      <c r="H730" t="s">
        <v>52</v>
      </c>
    </row>
    <row r="731" spans="1:10" x14ac:dyDescent="0.25">
      <c r="A731" s="1">
        <v>91</v>
      </c>
      <c r="B731" t="s">
        <v>31</v>
      </c>
      <c r="C731">
        <v>619</v>
      </c>
      <c r="D731">
        <v>1</v>
      </c>
      <c r="E731" t="s">
        <v>56</v>
      </c>
      <c r="F731" t="s">
        <v>30</v>
      </c>
      <c r="G731" t="str">
        <f>"2025-10-26 18:19:46.036"</f>
        <v>2025-10-26 18:19:46.036</v>
      </c>
      <c r="H731" t="s">
        <v>52</v>
      </c>
      <c r="I731">
        <v>13.94</v>
      </c>
      <c r="J731" t="s">
        <v>32</v>
      </c>
    </row>
    <row r="732" spans="1:10" x14ac:dyDescent="0.25">
      <c r="A732" s="1">
        <v>92</v>
      </c>
      <c r="B732" t="s">
        <v>19</v>
      </c>
      <c r="C732">
        <v>706</v>
      </c>
      <c r="D732">
        <v>2</v>
      </c>
      <c r="E732" t="s">
        <v>34</v>
      </c>
      <c r="F732" t="s">
        <v>35</v>
      </c>
      <c r="G732" t="str">
        <f>"2025-10-26 17:23:59.857"</f>
        <v>2025-10-26 17:23:59.857</v>
      </c>
      <c r="H732" t="s">
        <v>21</v>
      </c>
      <c r="I732">
        <v>0</v>
      </c>
      <c r="J732" t="s">
        <v>36</v>
      </c>
    </row>
    <row r="733" spans="1:10" x14ac:dyDescent="0.25">
      <c r="A733" s="1">
        <v>93</v>
      </c>
      <c r="B733" t="s">
        <v>28</v>
      </c>
      <c r="C733">
        <v>619</v>
      </c>
      <c r="D733">
        <v>1</v>
      </c>
      <c r="E733" t="s">
        <v>56</v>
      </c>
      <c r="F733" t="s">
        <v>30</v>
      </c>
      <c r="G733" t="str">
        <f>"2025-10-26 17:23:35.489"</f>
        <v>2025-10-26 17:23:35.489</v>
      </c>
      <c r="H733" t="s">
        <v>52</v>
      </c>
    </row>
    <row r="734" spans="1:10" x14ac:dyDescent="0.25">
      <c r="A734" s="1">
        <v>94</v>
      </c>
      <c r="B734" t="s">
        <v>31</v>
      </c>
      <c r="C734">
        <v>619</v>
      </c>
      <c r="D734">
        <v>1</v>
      </c>
      <c r="E734" t="s">
        <v>56</v>
      </c>
      <c r="F734" t="s">
        <v>30</v>
      </c>
      <c r="G734" t="str">
        <f>"2025-10-26 17:14:27.336"</f>
        <v>2025-10-26 17:14:27.336</v>
      </c>
      <c r="H734" t="s">
        <v>52</v>
      </c>
      <c r="I734">
        <v>6.52</v>
      </c>
      <c r="J734" t="s">
        <v>32</v>
      </c>
    </row>
    <row r="735" spans="1:10" x14ac:dyDescent="0.25">
      <c r="A735" s="1">
        <v>95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"2025-10-26 16:47:11.117"</f>
        <v>2025-10-26 16:47:11.117</v>
      </c>
      <c r="H735" t="s">
        <v>21</v>
      </c>
    </row>
    <row r="736" spans="1:10" x14ac:dyDescent="0.25">
      <c r="A736" s="1">
        <v>96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"2025-10-26 16:27:54.119"</f>
        <v>2025-10-26 16:27:54.119</v>
      </c>
      <c r="H736" t="s">
        <v>21</v>
      </c>
    </row>
    <row r="737" spans="1:10" x14ac:dyDescent="0.25">
      <c r="A737" s="1">
        <v>97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"2025-10-26 16:12:28.107"</f>
        <v>2025-10-26 16:12:28.107</v>
      </c>
      <c r="H737" t="s">
        <v>21</v>
      </c>
    </row>
    <row r="738" spans="1:10" x14ac:dyDescent="0.25">
      <c r="A738" s="1">
        <v>98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"2025-10-26 15:43:56.108"</f>
        <v>2025-10-26 15:43:56.108</v>
      </c>
      <c r="H738" t="s">
        <v>21</v>
      </c>
    </row>
    <row r="739" spans="1:10" x14ac:dyDescent="0.25">
      <c r="A739" s="1">
        <v>99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"2025-10-26 14:34:55.113"</f>
        <v>2025-10-26 14:34:55.113</v>
      </c>
      <c r="H739" t="s">
        <v>21</v>
      </c>
    </row>
    <row r="740" spans="1:10" x14ac:dyDescent="0.25">
      <c r="A740" s="1">
        <v>0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"2025-10-26 14:33:40.117"</f>
        <v>2025-10-26 14:33:40.117</v>
      </c>
      <c r="H740" t="s">
        <v>21</v>
      </c>
    </row>
    <row r="741" spans="1:10" x14ac:dyDescent="0.25">
      <c r="A741" s="1">
        <v>1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"2025-10-26 11:21:43.111"</f>
        <v>2025-10-26 11:21:43.111</v>
      </c>
      <c r="H741" t="s">
        <v>21</v>
      </c>
    </row>
    <row r="742" spans="1:10" x14ac:dyDescent="0.25">
      <c r="A742" s="1">
        <v>2</v>
      </c>
      <c r="B742" t="s">
        <v>19</v>
      </c>
      <c r="C742">
        <v>706</v>
      </c>
      <c r="D742">
        <v>2</v>
      </c>
      <c r="E742" t="s">
        <v>34</v>
      </c>
      <c r="F742" t="s">
        <v>35</v>
      </c>
      <c r="G742" t="str">
        <f>"2025-10-26 09:24:15.733"</f>
        <v>2025-10-26 09:24:15.733</v>
      </c>
      <c r="H742" t="s">
        <v>21</v>
      </c>
      <c r="I742">
        <v>0</v>
      </c>
      <c r="J742" t="s">
        <v>36</v>
      </c>
    </row>
    <row r="743" spans="1:10" x14ac:dyDescent="0.25">
      <c r="A743" s="1">
        <v>3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"2025-10-26 09:24:01.113"</f>
        <v>2025-10-26 09:24:01.113</v>
      </c>
      <c r="H743" t="s">
        <v>21</v>
      </c>
    </row>
    <row r="744" spans="1:10" x14ac:dyDescent="0.25">
      <c r="A744" s="1">
        <v>4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"2025-10-26 09:06:16.120"</f>
        <v>2025-10-26 09:06:16.120</v>
      </c>
      <c r="H744" t="s">
        <v>21</v>
      </c>
      <c r="I744">
        <v>0</v>
      </c>
      <c r="J744" t="s">
        <v>22</v>
      </c>
    </row>
    <row r="745" spans="1:10" x14ac:dyDescent="0.25">
      <c r="A745" s="1">
        <v>5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"2025-10-26 08:02:28.105"</f>
        <v>2025-10-26 08:02:28.105</v>
      </c>
      <c r="H745" t="s">
        <v>21</v>
      </c>
      <c r="I745">
        <v>0</v>
      </c>
      <c r="J745" t="s">
        <v>22</v>
      </c>
    </row>
    <row r="746" spans="1:10" x14ac:dyDescent="0.25">
      <c r="A746" s="1">
        <v>6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"2025-10-26 07:49:13.121"</f>
        <v>2025-10-26 07:49:13.121</v>
      </c>
      <c r="H746" t="s">
        <v>21</v>
      </c>
    </row>
    <row r="747" spans="1:10" x14ac:dyDescent="0.25">
      <c r="A747" s="1">
        <v>7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"2025-10-25 17:27:34.118"</f>
        <v>2025-10-25 17:27:34.118</v>
      </c>
      <c r="H747" t="s">
        <v>21</v>
      </c>
      <c r="I747">
        <v>0</v>
      </c>
      <c r="J747" t="s">
        <v>22</v>
      </c>
    </row>
    <row r="748" spans="1:10" x14ac:dyDescent="0.25">
      <c r="A748" s="1">
        <v>8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"2025-10-25 16:43:46.129"</f>
        <v>2025-10-25 16:43:46.129</v>
      </c>
      <c r="H748" t="s">
        <v>21</v>
      </c>
      <c r="I748">
        <v>0</v>
      </c>
      <c r="J748" t="s">
        <v>22</v>
      </c>
    </row>
    <row r="749" spans="1:10" x14ac:dyDescent="0.25">
      <c r="A749" s="1">
        <v>9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"2025-10-25 14:36:28.112"</f>
        <v>2025-10-25 14:36:28.112</v>
      </c>
      <c r="H749" t="s">
        <v>21</v>
      </c>
    </row>
    <row r="750" spans="1:10" x14ac:dyDescent="0.25">
      <c r="A750" s="1">
        <v>10</v>
      </c>
      <c r="B750" t="s">
        <v>19</v>
      </c>
      <c r="C750">
        <v>706</v>
      </c>
      <c r="D750">
        <v>2</v>
      </c>
      <c r="E750" t="s">
        <v>34</v>
      </c>
      <c r="F750" t="s">
        <v>35</v>
      </c>
      <c r="G750" t="str">
        <f>"2025-10-25 14:28:35.328"</f>
        <v>2025-10-25 14:28:35.328</v>
      </c>
      <c r="H750" t="s">
        <v>21</v>
      </c>
      <c r="I750">
        <v>0</v>
      </c>
      <c r="J750" t="s">
        <v>36</v>
      </c>
    </row>
    <row r="751" spans="1:10" x14ac:dyDescent="0.25">
      <c r="A751" s="1">
        <v>11</v>
      </c>
      <c r="B751" t="s">
        <v>19</v>
      </c>
      <c r="C751">
        <v>706</v>
      </c>
      <c r="D751">
        <v>2</v>
      </c>
      <c r="E751" t="s">
        <v>34</v>
      </c>
      <c r="F751" t="s">
        <v>35</v>
      </c>
      <c r="G751" t="str">
        <f>"2025-10-25 14:12:59.728"</f>
        <v>2025-10-25 14:12:59.728</v>
      </c>
      <c r="H751" t="s">
        <v>21</v>
      </c>
      <c r="I751">
        <v>0</v>
      </c>
      <c r="J751" t="s">
        <v>36</v>
      </c>
    </row>
    <row r="752" spans="1:10" x14ac:dyDescent="0.25">
      <c r="A752" s="1">
        <v>12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"2025-10-25 14:12:28.098"</f>
        <v>2025-10-25 14:12:28.098</v>
      </c>
      <c r="H752" t="s">
        <v>21</v>
      </c>
      <c r="I752">
        <v>0</v>
      </c>
      <c r="J752" t="s">
        <v>22</v>
      </c>
    </row>
    <row r="753" spans="1:10" x14ac:dyDescent="0.25">
      <c r="A753" s="1">
        <v>13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"2025-10-25 11:33:48.109"</f>
        <v>2025-10-25 11:33:48.109</v>
      </c>
      <c r="H753" t="s">
        <v>21</v>
      </c>
      <c r="I753">
        <v>0</v>
      </c>
      <c r="J753" t="s">
        <v>22</v>
      </c>
    </row>
    <row r="754" spans="1:10" x14ac:dyDescent="0.25">
      <c r="A754" s="1">
        <v>14</v>
      </c>
      <c r="B754" t="s">
        <v>19</v>
      </c>
      <c r="C754">
        <v>706</v>
      </c>
      <c r="D754">
        <v>2</v>
      </c>
      <c r="E754" t="s">
        <v>34</v>
      </c>
      <c r="F754" t="s">
        <v>35</v>
      </c>
      <c r="G754" t="str">
        <f>"2025-10-25 11:13:11.233"</f>
        <v>2025-10-25 11:13:11.233</v>
      </c>
      <c r="H754" t="s">
        <v>21</v>
      </c>
      <c r="I754">
        <v>0</v>
      </c>
      <c r="J754" t="s">
        <v>36</v>
      </c>
    </row>
    <row r="755" spans="1:10" x14ac:dyDescent="0.25">
      <c r="A755" s="1">
        <v>15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"2025-10-25 11:07:54.103"</f>
        <v>2025-10-25 11:07:54.103</v>
      </c>
      <c r="H755" t="s">
        <v>21</v>
      </c>
      <c r="I755">
        <v>0</v>
      </c>
      <c r="J755" t="s">
        <v>22</v>
      </c>
    </row>
    <row r="756" spans="1:10" x14ac:dyDescent="0.25">
      <c r="A756" s="1">
        <v>16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"2025-10-25 10:54:40.097"</f>
        <v>2025-10-25 10:54:40.097</v>
      </c>
      <c r="H756" t="s">
        <v>21</v>
      </c>
      <c r="I756">
        <v>0</v>
      </c>
      <c r="J756" t="s">
        <v>22</v>
      </c>
    </row>
    <row r="757" spans="1:10" x14ac:dyDescent="0.25">
      <c r="A757" s="1">
        <v>17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"2025-10-25 10:49:28.101"</f>
        <v>2025-10-25 10:49:28.101</v>
      </c>
      <c r="H757" t="s">
        <v>21</v>
      </c>
      <c r="I757">
        <v>0</v>
      </c>
      <c r="J757" t="s">
        <v>22</v>
      </c>
    </row>
    <row r="758" spans="1:10" x14ac:dyDescent="0.25">
      <c r="A758" s="1">
        <v>18</v>
      </c>
      <c r="B758" t="s">
        <v>19</v>
      </c>
      <c r="C758">
        <v>706</v>
      </c>
      <c r="D758">
        <v>4</v>
      </c>
      <c r="E758" t="s">
        <v>34</v>
      </c>
      <c r="F758" t="s">
        <v>37</v>
      </c>
      <c r="G758" t="str">
        <f>"2025-10-25 10:10:59.258"</f>
        <v>2025-10-25 10:10:59.258</v>
      </c>
      <c r="H758" t="s">
        <v>21</v>
      </c>
      <c r="I758">
        <v>0</v>
      </c>
      <c r="J758" t="s">
        <v>36</v>
      </c>
    </row>
    <row r="759" spans="1:10" x14ac:dyDescent="0.25">
      <c r="A759" s="1">
        <v>19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"2025-10-25 10:09:14.078"</f>
        <v>2025-10-25 10:09:14.078</v>
      </c>
      <c r="H759" t="s">
        <v>21</v>
      </c>
    </row>
    <row r="760" spans="1:10" x14ac:dyDescent="0.25">
      <c r="A760" s="1">
        <v>20</v>
      </c>
      <c r="B760" t="s">
        <v>19</v>
      </c>
      <c r="C760">
        <v>757</v>
      </c>
      <c r="D760">
        <v>0</v>
      </c>
      <c r="E760" t="s">
        <v>57</v>
      </c>
      <c r="F760" t="s">
        <v>57</v>
      </c>
      <c r="G760" t="str">
        <f>"2025-10-25 10:05:34.547"</f>
        <v>2025-10-25 10:05:34.547</v>
      </c>
      <c r="H760" t="s">
        <v>21</v>
      </c>
      <c r="I760">
        <v>0</v>
      </c>
      <c r="J760" t="s">
        <v>36</v>
      </c>
    </row>
    <row r="761" spans="1:10" x14ac:dyDescent="0.25">
      <c r="A761" s="1">
        <v>21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"2025-10-25 10:04:09.112"</f>
        <v>2025-10-25 10:04:09.112</v>
      </c>
      <c r="H761" t="s">
        <v>21</v>
      </c>
      <c r="I761">
        <v>0</v>
      </c>
      <c r="J761" t="s">
        <v>22</v>
      </c>
    </row>
    <row r="762" spans="1:10" x14ac:dyDescent="0.25">
      <c r="A762" s="1">
        <v>22</v>
      </c>
      <c r="B762" t="s">
        <v>28</v>
      </c>
      <c r="C762">
        <v>98</v>
      </c>
      <c r="D762">
        <v>1</v>
      </c>
      <c r="E762" t="s">
        <v>49</v>
      </c>
      <c r="F762" t="s">
        <v>50</v>
      </c>
      <c r="G762" t="str">
        <f>"2025-10-25 10:00:40.534"</f>
        <v>2025-10-25 10:00:40.534</v>
      </c>
      <c r="H762" t="s">
        <v>21</v>
      </c>
    </row>
    <row r="763" spans="1:10" x14ac:dyDescent="0.25">
      <c r="A763" s="1">
        <v>23</v>
      </c>
      <c r="B763" t="s">
        <v>31</v>
      </c>
      <c r="C763">
        <v>98</v>
      </c>
      <c r="D763">
        <v>1</v>
      </c>
      <c r="E763" t="s">
        <v>49</v>
      </c>
      <c r="F763" t="s">
        <v>50</v>
      </c>
      <c r="G763" t="str">
        <f>"2025-10-25 10:00:39.534"</f>
        <v>2025-10-25 10:00:39.534</v>
      </c>
      <c r="H763" t="s">
        <v>21</v>
      </c>
      <c r="I763">
        <v>0</v>
      </c>
      <c r="J763" t="s">
        <v>36</v>
      </c>
    </row>
    <row r="764" spans="1:10" x14ac:dyDescent="0.25">
      <c r="A764" s="1">
        <v>24</v>
      </c>
      <c r="B764" t="s">
        <v>28</v>
      </c>
      <c r="C764">
        <v>98</v>
      </c>
      <c r="D764">
        <v>1</v>
      </c>
      <c r="E764" t="s">
        <v>49</v>
      </c>
      <c r="F764" t="s">
        <v>50</v>
      </c>
      <c r="G764" t="str">
        <f>"2025-10-25 10:00:38.934"</f>
        <v>2025-10-25 10:00:38.934</v>
      </c>
      <c r="H764" t="s">
        <v>21</v>
      </c>
    </row>
    <row r="765" spans="1:10" x14ac:dyDescent="0.25">
      <c r="A765" s="1">
        <v>25</v>
      </c>
      <c r="B765" t="s">
        <v>31</v>
      </c>
      <c r="C765">
        <v>98</v>
      </c>
      <c r="D765">
        <v>1</v>
      </c>
      <c r="E765" t="s">
        <v>49</v>
      </c>
      <c r="F765" t="s">
        <v>50</v>
      </c>
      <c r="G765" t="str">
        <f>"2025-10-25 10:00:37.934"</f>
        <v>2025-10-25 10:00:37.934</v>
      </c>
      <c r="H765" t="s">
        <v>21</v>
      </c>
      <c r="I765">
        <v>0</v>
      </c>
      <c r="J765" t="s">
        <v>36</v>
      </c>
    </row>
    <row r="766" spans="1:10" x14ac:dyDescent="0.25">
      <c r="A766" s="1">
        <v>26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"2025-10-25 09:52:17.090"</f>
        <v>2025-10-25 09:52:17.090</v>
      </c>
      <c r="H766" t="s">
        <v>21</v>
      </c>
      <c r="I766">
        <v>0</v>
      </c>
      <c r="J766" t="s">
        <v>22</v>
      </c>
    </row>
    <row r="767" spans="1:10" x14ac:dyDescent="0.25">
      <c r="A767" s="1">
        <v>27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"2025-10-24 13:57:04.095"</f>
        <v>2025-10-24 13:57:04.095</v>
      </c>
      <c r="H767" t="s">
        <v>21</v>
      </c>
    </row>
    <row r="768" spans="1:10" x14ac:dyDescent="0.25">
      <c r="A768" s="1">
        <v>28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"2025-10-24 11:37:46.095"</f>
        <v>2025-10-24 11:37:46.095</v>
      </c>
      <c r="H768" t="s">
        <v>21</v>
      </c>
    </row>
    <row r="769" spans="1:10" x14ac:dyDescent="0.25">
      <c r="A769" s="1">
        <v>29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"2025-10-24 10:46:14.096"</f>
        <v>2025-10-24 10:46:14.096</v>
      </c>
      <c r="H769" t="s">
        <v>21</v>
      </c>
    </row>
    <row r="770" spans="1:10" x14ac:dyDescent="0.25">
      <c r="A770" s="1">
        <v>30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"2025-10-24 10:42:04.096"</f>
        <v>2025-10-24 10:42:04.096</v>
      </c>
      <c r="H770" t="s">
        <v>21</v>
      </c>
    </row>
    <row r="771" spans="1:10" x14ac:dyDescent="0.25">
      <c r="A771" s="1">
        <v>31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"2025-10-24 09:21:47.097"</f>
        <v>2025-10-24 09:21:47.097</v>
      </c>
      <c r="H771" t="s">
        <v>21</v>
      </c>
    </row>
    <row r="772" spans="1:10" x14ac:dyDescent="0.25">
      <c r="A772" s="1">
        <v>32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"2025-10-23 17:21:07.091"</f>
        <v>2025-10-23 17:21:07.091</v>
      </c>
      <c r="H772" t="s">
        <v>21</v>
      </c>
    </row>
    <row r="773" spans="1:10" x14ac:dyDescent="0.25">
      <c r="A773" s="1">
        <v>33</v>
      </c>
      <c r="B773" t="s">
        <v>19</v>
      </c>
      <c r="C773">
        <v>706</v>
      </c>
      <c r="D773">
        <v>2</v>
      </c>
      <c r="E773" t="s">
        <v>34</v>
      </c>
      <c r="F773" t="s">
        <v>35</v>
      </c>
      <c r="G773" t="str">
        <f>"2025-10-23 16:58:34.367"</f>
        <v>2025-10-23 16:58:34.367</v>
      </c>
      <c r="H773" t="s">
        <v>21</v>
      </c>
      <c r="I773">
        <v>0</v>
      </c>
      <c r="J773" t="s">
        <v>36</v>
      </c>
    </row>
    <row r="774" spans="1:10" x14ac:dyDescent="0.25">
      <c r="A774" s="1">
        <v>34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"2025-10-23 16:57:00.097"</f>
        <v>2025-10-23 16:57:00.097</v>
      </c>
      <c r="H774" t="s">
        <v>21</v>
      </c>
    </row>
    <row r="775" spans="1:10" x14ac:dyDescent="0.25">
      <c r="A775" s="1">
        <v>35</v>
      </c>
      <c r="B775" t="s">
        <v>19</v>
      </c>
      <c r="C775">
        <v>706</v>
      </c>
      <c r="D775">
        <v>4</v>
      </c>
      <c r="E775" t="s">
        <v>34</v>
      </c>
      <c r="F775" t="s">
        <v>37</v>
      </c>
      <c r="G775" t="str">
        <f>"2025-10-23 16:48:58.639"</f>
        <v>2025-10-23 16:48:58.639</v>
      </c>
      <c r="H775" t="s">
        <v>21</v>
      </c>
      <c r="I775">
        <v>0</v>
      </c>
      <c r="J775" t="s">
        <v>36</v>
      </c>
    </row>
    <row r="776" spans="1:10" x14ac:dyDescent="0.25">
      <c r="A776" s="1">
        <v>36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"2025-10-23 16:40:08.089"</f>
        <v>2025-10-23 16:40:08.089</v>
      </c>
      <c r="H776" t="s">
        <v>21</v>
      </c>
    </row>
    <row r="777" spans="1:10" x14ac:dyDescent="0.25">
      <c r="A777" s="1">
        <v>37</v>
      </c>
      <c r="B777" t="s">
        <v>19</v>
      </c>
      <c r="C777">
        <v>706</v>
      </c>
      <c r="D777">
        <v>4</v>
      </c>
      <c r="E777" t="s">
        <v>34</v>
      </c>
      <c r="F777" t="s">
        <v>37</v>
      </c>
      <c r="G777" t="str">
        <f>"2025-10-23 16:20:09.053"</f>
        <v>2025-10-23 16:20:09.053</v>
      </c>
      <c r="H777" t="s">
        <v>21</v>
      </c>
      <c r="I777">
        <v>0</v>
      </c>
      <c r="J777" t="s">
        <v>36</v>
      </c>
    </row>
    <row r="778" spans="1:10" x14ac:dyDescent="0.25">
      <c r="A778" s="1">
        <v>38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"2025-10-23 16:04:24.083"</f>
        <v>2025-10-23 16:04:24.083</v>
      </c>
      <c r="H778" t="s">
        <v>21</v>
      </c>
    </row>
    <row r="779" spans="1:10" x14ac:dyDescent="0.25">
      <c r="A779" s="1">
        <v>39</v>
      </c>
      <c r="B779" t="s">
        <v>19</v>
      </c>
      <c r="C779">
        <v>706</v>
      </c>
      <c r="D779">
        <v>2</v>
      </c>
      <c r="E779" t="s">
        <v>34</v>
      </c>
      <c r="F779" t="s">
        <v>35</v>
      </c>
      <c r="G779" t="str">
        <f>"2025-10-23 15:45:49.319"</f>
        <v>2025-10-23 15:45:49.319</v>
      </c>
      <c r="H779" t="s">
        <v>21</v>
      </c>
      <c r="I779">
        <v>0</v>
      </c>
      <c r="J779" t="s">
        <v>36</v>
      </c>
    </row>
    <row r="780" spans="1:10" x14ac:dyDescent="0.25">
      <c r="A780" s="1">
        <v>40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"2025-10-23 15:44:28.089"</f>
        <v>2025-10-23 15:44:28.089</v>
      </c>
      <c r="H780" t="s">
        <v>21</v>
      </c>
    </row>
    <row r="781" spans="1:10" x14ac:dyDescent="0.25">
      <c r="A781" s="1">
        <v>41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"2025-10-23 15:20:34.087"</f>
        <v>2025-10-23 15:20:34.087</v>
      </c>
      <c r="H781" t="s">
        <v>21</v>
      </c>
    </row>
    <row r="782" spans="1:10" x14ac:dyDescent="0.25">
      <c r="A782" s="1">
        <v>42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"2025-10-23 15:13:17.097"</f>
        <v>2025-10-23 15:13:17.097</v>
      </c>
      <c r="H782" t="s">
        <v>21</v>
      </c>
      <c r="I782">
        <v>0</v>
      </c>
      <c r="J782" t="s">
        <v>22</v>
      </c>
    </row>
    <row r="783" spans="1:10" x14ac:dyDescent="0.25">
      <c r="A783" s="1">
        <v>43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"2025-10-23 15:01:00.086"</f>
        <v>2025-10-23 15:01:00.086</v>
      </c>
      <c r="H783" t="s">
        <v>21</v>
      </c>
      <c r="I783">
        <v>0</v>
      </c>
      <c r="J783" t="s">
        <v>22</v>
      </c>
    </row>
    <row r="784" spans="1:10" x14ac:dyDescent="0.25">
      <c r="A784" s="1">
        <v>44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"2025-10-23 14:42:16.096"</f>
        <v>2025-10-23 14:42:16.096</v>
      </c>
      <c r="H784" t="s">
        <v>21</v>
      </c>
    </row>
    <row r="785" spans="1:10" x14ac:dyDescent="0.25">
      <c r="A785" s="1">
        <v>45</v>
      </c>
      <c r="B785" t="s">
        <v>19</v>
      </c>
      <c r="C785">
        <v>706</v>
      </c>
      <c r="D785">
        <v>4</v>
      </c>
      <c r="E785" t="s">
        <v>34</v>
      </c>
      <c r="F785" t="s">
        <v>37</v>
      </c>
      <c r="G785" t="str">
        <f>"2025-10-23 14:36:39.052"</f>
        <v>2025-10-23 14:36:39.052</v>
      </c>
      <c r="H785" t="s">
        <v>21</v>
      </c>
      <c r="I785">
        <v>0</v>
      </c>
      <c r="J785" t="s">
        <v>36</v>
      </c>
    </row>
    <row r="786" spans="1:10" x14ac:dyDescent="0.25">
      <c r="A786" s="1">
        <v>46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"2025-10-23 14:33:21.092"</f>
        <v>2025-10-23 14:33:21.092</v>
      </c>
      <c r="H786" t="s">
        <v>21</v>
      </c>
      <c r="I786">
        <v>0</v>
      </c>
      <c r="J786" t="s">
        <v>22</v>
      </c>
    </row>
    <row r="787" spans="1:10" x14ac:dyDescent="0.25">
      <c r="A787" s="1">
        <v>47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"2025-10-23 14:28:11.092"</f>
        <v>2025-10-23 14:28:11.092</v>
      </c>
      <c r="H787" t="s">
        <v>21</v>
      </c>
      <c r="I787">
        <v>0</v>
      </c>
      <c r="J787" t="s">
        <v>22</v>
      </c>
    </row>
    <row r="788" spans="1:10" x14ac:dyDescent="0.25">
      <c r="A788" s="1">
        <v>48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"2025-10-23 13:25:41.087"</f>
        <v>2025-10-23 13:25:41.087</v>
      </c>
      <c r="H788" t="s">
        <v>21</v>
      </c>
      <c r="I788">
        <v>0</v>
      </c>
      <c r="J788" t="s">
        <v>22</v>
      </c>
    </row>
    <row r="789" spans="1:10" x14ac:dyDescent="0.25">
      <c r="A789" s="1">
        <v>49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"2025-10-23 13:13:15.084"</f>
        <v>2025-10-23 13:13:15.084</v>
      </c>
      <c r="H789" t="s">
        <v>21</v>
      </c>
      <c r="I789">
        <v>0</v>
      </c>
      <c r="J789" t="s">
        <v>22</v>
      </c>
    </row>
    <row r="790" spans="1:10" x14ac:dyDescent="0.25">
      <c r="A790" s="1">
        <v>50</v>
      </c>
      <c r="B790" t="s">
        <v>19</v>
      </c>
      <c r="C790">
        <v>706</v>
      </c>
      <c r="D790">
        <v>4</v>
      </c>
      <c r="E790" t="s">
        <v>34</v>
      </c>
      <c r="F790" t="s">
        <v>37</v>
      </c>
      <c r="G790" t="str">
        <f>"2025-10-23 12:54:48.441"</f>
        <v>2025-10-23 12:54:48.441</v>
      </c>
      <c r="H790" t="s">
        <v>21</v>
      </c>
      <c r="I790">
        <v>0</v>
      </c>
      <c r="J790" t="s">
        <v>36</v>
      </c>
    </row>
    <row r="791" spans="1:10" x14ac:dyDescent="0.25">
      <c r="A791" s="1">
        <v>51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"2025-10-23 12:38:51.091"</f>
        <v>2025-10-23 12:38:51.091</v>
      </c>
      <c r="H791" t="s">
        <v>21</v>
      </c>
      <c r="I791">
        <v>0</v>
      </c>
      <c r="J791" t="s">
        <v>22</v>
      </c>
    </row>
    <row r="792" spans="1:10" x14ac:dyDescent="0.25">
      <c r="A792" s="1">
        <v>52</v>
      </c>
      <c r="B792" t="s">
        <v>19</v>
      </c>
      <c r="C792">
        <v>706</v>
      </c>
      <c r="D792">
        <v>4</v>
      </c>
      <c r="E792" t="s">
        <v>34</v>
      </c>
      <c r="F792" t="s">
        <v>37</v>
      </c>
      <c r="G792" t="str">
        <f>"2025-10-23 10:27:34.662"</f>
        <v>2025-10-23 10:27:34.662</v>
      </c>
      <c r="H792" t="s">
        <v>21</v>
      </c>
      <c r="I792">
        <v>0</v>
      </c>
      <c r="J792" t="s">
        <v>36</v>
      </c>
    </row>
    <row r="793" spans="1:10" x14ac:dyDescent="0.25">
      <c r="A793" s="1">
        <v>53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"2025-10-23 10:26:44.082"</f>
        <v>2025-10-23 10:26:44.082</v>
      </c>
      <c r="H793" t="s">
        <v>21</v>
      </c>
    </row>
    <row r="794" spans="1:10" x14ac:dyDescent="0.25">
      <c r="A794" s="1">
        <v>54</v>
      </c>
      <c r="B794" t="s">
        <v>19</v>
      </c>
      <c r="C794">
        <v>706</v>
      </c>
      <c r="D794">
        <v>2</v>
      </c>
      <c r="E794" t="s">
        <v>34</v>
      </c>
      <c r="F794" t="s">
        <v>35</v>
      </c>
      <c r="G794" t="str">
        <f>"2025-10-23 08:28:15.925"</f>
        <v>2025-10-23 08:28:15.925</v>
      </c>
      <c r="H794" t="s">
        <v>21</v>
      </c>
      <c r="I794">
        <v>0</v>
      </c>
      <c r="J794" t="s">
        <v>36</v>
      </c>
    </row>
    <row r="795" spans="1:10" x14ac:dyDescent="0.25">
      <c r="A795" s="1">
        <v>55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"2025-10-23 08:27:55.045"</f>
        <v>2025-10-23 08:27:55.045</v>
      </c>
      <c r="H795" t="s">
        <v>21</v>
      </c>
    </row>
    <row r="796" spans="1:10" x14ac:dyDescent="0.25">
      <c r="A796" s="1">
        <v>56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"2025-10-22 15:56:07.061"</f>
        <v>2025-10-22 15:56:07.061</v>
      </c>
      <c r="H796" t="s">
        <v>21</v>
      </c>
      <c r="I796">
        <v>0</v>
      </c>
      <c r="J796" t="s">
        <v>22</v>
      </c>
    </row>
    <row r="797" spans="1:10" x14ac:dyDescent="0.25">
      <c r="A797" s="1">
        <v>57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"2025-10-22 15:32:47.073"</f>
        <v>2025-10-22 15:32:47.073</v>
      </c>
      <c r="H797" t="s">
        <v>21</v>
      </c>
      <c r="I797">
        <v>0</v>
      </c>
      <c r="J797" t="s">
        <v>22</v>
      </c>
    </row>
    <row r="798" spans="1:10" x14ac:dyDescent="0.25">
      <c r="A798" s="1">
        <v>58</v>
      </c>
      <c r="B798" t="s">
        <v>19</v>
      </c>
      <c r="C798">
        <v>706</v>
      </c>
      <c r="D798">
        <v>4</v>
      </c>
      <c r="E798" t="s">
        <v>34</v>
      </c>
      <c r="F798" t="s">
        <v>37</v>
      </c>
      <c r="G798" t="str">
        <f>"2025-10-22 15:18:57.047"</f>
        <v>2025-10-22 15:18:57.047</v>
      </c>
      <c r="H798" t="s">
        <v>21</v>
      </c>
      <c r="I798">
        <v>0</v>
      </c>
      <c r="J798" t="s">
        <v>36</v>
      </c>
    </row>
    <row r="799" spans="1:10" x14ac:dyDescent="0.25">
      <c r="A799" s="1">
        <v>59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"2025-10-22 15:18:26.047"</f>
        <v>2025-10-22 15:18:26.047</v>
      </c>
      <c r="H799" t="s">
        <v>21</v>
      </c>
    </row>
    <row r="800" spans="1:10" x14ac:dyDescent="0.25">
      <c r="A800" s="1">
        <v>60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"2025-10-22 15:14:37.053"</f>
        <v>2025-10-22 15:14:37.053</v>
      </c>
      <c r="H800" t="s">
        <v>21</v>
      </c>
    </row>
    <row r="801" spans="1:10" x14ac:dyDescent="0.25">
      <c r="A801" s="1">
        <v>61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"2025-10-22 15:11:03.039"</f>
        <v>2025-10-22 15:11:03.039</v>
      </c>
      <c r="H801" t="s">
        <v>21</v>
      </c>
      <c r="I801">
        <v>0</v>
      </c>
      <c r="J801" t="s">
        <v>22</v>
      </c>
    </row>
    <row r="802" spans="1:10" x14ac:dyDescent="0.25">
      <c r="A802" s="1">
        <v>62</v>
      </c>
      <c r="B802" t="s">
        <v>28</v>
      </c>
      <c r="C802">
        <v>98</v>
      </c>
      <c r="D802">
        <v>1</v>
      </c>
      <c r="E802" t="s">
        <v>49</v>
      </c>
      <c r="F802" t="s">
        <v>50</v>
      </c>
      <c r="G802" t="str">
        <f>"2025-10-22 12:36:00.546"</f>
        <v>2025-10-22 12:36:00.546</v>
      </c>
      <c r="H802" t="s">
        <v>21</v>
      </c>
    </row>
    <row r="803" spans="1:10" x14ac:dyDescent="0.25">
      <c r="A803" s="1">
        <v>63</v>
      </c>
      <c r="B803" t="s">
        <v>31</v>
      </c>
      <c r="C803">
        <v>98</v>
      </c>
      <c r="D803">
        <v>1</v>
      </c>
      <c r="E803" t="s">
        <v>49</v>
      </c>
      <c r="F803" t="s">
        <v>50</v>
      </c>
      <c r="G803" t="str">
        <f>"2025-10-22 12:35:59.546"</f>
        <v>2025-10-22 12:35:59.546</v>
      </c>
      <c r="H803" t="s">
        <v>21</v>
      </c>
      <c r="I803">
        <v>0</v>
      </c>
      <c r="J803" t="s">
        <v>36</v>
      </c>
    </row>
    <row r="804" spans="1:10" x14ac:dyDescent="0.25">
      <c r="A804" s="1">
        <v>66</v>
      </c>
      <c r="B804" t="s">
        <v>19</v>
      </c>
      <c r="C804">
        <v>782</v>
      </c>
      <c r="D804">
        <v>7</v>
      </c>
      <c r="E804" t="s">
        <v>58</v>
      </c>
      <c r="F804" t="s">
        <v>59</v>
      </c>
      <c r="G804" t="str">
        <f>"2025-10-22 12:35:16.798"</f>
        <v>2025-10-22 12:35:16.798</v>
      </c>
      <c r="H804" t="s">
        <v>21</v>
      </c>
      <c r="I804">
        <v>0</v>
      </c>
      <c r="J804" t="s">
        <v>36</v>
      </c>
    </row>
    <row r="805" spans="1:10" x14ac:dyDescent="0.25">
      <c r="A805" s="1">
        <v>69</v>
      </c>
      <c r="B805" t="s">
        <v>28</v>
      </c>
      <c r="C805">
        <v>12</v>
      </c>
      <c r="D805">
        <v>2</v>
      </c>
      <c r="E805" t="s">
        <v>60</v>
      </c>
      <c r="F805" t="s">
        <v>61</v>
      </c>
      <c r="G805" t="str">
        <f>"2025-10-22 12:35:16.794"</f>
        <v>2025-10-22 12:35:16.794</v>
      </c>
      <c r="H805" t="s">
        <v>21</v>
      </c>
    </row>
    <row r="806" spans="1:10" x14ac:dyDescent="0.25">
      <c r="A806" s="1">
        <v>70</v>
      </c>
      <c r="B806" t="s">
        <v>28</v>
      </c>
      <c r="C806">
        <v>12</v>
      </c>
      <c r="D806">
        <v>1</v>
      </c>
      <c r="E806" t="s">
        <v>60</v>
      </c>
      <c r="F806" t="s">
        <v>62</v>
      </c>
      <c r="G806" t="str">
        <f>"2025-10-22 12:35:16.793"</f>
        <v>2025-10-22 12:35:16.793</v>
      </c>
      <c r="H806" t="s">
        <v>21</v>
      </c>
    </row>
    <row r="807" spans="1:10" x14ac:dyDescent="0.25">
      <c r="A807" s="1">
        <v>71</v>
      </c>
      <c r="B807" t="s">
        <v>19</v>
      </c>
      <c r="C807">
        <v>782</v>
      </c>
      <c r="D807">
        <v>7</v>
      </c>
      <c r="E807" t="s">
        <v>58</v>
      </c>
      <c r="F807" t="s">
        <v>59</v>
      </c>
      <c r="G807" t="str">
        <f>"2025-10-22 12:35:16.792"</f>
        <v>2025-10-22 12:35:16.792</v>
      </c>
      <c r="H807" t="s">
        <v>21</v>
      </c>
      <c r="I807">
        <v>0</v>
      </c>
      <c r="J807" t="s">
        <v>36</v>
      </c>
    </row>
    <row r="808" spans="1:10" x14ac:dyDescent="0.25">
      <c r="A808" s="1">
        <v>72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"2025-10-22 12:25:56.051"</f>
        <v>2025-10-22 12:25:56.051</v>
      </c>
      <c r="H808" t="s">
        <v>21</v>
      </c>
      <c r="I808">
        <v>0</v>
      </c>
      <c r="J808" t="s">
        <v>22</v>
      </c>
    </row>
    <row r="809" spans="1:10" x14ac:dyDescent="0.25">
      <c r="A809" s="1">
        <v>73</v>
      </c>
      <c r="B809" t="s">
        <v>31</v>
      </c>
      <c r="C809">
        <v>12</v>
      </c>
      <c r="D809">
        <v>2</v>
      </c>
      <c r="E809" t="s">
        <v>60</v>
      </c>
      <c r="F809" t="s">
        <v>61</v>
      </c>
      <c r="G809" t="str">
        <f>"2025-10-22 12:03:09.387"</f>
        <v>2025-10-22 12:03:09.387</v>
      </c>
      <c r="H809" t="s">
        <v>21</v>
      </c>
      <c r="I809">
        <v>0</v>
      </c>
      <c r="J809" t="s">
        <v>36</v>
      </c>
    </row>
    <row r="810" spans="1:10" x14ac:dyDescent="0.25">
      <c r="A810" s="1">
        <v>74</v>
      </c>
      <c r="B810" t="s">
        <v>31</v>
      </c>
      <c r="C810">
        <v>12</v>
      </c>
      <c r="D810">
        <v>1</v>
      </c>
      <c r="E810" t="s">
        <v>60</v>
      </c>
      <c r="F810" t="s">
        <v>62</v>
      </c>
      <c r="G810" t="str">
        <f>"2025-10-22 12:03:09.385"</f>
        <v>2025-10-22 12:03:09.385</v>
      </c>
      <c r="H810" t="s">
        <v>21</v>
      </c>
      <c r="I810">
        <v>0</v>
      </c>
      <c r="J810" t="s">
        <v>36</v>
      </c>
    </row>
    <row r="811" spans="1:10" x14ac:dyDescent="0.25">
      <c r="A811" s="1">
        <v>75</v>
      </c>
      <c r="B811" t="s">
        <v>28</v>
      </c>
      <c r="C811">
        <v>12</v>
      </c>
      <c r="D811">
        <v>2</v>
      </c>
      <c r="E811" t="s">
        <v>60</v>
      </c>
      <c r="F811" t="s">
        <v>61</v>
      </c>
      <c r="G811" t="str">
        <f>"2025-10-22 12:03:09.346"</f>
        <v>2025-10-22 12:03:09.346</v>
      </c>
      <c r="H811" t="s">
        <v>21</v>
      </c>
    </row>
    <row r="812" spans="1:10" x14ac:dyDescent="0.25">
      <c r="A812" s="1">
        <v>76</v>
      </c>
      <c r="B812" t="s">
        <v>28</v>
      </c>
      <c r="C812">
        <v>12</v>
      </c>
      <c r="D812">
        <v>1</v>
      </c>
      <c r="E812" t="s">
        <v>60</v>
      </c>
      <c r="F812" t="s">
        <v>62</v>
      </c>
      <c r="G812" t="str">
        <f>"2025-10-22 12:03:09.345"</f>
        <v>2025-10-22 12:03:09.345</v>
      </c>
      <c r="H812" t="s">
        <v>21</v>
      </c>
    </row>
    <row r="813" spans="1:10" x14ac:dyDescent="0.25">
      <c r="A813" s="1">
        <v>77</v>
      </c>
      <c r="B813" t="s">
        <v>19</v>
      </c>
      <c r="C813">
        <v>706</v>
      </c>
      <c r="D813">
        <v>3</v>
      </c>
      <c r="E813" t="s">
        <v>34</v>
      </c>
      <c r="F813" t="s">
        <v>48</v>
      </c>
      <c r="G813" t="str">
        <f>"2025-10-22 12:01:34.620"</f>
        <v>2025-10-22 12:01:34.620</v>
      </c>
      <c r="H813" t="s">
        <v>21</v>
      </c>
      <c r="I813">
        <v>0</v>
      </c>
      <c r="J813" t="s">
        <v>36</v>
      </c>
    </row>
    <row r="814" spans="1:10" x14ac:dyDescent="0.25">
      <c r="A814" s="1">
        <v>78</v>
      </c>
      <c r="B814" t="s">
        <v>23</v>
      </c>
      <c r="C814">
        <v>641</v>
      </c>
      <c r="D814">
        <v>1</v>
      </c>
      <c r="E814" t="s">
        <v>63</v>
      </c>
      <c r="F814" t="s">
        <v>61</v>
      </c>
      <c r="G814" t="str">
        <f>"2025-10-22 11:48:18.038"</f>
        <v>2025-10-22 11:48:18.038</v>
      </c>
      <c r="H814" t="s">
        <v>21</v>
      </c>
      <c r="I814">
        <v>0</v>
      </c>
      <c r="J814" t="s">
        <v>36</v>
      </c>
    </row>
    <row r="815" spans="1:10" x14ac:dyDescent="0.25">
      <c r="A815" s="1">
        <v>79</v>
      </c>
      <c r="B815" t="s">
        <v>23</v>
      </c>
      <c r="C815">
        <v>640</v>
      </c>
      <c r="D815">
        <v>1</v>
      </c>
      <c r="E815" t="s">
        <v>64</v>
      </c>
      <c r="F815" t="s">
        <v>62</v>
      </c>
      <c r="G815" t="str">
        <f>"2025-10-22 11:48:18.032"</f>
        <v>2025-10-22 11:48:18.032</v>
      </c>
      <c r="H815" t="s">
        <v>52</v>
      </c>
      <c r="I815">
        <v>0</v>
      </c>
      <c r="J815" t="s">
        <v>36</v>
      </c>
    </row>
    <row r="816" spans="1:10" x14ac:dyDescent="0.25">
      <c r="A816" s="1">
        <v>80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"2025-10-22 11:48:07.840"</f>
        <v>2025-10-22 11:48:07.840</v>
      </c>
      <c r="H816" t="s">
        <v>21</v>
      </c>
      <c r="I816">
        <v>0</v>
      </c>
      <c r="J816" t="s">
        <v>22</v>
      </c>
    </row>
    <row r="817" spans="1:10" x14ac:dyDescent="0.25">
      <c r="A817" s="1">
        <v>81</v>
      </c>
      <c r="B817" t="s">
        <v>23</v>
      </c>
      <c r="C817">
        <v>641</v>
      </c>
      <c r="D817">
        <v>1</v>
      </c>
      <c r="E817" t="s">
        <v>63</v>
      </c>
      <c r="F817" t="s">
        <v>61</v>
      </c>
      <c r="G817" t="str">
        <f>"2025-10-22 11:47:00.990"</f>
        <v>2025-10-22 11:47:00.990</v>
      </c>
      <c r="H817" t="s">
        <v>21</v>
      </c>
      <c r="I817">
        <v>0</v>
      </c>
      <c r="J817" t="s">
        <v>65</v>
      </c>
    </row>
    <row r="818" spans="1:10" x14ac:dyDescent="0.25">
      <c r="A818" s="1">
        <v>82</v>
      </c>
      <c r="B818" t="s">
        <v>23</v>
      </c>
      <c r="C818">
        <v>640</v>
      </c>
      <c r="D818">
        <v>1</v>
      </c>
      <c r="E818" t="s">
        <v>64</v>
      </c>
      <c r="F818" t="s">
        <v>62</v>
      </c>
      <c r="G818" t="str">
        <f>"2025-10-22 11:47:00.982"</f>
        <v>2025-10-22 11:47:00.982</v>
      </c>
      <c r="H818" t="s">
        <v>52</v>
      </c>
      <c r="I818">
        <v>0</v>
      </c>
      <c r="J818" t="s">
        <v>65</v>
      </c>
    </row>
    <row r="819" spans="1:10" x14ac:dyDescent="0.25">
      <c r="A819" s="1">
        <v>83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"2025-10-22 11:46:50.840"</f>
        <v>2025-10-22 11:46:50.840</v>
      </c>
      <c r="H819" t="s">
        <v>21</v>
      </c>
      <c r="I819">
        <v>0</v>
      </c>
      <c r="J819" t="s">
        <v>22</v>
      </c>
    </row>
    <row r="820" spans="1:10" x14ac:dyDescent="0.25">
      <c r="A820" s="1">
        <v>84</v>
      </c>
      <c r="B820" t="s">
        <v>23</v>
      </c>
      <c r="C820">
        <v>641</v>
      </c>
      <c r="D820">
        <v>1</v>
      </c>
      <c r="E820" t="s">
        <v>63</v>
      </c>
      <c r="F820" t="s">
        <v>61</v>
      </c>
      <c r="G820" t="str">
        <f>"2025-10-22 11:45:55.042"</f>
        <v>2025-10-22 11:45:55.042</v>
      </c>
      <c r="H820" t="s">
        <v>21</v>
      </c>
      <c r="I820">
        <v>0</v>
      </c>
      <c r="J820" t="s">
        <v>65</v>
      </c>
    </row>
    <row r="821" spans="1:10" x14ac:dyDescent="0.25">
      <c r="A821" s="1">
        <v>85</v>
      </c>
      <c r="B821" t="s">
        <v>23</v>
      </c>
      <c r="C821">
        <v>640</v>
      </c>
      <c r="D821">
        <v>1</v>
      </c>
      <c r="E821" t="s">
        <v>64</v>
      </c>
      <c r="F821" t="s">
        <v>62</v>
      </c>
      <c r="G821" t="str">
        <f>"2025-10-22 11:45:55.035"</f>
        <v>2025-10-22 11:45:55.035</v>
      </c>
      <c r="H821" t="s">
        <v>52</v>
      </c>
      <c r="I821">
        <v>0</v>
      </c>
      <c r="J821" t="s">
        <v>65</v>
      </c>
    </row>
    <row r="822" spans="1:10" x14ac:dyDescent="0.25">
      <c r="A822" s="1">
        <v>86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"2025-10-22 11:45:44.834"</f>
        <v>2025-10-22 11:45:44.834</v>
      </c>
      <c r="H822" t="s">
        <v>21</v>
      </c>
      <c r="I822">
        <v>0</v>
      </c>
      <c r="J822" t="s">
        <v>22</v>
      </c>
    </row>
    <row r="823" spans="1:10" x14ac:dyDescent="0.25">
      <c r="A823" s="1">
        <v>87</v>
      </c>
      <c r="B823" t="s">
        <v>23</v>
      </c>
      <c r="C823">
        <v>641</v>
      </c>
      <c r="D823">
        <v>1</v>
      </c>
      <c r="E823" t="s">
        <v>63</v>
      </c>
      <c r="F823" t="s">
        <v>61</v>
      </c>
      <c r="G823" t="str">
        <f>"2025-10-22 11:35:29.037"</f>
        <v>2025-10-22 11:35:29.037</v>
      </c>
      <c r="H823" t="s">
        <v>21</v>
      </c>
      <c r="I823">
        <v>0</v>
      </c>
      <c r="J823" t="s">
        <v>36</v>
      </c>
    </row>
    <row r="824" spans="1:10" x14ac:dyDescent="0.25">
      <c r="A824" s="1">
        <v>88</v>
      </c>
      <c r="B824" t="s">
        <v>23</v>
      </c>
      <c r="C824">
        <v>640</v>
      </c>
      <c r="D824">
        <v>1</v>
      </c>
      <c r="E824" t="s">
        <v>64</v>
      </c>
      <c r="F824" t="s">
        <v>62</v>
      </c>
      <c r="G824" t="str">
        <f>"2025-10-22 11:35:29.028"</f>
        <v>2025-10-22 11:35:29.028</v>
      </c>
      <c r="H824" t="s">
        <v>52</v>
      </c>
      <c r="I824">
        <v>0</v>
      </c>
      <c r="J824" t="s">
        <v>36</v>
      </c>
    </row>
    <row r="825" spans="1:10" x14ac:dyDescent="0.25">
      <c r="A825" s="1">
        <v>89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"2025-10-22 11:35:18.836"</f>
        <v>2025-10-22 11:35:18.836</v>
      </c>
      <c r="H825" t="s">
        <v>21</v>
      </c>
    </row>
    <row r="826" spans="1:10" x14ac:dyDescent="0.25">
      <c r="A826" s="1">
        <v>90</v>
      </c>
      <c r="B826" t="s">
        <v>23</v>
      </c>
      <c r="C826">
        <v>641</v>
      </c>
      <c r="D826">
        <v>1</v>
      </c>
      <c r="E826" t="s">
        <v>63</v>
      </c>
      <c r="F826" t="s">
        <v>61</v>
      </c>
      <c r="G826" t="str">
        <f>"2025-10-22 11:16:37.987"</f>
        <v>2025-10-22 11:16:37.987</v>
      </c>
      <c r="H826" t="s">
        <v>21</v>
      </c>
      <c r="I826">
        <v>0</v>
      </c>
      <c r="J826" t="s">
        <v>36</v>
      </c>
    </row>
    <row r="827" spans="1:10" x14ac:dyDescent="0.25">
      <c r="A827" s="1">
        <v>91</v>
      </c>
      <c r="B827" t="s">
        <v>23</v>
      </c>
      <c r="C827">
        <v>640</v>
      </c>
      <c r="D827">
        <v>1</v>
      </c>
      <c r="E827" t="s">
        <v>64</v>
      </c>
      <c r="F827" t="s">
        <v>62</v>
      </c>
      <c r="G827" t="str">
        <f>"2025-10-22 11:16:37.979"</f>
        <v>2025-10-22 11:16:37.979</v>
      </c>
      <c r="H827" t="s">
        <v>52</v>
      </c>
      <c r="I827">
        <v>0</v>
      </c>
      <c r="J827" t="s">
        <v>36</v>
      </c>
    </row>
    <row r="828" spans="1:10" x14ac:dyDescent="0.25">
      <c r="A828" s="1">
        <v>92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"2025-10-22 11:16:27.835"</f>
        <v>2025-10-22 11:16:27.835</v>
      </c>
      <c r="H828" t="s">
        <v>21</v>
      </c>
      <c r="I828">
        <v>0</v>
      </c>
      <c r="J828" t="s">
        <v>22</v>
      </c>
    </row>
    <row r="829" spans="1:10" x14ac:dyDescent="0.25">
      <c r="A829" s="1">
        <v>93</v>
      </c>
      <c r="B829" t="s">
        <v>23</v>
      </c>
      <c r="C829">
        <v>641</v>
      </c>
      <c r="D829">
        <v>1</v>
      </c>
      <c r="E829" t="s">
        <v>63</v>
      </c>
      <c r="F829" t="s">
        <v>61</v>
      </c>
      <c r="G829" t="str">
        <f>"2025-10-22 11:08:03.032"</f>
        <v>2025-10-22 11:08:03.032</v>
      </c>
      <c r="H829" t="s">
        <v>21</v>
      </c>
      <c r="I829">
        <v>0</v>
      </c>
      <c r="J829" t="s">
        <v>36</v>
      </c>
    </row>
    <row r="830" spans="1:10" x14ac:dyDescent="0.25">
      <c r="A830" s="1">
        <v>94</v>
      </c>
      <c r="B830" t="s">
        <v>23</v>
      </c>
      <c r="C830">
        <v>640</v>
      </c>
      <c r="D830">
        <v>1</v>
      </c>
      <c r="E830" t="s">
        <v>64</v>
      </c>
      <c r="F830" t="s">
        <v>62</v>
      </c>
      <c r="G830" t="str">
        <f>"2025-10-22 11:08:03.024"</f>
        <v>2025-10-22 11:08:03.024</v>
      </c>
      <c r="H830" t="s">
        <v>52</v>
      </c>
      <c r="I830">
        <v>0</v>
      </c>
      <c r="J830" t="s">
        <v>36</v>
      </c>
    </row>
    <row r="831" spans="1:10" x14ac:dyDescent="0.25">
      <c r="A831" s="1">
        <v>95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"2025-10-22 11:07:52.823"</f>
        <v>2025-10-22 11:07:52.823</v>
      </c>
      <c r="H831" t="s">
        <v>21</v>
      </c>
      <c r="I831">
        <v>0</v>
      </c>
      <c r="J831" t="s">
        <v>22</v>
      </c>
    </row>
    <row r="832" spans="1:10" x14ac:dyDescent="0.25">
      <c r="A832" s="1">
        <v>98</v>
      </c>
      <c r="B832" t="s">
        <v>31</v>
      </c>
      <c r="C832">
        <v>12</v>
      </c>
      <c r="D832">
        <v>2</v>
      </c>
      <c r="E832" t="s">
        <v>60</v>
      </c>
      <c r="F832" t="s">
        <v>61</v>
      </c>
      <c r="G832" t="str">
        <f>"2025-10-22 11:01:27.252"</f>
        <v>2025-10-22 11:01:27.252</v>
      </c>
      <c r="H832" t="s">
        <v>21</v>
      </c>
      <c r="I832">
        <v>0</v>
      </c>
      <c r="J832" t="s">
        <v>36</v>
      </c>
    </row>
    <row r="833" spans="1:10" x14ac:dyDescent="0.25">
      <c r="A833" s="1">
        <v>99</v>
      </c>
      <c r="B833" t="s">
        <v>31</v>
      </c>
      <c r="C833">
        <v>12</v>
      </c>
      <c r="D833">
        <v>1</v>
      </c>
      <c r="E833" t="s">
        <v>60</v>
      </c>
      <c r="F833" t="s">
        <v>62</v>
      </c>
      <c r="G833" t="str">
        <f>"2025-10-22 11:01:27.247"</f>
        <v>2025-10-22 11:01:27.247</v>
      </c>
      <c r="H833" t="s">
        <v>21</v>
      </c>
      <c r="I833">
        <v>0</v>
      </c>
      <c r="J833" t="s">
        <v>36</v>
      </c>
    </row>
    <row r="834" spans="1:10" x14ac:dyDescent="0.25">
      <c r="A834" s="1">
        <v>0</v>
      </c>
      <c r="B834" t="s">
        <v>23</v>
      </c>
      <c r="C834">
        <v>641</v>
      </c>
      <c r="D834">
        <v>1</v>
      </c>
      <c r="E834" t="s">
        <v>63</v>
      </c>
      <c r="F834" t="s">
        <v>61</v>
      </c>
      <c r="G834" t="str">
        <f>"2025-10-22 11:01:27.240"</f>
        <v>2025-10-22 11:01:27.240</v>
      </c>
      <c r="H834" t="s">
        <v>21</v>
      </c>
      <c r="I834">
        <v>0</v>
      </c>
      <c r="J834" t="s">
        <v>36</v>
      </c>
    </row>
    <row r="835" spans="1:10" x14ac:dyDescent="0.25">
      <c r="A835" s="1">
        <v>1</v>
      </c>
      <c r="B835" t="s">
        <v>23</v>
      </c>
      <c r="C835">
        <v>640</v>
      </c>
      <c r="D835">
        <v>1</v>
      </c>
      <c r="E835" t="s">
        <v>64</v>
      </c>
      <c r="F835" t="s">
        <v>62</v>
      </c>
      <c r="G835" t="str">
        <f>"2025-10-22 11:01:27.234"</f>
        <v>2025-10-22 11:01:27.234</v>
      </c>
      <c r="H835" t="s">
        <v>52</v>
      </c>
      <c r="I835">
        <v>0</v>
      </c>
      <c r="J835" t="s">
        <v>36</v>
      </c>
    </row>
    <row r="836" spans="1:10" x14ac:dyDescent="0.25">
      <c r="A836" s="1">
        <v>2</v>
      </c>
      <c r="B836" t="s">
        <v>19</v>
      </c>
      <c r="C836">
        <v>782</v>
      </c>
      <c r="D836">
        <v>7</v>
      </c>
      <c r="E836" t="s">
        <v>58</v>
      </c>
      <c r="F836" t="s">
        <v>59</v>
      </c>
      <c r="G836" t="str">
        <f>"2025-10-22 11:01:27.232"</f>
        <v>2025-10-22 11:01:27.232</v>
      </c>
      <c r="H836" t="s">
        <v>21</v>
      </c>
      <c r="I836">
        <v>0</v>
      </c>
      <c r="J836" t="s">
        <v>36</v>
      </c>
    </row>
    <row r="837" spans="1:10" x14ac:dyDescent="0.25">
      <c r="A837" s="1">
        <v>5</v>
      </c>
      <c r="B837" t="s">
        <v>28</v>
      </c>
      <c r="C837">
        <v>641</v>
      </c>
      <c r="D837">
        <v>1</v>
      </c>
      <c r="E837" t="s">
        <v>63</v>
      </c>
      <c r="F837" t="s">
        <v>61</v>
      </c>
      <c r="G837" t="str">
        <f>"2025-10-22 11:01:27.228"</f>
        <v>2025-10-22 11:01:27.228</v>
      </c>
      <c r="H837" t="s">
        <v>21</v>
      </c>
    </row>
    <row r="838" spans="1:10" x14ac:dyDescent="0.25">
      <c r="A838" s="1">
        <v>6</v>
      </c>
      <c r="B838" t="s">
        <v>28</v>
      </c>
      <c r="C838">
        <v>640</v>
      </c>
      <c r="D838">
        <v>1</v>
      </c>
      <c r="E838" t="s">
        <v>64</v>
      </c>
      <c r="F838" t="s">
        <v>62</v>
      </c>
      <c r="G838" t="str">
        <f>"2025-10-22 11:01:27.226"</f>
        <v>2025-10-22 11:01:27.226</v>
      </c>
      <c r="H838" t="s">
        <v>52</v>
      </c>
    </row>
    <row r="839" spans="1:10" x14ac:dyDescent="0.25">
      <c r="A839" s="1">
        <v>7</v>
      </c>
      <c r="B839" t="s">
        <v>28</v>
      </c>
      <c r="C839">
        <v>12</v>
      </c>
      <c r="D839">
        <v>2</v>
      </c>
      <c r="E839" t="s">
        <v>60</v>
      </c>
      <c r="F839" t="s">
        <v>61</v>
      </c>
      <c r="G839" t="str">
        <f>"2025-10-22 11:01:27.225"</f>
        <v>2025-10-22 11:01:27.225</v>
      </c>
      <c r="H839" t="s">
        <v>21</v>
      </c>
    </row>
    <row r="840" spans="1:10" x14ac:dyDescent="0.25">
      <c r="A840" s="1">
        <v>8</v>
      </c>
      <c r="B840" t="s">
        <v>28</v>
      </c>
      <c r="C840">
        <v>12</v>
      </c>
      <c r="D840">
        <v>1</v>
      </c>
      <c r="E840" t="s">
        <v>60</v>
      </c>
      <c r="F840" t="s">
        <v>62</v>
      </c>
      <c r="G840" t="str">
        <f>"2025-10-22 11:01:27.224"</f>
        <v>2025-10-22 11:01:27.224</v>
      </c>
      <c r="H840" t="s">
        <v>21</v>
      </c>
    </row>
    <row r="841" spans="1:10" x14ac:dyDescent="0.25">
      <c r="A841" s="1">
        <v>9</v>
      </c>
      <c r="B841" t="s">
        <v>19</v>
      </c>
      <c r="C841">
        <v>782</v>
      </c>
      <c r="D841">
        <v>7</v>
      </c>
      <c r="E841" t="s">
        <v>58</v>
      </c>
      <c r="F841" t="s">
        <v>59</v>
      </c>
      <c r="G841" t="str">
        <f>"2025-10-22 11:01:27.223"</f>
        <v>2025-10-22 11:01:27.223</v>
      </c>
      <c r="H841" t="s">
        <v>21</v>
      </c>
      <c r="I841">
        <v>0</v>
      </c>
      <c r="J841" t="s">
        <v>36</v>
      </c>
    </row>
    <row r="842" spans="1:10" x14ac:dyDescent="0.25">
      <c r="A842" s="1">
        <v>12</v>
      </c>
      <c r="B842" t="s">
        <v>31</v>
      </c>
      <c r="C842">
        <v>12</v>
      </c>
      <c r="D842">
        <v>2</v>
      </c>
      <c r="E842" t="s">
        <v>60</v>
      </c>
      <c r="F842" t="s">
        <v>61</v>
      </c>
      <c r="G842" t="str">
        <f>"2025-10-22 11:01:20.252"</f>
        <v>2025-10-22 11:01:20.252</v>
      </c>
      <c r="H842" t="s">
        <v>21</v>
      </c>
      <c r="I842">
        <v>0</v>
      </c>
      <c r="J842" t="s">
        <v>36</v>
      </c>
    </row>
    <row r="843" spans="1:10" x14ac:dyDescent="0.25">
      <c r="A843" s="1">
        <v>13</v>
      </c>
      <c r="B843" t="s">
        <v>31</v>
      </c>
      <c r="C843">
        <v>12</v>
      </c>
      <c r="D843">
        <v>1</v>
      </c>
      <c r="E843" t="s">
        <v>60</v>
      </c>
      <c r="F843" t="s">
        <v>62</v>
      </c>
      <c r="G843" t="str">
        <f>"2025-10-22 11:01:20.247"</f>
        <v>2025-10-22 11:01:20.247</v>
      </c>
      <c r="H843" t="s">
        <v>21</v>
      </c>
      <c r="I843">
        <v>0</v>
      </c>
      <c r="J843" t="s">
        <v>36</v>
      </c>
    </row>
    <row r="844" spans="1:10" x14ac:dyDescent="0.25">
      <c r="A844" s="1">
        <v>14</v>
      </c>
      <c r="B844" t="s">
        <v>23</v>
      </c>
      <c r="C844">
        <v>641</v>
      </c>
      <c r="D844">
        <v>1</v>
      </c>
      <c r="E844" t="s">
        <v>63</v>
      </c>
      <c r="F844" t="s">
        <v>61</v>
      </c>
      <c r="G844" t="str">
        <f>"2025-10-22 11:01:20.240"</f>
        <v>2025-10-22 11:01:20.240</v>
      </c>
      <c r="H844" t="s">
        <v>21</v>
      </c>
      <c r="I844">
        <v>0</v>
      </c>
      <c r="J844" t="s">
        <v>36</v>
      </c>
    </row>
    <row r="845" spans="1:10" x14ac:dyDescent="0.25">
      <c r="A845" s="1">
        <v>15</v>
      </c>
      <c r="B845" t="s">
        <v>23</v>
      </c>
      <c r="C845">
        <v>640</v>
      </c>
      <c r="D845">
        <v>1</v>
      </c>
      <c r="E845" t="s">
        <v>64</v>
      </c>
      <c r="F845" t="s">
        <v>62</v>
      </c>
      <c r="G845" t="str">
        <f>"2025-10-22 11:01:20.234"</f>
        <v>2025-10-22 11:01:20.234</v>
      </c>
      <c r="H845" t="s">
        <v>52</v>
      </c>
      <c r="I845">
        <v>0</v>
      </c>
      <c r="J845" t="s">
        <v>36</v>
      </c>
    </row>
    <row r="846" spans="1:10" x14ac:dyDescent="0.25">
      <c r="A846" s="1">
        <v>16</v>
      </c>
      <c r="B846" t="s">
        <v>19</v>
      </c>
      <c r="C846">
        <v>782</v>
      </c>
      <c r="D846">
        <v>7</v>
      </c>
      <c r="E846" t="s">
        <v>58</v>
      </c>
      <c r="F846" t="s">
        <v>59</v>
      </c>
      <c r="G846" t="str">
        <f>"2025-10-22 11:01:20.232"</f>
        <v>2025-10-22 11:01:20.232</v>
      </c>
      <c r="H846" t="s">
        <v>21</v>
      </c>
      <c r="I846">
        <v>0</v>
      </c>
      <c r="J846" t="s">
        <v>36</v>
      </c>
    </row>
    <row r="847" spans="1:10" x14ac:dyDescent="0.25">
      <c r="A847" s="1">
        <v>19</v>
      </c>
      <c r="B847" t="s">
        <v>28</v>
      </c>
      <c r="C847">
        <v>641</v>
      </c>
      <c r="D847">
        <v>1</v>
      </c>
      <c r="E847" t="s">
        <v>63</v>
      </c>
      <c r="F847" t="s">
        <v>61</v>
      </c>
      <c r="G847" t="str">
        <f>"2025-10-22 11:01:20.228"</f>
        <v>2025-10-22 11:01:20.228</v>
      </c>
      <c r="H847" t="s">
        <v>21</v>
      </c>
    </row>
    <row r="848" spans="1:10" x14ac:dyDescent="0.25">
      <c r="A848" s="1">
        <v>20</v>
      </c>
      <c r="B848" t="s">
        <v>28</v>
      </c>
      <c r="C848">
        <v>640</v>
      </c>
      <c r="D848">
        <v>1</v>
      </c>
      <c r="E848" t="s">
        <v>64</v>
      </c>
      <c r="F848" t="s">
        <v>62</v>
      </c>
      <c r="G848" t="str">
        <f>"2025-10-22 11:01:20.226"</f>
        <v>2025-10-22 11:01:20.226</v>
      </c>
      <c r="H848" t="s">
        <v>52</v>
      </c>
    </row>
    <row r="849" spans="1:10" x14ac:dyDescent="0.25">
      <c r="A849" s="1">
        <v>21</v>
      </c>
      <c r="B849" t="s">
        <v>28</v>
      </c>
      <c r="C849">
        <v>12</v>
      </c>
      <c r="D849">
        <v>2</v>
      </c>
      <c r="E849" t="s">
        <v>60</v>
      </c>
      <c r="F849" t="s">
        <v>61</v>
      </c>
      <c r="G849" t="str">
        <f>"2025-10-22 11:01:20.225"</f>
        <v>2025-10-22 11:01:20.225</v>
      </c>
      <c r="H849" t="s">
        <v>21</v>
      </c>
    </row>
    <row r="850" spans="1:10" x14ac:dyDescent="0.25">
      <c r="A850" s="1">
        <v>22</v>
      </c>
      <c r="B850" t="s">
        <v>28</v>
      </c>
      <c r="C850">
        <v>12</v>
      </c>
      <c r="D850">
        <v>1</v>
      </c>
      <c r="E850" t="s">
        <v>60</v>
      </c>
      <c r="F850" t="s">
        <v>62</v>
      </c>
      <c r="G850" t="str">
        <f>"2025-10-22 11:01:20.224"</f>
        <v>2025-10-22 11:01:20.224</v>
      </c>
      <c r="H850" t="s">
        <v>21</v>
      </c>
    </row>
    <row r="851" spans="1:10" x14ac:dyDescent="0.25">
      <c r="A851" s="1">
        <v>23</v>
      </c>
      <c r="B851" t="s">
        <v>19</v>
      </c>
      <c r="C851">
        <v>782</v>
      </c>
      <c r="D851">
        <v>7</v>
      </c>
      <c r="E851" t="s">
        <v>58</v>
      </c>
      <c r="F851" t="s">
        <v>59</v>
      </c>
      <c r="G851" t="str">
        <f>"2025-10-22 11:01:20.223"</f>
        <v>2025-10-22 11:01:20.223</v>
      </c>
      <c r="H851" t="s">
        <v>21</v>
      </c>
      <c r="I851">
        <v>0</v>
      </c>
      <c r="J851" t="s">
        <v>36</v>
      </c>
    </row>
    <row r="852" spans="1:10" x14ac:dyDescent="0.25">
      <c r="A852" s="1">
        <v>24</v>
      </c>
      <c r="B852" t="s">
        <v>31</v>
      </c>
      <c r="C852">
        <v>12</v>
      </c>
      <c r="D852">
        <v>2</v>
      </c>
      <c r="E852" t="s">
        <v>60</v>
      </c>
      <c r="F852" t="s">
        <v>61</v>
      </c>
      <c r="G852" t="str">
        <f>"2025-10-22 11:01:07.431"</f>
        <v>2025-10-22 11:01:07.431</v>
      </c>
      <c r="H852" t="s">
        <v>21</v>
      </c>
      <c r="I852">
        <v>0</v>
      </c>
      <c r="J852" t="s">
        <v>36</v>
      </c>
    </row>
    <row r="853" spans="1:10" x14ac:dyDescent="0.25">
      <c r="A853" s="1">
        <v>25</v>
      </c>
      <c r="B853" t="s">
        <v>31</v>
      </c>
      <c r="C853">
        <v>12</v>
      </c>
      <c r="D853">
        <v>1</v>
      </c>
      <c r="E853" t="s">
        <v>60</v>
      </c>
      <c r="F853" t="s">
        <v>62</v>
      </c>
      <c r="G853" t="str">
        <f>"2025-10-22 11:01:07.426"</f>
        <v>2025-10-22 11:01:07.426</v>
      </c>
      <c r="H853" t="s">
        <v>21</v>
      </c>
      <c r="I853">
        <v>0</v>
      </c>
      <c r="J853" t="s">
        <v>36</v>
      </c>
    </row>
    <row r="854" spans="1:10" x14ac:dyDescent="0.25">
      <c r="A854" s="1">
        <v>26</v>
      </c>
      <c r="B854" t="s">
        <v>28</v>
      </c>
      <c r="C854">
        <v>12</v>
      </c>
      <c r="D854">
        <v>2</v>
      </c>
      <c r="E854" t="s">
        <v>60</v>
      </c>
      <c r="F854" t="s">
        <v>61</v>
      </c>
      <c r="G854" t="str">
        <f>"2025-10-22 11:01:07.424"</f>
        <v>2025-10-22 11:01:07.424</v>
      </c>
      <c r="H854" t="s">
        <v>21</v>
      </c>
    </row>
    <row r="855" spans="1:10" x14ac:dyDescent="0.25">
      <c r="A855" s="1">
        <v>27</v>
      </c>
      <c r="B855" t="s">
        <v>28</v>
      </c>
      <c r="C855">
        <v>12</v>
      </c>
      <c r="D855">
        <v>1</v>
      </c>
      <c r="E855" t="s">
        <v>60</v>
      </c>
      <c r="F855" t="s">
        <v>62</v>
      </c>
      <c r="G855" t="str">
        <f>"2025-10-22 11:01:07.423"</f>
        <v>2025-10-22 11:01:07.423</v>
      </c>
      <c r="H855" t="s">
        <v>21</v>
      </c>
    </row>
    <row r="856" spans="1:10" x14ac:dyDescent="0.25">
      <c r="A856" s="1">
        <v>28</v>
      </c>
      <c r="B856" t="s">
        <v>31</v>
      </c>
      <c r="C856">
        <v>12</v>
      </c>
      <c r="D856">
        <v>2</v>
      </c>
      <c r="E856" t="s">
        <v>60</v>
      </c>
      <c r="F856" t="s">
        <v>61</v>
      </c>
      <c r="G856" t="str">
        <f>"2025-10-22 11:00:56.031"</f>
        <v>2025-10-22 11:00:56.031</v>
      </c>
      <c r="H856" t="s">
        <v>21</v>
      </c>
      <c r="I856">
        <v>0</v>
      </c>
      <c r="J856" t="s">
        <v>36</v>
      </c>
    </row>
    <row r="857" spans="1:10" x14ac:dyDescent="0.25">
      <c r="A857" s="1">
        <v>29</v>
      </c>
      <c r="B857" t="s">
        <v>31</v>
      </c>
      <c r="C857">
        <v>12</v>
      </c>
      <c r="D857">
        <v>1</v>
      </c>
      <c r="E857" t="s">
        <v>60</v>
      </c>
      <c r="F857" t="s">
        <v>62</v>
      </c>
      <c r="G857" t="str">
        <f>"2025-10-22 11:00:56.026"</f>
        <v>2025-10-22 11:00:56.026</v>
      </c>
      <c r="H857" t="s">
        <v>21</v>
      </c>
      <c r="I857">
        <v>0</v>
      </c>
      <c r="J857" t="s">
        <v>36</v>
      </c>
    </row>
    <row r="858" spans="1:10" x14ac:dyDescent="0.25">
      <c r="A858" s="1">
        <v>30</v>
      </c>
      <c r="B858" t="s">
        <v>28</v>
      </c>
      <c r="C858">
        <v>12</v>
      </c>
      <c r="D858">
        <v>2</v>
      </c>
      <c r="E858" t="s">
        <v>60</v>
      </c>
      <c r="F858" t="s">
        <v>61</v>
      </c>
      <c r="G858" t="str">
        <f>"2025-10-22 11:00:56.024"</f>
        <v>2025-10-22 11:00:56.024</v>
      </c>
      <c r="H858" t="s">
        <v>21</v>
      </c>
    </row>
    <row r="859" spans="1:10" x14ac:dyDescent="0.25">
      <c r="A859" s="1">
        <v>31</v>
      </c>
      <c r="B859" t="s">
        <v>28</v>
      </c>
      <c r="C859">
        <v>12</v>
      </c>
      <c r="D859">
        <v>1</v>
      </c>
      <c r="E859" t="s">
        <v>60</v>
      </c>
      <c r="F859" t="s">
        <v>62</v>
      </c>
      <c r="G859" t="str">
        <f>"2025-10-22 11:00:56.023"</f>
        <v>2025-10-22 11:00:56.023</v>
      </c>
      <c r="H859" t="s">
        <v>21</v>
      </c>
    </row>
    <row r="860" spans="1:10" x14ac:dyDescent="0.25">
      <c r="A860" s="1">
        <v>32</v>
      </c>
      <c r="B860" t="s">
        <v>31</v>
      </c>
      <c r="C860">
        <v>12</v>
      </c>
      <c r="D860">
        <v>2</v>
      </c>
      <c r="E860" t="s">
        <v>60</v>
      </c>
      <c r="F860" t="s">
        <v>61</v>
      </c>
      <c r="G860" t="str">
        <f>"2025-10-22 11:00:49.831"</f>
        <v>2025-10-22 11:00:49.831</v>
      </c>
      <c r="H860" t="s">
        <v>21</v>
      </c>
      <c r="I860">
        <v>0</v>
      </c>
      <c r="J860" t="s">
        <v>36</v>
      </c>
    </row>
    <row r="861" spans="1:10" x14ac:dyDescent="0.25">
      <c r="A861" s="1">
        <v>33</v>
      </c>
      <c r="B861" t="s">
        <v>31</v>
      </c>
      <c r="C861">
        <v>12</v>
      </c>
      <c r="D861">
        <v>1</v>
      </c>
      <c r="E861" t="s">
        <v>60</v>
      </c>
      <c r="F861" t="s">
        <v>62</v>
      </c>
      <c r="G861" t="str">
        <f>"2025-10-22 11:00:49.826"</f>
        <v>2025-10-22 11:00:49.826</v>
      </c>
      <c r="H861" t="s">
        <v>21</v>
      </c>
      <c r="I861">
        <v>0</v>
      </c>
      <c r="J861" t="s">
        <v>36</v>
      </c>
    </row>
    <row r="862" spans="1:10" x14ac:dyDescent="0.25">
      <c r="A862" s="1">
        <v>34</v>
      </c>
      <c r="B862" t="s">
        <v>28</v>
      </c>
      <c r="C862">
        <v>12</v>
      </c>
      <c r="D862">
        <v>2</v>
      </c>
      <c r="E862" t="s">
        <v>60</v>
      </c>
      <c r="F862" t="s">
        <v>61</v>
      </c>
      <c r="G862" t="str">
        <f>"2025-10-22 11:00:49.824"</f>
        <v>2025-10-22 11:00:49.824</v>
      </c>
      <c r="H862" t="s">
        <v>21</v>
      </c>
    </row>
    <row r="863" spans="1:10" x14ac:dyDescent="0.25">
      <c r="A863" s="1">
        <v>35</v>
      </c>
      <c r="B863" t="s">
        <v>28</v>
      </c>
      <c r="C863">
        <v>12</v>
      </c>
      <c r="D863">
        <v>1</v>
      </c>
      <c r="E863" t="s">
        <v>60</v>
      </c>
      <c r="F863" t="s">
        <v>62</v>
      </c>
      <c r="G863" t="str">
        <f>"2025-10-22 11:00:49.823"</f>
        <v>2025-10-22 11:00:49.823</v>
      </c>
      <c r="H863" t="s">
        <v>21</v>
      </c>
    </row>
    <row r="864" spans="1:10" x14ac:dyDescent="0.25">
      <c r="A864" s="1">
        <v>36</v>
      </c>
      <c r="B864" t="s">
        <v>31</v>
      </c>
      <c r="C864">
        <v>12</v>
      </c>
      <c r="D864">
        <v>2</v>
      </c>
      <c r="E864" t="s">
        <v>60</v>
      </c>
      <c r="F864" t="s">
        <v>61</v>
      </c>
      <c r="G864" t="str">
        <f>"2025-10-22 11:00:35.431"</f>
        <v>2025-10-22 11:00:35.431</v>
      </c>
      <c r="H864" t="s">
        <v>21</v>
      </c>
      <c r="I864">
        <v>0</v>
      </c>
      <c r="J864" t="s">
        <v>36</v>
      </c>
    </row>
    <row r="865" spans="1:10" x14ac:dyDescent="0.25">
      <c r="A865" s="1">
        <v>37</v>
      </c>
      <c r="B865" t="s">
        <v>31</v>
      </c>
      <c r="C865">
        <v>12</v>
      </c>
      <c r="D865">
        <v>1</v>
      </c>
      <c r="E865" t="s">
        <v>60</v>
      </c>
      <c r="F865" t="s">
        <v>62</v>
      </c>
      <c r="G865" t="str">
        <f>"2025-10-22 11:00:35.426"</f>
        <v>2025-10-22 11:00:35.426</v>
      </c>
      <c r="H865" t="s">
        <v>21</v>
      </c>
      <c r="I865">
        <v>0</v>
      </c>
      <c r="J865" t="s">
        <v>36</v>
      </c>
    </row>
    <row r="866" spans="1:10" x14ac:dyDescent="0.25">
      <c r="A866" s="1">
        <v>38</v>
      </c>
      <c r="B866" t="s">
        <v>28</v>
      </c>
      <c r="C866">
        <v>12</v>
      </c>
      <c r="D866">
        <v>2</v>
      </c>
      <c r="E866" t="s">
        <v>60</v>
      </c>
      <c r="F866" t="s">
        <v>61</v>
      </c>
      <c r="G866" t="str">
        <f>"2025-10-22 11:00:35.424"</f>
        <v>2025-10-22 11:00:35.424</v>
      </c>
      <c r="H866" t="s">
        <v>21</v>
      </c>
    </row>
    <row r="867" spans="1:10" x14ac:dyDescent="0.25">
      <c r="A867" s="1">
        <v>39</v>
      </c>
      <c r="B867" t="s">
        <v>28</v>
      </c>
      <c r="C867">
        <v>12</v>
      </c>
      <c r="D867">
        <v>1</v>
      </c>
      <c r="E867" t="s">
        <v>60</v>
      </c>
      <c r="F867" t="s">
        <v>62</v>
      </c>
      <c r="G867" t="str">
        <f>"2025-10-22 11:00:35.423"</f>
        <v>2025-10-22 11:00:35.423</v>
      </c>
      <c r="H867" t="s">
        <v>21</v>
      </c>
    </row>
    <row r="868" spans="1:10" x14ac:dyDescent="0.25">
      <c r="A868" s="1">
        <v>42</v>
      </c>
      <c r="B868" t="s">
        <v>31</v>
      </c>
      <c r="C868">
        <v>12</v>
      </c>
      <c r="D868">
        <v>2</v>
      </c>
      <c r="E868" t="s">
        <v>60</v>
      </c>
      <c r="F868" t="s">
        <v>61</v>
      </c>
      <c r="G868" t="str">
        <f>"2025-10-22 11:00:11.052"</f>
        <v>2025-10-22 11:00:11.052</v>
      </c>
      <c r="H868" t="s">
        <v>21</v>
      </c>
      <c r="I868">
        <v>0</v>
      </c>
      <c r="J868" t="s">
        <v>36</v>
      </c>
    </row>
    <row r="869" spans="1:10" x14ac:dyDescent="0.25">
      <c r="A869" s="1">
        <v>43</v>
      </c>
      <c r="B869" t="s">
        <v>31</v>
      </c>
      <c r="C869">
        <v>12</v>
      </c>
      <c r="D869">
        <v>1</v>
      </c>
      <c r="E869" t="s">
        <v>60</v>
      </c>
      <c r="F869" t="s">
        <v>62</v>
      </c>
      <c r="G869" t="str">
        <f>"2025-10-22 11:00:11.047"</f>
        <v>2025-10-22 11:00:11.047</v>
      </c>
      <c r="H869" t="s">
        <v>21</v>
      </c>
      <c r="I869">
        <v>0</v>
      </c>
      <c r="J869" t="s">
        <v>36</v>
      </c>
    </row>
    <row r="870" spans="1:10" x14ac:dyDescent="0.25">
      <c r="A870" s="1">
        <v>44</v>
      </c>
      <c r="B870" t="s">
        <v>23</v>
      </c>
      <c r="C870">
        <v>641</v>
      </c>
      <c r="D870">
        <v>1</v>
      </c>
      <c r="E870" t="s">
        <v>63</v>
      </c>
      <c r="F870" t="s">
        <v>61</v>
      </c>
      <c r="G870" t="str">
        <f>"2025-10-22 11:00:11.040"</f>
        <v>2025-10-22 11:00:11.040</v>
      </c>
      <c r="H870" t="s">
        <v>21</v>
      </c>
      <c r="I870">
        <v>0</v>
      </c>
      <c r="J870" t="s">
        <v>36</v>
      </c>
    </row>
    <row r="871" spans="1:10" x14ac:dyDescent="0.25">
      <c r="A871" s="1">
        <v>45</v>
      </c>
      <c r="B871" t="s">
        <v>23</v>
      </c>
      <c r="C871">
        <v>640</v>
      </c>
      <c r="D871">
        <v>1</v>
      </c>
      <c r="E871" t="s">
        <v>64</v>
      </c>
      <c r="F871" t="s">
        <v>62</v>
      </c>
      <c r="G871" t="str">
        <f>"2025-10-22 11:00:11.034"</f>
        <v>2025-10-22 11:00:11.034</v>
      </c>
      <c r="H871" t="s">
        <v>52</v>
      </c>
      <c r="I871">
        <v>0</v>
      </c>
      <c r="J871" t="s">
        <v>36</v>
      </c>
    </row>
    <row r="872" spans="1:10" x14ac:dyDescent="0.25">
      <c r="A872" s="1">
        <v>46</v>
      </c>
      <c r="B872" t="s">
        <v>19</v>
      </c>
      <c r="C872">
        <v>782</v>
      </c>
      <c r="D872">
        <v>7</v>
      </c>
      <c r="E872" t="s">
        <v>58</v>
      </c>
      <c r="F872" t="s">
        <v>59</v>
      </c>
      <c r="G872" t="str">
        <f>"2025-10-22 11:00:11.032"</f>
        <v>2025-10-22 11:00:11.032</v>
      </c>
      <c r="H872" t="s">
        <v>21</v>
      </c>
      <c r="I872">
        <v>0</v>
      </c>
      <c r="J872" t="s">
        <v>36</v>
      </c>
    </row>
    <row r="873" spans="1:10" x14ac:dyDescent="0.25">
      <c r="A873" s="1">
        <v>49</v>
      </c>
      <c r="B873" t="s">
        <v>28</v>
      </c>
      <c r="C873">
        <v>641</v>
      </c>
      <c r="D873">
        <v>1</v>
      </c>
      <c r="E873" t="s">
        <v>63</v>
      </c>
      <c r="F873" t="s">
        <v>61</v>
      </c>
      <c r="G873" t="str">
        <f>"2025-10-22 11:00:11.028"</f>
        <v>2025-10-22 11:00:11.028</v>
      </c>
      <c r="H873" t="s">
        <v>21</v>
      </c>
    </row>
    <row r="874" spans="1:10" x14ac:dyDescent="0.25">
      <c r="A874" s="1">
        <v>50</v>
      </c>
      <c r="B874" t="s">
        <v>28</v>
      </c>
      <c r="C874">
        <v>640</v>
      </c>
      <c r="D874">
        <v>1</v>
      </c>
      <c r="E874" t="s">
        <v>64</v>
      </c>
      <c r="F874" t="s">
        <v>62</v>
      </c>
      <c r="G874" t="str">
        <f>"2025-10-22 11:00:11.026"</f>
        <v>2025-10-22 11:00:11.026</v>
      </c>
      <c r="H874" t="s">
        <v>52</v>
      </c>
    </row>
    <row r="875" spans="1:10" x14ac:dyDescent="0.25">
      <c r="A875" s="1">
        <v>51</v>
      </c>
      <c r="B875" t="s">
        <v>28</v>
      </c>
      <c r="C875">
        <v>12</v>
      </c>
      <c r="D875">
        <v>2</v>
      </c>
      <c r="E875" t="s">
        <v>60</v>
      </c>
      <c r="F875" t="s">
        <v>61</v>
      </c>
      <c r="G875" t="str">
        <f>"2025-10-22 11:00:11.025"</f>
        <v>2025-10-22 11:00:11.025</v>
      </c>
      <c r="H875" t="s">
        <v>21</v>
      </c>
    </row>
    <row r="876" spans="1:10" x14ac:dyDescent="0.25">
      <c r="A876" s="1">
        <v>52</v>
      </c>
      <c r="B876" t="s">
        <v>28</v>
      </c>
      <c r="C876">
        <v>12</v>
      </c>
      <c r="D876">
        <v>1</v>
      </c>
      <c r="E876" t="s">
        <v>60</v>
      </c>
      <c r="F876" t="s">
        <v>62</v>
      </c>
      <c r="G876" t="str">
        <f>"2025-10-22 11:00:11.024"</f>
        <v>2025-10-22 11:00:11.024</v>
      </c>
      <c r="H876" t="s">
        <v>21</v>
      </c>
    </row>
    <row r="877" spans="1:10" x14ac:dyDescent="0.25">
      <c r="A877" s="1">
        <v>53</v>
      </c>
      <c r="B877" t="s">
        <v>19</v>
      </c>
      <c r="C877">
        <v>782</v>
      </c>
      <c r="D877">
        <v>7</v>
      </c>
      <c r="E877" t="s">
        <v>58</v>
      </c>
      <c r="F877" t="s">
        <v>59</v>
      </c>
      <c r="G877" t="str">
        <f>"2025-10-22 11:00:11.023"</f>
        <v>2025-10-22 11:00:11.023</v>
      </c>
      <c r="H877" t="s">
        <v>21</v>
      </c>
      <c r="I877">
        <v>0</v>
      </c>
      <c r="J877" t="s">
        <v>36</v>
      </c>
    </row>
    <row r="878" spans="1:10" x14ac:dyDescent="0.25">
      <c r="A878" s="1">
        <v>56</v>
      </c>
      <c r="B878" t="s">
        <v>31</v>
      </c>
      <c r="C878">
        <v>12</v>
      </c>
      <c r="D878">
        <v>2</v>
      </c>
      <c r="E878" t="s">
        <v>60</v>
      </c>
      <c r="F878" t="s">
        <v>61</v>
      </c>
      <c r="G878" t="str">
        <f>"2025-10-22 10:57:55.052"</f>
        <v>2025-10-22 10:57:55.052</v>
      </c>
      <c r="H878" t="s">
        <v>21</v>
      </c>
      <c r="I878">
        <v>0</v>
      </c>
      <c r="J878" t="s">
        <v>36</v>
      </c>
    </row>
    <row r="879" spans="1:10" x14ac:dyDescent="0.25">
      <c r="A879" s="1">
        <v>57</v>
      </c>
      <c r="B879" t="s">
        <v>31</v>
      </c>
      <c r="C879">
        <v>12</v>
      </c>
      <c r="D879">
        <v>1</v>
      </c>
      <c r="E879" t="s">
        <v>60</v>
      </c>
      <c r="F879" t="s">
        <v>62</v>
      </c>
      <c r="G879" t="str">
        <f>"2025-10-22 10:57:55.047"</f>
        <v>2025-10-22 10:57:55.047</v>
      </c>
      <c r="H879" t="s">
        <v>21</v>
      </c>
      <c r="I879">
        <v>0</v>
      </c>
      <c r="J879" t="s">
        <v>36</v>
      </c>
    </row>
    <row r="880" spans="1:10" x14ac:dyDescent="0.25">
      <c r="A880" s="1">
        <v>58</v>
      </c>
      <c r="B880" t="s">
        <v>23</v>
      </c>
      <c r="C880">
        <v>641</v>
      </c>
      <c r="D880">
        <v>1</v>
      </c>
      <c r="E880" t="s">
        <v>63</v>
      </c>
      <c r="F880" t="s">
        <v>61</v>
      </c>
      <c r="G880" t="str">
        <f>"2025-10-22 10:57:55.039"</f>
        <v>2025-10-22 10:57:55.039</v>
      </c>
      <c r="H880" t="s">
        <v>21</v>
      </c>
      <c r="I880">
        <v>0</v>
      </c>
      <c r="J880" t="s">
        <v>36</v>
      </c>
    </row>
    <row r="881" spans="1:10" x14ac:dyDescent="0.25">
      <c r="A881" s="1">
        <v>59</v>
      </c>
      <c r="B881" t="s">
        <v>23</v>
      </c>
      <c r="C881">
        <v>640</v>
      </c>
      <c r="D881">
        <v>1</v>
      </c>
      <c r="E881" t="s">
        <v>64</v>
      </c>
      <c r="F881" t="s">
        <v>62</v>
      </c>
      <c r="G881" t="str">
        <f>"2025-10-22 10:57:55.034"</f>
        <v>2025-10-22 10:57:55.034</v>
      </c>
      <c r="H881" t="s">
        <v>52</v>
      </c>
      <c r="I881">
        <v>0</v>
      </c>
      <c r="J881" t="s">
        <v>36</v>
      </c>
    </row>
    <row r="882" spans="1:10" x14ac:dyDescent="0.25">
      <c r="A882" s="1">
        <v>60</v>
      </c>
      <c r="B882" t="s">
        <v>19</v>
      </c>
      <c r="C882">
        <v>782</v>
      </c>
      <c r="D882">
        <v>7</v>
      </c>
      <c r="E882" t="s">
        <v>58</v>
      </c>
      <c r="F882" t="s">
        <v>59</v>
      </c>
      <c r="G882" t="str">
        <f>"2025-10-22 10:57:55.032"</f>
        <v>2025-10-22 10:57:55.032</v>
      </c>
      <c r="H882" t="s">
        <v>21</v>
      </c>
      <c r="I882">
        <v>0</v>
      </c>
      <c r="J882" t="s">
        <v>36</v>
      </c>
    </row>
    <row r="883" spans="1:10" x14ac:dyDescent="0.25">
      <c r="A883" s="1">
        <v>63</v>
      </c>
      <c r="B883" t="s">
        <v>28</v>
      </c>
      <c r="C883">
        <v>641</v>
      </c>
      <c r="D883">
        <v>1</v>
      </c>
      <c r="E883" t="s">
        <v>63</v>
      </c>
      <c r="F883" t="s">
        <v>61</v>
      </c>
      <c r="G883" t="str">
        <f>"2025-10-22 10:57:55.028"</f>
        <v>2025-10-22 10:57:55.028</v>
      </c>
      <c r="H883" t="s">
        <v>21</v>
      </c>
    </row>
    <row r="884" spans="1:10" x14ac:dyDescent="0.25">
      <c r="A884" s="1">
        <v>64</v>
      </c>
      <c r="B884" t="s">
        <v>28</v>
      </c>
      <c r="C884">
        <v>640</v>
      </c>
      <c r="D884">
        <v>1</v>
      </c>
      <c r="E884" t="s">
        <v>64</v>
      </c>
      <c r="F884" t="s">
        <v>62</v>
      </c>
      <c r="G884" t="str">
        <f>"2025-10-22 10:57:55.026"</f>
        <v>2025-10-22 10:57:55.026</v>
      </c>
      <c r="H884" t="s">
        <v>52</v>
      </c>
    </row>
    <row r="885" spans="1:10" x14ac:dyDescent="0.25">
      <c r="A885" s="1">
        <v>65</v>
      </c>
      <c r="B885" t="s">
        <v>28</v>
      </c>
      <c r="C885">
        <v>12</v>
      </c>
      <c r="D885">
        <v>2</v>
      </c>
      <c r="E885" t="s">
        <v>60</v>
      </c>
      <c r="F885" t="s">
        <v>61</v>
      </c>
      <c r="G885" t="str">
        <f>"2025-10-22 10:57:55.025"</f>
        <v>2025-10-22 10:57:55.025</v>
      </c>
      <c r="H885" t="s">
        <v>21</v>
      </c>
    </row>
    <row r="886" spans="1:10" x14ac:dyDescent="0.25">
      <c r="A886" s="1">
        <v>66</v>
      </c>
      <c r="B886" t="s">
        <v>28</v>
      </c>
      <c r="C886">
        <v>12</v>
      </c>
      <c r="D886">
        <v>1</v>
      </c>
      <c r="E886" t="s">
        <v>60</v>
      </c>
      <c r="F886" t="s">
        <v>62</v>
      </c>
      <c r="G886" t="str">
        <f>"2025-10-22 10:57:55.024"</f>
        <v>2025-10-22 10:57:55.024</v>
      </c>
      <c r="H886" t="s">
        <v>21</v>
      </c>
    </row>
    <row r="887" spans="1:10" x14ac:dyDescent="0.25">
      <c r="A887" s="1">
        <v>67</v>
      </c>
      <c r="B887" t="s">
        <v>19</v>
      </c>
      <c r="C887">
        <v>782</v>
      </c>
      <c r="D887">
        <v>7</v>
      </c>
      <c r="E887" t="s">
        <v>58</v>
      </c>
      <c r="F887" t="s">
        <v>59</v>
      </c>
      <c r="G887" t="str">
        <f>"2025-10-22 10:57:55.023"</f>
        <v>2025-10-22 10:57:55.023</v>
      </c>
      <c r="H887" t="s">
        <v>21</v>
      </c>
      <c r="I887">
        <v>0</v>
      </c>
      <c r="J887" t="s">
        <v>36</v>
      </c>
    </row>
    <row r="888" spans="1:10" x14ac:dyDescent="0.25">
      <c r="A888" s="1">
        <v>70</v>
      </c>
      <c r="B888" t="s">
        <v>31</v>
      </c>
      <c r="C888">
        <v>12</v>
      </c>
      <c r="D888">
        <v>2</v>
      </c>
      <c r="E888" t="s">
        <v>60</v>
      </c>
      <c r="F888" t="s">
        <v>61</v>
      </c>
      <c r="G888" t="str">
        <f>"2025-10-22 10:57:24.050"</f>
        <v>2025-10-22 10:57:24.050</v>
      </c>
      <c r="H888" t="s">
        <v>21</v>
      </c>
      <c r="I888">
        <v>0</v>
      </c>
      <c r="J888" t="s">
        <v>36</v>
      </c>
    </row>
    <row r="889" spans="1:10" x14ac:dyDescent="0.25">
      <c r="A889" s="1">
        <v>71</v>
      </c>
      <c r="B889" t="s">
        <v>31</v>
      </c>
      <c r="C889">
        <v>12</v>
      </c>
      <c r="D889">
        <v>1</v>
      </c>
      <c r="E889" t="s">
        <v>60</v>
      </c>
      <c r="F889" t="s">
        <v>62</v>
      </c>
      <c r="G889" t="str">
        <f>"2025-10-22 10:57:24.045"</f>
        <v>2025-10-22 10:57:24.045</v>
      </c>
      <c r="H889" t="s">
        <v>21</v>
      </c>
      <c r="I889">
        <v>0</v>
      </c>
      <c r="J889" t="s">
        <v>36</v>
      </c>
    </row>
    <row r="890" spans="1:10" x14ac:dyDescent="0.25">
      <c r="A890" s="1">
        <v>72</v>
      </c>
      <c r="B890" t="s">
        <v>23</v>
      </c>
      <c r="C890">
        <v>641</v>
      </c>
      <c r="D890">
        <v>1</v>
      </c>
      <c r="E890" t="s">
        <v>63</v>
      </c>
      <c r="F890" t="s">
        <v>61</v>
      </c>
      <c r="G890" t="str">
        <f>"2025-10-22 10:57:24.035"</f>
        <v>2025-10-22 10:57:24.035</v>
      </c>
      <c r="H890" t="s">
        <v>21</v>
      </c>
      <c r="I890">
        <v>0</v>
      </c>
      <c r="J890" t="s">
        <v>36</v>
      </c>
    </row>
    <row r="891" spans="1:10" x14ac:dyDescent="0.25">
      <c r="A891" s="1">
        <v>73</v>
      </c>
      <c r="B891" t="s">
        <v>23</v>
      </c>
      <c r="C891">
        <v>640</v>
      </c>
      <c r="D891">
        <v>1</v>
      </c>
      <c r="E891" t="s">
        <v>64</v>
      </c>
      <c r="F891" t="s">
        <v>62</v>
      </c>
      <c r="G891" t="str">
        <f>"2025-10-22 10:57:24.034"</f>
        <v>2025-10-22 10:57:24.034</v>
      </c>
      <c r="H891" t="s">
        <v>52</v>
      </c>
      <c r="I891">
        <v>0</v>
      </c>
      <c r="J891" t="s">
        <v>36</v>
      </c>
    </row>
    <row r="892" spans="1:10" x14ac:dyDescent="0.25">
      <c r="A892" s="1">
        <v>74</v>
      </c>
      <c r="B892" t="s">
        <v>19</v>
      </c>
      <c r="C892">
        <v>782</v>
      </c>
      <c r="D892">
        <v>7</v>
      </c>
      <c r="E892" t="s">
        <v>58</v>
      </c>
      <c r="F892" t="s">
        <v>59</v>
      </c>
      <c r="G892" t="str">
        <f>"2025-10-22 10:57:24.032"</f>
        <v>2025-10-22 10:57:24.032</v>
      </c>
      <c r="H892" t="s">
        <v>21</v>
      </c>
      <c r="I892">
        <v>0</v>
      </c>
      <c r="J892" t="s">
        <v>36</v>
      </c>
    </row>
    <row r="893" spans="1:10" x14ac:dyDescent="0.25">
      <c r="A893" s="1">
        <v>77</v>
      </c>
      <c r="B893" t="s">
        <v>28</v>
      </c>
      <c r="C893">
        <v>641</v>
      </c>
      <c r="D893">
        <v>1</v>
      </c>
      <c r="E893" t="s">
        <v>63</v>
      </c>
      <c r="F893" t="s">
        <v>61</v>
      </c>
      <c r="G893" t="str">
        <f>"2025-10-22 10:57:24.028"</f>
        <v>2025-10-22 10:57:24.028</v>
      </c>
      <c r="H893" t="s">
        <v>21</v>
      </c>
    </row>
    <row r="894" spans="1:10" x14ac:dyDescent="0.25">
      <c r="A894" s="1">
        <v>78</v>
      </c>
      <c r="B894" t="s">
        <v>28</v>
      </c>
      <c r="C894">
        <v>640</v>
      </c>
      <c r="D894">
        <v>1</v>
      </c>
      <c r="E894" t="s">
        <v>64</v>
      </c>
      <c r="F894" t="s">
        <v>62</v>
      </c>
      <c r="G894" t="str">
        <f>"2025-10-22 10:57:24.026"</f>
        <v>2025-10-22 10:57:24.026</v>
      </c>
      <c r="H894" t="s">
        <v>52</v>
      </c>
    </row>
    <row r="895" spans="1:10" x14ac:dyDescent="0.25">
      <c r="A895" s="1">
        <v>79</v>
      </c>
      <c r="B895" t="s">
        <v>28</v>
      </c>
      <c r="C895">
        <v>12</v>
      </c>
      <c r="D895">
        <v>2</v>
      </c>
      <c r="E895" t="s">
        <v>60</v>
      </c>
      <c r="F895" t="s">
        <v>61</v>
      </c>
      <c r="G895" t="str">
        <f>"2025-10-22 10:57:24.025"</f>
        <v>2025-10-22 10:57:24.025</v>
      </c>
      <c r="H895" t="s">
        <v>21</v>
      </c>
    </row>
    <row r="896" spans="1:10" x14ac:dyDescent="0.25">
      <c r="A896" s="1">
        <v>80</v>
      </c>
      <c r="B896" t="s">
        <v>28</v>
      </c>
      <c r="C896">
        <v>12</v>
      </c>
      <c r="D896">
        <v>1</v>
      </c>
      <c r="E896" t="s">
        <v>60</v>
      </c>
      <c r="F896" t="s">
        <v>62</v>
      </c>
      <c r="G896" t="str">
        <f>"2025-10-22 10:57:24.024"</f>
        <v>2025-10-22 10:57:24.024</v>
      </c>
      <c r="H896" t="s">
        <v>21</v>
      </c>
    </row>
    <row r="897" spans="1:10" x14ac:dyDescent="0.25">
      <c r="A897" s="1">
        <v>81</v>
      </c>
      <c r="B897" t="s">
        <v>19</v>
      </c>
      <c r="C897">
        <v>782</v>
      </c>
      <c r="D897">
        <v>7</v>
      </c>
      <c r="E897" t="s">
        <v>58</v>
      </c>
      <c r="F897" t="s">
        <v>59</v>
      </c>
      <c r="G897" t="str">
        <f>"2025-10-22 10:57:24.023"</f>
        <v>2025-10-22 10:57:24.023</v>
      </c>
      <c r="H897" t="s">
        <v>21</v>
      </c>
      <c r="I897">
        <v>0</v>
      </c>
      <c r="J897" t="s">
        <v>36</v>
      </c>
    </row>
    <row r="898" spans="1:10" x14ac:dyDescent="0.25">
      <c r="A898" s="1">
        <v>82</v>
      </c>
      <c r="B898" t="s">
        <v>23</v>
      </c>
      <c r="C898">
        <v>641</v>
      </c>
      <c r="D898">
        <v>1</v>
      </c>
      <c r="E898" t="s">
        <v>63</v>
      </c>
      <c r="F898" t="s">
        <v>61</v>
      </c>
      <c r="G898" t="str">
        <f>"2025-10-22 10:54:58.931"</f>
        <v>2025-10-22 10:54:58.931</v>
      </c>
      <c r="H898" t="s">
        <v>21</v>
      </c>
      <c r="I898">
        <v>0</v>
      </c>
      <c r="J898" t="s">
        <v>36</v>
      </c>
    </row>
    <row r="899" spans="1:10" x14ac:dyDescent="0.25">
      <c r="A899" s="1">
        <v>83</v>
      </c>
      <c r="B899" t="s">
        <v>23</v>
      </c>
      <c r="C899">
        <v>640</v>
      </c>
      <c r="D899">
        <v>1</v>
      </c>
      <c r="E899" t="s">
        <v>64</v>
      </c>
      <c r="F899" t="s">
        <v>62</v>
      </c>
      <c r="G899" t="str">
        <f>"2025-10-22 10:54:58.923"</f>
        <v>2025-10-22 10:54:58.923</v>
      </c>
      <c r="H899" t="s">
        <v>52</v>
      </c>
      <c r="I899">
        <v>0</v>
      </c>
      <c r="J899" t="s">
        <v>36</v>
      </c>
    </row>
    <row r="900" spans="1:10" x14ac:dyDescent="0.25">
      <c r="A900" s="1">
        <v>84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"2025-10-22 10:54:48.802"</f>
        <v>2025-10-22 10:54:48.802</v>
      </c>
      <c r="H900" t="s">
        <v>21</v>
      </c>
      <c r="I900">
        <v>0</v>
      </c>
      <c r="J900" t="s">
        <v>22</v>
      </c>
    </row>
    <row r="901" spans="1:10" x14ac:dyDescent="0.25">
      <c r="A901" s="1">
        <v>85</v>
      </c>
      <c r="B901" t="s">
        <v>28</v>
      </c>
      <c r="C901">
        <v>98</v>
      </c>
      <c r="D901">
        <v>1</v>
      </c>
      <c r="E901" t="s">
        <v>49</v>
      </c>
      <c r="F901" t="s">
        <v>50</v>
      </c>
      <c r="G901" t="str">
        <f>"2025-10-22 10:49:34.940"</f>
        <v>2025-10-22 10:49:34.940</v>
      </c>
      <c r="H901" t="s">
        <v>21</v>
      </c>
    </row>
    <row r="902" spans="1:10" x14ac:dyDescent="0.25">
      <c r="A902" s="1">
        <v>86</v>
      </c>
      <c r="B902" t="s">
        <v>31</v>
      </c>
      <c r="C902">
        <v>98</v>
      </c>
      <c r="D902">
        <v>1</v>
      </c>
      <c r="E902" t="s">
        <v>49</v>
      </c>
      <c r="F902" t="s">
        <v>50</v>
      </c>
      <c r="G902" t="str">
        <f>"2025-10-22 10:49:33.941"</f>
        <v>2025-10-22 10:49:33.941</v>
      </c>
      <c r="H902" t="s">
        <v>21</v>
      </c>
      <c r="I902">
        <v>0</v>
      </c>
      <c r="J902" t="s">
        <v>36</v>
      </c>
    </row>
    <row r="903" spans="1:10" x14ac:dyDescent="0.25">
      <c r="A903" s="1">
        <v>87</v>
      </c>
      <c r="B903" t="s">
        <v>19</v>
      </c>
      <c r="C903">
        <v>719</v>
      </c>
      <c r="D903">
        <v>1</v>
      </c>
      <c r="E903" t="s">
        <v>66</v>
      </c>
      <c r="F903" t="s">
        <v>67</v>
      </c>
      <c r="G903" t="str">
        <f>"2025-10-22 10:44:25.910"</f>
        <v>2025-10-22 10:44:25.910</v>
      </c>
      <c r="H903" t="s">
        <v>21</v>
      </c>
      <c r="I903">
        <v>0</v>
      </c>
      <c r="J903" t="s">
        <v>36</v>
      </c>
    </row>
    <row r="904" spans="1:10" x14ac:dyDescent="0.25">
      <c r="A904" s="1">
        <v>88</v>
      </c>
      <c r="B904" t="s">
        <v>28</v>
      </c>
      <c r="C904">
        <v>650</v>
      </c>
      <c r="D904">
        <v>4</v>
      </c>
      <c r="E904" t="s">
        <v>68</v>
      </c>
      <c r="F904" t="s">
        <v>69</v>
      </c>
      <c r="G904" t="str">
        <f>"2025-10-22 07:41:42.142"</f>
        <v>2025-10-22 07:41:42.142</v>
      </c>
      <c r="H904" t="s">
        <v>21</v>
      </c>
    </row>
    <row r="905" spans="1:10" x14ac:dyDescent="0.25">
      <c r="A905" s="1">
        <v>89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"2025-10-22 07:32:16.000"</f>
        <v>2025-10-22 07:32:16.000</v>
      </c>
      <c r="H905" t="s">
        <v>21</v>
      </c>
    </row>
    <row r="906" spans="1:10" x14ac:dyDescent="0.25">
      <c r="A906" s="1">
        <v>92</v>
      </c>
      <c r="B906" t="s">
        <v>19</v>
      </c>
      <c r="C906">
        <v>753</v>
      </c>
      <c r="D906">
        <v>1</v>
      </c>
      <c r="E906" t="s">
        <v>70</v>
      </c>
      <c r="F906" t="s">
        <v>71</v>
      </c>
      <c r="G906" t="str">
        <f>"2025-10-22 07:15:26.485"</f>
        <v>2025-10-22 07:15:26.485</v>
      </c>
      <c r="H906" t="s">
        <v>21</v>
      </c>
      <c r="I906">
        <v>0</v>
      </c>
      <c r="J906" t="s">
        <v>36</v>
      </c>
    </row>
    <row r="907" spans="1:10" x14ac:dyDescent="0.25">
      <c r="A907" s="1">
        <v>93</v>
      </c>
      <c r="B907" t="s">
        <v>23</v>
      </c>
      <c r="C907">
        <v>641</v>
      </c>
      <c r="D907">
        <v>1</v>
      </c>
      <c r="E907" t="s">
        <v>63</v>
      </c>
      <c r="F907" t="s">
        <v>61</v>
      </c>
      <c r="G907" t="str">
        <f>"2025-10-22 07:15:20.824"</f>
        <v>2025-10-22 07:15:20.824</v>
      </c>
      <c r="H907" t="s">
        <v>21</v>
      </c>
      <c r="I907">
        <v>0</v>
      </c>
      <c r="J907" t="s">
        <v>36</v>
      </c>
    </row>
    <row r="908" spans="1:10" x14ac:dyDescent="0.25">
      <c r="A908" s="1">
        <v>94</v>
      </c>
      <c r="B908" t="s">
        <v>23</v>
      </c>
      <c r="C908">
        <v>640</v>
      </c>
      <c r="D908">
        <v>1</v>
      </c>
      <c r="E908" t="s">
        <v>64</v>
      </c>
      <c r="F908" t="s">
        <v>62</v>
      </c>
      <c r="G908" t="str">
        <f>"2025-10-22 07:15:20.816"</f>
        <v>2025-10-22 07:15:20.816</v>
      </c>
      <c r="H908" t="s">
        <v>52</v>
      </c>
      <c r="I908">
        <v>0</v>
      </c>
      <c r="J908" t="s">
        <v>36</v>
      </c>
    </row>
    <row r="909" spans="1:10" x14ac:dyDescent="0.25">
      <c r="A909" s="1">
        <v>95</v>
      </c>
      <c r="B909" t="s">
        <v>31</v>
      </c>
      <c r="C909">
        <v>12</v>
      </c>
      <c r="D909">
        <v>1</v>
      </c>
      <c r="E909" t="s">
        <v>60</v>
      </c>
      <c r="F909" t="s">
        <v>62</v>
      </c>
      <c r="G909" t="str">
        <f>"2025-10-22 07:15:14.636"</f>
        <v>2025-10-22 07:15:14.636</v>
      </c>
      <c r="H909" t="s">
        <v>21</v>
      </c>
      <c r="I909">
        <v>0</v>
      </c>
      <c r="J909" t="s">
        <v>65</v>
      </c>
    </row>
    <row r="910" spans="1:10" x14ac:dyDescent="0.25">
      <c r="A910" s="1">
        <v>96</v>
      </c>
      <c r="B910" t="s">
        <v>31</v>
      </c>
      <c r="C910">
        <v>12</v>
      </c>
      <c r="D910">
        <v>2</v>
      </c>
      <c r="E910" t="s">
        <v>60</v>
      </c>
      <c r="F910" t="s">
        <v>61</v>
      </c>
      <c r="G910" t="str">
        <f>"2025-10-22 07:15:14.536"</f>
        <v>2025-10-22 07:15:14.536</v>
      </c>
      <c r="H910" t="s">
        <v>21</v>
      </c>
      <c r="I910">
        <v>0</v>
      </c>
      <c r="J910" t="s">
        <v>65</v>
      </c>
    </row>
    <row r="911" spans="1:10" x14ac:dyDescent="0.25">
      <c r="A911" s="1">
        <v>97</v>
      </c>
      <c r="B911" t="s">
        <v>31</v>
      </c>
      <c r="C911">
        <v>650</v>
      </c>
      <c r="D911">
        <v>4</v>
      </c>
      <c r="E911" t="s">
        <v>68</v>
      </c>
      <c r="F911" t="s">
        <v>69</v>
      </c>
      <c r="G911" t="str">
        <f>"2025-10-22 07:15:13.222"</f>
        <v>2025-10-22 07:15:13.222</v>
      </c>
      <c r="H911" t="s">
        <v>21</v>
      </c>
      <c r="I911">
        <v>0</v>
      </c>
      <c r="J911" t="s">
        <v>22</v>
      </c>
    </row>
    <row r="912" spans="1:10" x14ac:dyDescent="0.25">
      <c r="A912" s="1">
        <v>98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"2025-10-22 07:15:10.605"</f>
        <v>2025-10-22 07:15:10.605</v>
      </c>
      <c r="H912" t="s">
        <v>21</v>
      </c>
      <c r="I912">
        <v>0</v>
      </c>
      <c r="J912" t="s">
        <v>22</v>
      </c>
    </row>
  </sheetData>
  <autoFilter ref="C1:C912" xr:uid="{777C2DD8-CCC2-410E-8462-E34EA81DD7C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9A812-0092-4B80-AFE2-D5E53EBFFF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events_ru_80_20260605-070728 47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2026-06-05T05:52:52Z</dcterms:modified>
</cp:coreProperties>
</file>
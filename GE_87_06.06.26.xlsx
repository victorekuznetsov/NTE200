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1C203C9-2A72-49EC-9AA2-EA01368E65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7_20260607-053016 32" sheetId="2" r:id="rId1"/>
    <sheet name="Лист1" sheetId="1" r:id="rId2"/>
  </sheets>
  <definedNames>
    <definedName name="_xlnm._FilterDatabase" localSheetId="0" hidden="1">'events_ru_87_20260607-053016 32'!$C$1:$C$1336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367D10-7CC4-4DEE-A0EF-EBA99A4ADE59}" keepAlive="1" name="Запрос — events_ru_87_20260607-053016 326" description="Соединение с запросом &quot;events_ru_87_20260607-053016 326&quot; в книге." type="5" refreshedVersion="0" background="1">
    <dbPr connection="Provider=Microsoft.Mashup.OleDb.1;Data Source=$Workbook$;Location=&quot;events_ru_87_20260607-053016 326&quot;;Extended Properties=&quot;&quot;" command="SELECT * FROM [events_ru_87_20260607-053016 326]"/>
  </connection>
</connections>
</file>

<file path=xl/sharedStrings.xml><?xml version="1.0" encoding="utf-8"?>
<sst xmlns="http://schemas.openxmlformats.org/spreadsheetml/2006/main" count="6115" uniqueCount="120">
  <si>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</si>
  <si>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</si>
  <si>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</si>
  <si>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</si>
  <si>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</si>
  <si>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</si>
  <si>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</si>
  <si>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</si>
  <si>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</si>
  <si>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</si>
  <si>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</si>
  <si>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</si>
  <si>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</si>
  <si>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</si>
  <si>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</si>
  <si>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</si>
  <si>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</si>
  <si>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</si>
  <si>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</si>
  <si>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</si>
  <si>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</si>
  <si>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</si>
  <si>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</si>
  <si>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</si>
  <si>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</si>
  <si>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</si>
  <si>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Test</t>
  </si>
  <si>
    <t>Система в безопасном режиме</t>
  </si>
  <si>
    <t>Введен безопасный режим файловой системы - Низкий заряд батареи</t>
  </si>
  <si>
    <t>Вход в безопасный режим файловой системы - Запуск двигателя</t>
  </si>
  <si>
    <t>Null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</si>
  <si>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</si>
  <si>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</si>
  <si>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</si>
  <si>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</si>
  <si>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</si>
  <si>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Ready</t>
  </si>
  <si>
    <t>Самосвал перегружен - NR</t>
  </si>
  <si>
    <t>Не доступно</t>
  </si>
  <si>
    <t>Propel</t>
  </si>
  <si>
    <t>Команда сохранения данных PTU</t>
  </si>
  <si>
    <t>Инициированное водителем сохранение данных</t>
  </si>
  <si>
    <t>Вход в безопасный режим файловой системы - Ключ или CPS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</si>
  <si>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</si>
  <si>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</si>
  <si>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</si>
  <si>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</si>
  <si>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</si>
  <si>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Отказ аналогового датчика</t>
  </si>
  <si>
    <t>PSC напряжение ЗПТ</t>
  </si>
  <si>
    <t>WRst</t>
  </si>
  <si>
    <t>TMC2 Источник питания ИНВ</t>
  </si>
  <si>
    <t>-15 вольт вне допусков</t>
  </si>
  <si>
    <t>Инв2 Выкл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</si>
  <si>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</si>
  <si>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</si>
  <si>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</si>
  <si>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</si>
  <si>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</si>
  <si>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Источник питания ИНВ</t>
  </si>
  <si>
    <t>Инв1 Выкл</t>
  </si>
  <si>
    <t>TMC1 Плата ИНВ В/О [C666155]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</si>
  <si>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</si>
  <si>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</si>
  <si>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</si>
  <si>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КЗ на землю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</si>
  <si>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</si>
  <si>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</si>
  <si>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</si>
  <si>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</si>
  <si>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Самопроизвольный останов ДВС</t>
  </si>
  <si>
    <t>Unrequested Engine Speed Drop - While Stopped</t>
  </si>
  <si>
    <t>Превышении скорости</t>
  </si>
  <si>
    <t>Управление скоростью - превышение</t>
  </si>
  <si>
    <t>ARst</t>
  </si>
  <si>
    <t>TMC1 Фаза В- ИНВ</t>
  </si>
  <si>
    <t>Модули фаз В+ и В- вкл.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</si>
  <si>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</si>
  <si>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</si>
  <si>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TMC1 Фаза В+/фаза В- ИНВ</t>
  </si>
  <si>
    <t>Ошибка насыщения IGBT фаза В-</t>
  </si>
  <si>
    <t xml:space="preserve">Напряжение генератора 3-фазное </t>
  </si>
  <si>
    <t>TMC2 Фаза В- ИНВ</t>
  </si>
  <si>
    <t>Сбой источника питания IGBT фаза В-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</si>
  <si>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</si>
  <si>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</si>
  <si>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</si>
  <si>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</si>
  <si>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Нарушение связи ИНВЕРТОРА 1</t>
  </si>
  <si>
    <t>Нет связи с инвертором 1</t>
  </si>
  <si>
    <t>TMC2 Фаза В+/фаза В- ИНВ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</si>
  <si>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</si>
  <si>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</si>
  <si>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</si>
  <si>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TMC2 Система ИНВ</t>
  </si>
  <si>
    <t>Нет высокоскоростных данных от PSC</t>
  </si>
  <si>
    <t>TMC1 Система ИНВ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</si>
  <si>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</si>
  <si>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</si>
  <si>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</si>
  <si>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Нужна калибровка педали</t>
  </si>
  <si>
    <t>Педаль акселератора никогда не достигает нуля</t>
  </si>
  <si>
    <t>Оба датичка скорости передних колёс</t>
  </si>
  <si>
    <t>Отключена пробуксовка</t>
  </si>
  <si>
    <t>Сравнение CMD скорости вращения ДВС</t>
  </si>
  <si>
    <t>Активна блокировка ХХ на холодном ДВС</t>
  </si>
  <si>
    <t>Тест VI не пройден</t>
  </si>
  <si>
    <t>Инвертор</t>
  </si>
  <si>
    <t>Нужна калибровка запуска</t>
  </si>
  <si>
    <t>Отказ педали ретардера</t>
  </si>
  <si>
    <t>Слишком низкое напряжение</t>
  </si>
  <si>
    <t>Слишком высокое напряжение</t>
  </si>
  <si>
    <t>--Сброс статистики--</t>
  </si>
  <si>
    <t>Установка часов реального времени</t>
  </si>
  <si>
    <t>через WebPTU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</si>
  <si>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</si>
  <si>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</si>
  <si>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</si>
  <si>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</si>
  <si>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Запрет тяги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</si>
</sst>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4190-15BD-4D07-88AA-BB230C3ECD79}">
  <dimension ref="A1:J1336"/>
  <sheetViews>
    <sheetView tabSelected="1" workbookViewId="0">
      <selection activeCell="F5" sqref="F5"/>
    </sheetView>
  </sheetViews>
  <sheetFormatPr defaultRowHeight="15" x14ac:dyDescent="0.25"/>
  <cols>
    <col min="1" max="1" width="16" bestFit="1" customWidth="1"/>
    <col min="5" max="5" width="47.7109375" customWidth="1"/>
    <col min="6" max="6" width="65" customWidth="1"/>
    <col min="7" max="7" width="22" bestFit="1" customWidth="1"/>
    <col min="8" max="8" width="29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"2026-06-07 05:30:16.326"</f>
        <v>2026-06-07 05:30:16.326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"2026-06-07 05:29:53.261"</f>
        <v>2026-06-07 05:29:53.261</v>
      </c>
      <c r="H10" t="s">
        <v>21</v>
      </c>
    </row>
    <row r="11" spans="1:10" x14ac:dyDescent="0.25">
      <c r="A11" s="1"/>
      <c r="B11" t="s">
        <v>22</v>
      </c>
      <c r="C11">
        <v>630</v>
      </c>
      <c r="D11">
        <v>5</v>
      </c>
      <c r="E11" t="s">
        <v>23</v>
      </c>
      <c r="F11" t="s">
        <v>24</v>
      </c>
      <c r="G11" t="str">
        <f>"2026-06-07 05:24:46.782"</f>
        <v>2026-06-07 05:24:46.782</v>
      </c>
      <c r="H11" t="s">
        <v>25</v>
      </c>
      <c r="I11">
        <v>0</v>
      </c>
      <c r="J11" t="s">
        <v>26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"2026-06-07 05:19:44.038"</f>
        <v>2026-06-07 05:19:44.038</v>
      </c>
      <c r="H12" t="s">
        <v>21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27</v>
      </c>
      <c r="F13" t="s">
        <v>28</v>
      </c>
      <c r="G13" t="str">
        <f>"2026-06-06 21:17:41.044"</f>
        <v>2026-06-06 21:17:41.044</v>
      </c>
      <c r="H13" t="s">
        <v>21</v>
      </c>
      <c r="I13">
        <v>0</v>
      </c>
      <c r="J13" t="s">
        <v>26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"2026-06-06 21:17:20.184"</f>
        <v>2026-06-06 21:17:20.184</v>
      </c>
      <c r="H14" t="s">
        <v>21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27</v>
      </c>
      <c r="F15" t="s">
        <v>29</v>
      </c>
      <c r="G15" t="str">
        <f>"2026-06-06 14:25:30.089"</f>
        <v>2026-06-06 14:25:30.089</v>
      </c>
      <c r="H15" t="s">
        <v>21</v>
      </c>
      <c r="I15">
        <v>0</v>
      </c>
      <c r="J15" t="s">
        <v>26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"2026-06-06 14:25:08.989"</f>
        <v>2026-06-06 14:25:08.989</v>
      </c>
      <c r="H16" t="s">
        <v>21</v>
      </c>
    </row>
    <row r="17" spans="1:10" x14ac:dyDescent="0.25">
      <c r="A17" s="1"/>
      <c r="B17" t="s">
        <v>19</v>
      </c>
      <c r="C17">
        <v>706</v>
      </c>
      <c r="D17">
        <v>2</v>
      </c>
      <c r="E17" t="s">
        <v>27</v>
      </c>
      <c r="F17" t="s">
        <v>29</v>
      </c>
      <c r="G17" t="str">
        <f>"2026-06-05 11:09:43.541"</f>
        <v>2026-06-05 11:09:43.541</v>
      </c>
      <c r="H17" t="s">
        <v>21</v>
      </c>
      <c r="I17">
        <v>0</v>
      </c>
      <c r="J17" t="s">
        <v>26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"2026-06-05 11:09:24.791"</f>
        <v>2026-06-05 11:09:24.791</v>
      </c>
      <c r="H18" t="s">
        <v>21</v>
      </c>
      <c r="I18">
        <v>0</v>
      </c>
      <c r="J18" t="s">
        <v>30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"2026-06-04 13:41:54.789"</f>
        <v>2026-06-04 13:41:54.789</v>
      </c>
      <c r="H19" t="s">
        <v>21</v>
      </c>
      <c r="I19">
        <v>0</v>
      </c>
      <c r="J19" t="s">
        <v>30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"2026-06-03 10:35:59.793"</f>
        <v>2026-06-03 10:35:59.793</v>
      </c>
      <c r="H20" t="s">
        <v>21</v>
      </c>
      <c r="I20">
        <v>0</v>
      </c>
      <c r="J20" t="s">
        <v>30</v>
      </c>
    </row>
    <row r="21" spans="1:10" s="3" customFormat="1" x14ac:dyDescent="0.25">
      <c r="A21" s="2">
        <v>1</v>
      </c>
      <c r="B21" s="3" t="s">
        <v>31</v>
      </c>
      <c r="C21" s="3">
        <v>647</v>
      </c>
      <c r="D21" s="3">
        <v>1</v>
      </c>
      <c r="E21" s="3" t="s">
        <v>32</v>
      </c>
      <c r="F21" s="3" t="s">
        <v>33</v>
      </c>
      <c r="G21" s="3" t="str">
        <f>"2026-06-03 04:05:54.787"</f>
        <v>2026-06-03 04:05:54.787</v>
      </c>
      <c r="H21" s="3" t="s">
        <v>21</v>
      </c>
    </row>
    <row r="22" spans="1:10" s="3" customFormat="1" x14ac:dyDescent="0.25">
      <c r="A22" s="2">
        <v>2</v>
      </c>
      <c r="B22" s="3" t="s">
        <v>34</v>
      </c>
      <c r="C22" s="3">
        <v>647</v>
      </c>
      <c r="D22" s="3">
        <v>1</v>
      </c>
      <c r="E22" s="3" t="s">
        <v>32</v>
      </c>
      <c r="F22" s="3" t="s">
        <v>33</v>
      </c>
      <c r="G22" s="3" t="str">
        <f>"2026-06-03 04:05:40.087"</f>
        <v>2026-06-03 04:05:40.087</v>
      </c>
      <c r="H22" s="3" t="s">
        <v>21</v>
      </c>
      <c r="I22" s="3">
        <v>14.94</v>
      </c>
      <c r="J22" s="3" t="s">
        <v>35</v>
      </c>
    </row>
    <row r="23" spans="1:10" s="3" customFormat="1" x14ac:dyDescent="0.25">
      <c r="A23" s="2">
        <v>3</v>
      </c>
      <c r="B23" s="3" t="s">
        <v>31</v>
      </c>
      <c r="C23" s="3">
        <v>647</v>
      </c>
      <c r="D23" s="3">
        <v>1</v>
      </c>
      <c r="E23" s="3" t="s">
        <v>32</v>
      </c>
      <c r="F23" s="3" t="s">
        <v>33</v>
      </c>
      <c r="G23" s="3" t="str">
        <f>"2026-06-03 04:03:55.187"</f>
        <v>2026-06-03 04:03:55.187</v>
      </c>
      <c r="H23" s="3" t="s">
        <v>21</v>
      </c>
    </row>
    <row r="24" spans="1:10" s="3" customFormat="1" x14ac:dyDescent="0.25">
      <c r="A24" s="2">
        <v>4</v>
      </c>
      <c r="B24" s="3" t="s">
        <v>34</v>
      </c>
      <c r="C24" s="3">
        <v>647</v>
      </c>
      <c r="D24" s="3">
        <v>1</v>
      </c>
      <c r="E24" s="3" t="s">
        <v>32</v>
      </c>
      <c r="F24" s="3" t="s">
        <v>33</v>
      </c>
      <c r="G24" s="3" t="str">
        <f>"2026-06-03 04:03:51.087"</f>
        <v>2026-06-03 04:03:51.087</v>
      </c>
      <c r="H24" s="3" t="s">
        <v>21</v>
      </c>
      <c r="I24" s="3">
        <v>22.43</v>
      </c>
      <c r="J24" s="3" t="s">
        <v>35</v>
      </c>
    </row>
    <row r="25" spans="1:10" s="3" customFormat="1" x14ac:dyDescent="0.25">
      <c r="A25" s="2">
        <v>5</v>
      </c>
      <c r="B25" s="3" t="s">
        <v>31</v>
      </c>
      <c r="C25" s="3">
        <v>647</v>
      </c>
      <c r="D25" s="3">
        <v>1</v>
      </c>
      <c r="E25" s="3" t="s">
        <v>32</v>
      </c>
      <c r="F25" s="3" t="s">
        <v>33</v>
      </c>
      <c r="G25" s="3" t="str">
        <f>"2026-06-03 02:00:27.987"</f>
        <v>2026-06-03 02:00:27.987</v>
      </c>
      <c r="H25" s="3" t="s">
        <v>21</v>
      </c>
    </row>
    <row r="26" spans="1:10" s="3" customFormat="1" x14ac:dyDescent="0.25">
      <c r="A26" s="2">
        <v>6</v>
      </c>
      <c r="B26" s="3" t="s">
        <v>34</v>
      </c>
      <c r="C26" s="3">
        <v>647</v>
      </c>
      <c r="D26" s="3">
        <v>1</v>
      </c>
      <c r="E26" s="3" t="s">
        <v>32</v>
      </c>
      <c r="F26" s="3" t="s">
        <v>33</v>
      </c>
      <c r="G26" s="3" t="str">
        <f>"2026-06-03 02:00:26.887"</f>
        <v>2026-06-03 02:00:26.887</v>
      </c>
      <c r="H26" s="3" t="s">
        <v>21</v>
      </c>
      <c r="I26" s="3">
        <v>16.93</v>
      </c>
      <c r="J26" s="3" t="s">
        <v>36</v>
      </c>
    </row>
    <row r="27" spans="1:10" s="3" customFormat="1" x14ac:dyDescent="0.25">
      <c r="A27" s="2">
        <v>7</v>
      </c>
      <c r="B27" s="3" t="s">
        <v>31</v>
      </c>
      <c r="C27" s="3">
        <v>647</v>
      </c>
      <c r="D27" s="3">
        <v>1</v>
      </c>
      <c r="E27" s="3" t="s">
        <v>32</v>
      </c>
      <c r="F27" s="3" t="s">
        <v>33</v>
      </c>
      <c r="G27" s="3" t="str">
        <f>"2026-06-03 02:00:15.787"</f>
        <v>2026-06-03 02:00:15.787</v>
      </c>
      <c r="H27" s="3" t="s">
        <v>21</v>
      </c>
    </row>
    <row r="28" spans="1:10" s="3" customFormat="1" x14ac:dyDescent="0.25">
      <c r="A28" s="2">
        <v>8</v>
      </c>
      <c r="B28" s="3" t="s">
        <v>34</v>
      </c>
      <c r="C28" s="3">
        <v>647</v>
      </c>
      <c r="D28" s="3">
        <v>1</v>
      </c>
      <c r="E28" s="3" t="s">
        <v>32</v>
      </c>
      <c r="F28" s="3" t="s">
        <v>33</v>
      </c>
      <c r="G28" s="3" t="str">
        <f>"2026-06-03 02:00:13.487"</f>
        <v>2026-06-03 02:00:13.487</v>
      </c>
      <c r="H28" s="3" t="s">
        <v>21</v>
      </c>
      <c r="I28" s="3">
        <v>15.55</v>
      </c>
      <c r="J28" s="3" t="s">
        <v>35</v>
      </c>
    </row>
    <row r="29" spans="1:10" s="3" customFormat="1" x14ac:dyDescent="0.25">
      <c r="A29" s="2">
        <v>9</v>
      </c>
      <c r="B29" s="3" t="s">
        <v>31</v>
      </c>
      <c r="C29" s="3">
        <v>647</v>
      </c>
      <c r="D29" s="3">
        <v>1</v>
      </c>
      <c r="E29" s="3" t="s">
        <v>32</v>
      </c>
      <c r="F29" s="3" t="s">
        <v>33</v>
      </c>
      <c r="G29" s="3" t="str">
        <f>"2026-06-03 01:36:22.887"</f>
        <v>2026-06-03 01:36:22.887</v>
      </c>
      <c r="H29" s="3" t="s">
        <v>21</v>
      </c>
    </row>
    <row r="30" spans="1:10" s="3" customFormat="1" x14ac:dyDescent="0.25">
      <c r="A30" s="2">
        <v>0</v>
      </c>
      <c r="B30" s="3" t="s">
        <v>34</v>
      </c>
      <c r="C30" s="3">
        <v>647</v>
      </c>
      <c r="D30" s="3">
        <v>1</v>
      </c>
      <c r="E30" s="3" t="s">
        <v>32</v>
      </c>
      <c r="F30" s="3" t="s">
        <v>33</v>
      </c>
      <c r="G30" s="3" t="str">
        <f>"2026-06-03 01:36:19.787"</f>
        <v>2026-06-03 01:36:19.787</v>
      </c>
      <c r="H30" s="3" t="s">
        <v>21</v>
      </c>
      <c r="I30" s="3">
        <v>11.72</v>
      </c>
      <c r="J30" s="3" t="s">
        <v>35</v>
      </c>
    </row>
    <row r="31" spans="1:10" s="3" customFormat="1" x14ac:dyDescent="0.25">
      <c r="A31" s="2">
        <v>1</v>
      </c>
      <c r="B31" s="3" t="s">
        <v>31</v>
      </c>
      <c r="C31" s="3">
        <v>647</v>
      </c>
      <c r="D31" s="3">
        <v>1</v>
      </c>
      <c r="E31" s="3" t="s">
        <v>32</v>
      </c>
      <c r="F31" s="3" t="s">
        <v>33</v>
      </c>
      <c r="G31" s="3" t="str">
        <f>"2026-06-02 21:54:24.687"</f>
        <v>2026-06-02 21:54:24.687</v>
      </c>
      <c r="H31" s="3" t="s">
        <v>21</v>
      </c>
    </row>
    <row r="32" spans="1:10" s="3" customFormat="1" x14ac:dyDescent="0.25">
      <c r="A32" s="2">
        <v>2</v>
      </c>
      <c r="B32" s="3" t="s">
        <v>34</v>
      </c>
      <c r="C32" s="3">
        <v>647</v>
      </c>
      <c r="D32" s="3">
        <v>1</v>
      </c>
      <c r="E32" s="3" t="s">
        <v>32</v>
      </c>
      <c r="F32" s="3" t="s">
        <v>33</v>
      </c>
      <c r="G32" s="3" t="str">
        <f>"2026-06-02 21:54:19.587"</f>
        <v>2026-06-02 21:54:19.587</v>
      </c>
      <c r="H32" s="3" t="s">
        <v>21</v>
      </c>
      <c r="I32" s="3">
        <v>12.49</v>
      </c>
      <c r="J32" s="3" t="s">
        <v>35</v>
      </c>
    </row>
    <row r="33" spans="1:10" s="3" customFormat="1" x14ac:dyDescent="0.25">
      <c r="A33" s="2">
        <v>3</v>
      </c>
      <c r="B33" s="3" t="s">
        <v>31</v>
      </c>
      <c r="C33" s="3">
        <v>647</v>
      </c>
      <c r="D33" s="3">
        <v>1</v>
      </c>
      <c r="E33" s="3" t="s">
        <v>32</v>
      </c>
      <c r="F33" s="3" t="s">
        <v>33</v>
      </c>
      <c r="G33" s="3" t="str">
        <f>"2026-06-02 21:50:34.387"</f>
        <v>2026-06-02 21:50:34.387</v>
      </c>
      <c r="H33" s="3" t="s">
        <v>21</v>
      </c>
    </row>
    <row r="34" spans="1:10" s="3" customFormat="1" x14ac:dyDescent="0.25">
      <c r="A34" s="2">
        <v>4</v>
      </c>
      <c r="B34" s="3" t="s">
        <v>34</v>
      </c>
      <c r="C34" s="3">
        <v>647</v>
      </c>
      <c r="D34" s="3">
        <v>1</v>
      </c>
      <c r="E34" s="3" t="s">
        <v>32</v>
      </c>
      <c r="F34" s="3" t="s">
        <v>33</v>
      </c>
      <c r="G34" s="3" t="str">
        <f>"2026-06-02 21:50:29.487"</f>
        <v>2026-06-02 21:50:29.487</v>
      </c>
      <c r="H34" s="3" t="s">
        <v>21</v>
      </c>
      <c r="I34" s="3">
        <v>15.12</v>
      </c>
      <c r="J34" s="3" t="s">
        <v>35</v>
      </c>
    </row>
    <row r="35" spans="1:10" s="3" customFormat="1" x14ac:dyDescent="0.25">
      <c r="A35" s="2">
        <v>5</v>
      </c>
      <c r="B35" s="3" t="s">
        <v>31</v>
      </c>
      <c r="C35" s="3">
        <v>647</v>
      </c>
      <c r="D35" s="3">
        <v>1</v>
      </c>
      <c r="E35" s="3" t="s">
        <v>32</v>
      </c>
      <c r="F35" s="3" t="s">
        <v>33</v>
      </c>
      <c r="G35" s="3" t="str">
        <f>"2026-06-02 21:18:09.987"</f>
        <v>2026-06-02 21:18:09.987</v>
      </c>
      <c r="H35" s="3" t="s">
        <v>21</v>
      </c>
    </row>
    <row r="36" spans="1:10" s="3" customFormat="1" x14ac:dyDescent="0.25">
      <c r="A36" s="2">
        <v>6</v>
      </c>
      <c r="B36" s="3" t="s">
        <v>34</v>
      </c>
      <c r="C36" s="3">
        <v>647</v>
      </c>
      <c r="D36" s="3">
        <v>1</v>
      </c>
      <c r="E36" s="3" t="s">
        <v>32</v>
      </c>
      <c r="F36" s="3" t="s">
        <v>33</v>
      </c>
      <c r="G36" s="3" t="str">
        <f>"2026-06-02 21:18:06.687"</f>
        <v>2026-06-02 21:18:06.687</v>
      </c>
      <c r="H36" s="3" t="s">
        <v>21</v>
      </c>
      <c r="I36" s="3">
        <v>12.95</v>
      </c>
      <c r="J36" s="3" t="s">
        <v>36</v>
      </c>
    </row>
    <row r="37" spans="1:10" s="3" customFormat="1" x14ac:dyDescent="0.25">
      <c r="A37" s="2">
        <v>7</v>
      </c>
      <c r="B37" s="3" t="s">
        <v>31</v>
      </c>
      <c r="C37" s="3">
        <v>647</v>
      </c>
      <c r="D37" s="3">
        <v>1</v>
      </c>
      <c r="E37" s="3" t="s">
        <v>32</v>
      </c>
      <c r="F37" s="3" t="s">
        <v>33</v>
      </c>
      <c r="G37" s="3" t="str">
        <f>"2026-06-02 21:18:03.387"</f>
        <v>2026-06-02 21:18:03.387</v>
      </c>
      <c r="H37" s="3" t="s">
        <v>21</v>
      </c>
    </row>
    <row r="38" spans="1:10" s="3" customFormat="1" x14ac:dyDescent="0.25">
      <c r="A38" s="2">
        <v>8</v>
      </c>
      <c r="B38" s="3" t="s">
        <v>34</v>
      </c>
      <c r="C38" s="3">
        <v>647</v>
      </c>
      <c r="D38" s="3">
        <v>1</v>
      </c>
      <c r="E38" s="3" t="s">
        <v>32</v>
      </c>
      <c r="F38" s="3" t="s">
        <v>33</v>
      </c>
      <c r="G38" s="3" t="str">
        <f>"2026-06-02 21:18:02.287"</f>
        <v>2026-06-02 21:18:02.287</v>
      </c>
      <c r="H38" s="3" t="s">
        <v>21</v>
      </c>
      <c r="I38" s="3">
        <v>14.03</v>
      </c>
      <c r="J38" s="3" t="s">
        <v>36</v>
      </c>
    </row>
    <row r="39" spans="1:10" s="3" customFormat="1" x14ac:dyDescent="0.25">
      <c r="A39" s="2">
        <v>9</v>
      </c>
      <c r="B39" s="3" t="s">
        <v>31</v>
      </c>
      <c r="C39" s="3">
        <v>647</v>
      </c>
      <c r="D39" s="3">
        <v>1</v>
      </c>
      <c r="E39" s="3" t="s">
        <v>32</v>
      </c>
      <c r="F39" s="3" t="s">
        <v>33</v>
      </c>
      <c r="G39" s="3" t="str">
        <f>"2026-06-02 20:51:18.887"</f>
        <v>2026-06-02 20:51:18.887</v>
      </c>
      <c r="H39" s="3" t="s">
        <v>21</v>
      </c>
    </row>
    <row r="40" spans="1:10" s="3" customFormat="1" x14ac:dyDescent="0.25">
      <c r="A40" s="2">
        <v>0</v>
      </c>
      <c r="B40" s="3" t="s">
        <v>34</v>
      </c>
      <c r="C40" s="3">
        <v>647</v>
      </c>
      <c r="D40" s="3">
        <v>1</v>
      </c>
      <c r="E40" s="3" t="s">
        <v>32</v>
      </c>
      <c r="F40" s="3" t="s">
        <v>33</v>
      </c>
      <c r="G40" s="3" t="str">
        <f>"2026-06-02 20:51:01.387"</f>
        <v>2026-06-02 20:51:01.387</v>
      </c>
      <c r="H40" s="3" t="s">
        <v>21</v>
      </c>
      <c r="I40" s="3">
        <v>9.6199999999999992</v>
      </c>
      <c r="J40" s="3" t="s">
        <v>35</v>
      </c>
    </row>
    <row r="41" spans="1:10" s="3" customFormat="1" x14ac:dyDescent="0.25">
      <c r="A41" s="2">
        <v>1</v>
      </c>
      <c r="B41" s="3" t="s">
        <v>31</v>
      </c>
      <c r="C41" s="3">
        <v>647</v>
      </c>
      <c r="D41" s="3">
        <v>1</v>
      </c>
      <c r="E41" s="3" t="s">
        <v>32</v>
      </c>
      <c r="F41" s="3" t="s">
        <v>33</v>
      </c>
      <c r="G41" s="3" t="str">
        <f>"2026-06-02 20:50:16.487"</f>
        <v>2026-06-02 20:50:16.487</v>
      </c>
      <c r="H41" s="3" t="s">
        <v>21</v>
      </c>
    </row>
    <row r="42" spans="1:10" s="3" customFormat="1" x14ac:dyDescent="0.25">
      <c r="A42" s="2">
        <v>2</v>
      </c>
      <c r="B42" s="3" t="s">
        <v>34</v>
      </c>
      <c r="C42" s="3">
        <v>647</v>
      </c>
      <c r="D42" s="3">
        <v>1</v>
      </c>
      <c r="E42" s="3" t="s">
        <v>32</v>
      </c>
      <c r="F42" s="3" t="s">
        <v>33</v>
      </c>
      <c r="G42" s="3" t="str">
        <f>"2026-06-02 20:50:10.987"</f>
        <v>2026-06-02 20:50:10.987</v>
      </c>
      <c r="H42" s="3" t="s">
        <v>21</v>
      </c>
      <c r="I42" s="3">
        <v>14.75</v>
      </c>
      <c r="J42" s="3" t="s">
        <v>35</v>
      </c>
    </row>
    <row r="43" spans="1:10" s="3" customFormat="1" x14ac:dyDescent="0.25">
      <c r="A43" s="2">
        <v>3</v>
      </c>
      <c r="B43" s="3" t="s">
        <v>31</v>
      </c>
      <c r="C43" s="3">
        <v>647</v>
      </c>
      <c r="D43" s="3">
        <v>1</v>
      </c>
      <c r="E43" s="3" t="s">
        <v>32</v>
      </c>
      <c r="F43" s="3" t="s">
        <v>33</v>
      </c>
      <c r="G43" s="3" t="str">
        <f>"2026-06-02 20:11:45.587"</f>
        <v>2026-06-02 20:11:45.587</v>
      </c>
      <c r="H43" s="3" t="s">
        <v>21</v>
      </c>
    </row>
    <row r="44" spans="1:10" s="3" customFormat="1" x14ac:dyDescent="0.25">
      <c r="A44" s="2">
        <v>4</v>
      </c>
      <c r="B44" s="3" t="s">
        <v>34</v>
      </c>
      <c r="C44" s="3">
        <v>647</v>
      </c>
      <c r="D44" s="3">
        <v>1</v>
      </c>
      <c r="E44" s="3" t="s">
        <v>32</v>
      </c>
      <c r="F44" s="3" t="s">
        <v>33</v>
      </c>
      <c r="G44" s="3" t="str">
        <f>"2026-06-02 20:11:42.687"</f>
        <v>2026-06-02 20:11:42.687</v>
      </c>
      <c r="H44" s="3" t="s">
        <v>21</v>
      </c>
      <c r="I44" s="3">
        <v>13.18</v>
      </c>
      <c r="J44" s="3" t="s">
        <v>35</v>
      </c>
    </row>
    <row r="45" spans="1:10" s="3" customFormat="1" x14ac:dyDescent="0.25">
      <c r="A45" s="2">
        <v>5</v>
      </c>
      <c r="B45" s="3" t="s">
        <v>31</v>
      </c>
      <c r="C45" s="3">
        <v>647</v>
      </c>
      <c r="D45" s="3">
        <v>1</v>
      </c>
      <c r="E45" s="3" t="s">
        <v>32</v>
      </c>
      <c r="F45" s="3" t="s">
        <v>33</v>
      </c>
      <c r="G45" s="3" t="str">
        <f>"2026-06-02 20:11:27.987"</f>
        <v>2026-06-02 20:11:27.987</v>
      </c>
      <c r="H45" s="3" t="s">
        <v>21</v>
      </c>
    </row>
    <row r="46" spans="1:10" s="3" customFormat="1" x14ac:dyDescent="0.25">
      <c r="A46" s="2">
        <v>6</v>
      </c>
      <c r="B46" s="3" t="s">
        <v>34</v>
      </c>
      <c r="C46" s="3">
        <v>647</v>
      </c>
      <c r="D46" s="3">
        <v>1</v>
      </c>
      <c r="E46" s="3" t="s">
        <v>32</v>
      </c>
      <c r="F46" s="3" t="s">
        <v>33</v>
      </c>
      <c r="G46" s="3" t="str">
        <f>"2026-06-02 20:11:25.687"</f>
        <v>2026-06-02 20:11:25.687</v>
      </c>
      <c r="H46" s="3" t="s">
        <v>21</v>
      </c>
      <c r="I46" s="3">
        <v>11.33</v>
      </c>
      <c r="J46" s="3" t="s">
        <v>35</v>
      </c>
    </row>
    <row r="47" spans="1:10" s="3" customFormat="1" x14ac:dyDescent="0.25">
      <c r="A47" s="2">
        <v>7</v>
      </c>
      <c r="B47" s="3" t="s">
        <v>31</v>
      </c>
      <c r="C47" s="3">
        <v>647</v>
      </c>
      <c r="D47" s="3">
        <v>1</v>
      </c>
      <c r="E47" s="3" t="s">
        <v>32</v>
      </c>
      <c r="F47" s="3" t="s">
        <v>33</v>
      </c>
      <c r="G47" s="3" t="str">
        <f>"2026-06-02 20:11:01.987"</f>
        <v>2026-06-02 20:11:01.987</v>
      </c>
      <c r="H47" s="3" t="s">
        <v>21</v>
      </c>
    </row>
    <row r="48" spans="1:10" s="3" customFormat="1" x14ac:dyDescent="0.25">
      <c r="A48" s="2">
        <v>8</v>
      </c>
      <c r="B48" s="3" t="s">
        <v>34</v>
      </c>
      <c r="C48" s="3">
        <v>647</v>
      </c>
      <c r="D48" s="3">
        <v>1</v>
      </c>
      <c r="E48" s="3" t="s">
        <v>32</v>
      </c>
      <c r="F48" s="3" t="s">
        <v>33</v>
      </c>
      <c r="G48" s="3" t="str">
        <f>"2026-06-02 20:10:59.087"</f>
        <v>2026-06-02 20:10:59.087</v>
      </c>
      <c r="H48" s="3" t="s">
        <v>21</v>
      </c>
      <c r="I48" s="3">
        <v>12.12</v>
      </c>
      <c r="J48" s="3" t="s">
        <v>35</v>
      </c>
    </row>
    <row r="49" spans="1:10" s="3" customFormat="1" x14ac:dyDescent="0.25">
      <c r="A49" s="2">
        <v>9</v>
      </c>
      <c r="B49" s="3" t="s">
        <v>31</v>
      </c>
      <c r="C49" s="3">
        <v>647</v>
      </c>
      <c r="D49" s="3">
        <v>1</v>
      </c>
      <c r="E49" s="3" t="s">
        <v>32</v>
      </c>
      <c r="F49" s="3" t="s">
        <v>33</v>
      </c>
      <c r="G49" s="3" t="str">
        <f>"2026-06-02 20:10:50.587"</f>
        <v>2026-06-02 20:10:50.587</v>
      </c>
      <c r="H49" s="3" t="s">
        <v>21</v>
      </c>
    </row>
    <row r="50" spans="1:10" s="3" customFormat="1" x14ac:dyDescent="0.25">
      <c r="A50" s="2">
        <v>0</v>
      </c>
      <c r="B50" s="3" t="s">
        <v>34</v>
      </c>
      <c r="C50" s="3">
        <v>647</v>
      </c>
      <c r="D50" s="3">
        <v>1</v>
      </c>
      <c r="E50" s="3" t="s">
        <v>32</v>
      </c>
      <c r="F50" s="3" t="s">
        <v>33</v>
      </c>
      <c r="G50" s="3" t="str">
        <f>"2026-06-02 20:10:46.687"</f>
        <v>2026-06-02 20:10:46.687</v>
      </c>
      <c r="H50" s="3" t="s">
        <v>21</v>
      </c>
      <c r="I50" s="3">
        <v>12.67</v>
      </c>
      <c r="J50" s="3" t="s">
        <v>35</v>
      </c>
    </row>
    <row r="51" spans="1:10" s="3" customFormat="1" x14ac:dyDescent="0.25">
      <c r="A51" s="2">
        <v>1</v>
      </c>
      <c r="B51" s="3" t="s">
        <v>31</v>
      </c>
      <c r="C51" s="3">
        <v>647</v>
      </c>
      <c r="D51" s="3">
        <v>1</v>
      </c>
      <c r="E51" s="3" t="s">
        <v>32</v>
      </c>
      <c r="F51" s="3" t="s">
        <v>33</v>
      </c>
      <c r="G51" s="3" t="str">
        <f>"2026-06-02 20:10:35.187"</f>
        <v>2026-06-02 20:10:35.187</v>
      </c>
      <c r="H51" s="3" t="s">
        <v>21</v>
      </c>
    </row>
    <row r="52" spans="1:10" s="3" customFormat="1" x14ac:dyDescent="0.25">
      <c r="A52" s="2">
        <v>2</v>
      </c>
      <c r="B52" s="3" t="s">
        <v>34</v>
      </c>
      <c r="C52" s="3">
        <v>647</v>
      </c>
      <c r="D52" s="3">
        <v>1</v>
      </c>
      <c r="E52" s="3" t="s">
        <v>32</v>
      </c>
      <c r="F52" s="3" t="s">
        <v>33</v>
      </c>
      <c r="G52" s="3" t="str">
        <f>"2026-06-02 20:10:32.887"</f>
        <v>2026-06-02 20:10:32.887</v>
      </c>
      <c r="H52" s="3" t="s">
        <v>21</v>
      </c>
      <c r="I52" s="3">
        <v>11.34</v>
      </c>
      <c r="J52" s="3" t="s">
        <v>35</v>
      </c>
    </row>
    <row r="53" spans="1:10" s="3" customFormat="1" x14ac:dyDescent="0.25">
      <c r="A53" s="2">
        <v>3</v>
      </c>
      <c r="B53" s="3" t="s">
        <v>31</v>
      </c>
      <c r="C53" s="3">
        <v>647</v>
      </c>
      <c r="D53" s="3">
        <v>1</v>
      </c>
      <c r="E53" s="3" t="s">
        <v>32</v>
      </c>
      <c r="F53" s="3" t="s">
        <v>33</v>
      </c>
      <c r="G53" s="3" t="str">
        <f>"2026-06-02 20:10:24.787"</f>
        <v>2026-06-02 20:10:24.787</v>
      </c>
      <c r="H53" s="3" t="s">
        <v>21</v>
      </c>
    </row>
    <row r="54" spans="1:10" s="3" customFormat="1" x14ac:dyDescent="0.25">
      <c r="A54" s="2">
        <v>4</v>
      </c>
      <c r="B54" s="3" t="s">
        <v>34</v>
      </c>
      <c r="C54" s="3">
        <v>647</v>
      </c>
      <c r="D54" s="3">
        <v>1</v>
      </c>
      <c r="E54" s="3" t="s">
        <v>32</v>
      </c>
      <c r="F54" s="3" t="s">
        <v>33</v>
      </c>
      <c r="G54" s="3" t="str">
        <f>"2026-06-02 20:10:20.287"</f>
        <v>2026-06-02 20:10:20.287</v>
      </c>
      <c r="H54" s="3" t="s">
        <v>21</v>
      </c>
      <c r="I54" s="3">
        <v>11.43</v>
      </c>
      <c r="J54" s="3" t="s">
        <v>35</v>
      </c>
    </row>
    <row r="55" spans="1:10" s="3" customFormat="1" x14ac:dyDescent="0.25">
      <c r="A55" s="2">
        <v>5</v>
      </c>
      <c r="B55" s="3" t="s">
        <v>31</v>
      </c>
      <c r="C55" s="3">
        <v>647</v>
      </c>
      <c r="D55" s="3">
        <v>1</v>
      </c>
      <c r="E55" s="3" t="s">
        <v>32</v>
      </c>
      <c r="F55" s="3" t="s">
        <v>33</v>
      </c>
      <c r="G55" s="3" t="str">
        <f>"2026-06-02 20:08:55.687"</f>
        <v>2026-06-02 20:08:55.687</v>
      </c>
      <c r="H55" s="3" t="s">
        <v>21</v>
      </c>
    </row>
    <row r="56" spans="1:10" s="3" customFormat="1" x14ac:dyDescent="0.25">
      <c r="A56" s="2">
        <v>6</v>
      </c>
      <c r="B56" s="3" t="s">
        <v>34</v>
      </c>
      <c r="C56" s="3">
        <v>647</v>
      </c>
      <c r="D56" s="3">
        <v>1</v>
      </c>
      <c r="E56" s="3" t="s">
        <v>32</v>
      </c>
      <c r="F56" s="3" t="s">
        <v>33</v>
      </c>
      <c r="G56" s="3" t="str">
        <f>"2026-06-02 20:08:53.687"</f>
        <v>2026-06-02 20:08:53.687</v>
      </c>
      <c r="H56" s="3" t="s">
        <v>21</v>
      </c>
      <c r="I56" s="3">
        <v>10.35</v>
      </c>
      <c r="J56" s="3" t="s">
        <v>35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"2026-06-02 11:47:37.010"</f>
        <v>2026-06-02 11:47:37.010</v>
      </c>
      <c r="H57" t="s">
        <v>21</v>
      </c>
    </row>
    <row r="58" spans="1:10" s="3" customFormat="1" x14ac:dyDescent="0.25">
      <c r="A58" s="2">
        <v>8</v>
      </c>
      <c r="B58" s="3" t="s">
        <v>31</v>
      </c>
      <c r="C58" s="3">
        <v>647</v>
      </c>
      <c r="D58" s="3">
        <v>1</v>
      </c>
      <c r="E58" s="3" t="s">
        <v>32</v>
      </c>
      <c r="F58" s="3" t="s">
        <v>33</v>
      </c>
      <c r="G58" s="3" t="str">
        <f>"2026-06-02 03:09:53.533"</f>
        <v>2026-06-02 03:09:53.533</v>
      </c>
      <c r="H58" s="3" t="s">
        <v>21</v>
      </c>
    </row>
    <row r="59" spans="1:10" s="3" customFormat="1" x14ac:dyDescent="0.25">
      <c r="A59" s="2">
        <v>9</v>
      </c>
      <c r="B59" s="3" t="s">
        <v>34</v>
      </c>
      <c r="C59" s="3">
        <v>647</v>
      </c>
      <c r="D59" s="3">
        <v>1</v>
      </c>
      <c r="E59" s="3" t="s">
        <v>32</v>
      </c>
      <c r="F59" s="3" t="s">
        <v>33</v>
      </c>
      <c r="G59" s="3" t="str">
        <f>"2026-06-02 03:09:48.033"</f>
        <v>2026-06-02 03:09:48.033</v>
      </c>
      <c r="H59" s="3" t="s">
        <v>21</v>
      </c>
      <c r="I59" s="3">
        <v>10.87</v>
      </c>
      <c r="J59" s="3" t="s">
        <v>35</v>
      </c>
    </row>
    <row r="60" spans="1:10" s="3" customFormat="1" x14ac:dyDescent="0.25">
      <c r="A60" s="2">
        <v>0</v>
      </c>
      <c r="B60" s="3" t="s">
        <v>31</v>
      </c>
      <c r="C60" s="3">
        <v>647</v>
      </c>
      <c r="D60" s="3">
        <v>1</v>
      </c>
      <c r="E60" s="3" t="s">
        <v>32</v>
      </c>
      <c r="F60" s="3" t="s">
        <v>33</v>
      </c>
      <c r="G60" s="3" t="str">
        <f>"2026-06-02 03:08:39.733"</f>
        <v>2026-06-02 03:08:39.733</v>
      </c>
      <c r="H60" s="3" t="s">
        <v>21</v>
      </c>
    </row>
    <row r="61" spans="1:10" s="3" customFormat="1" x14ac:dyDescent="0.25">
      <c r="A61" s="2">
        <v>1</v>
      </c>
      <c r="B61" s="3" t="s">
        <v>34</v>
      </c>
      <c r="C61" s="3">
        <v>647</v>
      </c>
      <c r="D61" s="3">
        <v>1</v>
      </c>
      <c r="E61" s="3" t="s">
        <v>32</v>
      </c>
      <c r="F61" s="3" t="s">
        <v>33</v>
      </c>
      <c r="G61" s="3" t="str">
        <f>"2026-06-02 03:08:36.633"</f>
        <v>2026-06-02 03:08:36.633</v>
      </c>
      <c r="H61" s="3" t="s">
        <v>21</v>
      </c>
      <c r="I61" s="3">
        <v>11.39</v>
      </c>
      <c r="J61" s="3" t="s">
        <v>35</v>
      </c>
    </row>
    <row r="62" spans="1:10" s="3" customFormat="1" x14ac:dyDescent="0.25">
      <c r="A62" s="2">
        <v>2</v>
      </c>
      <c r="B62" s="3" t="s">
        <v>31</v>
      </c>
      <c r="C62" s="3">
        <v>647</v>
      </c>
      <c r="D62" s="3">
        <v>1</v>
      </c>
      <c r="E62" s="3" t="s">
        <v>32</v>
      </c>
      <c r="F62" s="3" t="s">
        <v>33</v>
      </c>
      <c r="G62" s="3" t="str">
        <f>"2026-06-02 03:08:24.733"</f>
        <v>2026-06-02 03:08:24.733</v>
      </c>
      <c r="H62" s="3" t="s">
        <v>21</v>
      </c>
    </row>
    <row r="63" spans="1:10" s="3" customFormat="1" x14ac:dyDescent="0.25">
      <c r="A63" s="2">
        <v>3</v>
      </c>
      <c r="B63" s="3" t="s">
        <v>34</v>
      </c>
      <c r="C63" s="3">
        <v>647</v>
      </c>
      <c r="D63" s="3">
        <v>1</v>
      </c>
      <c r="E63" s="3" t="s">
        <v>32</v>
      </c>
      <c r="F63" s="3" t="s">
        <v>33</v>
      </c>
      <c r="G63" s="3" t="str">
        <f>"2026-06-02 03:08:19.833"</f>
        <v>2026-06-02 03:08:19.833</v>
      </c>
      <c r="H63" s="3" t="s">
        <v>21</v>
      </c>
      <c r="I63" s="3">
        <v>11.56</v>
      </c>
      <c r="J63" s="3" t="s">
        <v>35</v>
      </c>
    </row>
    <row r="64" spans="1:10" s="3" customFormat="1" x14ac:dyDescent="0.25">
      <c r="A64" s="2">
        <v>4</v>
      </c>
      <c r="B64" s="3" t="s">
        <v>31</v>
      </c>
      <c r="C64" s="3">
        <v>647</v>
      </c>
      <c r="D64" s="3">
        <v>1</v>
      </c>
      <c r="E64" s="3" t="s">
        <v>32</v>
      </c>
      <c r="F64" s="3" t="s">
        <v>33</v>
      </c>
      <c r="G64" s="3" t="str">
        <f>"2026-06-02 03:08:17.333"</f>
        <v>2026-06-02 03:08:17.333</v>
      </c>
      <c r="H64" s="3" t="s">
        <v>21</v>
      </c>
    </row>
    <row r="65" spans="1:10" s="3" customFormat="1" x14ac:dyDescent="0.25">
      <c r="A65" s="2">
        <v>5</v>
      </c>
      <c r="B65" s="3" t="s">
        <v>34</v>
      </c>
      <c r="C65" s="3">
        <v>647</v>
      </c>
      <c r="D65" s="3">
        <v>1</v>
      </c>
      <c r="E65" s="3" t="s">
        <v>32</v>
      </c>
      <c r="F65" s="3" t="s">
        <v>33</v>
      </c>
      <c r="G65" s="3" t="str">
        <f>"2026-06-02 03:08:13.033"</f>
        <v>2026-06-02 03:08:13.033</v>
      </c>
      <c r="H65" s="3" t="s">
        <v>21</v>
      </c>
      <c r="I65" s="3">
        <v>11.46</v>
      </c>
      <c r="J65" s="3" t="s">
        <v>35</v>
      </c>
    </row>
    <row r="66" spans="1:10" s="3" customFormat="1" x14ac:dyDescent="0.25">
      <c r="A66" s="2">
        <v>6</v>
      </c>
      <c r="B66" s="3" t="s">
        <v>31</v>
      </c>
      <c r="C66" s="3">
        <v>647</v>
      </c>
      <c r="D66" s="3">
        <v>1</v>
      </c>
      <c r="E66" s="3" t="s">
        <v>32</v>
      </c>
      <c r="F66" s="3" t="s">
        <v>33</v>
      </c>
      <c r="G66" s="3" t="str">
        <f>"2026-06-02 03:06:35.933"</f>
        <v>2026-06-02 03:06:35.933</v>
      </c>
      <c r="H66" s="3" t="s">
        <v>21</v>
      </c>
    </row>
    <row r="67" spans="1:10" s="3" customFormat="1" x14ac:dyDescent="0.25">
      <c r="A67" s="2">
        <v>7</v>
      </c>
      <c r="B67" s="3" t="s">
        <v>34</v>
      </c>
      <c r="C67" s="3">
        <v>647</v>
      </c>
      <c r="D67" s="3">
        <v>1</v>
      </c>
      <c r="E67" s="3" t="s">
        <v>32</v>
      </c>
      <c r="F67" s="3" t="s">
        <v>33</v>
      </c>
      <c r="G67" s="3" t="str">
        <f>"2026-06-02 03:06:32.433"</f>
        <v>2026-06-02 03:06:32.433</v>
      </c>
      <c r="H67" s="3" t="s">
        <v>21</v>
      </c>
      <c r="I67" s="3">
        <v>11</v>
      </c>
      <c r="J67" s="3" t="s">
        <v>35</v>
      </c>
    </row>
    <row r="68" spans="1:10" s="3" customFormat="1" x14ac:dyDescent="0.25">
      <c r="A68" s="2">
        <v>8</v>
      </c>
      <c r="B68" s="3" t="s">
        <v>31</v>
      </c>
      <c r="C68" s="3">
        <v>647</v>
      </c>
      <c r="D68" s="3">
        <v>1</v>
      </c>
      <c r="E68" s="3" t="s">
        <v>32</v>
      </c>
      <c r="F68" s="3" t="s">
        <v>33</v>
      </c>
      <c r="G68" s="3" t="str">
        <f>"2026-06-02 03:06:05.533"</f>
        <v>2026-06-02 03:06:05.533</v>
      </c>
      <c r="H68" s="3" t="s">
        <v>21</v>
      </c>
    </row>
    <row r="69" spans="1:10" s="3" customFormat="1" x14ac:dyDescent="0.25">
      <c r="A69" s="2">
        <v>9</v>
      </c>
      <c r="B69" s="3" t="s">
        <v>34</v>
      </c>
      <c r="C69" s="3">
        <v>647</v>
      </c>
      <c r="D69" s="3">
        <v>1</v>
      </c>
      <c r="E69" s="3" t="s">
        <v>32</v>
      </c>
      <c r="F69" s="3" t="s">
        <v>33</v>
      </c>
      <c r="G69" s="3" t="str">
        <f>"2026-06-02 03:06:03.433"</f>
        <v>2026-06-02 03:06:03.433</v>
      </c>
      <c r="H69" s="3" t="s">
        <v>21</v>
      </c>
      <c r="I69" s="3">
        <v>11.9</v>
      </c>
      <c r="J69" s="3" t="s">
        <v>35</v>
      </c>
    </row>
    <row r="70" spans="1:10" s="3" customFormat="1" x14ac:dyDescent="0.25">
      <c r="A70" s="2">
        <v>0</v>
      </c>
      <c r="B70" s="3" t="s">
        <v>31</v>
      </c>
      <c r="C70" s="3">
        <v>647</v>
      </c>
      <c r="D70" s="3">
        <v>1</v>
      </c>
      <c r="E70" s="3" t="s">
        <v>32</v>
      </c>
      <c r="F70" s="3" t="s">
        <v>33</v>
      </c>
      <c r="G70" s="3" t="str">
        <f>"2026-06-02 03:06:01.333"</f>
        <v>2026-06-02 03:06:01.333</v>
      </c>
      <c r="H70" s="3" t="s">
        <v>21</v>
      </c>
    </row>
    <row r="71" spans="1:10" s="3" customFormat="1" x14ac:dyDescent="0.25">
      <c r="A71" s="2">
        <v>1</v>
      </c>
      <c r="B71" s="3" t="s">
        <v>34</v>
      </c>
      <c r="C71" s="3">
        <v>647</v>
      </c>
      <c r="D71" s="3">
        <v>1</v>
      </c>
      <c r="E71" s="3" t="s">
        <v>32</v>
      </c>
      <c r="F71" s="3" t="s">
        <v>33</v>
      </c>
      <c r="G71" s="3" t="str">
        <f>"2026-06-02 03:05:59.533"</f>
        <v>2026-06-02 03:05:59.533</v>
      </c>
      <c r="H71" s="3" t="s">
        <v>21</v>
      </c>
      <c r="I71" s="3">
        <v>10.97</v>
      </c>
      <c r="J71" s="3" t="s">
        <v>35</v>
      </c>
    </row>
    <row r="72" spans="1:10" s="3" customFormat="1" x14ac:dyDescent="0.25">
      <c r="A72" s="2">
        <v>2</v>
      </c>
      <c r="B72" s="3" t="s">
        <v>31</v>
      </c>
      <c r="C72" s="3">
        <v>647</v>
      </c>
      <c r="D72" s="3">
        <v>1</v>
      </c>
      <c r="E72" s="3" t="s">
        <v>32</v>
      </c>
      <c r="F72" s="3" t="s">
        <v>33</v>
      </c>
      <c r="G72" s="3" t="str">
        <f>"2026-06-02 03:05:56.933"</f>
        <v>2026-06-02 03:05:56.933</v>
      </c>
      <c r="H72" s="3" t="s">
        <v>21</v>
      </c>
    </row>
    <row r="73" spans="1:10" s="3" customFormat="1" x14ac:dyDescent="0.25">
      <c r="A73" s="2">
        <v>3</v>
      </c>
      <c r="B73" s="3" t="s">
        <v>34</v>
      </c>
      <c r="C73" s="3">
        <v>647</v>
      </c>
      <c r="D73" s="3">
        <v>1</v>
      </c>
      <c r="E73" s="3" t="s">
        <v>32</v>
      </c>
      <c r="F73" s="3" t="s">
        <v>33</v>
      </c>
      <c r="G73" s="3" t="str">
        <f>"2026-06-02 03:05:55.033"</f>
        <v>2026-06-02 03:05:55.033</v>
      </c>
      <c r="H73" s="3" t="s">
        <v>21</v>
      </c>
      <c r="I73" s="3">
        <v>11.31</v>
      </c>
      <c r="J73" s="3" t="s">
        <v>35</v>
      </c>
    </row>
    <row r="74" spans="1:10" s="3" customFormat="1" x14ac:dyDescent="0.25">
      <c r="A74" s="2">
        <v>4</v>
      </c>
      <c r="B74" s="3" t="s">
        <v>31</v>
      </c>
      <c r="C74" s="3">
        <v>647</v>
      </c>
      <c r="D74" s="3">
        <v>1</v>
      </c>
      <c r="E74" s="3" t="s">
        <v>32</v>
      </c>
      <c r="F74" s="3" t="s">
        <v>33</v>
      </c>
      <c r="G74" s="3" t="str">
        <f>"2026-06-02 03:04:50.533"</f>
        <v>2026-06-02 03:04:50.533</v>
      </c>
      <c r="H74" s="3" t="s">
        <v>21</v>
      </c>
    </row>
    <row r="75" spans="1:10" s="3" customFormat="1" x14ac:dyDescent="0.25">
      <c r="A75" s="2">
        <v>5</v>
      </c>
      <c r="B75" s="3" t="s">
        <v>34</v>
      </c>
      <c r="C75" s="3">
        <v>647</v>
      </c>
      <c r="D75" s="3">
        <v>1</v>
      </c>
      <c r="E75" s="3" t="s">
        <v>32</v>
      </c>
      <c r="F75" s="3" t="s">
        <v>33</v>
      </c>
      <c r="G75" s="3" t="str">
        <f>"2026-06-02 03:04:49.033"</f>
        <v>2026-06-02 03:04:49.033</v>
      </c>
      <c r="H75" s="3" t="s">
        <v>21</v>
      </c>
      <c r="I75" s="3">
        <v>13.2</v>
      </c>
      <c r="J75" s="3" t="s">
        <v>35</v>
      </c>
    </row>
    <row r="76" spans="1:10" s="3" customFormat="1" x14ac:dyDescent="0.25">
      <c r="A76" s="2">
        <v>6</v>
      </c>
      <c r="B76" s="3" t="s">
        <v>31</v>
      </c>
      <c r="C76" s="3">
        <v>647</v>
      </c>
      <c r="D76" s="3">
        <v>1</v>
      </c>
      <c r="E76" s="3" t="s">
        <v>32</v>
      </c>
      <c r="F76" s="3" t="s">
        <v>33</v>
      </c>
      <c r="G76" s="3" t="str">
        <f>"2026-06-02 03:04:46.933"</f>
        <v>2026-06-02 03:04:46.933</v>
      </c>
      <c r="H76" s="3" t="s">
        <v>21</v>
      </c>
    </row>
    <row r="77" spans="1:10" s="3" customFormat="1" x14ac:dyDescent="0.25">
      <c r="A77" s="2">
        <v>7</v>
      </c>
      <c r="B77" s="3" t="s">
        <v>34</v>
      </c>
      <c r="C77" s="3">
        <v>647</v>
      </c>
      <c r="D77" s="3">
        <v>1</v>
      </c>
      <c r="E77" s="3" t="s">
        <v>32</v>
      </c>
      <c r="F77" s="3" t="s">
        <v>33</v>
      </c>
      <c r="G77" s="3" t="str">
        <f>"2026-06-02 03:04:44.833"</f>
        <v>2026-06-02 03:04:44.833</v>
      </c>
      <c r="H77" s="3" t="s">
        <v>21</v>
      </c>
      <c r="I77" s="3">
        <v>13.26</v>
      </c>
      <c r="J77" s="3" t="s">
        <v>35</v>
      </c>
    </row>
    <row r="78" spans="1:10" s="3" customFormat="1" x14ac:dyDescent="0.25">
      <c r="A78" s="2">
        <v>8</v>
      </c>
      <c r="B78" s="3" t="s">
        <v>31</v>
      </c>
      <c r="C78" s="3">
        <v>647</v>
      </c>
      <c r="D78" s="3">
        <v>1</v>
      </c>
      <c r="E78" s="3" t="s">
        <v>32</v>
      </c>
      <c r="F78" s="3" t="s">
        <v>33</v>
      </c>
      <c r="G78" s="3" t="str">
        <f>"2026-06-02 03:02:07.133"</f>
        <v>2026-06-02 03:02:07.133</v>
      </c>
      <c r="H78" s="3" t="s">
        <v>21</v>
      </c>
    </row>
    <row r="79" spans="1:10" s="3" customFormat="1" x14ac:dyDescent="0.25">
      <c r="A79" s="2">
        <v>9</v>
      </c>
      <c r="B79" s="3" t="s">
        <v>34</v>
      </c>
      <c r="C79" s="3">
        <v>647</v>
      </c>
      <c r="D79" s="3">
        <v>1</v>
      </c>
      <c r="E79" s="3" t="s">
        <v>32</v>
      </c>
      <c r="F79" s="3" t="s">
        <v>33</v>
      </c>
      <c r="G79" s="3" t="str">
        <f>"2026-06-02 03:02:05.233"</f>
        <v>2026-06-02 03:02:05.233</v>
      </c>
      <c r="H79" s="3" t="s">
        <v>21</v>
      </c>
      <c r="I79" s="3">
        <v>16</v>
      </c>
      <c r="J79" s="3" t="s">
        <v>35</v>
      </c>
    </row>
    <row r="80" spans="1:10" s="3" customFormat="1" x14ac:dyDescent="0.25">
      <c r="A80" s="2">
        <v>0</v>
      </c>
      <c r="B80" s="3" t="s">
        <v>31</v>
      </c>
      <c r="C80" s="3">
        <v>647</v>
      </c>
      <c r="D80" s="3">
        <v>1</v>
      </c>
      <c r="E80" s="3" t="s">
        <v>32</v>
      </c>
      <c r="F80" s="3" t="s">
        <v>33</v>
      </c>
      <c r="G80" s="3" t="str">
        <f>"2026-06-02 03:02:02.133"</f>
        <v>2026-06-02 03:02:02.133</v>
      </c>
      <c r="H80" s="3" t="s">
        <v>21</v>
      </c>
    </row>
    <row r="81" spans="1:10" s="3" customFormat="1" x14ac:dyDescent="0.25">
      <c r="A81" s="2">
        <v>1</v>
      </c>
      <c r="B81" s="3" t="s">
        <v>34</v>
      </c>
      <c r="C81" s="3">
        <v>647</v>
      </c>
      <c r="D81" s="3">
        <v>1</v>
      </c>
      <c r="E81" s="3" t="s">
        <v>32</v>
      </c>
      <c r="F81" s="3" t="s">
        <v>33</v>
      </c>
      <c r="G81" s="3" t="str">
        <f>"2026-06-02 03:01:59.433"</f>
        <v>2026-06-02 03:01:59.433</v>
      </c>
      <c r="H81" s="3" t="s">
        <v>21</v>
      </c>
      <c r="I81" s="3">
        <v>17.239999999999998</v>
      </c>
      <c r="J81" s="3" t="s">
        <v>35</v>
      </c>
    </row>
    <row r="82" spans="1:10" s="3" customFormat="1" x14ac:dyDescent="0.25">
      <c r="A82" s="2">
        <v>2</v>
      </c>
      <c r="B82" s="3" t="s">
        <v>31</v>
      </c>
      <c r="C82" s="3">
        <v>647</v>
      </c>
      <c r="D82" s="3">
        <v>1</v>
      </c>
      <c r="E82" s="3" t="s">
        <v>32</v>
      </c>
      <c r="F82" s="3" t="s">
        <v>33</v>
      </c>
      <c r="G82" s="3" t="str">
        <f>"2026-06-02 02:59:31.332"</f>
        <v>2026-06-02 02:59:31.332</v>
      </c>
      <c r="H82" s="3" t="s">
        <v>21</v>
      </c>
    </row>
    <row r="83" spans="1:10" s="3" customFormat="1" x14ac:dyDescent="0.25">
      <c r="A83" s="2">
        <v>3</v>
      </c>
      <c r="B83" s="3" t="s">
        <v>34</v>
      </c>
      <c r="C83" s="3">
        <v>647</v>
      </c>
      <c r="D83" s="3">
        <v>1</v>
      </c>
      <c r="E83" s="3" t="s">
        <v>32</v>
      </c>
      <c r="F83" s="3" t="s">
        <v>33</v>
      </c>
      <c r="G83" s="3" t="str">
        <f>"2026-06-02 02:59:27.833"</f>
        <v>2026-06-02 02:59:27.833</v>
      </c>
      <c r="H83" s="3" t="s">
        <v>21</v>
      </c>
      <c r="I83" s="3">
        <v>17.2</v>
      </c>
      <c r="J83" s="3" t="s">
        <v>36</v>
      </c>
    </row>
    <row r="84" spans="1:10" s="3" customFormat="1" x14ac:dyDescent="0.25">
      <c r="A84" s="2">
        <v>4</v>
      </c>
      <c r="B84" s="3" t="s">
        <v>31</v>
      </c>
      <c r="C84" s="3">
        <v>647</v>
      </c>
      <c r="D84" s="3">
        <v>1</v>
      </c>
      <c r="E84" s="3" t="s">
        <v>32</v>
      </c>
      <c r="F84" s="3" t="s">
        <v>33</v>
      </c>
      <c r="G84" s="3" t="str">
        <f>"2026-06-02 02:59:24.033"</f>
        <v>2026-06-02 02:59:24.033</v>
      </c>
      <c r="H84" s="3" t="s">
        <v>21</v>
      </c>
    </row>
    <row r="85" spans="1:10" s="3" customFormat="1" x14ac:dyDescent="0.25">
      <c r="A85" s="2">
        <v>5</v>
      </c>
      <c r="B85" s="3" t="s">
        <v>34</v>
      </c>
      <c r="C85" s="3">
        <v>647</v>
      </c>
      <c r="D85" s="3">
        <v>1</v>
      </c>
      <c r="E85" s="3" t="s">
        <v>32</v>
      </c>
      <c r="F85" s="3" t="s">
        <v>33</v>
      </c>
      <c r="G85" s="3" t="str">
        <f>"2026-06-02 02:59:22.433"</f>
        <v>2026-06-02 02:59:22.433</v>
      </c>
      <c r="H85" s="3" t="s">
        <v>21</v>
      </c>
      <c r="I85" s="3">
        <v>15.19</v>
      </c>
      <c r="J85" s="3" t="s">
        <v>36</v>
      </c>
    </row>
    <row r="86" spans="1:10" s="3" customFormat="1" x14ac:dyDescent="0.25">
      <c r="A86" s="2">
        <v>6</v>
      </c>
      <c r="B86" s="3" t="s">
        <v>31</v>
      </c>
      <c r="C86" s="3">
        <v>647</v>
      </c>
      <c r="D86" s="3">
        <v>1</v>
      </c>
      <c r="E86" s="3" t="s">
        <v>32</v>
      </c>
      <c r="F86" s="3" t="s">
        <v>33</v>
      </c>
      <c r="G86" s="3" t="str">
        <f>"2026-06-02 02:59:16.133"</f>
        <v>2026-06-02 02:59:16.133</v>
      </c>
      <c r="H86" s="3" t="s">
        <v>21</v>
      </c>
    </row>
    <row r="87" spans="1:10" s="3" customFormat="1" x14ac:dyDescent="0.25">
      <c r="A87" s="2">
        <v>7</v>
      </c>
      <c r="B87" s="3" t="s">
        <v>34</v>
      </c>
      <c r="C87" s="3">
        <v>647</v>
      </c>
      <c r="D87" s="3">
        <v>1</v>
      </c>
      <c r="E87" s="3" t="s">
        <v>32</v>
      </c>
      <c r="F87" s="3" t="s">
        <v>33</v>
      </c>
      <c r="G87" s="3" t="str">
        <f>"2026-06-02 02:59:14.233"</f>
        <v>2026-06-02 02:59:14.233</v>
      </c>
      <c r="H87" s="3" t="s">
        <v>21</v>
      </c>
      <c r="I87" s="3">
        <v>11.34</v>
      </c>
      <c r="J87" s="3" t="s">
        <v>36</v>
      </c>
    </row>
    <row r="88" spans="1:10" s="3" customFormat="1" x14ac:dyDescent="0.25">
      <c r="A88" s="2">
        <v>8</v>
      </c>
      <c r="B88" s="3" t="s">
        <v>31</v>
      </c>
      <c r="C88" s="3">
        <v>647</v>
      </c>
      <c r="D88" s="3">
        <v>1</v>
      </c>
      <c r="E88" s="3" t="s">
        <v>32</v>
      </c>
      <c r="F88" s="3" t="s">
        <v>33</v>
      </c>
      <c r="G88" s="3" t="str">
        <f>"2026-06-02 02:59:10.333"</f>
        <v>2026-06-02 02:59:10.333</v>
      </c>
      <c r="H88" s="3" t="s">
        <v>21</v>
      </c>
    </row>
    <row r="89" spans="1:10" s="3" customFormat="1" x14ac:dyDescent="0.25">
      <c r="A89" s="2">
        <v>9</v>
      </c>
      <c r="B89" s="3" t="s">
        <v>34</v>
      </c>
      <c r="C89" s="3">
        <v>647</v>
      </c>
      <c r="D89" s="3">
        <v>1</v>
      </c>
      <c r="E89" s="3" t="s">
        <v>32</v>
      </c>
      <c r="F89" s="3" t="s">
        <v>33</v>
      </c>
      <c r="G89" s="3" t="str">
        <f>"2026-06-02 02:59:07.633"</f>
        <v>2026-06-02 02:59:07.633</v>
      </c>
      <c r="H89" s="3" t="s">
        <v>21</v>
      </c>
      <c r="I89" s="3">
        <v>10.65</v>
      </c>
      <c r="J89" s="3" t="s">
        <v>35</v>
      </c>
    </row>
    <row r="90" spans="1:10" s="3" customFormat="1" x14ac:dyDescent="0.25">
      <c r="A90" s="2">
        <v>0</v>
      </c>
      <c r="B90" s="3" t="s">
        <v>31</v>
      </c>
      <c r="C90" s="3">
        <v>647</v>
      </c>
      <c r="D90" s="3">
        <v>1</v>
      </c>
      <c r="E90" s="3" t="s">
        <v>32</v>
      </c>
      <c r="F90" s="3" t="s">
        <v>33</v>
      </c>
      <c r="G90" s="3" t="str">
        <f>"2026-06-02 02:21:32.833"</f>
        <v>2026-06-02 02:21:32.833</v>
      </c>
      <c r="H90" s="3" t="s">
        <v>21</v>
      </c>
    </row>
    <row r="91" spans="1:10" s="3" customFormat="1" x14ac:dyDescent="0.25">
      <c r="A91" s="2">
        <v>1</v>
      </c>
      <c r="B91" s="3" t="s">
        <v>34</v>
      </c>
      <c r="C91" s="3">
        <v>647</v>
      </c>
      <c r="D91" s="3">
        <v>1</v>
      </c>
      <c r="E91" s="3" t="s">
        <v>32</v>
      </c>
      <c r="F91" s="3" t="s">
        <v>33</v>
      </c>
      <c r="G91" s="3" t="str">
        <f>"2026-06-02 02:21:17.333"</f>
        <v>2026-06-02 02:21:17.333</v>
      </c>
      <c r="H91" s="3" t="s">
        <v>21</v>
      </c>
      <c r="I91" s="3">
        <v>11.49</v>
      </c>
      <c r="J91" s="3" t="s">
        <v>35</v>
      </c>
    </row>
    <row r="92" spans="1:10" s="3" customFormat="1" x14ac:dyDescent="0.25">
      <c r="A92" s="2">
        <v>2</v>
      </c>
      <c r="B92" s="3" t="s">
        <v>31</v>
      </c>
      <c r="C92" s="3">
        <v>647</v>
      </c>
      <c r="D92" s="3">
        <v>1</v>
      </c>
      <c r="E92" s="3" t="s">
        <v>32</v>
      </c>
      <c r="F92" s="3" t="s">
        <v>33</v>
      </c>
      <c r="G92" s="3" t="str">
        <f>"2026-06-02 02:21:03.033"</f>
        <v>2026-06-02 02:21:03.033</v>
      </c>
      <c r="H92" s="3" t="s">
        <v>21</v>
      </c>
    </row>
    <row r="93" spans="1:10" s="3" customFormat="1" x14ac:dyDescent="0.25">
      <c r="A93" s="2">
        <v>3</v>
      </c>
      <c r="B93" s="3" t="s">
        <v>34</v>
      </c>
      <c r="C93" s="3">
        <v>647</v>
      </c>
      <c r="D93" s="3">
        <v>1</v>
      </c>
      <c r="E93" s="3" t="s">
        <v>32</v>
      </c>
      <c r="F93" s="3" t="s">
        <v>33</v>
      </c>
      <c r="G93" s="3" t="str">
        <f>"2026-06-02 02:20:56.133"</f>
        <v>2026-06-02 02:20:56.133</v>
      </c>
      <c r="H93" s="3" t="s">
        <v>21</v>
      </c>
      <c r="I93" s="3">
        <v>20.81</v>
      </c>
      <c r="J93" s="3" t="s">
        <v>35</v>
      </c>
    </row>
    <row r="94" spans="1:10" s="3" customFormat="1" x14ac:dyDescent="0.25">
      <c r="A94" s="2">
        <v>4</v>
      </c>
      <c r="B94" s="3" t="s">
        <v>31</v>
      </c>
      <c r="C94" s="3">
        <v>647</v>
      </c>
      <c r="D94" s="3">
        <v>1</v>
      </c>
      <c r="E94" s="3" t="s">
        <v>32</v>
      </c>
      <c r="F94" s="3" t="s">
        <v>33</v>
      </c>
      <c r="G94" s="3" t="str">
        <f>"2026-06-02 02:20:53.633"</f>
        <v>2026-06-02 02:20:53.633</v>
      </c>
      <c r="H94" s="3" t="s">
        <v>21</v>
      </c>
    </row>
    <row r="95" spans="1:10" s="3" customFormat="1" x14ac:dyDescent="0.25">
      <c r="A95" s="2">
        <v>5</v>
      </c>
      <c r="B95" s="3" t="s">
        <v>34</v>
      </c>
      <c r="C95" s="3">
        <v>647</v>
      </c>
      <c r="D95" s="3">
        <v>1</v>
      </c>
      <c r="E95" s="3" t="s">
        <v>32</v>
      </c>
      <c r="F95" s="3" t="s">
        <v>33</v>
      </c>
      <c r="G95" s="3" t="str">
        <f>"2026-06-02 02:20:52.333"</f>
        <v>2026-06-02 02:20:52.333</v>
      </c>
      <c r="H95" s="3" t="s">
        <v>21</v>
      </c>
      <c r="I95" s="3">
        <v>21.57</v>
      </c>
      <c r="J95" s="3" t="s">
        <v>35</v>
      </c>
    </row>
    <row r="96" spans="1:10" s="3" customFormat="1" x14ac:dyDescent="0.25">
      <c r="A96" s="2">
        <v>6</v>
      </c>
      <c r="B96" s="3" t="s">
        <v>31</v>
      </c>
      <c r="C96" s="3">
        <v>647</v>
      </c>
      <c r="D96" s="3">
        <v>1</v>
      </c>
      <c r="E96" s="3" t="s">
        <v>32</v>
      </c>
      <c r="F96" s="3" t="s">
        <v>33</v>
      </c>
      <c r="G96" s="3" t="str">
        <f>"2026-06-02 02:20:46.233"</f>
        <v>2026-06-02 02:20:46.233</v>
      </c>
      <c r="H96" s="3" t="s">
        <v>21</v>
      </c>
    </row>
    <row r="97" spans="1:10" s="3" customFormat="1" x14ac:dyDescent="0.25">
      <c r="A97" s="2">
        <v>7</v>
      </c>
      <c r="B97" s="3" t="s">
        <v>34</v>
      </c>
      <c r="C97" s="3">
        <v>647</v>
      </c>
      <c r="D97" s="3">
        <v>1</v>
      </c>
      <c r="E97" s="3" t="s">
        <v>32</v>
      </c>
      <c r="F97" s="3" t="s">
        <v>33</v>
      </c>
      <c r="G97" s="3" t="str">
        <f>"2026-06-02 02:20:41.933"</f>
        <v>2026-06-02 02:20:41.933</v>
      </c>
      <c r="H97" s="3" t="s">
        <v>21</v>
      </c>
      <c r="I97" s="3">
        <v>19.7</v>
      </c>
      <c r="J97" s="3" t="s">
        <v>35</v>
      </c>
    </row>
    <row r="98" spans="1:10" s="3" customFormat="1" x14ac:dyDescent="0.25">
      <c r="A98" s="2">
        <v>8</v>
      </c>
      <c r="B98" s="3" t="s">
        <v>31</v>
      </c>
      <c r="C98" s="3">
        <v>647</v>
      </c>
      <c r="D98" s="3">
        <v>1</v>
      </c>
      <c r="E98" s="3" t="s">
        <v>32</v>
      </c>
      <c r="F98" s="3" t="s">
        <v>33</v>
      </c>
      <c r="G98" s="3" t="str">
        <f>"2026-06-02 02:20:37.033"</f>
        <v>2026-06-02 02:20:37.033</v>
      </c>
      <c r="H98" s="3" t="s">
        <v>21</v>
      </c>
    </row>
    <row r="99" spans="1:10" s="3" customFormat="1" x14ac:dyDescent="0.25">
      <c r="A99" s="2">
        <v>9</v>
      </c>
      <c r="B99" s="3" t="s">
        <v>34</v>
      </c>
      <c r="C99" s="3">
        <v>647</v>
      </c>
      <c r="D99" s="3">
        <v>1</v>
      </c>
      <c r="E99" s="3" t="s">
        <v>32</v>
      </c>
      <c r="F99" s="3" t="s">
        <v>33</v>
      </c>
      <c r="G99" s="3" t="str">
        <f>"2026-06-02 02:20:34.933"</f>
        <v>2026-06-02 02:20:34.933</v>
      </c>
      <c r="H99" s="3" t="s">
        <v>21</v>
      </c>
      <c r="I99" s="3">
        <v>19.100000000000001</v>
      </c>
      <c r="J99" s="3" t="s">
        <v>35</v>
      </c>
    </row>
    <row r="100" spans="1:10" s="3" customFormat="1" x14ac:dyDescent="0.25">
      <c r="A100" s="2">
        <v>0</v>
      </c>
      <c r="B100" s="3" t="s">
        <v>31</v>
      </c>
      <c r="C100" s="3">
        <v>647</v>
      </c>
      <c r="D100" s="3">
        <v>1</v>
      </c>
      <c r="E100" s="3" t="s">
        <v>32</v>
      </c>
      <c r="F100" s="3" t="s">
        <v>33</v>
      </c>
      <c r="G100" s="3" t="str">
        <f>"2026-06-02 01:21:44.733"</f>
        <v>2026-06-02 01:21:44.733</v>
      </c>
      <c r="H100" s="3" t="s">
        <v>21</v>
      </c>
    </row>
    <row r="101" spans="1:10" s="3" customFormat="1" x14ac:dyDescent="0.25">
      <c r="A101" s="2">
        <v>1</v>
      </c>
      <c r="B101" s="3" t="s">
        <v>34</v>
      </c>
      <c r="C101" s="3">
        <v>647</v>
      </c>
      <c r="D101" s="3">
        <v>1</v>
      </c>
      <c r="E101" s="3" t="s">
        <v>32</v>
      </c>
      <c r="F101" s="3" t="s">
        <v>33</v>
      </c>
      <c r="G101" s="3" t="str">
        <f>"2026-06-02 01:21:43.033"</f>
        <v>2026-06-02 01:21:43.033</v>
      </c>
      <c r="H101" s="3" t="s">
        <v>21</v>
      </c>
      <c r="I101" s="3">
        <v>16.399999999999999</v>
      </c>
      <c r="J101" s="3" t="s">
        <v>35</v>
      </c>
    </row>
    <row r="102" spans="1:10" s="3" customFormat="1" x14ac:dyDescent="0.25">
      <c r="A102" s="2">
        <v>2</v>
      </c>
      <c r="B102" s="3" t="s">
        <v>31</v>
      </c>
      <c r="C102" s="3">
        <v>647</v>
      </c>
      <c r="D102" s="3">
        <v>1</v>
      </c>
      <c r="E102" s="3" t="s">
        <v>32</v>
      </c>
      <c r="F102" s="3" t="s">
        <v>33</v>
      </c>
      <c r="G102" s="3" t="str">
        <f>"2026-06-02 01:21:28.133"</f>
        <v>2026-06-02 01:21:28.133</v>
      </c>
      <c r="H102" s="3" t="s">
        <v>21</v>
      </c>
    </row>
    <row r="103" spans="1:10" s="3" customFormat="1" x14ac:dyDescent="0.25">
      <c r="A103" s="2">
        <v>3</v>
      </c>
      <c r="B103" s="3" t="s">
        <v>34</v>
      </c>
      <c r="C103" s="3">
        <v>647</v>
      </c>
      <c r="D103" s="3">
        <v>1</v>
      </c>
      <c r="E103" s="3" t="s">
        <v>32</v>
      </c>
      <c r="F103" s="3" t="s">
        <v>33</v>
      </c>
      <c r="G103" s="3" t="str">
        <f>"2026-06-02 01:21:18.033"</f>
        <v>2026-06-02 01:21:18.033</v>
      </c>
      <c r="H103" s="3" t="s">
        <v>21</v>
      </c>
      <c r="I103" s="3">
        <v>10.81</v>
      </c>
      <c r="J103" s="3" t="s">
        <v>35</v>
      </c>
    </row>
    <row r="104" spans="1:10" s="3" customFormat="1" x14ac:dyDescent="0.25">
      <c r="A104" s="2">
        <v>4</v>
      </c>
      <c r="B104" s="3" t="s">
        <v>31</v>
      </c>
      <c r="C104" s="3">
        <v>647</v>
      </c>
      <c r="D104" s="3">
        <v>1</v>
      </c>
      <c r="E104" s="3" t="s">
        <v>32</v>
      </c>
      <c r="F104" s="3" t="s">
        <v>33</v>
      </c>
      <c r="G104" s="3" t="str">
        <f>"2026-06-02 01:21:12.333"</f>
        <v>2026-06-02 01:21:12.333</v>
      </c>
      <c r="H104" s="3" t="s">
        <v>21</v>
      </c>
    </row>
    <row r="105" spans="1:10" s="3" customFormat="1" x14ac:dyDescent="0.25">
      <c r="A105" s="2">
        <v>5</v>
      </c>
      <c r="B105" s="3" t="s">
        <v>34</v>
      </c>
      <c r="C105" s="3">
        <v>647</v>
      </c>
      <c r="D105" s="3">
        <v>1</v>
      </c>
      <c r="E105" s="3" t="s">
        <v>32</v>
      </c>
      <c r="F105" s="3" t="s">
        <v>33</v>
      </c>
      <c r="G105" s="3" t="str">
        <f>"2026-06-02 01:21:03.533"</f>
        <v>2026-06-02 01:21:03.533</v>
      </c>
      <c r="H105" s="3" t="s">
        <v>21</v>
      </c>
      <c r="I105" s="3">
        <v>10.76</v>
      </c>
      <c r="J105" s="3" t="s">
        <v>35</v>
      </c>
    </row>
    <row r="106" spans="1:10" x14ac:dyDescent="0.25">
      <c r="A106" s="1">
        <v>7</v>
      </c>
      <c r="B106" t="s">
        <v>31</v>
      </c>
      <c r="C106">
        <v>635</v>
      </c>
      <c r="D106">
        <v>1</v>
      </c>
      <c r="E106" t="s">
        <v>37</v>
      </c>
      <c r="F106" t="s">
        <v>38</v>
      </c>
      <c r="G106" t="str">
        <f>"2026-06-01 21:57:35.032"</f>
        <v>2026-06-01 21:57:35.032</v>
      </c>
      <c r="H106" t="s">
        <v>21</v>
      </c>
    </row>
    <row r="107" spans="1:10" x14ac:dyDescent="0.25">
      <c r="A107" s="1">
        <v>8</v>
      </c>
      <c r="B107" t="s">
        <v>34</v>
      </c>
      <c r="C107">
        <v>635</v>
      </c>
      <c r="D107">
        <v>1</v>
      </c>
      <c r="E107" t="s">
        <v>37</v>
      </c>
      <c r="F107" t="s">
        <v>38</v>
      </c>
      <c r="G107" t="str">
        <f>"2026-06-01 21:54:25.532"</f>
        <v>2026-06-01 21:54:25.532</v>
      </c>
      <c r="H107" t="s">
        <v>21</v>
      </c>
      <c r="I107">
        <v>2.81</v>
      </c>
      <c r="J107" t="s">
        <v>35</v>
      </c>
    </row>
    <row r="108" spans="1:10" s="3" customFormat="1" x14ac:dyDescent="0.25">
      <c r="A108" s="2">
        <v>9</v>
      </c>
      <c r="B108" s="3" t="s">
        <v>31</v>
      </c>
      <c r="C108" s="3">
        <v>647</v>
      </c>
      <c r="D108" s="3">
        <v>1</v>
      </c>
      <c r="E108" s="3" t="s">
        <v>32</v>
      </c>
      <c r="F108" s="3" t="s">
        <v>33</v>
      </c>
      <c r="G108" s="3" t="str">
        <f>"2026-06-01 21:09:02.333"</f>
        <v>2026-06-01 21:09:02.333</v>
      </c>
      <c r="H108" s="3" t="s">
        <v>21</v>
      </c>
    </row>
    <row r="109" spans="1:10" s="3" customFormat="1" x14ac:dyDescent="0.25">
      <c r="A109" s="2">
        <v>0</v>
      </c>
      <c r="B109" s="3" t="s">
        <v>34</v>
      </c>
      <c r="C109" s="3">
        <v>647</v>
      </c>
      <c r="D109" s="3">
        <v>1</v>
      </c>
      <c r="E109" s="3" t="s">
        <v>32</v>
      </c>
      <c r="F109" s="3" t="s">
        <v>33</v>
      </c>
      <c r="G109" s="3" t="str">
        <f>"2026-06-01 21:08:58.433"</f>
        <v>2026-06-01 21:08:58.433</v>
      </c>
      <c r="H109" s="3" t="s">
        <v>21</v>
      </c>
      <c r="I109" s="3">
        <v>16.22</v>
      </c>
      <c r="J109" s="3" t="s">
        <v>35</v>
      </c>
    </row>
    <row r="110" spans="1:10" s="3" customFormat="1" x14ac:dyDescent="0.25">
      <c r="A110" s="2">
        <v>1</v>
      </c>
      <c r="B110" s="3" t="s">
        <v>31</v>
      </c>
      <c r="C110" s="3">
        <v>647</v>
      </c>
      <c r="D110" s="3">
        <v>1</v>
      </c>
      <c r="E110" s="3" t="s">
        <v>32</v>
      </c>
      <c r="F110" s="3" t="s">
        <v>33</v>
      </c>
      <c r="G110" s="3" t="str">
        <f>"2026-06-01 21:04:24.133"</f>
        <v>2026-06-01 21:04:24.133</v>
      </c>
      <c r="H110" s="3" t="s">
        <v>21</v>
      </c>
    </row>
    <row r="111" spans="1:10" s="3" customFormat="1" x14ac:dyDescent="0.25">
      <c r="A111" s="2">
        <v>2</v>
      </c>
      <c r="B111" s="3" t="s">
        <v>34</v>
      </c>
      <c r="C111" s="3">
        <v>647</v>
      </c>
      <c r="D111" s="3">
        <v>1</v>
      </c>
      <c r="E111" s="3" t="s">
        <v>32</v>
      </c>
      <c r="F111" s="3" t="s">
        <v>33</v>
      </c>
      <c r="G111" s="3" t="str">
        <f>"2026-06-01 21:04:21.633"</f>
        <v>2026-06-01 21:04:21.633</v>
      </c>
      <c r="H111" s="3" t="s">
        <v>21</v>
      </c>
      <c r="I111" s="3">
        <v>14.13</v>
      </c>
      <c r="J111" s="3" t="s">
        <v>35</v>
      </c>
    </row>
    <row r="112" spans="1:10" s="3" customFormat="1" x14ac:dyDescent="0.25">
      <c r="A112" s="2">
        <v>3</v>
      </c>
      <c r="B112" s="3" t="s">
        <v>31</v>
      </c>
      <c r="C112" s="3">
        <v>647</v>
      </c>
      <c r="D112" s="3">
        <v>1</v>
      </c>
      <c r="E112" s="3" t="s">
        <v>32</v>
      </c>
      <c r="F112" s="3" t="s">
        <v>33</v>
      </c>
      <c r="G112" s="3" t="str">
        <f>"2026-06-01 21:04:19.733"</f>
        <v>2026-06-01 21:04:19.733</v>
      </c>
      <c r="H112" s="3" t="s">
        <v>21</v>
      </c>
    </row>
    <row r="113" spans="1:10" s="3" customFormat="1" x14ac:dyDescent="0.25">
      <c r="A113" s="2">
        <v>4</v>
      </c>
      <c r="B113" s="3" t="s">
        <v>34</v>
      </c>
      <c r="C113" s="3">
        <v>647</v>
      </c>
      <c r="D113" s="3">
        <v>1</v>
      </c>
      <c r="E113" s="3" t="s">
        <v>32</v>
      </c>
      <c r="F113" s="3" t="s">
        <v>33</v>
      </c>
      <c r="G113" s="3" t="str">
        <f>"2026-06-01 21:04:16.033"</f>
        <v>2026-06-01 21:04:16.033</v>
      </c>
      <c r="H113" s="3" t="s">
        <v>21</v>
      </c>
      <c r="I113" s="3">
        <v>12.69</v>
      </c>
      <c r="J113" s="3" t="s">
        <v>35</v>
      </c>
    </row>
    <row r="114" spans="1:10" x14ac:dyDescent="0.25">
      <c r="A114" s="1">
        <v>5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"2026-05-31 19:19:44.891"</f>
        <v>2026-05-31 19:19:44.891</v>
      </c>
      <c r="H114" t="s">
        <v>21</v>
      </c>
      <c r="I114">
        <v>0</v>
      </c>
      <c r="J114" t="s">
        <v>30</v>
      </c>
    </row>
    <row r="115" spans="1:10" x14ac:dyDescent="0.25">
      <c r="A115" s="1">
        <v>6</v>
      </c>
      <c r="B115" t="s">
        <v>31</v>
      </c>
      <c r="C115">
        <v>635</v>
      </c>
      <c r="D115">
        <v>1</v>
      </c>
      <c r="E115" t="s">
        <v>37</v>
      </c>
      <c r="F115" t="s">
        <v>38</v>
      </c>
      <c r="G115" t="str">
        <f>"2026-05-31 15:44:52.127"</f>
        <v>2026-05-31 15:44:52.127</v>
      </c>
      <c r="H115" t="s">
        <v>21</v>
      </c>
    </row>
    <row r="116" spans="1:10" x14ac:dyDescent="0.25">
      <c r="A116" s="1">
        <v>7</v>
      </c>
      <c r="B116" t="s">
        <v>34</v>
      </c>
      <c r="C116">
        <v>635</v>
      </c>
      <c r="D116">
        <v>1</v>
      </c>
      <c r="E116" t="s">
        <v>37</v>
      </c>
      <c r="F116" t="s">
        <v>38</v>
      </c>
      <c r="G116" t="str">
        <f>"2026-05-31 15:41:41.127"</f>
        <v>2026-05-31 15:41:41.127</v>
      </c>
      <c r="H116" t="s">
        <v>21</v>
      </c>
      <c r="I116">
        <v>2.71</v>
      </c>
      <c r="J116" t="s">
        <v>35</v>
      </c>
    </row>
    <row r="117" spans="1:10" x14ac:dyDescent="0.25">
      <c r="A117" s="1">
        <v>8</v>
      </c>
      <c r="B117" t="s">
        <v>19</v>
      </c>
      <c r="C117">
        <v>706</v>
      </c>
      <c r="D117">
        <v>4</v>
      </c>
      <c r="E117" t="s">
        <v>27</v>
      </c>
      <c r="F117" t="s">
        <v>28</v>
      </c>
      <c r="G117" t="str">
        <f>"2026-05-31 12:53:51.041"</f>
        <v>2026-05-31 12:53:51.041</v>
      </c>
      <c r="H117" t="s">
        <v>21</v>
      </c>
      <c r="I117">
        <v>0</v>
      </c>
      <c r="J117" t="s">
        <v>26</v>
      </c>
    </row>
    <row r="118" spans="1:10" x14ac:dyDescent="0.25">
      <c r="A118" s="1">
        <v>9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"2026-05-31 12:53:27.961"</f>
        <v>2026-05-31 12:53:27.961</v>
      </c>
      <c r="H118" t="s">
        <v>21</v>
      </c>
      <c r="I118">
        <v>0</v>
      </c>
      <c r="J118" t="s">
        <v>30</v>
      </c>
    </row>
    <row r="119" spans="1:10" s="3" customFormat="1" x14ac:dyDescent="0.25">
      <c r="A119" s="2">
        <v>10</v>
      </c>
      <c r="B119" s="3" t="s">
        <v>31</v>
      </c>
      <c r="C119" s="3">
        <v>647</v>
      </c>
      <c r="D119" s="3">
        <v>1</v>
      </c>
      <c r="E119" s="3" t="s">
        <v>32</v>
      </c>
      <c r="F119" s="3" t="s">
        <v>33</v>
      </c>
      <c r="G119" s="3" t="str">
        <f>"2026-05-31 07:23:49.831"</f>
        <v>2026-05-31 07:23:49.831</v>
      </c>
      <c r="H119" s="3" t="s">
        <v>21</v>
      </c>
    </row>
    <row r="120" spans="1:10" s="3" customFormat="1" x14ac:dyDescent="0.25">
      <c r="A120" s="2">
        <v>11</v>
      </c>
      <c r="B120" s="3" t="s">
        <v>34</v>
      </c>
      <c r="C120" s="3">
        <v>647</v>
      </c>
      <c r="D120" s="3">
        <v>1</v>
      </c>
      <c r="E120" s="3" t="s">
        <v>32</v>
      </c>
      <c r="F120" s="3" t="s">
        <v>33</v>
      </c>
      <c r="G120" s="3" t="str">
        <f>"2026-05-31 07:23:47.531"</f>
        <v>2026-05-31 07:23:47.531</v>
      </c>
      <c r="H120" s="3" t="s">
        <v>21</v>
      </c>
      <c r="I120" s="3">
        <v>9.2899999999999991</v>
      </c>
      <c r="J120" s="3" t="s">
        <v>36</v>
      </c>
    </row>
    <row r="121" spans="1:10" s="3" customFormat="1" x14ac:dyDescent="0.25">
      <c r="A121" s="2">
        <v>12</v>
      </c>
      <c r="B121" s="3" t="s">
        <v>31</v>
      </c>
      <c r="C121" s="3">
        <v>647</v>
      </c>
      <c r="D121" s="3">
        <v>1</v>
      </c>
      <c r="E121" s="3" t="s">
        <v>32</v>
      </c>
      <c r="F121" s="3" t="s">
        <v>33</v>
      </c>
      <c r="G121" s="3" t="str">
        <f>"2026-05-30 07:18:02.331"</f>
        <v>2026-05-30 07:18:02.331</v>
      </c>
      <c r="H121" s="3" t="s">
        <v>21</v>
      </c>
    </row>
    <row r="122" spans="1:10" s="3" customFormat="1" x14ac:dyDescent="0.25">
      <c r="A122" s="2">
        <v>13</v>
      </c>
      <c r="B122" s="3" t="s">
        <v>34</v>
      </c>
      <c r="C122" s="3">
        <v>647</v>
      </c>
      <c r="D122" s="3">
        <v>1</v>
      </c>
      <c r="E122" s="3" t="s">
        <v>32</v>
      </c>
      <c r="F122" s="3" t="s">
        <v>33</v>
      </c>
      <c r="G122" s="3" t="str">
        <f>"2026-05-30 07:17:57.031"</f>
        <v>2026-05-30 07:17:57.031</v>
      </c>
      <c r="H122" s="3" t="s">
        <v>21</v>
      </c>
      <c r="I122" s="3">
        <v>19.78</v>
      </c>
      <c r="J122" s="3" t="s">
        <v>35</v>
      </c>
    </row>
    <row r="123" spans="1:10" x14ac:dyDescent="0.25">
      <c r="A123" s="1">
        <v>14</v>
      </c>
      <c r="B123" t="s">
        <v>31</v>
      </c>
      <c r="C123">
        <v>635</v>
      </c>
      <c r="D123">
        <v>1</v>
      </c>
      <c r="E123" t="s">
        <v>37</v>
      </c>
      <c r="F123" t="s">
        <v>38</v>
      </c>
      <c r="G123" t="str">
        <f>"2026-05-29 18:38:03.382"</f>
        <v>2026-05-29 18:38:03.382</v>
      </c>
      <c r="H123" t="s">
        <v>21</v>
      </c>
    </row>
    <row r="124" spans="1:10" x14ac:dyDescent="0.25">
      <c r="A124" s="1">
        <v>15</v>
      </c>
      <c r="B124" t="s">
        <v>34</v>
      </c>
      <c r="C124">
        <v>635</v>
      </c>
      <c r="D124">
        <v>1</v>
      </c>
      <c r="E124" t="s">
        <v>37</v>
      </c>
      <c r="F124" t="s">
        <v>38</v>
      </c>
      <c r="G124" t="str">
        <f>"2026-05-29 18:35:24.884"</f>
        <v>2026-05-29 18:35:24.884</v>
      </c>
      <c r="H124" t="s">
        <v>21</v>
      </c>
      <c r="I124">
        <v>3.19</v>
      </c>
      <c r="J124" t="s">
        <v>39</v>
      </c>
    </row>
    <row r="125" spans="1:10" x14ac:dyDescent="0.25">
      <c r="A125" s="1">
        <v>16</v>
      </c>
      <c r="B125" t="s">
        <v>19</v>
      </c>
      <c r="C125">
        <v>706</v>
      </c>
      <c r="D125">
        <v>2</v>
      </c>
      <c r="E125" t="s">
        <v>27</v>
      </c>
      <c r="F125" t="s">
        <v>29</v>
      </c>
      <c r="G125" t="str">
        <f>"2026-05-28 22:05:22.157"</f>
        <v>2026-05-28 22:05:22.157</v>
      </c>
      <c r="H125" t="s">
        <v>21</v>
      </c>
      <c r="I125">
        <v>0</v>
      </c>
      <c r="J125" t="s">
        <v>26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"2026-05-28 22:04:44.977"</f>
        <v>2026-05-28 22:04:44.977</v>
      </c>
      <c r="H126" t="s">
        <v>21</v>
      </c>
    </row>
    <row r="127" spans="1:10" s="3" customFormat="1" x14ac:dyDescent="0.25">
      <c r="A127" s="2">
        <v>18</v>
      </c>
      <c r="B127" s="3" t="s">
        <v>31</v>
      </c>
      <c r="C127" s="3">
        <v>647</v>
      </c>
      <c r="D127" s="3">
        <v>1</v>
      </c>
      <c r="E127" s="3" t="s">
        <v>32</v>
      </c>
      <c r="F127" s="3" t="s">
        <v>33</v>
      </c>
      <c r="G127" s="3" t="str">
        <f>"2026-05-28 03:20:58.007"</f>
        <v>2026-05-28 03:20:58.007</v>
      </c>
      <c r="H127" s="3" t="s">
        <v>21</v>
      </c>
    </row>
    <row r="128" spans="1:10" s="3" customFormat="1" x14ac:dyDescent="0.25">
      <c r="A128" s="2">
        <v>19</v>
      </c>
      <c r="B128" s="3" t="s">
        <v>34</v>
      </c>
      <c r="C128" s="3">
        <v>647</v>
      </c>
      <c r="D128" s="3">
        <v>1</v>
      </c>
      <c r="E128" s="3" t="s">
        <v>32</v>
      </c>
      <c r="F128" s="3" t="s">
        <v>33</v>
      </c>
      <c r="G128" s="3" t="str">
        <f>"2026-05-28 03:20:51.307"</f>
        <v>2026-05-28 03:20:51.307</v>
      </c>
      <c r="H128" s="3" t="s">
        <v>21</v>
      </c>
      <c r="I128" s="3">
        <v>25.7</v>
      </c>
      <c r="J128" s="3" t="s">
        <v>35</v>
      </c>
    </row>
    <row r="129" spans="1:10" s="3" customFormat="1" x14ac:dyDescent="0.25">
      <c r="A129" s="2">
        <v>20</v>
      </c>
      <c r="B129" s="3" t="s">
        <v>31</v>
      </c>
      <c r="C129" s="3">
        <v>647</v>
      </c>
      <c r="D129" s="3">
        <v>1</v>
      </c>
      <c r="E129" s="3" t="s">
        <v>32</v>
      </c>
      <c r="F129" s="3" t="s">
        <v>33</v>
      </c>
      <c r="G129" s="3" t="str">
        <f>"2026-05-28 02:24:29.607"</f>
        <v>2026-05-28 02:24:29.607</v>
      </c>
      <c r="H129" s="3" t="s">
        <v>21</v>
      </c>
    </row>
    <row r="130" spans="1:10" s="3" customFormat="1" x14ac:dyDescent="0.25">
      <c r="A130" s="2">
        <v>21</v>
      </c>
      <c r="B130" s="3" t="s">
        <v>34</v>
      </c>
      <c r="C130" s="3">
        <v>647</v>
      </c>
      <c r="D130" s="3">
        <v>1</v>
      </c>
      <c r="E130" s="3" t="s">
        <v>32</v>
      </c>
      <c r="F130" s="3" t="s">
        <v>33</v>
      </c>
      <c r="G130" s="3" t="str">
        <f>"2026-05-28 02:24:27.807"</f>
        <v>2026-05-28 02:24:27.807</v>
      </c>
      <c r="H130" s="3" t="s">
        <v>21</v>
      </c>
      <c r="I130" s="3">
        <v>13.85</v>
      </c>
      <c r="J130" s="3" t="s">
        <v>35</v>
      </c>
    </row>
    <row r="131" spans="1:10" s="3" customFormat="1" x14ac:dyDescent="0.25">
      <c r="A131" s="2">
        <v>22</v>
      </c>
      <c r="B131" s="3" t="s">
        <v>31</v>
      </c>
      <c r="C131" s="3">
        <v>647</v>
      </c>
      <c r="D131" s="3">
        <v>1</v>
      </c>
      <c r="E131" s="3" t="s">
        <v>32</v>
      </c>
      <c r="F131" s="3" t="s">
        <v>33</v>
      </c>
      <c r="G131" s="3" t="str">
        <f>"2026-05-28 02:22:00.107"</f>
        <v>2026-05-28 02:22:00.107</v>
      </c>
      <c r="H131" s="3" t="s">
        <v>21</v>
      </c>
    </row>
    <row r="132" spans="1:10" s="3" customFormat="1" x14ac:dyDescent="0.25">
      <c r="A132" s="2">
        <v>23</v>
      </c>
      <c r="B132" s="3" t="s">
        <v>34</v>
      </c>
      <c r="C132" s="3">
        <v>647</v>
      </c>
      <c r="D132" s="3">
        <v>1</v>
      </c>
      <c r="E132" s="3" t="s">
        <v>32</v>
      </c>
      <c r="F132" s="3" t="s">
        <v>33</v>
      </c>
      <c r="G132" s="3" t="str">
        <f>"2026-05-28 02:21:58.807"</f>
        <v>2026-05-28 02:21:58.807</v>
      </c>
      <c r="H132" s="3" t="s">
        <v>21</v>
      </c>
      <c r="I132" s="3">
        <v>15.92</v>
      </c>
      <c r="J132" s="3" t="s">
        <v>35</v>
      </c>
    </row>
    <row r="133" spans="1:10" s="3" customFormat="1" x14ac:dyDescent="0.25">
      <c r="A133" s="2">
        <v>24</v>
      </c>
      <c r="B133" s="3" t="s">
        <v>31</v>
      </c>
      <c r="C133" s="3">
        <v>647</v>
      </c>
      <c r="D133" s="3">
        <v>1</v>
      </c>
      <c r="E133" s="3" t="s">
        <v>32</v>
      </c>
      <c r="F133" s="3" t="s">
        <v>33</v>
      </c>
      <c r="G133" s="3" t="str">
        <f>"2026-05-28 00:46:01.507"</f>
        <v>2026-05-28 00:46:01.507</v>
      </c>
      <c r="H133" s="3" t="s">
        <v>21</v>
      </c>
    </row>
    <row r="134" spans="1:10" s="3" customFormat="1" x14ac:dyDescent="0.25">
      <c r="A134" s="2">
        <v>25</v>
      </c>
      <c r="B134" s="3" t="s">
        <v>34</v>
      </c>
      <c r="C134" s="3">
        <v>647</v>
      </c>
      <c r="D134" s="3">
        <v>1</v>
      </c>
      <c r="E134" s="3" t="s">
        <v>32</v>
      </c>
      <c r="F134" s="3" t="s">
        <v>33</v>
      </c>
      <c r="G134" s="3" t="str">
        <f>"2026-05-28 00:45:59.207"</f>
        <v>2026-05-28 00:45:59.207</v>
      </c>
      <c r="H134" s="3" t="s">
        <v>21</v>
      </c>
      <c r="I134" s="3">
        <v>17.45</v>
      </c>
      <c r="J134" s="3" t="s">
        <v>35</v>
      </c>
    </row>
    <row r="135" spans="1:10" s="3" customFormat="1" x14ac:dyDescent="0.25">
      <c r="A135" s="2">
        <v>26</v>
      </c>
      <c r="B135" s="3" t="s">
        <v>31</v>
      </c>
      <c r="C135" s="3">
        <v>647</v>
      </c>
      <c r="D135" s="3">
        <v>1</v>
      </c>
      <c r="E135" s="3" t="s">
        <v>32</v>
      </c>
      <c r="F135" s="3" t="s">
        <v>33</v>
      </c>
      <c r="G135" s="3" t="str">
        <f>"2026-05-28 00:11:30.607"</f>
        <v>2026-05-28 00:11:30.607</v>
      </c>
      <c r="H135" s="3" t="s">
        <v>21</v>
      </c>
    </row>
    <row r="136" spans="1:10" s="3" customFormat="1" x14ac:dyDescent="0.25">
      <c r="A136" s="2">
        <v>27</v>
      </c>
      <c r="B136" s="3" t="s">
        <v>34</v>
      </c>
      <c r="C136" s="3">
        <v>647</v>
      </c>
      <c r="D136" s="3">
        <v>1</v>
      </c>
      <c r="E136" s="3" t="s">
        <v>32</v>
      </c>
      <c r="F136" s="3" t="s">
        <v>33</v>
      </c>
      <c r="G136" s="3" t="str">
        <f>"2026-05-28 00:11:16.708"</f>
        <v>2026-05-28 00:11:16.708</v>
      </c>
      <c r="H136" s="3" t="s">
        <v>21</v>
      </c>
      <c r="I136" s="3">
        <v>15.84</v>
      </c>
      <c r="J136" s="3" t="s">
        <v>35</v>
      </c>
    </row>
    <row r="137" spans="1:10" x14ac:dyDescent="0.25">
      <c r="A137" s="1">
        <v>28</v>
      </c>
      <c r="B137" t="s">
        <v>19</v>
      </c>
      <c r="C137">
        <v>706</v>
      </c>
      <c r="D137">
        <v>2</v>
      </c>
      <c r="E137" t="s">
        <v>27</v>
      </c>
      <c r="F137" t="s">
        <v>29</v>
      </c>
      <c r="G137" t="str">
        <f>"2026-05-27 15:27:04.909"</f>
        <v>2026-05-27 15:27:04.909</v>
      </c>
      <c r="H137" t="s">
        <v>21</v>
      </c>
      <c r="I137">
        <v>0</v>
      </c>
      <c r="J137" t="s">
        <v>26</v>
      </c>
    </row>
    <row r="138" spans="1:10" x14ac:dyDescent="0.25">
      <c r="A138" s="1">
        <v>29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"2026-05-27 15:26:34.749"</f>
        <v>2026-05-27 15:26:34.749</v>
      </c>
      <c r="H138" t="s">
        <v>21</v>
      </c>
      <c r="I138">
        <v>0</v>
      </c>
      <c r="J138" t="s">
        <v>30</v>
      </c>
    </row>
    <row r="139" spans="1:10" x14ac:dyDescent="0.25">
      <c r="A139" s="1">
        <v>30</v>
      </c>
      <c r="B139" t="s">
        <v>31</v>
      </c>
      <c r="C139">
        <v>630</v>
      </c>
      <c r="D139">
        <v>5</v>
      </c>
      <c r="E139" t="s">
        <v>23</v>
      </c>
      <c r="F139" t="s">
        <v>24</v>
      </c>
      <c r="G139" t="str">
        <f>"2026-05-27 14:03:05.935"</f>
        <v>2026-05-27 14:03:05.935</v>
      </c>
      <c r="H139" t="s">
        <v>25</v>
      </c>
    </row>
    <row r="140" spans="1:10" x14ac:dyDescent="0.25">
      <c r="A140" s="1">
        <v>31</v>
      </c>
      <c r="B140" t="s">
        <v>19</v>
      </c>
      <c r="C140">
        <v>706</v>
      </c>
      <c r="D140">
        <v>2</v>
      </c>
      <c r="E140" t="s">
        <v>27</v>
      </c>
      <c r="F140" t="s">
        <v>29</v>
      </c>
      <c r="G140" t="str">
        <f>"2026-05-27 14:02:35.784"</f>
        <v>2026-05-27 14:02:35.784</v>
      </c>
      <c r="H140" t="s">
        <v>21</v>
      </c>
      <c r="I140">
        <v>0</v>
      </c>
      <c r="J140" t="s">
        <v>26</v>
      </c>
    </row>
    <row r="141" spans="1:10" x14ac:dyDescent="0.25">
      <c r="A141" s="1">
        <v>32</v>
      </c>
      <c r="B141" t="s">
        <v>22</v>
      </c>
      <c r="C141">
        <v>630</v>
      </c>
      <c r="D141">
        <v>5</v>
      </c>
      <c r="E141" t="s">
        <v>23</v>
      </c>
      <c r="F141" t="s">
        <v>24</v>
      </c>
      <c r="G141" t="str">
        <f>"2026-05-27 12:32:39.535"</f>
        <v>2026-05-27 12:32:39.535</v>
      </c>
      <c r="H141" t="s">
        <v>25</v>
      </c>
      <c r="I141">
        <v>0</v>
      </c>
      <c r="J141" t="s">
        <v>26</v>
      </c>
    </row>
    <row r="142" spans="1:10" x14ac:dyDescent="0.25">
      <c r="A142" s="1">
        <v>33</v>
      </c>
      <c r="B142" t="s">
        <v>31</v>
      </c>
      <c r="C142">
        <v>630</v>
      </c>
      <c r="D142">
        <v>5</v>
      </c>
      <c r="E142" t="s">
        <v>23</v>
      </c>
      <c r="F142" t="s">
        <v>24</v>
      </c>
      <c r="G142" t="str">
        <f>"2026-05-27 11:54:14.135"</f>
        <v>2026-05-27 11:54:14.135</v>
      </c>
      <c r="H142" t="s">
        <v>25</v>
      </c>
    </row>
    <row r="143" spans="1:10" x14ac:dyDescent="0.25">
      <c r="A143" s="1">
        <v>34</v>
      </c>
      <c r="B143" t="s">
        <v>19</v>
      </c>
      <c r="C143">
        <v>706</v>
      </c>
      <c r="D143">
        <v>4</v>
      </c>
      <c r="E143" t="s">
        <v>27</v>
      </c>
      <c r="F143" t="s">
        <v>28</v>
      </c>
      <c r="G143" t="str">
        <f>"2026-05-27 11:53:44.014"</f>
        <v>2026-05-27 11:53:44.014</v>
      </c>
      <c r="H143" t="s">
        <v>21</v>
      </c>
      <c r="I143">
        <v>0</v>
      </c>
      <c r="J143" t="s">
        <v>26</v>
      </c>
    </row>
    <row r="144" spans="1:10" x14ac:dyDescent="0.25">
      <c r="A144" s="1">
        <v>35</v>
      </c>
      <c r="B144" t="s">
        <v>22</v>
      </c>
      <c r="C144">
        <v>630</v>
      </c>
      <c r="D144">
        <v>5</v>
      </c>
      <c r="E144" t="s">
        <v>23</v>
      </c>
      <c r="F144" t="s">
        <v>24</v>
      </c>
      <c r="G144" t="str">
        <f>"2026-05-27 11:36:41.535"</f>
        <v>2026-05-27 11:36:41.535</v>
      </c>
      <c r="H144" t="s">
        <v>25</v>
      </c>
      <c r="I144">
        <v>0</v>
      </c>
      <c r="J144" t="s">
        <v>26</v>
      </c>
    </row>
    <row r="145" spans="1:10" x14ac:dyDescent="0.25">
      <c r="A145" s="1">
        <v>36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"2026-05-27 11:31:38.724"</f>
        <v>2026-05-27 11:31:38.724</v>
      </c>
      <c r="H145" t="s">
        <v>21</v>
      </c>
    </row>
    <row r="146" spans="1:10" x14ac:dyDescent="0.25">
      <c r="A146" s="1">
        <v>37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"2026-05-27 09:32:07.762"</f>
        <v>2026-05-27 09:32:07.762</v>
      </c>
      <c r="H146" t="s">
        <v>21</v>
      </c>
      <c r="I146">
        <v>0</v>
      </c>
      <c r="J146" t="s">
        <v>30</v>
      </c>
    </row>
    <row r="147" spans="1:10" x14ac:dyDescent="0.25">
      <c r="A147" s="1">
        <v>38</v>
      </c>
      <c r="B147" t="s">
        <v>19</v>
      </c>
      <c r="C147">
        <v>706</v>
      </c>
      <c r="D147">
        <v>4</v>
      </c>
      <c r="E147" t="s">
        <v>27</v>
      </c>
      <c r="F147" t="s">
        <v>28</v>
      </c>
      <c r="G147" t="str">
        <f>"2026-05-27 09:21:54.557"</f>
        <v>2026-05-27 09:21:54.557</v>
      </c>
      <c r="H147" t="s">
        <v>21</v>
      </c>
      <c r="I147">
        <v>0</v>
      </c>
      <c r="J147" t="s">
        <v>26</v>
      </c>
    </row>
    <row r="148" spans="1:10" x14ac:dyDescent="0.25">
      <c r="A148" s="1">
        <v>39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"2026-05-27 09:21:08.767"</f>
        <v>2026-05-27 09:21:08.767</v>
      </c>
      <c r="H148" t="s">
        <v>21</v>
      </c>
    </row>
    <row r="149" spans="1:10" s="3" customFormat="1" x14ac:dyDescent="0.25">
      <c r="A149" s="2">
        <v>40</v>
      </c>
      <c r="B149" s="3" t="s">
        <v>31</v>
      </c>
      <c r="C149" s="3">
        <v>647</v>
      </c>
      <c r="D149" s="3">
        <v>1</v>
      </c>
      <c r="E149" s="3" t="s">
        <v>32</v>
      </c>
      <c r="F149" s="3" t="s">
        <v>33</v>
      </c>
      <c r="G149" s="3" t="str">
        <f>"2026-05-27 04:22:02.502"</f>
        <v>2026-05-27 04:22:02.502</v>
      </c>
      <c r="H149" s="3" t="s">
        <v>21</v>
      </c>
    </row>
    <row r="150" spans="1:10" s="3" customFormat="1" x14ac:dyDescent="0.25">
      <c r="A150" s="2">
        <v>41</v>
      </c>
      <c r="B150" s="3" t="s">
        <v>34</v>
      </c>
      <c r="C150" s="3">
        <v>647</v>
      </c>
      <c r="D150" s="3">
        <v>1</v>
      </c>
      <c r="E150" s="3" t="s">
        <v>32</v>
      </c>
      <c r="F150" s="3" t="s">
        <v>33</v>
      </c>
      <c r="G150" s="3" t="str">
        <f>"2026-05-27 04:22:01.403"</f>
        <v>2026-05-27 04:22:01.403</v>
      </c>
      <c r="H150" s="3" t="s">
        <v>21</v>
      </c>
      <c r="I150" s="3">
        <v>10.9</v>
      </c>
      <c r="J150" s="3" t="s">
        <v>35</v>
      </c>
    </row>
    <row r="151" spans="1:10" x14ac:dyDescent="0.25">
      <c r="A151" s="1">
        <v>42</v>
      </c>
      <c r="B151" t="s">
        <v>19</v>
      </c>
      <c r="C151">
        <v>706</v>
      </c>
      <c r="D151">
        <v>4</v>
      </c>
      <c r="E151" t="s">
        <v>27</v>
      </c>
      <c r="F151" t="s">
        <v>28</v>
      </c>
      <c r="G151" t="str">
        <f>"2026-05-26 20:48:40.874"</f>
        <v>2026-05-26 20:48:40.874</v>
      </c>
      <c r="H151" t="s">
        <v>21</v>
      </c>
      <c r="I151">
        <v>0</v>
      </c>
      <c r="J151" t="s">
        <v>26</v>
      </c>
    </row>
    <row r="152" spans="1:10" x14ac:dyDescent="0.25">
      <c r="A152" s="1">
        <v>43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"2026-05-26 20:48:14.734"</f>
        <v>2026-05-26 20:48:14.734</v>
      </c>
      <c r="H152" t="s">
        <v>21</v>
      </c>
    </row>
    <row r="153" spans="1:10" x14ac:dyDescent="0.25">
      <c r="A153" s="1">
        <v>45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"2026-05-26 13:29:50.992"</f>
        <v>2026-05-26 13:29:50.992</v>
      </c>
      <c r="H153" t="s">
        <v>21</v>
      </c>
      <c r="I153">
        <v>0</v>
      </c>
      <c r="J153" t="s">
        <v>30</v>
      </c>
    </row>
    <row r="154" spans="1:10" x14ac:dyDescent="0.25">
      <c r="A154" s="1">
        <v>46</v>
      </c>
      <c r="B154" t="s">
        <v>31</v>
      </c>
      <c r="C154">
        <v>635</v>
      </c>
      <c r="D154">
        <v>1</v>
      </c>
      <c r="E154" t="s">
        <v>37</v>
      </c>
      <c r="F154" t="s">
        <v>38</v>
      </c>
      <c r="G154" t="str">
        <f>"2026-05-26 12:18:31.879"</f>
        <v>2026-05-26 12:18:31.879</v>
      </c>
      <c r="H154" t="s">
        <v>21</v>
      </c>
    </row>
    <row r="155" spans="1:10" x14ac:dyDescent="0.25">
      <c r="A155" s="1">
        <v>47</v>
      </c>
      <c r="B155" t="s">
        <v>34</v>
      </c>
      <c r="C155">
        <v>635</v>
      </c>
      <c r="D155">
        <v>1</v>
      </c>
      <c r="E155" t="s">
        <v>37</v>
      </c>
      <c r="F155" t="s">
        <v>38</v>
      </c>
      <c r="G155" t="str">
        <f>"2026-05-26 11:49:16.479"</f>
        <v>2026-05-26 11:49:16.479</v>
      </c>
      <c r="H155" t="s">
        <v>21</v>
      </c>
      <c r="I155">
        <v>3.19</v>
      </c>
      <c r="J155" t="s">
        <v>39</v>
      </c>
    </row>
    <row r="156" spans="1:10" x14ac:dyDescent="0.25">
      <c r="A156" s="1">
        <v>48</v>
      </c>
      <c r="B156" t="s">
        <v>19</v>
      </c>
      <c r="C156">
        <v>706</v>
      </c>
      <c r="D156">
        <v>4</v>
      </c>
      <c r="E156" t="s">
        <v>27</v>
      </c>
      <c r="F156" t="s">
        <v>28</v>
      </c>
      <c r="G156" t="str">
        <f>"2026-05-25 12:45:27.251"</f>
        <v>2026-05-25 12:45:27.251</v>
      </c>
      <c r="H156" t="s">
        <v>21</v>
      </c>
      <c r="I156">
        <v>0</v>
      </c>
      <c r="J156" t="s">
        <v>26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"2026-05-25 12:45:12.001"</f>
        <v>2026-05-25 12:45:12.001</v>
      </c>
      <c r="H157" t="s">
        <v>21</v>
      </c>
      <c r="I157">
        <v>0</v>
      </c>
      <c r="J157" t="s">
        <v>30</v>
      </c>
    </row>
    <row r="158" spans="1:10" x14ac:dyDescent="0.25">
      <c r="A158" s="1">
        <v>50</v>
      </c>
      <c r="B158" t="s">
        <v>19</v>
      </c>
      <c r="C158">
        <v>706</v>
      </c>
      <c r="D158">
        <v>4</v>
      </c>
      <c r="E158" t="s">
        <v>27</v>
      </c>
      <c r="F158" t="s">
        <v>28</v>
      </c>
      <c r="G158" t="str">
        <f>"2026-05-24 18:38:21.393"</f>
        <v>2026-05-24 18:38:21.393</v>
      </c>
      <c r="H158" t="s">
        <v>21</v>
      </c>
      <c r="I158">
        <v>0</v>
      </c>
      <c r="J158" t="s">
        <v>26</v>
      </c>
    </row>
    <row r="159" spans="1:10" x14ac:dyDescent="0.25">
      <c r="A159" s="1">
        <v>51</v>
      </c>
      <c r="B159" t="s">
        <v>19</v>
      </c>
      <c r="C159">
        <v>706</v>
      </c>
      <c r="D159">
        <v>4</v>
      </c>
      <c r="E159" t="s">
        <v>27</v>
      </c>
      <c r="F159" t="s">
        <v>28</v>
      </c>
      <c r="G159" t="str">
        <f>"2026-05-24 13:34:53.253"</f>
        <v>2026-05-24 13:34:53.253</v>
      </c>
      <c r="H159" t="s">
        <v>21</v>
      </c>
      <c r="I159">
        <v>0</v>
      </c>
      <c r="J159" t="s">
        <v>26</v>
      </c>
    </row>
    <row r="160" spans="1:10" x14ac:dyDescent="0.25">
      <c r="A160" s="1">
        <v>52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"2026-05-24 13:34:30.003"</f>
        <v>2026-05-24 13:34:30.003</v>
      </c>
      <c r="H160" t="s">
        <v>21</v>
      </c>
      <c r="I160">
        <v>0</v>
      </c>
      <c r="J160" t="s">
        <v>30</v>
      </c>
    </row>
    <row r="161" spans="1:10" x14ac:dyDescent="0.25">
      <c r="A161" s="1">
        <v>53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"2026-05-23 21:28:08.866"</f>
        <v>2026-05-23 21:28:08.866</v>
      </c>
      <c r="H161" t="s">
        <v>21</v>
      </c>
    </row>
    <row r="162" spans="1:10" x14ac:dyDescent="0.25">
      <c r="A162" s="1">
        <v>54</v>
      </c>
      <c r="B162" t="s">
        <v>19</v>
      </c>
      <c r="C162">
        <v>706</v>
      </c>
      <c r="D162">
        <v>4</v>
      </c>
      <c r="E162" t="s">
        <v>27</v>
      </c>
      <c r="F162" t="s">
        <v>28</v>
      </c>
      <c r="G162" t="str">
        <f>"2026-05-23 12:53:05.238"</f>
        <v>2026-05-23 12:53:05.238</v>
      </c>
      <c r="H162" t="s">
        <v>21</v>
      </c>
      <c r="I162">
        <v>0</v>
      </c>
      <c r="J162" t="s">
        <v>26</v>
      </c>
    </row>
    <row r="163" spans="1:10" x14ac:dyDescent="0.25">
      <c r="A163" s="1">
        <v>55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"2026-05-23 12:52:46.948"</f>
        <v>2026-05-23 12:52:46.948</v>
      </c>
      <c r="H163" t="s">
        <v>21</v>
      </c>
    </row>
    <row r="164" spans="1:10" x14ac:dyDescent="0.25">
      <c r="A164" s="1">
        <v>56</v>
      </c>
      <c r="B164" t="s">
        <v>19</v>
      </c>
      <c r="C164">
        <v>706</v>
      </c>
      <c r="D164">
        <v>4</v>
      </c>
      <c r="E164" t="s">
        <v>27</v>
      </c>
      <c r="F164" t="s">
        <v>28</v>
      </c>
      <c r="G164" t="str">
        <f>"2026-05-22 13:37:36.442"</f>
        <v>2026-05-22 13:37:36.442</v>
      </c>
      <c r="H164" t="s">
        <v>21</v>
      </c>
      <c r="I164">
        <v>0</v>
      </c>
      <c r="J164" t="s">
        <v>26</v>
      </c>
    </row>
    <row r="165" spans="1:10" x14ac:dyDescent="0.25">
      <c r="A165" s="1">
        <v>57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"2026-05-22 13:35:29.942"</f>
        <v>2026-05-22 13:35:29.942</v>
      </c>
      <c r="H165" t="s">
        <v>21</v>
      </c>
    </row>
    <row r="166" spans="1:10" x14ac:dyDescent="0.25">
      <c r="A166" s="1">
        <v>58</v>
      </c>
      <c r="B166" t="s">
        <v>31</v>
      </c>
      <c r="C166">
        <v>635</v>
      </c>
      <c r="D166">
        <v>1</v>
      </c>
      <c r="E166" t="s">
        <v>37</v>
      </c>
      <c r="F166" t="s">
        <v>38</v>
      </c>
      <c r="G166" t="str">
        <f>"2026-05-21 18:53:51.287"</f>
        <v>2026-05-21 18:53:51.287</v>
      </c>
      <c r="H166" t="s">
        <v>21</v>
      </c>
    </row>
    <row r="167" spans="1:10" x14ac:dyDescent="0.25">
      <c r="A167" s="1">
        <v>59</v>
      </c>
      <c r="B167" t="s">
        <v>34</v>
      </c>
      <c r="C167">
        <v>635</v>
      </c>
      <c r="D167">
        <v>1</v>
      </c>
      <c r="E167" t="s">
        <v>37</v>
      </c>
      <c r="F167" t="s">
        <v>38</v>
      </c>
      <c r="G167" t="str">
        <f>"2026-05-21 18:25:36.787"</f>
        <v>2026-05-21 18:25:36.787</v>
      </c>
      <c r="H167" t="s">
        <v>21</v>
      </c>
      <c r="I167">
        <v>7.93</v>
      </c>
      <c r="J167" t="s">
        <v>39</v>
      </c>
    </row>
    <row r="168" spans="1:10" x14ac:dyDescent="0.25">
      <c r="A168" s="1">
        <v>60</v>
      </c>
      <c r="B168" t="s">
        <v>19</v>
      </c>
      <c r="C168">
        <v>706</v>
      </c>
      <c r="D168">
        <v>2</v>
      </c>
      <c r="E168" t="s">
        <v>27</v>
      </c>
      <c r="F168" t="s">
        <v>29</v>
      </c>
      <c r="G168" t="str">
        <f>"2026-05-21 13:43:56.286"</f>
        <v>2026-05-21 13:43:56.286</v>
      </c>
      <c r="H168" t="s">
        <v>21</v>
      </c>
      <c r="I168">
        <v>0</v>
      </c>
      <c r="J168" t="s">
        <v>26</v>
      </c>
    </row>
    <row r="169" spans="1:10" x14ac:dyDescent="0.25">
      <c r="A169" s="1">
        <v>61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"2026-05-21 13:43:22.746"</f>
        <v>2026-05-21 13:43:22.746</v>
      </c>
      <c r="H169" t="s">
        <v>21</v>
      </c>
    </row>
    <row r="170" spans="1:10" x14ac:dyDescent="0.25">
      <c r="A170" s="1">
        <v>62</v>
      </c>
      <c r="B170" t="s">
        <v>22</v>
      </c>
      <c r="C170">
        <v>630</v>
      </c>
      <c r="D170">
        <v>5</v>
      </c>
      <c r="E170" t="s">
        <v>23</v>
      </c>
      <c r="F170" t="s">
        <v>24</v>
      </c>
      <c r="G170" t="str">
        <f>"2026-05-21 12:51:04.508"</f>
        <v>2026-05-21 12:51:04.508</v>
      </c>
      <c r="H170" t="s">
        <v>25</v>
      </c>
      <c r="I170">
        <v>0</v>
      </c>
      <c r="J170" t="s">
        <v>26</v>
      </c>
    </row>
    <row r="171" spans="1:10" x14ac:dyDescent="0.25">
      <c r="A171" s="1">
        <v>63</v>
      </c>
      <c r="B171" t="s">
        <v>19</v>
      </c>
      <c r="C171">
        <v>706</v>
      </c>
      <c r="D171">
        <v>4</v>
      </c>
      <c r="E171" t="s">
        <v>27</v>
      </c>
      <c r="F171" t="s">
        <v>28</v>
      </c>
      <c r="G171" t="str">
        <f>"2026-05-20 12:44:00.856"</f>
        <v>2026-05-20 12:44:00.856</v>
      </c>
      <c r="H171" t="s">
        <v>21</v>
      </c>
      <c r="I171">
        <v>0</v>
      </c>
      <c r="J171" t="s">
        <v>26</v>
      </c>
    </row>
    <row r="172" spans="1:10" x14ac:dyDescent="0.25">
      <c r="A172" s="1">
        <v>64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"2026-05-20 12:43:16.816"</f>
        <v>2026-05-20 12:43:16.816</v>
      </c>
      <c r="H172" t="s">
        <v>21</v>
      </c>
    </row>
    <row r="173" spans="1:10" x14ac:dyDescent="0.25">
      <c r="A173" s="1">
        <v>65</v>
      </c>
      <c r="B173" t="s">
        <v>31</v>
      </c>
      <c r="C173">
        <v>630</v>
      </c>
      <c r="D173">
        <v>5</v>
      </c>
      <c r="E173" t="s">
        <v>23</v>
      </c>
      <c r="F173" t="s">
        <v>24</v>
      </c>
      <c r="G173" t="str">
        <f>"2026-05-19 15:32:47.984"</f>
        <v>2026-05-19 15:32:47.984</v>
      </c>
      <c r="H173" t="s">
        <v>25</v>
      </c>
    </row>
    <row r="174" spans="1:10" x14ac:dyDescent="0.25">
      <c r="A174" s="1">
        <v>66</v>
      </c>
      <c r="B174" t="s">
        <v>19</v>
      </c>
      <c r="C174">
        <v>706</v>
      </c>
      <c r="D174">
        <v>2</v>
      </c>
      <c r="E174" t="s">
        <v>27</v>
      </c>
      <c r="F174" t="s">
        <v>29</v>
      </c>
      <c r="G174" t="str">
        <f>"2026-05-19 15:32:17.909"</f>
        <v>2026-05-19 15:32:17.909</v>
      </c>
      <c r="H174" t="s">
        <v>21</v>
      </c>
      <c r="I174">
        <v>0</v>
      </c>
      <c r="J174" t="s">
        <v>26</v>
      </c>
    </row>
    <row r="175" spans="1:10" x14ac:dyDescent="0.25">
      <c r="A175" s="1">
        <v>67</v>
      </c>
      <c r="B175" t="s">
        <v>22</v>
      </c>
      <c r="C175">
        <v>630</v>
      </c>
      <c r="D175">
        <v>5</v>
      </c>
      <c r="E175" t="s">
        <v>23</v>
      </c>
      <c r="F175" t="s">
        <v>24</v>
      </c>
      <c r="G175" t="str">
        <f>"2026-05-19 15:12:06.984"</f>
        <v>2026-05-19 15:12:06.984</v>
      </c>
      <c r="H175" t="s">
        <v>25</v>
      </c>
      <c r="I175">
        <v>0</v>
      </c>
      <c r="J175" t="s">
        <v>26</v>
      </c>
    </row>
    <row r="176" spans="1:10" x14ac:dyDescent="0.25">
      <c r="A176" s="1">
        <v>69</v>
      </c>
      <c r="B176" t="s">
        <v>31</v>
      </c>
      <c r="C176">
        <v>635</v>
      </c>
      <c r="D176">
        <v>1</v>
      </c>
      <c r="E176" t="s">
        <v>37</v>
      </c>
      <c r="F176" t="s">
        <v>38</v>
      </c>
      <c r="G176" t="str">
        <f>"2026-05-19 11:04:26.336"</f>
        <v>2026-05-19 11:04:26.336</v>
      </c>
      <c r="H176" t="s">
        <v>21</v>
      </c>
    </row>
    <row r="177" spans="1:10" x14ac:dyDescent="0.25">
      <c r="A177" s="1">
        <v>70</v>
      </c>
      <c r="B177" t="s">
        <v>34</v>
      </c>
      <c r="C177">
        <v>635</v>
      </c>
      <c r="D177">
        <v>1</v>
      </c>
      <c r="E177" t="s">
        <v>37</v>
      </c>
      <c r="F177" t="s">
        <v>38</v>
      </c>
      <c r="G177" t="str">
        <f>"2026-05-19 10:50:09.836"</f>
        <v>2026-05-19 10:50:09.836</v>
      </c>
      <c r="H177" t="s">
        <v>21</v>
      </c>
      <c r="I177">
        <v>8.6999999999999993</v>
      </c>
      <c r="J177" t="s">
        <v>39</v>
      </c>
    </row>
    <row r="178" spans="1:10" x14ac:dyDescent="0.25">
      <c r="A178" s="1">
        <v>71</v>
      </c>
      <c r="B178" t="s">
        <v>31</v>
      </c>
      <c r="C178">
        <v>98</v>
      </c>
      <c r="D178">
        <v>1</v>
      </c>
      <c r="E178" t="s">
        <v>40</v>
      </c>
      <c r="F178" t="s">
        <v>41</v>
      </c>
      <c r="G178" t="str">
        <f>"2026-05-18 23:59:33.096"</f>
        <v>2026-05-18 23:59:33.096</v>
      </c>
      <c r="H178" t="s">
        <v>21</v>
      </c>
    </row>
    <row r="179" spans="1:10" x14ac:dyDescent="0.25">
      <c r="A179" s="1">
        <v>72</v>
      </c>
      <c r="B179" t="s">
        <v>34</v>
      </c>
      <c r="C179">
        <v>98</v>
      </c>
      <c r="D179">
        <v>1</v>
      </c>
      <c r="E179" t="s">
        <v>40</v>
      </c>
      <c r="F179" t="s">
        <v>41</v>
      </c>
      <c r="G179" t="str">
        <f>"2026-05-18 23:59:32.097"</f>
        <v>2026-05-18 23:59:32.097</v>
      </c>
      <c r="H179" t="s">
        <v>21</v>
      </c>
      <c r="I179">
        <v>0</v>
      </c>
      <c r="J179" t="s">
        <v>36</v>
      </c>
    </row>
    <row r="180" spans="1:10" x14ac:dyDescent="0.25">
      <c r="A180" s="1">
        <v>73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"2026-05-18 13:43:42.999"</f>
        <v>2026-05-18 13:43:42.999</v>
      </c>
      <c r="H180" t="s">
        <v>21</v>
      </c>
      <c r="I180">
        <v>0</v>
      </c>
      <c r="J180" t="s">
        <v>30</v>
      </c>
    </row>
    <row r="181" spans="1:10" x14ac:dyDescent="0.25">
      <c r="A181" s="1">
        <v>74</v>
      </c>
      <c r="B181" t="s">
        <v>19</v>
      </c>
      <c r="C181">
        <v>706</v>
      </c>
      <c r="D181">
        <v>2</v>
      </c>
      <c r="E181" t="s">
        <v>27</v>
      </c>
      <c r="F181" t="s">
        <v>29</v>
      </c>
      <c r="G181" t="str">
        <f>"2026-05-18 06:40:21.962"</f>
        <v>2026-05-18 06:40:21.962</v>
      </c>
      <c r="H181" t="s">
        <v>21</v>
      </c>
      <c r="I181">
        <v>0</v>
      </c>
      <c r="J181" t="s">
        <v>26</v>
      </c>
    </row>
    <row r="182" spans="1:10" x14ac:dyDescent="0.25">
      <c r="A182" s="1">
        <v>75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"2026-05-18 06:40:04.752"</f>
        <v>2026-05-18 06:40:04.752</v>
      </c>
      <c r="H182" t="s">
        <v>21</v>
      </c>
    </row>
    <row r="183" spans="1:10" x14ac:dyDescent="0.25">
      <c r="A183" s="1">
        <v>76</v>
      </c>
      <c r="B183" t="s">
        <v>19</v>
      </c>
      <c r="C183">
        <v>706</v>
      </c>
      <c r="D183">
        <v>4</v>
      </c>
      <c r="E183" t="s">
        <v>27</v>
      </c>
      <c r="F183" t="s">
        <v>28</v>
      </c>
      <c r="G183" t="str">
        <f>"2026-05-17 22:16:58.249"</f>
        <v>2026-05-17 22:16:58.249</v>
      </c>
      <c r="H183" t="s">
        <v>21</v>
      </c>
      <c r="I183">
        <v>0</v>
      </c>
      <c r="J183" t="s">
        <v>26</v>
      </c>
    </row>
    <row r="184" spans="1:10" x14ac:dyDescent="0.25">
      <c r="A184" s="1">
        <v>77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"2026-05-17 22:15:50.719"</f>
        <v>2026-05-17 22:15:50.719</v>
      </c>
      <c r="H184" t="s">
        <v>21</v>
      </c>
    </row>
    <row r="185" spans="1:10" x14ac:dyDescent="0.25">
      <c r="A185" s="1">
        <v>78</v>
      </c>
      <c r="B185" t="s">
        <v>19</v>
      </c>
      <c r="C185">
        <v>706</v>
      </c>
      <c r="D185">
        <v>2</v>
      </c>
      <c r="E185" t="s">
        <v>27</v>
      </c>
      <c r="F185" t="s">
        <v>29</v>
      </c>
      <c r="G185" t="str">
        <f>"2026-05-17 22:06:10.334"</f>
        <v>2026-05-17 22:06:10.334</v>
      </c>
      <c r="H185" t="s">
        <v>21</v>
      </c>
      <c r="I185">
        <v>0</v>
      </c>
      <c r="J185" t="s">
        <v>26</v>
      </c>
    </row>
    <row r="186" spans="1:10" x14ac:dyDescent="0.25">
      <c r="A186" s="1">
        <v>79</v>
      </c>
      <c r="B186" t="s">
        <v>31</v>
      </c>
      <c r="C186">
        <v>635</v>
      </c>
      <c r="D186">
        <v>1</v>
      </c>
      <c r="E186" t="s">
        <v>37</v>
      </c>
      <c r="F186" t="s">
        <v>38</v>
      </c>
      <c r="G186" t="str">
        <f>"2026-05-17 21:30:38.752"</f>
        <v>2026-05-17 21:30:38.752</v>
      </c>
      <c r="H186" t="s">
        <v>21</v>
      </c>
    </row>
    <row r="187" spans="1:10" x14ac:dyDescent="0.25">
      <c r="A187" s="1">
        <v>80</v>
      </c>
      <c r="B187" t="s">
        <v>34</v>
      </c>
      <c r="C187">
        <v>635</v>
      </c>
      <c r="D187">
        <v>1</v>
      </c>
      <c r="E187" t="s">
        <v>37</v>
      </c>
      <c r="F187" t="s">
        <v>38</v>
      </c>
      <c r="G187" t="str">
        <f>"2026-05-17 21:22:58.353"</f>
        <v>2026-05-17 21:22:58.353</v>
      </c>
      <c r="H187" t="s">
        <v>21</v>
      </c>
      <c r="I187">
        <v>7.35</v>
      </c>
      <c r="J187" t="s">
        <v>35</v>
      </c>
    </row>
    <row r="188" spans="1:10" x14ac:dyDescent="0.25">
      <c r="A188" s="1">
        <v>81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"2026-05-16 15:41:30.964"</f>
        <v>2026-05-16 15:41:30.964</v>
      </c>
      <c r="H188" t="s">
        <v>21</v>
      </c>
      <c r="I188">
        <v>0</v>
      </c>
      <c r="J188" t="s">
        <v>30</v>
      </c>
    </row>
    <row r="189" spans="1:10" x14ac:dyDescent="0.25">
      <c r="A189" s="1">
        <v>82</v>
      </c>
      <c r="B189" t="s">
        <v>19</v>
      </c>
      <c r="C189">
        <v>706</v>
      </c>
      <c r="D189">
        <v>4</v>
      </c>
      <c r="E189" t="s">
        <v>27</v>
      </c>
      <c r="F189" t="s">
        <v>28</v>
      </c>
      <c r="G189" t="str">
        <f>"2026-05-16 15:15:03.451"</f>
        <v>2026-05-16 15:15:03.451</v>
      </c>
      <c r="H189" t="s">
        <v>21</v>
      </c>
      <c r="I189">
        <v>0</v>
      </c>
      <c r="J189" t="s">
        <v>26</v>
      </c>
    </row>
    <row r="190" spans="1:10" x14ac:dyDescent="0.25">
      <c r="A190" s="1">
        <v>83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"2026-05-16 15:10:49.761"</f>
        <v>2026-05-16 15:10:49.761</v>
      </c>
      <c r="H190" t="s">
        <v>21</v>
      </c>
      <c r="I190">
        <v>0</v>
      </c>
      <c r="J190" t="s">
        <v>30</v>
      </c>
    </row>
    <row r="191" spans="1:10" x14ac:dyDescent="0.25">
      <c r="A191" s="1">
        <v>84</v>
      </c>
      <c r="B191" t="s">
        <v>19</v>
      </c>
      <c r="C191">
        <v>706</v>
      </c>
      <c r="D191">
        <v>4</v>
      </c>
      <c r="E191" t="s">
        <v>27</v>
      </c>
      <c r="F191" t="s">
        <v>28</v>
      </c>
      <c r="G191" t="str">
        <f>"2026-05-16 15:09:10.680"</f>
        <v>2026-05-16 15:09:10.680</v>
      </c>
      <c r="H191" t="s">
        <v>21</v>
      </c>
      <c r="I191">
        <v>0</v>
      </c>
      <c r="J191" t="s">
        <v>26</v>
      </c>
    </row>
    <row r="192" spans="1:10" x14ac:dyDescent="0.25">
      <c r="A192" s="1">
        <v>85</v>
      </c>
      <c r="B192" t="s">
        <v>19</v>
      </c>
      <c r="C192">
        <v>706</v>
      </c>
      <c r="D192">
        <v>2</v>
      </c>
      <c r="E192" t="s">
        <v>27</v>
      </c>
      <c r="F192" t="s">
        <v>29</v>
      </c>
      <c r="G192" t="str">
        <f>"2026-05-16 15:08:43.570"</f>
        <v>2026-05-16 15:08:43.570</v>
      </c>
      <c r="H192" t="s">
        <v>21</v>
      </c>
      <c r="I192">
        <v>0</v>
      </c>
      <c r="J192" t="s">
        <v>26</v>
      </c>
    </row>
    <row r="193" spans="1:10" x14ac:dyDescent="0.25">
      <c r="A193" s="1">
        <v>86</v>
      </c>
      <c r="B193" t="s">
        <v>19</v>
      </c>
      <c r="C193">
        <v>706</v>
      </c>
      <c r="D193">
        <v>2</v>
      </c>
      <c r="E193" t="s">
        <v>27</v>
      </c>
      <c r="F193" t="s">
        <v>29</v>
      </c>
      <c r="G193" t="str">
        <f>"2026-05-16 15:08:32.570"</f>
        <v>2026-05-16 15:08:32.570</v>
      </c>
      <c r="H193" t="s">
        <v>21</v>
      </c>
      <c r="I193">
        <v>0</v>
      </c>
      <c r="J193" t="s">
        <v>26</v>
      </c>
    </row>
    <row r="194" spans="1:10" x14ac:dyDescent="0.25">
      <c r="A194" s="1">
        <v>87</v>
      </c>
      <c r="B194" t="s">
        <v>22</v>
      </c>
      <c r="C194">
        <v>630</v>
      </c>
      <c r="D194">
        <v>5</v>
      </c>
      <c r="E194" t="s">
        <v>23</v>
      </c>
      <c r="F194" t="s">
        <v>24</v>
      </c>
      <c r="G194" t="str">
        <f>"2026-05-16 15:00:54.559"</f>
        <v>2026-05-16 15:00:54.559</v>
      </c>
      <c r="H194" t="s">
        <v>25</v>
      </c>
      <c r="I194">
        <v>0</v>
      </c>
      <c r="J194" t="s">
        <v>26</v>
      </c>
    </row>
    <row r="195" spans="1:10" x14ac:dyDescent="0.25">
      <c r="A195" s="1">
        <v>88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"2026-05-16 14:55:51.740"</f>
        <v>2026-05-16 14:55:51.740</v>
      </c>
      <c r="H195" t="s">
        <v>21</v>
      </c>
    </row>
    <row r="196" spans="1:10" x14ac:dyDescent="0.25">
      <c r="A196" s="1">
        <v>89</v>
      </c>
      <c r="B196" t="s">
        <v>31</v>
      </c>
      <c r="C196">
        <v>635</v>
      </c>
      <c r="D196">
        <v>1</v>
      </c>
      <c r="E196" t="s">
        <v>37</v>
      </c>
      <c r="F196" t="s">
        <v>38</v>
      </c>
      <c r="G196" t="str">
        <f>"2026-05-16 00:38:21.245"</f>
        <v>2026-05-16 00:38:21.245</v>
      </c>
      <c r="H196" t="s">
        <v>21</v>
      </c>
    </row>
    <row r="197" spans="1:10" x14ac:dyDescent="0.25">
      <c r="A197" s="1">
        <v>90</v>
      </c>
      <c r="B197" t="s">
        <v>34</v>
      </c>
      <c r="C197">
        <v>635</v>
      </c>
      <c r="D197">
        <v>1</v>
      </c>
      <c r="E197" t="s">
        <v>37</v>
      </c>
      <c r="F197" t="s">
        <v>38</v>
      </c>
      <c r="G197" t="str">
        <f>"2026-05-16 00:15:57.246"</f>
        <v>2026-05-16 00:15:57.246</v>
      </c>
      <c r="H197" t="s">
        <v>21</v>
      </c>
      <c r="I197">
        <v>9.51</v>
      </c>
      <c r="J197" t="s">
        <v>35</v>
      </c>
    </row>
    <row r="198" spans="1:10" x14ac:dyDescent="0.25">
      <c r="A198" s="1">
        <v>94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"2026-05-14 13:58:36.723"</f>
        <v>2026-05-14 13:58:36.723</v>
      </c>
      <c r="H198" t="s">
        <v>21</v>
      </c>
    </row>
    <row r="199" spans="1:10" x14ac:dyDescent="0.25">
      <c r="A199" s="1">
        <v>95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"2026-05-13 13:39:04.932"</f>
        <v>2026-05-13 13:39:04.932</v>
      </c>
      <c r="H199" t="s">
        <v>21</v>
      </c>
      <c r="I199">
        <v>0</v>
      </c>
      <c r="J199" t="s">
        <v>30</v>
      </c>
    </row>
    <row r="200" spans="1:10" x14ac:dyDescent="0.25">
      <c r="A200" s="1">
        <v>96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"2026-05-13 13:13:07.942"</f>
        <v>2026-05-13 13:13:07.942</v>
      </c>
      <c r="H200" t="s">
        <v>21</v>
      </c>
    </row>
    <row r="201" spans="1:10" x14ac:dyDescent="0.25">
      <c r="A201" s="1">
        <v>97</v>
      </c>
      <c r="B201" t="s">
        <v>22</v>
      </c>
      <c r="C201">
        <v>630</v>
      </c>
      <c r="D201">
        <v>5</v>
      </c>
      <c r="E201" t="s">
        <v>23</v>
      </c>
      <c r="F201" t="s">
        <v>24</v>
      </c>
      <c r="G201" t="str">
        <f>"2026-05-13 12:57:33.574"</f>
        <v>2026-05-13 12:57:33.574</v>
      </c>
      <c r="H201" t="s">
        <v>25</v>
      </c>
      <c r="I201">
        <v>0</v>
      </c>
      <c r="J201" t="s">
        <v>26</v>
      </c>
    </row>
    <row r="202" spans="1:10" x14ac:dyDescent="0.25">
      <c r="A202" s="1">
        <v>98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"2026-05-13 12:52:30.893"</f>
        <v>2026-05-13 12:52:30.893</v>
      </c>
      <c r="H202" t="s">
        <v>21</v>
      </c>
    </row>
    <row r="203" spans="1:10" x14ac:dyDescent="0.25">
      <c r="A203" s="1">
        <v>99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"2026-05-12 13:48:06.718"</f>
        <v>2026-05-12 13:48:06.718</v>
      </c>
      <c r="H203" t="s">
        <v>21</v>
      </c>
      <c r="I203">
        <v>0</v>
      </c>
      <c r="J203" t="s">
        <v>30</v>
      </c>
    </row>
    <row r="204" spans="1:10" x14ac:dyDescent="0.25">
      <c r="A204" s="1">
        <v>0</v>
      </c>
      <c r="B204" t="s">
        <v>31</v>
      </c>
      <c r="C204">
        <v>635</v>
      </c>
      <c r="D204">
        <v>1</v>
      </c>
      <c r="E204" t="s">
        <v>37</v>
      </c>
      <c r="F204" t="s">
        <v>38</v>
      </c>
      <c r="G204" t="str">
        <f>"2026-05-12 01:08:37.146"</f>
        <v>2026-05-12 01:08:37.146</v>
      </c>
      <c r="H204" t="s">
        <v>21</v>
      </c>
    </row>
    <row r="205" spans="1:10" x14ac:dyDescent="0.25">
      <c r="A205" s="1">
        <v>1</v>
      </c>
      <c r="B205" t="s">
        <v>34</v>
      </c>
      <c r="C205">
        <v>635</v>
      </c>
      <c r="D205">
        <v>1</v>
      </c>
      <c r="E205" t="s">
        <v>37</v>
      </c>
      <c r="F205" t="s">
        <v>38</v>
      </c>
      <c r="G205" t="str">
        <f>"2026-05-12 01:05:36.646"</f>
        <v>2026-05-12 01:05:36.646</v>
      </c>
      <c r="H205" t="s">
        <v>21</v>
      </c>
      <c r="I205">
        <v>1.23</v>
      </c>
      <c r="J205" t="s">
        <v>35</v>
      </c>
    </row>
    <row r="206" spans="1:10" x14ac:dyDescent="0.25">
      <c r="A206" s="1">
        <v>2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"2026-05-09 13:09:43.765"</f>
        <v>2026-05-09 13:09:43.765</v>
      </c>
      <c r="H206" t="s">
        <v>21</v>
      </c>
      <c r="I206">
        <v>0</v>
      </c>
      <c r="J206" t="s">
        <v>30</v>
      </c>
    </row>
    <row r="207" spans="1:10" x14ac:dyDescent="0.25">
      <c r="A207" s="1">
        <v>3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"2026-05-08 13:58:30.972"</f>
        <v>2026-05-08 13:58:30.972</v>
      </c>
      <c r="H207" t="s">
        <v>21</v>
      </c>
    </row>
    <row r="208" spans="1:10" x14ac:dyDescent="0.25">
      <c r="A208" s="1">
        <v>4</v>
      </c>
      <c r="B208" t="s">
        <v>31</v>
      </c>
      <c r="C208">
        <v>635</v>
      </c>
      <c r="D208">
        <v>1</v>
      </c>
      <c r="E208" t="s">
        <v>37</v>
      </c>
      <c r="F208" t="s">
        <v>38</v>
      </c>
      <c r="G208" t="str">
        <f>"2026-05-08 04:08:39.647"</f>
        <v>2026-05-08 04:08:39.647</v>
      </c>
      <c r="H208" t="s">
        <v>21</v>
      </c>
    </row>
    <row r="209" spans="1:10" x14ac:dyDescent="0.25">
      <c r="A209" s="1">
        <v>5</v>
      </c>
      <c r="B209" t="s">
        <v>34</v>
      </c>
      <c r="C209">
        <v>635</v>
      </c>
      <c r="D209">
        <v>1</v>
      </c>
      <c r="E209" t="s">
        <v>37</v>
      </c>
      <c r="F209" t="s">
        <v>38</v>
      </c>
      <c r="G209" t="str">
        <f>"2026-05-08 03:41:16.247"</f>
        <v>2026-05-08 03:41:16.247</v>
      </c>
      <c r="H209" t="s">
        <v>21</v>
      </c>
      <c r="I209">
        <v>8.17</v>
      </c>
      <c r="J209" t="s">
        <v>39</v>
      </c>
    </row>
    <row r="210" spans="1:10" x14ac:dyDescent="0.25">
      <c r="A210" s="1">
        <v>6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"2026-05-07 13:44:27.753"</f>
        <v>2026-05-07 13:44:27.753</v>
      </c>
      <c r="H210" t="s">
        <v>21</v>
      </c>
      <c r="I210">
        <v>0</v>
      </c>
      <c r="J210" t="s">
        <v>30</v>
      </c>
    </row>
    <row r="211" spans="1:10" x14ac:dyDescent="0.25">
      <c r="A211" s="1">
        <v>7</v>
      </c>
      <c r="B211" t="s">
        <v>31</v>
      </c>
      <c r="C211">
        <v>635</v>
      </c>
      <c r="D211">
        <v>1</v>
      </c>
      <c r="E211" t="s">
        <v>37</v>
      </c>
      <c r="F211" t="s">
        <v>38</v>
      </c>
      <c r="G211" t="str">
        <f>"2026-05-06 21:36:58.127"</f>
        <v>2026-05-06 21:36:58.127</v>
      </c>
      <c r="H211" t="s">
        <v>21</v>
      </c>
    </row>
    <row r="212" spans="1:10" x14ac:dyDescent="0.25">
      <c r="A212" s="1">
        <v>8</v>
      </c>
      <c r="B212" t="s">
        <v>34</v>
      </c>
      <c r="C212">
        <v>635</v>
      </c>
      <c r="D212">
        <v>1</v>
      </c>
      <c r="E212" t="s">
        <v>37</v>
      </c>
      <c r="F212" t="s">
        <v>38</v>
      </c>
      <c r="G212" t="str">
        <f>"2026-05-06 21:34:48.127"</f>
        <v>2026-05-06 21:34:48.127</v>
      </c>
      <c r="H212" t="s">
        <v>21</v>
      </c>
      <c r="I212">
        <v>1.1399999999999999</v>
      </c>
      <c r="J212" t="s">
        <v>39</v>
      </c>
    </row>
    <row r="213" spans="1:10" x14ac:dyDescent="0.25">
      <c r="A213" s="1">
        <v>10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"2026-05-05 18:29:36.984"</f>
        <v>2026-05-05 18:29:36.984</v>
      </c>
      <c r="H213" t="s">
        <v>21</v>
      </c>
      <c r="I213">
        <v>0</v>
      </c>
      <c r="J213" t="s">
        <v>30</v>
      </c>
    </row>
    <row r="214" spans="1:10" x14ac:dyDescent="0.25">
      <c r="A214" s="1">
        <v>11</v>
      </c>
      <c r="B214" t="s">
        <v>31</v>
      </c>
      <c r="C214">
        <v>630</v>
      </c>
      <c r="D214">
        <v>5</v>
      </c>
      <c r="E214" t="s">
        <v>23</v>
      </c>
      <c r="F214" t="s">
        <v>24</v>
      </c>
      <c r="G214" t="str">
        <f>"2026-05-05 18:11:05.169"</f>
        <v>2026-05-05 18:11:05.169</v>
      </c>
      <c r="H214" t="s">
        <v>25</v>
      </c>
    </row>
    <row r="215" spans="1:10" x14ac:dyDescent="0.25">
      <c r="A215" s="1">
        <v>12</v>
      </c>
      <c r="B215" t="s">
        <v>19</v>
      </c>
      <c r="C215">
        <v>706</v>
      </c>
      <c r="D215">
        <v>4</v>
      </c>
      <c r="E215" t="s">
        <v>27</v>
      </c>
      <c r="F215" t="s">
        <v>28</v>
      </c>
      <c r="G215" t="str">
        <f>"2026-05-05 18:10:35.054"</f>
        <v>2026-05-05 18:10:35.054</v>
      </c>
      <c r="H215" t="s">
        <v>21</v>
      </c>
      <c r="I215">
        <v>0</v>
      </c>
      <c r="J215" t="s">
        <v>26</v>
      </c>
    </row>
    <row r="216" spans="1:10" x14ac:dyDescent="0.25">
      <c r="A216" s="1">
        <v>13</v>
      </c>
      <c r="B216" t="s">
        <v>22</v>
      </c>
      <c r="C216">
        <v>630</v>
      </c>
      <c r="D216">
        <v>5</v>
      </c>
      <c r="E216" t="s">
        <v>23</v>
      </c>
      <c r="F216" t="s">
        <v>24</v>
      </c>
      <c r="G216" t="str">
        <f>"2026-05-05 18:04:10.569"</f>
        <v>2026-05-05 18:04:10.569</v>
      </c>
      <c r="H216" t="s">
        <v>25</v>
      </c>
      <c r="I216">
        <v>0</v>
      </c>
      <c r="J216" t="s">
        <v>26</v>
      </c>
    </row>
    <row r="217" spans="1:10" x14ac:dyDescent="0.25">
      <c r="A217" s="1">
        <v>14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"2026-05-05 17:59:07.734"</f>
        <v>2026-05-05 17:59:07.734</v>
      </c>
      <c r="H217" t="s">
        <v>21</v>
      </c>
      <c r="I217">
        <v>0</v>
      </c>
      <c r="J217" t="s">
        <v>30</v>
      </c>
    </row>
    <row r="218" spans="1:10" x14ac:dyDescent="0.25">
      <c r="A218" s="1">
        <v>15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"2026-05-04 13:28:10.740"</f>
        <v>2026-05-04 13:28:10.740</v>
      </c>
      <c r="H218" t="s">
        <v>21</v>
      </c>
    </row>
    <row r="219" spans="1:10" x14ac:dyDescent="0.25">
      <c r="A219" s="1">
        <v>16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"2026-05-04 08:31:25.755"</f>
        <v>2026-05-04 08:31:25.755</v>
      </c>
      <c r="H219" t="s">
        <v>21</v>
      </c>
    </row>
    <row r="220" spans="1:10" x14ac:dyDescent="0.25">
      <c r="A220" s="1">
        <v>17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"2026-05-03 13:24:17.732"</f>
        <v>2026-05-03 13:24:17.732</v>
      </c>
      <c r="H220" t="s">
        <v>21</v>
      </c>
      <c r="I220">
        <v>0</v>
      </c>
      <c r="J220" t="s">
        <v>30</v>
      </c>
    </row>
    <row r="221" spans="1:10" x14ac:dyDescent="0.25">
      <c r="A221" s="1">
        <v>18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"2026-05-03 02:48:00.956"</f>
        <v>2026-05-03 02:48:00.956</v>
      </c>
      <c r="H221" t="s">
        <v>21</v>
      </c>
      <c r="I221">
        <v>0</v>
      </c>
      <c r="J221" t="s">
        <v>30</v>
      </c>
    </row>
    <row r="222" spans="1:10" x14ac:dyDescent="0.25">
      <c r="A222" s="1">
        <v>19</v>
      </c>
      <c r="B222" t="s">
        <v>19</v>
      </c>
      <c r="C222">
        <v>706</v>
      </c>
      <c r="D222">
        <v>4</v>
      </c>
      <c r="E222" t="s">
        <v>27</v>
      </c>
      <c r="F222" t="s">
        <v>28</v>
      </c>
      <c r="G222" t="str">
        <f>"2026-05-03 01:46:07.061"</f>
        <v>2026-05-03 01:46:07.061</v>
      </c>
      <c r="H222" t="s">
        <v>21</v>
      </c>
      <c r="I222">
        <v>0</v>
      </c>
      <c r="J222" t="s">
        <v>26</v>
      </c>
    </row>
    <row r="223" spans="1:10" x14ac:dyDescent="0.25">
      <c r="A223" s="1">
        <v>20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"2026-05-03 01:45:01.761"</f>
        <v>2026-05-03 01:45:01.761</v>
      </c>
      <c r="H223" t="s">
        <v>21</v>
      </c>
      <c r="I223">
        <v>0</v>
      </c>
      <c r="J223" t="s">
        <v>30</v>
      </c>
    </row>
    <row r="224" spans="1:10" x14ac:dyDescent="0.25">
      <c r="A224" s="1">
        <v>21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"2026-05-02 13:44:43.977"</f>
        <v>2026-05-02 13:44:43.977</v>
      </c>
      <c r="H224" t="s">
        <v>21</v>
      </c>
    </row>
    <row r="225" spans="1:10" x14ac:dyDescent="0.25">
      <c r="A225" s="1">
        <v>22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"2026-05-02 07:58:50.736"</f>
        <v>2026-05-02 07:58:50.736</v>
      </c>
      <c r="H225" t="s">
        <v>21</v>
      </c>
      <c r="I225">
        <v>0</v>
      </c>
      <c r="J225" t="s">
        <v>30</v>
      </c>
    </row>
    <row r="226" spans="1:10" x14ac:dyDescent="0.25">
      <c r="A226" s="1">
        <v>23</v>
      </c>
      <c r="B226" t="s">
        <v>31</v>
      </c>
      <c r="C226">
        <v>635</v>
      </c>
      <c r="D226">
        <v>1</v>
      </c>
      <c r="E226" t="s">
        <v>37</v>
      </c>
      <c r="F226" t="s">
        <v>38</v>
      </c>
      <c r="G226" t="str">
        <f>"2026-05-02 03:23:40.326"</f>
        <v>2026-05-02 03:23:40.326</v>
      </c>
      <c r="H226" t="s">
        <v>21</v>
      </c>
    </row>
    <row r="227" spans="1:10" x14ac:dyDescent="0.25">
      <c r="A227" s="1">
        <v>24</v>
      </c>
      <c r="B227" t="s">
        <v>34</v>
      </c>
      <c r="C227">
        <v>635</v>
      </c>
      <c r="D227">
        <v>1</v>
      </c>
      <c r="E227" t="s">
        <v>37</v>
      </c>
      <c r="F227" t="s">
        <v>38</v>
      </c>
      <c r="G227" t="str">
        <f>"2026-05-02 02:59:00.826"</f>
        <v>2026-05-02 02:59:00.826</v>
      </c>
      <c r="H227" t="s">
        <v>21</v>
      </c>
      <c r="I227">
        <v>7.89</v>
      </c>
      <c r="J227" t="s">
        <v>39</v>
      </c>
    </row>
    <row r="228" spans="1:10" x14ac:dyDescent="0.25">
      <c r="A228" s="1">
        <v>25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"2026-05-01 13:57:05.724"</f>
        <v>2026-05-01 13:57:05.724</v>
      </c>
      <c r="H228" t="s">
        <v>21</v>
      </c>
      <c r="I228">
        <v>0</v>
      </c>
      <c r="J228" t="s">
        <v>30</v>
      </c>
    </row>
    <row r="229" spans="1:10" x14ac:dyDescent="0.25">
      <c r="A229" s="1">
        <v>26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"2026-04-30 13:50:56.734"</f>
        <v>2026-04-30 13:50:56.734</v>
      </c>
      <c r="H229" t="s">
        <v>21</v>
      </c>
      <c r="I229">
        <v>0</v>
      </c>
      <c r="J229" t="s">
        <v>30</v>
      </c>
    </row>
    <row r="230" spans="1:10" x14ac:dyDescent="0.25">
      <c r="A230" s="1">
        <v>27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"2026-04-30 13:16:49.926"</f>
        <v>2026-04-30 13:16:49.926</v>
      </c>
      <c r="H230" t="s">
        <v>21</v>
      </c>
    </row>
    <row r="231" spans="1:10" x14ac:dyDescent="0.25">
      <c r="A231" s="1">
        <v>28</v>
      </c>
      <c r="B231" t="s">
        <v>31</v>
      </c>
      <c r="C231">
        <v>635</v>
      </c>
      <c r="D231">
        <v>1</v>
      </c>
      <c r="E231" t="s">
        <v>37</v>
      </c>
      <c r="F231" t="s">
        <v>38</v>
      </c>
      <c r="G231" t="str">
        <f>"2026-04-30 04:46:23.723"</f>
        <v>2026-04-30 04:46:23.723</v>
      </c>
      <c r="H231" t="s">
        <v>21</v>
      </c>
    </row>
    <row r="232" spans="1:10" x14ac:dyDescent="0.25">
      <c r="A232" s="1">
        <v>29</v>
      </c>
      <c r="B232" t="s">
        <v>34</v>
      </c>
      <c r="C232">
        <v>635</v>
      </c>
      <c r="D232">
        <v>1</v>
      </c>
      <c r="E232" t="s">
        <v>37</v>
      </c>
      <c r="F232" t="s">
        <v>38</v>
      </c>
      <c r="G232" t="str">
        <f>"2026-04-30 04:17:39.823"</f>
        <v>2026-04-30 04:17:39.823</v>
      </c>
      <c r="H232" t="s">
        <v>21</v>
      </c>
      <c r="I232">
        <v>7.44</v>
      </c>
      <c r="J232" t="s">
        <v>39</v>
      </c>
    </row>
    <row r="233" spans="1:10" x14ac:dyDescent="0.25">
      <c r="A233" s="1">
        <v>30</v>
      </c>
      <c r="B233" t="s">
        <v>31</v>
      </c>
      <c r="C233">
        <v>635</v>
      </c>
      <c r="D233">
        <v>1</v>
      </c>
      <c r="E233" t="s">
        <v>37</v>
      </c>
      <c r="F233" t="s">
        <v>38</v>
      </c>
      <c r="G233" t="str">
        <f>"2026-04-30 03:30:04.423"</f>
        <v>2026-04-30 03:30:04.423</v>
      </c>
      <c r="H233" t="s">
        <v>21</v>
      </c>
    </row>
    <row r="234" spans="1:10" x14ac:dyDescent="0.25">
      <c r="A234" s="1">
        <v>31</v>
      </c>
      <c r="B234" t="s">
        <v>34</v>
      </c>
      <c r="C234">
        <v>635</v>
      </c>
      <c r="D234">
        <v>1</v>
      </c>
      <c r="E234" t="s">
        <v>37</v>
      </c>
      <c r="F234" t="s">
        <v>38</v>
      </c>
      <c r="G234" t="str">
        <f>"2026-04-30 03:26:36.423"</f>
        <v>2026-04-30 03:26:36.423</v>
      </c>
      <c r="H234" t="s">
        <v>21</v>
      </c>
      <c r="I234">
        <v>3.73</v>
      </c>
      <c r="J234" t="s">
        <v>36</v>
      </c>
    </row>
    <row r="235" spans="1:10" x14ac:dyDescent="0.25">
      <c r="A235" s="1">
        <v>32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"2026-04-29 10:20:50.734"</f>
        <v>2026-04-29 10:20:50.734</v>
      </c>
      <c r="H235" t="s">
        <v>21</v>
      </c>
      <c r="I235">
        <v>0</v>
      </c>
      <c r="J235" t="s">
        <v>30</v>
      </c>
    </row>
    <row r="236" spans="1:10" x14ac:dyDescent="0.25">
      <c r="A236" s="1">
        <v>33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"2026-04-28 09:51:01.896"</f>
        <v>2026-04-28 09:51:01.896</v>
      </c>
      <c r="H236" t="s">
        <v>21</v>
      </c>
      <c r="I236">
        <v>0</v>
      </c>
      <c r="J236" t="s">
        <v>30</v>
      </c>
    </row>
    <row r="237" spans="1:10" x14ac:dyDescent="0.25">
      <c r="A237" s="1">
        <v>34</v>
      </c>
      <c r="B237" t="s">
        <v>19</v>
      </c>
      <c r="C237">
        <v>706</v>
      </c>
      <c r="D237">
        <v>2</v>
      </c>
      <c r="E237" t="s">
        <v>27</v>
      </c>
      <c r="F237" t="s">
        <v>29</v>
      </c>
      <c r="G237" t="str">
        <f>"2026-04-26 19:52:47.521"</f>
        <v>2026-04-26 19:52:47.521</v>
      </c>
      <c r="H237" t="s">
        <v>21</v>
      </c>
      <c r="I237">
        <v>0</v>
      </c>
      <c r="J237" t="s">
        <v>26</v>
      </c>
    </row>
    <row r="238" spans="1:10" x14ac:dyDescent="0.25">
      <c r="A238" s="1">
        <v>35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"2026-04-26 19:52:09.731"</f>
        <v>2026-04-26 19:52:09.731</v>
      </c>
      <c r="H238" t="s">
        <v>21</v>
      </c>
    </row>
    <row r="239" spans="1:10" x14ac:dyDescent="0.25">
      <c r="A239" s="1">
        <v>36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"2026-04-26 19:11:43.783"</f>
        <v>2026-04-26 19:11:43.783</v>
      </c>
      <c r="H239" t="s">
        <v>21</v>
      </c>
      <c r="I239">
        <v>0</v>
      </c>
      <c r="J239" t="s">
        <v>30</v>
      </c>
    </row>
    <row r="240" spans="1:10" x14ac:dyDescent="0.25">
      <c r="A240" s="1">
        <v>37</v>
      </c>
      <c r="B240" t="s">
        <v>22</v>
      </c>
      <c r="C240">
        <v>630</v>
      </c>
      <c r="D240">
        <v>5</v>
      </c>
      <c r="E240" t="s">
        <v>23</v>
      </c>
      <c r="F240" t="s">
        <v>24</v>
      </c>
      <c r="G240" t="str">
        <f>"2026-04-26 18:54:20.076"</f>
        <v>2026-04-26 18:54:20.076</v>
      </c>
      <c r="H240" t="s">
        <v>25</v>
      </c>
      <c r="I240">
        <v>0</v>
      </c>
      <c r="J240" t="s">
        <v>26</v>
      </c>
    </row>
    <row r="241" spans="1:10" x14ac:dyDescent="0.25">
      <c r="A241" s="1">
        <v>38</v>
      </c>
      <c r="B241" t="s">
        <v>31</v>
      </c>
      <c r="C241">
        <v>635</v>
      </c>
      <c r="D241">
        <v>1</v>
      </c>
      <c r="E241" t="s">
        <v>37</v>
      </c>
      <c r="F241" t="s">
        <v>38</v>
      </c>
      <c r="G241" t="str">
        <f>"2026-04-26 05:50:55.376"</f>
        <v>2026-04-26 05:50:55.376</v>
      </c>
      <c r="H241" t="s">
        <v>21</v>
      </c>
    </row>
    <row r="242" spans="1:10" x14ac:dyDescent="0.25">
      <c r="A242" s="1">
        <v>39</v>
      </c>
      <c r="B242" t="s">
        <v>34</v>
      </c>
      <c r="C242">
        <v>635</v>
      </c>
      <c r="D242">
        <v>1</v>
      </c>
      <c r="E242" t="s">
        <v>37</v>
      </c>
      <c r="F242" t="s">
        <v>38</v>
      </c>
      <c r="G242" t="str">
        <f>"2026-04-26 05:45:50.376"</f>
        <v>2026-04-26 05:45:50.376</v>
      </c>
      <c r="H242" t="s">
        <v>21</v>
      </c>
      <c r="I242">
        <v>2.95</v>
      </c>
      <c r="J242" t="s">
        <v>39</v>
      </c>
    </row>
    <row r="243" spans="1:10" x14ac:dyDescent="0.25">
      <c r="A243" s="1">
        <v>40</v>
      </c>
      <c r="B243" t="s">
        <v>31</v>
      </c>
      <c r="C243">
        <v>630</v>
      </c>
      <c r="D243">
        <v>5</v>
      </c>
      <c r="E243" t="s">
        <v>23</v>
      </c>
      <c r="F243" t="s">
        <v>24</v>
      </c>
      <c r="G243" t="str">
        <f>"2026-04-25 16:39:32.876"</f>
        <v>2026-04-25 16:39:32.876</v>
      </c>
      <c r="H243" t="s">
        <v>25</v>
      </c>
    </row>
    <row r="244" spans="1:10" x14ac:dyDescent="0.25">
      <c r="A244" s="1">
        <v>41</v>
      </c>
      <c r="B244" t="s">
        <v>19</v>
      </c>
      <c r="C244">
        <v>706</v>
      </c>
      <c r="D244">
        <v>4</v>
      </c>
      <c r="E244" t="s">
        <v>27</v>
      </c>
      <c r="F244" t="s">
        <v>28</v>
      </c>
      <c r="G244" t="str">
        <f>"2026-04-25 16:39:02.834"</f>
        <v>2026-04-25 16:39:02.834</v>
      </c>
      <c r="H244" t="s">
        <v>21</v>
      </c>
      <c r="I244">
        <v>0</v>
      </c>
      <c r="J244" t="s">
        <v>26</v>
      </c>
    </row>
    <row r="245" spans="1:10" x14ac:dyDescent="0.25">
      <c r="A245" s="1">
        <v>42</v>
      </c>
      <c r="B245" t="s">
        <v>22</v>
      </c>
      <c r="C245">
        <v>630</v>
      </c>
      <c r="D245">
        <v>5</v>
      </c>
      <c r="E245" t="s">
        <v>23</v>
      </c>
      <c r="F245" t="s">
        <v>24</v>
      </c>
      <c r="G245" t="str">
        <f>"2026-04-25 16:30:02.577"</f>
        <v>2026-04-25 16:30:02.577</v>
      </c>
      <c r="H245" t="s">
        <v>25</v>
      </c>
      <c r="I245">
        <v>0</v>
      </c>
      <c r="J245" t="s">
        <v>26</v>
      </c>
    </row>
    <row r="246" spans="1:10" x14ac:dyDescent="0.25">
      <c r="A246" s="1">
        <v>43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"2026-04-25 16:24:59.774"</f>
        <v>2026-04-25 16:24:59.774</v>
      </c>
      <c r="H246" t="s">
        <v>21</v>
      </c>
    </row>
    <row r="247" spans="1:10" x14ac:dyDescent="0.25">
      <c r="A247" s="1">
        <v>44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"2026-04-25 16:17:59.737"</f>
        <v>2026-04-25 16:17:59.737</v>
      </c>
      <c r="H247" t="s">
        <v>21</v>
      </c>
      <c r="I247">
        <v>0</v>
      </c>
      <c r="J247" t="s">
        <v>30</v>
      </c>
    </row>
    <row r="248" spans="1:10" x14ac:dyDescent="0.25">
      <c r="A248" s="1">
        <v>45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"2026-04-25 14:23:24.729"</f>
        <v>2026-04-25 14:23:24.729</v>
      </c>
      <c r="H248" t="s">
        <v>21</v>
      </c>
    </row>
    <row r="249" spans="1:10" x14ac:dyDescent="0.25">
      <c r="A249" s="1">
        <v>46</v>
      </c>
      <c r="B249" t="s">
        <v>31</v>
      </c>
      <c r="C249">
        <v>635</v>
      </c>
      <c r="D249">
        <v>1</v>
      </c>
      <c r="E249" t="s">
        <v>37</v>
      </c>
      <c r="F249" t="s">
        <v>38</v>
      </c>
      <c r="G249" t="str">
        <f>"2026-04-25 10:25:28.147"</f>
        <v>2026-04-25 10:25:28.147</v>
      </c>
      <c r="H249" t="s">
        <v>21</v>
      </c>
    </row>
    <row r="250" spans="1:10" x14ac:dyDescent="0.25">
      <c r="A250" s="1">
        <v>47</v>
      </c>
      <c r="B250" t="s">
        <v>34</v>
      </c>
      <c r="C250">
        <v>635</v>
      </c>
      <c r="D250">
        <v>1</v>
      </c>
      <c r="E250" t="s">
        <v>37</v>
      </c>
      <c r="F250" t="s">
        <v>38</v>
      </c>
      <c r="G250" t="str">
        <f>"2026-04-25 10:18:27.148"</f>
        <v>2026-04-25 10:18:27.148</v>
      </c>
      <c r="H250" t="s">
        <v>21</v>
      </c>
      <c r="I250">
        <v>9.81</v>
      </c>
      <c r="J250" t="s">
        <v>35</v>
      </c>
    </row>
    <row r="251" spans="1:10" x14ac:dyDescent="0.25">
      <c r="A251" s="1">
        <v>48</v>
      </c>
      <c r="B251" t="s">
        <v>19</v>
      </c>
      <c r="C251">
        <v>706</v>
      </c>
      <c r="D251">
        <v>4</v>
      </c>
      <c r="E251" t="s">
        <v>27</v>
      </c>
      <c r="F251" t="s">
        <v>28</v>
      </c>
      <c r="G251" t="str">
        <f>"2026-04-25 03:36:32.260"</f>
        <v>2026-04-25 03:36:32.260</v>
      </c>
      <c r="H251" t="s">
        <v>21</v>
      </c>
      <c r="I251">
        <v>0</v>
      </c>
      <c r="J251" t="s">
        <v>26</v>
      </c>
    </row>
    <row r="252" spans="1:10" x14ac:dyDescent="0.25">
      <c r="A252" s="1">
        <v>49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"2026-04-25 03:35:43.750"</f>
        <v>2026-04-25 03:35:43.750</v>
      </c>
      <c r="H252" t="s">
        <v>21</v>
      </c>
      <c r="I252">
        <v>0</v>
      </c>
      <c r="J252" t="s">
        <v>30</v>
      </c>
    </row>
    <row r="253" spans="1:10" x14ac:dyDescent="0.25">
      <c r="A253" s="1">
        <v>50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"2026-04-24 17:31:03.800"</f>
        <v>2026-04-24 17:31:03.800</v>
      </c>
      <c r="H253" t="s">
        <v>21</v>
      </c>
      <c r="I253">
        <v>0</v>
      </c>
      <c r="J253" t="s">
        <v>30</v>
      </c>
    </row>
    <row r="254" spans="1:10" x14ac:dyDescent="0.25">
      <c r="A254" s="1">
        <v>51</v>
      </c>
      <c r="B254" t="s">
        <v>31</v>
      </c>
      <c r="C254">
        <v>630</v>
      </c>
      <c r="D254">
        <v>5</v>
      </c>
      <c r="E254" t="s">
        <v>23</v>
      </c>
      <c r="F254" t="s">
        <v>24</v>
      </c>
      <c r="G254" t="str">
        <f>"2026-04-24 17:13:46.382"</f>
        <v>2026-04-24 17:13:46.382</v>
      </c>
      <c r="H254" t="s">
        <v>25</v>
      </c>
    </row>
    <row r="255" spans="1:10" x14ac:dyDescent="0.25">
      <c r="A255" s="1">
        <v>52</v>
      </c>
      <c r="B255" t="s">
        <v>19</v>
      </c>
      <c r="C255">
        <v>706</v>
      </c>
      <c r="D255">
        <v>4</v>
      </c>
      <c r="E255" t="s">
        <v>27</v>
      </c>
      <c r="F255" t="s">
        <v>28</v>
      </c>
      <c r="G255" t="str">
        <f>"2026-04-24 17:13:16.252"</f>
        <v>2026-04-24 17:13:16.252</v>
      </c>
      <c r="H255" t="s">
        <v>21</v>
      </c>
      <c r="I255">
        <v>0</v>
      </c>
      <c r="J255" t="s">
        <v>26</v>
      </c>
    </row>
    <row r="256" spans="1:10" x14ac:dyDescent="0.25">
      <c r="A256" s="1">
        <v>53</v>
      </c>
      <c r="B256" t="s">
        <v>22</v>
      </c>
      <c r="C256">
        <v>630</v>
      </c>
      <c r="D256">
        <v>5</v>
      </c>
      <c r="E256" t="s">
        <v>23</v>
      </c>
      <c r="F256" t="s">
        <v>24</v>
      </c>
      <c r="G256" t="str">
        <f>"2026-04-24 17:12:14.683"</f>
        <v>2026-04-24 17:12:14.683</v>
      </c>
      <c r="H256" t="s">
        <v>25</v>
      </c>
      <c r="I256">
        <v>0</v>
      </c>
      <c r="J256" t="s">
        <v>26</v>
      </c>
    </row>
    <row r="257" spans="1:10" x14ac:dyDescent="0.25">
      <c r="A257" s="1">
        <v>54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"2026-04-24 17:07:11.842"</f>
        <v>2026-04-24 17:07:11.842</v>
      </c>
      <c r="H257" t="s">
        <v>21</v>
      </c>
    </row>
    <row r="258" spans="1:10" x14ac:dyDescent="0.25">
      <c r="A258" s="1">
        <v>55</v>
      </c>
      <c r="B258" t="s">
        <v>22</v>
      </c>
      <c r="C258">
        <v>630</v>
      </c>
      <c r="D258">
        <v>5</v>
      </c>
      <c r="E258" t="s">
        <v>23</v>
      </c>
      <c r="F258" t="s">
        <v>24</v>
      </c>
      <c r="G258" t="str">
        <f>"2026-04-24 16:16:35.112"</f>
        <v>2026-04-24 16:16:35.112</v>
      </c>
      <c r="H258" t="s">
        <v>25</v>
      </c>
      <c r="I258">
        <v>0</v>
      </c>
      <c r="J258" t="s">
        <v>26</v>
      </c>
    </row>
    <row r="259" spans="1:10" x14ac:dyDescent="0.25">
      <c r="A259" s="1">
        <v>56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"2026-04-24 16:11:32.253"</f>
        <v>2026-04-24 16:11:32.253</v>
      </c>
      <c r="H259" t="s">
        <v>21</v>
      </c>
      <c r="I259">
        <v>0</v>
      </c>
      <c r="J259" t="s">
        <v>30</v>
      </c>
    </row>
    <row r="260" spans="1:10" x14ac:dyDescent="0.25">
      <c r="A260" s="1">
        <v>57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"2026-04-23 13:33:05.733"</f>
        <v>2026-04-23 13:33:05.733</v>
      </c>
      <c r="H260" t="s">
        <v>21</v>
      </c>
    </row>
    <row r="261" spans="1:10" x14ac:dyDescent="0.25">
      <c r="A261" s="1">
        <v>59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"2026-04-22 09:20:56.721"</f>
        <v>2026-04-22 09:20:56.721</v>
      </c>
      <c r="H261" t="s">
        <v>21</v>
      </c>
    </row>
    <row r="262" spans="1:10" x14ac:dyDescent="0.25">
      <c r="A262" s="1">
        <v>60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"2026-04-20 08:03:49.764"</f>
        <v>2026-04-20 08:03:49.764</v>
      </c>
      <c r="H262" t="s">
        <v>21</v>
      </c>
    </row>
    <row r="263" spans="1:10" x14ac:dyDescent="0.25">
      <c r="A263" s="1">
        <v>61</v>
      </c>
      <c r="B263" t="s">
        <v>31</v>
      </c>
      <c r="C263">
        <v>635</v>
      </c>
      <c r="D263">
        <v>1</v>
      </c>
      <c r="E263" t="s">
        <v>37</v>
      </c>
      <c r="F263" t="s">
        <v>38</v>
      </c>
      <c r="G263" t="str">
        <f>"2026-04-20 00:05:19.797"</f>
        <v>2026-04-20 00:05:19.797</v>
      </c>
      <c r="H263" t="s">
        <v>21</v>
      </c>
    </row>
    <row r="264" spans="1:10" x14ac:dyDescent="0.25">
      <c r="A264" s="1">
        <v>62</v>
      </c>
      <c r="B264" t="s">
        <v>34</v>
      </c>
      <c r="C264">
        <v>635</v>
      </c>
      <c r="D264">
        <v>1</v>
      </c>
      <c r="E264" t="s">
        <v>37</v>
      </c>
      <c r="F264" t="s">
        <v>38</v>
      </c>
      <c r="G264" t="str">
        <f>"2026-04-20 00:03:05.297"</f>
        <v>2026-04-20 00:03:05.297</v>
      </c>
      <c r="H264" t="s">
        <v>21</v>
      </c>
      <c r="I264">
        <v>1.59</v>
      </c>
      <c r="J264" t="s">
        <v>39</v>
      </c>
    </row>
    <row r="265" spans="1:10" s="3" customFormat="1" x14ac:dyDescent="0.25">
      <c r="A265" s="2">
        <v>63</v>
      </c>
      <c r="B265" s="3" t="s">
        <v>31</v>
      </c>
      <c r="C265" s="3">
        <v>647</v>
      </c>
      <c r="D265" s="3">
        <v>1</v>
      </c>
      <c r="E265" s="3" t="s">
        <v>32</v>
      </c>
      <c r="F265" s="3" t="s">
        <v>33</v>
      </c>
      <c r="G265" s="3" t="str">
        <f>"2026-04-19 02:52:35.698"</f>
        <v>2026-04-19 02:52:35.698</v>
      </c>
      <c r="H265" s="3" t="s">
        <v>21</v>
      </c>
    </row>
    <row r="266" spans="1:10" s="3" customFormat="1" x14ac:dyDescent="0.25">
      <c r="A266" s="2">
        <v>64</v>
      </c>
      <c r="B266" s="3" t="s">
        <v>34</v>
      </c>
      <c r="C266" s="3">
        <v>647</v>
      </c>
      <c r="D266" s="3">
        <v>1</v>
      </c>
      <c r="E266" s="3" t="s">
        <v>32</v>
      </c>
      <c r="F266" s="3" t="s">
        <v>33</v>
      </c>
      <c r="G266" s="3" t="str">
        <f>"2026-04-19 02:52:34.598"</f>
        <v>2026-04-19 02:52:34.598</v>
      </c>
      <c r="H266" s="3" t="s">
        <v>21</v>
      </c>
      <c r="I266" s="3">
        <v>18.100000000000001</v>
      </c>
      <c r="J266" s="3" t="s">
        <v>35</v>
      </c>
    </row>
    <row r="267" spans="1:10" x14ac:dyDescent="0.25">
      <c r="A267" s="1">
        <v>65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"2026-04-18 17:11:51.735"</f>
        <v>2026-04-18 17:11:51.735</v>
      </c>
      <c r="H267" t="s">
        <v>21</v>
      </c>
      <c r="I267">
        <v>0</v>
      </c>
      <c r="J267" t="s">
        <v>30</v>
      </c>
    </row>
    <row r="268" spans="1:10" x14ac:dyDescent="0.25">
      <c r="A268" s="1">
        <v>67</v>
      </c>
      <c r="B268" t="s">
        <v>31</v>
      </c>
      <c r="C268">
        <v>630</v>
      </c>
      <c r="D268">
        <v>5</v>
      </c>
      <c r="E268" t="s">
        <v>23</v>
      </c>
      <c r="F268" t="s">
        <v>24</v>
      </c>
      <c r="G268" t="str">
        <f>"2026-04-17 16:08:34.314"</f>
        <v>2026-04-17 16:08:34.314</v>
      </c>
      <c r="H268" t="s">
        <v>25</v>
      </c>
    </row>
    <row r="269" spans="1:10" x14ac:dyDescent="0.25">
      <c r="A269" s="1">
        <v>68</v>
      </c>
      <c r="B269" t="s">
        <v>19</v>
      </c>
      <c r="C269">
        <v>706</v>
      </c>
      <c r="D269">
        <v>2</v>
      </c>
      <c r="E269" t="s">
        <v>27</v>
      </c>
      <c r="F269" t="s">
        <v>29</v>
      </c>
      <c r="G269" t="str">
        <f>"2026-04-17 16:08:04.100"</f>
        <v>2026-04-17 16:08:04.100</v>
      </c>
      <c r="H269" t="s">
        <v>21</v>
      </c>
      <c r="I269">
        <v>0</v>
      </c>
      <c r="J269" t="s">
        <v>26</v>
      </c>
    </row>
    <row r="270" spans="1:10" x14ac:dyDescent="0.25">
      <c r="A270" s="1">
        <v>69</v>
      </c>
      <c r="B270" t="s">
        <v>22</v>
      </c>
      <c r="C270">
        <v>630</v>
      </c>
      <c r="D270">
        <v>5</v>
      </c>
      <c r="E270" t="s">
        <v>23</v>
      </c>
      <c r="F270" t="s">
        <v>24</v>
      </c>
      <c r="G270" t="str">
        <f>"2026-04-17 15:57:45.914"</f>
        <v>2026-04-17 15:57:45.914</v>
      </c>
      <c r="H270" t="s">
        <v>25</v>
      </c>
      <c r="I270">
        <v>0</v>
      </c>
      <c r="J270" t="s">
        <v>26</v>
      </c>
    </row>
    <row r="271" spans="1:10" x14ac:dyDescent="0.25">
      <c r="A271" s="1">
        <v>70</v>
      </c>
      <c r="B271" t="s">
        <v>31</v>
      </c>
      <c r="C271">
        <v>630</v>
      </c>
      <c r="D271">
        <v>5</v>
      </c>
      <c r="E271" t="s">
        <v>23</v>
      </c>
      <c r="F271" t="s">
        <v>24</v>
      </c>
      <c r="G271" t="str">
        <f>"2026-04-16 13:46:19.214"</f>
        <v>2026-04-16 13:46:19.214</v>
      </c>
      <c r="H271" t="s">
        <v>25</v>
      </c>
    </row>
    <row r="272" spans="1:10" x14ac:dyDescent="0.25">
      <c r="A272" s="1">
        <v>71</v>
      </c>
      <c r="B272" t="s">
        <v>19</v>
      </c>
      <c r="C272">
        <v>706</v>
      </c>
      <c r="D272">
        <v>2</v>
      </c>
      <c r="E272" t="s">
        <v>27</v>
      </c>
      <c r="F272" t="s">
        <v>29</v>
      </c>
      <c r="G272" t="str">
        <f>"2026-04-16 13:45:49.100"</f>
        <v>2026-04-16 13:45:49.100</v>
      </c>
      <c r="H272" t="s">
        <v>21</v>
      </c>
      <c r="I272">
        <v>0</v>
      </c>
      <c r="J272" t="s">
        <v>26</v>
      </c>
    </row>
    <row r="273" spans="1:10" x14ac:dyDescent="0.25">
      <c r="A273" s="1">
        <v>72</v>
      </c>
      <c r="B273" t="s">
        <v>22</v>
      </c>
      <c r="C273">
        <v>630</v>
      </c>
      <c r="D273">
        <v>5</v>
      </c>
      <c r="E273" t="s">
        <v>23</v>
      </c>
      <c r="F273" t="s">
        <v>24</v>
      </c>
      <c r="G273" t="str">
        <f>"2026-04-16 13:21:57.715"</f>
        <v>2026-04-16 13:21:57.715</v>
      </c>
      <c r="H273" t="s">
        <v>25</v>
      </c>
      <c r="I273">
        <v>0</v>
      </c>
      <c r="J273" t="s">
        <v>26</v>
      </c>
    </row>
    <row r="274" spans="1:10" x14ac:dyDescent="0.25">
      <c r="A274" s="1">
        <v>73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"2026-04-16 13:16:54.920"</f>
        <v>2026-04-16 13:16:54.920</v>
      </c>
      <c r="H274" t="s">
        <v>21</v>
      </c>
      <c r="I274">
        <v>0</v>
      </c>
      <c r="J274" t="s">
        <v>30</v>
      </c>
    </row>
    <row r="275" spans="1:10" s="3" customFormat="1" x14ac:dyDescent="0.25">
      <c r="A275" s="2">
        <v>74</v>
      </c>
      <c r="B275" s="3" t="s">
        <v>31</v>
      </c>
      <c r="C275" s="3">
        <v>647</v>
      </c>
      <c r="D275" s="3">
        <v>1</v>
      </c>
      <c r="E275" s="3" t="s">
        <v>32</v>
      </c>
      <c r="F275" s="3" t="s">
        <v>33</v>
      </c>
      <c r="G275" s="3" t="str">
        <f>"2026-04-16 11:21:20.653"</f>
        <v>2026-04-16 11:21:20.653</v>
      </c>
      <c r="H275" s="3" t="s">
        <v>21</v>
      </c>
    </row>
    <row r="276" spans="1:10" s="3" customFormat="1" x14ac:dyDescent="0.25">
      <c r="A276" s="2">
        <v>75</v>
      </c>
      <c r="B276" s="3" t="s">
        <v>34</v>
      </c>
      <c r="C276" s="3">
        <v>647</v>
      </c>
      <c r="D276" s="3">
        <v>1</v>
      </c>
      <c r="E276" s="3" t="s">
        <v>32</v>
      </c>
      <c r="F276" s="3" t="s">
        <v>33</v>
      </c>
      <c r="G276" s="3" t="str">
        <f>"2026-04-16 11:21:11.753"</f>
        <v>2026-04-16 11:21:11.753</v>
      </c>
      <c r="H276" s="3" t="s">
        <v>21</v>
      </c>
      <c r="I276" s="3">
        <v>13.22</v>
      </c>
      <c r="J276" s="3" t="s">
        <v>35</v>
      </c>
    </row>
    <row r="277" spans="1:10" x14ac:dyDescent="0.25">
      <c r="A277" s="1">
        <v>76</v>
      </c>
      <c r="B277" t="s">
        <v>31</v>
      </c>
      <c r="C277">
        <v>635</v>
      </c>
      <c r="D277">
        <v>1</v>
      </c>
      <c r="E277" t="s">
        <v>37</v>
      </c>
      <c r="F277" t="s">
        <v>38</v>
      </c>
      <c r="G277" t="str">
        <f>"2026-04-16 02:34:32.252"</f>
        <v>2026-04-16 02:34:32.252</v>
      </c>
      <c r="H277" t="s">
        <v>21</v>
      </c>
    </row>
    <row r="278" spans="1:10" x14ac:dyDescent="0.25">
      <c r="A278" s="1">
        <v>77</v>
      </c>
      <c r="B278" t="s">
        <v>34</v>
      </c>
      <c r="C278">
        <v>635</v>
      </c>
      <c r="D278">
        <v>1</v>
      </c>
      <c r="E278" t="s">
        <v>37</v>
      </c>
      <c r="F278" t="s">
        <v>38</v>
      </c>
      <c r="G278" t="str">
        <f>"2026-04-16 02:28:15.252"</f>
        <v>2026-04-16 02:28:15.252</v>
      </c>
      <c r="H278" t="s">
        <v>21</v>
      </c>
      <c r="I278">
        <v>7.13</v>
      </c>
      <c r="J278" t="s">
        <v>39</v>
      </c>
    </row>
    <row r="279" spans="1:10" x14ac:dyDescent="0.25">
      <c r="A279" s="1">
        <v>78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"2026-04-15 16:36:15.732"</f>
        <v>2026-04-15 16:36:15.732</v>
      </c>
      <c r="H279" t="s">
        <v>21</v>
      </c>
    </row>
    <row r="280" spans="1:10" x14ac:dyDescent="0.25">
      <c r="A280" s="1">
        <v>79</v>
      </c>
      <c r="B280" t="s">
        <v>31</v>
      </c>
      <c r="C280">
        <v>635</v>
      </c>
      <c r="D280">
        <v>1</v>
      </c>
      <c r="E280" t="s">
        <v>37</v>
      </c>
      <c r="F280" t="s">
        <v>38</v>
      </c>
      <c r="G280" t="str">
        <f>"2026-04-14 15:34:34.804"</f>
        <v>2026-04-14 15:34:34.804</v>
      </c>
      <c r="H280" t="s">
        <v>21</v>
      </c>
    </row>
    <row r="281" spans="1:10" x14ac:dyDescent="0.25">
      <c r="A281" s="1">
        <v>80</v>
      </c>
      <c r="B281" t="s">
        <v>34</v>
      </c>
      <c r="C281">
        <v>635</v>
      </c>
      <c r="D281">
        <v>1</v>
      </c>
      <c r="E281" t="s">
        <v>37</v>
      </c>
      <c r="F281" t="s">
        <v>38</v>
      </c>
      <c r="G281" t="str">
        <f>"2026-04-14 15:27:51.805"</f>
        <v>2026-04-14 15:27:51.805</v>
      </c>
      <c r="H281" t="s">
        <v>21</v>
      </c>
      <c r="I281">
        <v>2.83</v>
      </c>
      <c r="J281" t="s">
        <v>39</v>
      </c>
    </row>
    <row r="282" spans="1:10" x14ac:dyDescent="0.25">
      <c r="A282" s="1">
        <v>81</v>
      </c>
      <c r="B282" t="s">
        <v>19</v>
      </c>
      <c r="C282">
        <v>706</v>
      </c>
      <c r="D282">
        <v>2</v>
      </c>
      <c r="E282" t="s">
        <v>27</v>
      </c>
      <c r="F282" t="s">
        <v>29</v>
      </c>
      <c r="G282" t="str">
        <f>"2026-04-13 21:32:59.495"</f>
        <v>2026-04-13 21:32:59.495</v>
      </c>
      <c r="H282" t="s">
        <v>21</v>
      </c>
      <c r="I282">
        <v>0</v>
      </c>
      <c r="J282" t="s">
        <v>26</v>
      </c>
    </row>
    <row r="283" spans="1:10" x14ac:dyDescent="0.25">
      <c r="A283" s="1">
        <v>82</v>
      </c>
      <c r="B283" t="s">
        <v>19</v>
      </c>
      <c r="C283">
        <v>706</v>
      </c>
      <c r="D283">
        <v>4</v>
      </c>
      <c r="E283" t="s">
        <v>27</v>
      </c>
      <c r="F283" t="s">
        <v>28</v>
      </c>
      <c r="G283" t="str">
        <f>"2026-04-13 21:32:44.225"</f>
        <v>2026-04-13 21:32:44.225</v>
      </c>
      <c r="H283" t="s">
        <v>21</v>
      </c>
      <c r="I283">
        <v>0</v>
      </c>
      <c r="J283" t="s">
        <v>26</v>
      </c>
    </row>
    <row r="284" spans="1:10" x14ac:dyDescent="0.25">
      <c r="A284" s="1">
        <v>83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"2026-04-13 21:28:58.975"</f>
        <v>2026-04-13 21:28:58.975</v>
      </c>
      <c r="H284" t="s">
        <v>21</v>
      </c>
    </row>
    <row r="285" spans="1:10" x14ac:dyDescent="0.25">
      <c r="A285" s="1">
        <v>84</v>
      </c>
      <c r="B285" t="s">
        <v>31</v>
      </c>
      <c r="C285">
        <v>630</v>
      </c>
      <c r="D285">
        <v>5</v>
      </c>
      <c r="E285" t="s">
        <v>23</v>
      </c>
      <c r="F285" t="s">
        <v>24</v>
      </c>
      <c r="G285" t="str">
        <f>"2026-04-13 21:16:40.040"</f>
        <v>2026-04-13 21:16:40.040</v>
      </c>
      <c r="H285" t="s">
        <v>25</v>
      </c>
    </row>
    <row r="286" spans="1:10" x14ac:dyDescent="0.25">
      <c r="A286" s="1">
        <v>85</v>
      </c>
      <c r="B286" t="s">
        <v>19</v>
      </c>
      <c r="C286">
        <v>706</v>
      </c>
      <c r="D286">
        <v>4</v>
      </c>
      <c r="E286" t="s">
        <v>27</v>
      </c>
      <c r="F286" t="s">
        <v>28</v>
      </c>
      <c r="G286" t="str">
        <f>"2026-04-13 21:16:09.972"</f>
        <v>2026-04-13 21:16:09.972</v>
      </c>
      <c r="H286" t="s">
        <v>21</v>
      </c>
      <c r="I286">
        <v>0</v>
      </c>
      <c r="J286" t="s">
        <v>26</v>
      </c>
    </row>
    <row r="287" spans="1:10" x14ac:dyDescent="0.25">
      <c r="A287" s="1">
        <v>86</v>
      </c>
      <c r="B287" t="s">
        <v>22</v>
      </c>
      <c r="C287">
        <v>630</v>
      </c>
      <c r="D287">
        <v>5</v>
      </c>
      <c r="E287" t="s">
        <v>23</v>
      </c>
      <c r="F287" t="s">
        <v>24</v>
      </c>
      <c r="G287" t="str">
        <f>"2026-04-13 21:13:00.140"</f>
        <v>2026-04-13 21:13:00.140</v>
      </c>
      <c r="H287" t="s">
        <v>25</v>
      </c>
      <c r="I287">
        <v>0</v>
      </c>
      <c r="J287" t="s">
        <v>26</v>
      </c>
    </row>
    <row r="288" spans="1:10" x14ac:dyDescent="0.25">
      <c r="A288" s="1">
        <v>87</v>
      </c>
      <c r="B288" t="s">
        <v>31</v>
      </c>
      <c r="C288">
        <v>630</v>
      </c>
      <c r="D288">
        <v>5</v>
      </c>
      <c r="E288" t="s">
        <v>23</v>
      </c>
      <c r="F288" t="s">
        <v>24</v>
      </c>
      <c r="G288" t="str">
        <f>"2026-04-13 21:05:06.440"</f>
        <v>2026-04-13 21:05:06.440</v>
      </c>
      <c r="H288" t="s">
        <v>25</v>
      </c>
    </row>
    <row r="289" spans="1:10" x14ac:dyDescent="0.25">
      <c r="A289" s="1">
        <v>88</v>
      </c>
      <c r="B289" t="s">
        <v>19</v>
      </c>
      <c r="C289">
        <v>706</v>
      </c>
      <c r="D289">
        <v>4</v>
      </c>
      <c r="E289" t="s">
        <v>27</v>
      </c>
      <c r="F289" t="s">
        <v>28</v>
      </c>
      <c r="G289" t="str">
        <f>"2026-04-13 21:04:36.412"</f>
        <v>2026-04-13 21:04:36.412</v>
      </c>
      <c r="H289" t="s">
        <v>21</v>
      </c>
      <c r="I289">
        <v>0</v>
      </c>
      <c r="J289" t="s">
        <v>26</v>
      </c>
    </row>
    <row r="290" spans="1:10" x14ac:dyDescent="0.25">
      <c r="A290" s="1">
        <v>89</v>
      </c>
      <c r="B290" t="s">
        <v>19</v>
      </c>
      <c r="C290">
        <v>706</v>
      </c>
      <c r="D290">
        <v>4</v>
      </c>
      <c r="E290" t="s">
        <v>27</v>
      </c>
      <c r="F290" t="s">
        <v>28</v>
      </c>
      <c r="G290" t="str">
        <f>"2026-04-13 21:04:09.412"</f>
        <v>2026-04-13 21:04:09.412</v>
      </c>
      <c r="H290" t="s">
        <v>21</v>
      </c>
      <c r="I290">
        <v>0</v>
      </c>
      <c r="J290" t="s">
        <v>26</v>
      </c>
    </row>
    <row r="291" spans="1:10" x14ac:dyDescent="0.25">
      <c r="A291" s="1">
        <v>90</v>
      </c>
      <c r="B291" t="s">
        <v>22</v>
      </c>
      <c r="C291">
        <v>630</v>
      </c>
      <c r="D291">
        <v>5</v>
      </c>
      <c r="E291" t="s">
        <v>23</v>
      </c>
      <c r="F291" t="s">
        <v>24</v>
      </c>
      <c r="G291" t="str">
        <f>"2026-04-13 20:57:34.741"</f>
        <v>2026-04-13 20:57:34.741</v>
      </c>
      <c r="H291" t="s">
        <v>25</v>
      </c>
      <c r="I291">
        <v>0</v>
      </c>
      <c r="J291" t="s">
        <v>26</v>
      </c>
    </row>
    <row r="292" spans="1:10" x14ac:dyDescent="0.25">
      <c r="A292" s="1">
        <v>91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"2026-04-13 20:52:31.972"</f>
        <v>2026-04-13 20:52:31.972</v>
      </c>
      <c r="H292" t="s">
        <v>21</v>
      </c>
    </row>
    <row r="293" spans="1:10" x14ac:dyDescent="0.25">
      <c r="A293" s="1">
        <v>92</v>
      </c>
      <c r="B293" t="s">
        <v>31</v>
      </c>
      <c r="C293">
        <v>630</v>
      </c>
      <c r="D293">
        <v>5</v>
      </c>
      <c r="E293" t="s">
        <v>23</v>
      </c>
      <c r="F293" t="s">
        <v>24</v>
      </c>
      <c r="G293" t="str">
        <f>"2026-04-12 16:35:49.818"</f>
        <v>2026-04-12 16:35:49.818</v>
      </c>
      <c r="H293" t="s">
        <v>25</v>
      </c>
    </row>
    <row r="294" spans="1:10" x14ac:dyDescent="0.25">
      <c r="A294" s="1">
        <v>93</v>
      </c>
      <c r="B294" t="s">
        <v>19</v>
      </c>
      <c r="C294">
        <v>706</v>
      </c>
      <c r="D294">
        <v>2</v>
      </c>
      <c r="E294" t="s">
        <v>27</v>
      </c>
      <c r="F294" t="s">
        <v>29</v>
      </c>
      <c r="G294" t="str">
        <f>"2026-04-12 16:35:19.702"</f>
        <v>2026-04-12 16:35:19.702</v>
      </c>
      <c r="H294" t="s">
        <v>21</v>
      </c>
      <c r="I294">
        <v>0</v>
      </c>
      <c r="J294" t="s">
        <v>26</v>
      </c>
    </row>
    <row r="295" spans="1:10" x14ac:dyDescent="0.25">
      <c r="A295" s="1">
        <v>94</v>
      </c>
      <c r="B295" t="s">
        <v>22</v>
      </c>
      <c r="C295">
        <v>630</v>
      </c>
      <c r="D295">
        <v>5</v>
      </c>
      <c r="E295" t="s">
        <v>23</v>
      </c>
      <c r="F295" t="s">
        <v>24</v>
      </c>
      <c r="G295" t="str">
        <f>"2026-04-12 16:10:37.319"</f>
        <v>2026-04-12 16:10:37.319</v>
      </c>
      <c r="H295" t="s">
        <v>25</v>
      </c>
      <c r="I295">
        <v>0</v>
      </c>
      <c r="J295" t="s">
        <v>26</v>
      </c>
    </row>
    <row r="296" spans="1:10" x14ac:dyDescent="0.25">
      <c r="A296" s="1">
        <v>95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"2026-04-11 21:41:43.722"</f>
        <v>2026-04-11 21:41:43.722</v>
      </c>
      <c r="H296" t="s">
        <v>21</v>
      </c>
    </row>
    <row r="297" spans="1:10" x14ac:dyDescent="0.25">
      <c r="A297" s="1">
        <v>96</v>
      </c>
      <c r="B297" t="s">
        <v>31</v>
      </c>
      <c r="C297">
        <v>635</v>
      </c>
      <c r="D297">
        <v>1</v>
      </c>
      <c r="E297" t="s">
        <v>37</v>
      </c>
      <c r="F297" t="s">
        <v>38</v>
      </c>
      <c r="G297" t="str">
        <f>"2026-04-11 11:58:46.549"</f>
        <v>2026-04-11 11:58:46.549</v>
      </c>
      <c r="H297" t="s">
        <v>21</v>
      </c>
    </row>
    <row r="298" spans="1:10" x14ac:dyDescent="0.25">
      <c r="A298" s="1">
        <v>97</v>
      </c>
      <c r="B298" t="s">
        <v>34</v>
      </c>
      <c r="C298">
        <v>635</v>
      </c>
      <c r="D298">
        <v>1</v>
      </c>
      <c r="E298" t="s">
        <v>37</v>
      </c>
      <c r="F298" t="s">
        <v>38</v>
      </c>
      <c r="G298" t="str">
        <f>"2026-04-11 11:52:01.049"</f>
        <v>2026-04-11 11:52:01.049</v>
      </c>
      <c r="H298" t="s">
        <v>21</v>
      </c>
      <c r="I298">
        <v>6.47</v>
      </c>
      <c r="J298" t="s">
        <v>39</v>
      </c>
    </row>
    <row r="299" spans="1:10" x14ac:dyDescent="0.25">
      <c r="A299" s="1">
        <v>98</v>
      </c>
      <c r="B299" t="s">
        <v>31</v>
      </c>
      <c r="C299">
        <v>630</v>
      </c>
      <c r="D299">
        <v>5</v>
      </c>
      <c r="E299" t="s">
        <v>23</v>
      </c>
      <c r="F299" t="s">
        <v>24</v>
      </c>
      <c r="G299" t="str">
        <f>"2026-04-10 13:57:27.249"</f>
        <v>2026-04-10 13:57:27.249</v>
      </c>
      <c r="H299" t="s">
        <v>25</v>
      </c>
    </row>
    <row r="300" spans="1:10" x14ac:dyDescent="0.25">
      <c r="A300" s="1">
        <v>99</v>
      </c>
      <c r="B300" t="s">
        <v>19</v>
      </c>
      <c r="C300">
        <v>706</v>
      </c>
      <c r="D300">
        <v>4</v>
      </c>
      <c r="E300" t="s">
        <v>27</v>
      </c>
      <c r="F300" t="s">
        <v>28</v>
      </c>
      <c r="G300" t="str">
        <f>"2026-04-10 13:56:57.127"</f>
        <v>2026-04-10 13:56:57.127</v>
      </c>
      <c r="H300" t="s">
        <v>21</v>
      </c>
      <c r="I300">
        <v>0</v>
      </c>
      <c r="J300" t="s">
        <v>26</v>
      </c>
    </row>
    <row r="301" spans="1:10" x14ac:dyDescent="0.25">
      <c r="A301" s="1">
        <v>0</v>
      </c>
      <c r="B301" t="s">
        <v>22</v>
      </c>
      <c r="C301">
        <v>630</v>
      </c>
      <c r="D301">
        <v>5</v>
      </c>
      <c r="E301" t="s">
        <v>23</v>
      </c>
      <c r="F301" t="s">
        <v>24</v>
      </c>
      <c r="G301" t="str">
        <f>"2026-04-10 13:21:23.549"</f>
        <v>2026-04-10 13:21:23.549</v>
      </c>
      <c r="H301" t="s">
        <v>25</v>
      </c>
      <c r="I301">
        <v>0</v>
      </c>
      <c r="J301" t="s">
        <v>26</v>
      </c>
    </row>
    <row r="302" spans="1:10" x14ac:dyDescent="0.25">
      <c r="A302" s="1">
        <v>1</v>
      </c>
      <c r="B302" t="s">
        <v>31</v>
      </c>
      <c r="C302">
        <v>635</v>
      </c>
      <c r="D302">
        <v>1</v>
      </c>
      <c r="E302" t="s">
        <v>37</v>
      </c>
      <c r="F302" t="s">
        <v>38</v>
      </c>
      <c r="G302" t="str">
        <f>"2026-04-10 10:26:27.549"</f>
        <v>2026-04-10 10:26:27.549</v>
      </c>
      <c r="H302" t="s">
        <v>21</v>
      </c>
    </row>
    <row r="303" spans="1:10" x14ac:dyDescent="0.25">
      <c r="A303" s="1">
        <v>2</v>
      </c>
      <c r="B303" t="s">
        <v>34</v>
      </c>
      <c r="C303">
        <v>635</v>
      </c>
      <c r="D303">
        <v>1</v>
      </c>
      <c r="E303" t="s">
        <v>37</v>
      </c>
      <c r="F303" t="s">
        <v>38</v>
      </c>
      <c r="G303" t="str">
        <f>"2026-04-10 10:21:56.549"</f>
        <v>2026-04-10 10:21:56.549</v>
      </c>
      <c r="H303" t="s">
        <v>21</v>
      </c>
      <c r="I303">
        <v>6.5</v>
      </c>
      <c r="J303" t="s">
        <v>39</v>
      </c>
    </row>
    <row r="304" spans="1:10" x14ac:dyDescent="0.25">
      <c r="A304" s="1">
        <v>3</v>
      </c>
      <c r="B304" t="s">
        <v>31</v>
      </c>
      <c r="C304">
        <v>630</v>
      </c>
      <c r="D304">
        <v>5</v>
      </c>
      <c r="E304" t="s">
        <v>23</v>
      </c>
      <c r="F304" t="s">
        <v>24</v>
      </c>
      <c r="G304" t="str">
        <f>"2026-04-09 16:29:16.849"</f>
        <v>2026-04-09 16:29:16.849</v>
      </c>
      <c r="H304" t="s">
        <v>25</v>
      </c>
    </row>
    <row r="305" spans="1:10" x14ac:dyDescent="0.25">
      <c r="A305" s="1">
        <v>4</v>
      </c>
      <c r="B305" t="s">
        <v>19</v>
      </c>
      <c r="C305">
        <v>706</v>
      </c>
      <c r="D305">
        <v>4</v>
      </c>
      <c r="E305" t="s">
        <v>27</v>
      </c>
      <c r="F305" t="s">
        <v>28</v>
      </c>
      <c r="G305" t="str">
        <f>"2026-04-09 16:28:46.807"</f>
        <v>2026-04-09 16:28:46.807</v>
      </c>
      <c r="H305" t="s">
        <v>21</v>
      </c>
      <c r="I305">
        <v>0</v>
      </c>
      <c r="J305" t="s">
        <v>26</v>
      </c>
    </row>
    <row r="306" spans="1:10" x14ac:dyDescent="0.25">
      <c r="A306" s="1">
        <v>5</v>
      </c>
      <c r="B306" t="s">
        <v>22</v>
      </c>
      <c r="C306">
        <v>630</v>
      </c>
      <c r="D306">
        <v>5</v>
      </c>
      <c r="E306" t="s">
        <v>23</v>
      </c>
      <c r="F306" t="s">
        <v>24</v>
      </c>
      <c r="G306" t="str">
        <f>"2026-04-09 16:24:48.049"</f>
        <v>2026-04-09 16:24:48.049</v>
      </c>
      <c r="H306" t="s">
        <v>25</v>
      </c>
      <c r="I306">
        <v>0</v>
      </c>
      <c r="J306" t="s">
        <v>26</v>
      </c>
    </row>
    <row r="307" spans="1:10" x14ac:dyDescent="0.25">
      <c r="A307" s="1">
        <v>6</v>
      </c>
      <c r="B307" t="s">
        <v>31</v>
      </c>
      <c r="C307">
        <v>630</v>
      </c>
      <c r="D307">
        <v>5</v>
      </c>
      <c r="E307" t="s">
        <v>23</v>
      </c>
      <c r="F307" t="s">
        <v>24</v>
      </c>
      <c r="G307" t="str">
        <f>"2026-04-07 14:00:49.049"</f>
        <v>2026-04-07 14:00:49.049</v>
      </c>
      <c r="H307" t="s">
        <v>25</v>
      </c>
    </row>
    <row r="308" spans="1:10" x14ac:dyDescent="0.25">
      <c r="A308" s="1">
        <v>7</v>
      </c>
      <c r="B308" t="s">
        <v>19</v>
      </c>
      <c r="C308">
        <v>706</v>
      </c>
      <c r="D308">
        <v>2</v>
      </c>
      <c r="E308" t="s">
        <v>27</v>
      </c>
      <c r="F308" t="s">
        <v>29</v>
      </c>
      <c r="G308" t="str">
        <f>"2026-04-07 14:00:18.917"</f>
        <v>2026-04-07 14:00:18.917</v>
      </c>
      <c r="H308" t="s">
        <v>21</v>
      </c>
      <c r="I308">
        <v>0</v>
      </c>
      <c r="J308" t="s">
        <v>26</v>
      </c>
    </row>
    <row r="309" spans="1:10" x14ac:dyDescent="0.25">
      <c r="A309" s="1">
        <v>8</v>
      </c>
      <c r="B309" t="s">
        <v>22</v>
      </c>
      <c r="C309">
        <v>630</v>
      </c>
      <c r="D309">
        <v>5</v>
      </c>
      <c r="E309" t="s">
        <v>23</v>
      </c>
      <c r="F309" t="s">
        <v>24</v>
      </c>
      <c r="G309" t="str">
        <f>"2026-04-07 13:56:00.550"</f>
        <v>2026-04-07 13:56:00.550</v>
      </c>
      <c r="H309" t="s">
        <v>25</v>
      </c>
      <c r="I309">
        <v>0</v>
      </c>
      <c r="J309" t="s">
        <v>26</v>
      </c>
    </row>
    <row r="310" spans="1:10" x14ac:dyDescent="0.25">
      <c r="A310" s="1">
        <v>9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"2026-04-07 13:50:57.737"</f>
        <v>2026-04-07 13:50:57.737</v>
      </c>
      <c r="H310" t="s">
        <v>21</v>
      </c>
      <c r="I310">
        <v>0</v>
      </c>
      <c r="J310" t="s">
        <v>30</v>
      </c>
    </row>
    <row r="311" spans="1:10" x14ac:dyDescent="0.25">
      <c r="A311" s="1">
        <v>10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"2026-04-07 13:25:43.772"</f>
        <v>2026-04-07 13:25:43.772</v>
      </c>
      <c r="H311" t="s">
        <v>21</v>
      </c>
    </row>
    <row r="312" spans="1:10" x14ac:dyDescent="0.25">
      <c r="A312" s="1">
        <v>11</v>
      </c>
      <c r="B312" t="s">
        <v>19</v>
      </c>
      <c r="C312">
        <v>706</v>
      </c>
      <c r="D312">
        <v>2</v>
      </c>
      <c r="E312" t="s">
        <v>27</v>
      </c>
      <c r="F312" t="s">
        <v>29</v>
      </c>
      <c r="G312" t="str">
        <f>"2026-04-05 14:56:05.287"</f>
        <v>2026-04-05 14:56:05.287</v>
      </c>
      <c r="H312" t="s">
        <v>21</v>
      </c>
      <c r="I312">
        <v>0</v>
      </c>
      <c r="J312" t="s">
        <v>26</v>
      </c>
    </row>
    <row r="313" spans="1:10" x14ac:dyDescent="0.25">
      <c r="A313" s="1">
        <v>12</v>
      </c>
      <c r="B313" t="s">
        <v>19</v>
      </c>
      <c r="C313">
        <v>706</v>
      </c>
      <c r="D313">
        <v>3</v>
      </c>
      <c r="E313" t="s">
        <v>27</v>
      </c>
      <c r="F313" t="s">
        <v>42</v>
      </c>
      <c r="G313" t="str">
        <f>"2026-04-05 14:55:56.127"</f>
        <v>2026-04-05 14:55:56.127</v>
      </c>
      <c r="H313" t="s">
        <v>21</v>
      </c>
      <c r="I313">
        <v>0</v>
      </c>
      <c r="J313" t="s">
        <v>26</v>
      </c>
    </row>
    <row r="314" spans="1:10" x14ac:dyDescent="0.25">
      <c r="A314" s="1">
        <v>13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"2026-04-04 16:35:45.747"</f>
        <v>2026-04-04 16:35:45.747</v>
      </c>
      <c r="H314" t="s">
        <v>21</v>
      </c>
    </row>
    <row r="315" spans="1:10" x14ac:dyDescent="0.25">
      <c r="A315" s="1">
        <v>14</v>
      </c>
      <c r="B315" t="s">
        <v>19</v>
      </c>
      <c r="C315">
        <v>706</v>
      </c>
      <c r="D315">
        <v>4</v>
      </c>
      <c r="E315" t="s">
        <v>27</v>
      </c>
      <c r="F315" t="s">
        <v>28</v>
      </c>
      <c r="G315" t="str">
        <f>"2026-04-03 16:18:48.400"</f>
        <v>2026-04-03 16:18:48.400</v>
      </c>
      <c r="H315" t="s">
        <v>21</v>
      </c>
      <c r="I315">
        <v>0</v>
      </c>
      <c r="J315" t="s">
        <v>26</v>
      </c>
    </row>
    <row r="316" spans="1:10" x14ac:dyDescent="0.25">
      <c r="A316" s="1">
        <v>15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"2026-04-03 16:16:54.760"</f>
        <v>2026-04-03 16:16:54.760</v>
      </c>
      <c r="H316" t="s">
        <v>21</v>
      </c>
      <c r="I316">
        <v>0</v>
      </c>
      <c r="J316" t="s">
        <v>30</v>
      </c>
    </row>
    <row r="317" spans="1:10" x14ac:dyDescent="0.25">
      <c r="A317" s="1">
        <v>16</v>
      </c>
      <c r="B317" t="s">
        <v>22</v>
      </c>
      <c r="C317">
        <v>630</v>
      </c>
      <c r="D317">
        <v>5</v>
      </c>
      <c r="E317" t="s">
        <v>23</v>
      </c>
      <c r="F317" t="s">
        <v>24</v>
      </c>
      <c r="G317" t="str">
        <f>"2026-04-03 14:12:38.749"</f>
        <v>2026-04-03 14:12:38.749</v>
      </c>
      <c r="H317" t="s">
        <v>25</v>
      </c>
      <c r="I317">
        <v>0</v>
      </c>
      <c r="J317" t="s">
        <v>26</v>
      </c>
    </row>
    <row r="318" spans="1:10" x14ac:dyDescent="0.25">
      <c r="A318" s="1">
        <v>17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"2026-04-03 14:07:35.970"</f>
        <v>2026-04-03 14:07:35.970</v>
      </c>
      <c r="H318" t="s">
        <v>21</v>
      </c>
    </row>
    <row r="319" spans="1:10" x14ac:dyDescent="0.25">
      <c r="A319" s="1">
        <v>18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"2026-04-03 11:57:42.973"</f>
        <v>2026-04-03 11:57:42.973</v>
      </c>
      <c r="H319" t="s">
        <v>21</v>
      </c>
    </row>
    <row r="320" spans="1:10" x14ac:dyDescent="0.25">
      <c r="A320" s="1">
        <v>19</v>
      </c>
      <c r="B320" t="s">
        <v>31</v>
      </c>
      <c r="C320">
        <v>635</v>
      </c>
      <c r="D320">
        <v>1</v>
      </c>
      <c r="E320" t="s">
        <v>37</v>
      </c>
      <c r="F320" t="s">
        <v>38</v>
      </c>
      <c r="G320" t="str">
        <f>"2026-04-03 10:27:06.002"</f>
        <v>2026-04-03 10:27:06.002</v>
      </c>
      <c r="H320" t="s">
        <v>21</v>
      </c>
    </row>
    <row r="321" spans="1:10" x14ac:dyDescent="0.25">
      <c r="A321" s="1">
        <v>20</v>
      </c>
      <c r="B321" t="s">
        <v>34</v>
      </c>
      <c r="C321">
        <v>635</v>
      </c>
      <c r="D321">
        <v>1</v>
      </c>
      <c r="E321" t="s">
        <v>37</v>
      </c>
      <c r="F321" t="s">
        <v>38</v>
      </c>
      <c r="G321" t="str">
        <f>"2026-04-03 10:24:37.502"</f>
        <v>2026-04-03 10:24:37.502</v>
      </c>
      <c r="H321" t="s">
        <v>21</v>
      </c>
      <c r="I321">
        <v>7.75</v>
      </c>
      <c r="J321" t="s">
        <v>39</v>
      </c>
    </row>
    <row r="322" spans="1:10" x14ac:dyDescent="0.25">
      <c r="A322" s="1">
        <v>22</v>
      </c>
      <c r="B322" t="s">
        <v>31</v>
      </c>
      <c r="C322">
        <v>630</v>
      </c>
      <c r="D322">
        <v>5</v>
      </c>
      <c r="E322" t="s">
        <v>23</v>
      </c>
      <c r="F322" t="s">
        <v>24</v>
      </c>
      <c r="G322" t="str">
        <f>"2026-04-02 13:46:37.002"</f>
        <v>2026-04-02 13:46:37.002</v>
      </c>
      <c r="H322" t="s">
        <v>25</v>
      </c>
    </row>
    <row r="323" spans="1:10" x14ac:dyDescent="0.25">
      <c r="A323" s="1">
        <v>23</v>
      </c>
      <c r="B323" t="s">
        <v>19</v>
      </c>
      <c r="C323">
        <v>706</v>
      </c>
      <c r="D323">
        <v>4</v>
      </c>
      <c r="E323" t="s">
        <v>27</v>
      </c>
      <c r="F323" t="s">
        <v>28</v>
      </c>
      <c r="G323" t="str">
        <f>"2026-04-02 13:46:06.934"</f>
        <v>2026-04-02 13:46:06.934</v>
      </c>
      <c r="H323" t="s">
        <v>21</v>
      </c>
      <c r="I323">
        <v>0</v>
      </c>
      <c r="J323" t="s">
        <v>26</v>
      </c>
    </row>
    <row r="324" spans="1:10" x14ac:dyDescent="0.25">
      <c r="A324" s="1">
        <v>24</v>
      </c>
      <c r="B324" t="s">
        <v>22</v>
      </c>
      <c r="C324">
        <v>630</v>
      </c>
      <c r="D324">
        <v>5</v>
      </c>
      <c r="E324" t="s">
        <v>23</v>
      </c>
      <c r="F324" t="s">
        <v>24</v>
      </c>
      <c r="G324" t="str">
        <f>"2026-04-02 13:12:56.703"</f>
        <v>2026-04-02 13:12:56.703</v>
      </c>
      <c r="H324" t="s">
        <v>25</v>
      </c>
      <c r="I324">
        <v>0</v>
      </c>
      <c r="J324" t="s">
        <v>26</v>
      </c>
    </row>
    <row r="325" spans="1:10" x14ac:dyDescent="0.25">
      <c r="A325" s="1">
        <v>25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"2026-04-02 09:24:30.764"</f>
        <v>2026-04-02 09:24:30.764</v>
      </c>
      <c r="H325" t="s">
        <v>21</v>
      </c>
    </row>
    <row r="326" spans="1:10" x14ac:dyDescent="0.25">
      <c r="A326" s="1">
        <v>26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"2026-04-02 05:21:52.872"</f>
        <v>2026-04-02 05:21:52.872</v>
      </c>
      <c r="H326" t="s">
        <v>21</v>
      </c>
    </row>
    <row r="327" spans="1:10" x14ac:dyDescent="0.25">
      <c r="A327" s="1">
        <v>27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"2026-04-01 22:10:51.781"</f>
        <v>2026-04-01 22:10:51.781</v>
      </c>
      <c r="H327" t="s">
        <v>21</v>
      </c>
    </row>
    <row r="328" spans="1:10" x14ac:dyDescent="0.25">
      <c r="A328" s="1">
        <v>28</v>
      </c>
      <c r="B328" t="s">
        <v>31</v>
      </c>
      <c r="C328">
        <v>630</v>
      </c>
      <c r="D328">
        <v>5</v>
      </c>
      <c r="E328" t="s">
        <v>23</v>
      </c>
      <c r="F328" t="s">
        <v>24</v>
      </c>
      <c r="G328" t="str">
        <f>"2026-04-01 08:54:26.491"</f>
        <v>2026-04-01 08:54:26.491</v>
      </c>
      <c r="H328" t="s">
        <v>25</v>
      </c>
    </row>
    <row r="329" spans="1:10" x14ac:dyDescent="0.25">
      <c r="A329" s="1">
        <v>29</v>
      </c>
      <c r="B329" t="s">
        <v>19</v>
      </c>
      <c r="C329">
        <v>706</v>
      </c>
      <c r="D329">
        <v>4</v>
      </c>
      <c r="E329" t="s">
        <v>27</v>
      </c>
      <c r="F329" t="s">
        <v>28</v>
      </c>
      <c r="G329" t="str">
        <f>"2026-04-01 08:53:56.534"</f>
        <v>2026-04-01 08:53:56.534</v>
      </c>
      <c r="H329" t="s">
        <v>21</v>
      </c>
      <c r="I329">
        <v>0</v>
      </c>
      <c r="J329" t="s">
        <v>26</v>
      </c>
    </row>
    <row r="330" spans="1:10" x14ac:dyDescent="0.25">
      <c r="A330" s="1">
        <v>30</v>
      </c>
      <c r="B330" t="s">
        <v>22</v>
      </c>
      <c r="C330">
        <v>630</v>
      </c>
      <c r="D330">
        <v>5</v>
      </c>
      <c r="E330" t="s">
        <v>23</v>
      </c>
      <c r="F330" t="s">
        <v>24</v>
      </c>
      <c r="G330" t="str">
        <f>"2026-04-01 08:43:30.992"</f>
        <v>2026-04-01 08:43:30.992</v>
      </c>
      <c r="H330" t="s">
        <v>25</v>
      </c>
      <c r="I330">
        <v>0</v>
      </c>
      <c r="J330" t="s">
        <v>26</v>
      </c>
    </row>
    <row r="331" spans="1:10" x14ac:dyDescent="0.25">
      <c r="A331" s="1">
        <v>31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"2026-04-01 06:11:55.764"</f>
        <v>2026-04-01 06:11:55.764</v>
      </c>
      <c r="H331" t="s">
        <v>21</v>
      </c>
      <c r="I331">
        <v>0</v>
      </c>
      <c r="J331" t="s">
        <v>30</v>
      </c>
    </row>
    <row r="332" spans="1:10" x14ac:dyDescent="0.25">
      <c r="A332" s="1">
        <v>32</v>
      </c>
      <c r="B332" t="s">
        <v>31</v>
      </c>
      <c r="C332">
        <v>635</v>
      </c>
      <c r="D332">
        <v>1</v>
      </c>
      <c r="E332" t="s">
        <v>37</v>
      </c>
      <c r="F332" t="s">
        <v>38</v>
      </c>
      <c r="G332" t="str">
        <f>"2026-03-31 21:22:06.965"</f>
        <v>2026-03-31 21:22:06.965</v>
      </c>
      <c r="H332" t="s">
        <v>21</v>
      </c>
    </row>
    <row r="333" spans="1:10" x14ac:dyDescent="0.25">
      <c r="A333" s="1">
        <v>33</v>
      </c>
      <c r="B333" t="s">
        <v>34</v>
      </c>
      <c r="C333">
        <v>635</v>
      </c>
      <c r="D333">
        <v>1</v>
      </c>
      <c r="E333" t="s">
        <v>37</v>
      </c>
      <c r="F333" t="s">
        <v>38</v>
      </c>
      <c r="G333" t="str">
        <f>"2026-03-31 21:19:40.465"</f>
        <v>2026-03-31 21:19:40.465</v>
      </c>
      <c r="H333" t="s">
        <v>21</v>
      </c>
      <c r="I333">
        <v>-0.14000000000000001</v>
      </c>
      <c r="J333" t="s">
        <v>36</v>
      </c>
    </row>
    <row r="334" spans="1:10" s="3" customFormat="1" x14ac:dyDescent="0.25">
      <c r="A334" s="2">
        <v>35</v>
      </c>
      <c r="B334" s="3" t="s">
        <v>31</v>
      </c>
      <c r="C334" s="3">
        <v>647</v>
      </c>
      <c r="D334" s="3">
        <v>1</v>
      </c>
      <c r="E334" s="3" t="s">
        <v>32</v>
      </c>
      <c r="F334" s="3" t="s">
        <v>33</v>
      </c>
      <c r="G334" s="3" t="str">
        <f>"2026-03-30 18:33:49.919"</f>
        <v>2026-03-30 18:33:49.919</v>
      </c>
      <c r="H334" s="3" t="s">
        <v>21</v>
      </c>
    </row>
    <row r="335" spans="1:10" s="3" customFormat="1" x14ac:dyDescent="0.25">
      <c r="A335" s="2">
        <v>36</v>
      </c>
      <c r="B335" s="3" t="s">
        <v>34</v>
      </c>
      <c r="C335" s="3">
        <v>647</v>
      </c>
      <c r="D335" s="3">
        <v>1</v>
      </c>
      <c r="E335" s="3" t="s">
        <v>32</v>
      </c>
      <c r="F335" s="3" t="s">
        <v>33</v>
      </c>
      <c r="G335" s="3" t="str">
        <f>"2026-03-30 18:33:46.119"</f>
        <v>2026-03-30 18:33:46.119</v>
      </c>
      <c r="H335" s="3" t="s">
        <v>21</v>
      </c>
      <c r="I335" s="3">
        <v>10.130000000000001</v>
      </c>
      <c r="J335" s="3" t="s">
        <v>35</v>
      </c>
    </row>
    <row r="336" spans="1:10" x14ac:dyDescent="0.25">
      <c r="A336" s="1">
        <v>37</v>
      </c>
      <c r="B336" t="s">
        <v>31</v>
      </c>
      <c r="C336">
        <v>630</v>
      </c>
      <c r="D336">
        <v>5</v>
      </c>
      <c r="E336" t="s">
        <v>23</v>
      </c>
      <c r="F336" t="s">
        <v>24</v>
      </c>
      <c r="G336" t="str">
        <f>"2026-03-30 11:24:48.919"</f>
        <v>2026-03-30 11:24:48.919</v>
      </c>
      <c r="H336" t="s">
        <v>25</v>
      </c>
    </row>
    <row r="337" spans="1:10" x14ac:dyDescent="0.25">
      <c r="A337" s="1">
        <v>38</v>
      </c>
      <c r="B337" t="s">
        <v>19</v>
      </c>
      <c r="C337">
        <v>706</v>
      </c>
      <c r="D337">
        <v>2</v>
      </c>
      <c r="E337" t="s">
        <v>27</v>
      </c>
      <c r="F337" t="s">
        <v>29</v>
      </c>
      <c r="G337" t="str">
        <f>"2026-03-30 11:24:18.754"</f>
        <v>2026-03-30 11:24:18.754</v>
      </c>
      <c r="H337" t="s">
        <v>21</v>
      </c>
      <c r="I337">
        <v>0</v>
      </c>
      <c r="J337" t="s">
        <v>26</v>
      </c>
    </row>
    <row r="338" spans="1:10" x14ac:dyDescent="0.25">
      <c r="A338" s="1">
        <v>39</v>
      </c>
      <c r="B338" t="s">
        <v>22</v>
      </c>
      <c r="C338">
        <v>630</v>
      </c>
      <c r="D338">
        <v>5</v>
      </c>
      <c r="E338" t="s">
        <v>23</v>
      </c>
      <c r="F338" t="s">
        <v>24</v>
      </c>
      <c r="G338" t="str">
        <f>"2026-03-30 11:13:14.419"</f>
        <v>2026-03-30 11:13:14.419</v>
      </c>
      <c r="H338" t="s">
        <v>25</v>
      </c>
      <c r="I338">
        <v>0</v>
      </c>
      <c r="J338" t="s">
        <v>26</v>
      </c>
    </row>
    <row r="339" spans="1:10" x14ac:dyDescent="0.25">
      <c r="A339" s="1">
        <v>40</v>
      </c>
      <c r="B339" t="s">
        <v>31</v>
      </c>
      <c r="C339">
        <v>630</v>
      </c>
      <c r="D339">
        <v>5</v>
      </c>
      <c r="E339" t="s">
        <v>23</v>
      </c>
      <c r="F339" t="s">
        <v>24</v>
      </c>
      <c r="G339" t="str">
        <f>"2026-03-29 13:43:55.419"</f>
        <v>2026-03-29 13:43:55.419</v>
      </c>
      <c r="H339" t="s">
        <v>25</v>
      </c>
    </row>
    <row r="340" spans="1:10" x14ac:dyDescent="0.25">
      <c r="A340" s="1">
        <v>41</v>
      </c>
      <c r="B340" t="s">
        <v>19</v>
      </c>
      <c r="C340">
        <v>706</v>
      </c>
      <c r="D340">
        <v>2</v>
      </c>
      <c r="E340" t="s">
        <v>27</v>
      </c>
      <c r="F340" t="s">
        <v>29</v>
      </c>
      <c r="G340" t="str">
        <f>"2026-03-29 13:43:25.354"</f>
        <v>2026-03-29 13:43:25.354</v>
      </c>
      <c r="H340" t="s">
        <v>21</v>
      </c>
      <c r="I340">
        <v>0</v>
      </c>
      <c r="J340" t="s">
        <v>26</v>
      </c>
    </row>
    <row r="341" spans="1:10" x14ac:dyDescent="0.25">
      <c r="A341" s="1">
        <v>42</v>
      </c>
      <c r="B341" t="s">
        <v>22</v>
      </c>
      <c r="C341">
        <v>630</v>
      </c>
      <c r="D341">
        <v>5</v>
      </c>
      <c r="E341" t="s">
        <v>23</v>
      </c>
      <c r="F341" t="s">
        <v>24</v>
      </c>
      <c r="G341" t="str">
        <f>"2026-03-29 12:44:12.319"</f>
        <v>2026-03-29 12:44:12.319</v>
      </c>
      <c r="H341" t="s">
        <v>25</v>
      </c>
      <c r="I341">
        <v>0</v>
      </c>
      <c r="J341" t="s">
        <v>26</v>
      </c>
    </row>
    <row r="342" spans="1:10" x14ac:dyDescent="0.25">
      <c r="A342" s="1">
        <v>43</v>
      </c>
      <c r="B342" t="s">
        <v>31</v>
      </c>
      <c r="C342">
        <v>635</v>
      </c>
      <c r="D342">
        <v>1</v>
      </c>
      <c r="E342" t="s">
        <v>37</v>
      </c>
      <c r="F342" t="s">
        <v>38</v>
      </c>
      <c r="G342" t="str">
        <f>"2026-03-29 09:50:55.465"</f>
        <v>2026-03-29 09:50:55.465</v>
      </c>
      <c r="H342" t="s">
        <v>21</v>
      </c>
    </row>
    <row r="343" spans="1:10" x14ac:dyDescent="0.25">
      <c r="A343" s="1">
        <v>44</v>
      </c>
      <c r="B343" t="s">
        <v>34</v>
      </c>
      <c r="C343">
        <v>635</v>
      </c>
      <c r="D343">
        <v>1</v>
      </c>
      <c r="E343" t="s">
        <v>37</v>
      </c>
      <c r="F343" t="s">
        <v>38</v>
      </c>
      <c r="G343" t="str">
        <f>"2026-03-29 09:48:13.465"</f>
        <v>2026-03-29 09:48:13.465</v>
      </c>
      <c r="H343" t="s">
        <v>21</v>
      </c>
      <c r="I343">
        <v>3.71</v>
      </c>
      <c r="J343" t="s">
        <v>39</v>
      </c>
    </row>
    <row r="344" spans="1:10" x14ac:dyDescent="0.25">
      <c r="A344" s="1">
        <v>45</v>
      </c>
      <c r="B344" t="s">
        <v>31</v>
      </c>
      <c r="C344">
        <v>98</v>
      </c>
      <c r="D344">
        <v>1</v>
      </c>
      <c r="E344" t="s">
        <v>40</v>
      </c>
      <c r="F344" t="s">
        <v>41</v>
      </c>
      <c r="G344" t="str">
        <f>"2026-03-29 02:45:57.318"</f>
        <v>2026-03-29 02:45:57.318</v>
      </c>
      <c r="H344" t="s">
        <v>21</v>
      </c>
    </row>
    <row r="345" spans="1:10" x14ac:dyDescent="0.25">
      <c r="A345" s="1">
        <v>46</v>
      </c>
      <c r="B345" t="s">
        <v>34</v>
      </c>
      <c r="C345">
        <v>98</v>
      </c>
      <c r="D345">
        <v>1</v>
      </c>
      <c r="E345" t="s">
        <v>40</v>
      </c>
      <c r="F345" t="s">
        <v>41</v>
      </c>
      <c r="G345" t="str">
        <f>"2026-03-29 02:45:56.319"</f>
        <v>2026-03-29 02:45:56.319</v>
      </c>
      <c r="H345" t="s">
        <v>21</v>
      </c>
      <c r="I345">
        <v>3.29</v>
      </c>
      <c r="J345" t="s">
        <v>39</v>
      </c>
    </row>
    <row r="346" spans="1:10" x14ac:dyDescent="0.25">
      <c r="A346" s="1">
        <v>47</v>
      </c>
      <c r="B346" t="s">
        <v>31</v>
      </c>
      <c r="C346">
        <v>630</v>
      </c>
      <c r="D346">
        <v>5</v>
      </c>
      <c r="E346" t="s">
        <v>23</v>
      </c>
      <c r="F346" t="s">
        <v>24</v>
      </c>
      <c r="G346" t="str">
        <f>"2026-03-28 12:37:04.819"</f>
        <v>2026-03-28 12:37:04.819</v>
      </c>
      <c r="H346" t="s">
        <v>25</v>
      </c>
    </row>
    <row r="347" spans="1:10" x14ac:dyDescent="0.25">
      <c r="A347" s="1">
        <v>48</v>
      </c>
      <c r="B347" t="s">
        <v>19</v>
      </c>
      <c r="C347">
        <v>706</v>
      </c>
      <c r="D347">
        <v>2</v>
      </c>
      <c r="E347" t="s">
        <v>27</v>
      </c>
      <c r="F347" t="s">
        <v>29</v>
      </c>
      <c r="G347" t="str">
        <f>"2026-03-28 12:36:34.654"</f>
        <v>2026-03-28 12:36:34.654</v>
      </c>
      <c r="H347" t="s">
        <v>21</v>
      </c>
      <c r="I347">
        <v>0</v>
      </c>
      <c r="J347" t="s">
        <v>26</v>
      </c>
    </row>
    <row r="348" spans="1:10" x14ac:dyDescent="0.25">
      <c r="A348" s="1">
        <v>49</v>
      </c>
      <c r="B348" t="s">
        <v>22</v>
      </c>
      <c r="C348">
        <v>630</v>
      </c>
      <c r="D348">
        <v>5</v>
      </c>
      <c r="E348" t="s">
        <v>23</v>
      </c>
      <c r="F348" t="s">
        <v>24</v>
      </c>
      <c r="G348" t="str">
        <f>"2026-03-28 12:14:48.619"</f>
        <v>2026-03-28 12:14:48.619</v>
      </c>
      <c r="H348" t="s">
        <v>25</v>
      </c>
      <c r="I348">
        <v>0</v>
      </c>
      <c r="J348" t="s">
        <v>26</v>
      </c>
    </row>
    <row r="349" spans="1:10" s="3" customFormat="1" x14ac:dyDescent="0.25">
      <c r="A349" s="2">
        <v>50</v>
      </c>
      <c r="B349" s="3" t="s">
        <v>31</v>
      </c>
      <c r="C349" s="3">
        <v>647</v>
      </c>
      <c r="D349" s="3">
        <v>1</v>
      </c>
      <c r="E349" s="3" t="s">
        <v>32</v>
      </c>
      <c r="F349" s="3" t="s">
        <v>33</v>
      </c>
      <c r="G349" s="3" t="str">
        <f>"2026-03-28 09:17:45.119"</f>
        <v>2026-03-28 09:17:45.119</v>
      </c>
      <c r="H349" s="3" t="s">
        <v>21</v>
      </c>
    </row>
    <row r="350" spans="1:10" s="3" customFormat="1" x14ac:dyDescent="0.25">
      <c r="A350" s="2">
        <v>51</v>
      </c>
      <c r="B350" s="3" t="s">
        <v>34</v>
      </c>
      <c r="C350" s="3">
        <v>647</v>
      </c>
      <c r="D350" s="3">
        <v>1</v>
      </c>
      <c r="E350" s="3" t="s">
        <v>32</v>
      </c>
      <c r="F350" s="3" t="s">
        <v>33</v>
      </c>
      <c r="G350" s="3" t="str">
        <f>"2026-03-28 09:17:41.319"</f>
        <v>2026-03-28 09:17:41.319</v>
      </c>
      <c r="H350" s="3" t="s">
        <v>21</v>
      </c>
      <c r="I350" s="3">
        <v>9.6300000000000008</v>
      </c>
      <c r="J350" s="3" t="s">
        <v>35</v>
      </c>
    </row>
    <row r="351" spans="1:10" x14ac:dyDescent="0.25">
      <c r="A351" s="1">
        <v>52</v>
      </c>
      <c r="B351" t="s">
        <v>31</v>
      </c>
      <c r="C351">
        <v>630</v>
      </c>
      <c r="D351">
        <v>5</v>
      </c>
      <c r="E351" t="s">
        <v>23</v>
      </c>
      <c r="F351" t="s">
        <v>24</v>
      </c>
      <c r="G351" t="str">
        <f>"2026-03-27 14:16:34.319"</f>
        <v>2026-03-27 14:16:34.319</v>
      </c>
      <c r="H351" t="s">
        <v>25</v>
      </c>
    </row>
    <row r="352" spans="1:10" x14ac:dyDescent="0.25">
      <c r="A352" s="1">
        <v>53</v>
      </c>
      <c r="B352" t="s">
        <v>19</v>
      </c>
      <c r="C352">
        <v>706</v>
      </c>
      <c r="D352">
        <v>4</v>
      </c>
      <c r="E352" t="s">
        <v>27</v>
      </c>
      <c r="F352" t="s">
        <v>28</v>
      </c>
      <c r="G352" t="str">
        <f>"2026-03-27 14:16:04.254"</f>
        <v>2026-03-27 14:16:04.254</v>
      </c>
      <c r="H352" t="s">
        <v>21</v>
      </c>
      <c r="I352">
        <v>0</v>
      </c>
      <c r="J352" t="s">
        <v>26</v>
      </c>
    </row>
    <row r="353" spans="1:10" x14ac:dyDescent="0.25">
      <c r="A353" s="1">
        <v>54</v>
      </c>
      <c r="B353" t="s">
        <v>22</v>
      </c>
      <c r="C353">
        <v>630</v>
      </c>
      <c r="D353">
        <v>5</v>
      </c>
      <c r="E353" t="s">
        <v>23</v>
      </c>
      <c r="F353" t="s">
        <v>24</v>
      </c>
      <c r="G353" t="str">
        <f>"2026-03-27 13:33:23.619"</f>
        <v>2026-03-27 13:33:23.619</v>
      </c>
      <c r="H353" t="s">
        <v>25</v>
      </c>
      <c r="I353">
        <v>0</v>
      </c>
      <c r="J353" t="s">
        <v>26</v>
      </c>
    </row>
    <row r="354" spans="1:10" s="3" customFormat="1" x14ac:dyDescent="0.25">
      <c r="A354" s="2">
        <v>55</v>
      </c>
      <c r="B354" s="3" t="s">
        <v>31</v>
      </c>
      <c r="C354" s="3">
        <v>647</v>
      </c>
      <c r="D354" s="3">
        <v>1</v>
      </c>
      <c r="E354" s="3" t="s">
        <v>32</v>
      </c>
      <c r="F354" s="3" t="s">
        <v>33</v>
      </c>
      <c r="G354" s="3" t="str">
        <f>"2026-03-27 09:34:19.819"</f>
        <v>2026-03-27 09:34:19.819</v>
      </c>
      <c r="H354" s="3" t="s">
        <v>21</v>
      </c>
    </row>
    <row r="355" spans="1:10" s="3" customFormat="1" x14ac:dyDescent="0.25">
      <c r="A355" s="2">
        <v>56</v>
      </c>
      <c r="B355" s="3" t="s">
        <v>34</v>
      </c>
      <c r="C355" s="3">
        <v>647</v>
      </c>
      <c r="D355" s="3">
        <v>1</v>
      </c>
      <c r="E355" s="3" t="s">
        <v>32</v>
      </c>
      <c r="F355" s="3" t="s">
        <v>33</v>
      </c>
      <c r="G355" s="3" t="str">
        <f>"2026-03-27 09:34:09.919"</f>
        <v>2026-03-27 09:34:09.919</v>
      </c>
      <c r="H355" s="3" t="s">
        <v>21</v>
      </c>
      <c r="I355" s="3">
        <v>10.91</v>
      </c>
      <c r="J355" s="3" t="s">
        <v>35</v>
      </c>
    </row>
    <row r="356" spans="1:10" x14ac:dyDescent="0.25">
      <c r="A356" s="1">
        <v>57</v>
      </c>
      <c r="B356" t="s">
        <v>31</v>
      </c>
      <c r="C356">
        <v>630</v>
      </c>
      <c r="D356">
        <v>5</v>
      </c>
      <c r="E356" t="s">
        <v>23</v>
      </c>
      <c r="F356" t="s">
        <v>24</v>
      </c>
      <c r="G356" t="str">
        <f>"2026-03-26 14:50:10.219"</f>
        <v>2026-03-26 14:50:10.219</v>
      </c>
      <c r="H356" t="s">
        <v>25</v>
      </c>
    </row>
    <row r="357" spans="1:10" x14ac:dyDescent="0.25">
      <c r="A357" s="1">
        <v>58</v>
      </c>
      <c r="B357" t="s">
        <v>19</v>
      </c>
      <c r="C357">
        <v>706</v>
      </c>
      <c r="D357">
        <v>2</v>
      </c>
      <c r="E357" t="s">
        <v>27</v>
      </c>
      <c r="F357" t="s">
        <v>29</v>
      </c>
      <c r="G357" t="str">
        <f>"2026-03-26 14:49:40.054"</f>
        <v>2026-03-26 14:49:40.054</v>
      </c>
      <c r="H357" t="s">
        <v>21</v>
      </c>
      <c r="I357">
        <v>0</v>
      </c>
      <c r="J357" t="s">
        <v>26</v>
      </c>
    </row>
    <row r="358" spans="1:10" x14ac:dyDescent="0.25">
      <c r="A358" s="1">
        <v>59</v>
      </c>
      <c r="B358" t="s">
        <v>22</v>
      </c>
      <c r="C358">
        <v>630</v>
      </c>
      <c r="D358">
        <v>5</v>
      </c>
      <c r="E358" t="s">
        <v>23</v>
      </c>
      <c r="F358" t="s">
        <v>24</v>
      </c>
      <c r="G358" t="str">
        <f>"2026-03-26 14:28:57.519"</f>
        <v>2026-03-26 14:28:57.519</v>
      </c>
      <c r="H358" t="s">
        <v>25</v>
      </c>
      <c r="I358">
        <v>0</v>
      </c>
      <c r="J358" t="s">
        <v>26</v>
      </c>
    </row>
    <row r="359" spans="1:10" x14ac:dyDescent="0.25">
      <c r="A359" s="1">
        <v>60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"2026-03-26 14:23:54.784"</f>
        <v>2026-03-26 14:23:54.784</v>
      </c>
      <c r="H359" t="s">
        <v>21</v>
      </c>
      <c r="I359">
        <v>0</v>
      </c>
      <c r="J359" t="s">
        <v>30</v>
      </c>
    </row>
    <row r="360" spans="1:10" x14ac:dyDescent="0.25">
      <c r="A360" s="1">
        <v>61</v>
      </c>
      <c r="B360" t="s">
        <v>31</v>
      </c>
      <c r="C360">
        <v>635</v>
      </c>
      <c r="D360">
        <v>1</v>
      </c>
      <c r="E360" t="s">
        <v>37</v>
      </c>
      <c r="F360" t="s">
        <v>38</v>
      </c>
      <c r="G360" t="str">
        <f>"2026-03-26 10:06:38.367"</f>
        <v>2026-03-26 10:06:38.367</v>
      </c>
      <c r="H360" t="s">
        <v>21</v>
      </c>
    </row>
    <row r="361" spans="1:10" x14ac:dyDescent="0.25">
      <c r="A361" s="1">
        <v>62</v>
      </c>
      <c r="B361" t="s">
        <v>34</v>
      </c>
      <c r="C361">
        <v>635</v>
      </c>
      <c r="D361">
        <v>1</v>
      </c>
      <c r="E361" t="s">
        <v>37</v>
      </c>
      <c r="F361" t="s">
        <v>38</v>
      </c>
      <c r="G361" t="str">
        <f>"2026-03-26 10:01:25.867"</f>
        <v>2026-03-26 10:01:25.867</v>
      </c>
      <c r="H361" t="s">
        <v>21</v>
      </c>
      <c r="I361">
        <v>6.87</v>
      </c>
      <c r="J361" t="s">
        <v>39</v>
      </c>
    </row>
    <row r="362" spans="1:10" x14ac:dyDescent="0.25">
      <c r="A362" s="1">
        <v>64</v>
      </c>
      <c r="B362" t="s">
        <v>31</v>
      </c>
      <c r="C362">
        <v>630</v>
      </c>
      <c r="D362">
        <v>5</v>
      </c>
      <c r="E362" t="s">
        <v>23</v>
      </c>
      <c r="F362" t="s">
        <v>24</v>
      </c>
      <c r="G362" t="str">
        <f>"2026-03-25 16:36:17.767"</f>
        <v>2026-03-25 16:36:17.767</v>
      </c>
      <c r="H362" t="s">
        <v>25</v>
      </c>
    </row>
    <row r="363" spans="1:10" x14ac:dyDescent="0.25">
      <c r="A363" s="1">
        <v>65</v>
      </c>
      <c r="B363" t="s">
        <v>19</v>
      </c>
      <c r="C363">
        <v>706</v>
      </c>
      <c r="D363">
        <v>2</v>
      </c>
      <c r="E363" t="s">
        <v>27</v>
      </c>
      <c r="F363" t="s">
        <v>29</v>
      </c>
      <c r="G363" t="str">
        <f>"2026-03-25 16:35:47.659"</f>
        <v>2026-03-25 16:35:47.659</v>
      </c>
      <c r="H363" t="s">
        <v>21</v>
      </c>
      <c r="I363">
        <v>0</v>
      </c>
      <c r="J363" t="s">
        <v>26</v>
      </c>
    </row>
    <row r="364" spans="1:10" x14ac:dyDescent="0.25">
      <c r="A364" s="1">
        <v>66</v>
      </c>
      <c r="B364" t="s">
        <v>22</v>
      </c>
      <c r="C364">
        <v>630</v>
      </c>
      <c r="D364">
        <v>5</v>
      </c>
      <c r="E364" t="s">
        <v>23</v>
      </c>
      <c r="F364" t="s">
        <v>24</v>
      </c>
      <c r="G364" t="str">
        <f>"2026-03-25 16:29:29.468"</f>
        <v>2026-03-25 16:29:29.468</v>
      </c>
      <c r="H364" t="s">
        <v>25</v>
      </c>
      <c r="I364">
        <v>0</v>
      </c>
      <c r="J364" t="s">
        <v>26</v>
      </c>
    </row>
    <row r="365" spans="1:10" x14ac:dyDescent="0.25">
      <c r="A365" s="1">
        <v>67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"2026-03-25 16:24:26.739"</f>
        <v>2026-03-25 16:24:26.739</v>
      </c>
      <c r="H365" t="s">
        <v>21</v>
      </c>
    </row>
    <row r="366" spans="1:10" x14ac:dyDescent="0.25">
      <c r="A366" s="1">
        <v>68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"2026-03-25 16:18:47.977"</f>
        <v>2026-03-25 16:18:47.977</v>
      </c>
      <c r="H366" t="s">
        <v>21</v>
      </c>
      <c r="I366">
        <v>0</v>
      </c>
      <c r="J366" t="s">
        <v>30</v>
      </c>
    </row>
    <row r="367" spans="1:10" x14ac:dyDescent="0.25">
      <c r="A367" s="1">
        <v>69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"2026-03-25 14:27:16.778"</f>
        <v>2026-03-25 14:27:16.778</v>
      </c>
      <c r="H367" t="s">
        <v>21</v>
      </c>
    </row>
    <row r="368" spans="1:10" x14ac:dyDescent="0.25">
      <c r="A368" s="1">
        <v>70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"2026-03-23 19:53:11.754"</f>
        <v>2026-03-23 19:53:11.754</v>
      </c>
      <c r="H368" t="s">
        <v>21</v>
      </c>
      <c r="I368">
        <v>0</v>
      </c>
      <c r="J368" t="s">
        <v>30</v>
      </c>
    </row>
    <row r="369" spans="1:10" x14ac:dyDescent="0.25">
      <c r="A369" s="1">
        <v>71</v>
      </c>
      <c r="B369" t="s">
        <v>31</v>
      </c>
      <c r="C369">
        <v>630</v>
      </c>
      <c r="D369">
        <v>5</v>
      </c>
      <c r="E369" t="s">
        <v>23</v>
      </c>
      <c r="F369" t="s">
        <v>24</v>
      </c>
      <c r="G369" t="str">
        <f>"2026-03-23 17:49:28.371"</f>
        <v>2026-03-23 17:49:28.371</v>
      </c>
      <c r="H369" t="s">
        <v>25</v>
      </c>
    </row>
    <row r="370" spans="1:10" x14ac:dyDescent="0.25">
      <c r="A370" s="1">
        <v>72</v>
      </c>
      <c r="B370" t="s">
        <v>19</v>
      </c>
      <c r="C370">
        <v>706</v>
      </c>
      <c r="D370">
        <v>2</v>
      </c>
      <c r="E370" t="s">
        <v>27</v>
      </c>
      <c r="F370" t="s">
        <v>29</v>
      </c>
      <c r="G370" t="str">
        <f>"2026-03-23 17:48:58.340"</f>
        <v>2026-03-23 17:48:58.340</v>
      </c>
      <c r="H370" t="s">
        <v>21</v>
      </c>
      <c r="I370">
        <v>0</v>
      </c>
      <c r="J370" t="s">
        <v>26</v>
      </c>
    </row>
    <row r="371" spans="1:10" x14ac:dyDescent="0.25">
      <c r="A371" s="1">
        <v>73</v>
      </c>
      <c r="B371" t="s">
        <v>22</v>
      </c>
      <c r="C371">
        <v>630</v>
      </c>
      <c r="D371">
        <v>5</v>
      </c>
      <c r="E371" t="s">
        <v>23</v>
      </c>
      <c r="F371" t="s">
        <v>24</v>
      </c>
      <c r="G371" t="str">
        <f>"2026-03-23 17:44:11.571"</f>
        <v>2026-03-23 17:44:11.571</v>
      </c>
      <c r="H371" t="s">
        <v>25</v>
      </c>
      <c r="I371">
        <v>0</v>
      </c>
      <c r="J371" t="s">
        <v>26</v>
      </c>
    </row>
    <row r="372" spans="1:10" x14ac:dyDescent="0.25">
      <c r="A372" s="1">
        <v>74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"2026-03-23 17:39:08.750"</f>
        <v>2026-03-23 17:39:08.750</v>
      </c>
      <c r="H372" t="s">
        <v>21</v>
      </c>
      <c r="I372">
        <v>0</v>
      </c>
      <c r="J372" t="s">
        <v>30</v>
      </c>
    </row>
    <row r="373" spans="1:10" x14ac:dyDescent="0.25">
      <c r="A373" s="1">
        <v>75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"2026-03-23 16:35:09.794"</f>
        <v>2026-03-23 16:35:09.794</v>
      </c>
      <c r="H373" t="s">
        <v>21</v>
      </c>
      <c r="I373">
        <v>0</v>
      </c>
      <c r="J373" t="s">
        <v>30</v>
      </c>
    </row>
    <row r="374" spans="1:10" x14ac:dyDescent="0.25">
      <c r="A374" s="1">
        <v>76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"2026-03-23 15:06:56.986"</f>
        <v>2026-03-23 15:06:56.986</v>
      </c>
      <c r="H374" t="s">
        <v>21</v>
      </c>
    </row>
    <row r="375" spans="1:10" x14ac:dyDescent="0.25">
      <c r="A375" s="1">
        <v>77</v>
      </c>
      <c r="B375" t="s">
        <v>31</v>
      </c>
      <c r="C375">
        <v>630</v>
      </c>
      <c r="D375">
        <v>5</v>
      </c>
      <c r="E375" t="s">
        <v>23</v>
      </c>
      <c r="F375" t="s">
        <v>24</v>
      </c>
      <c r="G375" t="str">
        <f>"2026-03-23 14:55:52.712"</f>
        <v>2026-03-23 14:55:52.712</v>
      </c>
      <c r="H375" t="s">
        <v>25</v>
      </c>
    </row>
    <row r="376" spans="1:10" x14ac:dyDescent="0.25">
      <c r="A376" s="1">
        <v>78</v>
      </c>
      <c r="B376" t="s">
        <v>19</v>
      </c>
      <c r="C376">
        <v>706</v>
      </c>
      <c r="D376">
        <v>4</v>
      </c>
      <c r="E376" t="s">
        <v>27</v>
      </c>
      <c r="F376" t="s">
        <v>28</v>
      </c>
      <c r="G376" t="str">
        <f>"2026-03-23 14:55:22.625"</f>
        <v>2026-03-23 14:55:22.625</v>
      </c>
      <c r="H376" t="s">
        <v>21</v>
      </c>
      <c r="I376">
        <v>0</v>
      </c>
      <c r="J376" t="s">
        <v>26</v>
      </c>
    </row>
    <row r="377" spans="1:10" x14ac:dyDescent="0.25">
      <c r="A377" s="1">
        <v>79</v>
      </c>
      <c r="B377" t="s">
        <v>22</v>
      </c>
      <c r="C377">
        <v>630</v>
      </c>
      <c r="D377">
        <v>5</v>
      </c>
      <c r="E377" t="s">
        <v>23</v>
      </c>
      <c r="F377" t="s">
        <v>24</v>
      </c>
      <c r="G377" t="str">
        <f>"2026-03-23 14:46:22.713"</f>
        <v>2026-03-23 14:46:22.713</v>
      </c>
      <c r="H377" t="s">
        <v>25</v>
      </c>
      <c r="I377">
        <v>0</v>
      </c>
      <c r="J377" t="s">
        <v>26</v>
      </c>
    </row>
    <row r="378" spans="1:10" x14ac:dyDescent="0.25">
      <c r="A378" s="1">
        <v>80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"2026-03-23 14:41:19.975"</f>
        <v>2026-03-23 14:41:19.975</v>
      </c>
      <c r="H378" t="s">
        <v>21</v>
      </c>
      <c r="I378">
        <v>0</v>
      </c>
      <c r="J378" t="s">
        <v>30</v>
      </c>
    </row>
    <row r="379" spans="1:10" x14ac:dyDescent="0.25">
      <c r="A379" s="1">
        <v>81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"2026-03-23 11:56:38.741"</f>
        <v>2026-03-23 11:56:38.741</v>
      </c>
      <c r="H379" t="s">
        <v>21</v>
      </c>
    </row>
    <row r="380" spans="1:10" x14ac:dyDescent="0.25">
      <c r="A380" s="1">
        <v>82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"2026-03-23 11:51:42.022"</f>
        <v>2026-03-23 11:51:42.022</v>
      </c>
      <c r="H380" t="s">
        <v>21</v>
      </c>
    </row>
    <row r="381" spans="1:10" x14ac:dyDescent="0.25">
      <c r="A381" s="1">
        <v>83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"2026-03-22 17:49:31.753"</f>
        <v>2026-03-22 17:49:31.753</v>
      </c>
      <c r="H381" t="s">
        <v>21</v>
      </c>
      <c r="I381">
        <v>0</v>
      </c>
      <c r="J381" t="s">
        <v>30</v>
      </c>
    </row>
    <row r="382" spans="1:10" x14ac:dyDescent="0.25">
      <c r="A382" s="1">
        <v>84</v>
      </c>
      <c r="B382" t="s">
        <v>31</v>
      </c>
      <c r="C382">
        <v>630</v>
      </c>
      <c r="D382">
        <v>5</v>
      </c>
      <c r="E382" t="s">
        <v>23</v>
      </c>
      <c r="F382" t="s">
        <v>24</v>
      </c>
      <c r="G382" t="str">
        <f>"2026-03-21 13:19:06.325"</f>
        <v>2026-03-21 13:19:06.325</v>
      </c>
      <c r="H382" t="s">
        <v>25</v>
      </c>
    </row>
    <row r="383" spans="1:10" x14ac:dyDescent="0.25">
      <c r="A383" s="1">
        <v>85</v>
      </c>
      <c r="B383" t="s">
        <v>19</v>
      </c>
      <c r="C383">
        <v>706</v>
      </c>
      <c r="D383">
        <v>2</v>
      </c>
      <c r="E383" t="s">
        <v>27</v>
      </c>
      <c r="F383" t="s">
        <v>29</v>
      </c>
      <c r="G383" t="str">
        <f>"2026-03-21 13:18:36.194"</f>
        <v>2026-03-21 13:18:36.194</v>
      </c>
      <c r="H383" t="s">
        <v>21</v>
      </c>
      <c r="I383">
        <v>0</v>
      </c>
      <c r="J383" t="s">
        <v>26</v>
      </c>
    </row>
    <row r="384" spans="1:10" x14ac:dyDescent="0.25">
      <c r="A384" s="1">
        <v>86</v>
      </c>
      <c r="B384" t="s">
        <v>22</v>
      </c>
      <c r="C384">
        <v>630</v>
      </c>
      <c r="D384">
        <v>5</v>
      </c>
      <c r="E384" t="s">
        <v>23</v>
      </c>
      <c r="F384" t="s">
        <v>24</v>
      </c>
      <c r="G384" t="str">
        <f>"2026-03-21 13:02:09.525"</f>
        <v>2026-03-21 13:02:09.525</v>
      </c>
      <c r="H384" t="s">
        <v>25</v>
      </c>
      <c r="I384">
        <v>0</v>
      </c>
      <c r="J384" t="s">
        <v>26</v>
      </c>
    </row>
    <row r="385" spans="1:10" s="3" customFormat="1" x14ac:dyDescent="0.25">
      <c r="A385" s="2">
        <v>87</v>
      </c>
      <c r="B385" s="3" t="s">
        <v>31</v>
      </c>
      <c r="C385" s="3">
        <v>647</v>
      </c>
      <c r="D385" s="3">
        <v>1</v>
      </c>
      <c r="E385" s="3" t="s">
        <v>32</v>
      </c>
      <c r="F385" s="3" t="s">
        <v>33</v>
      </c>
      <c r="G385" s="3" t="str">
        <f>"2026-03-21 07:50:51.225"</f>
        <v>2026-03-21 07:50:51.225</v>
      </c>
      <c r="H385" s="3" t="s">
        <v>21</v>
      </c>
    </row>
    <row r="386" spans="1:10" s="3" customFormat="1" x14ac:dyDescent="0.25">
      <c r="A386" s="2">
        <v>88</v>
      </c>
      <c r="B386" s="3" t="s">
        <v>34</v>
      </c>
      <c r="C386" s="3">
        <v>647</v>
      </c>
      <c r="D386" s="3">
        <v>1</v>
      </c>
      <c r="E386" s="3" t="s">
        <v>32</v>
      </c>
      <c r="F386" s="3" t="s">
        <v>33</v>
      </c>
      <c r="G386" s="3" t="str">
        <f>"2026-03-21 07:50:48.325"</f>
        <v>2026-03-21 07:50:48.325</v>
      </c>
      <c r="H386" s="3" t="s">
        <v>21</v>
      </c>
      <c r="I386" s="3">
        <v>21.51</v>
      </c>
      <c r="J386" s="3" t="s">
        <v>35</v>
      </c>
    </row>
    <row r="387" spans="1:10" x14ac:dyDescent="0.25">
      <c r="A387" s="1">
        <v>89</v>
      </c>
      <c r="B387" t="s">
        <v>31</v>
      </c>
      <c r="C387">
        <v>630</v>
      </c>
      <c r="D387">
        <v>5</v>
      </c>
      <c r="E387" t="s">
        <v>23</v>
      </c>
      <c r="F387" t="s">
        <v>24</v>
      </c>
      <c r="G387" t="str">
        <f>"2026-03-20 16:00:39.225"</f>
        <v>2026-03-20 16:00:39.225</v>
      </c>
      <c r="H387" t="s">
        <v>25</v>
      </c>
    </row>
    <row r="388" spans="1:10" x14ac:dyDescent="0.25">
      <c r="A388" s="1">
        <v>90</v>
      </c>
      <c r="B388" t="s">
        <v>19</v>
      </c>
      <c r="C388">
        <v>706</v>
      </c>
      <c r="D388">
        <v>4</v>
      </c>
      <c r="E388" t="s">
        <v>27</v>
      </c>
      <c r="F388" t="s">
        <v>28</v>
      </c>
      <c r="G388" t="str">
        <f>"2026-03-20 16:00:09.184"</f>
        <v>2026-03-20 16:00:09.184</v>
      </c>
      <c r="H388" t="s">
        <v>21</v>
      </c>
      <c r="I388">
        <v>0</v>
      </c>
      <c r="J388" t="s">
        <v>26</v>
      </c>
    </row>
    <row r="389" spans="1:10" x14ac:dyDescent="0.25">
      <c r="A389" s="1">
        <v>91</v>
      </c>
      <c r="B389" t="s">
        <v>22</v>
      </c>
      <c r="C389">
        <v>630</v>
      </c>
      <c r="D389">
        <v>5</v>
      </c>
      <c r="E389" t="s">
        <v>23</v>
      </c>
      <c r="F389" t="s">
        <v>24</v>
      </c>
      <c r="G389" t="str">
        <f>"2026-03-20 15:47:33.225"</f>
        <v>2026-03-20 15:47:33.225</v>
      </c>
      <c r="H389" t="s">
        <v>25</v>
      </c>
      <c r="I389">
        <v>0</v>
      </c>
      <c r="J389" t="s">
        <v>26</v>
      </c>
    </row>
    <row r="390" spans="1:10" x14ac:dyDescent="0.25">
      <c r="A390" s="1">
        <v>92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"2026-03-19 13:30:52.784"</f>
        <v>2026-03-19 13:30:52.784</v>
      </c>
      <c r="H390" t="s">
        <v>21</v>
      </c>
      <c r="I390">
        <v>0</v>
      </c>
      <c r="J390" t="s">
        <v>30</v>
      </c>
    </row>
    <row r="391" spans="1:10" x14ac:dyDescent="0.25">
      <c r="A391" s="1">
        <v>93</v>
      </c>
      <c r="B391" t="s">
        <v>31</v>
      </c>
      <c r="C391">
        <v>635</v>
      </c>
      <c r="D391">
        <v>1</v>
      </c>
      <c r="E391" t="s">
        <v>37</v>
      </c>
      <c r="F391" t="s">
        <v>38</v>
      </c>
      <c r="G391" t="str">
        <f>"2026-03-19 04:34:25.656"</f>
        <v>2026-03-19 04:34:25.656</v>
      </c>
      <c r="H391" t="s">
        <v>21</v>
      </c>
    </row>
    <row r="392" spans="1:10" x14ac:dyDescent="0.25">
      <c r="A392" s="1">
        <v>94</v>
      </c>
      <c r="B392" t="s">
        <v>34</v>
      </c>
      <c r="C392">
        <v>635</v>
      </c>
      <c r="D392">
        <v>1</v>
      </c>
      <c r="E392" t="s">
        <v>37</v>
      </c>
      <c r="F392" t="s">
        <v>38</v>
      </c>
      <c r="G392" t="str">
        <f>"2026-03-19 04:28:02.656"</f>
        <v>2026-03-19 04:28:02.656</v>
      </c>
      <c r="H392" t="s">
        <v>21</v>
      </c>
      <c r="I392">
        <v>-0.46</v>
      </c>
      <c r="J392" t="s">
        <v>36</v>
      </c>
    </row>
    <row r="393" spans="1:10" x14ac:dyDescent="0.25">
      <c r="A393" s="1">
        <v>95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"2026-03-18 09:06:25.768"</f>
        <v>2026-03-18 09:06:25.768</v>
      </c>
      <c r="H393" t="s">
        <v>21</v>
      </c>
      <c r="I393">
        <v>0</v>
      </c>
      <c r="J393" t="s">
        <v>30</v>
      </c>
    </row>
    <row r="394" spans="1:10" s="3" customFormat="1" x14ac:dyDescent="0.25">
      <c r="A394" s="2">
        <v>96</v>
      </c>
      <c r="B394" s="3" t="s">
        <v>31</v>
      </c>
      <c r="C394" s="3">
        <v>647</v>
      </c>
      <c r="D394" s="3">
        <v>1</v>
      </c>
      <c r="E394" s="3" t="s">
        <v>32</v>
      </c>
      <c r="F394" s="3" t="s">
        <v>33</v>
      </c>
      <c r="G394" s="3" t="str">
        <f>"2026-03-17 17:29:44.920"</f>
        <v>2026-03-17 17:29:44.920</v>
      </c>
      <c r="H394" s="3" t="s">
        <v>21</v>
      </c>
    </row>
    <row r="395" spans="1:10" s="3" customFormat="1" x14ac:dyDescent="0.25">
      <c r="A395" s="2">
        <v>97</v>
      </c>
      <c r="B395" s="3" t="s">
        <v>34</v>
      </c>
      <c r="C395" s="3">
        <v>647</v>
      </c>
      <c r="D395" s="3">
        <v>1</v>
      </c>
      <c r="E395" s="3" t="s">
        <v>32</v>
      </c>
      <c r="F395" s="3" t="s">
        <v>33</v>
      </c>
      <c r="G395" s="3" t="str">
        <f>"2026-03-17 17:29:30.820"</f>
        <v>2026-03-17 17:29:30.820</v>
      </c>
      <c r="H395" s="3" t="s">
        <v>21</v>
      </c>
      <c r="I395" s="3">
        <v>10.8</v>
      </c>
      <c r="J395" s="3" t="s">
        <v>36</v>
      </c>
    </row>
    <row r="396" spans="1:10" s="3" customFormat="1" x14ac:dyDescent="0.25">
      <c r="A396" s="2">
        <v>98</v>
      </c>
      <c r="B396" s="3" t="s">
        <v>31</v>
      </c>
      <c r="C396" s="3">
        <v>647</v>
      </c>
      <c r="D396" s="3">
        <v>1</v>
      </c>
      <c r="E396" s="3" t="s">
        <v>32</v>
      </c>
      <c r="F396" s="3" t="s">
        <v>33</v>
      </c>
      <c r="G396" s="3" t="str">
        <f>"2026-03-17 16:48:13.920"</f>
        <v>2026-03-17 16:48:13.920</v>
      </c>
      <c r="H396" s="3" t="s">
        <v>21</v>
      </c>
    </row>
    <row r="397" spans="1:10" s="3" customFormat="1" x14ac:dyDescent="0.25">
      <c r="A397" s="2">
        <v>99</v>
      </c>
      <c r="B397" s="3" t="s">
        <v>34</v>
      </c>
      <c r="C397" s="3">
        <v>647</v>
      </c>
      <c r="D397" s="3">
        <v>1</v>
      </c>
      <c r="E397" s="3" t="s">
        <v>32</v>
      </c>
      <c r="F397" s="3" t="s">
        <v>33</v>
      </c>
      <c r="G397" s="3" t="str">
        <f>"2026-03-17 16:47:58.320"</f>
        <v>2026-03-17 16:47:58.320</v>
      </c>
      <c r="H397" s="3" t="s">
        <v>21</v>
      </c>
      <c r="I397" s="3">
        <v>8.51</v>
      </c>
      <c r="J397" s="3" t="s">
        <v>35</v>
      </c>
    </row>
    <row r="398" spans="1:10" s="3" customFormat="1" x14ac:dyDescent="0.25">
      <c r="A398" s="2">
        <v>0</v>
      </c>
      <c r="B398" s="3" t="s">
        <v>31</v>
      </c>
      <c r="C398" s="3">
        <v>647</v>
      </c>
      <c r="D398" s="3">
        <v>1</v>
      </c>
      <c r="E398" s="3" t="s">
        <v>32</v>
      </c>
      <c r="F398" s="3" t="s">
        <v>33</v>
      </c>
      <c r="G398" s="3" t="str">
        <f>"2026-03-17 16:47:54.620"</f>
        <v>2026-03-17 16:47:54.620</v>
      </c>
      <c r="H398" s="3" t="s">
        <v>21</v>
      </c>
    </row>
    <row r="399" spans="1:10" s="3" customFormat="1" x14ac:dyDescent="0.25">
      <c r="A399" s="2">
        <v>1</v>
      </c>
      <c r="B399" s="3" t="s">
        <v>34</v>
      </c>
      <c r="C399" s="3">
        <v>647</v>
      </c>
      <c r="D399" s="3">
        <v>1</v>
      </c>
      <c r="E399" s="3" t="s">
        <v>32</v>
      </c>
      <c r="F399" s="3" t="s">
        <v>33</v>
      </c>
      <c r="G399" s="3" t="str">
        <f>"2026-03-17 16:47:52.120"</f>
        <v>2026-03-17 16:47:52.120</v>
      </c>
      <c r="H399" s="3" t="s">
        <v>21</v>
      </c>
      <c r="I399" s="3">
        <v>8.27</v>
      </c>
      <c r="J399" s="3" t="s">
        <v>35</v>
      </c>
    </row>
    <row r="400" spans="1:10" x14ac:dyDescent="0.25">
      <c r="A400" s="1">
        <v>2</v>
      </c>
      <c r="B400" t="s">
        <v>31</v>
      </c>
      <c r="C400">
        <v>635</v>
      </c>
      <c r="D400">
        <v>1</v>
      </c>
      <c r="E400" t="s">
        <v>37</v>
      </c>
      <c r="F400" t="s">
        <v>38</v>
      </c>
      <c r="G400" t="str">
        <f>"2026-03-17 14:18:01.666"</f>
        <v>2026-03-17 14:18:01.666</v>
      </c>
      <c r="H400" t="s">
        <v>21</v>
      </c>
    </row>
    <row r="401" spans="1:10" x14ac:dyDescent="0.25">
      <c r="A401" s="1">
        <v>3</v>
      </c>
      <c r="B401" t="s">
        <v>34</v>
      </c>
      <c r="C401">
        <v>635</v>
      </c>
      <c r="D401">
        <v>1</v>
      </c>
      <c r="E401" t="s">
        <v>37</v>
      </c>
      <c r="F401" t="s">
        <v>38</v>
      </c>
      <c r="G401" t="str">
        <f>"2026-03-17 14:11:06.666"</f>
        <v>2026-03-17 14:11:06.666</v>
      </c>
      <c r="H401" t="s">
        <v>21</v>
      </c>
      <c r="I401">
        <v>8.3800000000000008</v>
      </c>
      <c r="J401" t="s">
        <v>35</v>
      </c>
    </row>
    <row r="402" spans="1:10" x14ac:dyDescent="0.25">
      <c r="A402" s="1">
        <v>4</v>
      </c>
      <c r="B402" t="s">
        <v>31</v>
      </c>
      <c r="C402">
        <v>635</v>
      </c>
      <c r="D402">
        <v>1</v>
      </c>
      <c r="E402" t="s">
        <v>37</v>
      </c>
      <c r="F402" t="s">
        <v>38</v>
      </c>
      <c r="G402" t="str">
        <f>"2026-03-17 13:30:47.766"</f>
        <v>2026-03-17 13:30:47.766</v>
      </c>
      <c r="H402" t="s">
        <v>21</v>
      </c>
    </row>
    <row r="403" spans="1:10" x14ac:dyDescent="0.25">
      <c r="A403" s="1">
        <v>5</v>
      </c>
      <c r="B403" t="s">
        <v>34</v>
      </c>
      <c r="C403">
        <v>635</v>
      </c>
      <c r="D403">
        <v>1</v>
      </c>
      <c r="E403" t="s">
        <v>37</v>
      </c>
      <c r="F403" t="s">
        <v>38</v>
      </c>
      <c r="G403" t="str">
        <f>"2026-03-17 13:18:50.766"</f>
        <v>2026-03-17 13:18:50.766</v>
      </c>
      <c r="H403" t="s">
        <v>21</v>
      </c>
      <c r="I403">
        <v>8.2799999999999994</v>
      </c>
      <c r="J403" t="s">
        <v>35</v>
      </c>
    </row>
    <row r="404" spans="1:10" x14ac:dyDescent="0.25">
      <c r="A404" s="1">
        <v>6</v>
      </c>
      <c r="B404" t="s">
        <v>31</v>
      </c>
      <c r="C404">
        <v>635</v>
      </c>
      <c r="D404">
        <v>1</v>
      </c>
      <c r="E404" t="s">
        <v>37</v>
      </c>
      <c r="F404" t="s">
        <v>38</v>
      </c>
      <c r="G404" t="str">
        <f>"2026-03-17 10:28:50.666"</f>
        <v>2026-03-17 10:28:50.666</v>
      </c>
      <c r="H404" t="s">
        <v>21</v>
      </c>
    </row>
    <row r="405" spans="1:10" x14ac:dyDescent="0.25">
      <c r="A405" s="1">
        <v>7</v>
      </c>
      <c r="B405" t="s">
        <v>34</v>
      </c>
      <c r="C405">
        <v>635</v>
      </c>
      <c r="D405">
        <v>1</v>
      </c>
      <c r="E405" t="s">
        <v>37</v>
      </c>
      <c r="F405" t="s">
        <v>38</v>
      </c>
      <c r="G405" t="str">
        <f>"2026-03-17 10:19:32.666"</f>
        <v>2026-03-17 10:19:32.666</v>
      </c>
      <c r="H405" t="s">
        <v>21</v>
      </c>
      <c r="I405">
        <v>8.6199999999999992</v>
      </c>
      <c r="J405" t="s">
        <v>35</v>
      </c>
    </row>
    <row r="406" spans="1:10" x14ac:dyDescent="0.25">
      <c r="A406" s="1">
        <v>8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"2026-03-17 08:00:10.768"</f>
        <v>2026-03-17 08:00:10.768</v>
      </c>
      <c r="H406" t="s">
        <v>21</v>
      </c>
    </row>
    <row r="407" spans="1:10" x14ac:dyDescent="0.25">
      <c r="A407" s="1">
        <v>9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"2026-03-16 10:22:58.747"</f>
        <v>2026-03-16 10:22:58.747</v>
      </c>
      <c r="H407" t="s">
        <v>21</v>
      </c>
      <c r="I407">
        <v>0</v>
      </c>
      <c r="J407" t="s">
        <v>30</v>
      </c>
    </row>
    <row r="408" spans="1:10" s="3" customFormat="1" x14ac:dyDescent="0.25">
      <c r="A408" s="2">
        <v>10</v>
      </c>
      <c r="B408" s="3" t="s">
        <v>31</v>
      </c>
      <c r="C408" s="3">
        <v>647</v>
      </c>
      <c r="D408" s="3">
        <v>1</v>
      </c>
      <c r="E408" s="3" t="s">
        <v>32</v>
      </c>
      <c r="F408" s="3" t="s">
        <v>33</v>
      </c>
      <c r="G408" s="3" t="str">
        <f>"2026-03-16 09:17:05.129"</f>
        <v>2026-03-16 09:17:05.129</v>
      </c>
      <c r="H408" s="3" t="s">
        <v>21</v>
      </c>
    </row>
    <row r="409" spans="1:10" s="3" customFormat="1" x14ac:dyDescent="0.25">
      <c r="A409" s="2">
        <v>11</v>
      </c>
      <c r="B409" s="3" t="s">
        <v>34</v>
      </c>
      <c r="C409" s="3">
        <v>647</v>
      </c>
      <c r="D409" s="3">
        <v>1</v>
      </c>
      <c r="E409" s="3" t="s">
        <v>32</v>
      </c>
      <c r="F409" s="3" t="s">
        <v>33</v>
      </c>
      <c r="G409" s="3" t="str">
        <f>"2026-03-16 09:16:55.529"</f>
        <v>2026-03-16 09:16:55.529</v>
      </c>
      <c r="H409" s="3" t="s">
        <v>21</v>
      </c>
      <c r="I409" s="3">
        <v>10.29</v>
      </c>
      <c r="J409" s="3" t="s">
        <v>35</v>
      </c>
    </row>
    <row r="410" spans="1:10" x14ac:dyDescent="0.25">
      <c r="A410" s="1">
        <v>12</v>
      </c>
      <c r="B410" t="s">
        <v>31</v>
      </c>
      <c r="C410">
        <v>630</v>
      </c>
      <c r="D410">
        <v>5</v>
      </c>
      <c r="E410" t="s">
        <v>23</v>
      </c>
      <c r="F410" t="s">
        <v>24</v>
      </c>
      <c r="G410" t="str">
        <f>"2026-03-15 20:02:16.229"</f>
        <v>2026-03-15 20:02:16.229</v>
      </c>
      <c r="H410" t="s">
        <v>25</v>
      </c>
    </row>
    <row r="411" spans="1:10" x14ac:dyDescent="0.25">
      <c r="A411" s="1">
        <v>13</v>
      </c>
      <c r="B411" t="s">
        <v>19</v>
      </c>
      <c r="C411">
        <v>706</v>
      </c>
      <c r="D411">
        <v>2</v>
      </c>
      <c r="E411" t="s">
        <v>27</v>
      </c>
      <c r="F411" t="s">
        <v>29</v>
      </c>
      <c r="G411" t="str">
        <f>"2026-03-15 20:01:46.097"</f>
        <v>2026-03-15 20:01:46.097</v>
      </c>
      <c r="H411" t="s">
        <v>21</v>
      </c>
      <c r="I411">
        <v>0</v>
      </c>
      <c r="J411" t="s">
        <v>26</v>
      </c>
    </row>
    <row r="412" spans="1:10" x14ac:dyDescent="0.25">
      <c r="A412" s="1">
        <v>14</v>
      </c>
      <c r="B412" t="s">
        <v>22</v>
      </c>
      <c r="C412">
        <v>630</v>
      </c>
      <c r="D412">
        <v>5</v>
      </c>
      <c r="E412" t="s">
        <v>23</v>
      </c>
      <c r="F412" t="s">
        <v>24</v>
      </c>
      <c r="G412" t="str">
        <f>"2026-03-15 19:50:19.329"</f>
        <v>2026-03-15 19:50:19.329</v>
      </c>
      <c r="H412" t="s">
        <v>25</v>
      </c>
      <c r="I412">
        <v>0</v>
      </c>
      <c r="J412" t="s">
        <v>26</v>
      </c>
    </row>
    <row r="413" spans="1:10" s="3" customFormat="1" x14ac:dyDescent="0.25">
      <c r="A413" s="2">
        <v>15</v>
      </c>
      <c r="B413" s="3" t="s">
        <v>31</v>
      </c>
      <c r="C413" s="3">
        <v>647</v>
      </c>
      <c r="D413" s="3">
        <v>1</v>
      </c>
      <c r="E413" s="3" t="s">
        <v>32</v>
      </c>
      <c r="F413" s="3" t="s">
        <v>33</v>
      </c>
      <c r="G413" s="3" t="str">
        <f>"2026-03-15 11:13:57.629"</f>
        <v>2026-03-15 11:13:57.629</v>
      </c>
      <c r="H413" s="3" t="s">
        <v>21</v>
      </c>
    </row>
    <row r="414" spans="1:10" s="3" customFormat="1" x14ac:dyDescent="0.25">
      <c r="A414" s="2">
        <v>16</v>
      </c>
      <c r="B414" s="3" t="s">
        <v>34</v>
      </c>
      <c r="C414" s="3">
        <v>647</v>
      </c>
      <c r="D414" s="3">
        <v>1</v>
      </c>
      <c r="E414" s="3" t="s">
        <v>32</v>
      </c>
      <c r="F414" s="3" t="s">
        <v>33</v>
      </c>
      <c r="G414" s="3" t="str">
        <f>"2026-03-15 11:13:55.929"</f>
        <v>2026-03-15 11:13:55.929</v>
      </c>
      <c r="H414" s="3" t="s">
        <v>21</v>
      </c>
      <c r="I414" s="3">
        <v>29.48</v>
      </c>
      <c r="J414" s="3" t="s">
        <v>35</v>
      </c>
    </row>
    <row r="415" spans="1:10" s="3" customFormat="1" x14ac:dyDescent="0.25">
      <c r="A415" s="2">
        <v>18</v>
      </c>
      <c r="B415" s="3" t="s">
        <v>31</v>
      </c>
      <c r="C415" s="3">
        <v>647</v>
      </c>
      <c r="D415" s="3">
        <v>1</v>
      </c>
      <c r="E415" s="3" t="s">
        <v>32</v>
      </c>
      <c r="F415" s="3" t="s">
        <v>33</v>
      </c>
      <c r="G415" s="3" t="str">
        <f>"2026-03-14 13:29:16.629"</f>
        <v>2026-03-14 13:29:16.629</v>
      </c>
      <c r="H415" s="3" t="s">
        <v>21</v>
      </c>
    </row>
    <row r="416" spans="1:10" s="3" customFormat="1" x14ac:dyDescent="0.25">
      <c r="A416" s="2">
        <v>19</v>
      </c>
      <c r="B416" s="3" t="s">
        <v>34</v>
      </c>
      <c r="C416" s="3">
        <v>647</v>
      </c>
      <c r="D416" s="3">
        <v>1</v>
      </c>
      <c r="E416" s="3" t="s">
        <v>32</v>
      </c>
      <c r="F416" s="3" t="s">
        <v>33</v>
      </c>
      <c r="G416" s="3" t="str">
        <f>"2026-03-14 13:29:14.729"</f>
        <v>2026-03-14 13:29:14.729</v>
      </c>
      <c r="H416" s="3" t="s">
        <v>21</v>
      </c>
      <c r="I416" s="3">
        <v>19.170000000000002</v>
      </c>
      <c r="J416" s="3" t="s">
        <v>35</v>
      </c>
    </row>
    <row r="417" spans="1:10" x14ac:dyDescent="0.25">
      <c r="A417" s="1">
        <v>22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"2026-03-13 14:27:35.777"</f>
        <v>2026-03-13 14:27:35.777</v>
      </c>
      <c r="H417" t="s">
        <v>21</v>
      </c>
      <c r="I417">
        <v>0</v>
      </c>
      <c r="J417" t="s">
        <v>30</v>
      </c>
    </row>
    <row r="418" spans="1:10" s="3" customFormat="1" x14ac:dyDescent="0.25">
      <c r="A418" s="2">
        <v>23</v>
      </c>
      <c r="B418" s="3" t="s">
        <v>31</v>
      </c>
      <c r="C418" s="3">
        <v>647</v>
      </c>
      <c r="D418" s="3">
        <v>1</v>
      </c>
      <c r="E418" s="3" t="s">
        <v>32</v>
      </c>
      <c r="F418" s="3" t="s">
        <v>33</v>
      </c>
      <c r="G418" s="3" t="str">
        <f>"2026-03-13 11:39:21.487"</f>
        <v>2026-03-13 11:39:21.487</v>
      </c>
      <c r="H418" s="3" t="s">
        <v>21</v>
      </c>
    </row>
    <row r="419" spans="1:10" s="3" customFormat="1" x14ac:dyDescent="0.25">
      <c r="A419" s="2">
        <v>24</v>
      </c>
      <c r="B419" s="3" t="s">
        <v>34</v>
      </c>
      <c r="C419" s="3">
        <v>647</v>
      </c>
      <c r="D419" s="3">
        <v>1</v>
      </c>
      <c r="E419" s="3" t="s">
        <v>32</v>
      </c>
      <c r="F419" s="3" t="s">
        <v>33</v>
      </c>
      <c r="G419" s="3" t="str">
        <f>"2026-03-13 11:39:19.187"</f>
        <v>2026-03-13 11:39:19.187</v>
      </c>
      <c r="H419" s="3" t="s">
        <v>21</v>
      </c>
      <c r="I419" s="3">
        <v>11.98</v>
      </c>
      <c r="J419" s="3" t="s">
        <v>35</v>
      </c>
    </row>
    <row r="420" spans="1:10" x14ac:dyDescent="0.25">
      <c r="A420" s="1">
        <v>25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"2026-03-13 04:58:33.815"</f>
        <v>2026-03-13 04:58:33.815</v>
      </c>
      <c r="H420" t="s">
        <v>21</v>
      </c>
      <c r="I420">
        <v>0</v>
      </c>
      <c r="J420" t="s">
        <v>30</v>
      </c>
    </row>
    <row r="421" spans="1:10" x14ac:dyDescent="0.25">
      <c r="A421" s="1">
        <v>26</v>
      </c>
      <c r="B421" t="s">
        <v>31</v>
      </c>
      <c r="C421">
        <v>630</v>
      </c>
      <c r="D421">
        <v>5</v>
      </c>
      <c r="E421" t="s">
        <v>23</v>
      </c>
      <c r="F421" t="s">
        <v>24</v>
      </c>
      <c r="G421" t="str">
        <f>"2026-03-13 04:27:53.920"</f>
        <v>2026-03-13 04:27:53.920</v>
      </c>
      <c r="H421" t="s">
        <v>25</v>
      </c>
    </row>
    <row r="422" spans="1:10" x14ac:dyDescent="0.25">
      <c r="A422" s="1">
        <v>27</v>
      </c>
      <c r="B422" t="s">
        <v>19</v>
      </c>
      <c r="C422">
        <v>706</v>
      </c>
      <c r="D422">
        <v>2</v>
      </c>
      <c r="E422" t="s">
        <v>27</v>
      </c>
      <c r="F422" t="s">
        <v>29</v>
      </c>
      <c r="G422" t="str">
        <f>"2026-03-13 04:27:23.738"</f>
        <v>2026-03-13 04:27:23.738</v>
      </c>
      <c r="H422" t="s">
        <v>21</v>
      </c>
      <c r="I422">
        <v>0</v>
      </c>
      <c r="J422" t="s">
        <v>26</v>
      </c>
    </row>
    <row r="423" spans="1:10" x14ac:dyDescent="0.25">
      <c r="A423" s="1">
        <v>28</v>
      </c>
      <c r="B423" t="s">
        <v>22</v>
      </c>
      <c r="C423">
        <v>630</v>
      </c>
      <c r="D423">
        <v>5</v>
      </c>
      <c r="E423" t="s">
        <v>23</v>
      </c>
      <c r="F423" t="s">
        <v>24</v>
      </c>
      <c r="G423" t="str">
        <f>"2026-03-13 03:10:04.520"</f>
        <v>2026-03-13 03:10:04.520</v>
      </c>
      <c r="H423" t="s">
        <v>25</v>
      </c>
      <c r="I423">
        <v>0</v>
      </c>
      <c r="J423" t="s">
        <v>26</v>
      </c>
    </row>
    <row r="424" spans="1:10" x14ac:dyDescent="0.25">
      <c r="A424" s="1">
        <v>29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"2026-03-13 03:05:01.718"</f>
        <v>2026-03-13 03:05:01.718</v>
      </c>
      <c r="H424" t="s">
        <v>21</v>
      </c>
    </row>
    <row r="425" spans="1:10" x14ac:dyDescent="0.25">
      <c r="A425" s="1">
        <v>30</v>
      </c>
      <c r="B425" t="s">
        <v>22</v>
      </c>
      <c r="C425">
        <v>630</v>
      </c>
      <c r="D425">
        <v>5</v>
      </c>
      <c r="E425" t="s">
        <v>23</v>
      </c>
      <c r="F425" t="s">
        <v>24</v>
      </c>
      <c r="G425" t="str">
        <f>"2026-03-13 02:49:30.628"</f>
        <v>2026-03-13 02:49:30.628</v>
      </c>
      <c r="H425" t="s">
        <v>25</v>
      </c>
      <c r="I425">
        <v>0</v>
      </c>
      <c r="J425" t="s">
        <v>26</v>
      </c>
    </row>
    <row r="426" spans="1:10" x14ac:dyDescent="0.25">
      <c r="A426" s="1">
        <v>31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"2026-03-13 02:44:27.844"</f>
        <v>2026-03-13 02:44:27.844</v>
      </c>
      <c r="H426" t="s">
        <v>21</v>
      </c>
    </row>
    <row r="427" spans="1:10" x14ac:dyDescent="0.25">
      <c r="A427" s="1">
        <v>33</v>
      </c>
      <c r="B427" t="s">
        <v>31</v>
      </c>
      <c r="C427">
        <v>630</v>
      </c>
      <c r="D427">
        <v>5</v>
      </c>
      <c r="E427" t="s">
        <v>23</v>
      </c>
      <c r="F427" t="s">
        <v>24</v>
      </c>
      <c r="G427" t="str">
        <f>"2026-03-12 23:44:33.008"</f>
        <v>2026-03-12 23:44:33.008</v>
      </c>
      <c r="H427" t="s">
        <v>25</v>
      </c>
    </row>
    <row r="428" spans="1:10" x14ac:dyDescent="0.25">
      <c r="A428" s="1">
        <v>34</v>
      </c>
      <c r="B428" t="s">
        <v>19</v>
      </c>
      <c r="C428">
        <v>706</v>
      </c>
      <c r="D428">
        <v>2</v>
      </c>
      <c r="E428" t="s">
        <v>27</v>
      </c>
      <c r="F428" t="s">
        <v>29</v>
      </c>
      <c r="G428" t="str">
        <f>"2026-03-12 23:44:02.867"</f>
        <v>2026-03-12 23:44:02.867</v>
      </c>
      <c r="H428" t="s">
        <v>21</v>
      </c>
      <c r="I428">
        <v>0</v>
      </c>
      <c r="J428" t="s">
        <v>26</v>
      </c>
    </row>
    <row r="429" spans="1:10" x14ac:dyDescent="0.25">
      <c r="A429" s="1">
        <v>35</v>
      </c>
      <c r="B429" t="s">
        <v>22</v>
      </c>
      <c r="C429">
        <v>630</v>
      </c>
      <c r="D429">
        <v>5</v>
      </c>
      <c r="E429" t="s">
        <v>23</v>
      </c>
      <c r="F429" t="s">
        <v>24</v>
      </c>
      <c r="G429" t="str">
        <f>"2026-03-12 23:34:39.308"</f>
        <v>2026-03-12 23:34:39.308</v>
      </c>
      <c r="H429" t="s">
        <v>25</v>
      </c>
      <c r="I429">
        <v>0</v>
      </c>
      <c r="J429" t="s">
        <v>26</v>
      </c>
    </row>
    <row r="430" spans="1:10" x14ac:dyDescent="0.25">
      <c r="A430" s="1">
        <v>36</v>
      </c>
      <c r="B430" t="s">
        <v>31</v>
      </c>
      <c r="C430">
        <v>635</v>
      </c>
      <c r="D430">
        <v>1</v>
      </c>
      <c r="E430" t="s">
        <v>37</v>
      </c>
      <c r="F430" t="s">
        <v>38</v>
      </c>
      <c r="G430" t="str">
        <f>"2026-03-12 20:15:53.707"</f>
        <v>2026-03-12 20:15:53.707</v>
      </c>
      <c r="H430" t="s">
        <v>21</v>
      </c>
    </row>
    <row r="431" spans="1:10" x14ac:dyDescent="0.25">
      <c r="A431" s="1">
        <v>37</v>
      </c>
      <c r="B431" t="s">
        <v>34</v>
      </c>
      <c r="C431">
        <v>635</v>
      </c>
      <c r="D431">
        <v>1</v>
      </c>
      <c r="E431" t="s">
        <v>37</v>
      </c>
      <c r="F431" t="s">
        <v>38</v>
      </c>
      <c r="G431" t="str">
        <f>"2026-03-12 20:13:47.707"</f>
        <v>2026-03-12 20:13:47.707</v>
      </c>
      <c r="H431" t="s">
        <v>21</v>
      </c>
      <c r="I431">
        <v>5.38</v>
      </c>
      <c r="J431" t="s">
        <v>39</v>
      </c>
    </row>
    <row r="432" spans="1:10" s="3" customFormat="1" x14ac:dyDescent="0.25">
      <c r="A432" s="2">
        <v>38</v>
      </c>
      <c r="B432" s="3" t="s">
        <v>31</v>
      </c>
      <c r="C432" s="3">
        <v>647</v>
      </c>
      <c r="D432" s="3">
        <v>1</v>
      </c>
      <c r="E432" s="3" t="s">
        <v>32</v>
      </c>
      <c r="F432" s="3" t="s">
        <v>33</v>
      </c>
      <c r="G432" s="3" t="str">
        <f>"2026-03-12 19:23:39.108"</f>
        <v>2026-03-12 19:23:39.108</v>
      </c>
      <c r="H432" s="3" t="s">
        <v>21</v>
      </c>
    </row>
    <row r="433" spans="1:10" s="3" customFormat="1" x14ac:dyDescent="0.25">
      <c r="A433" s="2">
        <v>39</v>
      </c>
      <c r="B433" s="3" t="s">
        <v>34</v>
      </c>
      <c r="C433" s="3">
        <v>647</v>
      </c>
      <c r="D433" s="3">
        <v>1</v>
      </c>
      <c r="E433" s="3" t="s">
        <v>32</v>
      </c>
      <c r="F433" s="3" t="s">
        <v>33</v>
      </c>
      <c r="G433" s="3" t="str">
        <f>"2026-03-12 19:23:37.608"</f>
        <v>2026-03-12 19:23:37.608</v>
      </c>
      <c r="H433" s="3" t="s">
        <v>21</v>
      </c>
      <c r="I433" s="3">
        <v>8.4700000000000006</v>
      </c>
      <c r="J433" s="3" t="s">
        <v>36</v>
      </c>
    </row>
    <row r="434" spans="1:10" s="3" customFormat="1" x14ac:dyDescent="0.25">
      <c r="A434" s="2">
        <v>40</v>
      </c>
      <c r="B434" s="3" t="s">
        <v>31</v>
      </c>
      <c r="C434" s="3">
        <v>647</v>
      </c>
      <c r="D434" s="3">
        <v>1</v>
      </c>
      <c r="E434" s="3" t="s">
        <v>32</v>
      </c>
      <c r="F434" s="3" t="s">
        <v>33</v>
      </c>
      <c r="G434" s="3" t="str">
        <f>"2026-03-11 17:16:42.408"</f>
        <v>2026-03-11 17:16:42.408</v>
      </c>
      <c r="H434" s="3" t="s">
        <v>21</v>
      </c>
    </row>
    <row r="435" spans="1:10" s="3" customFormat="1" x14ac:dyDescent="0.25">
      <c r="A435" s="2">
        <v>41</v>
      </c>
      <c r="B435" s="3" t="s">
        <v>34</v>
      </c>
      <c r="C435" s="3">
        <v>647</v>
      </c>
      <c r="D435" s="3">
        <v>1</v>
      </c>
      <c r="E435" s="3" t="s">
        <v>32</v>
      </c>
      <c r="F435" s="3" t="s">
        <v>33</v>
      </c>
      <c r="G435" s="3" t="str">
        <f>"2026-03-11 17:16:38.308"</f>
        <v>2026-03-11 17:16:38.308</v>
      </c>
      <c r="H435" s="3" t="s">
        <v>21</v>
      </c>
      <c r="I435" s="3">
        <v>8.3000000000000007</v>
      </c>
      <c r="J435" s="3" t="s">
        <v>35</v>
      </c>
    </row>
    <row r="436" spans="1:10" s="3" customFormat="1" x14ac:dyDescent="0.25">
      <c r="A436" s="2">
        <v>42</v>
      </c>
      <c r="B436" s="3" t="s">
        <v>31</v>
      </c>
      <c r="C436" s="3">
        <v>647</v>
      </c>
      <c r="D436" s="3">
        <v>1</v>
      </c>
      <c r="E436" s="3" t="s">
        <v>32</v>
      </c>
      <c r="F436" s="3" t="s">
        <v>33</v>
      </c>
      <c r="G436" s="3" t="str">
        <f>"2026-03-11 11:06:01.408"</f>
        <v>2026-03-11 11:06:01.408</v>
      </c>
      <c r="H436" s="3" t="s">
        <v>21</v>
      </c>
    </row>
    <row r="437" spans="1:10" s="3" customFormat="1" x14ac:dyDescent="0.25">
      <c r="A437" s="2">
        <v>43</v>
      </c>
      <c r="B437" s="3" t="s">
        <v>34</v>
      </c>
      <c r="C437" s="3">
        <v>647</v>
      </c>
      <c r="D437" s="3">
        <v>1</v>
      </c>
      <c r="E437" s="3" t="s">
        <v>32</v>
      </c>
      <c r="F437" s="3" t="s">
        <v>33</v>
      </c>
      <c r="G437" s="3" t="str">
        <f>"2026-03-11 11:05:59.808"</f>
        <v>2026-03-11 11:05:59.808</v>
      </c>
      <c r="H437" s="3" t="s">
        <v>21</v>
      </c>
      <c r="I437" s="3">
        <v>10.130000000000001</v>
      </c>
      <c r="J437" s="3" t="s">
        <v>36</v>
      </c>
    </row>
    <row r="438" spans="1:10" x14ac:dyDescent="0.25">
      <c r="A438" s="1">
        <v>44</v>
      </c>
      <c r="B438" t="s">
        <v>19</v>
      </c>
      <c r="C438">
        <v>706</v>
      </c>
      <c r="D438">
        <v>4</v>
      </c>
      <c r="E438" t="s">
        <v>27</v>
      </c>
      <c r="F438" t="s">
        <v>28</v>
      </c>
      <c r="G438" t="str">
        <f>"2026-03-11 08:02:21.867"</f>
        <v>2026-03-11 08:02:21.867</v>
      </c>
      <c r="H438" t="s">
        <v>21</v>
      </c>
      <c r="I438">
        <v>0</v>
      </c>
      <c r="J438" t="s">
        <v>26</v>
      </c>
    </row>
    <row r="439" spans="1:10" x14ac:dyDescent="0.25">
      <c r="A439" s="1">
        <v>45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"2026-03-11 08:01:57.837"</f>
        <v>2026-03-11 08:01:57.837</v>
      </c>
      <c r="H439" t="s">
        <v>21</v>
      </c>
    </row>
    <row r="440" spans="1:10" x14ac:dyDescent="0.25">
      <c r="A440" s="1">
        <v>47</v>
      </c>
      <c r="B440" t="s">
        <v>31</v>
      </c>
      <c r="C440">
        <v>635</v>
      </c>
      <c r="D440">
        <v>1</v>
      </c>
      <c r="E440" t="s">
        <v>37</v>
      </c>
      <c r="F440" t="s">
        <v>38</v>
      </c>
      <c r="G440" t="str">
        <f>"2026-03-10 23:28:22.778"</f>
        <v>2026-03-10 23:28:22.778</v>
      </c>
      <c r="H440" t="s">
        <v>21</v>
      </c>
    </row>
    <row r="441" spans="1:10" x14ac:dyDescent="0.25">
      <c r="A441" s="1">
        <v>48</v>
      </c>
      <c r="B441" t="s">
        <v>34</v>
      </c>
      <c r="C441">
        <v>635</v>
      </c>
      <c r="D441">
        <v>1</v>
      </c>
      <c r="E441" t="s">
        <v>37</v>
      </c>
      <c r="F441" t="s">
        <v>38</v>
      </c>
      <c r="G441" t="str">
        <f>"2026-03-10 23:23:47.778"</f>
        <v>2026-03-10 23:23:47.778</v>
      </c>
      <c r="H441" t="s">
        <v>21</v>
      </c>
      <c r="I441">
        <v>7.02</v>
      </c>
      <c r="J441" t="s">
        <v>39</v>
      </c>
    </row>
    <row r="442" spans="1:10" x14ac:dyDescent="0.25">
      <c r="A442" s="1">
        <v>49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"2026-03-10 17:31:19.720"</f>
        <v>2026-03-10 17:31:19.720</v>
      </c>
      <c r="H442" t="s">
        <v>21</v>
      </c>
      <c r="I442">
        <v>0</v>
      </c>
      <c r="J442" t="s">
        <v>30</v>
      </c>
    </row>
    <row r="443" spans="1:10" x14ac:dyDescent="0.25">
      <c r="A443" s="1">
        <v>52</v>
      </c>
      <c r="B443" t="s">
        <v>19</v>
      </c>
      <c r="C443">
        <v>782</v>
      </c>
      <c r="D443">
        <v>7</v>
      </c>
      <c r="E443" t="s">
        <v>43</v>
      </c>
      <c r="F443" t="s">
        <v>44</v>
      </c>
      <c r="G443" t="str">
        <f>"2026-03-10 16:17:11.919"</f>
        <v>2026-03-10 16:17:11.919</v>
      </c>
      <c r="H443" t="s">
        <v>21</v>
      </c>
      <c r="I443">
        <v>0</v>
      </c>
      <c r="J443" t="s">
        <v>36</v>
      </c>
    </row>
    <row r="444" spans="1:10" x14ac:dyDescent="0.25">
      <c r="A444" s="1">
        <v>55</v>
      </c>
      <c r="B444" t="s">
        <v>31</v>
      </c>
      <c r="C444">
        <v>79</v>
      </c>
      <c r="D444">
        <v>9</v>
      </c>
      <c r="E444" t="s">
        <v>45</v>
      </c>
      <c r="F444" t="s">
        <v>46</v>
      </c>
      <c r="G444" t="str">
        <f>"2026-03-10 16:17:11.913"</f>
        <v>2026-03-10 16:17:11.913</v>
      </c>
      <c r="H444" t="s">
        <v>47</v>
      </c>
    </row>
    <row r="445" spans="1:10" x14ac:dyDescent="0.25">
      <c r="A445" s="1">
        <v>56</v>
      </c>
      <c r="B445" t="s">
        <v>19</v>
      </c>
      <c r="C445">
        <v>782</v>
      </c>
      <c r="D445">
        <v>7</v>
      </c>
      <c r="E445" t="s">
        <v>43</v>
      </c>
      <c r="F445" t="s">
        <v>44</v>
      </c>
      <c r="G445" t="str">
        <f>"2026-03-10 16:17:11.911"</f>
        <v>2026-03-10 16:17:11.911</v>
      </c>
      <c r="H445" t="s">
        <v>21</v>
      </c>
      <c r="I445">
        <v>0</v>
      </c>
      <c r="J445" t="s">
        <v>36</v>
      </c>
    </row>
    <row r="446" spans="1:10" x14ac:dyDescent="0.25">
      <c r="A446" s="1">
        <v>57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"2026-03-10 16:16:41.934"</f>
        <v>2026-03-10 16:16:41.934</v>
      </c>
      <c r="H446" t="s">
        <v>21</v>
      </c>
    </row>
    <row r="447" spans="1:10" x14ac:dyDescent="0.25">
      <c r="A447" s="1">
        <v>58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"2026-03-10 15:30:50.713"</f>
        <v>2026-03-10 15:30:50.713</v>
      </c>
      <c r="H447" t="s">
        <v>21</v>
      </c>
      <c r="I447">
        <v>0</v>
      </c>
      <c r="J447" t="s">
        <v>30</v>
      </c>
    </row>
    <row r="448" spans="1:10" x14ac:dyDescent="0.25">
      <c r="A448" s="1">
        <v>59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"2026-03-10 15:26:20.710"</f>
        <v>2026-03-10 15:26:20.710</v>
      </c>
      <c r="H448" t="s">
        <v>21</v>
      </c>
    </row>
    <row r="449" spans="1:10" x14ac:dyDescent="0.25">
      <c r="A449" s="1">
        <v>60</v>
      </c>
      <c r="B449" t="s">
        <v>31</v>
      </c>
      <c r="C449">
        <v>14</v>
      </c>
      <c r="D449">
        <v>10</v>
      </c>
      <c r="E449" t="s">
        <v>48</v>
      </c>
      <c r="F449" t="s">
        <v>49</v>
      </c>
      <c r="G449" t="str">
        <f>"2026-03-10 15:23:56.298"</f>
        <v>2026-03-10 15:23:56.298</v>
      </c>
      <c r="H449" t="s">
        <v>25</v>
      </c>
    </row>
    <row r="450" spans="1:10" x14ac:dyDescent="0.25">
      <c r="A450" s="1">
        <v>61</v>
      </c>
      <c r="B450" t="s">
        <v>50</v>
      </c>
      <c r="C450">
        <v>205</v>
      </c>
      <c r="D450">
        <v>3</v>
      </c>
      <c r="E450" t="s">
        <v>51</v>
      </c>
      <c r="F450" t="s">
        <v>52</v>
      </c>
      <c r="G450" t="str">
        <f>"2026-03-10 15:23:37.689"</f>
        <v>2026-03-10 15:23:37.689</v>
      </c>
      <c r="H450" t="s">
        <v>53</v>
      </c>
    </row>
    <row r="451" spans="1:10" x14ac:dyDescent="0.25">
      <c r="A451" s="1">
        <v>62</v>
      </c>
      <c r="B451" t="s">
        <v>50</v>
      </c>
      <c r="C451">
        <v>204</v>
      </c>
      <c r="D451">
        <v>8</v>
      </c>
      <c r="E451" t="s">
        <v>54</v>
      </c>
      <c r="F451" t="s">
        <v>55</v>
      </c>
      <c r="G451" t="str">
        <f>"2026-03-10 15:23:37.687"</f>
        <v>2026-03-10 15:23:37.687</v>
      </c>
      <c r="H451" t="s">
        <v>53</v>
      </c>
    </row>
    <row r="452" spans="1:10" x14ac:dyDescent="0.25">
      <c r="A452" s="1">
        <v>63</v>
      </c>
      <c r="B452" t="s">
        <v>50</v>
      </c>
      <c r="C452">
        <v>204</v>
      </c>
      <c r="D452">
        <v>6</v>
      </c>
      <c r="E452" t="s">
        <v>54</v>
      </c>
      <c r="F452" t="s">
        <v>56</v>
      </c>
      <c r="G452" t="str">
        <f>"2026-03-10 15:23:37.684"</f>
        <v>2026-03-10 15:23:37.684</v>
      </c>
      <c r="H452" t="s">
        <v>53</v>
      </c>
    </row>
    <row r="453" spans="1:10" x14ac:dyDescent="0.25">
      <c r="A453" s="1">
        <v>64</v>
      </c>
      <c r="B453" t="s">
        <v>50</v>
      </c>
      <c r="C453">
        <v>204</v>
      </c>
      <c r="D453">
        <v>5</v>
      </c>
      <c r="E453" t="s">
        <v>54</v>
      </c>
      <c r="F453" t="s">
        <v>57</v>
      </c>
      <c r="G453" t="str">
        <f>"2026-03-10 15:23:37.683"</f>
        <v>2026-03-10 15:23:37.683</v>
      </c>
      <c r="H453" t="s">
        <v>53</v>
      </c>
    </row>
    <row r="454" spans="1:10" x14ac:dyDescent="0.25">
      <c r="A454" s="1">
        <v>65</v>
      </c>
      <c r="B454" t="s">
        <v>50</v>
      </c>
      <c r="C454">
        <v>204</v>
      </c>
      <c r="D454">
        <v>1</v>
      </c>
      <c r="E454" t="s">
        <v>54</v>
      </c>
      <c r="F454" t="s">
        <v>58</v>
      </c>
      <c r="G454" t="str">
        <f>"2026-03-10 15:23:37.681"</f>
        <v>2026-03-10 15:23:37.681</v>
      </c>
      <c r="H454" t="s">
        <v>53</v>
      </c>
    </row>
    <row r="455" spans="1:10" x14ac:dyDescent="0.25">
      <c r="A455" s="1">
        <v>66</v>
      </c>
      <c r="B455" t="s">
        <v>50</v>
      </c>
      <c r="C455">
        <v>105</v>
      </c>
      <c r="D455">
        <v>3</v>
      </c>
      <c r="E455" t="s">
        <v>59</v>
      </c>
      <c r="F455" t="s">
        <v>52</v>
      </c>
      <c r="G455" t="str">
        <f>"2026-03-10 15:23:37.679"</f>
        <v>2026-03-10 15:23:37.679</v>
      </c>
      <c r="H455" t="s">
        <v>60</v>
      </c>
    </row>
    <row r="456" spans="1:10" x14ac:dyDescent="0.25">
      <c r="A456" s="1">
        <v>67</v>
      </c>
      <c r="B456" t="s">
        <v>50</v>
      </c>
      <c r="C456">
        <v>104</v>
      </c>
      <c r="D456">
        <v>8</v>
      </c>
      <c r="E456" t="s">
        <v>61</v>
      </c>
      <c r="F456" t="s">
        <v>55</v>
      </c>
      <c r="G456" t="str">
        <f>"2026-03-10 15:23:37.676"</f>
        <v>2026-03-10 15:23:37.676</v>
      </c>
      <c r="H456" t="s">
        <v>60</v>
      </c>
    </row>
    <row r="457" spans="1:10" x14ac:dyDescent="0.25">
      <c r="A457" s="1">
        <v>68</v>
      </c>
      <c r="B457" t="s">
        <v>50</v>
      </c>
      <c r="C457">
        <v>104</v>
      </c>
      <c r="D457">
        <v>6</v>
      </c>
      <c r="E457" t="s">
        <v>61</v>
      </c>
      <c r="F457" t="s">
        <v>56</v>
      </c>
      <c r="G457" t="str">
        <f>"2026-03-10 15:23:37.674"</f>
        <v>2026-03-10 15:23:37.674</v>
      </c>
      <c r="H457" t="s">
        <v>60</v>
      </c>
    </row>
    <row r="458" spans="1:10" x14ac:dyDescent="0.25">
      <c r="A458" s="1">
        <v>69</v>
      </c>
      <c r="B458" t="s">
        <v>50</v>
      </c>
      <c r="C458">
        <v>104</v>
      </c>
      <c r="D458">
        <v>5</v>
      </c>
      <c r="E458" t="s">
        <v>61</v>
      </c>
      <c r="F458" t="s">
        <v>57</v>
      </c>
      <c r="G458" t="str">
        <f>"2026-03-10 15:23:37.670"</f>
        <v>2026-03-10 15:23:37.670</v>
      </c>
      <c r="H458" t="s">
        <v>60</v>
      </c>
    </row>
    <row r="459" spans="1:10" x14ac:dyDescent="0.25">
      <c r="A459" s="1">
        <v>70</v>
      </c>
      <c r="B459" t="s">
        <v>50</v>
      </c>
      <c r="C459">
        <v>104</v>
      </c>
      <c r="D459">
        <v>1</v>
      </c>
      <c r="E459" t="s">
        <v>61</v>
      </c>
      <c r="F459" t="s">
        <v>58</v>
      </c>
      <c r="G459" t="str">
        <f>"2026-03-10 15:23:37.668"</f>
        <v>2026-03-10 15:23:37.668</v>
      </c>
      <c r="H459" t="s">
        <v>60</v>
      </c>
    </row>
    <row r="460" spans="1:10" x14ac:dyDescent="0.25">
      <c r="A460" s="1">
        <v>71</v>
      </c>
      <c r="B460" t="s">
        <v>50</v>
      </c>
      <c r="C460">
        <v>23</v>
      </c>
      <c r="D460">
        <v>1</v>
      </c>
      <c r="E460" t="s">
        <v>62</v>
      </c>
      <c r="F460" t="s">
        <v>63</v>
      </c>
      <c r="G460" t="str">
        <f>"2026-03-10 15:23:37.667"</f>
        <v>2026-03-10 15:23:37.667</v>
      </c>
      <c r="H460" t="s">
        <v>64</v>
      </c>
    </row>
    <row r="461" spans="1:10" x14ac:dyDescent="0.25">
      <c r="A461" s="1">
        <v>72</v>
      </c>
      <c r="B461" t="s">
        <v>34</v>
      </c>
      <c r="C461">
        <v>79</v>
      </c>
      <c r="D461">
        <v>9</v>
      </c>
      <c r="E461" t="s">
        <v>45</v>
      </c>
      <c r="F461" t="s">
        <v>46</v>
      </c>
      <c r="G461" t="str">
        <f>"2026-03-10 15:23:35.202"</f>
        <v>2026-03-10 15:23:35.202</v>
      </c>
      <c r="H461" t="s">
        <v>47</v>
      </c>
      <c r="I461">
        <v>6.56</v>
      </c>
      <c r="J461" t="s">
        <v>36</v>
      </c>
    </row>
    <row r="462" spans="1:10" x14ac:dyDescent="0.25">
      <c r="A462" s="1">
        <v>73</v>
      </c>
      <c r="B462" t="s">
        <v>34</v>
      </c>
      <c r="C462">
        <v>14</v>
      </c>
      <c r="D462">
        <v>10</v>
      </c>
      <c r="E462" t="s">
        <v>48</v>
      </c>
      <c r="F462" t="s">
        <v>49</v>
      </c>
      <c r="G462" t="str">
        <f>"2026-03-10 15:23:35.198"</f>
        <v>2026-03-10 15:23:35.198</v>
      </c>
      <c r="H462" t="s">
        <v>25</v>
      </c>
      <c r="I462">
        <v>6.56</v>
      </c>
      <c r="J462" t="s">
        <v>36</v>
      </c>
    </row>
    <row r="463" spans="1:10" x14ac:dyDescent="0.25">
      <c r="A463" s="1">
        <v>74</v>
      </c>
      <c r="B463" t="s">
        <v>22</v>
      </c>
      <c r="C463">
        <v>205</v>
      </c>
      <c r="D463">
        <v>3</v>
      </c>
      <c r="E463" t="s">
        <v>51</v>
      </c>
      <c r="F463" t="s">
        <v>52</v>
      </c>
      <c r="G463" t="str">
        <f>"2026-03-10 15:23:34.857"</f>
        <v>2026-03-10 15:23:34.857</v>
      </c>
      <c r="H463" t="s">
        <v>53</v>
      </c>
      <c r="I463">
        <v>6.57</v>
      </c>
      <c r="J463" t="s">
        <v>36</v>
      </c>
    </row>
    <row r="464" spans="1:10" x14ac:dyDescent="0.25">
      <c r="A464" s="1">
        <v>75</v>
      </c>
      <c r="B464" t="s">
        <v>22</v>
      </c>
      <c r="C464">
        <v>105</v>
      </c>
      <c r="D464">
        <v>3</v>
      </c>
      <c r="E464" t="s">
        <v>59</v>
      </c>
      <c r="F464" t="s">
        <v>52</v>
      </c>
      <c r="G464" t="str">
        <f>"2026-03-10 15:23:34.852"</f>
        <v>2026-03-10 15:23:34.852</v>
      </c>
      <c r="H464" t="s">
        <v>60</v>
      </c>
      <c r="I464">
        <v>6.57</v>
      </c>
      <c r="J464" t="s">
        <v>36</v>
      </c>
    </row>
    <row r="465" spans="1:10" x14ac:dyDescent="0.25">
      <c r="A465" s="1">
        <v>76</v>
      </c>
      <c r="B465" t="s">
        <v>22</v>
      </c>
      <c r="C465">
        <v>104</v>
      </c>
      <c r="D465">
        <v>8</v>
      </c>
      <c r="E465" t="s">
        <v>61</v>
      </c>
      <c r="F465" t="s">
        <v>55</v>
      </c>
      <c r="G465" t="str">
        <f>"2026-03-10 15:23:34.721"</f>
        <v>2026-03-10 15:23:34.721</v>
      </c>
      <c r="H465" t="s">
        <v>60</v>
      </c>
      <c r="I465">
        <v>6.57</v>
      </c>
      <c r="J465" t="s">
        <v>36</v>
      </c>
    </row>
    <row r="466" spans="1:10" x14ac:dyDescent="0.25">
      <c r="A466" s="1">
        <v>77</v>
      </c>
      <c r="B466" t="s">
        <v>22</v>
      </c>
      <c r="C466">
        <v>104</v>
      </c>
      <c r="D466">
        <v>6</v>
      </c>
      <c r="E466" t="s">
        <v>61</v>
      </c>
      <c r="F466" t="s">
        <v>56</v>
      </c>
      <c r="G466" t="str">
        <f>"2026-03-10 15:23:34.717"</f>
        <v>2026-03-10 15:23:34.717</v>
      </c>
      <c r="H466" t="s">
        <v>60</v>
      </c>
      <c r="I466">
        <v>6.57</v>
      </c>
      <c r="J466" t="s">
        <v>36</v>
      </c>
    </row>
    <row r="467" spans="1:10" x14ac:dyDescent="0.25">
      <c r="A467" s="1">
        <v>78</v>
      </c>
      <c r="B467" t="s">
        <v>22</v>
      </c>
      <c r="C467">
        <v>104</v>
      </c>
      <c r="D467">
        <v>5</v>
      </c>
      <c r="E467" t="s">
        <v>61</v>
      </c>
      <c r="F467" t="s">
        <v>57</v>
      </c>
      <c r="G467" t="str">
        <f>"2026-03-10 15:23:34.712"</f>
        <v>2026-03-10 15:23:34.712</v>
      </c>
      <c r="H467" t="s">
        <v>60</v>
      </c>
      <c r="I467">
        <v>6.57</v>
      </c>
      <c r="J467" t="s">
        <v>36</v>
      </c>
    </row>
    <row r="468" spans="1:10" x14ac:dyDescent="0.25">
      <c r="A468" s="1">
        <v>79</v>
      </c>
      <c r="B468" t="s">
        <v>22</v>
      </c>
      <c r="C468">
        <v>204</v>
      </c>
      <c r="D468">
        <v>8</v>
      </c>
      <c r="E468" t="s">
        <v>54</v>
      </c>
      <c r="F468" t="s">
        <v>55</v>
      </c>
      <c r="G468" t="str">
        <f>"2026-03-10 15:23:34.661"</f>
        <v>2026-03-10 15:23:34.661</v>
      </c>
      <c r="H468" t="s">
        <v>53</v>
      </c>
      <c r="I468">
        <v>6.57</v>
      </c>
      <c r="J468" t="s">
        <v>36</v>
      </c>
    </row>
    <row r="469" spans="1:10" x14ac:dyDescent="0.25">
      <c r="A469" s="1">
        <v>80</v>
      </c>
      <c r="B469" t="s">
        <v>22</v>
      </c>
      <c r="C469">
        <v>204</v>
      </c>
      <c r="D469">
        <v>6</v>
      </c>
      <c r="E469" t="s">
        <v>54</v>
      </c>
      <c r="F469" t="s">
        <v>56</v>
      </c>
      <c r="G469" t="str">
        <f>"2026-03-10 15:23:34.657"</f>
        <v>2026-03-10 15:23:34.657</v>
      </c>
      <c r="H469" t="s">
        <v>53</v>
      </c>
      <c r="I469">
        <v>6.57</v>
      </c>
      <c r="J469" t="s">
        <v>36</v>
      </c>
    </row>
    <row r="470" spans="1:10" x14ac:dyDescent="0.25">
      <c r="A470" s="1">
        <v>81</v>
      </c>
      <c r="B470" t="s">
        <v>22</v>
      </c>
      <c r="C470">
        <v>204</v>
      </c>
      <c r="D470">
        <v>5</v>
      </c>
      <c r="E470" t="s">
        <v>54</v>
      </c>
      <c r="F470" t="s">
        <v>57</v>
      </c>
      <c r="G470" t="str">
        <f>"2026-03-10 15:23:34.652"</f>
        <v>2026-03-10 15:23:34.652</v>
      </c>
      <c r="H470" t="s">
        <v>53</v>
      </c>
      <c r="I470">
        <v>6.57</v>
      </c>
      <c r="J470" t="s">
        <v>36</v>
      </c>
    </row>
    <row r="471" spans="1:10" x14ac:dyDescent="0.25">
      <c r="A471" s="1">
        <v>82</v>
      </c>
      <c r="B471" t="s">
        <v>22</v>
      </c>
      <c r="C471">
        <v>23</v>
      </c>
      <c r="D471">
        <v>1</v>
      </c>
      <c r="E471" t="s">
        <v>62</v>
      </c>
      <c r="F471" t="s">
        <v>63</v>
      </c>
      <c r="G471" t="str">
        <f>"2026-03-10 15:23:34.378"</f>
        <v>2026-03-10 15:23:34.378</v>
      </c>
      <c r="H471" t="s">
        <v>64</v>
      </c>
      <c r="I471">
        <v>6.57</v>
      </c>
      <c r="J471" t="s">
        <v>39</v>
      </c>
    </row>
    <row r="472" spans="1:10" x14ac:dyDescent="0.25">
      <c r="A472" s="1">
        <v>83</v>
      </c>
      <c r="B472" t="s">
        <v>22</v>
      </c>
      <c r="C472">
        <v>204</v>
      </c>
      <c r="D472">
        <v>1</v>
      </c>
      <c r="E472" t="s">
        <v>54</v>
      </c>
      <c r="F472" t="s">
        <v>58</v>
      </c>
      <c r="G472" t="str">
        <f>"2026-03-10 15:23:34.318"</f>
        <v>2026-03-10 15:23:34.318</v>
      </c>
      <c r="H472" t="s">
        <v>53</v>
      </c>
      <c r="I472">
        <v>6.57</v>
      </c>
      <c r="J472" t="s">
        <v>39</v>
      </c>
    </row>
    <row r="473" spans="1:10" x14ac:dyDescent="0.25">
      <c r="A473" s="1">
        <v>84</v>
      </c>
      <c r="B473" t="s">
        <v>22</v>
      </c>
      <c r="C473">
        <v>104</v>
      </c>
      <c r="D473">
        <v>1</v>
      </c>
      <c r="E473" t="s">
        <v>61</v>
      </c>
      <c r="F473" t="s">
        <v>58</v>
      </c>
      <c r="G473" t="str">
        <f>"2026-03-10 15:23:34.312"</f>
        <v>2026-03-10 15:23:34.312</v>
      </c>
      <c r="H473" t="s">
        <v>60</v>
      </c>
      <c r="I473">
        <v>6.57</v>
      </c>
      <c r="J473" t="s">
        <v>39</v>
      </c>
    </row>
    <row r="474" spans="1:10" x14ac:dyDescent="0.25">
      <c r="A474" s="1">
        <v>85</v>
      </c>
      <c r="B474" t="s">
        <v>19</v>
      </c>
      <c r="C474">
        <v>706</v>
      </c>
      <c r="D474">
        <v>4</v>
      </c>
      <c r="E474" t="s">
        <v>27</v>
      </c>
      <c r="F474" t="s">
        <v>28</v>
      </c>
      <c r="G474" t="str">
        <f>"2026-03-10 15:23:34.209"</f>
        <v>2026-03-10 15:23:34.209</v>
      </c>
      <c r="H474" t="s">
        <v>21</v>
      </c>
      <c r="I474">
        <v>6.56</v>
      </c>
      <c r="J474" t="s">
        <v>39</v>
      </c>
    </row>
    <row r="475" spans="1:10" x14ac:dyDescent="0.25">
      <c r="A475" s="1">
        <v>86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"2026-03-10 13:31:37.699"</f>
        <v>2026-03-10 13:31:37.699</v>
      </c>
      <c r="H475" t="s">
        <v>21</v>
      </c>
      <c r="I475">
        <v>0</v>
      </c>
      <c r="J475" t="s">
        <v>30</v>
      </c>
    </row>
    <row r="476" spans="1:10" s="3" customFormat="1" x14ac:dyDescent="0.25">
      <c r="A476" s="2">
        <v>87</v>
      </c>
      <c r="B476" s="3" t="s">
        <v>31</v>
      </c>
      <c r="C476" s="3">
        <v>647</v>
      </c>
      <c r="D476" s="3">
        <v>1</v>
      </c>
      <c r="E476" s="3" t="s">
        <v>32</v>
      </c>
      <c r="F476" s="3" t="s">
        <v>33</v>
      </c>
      <c r="G476" s="3" t="str">
        <f>"2026-03-10 09:23:30.132"</f>
        <v>2026-03-10 09:23:30.132</v>
      </c>
      <c r="H476" s="3" t="s">
        <v>21</v>
      </c>
    </row>
    <row r="477" spans="1:10" s="3" customFormat="1" x14ac:dyDescent="0.25">
      <c r="A477" s="2">
        <v>88</v>
      </c>
      <c r="B477" s="3" t="s">
        <v>34</v>
      </c>
      <c r="C477" s="3">
        <v>647</v>
      </c>
      <c r="D477" s="3">
        <v>1</v>
      </c>
      <c r="E477" s="3" t="s">
        <v>32</v>
      </c>
      <c r="F477" s="3" t="s">
        <v>33</v>
      </c>
      <c r="G477" s="3" t="str">
        <f>"2026-03-10 09:23:28.632"</f>
        <v>2026-03-10 09:23:28.632</v>
      </c>
      <c r="H477" s="3" t="s">
        <v>21</v>
      </c>
      <c r="I477" s="3">
        <v>9.1</v>
      </c>
      <c r="J477" s="3" t="s">
        <v>36</v>
      </c>
    </row>
    <row r="478" spans="1:10" x14ac:dyDescent="0.25">
      <c r="A478" s="1">
        <v>89</v>
      </c>
      <c r="B478" t="s">
        <v>31</v>
      </c>
      <c r="C478">
        <v>635</v>
      </c>
      <c r="D478">
        <v>1</v>
      </c>
      <c r="E478" t="s">
        <v>37</v>
      </c>
      <c r="F478" t="s">
        <v>38</v>
      </c>
      <c r="G478" t="str">
        <f>"2026-03-10 08:42:40.730"</f>
        <v>2026-03-10 08:42:40.730</v>
      </c>
      <c r="H478" t="s">
        <v>21</v>
      </c>
    </row>
    <row r="479" spans="1:10" x14ac:dyDescent="0.25">
      <c r="A479" s="1">
        <v>90</v>
      </c>
      <c r="B479" t="s">
        <v>34</v>
      </c>
      <c r="C479">
        <v>635</v>
      </c>
      <c r="D479">
        <v>1</v>
      </c>
      <c r="E479" t="s">
        <v>37</v>
      </c>
      <c r="F479" t="s">
        <v>38</v>
      </c>
      <c r="G479" t="str">
        <f>"2026-03-10 08:39:08.731"</f>
        <v>2026-03-10 08:39:08.731</v>
      </c>
      <c r="H479" t="s">
        <v>21</v>
      </c>
      <c r="I479">
        <v>4.93</v>
      </c>
      <c r="J479" t="s">
        <v>36</v>
      </c>
    </row>
    <row r="480" spans="1:10" x14ac:dyDescent="0.25">
      <c r="A480" s="1">
        <v>91</v>
      </c>
      <c r="B480" t="s">
        <v>31</v>
      </c>
      <c r="C480">
        <v>630</v>
      </c>
      <c r="D480">
        <v>5</v>
      </c>
      <c r="E480" t="s">
        <v>23</v>
      </c>
      <c r="F480" t="s">
        <v>24</v>
      </c>
      <c r="G480" t="str">
        <f>"2026-03-10 06:13:48.832"</f>
        <v>2026-03-10 06:13:48.832</v>
      </c>
      <c r="H480" t="s">
        <v>25</v>
      </c>
    </row>
    <row r="481" spans="1:10" x14ac:dyDescent="0.25">
      <c r="A481" s="1">
        <v>92</v>
      </c>
      <c r="B481" t="s">
        <v>19</v>
      </c>
      <c r="C481">
        <v>706</v>
      </c>
      <c r="D481">
        <v>4</v>
      </c>
      <c r="E481" t="s">
        <v>27</v>
      </c>
      <c r="F481" t="s">
        <v>28</v>
      </c>
      <c r="G481" t="str">
        <f>"2026-03-10 06:13:18.726"</f>
        <v>2026-03-10 06:13:18.726</v>
      </c>
      <c r="H481" t="s">
        <v>21</v>
      </c>
      <c r="I481">
        <v>0</v>
      </c>
      <c r="J481" t="s">
        <v>26</v>
      </c>
    </row>
    <row r="482" spans="1:10" x14ac:dyDescent="0.25">
      <c r="A482" s="1">
        <v>93</v>
      </c>
      <c r="B482" t="s">
        <v>22</v>
      </c>
      <c r="C482">
        <v>630</v>
      </c>
      <c r="D482">
        <v>5</v>
      </c>
      <c r="E482" t="s">
        <v>23</v>
      </c>
      <c r="F482" t="s">
        <v>24</v>
      </c>
      <c r="G482" t="str">
        <f>"2026-03-10 06:04:06.132"</f>
        <v>2026-03-10 06:04:06.132</v>
      </c>
      <c r="H482" t="s">
        <v>25</v>
      </c>
      <c r="I482">
        <v>0</v>
      </c>
      <c r="J482" t="s">
        <v>26</v>
      </c>
    </row>
    <row r="483" spans="1:10" x14ac:dyDescent="0.25">
      <c r="A483" s="1">
        <v>96</v>
      </c>
      <c r="B483" t="s">
        <v>19</v>
      </c>
      <c r="C483">
        <v>782</v>
      </c>
      <c r="D483">
        <v>7</v>
      </c>
      <c r="E483" t="s">
        <v>43</v>
      </c>
      <c r="F483" t="s">
        <v>44</v>
      </c>
      <c r="G483" t="str">
        <f>"2026-03-10 03:51:11.842"</f>
        <v>2026-03-10 03:51:11.842</v>
      </c>
      <c r="H483" t="s">
        <v>21</v>
      </c>
      <c r="I483">
        <v>0</v>
      </c>
      <c r="J483" t="s">
        <v>36</v>
      </c>
    </row>
    <row r="484" spans="1:10" x14ac:dyDescent="0.25">
      <c r="A484" s="1">
        <v>99</v>
      </c>
      <c r="B484" t="s">
        <v>31</v>
      </c>
      <c r="C484">
        <v>79</v>
      </c>
      <c r="D484">
        <v>9</v>
      </c>
      <c r="E484" t="s">
        <v>45</v>
      </c>
      <c r="F484" t="s">
        <v>46</v>
      </c>
      <c r="G484" t="str">
        <f>"2026-03-10 03:51:11.836"</f>
        <v>2026-03-10 03:51:11.836</v>
      </c>
      <c r="H484" t="s">
        <v>47</v>
      </c>
    </row>
    <row r="485" spans="1:10" x14ac:dyDescent="0.25">
      <c r="A485" s="1">
        <v>0</v>
      </c>
      <c r="B485" t="s">
        <v>31</v>
      </c>
      <c r="C485">
        <v>14</v>
      </c>
      <c r="D485">
        <v>13</v>
      </c>
      <c r="E485" t="s">
        <v>48</v>
      </c>
      <c r="F485" t="s">
        <v>65</v>
      </c>
      <c r="G485" t="str">
        <f>"2026-03-10 03:51:11.833"</f>
        <v>2026-03-10 03:51:11.833</v>
      </c>
      <c r="H485" t="s">
        <v>25</v>
      </c>
    </row>
    <row r="486" spans="1:10" x14ac:dyDescent="0.25">
      <c r="A486" s="1">
        <v>1</v>
      </c>
      <c r="B486" t="s">
        <v>31</v>
      </c>
      <c r="C486">
        <v>14</v>
      </c>
      <c r="D486">
        <v>10</v>
      </c>
      <c r="E486" t="s">
        <v>48</v>
      </c>
      <c r="F486" t="s">
        <v>49</v>
      </c>
      <c r="G486" t="str">
        <f>"2026-03-10 03:51:11.832"</f>
        <v>2026-03-10 03:51:11.832</v>
      </c>
      <c r="H486" t="s">
        <v>25</v>
      </c>
    </row>
    <row r="487" spans="1:10" x14ac:dyDescent="0.25">
      <c r="A487" s="1">
        <v>2</v>
      </c>
      <c r="B487" t="s">
        <v>19</v>
      </c>
      <c r="C487">
        <v>782</v>
      </c>
      <c r="D487">
        <v>7</v>
      </c>
      <c r="E487" t="s">
        <v>43</v>
      </c>
      <c r="F487" t="s">
        <v>44</v>
      </c>
      <c r="G487" t="str">
        <f>"2026-03-10 03:51:11.831"</f>
        <v>2026-03-10 03:51:11.831</v>
      </c>
      <c r="H487" t="s">
        <v>21</v>
      </c>
      <c r="I487">
        <v>0</v>
      </c>
      <c r="J487" t="s">
        <v>36</v>
      </c>
    </row>
    <row r="488" spans="1:10" x14ac:dyDescent="0.25">
      <c r="A488" s="1">
        <v>3</v>
      </c>
      <c r="B488" t="s">
        <v>50</v>
      </c>
      <c r="C488">
        <v>205</v>
      </c>
      <c r="D488">
        <v>3</v>
      </c>
      <c r="E488" t="s">
        <v>51</v>
      </c>
      <c r="F488" t="s">
        <v>52</v>
      </c>
      <c r="G488" t="str">
        <f>"2026-03-10 03:50:57.178"</f>
        <v>2026-03-10 03:50:57.178</v>
      </c>
      <c r="H488" t="s">
        <v>53</v>
      </c>
    </row>
    <row r="489" spans="1:10" x14ac:dyDescent="0.25">
      <c r="A489" s="1">
        <v>4</v>
      </c>
      <c r="B489" t="s">
        <v>22</v>
      </c>
      <c r="C489">
        <v>205</v>
      </c>
      <c r="D489">
        <v>3</v>
      </c>
      <c r="E489" t="s">
        <v>51</v>
      </c>
      <c r="F489" t="s">
        <v>52</v>
      </c>
      <c r="G489" t="str">
        <f>"2026-03-10 03:50:55.614"</f>
        <v>2026-03-10 03:50:55.614</v>
      </c>
      <c r="H489" t="s">
        <v>53</v>
      </c>
      <c r="I489">
        <v>0.79</v>
      </c>
      <c r="J489" t="s">
        <v>36</v>
      </c>
    </row>
    <row r="490" spans="1:10" x14ac:dyDescent="0.25">
      <c r="A490" s="1">
        <v>5</v>
      </c>
      <c r="B490" t="s">
        <v>50</v>
      </c>
      <c r="C490">
        <v>205</v>
      </c>
      <c r="D490">
        <v>3</v>
      </c>
      <c r="E490" t="s">
        <v>51</v>
      </c>
      <c r="F490" t="s">
        <v>52</v>
      </c>
      <c r="G490" t="str">
        <f>"2026-03-10 03:50:55.453"</f>
        <v>2026-03-10 03:50:55.453</v>
      </c>
      <c r="H490" t="s">
        <v>53</v>
      </c>
    </row>
    <row r="491" spans="1:10" x14ac:dyDescent="0.25">
      <c r="A491" s="1">
        <v>6</v>
      </c>
      <c r="B491" t="s">
        <v>50</v>
      </c>
      <c r="C491">
        <v>204</v>
      </c>
      <c r="D491">
        <v>8</v>
      </c>
      <c r="E491" t="s">
        <v>54</v>
      </c>
      <c r="F491" t="s">
        <v>55</v>
      </c>
      <c r="G491" t="str">
        <f>"2026-03-10 03:50:55.451"</f>
        <v>2026-03-10 03:50:55.451</v>
      </c>
      <c r="H491" t="s">
        <v>53</v>
      </c>
    </row>
    <row r="492" spans="1:10" x14ac:dyDescent="0.25">
      <c r="A492" s="1">
        <v>7</v>
      </c>
      <c r="B492" t="s">
        <v>50</v>
      </c>
      <c r="C492">
        <v>204</v>
      </c>
      <c r="D492">
        <v>6</v>
      </c>
      <c r="E492" t="s">
        <v>54</v>
      </c>
      <c r="F492" t="s">
        <v>56</v>
      </c>
      <c r="G492" t="str">
        <f>"2026-03-10 03:50:55.449"</f>
        <v>2026-03-10 03:50:55.449</v>
      </c>
      <c r="H492" t="s">
        <v>53</v>
      </c>
    </row>
    <row r="493" spans="1:10" x14ac:dyDescent="0.25">
      <c r="A493" s="1">
        <v>8</v>
      </c>
      <c r="B493" t="s">
        <v>50</v>
      </c>
      <c r="C493">
        <v>204</v>
      </c>
      <c r="D493">
        <v>5</v>
      </c>
      <c r="E493" t="s">
        <v>54</v>
      </c>
      <c r="F493" t="s">
        <v>57</v>
      </c>
      <c r="G493" t="str">
        <f>"2026-03-10 03:50:55.448"</f>
        <v>2026-03-10 03:50:55.448</v>
      </c>
      <c r="H493" t="s">
        <v>53</v>
      </c>
    </row>
    <row r="494" spans="1:10" x14ac:dyDescent="0.25">
      <c r="A494" s="1">
        <v>9</v>
      </c>
      <c r="B494" t="s">
        <v>50</v>
      </c>
      <c r="C494">
        <v>204</v>
      </c>
      <c r="D494">
        <v>1</v>
      </c>
      <c r="E494" t="s">
        <v>54</v>
      </c>
      <c r="F494" t="s">
        <v>58</v>
      </c>
      <c r="G494" t="str">
        <f>"2026-03-10 03:50:55.445"</f>
        <v>2026-03-10 03:50:55.445</v>
      </c>
      <c r="H494" t="s">
        <v>53</v>
      </c>
    </row>
    <row r="495" spans="1:10" x14ac:dyDescent="0.25">
      <c r="A495" s="1">
        <v>10</v>
      </c>
      <c r="B495" t="s">
        <v>50</v>
      </c>
      <c r="C495">
        <v>105</v>
      </c>
      <c r="D495">
        <v>3</v>
      </c>
      <c r="E495" t="s">
        <v>59</v>
      </c>
      <c r="F495" t="s">
        <v>52</v>
      </c>
      <c r="G495" t="str">
        <f>"2026-03-10 03:50:55.443"</f>
        <v>2026-03-10 03:50:55.443</v>
      </c>
      <c r="H495" t="s">
        <v>60</v>
      </c>
    </row>
    <row r="496" spans="1:10" x14ac:dyDescent="0.25">
      <c r="A496" s="1">
        <v>11</v>
      </c>
      <c r="B496" t="s">
        <v>50</v>
      </c>
      <c r="C496">
        <v>104</v>
      </c>
      <c r="D496">
        <v>8</v>
      </c>
      <c r="E496" t="s">
        <v>61</v>
      </c>
      <c r="F496" t="s">
        <v>55</v>
      </c>
      <c r="G496" t="str">
        <f>"2026-03-10 03:50:55.440"</f>
        <v>2026-03-10 03:50:55.440</v>
      </c>
      <c r="H496" t="s">
        <v>60</v>
      </c>
    </row>
    <row r="497" spans="1:10" x14ac:dyDescent="0.25">
      <c r="A497" s="1">
        <v>12</v>
      </c>
      <c r="B497" t="s">
        <v>50</v>
      </c>
      <c r="C497">
        <v>104</v>
      </c>
      <c r="D497">
        <v>6</v>
      </c>
      <c r="E497" t="s">
        <v>61</v>
      </c>
      <c r="F497" t="s">
        <v>56</v>
      </c>
      <c r="G497" t="str">
        <f>"2026-03-10 03:50:55.439"</f>
        <v>2026-03-10 03:50:55.439</v>
      </c>
      <c r="H497" t="s">
        <v>60</v>
      </c>
    </row>
    <row r="498" spans="1:10" x14ac:dyDescent="0.25">
      <c r="A498" s="1">
        <v>13</v>
      </c>
      <c r="B498" t="s">
        <v>50</v>
      </c>
      <c r="C498">
        <v>104</v>
      </c>
      <c r="D498">
        <v>5</v>
      </c>
      <c r="E498" t="s">
        <v>61</v>
      </c>
      <c r="F498" t="s">
        <v>57</v>
      </c>
      <c r="G498" t="str">
        <f>"2026-03-10 03:50:55.436"</f>
        <v>2026-03-10 03:50:55.436</v>
      </c>
      <c r="H498" t="s">
        <v>60</v>
      </c>
    </row>
    <row r="499" spans="1:10" x14ac:dyDescent="0.25">
      <c r="A499" s="1">
        <v>14</v>
      </c>
      <c r="B499" t="s">
        <v>50</v>
      </c>
      <c r="C499">
        <v>104</v>
      </c>
      <c r="D499">
        <v>1</v>
      </c>
      <c r="E499" t="s">
        <v>61</v>
      </c>
      <c r="F499" t="s">
        <v>58</v>
      </c>
      <c r="G499" t="str">
        <f>"2026-03-10 03:50:55.433"</f>
        <v>2026-03-10 03:50:55.433</v>
      </c>
      <c r="H499" t="s">
        <v>60</v>
      </c>
    </row>
    <row r="500" spans="1:10" x14ac:dyDescent="0.25">
      <c r="A500" s="1">
        <v>15</v>
      </c>
      <c r="B500" t="s">
        <v>50</v>
      </c>
      <c r="C500">
        <v>23</v>
      </c>
      <c r="D500">
        <v>1</v>
      </c>
      <c r="E500" t="s">
        <v>62</v>
      </c>
      <c r="F500" t="s">
        <v>63</v>
      </c>
      <c r="G500" t="str">
        <f>"2026-03-10 03:50:55.431"</f>
        <v>2026-03-10 03:50:55.431</v>
      </c>
      <c r="H500" t="s">
        <v>64</v>
      </c>
    </row>
    <row r="501" spans="1:10" x14ac:dyDescent="0.25">
      <c r="A501" s="1">
        <v>16</v>
      </c>
      <c r="B501" t="s">
        <v>34</v>
      </c>
      <c r="C501">
        <v>14</v>
      </c>
      <c r="D501">
        <v>13</v>
      </c>
      <c r="E501" t="s">
        <v>48</v>
      </c>
      <c r="F501" t="s">
        <v>65</v>
      </c>
      <c r="G501" t="str">
        <f>"2026-03-10 03:50:54.131"</f>
        <v>2026-03-10 03:50:54.131</v>
      </c>
      <c r="H501" t="s">
        <v>25</v>
      </c>
      <c r="I501">
        <v>7.74</v>
      </c>
      <c r="J501" t="s">
        <v>36</v>
      </c>
    </row>
    <row r="502" spans="1:10" x14ac:dyDescent="0.25">
      <c r="A502" s="1">
        <v>17</v>
      </c>
      <c r="B502" t="s">
        <v>34</v>
      </c>
      <c r="C502">
        <v>79</v>
      </c>
      <c r="D502">
        <v>9</v>
      </c>
      <c r="E502" t="s">
        <v>45</v>
      </c>
      <c r="F502" t="s">
        <v>46</v>
      </c>
      <c r="G502" t="str">
        <f>"2026-03-10 03:50:53.130"</f>
        <v>2026-03-10 03:50:53.130</v>
      </c>
      <c r="H502" t="s">
        <v>47</v>
      </c>
      <c r="I502">
        <v>7.52</v>
      </c>
      <c r="J502" t="s">
        <v>36</v>
      </c>
    </row>
    <row r="503" spans="1:10" x14ac:dyDescent="0.25">
      <c r="A503" s="1">
        <v>18</v>
      </c>
      <c r="B503" t="s">
        <v>34</v>
      </c>
      <c r="C503">
        <v>14</v>
      </c>
      <c r="D503">
        <v>10</v>
      </c>
      <c r="E503" t="s">
        <v>48</v>
      </c>
      <c r="F503" t="s">
        <v>49</v>
      </c>
      <c r="G503" t="str">
        <f>"2026-03-10 03:50:53.078"</f>
        <v>2026-03-10 03:50:53.078</v>
      </c>
      <c r="H503" t="s">
        <v>25</v>
      </c>
      <c r="I503">
        <v>7.73</v>
      </c>
      <c r="J503" t="s">
        <v>36</v>
      </c>
    </row>
    <row r="504" spans="1:10" x14ac:dyDescent="0.25">
      <c r="A504" s="1">
        <v>19</v>
      </c>
      <c r="B504" t="s">
        <v>22</v>
      </c>
      <c r="C504">
        <v>105</v>
      </c>
      <c r="D504">
        <v>3</v>
      </c>
      <c r="E504" t="s">
        <v>59</v>
      </c>
      <c r="F504" t="s">
        <v>52</v>
      </c>
      <c r="G504" t="str">
        <f>"2026-03-10 03:50:52.734"</f>
        <v>2026-03-10 03:50:52.734</v>
      </c>
      <c r="H504" t="s">
        <v>60</v>
      </c>
      <c r="I504">
        <v>7.74</v>
      </c>
      <c r="J504" t="s">
        <v>36</v>
      </c>
    </row>
    <row r="505" spans="1:10" x14ac:dyDescent="0.25">
      <c r="A505" s="1">
        <v>20</v>
      </c>
      <c r="B505" t="s">
        <v>22</v>
      </c>
      <c r="C505">
        <v>205</v>
      </c>
      <c r="D505">
        <v>3</v>
      </c>
      <c r="E505" t="s">
        <v>51</v>
      </c>
      <c r="F505" t="s">
        <v>52</v>
      </c>
      <c r="G505" t="str">
        <f>"2026-03-10 03:50:52.714"</f>
        <v>2026-03-10 03:50:52.714</v>
      </c>
      <c r="H505" t="s">
        <v>53</v>
      </c>
      <c r="I505">
        <v>7.74</v>
      </c>
      <c r="J505" t="s">
        <v>36</v>
      </c>
    </row>
    <row r="506" spans="1:10" x14ac:dyDescent="0.25">
      <c r="A506" s="1">
        <v>21</v>
      </c>
      <c r="B506" t="s">
        <v>22</v>
      </c>
      <c r="C506">
        <v>104</v>
      </c>
      <c r="D506">
        <v>8</v>
      </c>
      <c r="E506" t="s">
        <v>61</v>
      </c>
      <c r="F506" t="s">
        <v>55</v>
      </c>
      <c r="G506" t="str">
        <f>"2026-03-10 03:50:52.543"</f>
        <v>2026-03-10 03:50:52.543</v>
      </c>
      <c r="H506" t="s">
        <v>60</v>
      </c>
      <c r="I506">
        <v>7.75</v>
      </c>
      <c r="J506" t="s">
        <v>36</v>
      </c>
    </row>
    <row r="507" spans="1:10" x14ac:dyDescent="0.25">
      <c r="A507" s="1">
        <v>22</v>
      </c>
      <c r="B507" t="s">
        <v>22</v>
      </c>
      <c r="C507">
        <v>104</v>
      </c>
      <c r="D507">
        <v>6</v>
      </c>
      <c r="E507" t="s">
        <v>61</v>
      </c>
      <c r="F507" t="s">
        <v>56</v>
      </c>
      <c r="G507" t="str">
        <f>"2026-03-10 03:50:52.539"</f>
        <v>2026-03-10 03:50:52.539</v>
      </c>
      <c r="H507" t="s">
        <v>60</v>
      </c>
      <c r="I507">
        <v>7.75</v>
      </c>
      <c r="J507" t="s">
        <v>36</v>
      </c>
    </row>
    <row r="508" spans="1:10" x14ac:dyDescent="0.25">
      <c r="A508" s="1">
        <v>23</v>
      </c>
      <c r="B508" t="s">
        <v>22</v>
      </c>
      <c r="C508">
        <v>104</v>
      </c>
      <c r="D508">
        <v>5</v>
      </c>
      <c r="E508" t="s">
        <v>61</v>
      </c>
      <c r="F508" t="s">
        <v>57</v>
      </c>
      <c r="G508" t="str">
        <f>"2026-03-10 03:50:52.534"</f>
        <v>2026-03-10 03:50:52.534</v>
      </c>
      <c r="H508" t="s">
        <v>60</v>
      </c>
      <c r="I508">
        <v>7.75</v>
      </c>
      <c r="J508" t="s">
        <v>36</v>
      </c>
    </row>
    <row r="509" spans="1:10" x14ac:dyDescent="0.25">
      <c r="A509" s="1">
        <v>24</v>
      </c>
      <c r="B509" t="s">
        <v>22</v>
      </c>
      <c r="C509">
        <v>204</v>
      </c>
      <c r="D509">
        <v>8</v>
      </c>
      <c r="E509" t="s">
        <v>54</v>
      </c>
      <c r="F509" t="s">
        <v>55</v>
      </c>
      <c r="G509" t="str">
        <f>"2026-03-10 03:50:52.523"</f>
        <v>2026-03-10 03:50:52.523</v>
      </c>
      <c r="H509" t="s">
        <v>53</v>
      </c>
      <c r="I509">
        <v>7.75</v>
      </c>
      <c r="J509" t="s">
        <v>36</v>
      </c>
    </row>
    <row r="510" spans="1:10" x14ac:dyDescent="0.25">
      <c r="A510" s="1">
        <v>25</v>
      </c>
      <c r="B510" t="s">
        <v>22</v>
      </c>
      <c r="C510">
        <v>204</v>
      </c>
      <c r="D510">
        <v>6</v>
      </c>
      <c r="E510" t="s">
        <v>54</v>
      </c>
      <c r="F510" t="s">
        <v>56</v>
      </c>
      <c r="G510" t="str">
        <f>"2026-03-10 03:50:52.519"</f>
        <v>2026-03-10 03:50:52.519</v>
      </c>
      <c r="H510" t="s">
        <v>53</v>
      </c>
      <c r="I510">
        <v>7.75</v>
      </c>
      <c r="J510" t="s">
        <v>36</v>
      </c>
    </row>
    <row r="511" spans="1:10" x14ac:dyDescent="0.25">
      <c r="A511" s="1">
        <v>26</v>
      </c>
      <c r="B511" t="s">
        <v>22</v>
      </c>
      <c r="C511">
        <v>204</v>
      </c>
      <c r="D511">
        <v>5</v>
      </c>
      <c r="E511" t="s">
        <v>54</v>
      </c>
      <c r="F511" t="s">
        <v>57</v>
      </c>
      <c r="G511" t="str">
        <f>"2026-03-10 03:50:52.514"</f>
        <v>2026-03-10 03:50:52.514</v>
      </c>
      <c r="H511" t="s">
        <v>53</v>
      </c>
      <c r="I511">
        <v>7.75</v>
      </c>
      <c r="J511" t="s">
        <v>36</v>
      </c>
    </row>
    <row r="512" spans="1:10" x14ac:dyDescent="0.25">
      <c r="A512" s="1">
        <v>27</v>
      </c>
      <c r="B512" t="s">
        <v>22</v>
      </c>
      <c r="C512">
        <v>204</v>
      </c>
      <c r="D512">
        <v>1</v>
      </c>
      <c r="E512" t="s">
        <v>54</v>
      </c>
      <c r="F512" t="s">
        <v>58</v>
      </c>
      <c r="G512" t="str">
        <f>"2026-03-10 03:50:52.294"</f>
        <v>2026-03-10 03:50:52.294</v>
      </c>
      <c r="H512" t="s">
        <v>53</v>
      </c>
      <c r="I512">
        <v>7.77</v>
      </c>
      <c r="J512" t="s">
        <v>39</v>
      </c>
    </row>
    <row r="513" spans="1:10" x14ac:dyDescent="0.25">
      <c r="A513" s="1">
        <v>28</v>
      </c>
      <c r="B513" t="s">
        <v>22</v>
      </c>
      <c r="C513">
        <v>23</v>
      </c>
      <c r="D513">
        <v>1</v>
      </c>
      <c r="E513" t="s">
        <v>62</v>
      </c>
      <c r="F513" t="s">
        <v>63</v>
      </c>
      <c r="G513" t="str">
        <f>"2026-03-10 03:50:52.258"</f>
        <v>2026-03-10 03:50:52.258</v>
      </c>
      <c r="H513" t="s">
        <v>64</v>
      </c>
      <c r="I513">
        <v>7.77</v>
      </c>
      <c r="J513" t="s">
        <v>39</v>
      </c>
    </row>
    <row r="514" spans="1:10" x14ac:dyDescent="0.25">
      <c r="A514" s="1">
        <v>29</v>
      </c>
      <c r="B514" t="s">
        <v>22</v>
      </c>
      <c r="C514">
        <v>104</v>
      </c>
      <c r="D514">
        <v>1</v>
      </c>
      <c r="E514" t="s">
        <v>61</v>
      </c>
      <c r="F514" t="s">
        <v>58</v>
      </c>
      <c r="G514" t="str">
        <f>"2026-03-10 03:50:52.214"</f>
        <v>2026-03-10 03:50:52.214</v>
      </c>
      <c r="H514" t="s">
        <v>60</v>
      </c>
      <c r="I514">
        <v>7.78</v>
      </c>
      <c r="J514" t="s">
        <v>39</v>
      </c>
    </row>
    <row r="515" spans="1:10" x14ac:dyDescent="0.25">
      <c r="A515" s="1">
        <v>30</v>
      </c>
      <c r="B515" t="s">
        <v>19</v>
      </c>
      <c r="C515">
        <v>706</v>
      </c>
      <c r="D515">
        <v>4</v>
      </c>
      <c r="E515" t="s">
        <v>27</v>
      </c>
      <c r="F515" t="s">
        <v>28</v>
      </c>
      <c r="G515" t="str">
        <f>"2026-03-10 03:50:52.106"</f>
        <v>2026-03-10 03:50:52.106</v>
      </c>
      <c r="H515" t="s">
        <v>21</v>
      </c>
      <c r="I515">
        <v>7.79</v>
      </c>
      <c r="J515" t="s">
        <v>39</v>
      </c>
    </row>
    <row r="516" spans="1:10" x14ac:dyDescent="0.25">
      <c r="A516" s="1">
        <v>33</v>
      </c>
      <c r="B516" t="s">
        <v>19</v>
      </c>
      <c r="C516">
        <v>782</v>
      </c>
      <c r="D516">
        <v>7</v>
      </c>
      <c r="E516" t="s">
        <v>43</v>
      </c>
      <c r="F516" t="s">
        <v>44</v>
      </c>
      <c r="G516" t="str">
        <f>"2026-03-10 01:36:02.818"</f>
        <v>2026-03-10 01:36:02.818</v>
      </c>
      <c r="H516" t="s">
        <v>21</v>
      </c>
      <c r="I516">
        <v>0</v>
      </c>
      <c r="J516" t="s">
        <v>36</v>
      </c>
    </row>
    <row r="517" spans="1:10" x14ac:dyDescent="0.25">
      <c r="A517" s="1">
        <v>36</v>
      </c>
      <c r="B517" t="s">
        <v>31</v>
      </c>
      <c r="C517">
        <v>79</v>
      </c>
      <c r="D517">
        <v>9</v>
      </c>
      <c r="E517" t="s">
        <v>45</v>
      </c>
      <c r="F517" t="s">
        <v>46</v>
      </c>
      <c r="G517" t="str">
        <f>"2026-03-10 01:36:02.812"</f>
        <v>2026-03-10 01:36:02.812</v>
      </c>
      <c r="H517" t="s">
        <v>47</v>
      </c>
    </row>
    <row r="518" spans="1:10" x14ac:dyDescent="0.25">
      <c r="A518" s="1">
        <v>37</v>
      </c>
      <c r="B518" t="s">
        <v>19</v>
      </c>
      <c r="C518">
        <v>782</v>
      </c>
      <c r="D518">
        <v>7</v>
      </c>
      <c r="E518" t="s">
        <v>43</v>
      </c>
      <c r="F518" t="s">
        <v>44</v>
      </c>
      <c r="G518" t="str">
        <f>"2026-03-10 01:36:02.811"</f>
        <v>2026-03-10 01:36:02.811</v>
      </c>
      <c r="H518" t="s">
        <v>21</v>
      </c>
      <c r="I518">
        <v>0</v>
      </c>
      <c r="J518" t="s">
        <v>36</v>
      </c>
    </row>
    <row r="519" spans="1:10" x14ac:dyDescent="0.25">
      <c r="A519" s="1">
        <v>38</v>
      </c>
      <c r="B519" t="s">
        <v>31</v>
      </c>
      <c r="C519">
        <v>14</v>
      </c>
      <c r="D519">
        <v>13</v>
      </c>
      <c r="E519" t="s">
        <v>48</v>
      </c>
      <c r="F519" t="s">
        <v>65</v>
      </c>
      <c r="G519" t="str">
        <f>"2026-03-10 01:34:31.113"</f>
        <v>2026-03-10 01:34:31.113</v>
      </c>
      <c r="H519" t="s">
        <v>25</v>
      </c>
    </row>
    <row r="520" spans="1:10" x14ac:dyDescent="0.25">
      <c r="A520" s="1">
        <v>39</v>
      </c>
      <c r="B520" t="s">
        <v>31</v>
      </c>
      <c r="C520">
        <v>14</v>
      </c>
      <c r="D520">
        <v>10</v>
      </c>
      <c r="E520" t="s">
        <v>48</v>
      </c>
      <c r="F520" t="s">
        <v>49</v>
      </c>
      <c r="G520" t="str">
        <f>"2026-03-10 01:34:31.111"</f>
        <v>2026-03-10 01:34:31.111</v>
      </c>
      <c r="H520" t="s">
        <v>25</v>
      </c>
    </row>
    <row r="521" spans="1:10" x14ac:dyDescent="0.25">
      <c r="A521" s="1">
        <v>40</v>
      </c>
      <c r="B521" t="s">
        <v>50</v>
      </c>
      <c r="C521">
        <v>205</v>
      </c>
      <c r="D521">
        <v>3</v>
      </c>
      <c r="E521" t="s">
        <v>51</v>
      </c>
      <c r="F521" t="s">
        <v>52</v>
      </c>
      <c r="G521" t="str">
        <f>"2026-03-10 01:34:14.058"</f>
        <v>2026-03-10 01:34:14.058</v>
      </c>
      <c r="H521" t="s">
        <v>53</v>
      </c>
    </row>
    <row r="522" spans="1:10" x14ac:dyDescent="0.25">
      <c r="A522" s="1">
        <v>41</v>
      </c>
      <c r="B522" t="s">
        <v>22</v>
      </c>
      <c r="C522">
        <v>205</v>
      </c>
      <c r="D522">
        <v>3</v>
      </c>
      <c r="E522" t="s">
        <v>51</v>
      </c>
      <c r="F522" t="s">
        <v>52</v>
      </c>
      <c r="G522" t="str">
        <f>"2026-03-10 01:34:13.294"</f>
        <v>2026-03-10 01:34:13.294</v>
      </c>
      <c r="H522" t="s">
        <v>53</v>
      </c>
      <c r="I522">
        <v>0.74</v>
      </c>
      <c r="J522" t="s">
        <v>36</v>
      </c>
    </row>
    <row r="523" spans="1:10" x14ac:dyDescent="0.25">
      <c r="A523" s="1">
        <v>42</v>
      </c>
      <c r="B523" t="s">
        <v>50</v>
      </c>
      <c r="C523">
        <v>205</v>
      </c>
      <c r="D523">
        <v>3</v>
      </c>
      <c r="E523" t="s">
        <v>51</v>
      </c>
      <c r="F523" t="s">
        <v>52</v>
      </c>
      <c r="G523" t="str">
        <f>"2026-03-10 01:34:13.133"</f>
        <v>2026-03-10 01:34:13.133</v>
      </c>
      <c r="H523" t="s">
        <v>53</v>
      </c>
    </row>
    <row r="524" spans="1:10" x14ac:dyDescent="0.25">
      <c r="A524" s="1">
        <v>43</v>
      </c>
      <c r="B524" t="s">
        <v>50</v>
      </c>
      <c r="C524">
        <v>204</v>
      </c>
      <c r="D524">
        <v>8</v>
      </c>
      <c r="E524" t="s">
        <v>54</v>
      </c>
      <c r="F524" t="s">
        <v>55</v>
      </c>
      <c r="G524" t="str">
        <f>"2026-03-10 01:34:13.131"</f>
        <v>2026-03-10 01:34:13.131</v>
      </c>
      <c r="H524" t="s">
        <v>53</v>
      </c>
    </row>
    <row r="525" spans="1:10" x14ac:dyDescent="0.25">
      <c r="A525" s="1">
        <v>44</v>
      </c>
      <c r="B525" t="s">
        <v>50</v>
      </c>
      <c r="C525">
        <v>204</v>
      </c>
      <c r="D525">
        <v>6</v>
      </c>
      <c r="E525" t="s">
        <v>54</v>
      </c>
      <c r="F525" t="s">
        <v>56</v>
      </c>
      <c r="G525" t="str">
        <f>"2026-03-10 01:34:13.129"</f>
        <v>2026-03-10 01:34:13.129</v>
      </c>
      <c r="H525" t="s">
        <v>53</v>
      </c>
    </row>
    <row r="526" spans="1:10" x14ac:dyDescent="0.25">
      <c r="A526" s="1">
        <v>45</v>
      </c>
      <c r="B526" t="s">
        <v>50</v>
      </c>
      <c r="C526">
        <v>204</v>
      </c>
      <c r="D526">
        <v>5</v>
      </c>
      <c r="E526" t="s">
        <v>54</v>
      </c>
      <c r="F526" t="s">
        <v>57</v>
      </c>
      <c r="G526" t="str">
        <f>"2026-03-10 01:34:13.128"</f>
        <v>2026-03-10 01:34:13.128</v>
      </c>
      <c r="H526" t="s">
        <v>53</v>
      </c>
    </row>
    <row r="527" spans="1:10" x14ac:dyDescent="0.25">
      <c r="A527" s="1">
        <v>46</v>
      </c>
      <c r="B527" t="s">
        <v>50</v>
      </c>
      <c r="C527">
        <v>204</v>
      </c>
      <c r="D527">
        <v>1</v>
      </c>
      <c r="E527" t="s">
        <v>54</v>
      </c>
      <c r="F527" t="s">
        <v>58</v>
      </c>
      <c r="G527" t="str">
        <f>"2026-03-10 01:34:13.125"</f>
        <v>2026-03-10 01:34:13.125</v>
      </c>
      <c r="H527" t="s">
        <v>53</v>
      </c>
    </row>
    <row r="528" spans="1:10" x14ac:dyDescent="0.25">
      <c r="A528" s="1">
        <v>47</v>
      </c>
      <c r="B528" t="s">
        <v>50</v>
      </c>
      <c r="C528">
        <v>105</v>
      </c>
      <c r="D528">
        <v>3</v>
      </c>
      <c r="E528" t="s">
        <v>59</v>
      </c>
      <c r="F528" t="s">
        <v>52</v>
      </c>
      <c r="G528" t="str">
        <f>"2026-03-10 01:34:13.123"</f>
        <v>2026-03-10 01:34:13.123</v>
      </c>
      <c r="H528" t="s">
        <v>60</v>
      </c>
    </row>
    <row r="529" spans="1:10" x14ac:dyDescent="0.25">
      <c r="A529" s="1">
        <v>48</v>
      </c>
      <c r="B529" t="s">
        <v>50</v>
      </c>
      <c r="C529">
        <v>104</v>
      </c>
      <c r="D529">
        <v>8</v>
      </c>
      <c r="E529" t="s">
        <v>61</v>
      </c>
      <c r="F529" t="s">
        <v>55</v>
      </c>
      <c r="G529" t="str">
        <f>"2026-03-10 01:34:13.121"</f>
        <v>2026-03-10 01:34:13.121</v>
      </c>
      <c r="H529" t="s">
        <v>60</v>
      </c>
    </row>
    <row r="530" spans="1:10" x14ac:dyDescent="0.25">
      <c r="A530" s="1">
        <v>49</v>
      </c>
      <c r="B530" t="s">
        <v>50</v>
      </c>
      <c r="C530">
        <v>104</v>
      </c>
      <c r="D530">
        <v>6</v>
      </c>
      <c r="E530" t="s">
        <v>61</v>
      </c>
      <c r="F530" t="s">
        <v>56</v>
      </c>
      <c r="G530" t="str">
        <f>"2026-03-10 01:34:13.119"</f>
        <v>2026-03-10 01:34:13.119</v>
      </c>
      <c r="H530" t="s">
        <v>60</v>
      </c>
    </row>
    <row r="531" spans="1:10" x14ac:dyDescent="0.25">
      <c r="A531" s="1">
        <v>50</v>
      </c>
      <c r="B531" t="s">
        <v>50</v>
      </c>
      <c r="C531">
        <v>104</v>
      </c>
      <c r="D531">
        <v>5</v>
      </c>
      <c r="E531" t="s">
        <v>61</v>
      </c>
      <c r="F531" t="s">
        <v>57</v>
      </c>
      <c r="G531" t="str">
        <f>"2026-03-10 01:34:13.116"</f>
        <v>2026-03-10 01:34:13.116</v>
      </c>
      <c r="H531" t="s">
        <v>60</v>
      </c>
    </row>
    <row r="532" spans="1:10" x14ac:dyDescent="0.25">
      <c r="A532" s="1">
        <v>51</v>
      </c>
      <c r="B532" t="s">
        <v>50</v>
      </c>
      <c r="C532">
        <v>104</v>
      </c>
      <c r="D532">
        <v>1</v>
      </c>
      <c r="E532" t="s">
        <v>61</v>
      </c>
      <c r="F532" t="s">
        <v>58</v>
      </c>
      <c r="G532" t="str">
        <f>"2026-03-10 01:34:13.113"</f>
        <v>2026-03-10 01:34:13.113</v>
      </c>
      <c r="H532" t="s">
        <v>60</v>
      </c>
    </row>
    <row r="533" spans="1:10" x14ac:dyDescent="0.25">
      <c r="A533" s="1">
        <v>52</v>
      </c>
      <c r="B533" t="s">
        <v>50</v>
      </c>
      <c r="C533">
        <v>23</v>
      </c>
      <c r="D533">
        <v>1</v>
      </c>
      <c r="E533" t="s">
        <v>62</v>
      </c>
      <c r="F533" t="s">
        <v>63</v>
      </c>
      <c r="G533" t="str">
        <f>"2026-03-10 01:34:13.111"</f>
        <v>2026-03-10 01:34:13.111</v>
      </c>
      <c r="H533" t="s">
        <v>64</v>
      </c>
    </row>
    <row r="534" spans="1:10" x14ac:dyDescent="0.25">
      <c r="A534" s="1">
        <v>53</v>
      </c>
      <c r="B534" t="s">
        <v>34</v>
      </c>
      <c r="C534">
        <v>14</v>
      </c>
      <c r="D534">
        <v>13</v>
      </c>
      <c r="E534" t="s">
        <v>48</v>
      </c>
      <c r="F534" t="s">
        <v>65</v>
      </c>
      <c r="G534" t="str">
        <f>"2026-03-10 01:34:11.111"</f>
        <v>2026-03-10 01:34:11.111</v>
      </c>
      <c r="H534" t="s">
        <v>25</v>
      </c>
      <c r="I534">
        <v>7.89</v>
      </c>
      <c r="J534" t="s">
        <v>36</v>
      </c>
    </row>
    <row r="535" spans="1:10" x14ac:dyDescent="0.25">
      <c r="A535" s="1">
        <v>54</v>
      </c>
      <c r="B535" t="s">
        <v>34</v>
      </c>
      <c r="C535">
        <v>79</v>
      </c>
      <c r="D535">
        <v>9</v>
      </c>
      <c r="E535" t="s">
        <v>45</v>
      </c>
      <c r="F535" t="s">
        <v>46</v>
      </c>
      <c r="G535" t="str">
        <f>"2026-03-10 01:34:10.158"</f>
        <v>2026-03-10 01:34:10.158</v>
      </c>
      <c r="H535" t="s">
        <v>47</v>
      </c>
      <c r="I535">
        <v>7.44</v>
      </c>
      <c r="J535" t="s">
        <v>36</v>
      </c>
    </row>
    <row r="536" spans="1:10" x14ac:dyDescent="0.25">
      <c r="A536" s="1">
        <v>55</v>
      </c>
      <c r="B536" t="s">
        <v>34</v>
      </c>
      <c r="C536">
        <v>14</v>
      </c>
      <c r="D536">
        <v>10</v>
      </c>
      <c r="E536" t="s">
        <v>48</v>
      </c>
      <c r="F536" t="s">
        <v>49</v>
      </c>
      <c r="G536" t="str">
        <f>"2026-03-10 01:34:10.058"</f>
        <v>2026-03-10 01:34:10.058</v>
      </c>
      <c r="H536" t="s">
        <v>25</v>
      </c>
      <c r="I536">
        <v>7.84</v>
      </c>
      <c r="J536" t="s">
        <v>36</v>
      </c>
    </row>
    <row r="537" spans="1:10" x14ac:dyDescent="0.25">
      <c r="A537" s="1">
        <v>56</v>
      </c>
      <c r="B537" t="s">
        <v>22</v>
      </c>
      <c r="C537">
        <v>205</v>
      </c>
      <c r="D537">
        <v>3</v>
      </c>
      <c r="E537" t="s">
        <v>51</v>
      </c>
      <c r="F537" t="s">
        <v>52</v>
      </c>
      <c r="G537" t="str">
        <f>"2026-03-10 01:34:09.869"</f>
        <v>2026-03-10 01:34:09.869</v>
      </c>
      <c r="H537" t="s">
        <v>53</v>
      </c>
      <c r="I537">
        <v>7.84</v>
      </c>
      <c r="J537" t="s">
        <v>36</v>
      </c>
    </row>
    <row r="538" spans="1:10" x14ac:dyDescent="0.25">
      <c r="A538" s="1">
        <v>57</v>
      </c>
      <c r="B538" t="s">
        <v>22</v>
      </c>
      <c r="C538">
        <v>204</v>
      </c>
      <c r="D538">
        <v>8</v>
      </c>
      <c r="E538" t="s">
        <v>54</v>
      </c>
      <c r="F538" t="s">
        <v>55</v>
      </c>
      <c r="G538" t="str">
        <f>"2026-03-10 01:34:09.863"</f>
        <v>2026-03-10 01:34:09.863</v>
      </c>
      <c r="H538" t="s">
        <v>53</v>
      </c>
      <c r="I538">
        <v>7.84</v>
      </c>
      <c r="J538" t="s">
        <v>36</v>
      </c>
    </row>
    <row r="539" spans="1:10" x14ac:dyDescent="0.25">
      <c r="A539" s="1">
        <v>58</v>
      </c>
      <c r="B539" t="s">
        <v>22</v>
      </c>
      <c r="C539">
        <v>204</v>
      </c>
      <c r="D539">
        <v>6</v>
      </c>
      <c r="E539" t="s">
        <v>54</v>
      </c>
      <c r="F539" t="s">
        <v>56</v>
      </c>
      <c r="G539" t="str">
        <f>"2026-03-10 01:34:09.859"</f>
        <v>2026-03-10 01:34:09.859</v>
      </c>
      <c r="H539" t="s">
        <v>53</v>
      </c>
      <c r="I539">
        <v>7.84</v>
      </c>
      <c r="J539" t="s">
        <v>36</v>
      </c>
    </row>
    <row r="540" spans="1:10" x14ac:dyDescent="0.25">
      <c r="A540" s="1">
        <v>59</v>
      </c>
      <c r="B540" t="s">
        <v>22</v>
      </c>
      <c r="C540">
        <v>204</v>
      </c>
      <c r="D540">
        <v>5</v>
      </c>
      <c r="E540" t="s">
        <v>54</v>
      </c>
      <c r="F540" t="s">
        <v>57</v>
      </c>
      <c r="G540" t="str">
        <f>"2026-03-10 01:34:09.854"</f>
        <v>2026-03-10 01:34:09.854</v>
      </c>
      <c r="H540" t="s">
        <v>53</v>
      </c>
      <c r="I540">
        <v>7.84</v>
      </c>
      <c r="J540" t="s">
        <v>36</v>
      </c>
    </row>
    <row r="541" spans="1:10" x14ac:dyDescent="0.25">
      <c r="A541" s="1">
        <v>60</v>
      </c>
      <c r="B541" t="s">
        <v>22</v>
      </c>
      <c r="C541">
        <v>105</v>
      </c>
      <c r="D541">
        <v>3</v>
      </c>
      <c r="E541" t="s">
        <v>59</v>
      </c>
      <c r="F541" t="s">
        <v>52</v>
      </c>
      <c r="G541" t="str">
        <f>"2026-03-10 01:34:09.754"</f>
        <v>2026-03-10 01:34:09.754</v>
      </c>
      <c r="H541" t="s">
        <v>60</v>
      </c>
      <c r="I541">
        <v>7.84</v>
      </c>
      <c r="J541" t="s">
        <v>36</v>
      </c>
    </row>
    <row r="542" spans="1:10" x14ac:dyDescent="0.25">
      <c r="A542" s="1">
        <v>61</v>
      </c>
      <c r="B542" t="s">
        <v>22</v>
      </c>
      <c r="C542">
        <v>104</v>
      </c>
      <c r="D542">
        <v>8</v>
      </c>
      <c r="E542" t="s">
        <v>61</v>
      </c>
      <c r="F542" t="s">
        <v>55</v>
      </c>
      <c r="G542" t="str">
        <f>"2026-03-10 01:34:09.523"</f>
        <v>2026-03-10 01:34:09.523</v>
      </c>
      <c r="H542" t="s">
        <v>60</v>
      </c>
      <c r="I542">
        <v>7.84</v>
      </c>
      <c r="J542" t="s">
        <v>39</v>
      </c>
    </row>
    <row r="543" spans="1:10" x14ac:dyDescent="0.25">
      <c r="A543" s="1">
        <v>62</v>
      </c>
      <c r="B543" t="s">
        <v>22</v>
      </c>
      <c r="C543">
        <v>104</v>
      </c>
      <c r="D543">
        <v>6</v>
      </c>
      <c r="E543" t="s">
        <v>61</v>
      </c>
      <c r="F543" t="s">
        <v>56</v>
      </c>
      <c r="G543" t="str">
        <f>"2026-03-10 01:34:09.519"</f>
        <v>2026-03-10 01:34:09.519</v>
      </c>
      <c r="H543" t="s">
        <v>60</v>
      </c>
      <c r="I543">
        <v>7.84</v>
      </c>
      <c r="J543" t="s">
        <v>39</v>
      </c>
    </row>
    <row r="544" spans="1:10" x14ac:dyDescent="0.25">
      <c r="A544" s="1">
        <v>63</v>
      </c>
      <c r="B544" t="s">
        <v>22</v>
      </c>
      <c r="C544">
        <v>104</v>
      </c>
      <c r="D544">
        <v>5</v>
      </c>
      <c r="E544" t="s">
        <v>61</v>
      </c>
      <c r="F544" t="s">
        <v>57</v>
      </c>
      <c r="G544" t="str">
        <f>"2026-03-10 01:34:09.514"</f>
        <v>2026-03-10 01:34:09.514</v>
      </c>
      <c r="H544" t="s">
        <v>60</v>
      </c>
      <c r="I544">
        <v>7.84</v>
      </c>
      <c r="J544" t="s">
        <v>39</v>
      </c>
    </row>
    <row r="545" spans="1:10" x14ac:dyDescent="0.25">
      <c r="A545" s="1">
        <v>64</v>
      </c>
      <c r="B545" t="s">
        <v>22</v>
      </c>
      <c r="C545">
        <v>23</v>
      </c>
      <c r="D545">
        <v>1</v>
      </c>
      <c r="E545" t="s">
        <v>62</v>
      </c>
      <c r="F545" t="s">
        <v>63</v>
      </c>
      <c r="G545" t="str">
        <f>"2026-03-10 01:34:09.291"</f>
        <v>2026-03-10 01:34:09.291</v>
      </c>
      <c r="H545" t="s">
        <v>64</v>
      </c>
      <c r="I545">
        <v>7.83</v>
      </c>
      <c r="J545" t="s">
        <v>39</v>
      </c>
    </row>
    <row r="546" spans="1:10" x14ac:dyDescent="0.25">
      <c r="A546" s="1">
        <v>65</v>
      </c>
      <c r="B546" t="s">
        <v>22</v>
      </c>
      <c r="C546">
        <v>204</v>
      </c>
      <c r="D546">
        <v>1</v>
      </c>
      <c r="E546" t="s">
        <v>54</v>
      </c>
      <c r="F546" t="s">
        <v>58</v>
      </c>
      <c r="G546" t="str">
        <f>"2026-03-10 01:34:09.234"</f>
        <v>2026-03-10 01:34:09.234</v>
      </c>
      <c r="H546" t="s">
        <v>53</v>
      </c>
      <c r="I546">
        <v>7.83</v>
      </c>
      <c r="J546" t="s">
        <v>39</v>
      </c>
    </row>
    <row r="547" spans="1:10" x14ac:dyDescent="0.25">
      <c r="A547" s="1">
        <v>66</v>
      </c>
      <c r="B547" t="s">
        <v>22</v>
      </c>
      <c r="C547">
        <v>104</v>
      </c>
      <c r="D547">
        <v>1</v>
      </c>
      <c r="E547" t="s">
        <v>61</v>
      </c>
      <c r="F547" t="s">
        <v>58</v>
      </c>
      <c r="G547" t="str">
        <f>"2026-03-10 01:34:09.214"</f>
        <v>2026-03-10 01:34:09.214</v>
      </c>
      <c r="H547" t="s">
        <v>60</v>
      </c>
      <c r="I547">
        <v>7.83</v>
      </c>
      <c r="J547" t="s">
        <v>39</v>
      </c>
    </row>
    <row r="548" spans="1:10" x14ac:dyDescent="0.25">
      <c r="A548" s="1">
        <v>67</v>
      </c>
      <c r="B548" t="s">
        <v>19</v>
      </c>
      <c r="C548">
        <v>706</v>
      </c>
      <c r="D548">
        <v>4</v>
      </c>
      <c r="E548" t="s">
        <v>27</v>
      </c>
      <c r="F548" t="s">
        <v>28</v>
      </c>
      <c r="G548" t="str">
        <f>"2026-03-10 01:34:09.096"</f>
        <v>2026-03-10 01:34:09.096</v>
      </c>
      <c r="H548" t="s">
        <v>21</v>
      </c>
      <c r="I548">
        <v>7.82</v>
      </c>
      <c r="J548" t="s">
        <v>39</v>
      </c>
    </row>
    <row r="549" spans="1:10" x14ac:dyDescent="0.25">
      <c r="A549" s="1">
        <v>68</v>
      </c>
      <c r="B549" t="s">
        <v>31</v>
      </c>
      <c r="C549">
        <v>635</v>
      </c>
      <c r="D549">
        <v>1</v>
      </c>
      <c r="E549" t="s">
        <v>37</v>
      </c>
      <c r="F549" t="s">
        <v>38</v>
      </c>
      <c r="G549" t="str">
        <f>"2026-03-09 20:14:06.191"</f>
        <v>2026-03-09 20:14:06.191</v>
      </c>
      <c r="H549" t="s">
        <v>21</v>
      </c>
    </row>
    <row r="550" spans="1:10" x14ac:dyDescent="0.25">
      <c r="A550" s="1">
        <v>69</v>
      </c>
      <c r="B550" t="s">
        <v>34</v>
      </c>
      <c r="C550">
        <v>635</v>
      </c>
      <c r="D550">
        <v>1</v>
      </c>
      <c r="E550" t="s">
        <v>37</v>
      </c>
      <c r="F550" t="s">
        <v>38</v>
      </c>
      <c r="G550" t="str">
        <f>"2026-03-09 20:11:21.138"</f>
        <v>2026-03-09 20:11:21.138</v>
      </c>
      <c r="H550" t="s">
        <v>21</v>
      </c>
      <c r="I550">
        <v>5.33</v>
      </c>
      <c r="J550" t="s">
        <v>39</v>
      </c>
    </row>
    <row r="551" spans="1:10" s="3" customFormat="1" x14ac:dyDescent="0.25">
      <c r="A551" s="2">
        <v>70</v>
      </c>
      <c r="B551" s="3" t="s">
        <v>31</v>
      </c>
      <c r="C551" s="3">
        <v>647</v>
      </c>
      <c r="D551" s="3">
        <v>1</v>
      </c>
      <c r="E551" s="3" t="s">
        <v>32</v>
      </c>
      <c r="F551" s="3" t="s">
        <v>33</v>
      </c>
      <c r="G551" s="3" t="str">
        <f>"2026-03-09 05:27:30.192"</f>
        <v>2026-03-09 05:27:30.192</v>
      </c>
      <c r="H551" s="3" t="s">
        <v>21</v>
      </c>
    </row>
    <row r="552" spans="1:10" s="3" customFormat="1" x14ac:dyDescent="0.25">
      <c r="A552" s="2">
        <v>71</v>
      </c>
      <c r="B552" s="3" t="s">
        <v>34</v>
      </c>
      <c r="C552" s="3">
        <v>647</v>
      </c>
      <c r="D552" s="3">
        <v>1</v>
      </c>
      <c r="E552" s="3" t="s">
        <v>32</v>
      </c>
      <c r="F552" s="3" t="s">
        <v>33</v>
      </c>
      <c r="G552" s="3" t="str">
        <f>"2026-03-09 05:27:28.292"</f>
        <v>2026-03-09 05:27:28.292</v>
      </c>
      <c r="H552" s="3" t="s">
        <v>21</v>
      </c>
      <c r="I552" s="3">
        <v>11.11</v>
      </c>
      <c r="J552" s="3" t="s">
        <v>36</v>
      </c>
    </row>
    <row r="553" spans="1:10" x14ac:dyDescent="0.25">
      <c r="A553" s="1">
        <v>72</v>
      </c>
      <c r="B553" t="s">
        <v>31</v>
      </c>
      <c r="C553">
        <v>635</v>
      </c>
      <c r="D553">
        <v>1</v>
      </c>
      <c r="E553" t="s">
        <v>37</v>
      </c>
      <c r="F553" t="s">
        <v>38</v>
      </c>
      <c r="G553" t="str">
        <f>"2026-03-07 21:01:36.538"</f>
        <v>2026-03-07 21:01:36.538</v>
      </c>
      <c r="H553" t="s">
        <v>21</v>
      </c>
    </row>
    <row r="554" spans="1:10" x14ac:dyDescent="0.25">
      <c r="A554" s="1">
        <v>73</v>
      </c>
      <c r="B554" t="s">
        <v>34</v>
      </c>
      <c r="C554">
        <v>635</v>
      </c>
      <c r="D554">
        <v>1</v>
      </c>
      <c r="E554" t="s">
        <v>37</v>
      </c>
      <c r="F554" t="s">
        <v>38</v>
      </c>
      <c r="G554" t="str">
        <f>"2026-03-07 20:59:07.038"</f>
        <v>2026-03-07 20:59:07.038</v>
      </c>
      <c r="H554" t="s">
        <v>21</v>
      </c>
      <c r="I554">
        <v>2.77</v>
      </c>
      <c r="J554" t="s">
        <v>39</v>
      </c>
    </row>
    <row r="555" spans="1:10" s="3" customFormat="1" x14ac:dyDescent="0.25">
      <c r="A555" s="2">
        <v>74</v>
      </c>
      <c r="B555" s="3" t="s">
        <v>31</v>
      </c>
      <c r="C555" s="3">
        <v>647</v>
      </c>
      <c r="D555" s="3">
        <v>1</v>
      </c>
      <c r="E555" s="3" t="s">
        <v>32</v>
      </c>
      <c r="F555" s="3" t="s">
        <v>33</v>
      </c>
      <c r="G555" s="3" t="str">
        <f>"2026-03-07 16:56:32.492"</f>
        <v>2026-03-07 16:56:32.492</v>
      </c>
      <c r="H555" s="3" t="s">
        <v>21</v>
      </c>
    </row>
    <row r="556" spans="1:10" s="3" customFormat="1" x14ac:dyDescent="0.25">
      <c r="A556" s="2">
        <v>75</v>
      </c>
      <c r="B556" s="3" t="s">
        <v>34</v>
      </c>
      <c r="C556" s="3">
        <v>647</v>
      </c>
      <c r="D556" s="3">
        <v>1</v>
      </c>
      <c r="E556" s="3" t="s">
        <v>32</v>
      </c>
      <c r="F556" s="3" t="s">
        <v>33</v>
      </c>
      <c r="G556" s="3" t="str">
        <f>"2026-03-07 16:56:31.192"</f>
        <v>2026-03-07 16:56:31.192</v>
      </c>
      <c r="H556" s="3" t="s">
        <v>21</v>
      </c>
      <c r="I556" s="3">
        <v>12.14</v>
      </c>
      <c r="J556" s="3" t="s">
        <v>36</v>
      </c>
    </row>
    <row r="557" spans="1:10" x14ac:dyDescent="0.25">
      <c r="A557" s="1">
        <v>76</v>
      </c>
      <c r="B557" t="s">
        <v>19</v>
      </c>
      <c r="C557">
        <v>706</v>
      </c>
      <c r="D557">
        <v>4</v>
      </c>
      <c r="E557" t="s">
        <v>27</v>
      </c>
      <c r="F557" t="s">
        <v>28</v>
      </c>
      <c r="G557" t="str">
        <f>"2026-03-07 08:46:21.256"</f>
        <v>2026-03-07 08:46:21.256</v>
      </c>
      <c r="H557" t="s">
        <v>21</v>
      </c>
      <c r="I557">
        <v>0</v>
      </c>
      <c r="J557" t="s">
        <v>26</v>
      </c>
    </row>
    <row r="558" spans="1:10" x14ac:dyDescent="0.25">
      <c r="A558" s="1">
        <v>77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"2026-03-07 08:46:06.676"</f>
        <v>2026-03-07 08:46:06.676</v>
      </c>
      <c r="H558" t="s">
        <v>21</v>
      </c>
    </row>
    <row r="559" spans="1:10" x14ac:dyDescent="0.25">
      <c r="A559" s="1">
        <v>78</v>
      </c>
      <c r="B559" t="s">
        <v>31</v>
      </c>
      <c r="C559">
        <v>635</v>
      </c>
      <c r="D559">
        <v>1</v>
      </c>
      <c r="E559" t="s">
        <v>37</v>
      </c>
      <c r="F559" t="s">
        <v>38</v>
      </c>
      <c r="G559" t="str">
        <f>"2026-03-07 08:02:36.699"</f>
        <v>2026-03-07 08:02:36.699</v>
      </c>
      <c r="H559" t="s">
        <v>21</v>
      </c>
    </row>
    <row r="560" spans="1:10" x14ac:dyDescent="0.25">
      <c r="A560" s="1">
        <v>79</v>
      </c>
      <c r="B560" t="s">
        <v>34</v>
      </c>
      <c r="C560">
        <v>635</v>
      </c>
      <c r="D560">
        <v>1</v>
      </c>
      <c r="E560" t="s">
        <v>37</v>
      </c>
      <c r="F560" t="s">
        <v>38</v>
      </c>
      <c r="G560" t="str">
        <f>"2026-03-07 07:56:40.699"</f>
        <v>2026-03-07 07:56:40.699</v>
      </c>
      <c r="H560" t="s">
        <v>21</v>
      </c>
      <c r="I560">
        <v>3.51</v>
      </c>
      <c r="J560" t="s">
        <v>39</v>
      </c>
    </row>
    <row r="561" spans="1:10" x14ac:dyDescent="0.25">
      <c r="A561" s="1">
        <v>80</v>
      </c>
      <c r="B561" t="s">
        <v>31</v>
      </c>
      <c r="C561">
        <v>630</v>
      </c>
      <c r="D561">
        <v>5</v>
      </c>
      <c r="E561" t="s">
        <v>23</v>
      </c>
      <c r="F561" t="s">
        <v>24</v>
      </c>
      <c r="G561" t="str">
        <f>"2026-03-07 04:54:06.847"</f>
        <v>2026-03-07 04:54:06.847</v>
      </c>
      <c r="H561" t="s">
        <v>25</v>
      </c>
    </row>
    <row r="562" spans="1:10" x14ac:dyDescent="0.25">
      <c r="A562" s="1">
        <v>81</v>
      </c>
      <c r="B562" t="s">
        <v>19</v>
      </c>
      <c r="C562">
        <v>706</v>
      </c>
      <c r="D562">
        <v>4</v>
      </c>
      <c r="E562" t="s">
        <v>27</v>
      </c>
      <c r="F562" t="s">
        <v>28</v>
      </c>
      <c r="G562" t="str">
        <f>"2026-03-07 04:53:36.740"</f>
        <v>2026-03-07 04:53:36.740</v>
      </c>
      <c r="H562" t="s">
        <v>21</v>
      </c>
      <c r="I562">
        <v>0</v>
      </c>
      <c r="J562" t="s">
        <v>26</v>
      </c>
    </row>
    <row r="563" spans="1:10" x14ac:dyDescent="0.25">
      <c r="A563" s="1">
        <v>82</v>
      </c>
      <c r="B563" t="s">
        <v>22</v>
      </c>
      <c r="C563">
        <v>630</v>
      </c>
      <c r="D563">
        <v>5</v>
      </c>
      <c r="E563" t="s">
        <v>23</v>
      </c>
      <c r="F563" t="s">
        <v>24</v>
      </c>
      <c r="G563" t="str">
        <f>"2026-03-07 04:42:35.047"</f>
        <v>2026-03-07 04:42:35.047</v>
      </c>
      <c r="H563" t="s">
        <v>25</v>
      </c>
      <c r="I563">
        <v>0</v>
      </c>
      <c r="J563" t="s">
        <v>26</v>
      </c>
    </row>
    <row r="564" spans="1:10" x14ac:dyDescent="0.25">
      <c r="A564" s="1">
        <v>83</v>
      </c>
      <c r="B564" t="s">
        <v>31</v>
      </c>
      <c r="C564">
        <v>635</v>
      </c>
      <c r="D564">
        <v>1</v>
      </c>
      <c r="E564" t="s">
        <v>37</v>
      </c>
      <c r="F564" t="s">
        <v>38</v>
      </c>
      <c r="G564" t="str">
        <f>"2026-03-07 03:08:06.699"</f>
        <v>2026-03-07 03:08:06.699</v>
      </c>
      <c r="H564" t="s">
        <v>21</v>
      </c>
    </row>
    <row r="565" spans="1:10" x14ac:dyDescent="0.25">
      <c r="A565" s="1">
        <v>84</v>
      </c>
      <c r="B565" t="s">
        <v>34</v>
      </c>
      <c r="C565">
        <v>635</v>
      </c>
      <c r="D565">
        <v>1</v>
      </c>
      <c r="E565" t="s">
        <v>37</v>
      </c>
      <c r="F565" t="s">
        <v>38</v>
      </c>
      <c r="G565" t="str">
        <f>"2026-03-07 03:03:19.299"</f>
        <v>2026-03-07 03:03:19.299</v>
      </c>
      <c r="H565" t="s">
        <v>21</v>
      </c>
      <c r="I565">
        <v>6.67</v>
      </c>
      <c r="J565" t="s">
        <v>39</v>
      </c>
    </row>
    <row r="566" spans="1:10" x14ac:dyDescent="0.25">
      <c r="A566" s="1">
        <v>85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"2026-03-06 20:58:52.850"</f>
        <v>2026-03-06 20:58:52.850</v>
      </c>
      <c r="H566" t="s">
        <v>21</v>
      </c>
      <c r="I566">
        <v>0</v>
      </c>
      <c r="J566" t="s">
        <v>30</v>
      </c>
    </row>
    <row r="567" spans="1:10" x14ac:dyDescent="0.25">
      <c r="A567" s="1">
        <v>86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"2026-03-06 15:11:28.632"</f>
        <v>2026-03-06 15:11:28.632</v>
      </c>
      <c r="H567" t="s">
        <v>21</v>
      </c>
    </row>
    <row r="568" spans="1:10" x14ac:dyDescent="0.25">
      <c r="A568" s="1">
        <v>87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"2026-03-06 14:57:59.883"</f>
        <v>2026-03-06 14:57:59.883</v>
      </c>
      <c r="H568" t="s">
        <v>21</v>
      </c>
    </row>
    <row r="569" spans="1:10" s="3" customFormat="1" x14ac:dyDescent="0.25">
      <c r="A569" s="2">
        <v>88</v>
      </c>
      <c r="B569" s="3" t="s">
        <v>31</v>
      </c>
      <c r="C569" s="3">
        <v>647</v>
      </c>
      <c r="D569" s="3">
        <v>1</v>
      </c>
      <c r="E569" s="3" t="s">
        <v>32</v>
      </c>
      <c r="F569" s="3" t="s">
        <v>33</v>
      </c>
      <c r="G569" s="3" t="str">
        <f>"2026-03-06 13:05:19.134"</f>
        <v>2026-03-06 13:05:19.134</v>
      </c>
      <c r="H569" s="3" t="s">
        <v>21</v>
      </c>
    </row>
    <row r="570" spans="1:10" s="3" customFormat="1" x14ac:dyDescent="0.25">
      <c r="A570" s="2">
        <v>89</v>
      </c>
      <c r="B570" s="3" t="s">
        <v>34</v>
      </c>
      <c r="C570" s="3">
        <v>647</v>
      </c>
      <c r="D570" s="3">
        <v>1</v>
      </c>
      <c r="E570" s="3" t="s">
        <v>32</v>
      </c>
      <c r="F570" s="3" t="s">
        <v>33</v>
      </c>
      <c r="G570" s="3" t="str">
        <f>"2026-03-06 13:05:10.534"</f>
        <v>2026-03-06 13:05:10.534</v>
      </c>
      <c r="H570" s="3" t="s">
        <v>21</v>
      </c>
      <c r="I570" s="3">
        <v>12.01</v>
      </c>
      <c r="J570" s="3" t="s">
        <v>35</v>
      </c>
    </row>
    <row r="571" spans="1:10" x14ac:dyDescent="0.25">
      <c r="A571" s="1">
        <v>90</v>
      </c>
      <c r="B571" t="s">
        <v>31</v>
      </c>
      <c r="C571">
        <v>635</v>
      </c>
      <c r="D571">
        <v>1</v>
      </c>
      <c r="E571" t="s">
        <v>37</v>
      </c>
      <c r="F571" t="s">
        <v>38</v>
      </c>
      <c r="G571" t="str">
        <f>"2026-03-06 11:46:00.333"</f>
        <v>2026-03-06 11:46:00.333</v>
      </c>
      <c r="H571" t="s">
        <v>21</v>
      </c>
    </row>
    <row r="572" spans="1:10" x14ac:dyDescent="0.25">
      <c r="A572" s="1">
        <v>91</v>
      </c>
      <c r="B572" t="s">
        <v>34</v>
      </c>
      <c r="C572">
        <v>635</v>
      </c>
      <c r="D572">
        <v>1</v>
      </c>
      <c r="E572" t="s">
        <v>37</v>
      </c>
      <c r="F572" t="s">
        <v>38</v>
      </c>
      <c r="G572" t="str">
        <f>"2026-03-06 11:40:54.933"</f>
        <v>2026-03-06 11:40:54.933</v>
      </c>
      <c r="H572" t="s">
        <v>21</v>
      </c>
      <c r="I572">
        <v>6.34</v>
      </c>
      <c r="J572" t="s">
        <v>39</v>
      </c>
    </row>
    <row r="573" spans="1:10" x14ac:dyDescent="0.25">
      <c r="A573" s="1">
        <v>92</v>
      </c>
      <c r="B573" t="s">
        <v>19</v>
      </c>
      <c r="C573">
        <v>706</v>
      </c>
      <c r="D573">
        <v>4</v>
      </c>
      <c r="E573" t="s">
        <v>27</v>
      </c>
      <c r="F573" t="s">
        <v>28</v>
      </c>
      <c r="G573" t="str">
        <f>"2026-03-05 08:36:00.055"</f>
        <v>2026-03-05 08:36:00.055</v>
      </c>
      <c r="H573" t="s">
        <v>21</v>
      </c>
      <c r="I573">
        <v>0</v>
      </c>
      <c r="J573" t="s">
        <v>26</v>
      </c>
    </row>
    <row r="574" spans="1:10" x14ac:dyDescent="0.25">
      <c r="A574" s="1">
        <v>93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"2026-03-05 08:34:59.725"</f>
        <v>2026-03-05 08:34:59.725</v>
      </c>
      <c r="H574" t="s">
        <v>21</v>
      </c>
      <c r="I574">
        <v>0</v>
      </c>
      <c r="J574" t="s">
        <v>30</v>
      </c>
    </row>
    <row r="575" spans="1:10" x14ac:dyDescent="0.25">
      <c r="A575" s="1">
        <v>94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"2026-03-04 10:39:53.822"</f>
        <v>2026-03-04 10:39:53.822</v>
      </c>
      <c r="H575" t="s">
        <v>21</v>
      </c>
      <c r="I575">
        <v>0</v>
      </c>
      <c r="J575" t="s">
        <v>30</v>
      </c>
    </row>
    <row r="576" spans="1:10" x14ac:dyDescent="0.25">
      <c r="A576" s="1">
        <v>95</v>
      </c>
      <c r="B576" t="s">
        <v>31</v>
      </c>
      <c r="C576">
        <v>635</v>
      </c>
      <c r="D576">
        <v>1</v>
      </c>
      <c r="E576" t="s">
        <v>37</v>
      </c>
      <c r="F576" t="s">
        <v>38</v>
      </c>
      <c r="G576" t="str">
        <f>"2026-03-04 05:04:22.451"</f>
        <v>2026-03-04 05:04:22.451</v>
      </c>
      <c r="H576" t="s">
        <v>21</v>
      </c>
    </row>
    <row r="577" spans="1:10" x14ac:dyDescent="0.25">
      <c r="A577" s="1">
        <v>96</v>
      </c>
      <c r="B577" t="s">
        <v>34</v>
      </c>
      <c r="C577">
        <v>635</v>
      </c>
      <c r="D577">
        <v>1</v>
      </c>
      <c r="E577" t="s">
        <v>37</v>
      </c>
      <c r="F577" t="s">
        <v>38</v>
      </c>
      <c r="G577" t="str">
        <f>"2026-03-04 05:00:25.451"</f>
        <v>2026-03-04 05:00:25.451</v>
      </c>
      <c r="H577" t="s">
        <v>21</v>
      </c>
      <c r="I577">
        <v>7.19</v>
      </c>
      <c r="J577" t="s">
        <v>39</v>
      </c>
    </row>
    <row r="578" spans="1:10" x14ac:dyDescent="0.25">
      <c r="A578" s="1">
        <v>97</v>
      </c>
      <c r="B578" t="s">
        <v>19</v>
      </c>
      <c r="C578">
        <v>706</v>
      </c>
      <c r="D578">
        <v>2</v>
      </c>
      <c r="E578" t="s">
        <v>27</v>
      </c>
      <c r="F578" t="s">
        <v>29</v>
      </c>
      <c r="G578" t="str">
        <f>"2026-03-03 16:17:47.537"</f>
        <v>2026-03-03 16:17:47.537</v>
      </c>
      <c r="H578" t="s">
        <v>21</v>
      </c>
      <c r="I578">
        <v>0</v>
      </c>
      <c r="J578" t="s">
        <v>26</v>
      </c>
    </row>
    <row r="579" spans="1:10" x14ac:dyDescent="0.25">
      <c r="A579" s="1">
        <v>98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"2026-03-03 16:16:39.687"</f>
        <v>2026-03-03 16:16:39.687</v>
      </c>
      <c r="H579" t="s">
        <v>21</v>
      </c>
    </row>
    <row r="580" spans="1:10" s="3" customFormat="1" x14ac:dyDescent="0.25">
      <c r="A580" s="2">
        <v>0</v>
      </c>
      <c r="B580" s="3" t="s">
        <v>31</v>
      </c>
      <c r="C580" s="3">
        <v>647</v>
      </c>
      <c r="D580" s="3">
        <v>1</v>
      </c>
      <c r="E580" s="3" t="s">
        <v>32</v>
      </c>
      <c r="F580" s="3" t="s">
        <v>33</v>
      </c>
      <c r="G580" s="3" t="str">
        <f>"2026-03-03 11:27:13.746"</f>
        <v>2026-03-03 11:27:13.746</v>
      </c>
      <c r="H580" s="3" t="s">
        <v>21</v>
      </c>
    </row>
    <row r="581" spans="1:10" s="3" customFormat="1" x14ac:dyDescent="0.25">
      <c r="A581" s="2">
        <v>1</v>
      </c>
      <c r="B581" s="3" t="s">
        <v>34</v>
      </c>
      <c r="C581" s="3">
        <v>647</v>
      </c>
      <c r="D581" s="3">
        <v>1</v>
      </c>
      <c r="E581" s="3" t="s">
        <v>32</v>
      </c>
      <c r="F581" s="3" t="s">
        <v>33</v>
      </c>
      <c r="G581" s="3" t="str">
        <f>"2026-03-03 11:27:11.446"</f>
        <v>2026-03-03 11:27:11.446</v>
      </c>
      <c r="H581" s="3" t="s">
        <v>21</v>
      </c>
      <c r="I581" s="3">
        <v>19.670000000000002</v>
      </c>
      <c r="J581" s="3" t="s">
        <v>35</v>
      </c>
    </row>
    <row r="582" spans="1:10" x14ac:dyDescent="0.25">
      <c r="A582" s="1">
        <v>2</v>
      </c>
      <c r="B582" t="s">
        <v>31</v>
      </c>
      <c r="C582">
        <v>630</v>
      </c>
      <c r="D582">
        <v>5</v>
      </c>
      <c r="E582" t="s">
        <v>23</v>
      </c>
      <c r="F582" t="s">
        <v>24</v>
      </c>
      <c r="G582" t="str">
        <f>"2026-03-02 15:59:26.646"</f>
        <v>2026-03-02 15:59:26.646</v>
      </c>
      <c r="H582" t="s">
        <v>25</v>
      </c>
    </row>
    <row r="583" spans="1:10" x14ac:dyDescent="0.25">
      <c r="A583" s="1">
        <v>3</v>
      </c>
      <c r="B583" t="s">
        <v>19</v>
      </c>
      <c r="C583">
        <v>706</v>
      </c>
      <c r="D583">
        <v>2</v>
      </c>
      <c r="E583" t="s">
        <v>27</v>
      </c>
      <c r="F583" t="s">
        <v>29</v>
      </c>
      <c r="G583" t="str">
        <f>"2026-03-02 15:58:56.493"</f>
        <v>2026-03-02 15:58:56.493</v>
      </c>
      <c r="H583" t="s">
        <v>21</v>
      </c>
      <c r="I583">
        <v>0</v>
      </c>
      <c r="J583" t="s">
        <v>26</v>
      </c>
    </row>
    <row r="584" spans="1:10" x14ac:dyDescent="0.25">
      <c r="A584" s="1">
        <v>4</v>
      </c>
      <c r="B584" t="s">
        <v>22</v>
      </c>
      <c r="C584">
        <v>630</v>
      </c>
      <c r="D584">
        <v>5</v>
      </c>
      <c r="E584" t="s">
        <v>23</v>
      </c>
      <c r="F584" t="s">
        <v>24</v>
      </c>
      <c r="G584" t="str">
        <f>"2026-03-02 15:56:37.446"</f>
        <v>2026-03-02 15:56:37.446</v>
      </c>
      <c r="H584" t="s">
        <v>25</v>
      </c>
      <c r="I584">
        <v>0</v>
      </c>
      <c r="J584" t="s">
        <v>26</v>
      </c>
    </row>
    <row r="585" spans="1:10" x14ac:dyDescent="0.25">
      <c r="A585" s="1">
        <v>5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"2026-03-02 15:51:34.633"</f>
        <v>2026-03-02 15:51:34.633</v>
      </c>
      <c r="H585" t="s">
        <v>21</v>
      </c>
      <c r="I585">
        <v>0</v>
      </c>
      <c r="J585" t="s">
        <v>30</v>
      </c>
    </row>
    <row r="586" spans="1:10" x14ac:dyDescent="0.25">
      <c r="A586" s="1">
        <v>6</v>
      </c>
      <c r="B586" t="s">
        <v>19</v>
      </c>
      <c r="C586">
        <v>706</v>
      </c>
      <c r="D586">
        <v>4</v>
      </c>
      <c r="E586" t="s">
        <v>27</v>
      </c>
      <c r="F586" t="s">
        <v>28</v>
      </c>
      <c r="G586" t="str">
        <f>"2026-03-02 15:43:02.554"</f>
        <v>2026-03-02 15:43:02.554</v>
      </c>
      <c r="H586" t="s">
        <v>21</v>
      </c>
      <c r="I586">
        <v>0</v>
      </c>
      <c r="J586" t="s">
        <v>26</v>
      </c>
    </row>
    <row r="587" spans="1:10" x14ac:dyDescent="0.25">
      <c r="A587" s="1">
        <v>7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"2026-03-02 15:41:38.624"</f>
        <v>2026-03-02 15:41:38.624</v>
      </c>
      <c r="H587" t="s">
        <v>21</v>
      </c>
    </row>
    <row r="588" spans="1:10" x14ac:dyDescent="0.25">
      <c r="A588" s="1">
        <v>8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"2026-03-02 15:18:15.636"</f>
        <v>2026-03-02 15:18:15.636</v>
      </c>
      <c r="H588" t="s">
        <v>21</v>
      </c>
      <c r="I588">
        <v>0</v>
      </c>
      <c r="J588" t="s">
        <v>30</v>
      </c>
    </row>
    <row r="589" spans="1:10" x14ac:dyDescent="0.25">
      <c r="A589" s="1">
        <v>9</v>
      </c>
      <c r="B589" t="s">
        <v>19</v>
      </c>
      <c r="C589">
        <v>706</v>
      </c>
      <c r="D589">
        <v>4</v>
      </c>
      <c r="E589" t="s">
        <v>27</v>
      </c>
      <c r="F589" t="s">
        <v>28</v>
      </c>
      <c r="G589" t="str">
        <f>"2026-03-02 15:15:59.441"</f>
        <v>2026-03-02 15:15:59.441</v>
      </c>
      <c r="H589" t="s">
        <v>21</v>
      </c>
      <c r="I589">
        <v>0</v>
      </c>
      <c r="J589" t="s">
        <v>26</v>
      </c>
    </row>
    <row r="590" spans="1:10" x14ac:dyDescent="0.25">
      <c r="A590" s="1">
        <v>10</v>
      </c>
      <c r="B590" t="s">
        <v>19</v>
      </c>
      <c r="C590">
        <v>706</v>
      </c>
      <c r="D590">
        <v>4</v>
      </c>
      <c r="E590" t="s">
        <v>27</v>
      </c>
      <c r="F590" t="s">
        <v>28</v>
      </c>
      <c r="G590" t="str">
        <f>"2026-03-02 15:15:43.441"</f>
        <v>2026-03-02 15:15:43.441</v>
      </c>
      <c r="H590" t="s">
        <v>21</v>
      </c>
      <c r="I590">
        <v>0</v>
      </c>
      <c r="J590" t="s">
        <v>26</v>
      </c>
    </row>
    <row r="591" spans="1:10" x14ac:dyDescent="0.25">
      <c r="A591" s="1">
        <v>11</v>
      </c>
      <c r="B591" t="s">
        <v>31</v>
      </c>
      <c r="C591">
        <v>49</v>
      </c>
      <c r="D591">
        <v>1</v>
      </c>
      <c r="E591" t="s">
        <v>66</v>
      </c>
      <c r="F591" t="s">
        <v>67</v>
      </c>
      <c r="G591" t="str">
        <f>"2026-03-02 15:15:40.443"</f>
        <v>2026-03-02 15:15:40.443</v>
      </c>
      <c r="H591" t="s">
        <v>68</v>
      </c>
    </row>
    <row r="592" spans="1:10" x14ac:dyDescent="0.25">
      <c r="A592" s="1">
        <v>13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"2026-03-02 15:15:10.621"</f>
        <v>2026-03-02 15:15:10.621</v>
      </c>
      <c r="H592" t="s">
        <v>21</v>
      </c>
    </row>
    <row r="593" spans="1:10" x14ac:dyDescent="0.25">
      <c r="A593" s="1">
        <v>14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"2026-03-02 15:08:32.616"</f>
        <v>2026-03-02 15:08:32.616</v>
      </c>
      <c r="H593" t="s">
        <v>21</v>
      </c>
    </row>
    <row r="594" spans="1:10" x14ac:dyDescent="0.25">
      <c r="A594" s="1">
        <v>15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"2026-03-02 15:07:25.636"</f>
        <v>2026-03-02 15:07:25.636</v>
      </c>
      <c r="H594" t="s">
        <v>21</v>
      </c>
      <c r="I594">
        <v>0</v>
      </c>
      <c r="J594" t="s">
        <v>30</v>
      </c>
    </row>
    <row r="595" spans="1:10" x14ac:dyDescent="0.25">
      <c r="A595" s="1">
        <v>16</v>
      </c>
      <c r="B595" t="s">
        <v>22</v>
      </c>
      <c r="C595">
        <v>630</v>
      </c>
      <c r="D595">
        <v>5</v>
      </c>
      <c r="E595" t="s">
        <v>23</v>
      </c>
      <c r="F595" t="s">
        <v>24</v>
      </c>
      <c r="G595" t="str">
        <f>"2026-03-02 14:49:44.335"</f>
        <v>2026-03-02 14:49:44.335</v>
      </c>
      <c r="H595" t="s">
        <v>25</v>
      </c>
      <c r="I595">
        <v>0</v>
      </c>
      <c r="J595" t="s">
        <v>69</v>
      </c>
    </row>
    <row r="596" spans="1:10" x14ac:dyDescent="0.25">
      <c r="A596" s="1">
        <v>17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"2026-03-02 14:44:41.654"</f>
        <v>2026-03-02 14:44:41.654</v>
      </c>
      <c r="H596" t="s">
        <v>21</v>
      </c>
      <c r="I596">
        <v>0</v>
      </c>
      <c r="J596" t="s">
        <v>30</v>
      </c>
    </row>
    <row r="597" spans="1:10" x14ac:dyDescent="0.25">
      <c r="A597" s="1">
        <v>18</v>
      </c>
      <c r="B597" t="s">
        <v>22</v>
      </c>
      <c r="C597">
        <v>630</v>
      </c>
      <c r="D597">
        <v>5</v>
      </c>
      <c r="E597" t="s">
        <v>23</v>
      </c>
      <c r="F597" t="s">
        <v>24</v>
      </c>
      <c r="G597" t="str">
        <f>"2026-03-02 14:41:01.741"</f>
        <v>2026-03-02 14:41:01.741</v>
      </c>
      <c r="H597" t="s">
        <v>25</v>
      </c>
      <c r="I597">
        <v>0</v>
      </c>
      <c r="J597" t="s">
        <v>26</v>
      </c>
    </row>
    <row r="598" spans="1:10" x14ac:dyDescent="0.25">
      <c r="A598" s="1">
        <v>21</v>
      </c>
      <c r="B598" t="s">
        <v>19</v>
      </c>
      <c r="C598">
        <v>706</v>
      </c>
      <c r="D598">
        <v>3</v>
      </c>
      <c r="E598" t="s">
        <v>27</v>
      </c>
      <c r="F598" t="s">
        <v>42</v>
      </c>
      <c r="G598" t="str">
        <f>"2026-03-02 14:35:59.550"</f>
        <v>2026-03-02 14:35:59.550</v>
      </c>
      <c r="H598" t="s">
        <v>21</v>
      </c>
      <c r="I598">
        <v>0</v>
      </c>
      <c r="J598" t="s">
        <v>26</v>
      </c>
    </row>
    <row r="599" spans="1:10" x14ac:dyDescent="0.25">
      <c r="A599" s="1">
        <v>22</v>
      </c>
      <c r="B599" t="s">
        <v>22</v>
      </c>
      <c r="C599">
        <v>47</v>
      </c>
      <c r="D599">
        <v>2</v>
      </c>
      <c r="E599" t="s">
        <v>70</v>
      </c>
      <c r="F599" t="s">
        <v>71</v>
      </c>
      <c r="G599" t="str">
        <f>"2026-03-02 14:35:18.641"</f>
        <v>2026-03-02 14:35:18.641</v>
      </c>
      <c r="H599" t="s">
        <v>64</v>
      </c>
      <c r="I599">
        <v>0</v>
      </c>
      <c r="J599" t="s">
        <v>36</v>
      </c>
    </row>
    <row r="600" spans="1:10" x14ac:dyDescent="0.25">
      <c r="A600" s="1">
        <v>23</v>
      </c>
      <c r="B600" t="s">
        <v>34</v>
      </c>
      <c r="C600">
        <v>49</v>
      </c>
      <c r="D600">
        <v>1</v>
      </c>
      <c r="E600" t="s">
        <v>66</v>
      </c>
      <c r="F600" t="s">
        <v>67</v>
      </c>
      <c r="G600" t="str">
        <f>"2026-03-02 13:49:31.341"</f>
        <v>2026-03-02 13:49:31.341</v>
      </c>
      <c r="H600" t="s">
        <v>68</v>
      </c>
      <c r="I600">
        <v>0</v>
      </c>
      <c r="J600" t="s">
        <v>36</v>
      </c>
    </row>
    <row r="601" spans="1:10" x14ac:dyDescent="0.25">
      <c r="A601" s="1">
        <v>25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"2026-03-02 08:22:59.720"</f>
        <v>2026-03-02 08:22:59.720</v>
      </c>
      <c r="H601" t="s">
        <v>21</v>
      </c>
    </row>
    <row r="602" spans="1:10" x14ac:dyDescent="0.25">
      <c r="A602" s="1">
        <v>26</v>
      </c>
      <c r="B602" t="s">
        <v>31</v>
      </c>
      <c r="C602">
        <v>630</v>
      </c>
      <c r="D602">
        <v>5</v>
      </c>
      <c r="E602" t="s">
        <v>23</v>
      </c>
      <c r="F602" t="s">
        <v>24</v>
      </c>
      <c r="G602" t="str">
        <f>"2026-03-02 05:07:54.470"</f>
        <v>2026-03-02 05:07:54.470</v>
      </c>
      <c r="H602" t="s">
        <v>25</v>
      </c>
    </row>
    <row r="603" spans="1:10" x14ac:dyDescent="0.25">
      <c r="A603" s="1">
        <v>27</v>
      </c>
      <c r="B603" t="s">
        <v>19</v>
      </c>
      <c r="C603">
        <v>706</v>
      </c>
      <c r="D603">
        <v>4</v>
      </c>
      <c r="E603" t="s">
        <v>27</v>
      </c>
      <c r="F603" t="s">
        <v>28</v>
      </c>
      <c r="G603" t="str">
        <f>"2026-03-02 05:07:24.432"</f>
        <v>2026-03-02 05:07:24.432</v>
      </c>
      <c r="H603" t="s">
        <v>21</v>
      </c>
      <c r="I603">
        <v>0</v>
      </c>
      <c r="J603" t="s">
        <v>26</v>
      </c>
    </row>
    <row r="604" spans="1:10" x14ac:dyDescent="0.25">
      <c r="A604" s="1">
        <v>28</v>
      </c>
      <c r="B604" t="s">
        <v>19</v>
      </c>
      <c r="C604">
        <v>706</v>
      </c>
      <c r="D604">
        <v>2</v>
      </c>
      <c r="E604" t="s">
        <v>27</v>
      </c>
      <c r="F604" t="s">
        <v>29</v>
      </c>
      <c r="G604" t="str">
        <f>"2026-03-02 05:05:02.672"</f>
        <v>2026-03-02 05:05:02.672</v>
      </c>
      <c r="H604" t="s">
        <v>21</v>
      </c>
      <c r="I604">
        <v>0</v>
      </c>
      <c r="J604" t="s">
        <v>26</v>
      </c>
    </row>
    <row r="605" spans="1:10" x14ac:dyDescent="0.25">
      <c r="A605" s="1">
        <v>29</v>
      </c>
      <c r="B605" t="s">
        <v>19</v>
      </c>
      <c r="C605">
        <v>706</v>
      </c>
      <c r="D605">
        <v>2</v>
      </c>
      <c r="E605" t="s">
        <v>27</v>
      </c>
      <c r="F605" t="s">
        <v>29</v>
      </c>
      <c r="G605" t="str">
        <f>"2026-03-02 05:04:53.672"</f>
        <v>2026-03-02 05:04:53.672</v>
      </c>
      <c r="H605" t="s">
        <v>21</v>
      </c>
      <c r="I605">
        <v>0</v>
      </c>
      <c r="J605" t="s">
        <v>26</v>
      </c>
    </row>
    <row r="606" spans="1:10" x14ac:dyDescent="0.25">
      <c r="A606" s="1">
        <v>30</v>
      </c>
      <c r="B606" t="s">
        <v>22</v>
      </c>
      <c r="C606">
        <v>630</v>
      </c>
      <c r="D606">
        <v>5</v>
      </c>
      <c r="E606" t="s">
        <v>23</v>
      </c>
      <c r="F606" t="s">
        <v>24</v>
      </c>
      <c r="G606" t="str">
        <f>"2026-03-02 05:00:14.471"</f>
        <v>2026-03-02 05:00:14.471</v>
      </c>
      <c r="H606" t="s">
        <v>25</v>
      </c>
      <c r="I606">
        <v>0</v>
      </c>
      <c r="J606" t="s">
        <v>26</v>
      </c>
    </row>
    <row r="607" spans="1:10" x14ac:dyDescent="0.25">
      <c r="A607" s="1">
        <v>31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"2026-03-02 04:55:11.632"</f>
        <v>2026-03-02 04:55:11.632</v>
      </c>
      <c r="H607" t="s">
        <v>21</v>
      </c>
    </row>
    <row r="608" spans="1:10" x14ac:dyDescent="0.25">
      <c r="A608" s="1">
        <v>32</v>
      </c>
      <c r="B608" t="s">
        <v>22</v>
      </c>
      <c r="C608">
        <v>630</v>
      </c>
      <c r="D608">
        <v>5</v>
      </c>
      <c r="E608" t="s">
        <v>23</v>
      </c>
      <c r="F608" t="s">
        <v>24</v>
      </c>
      <c r="G608" t="str">
        <f>"2026-03-02 03:06:09.460"</f>
        <v>2026-03-02 03:06:09.460</v>
      </c>
      <c r="H608" t="s">
        <v>25</v>
      </c>
      <c r="I608">
        <v>0</v>
      </c>
      <c r="J608" t="s">
        <v>26</v>
      </c>
    </row>
    <row r="609" spans="1:10" x14ac:dyDescent="0.25">
      <c r="A609" s="1">
        <v>33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"2026-03-02 03:01:06.652"</f>
        <v>2026-03-02 03:01:06.652</v>
      </c>
      <c r="H609" t="s">
        <v>21</v>
      </c>
      <c r="I609">
        <v>0</v>
      </c>
      <c r="J609" t="s">
        <v>30</v>
      </c>
    </row>
    <row r="610" spans="1:10" x14ac:dyDescent="0.25">
      <c r="A610" s="1">
        <v>35</v>
      </c>
      <c r="B610" t="s">
        <v>31</v>
      </c>
      <c r="C610">
        <v>61</v>
      </c>
      <c r="D610">
        <v>2</v>
      </c>
      <c r="E610" t="s">
        <v>72</v>
      </c>
      <c r="F610" t="s">
        <v>73</v>
      </c>
      <c r="G610" t="str">
        <f>"2026-03-01 19:26:06.088"</f>
        <v>2026-03-01 19:26:06.088</v>
      </c>
      <c r="H610" t="s">
        <v>21</v>
      </c>
    </row>
    <row r="611" spans="1:10" x14ac:dyDescent="0.25">
      <c r="A611" s="1">
        <v>36</v>
      </c>
      <c r="B611" t="s">
        <v>22</v>
      </c>
      <c r="C611">
        <v>61</v>
      </c>
      <c r="D611">
        <v>2</v>
      </c>
      <c r="E611" t="s">
        <v>72</v>
      </c>
      <c r="F611" t="s">
        <v>73</v>
      </c>
      <c r="G611" t="str">
        <f>"2026-03-01 19:25:54.388"</f>
        <v>2026-03-01 19:25:54.388</v>
      </c>
      <c r="H611" t="s">
        <v>21</v>
      </c>
      <c r="I611">
        <v>29.48</v>
      </c>
      <c r="J611" t="s">
        <v>35</v>
      </c>
    </row>
    <row r="612" spans="1:10" x14ac:dyDescent="0.25">
      <c r="A612" s="1">
        <v>37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"2026-03-01 13:53:46.667"</f>
        <v>2026-03-01 13:53:46.667</v>
      </c>
      <c r="H612" t="s">
        <v>21</v>
      </c>
      <c r="I612">
        <v>0</v>
      </c>
      <c r="J612" t="s">
        <v>30</v>
      </c>
    </row>
    <row r="613" spans="1:10" s="3" customFormat="1" x14ac:dyDescent="0.25">
      <c r="A613" s="2">
        <v>38</v>
      </c>
      <c r="B613" s="3" t="s">
        <v>31</v>
      </c>
      <c r="C613" s="3">
        <v>647</v>
      </c>
      <c r="D613" s="3">
        <v>1</v>
      </c>
      <c r="E613" s="3" t="s">
        <v>32</v>
      </c>
      <c r="F613" s="3" t="s">
        <v>33</v>
      </c>
      <c r="G613" s="3" t="str">
        <f>"2026-03-01 08:39:40.880"</f>
        <v>2026-03-01 08:39:40.880</v>
      </c>
      <c r="H613" s="3" t="s">
        <v>21</v>
      </c>
    </row>
    <row r="614" spans="1:10" s="3" customFormat="1" x14ac:dyDescent="0.25">
      <c r="A614" s="2">
        <v>39</v>
      </c>
      <c r="B614" s="3" t="s">
        <v>34</v>
      </c>
      <c r="C614" s="3">
        <v>647</v>
      </c>
      <c r="D614" s="3">
        <v>1</v>
      </c>
      <c r="E614" s="3" t="s">
        <v>32</v>
      </c>
      <c r="F614" s="3" t="s">
        <v>33</v>
      </c>
      <c r="G614" s="3" t="str">
        <f>"2026-03-01 08:39:25.180"</f>
        <v>2026-03-01 08:39:25.180</v>
      </c>
      <c r="H614" s="3" t="s">
        <v>21</v>
      </c>
      <c r="I614" s="3">
        <v>10.33</v>
      </c>
      <c r="J614" s="3" t="s">
        <v>35</v>
      </c>
    </row>
    <row r="615" spans="1:10" s="3" customFormat="1" x14ac:dyDescent="0.25">
      <c r="A615" s="2">
        <v>40</v>
      </c>
      <c r="B615" s="3" t="s">
        <v>31</v>
      </c>
      <c r="C615" s="3">
        <v>647</v>
      </c>
      <c r="D615" s="3">
        <v>1</v>
      </c>
      <c r="E615" s="3" t="s">
        <v>32</v>
      </c>
      <c r="F615" s="3" t="s">
        <v>33</v>
      </c>
      <c r="G615" s="3" t="str">
        <f>"2026-03-01 08:30:24.980"</f>
        <v>2026-03-01 08:30:24.980</v>
      </c>
      <c r="H615" s="3" t="s">
        <v>21</v>
      </c>
    </row>
    <row r="616" spans="1:10" s="3" customFormat="1" x14ac:dyDescent="0.25">
      <c r="A616" s="2">
        <v>41</v>
      </c>
      <c r="B616" s="3" t="s">
        <v>34</v>
      </c>
      <c r="C616" s="3">
        <v>647</v>
      </c>
      <c r="D616" s="3">
        <v>1</v>
      </c>
      <c r="E616" s="3" t="s">
        <v>32</v>
      </c>
      <c r="F616" s="3" t="s">
        <v>33</v>
      </c>
      <c r="G616" s="3" t="str">
        <f>"2026-03-01 08:30:23.180"</f>
        <v>2026-03-01 08:30:23.180</v>
      </c>
      <c r="H616" s="3" t="s">
        <v>21</v>
      </c>
      <c r="I616" s="3">
        <v>14.52</v>
      </c>
      <c r="J616" s="3" t="s">
        <v>35</v>
      </c>
    </row>
    <row r="617" spans="1:10" x14ac:dyDescent="0.25">
      <c r="A617" s="1">
        <v>42</v>
      </c>
      <c r="B617" t="s">
        <v>31</v>
      </c>
      <c r="C617">
        <v>630</v>
      </c>
      <c r="D617">
        <v>5</v>
      </c>
      <c r="E617" t="s">
        <v>23</v>
      </c>
      <c r="F617" t="s">
        <v>24</v>
      </c>
      <c r="G617" t="str">
        <f>"2026-03-01 04:36:42.080"</f>
        <v>2026-03-01 04:36:42.080</v>
      </c>
      <c r="H617" t="s">
        <v>25</v>
      </c>
    </row>
    <row r="618" spans="1:10" x14ac:dyDescent="0.25">
      <c r="A618" s="1">
        <v>43</v>
      </c>
      <c r="B618" t="s">
        <v>19</v>
      </c>
      <c r="C618">
        <v>706</v>
      </c>
      <c r="D618">
        <v>2</v>
      </c>
      <c r="E618" t="s">
        <v>27</v>
      </c>
      <c r="F618" t="s">
        <v>29</v>
      </c>
      <c r="G618" t="str">
        <f>"2026-03-01 04:36:11.938"</f>
        <v>2026-03-01 04:36:11.938</v>
      </c>
      <c r="H618" t="s">
        <v>21</v>
      </c>
      <c r="I618">
        <v>0</v>
      </c>
      <c r="J618" t="s">
        <v>26</v>
      </c>
    </row>
    <row r="619" spans="1:10" x14ac:dyDescent="0.25">
      <c r="A619" s="1">
        <v>44</v>
      </c>
      <c r="B619" t="s">
        <v>22</v>
      </c>
      <c r="C619">
        <v>630</v>
      </c>
      <c r="D619">
        <v>5</v>
      </c>
      <c r="E619" t="s">
        <v>23</v>
      </c>
      <c r="F619" t="s">
        <v>24</v>
      </c>
      <c r="G619" t="str">
        <f>"2026-03-01 04:16:51.780"</f>
        <v>2026-03-01 04:16:51.780</v>
      </c>
      <c r="H619" t="s">
        <v>25</v>
      </c>
      <c r="I619">
        <v>0</v>
      </c>
      <c r="J619" t="s">
        <v>26</v>
      </c>
    </row>
    <row r="620" spans="1:10" x14ac:dyDescent="0.25">
      <c r="A620" s="1">
        <v>45</v>
      </c>
      <c r="B620" t="s">
        <v>31</v>
      </c>
      <c r="C620">
        <v>635</v>
      </c>
      <c r="D620">
        <v>1</v>
      </c>
      <c r="E620" t="s">
        <v>37</v>
      </c>
      <c r="F620" t="s">
        <v>38</v>
      </c>
      <c r="G620" t="str">
        <f>"2026-03-01 01:34:47.580"</f>
        <v>2026-03-01 01:34:47.580</v>
      </c>
      <c r="H620" t="s">
        <v>21</v>
      </c>
    </row>
    <row r="621" spans="1:10" x14ac:dyDescent="0.25">
      <c r="A621" s="1">
        <v>46</v>
      </c>
      <c r="B621" t="s">
        <v>34</v>
      </c>
      <c r="C621">
        <v>635</v>
      </c>
      <c r="D621">
        <v>1</v>
      </c>
      <c r="E621" t="s">
        <v>37</v>
      </c>
      <c r="F621" t="s">
        <v>38</v>
      </c>
      <c r="G621" t="str">
        <f>"2026-03-01 01:31:23.580"</f>
        <v>2026-03-01 01:31:23.580</v>
      </c>
      <c r="H621" t="s">
        <v>21</v>
      </c>
      <c r="I621">
        <v>3.7</v>
      </c>
      <c r="J621" t="s">
        <v>39</v>
      </c>
    </row>
    <row r="622" spans="1:10" x14ac:dyDescent="0.25">
      <c r="A622" s="1">
        <v>47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"2026-02-28 13:10:25.648"</f>
        <v>2026-02-28 13:10:25.648</v>
      </c>
      <c r="H622" t="s">
        <v>21</v>
      </c>
      <c r="I622">
        <v>0</v>
      </c>
      <c r="J622" t="s">
        <v>30</v>
      </c>
    </row>
    <row r="623" spans="1:10" s="3" customFormat="1" x14ac:dyDescent="0.25">
      <c r="A623" s="2">
        <v>48</v>
      </c>
      <c r="B623" s="3" t="s">
        <v>31</v>
      </c>
      <c r="C623" s="3">
        <v>647</v>
      </c>
      <c r="D623" s="3">
        <v>1</v>
      </c>
      <c r="E623" s="3" t="s">
        <v>32</v>
      </c>
      <c r="F623" s="3" t="s">
        <v>33</v>
      </c>
      <c r="G623" s="3" t="str">
        <f>"2026-02-28 11:30:41.645"</f>
        <v>2026-02-28 11:30:41.645</v>
      </c>
      <c r="H623" s="3" t="s">
        <v>21</v>
      </c>
    </row>
    <row r="624" spans="1:10" s="3" customFormat="1" x14ac:dyDescent="0.25">
      <c r="A624" s="2">
        <v>49</v>
      </c>
      <c r="B624" s="3" t="s">
        <v>34</v>
      </c>
      <c r="C624" s="3">
        <v>647</v>
      </c>
      <c r="D624" s="3">
        <v>1</v>
      </c>
      <c r="E624" s="3" t="s">
        <v>32</v>
      </c>
      <c r="F624" s="3" t="s">
        <v>33</v>
      </c>
      <c r="G624" s="3" t="str">
        <f>"2026-02-28 11:30:40.145"</f>
        <v>2026-02-28 11:30:40.145</v>
      </c>
      <c r="H624" s="3" t="s">
        <v>21</v>
      </c>
      <c r="I624" s="3">
        <v>17.920000000000002</v>
      </c>
      <c r="J624" s="3" t="s">
        <v>35</v>
      </c>
    </row>
    <row r="625" spans="1:10" s="3" customFormat="1" x14ac:dyDescent="0.25">
      <c r="A625" s="2">
        <v>50</v>
      </c>
      <c r="B625" s="3" t="s">
        <v>31</v>
      </c>
      <c r="C625" s="3">
        <v>647</v>
      </c>
      <c r="D625" s="3">
        <v>1</v>
      </c>
      <c r="E625" s="3" t="s">
        <v>32</v>
      </c>
      <c r="F625" s="3" t="s">
        <v>33</v>
      </c>
      <c r="G625" s="3" t="str">
        <f>"2026-02-28 10:54:46.945"</f>
        <v>2026-02-28 10:54:46.945</v>
      </c>
      <c r="H625" s="3" t="s">
        <v>21</v>
      </c>
    </row>
    <row r="626" spans="1:10" s="3" customFormat="1" x14ac:dyDescent="0.25">
      <c r="A626" s="2">
        <v>51</v>
      </c>
      <c r="B626" s="3" t="s">
        <v>34</v>
      </c>
      <c r="C626" s="3">
        <v>647</v>
      </c>
      <c r="D626" s="3">
        <v>1</v>
      </c>
      <c r="E626" s="3" t="s">
        <v>32</v>
      </c>
      <c r="F626" s="3" t="s">
        <v>33</v>
      </c>
      <c r="G626" s="3" t="str">
        <f>"2026-02-28 10:54:41.845"</f>
        <v>2026-02-28 10:54:41.845</v>
      </c>
      <c r="H626" s="3" t="s">
        <v>21</v>
      </c>
      <c r="I626" s="3">
        <v>19.89</v>
      </c>
      <c r="J626" s="3" t="s">
        <v>35</v>
      </c>
    </row>
    <row r="627" spans="1:10" x14ac:dyDescent="0.25">
      <c r="A627" s="1">
        <v>52</v>
      </c>
      <c r="B627" t="s">
        <v>31</v>
      </c>
      <c r="C627">
        <v>61</v>
      </c>
      <c r="D627">
        <v>2</v>
      </c>
      <c r="E627" t="s">
        <v>72</v>
      </c>
      <c r="F627" t="s">
        <v>73</v>
      </c>
      <c r="G627" t="str">
        <f>"2026-02-28 10:38:31.345"</f>
        <v>2026-02-28 10:38:31.345</v>
      </c>
      <c r="H627" t="s">
        <v>21</v>
      </c>
    </row>
    <row r="628" spans="1:10" x14ac:dyDescent="0.25">
      <c r="A628" s="1">
        <v>53</v>
      </c>
      <c r="B628" t="s">
        <v>22</v>
      </c>
      <c r="C628">
        <v>61</v>
      </c>
      <c r="D628">
        <v>2</v>
      </c>
      <c r="E628" t="s">
        <v>72</v>
      </c>
      <c r="F628" t="s">
        <v>73</v>
      </c>
      <c r="G628" t="str">
        <f>"2026-02-28 10:38:17.345"</f>
        <v>2026-02-28 10:38:17.345</v>
      </c>
      <c r="H628" t="s">
        <v>21</v>
      </c>
      <c r="I628">
        <v>30.46</v>
      </c>
      <c r="J628" t="s">
        <v>35</v>
      </c>
    </row>
    <row r="629" spans="1:10" s="3" customFormat="1" x14ac:dyDescent="0.25">
      <c r="A629" s="2">
        <v>54</v>
      </c>
      <c r="B629" s="3" t="s">
        <v>31</v>
      </c>
      <c r="C629" s="3">
        <v>647</v>
      </c>
      <c r="D629" s="3">
        <v>1</v>
      </c>
      <c r="E629" s="3" t="s">
        <v>32</v>
      </c>
      <c r="F629" s="3" t="s">
        <v>33</v>
      </c>
      <c r="G629" s="3" t="str">
        <f>"2026-02-28 10:12:40.645"</f>
        <v>2026-02-28 10:12:40.645</v>
      </c>
      <c r="H629" s="3" t="s">
        <v>21</v>
      </c>
    </row>
    <row r="630" spans="1:10" s="3" customFormat="1" x14ac:dyDescent="0.25">
      <c r="A630" s="2">
        <v>55</v>
      </c>
      <c r="B630" s="3" t="s">
        <v>34</v>
      </c>
      <c r="C630" s="3">
        <v>647</v>
      </c>
      <c r="D630" s="3">
        <v>1</v>
      </c>
      <c r="E630" s="3" t="s">
        <v>32</v>
      </c>
      <c r="F630" s="3" t="s">
        <v>33</v>
      </c>
      <c r="G630" s="3" t="str">
        <f>"2026-02-28 10:12:36.945"</f>
        <v>2026-02-28 10:12:36.945</v>
      </c>
      <c r="H630" s="3" t="s">
        <v>21</v>
      </c>
      <c r="I630" s="3">
        <v>18.97</v>
      </c>
      <c r="J630" s="3" t="s">
        <v>35</v>
      </c>
    </row>
    <row r="631" spans="1:10" s="3" customFormat="1" x14ac:dyDescent="0.25">
      <c r="A631" s="2">
        <v>56</v>
      </c>
      <c r="B631" s="3" t="s">
        <v>31</v>
      </c>
      <c r="C631" s="3">
        <v>647</v>
      </c>
      <c r="D631" s="3">
        <v>1</v>
      </c>
      <c r="E631" s="3" t="s">
        <v>32</v>
      </c>
      <c r="F631" s="3" t="s">
        <v>33</v>
      </c>
      <c r="G631" s="3" t="str">
        <f>"2026-02-28 08:32:37.745"</f>
        <v>2026-02-28 08:32:37.745</v>
      </c>
      <c r="H631" s="3" t="s">
        <v>21</v>
      </c>
    </row>
    <row r="632" spans="1:10" s="3" customFormat="1" x14ac:dyDescent="0.25">
      <c r="A632" s="2">
        <v>57</v>
      </c>
      <c r="B632" s="3" t="s">
        <v>34</v>
      </c>
      <c r="C632" s="3">
        <v>647</v>
      </c>
      <c r="D632" s="3">
        <v>1</v>
      </c>
      <c r="E632" s="3" t="s">
        <v>32</v>
      </c>
      <c r="F632" s="3" t="s">
        <v>33</v>
      </c>
      <c r="G632" s="3" t="str">
        <f>"2026-02-28 08:32:36.245"</f>
        <v>2026-02-28 08:32:36.245</v>
      </c>
      <c r="H632" s="3" t="s">
        <v>21</v>
      </c>
      <c r="I632" s="3">
        <v>16.73</v>
      </c>
      <c r="J632" s="3" t="s">
        <v>35</v>
      </c>
    </row>
    <row r="633" spans="1:10" s="3" customFormat="1" x14ac:dyDescent="0.25">
      <c r="A633" s="2">
        <v>59</v>
      </c>
      <c r="B633" s="3" t="s">
        <v>31</v>
      </c>
      <c r="C633" s="3">
        <v>647</v>
      </c>
      <c r="D633" s="3">
        <v>1</v>
      </c>
      <c r="E633" s="3" t="s">
        <v>32</v>
      </c>
      <c r="F633" s="3" t="s">
        <v>33</v>
      </c>
      <c r="G633" s="3" t="str">
        <f>"2026-02-27 17:51:12.345"</f>
        <v>2026-02-27 17:51:12.345</v>
      </c>
      <c r="H633" s="3" t="s">
        <v>21</v>
      </c>
    </row>
    <row r="634" spans="1:10" s="3" customFormat="1" x14ac:dyDescent="0.25">
      <c r="A634" s="2">
        <v>60</v>
      </c>
      <c r="B634" s="3" t="s">
        <v>34</v>
      </c>
      <c r="C634" s="3">
        <v>647</v>
      </c>
      <c r="D634" s="3">
        <v>1</v>
      </c>
      <c r="E634" s="3" t="s">
        <v>32</v>
      </c>
      <c r="F634" s="3" t="s">
        <v>33</v>
      </c>
      <c r="G634" s="3" t="str">
        <f>"2026-02-27 17:51:10.345"</f>
        <v>2026-02-27 17:51:10.345</v>
      </c>
      <c r="H634" s="3" t="s">
        <v>21</v>
      </c>
      <c r="I634" s="3">
        <v>22.35</v>
      </c>
      <c r="J634" s="3" t="s">
        <v>35</v>
      </c>
    </row>
    <row r="635" spans="1:10" x14ac:dyDescent="0.25">
      <c r="A635" s="1">
        <v>61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"2026-02-27 14:20:19.614"</f>
        <v>2026-02-27 14:20:19.614</v>
      </c>
      <c r="H635" t="s">
        <v>21</v>
      </c>
      <c r="I635">
        <v>0</v>
      </c>
      <c r="J635" t="s">
        <v>30</v>
      </c>
    </row>
    <row r="636" spans="1:10" x14ac:dyDescent="0.25">
      <c r="A636" s="1">
        <v>63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"2026-02-26 17:05:17.693"</f>
        <v>2026-02-26 17:05:17.693</v>
      </c>
      <c r="H636" t="s">
        <v>21</v>
      </c>
      <c r="I636">
        <v>0</v>
      </c>
      <c r="J636" t="s">
        <v>30</v>
      </c>
    </row>
    <row r="637" spans="1:10" s="3" customFormat="1" x14ac:dyDescent="0.25">
      <c r="A637" s="2">
        <v>64</v>
      </c>
      <c r="B637" s="3" t="s">
        <v>31</v>
      </c>
      <c r="C637" s="3">
        <v>647</v>
      </c>
      <c r="D637" s="3">
        <v>1</v>
      </c>
      <c r="E637" s="3" t="s">
        <v>32</v>
      </c>
      <c r="F637" s="3" t="s">
        <v>33</v>
      </c>
      <c r="G637" s="3" t="str">
        <f>"2026-02-26 16:48:05.270"</f>
        <v>2026-02-26 16:48:05.270</v>
      </c>
      <c r="H637" s="3" t="s">
        <v>21</v>
      </c>
    </row>
    <row r="638" spans="1:10" s="3" customFormat="1" x14ac:dyDescent="0.25">
      <c r="A638" s="2">
        <v>65</v>
      </c>
      <c r="B638" s="3" t="s">
        <v>34</v>
      </c>
      <c r="C638" s="3">
        <v>647</v>
      </c>
      <c r="D638" s="3">
        <v>1</v>
      </c>
      <c r="E638" s="3" t="s">
        <v>32</v>
      </c>
      <c r="F638" s="3" t="s">
        <v>33</v>
      </c>
      <c r="G638" s="3" t="str">
        <f>"2026-02-26 16:48:03.370"</f>
        <v>2026-02-26 16:48:03.370</v>
      </c>
      <c r="H638" s="3" t="s">
        <v>21</v>
      </c>
      <c r="I638" s="3">
        <v>21.93</v>
      </c>
      <c r="J638" s="3" t="s">
        <v>35</v>
      </c>
    </row>
    <row r="639" spans="1:10" s="3" customFormat="1" x14ac:dyDescent="0.25">
      <c r="A639" s="2">
        <v>66</v>
      </c>
      <c r="B639" s="3" t="s">
        <v>31</v>
      </c>
      <c r="C639" s="3">
        <v>647</v>
      </c>
      <c r="D639" s="3">
        <v>1</v>
      </c>
      <c r="E639" s="3" t="s">
        <v>32</v>
      </c>
      <c r="F639" s="3" t="s">
        <v>33</v>
      </c>
      <c r="G639" s="3" t="str">
        <f>"2026-02-26 13:39:10.670"</f>
        <v>2026-02-26 13:39:10.670</v>
      </c>
      <c r="H639" s="3" t="s">
        <v>21</v>
      </c>
    </row>
    <row r="640" spans="1:10" s="3" customFormat="1" x14ac:dyDescent="0.25">
      <c r="A640" s="2">
        <v>67</v>
      </c>
      <c r="B640" s="3" t="s">
        <v>34</v>
      </c>
      <c r="C640" s="3">
        <v>647</v>
      </c>
      <c r="D640" s="3">
        <v>1</v>
      </c>
      <c r="E640" s="3" t="s">
        <v>32</v>
      </c>
      <c r="F640" s="3" t="s">
        <v>33</v>
      </c>
      <c r="G640" s="3" t="str">
        <f>"2026-02-26 13:39:07.770"</f>
        <v>2026-02-26 13:39:07.770</v>
      </c>
      <c r="H640" s="3" t="s">
        <v>21</v>
      </c>
      <c r="I640" s="3">
        <v>8.5500000000000007</v>
      </c>
      <c r="J640" s="3" t="s">
        <v>36</v>
      </c>
    </row>
    <row r="641" spans="1:10" x14ac:dyDescent="0.25">
      <c r="A641" s="1">
        <v>68</v>
      </c>
      <c r="B641" t="s">
        <v>74</v>
      </c>
      <c r="C641">
        <v>128</v>
      </c>
      <c r="D641">
        <v>4</v>
      </c>
      <c r="E641" t="s">
        <v>75</v>
      </c>
      <c r="F641" t="s">
        <v>76</v>
      </c>
      <c r="G641" t="str">
        <f>"2026-02-26 10:17:01.049"</f>
        <v>2026-02-26 10:17:01.049</v>
      </c>
      <c r="H641" t="s">
        <v>60</v>
      </c>
    </row>
    <row r="642" spans="1:10" x14ac:dyDescent="0.25">
      <c r="A642" s="1">
        <v>69</v>
      </c>
      <c r="B642" t="s">
        <v>22</v>
      </c>
      <c r="C642">
        <v>128</v>
      </c>
      <c r="D642">
        <v>4</v>
      </c>
      <c r="E642" t="s">
        <v>75</v>
      </c>
      <c r="F642" t="s">
        <v>76</v>
      </c>
      <c r="G642" t="str">
        <f>"2026-02-26 10:16:55.972"</f>
        <v>2026-02-26 10:16:55.972</v>
      </c>
      <c r="H642" t="s">
        <v>60</v>
      </c>
      <c r="I642">
        <v>8.52</v>
      </c>
      <c r="J642" t="s">
        <v>39</v>
      </c>
    </row>
    <row r="643" spans="1:10" s="3" customFormat="1" x14ac:dyDescent="0.25">
      <c r="A643" s="2">
        <v>70</v>
      </c>
      <c r="B643" s="3" t="s">
        <v>31</v>
      </c>
      <c r="C643" s="3">
        <v>647</v>
      </c>
      <c r="D643" s="3">
        <v>1</v>
      </c>
      <c r="E643" s="3" t="s">
        <v>32</v>
      </c>
      <c r="F643" s="3" t="s">
        <v>33</v>
      </c>
      <c r="G643" s="3" t="str">
        <f>"2026-02-26 08:23:36.470"</f>
        <v>2026-02-26 08:23:36.470</v>
      </c>
      <c r="H643" s="3" t="s">
        <v>21</v>
      </c>
    </row>
    <row r="644" spans="1:10" s="3" customFormat="1" x14ac:dyDescent="0.25">
      <c r="A644" s="2">
        <v>71</v>
      </c>
      <c r="B644" s="3" t="s">
        <v>34</v>
      </c>
      <c r="C644" s="3">
        <v>647</v>
      </c>
      <c r="D644" s="3">
        <v>1</v>
      </c>
      <c r="E644" s="3" t="s">
        <v>32</v>
      </c>
      <c r="F644" s="3" t="s">
        <v>33</v>
      </c>
      <c r="G644" s="3" t="str">
        <f>"2026-02-26 08:23:32.770"</f>
        <v>2026-02-26 08:23:32.770</v>
      </c>
      <c r="H644" s="3" t="s">
        <v>21</v>
      </c>
      <c r="I644" s="3">
        <v>20.399999999999999</v>
      </c>
      <c r="J644" s="3" t="s">
        <v>35</v>
      </c>
    </row>
    <row r="645" spans="1:10" x14ac:dyDescent="0.25">
      <c r="A645" s="1">
        <v>72</v>
      </c>
      <c r="B645" t="s">
        <v>31</v>
      </c>
      <c r="C645">
        <v>635</v>
      </c>
      <c r="D645">
        <v>1</v>
      </c>
      <c r="E645" t="s">
        <v>37</v>
      </c>
      <c r="F645" t="s">
        <v>38</v>
      </c>
      <c r="G645" t="str">
        <f>"2026-02-26 06:15:13.416"</f>
        <v>2026-02-26 06:15:13.416</v>
      </c>
      <c r="H645" t="s">
        <v>21</v>
      </c>
    </row>
    <row r="646" spans="1:10" x14ac:dyDescent="0.25">
      <c r="A646" s="1">
        <v>73</v>
      </c>
      <c r="B646" t="s">
        <v>34</v>
      </c>
      <c r="C646">
        <v>635</v>
      </c>
      <c r="D646">
        <v>1</v>
      </c>
      <c r="E646" t="s">
        <v>37</v>
      </c>
      <c r="F646" t="s">
        <v>38</v>
      </c>
      <c r="G646" t="str">
        <f>"2026-02-26 06:11:31.416"</f>
        <v>2026-02-26 06:11:31.416</v>
      </c>
      <c r="H646" t="s">
        <v>21</v>
      </c>
      <c r="I646">
        <v>2.19</v>
      </c>
      <c r="J646" t="s">
        <v>39</v>
      </c>
    </row>
    <row r="647" spans="1:10" s="3" customFormat="1" x14ac:dyDescent="0.25">
      <c r="A647" s="2">
        <v>74</v>
      </c>
      <c r="B647" s="3" t="s">
        <v>31</v>
      </c>
      <c r="C647" s="3">
        <v>647</v>
      </c>
      <c r="D647" s="3">
        <v>1</v>
      </c>
      <c r="E647" s="3" t="s">
        <v>32</v>
      </c>
      <c r="F647" s="3" t="s">
        <v>33</v>
      </c>
      <c r="G647" s="3" t="str">
        <f>"2026-02-25 16:44:02.970"</f>
        <v>2026-02-25 16:44:02.970</v>
      </c>
      <c r="H647" s="3" t="s">
        <v>21</v>
      </c>
    </row>
    <row r="648" spans="1:10" s="3" customFormat="1" x14ac:dyDescent="0.25">
      <c r="A648" s="2">
        <v>75</v>
      </c>
      <c r="B648" s="3" t="s">
        <v>34</v>
      </c>
      <c r="C648" s="3">
        <v>647</v>
      </c>
      <c r="D648" s="3">
        <v>1</v>
      </c>
      <c r="E648" s="3" t="s">
        <v>32</v>
      </c>
      <c r="F648" s="3" t="s">
        <v>33</v>
      </c>
      <c r="G648" s="3" t="str">
        <f>"2026-02-25 16:43:59.870"</f>
        <v>2026-02-25 16:43:59.870</v>
      </c>
      <c r="H648" s="3" t="s">
        <v>21</v>
      </c>
      <c r="I648" s="3">
        <v>10.55</v>
      </c>
      <c r="J648" s="3" t="s">
        <v>35</v>
      </c>
    </row>
    <row r="649" spans="1:10" x14ac:dyDescent="0.25">
      <c r="A649" s="1">
        <v>76</v>
      </c>
      <c r="B649" t="s">
        <v>31</v>
      </c>
      <c r="C649">
        <v>42</v>
      </c>
      <c r="D649">
        <v>1</v>
      </c>
      <c r="E649" t="s">
        <v>77</v>
      </c>
      <c r="F649" t="s">
        <v>78</v>
      </c>
      <c r="G649" t="str">
        <f>"2026-02-25 14:09:29.967"</f>
        <v>2026-02-25 14:09:29.967</v>
      </c>
      <c r="H649" t="s">
        <v>47</v>
      </c>
    </row>
    <row r="650" spans="1:10" x14ac:dyDescent="0.25">
      <c r="A650" s="1">
        <v>77</v>
      </c>
      <c r="B650" t="s">
        <v>34</v>
      </c>
      <c r="C650">
        <v>42</v>
      </c>
      <c r="D650">
        <v>1</v>
      </c>
      <c r="E650" t="s">
        <v>77</v>
      </c>
      <c r="F650" t="s">
        <v>78</v>
      </c>
      <c r="G650" t="str">
        <f>"2026-02-25 14:09:00.247"</f>
        <v>2026-02-25 14:09:00.247</v>
      </c>
      <c r="H650" t="s">
        <v>47</v>
      </c>
      <c r="I650">
        <v>0</v>
      </c>
      <c r="J650" t="s">
        <v>26</v>
      </c>
    </row>
    <row r="651" spans="1:10" x14ac:dyDescent="0.25">
      <c r="A651" s="1">
        <v>78</v>
      </c>
      <c r="B651" t="s">
        <v>19</v>
      </c>
      <c r="C651">
        <v>706</v>
      </c>
      <c r="D651">
        <v>4</v>
      </c>
      <c r="E651" t="s">
        <v>27</v>
      </c>
      <c r="F651" t="s">
        <v>28</v>
      </c>
      <c r="G651" t="str">
        <f>"2026-02-25 13:36:30.127"</f>
        <v>2026-02-25 13:36:30.127</v>
      </c>
      <c r="H651" t="s">
        <v>21</v>
      </c>
      <c r="I651">
        <v>0</v>
      </c>
      <c r="J651" t="s">
        <v>26</v>
      </c>
    </row>
    <row r="652" spans="1:10" x14ac:dyDescent="0.25">
      <c r="A652" s="1">
        <v>79</v>
      </c>
      <c r="B652" t="s">
        <v>19</v>
      </c>
      <c r="C652">
        <v>706</v>
      </c>
      <c r="D652">
        <v>3</v>
      </c>
      <c r="E652" t="s">
        <v>27</v>
      </c>
      <c r="F652" t="s">
        <v>42</v>
      </c>
      <c r="G652" t="str">
        <f>"2026-02-25 13:36:15.847"</f>
        <v>2026-02-25 13:36:15.847</v>
      </c>
      <c r="H652" t="s">
        <v>21</v>
      </c>
      <c r="I652">
        <v>0</v>
      </c>
      <c r="J652" t="s">
        <v>26</v>
      </c>
    </row>
    <row r="653" spans="1:10" x14ac:dyDescent="0.25">
      <c r="A653" s="1">
        <v>80</v>
      </c>
      <c r="B653" t="s">
        <v>19</v>
      </c>
      <c r="C653">
        <v>706</v>
      </c>
      <c r="D653">
        <v>4</v>
      </c>
      <c r="E653" t="s">
        <v>27</v>
      </c>
      <c r="F653" t="s">
        <v>28</v>
      </c>
      <c r="G653" t="str">
        <f>"2026-02-25 13:24:10.857"</f>
        <v>2026-02-25 13:24:10.857</v>
      </c>
      <c r="H653" t="s">
        <v>21</v>
      </c>
      <c r="I653">
        <v>0</v>
      </c>
      <c r="J653" t="s">
        <v>26</v>
      </c>
    </row>
    <row r="654" spans="1:10" x14ac:dyDescent="0.25">
      <c r="A654" s="1">
        <v>81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"2026-02-25 13:23:46.647"</f>
        <v>2026-02-25 13:23:46.647</v>
      </c>
      <c r="H654" t="s">
        <v>21</v>
      </c>
      <c r="I654">
        <v>0</v>
      </c>
      <c r="J654" t="s">
        <v>30</v>
      </c>
    </row>
    <row r="655" spans="1:10" x14ac:dyDescent="0.25">
      <c r="A655" s="1">
        <v>82</v>
      </c>
      <c r="B655" t="s">
        <v>19</v>
      </c>
      <c r="C655">
        <v>700</v>
      </c>
      <c r="D655">
        <v>0</v>
      </c>
      <c r="E655" t="s">
        <v>20</v>
      </c>
      <c r="F655" t="s">
        <v>20</v>
      </c>
      <c r="G655" t="str">
        <f>"2026-02-25 13:04:25.639"</f>
        <v>2026-02-25 13:04:25.639</v>
      </c>
      <c r="H655" t="s">
        <v>21</v>
      </c>
      <c r="I655">
        <v>0</v>
      </c>
      <c r="J655" t="s">
        <v>30</v>
      </c>
    </row>
    <row r="656" spans="1:10" x14ac:dyDescent="0.25">
      <c r="A656" s="1">
        <v>83</v>
      </c>
      <c r="B656" t="s">
        <v>31</v>
      </c>
      <c r="C656">
        <v>630</v>
      </c>
      <c r="D656">
        <v>5</v>
      </c>
      <c r="E656" t="s">
        <v>23</v>
      </c>
      <c r="F656" t="s">
        <v>24</v>
      </c>
      <c r="G656" t="str">
        <f>"2026-02-25 02:57:21.042"</f>
        <v>2026-02-25 02:57:21.042</v>
      </c>
      <c r="H656" t="s">
        <v>25</v>
      </c>
    </row>
    <row r="657" spans="1:10" x14ac:dyDescent="0.25">
      <c r="A657" s="1">
        <v>84</v>
      </c>
      <c r="B657" t="s">
        <v>19</v>
      </c>
      <c r="C657">
        <v>706</v>
      </c>
      <c r="D657">
        <v>2</v>
      </c>
      <c r="E657" t="s">
        <v>27</v>
      </c>
      <c r="F657" t="s">
        <v>29</v>
      </c>
      <c r="G657" t="str">
        <f>"2026-02-25 02:56:50.934"</f>
        <v>2026-02-25 02:56:50.934</v>
      </c>
      <c r="H657" t="s">
        <v>21</v>
      </c>
      <c r="I657">
        <v>0</v>
      </c>
      <c r="J657" t="s">
        <v>26</v>
      </c>
    </row>
    <row r="658" spans="1:10" x14ac:dyDescent="0.25">
      <c r="A658" s="1">
        <v>85</v>
      </c>
      <c r="B658" t="s">
        <v>22</v>
      </c>
      <c r="C658">
        <v>630</v>
      </c>
      <c r="D658">
        <v>5</v>
      </c>
      <c r="E658" t="s">
        <v>23</v>
      </c>
      <c r="F658" t="s">
        <v>24</v>
      </c>
      <c r="G658" t="str">
        <f>"2026-02-25 02:53:22.443"</f>
        <v>2026-02-25 02:53:22.443</v>
      </c>
      <c r="H658" t="s">
        <v>25</v>
      </c>
      <c r="I658">
        <v>0</v>
      </c>
      <c r="J658" t="s">
        <v>26</v>
      </c>
    </row>
    <row r="659" spans="1:10" x14ac:dyDescent="0.25">
      <c r="A659" s="1">
        <v>86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"2026-02-25 02:48:19.634"</f>
        <v>2026-02-25 02:48:19.634</v>
      </c>
      <c r="H659" t="s">
        <v>21</v>
      </c>
      <c r="I659">
        <v>0</v>
      </c>
      <c r="J659" t="s">
        <v>30</v>
      </c>
    </row>
    <row r="660" spans="1:10" x14ac:dyDescent="0.25">
      <c r="A660" s="1">
        <v>87</v>
      </c>
      <c r="B660" t="s">
        <v>74</v>
      </c>
      <c r="C660">
        <v>128</v>
      </c>
      <c r="D660">
        <v>4</v>
      </c>
      <c r="E660" t="s">
        <v>75</v>
      </c>
      <c r="F660" t="s">
        <v>76</v>
      </c>
      <c r="G660" t="str">
        <f>"2026-02-24 20:52:08.211"</f>
        <v>2026-02-24 20:52:08.211</v>
      </c>
      <c r="H660" t="s">
        <v>60</v>
      </c>
    </row>
    <row r="661" spans="1:10" x14ac:dyDescent="0.25">
      <c r="A661" s="1">
        <v>88</v>
      </c>
      <c r="B661" t="s">
        <v>22</v>
      </c>
      <c r="C661">
        <v>128</v>
      </c>
      <c r="D661">
        <v>4</v>
      </c>
      <c r="E661" t="s">
        <v>75</v>
      </c>
      <c r="F661" t="s">
        <v>76</v>
      </c>
      <c r="G661" t="str">
        <f>"2026-02-24 20:52:03.195"</f>
        <v>2026-02-24 20:52:03.195</v>
      </c>
      <c r="H661" t="s">
        <v>60</v>
      </c>
      <c r="I661">
        <v>7.29</v>
      </c>
      <c r="J661" t="s">
        <v>39</v>
      </c>
    </row>
    <row r="662" spans="1:10" s="3" customFormat="1" x14ac:dyDescent="0.25">
      <c r="A662" s="2">
        <v>89</v>
      </c>
      <c r="B662" s="3" t="s">
        <v>31</v>
      </c>
      <c r="C662" s="3">
        <v>647</v>
      </c>
      <c r="D662" s="3">
        <v>1</v>
      </c>
      <c r="E662" s="3" t="s">
        <v>32</v>
      </c>
      <c r="F662" s="3" t="s">
        <v>33</v>
      </c>
      <c r="G662" s="3" t="str">
        <f>"2026-02-24 16:48:45.532"</f>
        <v>2026-02-24 16:48:45.532</v>
      </c>
      <c r="H662" s="3" t="s">
        <v>21</v>
      </c>
    </row>
    <row r="663" spans="1:10" s="3" customFormat="1" x14ac:dyDescent="0.25">
      <c r="A663" s="2">
        <v>90</v>
      </c>
      <c r="B663" s="3" t="s">
        <v>34</v>
      </c>
      <c r="C663" s="3">
        <v>647</v>
      </c>
      <c r="D663" s="3">
        <v>1</v>
      </c>
      <c r="E663" s="3" t="s">
        <v>32</v>
      </c>
      <c r="F663" s="3" t="s">
        <v>33</v>
      </c>
      <c r="G663" s="3" t="str">
        <f>"2026-02-24 16:48:42.832"</f>
        <v>2026-02-24 16:48:42.832</v>
      </c>
      <c r="H663" s="3" t="s">
        <v>21</v>
      </c>
      <c r="I663" s="3">
        <v>25</v>
      </c>
      <c r="J663" s="3" t="s">
        <v>35</v>
      </c>
    </row>
    <row r="664" spans="1:10" x14ac:dyDescent="0.25">
      <c r="A664" s="1">
        <v>91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"2026-02-24 12:21:29.590"</f>
        <v>2026-02-24 12:21:29.590</v>
      </c>
      <c r="H664" t="s">
        <v>21</v>
      </c>
    </row>
    <row r="665" spans="1:10" x14ac:dyDescent="0.25">
      <c r="A665" s="1">
        <v>92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"2026-02-24 09:30:04.717"</f>
        <v>2026-02-24 09:30:04.717</v>
      </c>
      <c r="H665" t="s">
        <v>21</v>
      </c>
      <c r="I665">
        <v>0</v>
      </c>
      <c r="J665" t="s">
        <v>30</v>
      </c>
    </row>
    <row r="666" spans="1:10" x14ac:dyDescent="0.25">
      <c r="A666" s="1">
        <v>94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"2026-02-23 10:28:30.773"</f>
        <v>2026-02-23 10:28:30.773</v>
      </c>
      <c r="H666" t="s">
        <v>21</v>
      </c>
    </row>
    <row r="667" spans="1:10" x14ac:dyDescent="0.25">
      <c r="A667" s="1">
        <v>95</v>
      </c>
      <c r="B667" t="s">
        <v>74</v>
      </c>
      <c r="C667">
        <v>128</v>
      </c>
      <c r="D667">
        <v>4</v>
      </c>
      <c r="E667" t="s">
        <v>75</v>
      </c>
      <c r="F667" t="s">
        <v>76</v>
      </c>
      <c r="G667" t="str">
        <f>"2026-02-23 05:24:42.207"</f>
        <v>2026-02-23 05:24:42.207</v>
      </c>
      <c r="H667" t="s">
        <v>60</v>
      </c>
    </row>
    <row r="668" spans="1:10" x14ac:dyDescent="0.25">
      <c r="A668" s="1">
        <v>96</v>
      </c>
      <c r="B668" t="s">
        <v>22</v>
      </c>
      <c r="C668">
        <v>128</v>
      </c>
      <c r="D668">
        <v>4</v>
      </c>
      <c r="E668" t="s">
        <v>75</v>
      </c>
      <c r="F668" t="s">
        <v>76</v>
      </c>
      <c r="G668" t="str">
        <f>"2026-02-23 05:24:37.130"</f>
        <v>2026-02-23 05:24:37.130</v>
      </c>
      <c r="H668" t="s">
        <v>60</v>
      </c>
      <c r="I668">
        <v>10.54</v>
      </c>
      <c r="J668" t="s">
        <v>39</v>
      </c>
    </row>
    <row r="669" spans="1:10" x14ac:dyDescent="0.25">
      <c r="A669" s="1">
        <v>97</v>
      </c>
      <c r="B669" t="s">
        <v>31</v>
      </c>
      <c r="C669">
        <v>635</v>
      </c>
      <c r="D669">
        <v>1</v>
      </c>
      <c r="E669" t="s">
        <v>37</v>
      </c>
      <c r="F669" t="s">
        <v>38</v>
      </c>
      <c r="G669" t="str">
        <f>"2026-02-23 04:22:51.074"</f>
        <v>2026-02-23 04:22:51.074</v>
      </c>
      <c r="H669" t="s">
        <v>21</v>
      </c>
    </row>
    <row r="670" spans="1:10" x14ac:dyDescent="0.25">
      <c r="A670" s="1">
        <v>98</v>
      </c>
      <c r="B670" t="s">
        <v>34</v>
      </c>
      <c r="C670">
        <v>635</v>
      </c>
      <c r="D670">
        <v>1</v>
      </c>
      <c r="E670" t="s">
        <v>37</v>
      </c>
      <c r="F670" t="s">
        <v>38</v>
      </c>
      <c r="G670" t="str">
        <f>"2026-02-23 04:19:17.574"</f>
        <v>2026-02-23 04:19:17.574</v>
      </c>
      <c r="H670" t="s">
        <v>21</v>
      </c>
      <c r="I670">
        <v>5.49</v>
      </c>
      <c r="J670" t="s">
        <v>39</v>
      </c>
    </row>
    <row r="671" spans="1:10" x14ac:dyDescent="0.25">
      <c r="A671" s="1">
        <v>99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"2026-02-22 11:44:05.596"</f>
        <v>2026-02-22 11:44:05.596</v>
      </c>
      <c r="H671" t="s">
        <v>21</v>
      </c>
      <c r="I671">
        <v>0</v>
      </c>
      <c r="J671" t="s">
        <v>30</v>
      </c>
    </row>
    <row r="672" spans="1:10" x14ac:dyDescent="0.25">
      <c r="A672" s="1">
        <v>0</v>
      </c>
      <c r="B672" t="s">
        <v>19</v>
      </c>
      <c r="C672">
        <v>706</v>
      </c>
      <c r="D672">
        <v>4</v>
      </c>
      <c r="E672" t="s">
        <v>27</v>
      </c>
      <c r="F672" t="s">
        <v>28</v>
      </c>
      <c r="G672" t="str">
        <f>"2026-02-22 00:31:49.611"</f>
        <v>2026-02-22 00:31:49.611</v>
      </c>
      <c r="H672" t="s">
        <v>21</v>
      </c>
      <c r="I672">
        <v>0</v>
      </c>
      <c r="J672" t="s">
        <v>26</v>
      </c>
    </row>
    <row r="673" spans="1:10" s="3" customFormat="1" x14ac:dyDescent="0.25">
      <c r="A673" s="2">
        <v>1</v>
      </c>
      <c r="B673" s="3" t="s">
        <v>31</v>
      </c>
      <c r="C673" s="3">
        <v>647</v>
      </c>
      <c r="D673" s="3">
        <v>1</v>
      </c>
      <c r="E673" s="3" t="s">
        <v>32</v>
      </c>
      <c r="F673" s="3" t="s">
        <v>33</v>
      </c>
      <c r="G673" s="3" t="str">
        <f>"2026-02-21 20:31:19.941"</f>
        <v>2026-02-21 20:31:19.941</v>
      </c>
      <c r="H673" s="3" t="s">
        <v>21</v>
      </c>
    </row>
    <row r="674" spans="1:10" s="3" customFormat="1" x14ac:dyDescent="0.25">
      <c r="A674" s="2">
        <v>2</v>
      </c>
      <c r="B674" s="3" t="s">
        <v>34</v>
      </c>
      <c r="C674" s="3">
        <v>647</v>
      </c>
      <c r="D674" s="3">
        <v>1</v>
      </c>
      <c r="E674" s="3" t="s">
        <v>32</v>
      </c>
      <c r="F674" s="3" t="s">
        <v>33</v>
      </c>
      <c r="G674" s="3" t="str">
        <f>"2026-02-21 20:31:13.141"</f>
        <v>2026-02-21 20:31:13.141</v>
      </c>
      <c r="H674" s="3" t="s">
        <v>21</v>
      </c>
      <c r="I674" s="3">
        <v>8.9600000000000009</v>
      </c>
      <c r="J674" s="3" t="s">
        <v>36</v>
      </c>
    </row>
    <row r="675" spans="1:10" s="3" customFormat="1" x14ac:dyDescent="0.25">
      <c r="A675" s="2">
        <v>3</v>
      </c>
      <c r="B675" s="3" t="s">
        <v>31</v>
      </c>
      <c r="C675" s="3">
        <v>647</v>
      </c>
      <c r="D675" s="3">
        <v>1</v>
      </c>
      <c r="E675" s="3" t="s">
        <v>32</v>
      </c>
      <c r="F675" s="3" t="s">
        <v>33</v>
      </c>
      <c r="G675" s="3" t="str">
        <f>"2026-02-21 17:20:38.941"</f>
        <v>2026-02-21 17:20:38.941</v>
      </c>
      <c r="H675" s="3" t="s">
        <v>21</v>
      </c>
    </row>
    <row r="676" spans="1:10" s="3" customFormat="1" x14ac:dyDescent="0.25">
      <c r="A676" s="2">
        <v>4</v>
      </c>
      <c r="B676" s="3" t="s">
        <v>34</v>
      </c>
      <c r="C676" s="3">
        <v>647</v>
      </c>
      <c r="D676" s="3">
        <v>1</v>
      </c>
      <c r="E676" s="3" t="s">
        <v>32</v>
      </c>
      <c r="F676" s="3" t="s">
        <v>33</v>
      </c>
      <c r="G676" s="3" t="str">
        <f>"2026-02-21 17:20:34.441"</f>
        <v>2026-02-21 17:20:34.441</v>
      </c>
      <c r="H676" s="3" t="s">
        <v>21</v>
      </c>
      <c r="I676" s="3">
        <v>9.91</v>
      </c>
      <c r="J676" s="3" t="s">
        <v>36</v>
      </c>
    </row>
    <row r="677" spans="1:10" x14ac:dyDescent="0.25">
      <c r="A677" s="1">
        <v>5</v>
      </c>
      <c r="B677" t="s">
        <v>31</v>
      </c>
      <c r="C677">
        <v>635</v>
      </c>
      <c r="D677">
        <v>1</v>
      </c>
      <c r="E677" t="s">
        <v>37</v>
      </c>
      <c r="F677" t="s">
        <v>38</v>
      </c>
      <c r="G677" t="str">
        <f>"2026-02-21 16:06:13.740"</f>
        <v>2026-02-21 16:06:13.740</v>
      </c>
      <c r="H677" t="s">
        <v>21</v>
      </c>
    </row>
    <row r="678" spans="1:10" x14ac:dyDescent="0.25">
      <c r="A678" s="1">
        <v>6</v>
      </c>
      <c r="B678" t="s">
        <v>34</v>
      </c>
      <c r="C678">
        <v>635</v>
      </c>
      <c r="D678">
        <v>1</v>
      </c>
      <c r="E678" t="s">
        <v>37</v>
      </c>
      <c r="F678" t="s">
        <v>38</v>
      </c>
      <c r="G678" t="str">
        <f>"2026-02-21 16:01:53.241"</f>
        <v>2026-02-21 16:01:53.241</v>
      </c>
      <c r="H678" t="s">
        <v>21</v>
      </c>
      <c r="I678">
        <v>2.5099999999999998</v>
      </c>
      <c r="J678" t="s">
        <v>39</v>
      </c>
    </row>
    <row r="679" spans="1:10" x14ac:dyDescent="0.25">
      <c r="A679" s="1">
        <v>7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"2026-02-21 14:20:32.631"</f>
        <v>2026-02-21 14:20:32.631</v>
      </c>
      <c r="H679" t="s">
        <v>21</v>
      </c>
      <c r="I679">
        <v>0</v>
      </c>
      <c r="J679" t="s">
        <v>30</v>
      </c>
    </row>
    <row r="680" spans="1:10" x14ac:dyDescent="0.25">
      <c r="A680" s="1">
        <v>8</v>
      </c>
      <c r="B680" t="s">
        <v>50</v>
      </c>
      <c r="C680">
        <v>125</v>
      </c>
      <c r="D680">
        <v>5</v>
      </c>
      <c r="E680" t="s">
        <v>79</v>
      </c>
      <c r="F680" t="s">
        <v>80</v>
      </c>
      <c r="G680" t="str">
        <f>"2026-02-21 05:22:33.247"</f>
        <v>2026-02-21 05:22:33.247</v>
      </c>
      <c r="H680" t="s">
        <v>60</v>
      </c>
    </row>
    <row r="681" spans="1:10" x14ac:dyDescent="0.25">
      <c r="A681" s="1">
        <v>9</v>
      </c>
      <c r="B681" t="s">
        <v>22</v>
      </c>
      <c r="C681">
        <v>125</v>
      </c>
      <c r="D681">
        <v>5</v>
      </c>
      <c r="E681" t="s">
        <v>79</v>
      </c>
      <c r="F681" t="s">
        <v>80</v>
      </c>
      <c r="G681" t="str">
        <f>"2026-02-21 05:22:30.389"</f>
        <v>2026-02-21 05:22:30.389</v>
      </c>
      <c r="H681" t="s">
        <v>60</v>
      </c>
      <c r="I681">
        <v>7.74</v>
      </c>
      <c r="J681" t="s">
        <v>39</v>
      </c>
    </row>
    <row r="682" spans="1:10" x14ac:dyDescent="0.25">
      <c r="A682" s="1">
        <v>10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"2026-02-21 03:48:00.635"</f>
        <v>2026-02-21 03:48:00.635</v>
      </c>
      <c r="H682" t="s">
        <v>21</v>
      </c>
      <c r="I682">
        <v>0</v>
      </c>
      <c r="J682" t="s">
        <v>30</v>
      </c>
    </row>
    <row r="683" spans="1:10" x14ac:dyDescent="0.25">
      <c r="A683" s="1">
        <v>11</v>
      </c>
      <c r="B683" t="s">
        <v>31</v>
      </c>
      <c r="C683">
        <v>635</v>
      </c>
      <c r="D683">
        <v>1</v>
      </c>
      <c r="E683" t="s">
        <v>37</v>
      </c>
      <c r="F683" t="s">
        <v>38</v>
      </c>
      <c r="G683" t="str">
        <f>"2026-02-20 14:41:35.413"</f>
        <v>2026-02-20 14:41:35.413</v>
      </c>
      <c r="H683" t="s">
        <v>21</v>
      </c>
    </row>
    <row r="684" spans="1:10" x14ac:dyDescent="0.25">
      <c r="A684" s="1">
        <v>12</v>
      </c>
      <c r="B684" t="s">
        <v>34</v>
      </c>
      <c r="C684">
        <v>635</v>
      </c>
      <c r="D684">
        <v>1</v>
      </c>
      <c r="E684" t="s">
        <v>37</v>
      </c>
      <c r="F684" t="s">
        <v>38</v>
      </c>
      <c r="G684" t="str">
        <f>"2026-02-20 14:37:29.913"</f>
        <v>2026-02-20 14:37:29.913</v>
      </c>
      <c r="H684" t="s">
        <v>21</v>
      </c>
      <c r="I684">
        <v>4.1100000000000003</v>
      </c>
      <c r="J684" t="s">
        <v>39</v>
      </c>
    </row>
    <row r="685" spans="1:10" x14ac:dyDescent="0.25">
      <c r="A685" s="1">
        <v>13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"2026-02-20 10:22:28.763"</f>
        <v>2026-02-20 10:22:28.763</v>
      </c>
      <c r="H685" t="s">
        <v>21</v>
      </c>
    </row>
    <row r="686" spans="1:10" x14ac:dyDescent="0.25">
      <c r="A686" s="1">
        <v>14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"2026-02-20 07:39:45.614"</f>
        <v>2026-02-20 07:39:45.614</v>
      </c>
      <c r="H686" t="s">
        <v>21</v>
      </c>
    </row>
    <row r="687" spans="1:10" x14ac:dyDescent="0.25">
      <c r="A687" s="1">
        <v>15</v>
      </c>
      <c r="B687" t="s">
        <v>31</v>
      </c>
      <c r="C687">
        <v>61</v>
      </c>
      <c r="D687">
        <v>2</v>
      </c>
      <c r="E687" t="s">
        <v>72</v>
      </c>
      <c r="F687" t="s">
        <v>73</v>
      </c>
      <c r="G687" t="str">
        <f>"2026-02-19 19:43:53.644"</f>
        <v>2026-02-19 19:43:53.644</v>
      </c>
      <c r="H687" t="s">
        <v>21</v>
      </c>
    </row>
    <row r="688" spans="1:10" x14ac:dyDescent="0.25">
      <c r="A688" s="1">
        <v>16</v>
      </c>
      <c r="B688" t="s">
        <v>22</v>
      </c>
      <c r="C688">
        <v>61</v>
      </c>
      <c r="D688">
        <v>2</v>
      </c>
      <c r="E688" t="s">
        <v>72</v>
      </c>
      <c r="F688" t="s">
        <v>73</v>
      </c>
      <c r="G688" t="str">
        <f>"2026-02-19 19:43:42.544"</f>
        <v>2026-02-19 19:43:42.544</v>
      </c>
      <c r="H688" t="s">
        <v>21</v>
      </c>
      <c r="I688">
        <v>29.09</v>
      </c>
      <c r="J688" t="s">
        <v>35</v>
      </c>
    </row>
    <row r="689" spans="1:10" x14ac:dyDescent="0.25">
      <c r="A689" s="1">
        <v>17</v>
      </c>
      <c r="B689" t="s">
        <v>31</v>
      </c>
      <c r="C689">
        <v>635</v>
      </c>
      <c r="D689">
        <v>1</v>
      </c>
      <c r="E689" t="s">
        <v>37</v>
      </c>
      <c r="F689" t="s">
        <v>38</v>
      </c>
      <c r="G689" t="str">
        <f>"2026-02-19 18:46:06.443"</f>
        <v>2026-02-19 18:46:06.443</v>
      </c>
      <c r="H689" t="s">
        <v>21</v>
      </c>
    </row>
    <row r="690" spans="1:10" x14ac:dyDescent="0.25">
      <c r="A690" s="1">
        <v>18</v>
      </c>
      <c r="B690" t="s">
        <v>34</v>
      </c>
      <c r="C690">
        <v>635</v>
      </c>
      <c r="D690">
        <v>1</v>
      </c>
      <c r="E690" t="s">
        <v>37</v>
      </c>
      <c r="F690" t="s">
        <v>38</v>
      </c>
      <c r="G690" t="str">
        <f>"2026-02-19 18:38:34.943"</f>
        <v>2026-02-19 18:38:34.943</v>
      </c>
      <c r="H690" t="s">
        <v>21</v>
      </c>
      <c r="I690">
        <v>1.1200000000000001</v>
      </c>
      <c r="J690" t="s">
        <v>39</v>
      </c>
    </row>
    <row r="691" spans="1:10" x14ac:dyDescent="0.25">
      <c r="A691" s="1">
        <v>19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"2026-02-19 18:18:02.589"</f>
        <v>2026-02-19 18:18:02.589</v>
      </c>
      <c r="H691" t="s">
        <v>21</v>
      </c>
    </row>
    <row r="692" spans="1:10" x14ac:dyDescent="0.25">
      <c r="A692" s="1">
        <v>20</v>
      </c>
      <c r="B692" t="s">
        <v>31</v>
      </c>
      <c r="C692">
        <v>630</v>
      </c>
      <c r="D692">
        <v>5</v>
      </c>
      <c r="E692" t="s">
        <v>23</v>
      </c>
      <c r="F692" t="s">
        <v>24</v>
      </c>
      <c r="G692" t="str">
        <f>"2026-02-19 17:55:10.375"</f>
        <v>2026-02-19 17:55:10.375</v>
      </c>
      <c r="H692" t="s">
        <v>25</v>
      </c>
    </row>
    <row r="693" spans="1:10" x14ac:dyDescent="0.25">
      <c r="A693" s="1">
        <v>21</v>
      </c>
      <c r="B693" t="s">
        <v>19</v>
      </c>
      <c r="C693">
        <v>706</v>
      </c>
      <c r="D693">
        <v>4</v>
      </c>
      <c r="E693" t="s">
        <v>27</v>
      </c>
      <c r="F693" t="s">
        <v>28</v>
      </c>
      <c r="G693" t="str">
        <f>"2026-02-19 17:54:40.248"</f>
        <v>2026-02-19 17:54:40.248</v>
      </c>
      <c r="H693" t="s">
        <v>21</v>
      </c>
      <c r="I693">
        <v>0</v>
      </c>
      <c r="J693" t="s">
        <v>26</v>
      </c>
    </row>
    <row r="694" spans="1:10" x14ac:dyDescent="0.25">
      <c r="A694" s="1">
        <v>22</v>
      </c>
      <c r="B694" t="s">
        <v>22</v>
      </c>
      <c r="C694">
        <v>630</v>
      </c>
      <c r="D694">
        <v>5</v>
      </c>
      <c r="E694" t="s">
        <v>23</v>
      </c>
      <c r="F694" t="s">
        <v>24</v>
      </c>
      <c r="G694" t="str">
        <f>"2026-02-19 17:44:54.376"</f>
        <v>2026-02-19 17:44:54.376</v>
      </c>
      <c r="H694" t="s">
        <v>25</v>
      </c>
      <c r="I694">
        <v>0</v>
      </c>
      <c r="J694" t="s">
        <v>26</v>
      </c>
    </row>
    <row r="695" spans="1:10" x14ac:dyDescent="0.25">
      <c r="A695" s="1">
        <v>23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"2026-02-19 17:39:51.598"</f>
        <v>2026-02-19 17:39:51.598</v>
      </c>
      <c r="H695" t="s">
        <v>21</v>
      </c>
    </row>
    <row r="696" spans="1:10" x14ac:dyDescent="0.25">
      <c r="A696" s="1">
        <v>24</v>
      </c>
      <c r="B696" t="s">
        <v>31</v>
      </c>
      <c r="C696">
        <v>14</v>
      </c>
      <c r="D696">
        <v>4</v>
      </c>
      <c r="E696" t="s">
        <v>48</v>
      </c>
      <c r="F696" t="s">
        <v>81</v>
      </c>
      <c r="G696" t="str">
        <f>"2026-02-19 16:18:54.295"</f>
        <v>2026-02-19 16:18:54.295</v>
      </c>
      <c r="H696" t="s">
        <v>25</v>
      </c>
    </row>
    <row r="697" spans="1:10" x14ac:dyDescent="0.25">
      <c r="A697" s="1">
        <v>25</v>
      </c>
      <c r="B697" t="s">
        <v>34</v>
      </c>
      <c r="C697">
        <v>14</v>
      </c>
      <c r="D697">
        <v>4</v>
      </c>
      <c r="E697" t="s">
        <v>48</v>
      </c>
      <c r="F697" t="s">
        <v>81</v>
      </c>
      <c r="G697" t="str">
        <f>"2026-02-19 16:18:31.195"</f>
        <v>2026-02-19 16:18:31.195</v>
      </c>
      <c r="H697" t="s">
        <v>25</v>
      </c>
      <c r="I697">
        <v>0</v>
      </c>
      <c r="J697" t="s">
        <v>26</v>
      </c>
    </row>
    <row r="698" spans="1:10" x14ac:dyDescent="0.25">
      <c r="A698" s="1">
        <v>26</v>
      </c>
      <c r="B698" t="s">
        <v>22</v>
      </c>
      <c r="C698">
        <v>630</v>
      </c>
      <c r="D698">
        <v>5</v>
      </c>
      <c r="E698" t="s">
        <v>23</v>
      </c>
      <c r="F698" t="s">
        <v>24</v>
      </c>
      <c r="G698" t="str">
        <f>"2026-02-19 16:12:44.575"</f>
        <v>2026-02-19 16:12:44.575</v>
      </c>
      <c r="H698" t="s">
        <v>25</v>
      </c>
      <c r="I698">
        <v>0</v>
      </c>
      <c r="J698" t="s">
        <v>26</v>
      </c>
    </row>
    <row r="699" spans="1:10" x14ac:dyDescent="0.25">
      <c r="A699" s="1">
        <v>27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"2026-02-19 16:07:41.777"</f>
        <v>2026-02-19 16:07:41.777</v>
      </c>
      <c r="H699" t="s">
        <v>21</v>
      </c>
    </row>
    <row r="700" spans="1:10" x14ac:dyDescent="0.25">
      <c r="A700" s="1">
        <v>28</v>
      </c>
      <c r="B700" t="s">
        <v>19</v>
      </c>
      <c r="C700">
        <v>706</v>
      </c>
      <c r="D700">
        <v>2</v>
      </c>
      <c r="E700" t="s">
        <v>27</v>
      </c>
      <c r="F700" t="s">
        <v>29</v>
      </c>
      <c r="G700" t="str">
        <f>"2026-02-19 13:26:37.298"</f>
        <v>2026-02-19 13:26:37.298</v>
      </c>
      <c r="H700" t="s">
        <v>21</v>
      </c>
      <c r="I700">
        <v>0</v>
      </c>
      <c r="J700" t="s">
        <v>26</v>
      </c>
    </row>
    <row r="701" spans="1:10" x14ac:dyDescent="0.25">
      <c r="A701" s="1">
        <v>29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"2026-02-19 13:26:19.798"</f>
        <v>2026-02-19 13:26:19.798</v>
      </c>
      <c r="H701" t="s">
        <v>21</v>
      </c>
      <c r="I701">
        <v>0</v>
      </c>
      <c r="J701" t="s">
        <v>30</v>
      </c>
    </row>
    <row r="702" spans="1:10" x14ac:dyDescent="0.25">
      <c r="A702" s="1">
        <v>31</v>
      </c>
      <c r="B702" t="s">
        <v>74</v>
      </c>
      <c r="C702">
        <v>228</v>
      </c>
      <c r="D702">
        <v>7</v>
      </c>
      <c r="E702" t="s">
        <v>82</v>
      </c>
      <c r="F702" t="s">
        <v>83</v>
      </c>
      <c r="G702" t="str">
        <f>"2026-02-19 10:00:46.222"</f>
        <v>2026-02-19 10:00:46.222</v>
      </c>
      <c r="H702" t="s">
        <v>53</v>
      </c>
    </row>
    <row r="703" spans="1:10" x14ac:dyDescent="0.25">
      <c r="A703" s="1">
        <v>32</v>
      </c>
      <c r="B703" t="s">
        <v>22</v>
      </c>
      <c r="C703">
        <v>228</v>
      </c>
      <c r="D703">
        <v>7</v>
      </c>
      <c r="E703" t="s">
        <v>82</v>
      </c>
      <c r="F703" t="s">
        <v>83</v>
      </c>
      <c r="G703" t="str">
        <f>"2026-02-19 10:00:41.186"</f>
        <v>2026-02-19 10:00:41.186</v>
      </c>
      <c r="H703" t="s">
        <v>53</v>
      </c>
      <c r="I703">
        <v>1.87</v>
      </c>
      <c r="J703" t="s">
        <v>36</v>
      </c>
    </row>
    <row r="704" spans="1:10" x14ac:dyDescent="0.25">
      <c r="A704" s="1">
        <v>33</v>
      </c>
      <c r="B704" t="s">
        <v>74</v>
      </c>
      <c r="C704">
        <v>228</v>
      </c>
      <c r="D704">
        <v>7</v>
      </c>
      <c r="E704" t="s">
        <v>82</v>
      </c>
      <c r="F704" t="s">
        <v>83</v>
      </c>
      <c r="G704" t="str">
        <f>"2026-02-19 03:09:46.822"</f>
        <v>2026-02-19 03:09:46.822</v>
      </c>
      <c r="H704" t="s">
        <v>53</v>
      </c>
    </row>
    <row r="705" spans="1:10" x14ac:dyDescent="0.25">
      <c r="A705" s="1">
        <v>34</v>
      </c>
      <c r="B705" t="s">
        <v>22</v>
      </c>
      <c r="C705">
        <v>228</v>
      </c>
      <c r="D705">
        <v>7</v>
      </c>
      <c r="E705" t="s">
        <v>82</v>
      </c>
      <c r="F705" t="s">
        <v>83</v>
      </c>
      <c r="G705" t="str">
        <f>"2026-02-19 03:09:41.726"</f>
        <v>2026-02-19 03:09:41.726</v>
      </c>
      <c r="H705" t="s">
        <v>53</v>
      </c>
      <c r="I705">
        <v>9.1999999999999993</v>
      </c>
      <c r="J705" t="s">
        <v>39</v>
      </c>
    </row>
    <row r="706" spans="1:10" s="3" customFormat="1" x14ac:dyDescent="0.25">
      <c r="A706" s="2">
        <v>35</v>
      </c>
      <c r="B706" s="3" t="s">
        <v>31</v>
      </c>
      <c r="C706" s="3">
        <v>647</v>
      </c>
      <c r="D706" s="3">
        <v>1</v>
      </c>
      <c r="E706" s="3" t="s">
        <v>32</v>
      </c>
      <c r="F706" s="3" t="s">
        <v>33</v>
      </c>
      <c r="G706" s="3" t="str">
        <f>"2026-02-19 01:46:46.030"</f>
        <v>2026-02-19 01:46:46.030</v>
      </c>
      <c r="H706" s="3" t="s">
        <v>21</v>
      </c>
    </row>
    <row r="707" spans="1:10" s="3" customFormat="1" x14ac:dyDescent="0.25">
      <c r="A707" s="2">
        <v>36</v>
      </c>
      <c r="B707" s="3" t="s">
        <v>34</v>
      </c>
      <c r="C707" s="3">
        <v>647</v>
      </c>
      <c r="D707" s="3">
        <v>1</v>
      </c>
      <c r="E707" s="3" t="s">
        <v>32</v>
      </c>
      <c r="F707" s="3" t="s">
        <v>33</v>
      </c>
      <c r="G707" s="3" t="str">
        <f>"2026-02-19 01:46:41.431"</f>
        <v>2026-02-19 01:46:41.431</v>
      </c>
      <c r="H707" s="3" t="s">
        <v>21</v>
      </c>
      <c r="I707" s="3">
        <v>8.77</v>
      </c>
      <c r="J707" s="3" t="s">
        <v>35</v>
      </c>
    </row>
    <row r="708" spans="1:10" x14ac:dyDescent="0.25">
      <c r="A708" s="1">
        <v>37</v>
      </c>
      <c r="B708" t="s">
        <v>19</v>
      </c>
      <c r="C708">
        <v>706</v>
      </c>
      <c r="D708">
        <v>4</v>
      </c>
      <c r="E708" t="s">
        <v>27</v>
      </c>
      <c r="F708" t="s">
        <v>28</v>
      </c>
      <c r="G708" t="str">
        <f>"2026-02-18 21:56:28.262"</f>
        <v>2026-02-18 21:56:28.262</v>
      </c>
      <c r="H708" t="s">
        <v>21</v>
      </c>
      <c r="I708">
        <v>0</v>
      </c>
      <c r="J708" t="s">
        <v>26</v>
      </c>
    </row>
    <row r="709" spans="1:10" x14ac:dyDescent="0.25">
      <c r="A709" s="1">
        <v>38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"2026-02-18 21:56:03.602"</f>
        <v>2026-02-18 21:56:03.602</v>
      </c>
      <c r="H709" t="s">
        <v>21</v>
      </c>
      <c r="I709">
        <v>0</v>
      </c>
      <c r="J709" t="s">
        <v>30</v>
      </c>
    </row>
    <row r="710" spans="1:10" x14ac:dyDescent="0.25">
      <c r="A710" s="1">
        <v>39</v>
      </c>
      <c r="B710" t="s">
        <v>31</v>
      </c>
      <c r="C710">
        <v>6</v>
      </c>
      <c r="D710">
        <v>1</v>
      </c>
      <c r="E710" t="s">
        <v>84</v>
      </c>
      <c r="F710" t="s">
        <v>85</v>
      </c>
      <c r="G710" t="str">
        <f>"2026-02-18 12:46:38.445"</f>
        <v>2026-02-18 12:46:38.445</v>
      </c>
      <c r="H710" t="s">
        <v>64</v>
      </c>
    </row>
    <row r="711" spans="1:10" x14ac:dyDescent="0.25">
      <c r="A711" s="1">
        <v>40</v>
      </c>
      <c r="B711" t="s">
        <v>31</v>
      </c>
      <c r="C711">
        <v>75</v>
      </c>
      <c r="D711">
        <v>1</v>
      </c>
      <c r="E711" t="s">
        <v>86</v>
      </c>
      <c r="F711" t="s">
        <v>87</v>
      </c>
      <c r="G711" t="str">
        <f>"2026-02-18 12:46:38.443"</f>
        <v>2026-02-18 12:46:38.443</v>
      </c>
      <c r="H711" t="s">
        <v>53</v>
      </c>
    </row>
    <row r="712" spans="1:10" x14ac:dyDescent="0.25">
      <c r="A712" s="1">
        <v>41</v>
      </c>
      <c r="B712" t="s">
        <v>31</v>
      </c>
      <c r="C712">
        <v>74</v>
      </c>
      <c r="D712">
        <v>1</v>
      </c>
      <c r="E712" t="s">
        <v>88</v>
      </c>
      <c r="F712" t="s">
        <v>89</v>
      </c>
      <c r="G712" t="str">
        <f>"2026-02-18 12:46:38.442"</f>
        <v>2026-02-18 12:46:38.442</v>
      </c>
      <c r="H712" t="s">
        <v>60</v>
      </c>
    </row>
    <row r="713" spans="1:10" x14ac:dyDescent="0.25">
      <c r="A713" s="1">
        <v>42</v>
      </c>
      <c r="B713" t="s">
        <v>34</v>
      </c>
      <c r="C713">
        <v>75</v>
      </c>
      <c r="D713">
        <v>1</v>
      </c>
      <c r="E713" t="s">
        <v>86</v>
      </c>
      <c r="F713" t="s">
        <v>87</v>
      </c>
      <c r="G713" t="str">
        <f>"2026-02-18 12:46:27.053"</f>
        <v>2026-02-18 12:46:27.053</v>
      </c>
      <c r="H713" t="s">
        <v>53</v>
      </c>
      <c r="I713">
        <v>0</v>
      </c>
      <c r="J713" t="s">
        <v>26</v>
      </c>
    </row>
    <row r="714" spans="1:10" x14ac:dyDescent="0.25">
      <c r="A714" s="1">
        <v>43</v>
      </c>
      <c r="B714" t="s">
        <v>34</v>
      </c>
      <c r="C714">
        <v>74</v>
      </c>
      <c r="D714">
        <v>1</v>
      </c>
      <c r="E714" t="s">
        <v>88</v>
      </c>
      <c r="F714" t="s">
        <v>89</v>
      </c>
      <c r="G714" t="str">
        <f>"2026-02-18 12:46:27.047"</f>
        <v>2026-02-18 12:46:27.047</v>
      </c>
      <c r="H714" t="s">
        <v>60</v>
      </c>
      <c r="I714">
        <v>0</v>
      </c>
      <c r="J714" t="s">
        <v>26</v>
      </c>
    </row>
    <row r="715" spans="1:10" x14ac:dyDescent="0.25">
      <c r="A715" s="1">
        <v>44</v>
      </c>
      <c r="B715" t="s">
        <v>22</v>
      </c>
      <c r="C715">
        <v>6</v>
      </c>
      <c r="D715">
        <v>1</v>
      </c>
      <c r="E715" t="s">
        <v>84</v>
      </c>
      <c r="F715" t="s">
        <v>85</v>
      </c>
      <c r="G715" t="str">
        <f>"2026-02-18 12:46:27.042"</f>
        <v>2026-02-18 12:46:27.042</v>
      </c>
      <c r="H715" t="s">
        <v>64</v>
      </c>
      <c r="I715">
        <v>0</v>
      </c>
      <c r="J715" t="s">
        <v>26</v>
      </c>
    </row>
    <row r="716" spans="1:10" x14ac:dyDescent="0.25">
      <c r="A716" s="1">
        <v>49</v>
      </c>
      <c r="B716" t="s">
        <v>50</v>
      </c>
      <c r="C716">
        <v>225</v>
      </c>
      <c r="D716">
        <v>5</v>
      </c>
      <c r="E716" t="s">
        <v>90</v>
      </c>
      <c r="F716" t="s">
        <v>80</v>
      </c>
      <c r="G716" t="str">
        <f>"2026-02-17 21:02:59.004"</f>
        <v>2026-02-17 21:02:59.004</v>
      </c>
      <c r="H716" t="s">
        <v>53</v>
      </c>
    </row>
    <row r="717" spans="1:10" x14ac:dyDescent="0.25">
      <c r="A717" s="1">
        <v>50</v>
      </c>
      <c r="B717" t="s">
        <v>22</v>
      </c>
      <c r="C717">
        <v>225</v>
      </c>
      <c r="D717">
        <v>5</v>
      </c>
      <c r="E717" t="s">
        <v>90</v>
      </c>
      <c r="F717" t="s">
        <v>80</v>
      </c>
      <c r="G717" t="str">
        <f>"2026-02-17 21:02:56.099"</f>
        <v>2026-02-17 21:02:56.099</v>
      </c>
      <c r="H717" t="s">
        <v>53</v>
      </c>
      <c r="I717">
        <v>5.94</v>
      </c>
      <c r="J717" t="s">
        <v>39</v>
      </c>
    </row>
    <row r="718" spans="1:10" x14ac:dyDescent="0.25">
      <c r="A718" s="1">
        <v>51</v>
      </c>
      <c r="B718" t="s">
        <v>74</v>
      </c>
      <c r="C718">
        <v>228</v>
      </c>
      <c r="D718">
        <v>4</v>
      </c>
      <c r="E718" t="s">
        <v>82</v>
      </c>
      <c r="F718" t="s">
        <v>76</v>
      </c>
      <c r="G718" t="str">
        <f>"2026-02-17 08:04:25.104"</f>
        <v>2026-02-17 08:04:25.104</v>
      </c>
      <c r="H718" t="s">
        <v>53</v>
      </c>
    </row>
    <row r="719" spans="1:10" x14ac:dyDescent="0.25">
      <c r="A719" s="1">
        <v>52</v>
      </c>
      <c r="B719" t="s">
        <v>22</v>
      </c>
      <c r="C719">
        <v>228</v>
      </c>
      <c r="D719">
        <v>4</v>
      </c>
      <c r="E719" t="s">
        <v>82</v>
      </c>
      <c r="F719" t="s">
        <v>76</v>
      </c>
      <c r="G719" t="str">
        <f>"2026-02-17 08:04:20.099"</f>
        <v>2026-02-17 08:04:20.099</v>
      </c>
      <c r="H719" t="s">
        <v>53</v>
      </c>
      <c r="I719">
        <v>5.79</v>
      </c>
      <c r="J719" t="s">
        <v>39</v>
      </c>
    </row>
    <row r="720" spans="1:10" x14ac:dyDescent="0.25">
      <c r="A720" s="1">
        <v>53</v>
      </c>
      <c r="B720" t="s">
        <v>74</v>
      </c>
      <c r="C720">
        <v>228</v>
      </c>
      <c r="D720">
        <v>4</v>
      </c>
      <c r="E720" t="s">
        <v>82</v>
      </c>
      <c r="F720" t="s">
        <v>76</v>
      </c>
      <c r="G720" t="str">
        <f>"2026-02-16 23:42:04.704"</f>
        <v>2026-02-16 23:42:04.704</v>
      </c>
      <c r="H720" t="s">
        <v>53</v>
      </c>
    </row>
    <row r="721" spans="1:10" x14ac:dyDescent="0.25">
      <c r="A721" s="1">
        <v>54</v>
      </c>
      <c r="B721" t="s">
        <v>22</v>
      </c>
      <c r="C721">
        <v>228</v>
      </c>
      <c r="D721">
        <v>4</v>
      </c>
      <c r="E721" t="s">
        <v>82</v>
      </c>
      <c r="F721" t="s">
        <v>76</v>
      </c>
      <c r="G721" t="str">
        <f>"2026-02-16 23:41:59.639"</f>
        <v>2026-02-16 23:41:59.639</v>
      </c>
      <c r="H721" t="s">
        <v>53</v>
      </c>
      <c r="I721">
        <v>7.51</v>
      </c>
      <c r="J721" t="s">
        <v>39</v>
      </c>
    </row>
    <row r="722" spans="1:10" x14ac:dyDescent="0.25">
      <c r="A722" s="1">
        <v>55</v>
      </c>
      <c r="B722" t="s">
        <v>31</v>
      </c>
      <c r="C722">
        <v>630</v>
      </c>
      <c r="D722">
        <v>5</v>
      </c>
      <c r="E722" t="s">
        <v>23</v>
      </c>
      <c r="F722" t="s">
        <v>24</v>
      </c>
      <c r="G722" t="str">
        <f>"2026-02-16 16:50:09.416"</f>
        <v>2026-02-16 16:50:09.416</v>
      </c>
      <c r="H722" t="s">
        <v>25</v>
      </c>
    </row>
    <row r="723" spans="1:10" x14ac:dyDescent="0.25">
      <c r="A723" s="1">
        <v>56</v>
      </c>
      <c r="B723" t="s">
        <v>19</v>
      </c>
      <c r="C723">
        <v>706</v>
      </c>
      <c r="D723">
        <v>4</v>
      </c>
      <c r="E723" t="s">
        <v>27</v>
      </c>
      <c r="F723" t="s">
        <v>28</v>
      </c>
      <c r="G723" t="str">
        <f>"2026-02-16 16:49:39.325"</f>
        <v>2026-02-16 16:49:39.325</v>
      </c>
      <c r="H723" t="s">
        <v>21</v>
      </c>
      <c r="I723">
        <v>0</v>
      </c>
      <c r="J723" t="s">
        <v>26</v>
      </c>
    </row>
    <row r="724" spans="1:10" x14ac:dyDescent="0.25">
      <c r="A724" s="1">
        <v>57</v>
      </c>
      <c r="B724" t="s">
        <v>22</v>
      </c>
      <c r="C724">
        <v>630</v>
      </c>
      <c r="D724">
        <v>5</v>
      </c>
      <c r="E724" t="s">
        <v>23</v>
      </c>
      <c r="F724" t="s">
        <v>24</v>
      </c>
      <c r="G724" t="str">
        <f>"2026-02-16 16:41:03.516"</f>
        <v>2026-02-16 16:41:03.516</v>
      </c>
      <c r="H724" t="s">
        <v>25</v>
      </c>
      <c r="I724">
        <v>0</v>
      </c>
      <c r="J724" t="s">
        <v>26</v>
      </c>
    </row>
    <row r="725" spans="1:10" x14ac:dyDescent="0.25">
      <c r="A725" s="1">
        <v>58</v>
      </c>
      <c r="B725" t="s">
        <v>31</v>
      </c>
      <c r="C725">
        <v>635</v>
      </c>
      <c r="D725">
        <v>1</v>
      </c>
      <c r="E725" t="s">
        <v>37</v>
      </c>
      <c r="F725" t="s">
        <v>38</v>
      </c>
      <c r="G725" t="str">
        <f>"2026-02-16 09:38:21.115"</f>
        <v>2026-02-16 09:38:21.115</v>
      </c>
      <c r="H725" t="s">
        <v>21</v>
      </c>
    </row>
    <row r="726" spans="1:10" x14ac:dyDescent="0.25">
      <c r="A726" s="1">
        <v>59</v>
      </c>
      <c r="B726" t="s">
        <v>34</v>
      </c>
      <c r="C726">
        <v>635</v>
      </c>
      <c r="D726">
        <v>1</v>
      </c>
      <c r="E726" t="s">
        <v>37</v>
      </c>
      <c r="F726" t="s">
        <v>38</v>
      </c>
      <c r="G726" t="str">
        <f>"2026-02-16 09:30:44.215"</f>
        <v>2026-02-16 09:30:44.215</v>
      </c>
      <c r="H726" t="s">
        <v>21</v>
      </c>
      <c r="I726">
        <v>5.21</v>
      </c>
      <c r="J726" t="s">
        <v>39</v>
      </c>
    </row>
    <row r="727" spans="1:10" x14ac:dyDescent="0.25">
      <c r="A727" s="1">
        <v>60</v>
      </c>
      <c r="B727" t="s">
        <v>50</v>
      </c>
      <c r="C727">
        <v>33</v>
      </c>
      <c r="D727">
        <v>1</v>
      </c>
      <c r="E727" t="s">
        <v>91</v>
      </c>
      <c r="F727" t="s">
        <v>92</v>
      </c>
      <c r="G727" t="str">
        <f>"2026-02-16 02:34:05.215"</f>
        <v>2026-02-16 02:34:05.215</v>
      </c>
      <c r="H727" t="s">
        <v>93</v>
      </c>
    </row>
    <row r="728" spans="1:10" x14ac:dyDescent="0.25">
      <c r="A728" s="1">
        <v>61</v>
      </c>
      <c r="B728" t="s">
        <v>22</v>
      </c>
      <c r="C728">
        <v>33</v>
      </c>
      <c r="D728">
        <v>1</v>
      </c>
      <c r="E728" t="s">
        <v>91</v>
      </c>
      <c r="F728" t="s">
        <v>92</v>
      </c>
      <c r="G728" t="str">
        <f>"2026-02-16 02:33:32.953"</f>
        <v>2026-02-16 02:33:32.953</v>
      </c>
      <c r="H728" t="s">
        <v>93</v>
      </c>
      <c r="I728">
        <v>10.27</v>
      </c>
      <c r="J728" t="s">
        <v>39</v>
      </c>
    </row>
    <row r="729" spans="1:10" x14ac:dyDescent="0.25">
      <c r="A729" s="1">
        <v>62</v>
      </c>
      <c r="B729" t="s">
        <v>31</v>
      </c>
      <c r="C729">
        <v>61</v>
      </c>
      <c r="D729">
        <v>2</v>
      </c>
      <c r="E729" t="s">
        <v>72</v>
      </c>
      <c r="F729" t="s">
        <v>73</v>
      </c>
      <c r="G729" t="str">
        <f>"2026-02-15 07:38:34.315"</f>
        <v>2026-02-15 07:38:34.315</v>
      </c>
      <c r="H729" t="s">
        <v>21</v>
      </c>
    </row>
    <row r="730" spans="1:10" x14ac:dyDescent="0.25">
      <c r="A730" s="1">
        <v>63</v>
      </c>
      <c r="B730" t="s">
        <v>22</v>
      </c>
      <c r="C730">
        <v>61</v>
      </c>
      <c r="D730">
        <v>2</v>
      </c>
      <c r="E730" t="s">
        <v>72</v>
      </c>
      <c r="F730" t="s">
        <v>73</v>
      </c>
      <c r="G730" t="str">
        <f>"2026-02-15 07:38:18.716"</f>
        <v>2026-02-15 07:38:18.716</v>
      </c>
      <c r="H730" t="s">
        <v>21</v>
      </c>
      <c r="I730">
        <v>30.3</v>
      </c>
      <c r="J730" t="s">
        <v>35</v>
      </c>
    </row>
    <row r="731" spans="1:10" x14ac:dyDescent="0.25">
      <c r="A731" s="1">
        <v>64</v>
      </c>
      <c r="B731" t="s">
        <v>50</v>
      </c>
      <c r="C731">
        <v>225</v>
      </c>
      <c r="D731">
        <v>5</v>
      </c>
      <c r="E731" t="s">
        <v>90</v>
      </c>
      <c r="F731" t="s">
        <v>80</v>
      </c>
      <c r="G731" t="str">
        <f>"2026-02-15 06:29:57.505"</f>
        <v>2026-02-15 06:29:57.505</v>
      </c>
      <c r="H731" t="s">
        <v>53</v>
      </c>
    </row>
    <row r="732" spans="1:10" x14ac:dyDescent="0.25">
      <c r="A732" s="1">
        <v>65</v>
      </c>
      <c r="B732" t="s">
        <v>22</v>
      </c>
      <c r="C732">
        <v>225</v>
      </c>
      <c r="D732">
        <v>5</v>
      </c>
      <c r="E732" t="s">
        <v>90</v>
      </c>
      <c r="F732" t="s">
        <v>80</v>
      </c>
      <c r="G732" t="str">
        <f>"2026-02-15 06:29:54.839"</f>
        <v>2026-02-15 06:29:54.839</v>
      </c>
      <c r="H732" t="s">
        <v>53</v>
      </c>
      <c r="I732">
        <v>19.25</v>
      </c>
      <c r="J732" t="s">
        <v>39</v>
      </c>
    </row>
    <row r="733" spans="1:10" s="3" customFormat="1" x14ac:dyDescent="0.25">
      <c r="A733" s="2">
        <v>67</v>
      </c>
      <c r="B733" s="3" t="s">
        <v>31</v>
      </c>
      <c r="C733" s="3">
        <v>647</v>
      </c>
      <c r="D733" s="3">
        <v>1</v>
      </c>
      <c r="E733" s="3" t="s">
        <v>32</v>
      </c>
      <c r="F733" s="3" t="s">
        <v>33</v>
      </c>
      <c r="G733" s="3" t="str">
        <f>"2026-02-14 20:31:10.216"</f>
        <v>2026-02-14 20:31:10.216</v>
      </c>
      <c r="H733" s="3" t="s">
        <v>21</v>
      </c>
    </row>
    <row r="734" spans="1:10" s="3" customFormat="1" x14ac:dyDescent="0.25">
      <c r="A734" s="2">
        <v>68</v>
      </c>
      <c r="B734" s="3" t="s">
        <v>34</v>
      </c>
      <c r="C734" s="3">
        <v>647</v>
      </c>
      <c r="D734" s="3">
        <v>1</v>
      </c>
      <c r="E734" s="3" t="s">
        <v>32</v>
      </c>
      <c r="F734" s="3" t="s">
        <v>33</v>
      </c>
      <c r="G734" s="3" t="str">
        <f>"2026-02-14 20:31:08.516"</f>
        <v>2026-02-14 20:31:08.516</v>
      </c>
      <c r="H734" s="3" t="s">
        <v>21</v>
      </c>
      <c r="I734" s="3">
        <v>18.489999999999998</v>
      </c>
      <c r="J734" s="3" t="s">
        <v>35</v>
      </c>
    </row>
    <row r="735" spans="1:10" x14ac:dyDescent="0.25">
      <c r="A735" s="1">
        <v>69</v>
      </c>
      <c r="B735" t="s">
        <v>31</v>
      </c>
      <c r="C735">
        <v>61</v>
      </c>
      <c r="D735">
        <v>2</v>
      </c>
      <c r="E735" t="s">
        <v>72</v>
      </c>
      <c r="F735" t="s">
        <v>73</v>
      </c>
      <c r="G735" t="str">
        <f>"2026-02-14 11:18:17.115"</f>
        <v>2026-02-14 11:18:17.115</v>
      </c>
      <c r="H735" t="s">
        <v>21</v>
      </c>
    </row>
    <row r="736" spans="1:10" x14ac:dyDescent="0.25">
      <c r="A736" s="1">
        <v>70</v>
      </c>
      <c r="B736" t="s">
        <v>22</v>
      </c>
      <c r="C736">
        <v>61</v>
      </c>
      <c r="D736">
        <v>2</v>
      </c>
      <c r="E736" t="s">
        <v>72</v>
      </c>
      <c r="F736" t="s">
        <v>73</v>
      </c>
      <c r="G736" t="str">
        <f>"2026-02-14 11:18:12.115"</f>
        <v>2026-02-14 11:18:12.115</v>
      </c>
      <c r="H736" t="s">
        <v>21</v>
      </c>
      <c r="I736">
        <v>29.95</v>
      </c>
      <c r="J736" t="s">
        <v>35</v>
      </c>
    </row>
    <row r="737" spans="1:10" x14ac:dyDescent="0.25">
      <c r="A737" s="1">
        <v>71</v>
      </c>
      <c r="B737" t="s">
        <v>31</v>
      </c>
      <c r="C737">
        <v>61</v>
      </c>
      <c r="D737">
        <v>2</v>
      </c>
      <c r="E737" t="s">
        <v>72</v>
      </c>
      <c r="F737" t="s">
        <v>73</v>
      </c>
      <c r="G737" t="str">
        <f>"2026-02-14 07:13:58.016"</f>
        <v>2026-02-14 07:13:58.016</v>
      </c>
      <c r="H737" t="s">
        <v>21</v>
      </c>
    </row>
    <row r="738" spans="1:10" x14ac:dyDescent="0.25">
      <c r="A738" s="1">
        <v>72</v>
      </c>
      <c r="B738" t="s">
        <v>22</v>
      </c>
      <c r="C738">
        <v>61</v>
      </c>
      <c r="D738">
        <v>2</v>
      </c>
      <c r="E738" t="s">
        <v>72</v>
      </c>
      <c r="F738" t="s">
        <v>73</v>
      </c>
      <c r="G738" t="str">
        <f>"2026-02-14 07:13:46.516"</f>
        <v>2026-02-14 07:13:46.516</v>
      </c>
      <c r="H738" t="s">
        <v>21</v>
      </c>
      <c r="I738">
        <v>29.27</v>
      </c>
      <c r="J738" t="s">
        <v>35</v>
      </c>
    </row>
    <row r="739" spans="1:10" s="3" customFormat="1" x14ac:dyDescent="0.25">
      <c r="A739" s="2">
        <v>74</v>
      </c>
      <c r="B739" s="3" t="s">
        <v>31</v>
      </c>
      <c r="C739" s="3">
        <v>647</v>
      </c>
      <c r="D739" s="3">
        <v>1</v>
      </c>
      <c r="E739" s="3" t="s">
        <v>32</v>
      </c>
      <c r="F739" s="3" t="s">
        <v>33</v>
      </c>
      <c r="G739" s="3" t="str">
        <f>"2026-02-13 20:31:02.116"</f>
        <v>2026-02-13 20:31:02.116</v>
      </c>
      <c r="H739" s="3" t="s">
        <v>21</v>
      </c>
    </row>
    <row r="740" spans="1:10" s="3" customFormat="1" x14ac:dyDescent="0.25">
      <c r="A740" s="2">
        <v>75</v>
      </c>
      <c r="B740" s="3" t="s">
        <v>34</v>
      </c>
      <c r="C740" s="3">
        <v>647</v>
      </c>
      <c r="D740" s="3">
        <v>1</v>
      </c>
      <c r="E740" s="3" t="s">
        <v>32</v>
      </c>
      <c r="F740" s="3" t="s">
        <v>33</v>
      </c>
      <c r="G740" s="3" t="str">
        <f>"2026-02-13 20:30:59.016"</f>
        <v>2026-02-13 20:30:59.016</v>
      </c>
      <c r="H740" s="3" t="s">
        <v>21</v>
      </c>
      <c r="I740" s="3">
        <v>10.35</v>
      </c>
      <c r="J740" s="3" t="s">
        <v>35</v>
      </c>
    </row>
    <row r="741" spans="1:10" x14ac:dyDescent="0.25">
      <c r="A741" s="1">
        <v>76</v>
      </c>
      <c r="B741" t="s">
        <v>31</v>
      </c>
      <c r="C741">
        <v>630</v>
      </c>
      <c r="D741">
        <v>5</v>
      </c>
      <c r="E741" t="s">
        <v>23</v>
      </c>
      <c r="F741" t="s">
        <v>24</v>
      </c>
      <c r="G741" t="str">
        <f>"2026-02-13 08:46:48.516"</f>
        <v>2026-02-13 08:46:48.516</v>
      </c>
      <c r="H741" t="s">
        <v>25</v>
      </c>
    </row>
    <row r="742" spans="1:10" x14ac:dyDescent="0.25">
      <c r="A742" s="1">
        <v>77</v>
      </c>
      <c r="B742" t="s">
        <v>19</v>
      </c>
      <c r="C742">
        <v>706</v>
      </c>
      <c r="D742">
        <v>4</v>
      </c>
      <c r="E742" t="s">
        <v>27</v>
      </c>
      <c r="F742" t="s">
        <v>28</v>
      </c>
      <c r="G742" t="str">
        <f>"2026-02-13 08:46:18.445"</f>
        <v>2026-02-13 08:46:18.445</v>
      </c>
      <c r="H742" t="s">
        <v>21</v>
      </c>
      <c r="I742">
        <v>0</v>
      </c>
      <c r="J742" t="s">
        <v>26</v>
      </c>
    </row>
    <row r="743" spans="1:10" x14ac:dyDescent="0.25">
      <c r="A743" s="1">
        <v>78</v>
      </c>
      <c r="B743" t="s">
        <v>22</v>
      </c>
      <c r="C743">
        <v>630</v>
      </c>
      <c r="D743">
        <v>5</v>
      </c>
      <c r="E743" t="s">
        <v>23</v>
      </c>
      <c r="F743" t="s">
        <v>24</v>
      </c>
      <c r="G743" t="str">
        <f>"2026-02-13 08:39:46.616"</f>
        <v>2026-02-13 08:39:46.616</v>
      </c>
      <c r="H743" t="s">
        <v>25</v>
      </c>
      <c r="I743">
        <v>0</v>
      </c>
      <c r="J743" t="s">
        <v>26</v>
      </c>
    </row>
    <row r="744" spans="1:10" s="3" customFormat="1" x14ac:dyDescent="0.25">
      <c r="A744" s="2">
        <v>79</v>
      </c>
      <c r="B744" s="3" t="s">
        <v>31</v>
      </c>
      <c r="C744" s="3">
        <v>647</v>
      </c>
      <c r="D744" s="3">
        <v>1</v>
      </c>
      <c r="E744" s="3" t="s">
        <v>32</v>
      </c>
      <c r="F744" s="3" t="s">
        <v>33</v>
      </c>
      <c r="G744" s="3" t="str">
        <f>"2026-02-12 20:49:31.016"</f>
        <v>2026-02-12 20:49:31.016</v>
      </c>
      <c r="H744" s="3" t="s">
        <v>21</v>
      </c>
    </row>
    <row r="745" spans="1:10" s="3" customFormat="1" x14ac:dyDescent="0.25">
      <c r="A745" s="2">
        <v>80</v>
      </c>
      <c r="B745" s="3" t="s">
        <v>34</v>
      </c>
      <c r="C745" s="3">
        <v>647</v>
      </c>
      <c r="D745" s="3">
        <v>1</v>
      </c>
      <c r="E745" s="3" t="s">
        <v>32</v>
      </c>
      <c r="F745" s="3" t="s">
        <v>33</v>
      </c>
      <c r="G745" s="3" t="str">
        <f>"2026-02-12 20:49:25.116"</f>
        <v>2026-02-12 20:49:25.116</v>
      </c>
      <c r="H745" s="3" t="s">
        <v>21</v>
      </c>
      <c r="I745" s="3">
        <v>9.43</v>
      </c>
      <c r="J745" s="3" t="s">
        <v>35</v>
      </c>
    </row>
    <row r="746" spans="1:10" x14ac:dyDescent="0.25">
      <c r="A746" s="1">
        <v>81</v>
      </c>
      <c r="B746" t="s">
        <v>31</v>
      </c>
      <c r="C746">
        <v>635</v>
      </c>
      <c r="D746">
        <v>1</v>
      </c>
      <c r="E746" t="s">
        <v>37</v>
      </c>
      <c r="F746" t="s">
        <v>38</v>
      </c>
      <c r="G746" t="str">
        <f>"2026-02-12 08:39:34.215"</f>
        <v>2026-02-12 08:39:34.215</v>
      </c>
      <c r="H746" t="s">
        <v>21</v>
      </c>
    </row>
    <row r="747" spans="1:10" x14ac:dyDescent="0.25">
      <c r="A747" s="1">
        <v>82</v>
      </c>
      <c r="B747" t="s">
        <v>34</v>
      </c>
      <c r="C747">
        <v>635</v>
      </c>
      <c r="D747">
        <v>1</v>
      </c>
      <c r="E747" t="s">
        <v>37</v>
      </c>
      <c r="F747" t="s">
        <v>38</v>
      </c>
      <c r="G747" t="str">
        <f>"2026-02-12 08:35:23.215"</f>
        <v>2026-02-12 08:35:23.215</v>
      </c>
      <c r="H747" t="s">
        <v>21</v>
      </c>
      <c r="I747">
        <v>7.58</v>
      </c>
      <c r="J747" t="s">
        <v>39</v>
      </c>
    </row>
    <row r="748" spans="1:10" s="3" customFormat="1" x14ac:dyDescent="0.25">
      <c r="A748" s="2">
        <v>83</v>
      </c>
      <c r="B748" s="3" t="s">
        <v>31</v>
      </c>
      <c r="C748" s="3">
        <v>647</v>
      </c>
      <c r="D748" s="3">
        <v>1</v>
      </c>
      <c r="E748" s="3" t="s">
        <v>32</v>
      </c>
      <c r="F748" s="3" t="s">
        <v>33</v>
      </c>
      <c r="G748" s="3" t="str">
        <f>"2026-02-12 05:10:06.216"</f>
        <v>2026-02-12 05:10:06.216</v>
      </c>
      <c r="H748" s="3" t="s">
        <v>21</v>
      </c>
    </row>
    <row r="749" spans="1:10" s="3" customFormat="1" x14ac:dyDescent="0.25">
      <c r="A749" s="2">
        <v>84</v>
      </c>
      <c r="B749" s="3" t="s">
        <v>34</v>
      </c>
      <c r="C749" s="3">
        <v>647</v>
      </c>
      <c r="D749" s="3">
        <v>1</v>
      </c>
      <c r="E749" s="3" t="s">
        <v>32</v>
      </c>
      <c r="F749" s="3" t="s">
        <v>33</v>
      </c>
      <c r="G749" s="3" t="str">
        <f>"2026-02-12 05:10:04.116"</f>
        <v>2026-02-12 05:10:04.116</v>
      </c>
      <c r="H749" s="3" t="s">
        <v>21</v>
      </c>
      <c r="I749" s="3">
        <v>11.34</v>
      </c>
      <c r="J749" s="3" t="s">
        <v>35</v>
      </c>
    </row>
    <row r="750" spans="1:10" s="3" customFormat="1" x14ac:dyDescent="0.25">
      <c r="A750" s="2">
        <v>85</v>
      </c>
      <c r="B750" s="3" t="s">
        <v>31</v>
      </c>
      <c r="C750" s="3">
        <v>647</v>
      </c>
      <c r="D750" s="3">
        <v>1</v>
      </c>
      <c r="E750" s="3" t="s">
        <v>32</v>
      </c>
      <c r="F750" s="3" t="s">
        <v>33</v>
      </c>
      <c r="G750" s="3" t="str">
        <f>"2026-02-11 20:32:20.416"</f>
        <v>2026-02-11 20:32:20.416</v>
      </c>
      <c r="H750" s="3" t="s">
        <v>21</v>
      </c>
    </row>
    <row r="751" spans="1:10" s="3" customFormat="1" x14ac:dyDescent="0.25">
      <c r="A751" s="2">
        <v>86</v>
      </c>
      <c r="B751" s="3" t="s">
        <v>34</v>
      </c>
      <c r="C751" s="3">
        <v>647</v>
      </c>
      <c r="D751" s="3">
        <v>1</v>
      </c>
      <c r="E751" s="3" t="s">
        <v>32</v>
      </c>
      <c r="F751" s="3" t="s">
        <v>33</v>
      </c>
      <c r="G751" s="3" t="str">
        <f>"2026-02-11 20:32:14.516"</f>
        <v>2026-02-11 20:32:14.516</v>
      </c>
      <c r="H751" s="3" t="s">
        <v>21</v>
      </c>
      <c r="I751" s="3">
        <v>11.42</v>
      </c>
      <c r="J751" s="3" t="s">
        <v>36</v>
      </c>
    </row>
    <row r="752" spans="1:10" s="3" customFormat="1" x14ac:dyDescent="0.25">
      <c r="A752" s="2">
        <v>87</v>
      </c>
      <c r="B752" s="3" t="s">
        <v>31</v>
      </c>
      <c r="C752" s="3">
        <v>647</v>
      </c>
      <c r="D752" s="3">
        <v>1</v>
      </c>
      <c r="E752" s="3" t="s">
        <v>32</v>
      </c>
      <c r="F752" s="3" t="s">
        <v>33</v>
      </c>
      <c r="G752" s="3" t="str">
        <f>"2026-02-11 19:46:32.116"</f>
        <v>2026-02-11 19:46:32.116</v>
      </c>
      <c r="H752" s="3" t="s">
        <v>21</v>
      </c>
    </row>
    <row r="753" spans="1:10" s="3" customFormat="1" x14ac:dyDescent="0.25">
      <c r="A753" s="2">
        <v>88</v>
      </c>
      <c r="B753" s="3" t="s">
        <v>34</v>
      </c>
      <c r="C753" s="3">
        <v>647</v>
      </c>
      <c r="D753" s="3">
        <v>1</v>
      </c>
      <c r="E753" s="3" t="s">
        <v>32</v>
      </c>
      <c r="F753" s="3" t="s">
        <v>33</v>
      </c>
      <c r="G753" s="3" t="str">
        <f>"2026-02-11 19:46:28.816"</f>
        <v>2026-02-11 19:46:28.816</v>
      </c>
      <c r="H753" s="3" t="s">
        <v>21</v>
      </c>
      <c r="I753" s="3">
        <v>8.6999999999999993</v>
      </c>
      <c r="J753" s="3" t="s">
        <v>36</v>
      </c>
    </row>
    <row r="754" spans="1:10" x14ac:dyDescent="0.25">
      <c r="A754" s="1">
        <v>89</v>
      </c>
      <c r="B754" t="s">
        <v>31</v>
      </c>
      <c r="C754">
        <v>630</v>
      </c>
      <c r="D754">
        <v>5</v>
      </c>
      <c r="E754" t="s">
        <v>23</v>
      </c>
      <c r="F754" t="s">
        <v>24</v>
      </c>
      <c r="G754" t="str">
        <f>"2026-02-11 13:20:27.616"</f>
        <v>2026-02-11 13:20:27.616</v>
      </c>
      <c r="H754" t="s">
        <v>25</v>
      </c>
    </row>
    <row r="755" spans="1:10" x14ac:dyDescent="0.25">
      <c r="A755" s="1">
        <v>90</v>
      </c>
      <c r="B755" t="s">
        <v>19</v>
      </c>
      <c r="C755">
        <v>706</v>
      </c>
      <c r="D755">
        <v>2</v>
      </c>
      <c r="E755" t="s">
        <v>27</v>
      </c>
      <c r="F755" t="s">
        <v>29</v>
      </c>
      <c r="G755" t="str">
        <f>"2026-02-11 13:19:57.465"</f>
        <v>2026-02-11 13:19:57.465</v>
      </c>
      <c r="H755" t="s">
        <v>21</v>
      </c>
      <c r="I755">
        <v>0</v>
      </c>
      <c r="J755" t="s">
        <v>26</v>
      </c>
    </row>
    <row r="756" spans="1:10" x14ac:dyDescent="0.25">
      <c r="A756" s="1">
        <v>91</v>
      </c>
      <c r="B756" t="s">
        <v>22</v>
      </c>
      <c r="C756">
        <v>630</v>
      </c>
      <c r="D756">
        <v>5</v>
      </c>
      <c r="E756" t="s">
        <v>23</v>
      </c>
      <c r="F756" t="s">
        <v>24</v>
      </c>
      <c r="G756" t="str">
        <f>"2026-02-11 13:00:20.616"</f>
        <v>2026-02-11 13:00:20.616</v>
      </c>
      <c r="H756" t="s">
        <v>25</v>
      </c>
      <c r="I756">
        <v>0</v>
      </c>
      <c r="J756" t="s">
        <v>26</v>
      </c>
    </row>
    <row r="757" spans="1:10" s="3" customFormat="1" x14ac:dyDescent="0.25">
      <c r="A757" s="2">
        <v>92</v>
      </c>
      <c r="B757" s="3" t="s">
        <v>31</v>
      </c>
      <c r="C757" s="3">
        <v>647</v>
      </c>
      <c r="D757" s="3">
        <v>1</v>
      </c>
      <c r="E757" s="3" t="s">
        <v>32</v>
      </c>
      <c r="F757" s="3" t="s">
        <v>33</v>
      </c>
      <c r="G757" s="3" t="str">
        <f>"2026-02-10 23:26:39.816"</f>
        <v>2026-02-10 23:26:39.816</v>
      </c>
      <c r="H757" s="3" t="s">
        <v>21</v>
      </c>
    </row>
    <row r="758" spans="1:10" s="3" customFormat="1" x14ac:dyDescent="0.25">
      <c r="A758" s="2">
        <v>93</v>
      </c>
      <c r="B758" s="3" t="s">
        <v>34</v>
      </c>
      <c r="C758" s="3">
        <v>647</v>
      </c>
      <c r="D758" s="3">
        <v>1</v>
      </c>
      <c r="E758" s="3" t="s">
        <v>32</v>
      </c>
      <c r="F758" s="3" t="s">
        <v>33</v>
      </c>
      <c r="G758" s="3" t="str">
        <f>"2026-02-10 23:26:36.316"</f>
        <v>2026-02-10 23:26:36.316</v>
      </c>
      <c r="H758" s="3" t="s">
        <v>21</v>
      </c>
      <c r="I758" s="3">
        <v>20.69</v>
      </c>
      <c r="J758" s="3" t="s">
        <v>35</v>
      </c>
    </row>
    <row r="759" spans="1:10" x14ac:dyDescent="0.25">
      <c r="A759" s="1">
        <v>94</v>
      </c>
      <c r="B759" t="s">
        <v>74</v>
      </c>
      <c r="C759">
        <v>228</v>
      </c>
      <c r="D759">
        <v>4</v>
      </c>
      <c r="E759" t="s">
        <v>82</v>
      </c>
      <c r="F759" t="s">
        <v>76</v>
      </c>
      <c r="G759" t="str">
        <f>"2026-02-10 20:21:19.962"</f>
        <v>2026-02-10 20:21:19.962</v>
      </c>
      <c r="H759" t="s">
        <v>53</v>
      </c>
    </row>
    <row r="760" spans="1:10" x14ac:dyDescent="0.25">
      <c r="A760" s="1">
        <v>95</v>
      </c>
      <c r="B760" t="s">
        <v>22</v>
      </c>
      <c r="C760">
        <v>228</v>
      </c>
      <c r="D760">
        <v>4</v>
      </c>
      <c r="E760" t="s">
        <v>82</v>
      </c>
      <c r="F760" t="s">
        <v>76</v>
      </c>
      <c r="G760" t="str">
        <f>"2026-02-10 20:21:14.899"</f>
        <v>2026-02-10 20:21:14.899</v>
      </c>
      <c r="H760" t="s">
        <v>53</v>
      </c>
      <c r="I760">
        <v>0</v>
      </c>
      <c r="J760" t="s">
        <v>39</v>
      </c>
    </row>
    <row r="761" spans="1:10" x14ac:dyDescent="0.25">
      <c r="A761" s="1">
        <v>97</v>
      </c>
      <c r="B761" t="s">
        <v>74</v>
      </c>
      <c r="C761">
        <v>228</v>
      </c>
      <c r="D761">
        <v>4</v>
      </c>
      <c r="E761" t="s">
        <v>82</v>
      </c>
      <c r="F761" t="s">
        <v>76</v>
      </c>
      <c r="G761" t="str">
        <f>"2026-02-09 08:38:17.227"</f>
        <v>2026-02-09 08:38:17.227</v>
      </c>
      <c r="H761" t="s">
        <v>53</v>
      </c>
    </row>
    <row r="762" spans="1:10" x14ac:dyDescent="0.25">
      <c r="A762" s="1">
        <v>98</v>
      </c>
      <c r="B762" t="s">
        <v>22</v>
      </c>
      <c r="C762">
        <v>228</v>
      </c>
      <c r="D762">
        <v>4</v>
      </c>
      <c r="E762" t="s">
        <v>82</v>
      </c>
      <c r="F762" t="s">
        <v>76</v>
      </c>
      <c r="G762" t="str">
        <f>"2026-02-09 08:38:12.199"</f>
        <v>2026-02-09 08:38:12.199</v>
      </c>
      <c r="H762" t="s">
        <v>53</v>
      </c>
      <c r="I762">
        <v>0</v>
      </c>
      <c r="J762" t="s">
        <v>36</v>
      </c>
    </row>
    <row r="763" spans="1:10" x14ac:dyDescent="0.25">
      <c r="A763" s="1">
        <v>0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"2026-02-08 14:12:42.545"</f>
        <v>2026-02-08 14:12:42.545</v>
      </c>
      <c r="H763" t="s">
        <v>21</v>
      </c>
    </row>
    <row r="764" spans="1:10" x14ac:dyDescent="0.25">
      <c r="A764" s="1">
        <v>1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"2026-02-08 13:52:05.545"</f>
        <v>2026-02-08 13:52:05.545</v>
      </c>
      <c r="H764" t="s">
        <v>21</v>
      </c>
      <c r="I764">
        <v>0</v>
      </c>
      <c r="J764" t="s">
        <v>30</v>
      </c>
    </row>
    <row r="765" spans="1:10" x14ac:dyDescent="0.25">
      <c r="A765" s="1">
        <v>2</v>
      </c>
      <c r="B765" t="s">
        <v>31</v>
      </c>
      <c r="C765">
        <v>630</v>
      </c>
      <c r="D765">
        <v>5</v>
      </c>
      <c r="E765" t="s">
        <v>23</v>
      </c>
      <c r="F765" t="s">
        <v>24</v>
      </c>
      <c r="G765" t="str">
        <f>"2026-02-08 11:54:20.826"</f>
        <v>2026-02-08 11:54:20.826</v>
      </c>
      <c r="H765" t="s">
        <v>25</v>
      </c>
    </row>
    <row r="766" spans="1:10" x14ac:dyDescent="0.25">
      <c r="A766" s="1">
        <v>3</v>
      </c>
      <c r="B766" t="s">
        <v>19</v>
      </c>
      <c r="C766">
        <v>706</v>
      </c>
      <c r="D766">
        <v>4</v>
      </c>
      <c r="E766" t="s">
        <v>27</v>
      </c>
      <c r="F766" t="s">
        <v>28</v>
      </c>
      <c r="G766" t="str">
        <f>"2026-02-08 11:53:50.757"</f>
        <v>2026-02-08 11:53:50.757</v>
      </c>
      <c r="H766" t="s">
        <v>21</v>
      </c>
      <c r="I766">
        <v>0</v>
      </c>
      <c r="J766" t="s">
        <v>26</v>
      </c>
    </row>
    <row r="767" spans="1:10" x14ac:dyDescent="0.25">
      <c r="A767" s="1">
        <v>4</v>
      </c>
      <c r="B767" t="s">
        <v>19</v>
      </c>
      <c r="C767">
        <v>706</v>
      </c>
      <c r="D767">
        <v>3</v>
      </c>
      <c r="E767" t="s">
        <v>27</v>
      </c>
      <c r="F767" t="s">
        <v>42</v>
      </c>
      <c r="G767" t="str">
        <f>"2026-02-08 11:16:00.107"</f>
        <v>2026-02-08 11:16:00.107</v>
      </c>
      <c r="H767" t="s">
        <v>21</v>
      </c>
      <c r="I767">
        <v>0</v>
      </c>
      <c r="J767" t="s">
        <v>26</v>
      </c>
    </row>
    <row r="768" spans="1:10" x14ac:dyDescent="0.25">
      <c r="A768" s="1">
        <v>5</v>
      </c>
      <c r="B768" t="s">
        <v>22</v>
      </c>
      <c r="C768">
        <v>630</v>
      </c>
      <c r="D768">
        <v>5</v>
      </c>
      <c r="E768" t="s">
        <v>23</v>
      </c>
      <c r="F768" t="s">
        <v>24</v>
      </c>
      <c r="G768" t="str">
        <f>"2026-02-08 10:58:56.327"</f>
        <v>2026-02-08 10:58:56.327</v>
      </c>
      <c r="H768" t="s">
        <v>25</v>
      </c>
      <c r="I768">
        <v>0</v>
      </c>
      <c r="J768" t="s">
        <v>26</v>
      </c>
    </row>
    <row r="769" spans="1:10" x14ac:dyDescent="0.25">
      <c r="A769" s="1">
        <v>6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"2026-02-08 10:53:53.637"</f>
        <v>2026-02-08 10:53:53.637</v>
      </c>
      <c r="H769" t="s">
        <v>21</v>
      </c>
      <c r="I769">
        <v>0</v>
      </c>
      <c r="J769" t="s">
        <v>30</v>
      </c>
    </row>
    <row r="770" spans="1:10" x14ac:dyDescent="0.25">
      <c r="A770" s="1">
        <v>7</v>
      </c>
      <c r="B770" t="s">
        <v>22</v>
      </c>
      <c r="C770">
        <v>630</v>
      </c>
      <c r="D770">
        <v>5</v>
      </c>
      <c r="E770" t="s">
        <v>23</v>
      </c>
      <c r="F770" t="s">
        <v>24</v>
      </c>
      <c r="G770" t="str">
        <f>"2026-02-08 10:09:15.909"</f>
        <v>2026-02-08 10:09:15.909</v>
      </c>
      <c r="H770" t="s">
        <v>25</v>
      </c>
      <c r="I770">
        <v>0</v>
      </c>
      <c r="J770" t="s">
        <v>26</v>
      </c>
    </row>
    <row r="771" spans="1:10" s="3" customFormat="1" x14ac:dyDescent="0.25">
      <c r="A771" s="2">
        <v>8</v>
      </c>
      <c r="B771" s="3" t="s">
        <v>31</v>
      </c>
      <c r="C771" s="3">
        <v>647</v>
      </c>
      <c r="D771" s="3">
        <v>1</v>
      </c>
      <c r="E771" s="3" t="s">
        <v>32</v>
      </c>
      <c r="F771" s="3" t="s">
        <v>33</v>
      </c>
      <c r="G771" s="3" t="str">
        <f>"2026-02-08 06:48:06.209"</f>
        <v>2026-02-08 06:48:06.209</v>
      </c>
      <c r="H771" s="3" t="s">
        <v>21</v>
      </c>
    </row>
    <row r="772" spans="1:10" s="3" customFormat="1" x14ac:dyDescent="0.25">
      <c r="A772" s="2">
        <v>9</v>
      </c>
      <c r="B772" s="3" t="s">
        <v>34</v>
      </c>
      <c r="C772" s="3">
        <v>647</v>
      </c>
      <c r="D772" s="3">
        <v>1</v>
      </c>
      <c r="E772" s="3" t="s">
        <v>32</v>
      </c>
      <c r="F772" s="3" t="s">
        <v>33</v>
      </c>
      <c r="G772" s="3" t="str">
        <f>"2026-02-08 06:48:02.909"</f>
        <v>2026-02-08 06:48:02.909</v>
      </c>
      <c r="H772" s="3" t="s">
        <v>21</v>
      </c>
      <c r="I772" s="3">
        <v>9.4600000000000009</v>
      </c>
      <c r="J772" s="3" t="s">
        <v>35</v>
      </c>
    </row>
    <row r="773" spans="1:10" s="3" customFormat="1" x14ac:dyDescent="0.25">
      <c r="A773" s="2">
        <v>10</v>
      </c>
      <c r="B773" s="3" t="s">
        <v>31</v>
      </c>
      <c r="C773" s="3">
        <v>647</v>
      </c>
      <c r="D773" s="3">
        <v>1</v>
      </c>
      <c r="E773" s="3" t="s">
        <v>32</v>
      </c>
      <c r="F773" s="3" t="s">
        <v>33</v>
      </c>
      <c r="G773" s="3" t="str">
        <f>"2026-02-08 06:45:11.809"</f>
        <v>2026-02-08 06:45:11.809</v>
      </c>
      <c r="H773" s="3" t="s">
        <v>21</v>
      </c>
    </row>
    <row r="774" spans="1:10" s="3" customFormat="1" x14ac:dyDescent="0.25">
      <c r="A774" s="2">
        <v>11</v>
      </c>
      <c r="B774" s="3" t="s">
        <v>34</v>
      </c>
      <c r="C774" s="3">
        <v>647</v>
      </c>
      <c r="D774" s="3">
        <v>1</v>
      </c>
      <c r="E774" s="3" t="s">
        <v>32</v>
      </c>
      <c r="F774" s="3" t="s">
        <v>33</v>
      </c>
      <c r="G774" s="3" t="str">
        <f>"2026-02-08 06:45:08.709"</f>
        <v>2026-02-08 06:45:08.709</v>
      </c>
      <c r="H774" s="3" t="s">
        <v>21</v>
      </c>
      <c r="I774" s="3">
        <v>26.09</v>
      </c>
      <c r="J774" s="3" t="s">
        <v>35</v>
      </c>
    </row>
    <row r="775" spans="1:10" s="3" customFormat="1" x14ac:dyDescent="0.25">
      <c r="A775" s="2">
        <v>12</v>
      </c>
      <c r="B775" s="3" t="s">
        <v>31</v>
      </c>
      <c r="C775" s="3">
        <v>647</v>
      </c>
      <c r="D775" s="3">
        <v>1</v>
      </c>
      <c r="E775" s="3" t="s">
        <v>32</v>
      </c>
      <c r="F775" s="3" t="s">
        <v>33</v>
      </c>
      <c r="G775" s="3" t="str">
        <f>"2026-02-08 06:02:52.109"</f>
        <v>2026-02-08 06:02:52.109</v>
      </c>
      <c r="H775" s="3" t="s">
        <v>21</v>
      </c>
    </row>
    <row r="776" spans="1:10" s="3" customFormat="1" x14ac:dyDescent="0.25">
      <c r="A776" s="2">
        <v>13</v>
      </c>
      <c r="B776" s="3" t="s">
        <v>34</v>
      </c>
      <c r="C776" s="3">
        <v>647</v>
      </c>
      <c r="D776" s="3">
        <v>1</v>
      </c>
      <c r="E776" s="3" t="s">
        <v>32</v>
      </c>
      <c r="F776" s="3" t="s">
        <v>33</v>
      </c>
      <c r="G776" s="3" t="str">
        <f>"2026-02-08 06:02:50.609"</f>
        <v>2026-02-08 06:02:50.609</v>
      </c>
      <c r="H776" s="3" t="s">
        <v>21</v>
      </c>
      <c r="I776" s="3">
        <v>21.25</v>
      </c>
      <c r="J776" s="3" t="s">
        <v>35</v>
      </c>
    </row>
    <row r="777" spans="1:10" s="3" customFormat="1" x14ac:dyDescent="0.25">
      <c r="A777" s="2">
        <v>14</v>
      </c>
      <c r="B777" s="3" t="s">
        <v>31</v>
      </c>
      <c r="C777" s="3">
        <v>647</v>
      </c>
      <c r="D777" s="3">
        <v>1</v>
      </c>
      <c r="E777" s="3" t="s">
        <v>32</v>
      </c>
      <c r="F777" s="3" t="s">
        <v>33</v>
      </c>
      <c r="G777" s="3" t="str">
        <f>"2026-02-08 03:16:43.809"</f>
        <v>2026-02-08 03:16:43.809</v>
      </c>
      <c r="H777" s="3" t="s">
        <v>21</v>
      </c>
    </row>
    <row r="778" spans="1:10" s="3" customFormat="1" x14ac:dyDescent="0.25">
      <c r="A778" s="2">
        <v>15</v>
      </c>
      <c r="B778" s="3" t="s">
        <v>34</v>
      </c>
      <c r="C778" s="3">
        <v>647</v>
      </c>
      <c r="D778" s="3">
        <v>1</v>
      </c>
      <c r="E778" s="3" t="s">
        <v>32</v>
      </c>
      <c r="F778" s="3" t="s">
        <v>33</v>
      </c>
      <c r="G778" s="3" t="str">
        <f>"2026-02-08 03:16:38.109"</f>
        <v>2026-02-08 03:16:38.109</v>
      </c>
      <c r="H778" s="3" t="s">
        <v>21</v>
      </c>
      <c r="I778" s="3">
        <v>8.4</v>
      </c>
      <c r="J778" s="3" t="s">
        <v>36</v>
      </c>
    </row>
    <row r="779" spans="1:10" s="3" customFormat="1" x14ac:dyDescent="0.25">
      <c r="A779" s="2">
        <v>16</v>
      </c>
      <c r="B779" s="3" t="s">
        <v>31</v>
      </c>
      <c r="C779" s="3">
        <v>647</v>
      </c>
      <c r="D779" s="3">
        <v>1</v>
      </c>
      <c r="E779" s="3" t="s">
        <v>32</v>
      </c>
      <c r="F779" s="3" t="s">
        <v>33</v>
      </c>
      <c r="G779" s="3" t="str">
        <f>"2026-02-08 02:38:53.509"</f>
        <v>2026-02-08 02:38:53.509</v>
      </c>
      <c r="H779" s="3" t="s">
        <v>21</v>
      </c>
    </row>
    <row r="780" spans="1:10" s="3" customFormat="1" x14ac:dyDescent="0.25">
      <c r="A780" s="2">
        <v>17</v>
      </c>
      <c r="B780" s="3" t="s">
        <v>34</v>
      </c>
      <c r="C780" s="3">
        <v>647</v>
      </c>
      <c r="D780" s="3">
        <v>1</v>
      </c>
      <c r="E780" s="3" t="s">
        <v>32</v>
      </c>
      <c r="F780" s="3" t="s">
        <v>33</v>
      </c>
      <c r="G780" s="3" t="str">
        <f>"2026-02-08 02:38:51.809"</f>
        <v>2026-02-08 02:38:51.809</v>
      </c>
      <c r="H780" s="3" t="s">
        <v>21</v>
      </c>
      <c r="I780" s="3">
        <v>11.75</v>
      </c>
      <c r="J780" s="3" t="s">
        <v>36</v>
      </c>
    </row>
    <row r="781" spans="1:10" s="3" customFormat="1" x14ac:dyDescent="0.25">
      <c r="A781" s="2">
        <v>18</v>
      </c>
      <c r="B781" s="3" t="s">
        <v>31</v>
      </c>
      <c r="C781" s="3">
        <v>647</v>
      </c>
      <c r="D781" s="3">
        <v>1</v>
      </c>
      <c r="E781" s="3" t="s">
        <v>32</v>
      </c>
      <c r="F781" s="3" t="s">
        <v>33</v>
      </c>
      <c r="G781" s="3" t="str">
        <f>"2026-02-08 01:46:29.609"</f>
        <v>2026-02-08 01:46:29.609</v>
      </c>
      <c r="H781" s="3" t="s">
        <v>21</v>
      </c>
    </row>
    <row r="782" spans="1:10" s="3" customFormat="1" x14ac:dyDescent="0.25">
      <c r="A782" s="2">
        <v>19</v>
      </c>
      <c r="B782" s="3" t="s">
        <v>34</v>
      </c>
      <c r="C782" s="3">
        <v>647</v>
      </c>
      <c r="D782" s="3">
        <v>1</v>
      </c>
      <c r="E782" s="3" t="s">
        <v>32</v>
      </c>
      <c r="F782" s="3" t="s">
        <v>33</v>
      </c>
      <c r="G782" s="3" t="str">
        <f>"2026-02-08 01:46:26.509"</f>
        <v>2026-02-08 01:46:26.509</v>
      </c>
      <c r="H782" s="3" t="s">
        <v>21</v>
      </c>
      <c r="I782" s="3">
        <v>8.85</v>
      </c>
      <c r="J782" s="3" t="s">
        <v>35</v>
      </c>
    </row>
    <row r="783" spans="1:10" x14ac:dyDescent="0.25">
      <c r="A783" s="1">
        <v>20</v>
      </c>
      <c r="B783" t="s">
        <v>74</v>
      </c>
      <c r="C783">
        <v>228</v>
      </c>
      <c r="D783">
        <v>4</v>
      </c>
      <c r="E783" t="s">
        <v>82</v>
      </c>
      <c r="F783" t="s">
        <v>76</v>
      </c>
      <c r="G783" t="str">
        <f>"2026-02-07 20:29:43.902"</f>
        <v>2026-02-07 20:29:43.902</v>
      </c>
      <c r="H783" t="s">
        <v>53</v>
      </c>
    </row>
    <row r="784" spans="1:10" x14ac:dyDescent="0.25">
      <c r="A784" s="1">
        <v>21</v>
      </c>
      <c r="B784" t="s">
        <v>22</v>
      </c>
      <c r="C784">
        <v>228</v>
      </c>
      <c r="D784">
        <v>4</v>
      </c>
      <c r="E784" t="s">
        <v>82</v>
      </c>
      <c r="F784" t="s">
        <v>76</v>
      </c>
      <c r="G784" t="str">
        <f>"2026-02-07 20:29:38.830"</f>
        <v>2026-02-07 20:29:38.830</v>
      </c>
      <c r="H784" t="s">
        <v>53</v>
      </c>
      <c r="I784">
        <v>0</v>
      </c>
      <c r="J784" t="s">
        <v>36</v>
      </c>
    </row>
    <row r="785" spans="1:10" x14ac:dyDescent="0.25">
      <c r="A785" s="1">
        <v>22</v>
      </c>
      <c r="B785" t="s">
        <v>31</v>
      </c>
      <c r="C785">
        <v>635</v>
      </c>
      <c r="D785">
        <v>1</v>
      </c>
      <c r="E785" t="s">
        <v>37</v>
      </c>
      <c r="F785" t="s">
        <v>38</v>
      </c>
      <c r="G785" t="str">
        <f>"2026-02-07 14:46:19.609"</f>
        <v>2026-02-07 14:46:19.609</v>
      </c>
      <c r="H785" t="s">
        <v>21</v>
      </c>
    </row>
    <row r="786" spans="1:10" x14ac:dyDescent="0.25">
      <c r="A786" s="1">
        <v>23</v>
      </c>
      <c r="B786" t="s">
        <v>34</v>
      </c>
      <c r="C786">
        <v>635</v>
      </c>
      <c r="D786">
        <v>1</v>
      </c>
      <c r="E786" t="s">
        <v>37</v>
      </c>
      <c r="F786" t="s">
        <v>38</v>
      </c>
      <c r="G786" t="str">
        <f>"2026-02-07 14:41:53.109"</f>
        <v>2026-02-07 14:41:53.109</v>
      </c>
      <c r="H786" t="s">
        <v>21</v>
      </c>
      <c r="I786">
        <v>3.15</v>
      </c>
      <c r="J786" t="s">
        <v>39</v>
      </c>
    </row>
    <row r="787" spans="1:10" s="3" customFormat="1" x14ac:dyDescent="0.25">
      <c r="A787" s="2">
        <v>26</v>
      </c>
      <c r="B787" s="3" t="s">
        <v>31</v>
      </c>
      <c r="C787" s="3">
        <v>647</v>
      </c>
      <c r="D787" s="3">
        <v>1</v>
      </c>
      <c r="E787" s="3" t="s">
        <v>32</v>
      </c>
      <c r="F787" s="3" t="s">
        <v>33</v>
      </c>
      <c r="G787" s="3" t="str">
        <f>"2026-02-07 05:06:57.509"</f>
        <v>2026-02-07 05:06:57.509</v>
      </c>
      <c r="H787" s="3" t="s">
        <v>21</v>
      </c>
    </row>
    <row r="788" spans="1:10" s="3" customFormat="1" x14ac:dyDescent="0.25">
      <c r="A788" s="2">
        <v>27</v>
      </c>
      <c r="B788" s="3" t="s">
        <v>34</v>
      </c>
      <c r="C788" s="3">
        <v>647</v>
      </c>
      <c r="D788" s="3">
        <v>1</v>
      </c>
      <c r="E788" s="3" t="s">
        <v>32</v>
      </c>
      <c r="F788" s="3" t="s">
        <v>33</v>
      </c>
      <c r="G788" s="3" t="str">
        <f>"2026-02-07 05:06:55.009"</f>
        <v>2026-02-07 05:06:55.009</v>
      </c>
      <c r="H788" s="3" t="s">
        <v>21</v>
      </c>
      <c r="I788" s="3">
        <v>23.56</v>
      </c>
      <c r="J788" s="3" t="s">
        <v>35</v>
      </c>
    </row>
    <row r="789" spans="1:10" x14ac:dyDescent="0.25">
      <c r="A789" s="1">
        <v>28</v>
      </c>
      <c r="B789" t="s">
        <v>31</v>
      </c>
      <c r="C789">
        <v>635</v>
      </c>
      <c r="D789">
        <v>1</v>
      </c>
      <c r="E789" t="s">
        <v>37</v>
      </c>
      <c r="F789" t="s">
        <v>38</v>
      </c>
      <c r="G789" t="str">
        <f>"2026-02-06 17:53:04.509"</f>
        <v>2026-02-06 17:53:04.509</v>
      </c>
      <c r="H789" t="s">
        <v>21</v>
      </c>
    </row>
    <row r="790" spans="1:10" x14ac:dyDescent="0.25">
      <c r="A790" s="1">
        <v>29</v>
      </c>
      <c r="B790" t="s">
        <v>34</v>
      </c>
      <c r="C790">
        <v>635</v>
      </c>
      <c r="D790">
        <v>1</v>
      </c>
      <c r="E790" t="s">
        <v>37</v>
      </c>
      <c r="F790" t="s">
        <v>38</v>
      </c>
      <c r="G790" t="str">
        <f>"2026-02-06 17:48:13.509"</f>
        <v>2026-02-06 17:48:13.509</v>
      </c>
      <c r="H790" t="s">
        <v>21</v>
      </c>
      <c r="I790">
        <v>1.98</v>
      </c>
      <c r="J790" t="s">
        <v>39</v>
      </c>
    </row>
    <row r="791" spans="1:10" s="3" customFormat="1" x14ac:dyDescent="0.25">
      <c r="A791" s="2">
        <v>30</v>
      </c>
      <c r="B791" s="3" t="s">
        <v>31</v>
      </c>
      <c r="C791" s="3">
        <v>647</v>
      </c>
      <c r="D791" s="3">
        <v>1</v>
      </c>
      <c r="E791" s="3" t="s">
        <v>32</v>
      </c>
      <c r="F791" s="3" t="s">
        <v>33</v>
      </c>
      <c r="G791" s="3" t="str">
        <f>"2026-02-06 04:12:44.709"</f>
        <v>2026-02-06 04:12:44.709</v>
      </c>
      <c r="H791" s="3" t="s">
        <v>21</v>
      </c>
    </row>
    <row r="792" spans="1:10" s="3" customFormat="1" x14ac:dyDescent="0.25">
      <c r="A792" s="2">
        <v>31</v>
      </c>
      <c r="B792" s="3" t="s">
        <v>34</v>
      </c>
      <c r="C792" s="3">
        <v>647</v>
      </c>
      <c r="D792" s="3">
        <v>1</v>
      </c>
      <c r="E792" s="3" t="s">
        <v>32</v>
      </c>
      <c r="F792" s="3" t="s">
        <v>33</v>
      </c>
      <c r="G792" s="3" t="str">
        <f>"2026-02-06 04:12:43.209"</f>
        <v>2026-02-06 04:12:43.209</v>
      </c>
      <c r="H792" s="3" t="s">
        <v>21</v>
      </c>
      <c r="I792" s="3">
        <v>8.14</v>
      </c>
      <c r="J792" s="3" t="s">
        <v>35</v>
      </c>
    </row>
    <row r="793" spans="1:10" s="3" customFormat="1" x14ac:dyDescent="0.25">
      <c r="A793" s="2">
        <v>32</v>
      </c>
      <c r="B793" s="3" t="s">
        <v>31</v>
      </c>
      <c r="C793" s="3">
        <v>647</v>
      </c>
      <c r="D793" s="3">
        <v>1</v>
      </c>
      <c r="E793" s="3" t="s">
        <v>32</v>
      </c>
      <c r="F793" s="3" t="s">
        <v>33</v>
      </c>
      <c r="G793" s="3" t="str">
        <f>"2026-02-06 04:00:44.609"</f>
        <v>2026-02-06 04:00:44.609</v>
      </c>
      <c r="H793" s="3" t="s">
        <v>21</v>
      </c>
    </row>
    <row r="794" spans="1:10" s="3" customFormat="1" x14ac:dyDescent="0.25">
      <c r="A794" s="2">
        <v>33</v>
      </c>
      <c r="B794" s="3" t="s">
        <v>34</v>
      </c>
      <c r="C794" s="3">
        <v>647</v>
      </c>
      <c r="D794" s="3">
        <v>1</v>
      </c>
      <c r="E794" s="3" t="s">
        <v>32</v>
      </c>
      <c r="F794" s="3" t="s">
        <v>33</v>
      </c>
      <c r="G794" s="3" t="str">
        <f>"2026-02-06 04:00:43.309"</f>
        <v>2026-02-06 04:00:43.309</v>
      </c>
      <c r="H794" s="3" t="s">
        <v>21</v>
      </c>
      <c r="I794" s="3">
        <v>22.14</v>
      </c>
      <c r="J794" s="3" t="s">
        <v>35</v>
      </c>
    </row>
    <row r="795" spans="1:10" s="3" customFormat="1" x14ac:dyDescent="0.25">
      <c r="A795" s="2">
        <v>34</v>
      </c>
      <c r="B795" s="3" t="s">
        <v>31</v>
      </c>
      <c r="C795" s="3">
        <v>647</v>
      </c>
      <c r="D795" s="3">
        <v>1</v>
      </c>
      <c r="E795" s="3" t="s">
        <v>32</v>
      </c>
      <c r="F795" s="3" t="s">
        <v>33</v>
      </c>
      <c r="G795" s="3" t="str">
        <f>"2026-02-06 03:29:57.609"</f>
        <v>2026-02-06 03:29:57.609</v>
      </c>
      <c r="H795" s="3" t="s">
        <v>21</v>
      </c>
    </row>
    <row r="796" spans="1:10" s="3" customFormat="1" x14ac:dyDescent="0.25">
      <c r="A796" s="2">
        <v>35</v>
      </c>
      <c r="B796" s="3" t="s">
        <v>34</v>
      </c>
      <c r="C796" s="3">
        <v>647</v>
      </c>
      <c r="D796" s="3">
        <v>1</v>
      </c>
      <c r="E796" s="3" t="s">
        <v>32</v>
      </c>
      <c r="F796" s="3" t="s">
        <v>33</v>
      </c>
      <c r="G796" s="3" t="str">
        <f>"2026-02-06 03:29:54.709"</f>
        <v>2026-02-06 03:29:54.709</v>
      </c>
      <c r="H796" s="3" t="s">
        <v>21</v>
      </c>
      <c r="I796" s="3">
        <v>9.5299999999999994</v>
      </c>
      <c r="J796" s="3" t="s">
        <v>36</v>
      </c>
    </row>
    <row r="797" spans="1:10" s="3" customFormat="1" x14ac:dyDescent="0.25">
      <c r="A797" s="2">
        <v>36</v>
      </c>
      <c r="B797" s="3" t="s">
        <v>31</v>
      </c>
      <c r="C797" s="3">
        <v>647</v>
      </c>
      <c r="D797" s="3">
        <v>1</v>
      </c>
      <c r="E797" s="3" t="s">
        <v>32</v>
      </c>
      <c r="F797" s="3" t="s">
        <v>33</v>
      </c>
      <c r="G797" s="3" t="str">
        <f>"2026-02-06 01:12:59.109"</f>
        <v>2026-02-06 01:12:59.109</v>
      </c>
      <c r="H797" s="3" t="s">
        <v>21</v>
      </c>
    </row>
    <row r="798" spans="1:10" s="3" customFormat="1" x14ac:dyDescent="0.25">
      <c r="A798" s="2">
        <v>37</v>
      </c>
      <c r="B798" s="3" t="s">
        <v>34</v>
      </c>
      <c r="C798" s="3">
        <v>647</v>
      </c>
      <c r="D798" s="3">
        <v>1</v>
      </c>
      <c r="E798" s="3" t="s">
        <v>32</v>
      </c>
      <c r="F798" s="3" t="s">
        <v>33</v>
      </c>
      <c r="G798" s="3" t="str">
        <f>"2026-02-06 01:12:54.009"</f>
        <v>2026-02-06 01:12:54.009</v>
      </c>
      <c r="H798" s="3" t="s">
        <v>21</v>
      </c>
      <c r="I798" s="3">
        <v>10.74</v>
      </c>
      <c r="J798" s="3" t="s">
        <v>36</v>
      </c>
    </row>
    <row r="799" spans="1:10" s="3" customFormat="1" x14ac:dyDescent="0.25">
      <c r="A799" s="2">
        <v>38</v>
      </c>
      <c r="B799" s="3" t="s">
        <v>31</v>
      </c>
      <c r="C799" s="3">
        <v>647</v>
      </c>
      <c r="D799" s="3">
        <v>1</v>
      </c>
      <c r="E799" s="3" t="s">
        <v>32</v>
      </c>
      <c r="F799" s="3" t="s">
        <v>33</v>
      </c>
      <c r="G799" s="3" t="str">
        <f>"2026-02-06 00:22:51.209"</f>
        <v>2026-02-06 00:22:51.209</v>
      </c>
      <c r="H799" s="3" t="s">
        <v>21</v>
      </c>
    </row>
    <row r="800" spans="1:10" s="3" customFormat="1" x14ac:dyDescent="0.25">
      <c r="A800" s="2">
        <v>39</v>
      </c>
      <c r="B800" s="3" t="s">
        <v>34</v>
      </c>
      <c r="C800" s="3">
        <v>647</v>
      </c>
      <c r="D800" s="3">
        <v>1</v>
      </c>
      <c r="E800" s="3" t="s">
        <v>32</v>
      </c>
      <c r="F800" s="3" t="s">
        <v>33</v>
      </c>
      <c r="G800" s="3" t="str">
        <f>"2026-02-06 00:22:46.109"</f>
        <v>2026-02-06 00:22:46.109</v>
      </c>
      <c r="H800" s="3" t="s">
        <v>21</v>
      </c>
      <c r="I800" s="3">
        <v>23.16</v>
      </c>
      <c r="J800" s="3" t="s">
        <v>35</v>
      </c>
    </row>
    <row r="801" spans="1:10" s="3" customFormat="1" x14ac:dyDescent="0.25">
      <c r="A801" s="2">
        <v>40</v>
      </c>
      <c r="B801" s="3" t="s">
        <v>31</v>
      </c>
      <c r="C801" s="3">
        <v>647</v>
      </c>
      <c r="D801" s="3">
        <v>1</v>
      </c>
      <c r="E801" s="3" t="s">
        <v>32</v>
      </c>
      <c r="F801" s="3" t="s">
        <v>33</v>
      </c>
      <c r="G801" s="3" t="str">
        <f>"2026-02-05 21:50:51.409"</f>
        <v>2026-02-05 21:50:51.409</v>
      </c>
      <c r="H801" s="3" t="s">
        <v>21</v>
      </c>
    </row>
    <row r="802" spans="1:10" s="3" customFormat="1" x14ac:dyDescent="0.25">
      <c r="A802" s="2">
        <v>41</v>
      </c>
      <c r="B802" s="3" t="s">
        <v>34</v>
      </c>
      <c r="C802" s="3">
        <v>647</v>
      </c>
      <c r="D802" s="3">
        <v>1</v>
      </c>
      <c r="E802" s="3" t="s">
        <v>32</v>
      </c>
      <c r="F802" s="3" t="s">
        <v>33</v>
      </c>
      <c r="G802" s="3" t="str">
        <f>"2026-02-05 21:50:47.909"</f>
        <v>2026-02-05 21:50:47.909</v>
      </c>
      <c r="H802" s="3" t="s">
        <v>21</v>
      </c>
      <c r="I802" s="3">
        <v>13.02</v>
      </c>
      <c r="J802" s="3" t="s">
        <v>35</v>
      </c>
    </row>
    <row r="803" spans="1:10" x14ac:dyDescent="0.25">
      <c r="A803" s="1">
        <v>43</v>
      </c>
      <c r="B803" t="s">
        <v>31</v>
      </c>
      <c r="C803">
        <v>630</v>
      </c>
      <c r="D803">
        <v>5</v>
      </c>
      <c r="E803" t="s">
        <v>23</v>
      </c>
      <c r="F803" t="s">
        <v>24</v>
      </c>
      <c r="G803" t="str">
        <f>"2026-02-05 13:31:38.509"</f>
        <v>2026-02-05 13:31:38.509</v>
      </c>
      <c r="H803" t="s">
        <v>25</v>
      </c>
    </row>
    <row r="804" spans="1:10" x14ac:dyDescent="0.25">
      <c r="A804" s="1">
        <v>44</v>
      </c>
      <c r="B804" t="s">
        <v>19</v>
      </c>
      <c r="C804">
        <v>706</v>
      </c>
      <c r="D804">
        <v>4</v>
      </c>
      <c r="E804" t="s">
        <v>27</v>
      </c>
      <c r="F804" t="s">
        <v>28</v>
      </c>
      <c r="G804" t="str">
        <f>"2026-02-05 13:31:08.431"</f>
        <v>2026-02-05 13:31:08.431</v>
      </c>
      <c r="H804" t="s">
        <v>21</v>
      </c>
      <c r="I804">
        <v>0</v>
      </c>
      <c r="J804" t="s">
        <v>26</v>
      </c>
    </row>
    <row r="805" spans="1:10" x14ac:dyDescent="0.25">
      <c r="A805" s="1">
        <v>45</v>
      </c>
      <c r="B805" t="s">
        <v>22</v>
      </c>
      <c r="C805">
        <v>630</v>
      </c>
      <c r="D805">
        <v>5</v>
      </c>
      <c r="E805" t="s">
        <v>23</v>
      </c>
      <c r="F805" t="s">
        <v>24</v>
      </c>
      <c r="G805" t="str">
        <f>"2026-02-05 13:01:09.509"</f>
        <v>2026-02-05 13:01:09.509</v>
      </c>
      <c r="H805" t="s">
        <v>25</v>
      </c>
      <c r="I805">
        <v>0</v>
      </c>
      <c r="J805" t="s">
        <v>26</v>
      </c>
    </row>
    <row r="806" spans="1:10" x14ac:dyDescent="0.25">
      <c r="A806" s="1">
        <v>46</v>
      </c>
      <c r="B806" t="s">
        <v>31</v>
      </c>
      <c r="C806">
        <v>635</v>
      </c>
      <c r="D806">
        <v>1</v>
      </c>
      <c r="E806" t="s">
        <v>37</v>
      </c>
      <c r="F806" t="s">
        <v>38</v>
      </c>
      <c r="G806" t="str">
        <f>"2026-02-05 12:49:48.809"</f>
        <v>2026-02-05 12:49:48.809</v>
      </c>
      <c r="H806" t="s">
        <v>21</v>
      </c>
    </row>
    <row r="807" spans="1:10" x14ac:dyDescent="0.25">
      <c r="A807" s="1">
        <v>47</v>
      </c>
      <c r="B807" t="s">
        <v>34</v>
      </c>
      <c r="C807">
        <v>635</v>
      </c>
      <c r="D807">
        <v>1</v>
      </c>
      <c r="E807" t="s">
        <v>37</v>
      </c>
      <c r="F807" t="s">
        <v>38</v>
      </c>
      <c r="G807" t="str">
        <f>"2026-02-05 12:40:53.309"</f>
        <v>2026-02-05 12:40:53.309</v>
      </c>
      <c r="H807" t="s">
        <v>21</v>
      </c>
      <c r="I807">
        <v>8.68</v>
      </c>
      <c r="J807" t="s">
        <v>39</v>
      </c>
    </row>
    <row r="808" spans="1:10" s="3" customFormat="1" x14ac:dyDescent="0.25">
      <c r="A808" s="2">
        <v>49</v>
      </c>
      <c r="B808" s="3" t="s">
        <v>31</v>
      </c>
      <c r="C808" s="3">
        <v>647</v>
      </c>
      <c r="D808" s="3">
        <v>1</v>
      </c>
      <c r="E808" s="3" t="s">
        <v>32</v>
      </c>
      <c r="F808" s="3" t="s">
        <v>33</v>
      </c>
      <c r="G808" s="3" t="str">
        <f>"2026-02-04 23:01:55.509"</f>
        <v>2026-02-04 23:01:55.509</v>
      </c>
      <c r="H808" s="3" t="s">
        <v>21</v>
      </c>
    </row>
    <row r="809" spans="1:10" s="3" customFormat="1" x14ac:dyDescent="0.25">
      <c r="A809" s="2">
        <v>50</v>
      </c>
      <c r="B809" s="3" t="s">
        <v>34</v>
      </c>
      <c r="C809" s="3">
        <v>647</v>
      </c>
      <c r="D809" s="3">
        <v>1</v>
      </c>
      <c r="E809" s="3" t="s">
        <v>32</v>
      </c>
      <c r="F809" s="3" t="s">
        <v>33</v>
      </c>
      <c r="G809" s="3" t="str">
        <f>"2026-02-04 23:01:52.809"</f>
        <v>2026-02-04 23:01:52.809</v>
      </c>
      <c r="H809" s="3" t="s">
        <v>21</v>
      </c>
      <c r="I809" s="3">
        <v>8.6300000000000008</v>
      </c>
      <c r="J809" s="3" t="s">
        <v>36</v>
      </c>
    </row>
    <row r="810" spans="1:10" s="3" customFormat="1" x14ac:dyDescent="0.25">
      <c r="A810" s="2">
        <v>51</v>
      </c>
      <c r="B810" s="3" t="s">
        <v>31</v>
      </c>
      <c r="C810" s="3">
        <v>647</v>
      </c>
      <c r="D810" s="3">
        <v>1</v>
      </c>
      <c r="E810" s="3" t="s">
        <v>32</v>
      </c>
      <c r="F810" s="3" t="s">
        <v>33</v>
      </c>
      <c r="G810" s="3" t="str">
        <f>"2026-02-04 22:44:03.709"</f>
        <v>2026-02-04 22:44:03.709</v>
      </c>
      <c r="H810" s="3" t="s">
        <v>21</v>
      </c>
    </row>
    <row r="811" spans="1:10" s="3" customFormat="1" x14ac:dyDescent="0.25">
      <c r="A811" s="2">
        <v>52</v>
      </c>
      <c r="B811" s="3" t="s">
        <v>34</v>
      </c>
      <c r="C811" s="3">
        <v>647</v>
      </c>
      <c r="D811" s="3">
        <v>1</v>
      </c>
      <c r="E811" s="3" t="s">
        <v>32</v>
      </c>
      <c r="F811" s="3" t="s">
        <v>33</v>
      </c>
      <c r="G811" s="3" t="str">
        <f>"2026-02-04 22:44:01.209"</f>
        <v>2026-02-04 22:44:01.209</v>
      </c>
      <c r="H811" s="3" t="s">
        <v>21</v>
      </c>
      <c r="I811" s="3">
        <v>8.5500000000000007</v>
      </c>
      <c r="J811" s="3" t="s">
        <v>36</v>
      </c>
    </row>
    <row r="812" spans="1:10" s="3" customFormat="1" x14ac:dyDescent="0.25">
      <c r="A812" s="2">
        <v>53</v>
      </c>
      <c r="B812" s="3" t="s">
        <v>31</v>
      </c>
      <c r="C812" s="3">
        <v>647</v>
      </c>
      <c r="D812" s="3">
        <v>1</v>
      </c>
      <c r="E812" s="3" t="s">
        <v>32</v>
      </c>
      <c r="F812" s="3" t="s">
        <v>33</v>
      </c>
      <c r="G812" s="3" t="str">
        <f>"2026-02-04 22:17:13.609"</f>
        <v>2026-02-04 22:17:13.609</v>
      </c>
      <c r="H812" s="3" t="s">
        <v>21</v>
      </c>
    </row>
    <row r="813" spans="1:10" s="3" customFormat="1" x14ac:dyDescent="0.25">
      <c r="A813" s="2">
        <v>54</v>
      </c>
      <c r="B813" s="3" t="s">
        <v>34</v>
      </c>
      <c r="C813" s="3">
        <v>647</v>
      </c>
      <c r="D813" s="3">
        <v>1</v>
      </c>
      <c r="E813" s="3" t="s">
        <v>32</v>
      </c>
      <c r="F813" s="3" t="s">
        <v>33</v>
      </c>
      <c r="G813" s="3" t="str">
        <f>"2026-02-04 22:17:11.609"</f>
        <v>2026-02-04 22:17:11.609</v>
      </c>
      <c r="H813" s="3" t="s">
        <v>21</v>
      </c>
      <c r="I813" s="3">
        <v>8.0399999999999991</v>
      </c>
      <c r="J813" s="3" t="s">
        <v>36</v>
      </c>
    </row>
    <row r="814" spans="1:10" s="3" customFormat="1" x14ac:dyDescent="0.25">
      <c r="A814" s="2">
        <v>55</v>
      </c>
      <c r="B814" s="3" t="s">
        <v>31</v>
      </c>
      <c r="C814" s="3">
        <v>647</v>
      </c>
      <c r="D814" s="3">
        <v>1</v>
      </c>
      <c r="E814" s="3" t="s">
        <v>32</v>
      </c>
      <c r="F814" s="3" t="s">
        <v>33</v>
      </c>
      <c r="G814" s="3" t="str">
        <f>"2026-02-04 21:59:15.009"</f>
        <v>2026-02-04 21:59:15.009</v>
      </c>
      <c r="H814" s="3" t="s">
        <v>21</v>
      </c>
    </row>
    <row r="815" spans="1:10" s="3" customFormat="1" x14ac:dyDescent="0.25">
      <c r="A815" s="2">
        <v>56</v>
      </c>
      <c r="B815" s="3" t="s">
        <v>34</v>
      </c>
      <c r="C815" s="3">
        <v>647</v>
      </c>
      <c r="D815" s="3">
        <v>1</v>
      </c>
      <c r="E815" s="3" t="s">
        <v>32</v>
      </c>
      <c r="F815" s="3" t="s">
        <v>33</v>
      </c>
      <c r="G815" s="3" t="str">
        <f>"2026-02-04 21:59:11.709"</f>
        <v>2026-02-04 21:59:11.709</v>
      </c>
      <c r="H815" s="3" t="s">
        <v>21</v>
      </c>
      <c r="I815" s="3">
        <v>11.57</v>
      </c>
      <c r="J815" s="3" t="s">
        <v>35</v>
      </c>
    </row>
    <row r="816" spans="1:10" s="3" customFormat="1" x14ac:dyDescent="0.25">
      <c r="A816" s="2">
        <v>57</v>
      </c>
      <c r="B816" s="3" t="s">
        <v>31</v>
      </c>
      <c r="C816" s="3">
        <v>647</v>
      </c>
      <c r="D816" s="3">
        <v>1</v>
      </c>
      <c r="E816" s="3" t="s">
        <v>32</v>
      </c>
      <c r="F816" s="3" t="s">
        <v>33</v>
      </c>
      <c r="G816" s="3" t="str">
        <f>"2026-02-04 21:59:10.209"</f>
        <v>2026-02-04 21:59:10.209</v>
      </c>
      <c r="H816" s="3" t="s">
        <v>21</v>
      </c>
    </row>
    <row r="817" spans="1:10" s="3" customFormat="1" x14ac:dyDescent="0.25">
      <c r="A817" s="2">
        <v>58</v>
      </c>
      <c r="B817" s="3" t="s">
        <v>34</v>
      </c>
      <c r="C817" s="3">
        <v>647</v>
      </c>
      <c r="D817" s="3">
        <v>1</v>
      </c>
      <c r="E817" s="3" t="s">
        <v>32</v>
      </c>
      <c r="F817" s="3" t="s">
        <v>33</v>
      </c>
      <c r="G817" s="3" t="str">
        <f>"2026-02-04 21:59:08.309"</f>
        <v>2026-02-04 21:59:08.309</v>
      </c>
      <c r="H817" s="3" t="s">
        <v>21</v>
      </c>
      <c r="I817" s="3">
        <v>16.8</v>
      </c>
      <c r="J817" s="3" t="s">
        <v>35</v>
      </c>
    </row>
    <row r="818" spans="1:10" x14ac:dyDescent="0.25">
      <c r="A818" s="1">
        <v>59</v>
      </c>
      <c r="B818" t="s">
        <v>74</v>
      </c>
      <c r="C818">
        <v>215</v>
      </c>
      <c r="D818">
        <v>6</v>
      </c>
      <c r="E818" t="s">
        <v>94</v>
      </c>
      <c r="F818" t="s">
        <v>95</v>
      </c>
      <c r="G818" t="str">
        <f>"2026-02-04 16:57:38.830"</f>
        <v>2026-02-04 16:57:38.830</v>
      </c>
      <c r="H818" t="s">
        <v>21</v>
      </c>
    </row>
    <row r="819" spans="1:10" x14ac:dyDescent="0.25">
      <c r="A819" s="1">
        <v>60</v>
      </c>
      <c r="B819" t="s">
        <v>74</v>
      </c>
      <c r="C819">
        <v>115</v>
      </c>
      <c r="D819">
        <v>6</v>
      </c>
      <c r="E819" t="s">
        <v>96</v>
      </c>
      <c r="F819" t="s">
        <v>95</v>
      </c>
      <c r="G819" t="str">
        <f>"2026-02-04 16:57:38.702"</f>
        <v>2026-02-04 16:57:38.702</v>
      </c>
      <c r="H819" t="s">
        <v>21</v>
      </c>
    </row>
    <row r="820" spans="1:10" x14ac:dyDescent="0.25">
      <c r="A820" s="1">
        <v>61</v>
      </c>
      <c r="B820" t="s">
        <v>22</v>
      </c>
      <c r="C820">
        <v>215</v>
      </c>
      <c r="D820">
        <v>6</v>
      </c>
      <c r="E820" t="s">
        <v>94</v>
      </c>
      <c r="F820" t="s">
        <v>95</v>
      </c>
      <c r="G820" t="str">
        <f>"2026-02-04 16:57:33.636"</f>
        <v>2026-02-04 16:57:33.636</v>
      </c>
      <c r="H820" t="s">
        <v>21</v>
      </c>
      <c r="I820">
        <v>0</v>
      </c>
      <c r="J820" t="s">
        <v>26</v>
      </c>
    </row>
    <row r="821" spans="1:10" x14ac:dyDescent="0.25">
      <c r="A821" s="1">
        <v>62</v>
      </c>
      <c r="B821" t="s">
        <v>22</v>
      </c>
      <c r="C821">
        <v>115</v>
      </c>
      <c r="D821">
        <v>6</v>
      </c>
      <c r="E821" t="s">
        <v>96</v>
      </c>
      <c r="F821" t="s">
        <v>95</v>
      </c>
      <c r="G821" t="str">
        <f>"2026-02-04 16:57:33.631"</f>
        <v>2026-02-04 16:57:33.631</v>
      </c>
      <c r="H821" t="s">
        <v>21</v>
      </c>
      <c r="I821">
        <v>0</v>
      </c>
      <c r="J821" t="s">
        <v>26</v>
      </c>
    </row>
    <row r="822" spans="1:10" x14ac:dyDescent="0.25">
      <c r="A822" s="1">
        <v>63</v>
      </c>
      <c r="B822" t="s">
        <v>31</v>
      </c>
      <c r="C822">
        <v>6</v>
      </c>
      <c r="D822">
        <v>1</v>
      </c>
      <c r="E822" t="s">
        <v>84</v>
      </c>
      <c r="F822" t="s">
        <v>85</v>
      </c>
      <c r="G822" t="str">
        <f>"2026-02-04 16:57:33.512"</f>
        <v>2026-02-04 16:57:33.512</v>
      </c>
      <c r="H822" t="s">
        <v>64</v>
      </c>
    </row>
    <row r="823" spans="1:10" x14ac:dyDescent="0.25">
      <c r="A823" s="1">
        <v>64</v>
      </c>
      <c r="B823" t="s">
        <v>31</v>
      </c>
      <c r="C823">
        <v>75</v>
      </c>
      <c r="D823">
        <v>1</v>
      </c>
      <c r="E823" t="s">
        <v>86</v>
      </c>
      <c r="F823" t="s">
        <v>87</v>
      </c>
      <c r="G823" t="str">
        <f>"2026-02-04 16:57:33.510"</f>
        <v>2026-02-04 16:57:33.510</v>
      </c>
      <c r="H823" t="s">
        <v>53</v>
      </c>
    </row>
    <row r="824" spans="1:10" x14ac:dyDescent="0.25">
      <c r="A824" s="1">
        <v>65</v>
      </c>
      <c r="B824" t="s">
        <v>31</v>
      </c>
      <c r="C824">
        <v>74</v>
      </c>
      <c r="D824">
        <v>1</v>
      </c>
      <c r="E824" t="s">
        <v>88</v>
      </c>
      <c r="F824" t="s">
        <v>89</v>
      </c>
      <c r="G824" t="str">
        <f>"2026-02-04 16:57:33.508"</f>
        <v>2026-02-04 16:57:33.508</v>
      </c>
      <c r="H824" t="s">
        <v>60</v>
      </c>
    </row>
    <row r="825" spans="1:10" x14ac:dyDescent="0.25">
      <c r="A825" s="1">
        <v>66</v>
      </c>
      <c r="B825" t="s">
        <v>34</v>
      </c>
      <c r="C825">
        <v>75</v>
      </c>
      <c r="D825">
        <v>1</v>
      </c>
      <c r="E825" t="s">
        <v>86</v>
      </c>
      <c r="F825" t="s">
        <v>87</v>
      </c>
      <c r="G825" t="str">
        <f>"2026-02-04 16:57:22.120"</f>
        <v>2026-02-04 16:57:22.120</v>
      </c>
      <c r="H825" t="s">
        <v>53</v>
      </c>
      <c r="I825">
        <v>0</v>
      </c>
      <c r="J825" t="s">
        <v>26</v>
      </c>
    </row>
    <row r="826" spans="1:10" x14ac:dyDescent="0.25">
      <c r="A826" s="1">
        <v>67</v>
      </c>
      <c r="B826" t="s">
        <v>34</v>
      </c>
      <c r="C826">
        <v>74</v>
      </c>
      <c r="D826">
        <v>1</v>
      </c>
      <c r="E826" t="s">
        <v>88</v>
      </c>
      <c r="F826" t="s">
        <v>89</v>
      </c>
      <c r="G826" t="str">
        <f>"2026-02-04 16:57:22.115"</f>
        <v>2026-02-04 16:57:22.115</v>
      </c>
      <c r="H826" t="s">
        <v>60</v>
      </c>
      <c r="I826">
        <v>0</v>
      </c>
      <c r="J826" t="s">
        <v>26</v>
      </c>
    </row>
    <row r="827" spans="1:10" x14ac:dyDescent="0.25">
      <c r="A827" s="1">
        <v>68</v>
      </c>
      <c r="B827" t="s">
        <v>22</v>
      </c>
      <c r="C827">
        <v>6</v>
      </c>
      <c r="D827">
        <v>1</v>
      </c>
      <c r="E827" t="s">
        <v>84</v>
      </c>
      <c r="F827" t="s">
        <v>85</v>
      </c>
      <c r="G827" t="str">
        <f>"2026-02-04 16:57:22.109"</f>
        <v>2026-02-04 16:57:22.109</v>
      </c>
      <c r="H827" t="s">
        <v>64</v>
      </c>
      <c r="I827">
        <v>0</v>
      </c>
      <c r="J827" t="s">
        <v>26</v>
      </c>
    </row>
    <row r="828" spans="1:10" s="3" customFormat="1" x14ac:dyDescent="0.25">
      <c r="A828" s="2">
        <v>73</v>
      </c>
      <c r="B828" s="3" t="s">
        <v>31</v>
      </c>
      <c r="C828" s="3">
        <v>647</v>
      </c>
      <c r="D828" s="3">
        <v>1</v>
      </c>
      <c r="E828" s="3" t="s">
        <v>32</v>
      </c>
      <c r="F828" s="3" t="s">
        <v>33</v>
      </c>
      <c r="G828" s="3" t="str">
        <f>"2026-02-04 07:34:27.418"</f>
        <v>2026-02-04 07:34:27.418</v>
      </c>
      <c r="H828" s="3" t="s">
        <v>21</v>
      </c>
    </row>
    <row r="829" spans="1:10" s="3" customFormat="1" x14ac:dyDescent="0.25">
      <c r="A829" s="2">
        <v>74</v>
      </c>
      <c r="B829" s="3" t="s">
        <v>34</v>
      </c>
      <c r="C829" s="3">
        <v>647</v>
      </c>
      <c r="D829" s="3">
        <v>1</v>
      </c>
      <c r="E829" s="3" t="s">
        <v>32</v>
      </c>
      <c r="F829" s="3" t="s">
        <v>33</v>
      </c>
      <c r="G829" s="3" t="str">
        <f>"2026-02-04 07:34:23.918"</f>
        <v>2026-02-04 07:34:23.918</v>
      </c>
      <c r="H829" s="3" t="s">
        <v>21</v>
      </c>
      <c r="I829" s="3">
        <v>24.76</v>
      </c>
      <c r="J829" s="3" t="s">
        <v>35</v>
      </c>
    </row>
    <row r="830" spans="1:10" s="3" customFormat="1" x14ac:dyDescent="0.25">
      <c r="A830" s="2">
        <v>75</v>
      </c>
      <c r="B830" s="3" t="s">
        <v>31</v>
      </c>
      <c r="C830" s="3">
        <v>647</v>
      </c>
      <c r="D830" s="3">
        <v>1</v>
      </c>
      <c r="E830" s="3" t="s">
        <v>32</v>
      </c>
      <c r="F830" s="3" t="s">
        <v>33</v>
      </c>
      <c r="G830" s="3" t="str">
        <f>"2026-02-04 07:34:19.818"</f>
        <v>2026-02-04 07:34:19.818</v>
      </c>
      <c r="H830" s="3" t="s">
        <v>21</v>
      </c>
    </row>
    <row r="831" spans="1:10" s="3" customFormat="1" x14ac:dyDescent="0.25">
      <c r="A831" s="2">
        <v>76</v>
      </c>
      <c r="B831" s="3" t="s">
        <v>34</v>
      </c>
      <c r="C831" s="3">
        <v>647</v>
      </c>
      <c r="D831" s="3">
        <v>1</v>
      </c>
      <c r="E831" s="3" t="s">
        <v>32</v>
      </c>
      <c r="F831" s="3" t="s">
        <v>33</v>
      </c>
      <c r="G831" s="3" t="str">
        <f>"2026-02-04 07:34:18.318"</f>
        <v>2026-02-04 07:34:18.318</v>
      </c>
      <c r="H831" s="3" t="s">
        <v>21</v>
      </c>
      <c r="I831" s="3">
        <v>22.44</v>
      </c>
      <c r="J831" s="3" t="s">
        <v>35</v>
      </c>
    </row>
    <row r="832" spans="1:10" s="3" customFormat="1" x14ac:dyDescent="0.25">
      <c r="A832" s="2">
        <v>77</v>
      </c>
      <c r="B832" s="3" t="s">
        <v>31</v>
      </c>
      <c r="C832" s="3">
        <v>647</v>
      </c>
      <c r="D832" s="3">
        <v>1</v>
      </c>
      <c r="E832" s="3" t="s">
        <v>32</v>
      </c>
      <c r="F832" s="3" t="s">
        <v>33</v>
      </c>
      <c r="G832" s="3" t="str">
        <f>"2026-02-04 04:39:57.018"</f>
        <v>2026-02-04 04:39:57.018</v>
      </c>
      <c r="H832" s="3" t="s">
        <v>21</v>
      </c>
    </row>
    <row r="833" spans="1:10" s="3" customFormat="1" x14ac:dyDescent="0.25">
      <c r="A833" s="2">
        <v>78</v>
      </c>
      <c r="B833" s="3" t="s">
        <v>34</v>
      </c>
      <c r="C833" s="3">
        <v>647</v>
      </c>
      <c r="D833" s="3">
        <v>1</v>
      </c>
      <c r="E833" s="3" t="s">
        <v>32</v>
      </c>
      <c r="F833" s="3" t="s">
        <v>33</v>
      </c>
      <c r="G833" s="3" t="str">
        <f>"2026-02-04 04:39:54.918"</f>
        <v>2026-02-04 04:39:54.918</v>
      </c>
      <c r="H833" s="3" t="s">
        <v>21</v>
      </c>
      <c r="I833" s="3">
        <v>8.91</v>
      </c>
      <c r="J833" s="3" t="s">
        <v>36</v>
      </c>
    </row>
    <row r="834" spans="1:10" s="3" customFormat="1" x14ac:dyDescent="0.25">
      <c r="A834" s="2">
        <v>80</v>
      </c>
      <c r="B834" s="3" t="s">
        <v>31</v>
      </c>
      <c r="C834" s="3">
        <v>647</v>
      </c>
      <c r="D834" s="3">
        <v>1</v>
      </c>
      <c r="E834" s="3" t="s">
        <v>32</v>
      </c>
      <c r="F834" s="3" t="s">
        <v>33</v>
      </c>
      <c r="G834" s="3" t="str">
        <f>"2026-02-03 23:09:42.018"</f>
        <v>2026-02-03 23:09:42.018</v>
      </c>
      <c r="H834" s="3" t="s">
        <v>21</v>
      </c>
    </row>
    <row r="835" spans="1:10" s="3" customFormat="1" x14ac:dyDescent="0.25">
      <c r="A835" s="2">
        <v>81</v>
      </c>
      <c r="B835" s="3" t="s">
        <v>34</v>
      </c>
      <c r="C835" s="3">
        <v>647</v>
      </c>
      <c r="D835" s="3">
        <v>1</v>
      </c>
      <c r="E835" s="3" t="s">
        <v>32</v>
      </c>
      <c r="F835" s="3" t="s">
        <v>33</v>
      </c>
      <c r="G835" s="3" t="str">
        <f>"2026-02-03 23:09:38.118"</f>
        <v>2026-02-03 23:09:38.118</v>
      </c>
      <c r="H835" s="3" t="s">
        <v>21</v>
      </c>
      <c r="I835" s="3">
        <v>8.77</v>
      </c>
      <c r="J835" s="3" t="s">
        <v>36</v>
      </c>
    </row>
    <row r="836" spans="1:10" s="3" customFormat="1" x14ac:dyDescent="0.25">
      <c r="A836" s="2">
        <v>82</v>
      </c>
      <c r="B836" s="3" t="s">
        <v>31</v>
      </c>
      <c r="C836" s="3">
        <v>647</v>
      </c>
      <c r="D836" s="3">
        <v>1</v>
      </c>
      <c r="E836" s="3" t="s">
        <v>32</v>
      </c>
      <c r="F836" s="3" t="s">
        <v>33</v>
      </c>
      <c r="G836" s="3" t="str">
        <f>"2026-02-03 22:43:03.018"</f>
        <v>2026-02-03 22:43:03.018</v>
      </c>
      <c r="H836" s="3" t="s">
        <v>21</v>
      </c>
    </row>
    <row r="837" spans="1:10" s="3" customFormat="1" x14ac:dyDescent="0.25">
      <c r="A837" s="2">
        <v>83</v>
      </c>
      <c r="B837" s="3" t="s">
        <v>34</v>
      </c>
      <c r="C837" s="3">
        <v>647</v>
      </c>
      <c r="D837" s="3">
        <v>1</v>
      </c>
      <c r="E837" s="3" t="s">
        <v>32</v>
      </c>
      <c r="F837" s="3" t="s">
        <v>33</v>
      </c>
      <c r="G837" s="3" t="str">
        <f>"2026-02-03 22:42:58.918"</f>
        <v>2026-02-03 22:42:58.918</v>
      </c>
      <c r="H837" s="3" t="s">
        <v>21</v>
      </c>
      <c r="I837" s="3">
        <v>10.82</v>
      </c>
      <c r="J837" s="3" t="s">
        <v>36</v>
      </c>
    </row>
    <row r="838" spans="1:10" s="3" customFormat="1" x14ac:dyDescent="0.25">
      <c r="A838" s="2">
        <v>84</v>
      </c>
      <c r="B838" s="3" t="s">
        <v>31</v>
      </c>
      <c r="C838" s="3">
        <v>647</v>
      </c>
      <c r="D838" s="3">
        <v>1</v>
      </c>
      <c r="E838" s="3" t="s">
        <v>32</v>
      </c>
      <c r="F838" s="3" t="s">
        <v>33</v>
      </c>
      <c r="G838" s="3" t="str">
        <f>"2026-02-03 22:11:00.718"</f>
        <v>2026-02-03 22:11:00.718</v>
      </c>
      <c r="H838" s="3" t="s">
        <v>21</v>
      </c>
    </row>
    <row r="839" spans="1:10" s="3" customFormat="1" x14ac:dyDescent="0.25">
      <c r="A839" s="2">
        <v>85</v>
      </c>
      <c r="B839" s="3" t="s">
        <v>34</v>
      </c>
      <c r="C839" s="3">
        <v>647</v>
      </c>
      <c r="D839" s="3">
        <v>1</v>
      </c>
      <c r="E839" s="3" t="s">
        <v>32</v>
      </c>
      <c r="F839" s="3" t="s">
        <v>33</v>
      </c>
      <c r="G839" s="3" t="str">
        <f>"2026-02-03 22:10:51.418"</f>
        <v>2026-02-03 22:10:51.418</v>
      </c>
      <c r="H839" s="3" t="s">
        <v>21</v>
      </c>
      <c r="I839" s="3">
        <v>8.89</v>
      </c>
      <c r="J839" s="3" t="s">
        <v>36</v>
      </c>
    </row>
    <row r="840" spans="1:10" s="3" customFormat="1" x14ac:dyDescent="0.25">
      <c r="A840" s="2">
        <v>86</v>
      </c>
      <c r="B840" s="3" t="s">
        <v>31</v>
      </c>
      <c r="C840" s="3">
        <v>647</v>
      </c>
      <c r="D840" s="3">
        <v>1</v>
      </c>
      <c r="E840" s="3" t="s">
        <v>32</v>
      </c>
      <c r="F840" s="3" t="s">
        <v>33</v>
      </c>
      <c r="G840" s="3" t="str">
        <f>"2026-02-03 22:02:10.918"</f>
        <v>2026-02-03 22:02:10.918</v>
      </c>
      <c r="H840" s="3" t="s">
        <v>21</v>
      </c>
    </row>
    <row r="841" spans="1:10" s="3" customFormat="1" x14ac:dyDescent="0.25">
      <c r="A841" s="2">
        <v>87</v>
      </c>
      <c r="B841" s="3" t="s">
        <v>34</v>
      </c>
      <c r="C841" s="3">
        <v>647</v>
      </c>
      <c r="D841" s="3">
        <v>1</v>
      </c>
      <c r="E841" s="3" t="s">
        <v>32</v>
      </c>
      <c r="F841" s="3" t="s">
        <v>33</v>
      </c>
      <c r="G841" s="3" t="str">
        <f>"2026-02-03 22:02:08.618"</f>
        <v>2026-02-03 22:02:08.618</v>
      </c>
      <c r="H841" s="3" t="s">
        <v>21</v>
      </c>
      <c r="I841" s="3">
        <v>19.5</v>
      </c>
      <c r="J841" s="3" t="s">
        <v>35</v>
      </c>
    </row>
    <row r="842" spans="1:10" s="3" customFormat="1" x14ac:dyDescent="0.25">
      <c r="A842" s="2">
        <v>88</v>
      </c>
      <c r="B842" s="3" t="s">
        <v>31</v>
      </c>
      <c r="C842" s="3">
        <v>647</v>
      </c>
      <c r="D842" s="3">
        <v>1</v>
      </c>
      <c r="E842" s="3" t="s">
        <v>32</v>
      </c>
      <c r="F842" s="3" t="s">
        <v>33</v>
      </c>
      <c r="G842" s="3" t="str">
        <f>"2026-02-03 07:35:20.418"</f>
        <v>2026-02-03 07:35:20.418</v>
      </c>
      <c r="H842" s="3" t="s">
        <v>21</v>
      </c>
    </row>
    <row r="843" spans="1:10" s="3" customFormat="1" x14ac:dyDescent="0.25">
      <c r="A843" s="2">
        <v>89</v>
      </c>
      <c r="B843" s="3" t="s">
        <v>34</v>
      </c>
      <c r="C843" s="3">
        <v>647</v>
      </c>
      <c r="D843" s="3">
        <v>1</v>
      </c>
      <c r="E843" s="3" t="s">
        <v>32</v>
      </c>
      <c r="F843" s="3" t="s">
        <v>33</v>
      </c>
      <c r="G843" s="3" t="str">
        <f>"2026-02-03 07:35:05.818"</f>
        <v>2026-02-03 07:35:05.818</v>
      </c>
      <c r="H843" s="3" t="s">
        <v>21</v>
      </c>
      <c r="I843" s="3">
        <v>9.75</v>
      </c>
      <c r="J843" s="3" t="s">
        <v>36</v>
      </c>
    </row>
    <row r="844" spans="1:10" s="3" customFormat="1" x14ac:dyDescent="0.25">
      <c r="A844" s="2">
        <v>90</v>
      </c>
      <c r="B844" s="3" t="s">
        <v>31</v>
      </c>
      <c r="C844" s="3">
        <v>647</v>
      </c>
      <c r="D844" s="3">
        <v>1</v>
      </c>
      <c r="E844" s="3" t="s">
        <v>32</v>
      </c>
      <c r="F844" s="3" t="s">
        <v>33</v>
      </c>
      <c r="G844" s="3" t="str">
        <f>"2026-02-03 06:48:23.018"</f>
        <v>2026-02-03 06:48:23.018</v>
      </c>
      <c r="H844" s="3" t="s">
        <v>21</v>
      </c>
    </row>
    <row r="845" spans="1:10" s="3" customFormat="1" x14ac:dyDescent="0.25">
      <c r="A845" s="2">
        <v>91</v>
      </c>
      <c r="B845" s="3" t="s">
        <v>34</v>
      </c>
      <c r="C845" s="3">
        <v>647</v>
      </c>
      <c r="D845" s="3">
        <v>1</v>
      </c>
      <c r="E845" s="3" t="s">
        <v>32</v>
      </c>
      <c r="F845" s="3" t="s">
        <v>33</v>
      </c>
      <c r="G845" s="3" t="str">
        <f>"2026-02-03 06:48:13.518"</f>
        <v>2026-02-03 06:48:13.518</v>
      </c>
      <c r="H845" s="3" t="s">
        <v>21</v>
      </c>
      <c r="I845" s="3">
        <v>14</v>
      </c>
      <c r="J845" s="3" t="s">
        <v>35</v>
      </c>
    </row>
    <row r="846" spans="1:10" s="3" customFormat="1" x14ac:dyDescent="0.25">
      <c r="A846" s="2">
        <v>93</v>
      </c>
      <c r="B846" s="3" t="s">
        <v>31</v>
      </c>
      <c r="C846" s="3">
        <v>647</v>
      </c>
      <c r="D846" s="3">
        <v>1</v>
      </c>
      <c r="E846" s="3" t="s">
        <v>32</v>
      </c>
      <c r="F846" s="3" t="s">
        <v>33</v>
      </c>
      <c r="G846" s="3" t="str">
        <f>"2026-02-03 06:11:40.518"</f>
        <v>2026-02-03 06:11:40.518</v>
      </c>
      <c r="H846" s="3" t="s">
        <v>21</v>
      </c>
    </row>
    <row r="847" spans="1:10" s="3" customFormat="1" x14ac:dyDescent="0.25">
      <c r="A847" s="2">
        <v>94</v>
      </c>
      <c r="B847" s="3" t="s">
        <v>34</v>
      </c>
      <c r="C847" s="3">
        <v>647</v>
      </c>
      <c r="D847" s="3">
        <v>1</v>
      </c>
      <c r="E847" s="3" t="s">
        <v>32</v>
      </c>
      <c r="F847" s="3" t="s">
        <v>33</v>
      </c>
      <c r="G847" s="3" t="str">
        <f>"2026-02-03 06:11:31.618"</f>
        <v>2026-02-03 06:11:31.618</v>
      </c>
      <c r="H847" s="3" t="s">
        <v>21</v>
      </c>
      <c r="I847" s="3">
        <v>8.8699999999999992</v>
      </c>
      <c r="J847" s="3" t="s">
        <v>36</v>
      </c>
    </row>
    <row r="848" spans="1:10" s="3" customFormat="1" x14ac:dyDescent="0.25">
      <c r="A848" s="2">
        <v>95</v>
      </c>
      <c r="B848" s="3" t="s">
        <v>31</v>
      </c>
      <c r="C848" s="3">
        <v>647</v>
      </c>
      <c r="D848" s="3">
        <v>1</v>
      </c>
      <c r="E848" s="3" t="s">
        <v>32</v>
      </c>
      <c r="F848" s="3" t="s">
        <v>33</v>
      </c>
      <c r="G848" s="3" t="str">
        <f>"2026-02-03 06:02:15.318"</f>
        <v>2026-02-03 06:02:15.318</v>
      </c>
      <c r="H848" s="3" t="s">
        <v>21</v>
      </c>
    </row>
    <row r="849" spans="1:10" s="3" customFormat="1" x14ac:dyDescent="0.25">
      <c r="A849" s="2">
        <v>96</v>
      </c>
      <c r="B849" s="3" t="s">
        <v>34</v>
      </c>
      <c r="C849" s="3">
        <v>647</v>
      </c>
      <c r="D849" s="3">
        <v>1</v>
      </c>
      <c r="E849" s="3" t="s">
        <v>32</v>
      </c>
      <c r="F849" s="3" t="s">
        <v>33</v>
      </c>
      <c r="G849" s="3" t="str">
        <f>"2026-02-03 06:02:11.418"</f>
        <v>2026-02-03 06:02:11.418</v>
      </c>
      <c r="H849" s="3" t="s">
        <v>21</v>
      </c>
      <c r="I849" s="3">
        <v>13.65</v>
      </c>
      <c r="J849" s="3" t="s">
        <v>35</v>
      </c>
    </row>
    <row r="850" spans="1:10" s="3" customFormat="1" x14ac:dyDescent="0.25">
      <c r="A850" s="2">
        <v>97</v>
      </c>
      <c r="B850" s="3" t="s">
        <v>31</v>
      </c>
      <c r="C850" s="3">
        <v>647</v>
      </c>
      <c r="D850" s="3">
        <v>1</v>
      </c>
      <c r="E850" s="3" t="s">
        <v>32</v>
      </c>
      <c r="F850" s="3" t="s">
        <v>33</v>
      </c>
      <c r="G850" s="3" t="str">
        <f>"2026-02-03 05:16:21.018"</f>
        <v>2026-02-03 05:16:21.018</v>
      </c>
      <c r="H850" s="3" t="s">
        <v>21</v>
      </c>
    </row>
    <row r="851" spans="1:10" s="3" customFormat="1" x14ac:dyDescent="0.25">
      <c r="A851" s="2">
        <v>98</v>
      </c>
      <c r="B851" s="3" t="s">
        <v>34</v>
      </c>
      <c r="C851" s="3">
        <v>647</v>
      </c>
      <c r="D851" s="3">
        <v>1</v>
      </c>
      <c r="E851" s="3" t="s">
        <v>32</v>
      </c>
      <c r="F851" s="3" t="s">
        <v>33</v>
      </c>
      <c r="G851" s="3" t="str">
        <f>"2026-02-03 05:16:17.118"</f>
        <v>2026-02-03 05:16:17.118</v>
      </c>
      <c r="H851" s="3" t="s">
        <v>21</v>
      </c>
      <c r="I851" s="3">
        <v>8.44</v>
      </c>
      <c r="J851" s="3" t="s">
        <v>35</v>
      </c>
    </row>
    <row r="852" spans="1:10" s="3" customFormat="1" x14ac:dyDescent="0.25">
      <c r="A852" s="2">
        <v>99</v>
      </c>
      <c r="B852" s="3" t="s">
        <v>31</v>
      </c>
      <c r="C852" s="3">
        <v>647</v>
      </c>
      <c r="D852" s="3">
        <v>1</v>
      </c>
      <c r="E852" s="3" t="s">
        <v>32</v>
      </c>
      <c r="F852" s="3" t="s">
        <v>33</v>
      </c>
      <c r="G852" s="3" t="str">
        <f>"2026-02-03 04:29:22.718"</f>
        <v>2026-02-03 04:29:22.718</v>
      </c>
      <c r="H852" s="3" t="s">
        <v>21</v>
      </c>
    </row>
    <row r="853" spans="1:10" s="3" customFormat="1" x14ac:dyDescent="0.25">
      <c r="A853" s="2">
        <v>0</v>
      </c>
      <c r="B853" s="3" t="s">
        <v>34</v>
      </c>
      <c r="C853" s="3">
        <v>647</v>
      </c>
      <c r="D853" s="3">
        <v>1</v>
      </c>
      <c r="E853" s="3" t="s">
        <v>32</v>
      </c>
      <c r="F853" s="3" t="s">
        <v>33</v>
      </c>
      <c r="G853" s="3" t="str">
        <f>"2026-02-03 04:29:15.418"</f>
        <v>2026-02-03 04:29:15.418</v>
      </c>
      <c r="H853" s="3" t="s">
        <v>21</v>
      </c>
      <c r="I853" s="3">
        <v>12.47</v>
      </c>
      <c r="J853" s="3" t="s">
        <v>35</v>
      </c>
    </row>
    <row r="854" spans="1:10" s="3" customFormat="1" x14ac:dyDescent="0.25">
      <c r="A854" s="2">
        <v>1</v>
      </c>
      <c r="B854" s="3" t="s">
        <v>31</v>
      </c>
      <c r="C854" s="3">
        <v>647</v>
      </c>
      <c r="D854" s="3">
        <v>1</v>
      </c>
      <c r="E854" s="3" t="s">
        <v>32</v>
      </c>
      <c r="F854" s="3" t="s">
        <v>33</v>
      </c>
      <c r="G854" s="3" t="str">
        <f>"2026-02-03 03:46:35.618"</f>
        <v>2026-02-03 03:46:35.618</v>
      </c>
      <c r="H854" s="3" t="s">
        <v>21</v>
      </c>
    </row>
    <row r="855" spans="1:10" s="3" customFormat="1" x14ac:dyDescent="0.25">
      <c r="A855" s="2">
        <v>2</v>
      </c>
      <c r="B855" s="3" t="s">
        <v>34</v>
      </c>
      <c r="C855" s="3">
        <v>647</v>
      </c>
      <c r="D855" s="3">
        <v>1</v>
      </c>
      <c r="E855" s="3" t="s">
        <v>32</v>
      </c>
      <c r="F855" s="3" t="s">
        <v>33</v>
      </c>
      <c r="G855" s="3" t="str">
        <f>"2026-02-03 03:46:25.318"</f>
        <v>2026-02-03 03:46:25.318</v>
      </c>
      <c r="H855" s="3" t="s">
        <v>21</v>
      </c>
      <c r="I855" s="3">
        <v>13.13</v>
      </c>
      <c r="J855" s="3" t="s">
        <v>36</v>
      </c>
    </row>
    <row r="856" spans="1:10" s="3" customFormat="1" x14ac:dyDescent="0.25">
      <c r="A856" s="2">
        <v>3</v>
      </c>
      <c r="B856" s="3" t="s">
        <v>31</v>
      </c>
      <c r="C856" s="3">
        <v>647</v>
      </c>
      <c r="D856" s="3">
        <v>1</v>
      </c>
      <c r="E856" s="3" t="s">
        <v>32</v>
      </c>
      <c r="F856" s="3" t="s">
        <v>33</v>
      </c>
      <c r="G856" s="3" t="str">
        <f>"2026-02-03 02:41:10.718"</f>
        <v>2026-02-03 02:41:10.718</v>
      </c>
      <c r="H856" s="3" t="s">
        <v>21</v>
      </c>
    </row>
    <row r="857" spans="1:10" s="3" customFormat="1" x14ac:dyDescent="0.25">
      <c r="A857" s="2">
        <v>4</v>
      </c>
      <c r="B857" s="3" t="s">
        <v>34</v>
      </c>
      <c r="C857" s="3">
        <v>647</v>
      </c>
      <c r="D857" s="3">
        <v>1</v>
      </c>
      <c r="E857" s="3" t="s">
        <v>32</v>
      </c>
      <c r="F857" s="3" t="s">
        <v>33</v>
      </c>
      <c r="G857" s="3" t="str">
        <f>"2026-02-03 02:41:01.818"</f>
        <v>2026-02-03 02:41:01.818</v>
      </c>
      <c r="H857" s="3" t="s">
        <v>21</v>
      </c>
      <c r="I857" s="3">
        <v>14.28</v>
      </c>
      <c r="J857" s="3" t="s">
        <v>35</v>
      </c>
    </row>
    <row r="858" spans="1:10" s="3" customFormat="1" x14ac:dyDescent="0.25">
      <c r="A858" s="2">
        <v>5</v>
      </c>
      <c r="B858" s="3" t="s">
        <v>31</v>
      </c>
      <c r="C858" s="3">
        <v>647</v>
      </c>
      <c r="D858" s="3">
        <v>1</v>
      </c>
      <c r="E858" s="3" t="s">
        <v>32</v>
      </c>
      <c r="F858" s="3" t="s">
        <v>33</v>
      </c>
      <c r="G858" s="3" t="str">
        <f>"2026-02-03 01:39:09.018"</f>
        <v>2026-02-03 01:39:09.018</v>
      </c>
      <c r="H858" s="3" t="s">
        <v>21</v>
      </c>
    </row>
    <row r="859" spans="1:10" s="3" customFormat="1" x14ac:dyDescent="0.25">
      <c r="A859" s="2">
        <v>6</v>
      </c>
      <c r="B859" s="3" t="s">
        <v>34</v>
      </c>
      <c r="C859" s="3">
        <v>647</v>
      </c>
      <c r="D859" s="3">
        <v>1</v>
      </c>
      <c r="E859" s="3" t="s">
        <v>32</v>
      </c>
      <c r="F859" s="3" t="s">
        <v>33</v>
      </c>
      <c r="G859" s="3" t="str">
        <f>"2026-02-03 01:38:56.718"</f>
        <v>2026-02-03 01:38:56.718</v>
      </c>
      <c r="H859" s="3" t="s">
        <v>21</v>
      </c>
      <c r="I859" s="3">
        <v>9.52</v>
      </c>
      <c r="J859" s="3" t="s">
        <v>36</v>
      </c>
    </row>
    <row r="860" spans="1:10" s="3" customFormat="1" x14ac:dyDescent="0.25">
      <c r="A860" s="2">
        <v>7</v>
      </c>
      <c r="B860" s="3" t="s">
        <v>31</v>
      </c>
      <c r="C860" s="3">
        <v>647</v>
      </c>
      <c r="D860" s="3">
        <v>1</v>
      </c>
      <c r="E860" s="3" t="s">
        <v>32</v>
      </c>
      <c r="F860" s="3" t="s">
        <v>33</v>
      </c>
      <c r="G860" s="3" t="str">
        <f>"2026-02-03 01:38:18.218"</f>
        <v>2026-02-03 01:38:18.218</v>
      </c>
      <c r="H860" s="3" t="s">
        <v>21</v>
      </c>
    </row>
    <row r="861" spans="1:10" s="3" customFormat="1" x14ac:dyDescent="0.25">
      <c r="A861" s="2">
        <v>8</v>
      </c>
      <c r="B861" s="3" t="s">
        <v>34</v>
      </c>
      <c r="C861" s="3">
        <v>647</v>
      </c>
      <c r="D861" s="3">
        <v>1</v>
      </c>
      <c r="E861" s="3" t="s">
        <v>32</v>
      </c>
      <c r="F861" s="3" t="s">
        <v>33</v>
      </c>
      <c r="G861" s="3" t="str">
        <f>"2026-02-03 01:38:09.118"</f>
        <v>2026-02-03 01:38:09.118</v>
      </c>
      <c r="H861" s="3" t="s">
        <v>21</v>
      </c>
      <c r="I861" s="3">
        <v>16.05</v>
      </c>
      <c r="J861" s="3" t="s">
        <v>35</v>
      </c>
    </row>
    <row r="862" spans="1:10" s="3" customFormat="1" x14ac:dyDescent="0.25">
      <c r="A862" s="2">
        <v>9</v>
      </c>
      <c r="B862" s="3" t="s">
        <v>31</v>
      </c>
      <c r="C862" s="3">
        <v>647</v>
      </c>
      <c r="D862" s="3">
        <v>1</v>
      </c>
      <c r="E862" s="3" t="s">
        <v>32</v>
      </c>
      <c r="F862" s="3" t="s">
        <v>33</v>
      </c>
      <c r="G862" s="3" t="str">
        <f>"2026-02-03 00:42:08.718"</f>
        <v>2026-02-03 00:42:08.718</v>
      </c>
      <c r="H862" s="3" t="s">
        <v>21</v>
      </c>
    </row>
    <row r="863" spans="1:10" s="3" customFormat="1" x14ac:dyDescent="0.25">
      <c r="A863" s="2">
        <v>10</v>
      </c>
      <c r="B863" s="3" t="s">
        <v>34</v>
      </c>
      <c r="C863" s="3">
        <v>647</v>
      </c>
      <c r="D863" s="3">
        <v>1</v>
      </c>
      <c r="E863" s="3" t="s">
        <v>32</v>
      </c>
      <c r="F863" s="3" t="s">
        <v>33</v>
      </c>
      <c r="G863" s="3" t="str">
        <f>"2026-02-03 00:42:07.218"</f>
        <v>2026-02-03 00:42:07.218</v>
      </c>
      <c r="H863" s="3" t="s">
        <v>21</v>
      </c>
      <c r="I863" s="3">
        <v>12.28</v>
      </c>
      <c r="J863" s="3" t="s">
        <v>35</v>
      </c>
    </row>
    <row r="864" spans="1:10" s="3" customFormat="1" x14ac:dyDescent="0.25">
      <c r="A864" s="2">
        <v>11</v>
      </c>
      <c r="B864" s="3" t="s">
        <v>31</v>
      </c>
      <c r="C864" s="3">
        <v>647</v>
      </c>
      <c r="D864" s="3">
        <v>1</v>
      </c>
      <c r="E864" s="3" t="s">
        <v>32</v>
      </c>
      <c r="F864" s="3" t="s">
        <v>33</v>
      </c>
      <c r="G864" s="3" t="str">
        <f>"2026-02-02 22:05:00.418"</f>
        <v>2026-02-02 22:05:00.418</v>
      </c>
      <c r="H864" s="3" t="s">
        <v>21</v>
      </c>
    </row>
    <row r="865" spans="1:10" s="3" customFormat="1" x14ac:dyDescent="0.25">
      <c r="A865" s="2">
        <v>12</v>
      </c>
      <c r="B865" s="3" t="s">
        <v>34</v>
      </c>
      <c r="C865" s="3">
        <v>647</v>
      </c>
      <c r="D865" s="3">
        <v>1</v>
      </c>
      <c r="E865" s="3" t="s">
        <v>32</v>
      </c>
      <c r="F865" s="3" t="s">
        <v>33</v>
      </c>
      <c r="G865" s="3" t="str">
        <f>"2026-02-02 22:04:57.918"</f>
        <v>2026-02-02 22:04:57.918</v>
      </c>
      <c r="H865" s="3" t="s">
        <v>21</v>
      </c>
      <c r="I865" s="3">
        <v>12.34</v>
      </c>
      <c r="J865" s="3" t="s">
        <v>35</v>
      </c>
    </row>
    <row r="866" spans="1:10" s="3" customFormat="1" x14ac:dyDescent="0.25">
      <c r="A866" s="2">
        <v>13</v>
      </c>
      <c r="B866" s="3" t="s">
        <v>31</v>
      </c>
      <c r="C866" s="3">
        <v>647</v>
      </c>
      <c r="D866" s="3">
        <v>1</v>
      </c>
      <c r="E866" s="3" t="s">
        <v>32</v>
      </c>
      <c r="F866" s="3" t="s">
        <v>33</v>
      </c>
      <c r="G866" s="3" t="str">
        <f>"2026-02-02 20:30:20.218"</f>
        <v>2026-02-02 20:30:20.218</v>
      </c>
      <c r="H866" s="3" t="s">
        <v>21</v>
      </c>
    </row>
    <row r="867" spans="1:10" s="3" customFormat="1" x14ac:dyDescent="0.25">
      <c r="A867" s="2">
        <v>14</v>
      </c>
      <c r="B867" s="3" t="s">
        <v>34</v>
      </c>
      <c r="C867" s="3">
        <v>647</v>
      </c>
      <c r="D867" s="3">
        <v>1</v>
      </c>
      <c r="E867" s="3" t="s">
        <v>32</v>
      </c>
      <c r="F867" s="3" t="s">
        <v>33</v>
      </c>
      <c r="G867" s="3" t="str">
        <f>"2026-02-02 20:30:17.318"</f>
        <v>2026-02-02 20:30:17.318</v>
      </c>
      <c r="H867" s="3" t="s">
        <v>21</v>
      </c>
      <c r="I867" s="3">
        <v>10.91</v>
      </c>
      <c r="J867" s="3" t="s">
        <v>35</v>
      </c>
    </row>
    <row r="868" spans="1:10" x14ac:dyDescent="0.25">
      <c r="A868" s="1">
        <v>15</v>
      </c>
      <c r="B868" t="s">
        <v>31</v>
      </c>
      <c r="C868">
        <v>630</v>
      </c>
      <c r="D868">
        <v>5</v>
      </c>
      <c r="E868" t="s">
        <v>23</v>
      </c>
      <c r="F868" t="s">
        <v>24</v>
      </c>
      <c r="G868" t="str">
        <f>"2026-02-02 15:41:22.918"</f>
        <v>2026-02-02 15:41:22.918</v>
      </c>
      <c r="H868" t="s">
        <v>25</v>
      </c>
    </row>
    <row r="869" spans="1:10" x14ac:dyDescent="0.25">
      <c r="A869" s="1">
        <v>16</v>
      </c>
      <c r="B869" t="s">
        <v>19</v>
      </c>
      <c r="C869">
        <v>706</v>
      </c>
      <c r="D869">
        <v>4</v>
      </c>
      <c r="E869" t="s">
        <v>27</v>
      </c>
      <c r="F869" t="s">
        <v>28</v>
      </c>
      <c r="G869" t="str">
        <f>"2026-02-02 15:40:52.761"</f>
        <v>2026-02-02 15:40:52.761</v>
      </c>
      <c r="H869" t="s">
        <v>21</v>
      </c>
      <c r="I869">
        <v>0</v>
      </c>
      <c r="J869" t="s">
        <v>26</v>
      </c>
    </row>
    <row r="870" spans="1:10" x14ac:dyDescent="0.25">
      <c r="A870" s="1">
        <v>17</v>
      </c>
      <c r="B870" t="s">
        <v>22</v>
      </c>
      <c r="C870">
        <v>630</v>
      </c>
      <c r="D870">
        <v>5</v>
      </c>
      <c r="E870" t="s">
        <v>23</v>
      </c>
      <c r="F870" t="s">
        <v>24</v>
      </c>
      <c r="G870" t="str">
        <f>"2026-02-02 15:31:55.718"</f>
        <v>2026-02-02 15:31:55.718</v>
      </c>
      <c r="H870" t="s">
        <v>25</v>
      </c>
      <c r="I870">
        <v>0</v>
      </c>
      <c r="J870" t="s">
        <v>26</v>
      </c>
    </row>
    <row r="871" spans="1:10" s="3" customFormat="1" x14ac:dyDescent="0.25">
      <c r="A871" s="2">
        <v>18</v>
      </c>
      <c r="B871" s="3" t="s">
        <v>31</v>
      </c>
      <c r="C871" s="3">
        <v>647</v>
      </c>
      <c r="D871" s="3">
        <v>1</v>
      </c>
      <c r="E871" s="3" t="s">
        <v>32</v>
      </c>
      <c r="F871" s="3" t="s">
        <v>33</v>
      </c>
      <c r="G871" s="3" t="str">
        <f>"2026-02-02 03:52:32.318"</f>
        <v>2026-02-02 03:52:32.318</v>
      </c>
      <c r="H871" s="3" t="s">
        <v>21</v>
      </c>
    </row>
    <row r="872" spans="1:10" s="3" customFormat="1" x14ac:dyDescent="0.25">
      <c r="A872" s="2">
        <v>19</v>
      </c>
      <c r="B872" s="3" t="s">
        <v>34</v>
      </c>
      <c r="C872" s="3">
        <v>647</v>
      </c>
      <c r="D872" s="3">
        <v>1</v>
      </c>
      <c r="E872" s="3" t="s">
        <v>32</v>
      </c>
      <c r="F872" s="3" t="s">
        <v>33</v>
      </c>
      <c r="G872" s="3" t="str">
        <f>"2026-02-02 03:52:29.818"</f>
        <v>2026-02-02 03:52:29.818</v>
      </c>
      <c r="H872" s="3" t="s">
        <v>21</v>
      </c>
      <c r="I872" s="3">
        <v>21.75</v>
      </c>
      <c r="J872" s="3" t="s">
        <v>35</v>
      </c>
    </row>
    <row r="873" spans="1:10" s="3" customFormat="1" x14ac:dyDescent="0.25">
      <c r="A873" s="2">
        <v>21</v>
      </c>
      <c r="B873" s="3" t="s">
        <v>31</v>
      </c>
      <c r="C873" s="3">
        <v>647</v>
      </c>
      <c r="D873" s="3">
        <v>1</v>
      </c>
      <c r="E873" s="3" t="s">
        <v>32</v>
      </c>
      <c r="F873" s="3" t="s">
        <v>33</v>
      </c>
      <c r="G873" s="3" t="str">
        <f>"2026-02-01 23:14:38.618"</f>
        <v>2026-02-01 23:14:38.618</v>
      </c>
      <c r="H873" s="3" t="s">
        <v>21</v>
      </c>
    </row>
    <row r="874" spans="1:10" s="3" customFormat="1" x14ac:dyDescent="0.25">
      <c r="A874" s="2">
        <v>22</v>
      </c>
      <c r="B874" s="3" t="s">
        <v>34</v>
      </c>
      <c r="C874" s="3">
        <v>647</v>
      </c>
      <c r="D874" s="3">
        <v>1</v>
      </c>
      <c r="E874" s="3" t="s">
        <v>32</v>
      </c>
      <c r="F874" s="3" t="s">
        <v>33</v>
      </c>
      <c r="G874" s="3" t="str">
        <f>"2026-02-01 23:14:37.318"</f>
        <v>2026-02-01 23:14:37.318</v>
      </c>
      <c r="H874" s="3" t="s">
        <v>21</v>
      </c>
      <c r="I874" s="3">
        <v>25.82</v>
      </c>
      <c r="J874" s="3" t="s">
        <v>35</v>
      </c>
    </row>
    <row r="875" spans="1:10" s="3" customFormat="1" x14ac:dyDescent="0.25">
      <c r="A875" s="2">
        <v>23</v>
      </c>
      <c r="B875" s="3" t="s">
        <v>31</v>
      </c>
      <c r="C875" s="3">
        <v>647</v>
      </c>
      <c r="D875" s="3">
        <v>1</v>
      </c>
      <c r="E875" s="3" t="s">
        <v>32</v>
      </c>
      <c r="F875" s="3" t="s">
        <v>33</v>
      </c>
      <c r="G875" s="3" t="str">
        <f>"2026-02-01 19:47:49.818"</f>
        <v>2026-02-01 19:47:49.818</v>
      </c>
      <c r="H875" s="3" t="s">
        <v>21</v>
      </c>
    </row>
    <row r="876" spans="1:10" s="3" customFormat="1" x14ac:dyDescent="0.25">
      <c r="A876" s="2">
        <v>24</v>
      </c>
      <c r="B876" s="3" t="s">
        <v>34</v>
      </c>
      <c r="C876" s="3">
        <v>647</v>
      </c>
      <c r="D876" s="3">
        <v>1</v>
      </c>
      <c r="E876" s="3" t="s">
        <v>32</v>
      </c>
      <c r="F876" s="3" t="s">
        <v>33</v>
      </c>
      <c r="G876" s="3" t="str">
        <f>"2026-02-01 19:47:44.818"</f>
        <v>2026-02-01 19:47:44.818</v>
      </c>
      <c r="H876" s="3" t="s">
        <v>21</v>
      </c>
      <c r="I876" s="3">
        <v>8.42</v>
      </c>
      <c r="J876" s="3" t="s">
        <v>36</v>
      </c>
    </row>
    <row r="877" spans="1:10" x14ac:dyDescent="0.25">
      <c r="A877" s="1">
        <v>25</v>
      </c>
      <c r="B877" t="s">
        <v>31</v>
      </c>
      <c r="C877">
        <v>635</v>
      </c>
      <c r="D877">
        <v>1</v>
      </c>
      <c r="E877" t="s">
        <v>37</v>
      </c>
      <c r="F877" t="s">
        <v>38</v>
      </c>
      <c r="G877" t="str">
        <f>"2026-02-01 18:28:19.018"</f>
        <v>2026-02-01 18:28:19.018</v>
      </c>
      <c r="H877" t="s">
        <v>21</v>
      </c>
    </row>
    <row r="878" spans="1:10" x14ac:dyDescent="0.25">
      <c r="A878" s="1">
        <v>26</v>
      </c>
      <c r="B878" t="s">
        <v>34</v>
      </c>
      <c r="C878">
        <v>635</v>
      </c>
      <c r="D878">
        <v>1</v>
      </c>
      <c r="E878" t="s">
        <v>37</v>
      </c>
      <c r="F878" t="s">
        <v>38</v>
      </c>
      <c r="G878" t="str">
        <f>"2026-02-01 18:20:53.618"</f>
        <v>2026-02-01 18:20:53.618</v>
      </c>
      <c r="H878" t="s">
        <v>21</v>
      </c>
      <c r="I878">
        <v>4.32</v>
      </c>
      <c r="J878" t="s">
        <v>39</v>
      </c>
    </row>
    <row r="879" spans="1:10" s="3" customFormat="1" x14ac:dyDescent="0.25">
      <c r="A879" s="2">
        <v>27</v>
      </c>
      <c r="B879" s="3" t="s">
        <v>31</v>
      </c>
      <c r="C879" s="3">
        <v>647</v>
      </c>
      <c r="D879" s="3">
        <v>1</v>
      </c>
      <c r="E879" s="3" t="s">
        <v>32</v>
      </c>
      <c r="F879" s="3" t="s">
        <v>33</v>
      </c>
      <c r="G879" s="3" t="str">
        <f>"2026-02-01 06:00:58.818"</f>
        <v>2026-02-01 06:00:58.818</v>
      </c>
      <c r="H879" s="3" t="s">
        <v>21</v>
      </c>
    </row>
    <row r="880" spans="1:10" s="3" customFormat="1" x14ac:dyDescent="0.25">
      <c r="A880" s="2">
        <v>28</v>
      </c>
      <c r="B880" s="3" t="s">
        <v>34</v>
      </c>
      <c r="C880" s="3">
        <v>647</v>
      </c>
      <c r="D880" s="3">
        <v>1</v>
      </c>
      <c r="E880" s="3" t="s">
        <v>32</v>
      </c>
      <c r="F880" s="3" t="s">
        <v>33</v>
      </c>
      <c r="G880" s="3" t="str">
        <f>"2026-02-01 06:00:47.518"</f>
        <v>2026-02-01 06:00:47.518</v>
      </c>
      <c r="H880" s="3" t="s">
        <v>21</v>
      </c>
      <c r="I880" s="3">
        <v>11.67</v>
      </c>
      <c r="J880" s="3" t="s">
        <v>35</v>
      </c>
    </row>
    <row r="881" spans="1:10" s="3" customFormat="1" x14ac:dyDescent="0.25">
      <c r="A881" s="2">
        <v>29</v>
      </c>
      <c r="B881" s="3" t="s">
        <v>31</v>
      </c>
      <c r="C881" s="3">
        <v>647</v>
      </c>
      <c r="D881" s="3">
        <v>1</v>
      </c>
      <c r="E881" s="3" t="s">
        <v>32</v>
      </c>
      <c r="F881" s="3" t="s">
        <v>33</v>
      </c>
      <c r="G881" s="3" t="str">
        <f>"2026-02-01 03:59:32.018"</f>
        <v>2026-02-01 03:59:32.018</v>
      </c>
      <c r="H881" s="3" t="s">
        <v>21</v>
      </c>
    </row>
    <row r="882" spans="1:10" s="3" customFormat="1" x14ac:dyDescent="0.25">
      <c r="A882" s="2">
        <v>30</v>
      </c>
      <c r="B882" s="3" t="s">
        <v>34</v>
      </c>
      <c r="C882" s="3">
        <v>647</v>
      </c>
      <c r="D882" s="3">
        <v>1</v>
      </c>
      <c r="E882" s="3" t="s">
        <v>32</v>
      </c>
      <c r="F882" s="3" t="s">
        <v>33</v>
      </c>
      <c r="G882" s="3" t="str">
        <f>"2026-02-01 03:59:29.118"</f>
        <v>2026-02-01 03:59:29.118</v>
      </c>
      <c r="H882" s="3" t="s">
        <v>21</v>
      </c>
      <c r="I882" s="3">
        <v>9.23</v>
      </c>
      <c r="J882" s="3" t="s">
        <v>36</v>
      </c>
    </row>
    <row r="883" spans="1:10" s="3" customFormat="1" x14ac:dyDescent="0.25">
      <c r="A883" s="2">
        <v>31</v>
      </c>
      <c r="B883" s="3" t="s">
        <v>31</v>
      </c>
      <c r="C883" s="3">
        <v>647</v>
      </c>
      <c r="D883" s="3">
        <v>1</v>
      </c>
      <c r="E883" s="3" t="s">
        <v>32</v>
      </c>
      <c r="F883" s="3" t="s">
        <v>33</v>
      </c>
      <c r="G883" s="3" t="str">
        <f>"2026-02-01 02:55:35.318"</f>
        <v>2026-02-01 02:55:35.318</v>
      </c>
      <c r="H883" s="3" t="s">
        <v>21</v>
      </c>
    </row>
    <row r="884" spans="1:10" s="3" customFormat="1" x14ac:dyDescent="0.25">
      <c r="A884" s="2">
        <v>32</v>
      </c>
      <c r="B884" s="3" t="s">
        <v>34</v>
      </c>
      <c r="C884" s="3">
        <v>647</v>
      </c>
      <c r="D884" s="3">
        <v>1</v>
      </c>
      <c r="E884" s="3" t="s">
        <v>32</v>
      </c>
      <c r="F884" s="3" t="s">
        <v>33</v>
      </c>
      <c r="G884" s="3" t="str">
        <f>"2026-02-01 02:55:32.418"</f>
        <v>2026-02-01 02:55:32.418</v>
      </c>
      <c r="H884" s="3" t="s">
        <v>21</v>
      </c>
      <c r="I884" s="3">
        <v>21.64</v>
      </c>
      <c r="J884" s="3" t="s">
        <v>35</v>
      </c>
    </row>
    <row r="885" spans="1:10" s="3" customFormat="1" x14ac:dyDescent="0.25">
      <c r="A885" s="2">
        <v>33</v>
      </c>
      <c r="B885" s="3" t="s">
        <v>31</v>
      </c>
      <c r="C885" s="3">
        <v>647</v>
      </c>
      <c r="D885" s="3">
        <v>1</v>
      </c>
      <c r="E885" s="3" t="s">
        <v>32</v>
      </c>
      <c r="F885" s="3" t="s">
        <v>33</v>
      </c>
      <c r="G885" s="3" t="str">
        <f>"2026-02-01 02:51:48.518"</f>
        <v>2026-02-01 02:51:48.518</v>
      </c>
      <c r="H885" s="3" t="s">
        <v>21</v>
      </c>
    </row>
    <row r="886" spans="1:10" s="3" customFormat="1" x14ac:dyDescent="0.25">
      <c r="A886" s="2">
        <v>34</v>
      </c>
      <c r="B886" s="3" t="s">
        <v>34</v>
      </c>
      <c r="C886" s="3">
        <v>647</v>
      </c>
      <c r="D886" s="3">
        <v>1</v>
      </c>
      <c r="E886" s="3" t="s">
        <v>32</v>
      </c>
      <c r="F886" s="3" t="s">
        <v>33</v>
      </c>
      <c r="G886" s="3" t="str">
        <f>"2026-02-01 02:51:46.218"</f>
        <v>2026-02-01 02:51:46.218</v>
      </c>
      <c r="H886" s="3" t="s">
        <v>21</v>
      </c>
      <c r="I886" s="3">
        <v>25.98</v>
      </c>
      <c r="J886" s="3" t="s">
        <v>35</v>
      </c>
    </row>
    <row r="887" spans="1:10" s="3" customFormat="1" x14ac:dyDescent="0.25">
      <c r="A887" s="2">
        <v>35</v>
      </c>
      <c r="B887" s="3" t="s">
        <v>31</v>
      </c>
      <c r="C887" s="3">
        <v>647</v>
      </c>
      <c r="D887" s="3">
        <v>1</v>
      </c>
      <c r="E887" s="3" t="s">
        <v>32</v>
      </c>
      <c r="F887" s="3" t="s">
        <v>33</v>
      </c>
      <c r="G887" s="3" t="str">
        <f>"2026-02-01 02:11:05.018"</f>
        <v>2026-02-01 02:11:05.018</v>
      </c>
      <c r="H887" s="3" t="s">
        <v>21</v>
      </c>
    </row>
    <row r="888" spans="1:10" s="3" customFormat="1" x14ac:dyDescent="0.25">
      <c r="A888" s="2">
        <v>36</v>
      </c>
      <c r="B888" s="3" t="s">
        <v>34</v>
      </c>
      <c r="C888" s="3">
        <v>647</v>
      </c>
      <c r="D888" s="3">
        <v>1</v>
      </c>
      <c r="E888" s="3" t="s">
        <v>32</v>
      </c>
      <c r="F888" s="3" t="s">
        <v>33</v>
      </c>
      <c r="G888" s="3" t="str">
        <f>"2026-02-01 02:11:03.918"</f>
        <v>2026-02-01 02:11:03.918</v>
      </c>
      <c r="H888" s="3" t="s">
        <v>21</v>
      </c>
      <c r="I888" s="3">
        <v>15.68</v>
      </c>
      <c r="J888" s="3" t="s">
        <v>35</v>
      </c>
    </row>
    <row r="889" spans="1:10" s="3" customFormat="1" x14ac:dyDescent="0.25">
      <c r="A889" s="2">
        <v>37</v>
      </c>
      <c r="B889" s="3" t="s">
        <v>31</v>
      </c>
      <c r="C889" s="3">
        <v>647</v>
      </c>
      <c r="D889" s="3">
        <v>1</v>
      </c>
      <c r="E889" s="3" t="s">
        <v>32</v>
      </c>
      <c r="F889" s="3" t="s">
        <v>33</v>
      </c>
      <c r="G889" s="3" t="str">
        <f>"2026-02-01 02:09:55.018"</f>
        <v>2026-02-01 02:09:55.018</v>
      </c>
      <c r="H889" s="3" t="s">
        <v>21</v>
      </c>
    </row>
    <row r="890" spans="1:10" s="3" customFormat="1" x14ac:dyDescent="0.25">
      <c r="A890" s="2">
        <v>38</v>
      </c>
      <c r="B890" s="3" t="s">
        <v>34</v>
      </c>
      <c r="C890" s="3">
        <v>647</v>
      </c>
      <c r="D890" s="3">
        <v>1</v>
      </c>
      <c r="E890" s="3" t="s">
        <v>32</v>
      </c>
      <c r="F890" s="3" t="s">
        <v>33</v>
      </c>
      <c r="G890" s="3" t="str">
        <f>"2026-02-01 02:09:52.318"</f>
        <v>2026-02-01 02:09:52.318</v>
      </c>
      <c r="H890" s="3" t="s">
        <v>21</v>
      </c>
      <c r="I890" s="3">
        <v>22.14</v>
      </c>
      <c r="J890" s="3" t="s">
        <v>35</v>
      </c>
    </row>
    <row r="891" spans="1:10" s="3" customFormat="1" x14ac:dyDescent="0.25">
      <c r="A891" s="2">
        <v>39</v>
      </c>
      <c r="B891" s="3" t="s">
        <v>31</v>
      </c>
      <c r="C891" s="3">
        <v>647</v>
      </c>
      <c r="D891" s="3">
        <v>1</v>
      </c>
      <c r="E891" s="3" t="s">
        <v>32</v>
      </c>
      <c r="F891" s="3" t="s">
        <v>33</v>
      </c>
      <c r="G891" s="3" t="str">
        <f>"2026-02-01 01:20:40.318"</f>
        <v>2026-02-01 01:20:40.318</v>
      </c>
      <c r="H891" s="3" t="s">
        <v>21</v>
      </c>
    </row>
    <row r="892" spans="1:10" s="3" customFormat="1" x14ac:dyDescent="0.25">
      <c r="A892" s="2">
        <v>40</v>
      </c>
      <c r="B892" s="3" t="s">
        <v>34</v>
      </c>
      <c r="C892" s="3">
        <v>647</v>
      </c>
      <c r="D892" s="3">
        <v>1</v>
      </c>
      <c r="E892" s="3" t="s">
        <v>32</v>
      </c>
      <c r="F892" s="3" t="s">
        <v>33</v>
      </c>
      <c r="G892" s="3" t="str">
        <f>"2026-02-01 01:20:37.418"</f>
        <v>2026-02-01 01:20:37.418</v>
      </c>
      <c r="H892" s="3" t="s">
        <v>21</v>
      </c>
      <c r="I892" s="3">
        <v>9.2799999999999994</v>
      </c>
      <c r="J892" s="3" t="s">
        <v>36</v>
      </c>
    </row>
    <row r="893" spans="1:10" s="3" customFormat="1" x14ac:dyDescent="0.25">
      <c r="A893" s="2">
        <v>42</v>
      </c>
      <c r="B893" s="3" t="s">
        <v>31</v>
      </c>
      <c r="C893" s="3">
        <v>647</v>
      </c>
      <c r="D893" s="3">
        <v>1</v>
      </c>
      <c r="E893" s="3" t="s">
        <v>32</v>
      </c>
      <c r="F893" s="3" t="s">
        <v>33</v>
      </c>
      <c r="G893" s="3" t="str">
        <f>"2026-01-31 23:26:23.118"</f>
        <v>2026-01-31 23:26:23.118</v>
      </c>
      <c r="H893" s="3" t="s">
        <v>21</v>
      </c>
    </row>
    <row r="894" spans="1:10" s="3" customFormat="1" x14ac:dyDescent="0.25">
      <c r="A894" s="2">
        <v>43</v>
      </c>
      <c r="B894" s="3" t="s">
        <v>34</v>
      </c>
      <c r="C894" s="3">
        <v>647</v>
      </c>
      <c r="D894" s="3">
        <v>1</v>
      </c>
      <c r="E894" s="3" t="s">
        <v>32</v>
      </c>
      <c r="F894" s="3" t="s">
        <v>33</v>
      </c>
      <c r="G894" s="3" t="str">
        <f>"2026-01-31 23:26:17.818"</f>
        <v>2026-01-31 23:26:17.818</v>
      </c>
      <c r="H894" s="3" t="s">
        <v>21</v>
      </c>
      <c r="I894" s="3">
        <v>8.68</v>
      </c>
      <c r="J894" s="3" t="s">
        <v>36</v>
      </c>
    </row>
    <row r="895" spans="1:10" s="3" customFormat="1" x14ac:dyDescent="0.25">
      <c r="A895" s="2">
        <v>44</v>
      </c>
      <c r="B895" s="3" t="s">
        <v>31</v>
      </c>
      <c r="C895" s="3">
        <v>647</v>
      </c>
      <c r="D895" s="3">
        <v>1</v>
      </c>
      <c r="E895" s="3" t="s">
        <v>32</v>
      </c>
      <c r="F895" s="3" t="s">
        <v>33</v>
      </c>
      <c r="G895" s="3" t="str">
        <f>"2026-01-31 22:33:30.818"</f>
        <v>2026-01-31 22:33:30.818</v>
      </c>
      <c r="H895" s="3" t="s">
        <v>21</v>
      </c>
    </row>
    <row r="896" spans="1:10" s="3" customFormat="1" x14ac:dyDescent="0.25">
      <c r="A896" s="2">
        <v>45</v>
      </c>
      <c r="B896" s="3" t="s">
        <v>34</v>
      </c>
      <c r="C896" s="3">
        <v>647</v>
      </c>
      <c r="D896" s="3">
        <v>1</v>
      </c>
      <c r="E896" s="3" t="s">
        <v>32</v>
      </c>
      <c r="F896" s="3" t="s">
        <v>33</v>
      </c>
      <c r="G896" s="3" t="str">
        <f>"2026-01-31 22:33:25.718"</f>
        <v>2026-01-31 22:33:25.718</v>
      </c>
      <c r="H896" s="3" t="s">
        <v>21</v>
      </c>
      <c r="I896" s="3">
        <v>23.77</v>
      </c>
      <c r="J896" s="3" t="s">
        <v>35</v>
      </c>
    </row>
    <row r="897" spans="1:10" s="3" customFormat="1" x14ac:dyDescent="0.25">
      <c r="A897" s="2">
        <v>46</v>
      </c>
      <c r="B897" s="3" t="s">
        <v>31</v>
      </c>
      <c r="C897" s="3">
        <v>647</v>
      </c>
      <c r="D897" s="3">
        <v>1</v>
      </c>
      <c r="E897" s="3" t="s">
        <v>32</v>
      </c>
      <c r="F897" s="3" t="s">
        <v>33</v>
      </c>
      <c r="G897" s="3" t="str">
        <f>"2026-01-31 20:49:55.018"</f>
        <v>2026-01-31 20:49:55.018</v>
      </c>
      <c r="H897" s="3" t="s">
        <v>21</v>
      </c>
    </row>
    <row r="898" spans="1:10" s="3" customFormat="1" x14ac:dyDescent="0.25">
      <c r="A898" s="2">
        <v>47</v>
      </c>
      <c r="B898" s="3" t="s">
        <v>34</v>
      </c>
      <c r="C898" s="3">
        <v>647</v>
      </c>
      <c r="D898" s="3">
        <v>1</v>
      </c>
      <c r="E898" s="3" t="s">
        <v>32</v>
      </c>
      <c r="F898" s="3" t="s">
        <v>33</v>
      </c>
      <c r="G898" s="3" t="str">
        <f>"2026-01-31 20:49:53.518"</f>
        <v>2026-01-31 20:49:53.518</v>
      </c>
      <c r="H898" s="3" t="s">
        <v>21</v>
      </c>
      <c r="I898" s="3">
        <v>20.149999999999999</v>
      </c>
      <c r="J898" s="3" t="s">
        <v>35</v>
      </c>
    </row>
    <row r="899" spans="1:10" s="3" customFormat="1" x14ac:dyDescent="0.25">
      <c r="A899" s="2">
        <v>48</v>
      </c>
      <c r="B899" s="3" t="s">
        <v>31</v>
      </c>
      <c r="C899" s="3">
        <v>647</v>
      </c>
      <c r="D899" s="3">
        <v>1</v>
      </c>
      <c r="E899" s="3" t="s">
        <v>32</v>
      </c>
      <c r="F899" s="3" t="s">
        <v>33</v>
      </c>
      <c r="G899" s="3" t="str">
        <f>"2026-01-31 20:18:03.118"</f>
        <v>2026-01-31 20:18:03.118</v>
      </c>
      <c r="H899" s="3" t="s">
        <v>21</v>
      </c>
    </row>
    <row r="900" spans="1:10" s="3" customFormat="1" x14ac:dyDescent="0.25">
      <c r="A900" s="2">
        <v>49</v>
      </c>
      <c r="B900" s="3" t="s">
        <v>34</v>
      </c>
      <c r="C900" s="3">
        <v>647</v>
      </c>
      <c r="D900" s="3">
        <v>1</v>
      </c>
      <c r="E900" s="3" t="s">
        <v>32</v>
      </c>
      <c r="F900" s="3" t="s">
        <v>33</v>
      </c>
      <c r="G900" s="3" t="str">
        <f>"2026-01-31 20:18:01.419"</f>
        <v>2026-01-31 20:18:01.419</v>
      </c>
      <c r="H900" s="3" t="s">
        <v>21</v>
      </c>
      <c r="I900" s="3">
        <v>20.329999999999998</v>
      </c>
      <c r="J900" s="3" t="s">
        <v>35</v>
      </c>
    </row>
    <row r="901" spans="1:10" x14ac:dyDescent="0.25">
      <c r="A901" s="1">
        <v>50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"2026-01-31 08:27:20.701"</f>
        <v>2026-01-31 08:27:20.701</v>
      </c>
      <c r="H901" t="s">
        <v>21</v>
      </c>
    </row>
    <row r="902" spans="1:10" s="3" customFormat="1" x14ac:dyDescent="0.25">
      <c r="A902" s="2">
        <v>52</v>
      </c>
      <c r="B902" s="3" t="s">
        <v>31</v>
      </c>
      <c r="C902" s="3">
        <v>647</v>
      </c>
      <c r="D902" s="3">
        <v>1</v>
      </c>
      <c r="E902" s="3" t="s">
        <v>32</v>
      </c>
      <c r="F902" s="3" t="s">
        <v>33</v>
      </c>
      <c r="G902" s="3" t="str">
        <f>"2026-01-30 20:53:01.364"</f>
        <v>2026-01-30 20:53:01.364</v>
      </c>
      <c r="H902" s="3" t="s">
        <v>21</v>
      </c>
    </row>
    <row r="903" spans="1:10" s="3" customFormat="1" x14ac:dyDescent="0.25">
      <c r="A903" s="2">
        <v>53</v>
      </c>
      <c r="B903" s="3" t="s">
        <v>34</v>
      </c>
      <c r="C903" s="3">
        <v>647</v>
      </c>
      <c r="D903" s="3">
        <v>1</v>
      </c>
      <c r="E903" s="3" t="s">
        <v>32</v>
      </c>
      <c r="F903" s="3" t="s">
        <v>33</v>
      </c>
      <c r="G903" s="3" t="str">
        <f>"2026-01-30 20:52:59.264"</f>
        <v>2026-01-30 20:52:59.264</v>
      </c>
      <c r="H903" s="3" t="s">
        <v>21</v>
      </c>
      <c r="I903" s="3">
        <v>16.559999999999999</v>
      </c>
      <c r="J903" s="3" t="s">
        <v>36</v>
      </c>
    </row>
    <row r="904" spans="1:10" x14ac:dyDescent="0.25">
      <c r="A904" s="1">
        <v>54</v>
      </c>
      <c r="B904" t="s">
        <v>19</v>
      </c>
      <c r="C904">
        <v>706</v>
      </c>
      <c r="D904">
        <v>4</v>
      </c>
      <c r="E904" t="s">
        <v>27</v>
      </c>
      <c r="F904" t="s">
        <v>28</v>
      </c>
      <c r="G904" t="str">
        <f>"2026-01-30 05:34:09.492"</f>
        <v>2026-01-30 05:34:09.492</v>
      </c>
      <c r="H904" t="s">
        <v>21</v>
      </c>
      <c r="I904">
        <v>0</v>
      </c>
      <c r="J904" t="s">
        <v>26</v>
      </c>
    </row>
    <row r="905" spans="1:10" s="3" customFormat="1" x14ac:dyDescent="0.25">
      <c r="A905" s="2">
        <v>55</v>
      </c>
      <c r="B905" s="3" t="s">
        <v>31</v>
      </c>
      <c r="C905" s="3">
        <v>647</v>
      </c>
      <c r="D905" s="3">
        <v>1</v>
      </c>
      <c r="E905" s="3" t="s">
        <v>32</v>
      </c>
      <c r="F905" s="3" t="s">
        <v>33</v>
      </c>
      <c r="G905" s="3" t="str">
        <f>"2026-01-30 05:18:44.164"</f>
        <v>2026-01-30 05:18:44.164</v>
      </c>
      <c r="H905" s="3" t="s">
        <v>21</v>
      </c>
    </row>
    <row r="906" spans="1:10" s="3" customFormat="1" x14ac:dyDescent="0.25">
      <c r="A906" s="2">
        <v>56</v>
      </c>
      <c r="B906" s="3" t="s">
        <v>34</v>
      </c>
      <c r="C906" s="3">
        <v>647</v>
      </c>
      <c r="D906" s="3">
        <v>1</v>
      </c>
      <c r="E906" s="3" t="s">
        <v>32</v>
      </c>
      <c r="F906" s="3" t="s">
        <v>33</v>
      </c>
      <c r="G906" s="3" t="str">
        <f>"2026-01-30 05:18:41.664"</f>
        <v>2026-01-30 05:18:41.664</v>
      </c>
      <c r="H906" s="3" t="s">
        <v>21</v>
      </c>
      <c r="I906" s="3">
        <v>8.77</v>
      </c>
      <c r="J906" s="3" t="s">
        <v>35</v>
      </c>
    </row>
    <row r="907" spans="1:10" s="3" customFormat="1" x14ac:dyDescent="0.25">
      <c r="A907" s="2">
        <v>57</v>
      </c>
      <c r="B907" s="3" t="s">
        <v>31</v>
      </c>
      <c r="C907" s="3">
        <v>647</v>
      </c>
      <c r="D907" s="3">
        <v>1</v>
      </c>
      <c r="E907" s="3" t="s">
        <v>32</v>
      </c>
      <c r="F907" s="3" t="s">
        <v>33</v>
      </c>
      <c r="G907" s="3" t="str">
        <f>"2026-01-29 23:35:29.064"</f>
        <v>2026-01-29 23:35:29.064</v>
      </c>
      <c r="H907" s="3" t="s">
        <v>21</v>
      </c>
    </row>
    <row r="908" spans="1:10" s="3" customFormat="1" x14ac:dyDescent="0.25">
      <c r="A908" s="2">
        <v>58</v>
      </c>
      <c r="B908" s="3" t="s">
        <v>34</v>
      </c>
      <c r="C908" s="3">
        <v>647</v>
      </c>
      <c r="D908" s="3">
        <v>1</v>
      </c>
      <c r="E908" s="3" t="s">
        <v>32</v>
      </c>
      <c r="F908" s="3" t="s">
        <v>33</v>
      </c>
      <c r="G908" s="3" t="str">
        <f>"2026-01-29 23:35:25.564"</f>
        <v>2026-01-29 23:35:25.564</v>
      </c>
      <c r="H908" s="3" t="s">
        <v>21</v>
      </c>
      <c r="I908" s="3">
        <v>16.29</v>
      </c>
      <c r="J908" s="3" t="s">
        <v>35</v>
      </c>
    </row>
    <row r="909" spans="1:10" s="3" customFormat="1" x14ac:dyDescent="0.25">
      <c r="A909" s="2">
        <v>59</v>
      </c>
      <c r="B909" s="3" t="s">
        <v>31</v>
      </c>
      <c r="C909" s="3">
        <v>647</v>
      </c>
      <c r="D909" s="3">
        <v>1</v>
      </c>
      <c r="E909" s="3" t="s">
        <v>32</v>
      </c>
      <c r="F909" s="3" t="s">
        <v>33</v>
      </c>
      <c r="G909" s="3" t="str">
        <f>"2026-01-29 22:40:40.764"</f>
        <v>2026-01-29 22:40:40.764</v>
      </c>
      <c r="H909" s="3" t="s">
        <v>21</v>
      </c>
    </row>
    <row r="910" spans="1:10" s="3" customFormat="1" x14ac:dyDescent="0.25">
      <c r="A910" s="2">
        <v>60</v>
      </c>
      <c r="B910" s="3" t="s">
        <v>34</v>
      </c>
      <c r="C910" s="3">
        <v>647</v>
      </c>
      <c r="D910" s="3">
        <v>1</v>
      </c>
      <c r="E910" s="3" t="s">
        <v>32</v>
      </c>
      <c r="F910" s="3" t="s">
        <v>33</v>
      </c>
      <c r="G910" s="3" t="str">
        <f>"2026-01-29 22:40:38.064"</f>
        <v>2026-01-29 22:40:38.064</v>
      </c>
      <c r="H910" s="3" t="s">
        <v>21</v>
      </c>
      <c r="I910" s="3">
        <v>9.93</v>
      </c>
      <c r="J910" s="3" t="s">
        <v>35</v>
      </c>
    </row>
    <row r="911" spans="1:10" s="3" customFormat="1" x14ac:dyDescent="0.25">
      <c r="A911" s="2">
        <v>62</v>
      </c>
      <c r="B911" s="3" t="s">
        <v>31</v>
      </c>
      <c r="C911" s="3">
        <v>647</v>
      </c>
      <c r="D911" s="3">
        <v>1</v>
      </c>
      <c r="E911" s="3" t="s">
        <v>32</v>
      </c>
      <c r="F911" s="3" t="s">
        <v>33</v>
      </c>
      <c r="G911" s="3" t="str">
        <f>"2026-01-29 04:24:38.264"</f>
        <v>2026-01-29 04:24:38.264</v>
      </c>
      <c r="H911" s="3" t="s">
        <v>21</v>
      </c>
    </row>
    <row r="912" spans="1:10" s="3" customFormat="1" x14ac:dyDescent="0.25">
      <c r="A912" s="2">
        <v>63</v>
      </c>
      <c r="B912" s="3" t="s">
        <v>34</v>
      </c>
      <c r="C912" s="3">
        <v>647</v>
      </c>
      <c r="D912" s="3">
        <v>1</v>
      </c>
      <c r="E912" s="3" t="s">
        <v>32</v>
      </c>
      <c r="F912" s="3" t="s">
        <v>33</v>
      </c>
      <c r="G912" s="3" t="str">
        <f>"2026-01-29 04:24:35.964"</f>
        <v>2026-01-29 04:24:35.964</v>
      </c>
      <c r="H912" s="3" t="s">
        <v>21</v>
      </c>
      <c r="I912" s="3">
        <v>19.71</v>
      </c>
      <c r="J912" s="3" t="s">
        <v>35</v>
      </c>
    </row>
    <row r="913" spans="1:10" x14ac:dyDescent="0.25">
      <c r="A913" s="1">
        <v>64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"2026-01-29 02:07:02.452"</f>
        <v>2026-01-29 02:07:02.452</v>
      </c>
      <c r="H913" t="s">
        <v>21</v>
      </c>
      <c r="I913">
        <v>0</v>
      </c>
      <c r="J913" t="s">
        <v>30</v>
      </c>
    </row>
    <row r="914" spans="1:10" x14ac:dyDescent="0.25">
      <c r="A914" s="1">
        <v>65</v>
      </c>
      <c r="B914" t="s">
        <v>31</v>
      </c>
      <c r="C914">
        <v>49</v>
      </c>
      <c r="D914">
        <v>1</v>
      </c>
      <c r="E914" t="s">
        <v>66</v>
      </c>
      <c r="F914" t="s">
        <v>67</v>
      </c>
      <c r="G914" t="str">
        <f>"2026-01-29 02:00:41.304"</f>
        <v>2026-01-29 02:00:41.304</v>
      </c>
      <c r="H914" t="s">
        <v>68</v>
      </c>
    </row>
    <row r="915" spans="1:10" x14ac:dyDescent="0.25">
      <c r="A915" s="1">
        <v>67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"2026-01-29 02:00:11.492"</f>
        <v>2026-01-29 02:00:11.492</v>
      </c>
      <c r="H915" t="s">
        <v>21</v>
      </c>
    </row>
    <row r="916" spans="1:10" x14ac:dyDescent="0.25">
      <c r="A916" s="1">
        <v>68</v>
      </c>
      <c r="B916" t="s">
        <v>22</v>
      </c>
      <c r="C916">
        <v>47</v>
      </c>
      <c r="D916">
        <v>2</v>
      </c>
      <c r="E916" t="s">
        <v>70</v>
      </c>
      <c r="F916" t="s">
        <v>71</v>
      </c>
      <c r="G916" t="str">
        <f>"2026-01-29 01:54:20.458"</f>
        <v>2026-01-29 01:54:20.458</v>
      </c>
      <c r="H916" t="s">
        <v>64</v>
      </c>
      <c r="I916">
        <v>0</v>
      </c>
      <c r="J916" t="s">
        <v>36</v>
      </c>
    </row>
    <row r="917" spans="1:10" x14ac:dyDescent="0.25">
      <c r="A917" s="1">
        <v>69</v>
      </c>
      <c r="B917" t="s">
        <v>31</v>
      </c>
      <c r="C917">
        <v>4</v>
      </c>
      <c r="D917">
        <v>1</v>
      </c>
      <c r="E917" t="s">
        <v>97</v>
      </c>
      <c r="F917" t="s">
        <v>98</v>
      </c>
      <c r="G917" t="str">
        <f>"2026-01-29 01:46:43.796"</f>
        <v>2026-01-29 01:46:43.796</v>
      </c>
      <c r="H917" t="s">
        <v>99</v>
      </c>
    </row>
    <row r="918" spans="1:10" x14ac:dyDescent="0.25">
      <c r="A918" s="1">
        <v>70</v>
      </c>
      <c r="B918" t="s">
        <v>34</v>
      </c>
      <c r="C918">
        <v>4</v>
      </c>
      <c r="D918">
        <v>1</v>
      </c>
      <c r="E918" t="s">
        <v>97</v>
      </c>
      <c r="F918" t="s">
        <v>98</v>
      </c>
      <c r="G918" t="str">
        <f>"2026-01-29 01:46:29.396"</f>
        <v>2026-01-29 01:46:29.396</v>
      </c>
      <c r="H918" t="s">
        <v>99</v>
      </c>
      <c r="I918">
        <v>0</v>
      </c>
      <c r="J918" t="s">
        <v>26</v>
      </c>
    </row>
    <row r="919" spans="1:10" x14ac:dyDescent="0.25">
      <c r="A919" s="1">
        <v>73</v>
      </c>
      <c r="B919" t="s">
        <v>19</v>
      </c>
      <c r="C919">
        <v>706</v>
      </c>
      <c r="D919">
        <v>4</v>
      </c>
      <c r="E919" t="s">
        <v>27</v>
      </c>
      <c r="F919" t="s">
        <v>28</v>
      </c>
      <c r="G919" t="str">
        <f>"2026-01-29 01:45:23.057"</f>
        <v>2026-01-29 01:45:23.057</v>
      </c>
      <c r="H919" t="s">
        <v>21</v>
      </c>
      <c r="I919">
        <v>0</v>
      </c>
      <c r="J919" t="s">
        <v>26</v>
      </c>
    </row>
    <row r="920" spans="1:10" x14ac:dyDescent="0.25">
      <c r="A920" s="1">
        <v>74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"2026-01-29 01:45:08.457"</f>
        <v>2026-01-29 01:45:08.457</v>
      </c>
      <c r="H920" t="s">
        <v>21</v>
      </c>
      <c r="I920">
        <v>0</v>
      </c>
      <c r="J920" t="s">
        <v>30</v>
      </c>
    </row>
    <row r="921" spans="1:10" x14ac:dyDescent="0.25">
      <c r="A921" s="1">
        <v>75</v>
      </c>
      <c r="B921" t="s">
        <v>22</v>
      </c>
      <c r="C921">
        <v>47</v>
      </c>
      <c r="D921">
        <v>2</v>
      </c>
      <c r="E921" t="s">
        <v>70</v>
      </c>
      <c r="F921" t="s">
        <v>71</v>
      </c>
      <c r="G921" t="str">
        <f>"2026-01-29 00:47:17.234"</f>
        <v>2026-01-29 00:47:17.234</v>
      </c>
      <c r="H921" t="s">
        <v>64</v>
      </c>
      <c r="I921">
        <v>0</v>
      </c>
      <c r="J921" t="s">
        <v>69</v>
      </c>
    </row>
    <row r="922" spans="1:10" x14ac:dyDescent="0.25">
      <c r="A922" s="1">
        <v>76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"2026-01-29 00:46:43.452"</f>
        <v>2026-01-29 00:46:43.452</v>
      </c>
      <c r="H922" t="s">
        <v>21</v>
      </c>
      <c r="I922">
        <v>0</v>
      </c>
      <c r="J922" t="s">
        <v>30</v>
      </c>
    </row>
    <row r="923" spans="1:10" x14ac:dyDescent="0.25">
      <c r="A923" s="1">
        <v>77</v>
      </c>
      <c r="B923" t="s">
        <v>22</v>
      </c>
      <c r="C923">
        <v>47</v>
      </c>
      <c r="D923">
        <v>2</v>
      </c>
      <c r="E923" t="s">
        <v>70</v>
      </c>
      <c r="F923" t="s">
        <v>71</v>
      </c>
      <c r="G923" t="str">
        <f>"2026-01-28 23:14:41.424"</f>
        <v>2026-01-28 23:14:41.424</v>
      </c>
      <c r="H923" t="s">
        <v>64</v>
      </c>
      <c r="I923">
        <v>0</v>
      </c>
      <c r="J923" t="s">
        <v>36</v>
      </c>
    </row>
    <row r="924" spans="1:10" x14ac:dyDescent="0.25">
      <c r="A924" s="1">
        <v>80</v>
      </c>
      <c r="B924" t="s">
        <v>34</v>
      </c>
      <c r="C924">
        <v>49</v>
      </c>
      <c r="D924">
        <v>1</v>
      </c>
      <c r="E924" t="s">
        <v>66</v>
      </c>
      <c r="F924" t="s">
        <v>67</v>
      </c>
      <c r="G924" t="str">
        <f>"2026-01-28 23:13:45.039"</f>
        <v>2026-01-28 23:13:45.039</v>
      </c>
      <c r="H924" t="s">
        <v>68</v>
      </c>
      <c r="I924">
        <v>0</v>
      </c>
      <c r="J924" t="s">
        <v>36</v>
      </c>
    </row>
    <row r="925" spans="1:10" x14ac:dyDescent="0.25">
      <c r="A925" s="1">
        <v>82</v>
      </c>
      <c r="B925" t="s">
        <v>19</v>
      </c>
      <c r="C925">
        <v>782</v>
      </c>
      <c r="D925">
        <v>7</v>
      </c>
      <c r="E925" t="s">
        <v>43</v>
      </c>
      <c r="F925" t="s">
        <v>44</v>
      </c>
      <c r="G925" t="str">
        <f>"2026-01-28 23:13:45.032"</f>
        <v>2026-01-28 23:13:45.032</v>
      </c>
      <c r="H925" t="s">
        <v>21</v>
      </c>
      <c r="I925">
        <v>0</v>
      </c>
      <c r="J925" t="s">
        <v>36</v>
      </c>
    </row>
    <row r="926" spans="1:10" x14ac:dyDescent="0.25">
      <c r="A926" s="1">
        <v>86</v>
      </c>
      <c r="B926" t="s">
        <v>31</v>
      </c>
      <c r="C926">
        <v>49</v>
      </c>
      <c r="D926">
        <v>1</v>
      </c>
      <c r="E926" t="s">
        <v>66</v>
      </c>
      <c r="F926" t="s">
        <v>67</v>
      </c>
      <c r="G926" t="str">
        <f>"2026-01-28 23:13:45.025"</f>
        <v>2026-01-28 23:13:45.025</v>
      </c>
      <c r="H926" t="s">
        <v>68</v>
      </c>
    </row>
    <row r="927" spans="1:10" x14ac:dyDescent="0.25">
      <c r="A927" s="1">
        <v>87</v>
      </c>
      <c r="B927" t="s">
        <v>19</v>
      </c>
      <c r="C927">
        <v>782</v>
      </c>
      <c r="D927">
        <v>7</v>
      </c>
      <c r="E927" t="s">
        <v>43</v>
      </c>
      <c r="F927" t="s">
        <v>44</v>
      </c>
      <c r="G927" t="str">
        <f>"2026-01-28 23:13:45.024"</f>
        <v>2026-01-28 23:13:45.024</v>
      </c>
      <c r="H927" t="s">
        <v>21</v>
      </c>
      <c r="I927">
        <v>0</v>
      </c>
      <c r="J927" t="s">
        <v>36</v>
      </c>
    </row>
    <row r="928" spans="1:10" x14ac:dyDescent="0.25">
      <c r="A928" s="1">
        <v>90</v>
      </c>
      <c r="B928" t="s">
        <v>34</v>
      </c>
      <c r="C928">
        <v>49</v>
      </c>
      <c r="D928">
        <v>1</v>
      </c>
      <c r="E928" t="s">
        <v>66</v>
      </c>
      <c r="F928" t="s">
        <v>67</v>
      </c>
      <c r="G928" t="str">
        <f>"2026-01-28 23:13:37.637"</f>
        <v>2026-01-28 23:13:37.637</v>
      </c>
      <c r="H928" t="s">
        <v>68</v>
      </c>
      <c r="I928">
        <v>0</v>
      </c>
      <c r="J928" t="s">
        <v>36</v>
      </c>
    </row>
    <row r="929" spans="1:10" x14ac:dyDescent="0.25">
      <c r="A929" s="1">
        <v>92</v>
      </c>
      <c r="B929" t="s">
        <v>19</v>
      </c>
      <c r="C929">
        <v>782</v>
      </c>
      <c r="D929">
        <v>7</v>
      </c>
      <c r="E929" t="s">
        <v>43</v>
      </c>
      <c r="F929" t="s">
        <v>44</v>
      </c>
      <c r="G929" t="str">
        <f>"2026-01-28 23:13:37.633"</f>
        <v>2026-01-28 23:13:37.633</v>
      </c>
      <c r="H929" t="s">
        <v>21</v>
      </c>
      <c r="I929">
        <v>0</v>
      </c>
      <c r="J929" t="s">
        <v>36</v>
      </c>
    </row>
    <row r="930" spans="1:10" x14ac:dyDescent="0.25">
      <c r="A930" s="1">
        <v>96</v>
      </c>
      <c r="B930" t="s">
        <v>31</v>
      </c>
      <c r="C930">
        <v>49</v>
      </c>
      <c r="D930">
        <v>1</v>
      </c>
      <c r="E930" t="s">
        <v>66</v>
      </c>
      <c r="F930" t="s">
        <v>67</v>
      </c>
      <c r="G930" t="str">
        <f>"2026-01-28 23:13:37.625"</f>
        <v>2026-01-28 23:13:37.625</v>
      </c>
      <c r="H930" t="s">
        <v>68</v>
      </c>
    </row>
    <row r="931" spans="1:10" x14ac:dyDescent="0.25">
      <c r="A931" s="1">
        <v>97</v>
      </c>
      <c r="B931" t="s">
        <v>19</v>
      </c>
      <c r="C931">
        <v>782</v>
      </c>
      <c r="D931">
        <v>7</v>
      </c>
      <c r="E931" t="s">
        <v>43</v>
      </c>
      <c r="F931" t="s">
        <v>44</v>
      </c>
      <c r="G931" t="str">
        <f>"2026-01-28 23:13:37.624"</f>
        <v>2026-01-28 23:13:37.624</v>
      </c>
      <c r="H931" t="s">
        <v>21</v>
      </c>
      <c r="I931">
        <v>0</v>
      </c>
      <c r="J931" t="s">
        <v>36</v>
      </c>
    </row>
    <row r="932" spans="1:10" x14ac:dyDescent="0.25">
      <c r="A932" s="1">
        <v>98</v>
      </c>
      <c r="B932" t="s">
        <v>34</v>
      </c>
      <c r="C932">
        <v>49</v>
      </c>
      <c r="D932">
        <v>1</v>
      </c>
      <c r="E932" t="s">
        <v>66</v>
      </c>
      <c r="F932" t="s">
        <v>67</v>
      </c>
      <c r="G932" t="str">
        <f>"2026-01-28 23:13:02.225"</f>
        <v>2026-01-28 23:13:02.225</v>
      </c>
      <c r="H932" t="s">
        <v>68</v>
      </c>
      <c r="I932">
        <v>0</v>
      </c>
      <c r="J932" t="s">
        <v>36</v>
      </c>
    </row>
    <row r="933" spans="1:10" x14ac:dyDescent="0.25">
      <c r="A933" s="1">
        <v>0</v>
      </c>
      <c r="B933" t="s">
        <v>19</v>
      </c>
      <c r="C933">
        <v>706</v>
      </c>
      <c r="D933">
        <v>4</v>
      </c>
      <c r="E933" t="s">
        <v>27</v>
      </c>
      <c r="F933" t="s">
        <v>28</v>
      </c>
      <c r="G933" t="str">
        <f>"2026-01-28 23:12:06.354"</f>
        <v>2026-01-28 23:12:06.354</v>
      </c>
      <c r="H933" t="s">
        <v>21</v>
      </c>
      <c r="I933">
        <v>0</v>
      </c>
      <c r="J933" t="s">
        <v>26</v>
      </c>
    </row>
    <row r="934" spans="1:10" x14ac:dyDescent="0.25">
      <c r="A934" s="1">
        <v>2</v>
      </c>
      <c r="B934" t="s">
        <v>19</v>
      </c>
      <c r="C934">
        <v>706</v>
      </c>
      <c r="D934">
        <v>3</v>
      </c>
      <c r="E934" t="s">
        <v>27</v>
      </c>
      <c r="F934" t="s">
        <v>42</v>
      </c>
      <c r="G934" t="str">
        <f>"2026-01-28 23:11:57.034"</f>
        <v>2026-01-28 23:11:57.034</v>
      </c>
      <c r="H934" t="s">
        <v>21</v>
      </c>
      <c r="I934">
        <v>0</v>
      </c>
      <c r="J934" t="s">
        <v>69</v>
      </c>
    </row>
    <row r="935" spans="1:10" x14ac:dyDescent="0.25">
      <c r="A935" s="1">
        <v>3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"2026-01-28 23:11:20.434"</f>
        <v>2026-01-28 23:11:20.434</v>
      </c>
      <c r="H935" t="s">
        <v>21</v>
      </c>
      <c r="I935">
        <v>0</v>
      </c>
      <c r="J935" t="s">
        <v>30</v>
      </c>
    </row>
    <row r="936" spans="1:10" x14ac:dyDescent="0.25">
      <c r="A936" s="1">
        <v>4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"2026-01-28 22:50:19.444"</f>
        <v>2026-01-28 22:50:19.444</v>
      </c>
      <c r="H936" t="s">
        <v>21</v>
      </c>
      <c r="I936">
        <v>0</v>
      </c>
      <c r="J936" t="s">
        <v>30</v>
      </c>
    </row>
    <row r="937" spans="1:10" x14ac:dyDescent="0.25">
      <c r="A937" s="1">
        <v>5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"2026-01-28 22:28:36.436"</f>
        <v>2026-01-28 22:28:36.436</v>
      </c>
      <c r="H937" t="s">
        <v>21</v>
      </c>
    </row>
    <row r="938" spans="1:10" x14ac:dyDescent="0.25">
      <c r="A938" s="1">
        <v>9</v>
      </c>
      <c r="B938" t="s">
        <v>19</v>
      </c>
      <c r="C938">
        <v>782</v>
      </c>
      <c r="D938">
        <v>7</v>
      </c>
      <c r="E938" t="s">
        <v>43</v>
      </c>
      <c r="F938" t="s">
        <v>44</v>
      </c>
      <c r="G938" t="str">
        <f>"2026-01-28 22:22:44.671"</f>
        <v>2026-01-28 22:22:44.671</v>
      </c>
      <c r="H938" t="s">
        <v>21</v>
      </c>
      <c r="I938">
        <v>0</v>
      </c>
      <c r="J938" t="s">
        <v>69</v>
      </c>
    </row>
    <row r="939" spans="1:10" x14ac:dyDescent="0.25">
      <c r="A939" s="1">
        <v>13</v>
      </c>
      <c r="B939" t="s">
        <v>31</v>
      </c>
      <c r="C939">
        <v>49</v>
      </c>
      <c r="D939">
        <v>1</v>
      </c>
      <c r="E939" t="s">
        <v>66</v>
      </c>
      <c r="F939" t="s">
        <v>67</v>
      </c>
      <c r="G939" t="str">
        <f>"2026-01-28 22:22:44.663"</f>
        <v>2026-01-28 22:22:44.663</v>
      </c>
      <c r="H939" t="s">
        <v>68</v>
      </c>
    </row>
    <row r="940" spans="1:10" x14ac:dyDescent="0.25">
      <c r="A940" s="1">
        <v>14</v>
      </c>
      <c r="B940" t="s">
        <v>19</v>
      </c>
      <c r="C940">
        <v>782</v>
      </c>
      <c r="D940">
        <v>7</v>
      </c>
      <c r="E940" t="s">
        <v>43</v>
      </c>
      <c r="F940" t="s">
        <v>44</v>
      </c>
      <c r="G940" t="str">
        <f>"2026-01-28 22:22:44.662"</f>
        <v>2026-01-28 22:22:44.662</v>
      </c>
      <c r="H940" t="s">
        <v>21</v>
      </c>
      <c r="I940">
        <v>0</v>
      </c>
      <c r="J940" t="s">
        <v>69</v>
      </c>
    </row>
    <row r="941" spans="1:10" x14ac:dyDescent="0.25">
      <c r="A941" s="1">
        <v>15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"2026-01-28 22:22:23.440"</f>
        <v>2026-01-28 22:22:23.440</v>
      </c>
      <c r="H941" t="s">
        <v>21</v>
      </c>
      <c r="I941">
        <v>0</v>
      </c>
      <c r="J941" t="s">
        <v>30</v>
      </c>
    </row>
    <row r="942" spans="1:10" x14ac:dyDescent="0.25">
      <c r="A942" s="1">
        <v>16</v>
      </c>
      <c r="B942" t="s">
        <v>22</v>
      </c>
      <c r="C942">
        <v>630</v>
      </c>
      <c r="D942">
        <v>5</v>
      </c>
      <c r="E942" t="s">
        <v>23</v>
      </c>
      <c r="F942" t="s">
        <v>24</v>
      </c>
      <c r="G942" t="str">
        <f>"2026-01-28 22:17:41.131"</f>
        <v>2026-01-28 22:17:41.131</v>
      </c>
      <c r="H942" t="s">
        <v>25</v>
      </c>
      <c r="I942">
        <v>0</v>
      </c>
      <c r="J942" t="s">
        <v>69</v>
      </c>
    </row>
    <row r="943" spans="1:10" x14ac:dyDescent="0.25">
      <c r="A943" s="1">
        <v>17</v>
      </c>
      <c r="B943" t="s">
        <v>34</v>
      </c>
      <c r="C943">
        <v>49</v>
      </c>
      <c r="D943">
        <v>1</v>
      </c>
      <c r="E943" t="s">
        <v>66</v>
      </c>
      <c r="F943" t="s">
        <v>67</v>
      </c>
      <c r="G943" t="str">
        <f>"2026-01-28 22:13:58.131"</f>
        <v>2026-01-28 22:13:58.131</v>
      </c>
      <c r="H943" t="s">
        <v>68</v>
      </c>
      <c r="I943">
        <v>0</v>
      </c>
      <c r="J943" t="s">
        <v>69</v>
      </c>
    </row>
    <row r="944" spans="1:10" x14ac:dyDescent="0.25">
      <c r="A944" s="1">
        <v>18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"2026-01-28 22:12:38.439"</f>
        <v>2026-01-28 22:12:38.439</v>
      </c>
      <c r="H944" t="s">
        <v>21</v>
      </c>
    </row>
    <row r="945" spans="1:10" x14ac:dyDescent="0.25">
      <c r="A945" s="1">
        <v>19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"2026-01-28 22:10:43.429"</f>
        <v>2026-01-28 22:10:43.429</v>
      </c>
      <c r="H945" t="s">
        <v>21</v>
      </c>
    </row>
    <row r="946" spans="1:10" x14ac:dyDescent="0.25">
      <c r="A946" s="1">
        <v>23</v>
      </c>
      <c r="B946" t="s">
        <v>19</v>
      </c>
      <c r="C946">
        <v>782</v>
      </c>
      <c r="D946">
        <v>7</v>
      </c>
      <c r="E946" t="s">
        <v>43</v>
      </c>
      <c r="F946" t="s">
        <v>44</v>
      </c>
      <c r="G946" t="str">
        <f>"2026-01-28 22:10:06.839"</f>
        <v>2026-01-28 22:10:06.839</v>
      </c>
      <c r="H946" t="s">
        <v>21</v>
      </c>
      <c r="I946">
        <v>0</v>
      </c>
      <c r="J946" t="s">
        <v>69</v>
      </c>
    </row>
    <row r="947" spans="1:10" x14ac:dyDescent="0.25">
      <c r="A947" s="1">
        <v>27</v>
      </c>
      <c r="B947" t="s">
        <v>31</v>
      </c>
      <c r="C947">
        <v>49</v>
      </c>
      <c r="D947">
        <v>1</v>
      </c>
      <c r="E947" t="s">
        <v>66</v>
      </c>
      <c r="F947" t="s">
        <v>67</v>
      </c>
      <c r="G947" t="str">
        <f>"2026-01-28 22:10:06.833"</f>
        <v>2026-01-28 22:10:06.833</v>
      </c>
      <c r="H947" t="s">
        <v>68</v>
      </c>
    </row>
    <row r="948" spans="1:10" x14ac:dyDescent="0.25">
      <c r="A948" s="1">
        <v>28</v>
      </c>
      <c r="B948" t="s">
        <v>19</v>
      </c>
      <c r="C948">
        <v>782</v>
      </c>
      <c r="D948">
        <v>7</v>
      </c>
      <c r="E948" t="s">
        <v>43</v>
      </c>
      <c r="F948" t="s">
        <v>44</v>
      </c>
      <c r="G948" t="str">
        <f>"2026-01-28 22:10:06.831"</f>
        <v>2026-01-28 22:10:06.831</v>
      </c>
      <c r="H948" t="s">
        <v>21</v>
      </c>
      <c r="I948">
        <v>0</v>
      </c>
      <c r="J948" t="s">
        <v>69</v>
      </c>
    </row>
    <row r="949" spans="1:10" x14ac:dyDescent="0.25">
      <c r="A949" s="1">
        <v>29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"2026-01-28 22:09:07.443"</f>
        <v>2026-01-28 22:09:07.443</v>
      </c>
      <c r="H949" t="s">
        <v>21</v>
      </c>
      <c r="I949">
        <v>0</v>
      </c>
      <c r="J949" t="s">
        <v>30</v>
      </c>
    </row>
    <row r="950" spans="1:10" x14ac:dyDescent="0.25">
      <c r="A950" s="1">
        <v>32</v>
      </c>
      <c r="B950" t="s">
        <v>22</v>
      </c>
      <c r="C950">
        <v>630</v>
      </c>
      <c r="D950">
        <v>5</v>
      </c>
      <c r="E950" t="s">
        <v>23</v>
      </c>
      <c r="F950" t="s">
        <v>24</v>
      </c>
      <c r="G950" t="str">
        <f>"2026-01-28 22:08:43.052"</f>
        <v>2026-01-28 22:08:43.052</v>
      </c>
      <c r="H950" t="s">
        <v>25</v>
      </c>
      <c r="I950">
        <v>0</v>
      </c>
      <c r="J950" t="s">
        <v>26</v>
      </c>
    </row>
    <row r="951" spans="1:10" x14ac:dyDescent="0.25">
      <c r="A951" s="1">
        <v>33</v>
      </c>
      <c r="B951" t="s">
        <v>34</v>
      </c>
      <c r="C951">
        <v>49</v>
      </c>
      <c r="D951">
        <v>1</v>
      </c>
      <c r="E951" t="s">
        <v>66</v>
      </c>
      <c r="F951" t="s">
        <v>67</v>
      </c>
      <c r="G951" t="str">
        <f>"2026-01-28 22:08:43.047"</f>
        <v>2026-01-28 22:08:43.047</v>
      </c>
      <c r="H951" t="s">
        <v>68</v>
      </c>
      <c r="I951">
        <v>0</v>
      </c>
      <c r="J951" t="s">
        <v>26</v>
      </c>
    </row>
    <row r="952" spans="1:10" x14ac:dyDescent="0.25">
      <c r="A952" s="1">
        <v>35</v>
      </c>
      <c r="B952" t="s">
        <v>19</v>
      </c>
      <c r="C952">
        <v>782</v>
      </c>
      <c r="D952">
        <v>7</v>
      </c>
      <c r="E952" t="s">
        <v>43</v>
      </c>
      <c r="F952" t="s">
        <v>44</v>
      </c>
      <c r="G952" t="str">
        <f>"2026-01-28 22:08:43.037"</f>
        <v>2026-01-28 22:08:43.037</v>
      </c>
      <c r="H952" t="s">
        <v>21</v>
      </c>
      <c r="I952">
        <v>0</v>
      </c>
      <c r="J952" t="s">
        <v>26</v>
      </c>
    </row>
    <row r="953" spans="1:10" x14ac:dyDescent="0.25">
      <c r="A953" s="1">
        <v>38</v>
      </c>
      <c r="B953" t="s">
        <v>31</v>
      </c>
      <c r="C953">
        <v>630</v>
      </c>
      <c r="D953">
        <v>5</v>
      </c>
      <c r="E953" t="s">
        <v>23</v>
      </c>
      <c r="F953" t="s">
        <v>24</v>
      </c>
      <c r="G953" t="str">
        <f>"2026-01-28 22:08:43.031"</f>
        <v>2026-01-28 22:08:43.031</v>
      </c>
      <c r="H953" t="s">
        <v>25</v>
      </c>
    </row>
    <row r="954" spans="1:10" x14ac:dyDescent="0.25">
      <c r="A954" s="1">
        <v>40</v>
      </c>
      <c r="B954" t="s">
        <v>31</v>
      </c>
      <c r="C954">
        <v>49</v>
      </c>
      <c r="D954">
        <v>1</v>
      </c>
      <c r="E954" t="s">
        <v>66</v>
      </c>
      <c r="F954" t="s">
        <v>67</v>
      </c>
      <c r="G954" t="str">
        <f>"2026-01-28 22:08:43.028"</f>
        <v>2026-01-28 22:08:43.028</v>
      </c>
      <c r="H954" t="s">
        <v>68</v>
      </c>
    </row>
    <row r="955" spans="1:10" x14ac:dyDescent="0.25">
      <c r="A955" s="1">
        <v>41</v>
      </c>
      <c r="B955" t="s">
        <v>19</v>
      </c>
      <c r="C955">
        <v>782</v>
      </c>
      <c r="D955">
        <v>7</v>
      </c>
      <c r="E955" t="s">
        <v>43</v>
      </c>
      <c r="F955" t="s">
        <v>44</v>
      </c>
      <c r="G955" t="str">
        <f>"2026-01-28 22:08:43.027"</f>
        <v>2026-01-28 22:08:43.027</v>
      </c>
      <c r="H955" t="s">
        <v>21</v>
      </c>
      <c r="I955">
        <v>0</v>
      </c>
      <c r="J955" t="s">
        <v>26</v>
      </c>
    </row>
    <row r="956" spans="1:10" x14ac:dyDescent="0.25">
      <c r="A956" s="1">
        <v>44</v>
      </c>
      <c r="B956" t="s">
        <v>22</v>
      </c>
      <c r="C956">
        <v>630</v>
      </c>
      <c r="D956">
        <v>5</v>
      </c>
      <c r="E956" t="s">
        <v>23</v>
      </c>
      <c r="F956" t="s">
        <v>24</v>
      </c>
      <c r="G956" t="str">
        <f>"2026-01-28 22:08:01.851"</f>
        <v>2026-01-28 22:08:01.851</v>
      </c>
      <c r="H956" t="s">
        <v>25</v>
      </c>
      <c r="I956">
        <v>0</v>
      </c>
      <c r="J956" t="s">
        <v>26</v>
      </c>
    </row>
    <row r="957" spans="1:10" x14ac:dyDescent="0.25">
      <c r="A957" s="1">
        <v>45</v>
      </c>
      <c r="B957" t="s">
        <v>34</v>
      </c>
      <c r="C957">
        <v>49</v>
      </c>
      <c r="D957">
        <v>1</v>
      </c>
      <c r="E957" t="s">
        <v>66</v>
      </c>
      <c r="F957" t="s">
        <v>67</v>
      </c>
      <c r="G957" t="str">
        <f>"2026-01-28 22:08:01.846"</f>
        <v>2026-01-28 22:08:01.846</v>
      </c>
      <c r="H957" t="s">
        <v>68</v>
      </c>
      <c r="I957">
        <v>0</v>
      </c>
      <c r="J957" t="s">
        <v>26</v>
      </c>
    </row>
    <row r="958" spans="1:10" x14ac:dyDescent="0.25">
      <c r="A958" s="1">
        <v>47</v>
      </c>
      <c r="B958" t="s">
        <v>19</v>
      </c>
      <c r="C958">
        <v>782</v>
      </c>
      <c r="D958">
        <v>7</v>
      </c>
      <c r="E958" t="s">
        <v>43</v>
      </c>
      <c r="F958" t="s">
        <v>44</v>
      </c>
      <c r="G958" t="str">
        <f>"2026-01-28 22:08:01.837"</f>
        <v>2026-01-28 22:08:01.837</v>
      </c>
      <c r="H958" t="s">
        <v>21</v>
      </c>
      <c r="I958">
        <v>0</v>
      </c>
      <c r="J958" t="s">
        <v>26</v>
      </c>
    </row>
    <row r="959" spans="1:10" x14ac:dyDescent="0.25">
      <c r="A959" s="1">
        <v>50</v>
      </c>
      <c r="B959" t="s">
        <v>31</v>
      </c>
      <c r="C959">
        <v>630</v>
      </c>
      <c r="D959">
        <v>5</v>
      </c>
      <c r="E959" t="s">
        <v>23</v>
      </c>
      <c r="F959" t="s">
        <v>24</v>
      </c>
      <c r="G959" t="str">
        <f>"2026-01-28 22:08:01.831"</f>
        <v>2026-01-28 22:08:01.831</v>
      </c>
      <c r="H959" t="s">
        <v>25</v>
      </c>
    </row>
    <row r="960" spans="1:10" x14ac:dyDescent="0.25">
      <c r="A960" s="1">
        <v>52</v>
      </c>
      <c r="B960" t="s">
        <v>31</v>
      </c>
      <c r="C960">
        <v>49</v>
      </c>
      <c r="D960">
        <v>1</v>
      </c>
      <c r="E960" t="s">
        <v>66</v>
      </c>
      <c r="F960" t="s">
        <v>67</v>
      </c>
      <c r="G960" t="str">
        <f>"2026-01-28 22:08:01.828"</f>
        <v>2026-01-28 22:08:01.828</v>
      </c>
      <c r="H960" t="s">
        <v>68</v>
      </c>
    </row>
    <row r="961" spans="1:10" x14ac:dyDescent="0.25">
      <c r="A961" s="1">
        <v>53</v>
      </c>
      <c r="B961" t="s">
        <v>19</v>
      </c>
      <c r="C961">
        <v>782</v>
      </c>
      <c r="D961">
        <v>7</v>
      </c>
      <c r="E961" t="s">
        <v>43</v>
      </c>
      <c r="F961" t="s">
        <v>44</v>
      </c>
      <c r="G961" t="str">
        <f>"2026-01-28 22:08:01.827"</f>
        <v>2026-01-28 22:08:01.827</v>
      </c>
      <c r="H961" t="s">
        <v>21</v>
      </c>
      <c r="I961">
        <v>0</v>
      </c>
      <c r="J961" t="s">
        <v>26</v>
      </c>
    </row>
    <row r="962" spans="1:10" x14ac:dyDescent="0.25">
      <c r="A962" s="1">
        <v>54</v>
      </c>
      <c r="B962" t="s">
        <v>22</v>
      </c>
      <c r="C962">
        <v>630</v>
      </c>
      <c r="D962">
        <v>5</v>
      </c>
      <c r="E962" t="s">
        <v>23</v>
      </c>
      <c r="F962" t="s">
        <v>24</v>
      </c>
      <c r="G962" t="str">
        <f>"2026-01-28 22:03:26.127"</f>
        <v>2026-01-28 22:03:26.127</v>
      </c>
      <c r="H962" t="s">
        <v>25</v>
      </c>
      <c r="I962">
        <v>0</v>
      </c>
      <c r="J962" t="s">
        <v>26</v>
      </c>
    </row>
    <row r="963" spans="1:10" x14ac:dyDescent="0.25">
      <c r="A963" s="1">
        <v>55</v>
      </c>
      <c r="B963" t="s">
        <v>34</v>
      </c>
      <c r="C963">
        <v>49</v>
      </c>
      <c r="D963">
        <v>1</v>
      </c>
      <c r="E963" t="s">
        <v>66</v>
      </c>
      <c r="F963" t="s">
        <v>67</v>
      </c>
      <c r="G963" t="str">
        <f>"2026-01-28 22:03:08.840"</f>
        <v>2026-01-28 22:03:08.840</v>
      </c>
      <c r="H963" t="s">
        <v>68</v>
      </c>
      <c r="I963">
        <v>0</v>
      </c>
      <c r="J963" t="s">
        <v>26</v>
      </c>
    </row>
    <row r="964" spans="1:10" x14ac:dyDescent="0.25">
      <c r="A964" s="1">
        <v>56</v>
      </c>
      <c r="B964" t="s">
        <v>31</v>
      </c>
      <c r="C964">
        <v>49</v>
      </c>
      <c r="D964">
        <v>1</v>
      </c>
      <c r="E964" t="s">
        <v>66</v>
      </c>
      <c r="F964" t="s">
        <v>67</v>
      </c>
      <c r="G964" t="str">
        <f>"2026-01-28 22:03:08.827"</f>
        <v>2026-01-28 22:03:08.827</v>
      </c>
      <c r="H964" t="s">
        <v>68</v>
      </c>
    </row>
    <row r="965" spans="1:10" x14ac:dyDescent="0.25">
      <c r="A965" s="1">
        <v>59</v>
      </c>
      <c r="B965" t="s">
        <v>34</v>
      </c>
      <c r="C965">
        <v>49</v>
      </c>
      <c r="D965">
        <v>1</v>
      </c>
      <c r="E965" t="s">
        <v>66</v>
      </c>
      <c r="F965" t="s">
        <v>67</v>
      </c>
      <c r="G965" t="str">
        <f>"2026-01-28 22:01:17.044"</f>
        <v>2026-01-28 22:01:17.044</v>
      </c>
      <c r="H965" t="s">
        <v>68</v>
      </c>
      <c r="I965">
        <v>0</v>
      </c>
      <c r="J965" t="s">
        <v>26</v>
      </c>
    </row>
    <row r="966" spans="1:10" x14ac:dyDescent="0.25">
      <c r="A966" s="1">
        <v>61</v>
      </c>
      <c r="B966" t="s">
        <v>19</v>
      </c>
      <c r="C966">
        <v>782</v>
      </c>
      <c r="D966">
        <v>7</v>
      </c>
      <c r="E966" t="s">
        <v>43</v>
      </c>
      <c r="F966" t="s">
        <v>44</v>
      </c>
      <c r="G966" t="str">
        <f>"2026-01-28 22:01:17.034"</f>
        <v>2026-01-28 22:01:17.034</v>
      </c>
      <c r="H966" t="s">
        <v>21</v>
      </c>
      <c r="I966">
        <v>0</v>
      </c>
      <c r="J966" t="s">
        <v>26</v>
      </c>
    </row>
    <row r="967" spans="1:10" x14ac:dyDescent="0.25">
      <c r="A967" s="1">
        <v>65</v>
      </c>
      <c r="B967" t="s">
        <v>31</v>
      </c>
      <c r="C967">
        <v>49</v>
      </c>
      <c r="D967">
        <v>1</v>
      </c>
      <c r="E967" t="s">
        <v>66</v>
      </c>
      <c r="F967" t="s">
        <v>67</v>
      </c>
      <c r="G967" t="str">
        <f>"2026-01-28 22:01:17.028"</f>
        <v>2026-01-28 22:01:17.028</v>
      </c>
      <c r="H967" t="s">
        <v>68</v>
      </c>
    </row>
    <row r="968" spans="1:10" x14ac:dyDescent="0.25">
      <c r="A968" s="1">
        <v>66</v>
      </c>
      <c r="B968" t="s">
        <v>19</v>
      </c>
      <c r="C968">
        <v>782</v>
      </c>
      <c r="D968">
        <v>7</v>
      </c>
      <c r="E968" t="s">
        <v>43</v>
      </c>
      <c r="F968" t="s">
        <v>44</v>
      </c>
      <c r="G968" t="str">
        <f>"2026-01-28 22:01:17.027"</f>
        <v>2026-01-28 22:01:17.027</v>
      </c>
      <c r="H968" t="s">
        <v>21</v>
      </c>
      <c r="I968">
        <v>0</v>
      </c>
      <c r="J968" t="s">
        <v>26</v>
      </c>
    </row>
    <row r="969" spans="1:10" x14ac:dyDescent="0.25">
      <c r="A969" s="1">
        <v>69</v>
      </c>
      <c r="B969" t="s">
        <v>34</v>
      </c>
      <c r="C969">
        <v>49</v>
      </c>
      <c r="D969">
        <v>1</v>
      </c>
      <c r="E969" t="s">
        <v>66</v>
      </c>
      <c r="F969" t="s">
        <v>67</v>
      </c>
      <c r="G969" t="str">
        <f>"2026-01-28 22:00:33.643"</f>
        <v>2026-01-28 22:00:33.643</v>
      </c>
      <c r="H969" t="s">
        <v>68</v>
      </c>
      <c r="I969">
        <v>0</v>
      </c>
      <c r="J969" t="s">
        <v>26</v>
      </c>
    </row>
    <row r="970" spans="1:10" x14ac:dyDescent="0.25">
      <c r="A970" s="1">
        <v>71</v>
      </c>
      <c r="B970" t="s">
        <v>19</v>
      </c>
      <c r="C970">
        <v>782</v>
      </c>
      <c r="D970">
        <v>7</v>
      </c>
      <c r="E970" t="s">
        <v>43</v>
      </c>
      <c r="F970" t="s">
        <v>44</v>
      </c>
      <c r="G970" t="str">
        <f>"2026-01-28 22:00:33.635"</f>
        <v>2026-01-28 22:00:33.635</v>
      </c>
      <c r="H970" t="s">
        <v>21</v>
      </c>
      <c r="I970">
        <v>0</v>
      </c>
      <c r="J970" t="s">
        <v>26</v>
      </c>
    </row>
    <row r="971" spans="1:10" x14ac:dyDescent="0.25">
      <c r="A971" s="1">
        <v>75</v>
      </c>
      <c r="B971" t="s">
        <v>31</v>
      </c>
      <c r="C971">
        <v>49</v>
      </c>
      <c r="D971">
        <v>1</v>
      </c>
      <c r="E971" t="s">
        <v>66</v>
      </c>
      <c r="F971" t="s">
        <v>67</v>
      </c>
      <c r="G971" t="str">
        <f>"2026-01-28 22:00:33.629"</f>
        <v>2026-01-28 22:00:33.629</v>
      </c>
      <c r="H971" t="s">
        <v>68</v>
      </c>
    </row>
    <row r="972" spans="1:10" x14ac:dyDescent="0.25">
      <c r="A972" s="1">
        <v>76</v>
      </c>
      <c r="B972" t="s">
        <v>19</v>
      </c>
      <c r="C972">
        <v>782</v>
      </c>
      <c r="D972">
        <v>7</v>
      </c>
      <c r="E972" t="s">
        <v>43</v>
      </c>
      <c r="F972" t="s">
        <v>44</v>
      </c>
      <c r="G972" t="str">
        <f>"2026-01-28 22:00:33.627"</f>
        <v>2026-01-28 22:00:33.627</v>
      </c>
      <c r="H972" t="s">
        <v>21</v>
      </c>
      <c r="I972">
        <v>0</v>
      </c>
      <c r="J972" t="s">
        <v>26</v>
      </c>
    </row>
    <row r="973" spans="1:10" x14ac:dyDescent="0.25">
      <c r="A973" s="1">
        <v>79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"2026-01-28 21:58:23.409"</f>
        <v>2026-01-28 21:58:23.409</v>
      </c>
      <c r="H973" t="s">
        <v>21</v>
      </c>
    </row>
    <row r="974" spans="1:10" x14ac:dyDescent="0.25">
      <c r="A974" s="1">
        <v>80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"2026-01-28 21:56:13.645"</f>
        <v>2026-01-28 21:56:13.645</v>
      </c>
      <c r="H974" t="s">
        <v>21</v>
      </c>
    </row>
    <row r="975" spans="1:10" x14ac:dyDescent="0.25">
      <c r="A975" s="1">
        <v>81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"2026-01-28 21:51:02.622"</f>
        <v>2026-01-28 21:51:02.622</v>
      </c>
      <c r="H975" t="s">
        <v>21</v>
      </c>
      <c r="I975">
        <v>0</v>
      </c>
      <c r="J975" t="s">
        <v>30</v>
      </c>
    </row>
    <row r="976" spans="1:10" x14ac:dyDescent="0.25">
      <c r="A976" s="1">
        <v>82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"2026-01-28 21:47:34.401"</f>
        <v>2026-01-28 21:47:34.401</v>
      </c>
      <c r="H976" t="s">
        <v>21</v>
      </c>
    </row>
    <row r="977" spans="1:10" x14ac:dyDescent="0.25">
      <c r="A977" s="1">
        <v>83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"2026-01-28 21:45:42.449"</f>
        <v>2026-01-28 21:45:42.449</v>
      </c>
      <c r="H977" t="s">
        <v>21</v>
      </c>
      <c r="I977">
        <v>0</v>
      </c>
      <c r="J977" t="s">
        <v>30</v>
      </c>
    </row>
    <row r="978" spans="1:10" x14ac:dyDescent="0.25">
      <c r="A978" s="1">
        <v>84</v>
      </c>
      <c r="B978" t="s">
        <v>34</v>
      </c>
      <c r="C978">
        <v>49</v>
      </c>
      <c r="D978">
        <v>1</v>
      </c>
      <c r="E978" t="s">
        <v>66</v>
      </c>
      <c r="F978" t="s">
        <v>67</v>
      </c>
      <c r="G978" t="str">
        <f>"2026-01-28 21:44:28.529"</f>
        <v>2026-01-28 21:44:28.529</v>
      </c>
      <c r="H978" t="s">
        <v>68</v>
      </c>
      <c r="I978">
        <v>0</v>
      </c>
      <c r="J978" t="s">
        <v>26</v>
      </c>
    </row>
    <row r="979" spans="1:10" x14ac:dyDescent="0.25">
      <c r="A979" s="1">
        <v>85</v>
      </c>
      <c r="B979" t="s">
        <v>22</v>
      </c>
      <c r="C979">
        <v>47</v>
      </c>
      <c r="D979">
        <v>2</v>
      </c>
      <c r="E979" t="s">
        <v>70</v>
      </c>
      <c r="F979" t="s">
        <v>71</v>
      </c>
      <c r="G979" t="str">
        <f>"2026-01-28 21:44:07.028"</f>
        <v>2026-01-28 21:44:07.028</v>
      </c>
      <c r="H979" t="s">
        <v>64</v>
      </c>
      <c r="I979">
        <v>0</v>
      </c>
      <c r="J979" t="s">
        <v>36</v>
      </c>
    </row>
    <row r="980" spans="1:10" x14ac:dyDescent="0.25">
      <c r="A980" s="1">
        <v>87</v>
      </c>
      <c r="B980" t="s">
        <v>31</v>
      </c>
      <c r="C980">
        <v>630</v>
      </c>
      <c r="D980">
        <v>5</v>
      </c>
      <c r="E980" t="s">
        <v>23</v>
      </c>
      <c r="F980" t="s">
        <v>24</v>
      </c>
      <c r="G980" t="str">
        <f>"2026-01-28 18:16:37.229"</f>
        <v>2026-01-28 18:16:37.229</v>
      </c>
      <c r="H980" t="s">
        <v>25</v>
      </c>
    </row>
    <row r="981" spans="1:10" x14ac:dyDescent="0.25">
      <c r="A981" s="1">
        <v>88</v>
      </c>
      <c r="B981" t="s">
        <v>19</v>
      </c>
      <c r="C981">
        <v>706</v>
      </c>
      <c r="D981">
        <v>4</v>
      </c>
      <c r="E981" t="s">
        <v>27</v>
      </c>
      <c r="F981" t="s">
        <v>28</v>
      </c>
      <c r="G981" t="str">
        <f>"2026-01-28 18:16:07.157"</f>
        <v>2026-01-28 18:16:07.157</v>
      </c>
      <c r="H981" t="s">
        <v>21</v>
      </c>
      <c r="I981">
        <v>0</v>
      </c>
      <c r="J981" t="s">
        <v>26</v>
      </c>
    </row>
    <row r="982" spans="1:10" x14ac:dyDescent="0.25">
      <c r="A982" s="1">
        <v>89</v>
      </c>
      <c r="B982" t="s">
        <v>22</v>
      </c>
      <c r="C982">
        <v>630</v>
      </c>
      <c r="D982">
        <v>5</v>
      </c>
      <c r="E982" t="s">
        <v>23</v>
      </c>
      <c r="F982" t="s">
        <v>24</v>
      </c>
      <c r="G982" t="str">
        <f>"2026-01-28 18:07:14.829"</f>
        <v>2026-01-28 18:07:14.829</v>
      </c>
      <c r="H982" t="s">
        <v>25</v>
      </c>
      <c r="I982">
        <v>0</v>
      </c>
      <c r="J982" t="s">
        <v>26</v>
      </c>
    </row>
    <row r="983" spans="1:10" x14ac:dyDescent="0.25">
      <c r="A983" s="1">
        <v>90</v>
      </c>
      <c r="B983" t="s">
        <v>31</v>
      </c>
      <c r="C983">
        <v>630</v>
      </c>
      <c r="D983">
        <v>5</v>
      </c>
      <c r="E983" t="s">
        <v>23</v>
      </c>
      <c r="F983" t="s">
        <v>24</v>
      </c>
      <c r="G983" t="str">
        <f>"2026-01-28 18:01:08.529"</f>
        <v>2026-01-28 18:01:08.529</v>
      </c>
      <c r="H983" t="s">
        <v>25</v>
      </c>
    </row>
    <row r="984" spans="1:10" x14ac:dyDescent="0.25">
      <c r="A984" s="1">
        <v>91</v>
      </c>
      <c r="B984" t="s">
        <v>19</v>
      </c>
      <c r="C984">
        <v>706</v>
      </c>
      <c r="D984">
        <v>2</v>
      </c>
      <c r="E984" t="s">
        <v>27</v>
      </c>
      <c r="F984" t="s">
        <v>29</v>
      </c>
      <c r="G984" t="str">
        <f>"2026-01-28 18:00:38.437"</f>
        <v>2026-01-28 18:00:38.437</v>
      </c>
      <c r="H984" t="s">
        <v>21</v>
      </c>
      <c r="I984">
        <v>0</v>
      </c>
      <c r="J984" t="s">
        <v>26</v>
      </c>
    </row>
    <row r="985" spans="1:10" x14ac:dyDescent="0.25">
      <c r="A985" s="1">
        <v>92</v>
      </c>
      <c r="B985" t="s">
        <v>19</v>
      </c>
      <c r="C985">
        <v>706</v>
      </c>
      <c r="D985">
        <v>4</v>
      </c>
      <c r="E985" t="s">
        <v>27</v>
      </c>
      <c r="F985" t="s">
        <v>28</v>
      </c>
      <c r="G985" t="str">
        <f>"2026-01-28 18:00:25.187"</f>
        <v>2026-01-28 18:00:25.187</v>
      </c>
      <c r="H985" t="s">
        <v>21</v>
      </c>
      <c r="I985">
        <v>0</v>
      </c>
      <c r="J985" t="s">
        <v>26</v>
      </c>
    </row>
    <row r="986" spans="1:10" x14ac:dyDescent="0.25">
      <c r="A986" s="1">
        <v>93</v>
      </c>
      <c r="B986" t="s">
        <v>22</v>
      </c>
      <c r="C986">
        <v>630</v>
      </c>
      <c r="D986">
        <v>5</v>
      </c>
      <c r="E986" t="s">
        <v>23</v>
      </c>
      <c r="F986" t="s">
        <v>24</v>
      </c>
      <c r="G986" t="str">
        <f>"2026-01-28 17:39:34.929"</f>
        <v>2026-01-28 17:39:34.929</v>
      </c>
      <c r="H986" t="s">
        <v>25</v>
      </c>
      <c r="I986">
        <v>0</v>
      </c>
      <c r="J986" t="s">
        <v>26</v>
      </c>
    </row>
    <row r="987" spans="1:10" x14ac:dyDescent="0.25">
      <c r="A987" s="1">
        <v>94</v>
      </c>
      <c r="B987" t="s">
        <v>19</v>
      </c>
      <c r="C987">
        <v>706</v>
      </c>
      <c r="D987">
        <v>2</v>
      </c>
      <c r="E987" t="s">
        <v>27</v>
      </c>
      <c r="F987" t="s">
        <v>29</v>
      </c>
      <c r="G987" t="str">
        <f>"2026-01-28 17:32:53.537"</f>
        <v>2026-01-28 17:32:53.537</v>
      </c>
      <c r="H987" t="s">
        <v>21</v>
      </c>
      <c r="I987">
        <v>0</v>
      </c>
      <c r="J987" t="s">
        <v>26</v>
      </c>
    </row>
    <row r="988" spans="1:10" x14ac:dyDescent="0.25">
      <c r="A988" s="1">
        <v>95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"2026-01-28 17:29:58.447"</f>
        <v>2026-01-28 17:29:58.447</v>
      </c>
      <c r="H988" t="s">
        <v>21</v>
      </c>
      <c r="I988">
        <v>0</v>
      </c>
      <c r="J988" t="s">
        <v>30</v>
      </c>
    </row>
    <row r="989" spans="1:10" x14ac:dyDescent="0.25">
      <c r="A989" s="1">
        <v>96</v>
      </c>
      <c r="B989" t="s">
        <v>22</v>
      </c>
      <c r="C989">
        <v>630</v>
      </c>
      <c r="D989">
        <v>5</v>
      </c>
      <c r="E989" t="s">
        <v>23</v>
      </c>
      <c r="F989" t="s">
        <v>24</v>
      </c>
      <c r="G989" t="str">
        <f>"2026-01-28 16:06:10.147"</f>
        <v>2026-01-28 16:06:10.147</v>
      </c>
      <c r="H989" t="s">
        <v>25</v>
      </c>
      <c r="I989">
        <v>0</v>
      </c>
      <c r="J989" t="s">
        <v>26</v>
      </c>
    </row>
    <row r="990" spans="1:10" x14ac:dyDescent="0.25">
      <c r="A990" s="1">
        <v>98</v>
      </c>
      <c r="B990" t="s">
        <v>31</v>
      </c>
      <c r="C990">
        <v>635</v>
      </c>
      <c r="D990">
        <v>1</v>
      </c>
      <c r="E990" t="s">
        <v>37</v>
      </c>
      <c r="F990" t="s">
        <v>38</v>
      </c>
      <c r="G990" t="str">
        <f>"2026-01-28 04:00:01.947"</f>
        <v>2026-01-28 04:00:01.947</v>
      </c>
      <c r="H990" t="s">
        <v>21</v>
      </c>
    </row>
    <row r="991" spans="1:10" x14ac:dyDescent="0.25">
      <c r="A991" s="1">
        <v>99</v>
      </c>
      <c r="B991" t="s">
        <v>34</v>
      </c>
      <c r="C991">
        <v>635</v>
      </c>
      <c r="D991">
        <v>1</v>
      </c>
      <c r="E991" t="s">
        <v>37</v>
      </c>
      <c r="F991" t="s">
        <v>38</v>
      </c>
      <c r="G991" t="str">
        <f>"2026-01-28 03:50:53.947"</f>
        <v>2026-01-28 03:50:53.947</v>
      </c>
      <c r="H991" t="s">
        <v>21</v>
      </c>
      <c r="I991">
        <v>10.24</v>
      </c>
      <c r="J991" t="s">
        <v>35</v>
      </c>
    </row>
    <row r="992" spans="1:10" x14ac:dyDescent="0.25">
      <c r="A992" s="1">
        <v>100</v>
      </c>
      <c r="B992" t="s">
        <v>31</v>
      </c>
      <c r="C992">
        <v>630</v>
      </c>
      <c r="D992">
        <v>5</v>
      </c>
      <c r="E992" t="s">
        <v>23</v>
      </c>
      <c r="F992" t="s">
        <v>24</v>
      </c>
      <c r="G992" t="str">
        <f>"2026-01-27 13:48:48.947"</f>
        <v>2026-01-27 13:48:48.947</v>
      </c>
      <c r="H992" t="s">
        <v>25</v>
      </c>
    </row>
    <row r="993" spans="1:10" x14ac:dyDescent="0.25">
      <c r="A993" s="1">
        <v>101</v>
      </c>
      <c r="B993" t="s">
        <v>19</v>
      </c>
      <c r="C993">
        <v>706</v>
      </c>
      <c r="D993">
        <v>4</v>
      </c>
      <c r="E993" t="s">
        <v>27</v>
      </c>
      <c r="F993" t="s">
        <v>28</v>
      </c>
      <c r="G993" t="str">
        <f>"2026-01-27 13:48:18.856"</f>
        <v>2026-01-27 13:48:18.856</v>
      </c>
      <c r="H993" t="s">
        <v>21</v>
      </c>
      <c r="I993">
        <v>0</v>
      </c>
      <c r="J993" t="s">
        <v>26</v>
      </c>
    </row>
    <row r="994" spans="1:10" x14ac:dyDescent="0.25">
      <c r="A994" s="1">
        <v>102</v>
      </c>
      <c r="B994" t="s">
        <v>22</v>
      </c>
      <c r="C994">
        <v>630</v>
      </c>
      <c r="D994">
        <v>5</v>
      </c>
      <c r="E994" t="s">
        <v>23</v>
      </c>
      <c r="F994" t="s">
        <v>24</v>
      </c>
      <c r="G994" t="str">
        <f>"2026-01-27 13:40:44.447"</f>
        <v>2026-01-27 13:40:44.447</v>
      </c>
      <c r="H994" t="s">
        <v>25</v>
      </c>
      <c r="I994">
        <v>0</v>
      </c>
      <c r="J994" t="s">
        <v>26</v>
      </c>
    </row>
    <row r="995" spans="1:10" x14ac:dyDescent="0.25">
      <c r="A995" s="1">
        <v>103</v>
      </c>
      <c r="B995" t="s">
        <v>31</v>
      </c>
      <c r="C995">
        <v>630</v>
      </c>
      <c r="D995">
        <v>5</v>
      </c>
      <c r="E995" t="s">
        <v>23</v>
      </c>
      <c r="F995" t="s">
        <v>24</v>
      </c>
      <c r="G995" t="str">
        <f>"2026-01-25 08:37:57.247"</f>
        <v>2026-01-25 08:37:57.247</v>
      </c>
      <c r="H995" t="s">
        <v>25</v>
      </c>
    </row>
    <row r="996" spans="1:10" x14ac:dyDescent="0.25">
      <c r="A996" s="1">
        <v>104</v>
      </c>
      <c r="B996" t="s">
        <v>19</v>
      </c>
      <c r="C996">
        <v>706</v>
      </c>
      <c r="D996">
        <v>4</v>
      </c>
      <c r="E996" t="s">
        <v>27</v>
      </c>
      <c r="F996" t="s">
        <v>28</v>
      </c>
      <c r="G996" t="str">
        <f>"2026-01-25 08:37:27.126"</f>
        <v>2026-01-25 08:37:27.126</v>
      </c>
      <c r="H996" t="s">
        <v>21</v>
      </c>
      <c r="I996">
        <v>0</v>
      </c>
      <c r="J996" t="s">
        <v>26</v>
      </c>
    </row>
    <row r="997" spans="1:10" x14ac:dyDescent="0.25">
      <c r="A997" s="1">
        <v>105</v>
      </c>
      <c r="B997" t="s">
        <v>22</v>
      </c>
      <c r="C997">
        <v>630</v>
      </c>
      <c r="D997">
        <v>5</v>
      </c>
      <c r="E997" t="s">
        <v>23</v>
      </c>
      <c r="F997" t="s">
        <v>24</v>
      </c>
      <c r="G997" t="str">
        <f>"2026-01-25 08:32:13.547"</f>
        <v>2026-01-25 08:32:13.547</v>
      </c>
      <c r="H997" t="s">
        <v>25</v>
      </c>
      <c r="I997">
        <v>0</v>
      </c>
      <c r="J997" t="s">
        <v>26</v>
      </c>
    </row>
    <row r="998" spans="1:10" x14ac:dyDescent="0.25">
      <c r="A998" s="1">
        <v>106</v>
      </c>
      <c r="B998" t="s">
        <v>31</v>
      </c>
      <c r="C998">
        <v>635</v>
      </c>
      <c r="D998">
        <v>1</v>
      </c>
      <c r="E998" t="s">
        <v>37</v>
      </c>
      <c r="F998" t="s">
        <v>38</v>
      </c>
      <c r="G998" t="str">
        <f>"2026-01-24 16:20:46.447"</f>
        <v>2026-01-24 16:20:46.447</v>
      </c>
      <c r="H998" t="s">
        <v>21</v>
      </c>
    </row>
    <row r="999" spans="1:10" x14ac:dyDescent="0.25">
      <c r="A999" s="1">
        <v>107</v>
      </c>
      <c r="B999" t="s">
        <v>34</v>
      </c>
      <c r="C999">
        <v>635</v>
      </c>
      <c r="D999">
        <v>1</v>
      </c>
      <c r="E999" t="s">
        <v>37</v>
      </c>
      <c r="F999" t="s">
        <v>38</v>
      </c>
      <c r="G999" t="str">
        <f>"2026-01-24 16:17:59.447"</f>
        <v>2026-01-24 16:17:59.447</v>
      </c>
      <c r="H999" t="s">
        <v>21</v>
      </c>
      <c r="I999">
        <v>10.130000000000001</v>
      </c>
      <c r="J999" t="s">
        <v>35</v>
      </c>
    </row>
    <row r="1000" spans="1:10" x14ac:dyDescent="0.25">
      <c r="A1000" s="1">
        <v>108</v>
      </c>
      <c r="B1000" t="s">
        <v>31</v>
      </c>
      <c r="C1000">
        <v>635</v>
      </c>
      <c r="D1000">
        <v>1</v>
      </c>
      <c r="E1000" t="s">
        <v>37</v>
      </c>
      <c r="F1000" t="s">
        <v>38</v>
      </c>
      <c r="G1000" t="str">
        <f>"2026-01-24 05:33:13.247"</f>
        <v>2026-01-24 05:33:13.247</v>
      </c>
      <c r="H1000" t="s">
        <v>21</v>
      </c>
    </row>
    <row r="1001" spans="1:10" x14ac:dyDescent="0.25">
      <c r="A1001" s="1">
        <v>109</v>
      </c>
      <c r="B1001" t="s">
        <v>34</v>
      </c>
      <c r="C1001">
        <v>635</v>
      </c>
      <c r="D1001">
        <v>1</v>
      </c>
      <c r="E1001" t="s">
        <v>37</v>
      </c>
      <c r="F1001" t="s">
        <v>38</v>
      </c>
      <c r="G1001" t="str">
        <f>"2026-01-24 05:24:03.247"</f>
        <v>2026-01-24 05:24:03.247</v>
      </c>
      <c r="H1001" t="s">
        <v>21</v>
      </c>
      <c r="I1001">
        <v>5.92</v>
      </c>
      <c r="J1001" t="s">
        <v>39</v>
      </c>
    </row>
    <row r="1002" spans="1:10" x14ac:dyDescent="0.25">
      <c r="A1002" s="1">
        <v>110</v>
      </c>
      <c r="B1002" t="s">
        <v>31</v>
      </c>
      <c r="C1002">
        <v>635</v>
      </c>
      <c r="D1002">
        <v>1</v>
      </c>
      <c r="E1002" t="s">
        <v>37</v>
      </c>
      <c r="F1002" t="s">
        <v>38</v>
      </c>
      <c r="G1002" t="str">
        <f>"2026-01-23 09:27:08.447"</f>
        <v>2026-01-23 09:27:08.447</v>
      </c>
      <c r="H1002" t="s">
        <v>21</v>
      </c>
    </row>
    <row r="1003" spans="1:10" x14ac:dyDescent="0.25">
      <c r="A1003" s="1">
        <v>111</v>
      </c>
      <c r="B1003" t="s">
        <v>34</v>
      </c>
      <c r="C1003">
        <v>635</v>
      </c>
      <c r="D1003">
        <v>1</v>
      </c>
      <c r="E1003" t="s">
        <v>37</v>
      </c>
      <c r="F1003" t="s">
        <v>38</v>
      </c>
      <c r="G1003" t="str">
        <f>"2026-01-23 09:22:06.547"</f>
        <v>2026-01-23 09:22:06.547</v>
      </c>
      <c r="H1003" t="s">
        <v>21</v>
      </c>
      <c r="I1003">
        <v>1.5</v>
      </c>
      <c r="J1003" t="s">
        <v>35</v>
      </c>
    </row>
    <row r="1004" spans="1:10" x14ac:dyDescent="0.25">
      <c r="A1004" s="1">
        <v>112</v>
      </c>
      <c r="B1004" t="s">
        <v>74</v>
      </c>
      <c r="C1004">
        <v>228</v>
      </c>
      <c r="D1004">
        <v>4</v>
      </c>
      <c r="E1004" t="s">
        <v>82</v>
      </c>
      <c r="F1004" t="s">
        <v>76</v>
      </c>
      <c r="G1004" t="str">
        <f>"2026-01-22 18:45:24.739"</f>
        <v>2026-01-22 18:45:24.739</v>
      </c>
      <c r="H1004" t="s">
        <v>53</v>
      </c>
    </row>
    <row r="1005" spans="1:10" x14ac:dyDescent="0.25">
      <c r="A1005" s="1">
        <v>113</v>
      </c>
      <c r="B1005" t="s">
        <v>22</v>
      </c>
      <c r="C1005">
        <v>228</v>
      </c>
      <c r="D1005">
        <v>4</v>
      </c>
      <c r="E1005" t="s">
        <v>82</v>
      </c>
      <c r="F1005" t="s">
        <v>76</v>
      </c>
      <c r="G1005" t="str">
        <f>"2026-01-22 18:45:19.703"</f>
        <v>2026-01-22 18:45:19.703</v>
      </c>
      <c r="H1005" t="s">
        <v>53</v>
      </c>
      <c r="I1005">
        <v>13.78</v>
      </c>
      <c r="J1005" t="s">
        <v>35</v>
      </c>
    </row>
    <row r="1006" spans="1:10" x14ac:dyDescent="0.25">
      <c r="A1006" s="1">
        <v>114</v>
      </c>
      <c r="B1006" t="s">
        <v>31</v>
      </c>
      <c r="C1006">
        <v>98</v>
      </c>
      <c r="D1006">
        <v>1</v>
      </c>
      <c r="E1006" t="s">
        <v>40</v>
      </c>
      <c r="F1006" t="s">
        <v>41</v>
      </c>
      <c r="G1006" t="str">
        <f>"2026-01-22 04:43:00.460"</f>
        <v>2026-01-22 04:43:00.460</v>
      </c>
      <c r="H1006" t="s">
        <v>21</v>
      </c>
    </row>
    <row r="1007" spans="1:10" x14ac:dyDescent="0.25">
      <c r="A1007" s="1">
        <v>115</v>
      </c>
      <c r="B1007" t="s">
        <v>34</v>
      </c>
      <c r="C1007">
        <v>98</v>
      </c>
      <c r="D1007">
        <v>1</v>
      </c>
      <c r="E1007" t="s">
        <v>40</v>
      </c>
      <c r="F1007" t="s">
        <v>41</v>
      </c>
      <c r="G1007" t="str">
        <f>"2026-01-22 04:42:59.460"</f>
        <v>2026-01-22 04:42:59.460</v>
      </c>
      <c r="H1007" t="s">
        <v>21</v>
      </c>
      <c r="I1007">
        <v>7.25</v>
      </c>
      <c r="J1007" t="s">
        <v>39</v>
      </c>
    </row>
    <row r="1008" spans="1:10" x14ac:dyDescent="0.25">
      <c r="A1008" s="1">
        <v>116</v>
      </c>
      <c r="B1008" t="s">
        <v>31</v>
      </c>
      <c r="C1008">
        <v>98</v>
      </c>
      <c r="D1008">
        <v>1</v>
      </c>
      <c r="E1008" t="s">
        <v>40</v>
      </c>
      <c r="F1008" t="s">
        <v>41</v>
      </c>
      <c r="G1008" t="str">
        <f>"2026-01-22 04:40:31.860"</f>
        <v>2026-01-22 04:40:31.860</v>
      </c>
      <c r="H1008" t="s">
        <v>21</v>
      </c>
    </row>
    <row r="1009" spans="1:10" x14ac:dyDescent="0.25">
      <c r="A1009" s="1">
        <v>117</v>
      </c>
      <c r="B1009" t="s">
        <v>34</v>
      </c>
      <c r="C1009">
        <v>98</v>
      </c>
      <c r="D1009">
        <v>1</v>
      </c>
      <c r="E1009" t="s">
        <v>40</v>
      </c>
      <c r="F1009" t="s">
        <v>41</v>
      </c>
      <c r="G1009" t="str">
        <f>"2026-01-22 04:40:30.860"</f>
        <v>2026-01-22 04:40:30.860</v>
      </c>
      <c r="H1009" t="s">
        <v>21</v>
      </c>
      <c r="I1009">
        <v>10.039999999999999</v>
      </c>
      <c r="J1009" t="s">
        <v>39</v>
      </c>
    </row>
    <row r="1010" spans="1:10" x14ac:dyDescent="0.25">
      <c r="A1010" s="1">
        <v>118</v>
      </c>
      <c r="B1010" t="s">
        <v>31</v>
      </c>
      <c r="C1010">
        <v>98</v>
      </c>
      <c r="D1010">
        <v>1</v>
      </c>
      <c r="E1010" t="s">
        <v>40</v>
      </c>
      <c r="F1010" t="s">
        <v>41</v>
      </c>
      <c r="G1010" t="str">
        <f>"2026-01-21 22:16:20.960"</f>
        <v>2026-01-21 22:16:20.960</v>
      </c>
      <c r="H1010" t="s">
        <v>21</v>
      </c>
    </row>
    <row r="1011" spans="1:10" x14ac:dyDescent="0.25">
      <c r="A1011" s="1">
        <v>119</v>
      </c>
      <c r="B1011" t="s">
        <v>34</v>
      </c>
      <c r="C1011">
        <v>98</v>
      </c>
      <c r="D1011">
        <v>1</v>
      </c>
      <c r="E1011" t="s">
        <v>40</v>
      </c>
      <c r="F1011" t="s">
        <v>41</v>
      </c>
      <c r="G1011" t="str">
        <f>"2026-01-21 22:16:19.960"</f>
        <v>2026-01-21 22:16:19.960</v>
      </c>
      <c r="H1011" t="s">
        <v>21</v>
      </c>
      <c r="I1011">
        <v>7.15</v>
      </c>
      <c r="J1011" t="s">
        <v>39</v>
      </c>
    </row>
    <row r="1012" spans="1:10" x14ac:dyDescent="0.25">
      <c r="A1012" s="1">
        <v>120</v>
      </c>
      <c r="B1012" t="s">
        <v>31</v>
      </c>
      <c r="C1012">
        <v>98</v>
      </c>
      <c r="D1012">
        <v>1</v>
      </c>
      <c r="E1012" t="s">
        <v>40</v>
      </c>
      <c r="F1012" t="s">
        <v>41</v>
      </c>
      <c r="G1012" t="str">
        <f>"2026-01-21 22:16:19.360"</f>
        <v>2026-01-21 22:16:19.360</v>
      </c>
      <c r="H1012" t="s">
        <v>21</v>
      </c>
    </row>
    <row r="1013" spans="1:10" x14ac:dyDescent="0.25">
      <c r="A1013" s="1">
        <v>121</v>
      </c>
      <c r="B1013" t="s">
        <v>34</v>
      </c>
      <c r="C1013">
        <v>98</v>
      </c>
      <c r="D1013">
        <v>1</v>
      </c>
      <c r="E1013" t="s">
        <v>40</v>
      </c>
      <c r="F1013" t="s">
        <v>41</v>
      </c>
      <c r="G1013" t="str">
        <f>"2026-01-21 22:16:18.360"</f>
        <v>2026-01-21 22:16:18.360</v>
      </c>
      <c r="H1013" t="s">
        <v>21</v>
      </c>
      <c r="I1013">
        <v>7.1</v>
      </c>
      <c r="J1013" t="s">
        <v>39</v>
      </c>
    </row>
    <row r="1014" spans="1:10" x14ac:dyDescent="0.25">
      <c r="A1014" s="1">
        <v>122</v>
      </c>
      <c r="B1014" t="s">
        <v>31</v>
      </c>
      <c r="C1014">
        <v>98</v>
      </c>
      <c r="D1014">
        <v>1</v>
      </c>
      <c r="E1014" t="s">
        <v>40</v>
      </c>
      <c r="F1014" t="s">
        <v>41</v>
      </c>
      <c r="G1014" t="str">
        <f>"2026-01-21 22:16:17.760"</f>
        <v>2026-01-21 22:16:17.760</v>
      </c>
      <c r="H1014" t="s">
        <v>21</v>
      </c>
    </row>
    <row r="1015" spans="1:10" x14ac:dyDescent="0.25">
      <c r="A1015" s="1">
        <v>123</v>
      </c>
      <c r="B1015" t="s">
        <v>34</v>
      </c>
      <c r="C1015">
        <v>98</v>
      </c>
      <c r="D1015">
        <v>1</v>
      </c>
      <c r="E1015" t="s">
        <v>40</v>
      </c>
      <c r="F1015" t="s">
        <v>41</v>
      </c>
      <c r="G1015" t="str">
        <f>"2026-01-21 22:16:16.760"</f>
        <v>2026-01-21 22:16:16.760</v>
      </c>
      <c r="H1015" t="s">
        <v>21</v>
      </c>
      <c r="I1015">
        <v>7.11</v>
      </c>
      <c r="J1015" t="s">
        <v>39</v>
      </c>
    </row>
    <row r="1016" spans="1:10" x14ac:dyDescent="0.25">
      <c r="A1016" s="1">
        <v>124</v>
      </c>
      <c r="B1016" t="s">
        <v>31</v>
      </c>
      <c r="C1016">
        <v>98</v>
      </c>
      <c r="D1016">
        <v>1</v>
      </c>
      <c r="E1016" t="s">
        <v>40</v>
      </c>
      <c r="F1016" t="s">
        <v>41</v>
      </c>
      <c r="G1016" t="str">
        <f>"2026-01-21 22:16:15.960"</f>
        <v>2026-01-21 22:16:15.960</v>
      </c>
      <c r="H1016" t="s">
        <v>21</v>
      </c>
    </row>
    <row r="1017" spans="1:10" x14ac:dyDescent="0.25">
      <c r="A1017" s="1">
        <v>125</v>
      </c>
      <c r="B1017" t="s">
        <v>34</v>
      </c>
      <c r="C1017">
        <v>98</v>
      </c>
      <c r="D1017">
        <v>1</v>
      </c>
      <c r="E1017" t="s">
        <v>40</v>
      </c>
      <c r="F1017" t="s">
        <v>41</v>
      </c>
      <c r="G1017" t="str">
        <f>"2026-01-21 22:16:14.960"</f>
        <v>2026-01-21 22:16:14.960</v>
      </c>
      <c r="H1017" t="s">
        <v>21</v>
      </c>
      <c r="I1017">
        <v>7.05</v>
      </c>
      <c r="J1017" t="s">
        <v>39</v>
      </c>
    </row>
    <row r="1018" spans="1:10" x14ac:dyDescent="0.25">
      <c r="A1018" s="1">
        <v>126</v>
      </c>
      <c r="B1018" t="s">
        <v>31</v>
      </c>
      <c r="C1018">
        <v>98</v>
      </c>
      <c r="D1018">
        <v>1</v>
      </c>
      <c r="E1018" t="s">
        <v>40</v>
      </c>
      <c r="F1018" t="s">
        <v>41</v>
      </c>
      <c r="G1018" t="str">
        <f>"2026-01-21 20:01:48.260"</f>
        <v>2026-01-21 20:01:48.260</v>
      </c>
      <c r="H1018" t="s">
        <v>21</v>
      </c>
    </row>
    <row r="1019" spans="1:10" x14ac:dyDescent="0.25">
      <c r="A1019" s="1">
        <v>127</v>
      </c>
      <c r="B1019" t="s">
        <v>34</v>
      </c>
      <c r="C1019">
        <v>98</v>
      </c>
      <c r="D1019">
        <v>1</v>
      </c>
      <c r="E1019" t="s">
        <v>40</v>
      </c>
      <c r="F1019" t="s">
        <v>41</v>
      </c>
      <c r="G1019" t="str">
        <f>"2026-01-21 20:01:47.160"</f>
        <v>2026-01-21 20:01:47.160</v>
      </c>
      <c r="H1019" t="s">
        <v>21</v>
      </c>
      <c r="I1019">
        <v>11.65</v>
      </c>
      <c r="J1019" t="s">
        <v>39</v>
      </c>
    </row>
    <row r="1020" spans="1:10" x14ac:dyDescent="0.25">
      <c r="A1020" s="1">
        <v>128</v>
      </c>
      <c r="B1020" t="s">
        <v>31</v>
      </c>
      <c r="C1020">
        <v>98</v>
      </c>
      <c r="D1020">
        <v>1</v>
      </c>
      <c r="E1020" t="s">
        <v>40</v>
      </c>
      <c r="F1020" t="s">
        <v>41</v>
      </c>
      <c r="G1020" t="str">
        <f>"2026-01-21 20:01:46.460"</f>
        <v>2026-01-21 20:01:46.460</v>
      </c>
      <c r="H1020" t="s">
        <v>21</v>
      </c>
    </row>
    <row r="1021" spans="1:10" x14ac:dyDescent="0.25">
      <c r="A1021" s="1">
        <v>129</v>
      </c>
      <c r="B1021" t="s">
        <v>34</v>
      </c>
      <c r="C1021">
        <v>98</v>
      </c>
      <c r="D1021">
        <v>1</v>
      </c>
      <c r="E1021" t="s">
        <v>40</v>
      </c>
      <c r="F1021" t="s">
        <v>41</v>
      </c>
      <c r="G1021" t="str">
        <f>"2026-01-21 20:01:45.260"</f>
        <v>2026-01-21 20:01:45.260</v>
      </c>
      <c r="H1021" t="s">
        <v>21</v>
      </c>
      <c r="I1021">
        <v>11.24</v>
      </c>
      <c r="J1021" t="s">
        <v>39</v>
      </c>
    </row>
    <row r="1022" spans="1:10" x14ac:dyDescent="0.25">
      <c r="A1022" s="1">
        <v>130</v>
      </c>
      <c r="B1022" t="s">
        <v>31</v>
      </c>
      <c r="C1022">
        <v>630</v>
      </c>
      <c r="D1022">
        <v>5</v>
      </c>
      <c r="E1022" t="s">
        <v>23</v>
      </c>
      <c r="F1022" t="s">
        <v>24</v>
      </c>
      <c r="G1022" t="str">
        <f>"2026-01-21 14:49:43.947"</f>
        <v>2026-01-21 14:49:43.947</v>
      </c>
      <c r="H1022" t="s">
        <v>25</v>
      </c>
    </row>
    <row r="1023" spans="1:10" x14ac:dyDescent="0.25">
      <c r="A1023" s="1">
        <v>131</v>
      </c>
      <c r="B1023" t="s">
        <v>19</v>
      </c>
      <c r="C1023">
        <v>706</v>
      </c>
      <c r="D1023">
        <v>2</v>
      </c>
      <c r="E1023" t="s">
        <v>27</v>
      </c>
      <c r="F1023" t="s">
        <v>29</v>
      </c>
      <c r="G1023" t="str">
        <f>"2026-01-21 14:49:13.806"</f>
        <v>2026-01-21 14:49:13.806</v>
      </c>
      <c r="H1023" t="s">
        <v>21</v>
      </c>
      <c r="I1023">
        <v>0</v>
      </c>
      <c r="J1023" t="s">
        <v>26</v>
      </c>
    </row>
    <row r="1024" spans="1:10" x14ac:dyDescent="0.25">
      <c r="A1024" s="1">
        <v>132</v>
      </c>
      <c r="B1024" t="s">
        <v>22</v>
      </c>
      <c r="C1024">
        <v>630</v>
      </c>
      <c r="D1024">
        <v>5</v>
      </c>
      <c r="E1024" t="s">
        <v>23</v>
      </c>
      <c r="F1024" t="s">
        <v>24</v>
      </c>
      <c r="G1024" t="str">
        <f>"2026-01-21 14:42:21.347"</f>
        <v>2026-01-21 14:42:21.347</v>
      </c>
      <c r="H1024" t="s">
        <v>25</v>
      </c>
      <c r="I1024">
        <v>0</v>
      </c>
      <c r="J1024" t="s">
        <v>26</v>
      </c>
    </row>
    <row r="1025" spans="1:10" x14ac:dyDescent="0.25">
      <c r="A1025" s="1">
        <v>133</v>
      </c>
      <c r="B1025" t="s">
        <v>31</v>
      </c>
      <c r="C1025">
        <v>635</v>
      </c>
      <c r="D1025">
        <v>1</v>
      </c>
      <c r="E1025" t="s">
        <v>37</v>
      </c>
      <c r="F1025" t="s">
        <v>38</v>
      </c>
      <c r="G1025" t="str">
        <f>"2026-01-19 22:02:20.347"</f>
        <v>2026-01-19 22:02:20.347</v>
      </c>
      <c r="H1025" t="s">
        <v>21</v>
      </c>
    </row>
    <row r="1026" spans="1:10" x14ac:dyDescent="0.25">
      <c r="A1026" s="1">
        <v>134</v>
      </c>
      <c r="B1026" t="s">
        <v>34</v>
      </c>
      <c r="C1026">
        <v>635</v>
      </c>
      <c r="D1026">
        <v>1</v>
      </c>
      <c r="E1026" t="s">
        <v>37</v>
      </c>
      <c r="F1026" t="s">
        <v>38</v>
      </c>
      <c r="G1026" t="str">
        <f>"2026-01-19 21:55:06.947"</f>
        <v>2026-01-19 21:55:06.947</v>
      </c>
      <c r="H1026" t="s">
        <v>21</v>
      </c>
      <c r="I1026">
        <v>4.1100000000000003</v>
      </c>
      <c r="J1026" t="s">
        <v>39</v>
      </c>
    </row>
    <row r="1027" spans="1:10" x14ac:dyDescent="0.25">
      <c r="A1027" s="1">
        <v>135</v>
      </c>
      <c r="B1027" t="s">
        <v>31</v>
      </c>
      <c r="C1027">
        <v>61</v>
      </c>
      <c r="D1027">
        <v>2</v>
      </c>
      <c r="E1027" t="s">
        <v>72</v>
      </c>
      <c r="F1027" t="s">
        <v>73</v>
      </c>
      <c r="G1027" t="str">
        <f>"2026-01-18 10:24:37.460"</f>
        <v>2026-01-18 10:24:37.460</v>
      </c>
      <c r="H1027" t="s">
        <v>21</v>
      </c>
    </row>
    <row r="1028" spans="1:10" x14ac:dyDescent="0.25">
      <c r="A1028" s="1">
        <v>136</v>
      </c>
      <c r="B1028" t="s">
        <v>22</v>
      </c>
      <c r="C1028">
        <v>61</v>
      </c>
      <c r="D1028">
        <v>2</v>
      </c>
      <c r="E1028" t="s">
        <v>72</v>
      </c>
      <c r="F1028" t="s">
        <v>73</v>
      </c>
      <c r="G1028" t="str">
        <f>"2026-01-18 10:24:28.660"</f>
        <v>2026-01-18 10:24:28.660</v>
      </c>
      <c r="H1028" t="s">
        <v>21</v>
      </c>
      <c r="I1028">
        <v>32.22</v>
      </c>
      <c r="J1028" t="s">
        <v>35</v>
      </c>
    </row>
    <row r="1029" spans="1:10" x14ac:dyDescent="0.25">
      <c r="A1029" s="1">
        <v>137</v>
      </c>
      <c r="B1029" t="s">
        <v>31</v>
      </c>
      <c r="C1029">
        <v>630</v>
      </c>
      <c r="D1029">
        <v>5</v>
      </c>
      <c r="E1029" t="s">
        <v>23</v>
      </c>
      <c r="F1029" t="s">
        <v>24</v>
      </c>
      <c r="G1029" t="str">
        <f>"2026-01-18 06:07:42.247"</f>
        <v>2026-01-18 06:07:42.247</v>
      </c>
      <c r="H1029" t="s">
        <v>25</v>
      </c>
    </row>
    <row r="1030" spans="1:10" x14ac:dyDescent="0.25">
      <c r="A1030" s="1">
        <v>138</v>
      </c>
      <c r="B1030" t="s">
        <v>19</v>
      </c>
      <c r="C1030">
        <v>706</v>
      </c>
      <c r="D1030">
        <v>2</v>
      </c>
      <c r="E1030" t="s">
        <v>27</v>
      </c>
      <c r="F1030" t="s">
        <v>29</v>
      </c>
      <c r="G1030" t="str">
        <f>"2026-01-18 06:07:12.206"</f>
        <v>2026-01-18 06:07:12.206</v>
      </c>
      <c r="H1030" t="s">
        <v>21</v>
      </c>
      <c r="I1030">
        <v>0</v>
      </c>
      <c r="J1030" t="s">
        <v>26</v>
      </c>
    </row>
    <row r="1031" spans="1:10" x14ac:dyDescent="0.25">
      <c r="A1031" s="1">
        <v>139</v>
      </c>
      <c r="B1031" t="s">
        <v>22</v>
      </c>
      <c r="C1031">
        <v>630</v>
      </c>
      <c r="D1031">
        <v>5</v>
      </c>
      <c r="E1031" t="s">
        <v>23</v>
      </c>
      <c r="F1031" t="s">
        <v>24</v>
      </c>
      <c r="G1031" t="str">
        <f>"2026-01-18 05:57:05.147"</f>
        <v>2026-01-18 05:57:05.147</v>
      </c>
      <c r="H1031" t="s">
        <v>25</v>
      </c>
      <c r="I1031">
        <v>0</v>
      </c>
      <c r="J1031" t="s">
        <v>26</v>
      </c>
    </row>
    <row r="1032" spans="1:10" x14ac:dyDescent="0.25">
      <c r="A1032" s="1">
        <v>140</v>
      </c>
      <c r="B1032" t="s">
        <v>31</v>
      </c>
      <c r="C1032">
        <v>630</v>
      </c>
      <c r="D1032">
        <v>5</v>
      </c>
      <c r="E1032" t="s">
        <v>23</v>
      </c>
      <c r="F1032" t="s">
        <v>24</v>
      </c>
      <c r="G1032" t="str">
        <f>"2026-01-18 05:51:10.147"</f>
        <v>2026-01-18 05:51:10.147</v>
      </c>
      <c r="H1032" t="s">
        <v>25</v>
      </c>
    </row>
    <row r="1033" spans="1:10" x14ac:dyDescent="0.25">
      <c r="A1033" s="1">
        <v>141</v>
      </c>
      <c r="B1033" t="s">
        <v>19</v>
      </c>
      <c r="C1033">
        <v>706</v>
      </c>
      <c r="D1033">
        <v>2</v>
      </c>
      <c r="E1033" t="s">
        <v>27</v>
      </c>
      <c r="F1033" t="s">
        <v>29</v>
      </c>
      <c r="G1033" t="str">
        <f>"2026-01-18 05:50:40.106"</f>
        <v>2026-01-18 05:50:40.106</v>
      </c>
      <c r="H1033" t="s">
        <v>21</v>
      </c>
      <c r="I1033">
        <v>0</v>
      </c>
      <c r="J1033" t="s">
        <v>26</v>
      </c>
    </row>
    <row r="1034" spans="1:10" x14ac:dyDescent="0.25">
      <c r="A1034" s="1">
        <v>142</v>
      </c>
      <c r="B1034" t="s">
        <v>22</v>
      </c>
      <c r="C1034">
        <v>630</v>
      </c>
      <c r="D1034">
        <v>5</v>
      </c>
      <c r="E1034" t="s">
        <v>23</v>
      </c>
      <c r="F1034" t="s">
        <v>24</v>
      </c>
      <c r="G1034" t="str">
        <f>"2026-01-18 05:18:10.148"</f>
        <v>2026-01-18 05:18:10.148</v>
      </c>
      <c r="H1034" t="s">
        <v>25</v>
      </c>
      <c r="I1034">
        <v>0</v>
      </c>
      <c r="J1034" t="s">
        <v>26</v>
      </c>
    </row>
    <row r="1035" spans="1:10" x14ac:dyDescent="0.25">
      <c r="A1035" s="1">
        <v>143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"2026-01-18 05:13:07.366"</f>
        <v>2026-01-18 05:13:07.366</v>
      </c>
      <c r="H1035" t="s">
        <v>21</v>
      </c>
    </row>
    <row r="1036" spans="1:10" x14ac:dyDescent="0.25">
      <c r="A1036" s="1">
        <v>144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"2026-01-18 04:00:08.391"</f>
        <v>2026-01-18 04:00:08.391</v>
      </c>
      <c r="H1036" t="s">
        <v>21</v>
      </c>
      <c r="I1036">
        <v>0</v>
      </c>
      <c r="J1036" t="s">
        <v>30</v>
      </c>
    </row>
    <row r="1037" spans="1:10" x14ac:dyDescent="0.25">
      <c r="A1037" s="1">
        <v>145</v>
      </c>
      <c r="B1037" t="s">
        <v>22</v>
      </c>
      <c r="C1037">
        <v>630</v>
      </c>
      <c r="D1037">
        <v>5</v>
      </c>
      <c r="E1037" t="s">
        <v>23</v>
      </c>
      <c r="F1037" t="s">
        <v>24</v>
      </c>
      <c r="G1037" t="str">
        <f>"2026-01-18 03:49:49.912"</f>
        <v>2026-01-18 03:49:49.912</v>
      </c>
      <c r="H1037" t="s">
        <v>25</v>
      </c>
      <c r="I1037">
        <v>0</v>
      </c>
      <c r="J1037" t="s">
        <v>26</v>
      </c>
    </row>
    <row r="1038" spans="1:10" x14ac:dyDescent="0.25">
      <c r="A1038" s="1">
        <v>146</v>
      </c>
      <c r="B1038" t="s">
        <v>74</v>
      </c>
      <c r="C1038">
        <v>228</v>
      </c>
      <c r="D1038">
        <v>4</v>
      </c>
      <c r="E1038" t="s">
        <v>82</v>
      </c>
      <c r="F1038" t="s">
        <v>76</v>
      </c>
      <c r="G1038" t="str">
        <f>"2026-01-17 07:09:02.125"</f>
        <v>2026-01-17 07:09:02.125</v>
      </c>
      <c r="H1038" t="s">
        <v>53</v>
      </c>
    </row>
    <row r="1039" spans="1:10" x14ac:dyDescent="0.25">
      <c r="A1039" s="1">
        <v>147</v>
      </c>
      <c r="B1039" t="s">
        <v>22</v>
      </c>
      <c r="C1039">
        <v>228</v>
      </c>
      <c r="D1039">
        <v>4</v>
      </c>
      <c r="E1039" t="s">
        <v>82</v>
      </c>
      <c r="F1039" t="s">
        <v>76</v>
      </c>
      <c r="G1039" t="str">
        <f>"2026-01-17 07:08:57.054"</f>
        <v>2026-01-17 07:08:57.054</v>
      </c>
      <c r="H1039" t="s">
        <v>53</v>
      </c>
      <c r="I1039">
        <v>7.55</v>
      </c>
      <c r="J1039" t="s">
        <v>39</v>
      </c>
    </row>
    <row r="1040" spans="1:10" x14ac:dyDescent="0.25">
      <c r="A1040" s="1">
        <v>149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"2026-01-16 14:57:59.390"</f>
        <v>2026-01-16 14:57:59.390</v>
      </c>
      <c r="H1040" t="s">
        <v>21</v>
      </c>
      <c r="I1040">
        <v>0</v>
      </c>
      <c r="J1040" t="s">
        <v>30</v>
      </c>
    </row>
    <row r="1041" spans="1:10" x14ac:dyDescent="0.25">
      <c r="A1041" s="1">
        <v>150</v>
      </c>
      <c r="B1041" t="s">
        <v>19</v>
      </c>
      <c r="C1041">
        <v>700</v>
      </c>
      <c r="D1041">
        <v>0</v>
      </c>
      <c r="E1041" t="s">
        <v>20</v>
      </c>
      <c r="F1041" t="s">
        <v>20</v>
      </c>
      <c r="G1041" t="str">
        <f>"2026-01-16 14:50:41.387"</f>
        <v>2026-01-16 14:50:41.387</v>
      </c>
      <c r="H1041" t="s">
        <v>21</v>
      </c>
    </row>
    <row r="1042" spans="1:10" x14ac:dyDescent="0.25">
      <c r="A1042" s="1">
        <v>151</v>
      </c>
      <c r="B1042" t="s">
        <v>31</v>
      </c>
      <c r="C1042">
        <v>650</v>
      </c>
      <c r="D1042">
        <v>5</v>
      </c>
      <c r="E1042" t="s">
        <v>100</v>
      </c>
      <c r="F1042" t="s">
        <v>101</v>
      </c>
      <c r="G1042" t="str">
        <f>"2026-01-16 14:35:59.962"</f>
        <v>2026-01-16 14:35:59.962</v>
      </c>
      <c r="H1042" t="s">
        <v>21</v>
      </c>
    </row>
    <row r="1043" spans="1:10" x14ac:dyDescent="0.25">
      <c r="A1043" s="1">
        <v>154</v>
      </c>
      <c r="B1043" t="s">
        <v>34</v>
      </c>
      <c r="C1043">
        <v>650</v>
      </c>
      <c r="D1043">
        <v>5</v>
      </c>
      <c r="E1043" t="s">
        <v>100</v>
      </c>
      <c r="F1043" t="s">
        <v>101</v>
      </c>
      <c r="G1043" t="str">
        <f>"2026-01-16 14:35:32.362"</f>
        <v>2026-01-16 14:35:32.362</v>
      </c>
      <c r="H1043" t="s">
        <v>21</v>
      </c>
      <c r="I1043">
        <v>0</v>
      </c>
      <c r="J1043" t="s">
        <v>36</v>
      </c>
    </row>
    <row r="1044" spans="1:10" x14ac:dyDescent="0.25">
      <c r="A1044" s="1">
        <v>155</v>
      </c>
      <c r="B1044" t="s">
        <v>19</v>
      </c>
      <c r="C1044">
        <v>782</v>
      </c>
      <c r="D1044">
        <v>7</v>
      </c>
      <c r="E1044" t="s">
        <v>43</v>
      </c>
      <c r="F1044" t="s">
        <v>44</v>
      </c>
      <c r="G1044" t="str">
        <f>"2026-01-16 14:35:32.318"</f>
        <v>2026-01-16 14:35:32.318</v>
      </c>
      <c r="H1044" t="s">
        <v>21</v>
      </c>
      <c r="I1044">
        <v>0</v>
      </c>
      <c r="J1044" t="s">
        <v>36</v>
      </c>
    </row>
    <row r="1045" spans="1:10" x14ac:dyDescent="0.25">
      <c r="A1045" s="1">
        <v>158</v>
      </c>
      <c r="B1045" t="s">
        <v>31</v>
      </c>
      <c r="C1045">
        <v>650</v>
      </c>
      <c r="D1045">
        <v>5</v>
      </c>
      <c r="E1045" t="s">
        <v>100</v>
      </c>
      <c r="F1045" t="s">
        <v>101</v>
      </c>
      <c r="G1045" t="str">
        <f>"2026-01-16 14:35:32.314"</f>
        <v>2026-01-16 14:35:32.314</v>
      </c>
      <c r="H1045" t="s">
        <v>21</v>
      </c>
    </row>
    <row r="1046" spans="1:10" x14ac:dyDescent="0.25">
      <c r="A1046" s="1">
        <v>159</v>
      </c>
      <c r="B1046" t="s">
        <v>19</v>
      </c>
      <c r="C1046">
        <v>782</v>
      </c>
      <c r="D1046">
        <v>7</v>
      </c>
      <c r="E1046" t="s">
        <v>43</v>
      </c>
      <c r="F1046" t="s">
        <v>44</v>
      </c>
      <c r="G1046" t="str">
        <f>"2026-01-16 14:35:32.313"</f>
        <v>2026-01-16 14:35:32.313</v>
      </c>
      <c r="H1046" t="s">
        <v>21</v>
      </c>
      <c r="I1046">
        <v>0</v>
      </c>
      <c r="J1046" t="s">
        <v>36</v>
      </c>
    </row>
    <row r="1047" spans="1:10" x14ac:dyDescent="0.25">
      <c r="A1047" s="1">
        <v>160</v>
      </c>
      <c r="B1047" t="s">
        <v>34</v>
      </c>
      <c r="C1047">
        <v>650</v>
      </c>
      <c r="D1047">
        <v>5</v>
      </c>
      <c r="E1047" t="s">
        <v>100</v>
      </c>
      <c r="F1047" t="s">
        <v>101</v>
      </c>
      <c r="G1047" t="str">
        <f>"2026-01-16 11:02:08.362"</f>
        <v>2026-01-16 11:02:08.362</v>
      </c>
      <c r="H1047" t="s">
        <v>21</v>
      </c>
      <c r="I1047">
        <v>0</v>
      </c>
      <c r="J1047" t="s">
        <v>36</v>
      </c>
    </row>
    <row r="1048" spans="1:10" x14ac:dyDescent="0.25">
      <c r="A1048" s="1">
        <v>161</v>
      </c>
      <c r="B1048" t="s">
        <v>31</v>
      </c>
      <c r="C1048">
        <v>635</v>
      </c>
      <c r="D1048">
        <v>1</v>
      </c>
      <c r="E1048" t="s">
        <v>37</v>
      </c>
      <c r="F1048" t="s">
        <v>38</v>
      </c>
      <c r="G1048" t="str">
        <f>"2026-01-14 10:58:13.161"</f>
        <v>2026-01-14 10:58:13.161</v>
      </c>
      <c r="H1048" t="s">
        <v>21</v>
      </c>
    </row>
    <row r="1049" spans="1:10" x14ac:dyDescent="0.25">
      <c r="A1049" s="1">
        <v>162</v>
      </c>
      <c r="B1049" t="s">
        <v>34</v>
      </c>
      <c r="C1049">
        <v>635</v>
      </c>
      <c r="D1049">
        <v>1</v>
      </c>
      <c r="E1049" t="s">
        <v>37</v>
      </c>
      <c r="F1049" t="s">
        <v>38</v>
      </c>
      <c r="G1049" t="str">
        <f>"2026-01-14 10:54:32.761"</f>
        <v>2026-01-14 10:54:32.761</v>
      </c>
      <c r="H1049" t="s">
        <v>21</v>
      </c>
      <c r="I1049">
        <v>4.75</v>
      </c>
      <c r="J1049" t="s">
        <v>39</v>
      </c>
    </row>
    <row r="1050" spans="1:10" x14ac:dyDescent="0.25">
      <c r="A1050" s="1">
        <v>163</v>
      </c>
      <c r="B1050" t="s">
        <v>31</v>
      </c>
      <c r="C1050">
        <v>650</v>
      </c>
      <c r="D1050">
        <v>5</v>
      </c>
      <c r="E1050" t="s">
        <v>100</v>
      </c>
      <c r="F1050" t="s">
        <v>101</v>
      </c>
      <c r="G1050" t="str">
        <f>"2026-01-14 09:03:37.962"</f>
        <v>2026-01-14 09:03:37.962</v>
      </c>
      <c r="H1050" t="s">
        <v>21</v>
      </c>
    </row>
    <row r="1051" spans="1:10" x14ac:dyDescent="0.25">
      <c r="A1051" s="1">
        <v>164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"2026-01-14 09:03:34.371"</f>
        <v>2026-01-14 09:03:34.371</v>
      </c>
      <c r="H1051" t="s">
        <v>21</v>
      </c>
    </row>
    <row r="1052" spans="1:10" x14ac:dyDescent="0.25">
      <c r="A1052" s="1">
        <v>165</v>
      </c>
      <c r="B1052" t="s">
        <v>34</v>
      </c>
      <c r="C1052">
        <v>650</v>
      </c>
      <c r="D1052">
        <v>5</v>
      </c>
      <c r="E1052" t="s">
        <v>100</v>
      </c>
      <c r="F1052" t="s">
        <v>101</v>
      </c>
      <c r="G1052" t="str">
        <f>"2026-01-14 07:46:16.369"</f>
        <v>2026-01-14 07:46:16.369</v>
      </c>
      <c r="H1052" t="s">
        <v>21</v>
      </c>
      <c r="I1052">
        <v>0</v>
      </c>
      <c r="J1052" t="s">
        <v>36</v>
      </c>
    </row>
    <row r="1053" spans="1:10" x14ac:dyDescent="0.25">
      <c r="A1053" s="1">
        <v>166</v>
      </c>
      <c r="B1053" t="s">
        <v>31</v>
      </c>
      <c r="C1053">
        <v>650</v>
      </c>
      <c r="D1053">
        <v>5</v>
      </c>
      <c r="E1053" t="s">
        <v>100</v>
      </c>
      <c r="F1053" t="s">
        <v>101</v>
      </c>
      <c r="G1053" t="str">
        <f>"2026-01-14 07:46:16.367"</f>
        <v>2026-01-14 07:46:16.367</v>
      </c>
      <c r="H1053" t="s">
        <v>21</v>
      </c>
    </row>
    <row r="1054" spans="1:10" x14ac:dyDescent="0.25">
      <c r="A1054" s="1">
        <v>169</v>
      </c>
      <c r="B1054" t="s">
        <v>34</v>
      </c>
      <c r="C1054">
        <v>650</v>
      </c>
      <c r="D1054">
        <v>5</v>
      </c>
      <c r="E1054" t="s">
        <v>100</v>
      </c>
      <c r="F1054" t="s">
        <v>101</v>
      </c>
      <c r="G1054" t="str">
        <f>"2026-01-14 07:46:00.977"</f>
        <v>2026-01-14 07:46:00.977</v>
      </c>
      <c r="H1054" t="s">
        <v>21</v>
      </c>
      <c r="I1054">
        <v>0</v>
      </c>
      <c r="J1054" t="s">
        <v>36</v>
      </c>
    </row>
    <row r="1055" spans="1:10" x14ac:dyDescent="0.25">
      <c r="A1055" s="1">
        <v>170</v>
      </c>
      <c r="B1055" t="s">
        <v>19</v>
      </c>
      <c r="C1055">
        <v>782</v>
      </c>
      <c r="D1055">
        <v>7</v>
      </c>
      <c r="E1055" t="s">
        <v>43</v>
      </c>
      <c r="F1055" t="s">
        <v>44</v>
      </c>
      <c r="G1055" t="str">
        <f>"2026-01-14 07:46:00.975"</f>
        <v>2026-01-14 07:46:00.975</v>
      </c>
      <c r="H1055" t="s">
        <v>21</v>
      </c>
      <c r="I1055">
        <v>0</v>
      </c>
      <c r="J1055" t="s">
        <v>36</v>
      </c>
    </row>
    <row r="1056" spans="1:10" x14ac:dyDescent="0.25">
      <c r="A1056" s="1">
        <v>173</v>
      </c>
      <c r="B1056" t="s">
        <v>31</v>
      </c>
      <c r="C1056">
        <v>650</v>
      </c>
      <c r="D1056">
        <v>5</v>
      </c>
      <c r="E1056" t="s">
        <v>100</v>
      </c>
      <c r="F1056" t="s">
        <v>101</v>
      </c>
      <c r="G1056" t="str">
        <f>"2026-01-14 07:46:00.969"</f>
        <v>2026-01-14 07:46:00.969</v>
      </c>
      <c r="H1056" t="s">
        <v>21</v>
      </c>
    </row>
    <row r="1057" spans="1:10" x14ac:dyDescent="0.25">
      <c r="A1057" s="1">
        <v>174</v>
      </c>
      <c r="B1057" t="s">
        <v>19</v>
      </c>
      <c r="C1057">
        <v>782</v>
      </c>
      <c r="D1057">
        <v>7</v>
      </c>
      <c r="E1057" t="s">
        <v>43</v>
      </c>
      <c r="F1057" t="s">
        <v>44</v>
      </c>
      <c r="G1057" t="str">
        <f>"2026-01-14 07:46:00.967"</f>
        <v>2026-01-14 07:46:00.967</v>
      </c>
      <c r="H1057" t="s">
        <v>21</v>
      </c>
      <c r="I1057">
        <v>0</v>
      </c>
      <c r="J1057" t="s">
        <v>36</v>
      </c>
    </row>
    <row r="1058" spans="1:10" x14ac:dyDescent="0.25">
      <c r="A1058" s="1">
        <v>177</v>
      </c>
      <c r="B1058" t="s">
        <v>34</v>
      </c>
      <c r="C1058">
        <v>650</v>
      </c>
      <c r="D1058">
        <v>5</v>
      </c>
      <c r="E1058" t="s">
        <v>100</v>
      </c>
      <c r="F1058" t="s">
        <v>101</v>
      </c>
      <c r="G1058" t="str">
        <f>"2026-01-14 07:45:54.777"</f>
        <v>2026-01-14 07:45:54.777</v>
      </c>
      <c r="H1058" t="s">
        <v>21</v>
      </c>
      <c r="I1058">
        <v>0</v>
      </c>
      <c r="J1058" t="s">
        <v>36</v>
      </c>
    </row>
    <row r="1059" spans="1:10" x14ac:dyDescent="0.25">
      <c r="A1059" s="1">
        <v>178</v>
      </c>
      <c r="B1059" t="s">
        <v>19</v>
      </c>
      <c r="C1059">
        <v>782</v>
      </c>
      <c r="D1059">
        <v>7</v>
      </c>
      <c r="E1059" t="s">
        <v>43</v>
      </c>
      <c r="F1059" t="s">
        <v>44</v>
      </c>
      <c r="G1059" t="str">
        <f>"2026-01-14 07:45:54.775"</f>
        <v>2026-01-14 07:45:54.775</v>
      </c>
      <c r="H1059" t="s">
        <v>21</v>
      </c>
      <c r="I1059">
        <v>0</v>
      </c>
      <c r="J1059" t="s">
        <v>36</v>
      </c>
    </row>
    <row r="1060" spans="1:10" x14ac:dyDescent="0.25">
      <c r="A1060" s="1">
        <v>181</v>
      </c>
      <c r="B1060" t="s">
        <v>31</v>
      </c>
      <c r="C1060">
        <v>650</v>
      </c>
      <c r="D1060">
        <v>5</v>
      </c>
      <c r="E1060" t="s">
        <v>100</v>
      </c>
      <c r="F1060" t="s">
        <v>101</v>
      </c>
      <c r="G1060" t="str">
        <f>"2026-01-14 07:45:54.769"</f>
        <v>2026-01-14 07:45:54.769</v>
      </c>
      <c r="H1060" t="s">
        <v>21</v>
      </c>
    </row>
    <row r="1061" spans="1:10" x14ac:dyDescent="0.25">
      <c r="A1061" s="1">
        <v>182</v>
      </c>
      <c r="B1061" t="s">
        <v>19</v>
      </c>
      <c r="C1061">
        <v>782</v>
      </c>
      <c r="D1061">
        <v>7</v>
      </c>
      <c r="E1061" t="s">
        <v>43</v>
      </c>
      <c r="F1061" t="s">
        <v>44</v>
      </c>
      <c r="G1061" t="str">
        <f>"2026-01-14 07:45:54.767"</f>
        <v>2026-01-14 07:45:54.767</v>
      </c>
      <c r="H1061" t="s">
        <v>21</v>
      </c>
      <c r="I1061">
        <v>0</v>
      </c>
      <c r="J1061" t="s">
        <v>36</v>
      </c>
    </row>
    <row r="1062" spans="1:10" x14ac:dyDescent="0.25">
      <c r="A1062" s="1">
        <v>183</v>
      </c>
      <c r="B1062" t="s">
        <v>34</v>
      </c>
      <c r="C1062">
        <v>650</v>
      </c>
      <c r="D1062">
        <v>5</v>
      </c>
      <c r="E1062" t="s">
        <v>100</v>
      </c>
      <c r="F1062" t="s">
        <v>101</v>
      </c>
      <c r="G1062" t="str">
        <f>"2026-01-14 07:45:36.969"</f>
        <v>2026-01-14 07:45:36.969</v>
      </c>
      <c r="H1062" t="s">
        <v>21</v>
      </c>
      <c r="I1062">
        <v>0</v>
      </c>
      <c r="J1062" t="s">
        <v>36</v>
      </c>
    </row>
    <row r="1063" spans="1:10" x14ac:dyDescent="0.25">
      <c r="A1063" s="1">
        <v>184</v>
      </c>
      <c r="B1063" t="s">
        <v>31</v>
      </c>
      <c r="C1063">
        <v>650</v>
      </c>
      <c r="D1063">
        <v>5</v>
      </c>
      <c r="E1063" t="s">
        <v>100</v>
      </c>
      <c r="F1063" t="s">
        <v>101</v>
      </c>
      <c r="G1063" t="str">
        <f>"2026-01-14 07:45:36.967"</f>
        <v>2026-01-14 07:45:36.967</v>
      </c>
      <c r="H1063" t="s">
        <v>21</v>
      </c>
    </row>
    <row r="1064" spans="1:10" x14ac:dyDescent="0.25">
      <c r="A1064" s="1">
        <v>187</v>
      </c>
      <c r="B1064" t="s">
        <v>34</v>
      </c>
      <c r="C1064">
        <v>650</v>
      </c>
      <c r="D1064">
        <v>5</v>
      </c>
      <c r="E1064" t="s">
        <v>100</v>
      </c>
      <c r="F1064" t="s">
        <v>101</v>
      </c>
      <c r="G1064" t="str">
        <f>"2026-01-14 07:45:30.577"</f>
        <v>2026-01-14 07:45:30.577</v>
      </c>
      <c r="H1064" t="s">
        <v>21</v>
      </c>
      <c r="I1064">
        <v>0</v>
      </c>
      <c r="J1064" t="s">
        <v>36</v>
      </c>
    </row>
    <row r="1065" spans="1:10" x14ac:dyDescent="0.25">
      <c r="A1065" s="1">
        <v>188</v>
      </c>
      <c r="B1065" t="s">
        <v>19</v>
      </c>
      <c r="C1065">
        <v>782</v>
      </c>
      <c r="D1065">
        <v>7</v>
      </c>
      <c r="E1065" t="s">
        <v>43</v>
      </c>
      <c r="F1065" t="s">
        <v>44</v>
      </c>
      <c r="G1065" t="str">
        <f>"2026-01-14 07:45:30.575"</f>
        <v>2026-01-14 07:45:30.575</v>
      </c>
      <c r="H1065" t="s">
        <v>21</v>
      </c>
      <c r="I1065">
        <v>0</v>
      </c>
      <c r="J1065" t="s">
        <v>36</v>
      </c>
    </row>
    <row r="1066" spans="1:10" x14ac:dyDescent="0.25">
      <c r="A1066" s="1">
        <v>191</v>
      </c>
      <c r="B1066" t="s">
        <v>31</v>
      </c>
      <c r="C1066">
        <v>650</v>
      </c>
      <c r="D1066">
        <v>5</v>
      </c>
      <c r="E1066" t="s">
        <v>100</v>
      </c>
      <c r="F1066" t="s">
        <v>101</v>
      </c>
      <c r="G1066" t="str">
        <f>"2026-01-14 07:45:30.569"</f>
        <v>2026-01-14 07:45:30.569</v>
      </c>
      <c r="H1066" t="s">
        <v>21</v>
      </c>
    </row>
    <row r="1067" spans="1:10" x14ac:dyDescent="0.25">
      <c r="A1067" s="1">
        <v>192</v>
      </c>
      <c r="B1067" t="s">
        <v>19</v>
      </c>
      <c r="C1067">
        <v>782</v>
      </c>
      <c r="D1067">
        <v>7</v>
      </c>
      <c r="E1067" t="s">
        <v>43</v>
      </c>
      <c r="F1067" t="s">
        <v>44</v>
      </c>
      <c r="G1067" t="str">
        <f>"2026-01-14 07:45:30.567"</f>
        <v>2026-01-14 07:45:30.567</v>
      </c>
      <c r="H1067" t="s">
        <v>21</v>
      </c>
      <c r="I1067">
        <v>0</v>
      </c>
      <c r="J1067" t="s">
        <v>36</v>
      </c>
    </row>
    <row r="1068" spans="1:10" x14ac:dyDescent="0.25">
      <c r="A1068" s="1">
        <v>193</v>
      </c>
      <c r="B1068" t="s">
        <v>31</v>
      </c>
      <c r="C1068">
        <v>635</v>
      </c>
      <c r="D1068">
        <v>1</v>
      </c>
      <c r="E1068" t="s">
        <v>37</v>
      </c>
      <c r="F1068" t="s">
        <v>38</v>
      </c>
      <c r="G1068" t="str">
        <f>"2026-01-13 19:24:40.615"</f>
        <v>2026-01-13 19:24:40.615</v>
      </c>
      <c r="H1068" t="s">
        <v>21</v>
      </c>
    </row>
    <row r="1069" spans="1:10" x14ac:dyDescent="0.25">
      <c r="A1069" s="1">
        <v>194</v>
      </c>
      <c r="B1069" t="s">
        <v>34</v>
      </c>
      <c r="C1069">
        <v>635</v>
      </c>
      <c r="D1069">
        <v>1</v>
      </c>
      <c r="E1069" t="s">
        <v>37</v>
      </c>
      <c r="F1069" t="s">
        <v>38</v>
      </c>
      <c r="G1069" t="str">
        <f>"2026-01-13 19:20:52.115"</f>
        <v>2026-01-13 19:20:52.115</v>
      </c>
      <c r="H1069" t="s">
        <v>21</v>
      </c>
      <c r="I1069">
        <v>6.6</v>
      </c>
      <c r="J1069" t="s">
        <v>39</v>
      </c>
    </row>
    <row r="1070" spans="1:10" x14ac:dyDescent="0.25">
      <c r="A1070" s="1">
        <v>195</v>
      </c>
      <c r="B1070" t="s">
        <v>34</v>
      </c>
      <c r="C1070">
        <v>650</v>
      </c>
      <c r="D1070">
        <v>5</v>
      </c>
      <c r="E1070" t="s">
        <v>100</v>
      </c>
      <c r="F1070" t="s">
        <v>101</v>
      </c>
      <c r="G1070" t="str">
        <f>"2026-01-13 15:36:33.468"</f>
        <v>2026-01-13 15:36:33.468</v>
      </c>
      <c r="H1070" t="s">
        <v>21</v>
      </c>
      <c r="I1070">
        <v>6.6</v>
      </c>
      <c r="J1070" t="s">
        <v>35</v>
      </c>
    </row>
    <row r="1071" spans="1:10" x14ac:dyDescent="0.25">
      <c r="A1071" s="1">
        <v>196</v>
      </c>
      <c r="B1071" t="s">
        <v>31</v>
      </c>
      <c r="C1071">
        <v>635</v>
      </c>
      <c r="D1071">
        <v>1</v>
      </c>
      <c r="E1071" t="s">
        <v>37</v>
      </c>
      <c r="F1071" t="s">
        <v>38</v>
      </c>
      <c r="G1071" t="str">
        <f>"2026-01-13 10:08:23.115"</f>
        <v>2026-01-13 10:08:23.115</v>
      </c>
      <c r="H1071" t="s">
        <v>21</v>
      </c>
    </row>
    <row r="1072" spans="1:10" x14ac:dyDescent="0.25">
      <c r="A1072" s="1">
        <v>197</v>
      </c>
      <c r="B1072" t="s">
        <v>34</v>
      </c>
      <c r="C1072">
        <v>635</v>
      </c>
      <c r="D1072">
        <v>1</v>
      </c>
      <c r="E1072" t="s">
        <v>37</v>
      </c>
      <c r="F1072" t="s">
        <v>38</v>
      </c>
      <c r="G1072" t="str">
        <f>"2026-01-13 10:04:35.615"</f>
        <v>2026-01-13 10:04:35.615</v>
      </c>
      <c r="H1072" t="s">
        <v>21</v>
      </c>
      <c r="I1072">
        <v>4.33</v>
      </c>
      <c r="J1072" t="s">
        <v>35</v>
      </c>
    </row>
    <row r="1073" spans="1:10" x14ac:dyDescent="0.25">
      <c r="A1073" s="1">
        <v>200</v>
      </c>
      <c r="B1073" t="s">
        <v>19</v>
      </c>
      <c r="C1073">
        <v>782</v>
      </c>
      <c r="D1073">
        <v>7</v>
      </c>
      <c r="E1073" t="s">
        <v>43</v>
      </c>
      <c r="F1073" t="s">
        <v>44</v>
      </c>
      <c r="G1073" t="str">
        <f>"2026-01-11 16:16:07.175"</f>
        <v>2026-01-11 16:16:07.175</v>
      </c>
      <c r="H1073" t="s">
        <v>21</v>
      </c>
      <c r="I1073">
        <v>0</v>
      </c>
      <c r="J1073" t="s">
        <v>36</v>
      </c>
    </row>
    <row r="1074" spans="1:10" x14ac:dyDescent="0.25">
      <c r="A1074" s="1">
        <v>203</v>
      </c>
      <c r="B1074" t="s">
        <v>31</v>
      </c>
      <c r="C1074">
        <v>79</v>
      </c>
      <c r="D1074">
        <v>9</v>
      </c>
      <c r="E1074" t="s">
        <v>45</v>
      </c>
      <c r="F1074" t="s">
        <v>46</v>
      </c>
      <c r="G1074" t="str">
        <f>"2026-01-11 16:16:07.168"</f>
        <v>2026-01-11 16:16:07.168</v>
      </c>
      <c r="H1074" t="s">
        <v>47</v>
      </c>
    </row>
    <row r="1075" spans="1:10" x14ac:dyDescent="0.25">
      <c r="A1075" s="1">
        <v>204</v>
      </c>
      <c r="B1075" t="s">
        <v>19</v>
      </c>
      <c r="C1075">
        <v>782</v>
      </c>
      <c r="D1075">
        <v>7</v>
      </c>
      <c r="E1075" t="s">
        <v>43</v>
      </c>
      <c r="F1075" t="s">
        <v>44</v>
      </c>
      <c r="G1075" t="str">
        <f>"2026-01-11 16:16:07.167"</f>
        <v>2026-01-11 16:16:07.167</v>
      </c>
      <c r="H1075" t="s">
        <v>21</v>
      </c>
      <c r="I1075">
        <v>0</v>
      </c>
      <c r="J1075" t="s">
        <v>36</v>
      </c>
    </row>
    <row r="1076" spans="1:10" x14ac:dyDescent="0.25">
      <c r="A1076" s="1">
        <v>205</v>
      </c>
      <c r="B1076" t="s">
        <v>31</v>
      </c>
      <c r="C1076">
        <v>650</v>
      </c>
      <c r="D1076">
        <v>5</v>
      </c>
      <c r="E1076" t="s">
        <v>100</v>
      </c>
      <c r="F1076" t="s">
        <v>101</v>
      </c>
      <c r="G1076" t="str">
        <f>"2026-01-11 16:15:27.168"</f>
        <v>2026-01-11 16:15:27.168</v>
      </c>
      <c r="H1076" t="s">
        <v>21</v>
      </c>
    </row>
    <row r="1077" spans="1:10" x14ac:dyDescent="0.25">
      <c r="A1077" s="1">
        <v>206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"2026-01-11 16:15:23.571"</f>
        <v>2026-01-11 16:15:23.571</v>
      </c>
      <c r="H1077" t="s">
        <v>21</v>
      </c>
      <c r="I1077">
        <v>0</v>
      </c>
      <c r="J1077" t="s">
        <v>30</v>
      </c>
    </row>
    <row r="1078" spans="1:10" x14ac:dyDescent="0.25">
      <c r="A1078" s="1">
        <v>207</v>
      </c>
      <c r="B1078" t="s">
        <v>31</v>
      </c>
      <c r="C1078">
        <v>14</v>
      </c>
      <c r="D1078">
        <v>10</v>
      </c>
      <c r="E1078" t="s">
        <v>48</v>
      </c>
      <c r="F1078" t="s">
        <v>49</v>
      </c>
      <c r="G1078" t="str">
        <f>"2026-01-11 16:10:53.737"</f>
        <v>2026-01-11 16:10:53.737</v>
      </c>
      <c r="H1078" t="s">
        <v>25</v>
      </c>
    </row>
    <row r="1079" spans="1:10" x14ac:dyDescent="0.25">
      <c r="A1079" s="1">
        <v>208</v>
      </c>
      <c r="B1079" t="s">
        <v>50</v>
      </c>
      <c r="C1079">
        <v>205</v>
      </c>
      <c r="D1079">
        <v>3</v>
      </c>
      <c r="E1079" t="s">
        <v>51</v>
      </c>
      <c r="F1079" t="s">
        <v>52</v>
      </c>
      <c r="G1079" t="str">
        <f>"2026-01-11 16:10:35.997"</f>
        <v>2026-01-11 16:10:35.997</v>
      </c>
      <c r="H1079" t="s">
        <v>53</v>
      </c>
    </row>
    <row r="1080" spans="1:10" x14ac:dyDescent="0.25">
      <c r="A1080" s="1">
        <v>209</v>
      </c>
      <c r="B1080" t="s">
        <v>50</v>
      </c>
      <c r="C1080">
        <v>204</v>
      </c>
      <c r="D1080">
        <v>8</v>
      </c>
      <c r="E1080" t="s">
        <v>54</v>
      </c>
      <c r="F1080" t="s">
        <v>55</v>
      </c>
      <c r="G1080" t="str">
        <f>"2026-01-11 16:10:35.995"</f>
        <v>2026-01-11 16:10:35.995</v>
      </c>
      <c r="H1080" t="s">
        <v>53</v>
      </c>
    </row>
    <row r="1081" spans="1:10" x14ac:dyDescent="0.25">
      <c r="A1081" s="1">
        <v>210</v>
      </c>
      <c r="B1081" t="s">
        <v>50</v>
      </c>
      <c r="C1081">
        <v>204</v>
      </c>
      <c r="D1081">
        <v>6</v>
      </c>
      <c r="E1081" t="s">
        <v>54</v>
      </c>
      <c r="F1081" t="s">
        <v>56</v>
      </c>
      <c r="G1081" t="str">
        <f>"2026-01-11 16:10:35.992"</f>
        <v>2026-01-11 16:10:35.992</v>
      </c>
      <c r="H1081" t="s">
        <v>53</v>
      </c>
    </row>
    <row r="1082" spans="1:10" x14ac:dyDescent="0.25">
      <c r="A1082" s="1">
        <v>211</v>
      </c>
      <c r="B1082" t="s">
        <v>50</v>
      </c>
      <c r="C1082">
        <v>204</v>
      </c>
      <c r="D1082">
        <v>5</v>
      </c>
      <c r="E1082" t="s">
        <v>54</v>
      </c>
      <c r="F1082" t="s">
        <v>57</v>
      </c>
      <c r="G1082" t="str">
        <f>"2026-01-11 16:10:35.991"</f>
        <v>2026-01-11 16:10:35.991</v>
      </c>
      <c r="H1082" t="s">
        <v>53</v>
      </c>
    </row>
    <row r="1083" spans="1:10" x14ac:dyDescent="0.25">
      <c r="A1083" s="1">
        <v>212</v>
      </c>
      <c r="B1083" t="s">
        <v>50</v>
      </c>
      <c r="C1083">
        <v>204</v>
      </c>
      <c r="D1083">
        <v>1</v>
      </c>
      <c r="E1083" t="s">
        <v>54</v>
      </c>
      <c r="F1083" t="s">
        <v>58</v>
      </c>
      <c r="G1083" t="str">
        <f>"2026-01-11 16:10:35.989"</f>
        <v>2026-01-11 16:10:35.989</v>
      </c>
      <c r="H1083" t="s">
        <v>53</v>
      </c>
    </row>
    <row r="1084" spans="1:10" x14ac:dyDescent="0.25">
      <c r="A1084" s="1">
        <v>213</v>
      </c>
      <c r="B1084" t="s">
        <v>50</v>
      </c>
      <c r="C1084">
        <v>105</v>
      </c>
      <c r="D1084">
        <v>3</v>
      </c>
      <c r="E1084" t="s">
        <v>59</v>
      </c>
      <c r="F1084" t="s">
        <v>52</v>
      </c>
      <c r="G1084" t="str">
        <f>"2026-01-11 16:10:35.987"</f>
        <v>2026-01-11 16:10:35.987</v>
      </c>
      <c r="H1084" t="s">
        <v>60</v>
      </c>
    </row>
    <row r="1085" spans="1:10" x14ac:dyDescent="0.25">
      <c r="A1085" s="1">
        <v>214</v>
      </c>
      <c r="B1085" t="s">
        <v>50</v>
      </c>
      <c r="C1085">
        <v>104</v>
      </c>
      <c r="D1085">
        <v>8</v>
      </c>
      <c r="E1085" t="s">
        <v>61</v>
      </c>
      <c r="F1085" t="s">
        <v>55</v>
      </c>
      <c r="G1085" t="str">
        <f>"2026-01-11 16:10:35.985"</f>
        <v>2026-01-11 16:10:35.985</v>
      </c>
      <c r="H1085" t="s">
        <v>60</v>
      </c>
    </row>
    <row r="1086" spans="1:10" x14ac:dyDescent="0.25">
      <c r="A1086" s="1">
        <v>215</v>
      </c>
      <c r="B1086" t="s">
        <v>50</v>
      </c>
      <c r="C1086">
        <v>104</v>
      </c>
      <c r="D1086">
        <v>6</v>
      </c>
      <c r="E1086" t="s">
        <v>61</v>
      </c>
      <c r="F1086" t="s">
        <v>56</v>
      </c>
      <c r="G1086" t="str">
        <f>"2026-01-11 16:10:35.984"</f>
        <v>2026-01-11 16:10:35.984</v>
      </c>
      <c r="H1086" t="s">
        <v>60</v>
      </c>
    </row>
    <row r="1087" spans="1:10" x14ac:dyDescent="0.25">
      <c r="A1087" s="1">
        <v>216</v>
      </c>
      <c r="B1087" t="s">
        <v>50</v>
      </c>
      <c r="C1087">
        <v>104</v>
      </c>
      <c r="D1087">
        <v>5</v>
      </c>
      <c r="E1087" t="s">
        <v>61</v>
      </c>
      <c r="F1087" t="s">
        <v>57</v>
      </c>
      <c r="G1087" t="str">
        <f>"2026-01-11 16:10:35.981"</f>
        <v>2026-01-11 16:10:35.981</v>
      </c>
      <c r="H1087" t="s">
        <v>60</v>
      </c>
    </row>
    <row r="1088" spans="1:10" x14ac:dyDescent="0.25">
      <c r="A1088" s="1">
        <v>217</v>
      </c>
      <c r="B1088" t="s">
        <v>50</v>
      </c>
      <c r="C1088">
        <v>104</v>
      </c>
      <c r="D1088">
        <v>1</v>
      </c>
      <c r="E1088" t="s">
        <v>61</v>
      </c>
      <c r="F1088" t="s">
        <v>58</v>
      </c>
      <c r="G1088" t="str">
        <f>"2026-01-11 16:10:35.978"</f>
        <v>2026-01-11 16:10:35.978</v>
      </c>
      <c r="H1088" t="s">
        <v>60</v>
      </c>
    </row>
    <row r="1089" spans="1:10" x14ac:dyDescent="0.25">
      <c r="A1089" s="1">
        <v>218</v>
      </c>
      <c r="B1089" t="s">
        <v>50</v>
      </c>
      <c r="C1089">
        <v>23</v>
      </c>
      <c r="D1089">
        <v>1</v>
      </c>
      <c r="E1089" t="s">
        <v>62</v>
      </c>
      <c r="F1089" t="s">
        <v>63</v>
      </c>
      <c r="G1089" t="str">
        <f>"2026-01-11 16:10:35.977"</f>
        <v>2026-01-11 16:10:35.977</v>
      </c>
      <c r="H1089" t="s">
        <v>64</v>
      </c>
    </row>
    <row r="1090" spans="1:10" x14ac:dyDescent="0.25">
      <c r="A1090" s="1">
        <v>219</v>
      </c>
      <c r="B1090" t="s">
        <v>34</v>
      </c>
      <c r="C1090">
        <v>79</v>
      </c>
      <c r="D1090">
        <v>9</v>
      </c>
      <c r="E1090" t="s">
        <v>45</v>
      </c>
      <c r="F1090" t="s">
        <v>46</v>
      </c>
      <c r="G1090" t="str">
        <f>"2026-01-11 16:10:32.736"</f>
        <v>2026-01-11 16:10:32.736</v>
      </c>
      <c r="H1090" t="s">
        <v>47</v>
      </c>
      <c r="I1090">
        <v>9.3000000000000007</v>
      </c>
      <c r="J1090" t="s">
        <v>36</v>
      </c>
    </row>
    <row r="1091" spans="1:10" x14ac:dyDescent="0.25">
      <c r="A1091" s="1">
        <v>220</v>
      </c>
      <c r="B1091" t="s">
        <v>34</v>
      </c>
      <c r="C1091">
        <v>14</v>
      </c>
      <c r="D1091">
        <v>10</v>
      </c>
      <c r="E1091" t="s">
        <v>48</v>
      </c>
      <c r="F1091" t="s">
        <v>49</v>
      </c>
      <c r="G1091" t="str">
        <f>"2026-01-11 16:10:32.636"</f>
        <v>2026-01-11 16:10:32.636</v>
      </c>
      <c r="H1091" t="s">
        <v>25</v>
      </c>
      <c r="I1091">
        <v>10.07</v>
      </c>
      <c r="J1091" t="s">
        <v>36</v>
      </c>
    </row>
    <row r="1092" spans="1:10" x14ac:dyDescent="0.25">
      <c r="A1092" s="1">
        <v>221</v>
      </c>
      <c r="B1092" t="s">
        <v>22</v>
      </c>
      <c r="C1092">
        <v>205</v>
      </c>
      <c r="D1092">
        <v>3</v>
      </c>
      <c r="E1092" t="s">
        <v>51</v>
      </c>
      <c r="F1092" t="s">
        <v>52</v>
      </c>
      <c r="G1092" t="str">
        <f>"2026-01-11 16:10:32.300"</f>
        <v>2026-01-11 16:10:32.300</v>
      </c>
      <c r="H1092" t="s">
        <v>53</v>
      </c>
      <c r="I1092">
        <v>10.11</v>
      </c>
      <c r="J1092" t="s">
        <v>36</v>
      </c>
    </row>
    <row r="1093" spans="1:10" x14ac:dyDescent="0.25">
      <c r="A1093" s="1">
        <v>222</v>
      </c>
      <c r="B1093" t="s">
        <v>22</v>
      </c>
      <c r="C1093">
        <v>105</v>
      </c>
      <c r="D1093">
        <v>3</v>
      </c>
      <c r="E1093" t="s">
        <v>59</v>
      </c>
      <c r="F1093" t="s">
        <v>52</v>
      </c>
      <c r="G1093" t="str">
        <f>"2026-01-11 16:10:32.280"</f>
        <v>2026-01-11 16:10:32.280</v>
      </c>
      <c r="H1093" t="s">
        <v>60</v>
      </c>
      <c r="I1093">
        <v>10.11</v>
      </c>
      <c r="J1093" t="s">
        <v>36</v>
      </c>
    </row>
    <row r="1094" spans="1:10" x14ac:dyDescent="0.25">
      <c r="A1094" s="1">
        <v>223</v>
      </c>
      <c r="B1094" t="s">
        <v>22</v>
      </c>
      <c r="C1094">
        <v>204</v>
      </c>
      <c r="D1094">
        <v>8</v>
      </c>
      <c r="E1094" t="s">
        <v>54</v>
      </c>
      <c r="F1094" t="s">
        <v>55</v>
      </c>
      <c r="G1094" t="str">
        <f>"2026-01-11 16:10:32.103"</f>
        <v>2026-01-11 16:10:32.103</v>
      </c>
      <c r="H1094" t="s">
        <v>53</v>
      </c>
      <c r="I1094">
        <v>10.16</v>
      </c>
      <c r="J1094" t="s">
        <v>39</v>
      </c>
    </row>
    <row r="1095" spans="1:10" x14ac:dyDescent="0.25">
      <c r="A1095" s="1">
        <v>224</v>
      </c>
      <c r="B1095" t="s">
        <v>22</v>
      </c>
      <c r="C1095">
        <v>204</v>
      </c>
      <c r="D1095">
        <v>6</v>
      </c>
      <c r="E1095" t="s">
        <v>54</v>
      </c>
      <c r="F1095" t="s">
        <v>56</v>
      </c>
      <c r="G1095" t="str">
        <f>"2026-01-11 16:10:32.099"</f>
        <v>2026-01-11 16:10:32.099</v>
      </c>
      <c r="H1095" t="s">
        <v>53</v>
      </c>
      <c r="I1095">
        <v>10.16</v>
      </c>
      <c r="J1095" t="s">
        <v>39</v>
      </c>
    </row>
    <row r="1096" spans="1:10" x14ac:dyDescent="0.25">
      <c r="A1096" s="1">
        <v>225</v>
      </c>
      <c r="B1096" t="s">
        <v>22</v>
      </c>
      <c r="C1096">
        <v>204</v>
      </c>
      <c r="D1096">
        <v>5</v>
      </c>
      <c r="E1096" t="s">
        <v>54</v>
      </c>
      <c r="F1096" t="s">
        <v>57</v>
      </c>
      <c r="G1096" t="str">
        <f>"2026-01-11 16:10:32.094"</f>
        <v>2026-01-11 16:10:32.094</v>
      </c>
      <c r="H1096" t="s">
        <v>53</v>
      </c>
      <c r="I1096">
        <v>10.16</v>
      </c>
      <c r="J1096" t="s">
        <v>39</v>
      </c>
    </row>
    <row r="1097" spans="1:10" x14ac:dyDescent="0.25">
      <c r="A1097" s="1">
        <v>226</v>
      </c>
      <c r="B1097" t="s">
        <v>22</v>
      </c>
      <c r="C1097">
        <v>104</v>
      </c>
      <c r="D1097">
        <v>8</v>
      </c>
      <c r="E1097" t="s">
        <v>61</v>
      </c>
      <c r="F1097" t="s">
        <v>55</v>
      </c>
      <c r="G1097" t="str">
        <f>"2026-01-11 16:10:32.089"</f>
        <v>2026-01-11 16:10:32.089</v>
      </c>
      <c r="H1097" t="s">
        <v>60</v>
      </c>
      <c r="I1097">
        <v>10.16</v>
      </c>
      <c r="J1097" t="s">
        <v>39</v>
      </c>
    </row>
    <row r="1098" spans="1:10" x14ac:dyDescent="0.25">
      <c r="A1098" s="1">
        <v>227</v>
      </c>
      <c r="B1098" t="s">
        <v>22</v>
      </c>
      <c r="C1098">
        <v>104</v>
      </c>
      <c r="D1098">
        <v>6</v>
      </c>
      <c r="E1098" t="s">
        <v>61</v>
      </c>
      <c r="F1098" t="s">
        <v>56</v>
      </c>
      <c r="G1098" t="str">
        <f>"2026-01-11 16:10:32.085"</f>
        <v>2026-01-11 16:10:32.085</v>
      </c>
      <c r="H1098" t="s">
        <v>60</v>
      </c>
      <c r="I1098">
        <v>10.16</v>
      </c>
      <c r="J1098" t="s">
        <v>39</v>
      </c>
    </row>
    <row r="1099" spans="1:10" x14ac:dyDescent="0.25">
      <c r="A1099" s="1">
        <v>228</v>
      </c>
      <c r="B1099" t="s">
        <v>22</v>
      </c>
      <c r="C1099">
        <v>104</v>
      </c>
      <c r="D1099">
        <v>5</v>
      </c>
      <c r="E1099" t="s">
        <v>61</v>
      </c>
      <c r="F1099" t="s">
        <v>57</v>
      </c>
      <c r="G1099" t="str">
        <f>"2026-01-11 16:10:32.080"</f>
        <v>2026-01-11 16:10:32.080</v>
      </c>
      <c r="H1099" t="s">
        <v>60</v>
      </c>
      <c r="I1099">
        <v>10.16</v>
      </c>
      <c r="J1099" t="s">
        <v>39</v>
      </c>
    </row>
    <row r="1100" spans="1:10" x14ac:dyDescent="0.25">
      <c r="A1100" s="1">
        <v>229</v>
      </c>
      <c r="B1100" t="s">
        <v>22</v>
      </c>
      <c r="C1100">
        <v>23</v>
      </c>
      <c r="D1100">
        <v>1</v>
      </c>
      <c r="E1100" t="s">
        <v>62</v>
      </c>
      <c r="F1100" t="s">
        <v>63</v>
      </c>
      <c r="G1100" t="str">
        <f>"2026-01-11 16:10:31.864"</f>
        <v>2026-01-11 16:10:31.864</v>
      </c>
      <c r="H1100" t="s">
        <v>64</v>
      </c>
      <c r="I1100">
        <v>10.26</v>
      </c>
      <c r="J1100" t="s">
        <v>39</v>
      </c>
    </row>
    <row r="1101" spans="1:10" x14ac:dyDescent="0.25">
      <c r="A1101" s="1">
        <v>230</v>
      </c>
      <c r="B1101" t="s">
        <v>22</v>
      </c>
      <c r="C1101">
        <v>204</v>
      </c>
      <c r="D1101">
        <v>1</v>
      </c>
      <c r="E1101" t="s">
        <v>54</v>
      </c>
      <c r="F1101" t="s">
        <v>58</v>
      </c>
      <c r="G1101" t="str">
        <f>"2026-01-11 16:10:31.783"</f>
        <v>2026-01-11 16:10:31.783</v>
      </c>
      <c r="H1101" t="s">
        <v>53</v>
      </c>
      <c r="I1101">
        <v>10.31</v>
      </c>
      <c r="J1101" t="s">
        <v>39</v>
      </c>
    </row>
    <row r="1102" spans="1:10" x14ac:dyDescent="0.25">
      <c r="A1102" s="1">
        <v>231</v>
      </c>
      <c r="B1102" t="s">
        <v>22</v>
      </c>
      <c r="C1102">
        <v>104</v>
      </c>
      <c r="D1102">
        <v>1</v>
      </c>
      <c r="E1102" t="s">
        <v>61</v>
      </c>
      <c r="F1102" t="s">
        <v>58</v>
      </c>
      <c r="G1102" t="str">
        <f>"2026-01-11 16:10:31.780"</f>
        <v>2026-01-11 16:10:31.780</v>
      </c>
      <c r="H1102" t="s">
        <v>60</v>
      </c>
      <c r="I1102">
        <v>10.31</v>
      </c>
      <c r="J1102" t="s">
        <v>39</v>
      </c>
    </row>
    <row r="1103" spans="1:10" x14ac:dyDescent="0.25">
      <c r="A1103" s="1">
        <v>232</v>
      </c>
      <c r="B1103" t="s">
        <v>19</v>
      </c>
      <c r="C1103">
        <v>706</v>
      </c>
      <c r="D1103">
        <v>4</v>
      </c>
      <c r="E1103" t="s">
        <v>27</v>
      </c>
      <c r="F1103" t="s">
        <v>28</v>
      </c>
      <c r="G1103" t="str">
        <f>"2026-01-11 16:10:31.664"</f>
        <v>2026-01-11 16:10:31.664</v>
      </c>
      <c r="H1103" t="s">
        <v>21</v>
      </c>
      <c r="I1103">
        <v>10.41</v>
      </c>
      <c r="J1103" t="s">
        <v>39</v>
      </c>
    </row>
    <row r="1104" spans="1:10" x14ac:dyDescent="0.25">
      <c r="A1104" s="1">
        <v>233</v>
      </c>
      <c r="B1104" t="s">
        <v>34</v>
      </c>
      <c r="C1104">
        <v>650</v>
      </c>
      <c r="D1104">
        <v>5</v>
      </c>
      <c r="E1104" t="s">
        <v>100</v>
      </c>
      <c r="F1104" t="s">
        <v>101</v>
      </c>
      <c r="G1104" t="str">
        <f>"2026-01-11 07:23:01.904"</f>
        <v>2026-01-11 07:23:01.904</v>
      </c>
      <c r="H1104" t="s">
        <v>21</v>
      </c>
      <c r="I1104">
        <v>19.12</v>
      </c>
      <c r="J1104" t="s">
        <v>35</v>
      </c>
    </row>
    <row r="1105" spans="1:10" x14ac:dyDescent="0.25">
      <c r="A1105" s="1">
        <v>234</v>
      </c>
      <c r="B1105" t="s">
        <v>31</v>
      </c>
      <c r="C1105">
        <v>635</v>
      </c>
      <c r="D1105">
        <v>1</v>
      </c>
      <c r="E1105" t="s">
        <v>37</v>
      </c>
      <c r="F1105" t="s">
        <v>38</v>
      </c>
      <c r="G1105" t="str">
        <f>"2026-01-08 21:48:34.004"</f>
        <v>2026-01-08 21:48:34.004</v>
      </c>
      <c r="H1105" t="s">
        <v>21</v>
      </c>
    </row>
    <row r="1106" spans="1:10" x14ac:dyDescent="0.25">
      <c r="A1106" s="1">
        <v>235</v>
      </c>
      <c r="B1106" t="s">
        <v>34</v>
      </c>
      <c r="C1106">
        <v>635</v>
      </c>
      <c r="D1106">
        <v>1</v>
      </c>
      <c r="E1106" t="s">
        <v>37</v>
      </c>
      <c r="F1106" t="s">
        <v>38</v>
      </c>
      <c r="G1106" t="str">
        <f>"2026-01-08 21:43:14.505"</f>
        <v>2026-01-08 21:43:14.505</v>
      </c>
      <c r="H1106" t="s">
        <v>21</v>
      </c>
      <c r="I1106">
        <v>2.92</v>
      </c>
      <c r="J1106" t="s">
        <v>39</v>
      </c>
    </row>
    <row r="1107" spans="1:10" x14ac:dyDescent="0.25">
      <c r="A1107" s="1">
        <v>236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"2026-01-08 04:16:59.314"</f>
        <v>2026-01-08 04:16:59.314</v>
      </c>
      <c r="H1107" t="s">
        <v>21</v>
      </c>
      <c r="I1107">
        <v>0</v>
      </c>
      <c r="J1107" t="s">
        <v>30</v>
      </c>
    </row>
    <row r="1108" spans="1:10" x14ac:dyDescent="0.25">
      <c r="A1108" s="1">
        <v>237</v>
      </c>
      <c r="B1108" t="s">
        <v>31</v>
      </c>
      <c r="C1108">
        <v>630</v>
      </c>
      <c r="D1108">
        <v>5</v>
      </c>
      <c r="E1108" t="s">
        <v>23</v>
      </c>
      <c r="F1108" t="s">
        <v>24</v>
      </c>
      <c r="G1108" t="str">
        <f>"2026-01-08 03:13:24.360"</f>
        <v>2026-01-08 03:13:24.360</v>
      </c>
      <c r="H1108" t="s">
        <v>25</v>
      </c>
    </row>
    <row r="1109" spans="1:10" x14ac:dyDescent="0.25">
      <c r="A1109" s="1">
        <v>238</v>
      </c>
      <c r="B1109" t="s">
        <v>19</v>
      </c>
      <c r="C1109">
        <v>706</v>
      </c>
      <c r="D1109">
        <v>4</v>
      </c>
      <c r="E1109" t="s">
        <v>27</v>
      </c>
      <c r="F1109" t="s">
        <v>28</v>
      </c>
      <c r="G1109" t="str">
        <f>"2026-01-08 03:12:54.230"</f>
        <v>2026-01-08 03:12:54.230</v>
      </c>
      <c r="H1109" t="s">
        <v>21</v>
      </c>
      <c r="I1109">
        <v>0</v>
      </c>
      <c r="J1109" t="s">
        <v>26</v>
      </c>
    </row>
    <row r="1110" spans="1:10" x14ac:dyDescent="0.25">
      <c r="A1110" s="1">
        <v>239</v>
      </c>
      <c r="B1110" t="s">
        <v>31</v>
      </c>
      <c r="C1110">
        <v>14</v>
      </c>
      <c r="D1110">
        <v>4</v>
      </c>
      <c r="E1110" t="s">
        <v>48</v>
      </c>
      <c r="F1110" t="s">
        <v>81</v>
      </c>
      <c r="G1110" t="str">
        <f>"2026-01-08 03:08:33.373"</f>
        <v>2026-01-08 03:08:33.373</v>
      </c>
      <c r="H1110" t="s">
        <v>25</v>
      </c>
    </row>
    <row r="1111" spans="1:10" x14ac:dyDescent="0.25">
      <c r="A1111" s="1">
        <v>240</v>
      </c>
      <c r="B1111" t="s">
        <v>34</v>
      </c>
      <c r="C1111">
        <v>14</v>
      </c>
      <c r="D1111">
        <v>4</v>
      </c>
      <c r="E1111" t="s">
        <v>48</v>
      </c>
      <c r="F1111" t="s">
        <v>81</v>
      </c>
      <c r="G1111" t="str">
        <f>"2026-01-08 03:08:12.473"</f>
        <v>2026-01-08 03:08:12.473</v>
      </c>
      <c r="H1111" t="s">
        <v>25</v>
      </c>
      <c r="I1111">
        <v>0</v>
      </c>
      <c r="J1111" t="s">
        <v>26</v>
      </c>
    </row>
    <row r="1112" spans="1:10" x14ac:dyDescent="0.25">
      <c r="A1112" s="1">
        <v>241</v>
      </c>
      <c r="B1112" t="s">
        <v>22</v>
      </c>
      <c r="C1112">
        <v>630</v>
      </c>
      <c r="D1112">
        <v>5</v>
      </c>
      <c r="E1112" t="s">
        <v>23</v>
      </c>
      <c r="F1112" t="s">
        <v>24</v>
      </c>
      <c r="G1112" t="str">
        <f>"2026-01-08 03:05:45.161"</f>
        <v>2026-01-08 03:05:45.161</v>
      </c>
      <c r="H1112" t="s">
        <v>25</v>
      </c>
      <c r="I1112">
        <v>0</v>
      </c>
      <c r="J1112" t="s">
        <v>26</v>
      </c>
    </row>
    <row r="1113" spans="1:10" x14ac:dyDescent="0.25">
      <c r="A1113" s="1">
        <v>242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"2026-01-08 03:00:42.340"</f>
        <v>2026-01-08 03:00:42.340</v>
      </c>
      <c r="H1113" t="s">
        <v>21</v>
      </c>
      <c r="I1113">
        <v>0</v>
      </c>
      <c r="J1113" t="s">
        <v>30</v>
      </c>
    </row>
    <row r="1114" spans="1:10" x14ac:dyDescent="0.25">
      <c r="A1114" s="1">
        <v>243</v>
      </c>
      <c r="B1114" t="s">
        <v>22</v>
      </c>
      <c r="C1114">
        <v>630</v>
      </c>
      <c r="D1114">
        <v>5</v>
      </c>
      <c r="E1114" t="s">
        <v>23</v>
      </c>
      <c r="F1114" t="s">
        <v>24</v>
      </c>
      <c r="G1114" t="str">
        <f>"2026-01-08 02:13:51.401"</f>
        <v>2026-01-08 02:13:51.401</v>
      </c>
      <c r="H1114" t="s">
        <v>25</v>
      </c>
      <c r="I1114">
        <v>0</v>
      </c>
      <c r="J1114" t="s">
        <v>26</v>
      </c>
    </row>
    <row r="1115" spans="1:10" x14ac:dyDescent="0.25">
      <c r="A1115" s="1">
        <v>244</v>
      </c>
      <c r="B1115" t="s">
        <v>74</v>
      </c>
      <c r="C1115">
        <v>228</v>
      </c>
      <c r="D1115">
        <v>4</v>
      </c>
      <c r="E1115" t="s">
        <v>82</v>
      </c>
      <c r="F1115" t="s">
        <v>76</v>
      </c>
      <c r="G1115" t="str">
        <f>"2026-01-08 02:07:26.383"</f>
        <v>2026-01-08 02:07:26.383</v>
      </c>
      <c r="H1115" t="s">
        <v>53</v>
      </c>
    </row>
    <row r="1116" spans="1:10" x14ac:dyDescent="0.25">
      <c r="A1116" s="1">
        <v>245</v>
      </c>
      <c r="B1116" t="s">
        <v>22</v>
      </c>
      <c r="C1116">
        <v>228</v>
      </c>
      <c r="D1116">
        <v>4</v>
      </c>
      <c r="E1116" t="s">
        <v>82</v>
      </c>
      <c r="F1116" t="s">
        <v>76</v>
      </c>
      <c r="G1116" t="str">
        <f>"2026-01-08 02:07:21.287"</f>
        <v>2026-01-08 02:07:21.287</v>
      </c>
      <c r="H1116" t="s">
        <v>53</v>
      </c>
      <c r="I1116">
        <v>0</v>
      </c>
      <c r="J1116" t="s">
        <v>36</v>
      </c>
    </row>
    <row r="1117" spans="1:10" x14ac:dyDescent="0.25">
      <c r="A1117" s="1">
        <v>246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"2026-01-07 11:45:39.292"</f>
        <v>2026-01-07 11:45:39.292</v>
      </c>
      <c r="H1117" t="s">
        <v>21</v>
      </c>
    </row>
    <row r="1118" spans="1:10" x14ac:dyDescent="0.25">
      <c r="A1118" s="1">
        <v>248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"2026-01-05 15:15:43.331"</f>
        <v>2026-01-05 15:15:43.331</v>
      </c>
      <c r="H1118" t="s">
        <v>21</v>
      </c>
    </row>
    <row r="1119" spans="1:10" x14ac:dyDescent="0.25">
      <c r="A1119" s="1">
        <v>249</v>
      </c>
      <c r="B1119" t="s">
        <v>31</v>
      </c>
      <c r="C1119">
        <v>635</v>
      </c>
      <c r="D1119">
        <v>1</v>
      </c>
      <c r="E1119" t="s">
        <v>37</v>
      </c>
      <c r="F1119" t="s">
        <v>38</v>
      </c>
      <c r="G1119" t="str">
        <f>"2026-01-05 09:15:31.940"</f>
        <v>2026-01-05 09:15:31.940</v>
      </c>
      <c r="H1119" t="s">
        <v>21</v>
      </c>
    </row>
    <row r="1120" spans="1:10" x14ac:dyDescent="0.25">
      <c r="A1120" s="1">
        <v>250</v>
      </c>
      <c r="B1120" t="s">
        <v>34</v>
      </c>
      <c r="C1120">
        <v>635</v>
      </c>
      <c r="D1120">
        <v>1</v>
      </c>
      <c r="E1120" t="s">
        <v>37</v>
      </c>
      <c r="F1120" t="s">
        <v>38</v>
      </c>
      <c r="G1120" t="str">
        <f>"2026-01-05 09:02:07.440"</f>
        <v>2026-01-05 09:02:07.440</v>
      </c>
      <c r="H1120" t="s">
        <v>21</v>
      </c>
      <c r="I1120">
        <v>2.98</v>
      </c>
      <c r="J1120" t="s">
        <v>39</v>
      </c>
    </row>
    <row r="1121" spans="1:10" x14ac:dyDescent="0.25">
      <c r="A1121" s="1">
        <v>251</v>
      </c>
      <c r="B1121" t="s">
        <v>31</v>
      </c>
      <c r="C1121">
        <v>98</v>
      </c>
      <c r="D1121">
        <v>1</v>
      </c>
      <c r="E1121" t="s">
        <v>40</v>
      </c>
      <c r="F1121" t="s">
        <v>41</v>
      </c>
      <c r="G1121" t="str">
        <f>"2026-01-05 06:46:55.441"</f>
        <v>2026-01-05 06:46:55.441</v>
      </c>
      <c r="H1121" t="s">
        <v>21</v>
      </c>
    </row>
    <row r="1122" spans="1:10" x14ac:dyDescent="0.25">
      <c r="A1122" s="1">
        <v>252</v>
      </c>
      <c r="B1122" t="s">
        <v>34</v>
      </c>
      <c r="C1122">
        <v>98</v>
      </c>
      <c r="D1122">
        <v>1</v>
      </c>
      <c r="E1122" t="s">
        <v>40</v>
      </c>
      <c r="F1122" t="s">
        <v>41</v>
      </c>
      <c r="G1122" t="str">
        <f>"2026-01-05 06:46:54.341"</f>
        <v>2026-01-05 06:46:54.341</v>
      </c>
      <c r="H1122" t="s">
        <v>21</v>
      </c>
      <c r="I1122">
        <v>2.79</v>
      </c>
      <c r="J1122" t="s">
        <v>35</v>
      </c>
    </row>
    <row r="1123" spans="1:10" x14ac:dyDescent="0.25">
      <c r="A1123" s="1">
        <v>253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"2026-01-04 11:00:45.329"</f>
        <v>2026-01-04 11:00:45.329</v>
      </c>
      <c r="H1123" t="s">
        <v>21</v>
      </c>
      <c r="I1123">
        <v>0</v>
      </c>
      <c r="J1123" t="s">
        <v>30</v>
      </c>
    </row>
    <row r="1124" spans="1:10" x14ac:dyDescent="0.25">
      <c r="A1124" s="1">
        <v>255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"2026-01-01 13:32:07.321"</f>
        <v>2026-01-01 13:32:07.321</v>
      </c>
      <c r="H1124" t="s">
        <v>21</v>
      </c>
      <c r="I1124">
        <v>0</v>
      </c>
      <c r="J1124" t="s">
        <v>30</v>
      </c>
    </row>
    <row r="1125" spans="1:10" x14ac:dyDescent="0.25">
      <c r="A1125" s="1">
        <v>256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"2025-12-31 23:37:07.300"</f>
        <v>2025-12-31 23:37:07.300</v>
      </c>
      <c r="H1125" t="s">
        <v>21</v>
      </c>
      <c r="I1125">
        <v>0</v>
      </c>
      <c r="J1125" t="s">
        <v>30</v>
      </c>
    </row>
    <row r="1126" spans="1:10" x14ac:dyDescent="0.25">
      <c r="A1126" s="1">
        <v>257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"2025-12-31 20:31:03.317"</f>
        <v>2025-12-31 20:31:03.317</v>
      </c>
      <c r="H1126" t="s">
        <v>21</v>
      </c>
      <c r="I1126">
        <v>0</v>
      </c>
      <c r="J1126" t="s">
        <v>30</v>
      </c>
    </row>
    <row r="1127" spans="1:10" x14ac:dyDescent="0.25">
      <c r="A1127" s="1">
        <v>258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"2025-12-28 00:18:22.274"</f>
        <v>2025-12-28 00:18:22.274</v>
      </c>
      <c r="H1127" t="s">
        <v>21</v>
      </c>
    </row>
    <row r="1128" spans="1:10" x14ac:dyDescent="0.25">
      <c r="A1128" s="1">
        <v>259</v>
      </c>
      <c r="B1128" t="s">
        <v>19</v>
      </c>
      <c r="C1128">
        <v>706</v>
      </c>
      <c r="D1128">
        <v>4</v>
      </c>
      <c r="E1128" t="s">
        <v>27</v>
      </c>
      <c r="F1128" t="s">
        <v>28</v>
      </c>
      <c r="G1128" t="str">
        <f>"2025-12-27 23:32:28.252"</f>
        <v>2025-12-27 23:32:28.252</v>
      </c>
      <c r="H1128" t="s">
        <v>21</v>
      </c>
      <c r="I1128">
        <v>0</v>
      </c>
      <c r="J1128" t="s">
        <v>26</v>
      </c>
    </row>
    <row r="1129" spans="1:10" x14ac:dyDescent="0.25">
      <c r="A1129" s="1">
        <v>260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"2025-12-27 23:19:35.362"</f>
        <v>2025-12-27 23:19:35.362</v>
      </c>
      <c r="H1129" t="s">
        <v>21</v>
      </c>
      <c r="I1129">
        <v>0</v>
      </c>
      <c r="J1129" t="s">
        <v>30</v>
      </c>
    </row>
    <row r="1130" spans="1:10" x14ac:dyDescent="0.25">
      <c r="A1130" s="1">
        <v>261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"2025-12-27 22:23:12.273"</f>
        <v>2025-12-27 22:23:12.273</v>
      </c>
      <c r="H1130" t="s">
        <v>21</v>
      </c>
    </row>
    <row r="1131" spans="1:10" x14ac:dyDescent="0.25">
      <c r="A1131" s="1">
        <v>262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"2025-12-27 22:04:39.316"</f>
        <v>2025-12-27 22:04:39.316</v>
      </c>
      <c r="H1131" t="s">
        <v>21</v>
      </c>
      <c r="I1131">
        <v>0</v>
      </c>
      <c r="J1131" t="s">
        <v>30</v>
      </c>
    </row>
    <row r="1132" spans="1:10" x14ac:dyDescent="0.25">
      <c r="A1132" s="1">
        <v>263</v>
      </c>
      <c r="B1132" t="s">
        <v>31</v>
      </c>
      <c r="C1132">
        <v>635</v>
      </c>
      <c r="D1132">
        <v>1</v>
      </c>
      <c r="E1132" t="s">
        <v>37</v>
      </c>
      <c r="F1132" t="s">
        <v>38</v>
      </c>
      <c r="G1132" t="str">
        <f>"2025-12-26 19:18:26.517"</f>
        <v>2025-12-26 19:18:26.517</v>
      </c>
      <c r="H1132" t="s">
        <v>21</v>
      </c>
    </row>
    <row r="1133" spans="1:10" x14ac:dyDescent="0.25">
      <c r="A1133" s="1">
        <v>264</v>
      </c>
      <c r="B1133" t="s">
        <v>34</v>
      </c>
      <c r="C1133">
        <v>635</v>
      </c>
      <c r="D1133">
        <v>1</v>
      </c>
      <c r="E1133" t="s">
        <v>37</v>
      </c>
      <c r="F1133" t="s">
        <v>38</v>
      </c>
      <c r="G1133" t="str">
        <f>"2025-12-26 18:52:09.517"</f>
        <v>2025-12-26 18:52:09.517</v>
      </c>
      <c r="H1133" t="s">
        <v>21</v>
      </c>
      <c r="I1133">
        <v>5.61</v>
      </c>
      <c r="J1133" t="s">
        <v>39</v>
      </c>
    </row>
    <row r="1134" spans="1:10" x14ac:dyDescent="0.25">
      <c r="A1134" s="1">
        <v>265</v>
      </c>
      <c r="B1134" t="s">
        <v>31</v>
      </c>
      <c r="C1134">
        <v>635</v>
      </c>
      <c r="D1134">
        <v>1</v>
      </c>
      <c r="E1134" t="s">
        <v>37</v>
      </c>
      <c r="F1134" t="s">
        <v>38</v>
      </c>
      <c r="G1134" t="str">
        <f>"2025-12-26 16:30:25.317"</f>
        <v>2025-12-26 16:30:25.317</v>
      </c>
      <c r="H1134" t="s">
        <v>21</v>
      </c>
    </row>
    <row r="1135" spans="1:10" x14ac:dyDescent="0.25">
      <c r="A1135" s="1">
        <v>266</v>
      </c>
      <c r="B1135" t="s">
        <v>34</v>
      </c>
      <c r="C1135">
        <v>635</v>
      </c>
      <c r="D1135">
        <v>1</v>
      </c>
      <c r="E1135" t="s">
        <v>37</v>
      </c>
      <c r="F1135" t="s">
        <v>38</v>
      </c>
      <c r="G1135" t="str">
        <f>"2025-12-26 16:23:34.817"</f>
        <v>2025-12-26 16:23:34.817</v>
      </c>
      <c r="H1135" t="s">
        <v>21</v>
      </c>
      <c r="I1135">
        <v>0</v>
      </c>
      <c r="J1135" t="s">
        <v>36</v>
      </c>
    </row>
    <row r="1136" spans="1:10" x14ac:dyDescent="0.25">
      <c r="A1136" s="1">
        <v>267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"2025-12-26 11:08:11.300"</f>
        <v>2025-12-26 11:08:11.300</v>
      </c>
      <c r="H1136" t="s">
        <v>21</v>
      </c>
      <c r="I1136">
        <v>0</v>
      </c>
      <c r="J1136" t="s">
        <v>30</v>
      </c>
    </row>
    <row r="1137" spans="1:10" x14ac:dyDescent="0.25">
      <c r="A1137" s="1">
        <v>268</v>
      </c>
      <c r="B1137" t="s">
        <v>31</v>
      </c>
      <c r="C1137">
        <v>635</v>
      </c>
      <c r="D1137">
        <v>1</v>
      </c>
      <c r="E1137" t="s">
        <v>37</v>
      </c>
      <c r="F1137" t="s">
        <v>38</v>
      </c>
      <c r="G1137" t="str">
        <f>"2025-12-25 10:03:23.933"</f>
        <v>2025-12-25 10:03:23.933</v>
      </c>
      <c r="H1137" t="s">
        <v>21</v>
      </c>
    </row>
    <row r="1138" spans="1:10" x14ac:dyDescent="0.25">
      <c r="A1138" s="1">
        <v>269</v>
      </c>
      <c r="B1138" t="s">
        <v>34</v>
      </c>
      <c r="C1138">
        <v>635</v>
      </c>
      <c r="D1138">
        <v>1</v>
      </c>
      <c r="E1138" t="s">
        <v>37</v>
      </c>
      <c r="F1138" t="s">
        <v>38</v>
      </c>
      <c r="G1138" t="str">
        <f>"2025-12-25 10:00:55.933"</f>
        <v>2025-12-25 10:00:55.933</v>
      </c>
      <c r="H1138" t="s">
        <v>21</v>
      </c>
      <c r="I1138">
        <v>3.06</v>
      </c>
      <c r="J1138" t="s">
        <v>35</v>
      </c>
    </row>
    <row r="1139" spans="1:10" x14ac:dyDescent="0.25">
      <c r="A1139" s="1">
        <v>270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"2025-12-25 09:39:19.314"</f>
        <v>2025-12-25 09:39:19.314</v>
      </c>
      <c r="H1139" t="s">
        <v>21</v>
      </c>
      <c r="I1139">
        <v>0</v>
      </c>
      <c r="J1139" t="s">
        <v>30</v>
      </c>
    </row>
    <row r="1140" spans="1:10" x14ac:dyDescent="0.25">
      <c r="A1140" s="1">
        <v>271</v>
      </c>
      <c r="B1140" t="s">
        <v>19</v>
      </c>
      <c r="C1140">
        <v>706</v>
      </c>
      <c r="D1140">
        <v>4</v>
      </c>
      <c r="E1140" t="s">
        <v>27</v>
      </c>
      <c r="F1140" t="s">
        <v>28</v>
      </c>
      <c r="G1140" t="str">
        <f>"2025-12-24 22:17:12.742"</f>
        <v>2025-12-24 22:17:12.742</v>
      </c>
      <c r="H1140" t="s">
        <v>21</v>
      </c>
      <c r="I1140">
        <v>0</v>
      </c>
      <c r="J1140" t="s">
        <v>26</v>
      </c>
    </row>
    <row r="1141" spans="1:10" x14ac:dyDescent="0.25">
      <c r="A1141" s="1">
        <v>272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"2025-12-24 22:15:06.312"</f>
        <v>2025-12-24 22:15:06.312</v>
      </c>
      <c r="H1141" t="s">
        <v>21</v>
      </c>
      <c r="I1141">
        <v>0</v>
      </c>
      <c r="J1141" t="s">
        <v>30</v>
      </c>
    </row>
    <row r="1142" spans="1:10" x14ac:dyDescent="0.25">
      <c r="A1142" s="1">
        <v>273</v>
      </c>
      <c r="B1142" t="s">
        <v>31</v>
      </c>
      <c r="C1142">
        <v>635</v>
      </c>
      <c r="D1142">
        <v>1</v>
      </c>
      <c r="E1142" t="s">
        <v>37</v>
      </c>
      <c r="F1142" t="s">
        <v>38</v>
      </c>
      <c r="G1142" t="str">
        <f>"2025-12-24 09:05:15.756"</f>
        <v>2025-12-24 09:05:15.756</v>
      </c>
      <c r="H1142" t="s">
        <v>21</v>
      </c>
    </row>
    <row r="1143" spans="1:10" x14ac:dyDescent="0.25">
      <c r="A1143" s="1">
        <v>274</v>
      </c>
      <c r="B1143" t="s">
        <v>34</v>
      </c>
      <c r="C1143">
        <v>635</v>
      </c>
      <c r="D1143">
        <v>1</v>
      </c>
      <c r="E1143" t="s">
        <v>37</v>
      </c>
      <c r="F1143" t="s">
        <v>38</v>
      </c>
      <c r="G1143" t="str">
        <f>"2025-12-24 08:57:41.257"</f>
        <v>2025-12-24 08:57:41.257</v>
      </c>
      <c r="H1143" t="s">
        <v>21</v>
      </c>
      <c r="I1143">
        <v>0</v>
      </c>
      <c r="J1143" t="s">
        <v>36</v>
      </c>
    </row>
    <row r="1144" spans="1:10" x14ac:dyDescent="0.25">
      <c r="A1144" s="1">
        <v>277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"2025-12-23 08:55:27.287"</f>
        <v>2025-12-23 08:55:27.287</v>
      </c>
      <c r="H1144" t="s">
        <v>21</v>
      </c>
      <c r="I1144">
        <v>0</v>
      </c>
      <c r="J1144" t="s">
        <v>30</v>
      </c>
    </row>
    <row r="1145" spans="1:10" x14ac:dyDescent="0.25">
      <c r="A1145" s="1">
        <v>278</v>
      </c>
      <c r="B1145" t="s">
        <v>31</v>
      </c>
      <c r="C1145">
        <v>635</v>
      </c>
      <c r="D1145">
        <v>1</v>
      </c>
      <c r="E1145" t="s">
        <v>37</v>
      </c>
      <c r="F1145" t="s">
        <v>38</v>
      </c>
      <c r="G1145" t="str">
        <f>"2025-12-22 03:09:52.510"</f>
        <v>2025-12-22 03:09:52.510</v>
      </c>
      <c r="H1145" t="s">
        <v>21</v>
      </c>
    </row>
    <row r="1146" spans="1:10" x14ac:dyDescent="0.25">
      <c r="A1146" s="1">
        <v>279</v>
      </c>
      <c r="B1146" t="s">
        <v>34</v>
      </c>
      <c r="C1146">
        <v>635</v>
      </c>
      <c r="D1146">
        <v>1</v>
      </c>
      <c r="E1146" t="s">
        <v>37</v>
      </c>
      <c r="F1146" t="s">
        <v>38</v>
      </c>
      <c r="G1146" t="str">
        <f>"2025-12-22 03:04:00.011"</f>
        <v>2025-12-22 03:04:00.011</v>
      </c>
      <c r="H1146" t="s">
        <v>21</v>
      </c>
      <c r="I1146">
        <v>6.66</v>
      </c>
      <c r="J1146" t="s">
        <v>39</v>
      </c>
    </row>
    <row r="1147" spans="1:10" x14ac:dyDescent="0.25">
      <c r="A1147" s="1">
        <v>280</v>
      </c>
      <c r="B1147" t="s">
        <v>19</v>
      </c>
      <c r="C1147">
        <v>706</v>
      </c>
      <c r="D1147">
        <v>4</v>
      </c>
      <c r="E1147" t="s">
        <v>27</v>
      </c>
      <c r="F1147" t="s">
        <v>28</v>
      </c>
      <c r="G1147" t="str">
        <f>"2025-12-21 00:38:15.060"</f>
        <v>2025-12-21 00:38:15.060</v>
      </c>
      <c r="H1147" t="s">
        <v>21</v>
      </c>
      <c r="I1147">
        <v>0</v>
      </c>
      <c r="J1147" t="s">
        <v>26</v>
      </c>
    </row>
    <row r="1148" spans="1:10" x14ac:dyDescent="0.25">
      <c r="A1148" s="1">
        <v>281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"2025-12-21 00:37:55.300"</f>
        <v>2025-12-21 00:37:55.300</v>
      </c>
      <c r="H1148" t="s">
        <v>21</v>
      </c>
      <c r="I1148">
        <v>0</v>
      </c>
      <c r="J1148" t="s">
        <v>30</v>
      </c>
    </row>
    <row r="1149" spans="1:10" x14ac:dyDescent="0.25">
      <c r="A1149" s="1">
        <v>282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"2025-12-20 20:29:08.264"</f>
        <v>2025-12-20 20:29:08.264</v>
      </c>
      <c r="H1149" t="s">
        <v>21</v>
      </c>
      <c r="I1149">
        <v>0</v>
      </c>
      <c r="J1149" t="s">
        <v>30</v>
      </c>
    </row>
    <row r="1150" spans="1:10" x14ac:dyDescent="0.25">
      <c r="A1150" s="1">
        <v>283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"2025-12-20 17:14:11.277"</f>
        <v>2025-12-20 17:14:11.277</v>
      </c>
      <c r="H1150" t="s">
        <v>21</v>
      </c>
    </row>
    <row r="1151" spans="1:10" x14ac:dyDescent="0.25">
      <c r="A1151" s="1">
        <v>284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"2025-12-20 14:28:38.270"</f>
        <v>2025-12-20 14:28:38.270</v>
      </c>
      <c r="H1151" t="s">
        <v>21</v>
      </c>
      <c r="I1151">
        <v>0</v>
      </c>
      <c r="J1151" t="s">
        <v>30</v>
      </c>
    </row>
    <row r="1152" spans="1:10" x14ac:dyDescent="0.25">
      <c r="A1152" s="1">
        <v>285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"2025-12-20 14:17:49.268"</f>
        <v>2025-12-20 14:17:49.268</v>
      </c>
      <c r="H1152" t="s">
        <v>21</v>
      </c>
    </row>
    <row r="1153" spans="1:10" x14ac:dyDescent="0.25">
      <c r="A1153" s="1">
        <v>286</v>
      </c>
      <c r="B1153" t="s">
        <v>19</v>
      </c>
      <c r="C1153">
        <v>706</v>
      </c>
      <c r="D1153">
        <v>2</v>
      </c>
      <c r="E1153" t="s">
        <v>27</v>
      </c>
      <c r="F1153" t="s">
        <v>29</v>
      </c>
      <c r="G1153" t="str">
        <f>"2025-12-20 12:34:52.287"</f>
        <v>2025-12-20 12:34:52.287</v>
      </c>
      <c r="H1153" t="s">
        <v>21</v>
      </c>
      <c r="I1153">
        <v>0</v>
      </c>
      <c r="J1153" t="s">
        <v>26</v>
      </c>
    </row>
    <row r="1154" spans="1:10" x14ac:dyDescent="0.25">
      <c r="A1154" s="1">
        <v>287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"2025-12-20 12:32:13.287"</f>
        <v>2025-12-20 12:32:13.287</v>
      </c>
      <c r="H1154" t="s">
        <v>21</v>
      </c>
      <c r="I1154">
        <v>0</v>
      </c>
      <c r="J1154" t="s">
        <v>30</v>
      </c>
    </row>
    <row r="1155" spans="1:10" x14ac:dyDescent="0.25">
      <c r="A1155" s="1">
        <v>288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"2025-12-20 12:19:08.261"</f>
        <v>2025-12-20 12:19:08.261</v>
      </c>
      <c r="H1155" t="s">
        <v>21</v>
      </c>
      <c r="I1155">
        <v>0</v>
      </c>
      <c r="J1155" t="s">
        <v>30</v>
      </c>
    </row>
    <row r="1156" spans="1:10" x14ac:dyDescent="0.25">
      <c r="A1156" s="1">
        <v>289</v>
      </c>
      <c r="B1156" t="s">
        <v>22</v>
      </c>
      <c r="C1156">
        <v>630</v>
      </c>
      <c r="D1156">
        <v>5</v>
      </c>
      <c r="E1156" t="s">
        <v>23</v>
      </c>
      <c r="F1156" t="s">
        <v>24</v>
      </c>
      <c r="G1156" t="str">
        <f>"2025-12-20 11:58:47.707"</f>
        <v>2025-12-20 11:58:47.707</v>
      </c>
      <c r="H1156" t="s">
        <v>25</v>
      </c>
      <c r="I1156">
        <v>0</v>
      </c>
      <c r="J1156" t="s">
        <v>26</v>
      </c>
    </row>
    <row r="1157" spans="1:10" x14ac:dyDescent="0.25">
      <c r="A1157" s="1">
        <v>290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"2025-12-20 11:50:49.258"</f>
        <v>2025-12-20 11:50:49.258</v>
      </c>
      <c r="H1157" t="s">
        <v>21</v>
      </c>
      <c r="I1157">
        <v>0</v>
      </c>
      <c r="J1157" t="s">
        <v>30</v>
      </c>
    </row>
    <row r="1158" spans="1:10" x14ac:dyDescent="0.25">
      <c r="A1158" s="1">
        <v>291</v>
      </c>
      <c r="B1158" t="s">
        <v>19</v>
      </c>
      <c r="C1158">
        <v>706</v>
      </c>
      <c r="D1158">
        <v>2</v>
      </c>
      <c r="E1158" t="s">
        <v>27</v>
      </c>
      <c r="F1158" t="s">
        <v>29</v>
      </c>
      <c r="G1158" t="str">
        <f>"2025-12-20 10:17:34.718"</f>
        <v>2025-12-20 10:17:34.718</v>
      </c>
      <c r="H1158" t="s">
        <v>21</v>
      </c>
      <c r="I1158">
        <v>0</v>
      </c>
      <c r="J1158" t="s">
        <v>26</v>
      </c>
    </row>
    <row r="1159" spans="1:10" x14ac:dyDescent="0.25">
      <c r="A1159" s="1">
        <v>292</v>
      </c>
      <c r="B1159" t="s">
        <v>19</v>
      </c>
      <c r="C1159">
        <v>706</v>
      </c>
      <c r="D1159">
        <v>2</v>
      </c>
      <c r="E1159" t="s">
        <v>27</v>
      </c>
      <c r="F1159" t="s">
        <v>29</v>
      </c>
      <c r="G1159" t="str">
        <f>"2025-12-20 10:14:07.518"</f>
        <v>2025-12-20 10:14:07.518</v>
      </c>
      <c r="H1159" t="s">
        <v>21</v>
      </c>
      <c r="I1159">
        <v>0</v>
      </c>
      <c r="J1159" t="s">
        <v>26</v>
      </c>
    </row>
    <row r="1160" spans="1:10" x14ac:dyDescent="0.25">
      <c r="A1160" s="1">
        <v>293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"2025-12-20 10:08:35.268"</f>
        <v>2025-12-20 10:08:35.268</v>
      </c>
      <c r="H1160" t="s">
        <v>21</v>
      </c>
      <c r="I1160">
        <v>0</v>
      </c>
      <c r="J1160" t="s">
        <v>30</v>
      </c>
    </row>
    <row r="1161" spans="1:10" x14ac:dyDescent="0.25">
      <c r="A1161" s="1">
        <v>294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"2025-12-20 10:02:53.257"</f>
        <v>2025-12-20 10:02:53.257</v>
      </c>
      <c r="H1161" t="s">
        <v>21</v>
      </c>
      <c r="I1161">
        <v>0</v>
      </c>
      <c r="J1161" t="s">
        <v>30</v>
      </c>
    </row>
    <row r="1162" spans="1:10" x14ac:dyDescent="0.25">
      <c r="A1162" s="1">
        <v>295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"2025-12-20 09:59:56.254"</f>
        <v>2025-12-20 09:59:56.254</v>
      </c>
      <c r="H1162" t="s">
        <v>21</v>
      </c>
      <c r="I1162">
        <v>0</v>
      </c>
      <c r="J1162" t="s">
        <v>30</v>
      </c>
    </row>
    <row r="1163" spans="1:10" x14ac:dyDescent="0.25">
      <c r="A1163" s="1">
        <v>296</v>
      </c>
      <c r="B1163" t="s">
        <v>19</v>
      </c>
      <c r="C1163">
        <v>700</v>
      </c>
      <c r="D1163">
        <v>0</v>
      </c>
      <c r="E1163" t="s">
        <v>20</v>
      </c>
      <c r="F1163" t="s">
        <v>20</v>
      </c>
      <c r="G1163" t="str">
        <f>"2025-12-20 09:56:07.391"</f>
        <v>2025-12-20 09:56:07.391</v>
      </c>
      <c r="H1163" t="s">
        <v>21</v>
      </c>
    </row>
    <row r="1164" spans="1:10" x14ac:dyDescent="0.25">
      <c r="A1164" s="1">
        <v>297</v>
      </c>
      <c r="B1164" t="s">
        <v>19</v>
      </c>
      <c r="C1164">
        <v>706</v>
      </c>
      <c r="D1164">
        <v>4</v>
      </c>
      <c r="E1164" t="s">
        <v>27</v>
      </c>
      <c r="F1164" t="s">
        <v>28</v>
      </c>
      <c r="G1164" t="str">
        <f>"2025-12-20 07:55:52.333"</f>
        <v>2025-12-20 07:55:52.333</v>
      </c>
      <c r="H1164" t="s">
        <v>21</v>
      </c>
      <c r="I1164">
        <v>0</v>
      </c>
      <c r="J1164" t="s">
        <v>26</v>
      </c>
    </row>
    <row r="1165" spans="1:10" x14ac:dyDescent="0.25">
      <c r="A1165" s="1">
        <v>298</v>
      </c>
      <c r="B1165" t="s">
        <v>19</v>
      </c>
      <c r="C1165">
        <v>706</v>
      </c>
      <c r="D1165">
        <v>3</v>
      </c>
      <c r="E1165" t="s">
        <v>27</v>
      </c>
      <c r="F1165" t="s">
        <v>42</v>
      </c>
      <c r="G1165" t="str">
        <f>"2025-12-20 07:51:28.923"</f>
        <v>2025-12-20 07:51:28.923</v>
      </c>
      <c r="H1165" t="s">
        <v>21</v>
      </c>
      <c r="I1165">
        <v>0</v>
      </c>
      <c r="J1165" t="s">
        <v>26</v>
      </c>
    </row>
    <row r="1166" spans="1:10" x14ac:dyDescent="0.25">
      <c r="A1166" s="1">
        <v>299</v>
      </c>
      <c r="B1166" t="s">
        <v>19</v>
      </c>
      <c r="C1166">
        <v>706</v>
      </c>
      <c r="D1166">
        <v>2</v>
      </c>
      <c r="E1166" t="s">
        <v>27</v>
      </c>
      <c r="F1166" t="s">
        <v>29</v>
      </c>
      <c r="G1166" t="str">
        <f>"2025-12-20 07:49:18.013"</f>
        <v>2025-12-20 07:49:18.013</v>
      </c>
      <c r="H1166" t="s">
        <v>21</v>
      </c>
      <c r="I1166">
        <v>0</v>
      </c>
      <c r="J1166" t="s">
        <v>26</v>
      </c>
    </row>
    <row r="1167" spans="1:10" x14ac:dyDescent="0.25">
      <c r="A1167" s="1">
        <v>300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"2025-12-19 18:34:48.333"</f>
        <v>2025-12-19 18:34:48.333</v>
      </c>
      <c r="H1167" t="s">
        <v>21</v>
      </c>
      <c r="I1167">
        <v>0</v>
      </c>
      <c r="J1167" t="s">
        <v>30</v>
      </c>
    </row>
    <row r="1168" spans="1:10" x14ac:dyDescent="0.25">
      <c r="A1168" s="1">
        <v>301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"2025-12-19 17:20:35.255"</f>
        <v>2025-12-19 17:20:35.255</v>
      </c>
      <c r="H1168" t="s">
        <v>21</v>
      </c>
    </row>
    <row r="1169" spans="1:10" x14ac:dyDescent="0.25">
      <c r="A1169" s="1">
        <v>302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"2025-12-19 16:32:31.270"</f>
        <v>2025-12-19 16:32:31.270</v>
      </c>
      <c r="H1169" t="s">
        <v>21</v>
      </c>
      <c r="I1169">
        <v>0</v>
      </c>
      <c r="J1169" t="s">
        <v>30</v>
      </c>
    </row>
    <row r="1170" spans="1:10" x14ac:dyDescent="0.25">
      <c r="A1170" s="1">
        <v>303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"2025-12-19 15:15:29.265"</f>
        <v>2025-12-19 15:15:29.265</v>
      </c>
      <c r="H1170" t="s">
        <v>21</v>
      </c>
      <c r="I1170">
        <v>0</v>
      </c>
      <c r="J1170" t="s">
        <v>30</v>
      </c>
    </row>
    <row r="1171" spans="1:10" x14ac:dyDescent="0.25">
      <c r="A1171" s="1">
        <v>304</v>
      </c>
      <c r="B1171" t="s">
        <v>19</v>
      </c>
      <c r="C1171">
        <v>706</v>
      </c>
      <c r="D1171">
        <v>2</v>
      </c>
      <c r="E1171" t="s">
        <v>27</v>
      </c>
      <c r="F1171" t="s">
        <v>29</v>
      </c>
      <c r="G1171" t="str">
        <f>"2025-12-19 12:07:24.359"</f>
        <v>2025-12-19 12:07:24.359</v>
      </c>
      <c r="H1171" t="s">
        <v>21</v>
      </c>
      <c r="I1171">
        <v>0</v>
      </c>
      <c r="J1171" t="s">
        <v>26</v>
      </c>
    </row>
    <row r="1172" spans="1:10" x14ac:dyDescent="0.25">
      <c r="A1172" s="1">
        <v>305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"2025-12-19 12:07:07.259"</f>
        <v>2025-12-19 12:07:07.259</v>
      </c>
      <c r="H1172" t="s">
        <v>21</v>
      </c>
      <c r="I1172">
        <v>0</v>
      </c>
      <c r="J1172" t="s">
        <v>30</v>
      </c>
    </row>
    <row r="1173" spans="1:10" x14ac:dyDescent="0.25">
      <c r="A1173" s="1">
        <v>306</v>
      </c>
      <c r="B1173" t="s">
        <v>19</v>
      </c>
      <c r="C1173">
        <v>706</v>
      </c>
      <c r="D1173">
        <v>4</v>
      </c>
      <c r="E1173" t="s">
        <v>27</v>
      </c>
      <c r="F1173" t="s">
        <v>28</v>
      </c>
      <c r="G1173" t="str">
        <f>"2025-12-18 17:38:35.875"</f>
        <v>2025-12-18 17:38:35.875</v>
      </c>
      <c r="H1173" t="s">
        <v>21</v>
      </c>
      <c r="I1173">
        <v>0</v>
      </c>
      <c r="J1173" t="s">
        <v>26</v>
      </c>
    </row>
    <row r="1174" spans="1:10" x14ac:dyDescent="0.25">
      <c r="A1174" s="1">
        <v>307</v>
      </c>
      <c r="B1174" t="s">
        <v>19</v>
      </c>
      <c r="C1174">
        <v>706</v>
      </c>
      <c r="D1174">
        <v>4</v>
      </c>
      <c r="E1174" t="s">
        <v>27</v>
      </c>
      <c r="F1174" t="s">
        <v>28</v>
      </c>
      <c r="G1174" t="str">
        <f>"2025-12-18 17:33:23.195"</f>
        <v>2025-12-18 17:33:23.195</v>
      </c>
      <c r="H1174" t="s">
        <v>21</v>
      </c>
      <c r="I1174">
        <v>0</v>
      </c>
      <c r="J1174" t="s">
        <v>26</v>
      </c>
    </row>
    <row r="1175" spans="1:10" x14ac:dyDescent="0.25">
      <c r="A1175" s="1">
        <v>308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"2025-12-18 17:06:57.285"</f>
        <v>2025-12-18 17:06:57.285</v>
      </c>
      <c r="H1175" t="s">
        <v>21</v>
      </c>
      <c r="I1175">
        <v>0</v>
      </c>
      <c r="J1175" t="s">
        <v>30</v>
      </c>
    </row>
    <row r="1176" spans="1:10" x14ac:dyDescent="0.25">
      <c r="A1176" s="1">
        <v>309</v>
      </c>
      <c r="B1176" t="s">
        <v>19</v>
      </c>
      <c r="C1176">
        <v>706</v>
      </c>
      <c r="D1176">
        <v>4</v>
      </c>
      <c r="E1176" t="s">
        <v>27</v>
      </c>
      <c r="F1176" t="s">
        <v>28</v>
      </c>
      <c r="G1176" t="str">
        <f>"2025-12-18 15:10:40.954"</f>
        <v>2025-12-18 15:10:40.954</v>
      </c>
      <c r="H1176" t="s">
        <v>21</v>
      </c>
      <c r="I1176">
        <v>0</v>
      </c>
      <c r="J1176" t="s">
        <v>26</v>
      </c>
    </row>
    <row r="1177" spans="1:10" x14ac:dyDescent="0.25">
      <c r="A1177" s="1">
        <v>310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"2025-12-18 10:33:03.284"</f>
        <v>2025-12-18 10:33:03.284</v>
      </c>
      <c r="H1177" t="s">
        <v>21</v>
      </c>
      <c r="I1177">
        <v>0</v>
      </c>
      <c r="J1177" t="s">
        <v>30</v>
      </c>
    </row>
    <row r="1178" spans="1:10" x14ac:dyDescent="0.25">
      <c r="A1178" s="1">
        <v>311</v>
      </c>
      <c r="B1178" t="s">
        <v>74</v>
      </c>
      <c r="C1178">
        <v>228</v>
      </c>
      <c r="D1178">
        <v>4</v>
      </c>
      <c r="E1178" t="s">
        <v>82</v>
      </c>
      <c r="F1178" t="s">
        <v>76</v>
      </c>
      <c r="G1178" t="str">
        <f>"2025-12-17 06:01:15.322"</f>
        <v>2025-12-17 06:01:15.322</v>
      </c>
      <c r="H1178" t="s">
        <v>53</v>
      </c>
    </row>
    <row r="1179" spans="1:10" x14ac:dyDescent="0.25">
      <c r="A1179" s="1">
        <v>312</v>
      </c>
      <c r="B1179" t="s">
        <v>22</v>
      </c>
      <c r="C1179">
        <v>228</v>
      </c>
      <c r="D1179">
        <v>4</v>
      </c>
      <c r="E1179" t="s">
        <v>82</v>
      </c>
      <c r="F1179" t="s">
        <v>76</v>
      </c>
      <c r="G1179" t="str">
        <f>"2025-12-17 06:01:10.286"</f>
        <v>2025-12-17 06:01:10.286</v>
      </c>
      <c r="H1179" t="s">
        <v>53</v>
      </c>
      <c r="I1179">
        <v>7.11</v>
      </c>
      <c r="J1179" t="s">
        <v>39</v>
      </c>
    </row>
    <row r="1180" spans="1:10" x14ac:dyDescent="0.25">
      <c r="A1180" s="1">
        <v>313</v>
      </c>
      <c r="B1180" t="s">
        <v>31</v>
      </c>
      <c r="C1180">
        <v>630</v>
      </c>
      <c r="D1180">
        <v>5</v>
      </c>
      <c r="E1180" t="s">
        <v>23</v>
      </c>
      <c r="F1180" t="s">
        <v>24</v>
      </c>
      <c r="G1180" t="str">
        <f>"2025-12-16 13:55:36.630"</f>
        <v>2025-12-16 13:55:36.630</v>
      </c>
      <c r="H1180" t="s">
        <v>25</v>
      </c>
    </row>
    <row r="1181" spans="1:10" x14ac:dyDescent="0.25">
      <c r="A1181" s="1">
        <v>314</v>
      </c>
      <c r="B1181" t="s">
        <v>19</v>
      </c>
      <c r="C1181">
        <v>706</v>
      </c>
      <c r="D1181">
        <v>2</v>
      </c>
      <c r="E1181" t="s">
        <v>27</v>
      </c>
      <c r="F1181" t="s">
        <v>29</v>
      </c>
      <c r="G1181" t="str">
        <f>"2025-12-16 13:55:06.532"</f>
        <v>2025-12-16 13:55:06.532</v>
      </c>
      <c r="H1181" t="s">
        <v>21</v>
      </c>
      <c r="I1181">
        <v>0</v>
      </c>
      <c r="J1181" t="s">
        <v>26</v>
      </c>
    </row>
    <row r="1182" spans="1:10" x14ac:dyDescent="0.25">
      <c r="A1182" s="1">
        <v>315</v>
      </c>
      <c r="B1182" t="s">
        <v>19</v>
      </c>
      <c r="C1182">
        <v>706</v>
      </c>
      <c r="D1182">
        <v>4</v>
      </c>
      <c r="E1182" t="s">
        <v>27</v>
      </c>
      <c r="F1182" t="s">
        <v>28</v>
      </c>
      <c r="G1182" t="str">
        <f>"2025-12-16 13:54:59.652"</f>
        <v>2025-12-16 13:54:59.652</v>
      </c>
      <c r="H1182" t="s">
        <v>21</v>
      </c>
      <c r="I1182">
        <v>0</v>
      </c>
      <c r="J1182" t="s">
        <v>26</v>
      </c>
    </row>
    <row r="1183" spans="1:10" x14ac:dyDescent="0.25">
      <c r="A1183" s="1">
        <v>316</v>
      </c>
      <c r="B1183" t="s">
        <v>22</v>
      </c>
      <c r="C1183">
        <v>630</v>
      </c>
      <c r="D1183">
        <v>5</v>
      </c>
      <c r="E1183" t="s">
        <v>23</v>
      </c>
      <c r="F1183" t="s">
        <v>24</v>
      </c>
      <c r="G1183" t="str">
        <f>"2025-12-16 12:15:08.031"</f>
        <v>2025-12-16 12:15:08.031</v>
      </c>
      <c r="H1183" t="s">
        <v>25</v>
      </c>
      <c r="I1183">
        <v>0</v>
      </c>
      <c r="J1183" t="s">
        <v>26</v>
      </c>
    </row>
    <row r="1184" spans="1:10" x14ac:dyDescent="0.25">
      <c r="A1184" s="1">
        <v>317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"2025-12-16 12:10:05.252"</f>
        <v>2025-12-16 12:10:05.252</v>
      </c>
      <c r="H1184" t="s">
        <v>21</v>
      </c>
    </row>
    <row r="1185" spans="1:10" x14ac:dyDescent="0.25">
      <c r="A1185" s="1">
        <v>318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"2025-12-16 11:58:04.510"</f>
        <v>2025-12-16 11:58:04.510</v>
      </c>
      <c r="H1185" t="s">
        <v>21</v>
      </c>
    </row>
    <row r="1186" spans="1:10" x14ac:dyDescent="0.25">
      <c r="A1186" s="1">
        <v>319</v>
      </c>
      <c r="B1186" t="s">
        <v>31</v>
      </c>
      <c r="C1186">
        <v>635</v>
      </c>
      <c r="D1186">
        <v>1</v>
      </c>
      <c r="E1186" t="s">
        <v>37</v>
      </c>
      <c r="F1186" t="s">
        <v>38</v>
      </c>
      <c r="G1186" t="str">
        <f>"2025-12-16 01:03:06.811"</f>
        <v>2025-12-16 01:03:06.811</v>
      </c>
      <c r="H1186" t="s">
        <v>21</v>
      </c>
    </row>
    <row r="1187" spans="1:10" x14ac:dyDescent="0.25">
      <c r="A1187" s="1">
        <v>320</v>
      </c>
      <c r="B1187" t="s">
        <v>34</v>
      </c>
      <c r="C1187">
        <v>635</v>
      </c>
      <c r="D1187">
        <v>1</v>
      </c>
      <c r="E1187" t="s">
        <v>37</v>
      </c>
      <c r="F1187" t="s">
        <v>38</v>
      </c>
      <c r="G1187" t="str">
        <f>"2025-12-16 00:56:44.911"</f>
        <v>2025-12-16 00:56:44.911</v>
      </c>
      <c r="H1187" t="s">
        <v>21</v>
      </c>
      <c r="I1187">
        <v>0.38</v>
      </c>
      <c r="J1187" t="s">
        <v>39</v>
      </c>
    </row>
    <row r="1188" spans="1:10" x14ac:dyDescent="0.25">
      <c r="A1188" s="1">
        <v>321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"2025-12-16 00:15:20.250"</f>
        <v>2025-12-16 00:15:20.250</v>
      </c>
      <c r="H1188" t="s">
        <v>21</v>
      </c>
      <c r="I1188">
        <v>0</v>
      </c>
      <c r="J1188" t="s">
        <v>30</v>
      </c>
    </row>
    <row r="1189" spans="1:10" x14ac:dyDescent="0.25">
      <c r="A1189" s="1">
        <v>323</v>
      </c>
      <c r="B1189" t="s">
        <v>31</v>
      </c>
      <c r="C1189">
        <v>635</v>
      </c>
      <c r="D1189">
        <v>1</v>
      </c>
      <c r="E1189" t="s">
        <v>37</v>
      </c>
      <c r="F1189" t="s">
        <v>38</v>
      </c>
      <c r="G1189" t="str">
        <f>"2025-12-14 05:37:23.520"</f>
        <v>2025-12-14 05:37:23.520</v>
      </c>
      <c r="H1189" t="s">
        <v>21</v>
      </c>
    </row>
    <row r="1190" spans="1:10" x14ac:dyDescent="0.25">
      <c r="A1190" s="1">
        <v>324</v>
      </c>
      <c r="B1190" t="s">
        <v>34</v>
      </c>
      <c r="C1190">
        <v>635</v>
      </c>
      <c r="D1190">
        <v>1</v>
      </c>
      <c r="E1190" t="s">
        <v>37</v>
      </c>
      <c r="F1190" t="s">
        <v>38</v>
      </c>
      <c r="G1190" t="str">
        <f>"2025-12-14 05:30:26.020"</f>
        <v>2025-12-14 05:30:26.020</v>
      </c>
      <c r="H1190" t="s">
        <v>21</v>
      </c>
      <c r="I1190">
        <v>2.59</v>
      </c>
      <c r="J1190" t="s">
        <v>39</v>
      </c>
    </row>
    <row r="1191" spans="1:10" x14ac:dyDescent="0.25">
      <c r="A1191" s="1">
        <v>325</v>
      </c>
      <c r="B1191" t="s">
        <v>19</v>
      </c>
      <c r="C1191">
        <v>706</v>
      </c>
      <c r="D1191">
        <v>2</v>
      </c>
      <c r="E1191" t="s">
        <v>27</v>
      </c>
      <c r="F1191" t="s">
        <v>29</v>
      </c>
      <c r="G1191" t="str">
        <f>"2025-12-14 04:12:39.498"</f>
        <v>2025-12-14 04:12:39.498</v>
      </c>
      <c r="H1191" t="s">
        <v>21</v>
      </c>
      <c r="I1191">
        <v>0</v>
      </c>
      <c r="J1191" t="s">
        <v>26</v>
      </c>
    </row>
    <row r="1192" spans="1:10" x14ac:dyDescent="0.25">
      <c r="A1192" s="1">
        <v>326</v>
      </c>
      <c r="B1192" t="s">
        <v>31</v>
      </c>
      <c r="C1192">
        <v>98</v>
      </c>
      <c r="D1192">
        <v>1</v>
      </c>
      <c r="E1192" t="s">
        <v>40</v>
      </c>
      <c r="F1192" t="s">
        <v>41</v>
      </c>
      <c r="G1192" t="str">
        <f>"2025-12-13 00:59:50.332"</f>
        <v>2025-12-13 00:59:50.332</v>
      </c>
      <c r="H1192" t="s">
        <v>21</v>
      </c>
    </row>
    <row r="1193" spans="1:10" x14ac:dyDescent="0.25">
      <c r="A1193" s="1">
        <v>327</v>
      </c>
      <c r="B1193" t="s">
        <v>34</v>
      </c>
      <c r="C1193">
        <v>98</v>
      </c>
      <c r="D1193">
        <v>1</v>
      </c>
      <c r="E1193" t="s">
        <v>40</v>
      </c>
      <c r="F1193" t="s">
        <v>41</v>
      </c>
      <c r="G1193" t="str">
        <f>"2025-12-13 00:59:49.333"</f>
        <v>2025-12-13 00:59:49.333</v>
      </c>
      <c r="H1193" t="s">
        <v>21</v>
      </c>
      <c r="I1193">
        <v>3.78</v>
      </c>
      <c r="J1193" t="s">
        <v>39</v>
      </c>
    </row>
    <row r="1194" spans="1:10" x14ac:dyDescent="0.25">
      <c r="A1194" s="1">
        <v>328</v>
      </c>
      <c r="B1194" t="s">
        <v>31</v>
      </c>
      <c r="C1194">
        <v>635</v>
      </c>
      <c r="D1194">
        <v>1</v>
      </c>
      <c r="E1194" t="s">
        <v>37</v>
      </c>
      <c r="F1194" t="s">
        <v>38</v>
      </c>
      <c r="G1194" t="str">
        <f>"2025-12-12 04:23:29.520"</f>
        <v>2025-12-12 04:23:29.520</v>
      </c>
      <c r="H1194" t="s">
        <v>21</v>
      </c>
    </row>
    <row r="1195" spans="1:10" x14ac:dyDescent="0.25">
      <c r="A1195" s="1">
        <v>329</v>
      </c>
      <c r="B1195" t="s">
        <v>34</v>
      </c>
      <c r="C1195">
        <v>635</v>
      </c>
      <c r="D1195">
        <v>1</v>
      </c>
      <c r="E1195" t="s">
        <v>37</v>
      </c>
      <c r="F1195" t="s">
        <v>38</v>
      </c>
      <c r="G1195" t="str">
        <f>"2025-12-12 04:20:15.019"</f>
        <v>2025-12-12 04:20:15.019</v>
      </c>
      <c r="H1195" t="s">
        <v>21</v>
      </c>
      <c r="I1195">
        <v>5.94</v>
      </c>
      <c r="J1195" t="s">
        <v>39</v>
      </c>
    </row>
    <row r="1196" spans="1:10" x14ac:dyDescent="0.25">
      <c r="A1196" s="1">
        <v>330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"2025-12-11 11:07:02.238"</f>
        <v>2025-12-11 11:07:02.238</v>
      </c>
      <c r="H1196" t="s">
        <v>21</v>
      </c>
      <c r="I1196">
        <v>0</v>
      </c>
      <c r="J1196" t="s">
        <v>30</v>
      </c>
    </row>
    <row r="1197" spans="1:10" x14ac:dyDescent="0.25">
      <c r="A1197" s="1">
        <v>331</v>
      </c>
      <c r="B1197" t="s">
        <v>31</v>
      </c>
      <c r="C1197">
        <v>55</v>
      </c>
      <c r="D1197">
        <v>1</v>
      </c>
      <c r="E1197" t="s">
        <v>102</v>
      </c>
      <c r="F1197" t="s">
        <v>103</v>
      </c>
      <c r="G1197" t="str">
        <f>"2025-12-11 05:14:08.435"</f>
        <v>2025-12-11 05:14:08.435</v>
      </c>
      <c r="H1197" t="s">
        <v>21</v>
      </c>
    </row>
    <row r="1198" spans="1:10" x14ac:dyDescent="0.25">
      <c r="A1198" s="1">
        <v>332</v>
      </c>
      <c r="B1198" t="s">
        <v>31</v>
      </c>
      <c r="C1198">
        <v>635</v>
      </c>
      <c r="D1198">
        <v>1</v>
      </c>
      <c r="E1198" t="s">
        <v>37</v>
      </c>
      <c r="F1198" t="s">
        <v>38</v>
      </c>
      <c r="G1198" t="str">
        <f>"2025-12-08 22:22:18.982"</f>
        <v>2025-12-08 22:22:18.982</v>
      </c>
      <c r="H1198" t="s">
        <v>21</v>
      </c>
    </row>
    <row r="1199" spans="1:10" x14ac:dyDescent="0.25">
      <c r="A1199" s="1">
        <v>333</v>
      </c>
      <c r="B1199" t="s">
        <v>34</v>
      </c>
      <c r="C1199">
        <v>635</v>
      </c>
      <c r="D1199">
        <v>1</v>
      </c>
      <c r="E1199" t="s">
        <v>37</v>
      </c>
      <c r="F1199" t="s">
        <v>38</v>
      </c>
      <c r="G1199" t="str">
        <f>"2025-12-08 22:19:24.582"</f>
        <v>2025-12-08 22:19:24.582</v>
      </c>
      <c r="H1199" t="s">
        <v>21</v>
      </c>
      <c r="I1199">
        <v>0.51</v>
      </c>
      <c r="J1199" t="s">
        <v>39</v>
      </c>
    </row>
    <row r="1200" spans="1:10" x14ac:dyDescent="0.25">
      <c r="A1200" s="1">
        <v>334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"2025-12-08 05:44:50.414"</f>
        <v>2025-12-08 05:44:50.414</v>
      </c>
      <c r="H1200" t="s">
        <v>21</v>
      </c>
      <c r="I1200">
        <v>0</v>
      </c>
      <c r="J1200" t="s">
        <v>30</v>
      </c>
    </row>
    <row r="1201" spans="1:10" x14ac:dyDescent="0.25">
      <c r="A1201" s="1">
        <v>335</v>
      </c>
      <c r="B1201" t="s">
        <v>34</v>
      </c>
      <c r="C1201">
        <v>55</v>
      </c>
      <c r="D1201">
        <v>1</v>
      </c>
      <c r="E1201" t="s">
        <v>102</v>
      </c>
      <c r="F1201" t="s">
        <v>103</v>
      </c>
      <c r="G1201" t="str">
        <f>"2025-12-08 05:35:43.610"</f>
        <v>2025-12-08 05:35:43.610</v>
      </c>
      <c r="H1201" t="s">
        <v>21</v>
      </c>
      <c r="I1201">
        <v>7.14</v>
      </c>
      <c r="J1201" t="s">
        <v>36</v>
      </c>
    </row>
    <row r="1202" spans="1:10" x14ac:dyDescent="0.25">
      <c r="A1202" s="1">
        <v>336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"2025-12-08 05:34:39.190"</f>
        <v>2025-12-08 05:34:39.190</v>
      </c>
      <c r="H1202" t="s">
        <v>21</v>
      </c>
    </row>
    <row r="1203" spans="1:10" x14ac:dyDescent="0.25">
      <c r="A1203" s="1">
        <v>337</v>
      </c>
      <c r="B1203" t="s">
        <v>19</v>
      </c>
      <c r="C1203">
        <v>706</v>
      </c>
      <c r="D1203">
        <v>2</v>
      </c>
      <c r="E1203" t="s">
        <v>27</v>
      </c>
      <c r="F1203" t="s">
        <v>29</v>
      </c>
      <c r="G1203" t="str">
        <f>"2025-12-08 05:30:50.675"</f>
        <v>2025-12-08 05:30:50.675</v>
      </c>
      <c r="H1203" t="s">
        <v>21</v>
      </c>
      <c r="I1203">
        <v>0</v>
      </c>
      <c r="J1203" t="s">
        <v>26</v>
      </c>
    </row>
    <row r="1204" spans="1:10" x14ac:dyDescent="0.25">
      <c r="A1204" s="1">
        <v>338</v>
      </c>
      <c r="B1204" t="s">
        <v>19</v>
      </c>
      <c r="C1204">
        <v>700</v>
      </c>
      <c r="D1204">
        <v>0</v>
      </c>
      <c r="E1204" t="s">
        <v>20</v>
      </c>
      <c r="F1204" t="s">
        <v>20</v>
      </c>
      <c r="G1204" t="str">
        <f>"2025-12-08 05:29:25.425"</f>
        <v>2025-12-08 05:29:25.425</v>
      </c>
      <c r="H1204" t="s">
        <v>21</v>
      </c>
    </row>
    <row r="1205" spans="1:10" x14ac:dyDescent="0.25">
      <c r="A1205" s="1">
        <v>339</v>
      </c>
      <c r="B1205" t="s">
        <v>19</v>
      </c>
      <c r="C1205">
        <v>706</v>
      </c>
      <c r="D1205">
        <v>2</v>
      </c>
      <c r="E1205" t="s">
        <v>27</v>
      </c>
      <c r="F1205" t="s">
        <v>29</v>
      </c>
      <c r="G1205" t="str">
        <f>"2025-12-08 05:18:50.676"</f>
        <v>2025-12-08 05:18:50.676</v>
      </c>
      <c r="H1205" t="s">
        <v>21</v>
      </c>
      <c r="I1205">
        <v>0</v>
      </c>
      <c r="J1205" t="s">
        <v>26</v>
      </c>
    </row>
    <row r="1206" spans="1:10" x14ac:dyDescent="0.25">
      <c r="A1206" s="1">
        <v>340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"2025-12-08 04:56:24.196"</f>
        <v>2025-12-08 04:56:24.196</v>
      </c>
      <c r="H1206" t="s">
        <v>21</v>
      </c>
      <c r="I1206">
        <v>0</v>
      </c>
      <c r="J1206" t="s">
        <v>30</v>
      </c>
    </row>
    <row r="1207" spans="1:10" x14ac:dyDescent="0.25">
      <c r="A1207" s="1">
        <v>341</v>
      </c>
      <c r="B1207" t="s">
        <v>19</v>
      </c>
      <c r="C1207">
        <v>706</v>
      </c>
      <c r="D1207">
        <v>2</v>
      </c>
      <c r="E1207" t="s">
        <v>27</v>
      </c>
      <c r="F1207" t="s">
        <v>29</v>
      </c>
      <c r="G1207" t="str">
        <f>"2025-12-08 04:23:52.622"</f>
        <v>2025-12-08 04:23:52.622</v>
      </c>
      <c r="H1207" t="s">
        <v>21</v>
      </c>
      <c r="I1207">
        <v>0</v>
      </c>
      <c r="J1207" t="s">
        <v>26</v>
      </c>
    </row>
    <row r="1208" spans="1:10" x14ac:dyDescent="0.25">
      <c r="A1208" s="1">
        <v>342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"2025-12-08 03:44:02.452"</f>
        <v>2025-12-08 03:44:02.452</v>
      </c>
      <c r="H1208" t="s">
        <v>21</v>
      </c>
      <c r="I1208">
        <v>0</v>
      </c>
      <c r="J1208" t="s">
        <v>30</v>
      </c>
    </row>
    <row r="1209" spans="1:10" x14ac:dyDescent="0.25">
      <c r="A1209" s="1">
        <v>343</v>
      </c>
      <c r="B1209" t="s">
        <v>19</v>
      </c>
      <c r="C1209">
        <v>706</v>
      </c>
      <c r="D1209">
        <v>2</v>
      </c>
      <c r="E1209" t="s">
        <v>27</v>
      </c>
      <c r="F1209" t="s">
        <v>29</v>
      </c>
      <c r="G1209" t="str">
        <f>"2025-12-08 00:43:47.792"</f>
        <v>2025-12-08 00:43:47.792</v>
      </c>
      <c r="H1209" t="s">
        <v>21</v>
      </c>
      <c r="I1209">
        <v>0</v>
      </c>
      <c r="J1209" t="s">
        <v>26</v>
      </c>
    </row>
    <row r="1210" spans="1:10" x14ac:dyDescent="0.25">
      <c r="A1210" s="1">
        <v>344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"2025-12-07 12:43:18.192"</f>
        <v>2025-12-07 12:43:18.192</v>
      </c>
      <c r="H1210" t="s">
        <v>21</v>
      </c>
    </row>
    <row r="1211" spans="1:10" x14ac:dyDescent="0.25">
      <c r="A1211" s="1">
        <v>345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"2025-12-06 22:04:01.167"</f>
        <v>2025-12-06 22:04:01.167</v>
      </c>
      <c r="H1211" t="s">
        <v>21</v>
      </c>
    </row>
    <row r="1212" spans="1:10" x14ac:dyDescent="0.25">
      <c r="A1212" s="1">
        <v>346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"2025-12-06 21:09:27.164"</f>
        <v>2025-12-06 21:09:27.164</v>
      </c>
      <c r="H1212" t="s">
        <v>21</v>
      </c>
    </row>
    <row r="1213" spans="1:10" x14ac:dyDescent="0.25">
      <c r="A1213" s="1">
        <v>347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"2025-12-06 11:36:30.183"</f>
        <v>2025-12-06 11:36:30.183</v>
      </c>
      <c r="H1213" t="s">
        <v>21</v>
      </c>
      <c r="I1213">
        <v>0</v>
      </c>
      <c r="J1213" t="s">
        <v>30</v>
      </c>
    </row>
    <row r="1214" spans="1:10" x14ac:dyDescent="0.25">
      <c r="A1214" s="1">
        <v>348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"2025-12-06 08:53:42.209"</f>
        <v>2025-12-06 08:53:42.209</v>
      </c>
      <c r="H1214" t="s">
        <v>21</v>
      </c>
      <c r="I1214">
        <v>0</v>
      </c>
      <c r="J1214" t="s">
        <v>30</v>
      </c>
    </row>
    <row r="1215" spans="1:10" x14ac:dyDescent="0.25">
      <c r="A1215" s="1">
        <v>349</v>
      </c>
      <c r="B1215" t="s">
        <v>19</v>
      </c>
      <c r="C1215">
        <v>706</v>
      </c>
      <c r="D1215">
        <v>4</v>
      </c>
      <c r="E1215" t="s">
        <v>27</v>
      </c>
      <c r="F1215" t="s">
        <v>28</v>
      </c>
      <c r="G1215" t="str">
        <f>"2025-12-06 08:40:12.548"</f>
        <v>2025-12-06 08:40:12.548</v>
      </c>
      <c r="H1215" t="s">
        <v>21</v>
      </c>
      <c r="I1215">
        <v>0</v>
      </c>
      <c r="J1215" t="s">
        <v>26</v>
      </c>
    </row>
    <row r="1216" spans="1:10" x14ac:dyDescent="0.25">
      <c r="A1216" s="1">
        <v>350</v>
      </c>
      <c r="B1216" t="s">
        <v>74</v>
      </c>
      <c r="C1216">
        <v>115</v>
      </c>
      <c r="D1216">
        <v>6</v>
      </c>
      <c r="E1216" t="s">
        <v>96</v>
      </c>
      <c r="F1216" t="s">
        <v>95</v>
      </c>
      <c r="G1216" t="str">
        <f>"2025-12-06 08:00:21.861"</f>
        <v>2025-12-06 08:00:21.861</v>
      </c>
      <c r="H1216" t="s">
        <v>21</v>
      </c>
    </row>
    <row r="1217" spans="1:10" x14ac:dyDescent="0.25">
      <c r="A1217" s="1">
        <v>351</v>
      </c>
      <c r="B1217" t="s">
        <v>74</v>
      </c>
      <c r="C1217">
        <v>215</v>
      </c>
      <c r="D1217">
        <v>6</v>
      </c>
      <c r="E1217" t="s">
        <v>94</v>
      </c>
      <c r="F1217" t="s">
        <v>95</v>
      </c>
      <c r="G1217" t="str">
        <f>"2025-12-06 08:00:21.261"</f>
        <v>2025-12-06 08:00:21.261</v>
      </c>
      <c r="H1217" t="s">
        <v>21</v>
      </c>
    </row>
    <row r="1218" spans="1:10" x14ac:dyDescent="0.25">
      <c r="A1218" s="1">
        <v>352</v>
      </c>
      <c r="B1218" t="s">
        <v>22</v>
      </c>
      <c r="C1218">
        <v>115</v>
      </c>
      <c r="D1218">
        <v>6</v>
      </c>
      <c r="E1218" t="s">
        <v>96</v>
      </c>
      <c r="F1218" t="s">
        <v>95</v>
      </c>
      <c r="G1218" t="str">
        <f>"2025-12-06 08:00:16.817"</f>
        <v>2025-12-06 08:00:16.817</v>
      </c>
      <c r="H1218" t="s">
        <v>21</v>
      </c>
      <c r="I1218">
        <v>0</v>
      </c>
      <c r="J1218" t="s">
        <v>26</v>
      </c>
    </row>
    <row r="1219" spans="1:10" x14ac:dyDescent="0.25">
      <c r="A1219" s="1">
        <v>353</v>
      </c>
      <c r="B1219" t="s">
        <v>22</v>
      </c>
      <c r="C1219">
        <v>215</v>
      </c>
      <c r="D1219">
        <v>6</v>
      </c>
      <c r="E1219" t="s">
        <v>94</v>
      </c>
      <c r="F1219" t="s">
        <v>95</v>
      </c>
      <c r="G1219" t="str">
        <f>"2025-12-06 08:00:16.257"</f>
        <v>2025-12-06 08:00:16.257</v>
      </c>
      <c r="H1219" t="s">
        <v>21</v>
      </c>
      <c r="I1219">
        <v>0</v>
      </c>
      <c r="J1219" t="s">
        <v>26</v>
      </c>
    </row>
    <row r="1220" spans="1:10" x14ac:dyDescent="0.25">
      <c r="A1220" s="1">
        <v>354</v>
      </c>
      <c r="B1220" t="s">
        <v>31</v>
      </c>
      <c r="C1220">
        <v>6</v>
      </c>
      <c r="D1220">
        <v>1</v>
      </c>
      <c r="E1220" t="s">
        <v>84</v>
      </c>
      <c r="F1220" t="s">
        <v>85</v>
      </c>
      <c r="G1220" t="str">
        <f>"2025-12-06 08:00:16.108"</f>
        <v>2025-12-06 08:00:16.108</v>
      </c>
      <c r="H1220" t="s">
        <v>64</v>
      </c>
    </row>
    <row r="1221" spans="1:10" x14ac:dyDescent="0.25">
      <c r="A1221" s="1">
        <v>355</v>
      </c>
      <c r="B1221" t="s">
        <v>31</v>
      </c>
      <c r="C1221">
        <v>75</v>
      </c>
      <c r="D1221">
        <v>1</v>
      </c>
      <c r="E1221" t="s">
        <v>86</v>
      </c>
      <c r="F1221" t="s">
        <v>87</v>
      </c>
      <c r="G1221" t="str">
        <f>"2025-12-06 08:00:16.107"</f>
        <v>2025-12-06 08:00:16.107</v>
      </c>
      <c r="H1221" t="s">
        <v>53</v>
      </c>
    </row>
    <row r="1222" spans="1:10" x14ac:dyDescent="0.25">
      <c r="A1222" s="1">
        <v>356</v>
      </c>
      <c r="B1222" t="s">
        <v>31</v>
      </c>
      <c r="C1222">
        <v>74</v>
      </c>
      <c r="D1222">
        <v>1</v>
      </c>
      <c r="E1222" t="s">
        <v>88</v>
      </c>
      <c r="F1222" t="s">
        <v>89</v>
      </c>
      <c r="G1222" t="str">
        <f>"2025-12-06 08:00:16.106"</f>
        <v>2025-12-06 08:00:16.106</v>
      </c>
      <c r="H1222" t="s">
        <v>60</v>
      </c>
    </row>
    <row r="1223" spans="1:10" x14ac:dyDescent="0.25">
      <c r="A1223" s="1">
        <v>357</v>
      </c>
      <c r="B1223" t="s">
        <v>34</v>
      </c>
      <c r="C1223">
        <v>75</v>
      </c>
      <c r="D1223">
        <v>1</v>
      </c>
      <c r="E1223" t="s">
        <v>86</v>
      </c>
      <c r="F1223" t="s">
        <v>87</v>
      </c>
      <c r="G1223" t="str">
        <f>"2025-12-06 08:00:04.770"</f>
        <v>2025-12-06 08:00:04.770</v>
      </c>
      <c r="H1223" t="s">
        <v>53</v>
      </c>
      <c r="I1223">
        <v>0</v>
      </c>
      <c r="J1223" t="s">
        <v>26</v>
      </c>
    </row>
    <row r="1224" spans="1:10" x14ac:dyDescent="0.25">
      <c r="A1224" s="1">
        <v>358</v>
      </c>
      <c r="B1224" t="s">
        <v>34</v>
      </c>
      <c r="C1224">
        <v>74</v>
      </c>
      <c r="D1224">
        <v>1</v>
      </c>
      <c r="E1224" t="s">
        <v>88</v>
      </c>
      <c r="F1224" t="s">
        <v>89</v>
      </c>
      <c r="G1224" t="str">
        <f>"2025-12-06 08:00:04.766"</f>
        <v>2025-12-06 08:00:04.766</v>
      </c>
      <c r="H1224" t="s">
        <v>60</v>
      </c>
      <c r="I1224">
        <v>0</v>
      </c>
      <c r="J1224" t="s">
        <v>26</v>
      </c>
    </row>
    <row r="1225" spans="1:10" x14ac:dyDescent="0.25">
      <c r="A1225" s="1">
        <v>359</v>
      </c>
      <c r="B1225" t="s">
        <v>22</v>
      </c>
      <c r="C1225">
        <v>6</v>
      </c>
      <c r="D1225">
        <v>1</v>
      </c>
      <c r="E1225" t="s">
        <v>84</v>
      </c>
      <c r="F1225" t="s">
        <v>85</v>
      </c>
      <c r="G1225" t="str">
        <f>"2025-12-06 08:00:04.760"</f>
        <v>2025-12-06 08:00:04.760</v>
      </c>
      <c r="H1225" t="s">
        <v>64</v>
      </c>
      <c r="I1225">
        <v>0</v>
      </c>
      <c r="J1225" t="s">
        <v>26</v>
      </c>
    </row>
    <row r="1226" spans="1:10" x14ac:dyDescent="0.25">
      <c r="A1226" s="1">
        <v>363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"2025-12-05 20:47:54.138"</f>
        <v>2025-12-05 20:47:54.138</v>
      </c>
      <c r="H1226" t="s">
        <v>21</v>
      </c>
      <c r="I1226">
        <v>0</v>
      </c>
      <c r="J1226" t="s">
        <v>30</v>
      </c>
    </row>
    <row r="1227" spans="1:10" x14ac:dyDescent="0.25">
      <c r="A1227" s="1">
        <v>364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"2025-12-05 19:03:57.153"</f>
        <v>2025-12-05 19:03:57.153</v>
      </c>
      <c r="H1227" t="s">
        <v>21</v>
      </c>
      <c r="I1227">
        <v>0</v>
      </c>
      <c r="J1227" t="s">
        <v>30</v>
      </c>
    </row>
    <row r="1228" spans="1:10" x14ac:dyDescent="0.25">
      <c r="A1228" s="1">
        <v>365</v>
      </c>
      <c r="B1228" t="s">
        <v>19</v>
      </c>
      <c r="C1228">
        <v>706</v>
      </c>
      <c r="D1228">
        <v>2</v>
      </c>
      <c r="E1228" t="s">
        <v>27</v>
      </c>
      <c r="F1228" t="s">
        <v>29</v>
      </c>
      <c r="G1228" t="str">
        <f>"2025-12-05 14:21:46.104"</f>
        <v>2025-12-05 14:21:46.104</v>
      </c>
      <c r="H1228" t="s">
        <v>21</v>
      </c>
      <c r="I1228">
        <v>0</v>
      </c>
      <c r="J1228" t="s">
        <v>26</v>
      </c>
    </row>
    <row r="1229" spans="1:10" x14ac:dyDescent="0.25">
      <c r="A1229" s="1">
        <v>366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"2025-12-05 14:21:02.114"</f>
        <v>2025-12-05 14:21:02.114</v>
      </c>
      <c r="H1229" t="s">
        <v>21</v>
      </c>
    </row>
    <row r="1230" spans="1:10" x14ac:dyDescent="0.25">
      <c r="A1230" s="1">
        <v>367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"2025-12-05 13:37:14.110"</f>
        <v>2025-12-05 13:37:14.110</v>
      </c>
      <c r="H1230" t="s">
        <v>21</v>
      </c>
    </row>
    <row r="1231" spans="1:10" x14ac:dyDescent="0.25">
      <c r="A1231" s="1">
        <v>368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"2025-12-05 09:49:34.104"</f>
        <v>2025-12-05 09:49:34.104</v>
      </c>
      <c r="H1231" t="s">
        <v>21</v>
      </c>
    </row>
    <row r="1232" spans="1:10" x14ac:dyDescent="0.25">
      <c r="A1232" s="1">
        <v>369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"2025-12-05 09:37:37.339"</f>
        <v>2025-12-05 09:37:37.339</v>
      </c>
      <c r="H1232" t="s">
        <v>21</v>
      </c>
      <c r="I1232">
        <v>0</v>
      </c>
      <c r="J1232" t="s">
        <v>30</v>
      </c>
    </row>
    <row r="1233" spans="1:10" x14ac:dyDescent="0.25">
      <c r="A1233" s="1">
        <v>370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"2025-12-05 09:27:14.328"</f>
        <v>2025-12-05 09:27:14.328</v>
      </c>
      <c r="H1233" t="s">
        <v>21</v>
      </c>
      <c r="I1233">
        <v>0</v>
      </c>
      <c r="J1233" t="s">
        <v>30</v>
      </c>
    </row>
    <row r="1234" spans="1:10" x14ac:dyDescent="0.25">
      <c r="A1234" s="1">
        <v>371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"2025-12-05 09:18:44.102"</f>
        <v>2025-12-05 09:18:44.102</v>
      </c>
      <c r="H1234" t="s">
        <v>21</v>
      </c>
      <c r="I1234">
        <v>0</v>
      </c>
      <c r="J1234" t="s">
        <v>30</v>
      </c>
    </row>
    <row r="1235" spans="1:10" x14ac:dyDescent="0.25">
      <c r="A1235" s="1">
        <v>372</v>
      </c>
      <c r="B1235" t="s">
        <v>19</v>
      </c>
      <c r="C1235">
        <v>706</v>
      </c>
      <c r="D1235">
        <v>4</v>
      </c>
      <c r="E1235" t="s">
        <v>27</v>
      </c>
      <c r="F1235" t="s">
        <v>28</v>
      </c>
      <c r="G1235" t="str">
        <f>"2025-12-05 02:51:29.449"</f>
        <v>2025-12-05 02:51:29.449</v>
      </c>
      <c r="H1235" t="s">
        <v>21</v>
      </c>
      <c r="I1235">
        <v>0</v>
      </c>
      <c r="J1235" t="s">
        <v>26</v>
      </c>
    </row>
    <row r="1236" spans="1:10" x14ac:dyDescent="0.25">
      <c r="A1236" s="1">
        <v>373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"2025-12-05 02:50:00.099"</f>
        <v>2025-12-05 02:50:00.099</v>
      </c>
      <c r="H1236" t="s">
        <v>21</v>
      </c>
      <c r="I1236">
        <v>0</v>
      </c>
      <c r="J1236" t="s">
        <v>30</v>
      </c>
    </row>
    <row r="1237" spans="1:10" x14ac:dyDescent="0.25">
      <c r="A1237" s="1">
        <v>374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"2025-12-05 02:48:49.105"</f>
        <v>2025-12-05 02:48:49.105</v>
      </c>
      <c r="H1237" t="s">
        <v>21</v>
      </c>
      <c r="I1237">
        <v>0</v>
      </c>
      <c r="J1237" t="s">
        <v>30</v>
      </c>
    </row>
    <row r="1238" spans="1:10" x14ac:dyDescent="0.25">
      <c r="A1238" s="1">
        <v>375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"2025-12-04 23:21:13.111"</f>
        <v>2025-12-04 23:21:13.111</v>
      </c>
      <c r="H1238" t="s">
        <v>21</v>
      </c>
    </row>
    <row r="1239" spans="1:10" x14ac:dyDescent="0.25">
      <c r="A1239" s="1">
        <v>376</v>
      </c>
      <c r="B1239" t="s">
        <v>19</v>
      </c>
      <c r="C1239">
        <v>706</v>
      </c>
      <c r="D1239">
        <v>2</v>
      </c>
      <c r="E1239" t="s">
        <v>27</v>
      </c>
      <c r="F1239" t="s">
        <v>29</v>
      </c>
      <c r="G1239" t="str">
        <f>"2025-12-04 23:09:07.544"</f>
        <v>2025-12-04 23:09:07.544</v>
      </c>
      <c r="H1239" t="s">
        <v>21</v>
      </c>
      <c r="I1239">
        <v>0</v>
      </c>
      <c r="J1239" t="s">
        <v>26</v>
      </c>
    </row>
    <row r="1240" spans="1:10" x14ac:dyDescent="0.25">
      <c r="A1240" s="1">
        <v>377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"2025-12-04 23:05:33.094"</f>
        <v>2025-12-04 23:05:33.094</v>
      </c>
      <c r="H1240" t="s">
        <v>21</v>
      </c>
      <c r="I1240">
        <v>0</v>
      </c>
      <c r="J1240" t="s">
        <v>30</v>
      </c>
    </row>
    <row r="1241" spans="1:10" x14ac:dyDescent="0.25">
      <c r="A1241" s="1">
        <v>378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"2025-12-04 23:02:42.328"</f>
        <v>2025-12-04 23:02:42.328</v>
      </c>
      <c r="H1241" t="s">
        <v>21</v>
      </c>
    </row>
    <row r="1242" spans="1:10" x14ac:dyDescent="0.25">
      <c r="A1242" s="1">
        <v>379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"2025-12-04 21:09:38.104"</f>
        <v>2025-12-04 21:09:38.104</v>
      </c>
      <c r="H1242" t="s">
        <v>21</v>
      </c>
      <c r="I1242">
        <v>0</v>
      </c>
      <c r="J1242" t="s">
        <v>30</v>
      </c>
    </row>
    <row r="1243" spans="1:10" x14ac:dyDescent="0.25">
      <c r="A1243" s="1">
        <v>380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"2025-12-04 20:20:50.096"</f>
        <v>2025-12-04 20:20:50.096</v>
      </c>
      <c r="H1243" t="s">
        <v>21</v>
      </c>
      <c r="I1243">
        <v>0</v>
      </c>
      <c r="J1243" t="s">
        <v>30</v>
      </c>
    </row>
    <row r="1244" spans="1:10" x14ac:dyDescent="0.25">
      <c r="A1244" s="1">
        <v>381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"2025-12-04 11:49:14.098"</f>
        <v>2025-12-04 11:49:14.098</v>
      </c>
      <c r="H1244" t="s">
        <v>21</v>
      </c>
      <c r="I1244">
        <v>0</v>
      </c>
      <c r="J1244" t="s">
        <v>30</v>
      </c>
    </row>
    <row r="1245" spans="1:10" x14ac:dyDescent="0.25">
      <c r="A1245" s="1">
        <v>382</v>
      </c>
      <c r="B1245" t="s">
        <v>19</v>
      </c>
      <c r="C1245">
        <v>706</v>
      </c>
      <c r="D1245">
        <v>4</v>
      </c>
      <c r="E1245" t="s">
        <v>27</v>
      </c>
      <c r="F1245" t="s">
        <v>28</v>
      </c>
      <c r="G1245" t="str">
        <f>"2025-12-04 11:21:36.147"</f>
        <v>2025-12-04 11:21:36.147</v>
      </c>
      <c r="H1245" t="s">
        <v>21</v>
      </c>
      <c r="I1245">
        <v>0</v>
      </c>
      <c r="J1245" t="s">
        <v>26</v>
      </c>
    </row>
    <row r="1246" spans="1:10" x14ac:dyDescent="0.25">
      <c r="A1246" s="1">
        <v>383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"2025-12-04 11:16:41.097"</f>
        <v>2025-12-04 11:16:41.097</v>
      </c>
      <c r="H1246" t="s">
        <v>21</v>
      </c>
      <c r="I1246">
        <v>0</v>
      </c>
      <c r="J1246" t="s">
        <v>30</v>
      </c>
    </row>
    <row r="1247" spans="1:10" x14ac:dyDescent="0.25">
      <c r="A1247" s="1">
        <v>384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"2025-12-04 11:02:38.098"</f>
        <v>2025-12-04 11:02:38.098</v>
      </c>
      <c r="H1247" t="s">
        <v>21</v>
      </c>
      <c r="I1247">
        <v>0</v>
      </c>
      <c r="J1247" t="s">
        <v>30</v>
      </c>
    </row>
    <row r="1248" spans="1:10" x14ac:dyDescent="0.25">
      <c r="A1248" s="1">
        <v>385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"2025-12-04 10:43:04.103"</f>
        <v>2025-12-04 10:43:04.103</v>
      </c>
      <c r="H1248" t="s">
        <v>21</v>
      </c>
      <c r="I1248">
        <v>0</v>
      </c>
      <c r="J1248" t="s">
        <v>30</v>
      </c>
    </row>
    <row r="1249" spans="1:10" x14ac:dyDescent="0.25">
      <c r="A1249" s="1">
        <v>386</v>
      </c>
      <c r="B1249" t="s">
        <v>19</v>
      </c>
      <c r="C1249">
        <v>706</v>
      </c>
      <c r="D1249">
        <v>4</v>
      </c>
      <c r="E1249" t="s">
        <v>27</v>
      </c>
      <c r="F1249" t="s">
        <v>28</v>
      </c>
      <c r="G1249" t="str">
        <f>"2025-12-04 10:21:14.474"</f>
        <v>2025-12-04 10:21:14.474</v>
      </c>
      <c r="H1249" t="s">
        <v>21</v>
      </c>
      <c r="I1249">
        <v>0</v>
      </c>
      <c r="J1249" t="s">
        <v>26</v>
      </c>
    </row>
    <row r="1250" spans="1:10" x14ac:dyDescent="0.25">
      <c r="A1250" s="1">
        <v>387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"2025-12-04 10:20:32.094"</f>
        <v>2025-12-04 10:20:32.094</v>
      </c>
      <c r="H1250" t="s">
        <v>21</v>
      </c>
      <c r="I1250">
        <v>0</v>
      </c>
      <c r="J1250" t="s">
        <v>30</v>
      </c>
    </row>
    <row r="1251" spans="1:10" x14ac:dyDescent="0.25">
      <c r="A1251" s="1">
        <v>388</v>
      </c>
      <c r="B1251" t="s">
        <v>19</v>
      </c>
      <c r="C1251">
        <v>706</v>
      </c>
      <c r="D1251">
        <v>2</v>
      </c>
      <c r="E1251" t="s">
        <v>27</v>
      </c>
      <c r="F1251" t="s">
        <v>29</v>
      </c>
      <c r="G1251" t="str">
        <f>"2025-12-04 09:55:40.953"</f>
        <v>2025-12-04 09:55:40.953</v>
      </c>
      <c r="H1251" t="s">
        <v>21</v>
      </c>
      <c r="I1251">
        <v>0</v>
      </c>
      <c r="J1251" t="s">
        <v>26</v>
      </c>
    </row>
    <row r="1252" spans="1:10" x14ac:dyDescent="0.25">
      <c r="A1252" s="1">
        <v>389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"2025-12-04 09:52:49.093"</f>
        <v>2025-12-04 09:52:49.093</v>
      </c>
      <c r="H1252" t="s">
        <v>21</v>
      </c>
      <c r="I1252">
        <v>0</v>
      </c>
      <c r="J1252" t="s">
        <v>30</v>
      </c>
    </row>
    <row r="1253" spans="1:10" x14ac:dyDescent="0.25">
      <c r="A1253" s="1">
        <v>390</v>
      </c>
      <c r="B1253" t="s">
        <v>19</v>
      </c>
      <c r="C1253">
        <v>706</v>
      </c>
      <c r="D1253">
        <v>4</v>
      </c>
      <c r="E1253" t="s">
        <v>27</v>
      </c>
      <c r="F1253" t="s">
        <v>28</v>
      </c>
      <c r="G1253" t="str">
        <f>"2025-12-04 09:42:28.347"</f>
        <v>2025-12-04 09:42:28.347</v>
      </c>
      <c r="H1253" t="s">
        <v>21</v>
      </c>
      <c r="I1253">
        <v>0</v>
      </c>
      <c r="J1253" t="s">
        <v>26</v>
      </c>
    </row>
    <row r="1254" spans="1:10" x14ac:dyDescent="0.25">
      <c r="A1254" s="1">
        <v>391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"2025-12-04 09:40:29.087"</f>
        <v>2025-12-04 09:40:29.087</v>
      </c>
      <c r="H1254" t="s">
        <v>21</v>
      </c>
    </row>
    <row r="1255" spans="1:10" x14ac:dyDescent="0.25">
      <c r="A1255" s="1">
        <v>392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"2025-12-04 09:24:58.318"</f>
        <v>2025-12-04 09:24:58.318</v>
      </c>
      <c r="H1255" t="s">
        <v>21</v>
      </c>
    </row>
    <row r="1256" spans="1:10" x14ac:dyDescent="0.25">
      <c r="A1256" s="1">
        <v>393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"2025-12-04 09:22:44.110"</f>
        <v>2025-12-04 09:22:44.110</v>
      </c>
      <c r="H1256" t="s">
        <v>21</v>
      </c>
      <c r="I1256">
        <v>0</v>
      </c>
      <c r="J1256" t="s">
        <v>30</v>
      </c>
    </row>
    <row r="1257" spans="1:10" x14ac:dyDescent="0.25">
      <c r="A1257" s="1">
        <v>394</v>
      </c>
      <c r="B1257" t="s">
        <v>19</v>
      </c>
      <c r="C1257">
        <v>706</v>
      </c>
      <c r="D1257">
        <v>4</v>
      </c>
      <c r="E1257" t="s">
        <v>27</v>
      </c>
      <c r="F1257" t="s">
        <v>28</v>
      </c>
      <c r="G1257" t="str">
        <f>"2025-12-04 09:17:00.134"</f>
        <v>2025-12-04 09:17:00.134</v>
      </c>
      <c r="H1257" t="s">
        <v>21</v>
      </c>
      <c r="I1257">
        <v>0</v>
      </c>
      <c r="J1257" t="s">
        <v>26</v>
      </c>
    </row>
    <row r="1258" spans="1:10" x14ac:dyDescent="0.25">
      <c r="A1258" s="1">
        <v>395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"2025-12-04 09:13:36.314"</f>
        <v>2025-12-04 09:13:36.314</v>
      </c>
      <c r="H1258" t="s">
        <v>21</v>
      </c>
    </row>
    <row r="1259" spans="1:10" x14ac:dyDescent="0.25">
      <c r="A1259" s="1">
        <v>396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"2025-12-04 08:54:22.092"</f>
        <v>2025-12-04 08:54:22.092</v>
      </c>
      <c r="H1259" t="s">
        <v>21</v>
      </c>
    </row>
    <row r="1260" spans="1:10" x14ac:dyDescent="0.25">
      <c r="A1260" s="1">
        <v>397</v>
      </c>
      <c r="B1260" t="s">
        <v>19</v>
      </c>
      <c r="C1260">
        <v>706</v>
      </c>
      <c r="D1260">
        <v>4</v>
      </c>
      <c r="E1260" t="s">
        <v>27</v>
      </c>
      <c r="F1260" t="s">
        <v>28</v>
      </c>
      <c r="G1260" t="str">
        <f>"2025-12-03 16:03:51.745"</f>
        <v>2025-12-03 16:03:51.745</v>
      </c>
      <c r="H1260" t="s">
        <v>21</v>
      </c>
      <c r="I1260">
        <v>0</v>
      </c>
      <c r="J1260" t="s">
        <v>26</v>
      </c>
    </row>
    <row r="1261" spans="1:10" x14ac:dyDescent="0.25">
      <c r="A1261" s="1">
        <v>398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"2025-12-03 16:00:28.085"</f>
        <v>2025-12-03 16:00:28.085</v>
      </c>
      <c r="H1261" t="s">
        <v>21</v>
      </c>
    </row>
    <row r="1262" spans="1:10" x14ac:dyDescent="0.25">
      <c r="A1262" s="1">
        <v>399</v>
      </c>
      <c r="B1262" t="s">
        <v>19</v>
      </c>
      <c r="C1262">
        <v>706</v>
      </c>
      <c r="D1262">
        <v>4</v>
      </c>
      <c r="E1262" t="s">
        <v>27</v>
      </c>
      <c r="F1262" t="s">
        <v>28</v>
      </c>
      <c r="G1262" t="str">
        <f>"2025-12-03 15:44:54.421"</f>
        <v>2025-12-03 15:44:54.421</v>
      </c>
      <c r="H1262" t="s">
        <v>21</v>
      </c>
      <c r="I1262">
        <v>0</v>
      </c>
      <c r="J1262" t="s">
        <v>26</v>
      </c>
    </row>
    <row r="1263" spans="1:10" x14ac:dyDescent="0.25">
      <c r="A1263" s="1">
        <v>400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"2025-12-03 15:41:51.311"</f>
        <v>2025-12-03 15:41:51.311</v>
      </c>
      <c r="H1263" t="s">
        <v>21</v>
      </c>
    </row>
    <row r="1264" spans="1:10" x14ac:dyDescent="0.25">
      <c r="A1264" s="1">
        <v>401</v>
      </c>
      <c r="B1264" t="s">
        <v>19</v>
      </c>
      <c r="C1264">
        <v>706</v>
      </c>
      <c r="D1264">
        <v>4</v>
      </c>
      <c r="E1264" t="s">
        <v>27</v>
      </c>
      <c r="F1264" t="s">
        <v>28</v>
      </c>
      <c r="G1264" t="str">
        <f>"2025-12-03 15:31:47.787"</f>
        <v>2025-12-03 15:31:47.787</v>
      </c>
      <c r="H1264" t="s">
        <v>21</v>
      </c>
      <c r="I1264">
        <v>0</v>
      </c>
      <c r="J1264" t="s">
        <v>26</v>
      </c>
    </row>
    <row r="1265" spans="1:10" x14ac:dyDescent="0.25">
      <c r="A1265" s="1">
        <v>402</v>
      </c>
      <c r="B1265" t="s">
        <v>19</v>
      </c>
      <c r="C1265">
        <v>706</v>
      </c>
      <c r="D1265">
        <v>2</v>
      </c>
      <c r="E1265" t="s">
        <v>27</v>
      </c>
      <c r="F1265" t="s">
        <v>29</v>
      </c>
      <c r="G1265" t="str">
        <f>"2025-12-03 15:15:57.297"</f>
        <v>2025-12-03 15:15:57.297</v>
      </c>
      <c r="H1265" t="s">
        <v>21</v>
      </c>
      <c r="I1265">
        <v>0</v>
      </c>
      <c r="J1265" t="s">
        <v>26</v>
      </c>
    </row>
    <row r="1266" spans="1:10" x14ac:dyDescent="0.25">
      <c r="A1266" s="1">
        <v>403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"2025-12-03 14:59:38.077"</f>
        <v>2025-12-03 14:59:38.077</v>
      </c>
      <c r="H1266" t="s">
        <v>21</v>
      </c>
    </row>
    <row r="1267" spans="1:10" x14ac:dyDescent="0.25">
      <c r="A1267" s="1">
        <v>404</v>
      </c>
      <c r="B1267" t="s">
        <v>19</v>
      </c>
      <c r="C1267">
        <v>706</v>
      </c>
      <c r="D1267">
        <v>4</v>
      </c>
      <c r="E1267" t="s">
        <v>27</v>
      </c>
      <c r="F1267" t="s">
        <v>28</v>
      </c>
      <c r="G1267" t="str">
        <f>"2025-12-03 14:52:35.047"</f>
        <v>2025-12-03 14:52:35.047</v>
      </c>
      <c r="H1267" t="s">
        <v>21</v>
      </c>
      <c r="I1267">
        <v>0</v>
      </c>
      <c r="J1267" t="s">
        <v>26</v>
      </c>
    </row>
    <row r="1268" spans="1:10" x14ac:dyDescent="0.25">
      <c r="A1268" s="1">
        <v>405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"2025-12-03 14:50:24.117"</f>
        <v>2025-12-03 14:50:24.117</v>
      </c>
      <c r="H1268" t="s">
        <v>21</v>
      </c>
    </row>
    <row r="1269" spans="1:10" x14ac:dyDescent="0.25">
      <c r="A1269" s="1">
        <v>406</v>
      </c>
      <c r="B1269" t="s">
        <v>31</v>
      </c>
      <c r="C1269">
        <v>89</v>
      </c>
      <c r="D1269">
        <v>3</v>
      </c>
      <c r="E1269" t="s">
        <v>104</v>
      </c>
      <c r="F1269" t="s">
        <v>105</v>
      </c>
      <c r="G1269" t="str">
        <f>"2025-12-03 14:40:41.715"</f>
        <v>2025-12-03 14:40:41.715</v>
      </c>
      <c r="H1269" t="s">
        <v>21</v>
      </c>
    </row>
    <row r="1270" spans="1:10" x14ac:dyDescent="0.25">
      <c r="A1270" s="1">
        <v>407</v>
      </c>
      <c r="B1270" t="s">
        <v>22</v>
      </c>
      <c r="C1270">
        <v>89</v>
      </c>
      <c r="D1270">
        <v>3</v>
      </c>
      <c r="E1270" t="s">
        <v>104</v>
      </c>
      <c r="F1270" t="s">
        <v>105</v>
      </c>
      <c r="G1270" t="str">
        <f>"2025-12-03 14:40:18.416"</f>
        <v>2025-12-03 14:40:18.416</v>
      </c>
      <c r="H1270" t="s">
        <v>21</v>
      </c>
      <c r="I1270">
        <v>0</v>
      </c>
      <c r="J1270" t="s">
        <v>26</v>
      </c>
    </row>
    <row r="1271" spans="1:10" x14ac:dyDescent="0.25">
      <c r="A1271" s="1">
        <v>408</v>
      </c>
      <c r="B1271" t="s">
        <v>19</v>
      </c>
      <c r="C1271">
        <v>706</v>
      </c>
      <c r="D1271">
        <v>4</v>
      </c>
      <c r="E1271" t="s">
        <v>27</v>
      </c>
      <c r="F1271" t="s">
        <v>28</v>
      </c>
      <c r="G1271" t="str">
        <f>"2025-12-03 14:39:58.038"</f>
        <v>2025-12-03 14:39:58.038</v>
      </c>
      <c r="H1271" t="s">
        <v>21</v>
      </c>
      <c r="I1271">
        <v>0</v>
      </c>
      <c r="J1271" t="s">
        <v>26</v>
      </c>
    </row>
    <row r="1272" spans="1:10" x14ac:dyDescent="0.25">
      <c r="A1272" s="1">
        <v>409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"2025-12-03 11:33:28.298"</f>
        <v>2025-12-03 11:33:28.298</v>
      </c>
      <c r="H1272" t="s">
        <v>21</v>
      </c>
      <c r="I1272">
        <v>0</v>
      </c>
      <c r="J1272" t="s">
        <v>30</v>
      </c>
    </row>
    <row r="1273" spans="1:10" x14ac:dyDescent="0.25">
      <c r="A1273" s="1">
        <v>410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"2025-12-03 11:20:50.076"</f>
        <v>2025-12-03 11:20:50.076</v>
      </c>
      <c r="H1273" t="s">
        <v>21</v>
      </c>
      <c r="I1273">
        <v>0</v>
      </c>
      <c r="J1273" t="s">
        <v>30</v>
      </c>
    </row>
    <row r="1274" spans="1:10" x14ac:dyDescent="0.25">
      <c r="A1274" s="1">
        <v>411</v>
      </c>
      <c r="B1274" t="s">
        <v>19</v>
      </c>
      <c r="C1274">
        <v>706</v>
      </c>
      <c r="D1274">
        <v>4</v>
      </c>
      <c r="E1274" t="s">
        <v>27</v>
      </c>
      <c r="F1274" t="s">
        <v>28</v>
      </c>
      <c r="G1274" t="str">
        <f>"2025-12-03 09:34:51.070"</f>
        <v>2025-12-03 09:34:51.070</v>
      </c>
      <c r="H1274" t="s">
        <v>21</v>
      </c>
      <c r="I1274">
        <v>0</v>
      </c>
      <c r="J1274" t="s">
        <v>26</v>
      </c>
    </row>
    <row r="1275" spans="1:10" x14ac:dyDescent="0.25">
      <c r="A1275" s="1">
        <v>412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"2025-12-03 09:34:31.080"</f>
        <v>2025-12-03 09:34:31.080</v>
      </c>
      <c r="H1275" t="s">
        <v>21</v>
      </c>
    </row>
    <row r="1276" spans="1:10" x14ac:dyDescent="0.25">
      <c r="A1276" s="1">
        <v>413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"2025-12-03 01:26:22.081"</f>
        <v>2025-12-03 01:26:22.081</v>
      </c>
      <c r="H1276" t="s">
        <v>21</v>
      </c>
      <c r="I1276">
        <v>0</v>
      </c>
      <c r="J1276" t="s">
        <v>30</v>
      </c>
    </row>
    <row r="1277" spans="1:10" x14ac:dyDescent="0.25">
      <c r="A1277" s="1">
        <v>414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"2025-12-02 17:00:49.083"</f>
        <v>2025-12-02 17:00:49.083</v>
      </c>
      <c r="H1277" t="s">
        <v>21</v>
      </c>
    </row>
    <row r="1278" spans="1:10" x14ac:dyDescent="0.25">
      <c r="A1278" s="1">
        <v>415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"2025-12-02 16:57:20.077"</f>
        <v>2025-12-02 16:57:20.077</v>
      </c>
      <c r="H1278" t="s">
        <v>21</v>
      </c>
      <c r="I1278">
        <v>0</v>
      </c>
      <c r="J1278" t="s">
        <v>30</v>
      </c>
    </row>
    <row r="1279" spans="1:10" x14ac:dyDescent="0.25">
      <c r="A1279" s="1">
        <v>416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"2025-12-02 16:48:24.077"</f>
        <v>2025-12-02 16:48:24.077</v>
      </c>
      <c r="H1279" t="s">
        <v>21</v>
      </c>
      <c r="I1279">
        <v>0</v>
      </c>
      <c r="J1279" t="s">
        <v>30</v>
      </c>
    </row>
    <row r="1280" spans="1:10" x14ac:dyDescent="0.25">
      <c r="A1280" s="1">
        <v>417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"2025-12-02 16:04:34.074"</f>
        <v>2025-12-02 16:04:34.074</v>
      </c>
      <c r="H1280" t="s">
        <v>21</v>
      </c>
      <c r="I1280">
        <v>0</v>
      </c>
      <c r="J1280" t="s">
        <v>30</v>
      </c>
    </row>
    <row r="1281" spans="1:10" x14ac:dyDescent="0.25">
      <c r="A1281" s="1">
        <v>418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"2025-12-02 11:52:16.082"</f>
        <v>2025-12-02 11:52:16.082</v>
      </c>
      <c r="H1281" t="s">
        <v>21</v>
      </c>
      <c r="I1281">
        <v>0</v>
      </c>
      <c r="J1281" t="s">
        <v>30</v>
      </c>
    </row>
    <row r="1282" spans="1:10" x14ac:dyDescent="0.25">
      <c r="A1282" s="1">
        <v>419</v>
      </c>
      <c r="B1282" t="s">
        <v>19</v>
      </c>
      <c r="C1282">
        <v>700</v>
      </c>
      <c r="D1282">
        <v>0</v>
      </c>
      <c r="E1282" t="s">
        <v>20</v>
      </c>
      <c r="F1282" t="s">
        <v>20</v>
      </c>
      <c r="G1282" t="str">
        <f>"2025-12-02 09:00:32.085"</f>
        <v>2025-12-02 09:00:32.085</v>
      </c>
      <c r="H1282" t="s">
        <v>21</v>
      </c>
      <c r="I1282">
        <v>0</v>
      </c>
      <c r="J1282" t="s">
        <v>30</v>
      </c>
    </row>
    <row r="1283" spans="1:10" x14ac:dyDescent="0.25">
      <c r="A1283" s="1">
        <v>420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"2025-12-01 16:37:29.098"</f>
        <v>2025-12-01 16:37:29.098</v>
      </c>
      <c r="H1283" t="s">
        <v>21</v>
      </c>
      <c r="I1283">
        <v>0</v>
      </c>
      <c r="J1283" t="s">
        <v>30</v>
      </c>
    </row>
    <row r="1284" spans="1:10" x14ac:dyDescent="0.25">
      <c r="A1284" s="1">
        <v>421</v>
      </c>
      <c r="B1284" t="s">
        <v>74</v>
      </c>
      <c r="C1284">
        <v>77</v>
      </c>
      <c r="D1284">
        <v>1</v>
      </c>
      <c r="E1284" t="s">
        <v>106</v>
      </c>
      <c r="F1284" t="s">
        <v>107</v>
      </c>
      <c r="G1284" t="str">
        <f>"2025-12-01 14:19:12.543"</f>
        <v>2025-12-01 14:19:12.543</v>
      </c>
      <c r="H1284" t="s">
        <v>64</v>
      </c>
    </row>
    <row r="1285" spans="1:10" x14ac:dyDescent="0.25">
      <c r="A1285" s="1">
        <v>422</v>
      </c>
      <c r="B1285" t="s">
        <v>22</v>
      </c>
      <c r="C1285">
        <v>77</v>
      </c>
      <c r="D1285">
        <v>1</v>
      </c>
      <c r="E1285" t="s">
        <v>106</v>
      </c>
      <c r="F1285" t="s">
        <v>107</v>
      </c>
      <c r="G1285" t="str">
        <f>"2025-12-01 14:19:07.473"</f>
        <v>2025-12-01 14:19:07.473</v>
      </c>
      <c r="H1285" t="s">
        <v>64</v>
      </c>
      <c r="I1285">
        <v>0</v>
      </c>
      <c r="J1285" t="s">
        <v>26</v>
      </c>
    </row>
    <row r="1286" spans="1:10" x14ac:dyDescent="0.25">
      <c r="A1286" s="1">
        <v>423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"2025-12-01 14:18:31.043"</f>
        <v>2025-12-01 14:18:31.043</v>
      </c>
      <c r="H1286" t="s">
        <v>21</v>
      </c>
    </row>
    <row r="1287" spans="1:10" x14ac:dyDescent="0.25">
      <c r="A1287" s="1">
        <v>424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"2025-12-01 10:44:11.054"</f>
        <v>2025-12-01 10:44:11.054</v>
      </c>
      <c r="H1287" t="s">
        <v>21</v>
      </c>
      <c r="I1287">
        <v>0</v>
      </c>
      <c r="J1287" t="s">
        <v>30</v>
      </c>
    </row>
    <row r="1288" spans="1:10" x14ac:dyDescent="0.25">
      <c r="A1288" s="1">
        <v>425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"2025-12-01 10:35:16.034"</f>
        <v>2025-12-01 10:35:16.034</v>
      </c>
      <c r="H1288" t="s">
        <v>21</v>
      </c>
    </row>
    <row r="1289" spans="1:10" x14ac:dyDescent="0.25">
      <c r="A1289" s="1">
        <v>426</v>
      </c>
      <c r="B1289" t="s">
        <v>19</v>
      </c>
      <c r="C1289">
        <v>706</v>
      </c>
      <c r="D1289">
        <v>4</v>
      </c>
      <c r="E1289" t="s">
        <v>27</v>
      </c>
      <c r="F1289" t="s">
        <v>28</v>
      </c>
      <c r="G1289" t="str">
        <f>"2025-12-01 10:19:17.778"</f>
        <v>2025-12-01 10:19:17.778</v>
      </c>
      <c r="H1289" t="s">
        <v>21</v>
      </c>
      <c r="I1289">
        <v>0</v>
      </c>
      <c r="J1289" t="s">
        <v>26</v>
      </c>
    </row>
    <row r="1290" spans="1:10" x14ac:dyDescent="0.25">
      <c r="A1290" s="1">
        <v>427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"2025-12-01 09:45:45.038"</f>
        <v>2025-12-01 09:45:45.038</v>
      </c>
      <c r="H1290" t="s">
        <v>21</v>
      </c>
    </row>
    <row r="1291" spans="1:10" x14ac:dyDescent="0.25">
      <c r="A1291" s="1">
        <v>428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"2025-12-01 09:12:25.045"</f>
        <v>2025-12-01 09:12:25.045</v>
      </c>
      <c r="H1291" t="s">
        <v>21</v>
      </c>
      <c r="I1291">
        <v>0</v>
      </c>
      <c r="J1291" t="s">
        <v>30</v>
      </c>
    </row>
    <row r="1292" spans="1:10" x14ac:dyDescent="0.25">
      <c r="A1292" s="1">
        <v>429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"2025-11-30 18:44:54.041"</f>
        <v>2025-11-30 18:44:54.041</v>
      </c>
      <c r="H1292" t="s">
        <v>21</v>
      </c>
      <c r="I1292">
        <v>0</v>
      </c>
      <c r="J1292" t="s">
        <v>30</v>
      </c>
    </row>
    <row r="1293" spans="1:10" x14ac:dyDescent="0.25">
      <c r="A1293" s="1">
        <v>430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"2025-11-30 18:35:55.046"</f>
        <v>2025-11-30 18:35:55.046</v>
      </c>
      <c r="H1293" t="s">
        <v>21</v>
      </c>
    </row>
    <row r="1294" spans="1:10" x14ac:dyDescent="0.25">
      <c r="A1294" s="1">
        <v>431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"2025-11-30 18:15:29.033"</f>
        <v>2025-11-30 18:15:29.033</v>
      </c>
      <c r="H1294" t="s">
        <v>21</v>
      </c>
      <c r="I1294">
        <v>0</v>
      </c>
      <c r="J1294" t="s">
        <v>30</v>
      </c>
    </row>
    <row r="1295" spans="1:10" x14ac:dyDescent="0.25">
      <c r="A1295" s="1">
        <v>432</v>
      </c>
      <c r="B1295" t="s">
        <v>19</v>
      </c>
      <c r="C1295">
        <v>706</v>
      </c>
      <c r="D1295">
        <v>2</v>
      </c>
      <c r="E1295" t="s">
        <v>27</v>
      </c>
      <c r="F1295" t="s">
        <v>29</v>
      </c>
      <c r="G1295" t="str">
        <f>"2025-11-30 18:12:41.729"</f>
        <v>2025-11-30 18:12:41.729</v>
      </c>
      <c r="H1295" t="s">
        <v>21</v>
      </c>
      <c r="I1295">
        <v>0</v>
      </c>
      <c r="J1295" t="s">
        <v>26</v>
      </c>
    </row>
    <row r="1296" spans="1:10" x14ac:dyDescent="0.25">
      <c r="A1296" s="1">
        <v>433</v>
      </c>
      <c r="B1296" t="s">
        <v>19</v>
      </c>
      <c r="C1296">
        <v>706</v>
      </c>
      <c r="D1296">
        <v>2</v>
      </c>
      <c r="E1296" t="s">
        <v>27</v>
      </c>
      <c r="F1296" t="s">
        <v>29</v>
      </c>
      <c r="G1296" t="str">
        <f>"2025-11-30 18:12:09.329"</f>
        <v>2025-11-30 18:12:09.329</v>
      </c>
      <c r="H1296" t="s">
        <v>21</v>
      </c>
      <c r="I1296">
        <v>0</v>
      </c>
      <c r="J1296" t="s">
        <v>26</v>
      </c>
    </row>
    <row r="1297" spans="1:10" x14ac:dyDescent="0.25">
      <c r="A1297" s="1">
        <v>434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"2025-11-30 18:11:47.039"</f>
        <v>2025-11-30 18:11:47.039</v>
      </c>
      <c r="H1297" t="s">
        <v>21</v>
      </c>
    </row>
    <row r="1298" spans="1:10" x14ac:dyDescent="0.25">
      <c r="A1298" s="1">
        <v>435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"2025-11-30 18:09:05.248"</f>
        <v>2025-11-30 18:09:05.248</v>
      </c>
      <c r="H1298" t="s">
        <v>21</v>
      </c>
      <c r="I1298">
        <v>0</v>
      </c>
      <c r="J1298" t="s">
        <v>30</v>
      </c>
    </row>
    <row r="1299" spans="1:10" x14ac:dyDescent="0.25">
      <c r="A1299" s="1">
        <v>436</v>
      </c>
      <c r="B1299" t="s">
        <v>31</v>
      </c>
      <c r="C1299">
        <v>98</v>
      </c>
      <c r="D1299">
        <v>1</v>
      </c>
      <c r="E1299" t="s">
        <v>40</v>
      </c>
      <c r="F1299" t="s">
        <v>41</v>
      </c>
      <c r="G1299" t="str">
        <f>"2025-11-30 18:02:49.054"</f>
        <v>2025-11-30 18:02:49.054</v>
      </c>
      <c r="H1299" t="s">
        <v>21</v>
      </c>
    </row>
    <row r="1300" spans="1:10" x14ac:dyDescent="0.25">
      <c r="A1300" s="1">
        <v>437</v>
      </c>
      <c r="B1300" t="s">
        <v>34</v>
      </c>
      <c r="C1300">
        <v>98</v>
      </c>
      <c r="D1300">
        <v>1</v>
      </c>
      <c r="E1300" t="s">
        <v>40</v>
      </c>
      <c r="F1300" t="s">
        <v>41</v>
      </c>
      <c r="G1300" t="str">
        <f>"2025-11-30 18:02:47.954"</f>
        <v>2025-11-30 18:02:47.954</v>
      </c>
      <c r="H1300" t="s">
        <v>21</v>
      </c>
      <c r="I1300">
        <v>0</v>
      </c>
      <c r="J1300" t="s">
        <v>26</v>
      </c>
    </row>
    <row r="1301" spans="1:10" x14ac:dyDescent="0.25">
      <c r="A1301" s="1">
        <v>438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"2025-11-30 18:01:30.042"</f>
        <v>2025-11-30 18:01:30.042</v>
      </c>
      <c r="H1301" t="s">
        <v>21</v>
      </c>
      <c r="I1301">
        <v>0</v>
      </c>
      <c r="J1301" t="s">
        <v>30</v>
      </c>
    </row>
    <row r="1302" spans="1:10" x14ac:dyDescent="0.25">
      <c r="A1302" s="1">
        <v>439</v>
      </c>
      <c r="B1302" t="s">
        <v>31</v>
      </c>
      <c r="C1302">
        <v>98</v>
      </c>
      <c r="D1302">
        <v>1</v>
      </c>
      <c r="E1302" t="s">
        <v>40</v>
      </c>
      <c r="F1302" t="s">
        <v>41</v>
      </c>
      <c r="G1302" t="str">
        <f>"2025-11-30 17:52:45.819"</f>
        <v>2025-11-30 17:52:45.819</v>
      </c>
      <c r="H1302" t="s">
        <v>21</v>
      </c>
    </row>
    <row r="1303" spans="1:10" x14ac:dyDescent="0.25">
      <c r="A1303" s="1">
        <v>440</v>
      </c>
      <c r="B1303" t="s">
        <v>34</v>
      </c>
      <c r="C1303">
        <v>98</v>
      </c>
      <c r="D1303">
        <v>1</v>
      </c>
      <c r="E1303" t="s">
        <v>40</v>
      </c>
      <c r="F1303" t="s">
        <v>41</v>
      </c>
      <c r="G1303" t="str">
        <f>"2025-11-30 17:52:44.819"</f>
        <v>2025-11-30 17:52:44.819</v>
      </c>
      <c r="H1303" t="s">
        <v>21</v>
      </c>
      <c r="I1303">
        <v>0</v>
      </c>
      <c r="J1303" t="s">
        <v>26</v>
      </c>
    </row>
    <row r="1304" spans="1:10" x14ac:dyDescent="0.25">
      <c r="A1304" s="1">
        <v>441</v>
      </c>
      <c r="B1304" t="s">
        <v>31</v>
      </c>
      <c r="C1304">
        <v>98</v>
      </c>
      <c r="D1304">
        <v>1</v>
      </c>
      <c r="E1304" t="s">
        <v>40</v>
      </c>
      <c r="F1304" t="s">
        <v>41</v>
      </c>
      <c r="G1304" t="str">
        <f>"2025-11-30 17:52:12.819"</f>
        <v>2025-11-30 17:52:12.819</v>
      </c>
      <c r="H1304" t="s">
        <v>21</v>
      </c>
    </row>
    <row r="1305" spans="1:10" x14ac:dyDescent="0.25">
      <c r="A1305" s="1">
        <v>442</v>
      </c>
      <c r="B1305" t="s">
        <v>34</v>
      </c>
      <c r="C1305">
        <v>98</v>
      </c>
      <c r="D1305">
        <v>1</v>
      </c>
      <c r="E1305" t="s">
        <v>40</v>
      </c>
      <c r="F1305" t="s">
        <v>41</v>
      </c>
      <c r="G1305" t="str">
        <f>"2025-11-30 17:52:11.819"</f>
        <v>2025-11-30 17:52:11.819</v>
      </c>
      <c r="H1305" t="s">
        <v>21</v>
      </c>
      <c r="I1305">
        <v>0</v>
      </c>
      <c r="J1305" t="s">
        <v>26</v>
      </c>
    </row>
    <row r="1306" spans="1:10" x14ac:dyDescent="0.25">
      <c r="A1306" s="1">
        <v>443</v>
      </c>
      <c r="B1306" t="s">
        <v>31</v>
      </c>
      <c r="C1306">
        <v>98</v>
      </c>
      <c r="D1306">
        <v>1</v>
      </c>
      <c r="E1306" t="s">
        <v>40</v>
      </c>
      <c r="F1306" t="s">
        <v>41</v>
      </c>
      <c r="G1306" t="str">
        <f>"2025-11-30 17:52:11.219"</f>
        <v>2025-11-30 17:52:11.219</v>
      </c>
      <c r="H1306" t="s">
        <v>21</v>
      </c>
    </row>
    <row r="1307" spans="1:10" x14ac:dyDescent="0.25">
      <c r="A1307" s="1">
        <v>444</v>
      </c>
      <c r="B1307" t="s">
        <v>34</v>
      </c>
      <c r="C1307">
        <v>98</v>
      </c>
      <c r="D1307">
        <v>1</v>
      </c>
      <c r="E1307" t="s">
        <v>40</v>
      </c>
      <c r="F1307" t="s">
        <v>41</v>
      </c>
      <c r="G1307" t="str">
        <f>"2025-11-30 17:52:09.819"</f>
        <v>2025-11-30 17:52:09.819</v>
      </c>
      <c r="H1307" t="s">
        <v>21</v>
      </c>
      <c r="I1307">
        <v>0</v>
      </c>
      <c r="J1307" t="s">
        <v>26</v>
      </c>
    </row>
    <row r="1308" spans="1:10" x14ac:dyDescent="0.25">
      <c r="A1308" s="1">
        <v>445</v>
      </c>
      <c r="B1308" t="s">
        <v>31</v>
      </c>
      <c r="C1308">
        <v>98</v>
      </c>
      <c r="D1308">
        <v>1</v>
      </c>
      <c r="E1308" t="s">
        <v>40</v>
      </c>
      <c r="F1308" t="s">
        <v>41</v>
      </c>
      <c r="G1308" t="str">
        <f>"2025-11-30 17:52:03.219"</f>
        <v>2025-11-30 17:52:03.219</v>
      </c>
      <c r="H1308" t="s">
        <v>21</v>
      </c>
    </row>
    <row r="1309" spans="1:10" x14ac:dyDescent="0.25">
      <c r="A1309" s="1">
        <v>446</v>
      </c>
      <c r="B1309" t="s">
        <v>34</v>
      </c>
      <c r="C1309">
        <v>98</v>
      </c>
      <c r="D1309">
        <v>1</v>
      </c>
      <c r="E1309" t="s">
        <v>40</v>
      </c>
      <c r="F1309" t="s">
        <v>41</v>
      </c>
      <c r="G1309" t="str">
        <f>"2025-11-30 17:52:02.219"</f>
        <v>2025-11-30 17:52:02.219</v>
      </c>
      <c r="H1309" t="s">
        <v>21</v>
      </c>
      <c r="I1309">
        <v>0</v>
      </c>
      <c r="J1309" t="s">
        <v>26</v>
      </c>
    </row>
    <row r="1310" spans="1:10" x14ac:dyDescent="0.25">
      <c r="A1310" s="1">
        <v>447</v>
      </c>
      <c r="B1310" t="s">
        <v>31</v>
      </c>
      <c r="C1310">
        <v>98</v>
      </c>
      <c r="D1310">
        <v>1</v>
      </c>
      <c r="E1310" t="s">
        <v>40</v>
      </c>
      <c r="F1310" t="s">
        <v>41</v>
      </c>
      <c r="G1310" t="str">
        <f>"2025-11-30 17:52:01.619"</f>
        <v>2025-11-30 17:52:01.619</v>
      </c>
      <c r="H1310" t="s">
        <v>21</v>
      </c>
    </row>
    <row r="1311" spans="1:10" x14ac:dyDescent="0.25">
      <c r="A1311" s="1">
        <v>448</v>
      </c>
      <c r="B1311" t="s">
        <v>34</v>
      </c>
      <c r="C1311">
        <v>98</v>
      </c>
      <c r="D1311">
        <v>1</v>
      </c>
      <c r="E1311" t="s">
        <v>40</v>
      </c>
      <c r="F1311" t="s">
        <v>41</v>
      </c>
      <c r="G1311" t="str">
        <f>"2025-11-30 17:52:00.619"</f>
        <v>2025-11-30 17:52:00.619</v>
      </c>
      <c r="H1311" t="s">
        <v>21</v>
      </c>
      <c r="I1311">
        <v>0</v>
      </c>
      <c r="J1311" t="s">
        <v>26</v>
      </c>
    </row>
    <row r="1312" spans="1:10" x14ac:dyDescent="0.25">
      <c r="A1312" s="1">
        <v>449</v>
      </c>
      <c r="B1312" t="s">
        <v>31</v>
      </c>
      <c r="C1312">
        <v>650</v>
      </c>
      <c r="D1312">
        <v>4</v>
      </c>
      <c r="E1312" t="s">
        <v>100</v>
      </c>
      <c r="F1312" t="s">
        <v>108</v>
      </c>
      <c r="G1312" t="str">
        <f>"2025-11-30 17:47:28.520"</f>
        <v>2025-11-30 17:47:28.520</v>
      </c>
      <c r="H1312" t="s">
        <v>21</v>
      </c>
    </row>
    <row r="1313" spans="1:10" x14ac:dyDescent="0.25">
      <c r="A1313" s="1">
        <v>452</v>
      </c>
      <c r="B1313" t="s">
        <v>34</v>
      </c>
      <c r="C1313">
        <v>650</v>
      </c>
      <c r="D1313">
        <v>4</v>
      </c>
      <c r="E1313" t="s">
        <v>100</v>
      </c>
      <c r="F1313" t="s">
        <v>108</v>
      </c>
      <c r="G1313" t="str">
        <f>"2025-11-30 17:46:06.829"</f>
        <v>2025-11-30 17:46:06.829</v>
      </c>
      <c r="H1313" t="s">
        <v>21</v>
      </c>
      <c r="I1313">
        <v>0</v>
      </c>
      <c r="J1313" t="s">
        <v>26</v>
      </c>
    </row>
    <row r="1314" spans="1:10" x14ac:dyDescent="0.25">
      <c r="A1314" s="1">
        <v>453</v>
      </c>
      <c r="B1314" t="s">
        <v>19</v>
      </c>
      <c r="C1314">
        <v>782</v>
      </c>
      <c r="D1314">
        <v>7</v>
      </c>
      <c r="E1314" t="s">
        <v>43</v>
      </c>
      <c r="F1314" t="s">
        <v>44</v>
      </c>
      <c r="G1314" t="str">
        <f>"2025-11-30 17:46:06.826"</f>
        <v>2025-11-30 17:46:06.826</v>
      </c>
      <c r="H1314" t="s">
        <v>21</v>
      </c>
      <c r="I1314">
        <v>0</v>
      </c>
      <c r="J1314" t="s">
        <v>26</v>
      </c>
    </row>
    <row r="1315" spans="1:10" x14ac:dyDescent="0.25">
      <c r="A1315" s="1">
        <v>456</v>
      </c>
      <c r="B1315" t="s">
        <v>31</v>
      </c>
      <c r="C1315">
        <v>650</v>
      </c>
      <c r="D1315">
        <v>4</v>
      </c>
      <c r="E1315" t="s">
        <v>100</v>
      </c>
      <c r="F1315" t="s">
        <v>108</v>
      </c>
      <c r="G1315" t="str">
        <f>"2025-11-30 17:46:06.820"</f>
        <v>2025-11-30 17:46:06.820</v>
      </c>
      <c r="H1315" t="s">
        <v>21</v>
      </c>
    </row>
    <row r="1316" spans="1:10" x14ac:dyDescent="0.25">
      <c r="A1316" s="1">
        <v>457</v>
      </c>
      <c r="B1316" t="s">
        <v>19</v>
      </c>
      <c r="C1316">
        <v>782</v>
      </c>
      <c r="D1316">
        <v>7</v>
      </c>
      <c r="E1316" t="s">
        <v>43</v>
      </c>
      <c r="F1316" t="s">
        <v>44</v>
      </c>
      <c r="G1316" t="str">
        <f>"2025-11-30 17:46:06.819"</f>
        <v>2025-11-30 17:46:06.819</v>
      </c>
      <c r="H1316" t="s">
        <v>21</v>
      </c>
      <c r="I1316">
        <v>0</v>
      </c>
      <c r="J1316" t="s">
        <v>26</v>
      </c>
    </row>
    <row r="1317" spans="1:10" x14ac:dyDescent="0.25">
      <c r="A1317" s="1">
        <v>458</v>
      </c>
      <c r="B1317" t="s">
        <v>31</v>
      </c>
      <c r="C1317">
        <v>49</v>
      </c>
      <c r="D1317">
        <v>1</v>
      </c>
      <c r="E1317" t="s">
        <v>66</v>
      </c>
      <c r="F1317" t="s">
        <v>67</v>
      </c>
      <c r="G1317" t="str">
        <f>"2025-11-30 17:45:57.719"</f>
        <v>2025-11-30 17:45:57.719</v>
      </c>
      <c r="H1317" t="s">
        <v>68</v>
      </c>
    </row>
    <row r="1318" spans="1:10" x14ac:dyDescent="0.25">
      <c r="A1318" s="1">
        <v>462</v>
      </c>
      <c r="B1318" t="s">
        <v>34</v>
      </c>
      <c r="C1318">
        <v>650</v>
      </c>
      <c r="D1318">
        <v>4</v>
      </c>
      <c r="E1318" t="s">
        <v>100</v>
      </c>
      <c r="F1318" t="s">
        <v>108</v>
      </c>
      <c r="G1318" t="str">
        <f>"2025-11-30 17:45:32.027"</f>
        <v>2025-11-30 17:45:32.027</v>
      </c>
      <c r="H1318" t="s">
        <v>21</v>
      </c>
      <c r="I1318">
        <v>0</v>
      </c>
      <c r="J1318" t="s">
        <v>69</v>
      </c>
    </row>
    <row r="1319" spans="1:10" x14ac:dyDescent="0.25">
      <c r="A1319" s="1">
        <v>463</v>
      </c>
      <c r="B1319" t="s">
        <v>34</v>
      </c>
      <c r="C1319">
        <v>49</v>
      </c>
      <c r="D1319">
        <v>1</v>
      </c>
      <c r="E1319" t="s">
        <v>66</v>
      </c>
      <c r="F1319" t="s">
        <v>67</v>
      </c>
      <c r="G1319" t="str">
        <f>"2025-11-30 17:45:32.021"</f>
        <v>2025-11-30 17:45:32.021</v>
      </c>
      <c r="H1319" t="s">
        <v>68</v>
      </c>
      <c r="I1319">
        <v>0</v>
      </c>
      <c r="J1319" t="s">
        <v>69</v>
      </c>
    </row>
    <row r="1320" spans="1:10" x14ac:dyDescent="0.25">
      <c r="A1320" s="1">
        <v>465</v>
      </c>
      <c r="B1320" t="s">
        <v>19</v>
      </c>
      <c r="C1320">
        <v>782</v>
      </c>
      <c r="D1320">
        <v>7</v>
      </c>
      <c r="E1320" t="s">
        <v>43</v>
      </c>
      <c r="F1320" t="s">
        <v>44</v>
      </c>
      <c r="G1320" t="str">
        <f>"2025-11-30 17:45:31.977"</f>
        <v>2025-11-30 17:45:31.977</v>
      </c>
      <c r="H1320" t="s">
        <v>21</v>
      </c>
      <c r="I1320">
        <v>0</v>
      </c>
      <c r="J1320" t="s">
        <v>69</v>
      </c>
    </row>
    <row r="1321" spans="1:10" x14ac:dyDescent="0.25">
      <c r="A1321" s="1">
        <v>468</v>
      </c>
      <c r="B1321" t="s">
        <v>31</v>
      </c>
      <c r="C1321">
        <v>650</v>
      </c>
      <c r="D1321">
        <v>4</v>
      </c>
      <c r="E1321" t="s">
        <v>100</v>
      </c>
      <c r="F1321" t="s">
        <v>108</v>
      </c>
      <c r="G1321" t="str">
        <f>"2025-11-30 17:45:31.973"</f>
        <v>2025-11-30 17:45:31.973</v>
      </c>
      <c r="H1321" t="s">
        <v>21</v>
      </c>
    </row>
    <row r="1322" spans="1:10" x14ac:dyDescent="0.25">
      <c r="A1322" s="1">
        <v>470</v>
      </c>
      <c r="B1322" t="s">
        <v>31</v>
      </c>
      <c r="C1322">
        <v>49</v>
      </c>
      <c r="D1322">
        <v>1</v>
      </c>
      <c r="E1322" t="s">
        <v>66</v>
      </c>
      <c r="F1322" t="s">
        <v>67</v>
      </c>
      <c r="G1322" t="str">
        <f>"2025-11-30 17:45:31.970"</f>
        <v>2025-11-30 17:45:31.970</v>
      </c>
      <c r="H1322" t="s">
        <v>68</v>
      </c>
    </row>
    <row r="1323" spans="1:10" x14ac:dyDescent="0.25">
      <c r="A1323" s="1">
        <v>471</v>
      </c>
      <c r="B1323" t="s">
        <v>31</v>
      </c>
      <c r="C1323">
        <v>12</v>
      </c>
      <c r="D1323">
        <v>2</v>
      </c>
      <c r="E1323" t="s">
        <v>109</v>
      </c>
      <c r="F1323" t="s">
        <v>110</v>
      </c>
      <c r="G1323" t="str">
        <f>"2025-11-30 17:45:31.969"</f>
        <v>2025-11-30 17:45:31.969</v>
      </c>
      <c r="H1323" t="s">
        <v>21</v>
      </c>
    </row>
    <row r="1324" spans="1:10" x14ac:dyDescent="0.25">
      <c r="A1324" s="1">
        <v>472</v>
      </c>
      <c r="B1324" t="s">
        <v>31</v>
      </c>
      <c r="C1324">
        <v>12</v>
      </c>
      <c r="D1324">
        <v>1</v>
      </c>
      <c r="E1324" t="s">
        <v>109</v>
      </c>
      <c r="F1324" t="s">
        <v>111</v>
      </c>
      <c r="G1324" t="str">
        <f>"2025-11-30 17:45:31.968"</f>
        <v>2025-11-30 17:45:31.968</v>
      </c>
      <c r="H1324" t="s">
        <v>21</v>
      </c>
    </row>
    <row r="1325" spans="1:10" x14ac:dyDescent="0.25">
      <c r="A1325" s="1">
        <v>473</v>
      </c>
      <c r="B1325" t="s">
        <v>19</v>
      </c>
      <c r="C1325">
        <v>782</v>
      </c>
      <c r="D1325">
        <v>7</v>
      </c>
      <c r="E1325" t="s">
        <v>43</v>
      </c>
      <c r="F1325" t="s">
        <v>44</v>
      </c>
      <c r="G1325" t="str">
        <f>"2025-11-30 17:45:31.966"</f>
        <v>2025-11-30 17:45:31.966</v>
      </c>
      <c r="H1325" t="s">
        <v>21</v>
      </c>
      <c r="I1325">
        <v>0</v>
      </c>
      <c r="J1325" t="s">
        <v>69</v>
      </c>
    </row>
    <row r="1326" spans="1:10" x14ac:dyDescent="0.25">
      <c r="A1326" s="1">
        <v>474</v>
      </c>
      <c r="B1326" t="s">
        <v>19</v>
      </c>
      <c r="C1326">
        <v>757</v>
      </c>
      <c r="D1326">
        <v>0</v>
      </c>
      <c r="E1326" t="s">
        <v>112</v>
      </c>
      <c r="F1326" t="s">
        <v>112</v>
      </c>
      <c r="G1326" t="str">
        <f>"2025-11-30 17:45:19.524"</f>
        <v>2025-11-30 17:45:19.524</v>
      </c>
      <c r="H1326" t="s">
        <v>21</v>
      </c>
      <c r="I1326">
        <v>0</v>
      </c>
      <c r="J1326" t="s">
        <v>69</v>
      </c>
    </row>
    <row r="1327" spans="1:10" x14ac:dyDescent="0.25">
      <c r="A1327" s="1">
        <v>475</v>
      </c>
      <c r="B1327" t="s">
        <v>34</v>
      </c>
      <c r="C1327">
        <v>49</v>
      </c>
      <c r="D1327">
        <v>1</v>
      </c>
      <c r="E1327" t="s">
        <v>66</v>
      </c>
      <c r="F1327" t="s">
        <v>67</v>
      </c>
      <c r="G1327" t="str">
        <f>"2025-11-30 17:42:09.719"</f>
        <v>2025-11-30 17:42:09.719</v>
      </c>
      <c r="H1327" t="s">
        <v>68</v>
      </c>
      <c r="I1327">
        <v>0</v>
      </c>
      <c r="J1327" t="s">
        <v>69</v>
      </c>
    </row>
    <row r="1328" spans="1:10" x14ac:dyDescent="0.25">
      <c r="A1328" s="1">
        <v>476</v>
      </c>
      <c r="B1328" t="s">
        <v>19</v>
      </c>
      <c r="C1328">
        <v>719</v>
      </c>
      <c r="D1328">
        <v>5</v>
      </c>
      <c r="E1328" t="s">
        <v>113</v>
      </c>
      <c r="F1328" t="s">
        <v>114</v>
      </c>
      <c r="G1328" t="str">
        <f>"2025-11-30 17:41:30.753"</f>
        <v>2025-11-30 17:41:30.753</v>
      </c>
      <c r="H1328" t="s">
        <v>21</v>
      </c>
      <c r="I1328">
        <v>0</v>
      </c>
      <c r="J1328" t="s">
        <v>69</v>
      </c>
    </row>
    <row r="1329" spans="1:10" x14ac:dyDescent="0.25">
      <c r="A1329" s="1">
        <v>478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"2025-11-30 14:39:54.019"</f>
        <v>2025-11-30 14:39:54.019</v>
      </c>
      <c r="H1329" t="s">
        <v>21</v>
      </c>
    </row>
    <row r="1330" spans="1:10" x14ac:dyDescent="0.25">
      <c r="A1330" s="1">
        <v>481</v>
      </c>
      <c r="B1330" t="s">
        <v>19</v>
      </c>
      <c r="C1330">
        <v>753</v>
      </c>
      <c r="D1330">
        <v>1</v>
      </c>
      <c r="E1330" t="s">
        <v>115</v>
      </c>
      <c r="F1330" t="s">
        <v>116</v>
      </c>
      <c r="G1330" t="str">
        <f>"2025-11-30 14:34:24.496"</f>
        <v>2025-11-30 14:34:24.496</v>
      </c>
      <c r="H1330" t="s">
        <v>21</v>
      </c>
      <c r="I1330">
        <v>0</v>
      </c>
      <c r="J1330" t="s">
        <v>26</v>
      </c>
    </row>
    <row r="1331" spans="1:10" x14ac:dyDescent="0.25">
      <c r="A1331" s="1">
        <v>482</v>
      </c>
      <c r="B1331" t="s">
        <v>22</v>
      </c>
      <c r="C1331">
        <v>641</v>
      </c>
      <c r="D1331">
        <v>1</v>
      </c>
      <c r="E1331" t="s">
        <v>117</v>
      </c>
      <c r="F1331" t="s">
        <v>110</v>
      </c>
      <c r="G1331" t="str">
        <f>"2025-11-30 14:34:18.815"</f>
        <v>2025-11-30 14:34:18.815</v>
      </c>
      <c r="H1331" t="s">
        <v>21</v>
      </c>
      <c r="I1331">
        <v>0</v>
      </c>
      <c r="J1331" t="s">
        <v>26</v>
      </c>
    </row>
    <row r="1332" spans="1:10" x14ac:dyDescent="0.25">
      <c r="A1332" s="1">
        <v>483</v>
      </c>
      <c r="B1332" t="s">
        <v>22</v>
      </c>
      <c r="C1332">
        <v>640</v>
      </c>
      <c r="D1332">
        <v>1</v>
      </c>
      <c r="E1332" t="s">
        <v>118</v>
      </c>
      <c r="F1332" t="s">
        <v>111</v>
      </c>
      <c r="G1332" t="str">
        <f>"2025-11-30 14:34:18.807"</f>
        <v>2025-11-30 14:34:18.807</v>
      </c>
      <c r="H1332" t="s">
        <v>119</v>
      </c>
      <c r="I1332">
        <v>0</v>
      </c>
      <c r="J1332" t="s">
        <v>26</v>
      </c>
    </row>
    <row r="1333" spans="1:10" x14ac:dyDescent="0.25">
      <c r="A1333" s="1">
        <v>484</v>
      </c>
      <c r="B1333" t="s">
        <v>34</v>
      </c>
      <c r="C1333">
        <v>12</v>
      </c>
      <c r="D1333">
        <v>1</v>
      </c>
      <c r="E1333" t="s">
        <v>109</v>
      </c>
      <c r="F1333" t="s">
        <v>111</v>
      </c>
      <c r="G1333" t="str">
        <f>"2025-11-30 14:34:12.607"</f>
        <v>2025-11-30 14:34:12.607</v>
      </c>
      <c r="H1333" t="s">
        <v>21</v>
      </c>
      <c r="I1333">
        <v>0</v>
      </c>
      <c r="J1333" t="s">
        <v>26</v>
      </c>
    </row>
    <row r="1334" spans="1:10" x14ac:dyDescent="0.25">
      <c r="A1334" s="1">
        <v>485</v>
      </c>
      <c r="B1334" t="s">
        <v>34</v>
      </c>
      <c r="C1334">
        <v>12</v>
      </c>
      <c r="D1334">
        <v>2</v>
      </c>
      <c r="E1334" t="s">
        <v>109</v>
      </c>
      <c r="F1334" t="s">
        <v>110</v>
      </c>
      <c r="G1334" t="str">
        <f>"2025-11-30 14:34:12.514"</f>
        <v>2025-11-30 14:34:12.514</v>
      </c>
      <c r="H1334" t="s">
        <v>21</v>
      </c>
      <c r="I1334">
        <v>0</v>
      </c>
      <c r="J1334" t="s">
        <v>26</v>
      </c>
    </row>
    <row r="1335" spans="1:10" x14ac:dyDescent="0.25">
      <c r="A1335" s="1">
        <v>486</v>
      </c>
      <c r="B1335" t="s">
        <v>34</v>
      </c>
      <c r="C1335">
        <v>650</v>
      </c>
      <c r="D1335">
        <v>4</v>
      </c>
      <c r="E1335" t="s">
        <v>100</v>
      </c>
      <c r="F1335" t="s">
        <v>108</v>
      </c>
      <c r="G1335" t="str">
        <f>"2025-11-30 14:34:11.223"</f>
        <v>2025-11-30 14:34:11.223</v>
      </c>
      <c r="H1335" t="s">
        <v>21</v>
      </c>
      <c r="I1335">
        <v>0</v>
      </c>
      <c r="J1335" t="s">
        <v>30</v>
      </c>
    </row>
    <row r="1336" spans="1:10" x14ac:dyDescent="0.25">
      <c r="A1336" s="1">
        <v>487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"2025-11-30 14:34:08.616"</f>
        <v>2025-11-30 14:34:08.616</v>
      </c>
      <c r="H1336" t="s">
        <v>21</v>
      </c>
      <c r="I1336">
        <v>0</v>
      </c>
      <c r="J1336" t="s">
        <v>30</v>
      </c>
    </row>
  </sheetData>
  <autoFilter ref="C1:C1336" xr:uid="{EFDD4190-15BD-4D07-88AA-BB230C3ECD79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8EF559-41BF-4885-95FB-EAE73F50B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events_ru_87_20260607-053016 32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2026-06-06T22:20:03Z</dcterms:modified>
</cp:coreProperties>
</file>
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D449253-91EA-49C9-9726-32E6CB6B00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5_20260612-033315 78" sheetId="2" r:id="rId1"/>
    <sheet name="Лист1" sheetId="1" r:id="rId2"/>
  </sheets>
  <definedNames>
    <definedName name="_xlnm._FilterDatabase" localSheetId="0" hidden="1">'events_ru_85_20260612-033315 78'!$C$1:$C$427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BE0D5C-72F4-4992-83CF-6B6D66355D01}" keepAlive="1" name="Запрос — events_ru_85_20260612-033315 783" description="Соединение с запросом &quot;events_ru_85_20260612-033315 783&quot; в книге." type="5" refreshedVersion="0" background="1">
    <dbPr connection="Provider=Microsoft.Mashup.OleDb.1;Data Source=$Workbook$;Location=&quot;events_ru_85_20260612-033315 783&quot;;Extended Properties=&quot;&quot;" command="SELECT * FROM [events_ru_85_20260612-033315 783]"/>
  </connection>
</connections>
</file>

<file path=xl/sharedStrings.xml><?xml version="1.0" encoding="utf-8"?>
<sst xmlns="http://schemas.openxmlformats.org/spreadsheetml/2006/main" count="1963" uniqueCount="64">
  <si>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</si>
  <si>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</si>
  <si>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</si>
  <si>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</si>
  <si>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</si>
  <si>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</si>
  <si>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</si>
  <si>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</si>
  <si>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</si>
  <si>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</si>
  <si>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</si>
  <si>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</si>
  <si>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</si>
  <si>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</si>
  <si>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</si>
  <si>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</si>
  <si>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</si>
  <si>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</si>
  <si>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</si>
  <si>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</si>
  <si>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Самосвал перегружен - NR</t>
  </si>
  <si>
    <t>Не доступно</t>
  </si>
  <si>
    <t>Неограничивающее событие</t>
  </si>
  <si>
    <t>Log+</t>
  </si>
  <si>
    <t>Retard</t>
  </si>
  <si>
    <t>Ready</t>
  </si>
  <si>
    <t>----</t>
  </si>
  <si>
    <t>--Включение питания системы--</t>
  </si>
  <si>
    <t>Null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</si>
  <si>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</si>
  <si>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</si>
  <si>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</si>
  <si>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</si>
  <si>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Вход в безопасный режим файловой системы - Запуск двигателя</t>
  </si>
  <si>
    <t>Test</t>
  </si>
  <si>
    <t xml:space="preserve">Log </t>
  </si>
  <si>
    <t>Propel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</si>
  <si>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</si>
  <si>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</si>
  <si>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</si>
  <si>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</si>
  <si>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Введен безопасный режим файловой системы - Низкий заряд батареи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</si>
  <si>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</si>
  <si>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</si>
  <si>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</si>
  <si>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</si>
  <si>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</si>
  <si>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</si>
  <si>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</si>
  <si>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</si>
  <si>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</si>
  <si>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</si>
  <si>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</si>
  <si>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</si>
  <si>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</si>
  <si>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</si>
  <si>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</si>
  <si>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</si>
  <si>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</si>
  <si>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</si>
  <si>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</si>
  <si>
    <t>Su-Sd</t>
  </si>
  <si>
    <t>--Сброс КС в исходное состояние выполнена пользователем--</t>
  </si>
  <si>
    <t>--Сброс статистики--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</si>
</sst>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F620-7765-4E15-9989-52665B2E0C50}">
  <dimension ref="A1:J427"/>
  <sheetViews>
    <sheetView tabSelected="1" workbookViewId="0">
      <selection activeCell="C1" sqref="C1:C1048576"/>
    </sheetView>
  </sheetViews>
  <sheetFormatPr defaultRowHeight="15" x14ac:dyDescent="0.25"/>
  <cols>
    <col min="1" max="1" width="16" bestFit="1" customWidth="1"/>
    <col min="5" max="5" width="49.140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"2026-06-12 03:33:15.783"</f>
        <v>2026-06-12 03:33:15.783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635</v>
      </c>
      <c r="D10">
        <v>1</v>
      </c>
      <c r="E10" t="s">
        <v>20</v>
      </c>
      <c r="F10" t="s">
        <v>21</v>
      </c>
      <c r="G10" t="str">
        <f>"2026-06-11 18:06:05.491"</f>
        <v>2026-06-11 18:06:05.491</v>
      </c>
      <c r="H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20</v>
      </c>
      <c r="F11" t="s">
        <v>21</v>
      </c>
      <c r="G11" t="str">
        <f>"2026-06-11 17:38:56.591"</f>
        <v>2026-06-11 17:38:56.591</v>
      </c>
      <c r="H11" t="s">
        <v>22</v>
      </c>
      <c r="I11">
        <v>5.72</v>
      </c>
      <c r="J11" t="s">
        <v>24</v>
      </c>
    </row>
    <row r="12" spans="1:10" x14ac:dyDescent="0.25">
      <c r="A12" s="1"/>
      <c r="B12" t="s">
        <v>19</v>
      </c>
      <c r="C12">
        <v>635</v>
      </c>
      <c r="D12">
        <v>1</v>
      </c>
      <c r="E12" t="s">
        <v>20</v>
      </c>
      <c r="F12" t="s">
        <v>21</v>
      </c>
      <c r="G12" t="str">
        <f>"2026-06-11 16:32:50.691"</f>
        <v>2026-06-11 16:32:50.691</v>
      </c>
      <c r="H12" t="s">
        <v>22</v>
      </c>
    </row>
    <row r="13" spans="1:10" x14ac:dyDescent="0.25">
      <c r="A13" s="1"/>
      <c r="B13" t="s">
        <v>23</v>
      </c>
      <c r="C13">
        <v>635</v>
      </c>
      <c r="D13">
        <v>1</v>
      </c>
      <c r="E13" t="s">
        <v>20</v>
      </c>
      <c r="F13" t="s">
        <v>21</v>
      </c>
      <c r="G13" t="str">
        <f>"2026-06-11 16:29:27.191"</f>
        <v>2026-06-11 16:29:27.191</v>
      </c>
      <c r="H13" t="s">
        <v>22</v>
      </c>
      <c r="I13">
        <v>0</v>
      </c>
      <c r="J13" t="s">
        <v>25</v>
      </c>
    </row>
    <row r="14" spans="1:10" x14ac:dyDescent="0.25">
      <c r="A14" s="1"/>
      <c r="B14" t="s">
        <v>26</v>
      </c>
      <c r="C14">
        <v>700</v>
      </c>
      <c r="D14">
        <v>0</v>
      </c>
      <c r="E14" t="s">
        <v>27</v>
      </c>
      <c r="F14" t="s">
        <v>27</v>
      </c>
      <c r="G14" t="str">
        <f>"2026-06-11 14:04:57.548"</f>
        <v>2026-06-11 14:04:57.548</v>
      </c>
      <c r="H14" t="s">
        <v>22</v>
      </c>
      <c r="I14">
        <v>0</v>
      </c>
      <c r="J14" t="s">
        <v>28</v>
      </c>
    </row>
    <row r="15" spans="1:10" x14ac:dyDescent="0.25">
      <c r="A15" s="1"/>
      <c r="B15" t="s">
        <v>19</v>
      </c>
      <c r="C15">
        <v>630</v>
      </c>
      <c r="D15">
        <v>5</v>
      </c>
      <c r="E15" t="s">
        <v>29</v>
      </c>
      <c r="F15" t="s">
        <v>30</v>
      </c>
      <c r="G15" t="str">
        <f>"2026-06-10 21:26:32.002"</f>
        <v>2026-06-10 21:26:32.002</v>
      </c>
      <c r="H15" t="s">
        <v>31</v>
      </c>
    </row>
    <row r="16" spans="1:10" x14ac:dyDescent="0.25">
      <c r="A16" s="1"/>
      <c r="B16" t="s">
        <v>26</v>
      </c>
      <c r="C16">
        <v>706</v>
      </c>
      <c r="D16">
        <v>2</v>
      </c>
      <c r="E16" t="s">
        <v>32</v>
      </c>
      <c r="F16" t="s">
        <v>33</v>
      </c>
      <c r="G16" t="str">
        <f>"2026-06-10 21:26:01.844"</f>
        <v>2026-06-10 21:26:01.844</v>
      </c>
      <c r="H16" t="s">
        <v>22</v>
      </c>
      <c r="I16">
        <v>0</v>
      </c>
      <c r="J16" t="s">
        <v>34</v>
      </c>
    </row>
    <row r="17" spans="1:10" x14ac:dyDescent="0.25">
      <c r="A17" s="1"/>
      <c r="B17" t="s">
        <v>35</v>
      </c>
      <c r="C17">
        <v>630</v>
      </c>
      <c r="D17">
        <v>5</v>
      </c>
      <c r="E17" t="s">
        <v>29</v>
      </c>
      <c r="F17" t="s">
        <v>30</v>
      </c>
      <c r="G17" t="str">
        <f>"2026-06-10 21:21:42.902"</f>
        <v>2026-06-10 21:21:42.902</v>
      </c>
      <c r="H17" t="s">
        <v>31</v>
      </c>
      <c r="I17">
        <v>0</v>
      </c>
      <c r="J17" t="s">
        <v>34</v>
      </c>
    </row>
    <row r="18" spans="1:10" x14ac:dyDescent="0.25">
      <c r="A18" s="1"/>
      <c r="B18" t="s">
        <v>19</v>
      </c>
      <c r="C18">
        <v>635</v>
      </c>
      <c r="D18">
        <v>1</v>
      </c>
      <c r="E18" t="s">
        <v>20</v>
      </c>
      <c r="F18" t="s">
        <v>21</v>
      </c>
      <c r="G18" t="str">
        <f>"2026-06-10 18:29:22.302"</f>
        <v>2026-06-10 18:29:22.302</v>
      </c>
      <c r="H18" t="s">
        <v>22</v>
      </c>
    </row>
    <row r="19" spans="1:10" x14ac:dyDescent="0.25">
      <c r="A19" s="1"/>
      <c r="B19" t="s">
        <v>23</v>
      </c>
      <c r="C19">
        <v>635</v>
      </c>
      <c r="D19">
        <v>1</v>
      </c>
      <c r="E19" t="s">
        <v>20</v>
      </c>
      <c r="F19" t="s">
        <v>21</v>
      </c>
      <c r="G19" t="str">
        <f>"2026-06-10 18:22:43.303"</f>
        <v>2026-06-10 18:22:43.303</v>
      </c>
      <c r="H19" t="s">
        <v>22</v>
      </c>
      <c r="I19">
        <v>3.2</v>
      </c>
      <c r="J19" t="s">
        <v>36</v>
      </c>
    </row>
    <row r="20" spans="1:10" x14ac:dyDescent="0.25">
      <c r="A20" s="1">
        <v>0</v>
      </c>
      <c r="B20" t="s">
        <v>26</v>
      </c>
      <c r="C20">
        <v>700</v>
      </c>
      <c r="D20">
        <v>0</v>
      </c>
      <c r="E20" t="s">
        <v>27</v>
      </c>
      <c r="F20" t="s">
        <v>27</v>
      </c>
      <c r="G20" t="str">
        <f>"2026-06-10 12:32:08.544"</f>
        <v>2026-06-10 12:32:08.544</v>
      </c>
      <c r="H20" t="s">
        <v>22</v>
      </c>
    </row>
    <row r="21" spans="1:10" x14ac:dyDescent="0.25">
      <c r="A21" s="1">
        <v>1</v>
      </c>
      <c r="B21" t="s">
        <v>37</v>
      </c>
      <c r="C21">
        <v>33</v>
      </c>
      <c r="D21">
        <v>1</v>
      </c>
      <c r="E21" t="s">
        <v>38</v>
      </c>
      <c r="F21" t="s">
        <v>39</v>
      </c>
      <c r="G21" t="str">
        <f>"2026-06-10 00:22:47.405"</f>
        <v>2026-06-10 00:22:47.405</v>
      </c>
      <c r="H21" t="s">
        <v>40</v>
      </c>
    </row>
    <row r="22" spans="1:10" x14ac:dyDescent="0.25">
      <c r="A22" s="1">
        <v>2</v>
      </c>
      <c r="B22" t="s">
        <v>35</v>
      </c>
      <c r="C22">
        <v>33</v>
      </c>
      <c r="D22">
        <v>1</v>
      </c>
      <c r="E22" t="s">
        <v>38</v>
      </c>
      <c r="F22" t="s">
        <v>39</v>
      </c>
      <c r="G22" t="str">
        <f>"2026-06-10 00:22:21.284"</f>
        <v>2026-06-10 00:22:21.284</v>
      </c>
      <c r="H22" t="s">
        <v>40</v>
      </c>
      <c r="I22">
        <v>9.9700000000000006</v>
      </c>
      <c r="J22" t="s">
        <v>36</v>
      </c>
    </row>
    <row r="23" spans="1:10" x14ac:dyDescent="0.25">
      <c r="A23" s="1">
        <v>3</v>
      </c>
      <c r="B23" t="s">
        <v>19</v>
      </c>
      <c r="C23">
        <v>635</v>
      </c>
      <c r="D23">
        <v>1</v>
      </c>
      <c r="E23" t="s">
        <v>20</v>
      </c>
      <c r="F23" t="s">
        <v>21</v>
      </c>
      <c r="G23" t="str">
        <f>"2026-06-09 23:33:15.905"</f>
        <v>2026-06-09 23:33:15.905</v>
      </c>
      <c r="H23" t="s">
        <v>22</v>
      </c>
    </row>
    <row r="24" spans="1:10" x14ac:dyDescent="0.25">
      <c r="A24" s="1">
        <v>4</v>
      </c>
      <c r="B24" t="s">
        <v>23</v>
      </c>
      <c r="C24">
        <v>635</v>
      </c>
      <c r="D24">
        <v>1</v>
      </c>
      <c r="E24" t="s">
        <v>20</v>
      </c>
      <c r="F24" t="s">
        <v>21</v>
      </c>
      <c r="G24" t="str">
        <f>"2026-06-09 23:29:37.405"</f>
        <v>2026-06-09 23:29:37.405</v>
      </c>
      <c r="H24" t="s">
        <v>22</v>
      </c>
      <c r="I24">
        <v>5.0599999999999996</v>
      </c>
      <c r="J24" t="s">
        <v>36</v>
      </c>
    </row>
    <row r="25" spans="1:10" x14ac:dyDescent="0.25">
      <c r="A25" s="1">
        <v>5</v>
      </c>
      <c r="B25" t="s">
        <v>19</v>
      </c>
      <c r="C25">
        <v>630</v>
      </c>
      <c r="D25">
        <v>5</v>
      </c>
      <c r="E25" t="s">
        <v>29</v>
      </c>
      <c r="F25" t="s">
        <v>30</v>
      </c>
      <c r="G25" t="str">
        <f>"2026-06-09 20:07:54.606"</f>
        <v>2026-06-09 20:07:54.606</v>
      </c>
      <c r="H25" t="s">
        <v>31</v>
      </c>
    </row>
    <row r="26" spans="1:10" x14ac:dyDescent="0.25">
      <c r="A26" s="1">
        <v>6</v>
      </c>
      <c r="B26" t="s">
        <v>26</v>
      </c>
      <c r="C26">
        <v>706</v>
      </c>
      <c r="D26">
        <v>2</v>
      </c>
      <c r="E26" t="s">
        <v>32</v>
      </c>
      <c r="F26" t="s">
        <v>33</v>
      </c>
      <c r="G26" t="str">
        <f>"2026-06-09 20:07:24.599"</f>
        <v>2026-06-09 20:07:24.599</v>
      </c>
      <c r="H26" t="s">
        <v>22</v>
      </c>
      <c r="I26">
        <v>0</v>
      </c>
      <c r="J26" t="s">
        <v>34</v>
      </c>
    </row>
    <row r="27" spans="1:10" x14ac:dyDescent="0.25">
      <c r="A27" s="1">
        <v>7</v>
      </c>
      <c r="B27" t="s">
        <v>35</v>
      </c>
      <c r="C27">
        <v>630</v>
      </c>
      <c r="D27">
        <v>5</v>
      </c>
      <c r="E27" t="s">
        <v>29</v>
      </c>
      <c r="F27" t="s">
        <v>30</v>
      </c>
      <c r="G27" t="str">
        <f>"2026-06-09 20:01:25.606"</f>
        <v>2026-06-09 20:01:25.606</v>
      </c>
      <c r="H27" t="s">
        <v>31</v>
      </c>
      <c r="I27">
        <v>0</v>
      </c>
      <c r="J27" t="s">
        <v>34</v>
      </c>
    </row>
    <row r="28" spans="1:10" x14ac:dyDescent="0.25">
      <c r="A28" s="1">
        <v>8</v>
      </c>
      <c r="B28" t="s">
        <v>26</v>
      </c>
      <c r="C28">
        <v>700</v>
      </c>
      <c r="D28">
        <v>0</v>
      </c>
      <c r="E28" t="s">
        <v>27</v>
      </c>
      <c r="F28" t="s">
        <v>27</v>
      </c>
      <c r="G28" t="str">
        <f>"2026-06-09 18:42:36.659"</f>
        <v>2026-06-09 18:42:36.659</v>
      </c>
      <c r="H28" t="s">
        <v>22</v>
      </c>
      <c r="I28">
        <v>0</v>
      </c>
      <c r="J28" t="s">
        <v>28</v>
      </c>
    </row>
    <row r="29" spans="1:10" x14ac:dyDescent="0.25">
      <c r="A29" s="1">
        <v>9</v>
      </c>
      <c r="B29" t="s">
        <v>26</v>
      </c>
      <c r="C29">
        <v>700</v>
      </c>
      <c r="D29">
        <v>0</v>
      </c>
      <c r="E29" t="s">
        <v>27</v>
      </c>
      <c r="F29" t="s">
        <v>27</v>
      </c>
      <c r="G29" t="str">
        <f>"2026-06-09 17:31:38.532"</f>
        <v>2026-06-09 17:31:38.532</v>
      </c>
      <c r="H29" t="s">
        <v>22</v>
      </c>
    </row>
    <row r="30" spans="1:10" x14ac:dyDescent="0.25">
      <c r="A30" s="1">
        <v>0</v>
      </c>
      <c r="B30" t="s">
        <v>26</v>
      </c>
      <c r="C30">
        <v>700</v>
      </c>
      <c r="D30">
        <v>0</v>
      </c>
      <c r="E30" t="s">
        <v>27</v>
      </c>
      <c r="F30" t="s">
        <v>27</v>
      </c>
      <c r="G30" t="str">
        <f>"2026-06-09 09:22:45.702"</f>
        <v>2026-06-09 09:22:45.702</v>
      </c>
      <c r="H30" t="s">
        <v>22</v>
      </c>
      <c r="I30">
        <v>0</v>
      </c>
      <c r="J30" t="s">
        <v>28</v>
      </c>
    </row>
    <row r="31" spans="1:10" x14ac:dyDescent="0.25">
      <c r="A31" s="1">
        <v>1</v>
      </c>
      <c r="B31" t="s">
        <v>19</v>
      </c>
      <c r="C31">
        <v>630</v>
      </c>
      <c r="D31">
        <v>5</v>
      </c>
      <c r="E31" t="s">
        <v>29</v>
      </c>
      <c r="F31" t="s">
        <v>30</v>
      </c>
      <c r="G31" t="str">
        <f>"2026-06-08 20:43:47.501"</f>
        <v>2026-06-08 20:43:47.501</v>
      </c>
      <c r="H31" t="s">
        <v>31</v>
      </c>
    </row>
    <row r="32" spans="1:10" x14ac:dyDescent="0.25">
      <c r="A32" s="1">
        <v>2</v>
      </c>
      <c r="B32" t="s">
        <v>26</v>
      </c>
      <c r="C32">
        <v>706</v>
      </c>
      <c r="D32">
        <v>4</v>
      </c>
      <c r="E32" t="s">
        <v>32</v>
      </c>
      <c r="F32" t="s">
        <v>41</v>
      </c>
      <c r="G32" t="str">
        <f>"2026-06-08 20:43:17.404"</f>
        <v>2026-06-08 20:43:17.404</v>
      </c>
      <c r="H32" t="s">
        <v>22</v>
      </c>
      <c r="I32">
        <v>0</v>
      </c>
      <c r="J32" t="s">
        <v>34</v>
      </c>
    </row>
    <row r="33" spans="1:10" x14ac:dyDescent="0.25">
      <c r="A33" s="1">
        <v>3</v>
      </c>
      <c r="B33" t="s">
        <v>35</v>
      </c>
      <c r="C33">
        <v>630</v>
      </c>
      <c r="D33">
        <v>5</v>
      </c>
      <c r="E33" t="s">
        <v>29</v>
      </c>
      <c r="F33" t="s">
        <v>30</v>
      </c>
      <c r="G33" t="str">
        <f>"2026-06-08 20:39:17.102"</f>
        <v>2026-06-08 20:39:17.102</v>
      </c>
      <c r="H33" t="s">
        <v>31</v>
      </c>
      <c r="I33">
        <v>0</v>
      </c>
      <c r="J33" t="s">
        <v>34</v>
      </c>
    </row>
    <row r="34" spans="1:10" x14ac:dyDescent="0.25">
      <c r="A34" s="1">
        <v>4</v>
      </c>
      <c r="B34" t="s">
        <v>26</v>
      </c>
      <c r="C34">
        <v>700</v>
      </c>
      <c r="D34">
        <v>0</v>
      </c>
      <c r="E34" t="s">
        <v>27</v>
      </c>
      <c r="F34" t="s">
        <v>27</v>
      </c>
      <c r="G34" t="str">
        <f>"2026-06-08 13:42:25.544"</f>
        <v>2026-06-08 13:42:25.544</v>
      </c>
      <c r="H34" t="s">
        <v>22</v>
      </c>
    </row>
    <row r="35" spans="1:10" x14ac:dyDescent="0.25">
      <c r="A35" s="1">
        <v>5</v>
      </c>
      <c r="B35" t="s">
        <v>26</v>
      </c>
      <c r="C35">
        <v>700</v>
      </c>
      <c r="D35">
        <v>0</v>
      </c>
      <c r="E35" t="s">
        <v>27</v>
      </c>
      <c r="F35" t="s">
        <v>27</v>
      </c>
      <c r="G35" t="str">
        <f>"2026-06-08 09:30:22.536"</f>
        <v>2026-06-08 09:30:22.536</v>
      </c>
      <c r="H35" t="s">
        <v>22</v>
      </c>
    </row>
    <row r="36" spans="1:10" x14ac:dyDescent="0.25">
      <c r="A36" s="1">
        <v>7</v>
      </c>
      <c r="B36" t="s">
        <v>26</v>
      </c>
      <c r="C36">
        <v>700</v>
      </c>
      <c r="D36">
        <v>0</v>
      </c>
      <c r="E36" t="s">
        <v>27</v>
      </c>
      <c r="F36" t="s">
        <v>27</v>
      </c>
      <c r="G36" t="str">
        <f>"2026-06-08 03:27:30.494"</f>
        <v>2026-06-08 03:27:30.494</v>
      </c>
      <c r="H36" t="s">
        <v>22</v>
      </c>
    </row>
    <row r="37" spans="1:10" x14ac:dyDescent="0.25">
      <c r="A37" s="1">
        <v>8</v>
      </c>
      <c r="B37" t="s">
        <v>26</v>
      </c>
      <c r="C37">
        <v>700</v>
      </c>
      <c r="D37">
        <v>0</v>
      </c>
      <c r="E37" t="s">
        <v>27</v>
      </c>
      <c r="F37" t="s">
        <v>27</v>
      </c>
      <c r="G37" t="str">
        <f>"2026-06-08 03:23:38.671"</f>
        <v>2026-06-08 03:23:38.671</v>
      </c>
      <c r="H37" t="s">
        <v>22</v>
      </c>
      <c r="I37">
        <v>0</v>
      </c>
      <c r="J37" t="s">
        <v>28</v>
      </c>
    </row>
    <row r="38" spans="1:10" x14ac:dyDescent="0.25">
      <c r="A38" s="1">
        <v>9</v>
      </c>
      <c r="B38" t="s">
        <v>35</v>
      </c>
      <c r="C38">
        <v>630</v>
      </c>
      <c r="D38">
        <v>5</v>
      </c>
      <c r="E38" t="s">
        <v>29</v>
      </c>
      <c r="F38" t="s">
        <v>30</v>
      </c>
      <c r="G38" t="str">
        <f>"2026-06-08 03:10:15.486"</f>
        <v>2026-06-08 03:10:15.486</v>
      </c>
      <c r="H38" t="s">
        <v>31</v>
      </c>
      <c r="I38">
        <v>0</v>
      </c>
      <c r="J38" t="s">
        <v>34</v>
      </c>
    </row>
    <row r="39" spans="1:10" x14ac:dyDescent="0.25">
      <c r="A39" s="1">
        <v>0</v>
      </c>
      <c r="B39" t="s">
        <v>19</v>
      </c>
      <c r="C39">
        <v>630</v>
      </c>
      <c r="D39">
        <v>5</v>
      </c>
      <c r="E39" t="s">
        <v>29</v>
      </c>
      <c r="F39" t="s">
        <v>30</v>
      </c>
      <c r="G39" t="str">
        <f>"2026-06-07 14:06:12.886"</f>
        <v>2026-06-07 14:06:12.886</v>
      </c>
      <c r="H39" t="s">
        <v>31</v>
      </c>
    </row>
    <row r="40" spans="1:10" x14ac:dyDescent="0.25">
      <c r="A40" s="1">
        <v>1</v>
      </c>
      <c r="B40" t="s">
        <v>26</v>
      </c>
      <c r="C40">
        <v>706</v>
      </c>
      <c r="D40">
        <v>4</v>
      </c>
      <c r="E40" t="s">
        <v>32</v>
      </c>
      <c r="F40" t="s">
        <v>41</v>
      </c>
      <c r="G40" t="str">
        <f>"2026-06-07 14:05:42.773"</f>
        <v>2026-06-07 14:05:42.773</v>
      </c>
      <c r="H40" t="s">
        <v>22</v>
      </c>
      <c r="I40">
        <v>0</v>
      </c>
      <c r="J40" t="s">
        <v>34</v>
      </c>
    </row>
    <row r="41" spans="1:10" x14ac:dyDescent="0.25">
      <c r="A41" s="1">
        <v>2</v>
      </c>
      <c r="B41" t="s">
        <v>35</v>
      </c>
      <c r="C41">
        <v>630</v>
      </c>
      <c r="D41">
        <v>5</v>
      </c>
      <c r="E41" t="s">
        <v>29</v>
      </c>
      <c r="F41" t="s">
        <v>30</v>
      </c>
      <c r="G41" t="str">
        <f>"2026-06-07 13:18:33.886"</f>
        <v>2026-06-07 13:18:33.886</v>
      </c>
      <c r="H41" t="s">
        <v>31</v>
      </c>
      <c r="I41">
        <v>0</v>
      </c>
      <c r="J41" t="s">
        <v>34</v>
      </c>
    </row>
    <row r="42" spans="1:10" x14ac:dyDescent="0.25">
      <c r="A42" s="1">
        <v>3</v>
      </c>
      <c r="B42" t="s">
        <v>19</v>
      </c>
      <c r="C42">
        <v>635</v>
      </c>
      <c r="D42">
        <v>1</v>
      </c>
      <c r="E42" t="s">
        <v>20</v>
      </c>
      <c r="F42" t="s">
        <v>21</v>
      </c>
      <c r="G42" t="str">
        <f>"2026-06-07 03:16:35.885"</f>
        <v>2026-06-07 03:16:35.885</v>
      </c>
      <c r="H42" t="s">
        <v>22</v>
      </c>
    </row>
    <row r="43" spans="1:10" x14ac:dyDescent="0.25">
      <c r="A43" s="1">
        <v>4</v>
      </c>
      <c r="B43" t="s">
        <v>23</v>
      </c>
      <c r="C43">
        <v>635</v>
      </c>
      <c r="D43">
        <v>1</v>
      </c>
      <c r="E43" t="s">
        <v>20</v>
      </c>
      <c r="F43" t="s">
        <v>21</v>
      </c>
      <c r="G43" t="str">
        <f>"2026-06-07 03:13:32.385"</f>
        <v>2026-06-07 03:13:32.385</v>
      </c>
      <c r="H43" t="s">
        <v>22</v>
      </c>
      <c r="I43">
        <v>2.81</v>
      </c>
      <c r="J43" t="s">
        <v>36</v>
      </c>
    </row>
    <row r="44" spans="1:10" x14ac:dyDescent="0.25">
      <c r="A44" s="1">
        <v>5</v>
      </c>
      <c r="B44" t="s">
        <v>26</v>
      </c>
      <c r="C44">
        <v>700</v>
      </c>
      <c r="D44">
        <v>0</v>
      </c>
      <c r="E44" t="s">
        <v>27</v>
      </c>
      <c r="F44" t="s">
        <v>27</v>
      </c>
      <c r="G44" t="str">
        <f>"2026-06-07 02:50:03.543"</f>
        <v>2026-06-07 02:50:03.543</v>
      </c>
      <c r="H44" t="s">
        <v>22</v>
      </c>
      <c r="I44">
        <v>0</v>
      </c>
      <c r="J44" t="s">
        <v>28</v>
      </c>
    </row>
    <row r="45" spans="1:10" x14ac:dyDescent="0.25">
      <c r="A45" s="1">
        <v>6</v>
      </c>
      <c r="B45" t="s">
        <v>26</v>
      </c>
      <c r="C45">
        <v>700</v>
      </c>
      <c r="D45">
        <v>0</v>
      </c>
      <c r="E45" t="s">
        <v>27</v>
      </c>
      <c r="F45" t="s">
        <v>27</v>
      </c>
      <c r="G45" t="str">
        <f>"2026-06-06 20:44:26.508"</f>
        <v>2026-06-06 20:44:26.508</v>
      </c>
      <c r="H45" t="s">
        <v>22</v>
      </c>
      <c r="I45">
        <v>0</v>
      </c>
      <c r="J45" t="s">
        <v>28</v>
      </c>
    </row>
    <row r="46" spans="1:10" x14ac:dyDescent="0.25">
      <c r="A46" s="1">
        <v>7</v>
      </c>
      <c r="B46" t="s">
        <v>26</v>
      </c>
      <c r="C46">
        <v>700</v>
      </c>
      <c r="D46">
        <v>0</v>
      </c>
      <c r="E46" t="s">
        <v>27</v>
      </c>
      <c r="F46" t="s">
        <v>27</v>
      </c>
      <c r="G46" t="str">
        <f>"2026-06-06 19:46:09.537"</f>
        <v>2026-06-06 19:46:09.537</v>
      </c>
      <c r="H46" t="s">
        <v>22</v>
      </c>
      <c r="I46">
        <v>0</v>
      </c>
      <c r="J46" t="s">
        <v>28</v>
      </c>
    </row>
    <row r="47" spans="1:10" x14ac:dyDescent="0.25">
      <c r="A47" s="1">
        <v>8</v>
      </c>
      <c r="B47" t="s">
        <v>19</v>
      </c>
      <c r="C47">
        <v>630</v>
      </c>
      <c r="D47">
        <v>5</v>
      </c>
      <c r="E47" t="s">
        <v>29</v>
      </c>
      <c r="F47" t="s">
        <v>30</v>
      </c>
      <c r="G47" t="str">
        <f>"2026-06-06 14:17:10.761"</f>
        <v>2026-06-06 14:17:10.761</v>
      </c>
      <c r="H47" t="s">
        <v>31</v>
      </c>
    </row>
    <row r="48" spans="1:10" x14ac:dyDescent="0.25">
      <c r="A48" s="1">
        <v>9</v>
      </c>
      <c r="B48" t="s">
        <v>26</v>
      </c>
      <c r="C48">
        <v>706</v>
      </c>
      <c r="D48">
        <v>4</v>
      </c>
      <c r="E48" t="s">
        <v>32</v>
      </c>
      <c r="F48" t="s">
        <v>41</v>
      </c>
      <c r="G48" t="str">
        <f>"2026-06-06 14:16:40.763"</f>
        <v>2026-06-06 14:16:40.763</v>
      </c>
      <c r="H48" t="s">
        <v>22</v>
      </c>
      <c r="I48">
        <v>0</v>
      </c>
      <c r="J48" t="s">
        <v>34</v>
      </c>
    </row>
    <row r="49" spans="1:10" x14ac:dyDescent="0.25">
      <c r="A49" s="1">
        <v>0</v>
      </c>
      <c r="B49" t="s">
        <v>35</v>
      </c>
      <c r="C49">
        <v>630</v>
      </c>
      <c r="D49">
        <v>5</v>
      </c>
      <c r="E49" t="s">
        <v>29</v>
      </c>
      <c r="F49" t="s">
        <v>30</v>
      </c>
      <c r="G49" t="str">
        <f>"2026-06-06 13:22:37.761"</f>
        <v>2026-06-06 13:22:37.761</v>
      </c>
      <c r="H49" t="s">
        <v>31</v>
      </c>
      <c r="I49">
        <v>0</v>
      </c>
      <c r="J49" t="s">
        <v>34</v>
      </c>
    </row>
    <row r="50" spans="1:10" x14ac:dyDescent="0.25">
      <c r="A50" s="1">
        <v>1</v>
      </c>
      <c r="B50" t="s">
        <v>19</v>
      </c>
      <c r="C50">
        <v>635</v>
      </c>
      <c r="D50">
        <v>1</v>
      </c>
      <c r="E50" t="s">
        <v>20</v>
      </c>
      <c r="F50" t="s">
        <v>21</v>
      </c>
      <c r="G50" t="str">
        <f>"2026-06-06 07:00:02.261"</f>
        <v>2026-06-06 07:00:02.261</v>
      </c>
      <c r="H50" t="s">
        <v>22</v>
      </c>
    </row>
    <row r="51" spans="1:10" x14ac:dyDescent="0.25">
      <c r="A51" s="1">
        <v>2</v>
      </c>
      <c r="B51" t="s">
        <v>23</v>
      </c>
      <c r="C51">
        <v>635</v>
      </c>
      <c r="D51">
        <v>1</v>
      </c>
      <c r="E51" t="s">
        <v>20</v>
      </c>
      <c r="F51" t="s">
        <v>21</v>
      </c>
      <c r="G51" t="str">
        <f>"2026-06-06 06:52:31.761"</f>
        <v>2026-06-06 06:52:31.761</v>
      </c>
      <c r="H51" t="s">
        <v>22</v>
      </c>
      <c r="I51">
        <v>3.39</v>
      </c>
      <c r="J51" t="s">
        <v>36</v>
      </c>
    </row>
    <row r="52" spans="1:10" x14ac:dyDescent="0.25">
      <c r="A52" s="1">
        <v>3</v>
      </c>
      <c r="B52" t="s">
        <v>19</v>
      </c>
      <c r="C52">
        <v>630</v>
      </c>
      <c r="D52">
        <v>5</v>
      </c>
      <c r="E52" t="s">
        <v>29</v>
      </c>
      <c r="F52" t="s">
        <v>30</v>
      </c>
      <c r="G52" t="str">
        <f>"2026-06-05 23:40:40.061"</f>
        <v>2026-06-05 23:40:40.061</v>
      </c>
      <c r="H52" t="s">
        <v>31</v>
      </c>
    </row>
    <row r="53" spans="1:10" x14ac:dyDescent="0.25">
      <c r="A53" s="1">
        <v>4</v>
      </c>
      <c r="B53" t="s">
        <v>26</v>
      </c>
      <c r="C53">
        <v>706</v>
      </c>
      <c r="D53">
        <v>2</v>
      </c>
      <c r="E53" t="s">
        <v>32</v>
      </c>
      <c r="F53" t="s">
        <v>33</v>
      </c>
      <c r="G53" t="str">
        <f>"2026-06-05 23:40:09.933"</f>
        <v>2026-06-05 23:40:09.933</v>
      </c>
      <c r="H53" t="s">
        <v>22</v>
      </c>
      <c r="I53">
        <v>0</v>
      </c>
      <c r="J53" t="s">
        <v>34</v>
      </c>
    </row>
    <row r="54" spans="1:10" x14ac:dyDescent="0.25">
      <c r="A54" s="1">
        <v>5</v>
      </c>
      <c r="B54" t="s">
        <v>35</v>
      </c>
      <c r="C54">
        <v>630</v>
      </c>
      <c r="D54">
        <v>5</v>
      </c>
      <c r="E54" t="s">
        <v>29</v>
      </c>
      <c r="F54" t="s">
        <v>30</v>
      </c>
      <c r="G54" t="str">
        <f>"2026-06-05 23:36:21.061"</f>
        <v>2026-06-05 23:36:21.061</v>
      </c>
      <c r="H54" t="s">
        <v>31</v>
      </c>
      <c r="I54">
        <v>0</v>
      </c>
      <c r="J54" t="s">
        <v>34</v>
      </c>
    </row>
    <row r="55" spans="1:10" x14ac:dyDescent="0.25">
      <c r="A55" s="1">
        <v>6</v>
      </c>
      <c r="B55" t="s">
        <v>19</v>
      </c>
      <c r="C55">
        <v>635</v>
      </c>
      <c r="D55">
        <v>1</v>
      </c>
      <c r="E55" t="s">
        <v>20</v>
      </c>
      <c r="F55" t="s">
        <v>21</v>
      </c>
      <c r="G55" t="str">
        <f>"2026-06-05 19:12:10.661"</f>
        <v>2026-06-05 19:12:10.661</v>
      </c>
      <c r="H55" t="s">
        <v>22</v>
      </c>
    </row>
    <row r="56" spans="1:10" x14ac:dyDescent="0.25">
      <c r="A56" s="1">
        <v>7</v>
      </c>
      <c r="B56" t="s">
        <v>23</v>
      </c>
      <c r="C56">
        <v>635</v>
      </c>
      <c r="D56">
        <v>1</v>
      </c>
      <c r="E56" t="s">
        <v>20</v>
      </c>
      <c r="F56" t="s">
        <v>21</v>
      </c>
      <c r="G56" t="str">
        <f>"2026-06-05 19:06:36.662"</f>
        <v>2026-06-05 19:06:36.662</v>
      </c>
      <c r="H56" t="s">
        <v>22</v>
      </c>
      <c r="I56">
        <v>0.78</v>
      </c>
      <c r="J56" t="s">
        <v>25</v>
      </c>
    </row>
    <row r="57" spans="1:10" x14ac:dyDescent="0.25">
      <c r="A57" s="1">
        <v>8</v>
      </c>
      <c r="B57" t="s">
        <v>26</v>
      </c>
      <c r="C57">
        <v>700</v>
      </c>
      <c r="D57">
        <v>0</v>
      </c>
      <c r="E57" t="s">
        <v>27</v>
      </c>
      <c r="F57" t="s">
        <v>27</v>
      </c>
      <c r="G57" t="str">
        <f>"2026-06-05 12:14:27.493"</f>
        <v>2026-06-05 12:14:27.493</v>
      </c>
      <c r="H57" t="s">
        <v>22</v>
      </c>
    </row>
    <row r="58" spans="1:10" x14ac:dyDescent="0.25">
      <c r="A58" s="1">
        <v>9</v>
      </c>
      <c r="B58" t="s">
        <v>19</v>
      </c>
      <c r="C58">
        <v>630</v>
      </c>
      <c r="D58">
        <v>5</v>
      </c>
      <c r="E58" t="s">
        <v>29</v>
      </c>
      <c r="F58" t="s">
        <v>30</v>
      </c>
      <c r="G58" t="str">
        <f>"2026-06-04 20:08:32.692"</f>
        <v>2026-06-04 20:08:32.692</v>
      </c>
      <c r="H58" t="s">
        <v>31</v>
      </c>
    </row>
    <row r="59" spans="1:10" x14ac:dyDescent="0.25">
      <c r="A59" s="1">
        <v>0</v>
      </c>
      <c r="B59" t="s">
        <v>26</v>
      </c>
      <c r="C59">
        <v>706</v>
      </c>
      <c r="D59">
        <v>2</v>
      </c>
      <c r="E59" t="s">
        <v>32</v>
      </c>
      <c r="F59" t="s">
        <v>33</v>
      </c>
      <c r="G59" t="str">
        <f>"2026-06-04 20:08:02.614"</f>
        <v>2026-06-04 20:08:02.614</v>
      </c>
      <c r="H59" t="s">
        <v>22</v>
      </c>
      <c r="I59">
        <v>0</v>
      </c>
      <c r="J59" t="s">
        <v>34</v>
      </c>
    </row>
    <row r="60" spans="1:10" x14ac:dyDescent="0.25">
      <c r="A60" s="1">
        <v>1</v>
      </c>
      <c r="B60" t="s">
        <v>35</v>
      </c>
      <c r="C60">
        <v>630</v>
      </c>
      <c r="D60">
        <v>5</v>
      </c>
      <c r="E60" t="s">
        <v>29</v>
      </c>
      <c r="F60" t="s">
        <v>30</v>
      </c>
      <c r="G60" t="str">
        <f>"2026-06-04 20:03:23.092"</f>
        <v>2026-06-04 20:03:23.092</v>
      </c>
      <c r="H60" t="s">
        <v>31</v>
      </c>
      <c r="I60">
        <v>0</v>
      </c>
      <c r="J60" t="s">
        <v>34</v>
      </c>
    </row>
    <row r="61" spans="1:10" x14ac:dyDescent="0.25">
      <c r="A61" s="1">
        <v>2</v>
      </c>
      <c r="B61" t="s">
        <v>19</v>
      </c>
      <c r="C61">
        <v>635</v>
      </c>
      <c r="D61">
        <v>1</v>
      </c>
      <c r="E61" t="s">
        <v>20</v>
      </c>
      <c r="F61" t="s">
        <v>21</v>
      </c>
      <c r="G61" t="str">
        <f>"2026-06-04 16:55:01.644"</f>
        <v>2026-06-04 16:55:01.644</v>
      </c>
      <c r="H61" t="s">
        <v>22</v>
      </c>
    </row>
    <row r="62" spans="1:10" x14ac:dyDescent="0.25">
      <c r="A62" s="1">
        <v>3</v>
      </c>
      <c r="B62" t="s">
        <v>23</v>
      </c>
      <c r="C62">
        <v>635</v>
      </c>
      <c r="D62">
        <v>1</v>
      </c>
      <c r="E62" t="s">
        <v>20</v>
      </c>
      <c r="F62" t="s">
        <v>21</v>
      </c>
      <c r="G62" t="str">
        <f>"2026-06-04 16:49:46.643"</f>
        <v>2026-06-04 16:49:46.643</v>
      </c>
      <c r="H62" t="s">
        <v>22</v>
      </c>
      <c r="I62">
        <v>4.3899999999999997</v>
      </c>
      <c r="J62" t="s">
        <v>36</v>
      </c>
    </row>
    <row r="63" spans="1:10" x14ac:dyDescent="0.25">
      <c r="A63" s="1">
        <v>4</v>
      </c>
      <c r="B63" t="s">
        <v>26</v>
      </c>
      <c r="C63">
        <v>700</v>
      </c>
      <c r="D63">
        <v>0</v>
      </c>
      <c r="E63" t="s">
        <v>27</v>
      </c>
      <c r="F63" t="s">
        <v>27</v>
      </c>
      <c r="G63" t="str">
        <f>"2026-06-04 13:46:35.534"</f>
        <v>2026-06-04 13:46:35.534</v>
      </c>
      <c r="H63" t="s">
        <v>22</v>
      </c>
      <c r="I63">
        <v>0</v>
      </c>
      <c r="J63" t="s">
        <v>28</v>
      </c>
    </row>
    <row r="64" spans="1:10" x14ac:dyDescent="0.25">
      <c r="A64" s="1">
        <v>5</v>
      </c>
      <c r="B64" t="s">
        <v>19</v>
      </c>
      <c r="C64">
        <v>635</v>
      </c>
      <c r="D64">
        <v>1</v>
      </c>
      <c r="E64" t="s">
        <v>20</v>
      </c>
      <c r="F64" t="s">
        <v>21</v>
      </c>
      <c r="G64" t="str">
        <f>"2026-06-04 11:16:09.745"</f>
        <v>2026-06-04 11:16:09.745</v>
      </c>
      <c r="H64" t="s">
        <v>22</v>
      </c>
    </row>
    <row r="65" spans="1:10" x14ac:dyDescent="0.25">
      <c r="A65" s="1">
        <v>6</v>
      </c>
      <c r="B65" t="s">
        <v>23</v>
      </c>
      <c r="C65">
        <v>635</v>
      </c>
      <c r="D65">
        <v>1</v>
      </c>
      <c r="E65" t="s">
        <v>20</v>
      </c>
      <c r="F65" t="s">
        <v>21</v>
      </c>
      <c r="G65" t="str">
        <f>"2026-06-04 11:07:57.245"</f>
        <v>2026-06-04 11:07:57.245</v>
      </c>
      <c r="H65" t="s">
        <v>22</v>
      </c>
      <c r="I65">
        <v>5.23</v>
      </c>
      <c r="J65" t="s">
        <v>36</v>
      </c>
    </row>
    <row r="66" spans="1:10" x14ac:dyDescent="0.25">
      <c r="A66" s="1">
        <v>7</v>
      </c>
      <c r="B66" t="s">
        <v>19</v>
      </c>
      <c r="C66">
        <v>630</v>
      </c>
      <c r="D66">
        <v>5</v>
      </c>
      <c r="E66" t="s">
        <v>29</v>
      </c>
      <c r="F66" t="s">
        <v>30</v>
      </c>
      <c r="G66" t="str">
        <f>"2026-06-03 21:17:33.646"</f>
        <v>2026-06-03 21:17:33.646</v>
      </c>
      <c r="H66" t="s">
        <v>31</v>
      </c>
    </row>
    <row r="67" spans="1:10" x14ac:dyDescent="0.25">
      <c r="A67" s="1">
        <v>8</v>
      </c>
      <c r="B67" t="s">
        <v>26</v>
      </c>
      <c r="C67">
        <v>706</v>
      </c>
      <c r="D67">
        <v>4</v>
      </c>
      <c r="E67" t="s">
        <v>32</v>
      </c>
      <c r="F67" t="s">
        <v>41</v>
      </c>
      <c r="G67" t="str">
        <f>"2026-06-03 21:17:03.615"</f>
        <v>2026-06-03 21:17:03.615</v>
      </c>
      <c r="H67" t="s">
        <v>22</v>
      </c>
      <c r="I67">
        <v>0</v>
      </c>
      <c r="J67" t="s">
        <v>34</v>
      </c>
    </row>
    <row r="68" spans="1:10" x14ac:dyDescent="0.25">
      <c r="A68" s="1">
        <v>9</v>
      </c>
      <c r="B68" t="s">
        <v>35</v>
      </c>
      <c r="C68">
        <v>630</v>
      </c>
      <c r="D68">
        <v>5</v>
      </c>
      <c r="E68" t="s">
        <v>29</v>
      </c>
      <c r="F68" t="s">
        <v>30</v>
      </c>
      <c r="G68" t="str">
        <f>"2026-06-03 21:10:26.146"</f>
        <v>2026-06-03 21:10:26.146</v>
      </c>
      <c r="H68" t="s">
        <v>31</v>
      </c>
      <c r="I68">
        <v>0</v>
      </c>
      <c r="J68" t="s">
        <v>34</v>
      </c>
    </row>
    <row r="69" spans="1:10" x14ac:dyDescent="0.25">
      <c r="A69" s="1">
        <v>0</v>
      </c>
      <c r="B69" t="s">
        <v>19</v>
      </c>
      <c r="C69">
        <v>635</v>
      </c>
      <c r="D69">
        <v>1</v>
      </c>
      <c r="E69" t="s">
        <v>20</v>
      </c>
      <c r="F69" t="s">
        <v>21</v>
      </c>
      <c r="G69" t="str">
        <f>"2026-06-03 16:55:43.345"</f>
        <v>2026-06-03 16:55:43.345</v>
      </c>
      <c r="H69" t="s">
        <v>22</v>
      </c>
    </row>
    <row r="70" spans="1:10" x14ac:dyDescent="0.25">
      <c r="A70" s="1">
        <v>1</v>
      </c>
      <c r="B70" t="s">
        <v>23</v>
      </c>
      <c r="C70">
        <v>635</v>
      </c>
      <c r="D70">
        <v>1</v>
      </c>
      <c r="E70" t="s">
        <v>20</v>
      </c>
      <c r="F70" t="s">
        <v>21</v>
      </c>
      <c r="G70" t="str">
        <f>"2026-06-03 16:36:33.845"</f>
        <v>2026-06-03 16:36:33.845</v>
      </c>
      <c r="H70" t="s">
        <v>22</v>
      </c>
      <c r="I70">
        <v>6.53</v>
      </c>
      <c r="J70" t="s">
        <v>36</v>
      </c>
    </row>
    <row r="71" spans="1:10" x14ac:dyDescent="0.25">
      <c r="A71" s="1">
        <v>2</v>
      </c>
      <c r="B71" t="s">
        <v>19</v>
      </c>
      <c r="C71">
        <v>630</v>
      </c>
      <c r="D71">
        <v>5</v>
      </c>
      <c r="E71" t="s">
        <v>29</v>
      </c>
      <c r="F71" t="s">
        <v>30</v>
      </c>
      <c r="G71" t="str">
        <f>"2026-06-02 22:21:04.046"</f>
        <v>2026-06-02 22:21:04.046</v>
      </c>
      <c r="H71" t="s">
        <v>31</v>
      </c>
    </row>
    <row r="72" spans="1:10" x14ac:dyDescent="0.25">
      <c r="A72" s="1">
        <v>3</v>
      </c>
      <c r="B72" t="s">
        <v>26</v>
      </c>
      <c r="C72">
        <v>706</v>
      </c>
      <c r="D72">
        <v>4</v>
      </c>
      <c r="E72" t="s">
        <v>32</v>
      </c>
      <c r="F72" t="s">
        <v>41</v>
      </c>
      <c r="G72" t="str">
        <f>"2026-06-02 22:20:34.055"</f>
        <v>2026-06-02 22:20:34.055</v>
      </c>
      <c r="H72" t="s">
        <v>22</v>
      </c>
      <c r="I72">
        <v>0</v>
      </c>
      <c r="J72" t="s">
        <v>34</v>
      </c>
    </row>
    <row r="73" spans="1:10" x14ac:dyDescent="0.25">
      <c r="A73" s="1">
        <v>4</v>
      </c>
      <c r="B73" t="s">
        <v>35</v>
      </c>
      <c r="C73">
        <v>630</v>
      </c>
      <c r="D73">
        <v>5</v>
      </c>
      <c r="E73" t="s">
        <v>29</v>
      </c>
      <c r="F73" t="s">
        <v>30</v>
      </c>
      <c r="G73" t="str">
        <f>"2026-06-02 22:17:01.546"</f>
        <v>2026-06-02 22:17:01.546</v>
      </c>
      <c r="H73" t="s">
        <v>31</v>
      </c>
      <c r="I73">
        <v>0</v>
      </c>
      <c r="J73" t="s">
        <v>34</v>
      </c>
    </row>
    <row r="74" spans="1:10" x14ac:dyDescent="0.25">
      <c r="A74" s="1">
        <v>5</v>
      </c>
      <c r="B74" t="s">
        <v>26</v>
      </c>
      <c r="C74">
        <v>700</v>
      </c>
      <c r="D74">
        <v>0</v>
      </c>
      <c r="E74" t="s">
        <v>27</v>
      </c>
      <c r="F74" t="s">
        <v>27</v>
      </c>
      <c r="G74" t="str">
        <f>"2026-06-02 13:49:20.485"</f>
        <v>2026-06-02 13:49:20.485</v>
      </c>
      <c r="H74" t="s">
        <v>22</v>
      </c>
      <c r="I74">
        <v>0</v>
      </c>
      <c r="J74" t="s">
        <v>28</v>
      </c>
    </row>
    <row r="75" spans="1:10" x14ac:dyDescent="0.25">
      <c r="A75" s="1">
        <v>6</v>
      </c>
      <c r="B75" t="s">
        <v>26</v>
      </c>
      <c r="C75">
        <v>700</v>
      </c>
      <c r="D75">
        <v>0</v>
      </c>
      <c r="E75" t="s">
        <v>27</v>
      </c>
      <c r="F75" t="s">
        <v>27</v>
      </c>
      <c r="G75" t="str">
        <f>"2026-06-02 13:40:19.515"</f>
        <v>2026-06-02 13:40:19.515</v>
      </c>
      <c r="H75" t="s">
        <v>22</v>
      </c>
      <c r="I75">
        <v>0</v>
      </c>
      <c r="J75" t="s">
        <v>28</v>
      </c>
    </row>
    <row r="76" spans="1:10" x14ac:dyDescent="0.25">
      <c r="A76" s="1">
        <v>7</v>
      </c>
      <c r="B76" t="s">
        <v>19</v>
      </c>
      <c r="C76">
        <v>635</v>
      </c>
      <c r="D76">
        <v>1</v>
      </c>
      <c r="E76" t="s">
        <v>20</v>
      </c>
      <c r="F76" t="s">
        <v>21</v>
      </c>
      <c r="G76" t="str">
        <f>"2026-06-02 00:09:48.716"</f>
        <v>2026-06-02 00:09:48.716</v>
      </c>
      <c r="H76" t="s">
        <v>22</v>
      </c>
    </row>
    <row r="77" spans="1:10" x14ac:dyDescent="0.25">
      <c r="A77" s="1">
        <v>8</v>
      </c>
      <c r="B77" t="s">
        <v>23</v>
      </c>
      <c r="C77">
        <v>635</v>
      </c>
      <c r="D77">
        <v>1</v>
      </c>
      <c r="E77" t="s">
        <v>20</v>
      </c>
      <c r="F77" t="s">
        <v>21</v>
      </c>
      <c r="G77" t="str">
        <f>"2026-06-02 00:06:43.716"</f>
        <v>2026-06-02 00:06:43.716</v>
      </c>
      <c r="H77" t="s">
        <v>22</v>
      </c>
      <c r="I77">
        <v>0.99</v>
      </c>
      <c r="J77" t="s">
        <v>36</v>
      </c>
    </row>
    <row r="78" spans="1:10" x14ac:dyDescent="0.25">
      <c r="A78" s="1">
        <v>9</v>
      </c>
      <c r="B78" t="s">
        <v>19</v>
      </c>
      <c r="C78">
        <v>630</v>
      </c>
      <c r="D78">
        <v>5</v>
      </c>
      <c r="E78" t="s">
        <v>29</v>
      </c>
      <c r="F78" t="s">
        <v>30</v>
      </c>
      <c r="G78" t="str">
        <f>"2026-06-01 21:57:37.817"</f>
        <v>2026-06-01 21:57:37.817</v>
      </c>
      <c r="H78" t="s">
        <v>31</v>
      </c>
    </row>
    <row r="79" spans="1:10" x14ac:dyDescent="0.25">
      <c r="A79" s="1">
        <v>0</v>
      </c>
      <c r="B79" t="s">
        <v>26</v>
      </c>
      <c r="C79">
        <v>706</v>
      </c>
      <c r="D79">
        <v>2</v>
      </c>
      <c r="E79" t="s">
        <v>32</v>
      </c>
      <c r="F79" t="s">
        <v>33</v>
      </c>
      <c r="G79" t="str">
        <f>"2026-06-01 21:57:07.773"</f>
        <v>2026-06-01 21:57:07.773</v>
      </c>
      <c r="H79" t="s">
        <v>22</v>
      </c>
      <c r="I79">
        <v>0</v>
      </c>
      <c r="J79" t="s">
        <v>34</v>
      </c>
    </row>
    <row r="80" spans="1:10" x14ac:dyDescent="0.25">
      <c r="A80" s="1">
        <v>1</v>
      </c>
      <c r="B80" t="s">
        <v>35</v>
      </c>
      <c r="C80">
        <v>630</v>
      </c>
      <c r="D80">
        <v>5</v>
      </c>
      <c r="E80" t="s">
        <v>29</v>
      </c>
      <c r="F80" t="s">
        <v>30</v>
      </c>
      <c r="G80" t="str">
        <f>"2026-06-01 21:53:19.517"</f>
        <v>2026-06-01 21:53:19.517</v>
      </c>
      <c r="H80" t="s">
        <v>31</v>
      </c>
      <c r="I80">
        <v>0</v>
      </c>
      <c r="J80" t="s">
        <v>34</v>
      </c>
    </row>
    <row r="81" spans="1:10" x14ac:dyDescent="0.25">
      <c r="A81" s="1">
        <v>2</v>
      </c>
      <c r="B81" t="s">
        <v>26</v>
      </c>
      <c r="C81">
        <v>706</v>
      </c>
      <c r="D81">
        <v>4</v>
      </c>
      <c r="E81" t="s">
        <v>32</v>
      </c>
      <c r="F81" t="s">
        <v>41</v>
      </c>
      <c r="G81" t="str">
        <f>"2026-06-01 13:28:04.643"</f>
        <v>2026-06-01 13:28:04.643</v>
      </c>
      <c r="H81" t="s">
        <v>22</v>
      </c>
      <c r="I81">
        <v>0</v>
      </c>
      <c r="J81" t="s">
        <v>34</v>
      </c>
    </row>
    <row r="82" spans="1:10" x14ac:dyDescent="0.25">
      <c r="A82" s="1">
        <v>3</v>
      </c>
      <c r="B82" t="s">
        <v>26</v>
      </c>
      <c r="C82">
        <v>700</v>
      </c>
      <c r="D82">
        <v>0</v>
      </c>
      <c r="E82" t="s">
        <v>27</v>
      </c>
      <c r="F82" t="s">
        <v>27</v>
      </c>
      <c r="G82" t="str">
        <f>"2026-06-01 13:26:49.643"</f>
        <v>2026-06-01 13:26:49.643</v>
      </c>
      <c r="H82" t="s">
        <v>22</v>
      </c>
    </row>
    <row r="83" spans="1:10" x14ac:dyDescent="0.25">
      <c r="A83" s="1">
        <v>4</v>
      </c>
      <c r="B83" t="s">
        <v>19</v>
      </c>
      <c r="C83">
        <v>635</v>
      </c>
      <c r="D83">
        <v>1</v>
      </c>
      <c r="E83" t="s">
        <v>20</v>
      </c>
      <c r="F83" t="s">
        <v>21</v>
      </c>
      <c r="G83" t="str">
        <f>"2026-06-01 06:22:51.471"</f>
        <v>2026-06-01 06:22:51.471</v>
      </c>
      <c r="H83" t="s">
        <v>22</v>
      </c>
    </row>
    <row r="84" spans="1:10" x14ac:dyDescent="0.25">
      <c r="A84" s="1">
        <v>5</v>
      </c>
      <c r="B84" t="s">
        <v>23</v>
      </c>
      <c r="C84">
        <v>635</v>
      </c>
      <c r="D84">
        <v>1</v>
      </c>
      <c r="E84" t="s">
        <v>20</v>
      </c>
      <c r="F84" t="s">
        <v>21</v>
      </c>
      <c r="G84" t="str">
        <f>"2026-06-01 06:18:23.471"</f>
        <v>2026-06-01 06:18:23.471</v>
      </c>
      <c r="H84" t="s">
        <v>22</v>
      </c>
      <c r="I84">
        <v>3.71</v>
      </c>
      <c r="J84" t="s">
        <v>36</v>
      </c>
    </row>
    <row r="85" spans="1:10" x14ac:dyDescent="0.25">
      <c r="A85" s="1">
        <v>6</v>
      </c>
      <c r="B85" t="s">
        <v>19</v>
      </c>
      <c r="C85">
        <v>635</v>
      </c>
      <c r="D85">
        <v>1</v>
      </c>
      <c r="E85" t="s">
        <v>20</v>
      </c>
      <c r="F85" t="s">
        <v>21</v>
      </c>
      <c r="G85" t="str">
        <f>"2026-06-01 02:29:45.371"</f>
        <v>2026-06-01 02:29:45.371</v>
      </c>
      <c r="H85" t="s">
        <v>22</v>
      </c>
    </row>
    <row r="86" spans="1:10" x14ac:dyDescent="0.25">
      <c r="A86" s="1">
        <v>7</v>
      </c>
      <c r="B86" t="s">
        <v>23</v>
      </c>
      <c r="C86">
        <v>635</v>
      </c>
      <c r="D86">
        <v>1</v>
      </c>
      <c r="E86" t="s">
        <v>20</v>
      </c>
      <c r="F86" t="s">
        <v>21</v>
      </c>
      <c r="G86" t="str">
        <f>"2026-06-01 02:26:34.871"</f>
        <v>2026-06-01 02:26:34.871</v>
      </c>
      <c r="H86" t="s">
        <v>22</v>
      </c>
      <c r="I86">
        <v>3.2</v>
      </c>
      <c r="J86" t="s">
        <v>36</v>
      </c>
    </row>
    <row r="87" spans="1:10" x14ac:dyDescent="0.25">
      <c r="A87" s="1">
        <v>8</v>
      </c>
      <c r="B87" t="s">
        <v>26</v>
      </c>
      <c r="C87">
        <v>706</v>
      </c>
      <c r="D87">
        <v>4</v>
      </c>
      <c r="E87" t="s">
        <v>32</v>
      </c>
      <c r="F87" t="s">
        <v>41</v>
      </c>
      <c r="G87" t="str">
        <f>"2026-06-01 02:09:35.850"</f>
        <v>2026-06-01 02:09:35.850</v>
      </c>
      <c r="H87" t="s">
        <v>22</v>
      </c>
      <c r="I87">
        <v>0</v>
      </c>
      <c r="J87" t="s">
        <v>34</v>
      </c>
    </row>
    <row r="88" spans="1:10" x14ac:dyDescent="0.25">
      <c r="A88" s="1">
        <v>9</v>
      </c>
      <c r="B88" t="s">
        <v>26</v>
      </c>
      <c r="C88">
        <v>700</v>
      </c>
      <c r="D88">
        <v>0</v>
      </c>
      <c r="E88" t="s">
        <v>27</v>
      </c>
      <c r="F88" t="s">
        <v>27</v>
      </c>
      <c r="G88" t="str">
        <f>"2026-06-01 02:09:04.530"</f>
        <v>2026-06-01 02:09:04.530</v>
      </c>
      <c r="H88" t="s">
        <v>22</v>
      </c>
    </row>
    <row r="89" spans="1:10" x14ac:dyDescent="0.25">
      <c r="A89" s="1">
        <v>0</v>
      </c>
      <c r="B89" t="s">
        <v>26</v>
      </c>
      <c r="C89">
        <v>700</v>
      </c>
      <c r="D89">
        <v>0</v>
      </c>
      <c r="E89" t="s">
        <v>27</v>
      </c>
      <c r="F89" t="s">
        <v>27</v>
      </c>
      <c r="G89" t="str">
        <f>"2026-06-01 01:08:47.472"</f>
        <v>2026-06-01 01:08:47.472</v>
      </c>
      <c r="H89" t="s">
        <v>22</v>
      </c>
      <c r="I89">
        <v>0</v>
      </c>
      <c r="J89" t="s">
        <v>28</v>
      </c>
    </row>
    <row r="90" spans="1:10" x14ac:dyDescent="0.25">
      <c r="A90" s="1">
        <v>1</v>
      </c>
      <c r="B90" t="s">
        <v>26</v>
      </c>
      <c r="C90">
        <v>700</v>
      </c>
      <c r="D90">
        <v>0</v>
      </c>
      <c r="E90" t="s">
        <v>27</v>
      </c>
      <c r="F90" t="s">
        <v>27</v>
      </c>
      <c r="G90" t="str">
        <f>"2026-05-31 21:59:24.478"</f>
        <v>2026-05-31 21:59:24.478</v>
      </c>
      <c r="H90" t="s">
        <v>22</v>
      </c>
    </row>
    <row r="91" spans="1:10" x14ac:dyDescent="0.25">
      <c r="A91" s="1">
        <v>2</v>
      </c>
      <c r="B91" t="s">
        <v>19</v>
      </c>
      <c r="C91">
        <v>630</v>
      </c>
      <c r="D91">
        <v>5</v>
      </c>
      <c r="E91" t="s">
        <v>29</v>
      </c>
      <c r="F91" t="s">
        <v>30</v>
      </c>
      <c r="G91" t="str">
        <f>"2026-05-31 02:34:03.697"</f>
        <v>2026-05-31 02:34:03.697</v>
      </c>
      <c r="H91" t="s">
        <v>31</v>
      </c>
    </row>
    <row r="92" spans="1:10" x14ac:dyDescent="0.25">
      <c r="A92" s="1">
        <v>3</v>
      </c>
      <c r="B92" t="s">
        <v>26</v>
      </c>
      <c r="C92">
        <v>706</v>
      </c>
      <c r="D92">
        <v>4</v>
      </c>
      <c r="E92" t="s">
        <v>32</v>
      </c>
      <c r="F92" t="s">
        <v>41</v>
      </c>
      <c r="G92" t="str">
        <f>"2026-05-31 02:33:33.560"</f>
        <v>2026-05-31 02:33:33.560</v>
      </c>
      <c r="H92" t="s">
        <v>22</v>
      </c>
      <c r="I92">
        <v>0</v>
      </c>
      <c r="J92" t="s">
        <v>34</v>
      </c>
    </row>
    <row r="93" spans="1:10" x14ac:dyDescent="0.25">
      <c r="A93" s="1">
        <v>4</v>
      </c>
      <c r="B93" t="s">
        <v>35</v>
      </c>
      <c r="C93">
        <v>630</v>
      </c>
      <c r="D93">
        <v>5</v>
      </c>
      <c r="E93" t="s">
        <v>29</v>
      </c>
      <c r="F93" t="s">
        <v>30</v>
      </c>
      <c r="G93" t="str">
        <f>"2026-05-31 01:56:19.298"</f>
        <v>2026-05-31 01:56:19.298</v>
      </c>
      <c r="H93" t="s">
        <v>31</v>
      </c>
      <c r="I93">
        <v>0</v>
      </c>
      <c r="J93" t="s">
        <v>34</v>
      </c>
    </row>
    <row r="94" spans="1:10" x14ac:dyDescent="0.25">
      <c r="A94" s="1">
        <v>5</v>
      </c>
      <c r="B94" t="s">
        <v>26</v>
      </c>
      <c r="C94">
        <v>700</v>
      </c>
      <c r="D94">
        <v>0</v>
      </c>
      <c r="E94" t="s">
        <v>27</v>
      </c>
      <c r="F94" t="s">
        <v>27</v>
      </c>
      <c r="G94" t="str">
        <f>"2026-05-31 01:51:16.500"</f>
        <v>2026-05-31 01:51:16.500</v>
      </c>
      <c r="H94" t="s">
        <v>22</v>
      </c>
      <c r="I94">
        <v>0</v>
      </c>
      <c r="J94" t="s">
        <v>28</v>
      </c>
    </row>
    <row r="95" spans="1:10" x14ac:dyDescent="0.25">
      <c r="A95" s="1">
        <v>6</v>
      </c>
      <c r="B95" t="s">
        <v>35</v>
      </c>
      <c r="C95">
        <v>630</v>
      </c>
      <c r="D95">
        <v>5</v>
      </c>
      <c r="E95" t="s">
        <v>29</v>
      </c>
      <c r="F95" t="s">
        <v>30</v>
      </c>
      <c r="G95" t="str">
        <f>"2026-05-31 00:56:37.038"</f>
        <v>2026-05-31 00:56:37.038</v>
      </c>
      <c r="H95" t="s">
        <v>31</v>
      </c>
      <c r="I95">
        <v>0</v>
      </c>
      <c r="J95" t="s">
        <v>34</v>
      </c>
    </row>
    <row r="96" spans="1:10" x14ac:dyDescent="0.25">
      <c r="A96" s="1">
        <v>7</v>
      </c>
      <c r="B96" t="s">
        <v>19</v>
      </c>
      <c r="C96">
        <v>630</v>
      </c>
      <c r="D96">
        <v>5</v>
      </c>
      <c r="E96" t="s">
        <v>29</v>
      </c>
      <c r="F96" t="s">
        <v>30</v>
      </c>
      <c r="G96" t="str">
        <f>"2026-05-30 21:31:04.138"</f>
        <v>2026-05-30 21:31:04.138</v>
      </c>
      <c r="H96" t="s">
        <v>31</v>
      </c>
    </row>
    <row r="97" spans="1:10" x14ac:dyDescent="0.25">
      <c r="A97" s="1">
        <v>8</v>
      </c>
      <c r="B97" t="s">
        <v>26</v>
      </c>
      <c r="C97">
        <v>706</v>
      </c>
      <c r="D97">
        <v>4</v>
      </c>
      <c r="E97" t="s">
        <v>32</v>
      </c>
      <c r="F97" t="s">
        <v>41</v>
      </c>
      <c r="G97" t="str">
        <f>"2026-05-30 21:30:34.047"</f>
        <v>2026-05-30 21:30:34.047</v>
      </c>
      <c r="H97" t="s">
        <v>22</v>
      </c>
      <c r="I97">
        <v>0</v>
      </c>
      <c r="J97" t="s">
        <v>34</v>
      </c>
    </row>
    <row r="98" spans="1:10" x14ac:dyDescent="0.25">
      <c r="A98" s="1">
        <v>9</v>
      </c>
      <c r="B98" t="s">
        <v>35</v>
      </c>
      <c r="C98">
        <v>630</v>
      </c>
      <c r="D98">
        <v>5</v>
      </c>
      <c r="E98" t="s">
        <v>29</v>
      </c>
      <c r="F98" t="s">
        <v>30</v>
      </c>
      <c r="G98" t="str">
        <f>"2026-05-30 21:25:14.438"</f>
        <v>2026-05-30 21:25:14.438</v>
      </c>
      <c r="H98" t="s">
        <v>31</v>
      </c>
      <c r="I98">
        <v>0</v>
      </c>
      <c r="J98" t="s">
        <v>34</v>
      </c>
    </row>
    <row r="99" spans="1:10" x14ac:dyDescent="0.25">
      <c r="A99" s="1">
        <v>0</v>
      </c>
      <c r="B99" t="s">
        <v>26</v>
      </c>
      <c r="C99">
        <v>700</v>
      </c>
      <c r="D99">
        <v>0</v>
      </c>
      <c r="E99" t="s">
        <v>27</v>
      </c>
      <c r="F99" t="s">
        <v>27</v>
      </c>
      <c r="G99" t="str">
        <f>"2026-05-30 16:15:20.467"</f>
        <v>2026-05-30 16:15:20.467</v>
      </c>
      <c r="H99" t="s">
        <v>22</v>
      </c>
      <c r="I99">
        <v>0</v>
      </c>
      <c r="J99" t="s">
        <v>28</v>
      </c>
    </row>
    <row r="100" spans="1:10" x14ac:dyDescent="0.25">
      <c r="A100" s="1">
        <v>1</v>
      </c>
      <c r="B100" t="s">
        <v>26</v>
      </c>
      <c r="C100">
        <v>700</v>
      </c>
      <c r="D100">
        <v>0</v>
      </c>
      <c r="E100" t="s">
        <v>27</v>
      </c>
      <c r="F100" t="s">
        <v>27</v>
      </c>
      <c r="G100" t="str">
        <f>"2026-05-30 14:01:40.472"</f>
        <v>2026-05-30 14:01:40.472</v>
      </c>
      <c r="H100" t="s">
        <v>22</v>
      </c>
    </row>
    <row r="101" spans="1:10" x14ac:dyDescent="0.25">
      <c r="A101" s="1">
        <v>2</v>
      </c>
      <c r="B101" t="s">
        <v>26</v>
      </c>
      <c r="C101">
        <v>706</v>
      </c>
      <c r="D101">
        <v>4</v>
      </c>
      <c r="E101" t="s">
        <v>32</v>
      </c>
      <c r="F101" t="s">
        <v>41</v>
      </c>
      <c r="G101" t="str">
        <f>"2026-05-30 13:54:09.221"</f>
        <v>2026-05-30 13:54:09.221</v>
      </c>
      <c r="H101" t="s">
        <v>22</v>
      </c>
      <c r="I101">
        <v>0</v>
      </c>
      <c r="J101" t="s">
        <v>34</v>
      </c>
    </row>
    <row r="102" spans="1:10" x14ac:dyDescent="0.25">
      <c r="A102" s="1">
        <v>3</v>
      </c>
      <c r="B102" t="s">
        <v>26</v>
      </c>
      <c r="C102">
        <v>700</v>
      </c>
      <c r="D102">
        <v>0</v>
      </c>
      <c r="E102" t="s">
        <v>27</v>
      </c>
      <c r="F102" t="s">
        <v>27</v>
      </c>
      <c r="G102" t="str">
        <f>"2026-05-30 13:50:49.481"</f>
        <v>2026-05-30 13:50:49.481</v>
      </c>
      <c r="H102" t="s">
        <v>22</v>
      </c>
      <c r="I102">
        <v>0</v>
      </c>
      <c r="J102" t="s">
        <v>28</v>
      </c>
    </row>
    <row r="103" spans="1:10" x14ac:dyDescent="0.25">
      <c r="A103" s="1">
        <v>4</v>
      </c>
      <c r="B103" t="s">
        <v>26</v>
      </c>
      <c r="C103">
        <v>700</v>
      </c>
      <c r="D103">
        <v>0</v>
      </c>
      <c r="E103" t="s">
        <v>27</v>
      </c>
      <c r="F103" t="s">
        <v>27</v>
      </c>
      <c r="G103" t="str">
        <f>"2026-05-30 13:49:40.462"</f>
        <v>2026-05-30 13:49:40.462</v>
      </c>
      <c r="H103" t="s">
        <v>22</v>
      </c>
    </row>
    <row r="104" spans="1:10" x14ac:dyDescent="0.25">
      <c r="A104" s="1">
        <v>5</v>
      </c>
      <c r="B104" t="s">
        <v>26</v>
      </c>
      <c r="C104">
        <v>706</v>
      </c>
      <c r="D104">
        <v>4</v>
      </c>
      <c r="E104" t="s">
        <v>32</v>
      </c>
      <c r="F104" t="s">
        <v>41</v>
      </c>
      <c r="G104" t="str">
        <f>"2026-05-30 13:45:49.257"</f>
        <v>2026-05-30 13:45:49.257</v>
      </c>
      <c r="H104" t="s">
        <v>22</v>
      </c>
      <c r="I104">
        <v>0</v>
      </c>
      <c r="J104" t="s">
        <v>34</v>
      </c>
    </row>
    <row r="105" spans="1:10" x14ac:dyDescent="0.25">
      <c r="A105" s="1">
        <v>6</v>
      </c>
      <c r="B105" t="s">
        <v>26</v>
      </c>
      <c r="C105">
        <v>700</v>
      </c>
      <c r="D105">
        <v>0</v>
      </c>
      <c r="E105" t="s">
        <v>27</v>
      </c>
      <c r="F105" t="s">
        <v>27</v>
      </c>
      <c r="G105" t="str">
        <f>"2026-05-30 13:45:15.477"</f>
        <v>2026-05-30 13:45:15.477</v>
      </c>
      <c r="H105" t="s">
        <v>22</v>
      </c>
      <c r="I105">
        <v>0</v>
      </c>
      <c r="J105" t="s">
        <v>28</v>
      </c>
    </row>
    <row r="106" spans="1:10" x14ac:dyDescent="0.25">
      <c r="A106" s="1">
        <v>7</v>
      </c>
      <c r="B106" t="s">
        <v>26</v>
      </c>
      <c r="C106">
        <v>700</v>
      </c>
      <c r="D106">
        <v>0</v>
      </c>
      <c r="E106" t="s">
        <v>27</v>
      </c>
      <c r="F106" t="s">
        <v>27</v>
      </c>
      <c r="G106" t="str">
        <f>"2026-05-30 13:41:21.480"</f>
        <v>2026-05-30 13:41:21.480</v>
      </c>
      <c r="H106" t="s">
        <v>22</v>
      </c>
      <c r="I106">
        <v>0</v>
      </c>
      <c r="J106" t="s">
        <v>28</v>
      </c>
    </row>
    <row r="107" spans="1:10" x14ac:dyDescent="0.25">
      <c r="A107" s="1">
        <v>8</v>
      </c>
      <c r="B107" t="s">
        <v>26</v>
      </c>
      <c r="C107">
        <v>700</v>
      </c>
      <c r="D107">
        <v>0</v>
      </c>
      <c r="E107" t="s">
        <v>27</v>
      </c>
      <c r="F107" t="s">
        <v>27</v>
      </c>
      <c r="G107" t="str">
        <f>"2026-05-30 12:43:19.461"</f>
        <v>2026-05-30 12:43:19.461</v>
      </c>
      <c r="H107" t="s">
        <v>22</v>
      </c>
      <c r="I107">
        <v>0</v>
      </c>
      <c r="J107" t="s">
        <v>28</v>
      </c>
    </row>
    <row r="108" spans="1:10" x14ac:dyDescent="0.25">
      <c r="A108" s="1">
        <v>9</v>
      </c>
      <c r="B108" t="s">
        <v>19</v>
      </c>
      <c r="C108">
        <v>630</v>
      </c>
      <c r="D108">
        <v>5</v>
      </c>
      <c r="E108" t="s">
        <v>29</v>
      </c>
      <c r="F108" t="s">
        <v>30</v>
      </c>
      <c r="G108" t="str">
        <f>"2026-05-30 10:25:15.544"</f>
        <v>2026-05-30 10:25:15.544</v>
      </c>
      <c r="H108" t="s">
        <v>31</v>
      </c>
    </row>
    <row r="109" spans="1:10" x14ac:dyDescent="0.25">
      <c r="A109" s="1">
        <v>0</v>
      </c>
      <c r="B109" t="s">
        <v>26</v>
      </c>
      <c r="C109">
        <v>706</v>
      </c>
      <c r="D109">
        <v>2</v>
      </c>
      <c r="E109" t="s">
        <v>32</v>
      </c>
      <c r="F109" t="s">
        <v>33</v>
      </c>
      <c r="G109" t="str">
        <f>"2026-05-30 10:24:45.486"</f>
        <v>2026-05-30 10:24:45.486</v>
      </c>
      <c r="H109" t="s">
        <v>22</v>
      </c>
      <c r="I109">
        <v>0</v>
      </c>
      <c r="J109" t="s">
        <v>34</v>
      </c>
    </row>
    <row r="110" spans="1:10" x14ac:dyDescent="0.25">
      <c r="A110" s="1">
        <v>1</v>
      </c>
      <c r="B110" t="s">
        <v>35</v>
      </c>
      <c r="C110">
        <v>630</v>
      </c>
      <c r="D110">
        <v>5</v>
      </c>
      <c r="E110" t="s">
        <v>29</v>
      </c>
      <c r="F110" t="s">
        <v>30</v>
      </c>
      <c r="G110" t="str">
        <f>"2026-05-30 10:12:13.245"</f>
        <v>2026-05-30 10:12:13.245</v>
      </c>
      <c r="H110" t="s">
        <v>31</v>
      </c>
      <c r="I110">
        <v>0</v>
      </c>
      <c r="J110" t="s">
        <v>34</v>
      </c>
    </row>
    <row r="111" spans="1:10" x14ac:dyDescent="0.25">
      <c r="A111" s="1">
        <v>2</v>
      </c>
      <c r="B111" t="s">
        <v>26</v>
      </c>
      <c r="C111">
        <v>700</v>
      </c>
      <c r="D111">
        <v>0</v>
      </c>
      <c r="E111" t="s">
        <v>27</v>
      </c>
      <c r="F111" t="s">
        <v>27</v>
      </c>
      <c r="G111" t="str">
        <f>"2026-05-30 10:07:10.466"</f>
        <v>2026-05-30 10:07:10.466</v>
      </c>
      <c r="H111" t="s">
        <v>22</v>
      </c>
    </row>
    <row r="112" spans="1:10" x14ac:dyDescent="0.25">
      <c r="A112" s="1">
        <v>3</v>
      </c>
      <c r="B112" t="s">
        <v>26</v>
      </c>
      <c r="C112">
        <v>700</v>
      </c>
      <c r="D112">
        <v>0</v>
      </c>
      <c r="E112" t="s">
        <v>27</v>
      </c>
      <c r="F112" t="s">
        <v>27</v>
      </c>
      <c r="G112" t="str">
        <f>"2026-05-30 10:00:05.464"</f>
        <v>2026-05-30 10:00:05.464</v>
      </c>
      <c r="H112" t="s">
        <v>22</v>
      </c>
      <c r="I112">
        <v>0</v>
      </c>
      <c r="J112" t="s">
        <v>28</v>
      </c>
    </row>
    <row r="113" spans="1:10" x14ac:dyDescent="0.25">
      <c r="A113" s="1">
        <v>4</v>
      </c>
      <c r="B113" t="s">
        <v>26</v>
      </c>
      <c r="C113">
        <v>700</v>
      </c>
      <c r="D113">
        <v>0</v>
      </c>
      <c r="E113" t="s">
        <v>27</v>
      </c>
      <c r="F113" t="s">
        <v>27</v>
      </c>
      <c r="G113" t="str">
        <f>"2026-05-30 09:28:28.610"</f>
        <v>2026-05-30 09:28:28.610</v>
      </c>
      <c r="H113" t="s">
        <v>22</v>
      </c>
      <c r="I113">
        <v>0</v>
      </c>
      <c r="J113" t="s">
        <v>28</v>
      </c>
    </row>
    <row r="114" spans="1:10" x14ac:dyDescent="0.25">
      <c r="A114" s="1">
        <v>5</v>
      </c>
      <c r="B114" t="s">
        <v>19</v>
      </c>
      <c r="C114">
        <v>630</v>
      </c>
      <c r="D114">
        <v>5</v>
      </c>
      <c r="E114" t="s">
        <v>29</v>
      </c>
      <c r="F114" t="s">
        <v>30</v>
      </c>
      <c r="G114" t="str">
        <f>"2026-05-29 22:12:08.657"</f>
        <v>2026-05-29 22:12:08.657</v>
      </c>
      <c r="H114" t="s">
        <v>31</v>
      </c>
    </row>
    <row r="115" spans="1:10" x14ac:dyDescent="0.25">
      <c r="A115" s="1">
        <v>6</v>
      </c>
      <c r="B115" t="s">
        <v>26</v>
      </c>
      <c r="C115">
        <v>706</v>
      </c>
      <c r="D115">
        <v>2</v>
      </c>
      <c r="E115" t="s">
        <v>32</v>
      </c>
      <c r="F115" t="s">
        <v>33</v>
      </c>
      <c r="G115" t="str">
        <f>"2026-05-29 22:11:38.493"</f>
        <v>2026-05-29 22:11:38.493</v>
      </c>
      <c r="H115" t="s">
        <v>22</v>
      </c>
      <c r="I115">
        <v>0</v>
      </c>
      <c r="J115" t="s">
        <v>34</v>
      </c>
    </row>
    <row r="116" spans="1:10" x14ac:dyDescent="0.25">
      <c r="A116" s="1">
        <v>7</v>
      </c>
      <c r="B116" t="s">
        <v>35</v>
      </c>
      <c r="C116">
        <v>630</v>
      </c>
      <c r="D116">
        <v>5</v>
      </c>
      <c r="E116" t="s">
        <v>29</v>
      </c>
      <c r="F116" t="s">
        <v>30</v>
      </c>
      <c r="G116" t="str">
        <f>"2026-05-29 22:05:31.358"</f>
        <v>2026-05-29 22:05:31.358</v>
      </c>
      <c r="H116" t="s">
        <v>31</v>
      </c>
      <c r="I116">
        <v>0</v>
      </c>
      <c r="J116" t="s">
        <v>34</v>
      </c>
    </row>
    <row r="117" spans="1:10" x14ac:dyDescent="0.25">
      <c r="A117" s="1">
        <v>8</v>
      </c>
      <c r="B117" t="s">
        <v>19</v>
      </c>
      <c r="C117">
        <v>635</v>
      </c>
      <c r="D117">
        <v>1</v>
      </c>
      <c r="E117" t="s">
        <v>20</v>
      </c>
      <c r="F117" t="s">
        <v>21</v>
      </c>
      <c r="G117" t="str">
        <f>"2026-05-29 16:06:05.504"</f>
        <v>2026-05-29 16:06:05.504</v>
      </c>
      <c r="H117" t="s">
        <v>22</v>
      </c>
    </row>
    <row r="118" spans="1:10" x14ac:dyDescent="0.25">
      <c r="A118" s="1">
        <v>9</v>
      </c>
      <c r="B118" t="s">
        <v>23</v>
      </c>
      <c r="C118">
        <v>635</v>
      </c>
      <c r="D118">
        <v>1</v>
      </c>
      <c r="E118" t="s">
        <v>20</v>
      </c>
      <c r="F118" t="s">
        <v>21</v>
      </c>
      <c r="G118" t="str">
        <f>"2026-05-29 16:03:32.004"</f>
        <v>2026-05-29 16:03:32.004</v>
      </c>
      <c r="H118" t="s">
        <v>22</v>
      </c>
      <c r="I118">
        <v>1.25</v>
      </c>
      <c r="J118" t="s">
        <v>25</v>
      </c>
    </row>
    <row r="119" spans="1:10" x14ac:dyDescent="0.25">
      <c r="A119" s="1">
        <v>10</v>
      </c>
      <c r="B119" t="s">
        <v>19</v>
      </c>
      <c r="C119">
        <v>635</v>
      </c>
      <c r="D119">
        <v>1</v>
      </c>
      <c r="E119" t="s">
        <v>20</v>
      </c>
      <c r="F119" t="s">
        <v>21</v>
      </c>
      <c r="G119" t="str">
        <f>"2026-05-29 11:29:36.504"</f>
        <v>2026-05-29 11:29:36.504</v>
      </c>
      <c r="H119" t="s">
        <v>22</v>
      </c>
    </row>
    <row r="120" spans="1:10" x14ac:dyDescent="0.25">
      <c r="A120" s="1">
        <v>11</v>
      </c>
      <c r="B120" t="s">
        <v>23</v>
      </c>
      <c r="C120">
        <v>635</v>
      </c>
      <c r="D120">
        <v>1</v>
      </c>
      <c r="E120" t="s">
        <v>20</v>
      </c>
      <c r="F120" t="s">
        <v>21</v>
      </c>
      <c r="G120" t="str">
        <f>"2026-05-29 11:12:43.004"</f>
        <v>2026-05-29 11:12:43.004</v>
      </c>
      <c r="H120" t="s">
        <v>22</v>
      </c>
      <c r="I120">
        <v>3.77</v>
      </c>
      <c r="J120" t="s">
        <v>36</v>
      </c>
    </row>
    <row r="121" spans="1:10" x14ac:dyDescent="0.25">
      <c r="A121" s="1">
        <v>12</v>
      </c>
      <c r="B121" t="s">
        <v>19</v>
      </c>
      <c r="C121">
        <v>635</v>
      </c>
      <c r="D121">
        <v>1</v>
      </c>
      <c r="E121" t="s">
        <v>20</v>
      </c>
      <c r="F121" t="s">
        <v>21</v>
      </c>
      <c r="G121" t="str">
        <f>"2026-05-29 01:04:34.104"</f>
        <v>2026-05-29 01:04:34.104</v>
      </c>
      <c r="H121" t="s">
        <v>22</v>
      </c>
    </row>
    <row r="122" spans="1:10" x14ac:dyDescent="0.25">
      <c r="A122" s="1">
        <v>13</v>
      </c>
      <c r="B122" t="s">
        <v>23</v>
      </c>
      <c r="C122">
        <v>635</v>
      </c>
      <c r="D122">
        <v>1</v>
      </c>
      <c r="E122" t="s">
        <v>20</v>
      </c>
      <c r="F122" t="s">
        <v>21</v>
      </c>
      <c r="G122" t="str">
        <f>"2026-05-29 00:58:26.604"</f>
        <v>2026-05-29 00:58:26.604</v>
      </c>
      <c r="H122" t="s">
        <v>22</v>
      </c>
      <c r="I122">
        <v>0</v>
      </c>
      <c r="J122" t="s">
        <v>25</v>
      </c>
    </row>
    <row r="123" spans="1:10" x14ac:dyDescent="0.25">
      <c r="A123" s="1">
        <v>14</v>
      </c>
      <c r="B123" t="s">
        <v>19</v>
      </c>
      <c r="C123">
        <v>630</v>
      </c>
      <c r="D123">
        <v>5</v>
      </c>
      <c r="E123" t="s">
        <v>29</v>
      </c>
      <c r="F123" t="s">
        <v>30</v>
      </c>
      <c r="G123" t="str">
        <f>"2026-05-28 20:34:40.858"</f>
        <v>2026-05-28 20:34:40.858</v>
      </c>
      <c r="H123" t="s">
        <v>31</v>
      </c>
    </row>
    <row r="124" spans="1:10" x14ac:dyDescent="0.25">
      <c r="A124" s="1">
        <v>15</v>
      </c>
      <c r="B124" t="s">
        <v>26</v>
      </c>
      <c r="C124">
        <v>706</v>
      </c>
      <c r="D124">
        <v>2</v>
      </c>
      <c r="E124" t="s">
        <v>32</v>
      </c>
      <c r="F124" t="s">
        <v>33</v>
      </c>
      <c r="G124" t="str">
        <f>"2026-05-28 20:34:10.693"</f>
        <v>2026-05-28 20:34:10.693</v>
      </c>
      <c r="H124" t="s">
        <v>22</v>
      </c>
      <c r="I124">
        <v>0</v>
      </c>
      <c r="J124" t="s">
        <v>34</v>
      </c>
    </row>
    <row r="125" spans="1:10" x14ac:dyDescent="0.25">
      <c r="A125" s="1">
        <v>16</v>
      </c>
      <c r="B125" t="s">
        <v>35</v>
      </c>
      <c r="C125">
        <v>630</v>
      </c>
      <c r="D125">
        <v>5</v>
      </c>
      <c r="E125" t="s">
        <v>29</v>
      </c>
      <c r="F125" t="s">
        <v>30</v>
      </c>
      <c r="G125" t="str">
        <f>"2026-05-28 20:29:10.258"</f>
        <v>2026-05-28 20:29:10.258</v>
      </c>
      <c r="H125" t="s">
        <v>31</v>
      </c>
      <c r="I125">
        <v>0</v>
      </c>
      <c r="J125" t="s">
        <v>34</v>
      </c>
    </row>
    <row r="126" spans="1:10" x14ac:dyDescent="0.25">
      <c r="A126" s="1">
        <v>17</v>
      </c>
      <c r="B126" t="s">
        <v>19</v>
      </c>
      <c r="C126">
        <v>635</v>
      </c>
      <c r="D126">
        <v>1</v>
      </c>
      <c r="E126" t="s">
        <v>20</v>
      </c>
      <c r="F126" t="s">
        <v>21</v>
      </c>
      <c r="G126" t="str">
        <f>"2026-05-28 14:16:07.804"</f>
        <v>2026-05-28 14:16:07.804</v>
      </c>
      <c r="H126" t="s">
        <v>22</v>
      </c>
    </row>
    <row r="127" spans="1:10" x14ac:dyDescent="0.25">
      <c r="A127" s="1">
        <v>18</v>
      </c>
      <c r="B127" t="s">
        <v>23</v>
      </c>
      <c r="C127">
        <v>635</v>
      </c>
      <c r="D127">
        <v>1</v>
      </c>
      <c r="E127" t="s">
        <v>20</v>
      </c>
      <c r="F127" t="s">
        <v>21</v>
      </c>
      <c r="G127" t="str">
        <f>"2026-05-28 13:56:35.904"</f>
        <v>2026-05-28 13:56:35.904</v>
      </c>
      <c r="H127" t="s">
        <v>22</v>
      </c>
      <c r="I127">
        <v>6.94</v>
      </c>
      <c r="J127" t="s">
        <v>36</v>
      </c>
    </row>
    <row r="128" spans="1:10" x14ac:dyDescent="0.25">
      <c r="A128" s="1">
        <v>19</v>
      </c>
      <c r="B128" t="s">
        <v>26</v>
      </c>
      <c r="C128">
        <v>700</v>
      </c>
      <c r="D128">
        <v>0</v>
      </c>
      <c r="E128" t="s">
        <v>27</v>
      </c>
      <c r="F128" t="s">
        <v>27</v>
      </c>
      <c r="G128" t="str">
        <f>"2026-05-28 13:25:39.473"</f>
        <v>2026-05-28 13:25:39.473</v>
      </c>
      <c r="H128" t="s">
        <v>22</v>
      </c>
      <c r="I128">
        <v>0</v>
      </c>
      <c r="J128" t="s">
        <v>28</v>
      </c>
    </row>
    <row r="129" spans="1:10" x14ac:dyDescent="0.25">
      <c r="A129" s="1">
        <v>20</v>
      </c>
      <c r="B129" t="s">
        <v>26</v>
      </c>
      <c r="C129">
        <v>700</v>
      </c>
      <c r="D129">
        <v>0</v>
      </c>
      <c r="E129" t="s">
        <v>27</v>
      </c>
      <c r="F129" t="s">
        <v>27</v>
      </c>
      <c r="G129" t="str">
        <f>"2026-05-28 10:37:23.469"</f>
        <v>2026-05-28 10:37:23.469</v>
      </c>
      <c r="H129" t="s">
        <v>22</v>
      </c>
    </row>
    <row r="130" spans="1:10" x14ac:dyDescent="0.25">
      <c r="A130" s="1">
        <v>21</v>
      </c>
      <c r="B130" t="s">
        <v>26</v>
      </c>
      <c r="C130">
        <v>706</v>
      </c>
      <c r="D130">
        <v>2</v>
      </c>
      <c r="E130" t="s">
        <v>32</v>
      </c>
      <c r="F130" t="s">
        <v>33</v>
      </c>
      <c r="G130" t="str">
        <f>"2026-05-28 10:19:40.125"</f>
        <v>2026-05-28 10:19:40.125</v>
      </c>
      <c r="H130" t="s">
        <v>22</v>
      </c>
      <c r="I130">
        <v>0</v>
      </c>
      <c r="J130" t="s">
        <v>34</v>
      </c>
    </row>
    <row r="131" spans="1:10" x14ac:dyDescent="0.25">
      <c r="A131" s="1">
        <v>22</v>
      </c>
      <c r="B131" t="s">
        <v>26</v>
      </c>
      <c r="C131">
        <v>700</v>
      </c>
      <c r="D131">
        <v>0</v>
      </c>
      <c r="E131" t="s">
        <v>27</v>
      </c>
      <c r="F131" t="s">
        <v>27</v>
      </c>
      <c r="G131" t="str">
        <f>"2026-05-28 10:18:43.485"</f>
        <v>2026-05-28 10:18:43.485</v>
      </c>
      <c r="H131" t="s">
        <v>22</v>
      </c>
    </row>
    <row r="132" spans="1:10" x14ac:dyDescent="0.25">
      <c r="A132" s="1">
        <v>23</v>
      </c>
      <c r="B132" t="s">
        <v>19</v>
      </c>
      <c r="C132">
        <v>630</v>
      </c>
      <c r="D132">
        <v>5</v>
      </c>
      <c r="E132" t="s">
        <v>29</v>
      </c>
      <c r="F132" t="s">
        <v>30</v>
      </c>
      <c r="G132" t="str">
        <f>"2026-05-28 03:45:43.134"</f>
        <v>2026-05-28 03:45:43.134</v>
      </c>
      <c r="H132" t="s">
        <v>31</v>
      </c>
    </row>
    <row r="133" spans="1:10" x14ac:dyDescent="0.25">
      <c r="A133" s="1">
        <v>24</v>
      </c>
      <c r="B133" t="s">
        <v>26</v>
      </c>
      <c r="C133">
        <v>706</v>
      </c>
      <c r="D133">
        <v>4</v>
      </c>
      <c r="E133" t="s">
        <v>32</v>
      </c>
      <c r="F133" t="s">
        <v>41</v>
      </c>
      <c r="G133" t="str">
        <f>"2026-05-28 03:45:13.016"</f>
        <v>2026-05-28 03:45:13.016</v>
      </c>
      <c r="H133" t="s">
        <v>22</v>
      </c>
      <c r="I133">
        <v>0</v>
      </c>
      <c r="J133" t="s">
        <v>34</v>
      </c>
    </row>
    <row r="134" spans="1:10" x14ac:dyDescent="0.25">
      <c r="A134" s="1">
        <v>25</v>
      </c>
      <c r="B134" t="s">
        <v>35</v>
      </c>
      <c r="C134">
        <v>630</v>
      </c>
      <c r="D134">
        <v>5</v>
      </c>
      <c r="E134" t="s">
        <v>29</v>
      </c>
      <c r="F134" t="s">
        <v>30</v>
      </c>
      <c r="G134" t="str">
        <f>"2026-05-28 03:35:19.435"</f>
        <v>2026-05-28 03:35:19.435</v>
      </c>
      <c r="H134" t="s">
        <v>31</v>
      </c>
      <c r="I134">
        <v>0</v>
      </c>
      <c r="J134" t="s">
        <v>34</v>
      </c>
    </row>
    <row r="135" spans="1:10" x14ac:dyDescent="0.25">
      <c r="A135" s="1">
        <v>26</v>
      </c>
      <c r="B135" t="s">
        <v>26</v>
      </c>
      <c r="C135">
        <v>700</v>
      </c>
      <c r="D135">
        <v>0</v>
      </c>
      <c r="E135" t="s">
        <v>27</v>
      </c>
      <c r="F135" t="s">
        <v>27</v>
      </c>
      <c r="G135" t="str">
        <f>"2026-05-28 03:30:16.656"</f>
        <v>2026-05-28 03:30:16.656</v>
      </c>
      <c r="H135" t="s">
        <v>22</v>
      </c>
      <c r="I135">
        <v>0</v>
      </c>
      <c r="J135" t="s">
        <v>28</v>
      </c>
    </row>
    <row r="136" spans="1:10" x14ac:dyDescent="0.25">
      <c r="A136" s="1">
        <v>27</v>
      </c>
      <c r="B136" t="s">
        <v>19</v>
      </c>
      <c r="C136">
        <v>630</v>
      </c>
      <c r="D136">
        <v>5</v>
      </c>
      <c r="E136" t="s">
        <v>29</v>
      </c>
      <c r="F136" t="s">
        <v>30</v>
      </c>
      <c r="G136" t="str">
        <f>"2026-05-27 23:37:07.651"</f>
        <v>2026-05-27 23:37:07.651</v>
      </c>
      <c r="H136" t="s">
        <v>31</v>
      </c>
    </row>
    <row r="137" spans="1:10" x14ac:dyDescent="0.25">
      <c r="A137" s="1">
        <v>28</v>
      </c>
      <c r="B137" t="s">
        <v>26</v>
      </c>
      <c r="C137">
        <v>706</v>
      </c>
      <c r="D137">
        <v>4</v>
      </c>
      <c r="E137" t="s">
        <v>32</v>
      </c>
      <c r="F137" t="s">
        <v>41</v>
      </c>
      <c r="G137" t="str">
        <f>"2026-05-27 23:36:37.539"</f>
        <v>2026-05-27 23:36:37.539</v>
      </c>
      <c r="H137" t="s">
        <v>22</v>
      </c>
      <c r="I137">
        <v>0</v>
      </c>
      <c r="J137" t="s">
        <v>34</v>
      </c>
    </row>
    <row r="138" spans="1:10" x14ac:dyDescent="0.25">
      <c r="A138" s="1">
        <v>29</v>
      </c>
      <c r="B138" t="s">
        <v>35</v>
      </c>
      <c r="C138">
        <v>630</v>
      </c>
      <c r="D138">
        <v>5</v>
      </c>
      <c r="E138" t="s">
        <v>29</v>
      </c>
      <c r="F138" t="s">
        <v>30</v>
      </c>
      <c r="G138" t="str">
        <f>"2026-05-27 23:32:33.551"</f>
        <v>2026-05-27 23:32:33.551</v>
      </c>
      <c r="H138" t="s">
        <v>31</v>
      </c>
      <c r="I138">
        <v>0</v>
      </c>
      <c r="J138" t="s">
        <v>34</v>
      </c>
    </row>
    <row r="139" spans="1:10" x14ac:dyDescent="0.25">
      <c r="A139" s="1">
        <v>30</v>
      </c>
      <c r="B139" t="s">
        <v>26</v>
      </c>
      <c r="C139">
        <v>700</v>
      </c>
      <c r="D139">
        <v>0</v>
      </c>
      <c r="E139" t="s">
        <v>27</v>
      </c>
      <c r="F139" t="s">
        <v>27</v>
      </c>
      <c r="G139" t="str">
        <f>"2026-05-27 17:18:35.509"</f>
        <v>2026-05-27 17:18:35.509</v>
      </c>
      <c r="H139" t="s">
        <v>22</v>
      </c>
      <c r="I139">
        <v>0</v>
      </c>
      <c r="J139" t="s">
        <v>28</v>
      </c>
    </row>
    <row r="140" spans="1:10" x14ac:dyDescent="0.25">
      <c r="A140" s="1">
        <v>31</v>
      </c>
      <c r="B140" t="s">
        <v>26</v>
      </c>
      <c r="C140">
        <v>700</v>
      </c>
      <c r="D140">
        <v>0</v>
      </c>
      <c r="E140" t="s">
        <v>27</v>
      </c>
      <c r="F140" t="s">
        <v>27</v>
      </c>
      <c r="G140" t="str">
        <f>"2026-05-27 17:13:32.456"</f>
        <v>2026-05-27 17:13:32.456</v>
      </c>
      <c r="H140" t="s">
        <v>22</v>
      </c>
      <c r="I140">
        <v>0</v>
      </c>
      <c r="J140" t="s">
        <v>28</v>
      </c>
    </row>
    <row r="141" spans="1:10" x14ac:dyDescent="0.25">
      <c r="A141" s="1">
        <v>32</v>
      </c>
      <c r="B141" t="s">
        <v>26</v>
      </c>
      <c r="C141">
        <v>706</v>
      </c>
      <c r="D141">
        <v>4</v>
      </c>
      <c r="E141" t="s">
        <v>32</v>
      </c>
      <c r="F141" t="s">
        <v>41</v>
      </c>
      <c r="G141" t="str">
        <f>"2026-05-27 08:36:03.988"</f>
        <v>2026-05-27 08:36:03.988</v>
      </c>
      <c r="H141" t="s">
        <v>22</v>
      </c>
      <c r="I141">
        <v>0</v>
      </c>
      <c r="J141" t="s">
        <v>34</v>
      </c>
    </row>
    <row r="142" spans="1:10" x14ac:dyDescent="0.25">
      <c r="A142" s="1">
        <v>33</v>
      </c>
      <c r="B142" t="s">
        <v>19</v>
      </c>
      <c r="C142">
        <v>61</v>
      </c>
      <c r="D142">
        <v>2</v>
      </c>
      <c r="E142" t="s">
        <v>42</v>
      </c>
      <c r="F142" t="s">
        <v>43</v>
      </c>
      <c r="G142" t="str">
        <f>"2026-05-27 06:26:20.716"</f>
        <v>2026-05-27 06:26:20.716</v>
      </c>
      <c r="H142" t="s">
        <v>22</v>
      </c>
    </row>
    <row r="143" spans="1:10" x14ac:dyDescent="0.25">
      <c r="A143" s="1">
        <v>34</v>
      </c>
      <c r="B143" t="s">
        <v>35</v>
      </c>
      <c r="C143">
        <v>61</v>
      </c>
      <c r="D143">
        <v>2</v>
      </c>
      <c r="E143" t="s">
        <v>42</v>
      </c>
      <c r="F143" t="s">
        <v>43</v>
      </c>
      <c r="G143" t="str">
        <f>"2026-05-27 06:26:03.316"</f>
        <v>2026-05-27 06:26:03.316</v>
      </c>
      <c r="H143" t="s">
        <v>22</v>
      </c>
      <c r="I143">
        <v>30.6</v>
      </c>
      <c r="J143" t="s">
        <v>24</v>
      </c>
    </row>
    <row r="144" spans="1:10" x14ac:dyDescent="0.25">
      <c r="A144" s="1">
        <v>35</v>
      </c>
      <c r="B144" t="s">
        <v>19</v>
      </c>
      <c r="C144">
        <v>630</v>
      </c>
      <c r="D144">
        <v>5</v>
      </c>
      <c r="E144" t="s">
        <v>29</v>
      </c>
      <c r="F144" t="s">
        <v>30</v>
      </c>
      <c r="G144" t="str">
        <f>"2026-05-26 21:33:09.703"</f>
        <v>2026-05-26 21:33:09.703</v>
      </c>
      <c r="H144" t="s">
        <v>31</v>
      </c>
    </row>
    <row r="145" spans="1:10" x14ac:dyDescent="0.25">
      <c r="A145" s="1">
        <v>36</v>
      </c>
      <c r="B145" t="s">
        <v>26</v>
      </c>
      <c r="C145">
        <v>706</v>
      </c>
      <c r="D145">
        <v>2</v>
      </c>
      <c r="E145" t="s">
        <v>32</v>
      </c>
      <c r="F145" t="s">
        <v>33</v>
      </c>
      <c r="G145" t="str">
        <f>"2026-05-26 21:32:39.548"</f>
        <v>2026-05-26 21:32:39.548</v>
      </c>
      <c r="H145" t="s">
        <v>22</v>
      </c>
      <c r="I145">
        <v>0</v>
      </c>
      <c r="J145" t="s">
        <v>34</v>
      </c>
    </row>
    <row r="146" spans="1:10" x14ac:dyDescent="0.25">
      <c r="A146" s="1">
        <v>37</v>
      </c>
      <c r="B146" t="s">
        <v>35</v>
      </c>
      <c r="C146">
        <v>630</v>
      </c>
      <c r="D146">
        <v>5</v>
      </c>
      <c r="E146" t="s">
        <v>29</v>
      </c>
      <c r="F146" t="s">
        <v>30</v>
      </c>
      <c r="G146" t="str">
        <f>"2026-05-26 21:26:59.303"</f>
        <v>2026-05-26 21:26:59.303</v>
      </c>
      <c r="H146" t="s">
        <v>31</v>
      </c>
      <c r="I146">
        <v>0</v>
      </c>
      <c r="J146" t="s">
        <v>34</v>
      </c>
    </row>
    <row r="147" spans="1:10" x14ac:dyDescent="0.25">
      <c r="A147" s="1">
        <v>38</v>
      </c>
      <c r="B147" t="s">
        <v>19</v>
      </c>
      <c r="C147">
        <v>630</v>
      </c>
      <c r="D147">
        <v>5</v>
      </c>
      <c r="E147" t="s">
        <v>29</v>
      </c>
      <c r="F147" t="s">
        <v>30</v>
      </c>
      <c r="G147" t="str">
        <f>"2026-05-26 14:24:18.803"</f>
        <v>2026-05-26 14:24:18.803</v>
      </c>
      <c r="H147" t="s">
        <v>31</v>
      </c>
    </row>
    <row r="148" spans="1:10" x14ac:dyDescent="0.25">
      <c r="A148" s="1">
        <v>39</v>
      </c>
      <c r="B148" t="s">
        <v>26</v>
      </c>
      <c r="C148">
        <v>706</v>
      </c>
      <c r="D148">
        <v>4</v>
      </c>
      <c r="E148" t="s">
        <v>32</v>
      </c>
      <c r="F148" t="s">
        <v>41</v>
      </c>
      <c r="G148" t="str">
        <f>"2026-05-26 14:23:48.748"</f>
        <v>2026-05-26 14:23:48.748</v>
      </c>
      <c r="H148" t="s">
        <v>22</v>
      </c>
      <c r="I148">
        <v>0</v>
      </c>
      <c r="J148" t="s">
        <v>34</v>
      </c>
    </row>
    <row r="149" spans="1:10" x14ac:dyDescent="0.25">
      <c r="A149" s="1">
        <v>40</v>
      </c>
      <c r="B149" t="s">
        <v>26</v>
      </c>
      <c r="C149">
        <v>706</v>
      </c>
      <c r="D149">
        <v>3</v>
      </c>
      <c r="E149" t="s">
        <v>32</v>
      </c>
      <c r="F149" t="s">
        <v>44</v>
      </c>
      <c r="G149" t="str">
        <f>"2026-05-26 13:59:23.078"</f>
        <v>2026-05-26 13:59:23.078</v>
      </c>
      <c r="H149" t="s">
        <v>22</v>
      </c>
      <c r="I149">
        <v>0</v>
      </c>
      <c r="J149" t="s">
        <v>34</v>
      </c>
    </row>
    <row r="150" spans="1:10" x14ac:dyDescent="0.25">
      <c r="A150" s="1">
        <v>41</v>
      </c>
      <c r="B150" t="s">
        <v>35</v>
      </c>
      <c r="C150">
        <v>630</v>
      </c>
      <c r="D150">
        <v>5</v>
      </c>
      <c r="E150" t="s">
        <v>29</v>
      </c>
      <c r="F150" t="s">
        <v>30</v>
      </c>
      <c r="G150" t="str">
        <f>"2026-05-26 12:54:07.903"</f>
        <v>2026-05-26 12:54:07.903</v>
      </c>
      <c r="H150" t="s">
        <v>31</v>
      </c>
      <c r="I150">
        <v>0</v>
      </c>
      <c r="J150" t="s">
        <v>34</v>
      </c>
    </row>
    <row r="151" spans="1:10" x14ac:dyDescent="0.25">
      <c r="A151" s="1">
        <v>42</v>
      </c>
      <c r="B151" t="s">
        <v>19</v>
      </c>
      <c r="C151">
        <v>630</v>
      </c>
      <c r="D151">
        <v>5</v>
      </c>
      <c r="E151" t="s">
        <v>29</v>
      </c>
      <c r="F151" t="s">
        <v>30</v>
      </c>
      <c r="G151" t="str">
        <f>"2026-05-25 20:43:46.103"</f>
        <v>2026-05-25 20:43:46.103</v>
      </c>
      <c r="H151" t="s">
        <v>31</v>
      </c>
    </row>
    <row r="152" spans="1:10" x14ac:dyDescent="0.25">
      <c r="A152" s="1">
        <v>43</v>
      </c>
      <c r="B152" t="s">
        <v>26</v>
      </c>
      <c r="C152">
        <v>706</v>
      </c>
      <c r="D152">
        <v>2</v>
      </c>
      <c r="E152" t="s">
        <v>32</v>
      </c>
      <c r="F152" t="s">
        <v>33</v>
      </c>
      <c r="G152" t="str">
        <f>"2026-05-25 20:43:15.948"</f>
        <v>2026-05-25 20:43:15.948</v>
      </c>
      <c r="H152" t="s">
        <v>22</v>
      </c>
      <c r="I152">
        <v>0</v>
      </c>
      <c r="J152" t="s">
        <v>34</v>
      </c>
    </row>
    <row r="153" spans="1:10" x14ac:dyDescent="0.25">
      <c r="A153" s="1">
        <v>44</v>
      </c>
      <c r="B153" t="s">
        <v>35</v>
      </c>
      <c r="C153">
        <v>630</v>
      </c>
      <c r="D153">
        <v>5</v>
      </c>
      <c r="E153" t="s">
        <v>29</v>
      </c>
      <c r="F153" t="s">
        <v>30</v>
      </c>
      <c r="G153" t="str">
        <f>"2026-05-25 20:37:59.503"</f>
        <v>2026-05-25 20:37:59.503</v>
      </c>
      <c r="H153" t="s">
        <v>31</v>
      </c>
      <c r="I153">
        <v>0</v>
      </c>
      <c r="J153" t="s">
        <v>34</v>
      </c>
    </row>
    <row r="154" spans="1:10" x14ac:dyDescent="0.25">
      <c r="A154" s="1">
        <v>45</v>
      </c>
      <c r="B154" t="s">
        <v>19</v>
      </c>
      <c r="C154">
        <v>630</v>
      </c>
      <c r="D154">
        <v>5</v>
      </c>
      <c r="E154" t="s">
        <v>29</v>
      </c>
      <c r="F154" t="s">
        <v>30</v>
      </c>
      <c r="G154" t="str">
        <f>"2026-05-24 23:03:22.203"</f>
        <v>2026-05-24 23:03:22.203</v>
      </c>
      <c r="H154" t="s">
        <v>31</v>
      </c>
    </row>
    <row r="155" spans="1:10" x14ac:dyDescent="0.25">
      <c r="A155" s="1">
        <v>46</v>
      </c>
      <c r="B155" t="s">
        <v>26</v>
      </c>
      <c r="C155">
        <v>706</v>
      </c>
      <c r="D155">
        <v>2</v>
      </c>
      <c r="E155" t="s">
        <v>32</v>
      </c>
      <c r="F155" t="s">
        <v>33</v>
      </c>
      <c r="G155" t="str">
        <f>"2026-05-24 23:02:52.148"</f>
        <v>2026-05-24 23:02:52.148</v>
      </c>
      <c r="H155" t="s">
        <v>22</v>
      </c>
      <c r="I155">
        <v>0</v>
      </c>
      <c r="J155" t="s">
        <v>34</v>
      </c>
    </row>
    <row r="156" spans="1:10" x14ac:dyDescent="0.25">
      <c r="A156" s="1">
        <v>47</v>
      </c>
      <c r="B156" t="s">
        <v>35</v>
      </c>
      <c r="C156">
        <v>630</v>
      </c>
      <c r="D156">
        <v>5</v>
      </c>
      <c r="E156" t="s">
        <v>29</v>
      </c>
      <c r="F156" t="s">
        <v>30</v>
      </c>
      <c r="G156" t="str">
        <f>"2026-05-24 22:55:18.703"</f>
        <v>2026-05-24 22:55:18.703</v>
      </c>
      <c r="H156" t="s">
        <v>31</v>
      </c>
      <c r="I156">
        <v>0</v>
      </c>
      <c r="J156" t="s">
        <v>34</v>
      </c>
    </row>
    <row r="157" spans="1:10" x14ac:dyDescent="0.25">
      <c r="A157" s="1">
        <v>48</v>
      </c>
      <c r="B157" t="s">
        <v>19</v>
      </c>
      <c r="C157">
        <v>635</v>
      </c>
      <c r="D157">
        <v>1</v>
      </c>
      <c r="E157" t="s">
        <v>20</v>
      </c>
      <c r="F157" t="s">
        <v>21</v>
      </c>
      <c r="G157" t="str">
        <f>"2026-05-24 20:13:38.755"</f>
        <v>2026-05-24 20:13:38.755</v>
      </c>
      <c r="H157" t="s">
        <v>22</v>
      </c>
    </row>
    <row r="158" spans="1:10" x14ac:dyDescent="0.25">
      <c r="A158" s="1">
        <v>49</v>
      </c>
      <c r="B158" t="s">
        <v>23</v>
      </c>
      <c r="C158">
        <v>635</v>
      </c>
      <c r="D158">
        <v>1</v>
      </c>
      <c r="E158" t="s">
        <v>20</v>
      </c>
      <c r="F158" t="s">
        <v>21</v>
      </c>
      <c r="G158" t="str">
        <f>"2026-05-24 20:07:50.755"</f>
        <v>2026-05-24 20:07:50.755</v>
      </c>
      <c r="H158" t="s">
        <v>22</v>
      </c>
      <c r="I158">
        <v>1.1200000000000001</v>
      </c>
      <c r="J158" t="s">
        <v>24</v>
      </c>
    </row>
    <row r="159" spans="1:10" x14ac:dyDescent="0.25">
      <c r="A159" s="1">
        <v>50</v>
      </c>
      <c r="B159" t="s">
        <v>19</v>
      </c>
      <c r="C159">
        <v>635</v>
      </c>
      <c r="D159">
        <v>1</v>
      </c>
      <c r="E159" t="s">
        <v>20</v>
      </c>
      <c r="F159" t="s">
        <v>21</v>
      </c>
      <c r="G159" t="str">
        <f>"2026-05-24 16:35:05.755"</f>
        <v>2026-05-24 16:35:05.755</v>
      </c>
      <c r="H159" t="s">
        <v>22</v>
      </c>
    </row>
    <row r="160" spans="1:10" x14ac:dyDescent="0.25">
      <c r="A160" s="1">
        <v>51</v>
      </c>
      <c r="B160" t="s">
        <v>23</v>
      </c>
      <c r="C160">
        <v>635</v>
      </c>
      <c r="D160">
        <v>1</v>
      </c>
      <c r="E160" t="s">
        <v>20</v>
      </c>
      <c r="F160" t="s">
        <v>21</v>
      </c>
      <c r="G160" t="str">
        <f>"2026-05-24 16:12:54.255"</f>
        <v>2026-05-24 16:12:54.255</v>
      </c>
      <c r="H160" t="s">
        <v>22</v>
      </c>
      <c r="I160">
        <v>9.56</v>
      </c>
      <c r="J160" t="s">
        <v>24</v>
      </c>
    </row>
    <row r="161" spans="1:10" x14ac:dyDescent="0.25">
      <c r="A161" s="1">
        <v>52</v>
      </c>
      <c r="B161" t="s">
        <v>19</v>
      </c>
      <c r="C161">
        <v>635</v>
      </c>
      <c r="D161">
        <v>1</v>
      </c>
      <c r="E161" t="s">
        <v>20</v>
      </c>
      <c r="F161" t="s">
        <v>21</v>
      </c>
      <c r="G161" t="str">
        <f>"2026-05-24 12:00:52.255"</f>
        <v>2026-05-24 12:00:52.255</v>
      </c>
      <c r="H161" t="s">
        <v>22</v>
      </c>
    </row>
    <row r="162" spans="1:10" x14ac:dyDescent="0.25">
      <c r="A162" s="1">
        <v>53</v>
      </c>
      <c r="B162" t="s">
        <v>23</v>
      </c>
      <c r="C162">
        <v>635</v>
      </c>
      <c r="D162">
        <v>1</v>
      </c>
      <c r="E162" t="s">
        <v>20</v>
      </c>
      <c r="F162" t="s">
        <v>21</v>
      </c>
      <c r="G162" t="str">
        <f>"2026-05-24 11:28:38.355"</f>
        <v>2026-05-24 11:28:38.355</v>
      </c>
      <c r="H162" t="s">
        <v>22</v>
      </c>
      <c r="I162">
        <v>9.82</v>
      </c>
      <c r="J162" t="s">
        <v>24</v>
      </c>
    </row>
    <row r="163" spans="1:10" x14ac:dyDescent="0.25">
      <c r="A163" s="1">
        <v>54</v>
      </c>
      <c r="B163" t="s">
        <v>19</v>
      </c>
      <c r="C163">
        <v>635</v>
      </c>
      <c r="D163">
        <v>1</v>
      </c>
      <c r="E163" t="s">
        <v>20</v>
      </c>
      <c r="F163" t="s">
        <v>21</v>
      </c>
      <c r="G163" t="str">
        <f>"2026-05-24 03:54:44.755"</f>
        <v>2026-05-24 03:54:44.755</v>
      </c>
      <c r="H163" t="s">
        <v>22</v>
      </c>
    </row>
    <row r="164" spans="1:10" x14ac:dyDescent="0.25">
      <c r="A164" s="1">
        <v>55</v>
      </c>
      <c r="B164" t="s">
        <v>23</v>
      </c>
      <c r="C164">
        <v>635</v>
      </c>
      <c r="D164">
        <v>1</v>
      </c>
      <c r="E164" t="s">
        <v>20</v>
      </c>
      <c r="F164" t="s">
        <v>21</v>
      </c>
      <c r="G164" t="str">
        <f>"2026-05-24 03:52:07.755"</f>
        <v>2026-05-24 03:52:07.755</v>
      </c>
      <c r="H164" t="s">
        <v>22</v>
      </c>
      <c r="I164">
        <v>2.75</v>
      </c>
      <c r="J164" t="s">
        <v>36</v>
      </c>
    </row>
    <row r="165" spans="1:10" x14ac:dyDescent="0.25">
      <c r="A165" s="1">
        <v>56</v>
      </c>
      <c r="B165" t="s">
        <v>26</v>
      </c>
      <c r="C165">
        <v>700</v>
      </c>
      <c r="D165">
        <v>0</v>
      </c>
      <c r="E165" t="s">
        <v>27</v>
      </c>
      <c r="F165" t="s">
        <v>27</v>
      </c>
      <c r="G165" t="str">
        <f>"2026-05-23 13:13:02.518"</f>
        <v>2026-05-23 13:13:02.518</v>
      </c>
      <c r="H165" t="s">
        <v>22</v>
      </c>
      <c r="I165">
        <v>0</v>
      </c>
      <c r="J165" t="s">
        <v>28</v>
      </c>
    </row>
    <row r="166" spans="1:10" x14ac:dyDescent="0.25">
      <c r="A166" s="1">
        <v>57</v>
      </c>
      <c r="B166" t="s">
        <v>19</v>
      </c>
      <c r="C166">
        <v>630</v>
      </c>
      <c r="D166">
        <v>5</v>
      </c>
      <c r="E166" t="s">
        <v>29</v>
      </c>
      <c r="F166" t="s">
        <v>30</v>
      </c>
      <c r="G166" t="str">
        <f>"2026-05-23 01:40:40.735"</f>
        <v>2026-05-23 01:40:40.735</v>
      </c>
      <c r="H166" t="s">
        <v>31</v>
      </c>
    </row>
    <row r="167" spans="1:10" x14ac:dyDescent="0.25">
      <c r="A167" s="1">
        <v>58</v>
      </c>
      <c r="B167" t="s">
        <v>26</v>
      </c>
      <c r="C167">
        <v>706</v>
      </c>
      <c r="D167">
        <v>4</v>
      </c>
      <c r="E167" t="s">
        <v>32</v>
      </c>
      <c r="F167" t="s">
        <v>41</v>
      </c>
      <c r="G167" t="str">
        <f>"2026-05-23 01:40:10.663"</f>
        <v>2026-05-23 01:40:10.663</v>
      </c>
      <c r="H167" t="s">
        <v>22</v>
      </c>
      <c r="I167">
        <v>0</v>
      </c>
      <c r="J167" t="s">
        <v>34</v>
      </c>
    </row>
    <row r="168" spans="1:10" x14ac:dyDescent="0.25">
      <c r="A168" s="1">
        <v>59</v>
      </c>
      <c r="B168" t="s">
        <v>35</v>
      </c>
      <c r="C168">
        <v>630</v>
      </c>
      <c r="D168">
        <v>5</v>
      </c>
      <c r="E168" t="s">
        <v>29</v>
      </c>
      <c r="F168" t="s">
        <v>30</v>
      </c>
      <c r="G168" t="str">
        <f>"2026-05-23 01:26:18.136"</f>
        <v>2026-05-23 01:26:18.136</v>
      </c>
      <c r="H168" t="s">
        <v>31</v>
      </c>
      <c r="I168">
        <v>0</v>
      </c>
      <c r="J168" t="s">
        <v>34</v>
      </c>
    </row>
    <row r="169" spans="1:10" x14ac:dyDescent="0.25">
      <c r="A169" s="1">
        <v>60</v>
      </c>
      <c r="B169" t="s">
        <v>19</v>
      </c>
      <c r="C169">
        <v>61</v>
      </c>
      <c r="D169">
        <v>2</v>
      </c>
      <c r="E169" t="s">
        <v>42</v>
      </c>
      <c r="F169" t="s">
        <v>43</v>
      </c>
      <c r="G169" t="str">
        <f>"2026-05-22 14:22:20.548"</f>
        <v>2026-05-22 14:22:20.548</v>
      </c>
      <c r="H169" t="s">
        <v>22</v>
      </c>
    </row>
    <row r="170" spans="1:10" x14ac:dyDescent="0.25">
      <c r="A170" s="1">
        <v>61</v>
      </c>
      <c r="B170" t="s">
        <v>35</v>
      </c>
      <c r="C170">
        <v>61</v>
      </c>
      <c r="D170">
        <v>2</v>
      </c>
      <c r="E170" t="s">
        <v>42</v>
      </c>
      <c r="F170" t="s">
        <v>43</v>
      </c>
      <c r="G170" t="str">
        <f>"2026-05-22 14:22:04.248"</f>
        <v>2026-05-22 14:22:04.248</v>
      </c>
      <c r="H170" t="s">
        <v>22</v>
      </c>
      <c r="I170">
        <v>30.38</v>
      </c>
      <c r="J170" t="s">
        <v>24</v>
      </c>
    </row>
    <row r="171" spans="1:10" x14ac:dyDescent="0.25">
      <c r="A171" s="1">
        <v>62</v>
      </c>
      <c r="B171" t="s">
        <v>26</v>
      </c>
      <c r="C171">
        <v>700</v>
      </c>
      <c r="D171">
        <v>0</v>
      </c>
      <c r="E171" t="s">
        <v>27</v>
      </c>
      <c r="F171" t="s">
        <v>27</v>
      </c>
      <c r="G171" t="str">
        <f>"2026-05-21 20:57:48.443"</f>
        <v>2026-05-21 20:57:48.443</v>
      </c>
      <c r="H171" t="s">
        <v>22</v>
      </c>
      <c r="I171">
        <v>0</v>
      </c>
      <c r="J171" t="s">
        <v>28</v>
      </c>
    </row>
    <row r="172" spans="1:10" x14ac:dyDescent="0.25">
      <c r="A172" s="1">
        <v>63</v>
      </c>
      <c r="B172" t="s">
        <v>19</v>
      </c>
      <c r="C172">
        <v>635</v>
      </c>
      <c r="D172">
        <v>1</v>
      </c>
      <c r="E172" t="s">
        <v>20</v>
      </c>
      <c r="F172" t="s">
        <v>21</v>
      </c>
      <c r="G172" t="str">
        <f>"2026-05-21 09:07:54.444"</f>
        <v>2026-05-21 09:07:54.444</v>
      </c>
      <c r="H172" t="s">
        <v>22</v>
      </c>
    </row>
    <row r="173" spans="1:10" x14ac:dyDescent="0.25">
      <c r="A173" s="1">
        <v>64</v>
      </c>
      <c r="B173" t="s">
        <v>23</v>
      </c>
      <c r="C173">
        <v>635</v>
      </c>
      <c r="D173">
        <v>1</v>
      </c>
      <c r="E173" t="s">
        <v>20</v>
      </c>
      <c r="F173" t="s">
        <v>21</v>
      </c>
      <c r="G173" t="str">
        <f>"2026-05-21 08:48:21.944"</f>
        <v>2026-05-21 08:48:21.944</v>
      </c>
      <c r="H173" t="s">
        <v>22</v>
      </c>
      <c r="I173">
        <v>8.41</v>
      </c>
      <c r="J173" t="s">
        <v>36</v>
      </c>
    </row>
    <row r="174" spans="1:10" x14ac:dyDescent="0.25">
      <c r="A174" s="1">
        <v>65</v>
      </c>
      <c r="B174" t="s">
        <v>19</v>
      </c>
      <c r="C174">
        <v>635</v>
      </c>
      <c r="D174">
        <v>1</v>
      </c>
      <c r="E174" t="s">
        <v>20</v>
      </c>
      <c r="F174" t="s">
        <v>21</v>
      </c>
      <c r="G174" t="str">
        <f>"2026-05-20 17:09:04.244"</f>
        <v>2026-05-20 17:09:04.244</v>
      </c>
      <c r="H174" t="s">
        <v>22</v>
      </c>
    </row>
    <row r="175" spans="1:10" x14ac:dyDescent="0.25">
      <c r="A175" s="1">
        <v>66</v>
      </c>
      <c r="B175" t="s">
        <v>23</v>
      </c>
      <c r="C175">
        <v>635</v>
      </c>
      <c r="D175">
        <v>1</v>
      </c>
      <c r="E175" t="s">
        <v>20</v>
      </c>
      <c r="F175" t="s">
        <v>21</v>
      </c>
      <c r="G175" t="str">
        <f>"2026-05-20 16:50:48.744"</f>
        <v>2026-05-20 16:50:48.744</v>
      </c>
      <c r="H175" t="s">
        <v>22</v>
      </c>
      <c r="I175">
        <v>7.66</v>
      </c>
      <c r="J175" t="s">
        <v>36</v>
      </c>
    </row>
    <row r="176" spans="1:10" x14ac:dyDescent="0.25">
      <c r="A176" s="1">
        <v>67</v>
      </c>
      <c r="B176" t="s">
        <v>19</v>
      </c>
      <c r="C176">
        <v>635</v>
      </c>
      <c r="D176">
        <v>1</v>
      </c>
      <c r="E176" t="s">
        <v>20</v>
      </c>
      <c r="F176" t="s">
        <v>21</v>
      </c>
      <c r="G176" t="str">
        <f>"2026-05-20 14:08:22.044"</f>
        <v>2026-05-20 14:08:22.044</v>
      </c>
      <c r="H176" t="s">
        <v>22</v>
      </c>
    </row>
    <row r="177" spans="1:10" x14ac:dyDescent="0.25">
      <c r="A177" s="1">
        <v>68</v>
      </c>
      <c r="B177" t="s">
        <v>23</v>
      </c>
      <c r="C177">
        <v>635</v>
      </c>
      <c r="D177">
        <v>1</v>
      </c>
      <c r="E177" t="s">
        <v>20</v>
      </c>
      <c r="F177" t="s">
        <v>21</v>
      </c>
      <c r="G177" t="str">
        <f>"2026-05-20 13:55:46.144"</f>
        <v>2026-05-20 13:55:46.144</v>
      </c>
      <c r="H177" t="s">
        <v>22</v>
      </c>
      <c r="I177">
        <v>9.5299999999999994</v>
      </c>
      <c r="J177" t="s">
        <v>24</v>
      </c>
    </row>
    <row r="178" spans="1:10" x14ac:dyDescent="0.25">
      <c r="A178" s="1">
        <v>69</v>
      </c>
      <c r="B178" t="s">
        <v>26</v>
      </c>
      <c r="C178">
        <v>700</v>
      </c>
      <c r="D178">
        <v>0</v>
      </c>
      <c r="E178" t="s">
        <v>27</v>
      </c>
      <c r="F178" t="s">
        <v>27</v>
      </c>
      <c r="G178" t="str">
        <f>"2026-05-20 10:51:34.440"</f>
        <v>2026-05-20 10:51:34.440</v>
      </c>
      <c r="H178" t="s">
        <v>22</v>
      </c>
      <c r="I178">
        <v>0</v>
      </c>
      <c r="J178" t="s">
        <v>28</v>
      </c>
    </row>
    <row r="179" spans="1:10" x14ac:dyDescent="0.25">
      <c r="A179" s="1">
        <v>70</v>
      </c>
      <c r="B179" t="s">
        <v>19</v>
      </c>
      <c r="C179">
        <v>630</v>
      </c>
      <c r="D179">
        <v>5</v>
      </c>
      <c r="E179" t="s">
        <v>29</v>
      </c>
      <c r="F179" t="s">
        <v>30</v>
      </c>
      <c r="G179" t="str">
        <f>"2026-05-20 10:11:40.692"</f>
        <v>2026-05-20 10:11:40.692</v>
      </c>
      <c r="H179" t="s">
        <v>31</v>
      </c>
    </row>
    <row r="180" spans="1:10" x14ac:dyDescent="0.25">
      <c r="A180" s="1">
        <v>71</v>
      </c>
      <c r="B180" t="s">
        <v>26</v>
      </c>
      <c r="C180">
        <v>706</v>
      </c>
      <c r="D180">
        <v>4</v>
      </c>
      <c r="E180" t="s">
        <v>32</v>
      </c>
      <c r="F180" t="s">
        <v>41</v>
      </c>
      <c r="G180" t="str">
        <f>"2026-05-20 10:11:10.621"</f>
        <v>2026-05-20 10:11:10.621</v>
      </c>
      <c r="H180" t="s">
        <v>22</v>
      </c>
      <c r="I180">
        <v>0</v>
      </c>
      <c r="J180" t="s">
        <v>34</v>
      </c>
    </row>
    <row r="181" spans="1:10" x14ac:dyDescent="0.25">
      <c r="A181" s="1">
        <v>72</v>
      </c>
      <c r="B181" t="s">
        <v>35</v>
      </c>
      <c r="C181">
        <v>630</v>
      </c>
      <c r="D181">
        <v>5</v>
      </c>
      <c r="E181" t="s">
        <v>29</v>
      </c>
      <c r="F181" t="s">
        <v>30</v>
      </c>
      <c r="G181" t="str">
        <f>"2026-05-20 10:00:17.292"</f>
        <v>2026-05-20 10:00:17.292</v>
      </c>
      <c r="H181" t="s">
        <v>31</v>
      </c>
      <c r="I181">
        <v>0</v>
      </c>
      <c r="J181" t="s">
        <v>34</v>
      </c>
    </row>
    <row r="182" spans="1:10" x14ac:dyDescent="0.25">
      <c r="A182" s="1">
        <v>73</v>
      </c>
      <c r="B182" t="s">
        <v>26</v>
      </c>
      <c r="C182">
        <v>700</v>
      </c>
      <c r="D182">
        <v>0</v>
      </c>
      <c r="E182" t="s">
        <v>27</v>
      </c>
      <c r="F182" t="s">
        <v>27</v>
      </c>
      <c r="G182" t="str">
        <f>"2026-05-20 09:55:14.461"</f>
        <v>2026-05-20 09:55:14.461</v>
      </c>
      <c r="H182" t="s">
        <v>22</v>
      </c>
    </row>
    <row r="183" spans="1:10" x14ac:dyDescent="0.25">
      <c r="A183" s="1">
        <v>74</v>
      </c>
      <c r="B183" t="s">
        <v>26</v>
      </c>
      <c r="C183">
        <v>700</v>
      </c>
      <c r="D183">
        <v>0</v>
      </c>
      <c r="E183" t="s">
        <v>27</v>
      </c>
      <c r="F183" t="s">
        <v>27</v>
      </c>
      <c r="G183" t="str">
        <f>"2026-05-19 16:52:07.446"</f>
        <v>2026-05-19 16:52:07.446</v>
      </c>
      <c r="H183" t="s">
        <v>22</v>
      </c>
    </row>
    <row r="184" spans="1:10" x14ac:dyDescent="0.25">
      <c r="A184" s="1">
        <v>75</v>
      </c>
      <c r="B184" t="s">
        <v>26</v>
      </c>
      <c r="C184">
        <v>700</v>
      </c>
      <c r="D184">
        <v>0</v>
      </c>
      <c r="E184" t="s">
        <v>27</v>
      </c>
      <c r="F184" t="s">
        <v>27</v>
      </c>
      <c r="G184" t="str">
        <f>"2026-05-19 13:30:33.435"</f>
        <v>2026-05-19 13:30:33.435</v>
      </c>
      <c r="H184" t="s">
        <v>22</v>
      </c>
      <c r="I184">
        <v>0</v>
      </c>
      <c r="J184" t="s">
        <v>28</v>
      </c>
    </row>
    <row r="185" spans="1:10" x14ac:dyDescent="0.25">
      <c r="A185" s="1">
        <v>76</v>
      </c>
      <c r="B185" t="s">
        <v>19</v>
      </c>
      <c r="C185">
        <v>630</v>
      </c>
      <c r="D185">
        <v>5</v>
      </c>
      <c r="E185" t="s">
        <v>29</v>
      </c>
      <c r="F185" t="s">
        <v>30</v>
      </c>
      <c r="G185" t="str">
        <f>"2026-05-18 13:57:54.523"</f>
        <v>2026-05-18 13:57:54.523</v>
      </c>
      <c r="H185" t="s">
        <v>31</v>
      </c>
    </row>
    <row r="186" spans="1:10" x14ac:dyDescent="0.25">
      <c r="A186" s="1">
        <v>77</v>
      </c>
      <c r="B186" t="s">
        <v>26</v>
      </c>
      <c r="C186">
        <v>706</v>
      </c>
      <c r="D186">
        <v>4</v>
      </c>
      <c r="E186" t="s">
        <v>32</v>
      </c>
      <c r="F186" t="s">
        <v>41</v>
      </c>
      <c r="G186" t="str">
        <f>"2026-05-18 13:57:24.401"</f>
        <v>2026-05-18 13:57:24.401</v>
      </c>
      <c r="H186" t="s">
        <v>22</v>
      </c>
      <c r="I186">
        <v>0</v>
      </c>
      <c r="J186" t="s">
        <v>34</v>
      </c>
    </row>
    <row r="187" spans="1:10" x14ac:dyDescent="0.25">
      <c r="A187" s="1">
        <v>78</v>
      </c>
      <c r="B187" t="s">
        <v>35</v>
      </c>
      <c r="C187">
        <v>630</v>
      </c>
      <c r="D187">
        <v>5</v>
      </c>
      <c r="E187" t="s">
        <v>29</v>
      </c>
      <c r="F187" t="s">
        <v>30</v>
      </c>
      <c r="G187" t="str">
        <f>"2026-05-18 13:43:01.723"</f>
        <v>2026-05-18 13:43:01.723</v>
      </c>
      <c r="H187" t="s">
        <v>31</v>
      </c>
      <c r="I187">
        <v>0</v>
      </c>
      <c r="J187" t="s">
        <v>34</v>
      </c>
    </row>
    <row r="188" spans="1:10" x14ac:dyDescent="0.25">
      <c r="A188" s="1">
        <v>79</v>
      </c>
      <c r="B188" t="s">
        <v>19</v>
      </c>
      <c r="C188">
        <v>635</v>
      </c>
      <c r="D188">
        <v>1</v>
      </c>
      <c r="E188" t="s">
        <v>20</v>
      </c>
      <c r="F188" t="s">
        <v>21</v>
      </c>
      <c r="G188" t="str">
        <f>"2026-05-17 16:32:02.469"</f>
        <v>2026-05-17 16:32:02.469</v>
      </c>
      <c r="H188" t="s">
        <v>22</v>
      </c>
    </row>
    <row r="189" spans="1:10" x14ac:dyDescent="0.25">
      <c r="A189" s="1">
        <v>80</v>
      </c>
      <c r="B189" t="s">
        <v>23</v>
      </c>
      <c r="C189">
        <v>635</v>
      </c>
      <c r="D189">
        <v>1</v>
      </c>
      <c r="E189" t="s">
        <v>20</v>
      </c>
      <c r="F189" t="s">
        <v>21</v>
      </c>
      <c r="G189" t="str">
        <f>"2026-05-17 16:29:33.969"</f>
        <v>2026-05-17 16:29:33.969</v>
      </c>
      <c r="H189" t="s">
        <v>22</v>
      </c>
      <c r="I189">
        <v>4.49</v>
      </c>
      <c r="J189" t="s">
        <v>36</v>
      </c>
    </row>
    <row r="190" spans="1:10" x14ac:dyDescent="0.25">
      <c r="A190" s="1">
        <v>81</v>
      </c>
      <c r="B190" t="s">
        <v>19</v>
      </c>
      <c r="C190">
        <v>630</v>
      </c>
      <c r="D190">
        <v>5</v>
      </c>
      <c r="E190" t="s">
        <v>29</v>
      </c>
      <c r="F190" t="s">
        <v>30</v>
      </c>
      <c r="G190" t="str">
        <f>"2026-05-17 14:46:17.223"</f>
        <v>2026-05-17 14:46:17.223</v>
      </c>
      <c r="H190" t="s">
        <v>31</v>
      </c>
    </row>
    <row r="191" spans="1:10" x14ac:dyDescent="0.25">
      <c r="A191" s="1">
        <v>82</v>
      </c>
      <c r="B191" t="s">
        <v>26</v>
      </c>
      <c r="C191">
        <v>706</v>
      </c>
      <c r="D191">
        <v>2</v>
      </c>
      <c r="E191" t="s">
        <v>32</v>
      </c>
      <c r="F191" t="s">
        <v>33</v>
      </c>
      <c r="G191" t="str">
        <f>"2026-05-17 14:45:47.131"</f>
        <v>2026-05-17 14:45:47.131</v>
      </c>
      <c r="H191" t="s">
        <v>22</v>
      </c>
      <c r="I191">
        <v>0</v>
      </c>
      <c r="J191" t="s">
        <v>34</v>
      </c>
    </row>
    <row r="192" spans="1:10" x14ac:dyDescent="0.25">
      <c r="A192" s="1">
        <v>83</v>
      </c>
      <c r="B192" t="s">
        <v>35</v>
      </c>
      <c r="C192">
        <v>630</v>
      </c>
      <c r="D192">
        <v>5</v>
      </c>
      <c r="E192" t="s">
        <v>29</v>
      </c>
      <c r="F192" t="s">
        <v>30</v>
      </c>
      <c r="G192" t="str">
        <f>"2026-05-17 14:43:37.223"</f>
        <v>2026-05-17 14:43:37.223</v>
      </c>
      <c r="H192" t="s">
        <v>31</v>
      </c>
      <c r="I192">
        <v>0</v>
      </c>
      <c r="J192" t="s">
        <v>34</v>
      </c>
    </row>
    <row r="193" spans="1:10" x14ac:dyDescent="0.25">
      <c r="A193" s="1">
        <v>84</v>
      </c>
      <c r="B193" t="s">
        <v>19</v>
      </c>
      <c r="C193">
        <v>630</v>
      </c>
      <c r="D193">
        <v>5</v>
      </c>
      <c r="E193" t="s">
        <v>29</v>
      </c>
      <c r="F193" t="s">
        <v>30</v>
      </c>
      <c r="G193" t="str">
        <f>"2026-05-17 13:50:46.423"</f>
        <v>2026-05-17 13:50:46.423</v>
      </c>
      <c r="H193" t="s">
        <v>31</v>
      </c>
    </row>
    <row r="194" spans="1:10" x14ac:dyDescent="0.25">
      <c r="A194" s="1">
        <v>85</v>
      </c>
      <c r="B194" t="s">
        <v>26</v>
      </c>
      <c r="C194">
        <v>706</v>
      </c>
      <c r="D194">
        <v>4</v>
      </c>
      <c r="E194" t="s">
        <v>32</v>
      </c>
      <c r="F194" t="s">
        <v>41</v>
      </c>
      <c r="G194" t="str">
        <f>"2026-05-17 13:50:16.351"</f>
        <v>2026-05-17 13:50:16.351</v>
      </c>
      <c r="H194" t="s">
        <v>22</v>
      </c>
      <c r="I194">
        <v>0</v>
      </c>
      <c r="J194" t="s">
        <v>34</v>
      </c>
    </row>
    <row r="195" spans="1:10" x14ac:dyDescent="0.25">
      <c r="A195" s="1">
        <v>86</v>
      </c>
      <c r="B195" t="s">
        <v>35</v>
      </c>
      <c r="C195">
        <v>630</v>
      </c>
      <c r="D195">
        <v>5</v>
      </c>
      <c r="E195" t="s">
        <v>29</v>
      </c>
      <c r="F195" t="s">
        <v>30</v>
      </c>
      <c r="G195" t="str">
        <f>"2026-05-17 13:29:23.923"</f>
        <v>2026-05-17 13:29:23.923</v>
      </c>
      <c r="H195" t="s">
        <v>31</v>
      </c>
      <c r="I195">
        <v>0</v>
      </c>
      <c r="J195" t="s">
        <v>34</v>
      </c>
    </row>
    <row r="196" spans="1:10" x14ac:dyDescent="0.25">
      <c r="A196" s="1">
        <v>87</v>
      </c>
      <c r="B196" t="s">
        <v>19</v>
      </c>
      <c r="C196">
        <v>635</v>
      </c>
      <c r="D196">
        <v>1</v>
      </c>
      <c r="E196" t="s">
        <v>20</v>
      </c>
      <c r="F196" t="s">
        <v>21</v>
      </c>
      <c r="G196" t="str">
        <f>"2026-05-16 22:28:16.369"</f>
        <v>2026-05-16 22:28:16.369</v>
      </c>
      <c r="H196" t="s">
        <v>22</v>
      </c>
    </row>
    <row r="197" spans="1:10" x14ac:dyDescent="0.25">
      <c r="A197" s="1">
        <v>88</v>
      </c>
      <c r="B197" t="s">
        <v>23</v>
      </c>
      <c r="C197">
        <v>635</v>
      </c>
      <c r="D197">
        <v>1</v>
      </c>
      <c r="E197" t="s">
        <v>20</v>
      </c>
      <c r="F197" t="s">
        <v>21</v>
      </c>
      <c r="G197" t="str">
        <f>"2026-05-16 22:23:03.369"</f>
        <v>2026-05-16 22:23:03.369</v>
      </c>
      <c r="H197" t="s">
        <v>22</v>
      </c>
      <c r="I197">
        <v>0</v>
      </c>
      <c r="J197" t="s">
        <v>25</v>
      </c>
    </row>
    <row r="198" spans="1:10" x14ac:dyDescent="0.25">
      <c r="A198" s="1">
        <v>89</v>
      </c>
      <c r="B198" t="s">
        <v>19</v>
      </c>
      <c r="C198">
        <v>635</v>
      </c>
      <c r="D198">
        <v>1</v>
      </c>
      <c r="E198" t="s">
        <v>20</v>
      </c>
      <c r="F198" t="s">
        <v>21</v>
      </c>
      <c r="G198" t="str">
        <f>"2026-05-16 14:43:25.669"</f>
        <v>2026-05-16 14:43:25.669</v>
      </c>
      <c r="H198" t="s">
        <v>22</v>
      </c>
    </row>
    <row r="199" spans="1:10" x14ac:dyDescent="0.25">
      <c r="A199" s="1">
        <v>90</v>
      </c>
      <c r="B199" t="s">
        <v>23</v>
      </c>
      <c r="C199">
        <v>635</v>
      </c>
      <c r="D199">
        <v>1</v>
      </c>
      <c r="E199" t="s">
        <v>20</v>
      </c>
      <c r="F199" t="s">
        <v>21</v>
      </c>
      <c r="G199" t="str">
        <f>"2026-05-16 14:36:43.169"</f>
        <v>2026-05-16 14:36:43.169</v>
      </c>
      <c r="H199" t="s">
        <v>22</v>
      </c>
      <c r="I199">
        <v>0.76</v>
      </c>
      <c r="J199" t="s">
        <v>24</v>
      </c>
    </row>
    <row r="200" spans="1:10" x14ac:dyDescent="0.25">
      <c r="A200" s="1">
        <v>91</v>
      </c>
      <c r="B200" t="s">
        <v>19</v>
      </c>
      <c r="C200">
        <v>630</v>
      </c>
      <c r="D200">
        <v>5</v>
      </c>
      <c r="E200" t="s">
        <v>29</v>
      </c>
      <c r="F200" t="s">
        <v>30</v>
      </c>
      <c r="G200" t="str">
        <f>"2026-05-16 13:56:41.723"</f>
        <v>2026-05-16 13:56:41.723</v>
      </c>
      <c r="H200" t="s">
        <v>31</v>
      </c>
    </row>
    <row r="201" spans="1:10" x14ac:dyDescent="0.25">
      <c r="A201" s="1">
        <v>92</v>
      </c>
      <c r="B201" t="s">
        <v>26</v>
      </c>
      <c r="C201">
        <v>706</v>
      </c>
      <c r="D201">
        <v>2</v>
      </c>
      <c r="E201" t="s">
        <v>32</v>
      </c>
      <c r="F201" t="s">
        <v>33</v>
      </c>
      <c r="G201" t="str">
        <f>"2026-05-16 13:56:11.731"</f>
        <v>2026-05-16 13:56:11.731</v>
      </c>
      <c r="H201" t="s">
        <v>22</v>
      </c>
      <c r="I201">
        <v>0</v>
      </c>
      <c r="J201" t="s">
        <v>34</v>
      </c>
    </row>
    <row r="202" spans="1:10" x14ac:dyDescent="0.25">
      <c r="A202" s="1">
        <v>93</v>
      </c>
      <c r="B202" t="s">
        <v>35</v>
      </c>
      <c r="C202">
        <v>630</v>
      </c>
      <c r="D202">
        <v>5</v>
      </c>
      <c r="E202" t="s">
        <v>29</v>
      </c>
      <c r="F202" t="s">
        <v>30</v>
      </c>
      <c r="G202" t="str">
        <f>"2026-05-16 13:11:32.223"</f>
        <v>2026-05-16 13:11:32.223</v>
      </c>
      <c r="H202" t="s">
        <v>31</v>
      </c>
      <c r="I202">
        <v>0</v>
      </c>
      <c r="J202" t="s">
        <v>34</v>
      </c>
    </row>
    <row r="203" spans="1:10" x14ac:dyDescent="0.25">
      <c r="A203" s="1">
        <v>94</v>
      </c>
      <c r="B203" t="s">
        <v>19</v>
      </c>
      <c r="C203">
        <v>630</v>
      </c>
      <c r="D203">
        <v>5</v>
      </c>
      <c r="E203" t="s">
        <v>29</v>
      </c>
      <c r="F203" t="s">
        <v>30</v>
      </c>
      <c r="G203" t="str">
        <f>"2026-05-16 03:01:37.923"</f>
        <v>2026-05-16 03:01:37.923</v>
      </c>
      <c r="H203" t="s">
        <v>31</v>
      </c>
    </row>
    <row r="204" spans="1:10" x14ac:dyDescent="0.25">
      <c r="A204" s="1">
        <v>95</v>
      </c>
      <c r="B204" t="s">
        <v>26</v>
      </c>
      <c r="C204">
        <v>706</v>
      </c>
      <c r="D204">
        <v>4</v>
      </c>
      <c r="E204" t="s">
        <v>32</v>
      </c>
      <c r="F204" t="s">
        <v>41</v>
      </c>
      <c r="G204" t="str">
        <f>"2026-05-16 03:01:07.821"</f>
        <v>2026-05-16 03:01:07.821</v>
      </c>
      <c r="H204" t="s">
        <v>22</v>
      </c>
      <c r="I204">
        <v>0</v>
      </c>
      <c r="J204" t="s">
        <v>34</v>
      </c>
    </row>
    <row r="205" spans="1:10" x14ac:dyDescent="0.25">
      <c r="A205" s="1">
        <v>96</v>
      </c>
      <c r="B205" t="s">
        <v>35</v>
      </c>
      <c r="C205">
        <v>630</v>
      </c>
      <c r="D205">
        <v>5</v>
      </c>
      <c r="E205" t="s">
        <v>29</v>
      </c>
      <c r="F205" t="s">
        <v>30</v>
      </c>
      <c r="G205" t="str">
        <f>"2026-05-16 02:58:37.223"</f>
        <v>2026-05-16 02:58:37.223</v>
      </c>
      <c r="H205" t="s">
        <v>31</v>
      </c>
      <c r="I205">
        <v>0</v>
      </c>
      <c r="J205" t="s">
        <v>34</v>
      </c>
    </row>
    <row r="206" spans="1:10" x14ac:dyDescent="0.25">
      <c r="A206" s="1">
        <v>97</v>
      </c>
      <c r="B206" t="s">
        <v>26</v>
      </c>
      <c r="C206">
        <v>700</v>
      </c>
      <c r="D206">
        <v>0</v>
      </c>
      <c r="E206" t="s">
        <v>27</v>
      </c>
      <c r="F206" t="s">
        <v>27</v>
      </c>
      <c r="G206" t="str">
        <f>"2026-05-16 02:53:34.411"</f>
        <v>2026-05-16 02:53:34.411</v>
      </c>
      <c r="H206" t="s">
        <v>22</v>
      </c>
      <c r="I206">
        <v>0</v>
      </c>
      <c r="J206" t="s">
        <v>28</v>
      </c>
    </row>
    <row r="207" spans="1:10" x14ac:dyDescent="0.25">
      <c r="A207" s="1">
        <v>98</v>
      </c>
      <c r="B207" t="s">
        <v>26</v>
      </c>
      <c r="C207">
        <v>706</v>
      </c>
      <c r="D207">
        <v>4</v>
      </c>
      <c r="E207" t="s">
        <v>32</v>
      </c>
      <c r="F207" t="s">
        <v>41</v>
      </c>
      <c r="G207" t="str">
        <f>"2026-05-16 00:09:32.700"</f>
        <v>2026-05-16 00:09:32.700</v>
      </c>
      <c r="H207" t="s">
        <v>22</v>
      </c>
      <c r="I207">
        <v>0</v>
      </c>
      <c r="J207" t="s">
        <v>34</v>
      </c>
    </row>
    <row r="208" spans="1:10" x14ac:dyDescent="0.25">
      <c r="A208" s="1">
        <v>99</v>
      </c>
      <c r="B208" t="s">
        <v>19</v>
      </c>
      <c r="C208">
        <v>635</v>
      </c>
      <c r="D208">
        <v>1</v>
      </c>
      <c r="E208" t="s">
        <v>20</v>
      </c>
      <c r="F208" t="s">
        <v>21</v>
      </c>
      <c r="G208" t="str">
        <f>"2026-05-14 20:59:13.260"</f>
        <v>2026-05-14 20:59:13.260</v>
      </c>
      <c r="H208" t="s">
        <v>22</v>
      </c>
    </row>
    <row r="209" spans="1:10" x14ac:dyDescent="0.25">
      <c r="A209" s="1">
        <v>0</v>
      </c>
      <c r="B209" t="s">
        <v>23</v>
      </c>
      <c r="C209">
        <v>635</v>
      </c>
      <c r="D209">
        <v>1</v>
      </c>
      <c r="E209" t="s">
        <v>20</v>
      </c>
      <c r="F209" t="s">
        <v>21</v>
      </c>
      <c r="G209" t="str">
        <f>"2026-05-14 20:56:27.760"</f>
        <v>2026-05-14 20:56:27.760</v>
      </c>
      <c r="H209" t="s">
        <v>22</v>
      </c>
      <c r="I209">
        <v>-0.84</v>
      </c>
      <c r="J209" t="s">
        <v>36</v>
      </c>
    </row>
    <row r="210" spans="1:10" x14ac:dyDescent="0.25">
      <c r="A210" s="1">
        <v>1</v>
      </c>
      <c r="B210" t="s">
        <v>19</v>
      </c>
      <c r="C210">
        <v>630</v>
      </c>
      <c r="D210">
        <v>5</v>
      </c>
      <c r="E210" t="s">
        <v>29</v>
      </c>
      <c r="F210" t="s">
        <v>30</v>
      </c>
      <c r="G210" t="str">
        <f>"2026-05-14 16:19:05.108"</f>
        <v>2026-05-14 16:19:05.108</v>
      </c>
      <c r="H210" t="s">
        <v>31</v>
      </c>
    </row>
    <row r="211" spans="1:10" x14ac:dyDescent="0.25">
      <c r="A211" s="1">
        <v>2</v>
      </c>
      <c r="B211" t="s">
        <v>26</v>
      </c>
      <c r="C211">
        <v>706</v>
      </c>
      <c r="D211">
        <v>4</v>
      </c>
      <c r="E211" t="s">
        <v>32</v>
      </c>
      <c r="F211" t="s">
        <v>41</v>
      </c>
      <c r="G211" t="str">
        <f>"2026-05-14 16:18:34.990"</f>
        <v>2026-05-14 16:18:34.990</v>
      </c>
      <c r="H211" t="s">
        <v>22</v>
      </c>
      <c r="I211">
        <v>0</v>
      </c>
      <c r="J211" t="s">
        <v>34</v>
      </c>
    </row>
    <row r="212" spans="1:10" x14ac:dyDescent="0.25">
      <c r="A212" s="1">
        <v>3</v>
      </c>
      <c r="B212" t="s">
        <v>35</v>
      </c>
      <c r="C212">
        <v>630</v>
      </c>
      <c r="D212">
        <v>5</v>
      </c>
      <c r="E212" t="s">
        <v>29</v>
      </c>
      <c r="F212" t="s">
        <v>30</v>
      </c>
      <c r="G212" t="str">
        <f>"2026-05-14 16:15:11.408"</f>
        <v>2026-05-14 16:15:11.408</v>
      </c>
      <c r="H212" t="s">
        <v>31</v>
      </c>
      <c r="I212">
        <v>0</v>
      </c>
      <c r="J212" t="s">
        <v>34</v>
      </c>
    </row>
    <row r="213" spans="1:10" x14ac:dyDescent="0.25">
      <c r="A213" s="1">
        <v>4</v>
      </c>
      <c r="B213" t="s">
        <v>19</v>
      </c>
      <c r="C213">
        <v>635</v>
      </c>
      <c r="D213">
        <v>1</v>
      </c>
      <c r="E213" t="s">
        <v>20</v>
      </c>
      <c r="F213" t="s">
        <v>21</v>
      </c>
      <c r="G213" t="str">
        <f>"2026-05-14 06:35:31.460"</f>
        <v>2026-05-14 06:35:31.460</v>
      </c>
      <c r="H213" t="s">
        <v>22</v>
      </c>
    </row>
    <row r="214" spans="1:10" x14ac:dyDescent="0.25">
      <c r="A214" s="1">
        <v>5</v>
      </c>
      <c r="B214" t="s">
        <v>23</v>
      </c>
      <c r="C214">
        <v>635</v>
      </c>
      <c r="D214">
        <v>1</v>
      </c>
      <c r="E214" t="s">
        <v>20</v>
      </c>
      <c r="F214" t="s">
        <v>21</v>
      </c>
      <c r="G214" t="str">
        <f>"2026-05-14 06:31:25.961"</f>
        <v>2026-05-14 06:31:25.961</v>
      </c>
      <c r="H214" t="s">
        <v>22</v>
      </c>
      <c r="I214">
        <v>-1.97</v>
      </c>
      <c r="J214" t="s">
        <v>24</v>
      </c>
    </row>
    <row r="215" spans="1:10" x14ac:dyDescent="0.25">
      <c r="A215" s="1">
        <v>6</v>
      </c>
      <c r="B215" t="s">
        <v>26</v>
      </c>
      <c r="C215">
        <v>700</v>
      </c>
      <c r="D215">
        <v>0</v>
      </c>
      <c r="E215" t="s">
        <v>27</v>
      </c>
      <c r="F215" t="s">
        <v>27</v>
      </c>
      <c r="G215" t="str">
        <f>"2026-05-14 01:47:18.400"</f>
        <v>2026-05-14 01:47:18.400</v>
      </c>
      <c r="H215" t="s">
        <v>22</v>
      </c>
      <c r="I215">
        <v>0</v>
      </c>
      <c r="J215" t="s">
        <v>28</v>
      </c>
    </row>
    <row r="216" spans="1:10" x14ac:dyDescent="0.25">
      <c r="A216" s="1">
        <v>7</v>
      </c>
      <c r="B216" t="s">
        <v>26</v>
      </c>
      <c r="C216">
        <v>700</v>
      </c>
      <c r="D216">
        <v>0</v>
      </c>
      <c r="E216" t="s">
        <v>27</v>
      </c>
      <c r="F216" t="s">
        <v>27</v>
      </c>
      <c r="G216" t="str">
        <f>"2026-05-14 01:41:12.397"</f>
        <v>2026-05-14 01:41:12.397</v>
      </c>
      <c r="H216" t="s">
        <v>22</v>
      </c>
    </row>
    <row r="217" spans="1:10" x14ac:dyDescent="0.25">
      <c r="A217" s="1">
        <v>8</v>
      </c>
      <c r="B217" t="s">
        <v>19</v>
      </c>
      <c r="C217">
        <v>630</v>
      </c>
      <c r="D217">
        <v>5</v>
      </c>
      <c r="E217" t="s">
        <v>29</v>
      </c>
      <c r="F217" t="s">
        <v>30</v>
      </c>
      <c r="G217" t="str">
        <f>"2026-05-13 13:47:35.818"</f>
        <v>2026-05-13 13:47:35.818</v>
      </c>
      <c r="H217" t="s">
        <v>31</v>
      </c>
    </row>
    <row r="218" spans="1:10" x14ac:dyDescent="0.25">
      <c r="A218" s="1">
        <v>9</v>
      </c>
      <c r="B218" t="s">
        <v>26</v>
      </c>
      <c r="C218">
        <v>706</v>
      </c>
      <c r="D218">
        <v>2</v>
      </c>
      <c r="E218" t="s">
        <v>32</v>
      </c>
      <c r="F218" t="s">
        <v>33</v>
      </c>
      <c r="G218" t="str">
        <f>"2026-05-13 13:47:05.740"</f>
        <v>2026-05-13 13:47:05.740</v>
      </c>
      <c r="H218" t="s">
        <v>22</v>
      </c>
      <c r="I218">
        <v>0</v>
      </c>
      <c r="J218" t="s">
        <v>34</v>
      </c>
    </row>
    <row r="219" spans="1:10" x14ac:dyDescent="0.25">
      <c r="A219" s="1">
        <v>10</v>
      </c>
      <c r="B219" t="s">
        <v>35</v>
      </c>
      <c r="C219">
        <v>630</v>
      </c>
      <c r="D219">
        <v>5</v>
      </c>
      <c r="E219" t="s">
        <v>29</v>
      </c>
      <c r="F219" t="s">
        <v>30</v>
      </c>
      <c r="G219" t="str">
        <f>"2026-05-13 12:54:52.318"</f>
        <v>2026-05-13 12:54:52.318</v>
      </c>
      <c r="H219" t="s">
        <v>31</v>
      </c>
      <c r="I219">
        <v>0</v>
      </c>
      <c r="J219" t="s">
        <v>34</v>
      </c>
    </row>
    <row r="220" spans="1:10" x14ac:dyDescent="0.25">
      <c r="A220" s="1">
        <v>11</v>
      </c>
      <c r="B220" t="s">
        <v>19</v>
      </c>
      <c r="C220">
        <v>635</v>
      </c>
      <c r="D220">
        <v>1</v>
      </c>
      <c r="E220" t="s">
        <v>20</v>
      </c>
      <c r="F220" t="s">
        <v>21</v>
      </c>
      <c r="G220" t="str">
        <f>"2026-05-13 05:05:09.470"</f>
        <v>2026-05-13 05:05:09.470</v>
      </c>
      <c r="H220" t="s">
        <v>22</v>
      </c>
    </row>
    <row r="221" spans="1:10" x14ac:dyDescent="0.25">
      <c r="A221" s="1">
        <v>12</v>
      </c>
      <c r="B221" t="s">
        <v>23</v>
      </c>
      <c r="C221">
        <v>635</v>
      </c>
      <c r="D221">
        <v>1</v>
      </c>
      <c r="E221" t="s">
        <v>20</v>
      </c>
      <c r="F221" t="s">
        <v>21</v>
      </c>
      <c r="G221" t="str">
        <f>"2026-05-13 05:01:24.970"</f>
        <v>2026-05-13 05:01:24.970</v>
      </c>
      <c r="H221" t="s">
        <v>22</v>
      </c>
      <c r="I221">
        <v>-0.73</v>
      </c>
      <c r="J221" t="s">
        <v>25</v>
      </c>
    </row>
    <row r="222" spans="1:10" x14ac:dyDescent="0.25">
      <c r="A222" s="1">
        <v>13</v>
      </c>
      <c r="B222" t="s">
        <v>19</v>
      </c>
      <c r="C222">
        <v>630</v>
      </c>
      <c r="D222">
        <v>5</v>
      </c>
      <c r="E222" t="s">
        <v>29</v>
      </c>
      <c r="F222" t="s">
        <v>30</v>
      </c>
      <c r="G222" t="str">
        <f>"2026-05-12 13:50:58.418"</f>
        <v>2026-05-12 13:50:58.418</v>
      </c>
      <c r="H222" t="s">
        <v>31</v>
      </c>
    </row>
    <row r="223" spans="1:10" x14ac:dyDescent="0.25">
      <c r="A223" s="1">
        <v>14</v>
      </c>
      <c r="B223" t="s">
        <v>26</v>
      </c>
      <c r="C223">
        <v>706</v>
      </c>
      <c r="D223">
        <v>2</v>
      </c>
      <c r="E223" t="s">
        <v>32</v>
      </c>
      <c r="F223" t="s">
        <v>33</v>
      </c>
      <c r="G223" t="str">
        <f>"2026-05-12 13:50:28.240"</f>
        <v>2026-05-12 13:50:28.240</v>
      </c>
      <c r="H223" t="s">
        <v>22</v>
      </c>
      <c r="I223">
        <v>0</v>
      </c>
      <c r="J223" t="s">
        <v>34</v>
      </c>
    </row>
    <row r="224" spans="1:10" x14ac:dyDescent="0.25">
      <c r="A224" s="1">
        <v>15</v>
      </c>
      <c r="B224" t="s">
        <v>35</v>
      </c>
      <c r="C224">
        <v>630</v>
      </c>
      <c r="D224">
        <v>5</v>
      </c>
      <c r="E224" t="s">
        <v>29</v>
      </c>
      <c r="F224" t="s">
        <v>30</v>
      </c>
      <c r="G224" t="str">
        <f>"2026-05-12 13:45:57.418"</f>
        <v>2026-05-12 13:45:57.418</v>
      </c>
      <c r="H224" t="s">
        <v>31</v>
      </c>
      <c r="I224">
        <v>0</v>
      </c>
      <c r="J224" t="s">
        <v>34</v>
      </c>
    </row>
    <row r="225" spans="1:10" x14ac:dyDescent="0.25">
      <c r="A225" s="1">
        <v>16</v>
      </c>
      <c r="B225" t="s">
        <v>19</v>
      </c>
      <c r="C225">
        <v>630</v>
      </c>
      <c r="D225">
        <v>5</v>
      </c>
      <c r="E225" t="s">
        <v>29</v>
      </c>
      <c r="F225" t="s">
        <v>30</v>
      </c>
      <c r="G225" t="str">
        <f>"2026-05-12 12:42:17.917"</f>
        <v>2026-05-12 12:42:17.917</v>
      </c>
      <c r="H225" t="s">
        <v>31</v>
      </c>
    </row>
    <row r="226" spans="1:10" x14ac:dyDescent="0.25">
      <c r="A226" s="1">
        <v>17</v>
      </c>
      <c r="B226" t="s">
        <v>26</v>
      </c>
      <c r="C226">
        <v>706</v>
      </c>
      <c r="D226">
        <v>2</v>
      </c>
      <c r="E226" t="s">
        <v>32</v>
      </c>
      <c r="F226" t="s">
        <v>33</v>
      </c>
      <c r="G226" t="str">
        <f>"2026-05-12 12:41:47.840"</f>
        <v>2026-05-12 12:41:47.840</v>
      </c>
      <c r="H226" t="s">
        <v>22</v>
      </c>
      <c r="I226">
        <v>0</v>
      </c>
      <c r="J226" t="s">
        <v>34</v>
      </c>
    </row>
    <row r="227" spans="1:10" x14ac:dyDescent="0.25">
      <c r="A227" s="1">
        <v>18</v>
      </c>
      <c r="B227" t="s">
        <v>35</v>
      </c>
      <c r="C227">
        <v>630</v>
      </c>
      <c r="D227">
        <v>5</v>
      </c>
      <c r="E227" t="s">
        <v>29</v>
      </c>
      <c r="F227" t="s">
        <v>30</v>
      </c>
      <c r="G227" t="str">
        <f>"2026-05-12 11:57:31.219"</f>
        <v>2026-05-12 11:57:31.219</v>
      </c>
      <c r="H227" t="s">
        <v>31</v>
      </c>
      <c r="I227">
        <v>0</v>
      </c>
      <c r="J227" t="s">
        <v>34</v>
      </c>
    </row>
    <row r="228" spans="1:10" x14ac:dyDescent="0.25">
      <c r="A228" s="1">
        <v>19</v>
      </c>
      <c r="B228" t="s">
        <v>26</v>
      </c>
      <c r="C228">
        <v>700</v>
      </c>
      <c r="D228">
        <v>0</v>
      </c>
      <c r="E228" t="s">
        <v>27</v>
      </c>
      <c r="F228" t="s">
        <v>27</v>
      </c>
      <c r="G228" t="str">
        <f>"2026-05-12 11:52:28.400"</f>
        <v>2026-05-12 11:52:28.400</v>
      </c>
      <c r="H228" t="s">
        <v>22</v>
      </c>
      <c r="I228">
        <v>0</v>
      </c>
      <c r="J228" t="s">
        <v>28</v>
      </c>
    </row>
    <row r="229" spans="1:10" x14ac:dyDescent="0.25">
      <c r="A229" s="1">
        <v>20</v>
      </c>
      <c r="B229" t="s">
        <v>35</v>
      </c>
      <c r="C229">
        <v>630</v>
      </c>
      <c r="D229">
        <v>5</v>
      </c>
      <c r="E229" t="s">
        <v>29</v>
      </c>
      <c r="F229" t="s">
        <v>30</v>
      </c>
      <c r="G229" t="str">
        <f>"2026-05-12 11:47:30.074"</f>
        <v>2026-05-12 11:47:30.074</v>
      </c>
      <c r="H229" t="s">
        <v>31</v>
      </c>
      <c r="I229">
        <v>0</v>
      </c>
      <c r="J229" t="s">
        <v>34</v>
      </c>
    </row>
    <row r="230" spans="1:10" x14ac:dyDescent="0.25">
      <c r="A230" s="1">
        <v>21</v>
      </c>
      <c r="B230" t="s">
        <v>26</v>
      </c>
      <c r="C230">
        <v>700</v>
      </c>
      <c r="D230">
        <v>0</v>
      </c>
      <c r="E230" t="s">
        <v>27</v>
      </c>
      <c r="F230" t="s">
        <v>27</v>
      </c>
      <c r="G230" t="str">
        <f>"2026-05-12 11:42:27.400"</f>
        <v>2026-05-12 11:42:27.400</v>
      </c>
      <c r="H230" t="s">
        <v>22</v>
      </c>
      <c r="I230">
        <v>0</v>
      </c>
      <c r="J230" t="s">
        <v>28</v>
      </c>
    </row>
    <row r="231" spans="1:10" x14ac:dyDescent="0.25">
      <c r="A231" s="1">
        <v>22</v>
      </c>
      <c r="B231" t="s">
        <v>26</v>
      </c>
      <c r="C231">
        <v>706</v>
      </c>
      <c r="D231">
        <v>2</v>
      </c>
      <c r="E231" t="s">
        <v>32</v>
      </c>
      <c r="F231" t="s">
        <v>33</v>
      </c>
      <c r="G231" t="str">
        <f>"2026-05-12 11:33:25.704"</f>
        <v>2026-05-12 11:33:25.704</v>
      </c>
      <c r="H231" t="s">
        <v>22</v>
      </c>
      <c r="I231">
        <v>0</v>
      </c>
      <c r="J231" t="s">
        <v>34</v>
      </c>
    </row>
    <row r="232" spans="1:10" x14ac:dyDescent="0.25">
      <c r="A232" s="1">
        <v>23</v>
      </c>
      <c r="B232" t="s">
        <v>26</v>
      </c>
      <c r="C232">
        <v>700</v>
      </c>
      <c r="D232">
        <v>0</v>
      </c>
      <c r="E232" t="s">
        <v>27</v>
      </c>
      <c r="F232" t="s">
        <v>27</v>
      </c>
      <c r="G232" t="str">
        <f>"2026-05-12 11:32:55.614"</f>
        <v>2026-05-12 11:32:55.614</v>
      </c>
      <c r="H232" t="s">
        <v>22</v>
      </c>
    </row>
    <row r="233" spans="1:10" x14ac:dyDescent="0.25">
      <c r="A233" s="1">
        <v>24</v>
      </c>
      <c r="B233" t="s">
        <v>19</v>
      </c>
      <c r="C233">
        <v>635</v>
      </c>
      <c r="D233">
        <v>1</v>
      </c>
      <c r="E233" t="s">
        <v>20</v>
      </c>
      <c r="F233" t="s">
        <v>21</v>
      </c>
      <c r="G233" t="str">
        <f>"2026-05-12 10:45:47.152"</f>
        <v>2026-05-12 10:45:47.152</v>
      </c>
      <c r="H233" t="s">
        <v>22</v>
      </c>
    </row>
    <row r="234" spans="1:10" x14ac:dyDescent="0.25">
      <c r="A234" s="1">
        <v>25</v>
      </c>
      <c r="B234" t="s">
        <v>23</v>
      </c>
      <c r="C234">
        <v>635</v>
      </c>
      <c r="D234">
        <v>1</v>
      </c>
      <c r="E234" t="s">
        <v>20</v>
      </c>
      <c r="F234" t="s">
        <v>21</v>
      </c>
      <c r="G234" t="str">
        <f>"2026-05-12 10:41:22.652"</f>
        <v>2026-05-12 10:41:22.652</v>
      </c>
      <c r="H234" t="s">
        <v>22</v>
      </c>
      <c r="I234">
        <v>1.38</v>
      </c>
      <c r="J234" t="s">
        <v>24</v>
      </c>
    </row>
    <row r="235" spans="1:10" x14ac:dyDescent="0.25">
      <c r="A235" s="1">
        <v>26</v>
      </c>
      <c r="B235" t="s">
        <v>19</v>
      </c>
      <c r="C235">
        <v>98</v>
      </c>
      <c r="D235">
        <v>1</v>
      </c>
      <c r="E235" t="s">
        <v>45</v>
      </c>
      <c r="F235" t="s">
        <v>46</v>
      </c>
      <c r="G235" t="str">
        <f>"2026-05-12 09:50:24.352"</f>
        <v>2026-05-12 09:50:24.352</v>
      </c>
      <c r="H235" t="s">
        <v>22</v>
      </c>
    </row>
    <row r="236" spans="1:10" x14ac:dyDescent="0.25">
      <c r="A236" s="1">
        <v>27</v>
      </c>
      <c r="B236" t="s">
        <v>23</v>
      </c>
      <c r="C236">
        <v>98</v>
      </c>
      <c r="D236">
        <v>1</v>
      </c>
      <c r="E236" t="s">
        <v>45</v>
      </c>
      <c r="F236" t="s">
        <v>46</v>
      </c>
      <c r="G236" t="str">
        <f>"2026-05-12 09:50:22.153"</f>
        <v>2026-05-12 09:50:22.153</v>
      </c>
      <c r="H236" t="s">
        <v>22</v>
      </c>
      <c r="I236">
        <v>18.57</v>
      </c>
      <c r="J236" t="s">
        <v>36</v>
      </c>
    </row>
    <row r="237" spans="1:10" x14ac:dyDescent="0.25">
      <c r="A237" s="1">
        <v>28</v>
      </c>
      <c r="B237" t="s">
        <v>26</v>
      </c>
      <c r="C237">
        <v>700</v>
      </c>
      <c r="D237">
        <v>0</v>
      </c>
      <c r="E237" t="s">
        <v>27</v>
      </c>
      <c r="F237" t="s">
        <v>27</v>
      </c>
      <c r="G237" t="str">
        <f>"2026-05-12 07:46:51.530"</f>
        <v>2026-05-12 07:46:51.530</v>
      </c>
      <c r="H237" t="s">
        <v>22</v>
      </c>
      <c r="I237">
        <v>0</v>
      </c>
      <c r="J237" t="s">
        <v>28</v>
      </c>
    </row>
    <row r="238" spans="1:10" x14ac:dyDescent="0.25">
      <c r="A238" s="1">
        <v>29</v>
      </c>
      <c r="B238" t="s">
        <v>26</v>
      </c>
      <c r="C238">
        <v>706</v>
      </c>
      <c r="D238">
        <v>2</v>
      </c>
      <c r="E238" t="s">
        <v>32</v>
      </c>
      <c r="F238" t="s">
        <v>33</v>
      </c>
      <c r="G238" t="str">
        <f>"2026-05-12 04:40:34.485"</f>
        <v>2026-05-12 04:40:34.485</v>
      </c>
      <c r="H238" t="s">
        <v>22</v>
      </c>
      <c r="I238">
        <v>0</v>
      </c>
      <c r="J238" t="s">
        <v>34</v>
      </c>
    </row>
    <row r="239" spans="1:10" x14ac:dyDescent="0.25">
      <c r="A239" s="1">
        <v>30</v>
      </c>
      <c r="B239" t="s">
        <v>26</v>
      </c>
      <c r="C239">
        <v>700</v>
      </c>
      <c r="D239">
        <v>0</v>
      </c>
      <c r="E239" t="s">
        <v>27</v>
      </c>
      <c r="F239" t="s">
        <v>27</v>
      </c>
      <c r="G239" t="str">
        <f>"2026-05-12 04:38:23.395"</f>
        <v>2026-05-12 04:38:23.395</v>
      </c>
      <c r="H239" t="s">
        <v>22</v>
      </c>
      <c r="I239">
        <v>0</v>
      </c>
      <c r="J239" t="s">
        <v>28</v>
      </c>
    </row>
    <row r="240" spans="1:10" x14ac:dyDescent="0.25">
      <c r="A240" s="1">
        <v>31</v>
      </c>
      <c r="B240" t="s">
        <v>19</v>
      </c>
      <c r="C240">
        <v>630</v>
      </c>
      <c r="D240">
        <v>5</v>
      </c>
      <c r="E240" t="s">
        <v>29</v>
      </c>
      <c r="F240" t="s">
        <v>30</v>
      </c>
      <c r="G240" t="str">
        <f>"2026-05-11 17:03:11.359"</f>
        <v>2026-05-11 17:03:11.359</v>
      </c>
      <c r="H240" t="s">
        <v>31</v>
      </c>
    </row>
    <row r="241" spans="1:10" x14ac:dyDescent="0.25">
      <c r="A241" s="1">
        <v>32</v>
      </c>
      <c r="B241" t="s">
        <v>26</v>
      </c>
      <c r="C241">
        <v>706</v>
      </c>
      <c r="D241">
        <v>2</v>
      </c>
      <c r="E241" t="s">
        <v>32</v>
      </c>
      <c r="F241" t="s">
        <v>33</v>
      </c>
      <c r="G241" t="str">
        <f>"2026-05-11 17:02:41.168"</f>
        <v>2026-05-11 17:02:41.168</v>
      </c>
      <c r="H241" t="s">
        <v>22</v>
      </c>
      <c r="I241">
        <v>0</v>
      </c>
      <c r="J241" t="s">
        <v>34</v>
      </c>
    </row>
    <row r="242" spans="1:10" x14ac:dyDescent="0.25">
      <c r="A242" s="1">
        <v>33</v>
      </c>
      <c r="B242" t="s">
        <v>35</v>
      </c>
      <c r="C242">
        <v>630</v>
      </c>
      <c r="D242">
        <v>5</v>
      </c>
      <c r="E242" t="s">
        <v>29</v>
      </c>
      <c r="F242" t="s">
        <v>30</v>
      </c>
      <c r="G242" t="str">
        <f>"2026-05-11 16:59:25.959"</f>
        <v>2026-05-11 16:59:25.959</v>
      </c>
      <c r="H242" t="s">
        <v>31</v>
      </c>
      <c r="I242">
        <v>0</v>
      </c>
      <c r="J242" t="s">
        <v>34</v>
      </c>
    </row>
    <row r="243" spans="1:10" x14ac:dyDescent="0.25">
      <c r="A243" s="1">
        <v>34</v>
      </c>
      <c r="B243" t="s">
        <v>19</v>
      </c>
      <c r="C243">
        <v>630</v>
      </c>
      <c r="D243">
        <v>5</v>
      </c>
      <c r="E243" t="s">
        <v>29</v>
      </c>
      <c r="F243" t="s">
        <v>30</v>
      </c>
      <c r="G243" t="str">
        <f>"2026-05-11 14:05:16.959"</f>
        <v>2026-05-11 14:05:16.959</v>
      </c>
      <c r="H243" t="s">
        <v>31</v>
      </c>
    </row>
    <row r="244" spans="1:10" x14ac:dyDescent="0.25">
      <c r="A244" s="1">
        <v>35</v>
      </c>
      <c r="B244" t="s">
        <v>26</v>
      </c>
      <c r="C244">
        <v>706</v>
      </c>
      <c r="D244">
        <v>4</v>
      </c>
      <c r="E244" t="s">
        <v>32</v>
      </c>
      <c r="F244" t="s">
        <v>41</v>
      </c>
      <c r="G244" t="str">
        <f>"2026-05-11 14:04:46.848"</f>
        <v>2026-05-11 14:04:46.848</v>
      </c>
      <c r="H244" t="s">
        <v>22</v>
      </c>
      <c r="I244">
        <v>0</v>
      </c>
      <c r="J244" t="s">
        <v>34</v>
      </c>
    </row>
    <row r="245" spans="1:10" x14ac:dyDescent="0.25">
      <c r="A245" s="1">
        <v>36</v>
      </c>
      <c r="B245" t="s">
        <v>35</v>
      </c>
      <c r="C245">
        <v>630</v>
      </c>
      <c r="D245">
        <v>5</v>
      </c>
      <c r="E245" t="s">
        <v>29</v>
      </c>
      <c r="F245" t="s">
        <v>30</v>
      </c>
      <c r="G245" t="str">
        <f>"2026-05-11 13:59:48.259"</f>
        <v>2026-05-11 13:59:48.259</v>
      </c>
      <c r="H245" t="s">
        <v>31</v>
      </c>
      <c r="I245">
        <v>0</v>
      </c>
      <c r="J245" t="s">
        <v>34</v>
      </c>
    </row>
    <row r="246" spans="1:10" x14ac:dyDescent="0.25">
      <c r="A246" s="1">
        <v>37</v>
      </c>
      <c r="B246" t="s">
        <v>19</v>
      </c>
      <c r="C246">
        <v>630</v>
      </c>
      <c r="D246">
        <v>5</v>
      </c>
      <c r="E246" t="s">
        <v>29</v>
      </c>
      <c r="F246" t="s">
        <v>30</v>
      </c>
      <c r="G246" t="str">
        <f>"2026-05-11 09:42:40.859"</f>
        <v>2026-05-11 09:42:40.859</v>
      </c>
      <c r="H246" t="s">
        <v>31</v>
      </c>
    </row>
    <row r="247" spans="1:10" x14ac:dyDescent="0.25">
      <c r="A247" s="1">
        <v>38</v>
      </c>
      <c r="B247" t="s">
        <v>26</v>
      </c>
      <c r="C247">
        <v>706</v>
      </c>
      <c r="D247">
        <v>2</v>
      </c>
      <c r="E247" t="s">
        <v>32</v>
      </c>
      <c r="F247" t="s">
        <v>33</v>
      </c>
      <c r="G247" t="str">
        <f>"2026-05-11 09:42:10.768"</f>
        <v>2026-05-11 09:42:10.768</v>
      </c>
      <c r="H247" t="s">
        <v>22</v>
      </c>
      <c r="I247">
        <v>0</v>
      </c>
      <c r="J247" t="s">
        <v>34</v>
      </c>
    </row>
    <row r="248" spans="1:10" x14ac:dyDescent="0.25">
      <c r="A248" s="1">
        <v>39</v>
      </c>
      <c r="B248" t="s">
        <v>35</v>
      </c>
      <c r="C248">
        <v>630</v>
      </c>
      <c r="D248">
        <v>5</v>
      </c>
      <c r="E248" t="s">
        <v>29</v>
      </c>
      <c r="F248" t="s">
        <v>30</v>
      </c>
      <c r="G248" t="str">
        <f>"2026-05-11 09:38:24.959"</f>
        <v>2026-05-11 09:38:24.959</v>
      </c>
      <c r="H248" t="s">
        <v>31</v>
      </c>
      <c r="I248">
        <v>0</v>
      </c>
      <c r="J248" t="s">
        <v>34</v>
      </c>
    </row>
    <row r="249" spans="1:10" x14ac:dyDescent="0.25">
      <c r="A249" s="1">
        <v>40</v>
      </c>
      <c r="B249" t="s">
        <v>19</v>
      </c>
      <c r="C249">
        <v>630</v>
      </c>
      <c r="D249">
        <v>5</v>
      </c>
      <c r="E249" t="s">
        <v>29</v>
      </c>
      <c r="F249" t="s">
        <v>30</v>
      </c>
      <c r="G249" t="str">
        <f>"2026-05-10 15:18:44.459"</f>
        <v>2026-05-10 15:18:44.459</v>
      </c>
      <c r="H249" t="s">
        <v>31</v>
      </c>
    </row>
    <row r="250" spans="1:10" x14ac:dyDescent="0.25">
      <c r="A250" s="1">
        <v>41</v>
      </c>
      <c r="B250" t="s">
        <v>26</v>
      </c>
      <c r="C250">
        <v>706</v>
      </c>
      <c r="D250">
        <v>2</v>
      </c>
      <c r="E250" t="s">
        <v>32</v>
      </c>
      <c r="F250" t="s">
        <v>33</v>
      </c>
      <c r="G250" t="str">
        <f>"2026-05-10 15:18:14.368"</f>
        <v>2026-05-10 15:18:14.368</v>
      </c>
      <c r="H250" t="s">
        <v>22</v>
      </c>
      <c r="I250">
        <v>0</v>
      </c>
      <c r="J250" t="s">
        <v>34</v>
      </c>
    </row>
    <row r="251" spans="1:10" x14ac:dyDescent="0.25">
      <c r="A251" s="1">
        <v>42</v>
      </c>
      <c r="B251" t="s">
        <v>35</v>
      </c>
      <c r="C251">
        <v>630</v>
      </c>
      <c r="D251">
        <v>5</v>
      </c>
      <c r="E251" t="s">
        <v>29</v>
      </c>
      <c r="F251" t="s">
        <v>30</v>
      </c>
      <c r="G251" t="str">
        <f>"2026-05-10 15:00:34.059"</f>
        <v>2026-05-10 15:00:34.059</v>
      </c>
      <c r="H251" t="s">
        <v>31</v>
      </c>
      <c r="I251">
        <v>0</v>
      </c>
      <c r="J251" t="s">
        <v>34</v>
      </c>
    </row>
    <row r="252" spans="1:10" x14ac:dyDescent="0.25">
      <c r="A252" s="1">
        <v>43</v>
      </c>
      <c r="B252" t="s">
        <v>19</v>
      </c>
      <c r="C252">
        <v>630</v>
      </c>
      <c r="D252">
        <v>5</v>
      </c>
      <c r="E252" t="s">
        <v>29</v>
      </c>
      <c r="F252" t="s">
        <v>30</v>
      </c>
      <c r="G252" t="str">
        <f>"2026-05-09 18:34:33.859"</f>
        <v>2026-05-09 18:34:33.859</v>
      </c>
      <c r="H252" t="s">
        <v>31</v>
      </c>
    </row>
    <row r="253" spans="1:10" x14ac:dyDescent="0.25">
      <c r="A253" s="1">
        <v>44</v>
      </c>
      <c r="B253" t="s">
        <v>26</v>
      </c>
      <c r="C253">
        <v>706</v>
      </c>
      <c r="D253">
        <v>2</v>
      </c>
      <c r="E253" t="s">
        <v>32</v>
      </c>
      <c r="F253" t="s">
        <v>33</v>
      </c>
      <c r="G253" t="str">
        <f>"2026-05-09 18:34:03.868"</f>
        <v>2026-05-09 18:34:03.868</v>
      </c>
      <c r="H253" t="s">
        <v>22</v>
      </c>
      <c r="I253">
        <v>0</v>
      </c>
      <c r="J253" t="s">
        <v>34</v>
      </c>
    </row>
    <row r="254" spans="1:10" x14ac:dyDescent="0.25">
      <c r="A254" s="1">
        <v>45</v>
      </c>
      <c r="B254" t="s">
        <v>35</v>
      </c>
      <c r="C254">
        <v>630</v>
      </c>
      <c r="D254">
        <v>5</v>
      </c>
      <c r="E254" t="s">
        <v>29</v>
      </c>
      <c r="F254" t="s">
        <v>30</v>
      </c>
      <c r="G254" t="str">
        <f>"2026-05-09 18:24:46.459"</f>
        <v>2026-05-09 18:24:46.459</v>
      </c>
      <c r="H254" t="s">
        <v>31</v>
      </c>
      <c r="I254">
        <v>0</v>
      </c>
      <c r="J254" t="s">
        <v>34</v>
      </c>
    </row>
    <row r="255" spans="1:10" x14ac:dyDescent="0.25">
      <c r="A255" s="1">
        <v>46</v>
      </c>
      <c r="B255" t="s">
        <v>19</v>
      </c>
      <c r="C255">
        <v>630</v>
      </c>
      <c r="D255">
        <v>5</v>
      </c>
      <c r="E255" t="s">
        <v>29</v>
      </c>
      <c r="F255" t="s">
        <v>30</v>
      </c>
      <c r="G255" t="str">
        <f>"2026-05-09 18:18:22.359"</f>
        <v>2026-05-09 18:18:22.359</v>
      </c>
      <c r="H255" t="s">
        <v>31</v>
      </c>
    </row>
    <row r="256" spans="1:10" x14ac:dyDescent="0.25">
      <c r="A256" s="1">
        <v>47</v>
      </c>
      <c r="B256" t="s">
        <v>26</v>
      </c>
      <c r="C256">
        <v>706</v>
      </c>
      <c r="D256">
        <v>4</v>
      </c>
      <c r="E256" t="s">
        <v>32</v>
      </c>
      <c r="F256" t="s">
        <v>41</v>
      </c>
      <c r="G256" t="str">
        <f>"2026-05-09 18:17:52.198"</f>
        <v>2026-05-09 18:17:52.198</v>
      </c>
      <c r="H256" t="s">
        <v>22</v>
      </c>
      <c r="I256">
        <v>0</v>
      </c>
      <c r="J256" t="s">
        <v>34</v>
      </c>
    </row>
    <row r="257" spans="1:10" x14ac:dyDescent="0.25">
      <c r="A257" s="1">
        <v>48</v>
      </c>
      <c r="B257" t="s">
        <v>35</v>
      </c>
      <c r="C257">
        <v>630</v>
      </c>
      <c r="D257">
        <v>5</v>
      </c>
      <c r="E257" t="s">
        <v>29</v>
      </c>
      <c r="F257" t="s">
        <v>30</v>
      </c>
      <c r="G257" t="str">
        <f>"2026-05-09 18:05:00.359"</f>
        <v>2026-05-09 18:05:00.359</v>
      </c>
      <c r="H257" t="s">
        <v>31</v>
      </c>
      <c r="I257">
        <v>0</v>
      </c>
      <c r="J257" t="s">
        <v>34</v>
      </c>
    </row>
    <row r="258" spans="1:10" x14ac:dyDescent="0.25">
      <c r="A258" s="1">
        <v>49</v>
      </c>
      <c r="B258" t="s">
        <v>26</v>
      </c>
      <c r="C258">
        <v>700</v>
      </c>
      <c r="D258">
        <v>0</v>
      </c>
      <c r="E258" t="s">
        <v>27</v>
      </c>
      <c r="F258" t="s">
        <v>27</v>
      </c>
      <c r="G258" t="str">
        <f>"2026-05-09 17:59:57.508"</f>
        <v>2026-05-09 17:59:57.508</v>
      </c>
      <c r="H258" t="s">
        <v>22</v>
      </c>
    </row>
    <row r="259" spans="1:10" x14ac:dyDescent="0.25">
      <c r="A259" s="1">
        <v>50</v>
      </c>
      <c r="B259" t="s">
        <v>19</v>
      </c>
      <c r="C259">
        <v>630</v>
      </c>
      <c r="D259">
        <v>5</v>
      </c>
      <c r="E259" t="s">
        <v>29</v>
      </c>
      <c r="F259" t="s">
        <v>30</v>
      </c>
      <c r="G259" t="str">
        <f>"2026-05-09 13:35:15.810"</f>
        <v>2026-05-09 13:35:15.810</v>
      </c>
      <c r="H259" t="s">
        <v>31</v>
      </c>
    </row>
    <row r="260" spans="1:10" x14ac:dyDescent="0.25">
      <c r="A260" s="1">
        <v>51</v>
      </c>
      <c r="B260" t="s">
        <v>26</v>
      </c>
      <c r="C260">
        <v>706</v>
      </c>
      <c r="D260">
        <v>4</v>
      </c>
      <c r="E260" t="s">
        <v>32</v>
      </c>
      <c r="F260" t="s">
        <v>41</v>
      </c>
      <c r="G260" t="str">
        <f>"2026-05-09 13:34:45.693"</f>
        <v>2026-05-09 13:34:45.693</v>
      </c>
      <c r="H260" t="s">
        <v>22</v>
      </c>
      <c r="I260">
        <v>0</v>
      </c>
      <c r="J260" t="s">
        <v>34</v>
      </c>
    </row>
    <row r="261" spans="1:10" x14ac:dyDescent="0.25">
      <c r="A261" s="1">
        <v>52</v>
      </c>
      <c r="B261" t="s">
        <v>35</v>
      </c>
      <c r="C261">
        <v>630</v>
      </c>
      <c r="D261">
        <v>5</v>
      </c>
      <c r="E261" t="s">
        <v>29</v>
      </c>
      <c r="F261" t="s">
        <v>30</v>
      </c>
      <c r="G261" t="str">
        <f>"2026-05-09 12:50:58.610"</f>
        <v>2026-05-09 12:50:58.610</v>
      </c>
      <c r="H261" t="s">
        <v>31</v>
      </c>
      <c r="I261">
        <v>0</v>
      </c>
      <c r="J261" t="s">
        <v>34</v>
      </c>
    </row>
    <row r="262" spans="1:10" x14ac:dyDescent="0.25">
      <c r="A262" s="1">
        <v>53</v>
      </c>
      <c r="B262" t="s">
        <v>19</v>
      </c>
      <c r="C262">
        <v>635</v>
      </c>
      <c r="D262">
        <v>1</v>
      </c>
      <c r="E262" t="s">
        <v>20</v>
      </c>
      <c r="F262" t="s">
        <v>21</v>
      </c>
      <c r="G262" t="str">
        <f>"2026-05-08 20:29:26.310"</f>
        <v>2026-05-08 20:29:26.310</v>
      </c>
      <c r="H262" t="s">
        <v>22</v>
      </c>
    </row>
    <row r="263" spans="1:10" x14ac:dyDescent="0.25">
      <c r="A263" s="1">
        <v>54</v>
      </c>
      <c r="B263" t="s">
        <v>23</v>
      </c>
      <c r="C263">
        <v>635</v>
      </c>
      <c r="D263">
        <v>1</v>
      </c>
      <c r="E263" t="s">
        <v>20</v>
      </c>
      <c r="F263" t="s">
        <v>21</v>
      </c>
      <c r="G263" t="str">
        <f>"2026-05-08 20:04:09.810"</f>
        <v>2026-05-08 20:04:09.810</v>
      </c>
      <c r="H263" t="s">
        <v>22</v>
      </c>
      <c r="I263">
        <v>-0.81</v>
      </c>
      <c r="J263" t="s">
        <v>36</v>
      </c>
    </row>
    <row r="264" spans="1:10" x14ac:dyDescent="0.25">
      <c r="A264" s="1">
        <v>55</v>
      </c>
      <c r="B264" t="s">
        <v>19</v>
      </c>
      <c r="C264">
        <v>630</v>
      </c>
      <c r="D264">
        <v>5</v>
      </c>
      <c r="E264" t="s">
        <v>29</v>
      </c>
      <c r="F264" t="s">
        <v>30</v>
      </c>
      <c r="G264" t="str">
        <f>"2026-05-08 13:41:44.510"</f>
        <v>2026-05-08 13:41:44.510</v>
      </c>
      <c r="H264" t="s">
        <v>31</v>
      </c>
    </row>
    <row r="265" spans="1:10" x14ac:dyDescent="0.25">
      <c r="A265" s="1">
        <v>56</v>
      </c>
      <c r="B265" t="s">
        <v>26</v>
      </c>
      <c r="C265">
        <v>706</v>
      </c>
      <c r="D265">
        <v>4</v>
      </c>
      <c r="E265" t="s">
        <v>32</v>
      </c>
      <c r="F265" t="s">
        <v>41</v>
      </c>
      <c r="G265" t="str">
        <f>"2026-05-08 13:41:14.463"</f>
        <v>2026-05-08 13:41:14.463</v>
      </c>
      <c r="H265" t="s">
        <v>22</v>
      </c>
      <c r="I265">
        <v>0</v>
      </c>
      <c r="J265" t="s">
        <v>34</v>
      </c>
    </row>
    <row r="266" spans="1:10" x14ac:dyDescent="0.25">
      <c r="A266" s="1">
        <v>57</v>
      </c>
      <c r="B266" t="s">
        <v>35</v>
      </c>
      <c r="C266">
        <v>630</v>
      </c>
      <c r="D266">
        <v>5</v>
      </c>
      <c r="E266" t="s">
        <v>29</v>
      </c>
      <c r="F266" t="s">
        <v>30</v>
      </c>
      <c r="G266" t="str">
        <f>"2026-05-08 13:09:18.410"</f>
        <v>2026-05-08 13:09:18.410</v>
      </c>
      <c r="H266" t="s">
        <v>31</v>
      </c>
      <c r="I266">
        <v>0</v>
      </c>
      <c r="J266" t="s">
        <v>34</v>
      </c>
    </row>
    <row r="267" spans="1:10" x14ac:dyDescent="0.25">
      <c r="A267" s="1">
        <v>58</v>
      </c>
      <c r="B267" t="s">
        <v>19</v>
      </c>
      <c r="C267">
        <v>630</v>
      </c>
      <c r="D267">
        <v>5</v>
      </c>
      <c r="E267" t="s">
        <v>29</v>
      </c>
      <c r="F267" t="s">
        <v>30</v>
      </c>
      <c r="G267" t="str">
        <f>"2026-05-08 11:53:57.310"</f>
        <v>2026-05-08 11:53:57.310</v>
      </c>
      <c r="H267" t="s">
        <v>31</v>
      </c>
    </row>
    <row r="268" spans="1:10" x14ac:dyDescent="0.25">
      <c r="A268" s="1">
        <v>59</v>
      </c>
      <c r="B268" t="s">
        <v>26</v>
      </c>
      <c r="C268">
        <v>706</v>
      </c>
      <c r="D268">
        <v>4</v>
      </c>
      <c r="E268" t="s">
        <v>32</v>
      </c>
      <c r="F268" t="s">
        <v>41</v>
      </c>
      <c r="G268" t="str">
        <f>"2026-05-08 11:53:27.273"</f>
        <v>2026-05-08 11:53:27.273</v>
      </c>
      <c r="H268" t="s">
        <v>22</v>
      </c>
      <c r="I268">
        <v>0</v>
      </c>
      <c r="J268" t="s">
        <v>34</v>
      </c>
    </row>
    <row r="269" spans="1:10" x14ac:dyDescent="0.25">
      <c r="A269" s="1">
        <v>60</v>
      </c>
      <c r="B269" t="s">
        <v>35</v>
      </c>
      <c r="C269">
        <v>630</v>
      </c>
      <c r="D269">
        <v>5</v>
      </c>
      <c r="E269" t="s">
        <v>29</v>
      </c>
      <c r="F269" t="s">
        <v>30</v>
      </c>
      <c r="G269" t="str">
        <f>"2026-05-08 11:47:31.311"</f>
        <v>2026-05-08 11:47:31.311</v>
      </c>
      <c r="H269" t="s">
        <v>31</v>
      </c>
      <c r="I269">
        <v>0</v>
      </c>
      <c r="J269" t="s">
        <v>34</v>
      </c>
    </row>
    <row r="270" spans="1:10" x14ac:dyDescent="0.25">
      <c r="A270" s="1">
        <v>61</v>
      </c>
      <c r="B270" t="s">
        <v>26</v>
      </c>
      <c r="C270">
        <v>706</v>
      </c>
      <c r="D270">
        <v>2</v>
      </c>
      <c r="E270" t="s">
        <v>32</v>
      </c>
      <c r="F270" t="s">
        <v>33</v>
      </c>
      <c r="G270" t="str">
        <f>"2026-05-08 10:18:46.103"</f>
        <v>2026-05-08 10:18:46.103</v>
      </c>
      <c r="H270" t="s">
        <v>22</v>
      </c>
      <c r="I270">
        <v>0</v>
      </c>
      <c r="J270" t="s">
        <v>34</v>
      </c>
    </row>
    <row r="271" spans="1:10" x14ac:dyDescent="0.25">
      <c r="A271" s="1">
        <v>62</v>
      </c>
      <c r="B271" t="s">
        <v>26</v>
      </c>
      <c r="C271">
        <v>700</v>
      </c>
      <c r="D271">
        <v>0</v>
      </c>
      <c r="E271" t="s">
        <v>27</v>
      </c>
      <c r="F271" t="s">
        <v>27</v>
      </c>
      <c r="G271" t="str">
        <f>"2026-05-08 10:17:30.383"</f>
        <v>2026-05-08 10:17:30.383</v>
      </c>
      <c r="H271" t="s">
        <v>22</v>
      </c>
      <c r="I271">
        <v>0</v>
      </c>
      <c r="J271" t="s">
        <v>28</v>
      </c>
    </row>
    <row r="272" spans="1:10" x14ac:dyDescent="0.25">
      <c r="A272" s="1">
        <v>63</v>
      </c>
      <c r="B272" t="s">
        <v>26</v>
      </c>
      <c r="C272">
        <v>700</v>
      </c>
      <c r="D272">
        <v>0</v>
      </c>
      <c r="E272" t="s">
        <v>27</v>
      </c>
      <c r="F272" t="s">
        <v>27</v>
      </c>
      <c r="G272" t="str">
        <f>"2026-05-08 06:20:57.355"</f>
        <v>2026-05-08 06:20:57.355</v>
      </c>
      <c r="H272" t="s">
        <v>22</v>
      </c>
    </row>
    <row r="273" spans="1:10" x14ac:dyDescent="0.25">
      <c r="A273" s="1">
        <v>64</v>
      </c>
      <c r="B273" t="s">
        <v>19</v>
      </c>
      <c r="C273">
        <v>635</v>
      </c>
      <c r="D273">
        <v>1</v>
      </c>
      <c r="E273" t="s">
        <v>20</v>
      </c>
      <c r="F273" t="s">
        <v>21</v>
      </c>
      <c r="G273" t="str">
        <f>"2026-05-07 21:19:34.394"</f>
        <v>2026-05-07 21:19:34.394</v>
      </c>
      <c r="H273" t="s">
        <v>22</v>
      </c>
    </row>
    <row r="274" spans="1:10" x14ac:dyDescent="0.25">
      <c r="A274" s="1">
        <v>65</v>
      </c>
      <c r="B274" t="s">
        <v>23</v>
      </c>
      <c r="C274">
        <v>635</v>
      </c>
      <c r="D274">
        <v>1</v>
      </c>
      <c r="E274" t="s">
        <v>20</v>
      </c>
      <c r="F274" t="s">
        <v>21</v>
      </c>
      <c r="G274" t="str">
        <f>"2026-05-07 21:07:06.994"</f>
        <v>2026-05-07 21:07:06.994</v>
      </c>
      <c r="H274" t="s">
        <v>22</v>
      </c>
      <c r="I274">
        <v>1.68</v>
      </c>
      <c r="J274" t="s">
        <v>25</v>
      </c>
    </row>
    <row r="275" spans="1:10" x14ac:dyDescent="0.25">
      <c r="A275" s="1">
        <v>66</v>
      </c>
      <c r="B275" t="s">
        <v>19</v>
      </c>
      <c r="C275">
        <v>630</v>
      </c>
      <c r="D275">
        <v>5</v>
      </c>
      <c r="E275" t="s">
        <v>29</v>
      </c>
      <c r="F275" t="s">
        <v>30</v>
      </c>
      <c r="G275" t="str">
        <f>"2026-05-07 16:23:50.195"</f>
        <v>2026-05-07 16:23:50.195</v>
      </c>
      <c r="H275" t="s">
        <v>31</v>
      </c>
    </row>
    <row r="276" spans="1:10" x14ac:dyDescent="0.25">
      <c r="A276" s="1">
        <v>67</v>
      </c>
      <c r="B276" t="s">
        <v>26</v>
      </c>
      <c r="C276">
        <v>706</v>
      </c>
      <c r="D276">
        <v>2</v>
      </c>
      <c r="E276" t="s">
        <v>32</v>
      </c>
      <c r="F276" t="s">
        <v>33</v>
      </c>
      <c r="G276" t="str">
        <f>"2026-05-07 16:23:20.163"</f>
        <v>2026-05-07 16:23:20.163</v>
      </c>
      <c r="H276" t="s">
        <v>22</v>
      </c>
      <c r="I276">
        <v>0</v>
      </c>
      <c r="J276" t="s">
        <v>34</v>
      </c>
    </row>
    <row r="277" spans="1:10" x14ac:dyDescent="0.25">
      <c r="A277" s="1">
        <v>68</v>
      </c>
      <c r="B277" t="s">
        <v>35</v>
      </c>
      <c r="C277">
        <v>630</v>
      </c>
      <c r="D277">
        <v>5</v>
      </c>
      <c r="E277" t="s">
        <v>29</v>
      </c>
      <c r="F277" t="s">
        <v>30</v>
      </c>
      <c r="G277" t="str">
        <f>"2026-05-07 16:19:40.695"</f>
        <v>2026-05-07 16:19:40.695</v>
      </c>
      <c r="H277" t="s">
        <v>31</v>
      </c>
      <c r="I277">
        <v>0</v>
      </c>
      <c r="J277" t="s">
        <v>34</v>
      </c>
    </row>
    <row r="278" spans="1:10" x14ac:dyDescent="0.25">
      <c r="A278" s="1">
        <v>69</v>
      </c>
      <c r="B278" t="s">
        <v>37</v>
      </c>
      <c r="C278">
        <v>33</v>
      </c>
      <c r="D278">
        <v>1</v>
      </c>
      <c r="E278" t="s">
        <v>38</v>
      </c>
      <c r="F278" t="s">
        <v>39</v>
      </c>
      <c r="G278" t="str">
        <f>"2026-05-07 15:22:08.095"</f>
        <v>2026-05-07 15:22:08.095</v>
      </c>
      <c r="H278" t="s">
        <v>40</v>
      </c>
    </row>
    <row r="279" spans="1:10" x14ac:dyDescent="0.25">
      <c r="A279" s="1">
        <v>70</v>
      </c>
      <c r="B279" t="s">
        <v>35</v>
      </c>
      <c r="C279">
        <v>33</v>
      </c>
      <c r="D279">
        <v>1</v>
      </c>
      <c r="E279" t="s">
        <v>38</v>
      </c>
      <c r="F279" t="s">
        <v>39</v>
      </c>
      <c r="G279" t="str">
        <f>"2026-05-07 15:21:42.153"</f>
        <v>2026-05-07 15:21:42.153</v>
      </c>
      <c r="H279" t="s">
        <v>40</v>
      </c>
      <c r="I279">
        <v>8.2799999999999994</v>
      </c>
      <c r="J279" t="s">
        <v>36</v>
      </c>
    </row>
    <row r="280" spans="1:10" x14ac:dyDescent="0.25">
      <c r="A280" s="1">
        <v>71</v>
      </c>
      <c r="B280" t="s">
        <v>19</v>
      </c>
      <c r="C280">
        <v>635</v>
      </c>
      <c r="D280">
        <v>1</v>
      </c>
      <c r="E280" t="s">
        <v>20</v>
      </c>
      <c r="F280" t="s">
        <v>21</v>
      </c>
      <c r="G280" t="str">
        <f>"2026-05-07 11:58:30.994"</f>
        <v>2026-05-07 11:58:30.994</v>
      </c>
      <c r="H280" t="s">
        <v>22</v>
      </c>
    </row>
    <row r="281" spans="1:10" x14ac:dyDescent="0.25">
      <c r="A281" s="1">
        <v>72</v>
      </c>
      <c r="B281" t="s">
        <v>23</v>
      </c>
      <c r="C281">
        <v>635</v>
      </c>
      <c r="D281">
        <v>1</v>
      </c>
      <c r="E281" t="s">
        <v>20</v>
      </c>
      <c r="F281" t="s">
        <v>21</v>
      </c>
      <c r="G281" t="str">
        <f>"2026-05-07 11:52:53.994"</f>
        <v>2026-05-07 11:52:53.994</v>
      </c>
      <c r="H281" t="s">
        <v>22</v>
      </c>
      <c r="I281">
        <v>6.63</v>
      </c>
      <c r="J281" t="s">
        <v>36</v>
      </c>
    </row>
    <row r="282" spans="1:10" x14ac:dyDescent="0.25">
      <c r="A282" s="1">
        <v>73</v>
      </c>
      <c r="B282" t="s">
        <v>19</v>
      </c>
      <c r="C282">
        <v>630</v>
      </c>
      <c r="D282">
        <v>5</v>
      </c>
      <c r="E282" t="s">
        <v>29</v>
      </c>
      <c r="F282" t="s">
        <v>30</v>
      </c>
      <c r="G282" t="str">
        <f>"2026-05-07 08:40:28.895"</f>
        <v>2026-05-07 08:40:28.895</v>
      </c>
      <c r="H282" t="s">
        <v>31</v>
      </c>
    </row>
    <row r="283" spans="1:10" x14ac:dyDescent="0.25">
      <c r="A283" s="1">
        <v>74</v>
      </c>
      <c r="B283" t="s">
        <v>26</v>
      </c>
      <c r="C283">
        <v>706</v>
      </c>
      <c r="D283">
        <v>2</v>
      </c>
      <c r="E283" t="s">
        <v>32</v>
      </c>
      <c r="F283" t="s">
        <v>33</v>
      </c>
      <c r="G283" t="str">
        <f>"2026-05-07 08:39:58.764"</f>
        <v>2026-05-07 08:39:58.764</v>
      </c>
      <c r="H283" t="s">
        <v>22</v>
      </c>
      <c r="I283">
        <v>0</v>
      </c>
      <c r="J283" t="s">
        <v>34</v>
      </c>
    </row>
    <row r="284" spans="1:10" x14ac:dyDescent="0.25">
      <c r="A284" s="1">
        <v>75</v>
      </c>
      <c r="B284" t="s">
        <v>35</v>
      </c>
      <c r="C284">
        <v>630</v>
      </c>
      <c r="D284">
        <v>5</v>
      </c>
      <c r="E284" t="s">
        <v>29</v>
      </c>
      <c r="F284" t="s">
        <v>30</v>
      </c>
      <c r="G284" t="str">
        <f>"2026-05-07 08:34:09.495"</f>
        <v>2026-05-07 08:34:09.495</v>
      </c>
      <c r="H284" t="s">
        <v>31</v>
      </c>
      <c r="I284">
        <v>0</v>
      </c>
      <c r="J284" t="s">
        <v>34</v>
      </c>
    </row>
    <row r="285" spans="1:10" x14ac:dyDescent="0.25">
      <c r="A285" s="1">
        <v>76</v>
      </c>
      <c r="B285" t="s">
        <v>19</v>
      </c>
      <c r="C285">
        <v>635</v>
      </c>
      <c r="D285">
        <v>1</v>
      </c>
      <c r="E285" t="s">
        <v>20</v>
      </c>
      <c r="F285" t="s">
        <v>21</v>
      </c>
      <c r="G285" t="str">
        <f>"2026-05-07 07:29:38.494"</f>
        <v>2026-05-07 07:29:38.494</v>
      </c>
      <c r="H285" t="s">
        <v>22</v>
      </c>
    </row>
    <row r="286" spans="1:10" x14ac:dyDescent="0.25">
      <c r="A286" s="1">
        <v>77</v>
      </c>
      <c r="B286" t="s">
        <v>23</v>
      </c>
      <c r="C286">
        <v>635</v>
      </c>
      <c r="D286">
        <v>1</v>
      </c>
      <c r="E286" t="s">
        <v>20</v>
      </c>
      <c r="F286" t="s">
        <v>21</v>
      </c>
      <c r="G286" t="str">
        <f>"2026-05-07 07:26:35.994"</f>
        <v>2026-05-07 07:26:35.994</v>
      </c>
      <c r="H286" t="s">
        <v>22</v>
      </c>
      <c r="I286">
        <v>0.21</v>
      </c>
      <c r="J286" t="s">
        <v>25</v>
      </c>
    </row>
    <row r="287" spans="1:10" x14ac:dyDescent="0.25">
      <c r="A287" s="1">
        <v>78</v>
      </c>
      <c r="B287" t="s">
        <v>19</v>
      </c>
      <c r="C287">
        <v>635</v>
      </c>
      <c r="D287">
        <v>1</v>
      </c>
      <c r="E287" t="s">
        <v>20</v>
      </c>
      <c r="F287" t="s">
        <v>21</v>
      </c>
      <c r="G287" t="str">
        <f>"2026-05-06 17:48:57.394"</f>
        <v>2026-05-06 17:48:57.394</v>
      </c>
      <c r="H287" t="s">
        <v>22</v>
      </c>
    </row>
    <row r="288" spans="1:10" x14ac:dyDescent="0.25">
      <c r="A288" s="1">
        <v>79</v>
      </c>
      <c r="B288" t="s">
        <v>23</v>
      </c>
      <c r="C288">
        <v>635</v>
      </c>
      <c r="D288">
        <v>1</v>
      </c>
      <c r="E288" t="s">
        <v>20</v>
      </c>
      <c r="F288" t="s">
        <v>21</v>
      </c>
      <c r="G288" t="str">
        <f>"2026-05-06 17:44:50.894"</f>
        <v>2026-05-06 17:44:50.894</v>
      </c>
      <c r="H288" t="s">
        <v>22</v>
      </c>
      <c r="I288">
        <v>7.68</v>
      </c>
      <c r="J288" t="s">
        <v>36</v>
      </c>
    </row>
    <row r="289" spans="1:10" x14ac:dyDescent="0.25">
      <c r="A289" s="1">
        <v>80</v>
      </c>
      <c r="B289" t="s">
        <v>19</v>
      </c>
      <c r="C289">
        <v>635</v>
      </c>
      <c r="D289">
        <v>1</v>
      </c>
      <c r="E289" t="s">
        <v>20</v>
      </c>
      <c r="F289" t="s">
        <v>21</v>
      </c>
      <c r="G289" t="str">
        <f>"2026-05-06 15:43:26.694"</f>
        <v>2026-05-06 15:43:26.694</v>
      </c>
      <c r="H289" t="s">
        <v>22</v>
      </c>
    </row>
    <row r="290" spans="1:10" x14ac:dyDescent="0.25">
      <c r="A290" s="1">
        <v>81</v>
      </c>
      <c r="B290" t="s">
        <v>23</v>
      </c>
      <c r="C290">
        <v>635</v>
      </c>
      <c r="D290">
        <v>1</v>
      </c>
      <c r="E290" t="s">
        <v>20</v>
      </c>
      <c r="F290" t="s">
        <v>21</v>
      </c>
      <c r="G290" t="str">
        <f>"2026-05-06 15:39:34.194"</f>
        <v>2026-05-06 15:39:34.194</v>
      </c>
      <c r="H290" t="s">
        <v>22</v>
      </c>
      <c r="I290">
        <v>0.05</v>
      </c>
      <c r="J290" t="s">
        <v>25</v>
      </c>
    </row>
    <row r="291" spans="1:10" x14ac:dyDescent="0.25">
      <c r="A291" s="1">
        <v>82</v>
      </c>
      <c r="B291" t="s">
        <v>19</v>
      </c>
      <c r="C291">
        <v>630</v>
      </c>
      <c r="D291">
        <v>5</v>
      </c>
      <c r="E291" t="s">
        <v>29</v>
      </c>
      <c r="F291" t="s">
        <v>30</v>
      </c>
      <c r="G291" t="str">
        <f>"2026-05-06 13:42:31.995"</f>
        <v>2026-05-06 13:42:31.995</v>
      </c>
      <c r="H291" t="s">
        <v>31</v>
      </c>
    </row>
    <row r="292" spans="1:10" x14ac:dyDescent="0.25">
      <c r="A292" s="1">
        <v>83</v>
      </c>
      <c r="B292" t="s">
        <v>26</v>
      </c>
      <c r="C292">
        <v>706</v>
      </c>
      <c r="D292">
        <v>4</v>
      </c>
      <c r="E292" t="s">
        <v>32</v>
      </c>
      <c r="F292" t="s">
        <v>41</v>
      </c>
      <c r="G292" t="str">
        <f>"2026-05-06 13:42:01.984"</f>
        <v>2026-05-06 13:42:01.984</v>
      </c>
      <c r="H292" t="s">
        <v>22</v>
      </c>
      <c r="I292">
        <v>0</v>
      </c>
      <c r="J292" t="s">
        <v>34</v>
      </c>
    </row>
    <row r="293" spans="1:10" x14ac:dyDescent="0.25">
      <c r="A293" s="1">
        <v>84</v>
      </c>
      <c r="B293" t="s">
        <v>35</v>
      </c>
      <c r="C293">
        <v>630</v>
      </c>
      <c r="D293">
        <v>5</v>
      </c>
      <c r="E293" t="s">
        <v>29</v>
      </c>
      <c r="F293" t="s">
        <v>30</v>
      </c>
      <c r="G293" t="str">
        <f>"2026-05-06 12:22:34.695"</f>
        <v>2026-05-06 12:22:34.695</v>
      </c>
      <c r="H293" t="s">
        <v>31</v>
      </c>
      <c r="I293">
        <v>0</v>
      </c>
      <c r="J293" t="s">
        <v>34</v>
      </c>
    </row>
    <row r="294" spans="1:10" x14ac:dyDescent="0.25">
      <c r="A294" s="1">
        <v>85</v>
      </c>
      <c r="B294" t="s">
        <v>19</v>
      </c>
      <c r="C294">
        <v>630</v>
      </c>
      <c r="D294">
        <v>5</v>
      </c>
      <c r="E294" t="s">
        <v>29</v>
      </c>
      <c r="F294" t="s">
        <v>30</v>
      </c>
      <c r="G294" t="str">
        <f>"2026-05-05 17:12:46.195"</f>
        <v>2026-05-05 17:12:46.195</v>
      </c>
      <c r="H294" t="s">
        <v>31</v>
      </c>
    </row>
    <row r="295" spans="1:10" x14ac:dyDescent="0.25">
      <c r="A295" s="1">
        <v>86</v>
      </c>
      <c r="B295" t="s">
        <v>26</v>
      </c>
      <c r="C295">
        <v>706</v>
      </c>
      <c r="D295">
        <v>2</v>
      </c>
      <c r="E295" t="s">
        <v>32</v>
      </c>
      <c r="F295" t="s">
        <v>33</v>
      </c>
      <c r="G295" t="str">
        <f>"2026-05-05 17:12:16.064"</f>
        <v>2026-05-05 17:12:16.064</v>
      </c>
      <c r="H295" t="s">
        <v>22</v>
      </c>
      <c r="I295">
        <v>0</v>
      </c>
      <c r="J295" t="s">
        <v>34</v>
      </c>
    </row>
    <row r="296" spans="1:10" x14ac:dyDescent="0.25">
      <c r="A296" s="1">
        <v>87</v>
      </c>
      <c r="B296" t="s">
        <v>35</v>
      </c>
      <c r="C296">
        <v>630</v>
      </c>
      <c r="D296">
        <v>5</v>
      </c>
      <c r="E296" t="s">
        <v>29</v>
      </c>
      <c r="F296" t="s">
        <v>30</v>
      </c>
      <c r="G296" t="str">
        <f>"2026-05-05 17:05:41.195"</f>
        <v>2026-05-05 17:05:41.195</v>
      </c>
      <c r="H296" t="s">
        <v>31</v>
      </c>
      <c r="I296">
        <v>0</v>
      </c>
      <c r="J296" t="s">
        <v>34</v>
      </c>
    </row>
    <row r="297" spans="1:10" x14ac:dyDescent="0.25">
      <c r="A297" s="1">
        <v>88</v>
      </c>
      <c r="B297" t="s">
        <v>19</v>
      </c>
      <c r="C297">
        <v>630</v>
      </c>
      <c r="D297">
        <v>5</v>
      </c>
      <c r="E297" t="s">
        <v>29</v>
      </c>
      <c r="F297" t="s">
        <v>30</v>
      </c>
      <c r="G297" t="str">
        <f>"2026-05-05 13:45:49.795"</f>
        <v>2026-05-05 13:45:49.795</v>
      </c>
      <c r="H297" t="s">
        <v>31</v>
      </c>
    </row>
    <row r="298" spans="1:10" x14ac:dyDescent="0.25">
      <c r="A298" s="1">
        <v>89</v>
      </c>
      <c r="B298" t="s">
        <v>26</v>
      </c>
      <c r="C298">
        <v>706</v>
      </c>
      <c r="D298">
        <v>2</v>
      </c>
      <c r="E298" t="s">
        <v>32</v>
      </c>
      <c r="F298" t="s">
        <v>33</v>
      </c>
      <c r="G298" t="str">
        <f>"2026-05-05 13:45:19.664"</f>
        <v>2026-05-05 13:45:19.664</v>
      </c>
      <c r="H298" t="s">
        <v>22</v>
      </c>
      <c r="I298">
        <v>0</v>
      </c>
      <c r="J298" t="s">
        <v>34</v>
      </c>
    </row>
    <row r="299" spans="1:10" x14ac:dyDescent="0.25">
      <c r="A299" s="1">
        <v>90</v>
      </c>
      <c r="B299" t="s">
        <v>35</v>
      </c>
      <c r="C299">
        <v>630</v>
      </c>
      <c r="D299">
        <v>5</v>
      </c>
      <c r="E299" t="s">
        <v>29</v>
      </c>
      <c r="F299" t="s">
        <v>30</v>
      </c>
      <c r="G299" t="str">
        <f>"2026-05-05 13:34:11.895"</f>
        <v>2026-05-05 13:34:11.895</v>
      </c>
      <c r="H299" t="s">
        <v>31</v>
      </c>
      <c r="I299">
        <v>0</v>
      </c>
      <c r="J299" t="s">
        <v>34</v>
      </c>
    </row>
    <row r="300" spans="1:10" x14ac:dyDescent="0.25">
      <c r="A300" s="1">
        <v>91</v>
      </c>
      <c r="B300" t="s">
        <v>19</v>
      </c>
      <c r="C300">
        <v>630</v>
      </c>
      <c r="D300">
        <v>5</v>
      </c>
      <c r="E300" t="s">
        <v>29</v>
      </c>
      <c r="F300" t="s">
        <v>30</v>
      </c>
      <c r="G300" t="str">
        <f>"2026-05-04 18:08:12.995"</f>
        <v>2026-05-04 18:08:12.995</v>
      </c>
      <c r="H300" t="s">
        <v>31</v>
      </c>
    </row>
    <row r="301" spans="1:10" x14ac:dyDescent="0.25">
      <c r="A301" s="1">
        <v>92</v>
      </c>
      <c r="B301" t="s">
        <v>26</v>
      </c>
      <c r="C301">
        <v>706</v>
      </c>
      <c r="D301">
        <v>4</v>
      </c>
      <c r="E301" t="s">
        <v>32</v>
      </c>
      <c r="F301" t="s">
        <v>41</v>
      </c>
      <c r="G301" t="str">
        <f>"2026-05-04 18:07:42.924"</f>
        <v>2026-05-04 18:07:42.924</v>
      </c>
      <c r="H301" t="s">
        <v>22</v>
      </c>
      <c r="I301">
        <v>0</v>
      </c>
      <c r="J301" t="s">
        <v>34</v>
      </c>
    </row>
    <row r="302" spans="1:10" x14ac:dyDescent="0.25">
      <c r="A302" s="1">
        <v>93</v>
      </c>
      <c r="B302" t="s">
        <v>35</v>
      </c>
      <c r="C302">
        <v>630</v>
      </c>
      <c r="D302">
        <v>5</v>
      </c>
      <c r="E302" t="s">
        <v>29</v>
      </c>
      <c r="F302" t="s">
        <v>30</v>
      </c>
      <c r="G302" t="str">
        <f>"2026-05-04 18:02:28.895"</f>
        <v>2026-05-04 18:02:28.895</v>
      </c>
      <c r="H302" t="s">
        <v>31</v>
      </c>
      <c r="I302">
        <v>0</v>
      </c>
      <c r="J302" t="s">
        <v>34</v>
      </c>
    </row>
    <row r="303" spans="1:10" x14ac:dyDescent="0.25">
      <c r="A303" s="1">
        <v>94</v>
      </c>
      <c r="B303" t="s">
        <v>19</v>
      </c>
      <c r="C303">
        <v>630</v>
      </c>
      <c r="D303">
        <v>5</v>
      </c>
      <c r="E303" t="s">
        <v>29</v>
      </c>
      <c r="F303" t="s">
        <v>30</v>
      </c>
      <c r="G303" t="str">
        <f>"2026-05-04 14:18:42.795"</f>
        <v>2026-05-04 14:18:42.795</v>
      </c>
      <c r="H303" t="s">
        <v>31</v>
      </c>
    </row>
    <row r="304" spans="1:10" x14ac:dyDescent="0.25">
      <c r="A304" s="1">
        <v>95</v>
      </c>
      <c r="B304" t="s">
        <v>26</v>
      </c>
      <c r="C304">
        <v>706</v>
      </c>
      <c r="D304">
        <v>4</v>
      </c>
      <c r="E304" t="s">
        <v>32</v>
      </c>
      <c r="F304" t="s">
        <v>41</v>
      </c>
      <c r="G304" t="str">
        <f>"2026-05-04 14:18:12.754"</f>
        <v>2026-05-04 14:18:12.754</v>
      </c>
      <c r="H304" t="s">
        <v>22</v>
      </c>
      <c r="I304">
        <v>0</v>
      </c>
      <c r="J304" t="s">
        <v>34</v>
      </c>
    </row>
    <row r="305" spans="1:10" x14ac:dyDescent="0.25">
      <c r="A305" s="1">
        <v>96</v>
      </c>
      <c r="B305" t="s">
        <v>35</v>
      </c>
      <c r="C305">
        <v>630</v>
      </c>
      <c r="D305">
        <v>5</v>
      </c>
      <c r="E305" t="s">
        <v>29</v>
      </c>
      <c r="F305" t="s">
        <v>30</v>
      </c>
      <c r="G305" t="str">
        <f>"2026-05-04 13:50:57.695"</f>
        <v>2026-05-04 13:50:57.695</v>
      </c>
      <c r="H305" t="s">
        <v>31</v>
      </c>
      <c r="I305">
        <v>0</v>
      </c>
      <c r="J305" t="s">
        <v>34</v>
      </c>
    </row>
    <row r="306" spans="1:10" x14ac:dyDescent="0.25">
      <c r="A306" s="1">
        <v>97</v>
      </c>
      <c r="B306" t="s">
        <v>19</v>
      </c>
      <c r="C306">
        <v>630</v>
      </c>
      <c r="D306">
        <v>5</v>
      </c>
      <c r="E306" t="s">
        <v>29</v>
      </c>
      <c r="F306" t="s">
        <v>30</v>
      </c>
      <c r="G306" t="str">
        <f>"2026-05-04 10:04:21.795"</f>
        <v>2026-05-04 10:04:21.795</v>
      </c>
      <c r="H306" t="s">
        <v>31</v>
      </c>
    </row>
    <row r="307" spans="1:10" x14ac:dyDescent="0.25">
      <c r="A307" s="1">
        <v>98</v>
      </c>
      <c r="B307" t="s">
        <v>26</v>
      </c>
      <c r="C307">
        <v>706</v>
      </c>
      <c r="D307">
        <v>2</v>
      </c>
      <c r="E307" t="s">
        <v>32</v>
      </c>
      <c r="F307" t="s">
        <v>33</v>
      </c>
      <c r="G307" t="str">
        <f>"2026-05-04 10:03:51.664"</f>
        <v>2026-05-04 10:03:51.664</v>
      </c>
      <c r="H307" t="s">
        <v>22</v>
      </c>
      <c r="I307">
        <v>0</v>
      </c>
      <c r="J307" t="s">
        <v>34</v>
      </c>
    </row>
    <row r="308" spans="1:10" x14ac:dyDescent="0.25">
      <c r="A308" s="1">
        <v>99</v>
      </c>
      <c r="B308" t="s">
        <v>35</v>
      </c>
      <c r="C308">
        <v>630</v>
      </c>
      <c r="D308">
        <v>5</v>
      </c>
      <c r="E308" t="s">
        <v>29</v>
      </c>
      <c r="F308" t="s">
        <v>30</v>
      </c>
      <c r="G308" t="str">
        <f>"2026-05-04 09:58:41.495"</f>
        <v>2026-05-04 09:58:41.495</v>
      </c>
      <c r="H308" t="s">
        <v>31</v>
      </c>
      <c r="I308">
        <v>0</v>
      </c>
      <c r="J308" t="s">
        <v>34</v>
      </c>
    </row>
    <row r="309" spans="1:10" x14ac:dyDescent="0.25">
      <c r="A309" s="1">
        <v>0</v>
      </c>
      <c r="B309" t="s">
        <v>19</v>
      </c>
      <c r="C309">
        <v>630</v>
      </c>
      <c r="D309">
        <v>5</v>
      </c>
      <c r="E309" t="s">
        <v>29</v>
      </c>
      <c r="F309" t="s">
        <v>30</v>
      </c>
      <c r="G309" t="str">
        <f>"2026-05-03 14:25:22.195"</f>
        <v>2026-05-03 14:25:22.195</v>
      </c>
      <c r="H309" t="s">
        <v>31</v>
      </c>
    </row>
    <row r="310" spans="1:10" x14ac:dyDescent="0.25">
      <c r="A310" s="1">
        <v>1</v>
      </c>
      <c r="B310" t="s">
        <v>26</v>
      </c>
      <c r="C310">
        <v>706</v>
      </c>
      <c r="D310">
        <v>2</v>
      </c>
      <c r="E310" t="s">
        <v>32</v>
      </c>
      <c r="F310" t="s">
        <v>33</v>
      </c>
      <c r="G310" t="str">
        <f>"2026-05-03 14:24:52.064"</f>
        <v>2026-05-03 14:24:52.064</v>
      </c>
      <c r="H310" t="s">
        <v>22</v>
      </c>
      <c r="I310">
        <v>0</v>
      </c>
      <c r="J310" t="s">
        <v>34</v>
      </c>
    </row>
    <row r="311" spans="1:10" x14ac:dyDescent="0.25">
      <c r="A311" s="1">
        <v>2</v>
      </c>
      <c r="B311" t="s">
        <v>35</v>
      </c>
      <c r="C311">
        <v>630</v>
      </c>
      <c r="D311">
        <v>5</v>
      </c>
      <c r="E311" t="s">
        <v>29</v>
      </c>
      <c r="F311" t="s">
        <v>30</v>
      </c>
      <c r="G311" t="str">
        <f>"2026-05-03 12:39:58.695"</f>
        <v>2026-05-03 12:39:58.695</v>
      </c>
      <c r="H311" t="s">
        <v>31</v>
      </c>
      <c r="I311">
        <v>0</v>
      </c>
      <c r="J311" t="s">
        <v>34</v>
      </c>
    </row>
    <row r="312" spans="1:10" x14ac:dyDescent="0.25">
      <c r="A312" s="1">
        <v>3</v>
      </c>
      <c r="B312" t="s">
        <v>19</v>
      </c>
      <c r="C312">
        <v>635</v>
      </c>
      <c r="D312">
        <v>1</v>
      </c>
      <c r="E312" t="s">
        <v>20</v>
      </c>
      <c r="F312" t="s">
        <v>21</v>
      </c>
      <c r="G312" t="str">
        <f>"2026-05-03 05:45:56.594"</f>
        <v>2026-05-03 05:45:56.594</v>
      </c>
      <c r="H312" t="s">
        <v>22</v>
      </c>
    </row>
    <row r="313" spans="1:10" x14ac:dyDescent="0.25">
      <c r="A313" s="1">
        <v>4</v>
      </c>
      <c r="B313" t="s">
        <v>23</v>
      </c>
      <c r="C313">
        <v>635</v>
      </c>
      <c r="D313">
        <v>1</v>
      </c>
      <c r="E313" t="s">
        <v>20</v>
      </c>
      <c r="F313" t="s">
        <v>21</v>
      </c>
      <c r="G313" t="str">
        <f>"2026-05-03 05:37:15.694"</f>
        <v>2026-05-03 05:37:15.694</v>
      </c>
      <c r="H313" t="s">
        <v>22</v>
      </c>
      <c r="I313">
        <v>0</v>
      </c>
      <c r="J313" t="s">
        <v>25</v>
      </c>
    </row>
    <row r="314" spans="1:10" x14ac:dyDescent="0.25">
      <c r="A314" s="1">
        <v>5</v>
      </c>
      <c r="B314" t="s">
        <v>19</v>
      </c>
      <c r="C314">
        <v>630</v>
      </c>
      <c r="D314">
        <v>5</v>
      </c>
      <c r="E314" t="s">
        <v>29</v>
      </c>
      <c r="F314" t="s">
        <v>30</v>
      </c>
      <c r="G314" t="str">
        <f>"2026-05-02 16:21:53.595"</f>
        <v>2026-05-02 16:21:53.595</v>
      </c>
      <c r="H314" t="s">
        <v>31</v>
      </c>
    </row>
    <row r="315" spans="1:10" x14ac:dyDescent="0.25">
      <c r="A315" s="1">
        <v>6</v>
      </c>
      <c r="B315" t="s">
        <v>26</v>
      </c>
      <c r="C315">
        <v>706</v>
      </c>
      <c r="D315">
        <v>2</v>
      </c>
      <c r="E315" t="s">
        <v>32</v>
      </c>
      <c r="F315" t="s">
        <v>33</v>
      </c>
      <c r="G315" t="str">
        <f>"2026-05-02 16:21:23.464"</f>
        <v>2026-05-02 16:21:23.464</v>
      </c>
      <c r="H315" t="s">
        <v>22</v>
      </c>
      <c r="I315">
        <v>0</v>
      </c>
      <c r="J315" t="s">
        <v>34</v>
      </c>
    </row>
    <row r="316" spans="1:10" x14ac:dyDescent="0.25">
      <c r="A316" s="1">
        <v>7</v>
      </c>
      <c r="B316" t="s">
        <v>35</v>
      </c>
      <c r="C316">
        <v>630</v>
      </c>
      <c r="D316">
        <v>5</v>
      </c>
      <c r="E316" t="s">
        <v>29</v>
      </c>
      <c r="F316" t="s">
        <v>30</v>
      </c>
      <c r="G316" t="str">
        <f>"2026-05-02 16:19:27.495"</f>
        <v>2026-05-02 16:19:27.495</v>
      </c>
      <c r="H316" t="s">
        <v>31</v>
      </c>
      <c r="I316">
        <v>0</v>
      </c>
      <c r="J316" t="s">
        <v>34</v>
      </c>
    </row>
    <row r="317" spans="1:10" x14ac:dyDescent="0.25">
      <c r="A317" s="1">
        <v>8</v>
      </c>
      <c r="B317" t="s">
        <v>19</v>
      </c>
      <c r="C317">
        <v>630</v>
      </c>
      <c r="D317">
        <v>5</v>
      </c>
      <c r="E317" t="s">
        <v>29</v>
      </c>
      <c r="F317" t="s">
        <v>30</v>
      </c>
      <c r="G317" t="str">
        <f>"2026-05-02 14:04:56.695"</f>
        <v>2026-05-02 14:04:56.695</v>
      </c>
      <c r="H317" t="s">
        <v>31</v>
      </c>
    </row>
    <row r="318" spans="1:10" x14ac:dyDescent="0.25">
      <c r="A318" s="1">
        <v>9</v>
      </c>
      <c r="B318" t="s">
        <v>26</v>
      </c>
      <c r="C318">
        <v>706</v>
      </c>
      <c r="D318">
        <v>4</v>
      </c>
      <c r="E318" t="s">
        <v>32</v>
      </c>
      <c r="F318" t="s">
        <v>41</v>
      </c>
      <c r="G318" t="str">
        <f>"2026-05-02 14:04:26.644"</f>
        <v>2026-05-02 14:04:26.644</v>
      </c>
      <c r="H318" t="s">
        <v>22</v>
      </c>
      <c r="I318">
        <v>0</v>
      </c>
      <c r="J318" t="s">
        <v>34</v>
      </c>
    </row>
    <row r="319" spans="1:10" x14ac:dyDescent="0.25">
      <c r="A319" s="1">
        <v>10</v>
      </c>
      <c r="B319" t="s">
        <v>35</v>
      </c>
      <c r="C319">
        <v>630</v>
      </c>
      <c r="D319">
        <v>5</v>
      </c>
      <c r="E319" t="s">
        <v>29</v>
      </c>
      <c r="F319" t="s">
        <v>30</v>
      </c>
      <c r="G319" t="str">
        <f>"2026-05-02 13:33:56.595"</f>
        <v>2026-05-02 13:33:56.595</v>
      </c>
      <c r="H319" t="s">
        <v>31</v>
      </c>
      <c r="I319">
        <v>0</v>
      </c>
      <c r="J319" t="s">
        <v>34</v>
      </c>
    </row>
    <row r="320" spans="1:10" x14ac:dyDescent="0.25">
      <c r="A320" s="1">
        <v>11</v>
      </c>
      <c r="B320" t="s">
        <v>19</v>
      </c>
      <c r="C320">
        <v>630</v>
      </c>
      <c r="D320">
        <v>5</v>
      </c>
      <c r="E320" t="s">
        <v>29</v>
      </c>
      <c r="F320" t="s">
        <v>30</v>
      </c>
      <c r="G320" t="str">
        <f>"2026-05-02 11:48:56.095"</f>
        <v>2026-05-02 11:48:56.095</v>
      </c>
      <c r="H320" t="s">
        <v>31</v>
      </c>
    </row>
    <row r="321" spans="1:10" x14ac:dyDescent="0.25">
      <c r="A321" s="1">
        <v>12</v>
      </c>
      <c r="B321" t="s">
        <v>26</v>
      </c>
      <c r="C321">
        <v>706</v>
      </c>
      <c r="D321">
        <v>2</v>
      </c>
      <c r="E321" t="s">
        <v>32</v>
      </c>
      <c r="F321" t="s">
        <v>33</v>
      </c>
      <c r="G321" t="str">
        <f>"2026-05-02 11:48:25.964"</f>
        <v>2026-05-02 11:48:25.964</v>
      </c>
      <c r="H321" t="s">
        <v>22</v>
      </c>
      <c r="I321">
        <v>0</v>
      </c>
      <c r="J321" t="s">
        <v>34</v>
      </c>
    </row>
    <row r="322" spans="1:10" x14ac:dyDescent="0.25">
      <c r="A322" s="1">
        <v>13</v>
      </c>
      <c r="B322" t="s">
        <v>35</v>
      </c>
      <c r="C322">
        <v>630</v>
      </c>
      <c r="D322">
        <v>5</v>
      </c>
      <c r="E322" t="s">
        <v>29</v>
      </c>
      <c r="F322" t="s">
        <v>30</v>
      </c>
      <c r="G322" t="str">
        <f>"2026-05-02 11:45:54.495"</f>
        <v>2026-05-02 11:45:54.495</v>
      </c>
      <c r="H322" t="s">
        <v>31</v>
      </c>
      <c r="I322">
        <v>0</v>
      </c>
      <c r="J322" t="s">
        <v>34</v>
      </c>
    </row>
    <row r="323" spans="1:10" x14ac:dyDescent="0.25">
      <c r="A323" s="1">
        <v>14</v>
      </c>
      <c r="B323" t="s">
        <v>26</v>
      </c>
      <c r="C323">
        <v>700</v>
      </c>
      <c r="D323">
        <v>0</v>
      </c>
      <c r="E323" t="s">
        <v>27</v>
      </c>
      <c r="F323" t="s">
        <v>27</v>
      </c>
      <c r="G323" t="str">
        <f>"2026-05-01 14:00:11.334"</f>
        <v>2026-05-01 14:00:11.334</v>
      </c>
      <c r="H323" t="s">
        <v>22</v>
      </c>
    </row>
    <row r="324" spans="1:10" x14ac:dyDescent="0.25">
      <c r="A324" s="1">
        <v>15</v>
      </c>
      <c r="B324" t="s">
        <v>26</v>
      </c>
      <c r="C324">
        <v>700</v>
      </c>
      <c r="D324">
        <v>0</v>
      </c>
      <c r="E324" t="s">
        <v>27</v>
      </c>
      <c r="F324" t="s">
        <v>27</v>
      </c>
      <c r="G324" t="str">
        <f>"2026-04-30 14:24:39.347"</f>
        <v>2026-04-30 14:24:39.347</v>
      </c>
      <c r="H324" t="s">
        <v>22</v>
      </c>
      <c r="I324">
        <v>0</v>
      </c>
      <c r="J324" t="s">
        <v>28</v>
      </c>
    </row>
    <row r="325" spans="1:10" x14ac:dyDescent="0.25">
      <c r="A325" s="1">
        <v>16</v>
      </c>
      <c r="B325" t="s">
        <v>26</v>
      </c>
      <c r="C325">
        <v>700</v>
      </c>
      <c r="D325">
        <v>0</v>
      </c>
      <c r="E325" t="s">
        <v>27</v>
      </c>
      <c r="F325" t="s">
        <v>27</v>
      </c>
      <c r="G325" t="str">
        <f>"2026-04-30 13:12:29.491"</f>
        <v>2026-04-30 13:12:29.491</v>
      </c>
      <c r="H325" t="s">
        <v>22</v>
      </c>
    </row>
    <row r="326" spans="1:10" x14ac:dyDescent="0.25">
      <c r="A326" s="1">
        <v>17</v>
      </c>
      <c r="B326" t="s">
        <v>19</v>
      </c>
      <c r="C326">
        <v>635</v>
      </c>
      <c r="D326">
        <v>1</v>
      </c>
      <c r="E326" t="s">
        <v>20</v>
      </c>
      <c r="F326" t="s">
        <v>21</v>
      </c>
      <c r="G326" t="str">
        <f>"2026-04-30 10:39:33.708"</f>
        <v>2026-04-30 10:39:33.708</v>
      </c>
      <c r="H326" t="s">
        <v>22</v>
      </c>
    </row>
    <row r="327" spans="1:10" x14ac:dyDescent="0.25">
      <c r="A327" s="1">
        <v>18</v>
      </c>
      <c r="B327" t="s">
        <v>23</v>
      </c>
      <c r="C327">
        <v>635</v>
      </c>
      <c r="D327">
        <v>1</v>
      </c>
      <c r="E327" t="s">
        <v>20</v>
      </c>
      <c r="F327" t="s">
        <v>21</v>
      </c>
      <c r="G327" t="str">
        <f>"2026-04-30 10:36:43.208"</f>
        <v>2026-04-30 10:36:43.208</v>
      </c>
      <c r="H327" t="s">
        <v>22</v>
      </c>
      <c r="I327">
        <v>0.86</v>
      </c>
      <c r="J327" t="s">
        <v>36</v>
      </c>
    </row>
    <row r="328" spans="1:10" x14ac:dyDescent="0.25">
      <c r="A328" s="1">
        <v>19</v>
      </c>
      <c r="B328" t="s">
        <v>19</v>
      </c>
      <c r="C328">
        <v>630</v>
      </c>
      <c r="D328">
        <v>5</v>
      </c>
      <c r="E328" t="s">
        <v>29</v>
      </c>
      <c r="F328" t="s">
        <v>30</v>
      </c>
      <c r="G328" t="str">
        <f>"2026-04-30 04:19:20.009"</f>
        <v>2026-04-30 04:19:20.009</v>
      </c>
      <c r="H328" t="s">
        <v>31</v>
      </c>
    </row>
    <row r="329" spans="1:10" x14ac:dyDescent="0.25">
      <c r="A329" s="1">
        <v>20</v>
      </c>
      <c r="B329" t="s">
        <v>26</v>
      </c>
      <c r="C329">
        <v>706</v>
      </c>
      <c r="D329">
        <v>2</v>
      </c>
      <c r="E329" t="s">
        <v>32</v>
      </c>
      <c r="F329" t="s">
        <v>33</v>
      </c>
      <c r="G329" t="str">
        <f>"2026-04-30 04:18:49.985"</f>
        <v>2026-04-30 04:18:49.985</v>
      </c>
      <c r="H329" t="s">
        <v>22</v>
      </c>
      <c r="I329">
        <v>0</v>
      </c>
      <c r="J329" t="s">
        <v>34</v>
      </c>
    </row>
    <row r="330" spans="1:10" x14ac:dyDescent="0.25">
      <c r="A330" s="1">
        <v>21</v>
      </c>
      <c r="B330" t="s">
        <v>35</v>
      </c>
      <c r="C330">
        <v>630</v>
      </c>
      <c r="D330">
        <v>5</v>
      </c>
      <c r="E330" t="s">
        <v>29</v>
      </c>
      <c r="F330" t="s">
        <v>30</v>
      </c>
      <c r="G330" t="str">
        <f>"2026-04-30 04:18:01.709"</f>
        <v>2026-04-30 04:18:01.709</v>
      </c>
      <c r="H330" t="s">
        <v>31</v>
      </c>
      <c r="I330">
        <v>0</v>
      </c>
      <c r="J330" t="s">
        <v>34</v>
      </c>
    </row>
    <row r="331" spans="1:10" x14ac:dyDescent="0.25">
      <c r="A331" s="1">
        <v>22</v>
      </c>
      <c r="B331" t="s">
        <v>19</v>
      </c>
      <c r="C331">
        <v>635</v>
      </c>
      <c r="D331">
        <v>1</v>
      </c>
      <c r="E331" t="s">
        <v>20</v>
      </c>
      <c r="F331" t="s">
        <v>21</v>
      </c>
      <c r="G331" t="str">
        <f>"2026-04-29 22:39:36.508"</f>
        <v>2026-04-29 22:39:36.508</v>
      </c>
      <c r="H331" t="s">
        <v>22</v>
      </c>
    </row>
    <row r="332" spans="1:10" x14ac:dyDescent="0.25">
      <c r="A332" s="1">
        <v>23</v>
      </c>
      <c r="B332" t="s">
        <v>23</v>
      </c>
      <c r="C332">
        <v>635</v>
      </c>
      <c r="D332">
        <v>1</v>
      </c>
      <c r="E332" t="s">
        <v>20</v>
      </c>
      <c r="F332" t="s">
        <v>21</v>
      </c>
      <c r="G332" t="str">
        <f>"2026-04-29 22:35:51.008"</f>
        <v>2026-04-29 22:35:51.008</v>
      </c>
      <c r="H332" t="s">
        <v>22</v>
      </c>
      <c r="I332">
        <v>-0.47</v>
      </c>
      <c r="J332" t="s">
        <v>36</v>
      </c>
    </row>
    <row r="333" spans="1:10" x14ac:dyDescent="0.25">
      <c r="A333" s="1">
        <v>24</v>
      </c>
      <c r="B333" t="s">
        <v>19</v>
      </c>
      <c r="C333">
        <v>635</v>
      </c>
      <c r="D333">
        <v>1</v>
      </c>
      <c r="E333" t="s">
        <v>20</v>
      </c>
      <c r="F333" t="s">
        <v>21</v>
      </c>
      <c r="G333" t="str">
        <f>"2026-04-29 15:56:10.708"</f>
        <v>2026-04-29 15:56:10.708</v>
      </c>
      <c r="H333" t="s">
        <v>22</v>
      </c>
    </row>
    <row r="334" spans="1:10" x14ac:dyDescent="0.25">
      <c r="A334" s="1">
        <v>25</v>
      </c>
      <c r="B334" t="s">
        <v>23</v>
      </c>
      <c r="C334">
        <v>635</v>
      </c>
      <c r="D334">
        <v>1</v>
      </c>
      <c r="E334" t="s">
        <v>20</v>
      </c>
      <c r="F334" t="s">
        <v>21</v>
      </c>
      <c r="G334" t="str">
        <f>"2026-04-29 15:53:32.208"</f>
        <v>2026-04-29 15:53:32.208</v>
      </c>
      <c r="H334" t="s">
        <v>22</v>
      </c>
      <c r="I334">
        <v>5.49</v>
      </c>
      <c r="J334" t="s">
        <v>36</v>
      </c>
    </row>
    <row r="335" spans="1:10" x14ac:dyDescent="0.25">
      <c r="A335" s="1">
        <v>26</v>
      </c>
      <c r="B335" t="s">
        <v>26</v>
      </c>
      <c r="C335">
        <v>700</v>
      </c>
      <c r="D335">
        <v>0</v>
      </c>
      <c r="E335" t="s">
        <v>27</v>
      </c>
      <c r="F335" t="s">
        <v>27</v>
      </c>
      <c r="G335" t="str">
        <f>"2026-04-29 13:28:03.535"</f>
        <v>2026-04-29 13:28:03.535</v>
      </c>
      <c r="H335" t="s">
        <v>22</v>
      </c>
      <c r="I335">
        <v>0</v>
      </c>
      <c r="J335" t="s">
        <v>28</v>
      </c>
    </row>
    <row r="336" spans="1:10" x14ac:dyDescent="0.25">
      <c r="A336" s="1">
        <v>27</v>
      </c>
      <c r="B336" t="s">
        <v>26</v>
      </c>
      <c r="C336">
        <v>700</v>
      </c>
      <c r="D336">
        <v>0</v>
      </c>
      <c r="E336" t="s">
        <v>27</v>
      </c>
      <c r="F336" t="s">
        <v>27</v>
      </c>
      <c r="G336" t="str">
        <f>"2026-04-28 14:13:24.324"</f>
        <v>2026-04-28 14:13:24.324</v>
      </c>
      <c r="H336" t="s">
        <v>22</v>
      </c>
      <c r="I336">
        <v>0</v>
      </c>
      <c r="J336" t="s">
        <v>28</v>
      </c>
    </row>
    <row r="337" spans="1:10" x14ac:dyDescent="0.25">
      <c r="A337" s="1">
        <v>28</v>
      </c>
      <c r="B337" t="s">
        <v>26</v>
      </c>
      <c r="C337">
        <v>700</v>
      </c>
      <c r="D337">
        <v>0</v>
      </c>
      <c r="E337" t="s">
        <v>27</v>
      </c>
      <c r="F337" t="s">
        <v>27</v>
      </c>
      <c r="G337" t="str">
        <f>"2026-04-28 08:05:49.323"</f>
        <v>2026-04-28 08:05:49.323</v>
      </c>
      <c r="H337" t="s">
        <v>22</v>
      </c>
      <c r="I337">
        <v>0</v>
      </c>
      <c r="J337" t="s">
        <v>28</v>
      </c>
    </row>
    <row r="338" spans="1:10" x14ac:dyDescent="0.25">
      <c r="A338" s="1">
        <v>29</v>
      </c>
      <c r="B338" t="s">
        <v>26</v>
      </c>
      <c r="C338">
        <v>700</v>
      </c>
      <c r="D338">
        <v>0</v>
      </c>
      <c r="E338" t="s">
        <v>27</v>
      </c>
      <c r="F338" t="s">
        <v>27</v>
      </c>
      <c r="G338" t="str">
        <f>"2026-04-28 06:08:14.323"</f>
        <v>2026-04-28 06:08:14.323</v>
      </c>
      <c r="H338" t="s">
        <v>22</v>
      </c>
      <c r="I338">
        <v>0</v>
      </c>
      <c r="J338" t="s">
        <v>28</v>
      </c>
    </row>
    <row r="339" spans="1:10" x14ac:dyDescent="0.25">
      <c r="A339" s="1">
        <v>30</v>
      </c>
      <c r="B339" t="s">
        <v>19</v>
      </c>
      <c r="C339">
        <v>630</v>
      </c>
      <c r="D339">
        <v>5</v>
      </c>
      <c r="E339" t="s">
        <v>29</v>
      </c>
      <c r="F339" t="s">
        <v>30</v>
      </c>
      <c r="G339" t="str">
        <f>"2026-04-28 06:00:46.192"</f>
        <v>2026-04-28 06:00:46.192</v>
      </c>
      <c r="H339" t="s">
        <v>31</v>
      </c>
    </row>
    <row r="340" spans="1:10" x14ac:dyDescent="0.25">
      <c r="A340" s="1">
        <v>31</v>
      </c>
      <c r="B340" t="s">
        <v>26</v>
      </c>
      <c r="C340">
        <v>706</v>
      </c>
      <c r="D340">
        <v>2</v>
      </c>
      <c r="E340" t="s">
        <v>32</v>
      </c>
      <c r="F340" t="s">
        <v>33</v>
      </c>
      <c r="G340" t="str">
        <f>"2026-04-28 06:00:24.317"</f>
        <v>2026-04-28 06:00:24.317</v>
      </c>
      <c r="H340" t="s">
        <v>22</v>
      </c>
      <c r="I340">
        <v>0</v>
      </c>
      <c r="J340" t="s">
        <v>34</v>
      </c>
    </row>
    <row r="341" spans="1:10" x14ac:dyDescent="0.25">
      <c r="A341" s="1">
        <v>32</v>
      </c>
      <c r="B341" t="s">
        <v>26</v>
      </c>
      <c r="C341">
        <v>706</v>
      </c>
      <c r="D341">
        <v>2</v>
      </c>
      <c r="E341" t="s">
        <v>32</v>
      </c>
      <c r="F341" t="s">
        <v>33</v>
      </c>
      <c r="G341" t="str">
        <f>"2026-04-28 06:00:16.117"</f>
        <v>2026-04-28 06:00:16.117</v>
      </c>
      <c r="H341" t="s">
        <v>22</v>
      </c>
      <c r="I341">
        <v>0</v>
      </c>
      <c r="J341" t="s">
        <v>34</v>
      </c>
    </row>
    <row r="342" spans="1:10" x14ac:dyDescent="0.25">
      <c r="A342" s="1">
        <v>33</v>
      </c>
      <c r="B342" t="s">
        <v>35</v>
      </c>
      <c r="C342">
        <v>630</v>
      </c>
      <c r="D342">
        <v>5</v>
      </c>
      <c r="E342" t="s">
        <v>29</v>
      </c>
      <c r="F342" t="s">
        <v>30</v>
      </c>
      <c r="G342" t="str">
        <f>"2026-04-28 05:46:43.293"</f>
        <v>2026-04-28 05:46:43.293</v>
      </c>
      <c r="H342" t="s">
        <v>31</v>
      </c>
      <c r="I342">
        <v>0</v>
      </c>
      <c r="J342" t="s">
        <v>34</v>
      </c>
    </row>
    <row r="343" spans="1:10" x14ac:dyDescent="0.25">
      <c r="A343" s="1">
        <v>34</v>
      </c>
      <c r="B343" t="s">
        <v>26</v>
      </c>
      <c r="C343">
        <v>700</v>
      </c>
      <c r="D343">
        <v>0</v>
      </c>
      <c r="E343" t="s">
        <v>27</v>
      </c>
      <c r="F343" t="s">
        <v>27</v>
      </c>
      <c r="G343" t="str">
        <f>"2026-04-28 05:41:40.517"</f>
        <v>2026-04-28 05:41:40.517</v>
      </c>
      <c r="H343" t="s">
        <v>22</v>
      </c>
    </row>
    <row r="344" spans="1:10" x14ac:dyDescent="0.25">
      <c r="A344" s="1">
        <v>35</v>
      </c>
      <c r="B344" t="s">
        <v>26</v>
      </c>
      <c r="C344">
        <v>700</v>
      </c>
      <c r="D344">
        <v>0</v>
      </c>
      <c r="E344" t="s">
        <v>27</v>
      </c>
      <c r="F344" t="s">
        <v>27</v>
      </c>
      <c r="G344" t="str">
        <f>"2026-04-27 15:28:06.318"</f>
        <v>2026-04-27 15:28:06.318</v>
      </c>
      <c r="H344" t="s">
        <v>22</v>
      </c>
      <c r="I344">
        <v>0</v>
      </c>
      <c r="J344" t="s">
        <v>28</v>
      </c>
    </row>
    <row r="345" spans="1:10" x14ac:dyDescent="0.25">
      <c r="A345" s="1">
        <v>36</v>
      </c>
      <c r="B345" t="s">
        <v>26</v>
      </c>
      <c r="C345">
        <v>700</v>
      </c>
      <c r="D345">
        <v>0</v>
      </c>
      <c r="E345" t="s">
        <v>27</v>
      </c>
      <c r="F345" t="s">
        <v>27</v>
      </c>
      <c r="G345" t="str">
        <f>"2026-04-27 13:42:36.315"</f>
        <v>2026-04-27 13:42:36.315</v>
      </c>
      <c r="H345" t="s">
        <v>22</v>
      </c>
    </row>
    <row r="346" spans="1:10" x14ac:dyDescent="0.25">
      <c r="A346" s="1">
        <v>37</v>
      </c>
      <c r="B346" t="s">
        <v>26</v>
      </c>
      <c r="C346">
        <v>700</v>
      </c>
      <c r="D346">
        <v>0</v>
      </c>
      <c r="E346" t="s">
        <v>27</v>
      </c>
      <c r="F346" t="s">
        <v>27</v>
      </c>
      <c r="G346" t="str">
        <f>"2026-04-27 12:39:50.312"</f>
        <v>2026-04-27 12:39:50.312</v>
      </c>
      <c r="H346" t="s">
        <v>22</v>
      </c>
    </row>
    <row r="347" spans="1:10" x14ac:dyDescent="0.25">
      <c r="A347" s="1">
        <v>38</v>
      </c>
      <c r="B347" t="s">
        <v>35</v>
      </c>
      <c r="C347">
        <v>630</v>
      </c>
      <c r="D347">
        <v>5</v>
      </c>
      <c r="E347" t="s">
        <v>29</v>
      </c>
      <c r="F347" t="s">
        <v>30</v>
      </c>
      <c r="G347" t="str">
        <f>"2026-04-27 12:22:48.284"</f>
        <v>2026-04-27 12:22:48.284</v>
      </c>
      <c r="H347" t="s">
        <v>31</v>
      </c>
      <c r="I347">
        <v>0</v>
      </c>
      <c r="J347" t="s">
        <v>34</v>
      </c>
    </row>
    <row r="348" spans="1:10" x14ac:dyDescent="0.25">
      <c r="A348" s="1">
        <v>39</v>
      </c>
      <c r="B348" t="s">
        <v>26</v>
      </c>
      <c r="C348">
        <v>700</v>
      </c>
      <c r="D348">
        <v>0</v>
      </c>
      <c r="E348" t="s">
        <v>27</v>
      </c>
      <c r="F348" t="s">
        <v>27</v>
      </c>
      <c r="G348" t="str">
        <f>"2026-04-27 12:17:45.565"</f>
        <v>2026-04-27 12:17:45.565</v>
      </c>
      <c r="H348" t="s">
        <v>22</v>
      </c>
      <c r="I348">
        <v>0</v>
      </c>
      <c r="J348" t="s">
        <v>28</v>
      </c>
    </row>
    <row r="349" spans="1:10" x14ac:dyDescent="0.25">
      <c r="A349" s="1">
        <v>40</v>
      </c>
      <c r="B349" t="s">
        <v>26</v>
      </c>
      <c r="C349">
        <v>700</v>
      </c>
      <c r="D349">
        <v>0</v>
      </c>
      <c r="E349" t="s">
        <v>27</v>
      </c>
      <c r="F349" t="s">
        <v>27</v>
      </c>
      <c r="G349" t="str">
        <f>"2026-04-27 11:52:51.303"</f>
        <v>2026-04-27 11:52:51.303</v>
      </c>
      <c r="H349" t="s">
        <v>22</v>
      </c>
      <c r="I349">
        <v>0</v>
      </c>
      <c r="J349" t="s">
        <v>28</v>
      </c>
    </row>
    <row r="350" spans="1:10" x14ac:dyDescent="0.25">
      <c r="A350" s="1">
        <v>41</v>
      </c>
      <c r="B350" t="s">
        <v>19</v>
      </c>
      <c r="C350">
        <v>635</v>
      </c>
      <c r="D350">
        <v>1</v>
      </c>
      <c r="E350" t="s">
        <v>20</v>
      </c>
      <c r="F350" t="s">
        <v>21</v>
      </c>
      <c r="G350" t="str">
        <f>"2026-04-27 08:32:24.207"</f>
        <v>2026-04-27 08:32:24.207</v>
      </c>
      <c r="H350" t="s">
        <v>22</v>
      </c>
    </row>
    <row r="351" spans="1:10" x14ac:dyDescent="0.25">
      <c r="A351" s="1">
        <v>42</v>
      </c>
      <c r="B351" t="s">
        <v>23</v>
      </c>
      <c r="C351">
        <v>635</v>
      </c>
      <c r="D351">
        <v>1</v>
      </c>
      <c r="E351" t="s">
        <v>20</v>
      </c>
      <c r="F351" t="s">
        <v>21</v>
      </c>
      <c r="G351" t="str">
        <f>"2026-04-27 08:28:09.207"</f>
        <v>2026-04-27 08:28:09.207</v>
      </c>
      <c r="H351" t="s">
        <v>22</v>
      </c>
      <c r="I351">
        <v>2.39</v>
      </c>
      <c r="J351" t="s">
        <v>36</v>
      </c>
    </row>
    <row r="352" spans="1:10" x14ac:dyDescent="0.25">
      <c r="A352" s="1">
        <v>43</v>
      </c>
      <c r="B352" t="s">
        <v>26</v>
      </c>
      <c r="C352">
        <v>700</v>
      </c>
      <c r="D352">
        <v>0</v>
      </c>
      <c r="E352" t="s">
        <v>27</v>
      </c>
      <c r="F352" t="s">
        <v>27</v>
      </c>
      <c r="G352" t="str">
        <f>"2026-04-27 00:40:02.432"</f>
        <v>2026-04-27 00:40:02.432</v>
      </c>
      <c r="H352" t="s">
        <v>22</v>
      </c>
      <c r="I352">
        <v>0</v>
      </c>
      <c r="J352" t="s">
        <v>28</v>
      </c>
    </row>
    <row r="353" spans="1:10" x14ac:dyDescent="0.25">
      <c r="A353" s="1">
        <v>44</v>
      </c>
      <c r="B353" t="s">
        <v>19</v>
      </c>
      <c r="C353">
        <v>635</v>
      </c>
      <c r="D353">
        <v>1</v>
      </c>
      <c r="E353" t="s">
        <v>20</v>
      </c>
      <c r="F353" t="s">
        <v>21</v>
      </c>
      <c r="G353" t="str">
        <f>"2026-04-26 22:06:43.084"</f>
        <v>2026-04-26 22:06:43.084</v>
      </c>
      <c r="H353" t="s">
        <v>22</v>
      </c>
    </row>
    <row r="354" spans="1:10" x14ac:dyDescent="0.25">
      <c r="A354" s="1">
        <v>45</v>
      </c>
      <c r="B354" t="s">
        <v>23</v>
      </c>
      <c r="C354">
        <v>635</v>
      </c>
      <c r="D354">
        <v>1</v>
      </c>
      <c r="E354" t="s">
        <v>20</v>
      </c>
      <c r="F354" t="s">
        <v>21</v>
      </c>
      <c r="G354" t="str">
        <f>"2026-04-26 21:48:32.185"</f>
        <v>2026-04-26 21:48:32.185</v>
      </c>
      <c r="H354" t="s">
        <v>22</v>
      </c>
      <c r="I354">
        <v>8.84</v>
      </c>
      <c r="J354" t="s">
        <v>36</v>
      </c>
    </row>
    <row r="355" spans="1:10" x14ac:dyDescent="0.25">
      <c r="A355" s="1">
        <v>46</v>
      </c>
      <c r="B355" t="s">
        <v>26</v>
      </c>
      <c r="C355">
        <v>700</v>
      </c>
      <c r="D355">
        <v>0</v>
      </c>
      <c r="E355" t="s">
        <v>27</v>
      </c>
      <c r="F355" t="s">
        <v>27</v>
      </c>
      <c r="G355" t="str">
        <f>"2026-04-26 14:03:15.314"</f>
        <v>2026-04-26 14:03:15.314</v>
      </c>
      <c r="H355" t="s">
        <v>22</v>
      </c>
      <c r="I355">
        <v>0</v>
      </c>
      <c r="J355" t="s">
        <v>28</v>
      </c>
    </row>
    <row r="356" spans="1:10" x14ac:dyDescent="0.25">
      <c r="A356" s="1">
        <v>47</v>
      </c>
      <c r="B356" t="s">
        <v>26</v>
      </c>
      <c r="C356">
        <v>700</v>
      </c>
      <c r="D356">
        <v>0</v>
      </c>
      <c r="E356" t="s">
        <v>27</v>
      </c>
      <c r="F356" t="s">
        <v>27</v>
      </c>
      <c r="G356" t="str">
        <f>"2026-04-26 09:48:18.498"</f>
        <v>2026-04-26 09:48:18.498</v>
      </c>
      <c r="H356" t="s">
        <v>22</v>
      </c>
      <c r="I356">
        <v>0</v>
      </c>
      <c r="J356" t="s">
        <v>28</v>
      </c>
    </row>
    <row r="357" spans="1:10" x14ac:dyDescent="0.25">
      <c r="A357" s="1">
        <v>48</v>
      </c>
      <c r="B357" t="s">
        <v>26</v>
      </c>
      <c r="C357">
        <v>700</v>
      </c>
      <c r="D357">
        <v>0</v>
      </c>
      <c r="E357" t="s">
        <v>27</v>
      </c>
      <c r="F357" t="s">
        <v>27</v>
      </c>
      <c r="G357" t="str">
        <f>"2026-04-25 13:47:02.296"</f>
        <v>2026-04-25 13:47:02.296</v>
      </c>
      <c r="H357" t="s">
        <v>22</v>
      </c>
      <c r="I357">
        <v>0</v>
      </c>
      <c r="J357" t="s">
        <v>28</v>
      </c>
    </row>
    <row r="358" spans="1:10" x14ac:dyDescent="0.25">
      <c r="A358" s="1">
        <v>49</v>
      </c>
      <c r="B358" t="s">
        <v>26</v>
      </c>
      <c r="C358">
        <v>700</v>
      </c>
      <c r="D358">
        <v>0</v>
      </c>
      <c r="E358" t="s">
        <v>27</v>
      </c>
      <c r="F358" t="s">
        <v>27</v>
      </c>
      <c r="G358" t="str">
        <f>"2026-04-25 12:46:50.328"</f>
        <v>2026-04-25 12:46:50.328</v>
      </c>
      <c r="H358" t="s">
        <v>22</v>
      </c>
      <c r="I358">
        <v>0</v>
      </c>
      <c r="J358" t="s">
        <v>28</v>
      </c>
    </row>
    <row r="359" spans="1:10" x14ac:dyDescent="0.25">
      <c r="A359" s="1">
        <v>50</v>
      </c>
      <c r="B359" t="s">
        <v>19</v>
      </c>
      <c r="C359">
        <v>635</v>
      </c>
      <c r="D359">
        <v>1</v>
      </c>
      <c r="E359" t="s">
        <v>20</v>
      </c>
      <c r="F359" t="s">
        <v>21</v>
      </c>
      <c r="G359" t="str">
        <f>"2026-04-25 08:55:22.419"</f>
        <v>2026-04-25 08:55:22.419</v>
      </c>
      <c r="H359" t="s">
        <v>22</v>
      </c>
    </row>
    <row r="360" spans="1:10" x14ac:dyDescent="0.25">
      <c r="A360" s="1">
        <v>51</v>
      </c>
      <c r="B360" t="s">
        <v>23</v>
      </c>
      <c r="C360">
        <v>635</v>
      </c>
      <c r="D360">
        <v>1</v>
      </c>
      <c r="E360" t="s">
        <v>20</v>
      </c>
      <c r="F360" t="s">
        <v>21</v>
      </c>
      <c r="G360" t="str">
        <f>"2026-04-25 08:53:01.919"</f>
        <v>2026-04-25 08:53:01.919</v>
      </c>
      <c r="H360" t="s">
        <v>22</v>
      </c>
      <c r="I360">
        <v>6.06</v>
      </c>
      <c r="J360" t="s">
        <v>36</v>
      </c>
    </row>
    <row r="361" spans="1:10" x14ac:dyDescent="0.25">
      <c r="A361" s="1">
        <v>52</v>
      </c>
      <c r="B361" t="s">
        <v>19</v>
      </c>
      <c r="C361">
        <v>635</v>
      </c>
      <c r="D361">
        <v>1</v>
      </c>
      <c r="E361" t="s">
        <v>20</v>
      </c>
      <c r="F361" t="s">
        <v>21</v>
      </c>
      <c r="G361" t="str">
        <f>"2026-04-24 14:54:44.319"</f>
        <v>2026-04-24 14:54:44.319</v>
      </c>
      <c r="H361" t="s">
        <v>22</v>
      </c>
    </row>
    <row r="362" spans="1:10" x14ac:dyDescent="0.25">
      <c r="A362" s="1">
        <v>53</v>
      </c>
      <c r="B362" t="s">
        <v>23</v>
      </c>
      <c r="C362">
        <v>635</v>
      </c>
      <c r="D362">
        <v>1</v>
      </c>
      <c r="E362" t="s">
        <v>20</v>
      </c>
      <c r="F362" t="s">
        <v>21</v>
      </c>
      <c r="G362" t="str">
        <f>"2026-04-24 14:50:37.319"</f>
        <v>2026-04-24 14:50:37.319</v>
      </c>
      <c r="H362" t="s">
        <v>22</v>
      </c>
      <c r="I362">
        <v>5.89</v>
      </c>
      <c r="J362" t="s">
        <v>24</v>
      </c>
    </row>
    <row r="363" spans="1:10" x14ac:dyDescent="0.25">
      <c r="A363" s="1">
        <v>54</v>
      </c>
      <c r="B363" t="s">
        <v>19</v>
      </c>
      <c r="C363">
        <v>635</v>
      </c>
      <c r="D363">
        <v>1</v>
      </c>
      <c r="E363" t="s">
        <v>20</v>
      </c>
      <c r="F363" t="s">
        <v>21</v>
      </c>
      <c r="G363" t="str">
        <f>"2026-04-24 14:38:03.319"</f>
        <v>2026-04-24 14:38:03.319</v>
      </c>
      <c r="H363" t="s">
        <v>22</v>
      </c>
    </row>
    <row r="364" spans="1:10" x14ac:dyDescent="0.25">
      <c r="A364" s="1">
        <v>55</v>
      </c>
      <c r="B364" t="s">
        <v>23</v>
      </c>
      <c r="C364">
        <v>635</v>
      </c>
      <c r="D364">
        <v>1</v>
      </c>
      <c r="E364" t="s">
        <v>20</v>
      </c>
      <c r="F364" t="s">
        <v>21</v>
      </c>
      <c r="G364" t="str">
        <f>"2026-04-24 14:33:42.819"</f>
        <v>2026-04-24 14:33:42.819</v>
      </c>
      <c r="H364" t="s">
        <v>22</v>
      </c>
      <c r="I364">
        <v>3.59</v>
      </c>
      <c r="J364" t="s">
        <v>36</v>
      </c>
    </row>
    <row r="365" spans="1:10" x14ac:dyDescent="0.25">
      <c r="A365" s="1">
        <v>56</v>
      </c>
      <c r="B365" t="s">
        <v>26</v>
      </c>
      <c r="C365">
        <v>700</v>
      </c>
      <c r="D365">
        <v>0</v>
      </c>
      <c r="E365" t="s">
        <v>27</v>
      </c>
      <c r="F365" t="s">
        <v>27</v>
      </c>
      <c r="G365" t="str">
        <f>"2026-04-24 13:42:32.327"</f>
        <v>2026-04-24 13:42:32.327</v>
      </c>
      <c r="H365" t="s">
        <v>22</v>
      </c>
    </row>
    <row r="366" spans="1:10" x14ac:dyDescent="0.25">
      <c r="A366" s="1">
        <v>57</v>
      </c>
      <c r="B366" t="s">
        <v>35</v>
      </c>
      <c r="C366">
        <v>630</v>
      </c>
      <c r="D366">
        <v>5</v>
      </c>
      <c r="E366" t="s">
        <v>29</v>
      </c>
      <c r="F366" t="s">
        <v>30</v>
      </c>
      <c r="G366" t="str">
        <f>"2026-04-24 12:49:38.724"</f>
        <v>2026-04-24 12:49:38.724</v>
      </c>
      <c r="H366" t="s">
        <v>31</v>
      </c>
      <c r="I366">
        <v>0</v>
      </c>
      <c r="J366" t="s">
        <v>34</v>
      </c>
    </row>
    <row r="367" spans="1:10" x14ac:dyDescent="0.25">
      <c r="A367" s="1">
        <v>58</v>
      </c>
      <c r="B367" t="s">
        <v>19</v>
      </c>
      <c r="C367">
        <v>635</v>
      </c>
      <c r="D367">
        <v>1</v>
      </c>
      <c r="E367" t="s">
        <v>20</v>
      </c>
      <c r="F367" t="s">
        <v>21</v>
      </c>
      <c r="G367" t="str">
        <f>"2026-04-24 00:42:47.923"</f>
        <v>2026-04-24 00:42:47.923</v>
      </c>
      <c r="H367" t="s">
        <v>22</v>
      </c>
    </row>
    <row r="368" spans="1:10" x14ac:dyDescent="0.25">
      <c r="A368" s="1">
        <v>59</v>
      </c>
      <c r="B368" t="s">
        <v>23</v>
      </c>
      <c r="C368">
        <v>635</v>
      </c>
      <c r="D368">
        <v>1</v>
      </c>
      <c r="E368" t="s">
        <v>20</v>
      </c>
      <c r="F368" t="s">
        <v>21</v>
      </c>
      <c r="G368" t="str">
        <f>"2026-04-24 00:21:13.423"</f>
        <v>2026-04-24 00:21:13.423</v>
      </c>
      <c r="H368" t="s">
        <v>22</v>
      </c>
      <c r="I368">
        <v>7.5</v>
      </c>
      <c r="J368" t="s">
        <v>36</v>
      </c>
    </row>
    <row r="369" spans="1:10" x14ac:dyDescent="0.25">
      <c r="A369" s="1">
        <v>60</v>
      </c>
      <c r="B369" t="s">
        <v>26</v>
      </c>
      <c r="C369">
        <v>700</v>
      </c>
      <c r="D369">
        <v>0</v>
      </c>
      <c r="E369" t="s">
        <v>27</v>
      </c>
      <c r="F369" t="s">
        <v>27</v>
      </c>
      <c r="G369" t="str">
        <f>"2026-04-23 14:58:08.299"</f>
        <v>2026-04-23 14:58:08.299</v>
      </c>
      <c r="H369" t="s">
        <v>22</v>
      </c>
      <c r="I369">
        <v>0</v>
      </c>
      <c r="J369" t="s">
        <v>28</v>
      </c>
    </row>
    <row r="370" spans="1:10" x14ac:dyDescent="0.25">
      <c r="A370" s="1">
        <v>61</v>
      </c>
      <c r="B370" t="s">
        <v>26</v>
      </c>
      <c r="C370">
        <v>700</v>
      </c>
      <c r="D370">
        <v>0</v>
      </c>
      <c r="E370" t="s">
        <v>27</v>
      </c>
      <c r="F370" t="s">
        <v>27</v>
      </c>
      <c r="G370" t="str">
        <f>"2026-04-23 13:55:12.293"</f>
        <v>2026-04-23 13:55:12.293</v>
      </c>
      <c r="H370" t="s">
        <v>22</v>
      </c>
      <c r="I370">
        <v>0</v>
      </c>
      <c r="J370" t="s">
        <v>28</v>
      </c>
    </row>
    <row r="371" spans="1:10" x14ac:dyDescent="0.25">
      <c r="A371" s="1">
        <v>62</v>
      </c>
      <c r="B371" t="s">
        <v>35</v>
      </c>
      <c r="C371">
        <v>630</v>
      </c>
      <c r="D371">
        <v>5</v>
      </c>
      <c r="E371" t="s">
        <v>29</v>
      </c>
      <c r="F371" t="s">
        <v>30</v>
      </c>
      <c r="G371" t="str">
        <f>"2026-04-23 13:07:05.211"</f>
        <v>2026-04-23 13:07:05.211</v>
      </c>
      <c r="H371" t="s">
        <v>31</v>
      </c>
      <c r="I371">
        <v>0</v>
      </c>
      <c r="J371" t="s">
        <v>34</v>
      </c>
    </row>
    <row r="372" spans="1:10" x14ac:dyDescent="0.25">
      <c r="A372" s="1">
        <v>63</v>
      </c>
      <c r="B372" t="s">
        <v>26</v>
      </c>
      <c r="C372">
        <v>700</v>
      </c>
      <c r="D372">
        <v>0</v>
      </c>
      <c r="E372" t="s">
        <v>27</v>
      </c>
      <c r="F372" t="s">
        <v>27</v>
      </c>
      <c r="G372" t="str">
        <f>"2026-04-23 12:03:48.324"</f>
        <v>2026-04-23 12:03:48.324</v>
      </c>
      <c r="H372" t="s">
        <v>22</v>
      </c>
      <c r="I372">
        <v>0</v>
      </c>
      <c r="J372" t="s">
        <v>28</v>
      </c>
    </row>
    <row r="373" spans="1:10" x14ac:dyDescent="0.25">
      <c r="A373" s="1">
        <v>64</v>
      </c>
      <c r="B373" t="s">
        <v>19</v>
      </c>
      <c r="C373">
        <v>635</v>
      </c>
      <c r="D373">
        <v>1</v>
      </c>
      <c r="E373" t="s">
        <v>20</v>
      </c>
      <c r="F373" t="s">
        <v>21</v>
      </c>
      <c r="G373" t="str">
        <f>"2026-04-23 06:47:49.893"</f>
        <v>2026-04-23 06:47:49.893</v>
      </c>
      <c r="H373" t="s">
        <v>22</v>
      </c>
    </row>
    <row r="374" spans="1:10" x14ac:dyDescent="0.25">
      <c r="A374" s="1">
        <v>65</v>
      </c>
      <c r="B374" t="s">
        <v>23</v>
      </c>
      <c r="C374">
        <v>635</v>
      </c>
      <c r="D374">
        <v>1</v>
      </c>
      <c r="E374" t="s">
        <v>20</v>
      </c>
      <c r="F374" t="s">
        <v>21</v>
      </c>
      <c r="G374" t="str">
        <f>"2026-04-23 06:27:01.893"</f>
        <v>2026-04-23 06:27:01.893</v>
      </c>
      <c r="H374" t="s">
        <v>22</v>
      </c>
      <c r="I374">
        <v>9.9600000000000009</v>
      </c>
      <c r="J374" t="s">
        <v>24</v>
      </c>
    </row>
    <row r="375" spans="1:10" x14ac:dyDescent="0.25">
      <c r="A375" s="1">
        <v>66</v>
      </c>
      <c r="B375" t="s">
        <v>26</v>
      </c>
      <c r="C375">
        <v>700</v>
      </c>
      <c r="D375">
        <v>0</v>
      </c>
      <c r="E375" t="s">
        <v>27</v>
      </c>
      <c r="F375" t="s">
        <v>27</v>
      </c>
      <c r="G375" t="str">
        <f>"2026-04-23 00:35:37.436"</f>
        <v>2026-04-23 00:35:37.436</v>
      </c>
      <c r="H375" t="s">
        <v>22</v>
      </c>
      <c r="I375">
        <v>0</v>
      </c>
      <c r="J375" t="s">
        <v>28</v>
      </c>
    </row>
    <row r="376" spans="1:10" x14ac:dyDescent="0.25">
      <c r="A376" s="1">
        <v>68</v>
      </c>
      <c r="B376" t="s">
        <v>26</v>
      </c>
      <c r="C376">
        <v>700</v>
      </c>
      <c r="D376">
        <v>0</v>
      </c>
      <c r="E376" t="s">
        <v>27</v>
      </c>
      <c r="F376" t="s">
        <v>27</v>
      </c>
      <c r="G376" t="str">
        <f>"2026-04-22 13:17:26.302"</f>
        <v>2026-04-22 13:17:26.302</v>
      </c>
      <c r="H376" t="s">
        <v>22</v>
      </c>
      <c r="I376">
        <v>0</v>
      </c>
      <c r="J376" t="s">
        <v>28</v>
      </c>
    </row>
    <row r="377" spans="1:10" x14ac:dyDescent="0.25">
      <c r="A377" s="1">
        <v>69</v>
      </c>
      <c r="B377" t="s">
        <v>19</v>
      </c>
      <c r="C377">
        <v>635</v>
      </c>
      <c r="D377">
        <v>1</v>
      </c>
      <c r="E377" t="s">
        <v>20</v>
      </c>
      <c r="F377" t="s">
        <v>21</v>
      </c>
      <c r="G377" t="str">
        <f>"2026-04-22 11:05:13.567"</f>
        <v>2026-04-22 11:05:13.567</v>
      </c>
      <c r="H377" t="s">
        <v>22</v>
      </c>
    </row>
    <row r="378" spans="1:10" x14ac:dyDescent="0.25">
      <c r="A378" s="1">
        <v>70</v>
      </c>
      <c r="B378" t="s">
        <v>23</v>
      </c>
      <c r="C378">
        <v>635</v>
      </c>
      <c r="D378">
        <v>1</v>
      </c>
      <c r="E378" t="s">
        <v>20</v>
      </c>
      <c r="F378" t="s">
        <v>21</v>
      </c>
      <c r="G378" t="str">
        <f>"2026-04-22 11:02:26.067"</f>
        <v>2026-04-22 11:02:26.067</v>
      </c>
      <c r="H378" t="s">
        <v>22</v>
      </c>
      <c r="I378">
        <v>1.35</v>
      </c>
      <c r="J378" t="s">
        <v>36</v>
      </c>
    </row>
    <row r="379" spans="1:10" x14ac:dyDescent="0.25">
      <c r="A379" s="1">
        <v>71</v>
      </c>
      <c r="B379" t="s">
        <v>19</v>
      </c>
      <c r="C379">
        <v>635</v>
      </c>
      <c r="D379">
        <v>1</v>
      </c>
      <c r="E379" t="s">
        <v>20</v>
      </c>
      <c r="F379" t="s">
        <v>21</v>
      </c>
      <c r="G379" t="str">
        <f>"2026-04-21 04:20:54.667"</f>
        <v>2026-04-21 04:20:54.667</v>
      </c>
      <c r="H379" t="s">
        <v>22</v>
      </c>
    </row>
    <row r="380" spans="1:10" x14ac:dyDescent="0.25">
      <c r="A380" s="1">
        <v>72</v>
      </c>
      <c r="B380" t="s">
        <v>23</v>
      </c>
      <c r="C380">
        <v>635</v>
      </c>
      <c r="D380">
        <v>1</v>
      </c>
      <c r="E380" t="s">
        <v>20</v>
      </c>
      <c r="F380" t="s">
        <v>21</v>
      </c>
      <c r="G380" t="str">
        <f>"2026-04-21 03:47:45.267"</f>
        <v>2026-04-21 03:47:45.267</v>
      </c>
      <c r="H380" t="s">
        <v>22</v>
      </c>
      <c r="I380">
        <v>8.86</v>
      </c>
      <c r="J380" t="s">
        <v>36</v>
      </c>
    </row>
    <row r="381" spans="1:10" x14ac:dyDescent="0.25">
      <c r="A381" s="1">
        <v>73</v>
      </c>
      <c r="B381" t="s">
        <v>26</v>
      </c>
      <c r="C381">
        <v>700</v>
      </c>
      <c r="D381">
        <v>0</v>
      </c>
      <c r="E381" t="s">
        <v>27</v>
      </c>
      <c r="F381" t="s">
        <v>27</v>
      </c>
      <c r="G381" t="str">
        <f>"2026-04-20 16:06:10.269"</f>
        <v>2026-04-20 16:06:10.269</v>
      </c>
      <c r="H381" t="s">
        <v>22</v>
      </c>
      <c r="I381">
        <v>0</v>
      </c>
      <c r="J381" t="s">
        <v>28</v>
      </c>
    </row>
    <row r="382" spans="1:10" x14ac:dyDescent="0.25">
      <c r="A382" s="1">
        <v>74</v>
      </c>
      <c r="B382" t="s">
        <v>35</v>
      </c>
      <c r="C382">
        <v>630</v>
      </c>
      <c r="D382">
        <v>5</v>
      </c>
      <c r="E382" t="s">
        <v>29</v>
      </c>
      <c r="F382" t="s">
        <v>30</v>
      </c>
      <c r="G382" t="str">
        <f>"2026-04-20 15:36:33.123"</f>
        <v>2026-04-20 15:36:33.123</v>
      </c>
      <c r="H382" t="s">
        <v>31</v>
      </c>
      <c r="I382">
        <v>0</v>
      </c>
      <c r="J382" t="s">
        <v>34</v>
      </c>
    </row>
    <row r="383" spans="1:10" x14ac:dyDescent="0.25">
      <c r="A383" s="1">
        <v>75</v>
      </c>
      <c r="B383" t="s">
        <v>26</v>
      </c>
      <c r="C383">
        <v>700</v>
      </c>
      <c r="D383">
        <v>0</v>
      </c>
      <c r="E383" t="s">
        <v>27</v>
      </c>
      <c r="F383" t="s">
        <v>27</v>
      </c>
      <c r="G383" t="str">
        <f>"2026-04-20 15:31:30.309"</f>
        <v>2026-04-20 15:31:30.309</v>
      </c>
      <c r="H383" t="s">
        <v>22</v>
      </c>
      <c r="I383">
        <v>0</v>
      </c>
      <c r="J383" t="s">
        <v>28</v>
      </c>
    </row>
    <row r="384" spans="1:10" x14ac:dyDescent="0.25">
      <c r="A384" s="1">
        <v>76</v>
      </c>
      <c r="B384" t="s">
        <v>26</v>
      </c>
      <c r="C384">
        <v>700</v>
      </c>
      <c r="D384">
        <v>0</v>
      </c>
      <c r="E384" t="s">
        <v>27</v>
      </c>
      <c r="F384" t="s">
        <v>27</v>
      </c>
      <c r="G384" t="str">
        <f>"2026-04-20 07:07:53.296"</f>
        <v>2026-04-20 07:07:53.296</v>
      </c>
      <c r="H384" t="s">
        <v>22</v>
      </c>
      <c r="I384">
        <v>0</v>
      </c>
      <c r="J384" t="s">
        <v>28</v>
      </c>
    </row>
    <row r="385" spans="1:10" x14ac:dyDescent="0.25">
      <c r="A385" s="1">
        <v>77</v>
      </c>
      <c r="B385" t="s">
        <v>26</v>
      </c>
      <c r="C385">
        <v>706</v>
      </c>
      <c r="D385">
        <v>4</v>
      </c>
      <c r="E385" t="s">
        <v>32</v>
      </c>
      <c r="F385" t="s">
        <v>41</v>
      </c>
      <c r="G385" t="str">
        <f>"2026-04-20 07:06:06.393"</f>
        <v>2026-04-20 07:06:06.393</v>
      </c>
      <c r="H385" t="s">
        <v>22</v>
      </c>
      <c r="I385">
        <v>0</v>
      </c>
      <c r="J385" t="s">
        <v>34</v>
      </c>
    </row>
    <row r="386" spans="1:10" x14ac:dyDescent="0.25">
      <c r="A386" s="1">
        <v>78</v>
      </c>
      <c r="B386" t="s">
        <v>26</v>
      </c>
      <c r="C386">
        <v>700</v>
      </c>
      <c r="D386">
        <v>0</v>
      </c>
      <c r="E386" t="s">
        <v>27</v>
      </c>
      <c r="F386" t="s">
        <v>27</v>
      </c>
      <c r="G386" t="str">
        <f>"2026-04-19 20:23:53.453"</f>
        <v>2026-04-19 20:23:53.453</v>
      </c>
      <c r="H386" t="s">
        <v>22</v>
      </c>
      <c r="I386">
        <v>0</v>
      </c>
      <c r="J386" t="s">
        <v>28</v>
      </c>
    </row>
    <row r="387" spans="1:10" x14ac:dyDescent="0.25">
      <c r="A387" s="1">
        <v>79</v>
      </c>
      <c r="B387" t="s">
        <v>26</v>
      </c>
      <c r="C387">
        <v>700</v>
      </c>
      <c r="D387">
        <v>0</v>
      </c>
      <c r="E387" t="s">
        <v>27</v>
      </c>
      <c r="F387" t="s">
        <v>27</v>
      </c>
      <c r="G387" t="str">
        <f>"2026-04-19 09:27:20.253"</f>
        <v>2026-04-19 09:27:20.253</v>
      </c>
      <c r="H387" t="s">
        <v>22</v>
      </c>
      <c r="I387">
        <v>0</v>
      </c>
      <c r="J387" t="s">
        <v>28</v>
      </c>
    </row>
    <row r="388" spans="1:10" x14ac:dyDescent="0.25">
      <c r="A388" s="1">
        <v>80</v>
      </c>
      <c r="B388" t="s">
        <v>26</v>
      </c>
      <c r="C388">
        <v>700</v>
      </c>
      <c r="D388">
        <v>0</v>
      </c>
      <c r="E388" t="s">
        <v>27</v>
      </c>
      <c r="F388" t="s">
        <v>27</v>
      </c>
      <c r="G388" t="str">
        <f>"2026-04-19 09:24:04.251"</f>
        <v>2026-04-19 09:24:04.251</v>
      </c>
      <c r="H388" t="s">
        <v>22</v>
      </c>
      <c r="I388">
        <v>0</v>
      </c>
      <c r="J388" t="s">
        <v>28</v>
      </c>
    </row>
    <row r="389" spans="1:10" x14ac:dyDescent="0.25">
      <c r="A389" s="1">
        <v>81</v>
      </c>
      <c r="B389" t="s">
        <v>26</v>
      </c>
      <c r="C389">
        <v>706</v>
      </c>
      <c r="D389">
        <v>2</v>
      </c>
      <c r="E389" t="s">
        <v>32</v>
      </c>
      <c r="F389" t="s">
        <v>33</v>
      </c>
      <c r="G389" t="str">
        <f>"2026-04-18 18:28:52.738"</f>
        <v>2026-04-18 18:28:52.738</v>
      </c>
      <c r="H389" t="s">
        <v>22</v>
      </c>
      <c r="I389">
        <v>0</v>
      </c>
      <c r="J389" t="s">
        <v>34</v>
      </c>
    </row>
    <row r="390" spans="1:10" x14ac:dyDescent="0.25">
      <c r="A390" s="1">
        <v>82</v>
      </c>
      <c r="B390" t="s">
        <v>26</v>
      </c>
      <c r="C390">
        <v>700</v>
      </c>
      <c r="D390">
        <v>0</v>
      </c>
      <c r="E390" t="s">
        <v>27</v>
      </c>
      <c r="F390" t="s">
        <v>27</v>
      </c>
      <c r="G390" t="str">
        <f>"2026-04-18 18:28:38.208"</f>
        <v>2026-04-18 18:28:38.208</v>
      </c>
      <c r="H390" t="s">
        <v>22</v>
      </c>
      <c r="I390">
        <v>0</v>
      </c>
      <c r="J390" t="s">
        <v>28</v>
      </c>
    </row>
    <row r="391" spans="1:10" x14ac:dyDescent="0.25">
      <c r="A391" s="1">
        <v>83</v>
      </c>
      <c r="B391" t="s">
        <v>35</v>
      </c>
      <c r="C391">
        <v>630</v>
      </c>
      <c r="D391">
        <v>5</v>
      </c>
      <c r="E391" t="s">
        <v>29</v>
      </c>
      <c r="F391" t="s">
        <v>30</v>
      </c>
      <c r="G391" t="str">
        <f>"2026-04-18 17:28:38.984"</f>
        <v>2026-04-18 17:28:38.984</v>
      </c>
      <c r="H391" t="s">
        <v>31</v>
      </c>
      <c r="I391">
        <v>0</v>
      </c>
      <c r="J391" t="s">
        <v>34</v>
      </c>
    </row>
    <row r="392" spans="1:10" x14ac:dyDescent="0.25">
      <c r="A392" s="1">
        <v>84</v>
      </c>
      <c r="B392" t="s">
        <v>26</v>
      </c>
      <c r="C392">
        <v>700</v>
      </c>
      <c r="D392">
        <v>0</v>
      </c>
      <c r="E392" t="s">
        <v>27</v>
      </c>
      <c r="F392" t="s">
        <v>27</v>
      </c>
      <c r="G392" t="str">
        <f>"2026-04-18 17:23:36.222"</f>
        <v>2026-04-18 17:23:36.222</v>
      </c>
      <c r="H392" t="s">
        <v>22</v>
      </c>
      <c r="I392">
        <v>0</v>
      </c>
      <c r="J392" t="s">
        <v>28</v>
      </c>
    </row>
    <row r="393" spans="1:10" x14ac:dyDescent="0.25">
      <c r="A393" s="1">
        <v>85</v>
      </c>
      <c r="B393" t="s">
        <v>35</v>
      </c>
      <c r="C393">
        <v>630</v>
      </c>
      <c r="D393">
        <v>5</v>
      </c>
      <c r="E393" t="s">
        <v>29</v>
      </c>
      <c r="F393" t="s">
        <v>30</v>
      </c>
      <c r="G393" t="str">
        <f>"2026-04-18 17:16:31.751"</f>
        <v>2026-04-18 17:16:31.751</v>
      </c>
      <c r="H393" t="s">
        <v>31</v>
      </c>
      <c r="I393">
        <v>0</v>
      </c>
      <c r="J393" t="s">
        <v>34</v>
      </c>
    </row>
    <row r="394" spans="1:10" x14ac:dyDescent="0.25">
      <c r="A394" s="1">
        <v>86</v>
      </c>
      <c r="B394" t="s">
        <v>26</v>
      </c>
      <c r="C394">
        <v>706</v>
      </c>
      <c r="D394">
        <v>4</v>
      </c>
      <c r="E394" t="s">
        <v>32</v>
      </c>
      <c r="F394" t="s">
        <v>41</v>
      </c>
      <c r="G394" t="str">
        <f>"2026-04-18 12:20:37.330"</f>
        <v>2026-04-18 12:20:37.330</v>
      </c>
      <c r="H394" t="s">
        <v>22</v>
      </c>
      <c r="I394">
        <v>0</v>
      </c>
      <c r="J394" t="s">
        <v>34</v>
      </c>
    </row>
    <row r="395" spans="1:10" x14ac:dyDescent="0.25">
      <c r="A395" s="1">
        <v>87</v>
      </c>
      <c r="B395" t="s">
        <v>26</v>
      </c>
      <c r="C395">
        <v>706</v>
      </c>
      <c r="D395">
        <v>3</v>
      </c>
      <c r="E395" t="s">
        <v>32</v>
      </c>
      <c r="F395" t="s">
        <v>44</v>
      </c>
      <c r="G395" t="str">
        <f>"2026-04-18 12:20:16.040"</f>
        <v>2026-04-18 12:20:16.040</v>
      </c>
      <c r="H395" t="s">
        <v>22</v>
      </c>
      <c r="I395">
        <v>0</v>
      </c>
      <c r="J395" t="s">
        <v>34</v>
      </c>
    </row>
    <row r="396" spans="1:10" x14ac:dyDescent="0.25">
      <c r="A396" s="1">
        <v>88</v>
      </c>
      <c r="B396" t="s">
        <v>26</v>
      </c>
      <c r="C396">
        <v>700</v>
      </c>
      <c r="D396">
        <v>0</v>
      </c>
      <c r="E396" t="s">
        <v>27</v>
      </c>
      <c r="F396" t="s">
        <v>27</v>
      </c>
      <c r="G396" t="str">
        <f>"2026-04-18 10:13:41.120"</f>
        <v>2026-04-18 10:13:41.120</v>
      </c>
      <c r="H396" t="s">
        <v>22</v>
      </c>
    </row>
    <row r="397" spans="1:10" x14ac:dyDescent="0.25">
      <c r="A397" s="1">
        <v>89</v>
      </c>
      <c r="B397" t="s">
        <v>26</v>
      </c>
      <c r="C397">
        <v>706</v>
      </c>
      <c r="D397">
        <v>3</v>
      </c>
      <c r="E397" t="s">
        <v>32</v>
      </c>
      <c r="F397" t="s">
        <v>44</v>
      </c>
      <c r="G397" t="str">
        <f>"2026-04-18 10:11:43.366"</f>
        <v>2026-04-18 10:11:43.366</v>
      </c>
      <c r="H397" t="s">
        <v>22</v>
      </c>
      <c r="I397">
        <v>0</v>
      </c>
      <c r="J397" t="s">
        <v>34</v>
      </c>
    </row>
    <row r="398" spans="1:10" x14ac:dyDescent="0.25">
      <c r="A398" s="1">
        <v>90</v>
      </c>
      <c r="B398" t="s">
        <v>19</v>
      </c>
      <c r="C398">
        <v>630</v>
      </c>
      <c r="D398">
        <v>5</v>
      </c>
      <c r="E398" t="s">
        <v>29</v>
      </c>
      <c r="F398" t="s">
        <v>30</v>
      </c>
      <c r="G398" t="str">
        <f>"2026-04-18 09:58:32.994"</f>
        <v>2026-04-18 09:58:32.994</v>
      </c>
      <c r="H398" t="s">
        <v>31</v>
      </c>
    </row>
    <row r="399" spans="1:10" x14ac:dyDescent="0.25">
      <c r="A399" s="1">
        <v>91</v>
      </c>
      <c r="B399" t="s">
        <v>26</v>
      </c>
      <c r="C399">
        <v>706</v>
      </c>
      <c r="D399">
        <v>2</v>
      </c>
      <c r="E399" t="s">
        <v>32</v>
      </c>
      <c r="F399" t="s">
        <v>33</v>
      </c>
      <c r="G399" t="str">
        <f>"2026-04-18 09:58:02.856"</f>
        <v>2026-04-18 09:58:02.856</v>
      </c>
      <c r="H399" t="s">
        <v>22</v>
      </c>
      <c r="I399">
        <v>0</v>
      </c>
      <c r="J399" t="s">
        <v>34</v>
      </c>
    </row>
    <row r="400" spans="1:10" x14ac:dyDescent="0.25">
      <c r="A400" s="1">
        <v>92</v>
      </c>
      <c r="B400" t="s">
        <v>35</v>
      </c>
      <c r="C400">
        <v>630</v>
      </c>
      <c r="D400">
        <v>5</v>
      </c>
      <c r="E400" t="s">
        <v>29</v>
      </c>
      <c r="F400" t="s">
        <v>30</v>
      </c>
      <c r="G400" t="str">
        <f>"2026-04-18 09:45:23.795"</f>
        <v>2026-04-18 09:45:23.795</v>
      </c>
      <c r="H400" t="s">
        <v>31</v>
      </c>
      <c r="I400">
        <v>0</v>
      </c>
      <c r="J400" t="s">
        <v>34</v>
      </c>
    </row>
    <row r="401" spans="1:10" x14ac:dyDescent="0.25">
      <c r="A401" s="1">
        <v>93</v>
      </c>
      <c r="B401" t="s">
        <v>26</v>
      </c>
      <c r="C401">
        <v>700</v>
      </c>
      <c r="D401">
        <v>0</v>
      </c>
      <c r="E401" t="s">
        <v>27</v>
      </c>
      <c r="F401" t="s">
        <v>27</v>
      </c>
      <c r="G401" t="str">
        <f>"2026-04-18 09:40:21.106"</f>
        <v>2026-04-18 09:40:21.106</v>
      </c>
      <c r="H401" t="s">
        <v>22</v>
      </c>
      <c r="I401">
        <v>0</v>
      </c>
      <c r="J401" t="s">
        <v>28</v>
      </c>
    </row>
    <row r="402" spans="1:10" x14ac:dyDescent="0.25">
      <c r="A402" s="1">
        <v>94</v>
      </c>
      <c r="B402" t="s">
        <v>26</v>
      </c>
      <c r="C402">
        <v>700</v>
      </c>
      <c r="D402">
        <v>0</v>
      </c>
      <c r="E402" t="s">
        <v>27</v>
      </c>
      <c r="F402" t="s">
        <v>27</v>
      </c>
      <c r="G402" t="str">
        <f>"2026-04-18 09:30:02.109"</f>
        <v>2026-04-18 09:30:02.109</v>
      </c>
      <c r="H402" t="s">
        <v>22</v>
      </c>
    </row>
    <row r="403" spans="1:10" x14ac:dyDescent="0.25">
      <c r="A403" s="1">
        <v>95</v>
      </c>
      <c r="B403" t="s">
        <v>26</v>
      </c>
      <c r="C403">
        <v>706</v>
      </c>
      <c r="D403">
        <v>3</v>
      </c>
      <c r="E403" t="s">
        <v>32</v>
      </c>
      <c r="F403" t="s">
        <v>44</v>
      </c>
      <c r="G403" t="str">
        <f>"2026-04-18 09:26:19.594"</f>
        <v>2026-04-18 09:26:19.594</v>
      </c>
      <c r="H403" t="s">
        <v>22</v>
      </c>
      <c r="I403">
        <v>0</v>
      </c>
      <c r="J403" t="s">
        <v>34</v>
      </c>
    </row>
    <row r="404" spans="1:10" x14ac:dyDescent="0.25">
      <c r="A404" s="1">
        <v>96</v>
      </c>
      <c r="B404" t="s">
        <v>26</v>
      </c>
      <c r="C404">
        <v>706</v>
      </c>
      <c r="D404">
        <v>4</v>
      </c>
      <c r="E404" t="s">
        <v>32</v>
      </c>
      <c r="F404" t="s">
        <v>41</v>
      </c>
      <c r="G404" t="str">
        <f>"2026-04-18 09:24:44.414"</f>
        <v>2026-04-18 09:24:44.414</v>
      </c>
      <c r="H404" t="s">
        <v>22</v>
      </c>
      <c r="I404">
        <v>0</v>
      </c>
      <c r="J404" t="s">
        <v>34</v>
      </c>
    </row>
    <row r="405" spans="1:10" x14ac:dyDescent="0.25">
      <c r="A405" s="1">
        <v>99</v>
      </c>
      <c r="B405" t="s">
        <v>26</v>
      </c>
      <c r="C405">
        <v>782</v>
      </c>
      <c r="D405">
        <v>7</v>
      </c>
      <c r="E405" t="s">
        <v>47</v>
      </c>
      <c r="F405" t="s">
        <v>48</v>
      </c>
      <c r="G405" t="str">
        <f>"2026-04-18 09:24:25.987"</f>
        <v>2026-04-18 09:24:25.987</v>
      </c>
      <c r="H405" t="s">
        <v>22</v>
      </c>
      <c r="I405">
        <v>0</v>
      </c>
      <c r="J405" t="s">
        <v>34</v>
      </c>
    </row>
    <row r="406" spans="1:10" x14ac:dyDescent="0.25">
      <c r="A406" s="1">
        <v>2</v>
      </c>
      <c r="B406" t="s">
        <v>19</v>
      </c>
      <c r="C406">
        <v>12</v>
      </c>
      <c r="D406">
        <v>2</v>
      </c>
      <c r="E406" t="s">
        <v>49</v>
      </c>
      <c r="F406" t="s">
        <v>50</v>
      </c>
      <c r="G406" t="str">
        <f>"2026-04-18 09:24:25.983"</f>
        <v>2026-04-18 09:24:25.983</v>
      </c>
      <c r="H406" t="s">
        <v>22</v>
      </c>
    </row>
    <row r="407" spans="1:10" x14ac:dyDescent="0.25">
      <c r="A407" s="1">
        <v>3</v>
      </c>
      <c r="B407" t="s">
        <v>19</v>
      </c>
      <c r="C407">
        <v>12</v>
      </c>
      <c r="D407">
        <v>1</v>
      </c>
      <c r="E407" t="s">
        <v>49</v>
      </c>
      <c r="F407" t="s">
        <v>51</v>
      </c>
      <c r="G407" t="str">
        <f>"2026-04-18 09:24:25.982"</f>
        <v>2026-04-18 09:24:25.982</v>
      </c>
      <c r="H407" t="s">
        <v>22</v>
      </c>
    </row>
    <row r="408" spans="1:10" x14ac:dyDescent="0.25">
      <c r="A408" s="1">
        <v>4</v>
      </c>
      <c r="B408" t="s">
        <v>26</v>
      </c>
      <c r="C408">
        <v>782</v>
      </c>
      <c r="D408">
        <v>7</v>
      </c>
      <c r="E408" t="s">
        <v>47</v>
      </c>
      <c r="F408" t="s">
        <v>48</v>
      </c>
      <c r="G408" t="str">
        <f>"2026-04-18 09:24:25.981"</f>
        <v>2026-04-18 09:24:25.981</v>
      </c>
      <c r="H408" t="s">
        <v>22</v>
      </c>
      <c r="I408">
        <v>0</v>
      </c>
      <c r="J408" t="s">
        <v>34</v>
      </c>
    </row>
    <row r="409" spans="1:10" x14ac:dyDescent="0.25">
      <c r="A409" s="1">
        <v>5</v>
      </c>
      <c r="B409" t="s">
        <v>26</v>
      </c>
      <c r="C409">
        <v>700</v>
      </c>
      <c r="D409">
        <v>0</v>
      </c>
      <c r="E409" t="s">
        <v>27</v>
      </c>
      <c r="F409" t="s">
        <v>27</v>
      </c>
      <c r="G409" t="str">
        <f>"2026-04-18 09:23:28.114"</f>
        <v>2026-04-18 09:23:28.114</v>
      </c>
      <c r="H409" t="s">
        <v>22</v>
      </c>
      <c r="I409">
        <v>0</v>
      </c>
      <c r="J409" t="s">
        <v>28</v>
      </c>
    </row>
    <row r="410" spans="1:10" x14ac:dyDescent="0.25">
      <c r="A410" s="1">
        <v>6</v>
      </c>
      <c r="B410" t="s">
        <v>19</v>
      </c>
      <c r="C410">
        <v>650</v>
      </c>
      <c r="D410">
        <v>4</v>
      </c>
      <c r="E410" t="s">
        <v>52</v>
      </c>
      <c r="F410" t="s">
        <v>53</v>
      </c>
      <c r="G410" t="str">
        <f>"2026-04-18 09:22:15.335"</f>
        <v>2026-04-18 09:22:15.335</v>
      </c>
      <c r="H410" t="s">
        <v>22</v>
      </c>
    </row>
    <row r="411" spans="1:10" x14ac:dyDescent="0.25">
      <c r="A411" s="1">
        <v>7</v>
      </c>
      <c r="B411" t="s">
        <v>26</v>
      </c>
      <c r="C411">
        <v>719</v>
      </c>
      <c r="D411">
        <v>5</v>
      </c>
      <c r="E411" t="s">
        <v>54</v>
      </c>
      <c r="F411" t="s">
        <v>55</v>
      </c>
      <c r="G411" t="str">
        <f>"2026-04-18 09:21:30.828"</f>
        <v>2026-04-18 09:21:30.828</v>
      </c>
      <c r="H411" t="s">
        <v>22</v>
      </c>
      <c r="I411">
        <v>0</v>
      </c>
      <c r="J411" t="s">
        <v>34</v>
      </c>
    </row>
    <row r="412" spans="1:10" x14ac:dyDescent="0.25">
      <c r="A412" s="1">
        <v>8</v>
      </c>
      <c r="B412" t="s">
        <v>26</v>
      </c>
      <c r="C412">
        <v>719</v>
      </c>
      <c r="D412">
        <v>5</v>
      </c>
      <c r="E412" t="s">
        <v>54</v>
      </c>
      <c r="F412" t="s">
        <v>55</v>
      </c>
      <c r="G412" t="str">
        <f>"2026-04-18 09:21:30.349"</f>
        <v>2026-04-18 09:21:30.349</v>
      </c>
      <c r="H412" t="s">
        <v>22</v>
      </c>
      <c r="I412">
        <v>0</v>
      </c>
      <c r="J412" t="s">
        <v>34</v>
      </c>
    </row>
    <row r="413" spans="1:10" x14ac:dyDescent="0.25">
      <c r="A413" s="1">
        <v>9</v>
      </c>
      <c r="B413" t="s">
        <v>35</v>
      </c>
      <c r="C413">
        <v>630</v>
      </c>
      <c r="D413">
        <v>5</v>
      </c>
      <c r="E413" t="s">
        <v>29</v>
      </c>
      <c r="F413" t="s">
        <v>30</v>
      </c>
      <c r="G413" t="str">
        <f>"2026-04-18 06:06:30.837"</f>
        <v>2026-04-18 06:06:30.837</v>
      </c>
      <c r="H413" t="s">
        <v>31</v>
      </c>
      <c r="I413">
        <v>0</v>
      </c>
      <c r="J413" t="s">
        <v>34</v>
      </c>
    </row>
    <row r="414" spans="1:10" x14ac:dyDescent="0.25">
      <c r="A414" s="1">
        <v>10</v>
      </c>
      <c r="B414" t="s">
        <v>19</v>
      </c>
      <c r="C414">
        <v>98</v>
      </c>
      <c r="D414">
        <v>1</v>
      </c>
      <c r="E414" t="s">
        <v>45</v>
      </c>
      <c r="F414" t="s">
        <v>46</v>
      </c>
      <c r="G414" t="str">
        <f>"2026-04-18 06:06:19.828"</f>
        <v>2026-04-18 06:06:19.828</v>
      </c>
      <c r="H414" t="s">
        <v>22</v>
      </c>
    </row>
    <row r="415" spans="1:10" x14ac:dyDescent="0.25">
      <c r="A415" s="1">
        <v>11</v>
      </c>
      <c r="B415" t="s">
        <v>23</v>
      </c>
      <c r="C415">
        <v>98</v>
      </c>
      <c r="D415">
        <v>1</v>
      </c>
      <c r="E415" t="s">
        <v>45</v>
      </c>
      <c r="F415" t="s">
        <v>46</v>
      </c>
      <c r="G415" t="str">
        <f>"2026-04-18 06:06:18.729"</f>
        <v>2026-04-18 06:06:18.729</v>
      </c>
      <c r="H415" t="s">
        <v>22</v>
      </c>
      <c r="I415">
        <v>0</v>
      </c>
      <c r="J415" t="s">
        <v>34</v>
      </c>
    </row>
    <row r="416" spans="1:10" x14ac:dyDescent="0.25">
      <c r="A416" s="1">
        <v>12</v>
      </c>
      <c r="B416" t="s">
        <v>19</v>
      </c>
      <c r="C416">
        <v>98</v>
      </c>
      <c r="D416">
        <v>1</v>
      </c>
      <c r="E416" t="s">
        <v>45</v>
      </c>
      <c r="F416" t="s">
        <v>46</v>
      </c>
      <c r="G416" t="str">
        <f>"2026-04-18 06:06:16.628"</f>
        <v>2026-04-18 06:06:16.628</v>
      </c>
      <c r="H416" t="s">
        <v>22</v>
      </c>
    </row>
    <row r="417" spans="1:10" x14ac:dyDescent="0.25">
      <c r="A417" s="1">
        <v>13</v>
      </c>
      <c r="B417" t="s">
        <v>23</v>
      </c>
      <c r="C417">
        <v>98</v>
      </c>
      <c r="D417">
        <v>1</v>
      </c>
      <c r="E417" t="s">
        <v>45</v>
      </c>
      <c r="F417" t="s">
        <v>46</v>
      </c>
      <c r="G417" t="str">
        <f>"2026-04-18 06:06:15.529"</f>
        <v>2026-04-18 06:06:15.529</v>
      </c>
      <c r="H417" t="s">
        <v>22</v>
      </c>
      <c r="I417">
        <v>0</v>
      </c>
      <c r="J417" t="s">
        <v>34</v>
      </c>
    </row>
    <row r="418" spans="1:10" x14ac:dyDescent="0.25">
      <c r="A418" s="1">
        <v>14</v>
      </c>
      <c r="B418" t="s">
        <v>26</v>
      </c>
      <c r="C418">
        <v>700</v>
      </c>
      <c r="D418">
        <v>0</v>
      </c>
      <c r="E418" t="s">
        <v>27</v>
      </c>
      <c r="F418" t="s">
        <v>27</v>
      </c>
      <c r="G418" t="str">
        <f>"2026-04-18 06:01:28.109"</f>
        <v>2026-04-18 06:01:28.109</v>
      </c>
      <c r="H418" t="s">
        <v>22</v>
      </c>
      <c r="I418">
        <v>0</v>
      </c>
      <c r="J418" t="s">
        <v>28</v>
      </c>
    </row>
    <row r="419" spans="1:10" x14ac:dyDescent="0.25">
      <c r="A419" s="1">
        <v>17</v>
      </c>
      <c r="B419" t="s">
        <v>26</v>
      </c>
      <c r="C419">
        <v>753</v>
      </c>
      <c r="D419">
        <v>1</v>
      </c>
      <c r="E419" t="s">
        <v>56</v>
      </c>
      <c r="F419" t="s">
        <v>57</v>
      </c>
      <c r="G419" t="str">
        <f>"2026-04-18 05:56:20.602"</f>
        <v>2026-04-18 05:56:20.602</v>
      </c>
      <c r="H419" t="s">
        <v>22</v>
      </c>
      <c r="I419">
        <v>0</v>
      </c>
      <c r="J419" t="s">
        <v>34</v>
      </c>
    </row>
    <row r="420" spans="1:10" x14ac:dyDescent="0.25">
      <c r="A420" s="1">
        <v>18</v>
      </c>
      <c r="B420" t="s">
        <v>35</v>
      </c>
      <c r="C420">
        <v>641</v>
      </c>
      <c r="D420">
        <v>1</v>
      </c>
      <c r="E420" t="s">
        <v>58</v>
      </c>
      <c r="F420" t="s">
        <v>50</v>
      </c>
      <c r="G420" t="str">
        <f>"2026-04-18 05:56:13.368"</f>
        <v>2026-04-18 05:56:13.368</v>
      </c>
      <c r="H420" t="s">
        <v>22</v>
      </c>
      <c r="I420">
        <v>0</v>
      </c>
      <c r="J420" t="s">
        <v>34</v>
      </c>
    </row>
    <row r="421" spans="1:10" x14ac:dyDescent="0.25">
      <c r="A421" s="1">
        <v>19</v>
      </c>
      <c r="B421" t="s">
        <v>35</v>
      </c>
      <c r="C421">
        <v>640</v>
      </c>
      <c r="D421">
        <v>1</v>
      </c>
      <c r="E421" t="s">
        <v>59</v>
      </c>
      <c r="F421" t="s">
        <v>51</v>
      </c>
      <c r="G421" t="str">
        <f>"2026-04-18 05:56:13.333"</f>
        <v>2026-04-18 05:56:13.333</v>
      </c>
      <c r="H421" t="s">
        <v>60</v>
      </c>
      <c r="I421">
        <v>0</v>
      </c>
      <c r="J421" t="s">
        <v>34</v>
      </c>
    </row>
    <row r="422" spans="1:10" x14ac:dyDescent="0.25">
      <c r="A422" s="1">
        <v>20</v>
      </c>
      <c r="B422" t="s">
        <v>23</v>
      </c>
      <c r="C422">
        <v>12</v>
      </c>
      <c r="D422">
        <v>1</v>
      </c>
      <c r="E422" t="s">
        <v>49</v>
      </c>
      <c r="F422" t="s">
        <v>51</v>
      </c>
      <c r="G422" t="str">
        <f>"2026-04-18 05:56:07.153"</f>
        <v>2026-04-18 05:56:07.153</v>
      </c>
      <c r="H422" t="s">
        <v>22</v>
      </c>
      <c r="I422">
        <v>0</v>
      </c>
      <c r="J422" t="s">
        <v>61</v>
      </c>
    </row>
    <row r="423" spans="1:10" x14ac:dyDescent="0.25">
      <c r="A423" s="1">
        <v>21</v>
      </c>
      <c r="B423" t="s">
        <v>23</v>
      </c>
      <c r="C423">
        <v>12</v>
      </c>
      <c r="D423">
        <v>2</v>
      </c>
      <c r="E423" t="s">
        <v>49</v>
      </c>
      <c r="F423" t="s">
        <v>50</v>
      </c>
      <c r="G423" t="str">
        <f>"2026-04-18 05:56:07.053"</f>
        <v>2026-04-18 05:56:07.053</v>
      </c>
      <c r="H423" t="s">
        <v>22</v>
      </c>
      <c r="I423">
        <v>0</v>
      </c>
      <c r="J423" t="s">
        <v>61</v>
      </c>
    </row>
    <row r="424" spans="1:10" x14ac:dyDescent="0.25">
      <c r="A424" s="1">
        <v>22</v>
      </c>
      <c r="B424" t="s">
        <v>23</v>
      </c>
      <c r="C424">
        <v>650</v>
      </c>
      <c r="D424">
        <v>4</v>
      </c>
      <c r="E424" t="s">
        <v>52</v>
      </c>
      <c r="F424" t="s">
        <v>53</v>
      </c>
      <c r="G424" t="str">
        <f>"2026-04-18 05:56:05.754"</f>
        <v>2026-04-18 05:56:05.754</v>
      </c>
      <c r="H424" t="s">
        <v>22</v>
      </c>
      <c r="I424">
        <v>0</v>
      </c>
      <c r="J424" t="s">
        <v>28</v>
      </c>
    </row>
    <row r="425" spans="1:10" x14ac:dyDescent="0.25">
      <c r="A425" s="1">
        <v>23</v>
      </c>
      <c r="B425" t="s">
        <v>26</v>
      </c>
      <c r="C425">
        <v>700</v>
      </c>
      <c r="D425">
        <v>0</v>
      </c>
      <c r="E425" t="s">
        <v>27</v>
      </c>
      <c r="F425" t="s">
        <v>27</v>
      </c>
      <c r="G425" t="str">
        <f>"2026-04-18 05:56:03.102"</f>
        <v>2026-04-18 05:56:03.102</v>
      </c>
      <c r="H425" t="s">
        <v>22</v>
      </c>
      <c r="I425">
        <v>0</v>
      </c>
      <c r="J425" t="s">
        <v>28</v>
      </c>
    </row>
    <row r="426" spans="1:10" x14ac:dyDescent="0.25">
      <c r="A426" s="1">
        <v>24</v>
      </c>
      <c r="B426" t="s">
        <v>26</v>
      </c>
      <c r="C426">
        <v>739</v>
      </c>
      <c r="D426">
        <v>0</v>
      </c>
      <c r="E426" t="s">
        <v>62</v>
      </c>
      <c r="F426" t="s">
        <v>62</v>
      </c>
      <c r="G426" t="str">
        <f>"2026-01-22 10:33:41.403"</f>
        <v>2026-01-22 10:33:41.403</v>
      </c>
      <c r="H426" t="s">
        <v>22</v>
      </c>
    </row>
    <row r="427" spans="1:10" x14ac:dyDescent="0.25">
      <c r="A427" s="1">
        <v>25</v>
      </c>
      <c r="B427" t="s">
        <v>26</v>
      </c>
      <c r="C427">
        <v>757</v>
      </c>
      <c r="D427">
        <v>0</v>
      </c>
      <c r="E427" t="s">
        <v>63</v>
      </c>
      <c r="F427" t="s">
        <v>63</v>
      </c>
      <c r="G427" t="str">
        <f>"2026-01-22 10:33:41.121"</f>
        <v>2026-01-22 10:33:41.121</v>
      </c>
      <c r="H427" t="s">
        <v>22</v>
      </c>
    </row>
  </sheetData>
  <autoFilter ref="C1:C427" xr:uid="{C86BF620-7765-4E15-9989-52665B2E0C50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777A5-CF62-4108-A54A-665B3C4FBA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events_ru_85_20260612-033315 78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2026-06-11T21:45:13Z</dcterms:modified>
</cp:coreProperties>
</file>
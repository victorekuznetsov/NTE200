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92AAD60-93DF-401B-8E7C-30B8808CB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3_20260622-151815 96" sheetId="2" r:id="rId1"/>
    <sheet name="Лист1" sheetId="1" r:id="rId2"/>
  </sheets>
  <definedNames>
    <definedName name="_xlnm._FilterDatabase" localSheetId="0" hidden="1">'events_ru_73_20260622-151815 96'!$A$9:$J$3404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CEC146-6C88-4599-B2AE-999E98B67EF4}" keepAlive="1" name="Запрос — events_ru_73_20260622-151815 965" description="Соединение с запросом &quot;events_ru_73_20260622-151815 965&quot; в книге." type="5" refreshedVersion="0" background="1">
    <dbPr connection="Provider=Microsoft.Mashup.OleDb.1;Data Source=$Workbook$;Location=&quot;events_ru_73_20260622-151815 965&quot;;Extended Properties=&quot;&quot;" command="SELECT * FROM [events_ru_73_20260622-151815 965]"/>
  </connection>
</connections>
</file>

<file path=xl/sharedStrings.xml><?xml version="1.0" encoding="utf-8"?>
<sst xmlns="http://schemas.openxmlformats.org/spreadsheetml/2006/main" count="15645" uniqueCount="112">
  <si>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</si>
  <si>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</si>
  <si>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</si>
  <si>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</si>
  <si>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</si>
  <si>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</si>
  <si>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</si>
  <si>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</si>
  <si>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</si>
  <si>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</si>
  <si>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</si>
  <si>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</si>
  <si>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</si>
  <si>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</si>
  <si>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</si>
  <si>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</si>
  <si>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</si>
  <si>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</si>
  <si>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</si>
  <si>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</si>
  <si>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</si>
  <si>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</si>
  <si>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</si>
  <si>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</si>
  <si>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</si>
  <si>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</si>
  <si>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</si>
  <si>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</si>
  <si>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</si>
  <si>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</si>
  <si>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</si>
  <si>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Самосвал перегружен - NR</t>
  </si>
  <si>
    <t>Не доступно</t>
  </si>
  <si>
    <t>Propel</t>
  </si>
  <si>
    <t>Ready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</si>
  <si>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</si>
  <si>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</si>
  <si>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</si>
  <si>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</si>
  <si>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Вход в безопасный режим файловой системы - Запуск двигателя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</si>
  <si>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</si>
  <si>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</si>
  <si>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</si>
  <si>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Вход в безопасный режим файловой системы - Ключ или CPS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</si>
  <si>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</si>
  <si>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</si>
  <si>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</si>
  <si>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</si>
  <si>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Ошибка ЗПТ</t>
  </si>
  <si>
    <t>КЗ ЗПТ или отказ цепи возбуждения от АКБ</t>
  </si>
  <si>
    <t>Нет питания</t>
  </si>
  <si>
    <t>Температура окружающего воздуха вне пределов</t>
  </si>
  <si>
    <t>Высокий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</si>
  <si>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</si>
  <si>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</si>
  <si>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</si>
  <si>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Барометрическое давление вне пределов</t>
  </si>
  <si>
    <t>Низкий</t>
  </si>
  <si>
    <t>Reset All Faults</t>
  </si>
  <si>
    <t>Zero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</si>
  <si>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</si>
  <si>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</si>
  <si>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</si>
  <si>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Сравнение CMD скорости вращения ДВС</t>
  </si>
  <si>
    <t>Активна блокировка ХХ на холодном ДВС</t>
  </si>
  <si>
    <t>Команда сохранения данных PTU</t>
  </si>
  <si>
    <t>Инициированное водителем сохранение данных</t>
  </si>
  <si>
    <t xml:space="preserve">TMC2 ИНВ Фаза A+/фаза A- </t>
  </si>
  <si>
    <t>Отказ, насыщение IGBT фаза A-</t>
  </si>
  <si>
    <t>Инв2 Выкл</t>
  </si>
  <si>
    <t>Самопроизвольный останов ДВС</t>
  </si>
  <si>
    <t>Unrequested Engine Speed Drop - While Stopped</t>
  </si>
  <si>
    <t>Подъём кузова на ходу</t>
  </si>
  <si>
    <t>Установка часов реального времени</t>
  </si>
  <si>
    <t>через WebPTU</t>
  </si>
  <si>
    <t>Превышении скорости</t>
  </si>
  <si>
    <t>Управление скоростью - превышение</t>
  </si>
  <si>
    <t>TMC1 Чоппер 1 ИНВ (NR)</t>
  </si>
  <si>
    <t>Чоппер 1 не выключен при напряжении пост. тока</t>
  </si>
  <si>
    <t>Обратная связь Чоппера 1 не выключена</t>
  </si>
  <si>
    <t>Обрыв цепи чоппера</t>
  </si>
  <si>
    <t>Чоппер 1</t>
  </si>
  <si>
    <t>Тест VI не пройден</t>
  </si>
  <si>
    <t>Инвертор</t>
  </si>
  <si>
    <t>Останов ДВС во время движения</t>
  </si>
  <si>
    <t>Запрет тяги</t>
  </si>
  <si>
    <t>Rest</t>
  </si>
  <si>
    <t>TMC1 Фаза С- ИНВ</t>
  </si>
  <si>
    <t>Модули фаз С+ и С- вкл.</t>
  </si>
  <si>
    <t>Инв1 Выкл</t>
  </si>
  <si>
    <t>TMC2 Фаза С- ИНВ</t>
  </si>
  <si>
    <t>Сбой источника питания IGBT фаза С-</t>
  </si>
  <si>
    <t>TMC2 Фаза А- ИНВ</t>
  </si>
  <si>
    <t>Модули фаз A+ и A- вкл.</t>
  </si>
  <si>
    <t>TMC1 Фаза В+ ИНВ (NR)</t>
  </si>
  <si>
    <t>Фаза В+ не выкл. при напряжении включения/пост. тока</t>
  </si>
  <si>
    <t>TMC1 Фаза В+ ИНВ</t>
  </si>
  <si>
    <t>Модуль фазы В+ не выключился</t>
  </si>
  <si>
    <t>Отключение инвертора 1 (МК1)</t>
  </si>
  <si>
    <t>TMC1 Фаза В+/фаза В- ИНВ</t>
  </si>
  <si>
    <t>Ошибка насыщения IGBT фаза В-</t>
  </si>
  <si>
    <t>TMC1 Фаза С+ ИНВ</t>
  </si>
  <si>
    <t>Сбой источника питания IGBT фаза С+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</si>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</sst>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1B9F-6300-4457-B859-4D1C69914047}">
  <dimension ref="A1:J3404"/>
  <sheetViews>
    <sheetView tabSelected="1" workbookViewId="0">
      <selection activeCell="D35" sqref="D35"/>
    </sheetView>
  </sheetViews>
  <sheetFormatPr defaultRowHeight="15" x14ac:dyDescent="0.25"/>
  <cols>
    <col min="1" max="1" width="16" bestFit="1" customWidth="1"/>
    <col min="5" max="5" width="32" customWidth="1"/>
    <col min="6" max="6" width="72.28515625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"2026-06-22 15:18:15.965"</f>
        <v>2026-06-22 15:18:15.965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"2026-06-22 13:23:13.474"</f>
        <v>2026-06-22 13:23:13.474</v>
      </c>
      <c r="H10" t="s">
        <v>21</v>
      </c>
      <c r="I10">
        <v>0</v>
      </c>
      <c r="J10" t="s">
        <v>22</v>
      </c>
    </row>
    <row r="11" spans="1:10" s="3" customFormat="1" x14ac:dyDescent="0.25">
      <c r="A11" s="2"/>
      <c r="B11" s="3" t="s">
        <v>23</v>
      </c>
      <c r="C11" s="3">
        <v>647</v>
      </c>
      <c r="D11" s="3">
        <v>1</v>
      </c>
      <c r="E11" s="3" t="s">
        <v>24</v>
      </c>
      <c r="F11" s="3" t="s">
        <v>25</v>
      </c>
      <c r="G11" s="3" t="str">
        <f>"2026-06-22 04:55:30.029"</f>
        <v>2026-06-22 04:55:30.029</v>
      </c>
      <c r="H11" s="3" t="s">
        <v>21</v>
      </c>
    </row>
    <row r="12" spans="1:10" s="3" customFormat="1" x14ac:dyDescent="0.25">
      <c r="A12" s="2"/>
      <c r="B12" s="3" t="s">
        <v>26</v>
      </c>
      <c r="C12" s="3">
        <v>647</v>
      </c>
      <c r="D12" s="3">
        <v>1</v>
      </c>
      <c r="E12" s="3" t="s">
        <v>24</v>
      </c>
      <c r="F12" s="3" t="s">
        <v>25</v>
      </c>
      <c r="G12" s="3" t="str">
        <f>"2026-06-22 04:55:25.530"</f>
        <v>2026-06-22 04:55:25.530</v>
      </c>
      <c r="H12" s="3" t="s">
        <v>21</v>
      </c>
      <c r="I12" s="3">
        <v>16.16</v>
      </c>
      <c r="J12" s="3" t="s">
        <v>27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"2026-06-22 01:29:41.601"</f>
        <v>2026-06-22 01:29:41.601</v>
      </c>
      <c r="H13" t="s">
        <v>21</v>
      </c>
      <c r="I13">
        <v>0</v>
      </c>
      <c r="J13" t="s">
        <v>22</v>
      </c>
    </row>
    <row r="14" spans="1:10" x14ac:dyDescent="0.25">
      <c r="A14" s="1"/>
      <c r="B14" t="s">
        <v>19</v>
      </c>
      <c r="C14">
        <v>706</v>
      </c>
      <c r="D14">
        <v>4</v>
      </c>
      <c r="E14" t="s">
        <v>28</v>
      </c>
      <c r="F14" t="s">
        <v>29</v>
      </c>
      <c r="G14" t="str">
        <f>"2026-06-21 21:26:30.652"</f>
        <v>2026-06-21 21:26:30.652</v>
      </c>
      <c r="H14" t="s">
        <v>21</v>
      </c>
      <c r="I14">
        <v>0</v>
      </c>
      <c r="J14" t="s">
        <v>30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"2026-06-21 21:24:34.482"</f>
        <v>2026-06-21 21:24:34.482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28</v>
      </c>
      <c r="F16" t="s">
        <v>29</v>
      </c>
      <c r="G16" t="str">
        <f>"2026-06-21 13:38:26.652"</f>
        <v>2026-06-21 13:38:26.652</v>
      </c>
      <c r="H16" t="s">
        <v>21</v>
      </c>
      <c r="I16">
        <v>0</v>
      </c>
      <c r="J16" t="s">
        <v>30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"2026-06-21 13:38:07.442"</f>
        <v>2026-06-21 13:38:07.442</v>
      </c>
      <c r="H17" t="s">
        <v>21</v>
      </c>
    </row>
    <row r="18" spans="1:10" s="3" customFormat="1" x14ac:dyDescent="0.25">
      <c r="A18" s="2"/>
      <c r="B18" s="3" t="s">
        <v>23</v>
      </c>
      <c r="C18" s="3">
        <v>647</v>
      </c>
      <c r="D18" s="3">
        <v>1</v>
      </c>
      <c r="E18" s="3" t="s">
        <v>24</v>
      </c>
      <c r="F18" s="3" t="s">
        <v>25</v>
      </c>
      <c r="G18" s="3" t="str">
        <f>"2026-06-21 12:15:42.311"</f>
        <v>2026-06-21 12:15:42.311</v>
      </c>
      <c r="H18" s="3" t="s">
        <v>21</v>
      </c>
    </row>
    <row r="19" spans="1:10" s="3" customFormat="1" x14ac:dyDescent="0.25">
      <c r="A19" s="2"/>
      <c r="B19" s="3" t="s">
        <v>26</v>
      </c>
      <c r="C19" s="3">
        <v>647</v>
      </c>
      <c r="D19" s="3">
        <v>1</v>
      </c>
      <c r="E19" s="3" t="s">
        <v>24</v>
      </c>
      <c r="F19" s="3" t="s">
        <v>25</v>
      </c>
      <c r="G19" s="3" t="str">
        <f>"2026-06-21 12:15:38.811"</f>
        <v>2026-06-21 12:15:38.811</v>
      </c>
      <c r="H19" s="3" t="s">
        <v>21</v>
      </c>
      <c r="I19" s="3">
        <v>18.510000000000002</v>
      </c>
      <c r="J19" s="3" t="s">
        <v>27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"2026-06-21 04:51:47.462"</f>
        <v>2026-06-21 04:51:47.462</v>
      </c>
      <c r="H20" t="s">
        <v>21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"2026-06-21 01:45:15.467"</f>
        <v>2026-06-21 01:45:15.467</v>
      </c>
      <c r="H21" t="s">
        <v>21</v>
      </c>
    </row>
    <row r="22" spans="1:10" x14ac:dyDescent="0.25">
      <c r="A22" s="1">
        <v>2</v>
      </c>
      <c r="B22" t="s">
        <v>19</v>
      </c>
      <c r="C22">
        <v>706</v>
      </c>
      <c r="D22">
        <v>4</v>
      </c>
      <c r="E22" t="s">
        <v>28</v>
      </c>
      <c r="F22" t="s">
        <v>29</v>
      </c>
      <c r="G22" t="str">
        <f>"2026-06-20 20:28:42.055"</f>
        <v>2026-06-20 20:28:42.055</v>
      </c>
      <c r="H22" t="s">
        <v>21</v>
      </c>
      <c r="I22">
        <v>0</v>
      </c>
      <c r="J22" t="s">
        <v>30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"2026-06-20 20:26:26.465"</f>
        <v>2026-06-20 20:26:26.465</v>
      </c>
      <c r="H23" t="s">
        <v>21</v>
      </c>
      <c r="I23">
        <v>0</v>
      </c>
      <c r="J23" t="s">
        <v>22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"2026-06-20 12:53:31.476"</f>
        <v>2026-06-20 12:53:31.476</v>
      </c>
      <c r="H24" t="s">
        <v>21</v>
      </c>
      <c r="I24">
        <v>0</v>
      </c>
      <c r="J24" t="s">
        <v>22</v>
      </c>
    </row>
    <row r="25" spans="1:10" x14ac:dyDescent="0.25">
      <c r="A25" s="1">
        <v>5</v>
      </c>
      <c r="B25" t="s">
        <v>23</v>
      </c>
      <c r="C25">
        <v>635</v>
      </c>
      <c r="D25">
        <v>1</v>
      </c>
      <c r="E25" t="s">
        <v>31</v>
      </c>
      <c r="F25" t="s">
        <v>32</v>
      </c>
      <c r="G25" t="str">
        <f>"2026-06-20 08:12:13.640"</f>
        <v>2026-06-20 08:12:13.640</v>
      </c>
      <c r="H25" t="s">
        <v>21</v>
      </c>
    </row>
    <row r="26" spans="1:10" x14ac:dyDescent="0.25">
      <c r="A26" s="1">
        <v>6</v>
      </c>
      <c r="B26" t="s">
        <v>26</v>
      </c>
      <c r="C26">
        <v>635</v>
      </c>
      <c r="D26">
        <v>1</v>
      </c>
      <c r="E26" t="s">
        <v>31</v>
      </c>
      <c r="F26" t="s">
        <v>32</v>
      </c>
      <c r="G26" t="str">
        <f>"2026-06-20 08:08:16.141"</f>
        <v>2026-06-20 08:08:16.141</v>
      </c>
      <c r="H26" t="s">
        <v>21</v>
      </c>
      <c r="I26">
        <v>2.09</v>
      </c>
      <c r="J26" t="s">
        <v>27</v>
      </c>
    </row>
    <row r="27" spans="1:10" x14ac:dyDescent="0.25">
      <c r="A27" s="1">
        <v>7</v>
      </c>
      <c r="B27" t="s">
        <v>19</v>
      </c>
      <c r="C27">
        <v>706</v>
      </c>
      <c r="D27">
        <v>4</v>
      </c>
      <c r="E27" t="s">
        <v>28</v>
      </c>
      <c r="F27" t="s">
        <v>29</v>
      </c>
      <c r="G27" t="str">
        <f>"2026-06-20 01:28:55.860"</f>
        <v>2026-06-20 01:28:55.860</v>
      </c>
      <c r="H27" t="s">
        <v>21</v>
      </c>
      <c r="I27">
        <v>0</v>
      </c>
      <c r="J27" t="s">
        <v>30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"2026-06-20 01:28:42.450"</f>
        <v>2026-06-20 01:28:42.450</v>
      </c>
      <c r="H28" t="s">
        <v>21</v>
      </c>
    </row>
    <row r="29" spans="1:10" x14ac:dyDescent="0.25">
      <c r="A29" s="1">
        <v>0</v>
      </c>
      <c r="B29" t="s">
        <v>19</v>
      </c>
      <c r="C29">
        <v>706</v>
      </c>
      <c r="D29">
        <v>4</v>
      </c>
      <c r="E29" t="s">
        <v>28</v>
      </c>
      <c r="F29" t="s">
        <v>29</v>
      </c>
      <c r="G29" t="str">
        <f>"2026-06-19 22:49:41.858"</f>
        <v>2026-06-19 22:49:41.858</v>
      </c>
      <c r="H29" t="s">
        <v>21</v>
      </c>
      <c r="I29">
        <v>0</v>
      </c>
      <c r="J29" t="s">
        <v>30</v>
      </c>
    </row>
    <row r="30" spans="1:10" x14ac:dyDescent="0.25">
      <c r="A30" s="1">
        <v>1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"2026-06-19 22:48:46.458"</f>
        <v>2026-06-19 22:48:46.458</v>
      </c>
      <c r="H30" t="s">
        <v>21</v>
      </c>
    </row>
    <row r="31" spans="1:10" x14ac:dyDescent="0.25">
      <c r="A31" s="1">
        <v>2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"2026-06-19 17:31:51.516"</f>
        <v>2026-06-19 17:31:51.516</v>
      </c>
      <c r="H31" t="s">
        <v>21</v>
      </c>
    </row>
    <row r="32" spans="1:10" x14ac:dyDescent="0.25">
      <c r="A32" s="1">
        <v>3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"2026-06-19 16:04:30.477"</f>
        <v>2026-06-19 16:04:30.477</v>
      </c>
      <c r="H32" t="s">
        <v>21</v>
      </c>
      <c r="I32">
        <v>0</v>
      </c>
      <c r="J32" t="s">
        <v>22</v>
      </c>
    </row>
    <row r="33" spans="1:10" x14ac:dyDescent="0.25">
      <c r="A33" s="1">
        <v>4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"2026-06-19 11:04:28.445"</f>
        <v>2026-06-19 11:04:28.445</v>
      </c>
      <c r="H33" t="s">
        <v>21</v>
      </c>
    </row>
    <row r="34" spans="1:10" s="3" customFormat="1" x14ac:dyDescent="0.25">
      <c r="A34" s="2">
        <v>5</v>
      </c>
      <c r="B34" s="3" t="s">
        <v>23</v>
      </c>
      <c r="C34" s="3">
        <v>647</v>
      </c>
      <c r="D34" s="3">
        <v>1</v>
      </c>
      <c r="E34" s="3" t="s">
        <v>24</v>
      </c>
      <c r="F34" s="3" t="s">
        <v>25</v>
      </c>
      <c r="G34" s="3" t="str">
        <f>"2026-06-19 09:09:07.755"</f>
        <v>2026-06-19 09:09:07.755</v>
      </c>
      <c r="H34" s="3" t="s">
        <v>21</v>
      </c>
    </row>
    <row r="35" spans="1:10" s="3" customFormat="1" x14ac:dyDescent="0.25">
      <c r="A35" s="2">
        <v>6</v>
      </c>
      <c r="B35" s="3" t="s">
        <v>26</v>
      </c>
      <c r="C35" s="3">
        <v>647</v>
      </c>
      <c r="D35" s="3">
        <v>1</v>
      </c>
      <c r="E35" s="3" t="s">
        <v>24</v>
      </c>
      <c r="F35" s="3" t="s">
        <v>25</v>
      </c>
      <c r="G35" s="3" t="str">
        <f>"2026-06-19 09:09:04.257"</f>
        <v>2026-06-19 09:09:04.257</v>
      </c>
      <c r="H35" s="3" t="s">
        <v>21</v>
      </c>
      <c r="I35" s="3">
        <v>14.11</v>
      </c>
      <c r="J35" s="3" t="s">
        <v>27</v>
      </c>
    </row>
    <row r="36" spans="1:10" x14ac:dyDescent="0.25">
      <c r="A36" s="1">
        <v>7</v>
      </c>
      <c r="B36" t="s">
        <v>19</v>
      </c>
      <c r="C36">
        <v>706</v>
      </c>
      <c r="D36">
        <v>4</v>
      </c>
      <c r="E36" t="s">
        <v>28</v>
      </c>
      <c r="F36" t="s">
        <v>29</v>
      </c>
      <c r="G36" t="str">
        <f>"2026-06-19 00:32:06.839"</f>
        <v>2026-06-19 00:32:06.839</v>
      </c>
      <c r="H36" t="s">
        <v>21</v>
      </c>
      <c r="I36">
        <v>0</v>
      </c>
      <c r="J36" t="s">
        <v>30</v>
      </c>
    </row>
    <row r="37" spans="1:10" x14ac:dyDescent="0.25">
      <c r="A37" s="1">
        <v>8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"2026-06-19 00:30:30.609"</f>
        <v>2026-06-19 00:30:30.609</v>
      </c>
      <c r="H37" t="s">
        <v>21</v>
      </c>
    </row>
    <row r="38" spans="1:10" x14ac:dyDescent="0.25">
      <c r="A38" s="1">
        <v>9</v>
      </c>
      <c r="B38" t="s">
        <v>19</v>
      </c>
      <c r="C38">
        <v>706</v>
      </c>
      <c r="D38">
        <v>4</v>
      </c>
      <c r="E38" t="s">
        <v>28</v>
      </c>
      <c r="F38" t="s">
        <v>29</v>
      </c>
      <c r="G38" t="str">
        <f>"2026-06-18 21:51:25.648"</f>
        <v>2026-06-18 21:51:25.648</v>
      </c>
      <c r="H38" t="s">
        <v>21</v>
      </c>
      <c r="I38">
        <v>0</v>
      </c>
      <c r="J38" t="s">
        <v>30</v>
      </c>
    </row>
    <row r="39" spans="1:10" x14ac:dyDescent="0.25">
      <c r="A39" s="1">
        <v>0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"2026-06-18 21:50:42.598"</f>
        <v>2026-06-18 21:50:42.598</v>
      </c>
      <c r="H39" t="s">
        <v>21</v>
      </c>
      <c r="I39">
        <v>0</v>
      </c>
      <c r="J39" t="s">
        <v>22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"2026-06-18 16:15:46.605"</f>
        <v>2026-06-18 16:15:46.605</v>
      </c>
      <c r="H40" t="s">
        <v>21</v>
      </c>
      <c r="I40">
        <v>0</v>
      </c>
      <c r="J40" t="s">
        <v>22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"2026-06-18 13:24:47.442"</f>
        <v>2026-06-18 13:24:47.442</v>
      </c>
      <c r="H41" t="s">
        <v>21</v>
      </c>
    </row>
    <row r="42" spans="1:10" s="3" customFormat="1" x14ac:dyDescent="0.25">
      <c r="A42" s="2">
        <v>3</v>
      </c>
      <c r="B42" s="3" t="s">
        <v>23</v>
      </c>
      <c r="C42" s="3">
        <v>647</v>
      </c>
      <c r="D42" s="3">
        <v>1</v>
      </c>
      <c r="E42" s="3" t="s">
        <v>24</v>
      </c>
      <c r="F42" s="3" t="s">
        <v>25</v>
      </c>
      <c r="G42" s="3" t="str">
        <f>"2026-06-18 12:10:45.995"</f>
        <v>2026-06-18 12:10:45.995</v>
      </c>
      <c r="H42" s="3" t="s">
        <v>21</v>
      </c>
    </row>
    <row r="43" spans="1:10" s="3" customFormat="1" x14ac:dyDescent="0.25">
      <c r="A43" s="2">
        <v>4</v>
      </c>
      <c r="B43" s="3" t="s">
        <v>26</v>
      </c>
      <c r="C43" s="3">
        <v>647</v>
      </c>
      <c r="D43" s="3">
        <v>1</v>
      </c>
      <c r="E43" s="3" t="s">
        <v>24</v>
      </c>
      <c r="F43" s="3" t="s">
        <v>25</v>
      </c>
      <c r="G43" s="3" t="str">
        <f>"2026-06-18 12:10:44.695"</f>
        <v>2026-06-18 12:10:44.695</v>
      </c>
      <c r="H43" s="3" t="s">
        <v>21</v>
      </c>
      <c r="I43" s="3">
        <v>10.72</v>
      </c>
      <c r="J43" s="3" t="s">
        <v>27</v>
      </c>
    </row>
    <row r="44" spans="1:10" x14ac:dyDescent="0.25">
      <c r="A44" s="1">
        <v>5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"2026-06-18 11:18:53.443"</f>
        <v>2026-06-18 11:18:53.443</v>
      </c>
      <c r="H44" t="s">
        <v>21</v>
      </c>
    </row>
    <row r="45" spans="1:10" s="3" customFormat="1" x14ac:dyDescent="0.25">
      <c r="A45" s="2">
        <v>6</v>
      </c>
      <c r="B45" s="3" t="s">
        <v>23</v>
      </c>
      <c r="C45" s="3">
        <v>647</v>
      </c>
      <c r="D45" s="3">
        <v>1</v>
      </c>
      <c r="E45" s="3" t="s">
        <v>24</v>
      </c>
      <c r="F45" s="3" t="s">
        <v>25</v>
      </c>
      <c r="G45" s="3" t="str">
        <f>"2026-06-18 10:32:25.270"</f>
        <v>2026-06-18 10:32:25.270</v>
      </c>
      <c r="H45" s="3" t="s">
        <v>21</v>
      </c>
    </row>
    <row r="46" spans="1:10" s="3" customFormat="1" x14ac:dyDescent="0.25">
      <c r="A46" s="2">
        <v>7</v>
      </c>
      <c r="B46" s="3" t="s">
        <v>26</v>
      </c>
      <c r="C46" s="3">
        <v>647</v>
      </c>
      <c r="D46" s="3">
        <v>1</v>
      </c>
      <c r="E46" s="3" t="s">
        <v>24</v>
      </c>
      <c r="F46" s="3" t="s">
        <v>25</v>
      </c>
      <c r="G46" s="3" t="str">
        <f>"2026-06-18 10:32:23.770"</f>
        <v>2026-06-18 10:32:23.770</v>
      </c>
      <c r="H46" s="3" t="s">
        <v>21</v>
      </c>
      <c r="I46" s="3">
        <v>14.74</v>
      </c>
      <c r="J46" s="3" t="s">
        <v>27</v>
      </c>
    </row>
    <row r="47" spans="1:10" s="3" customFormat="1" x14ac:dyDescent="0.25">
      <c r="A47" s="2">
        <v>9</v>
      </c>
      <c r="B47" s="3" t="s">
        <v>23</v>
      </c>
      <c r="C47" s="3">
        <v>647</v>
      </c>
      <c r="D47" s="3">
        <v>1</v>
      </c>
      <c r="E47" s="3" t="s">
        <v>24</v>
      </c>
      <c r="F47" s="3" t="s">
        <v>25</v>
      </c>
      <c r="G47" s="3" t="str">
        <f>"2026-06-17 18:55:29.370"</f>
        <v>2026-06-17 18:55:29.370</v>
      </c>
      <c r="H47" s="3" t="s">
        <v>21</v>
      </c>
    </row>
    <row r="48" spans="1:10" s="3" customFormat="1" x14ac:dyDescent="0.25">
      <c r="A48" s="2">
        <v>0</v>
      </c>
      <c r="B48" s="3" t="s">
        <v>26</v>
      </c>
      <c r="C48" s="3">
        <v>647</v>
      </c>
      <c r="D48" s="3">
        <v>1</v>
      </c>
      <c r="E48" s="3" t="s">
        <v>24</v>
      </c>
      <c r="F48" s="3" t="s">
        <v>25</v>
      </c>
      <c r="G48" s="3" t="str">
        <f>"2026-06-17 18:55:28.270"</f>
        <v>2026-06-17 18:55:28.270</v>
      </c>
      <c r="H48" s="3" t="s">
        <v>21</v>
      </c>
      <c r="I48" s="3">
        <v>10.98</v>
      </c>
      <c r="J48" s="3" t="s">
        <v>27</v>
      </c>
    </row>
    <row r="49" spans="1:10" s="3" customFormat="1" x14ac:dyDescent="0.25">
      <c r="A49" s="2">
        <v>1</v>
      </c>
      <c r="B49" s="3" t="s">
        <v>23</v>
      </c>
      <c r="C49" s="3">
        <v>647</v>
      </c>
      <c r="D49" s="3">
        <v>1</v>
      </c>
      <c r="E49" s="3" t="s">
        <v>24</v>
      </c>
      <c r="F49" s="3" t="s">
        <v>25</v>
      </c>
      <c r="G49" s="3" t="str">
        <f>"2026-06-17 17:09:25.870"</f>
        <v>2026-06-17 17:09:25.870</v>
      </c>
      <c r="H49" s="3" t="s">
        <v>21</v>
      </c>
    </row>
    <row r="50" spans="1:10" s="3" customFormat="1" x14ac:dyDescent="0.25">
      <c r="A50" s="2">
        <v>2</v>
      </c>
      <c r="B50" s="3" t="s">
        <v>26</v>
      </c>
      <c r="C50" s="3">
        <v>647</v>
      </c>
      <c r="D50" s="3">
        <v>1</v>
      </c>
      <c r="E50" s="3" t="s">
        <v>24</v>
      </c>
      <c r="F50" s="3" t="s">
        <v>25</v>
      </c>
      <c r="G50" s="3" t="str">
        <f>"2026-06-17 17:09:22.770"</f>
        <v>2026-06-17 17:09:22.770</v>
      </c>
      <c r="H50" s="3" t="s">
        <v>21</v>
      </c>
      <c r="I50" s="3">
        <v>11.84</v>
      </c>
      <c r="J50" s="3" t="s">
        <v>27</v>
      </c>
    </row>
    <row r="51" spans="1:10" s="3" customFormat="1" x14ac:dyDescent="0.25">
      <c r="A51" s="2">
        <v>3</v>
      </c>
      <c r="B51" s="3" t="s">
        <v>23</v>
      </c>
      <c r="C51" s="3">
        <v>647</v>
      </c>
      <c r="D51" s="3">
        <v>1</v>
      </c>
      <c r="E51" s="3" t="s">
        <v>24</v>
      </c>
      <c r="F51" s="3" t="s">
        <v>25</v>
      </c>
      <c r="G51" s="3" t="str">
        <f>"2026-06-17 15:14:03.069"</f>
        <v>2026-06-17 15:14:03.069</v>
      </c>
      <c r="H51" s="3" t="s">
        <v>21</v>
      </c>
    </row>
    <row r="52" spans="1:10" s="3" customFormat="1" x14ac:dyDescent="0.25">
      <c r="A52" s="2">
        <v>4</v>
      </c>
      <c r="B52" s="3" t="s">
        <v>26</v>
      </c>
      <c r="C52" s="3">
        <v>647</v>
      </c>
      <c r="D52" s="3">
        <v>1</v>
      </c>
      <c r="E52" s="3" t="s">
        <v>24</v>
      </c>
      <c r="F52" s="3" t="s">
        <v>25</v>
      </c>
      <c r="G52" s="3" t="str">
        <f>"2026-06-17 15:14:01.569"</f>
        <v>2026-06-17 15:14:01.569</v>
      </c>
      <c r="H52" s="3" t="s">
        <v>21</v>
      </c>
      <c r="I52" s="3">
        <v>19.940000000000001</v>
      </c>
      <c r="J52" s="3" t="s">
        <v>27</v>
      </c>
    </row>
    <row r="53" spans="1:10" x14ac:dyDescent="0.25">
      <c r="A53" s="1">
        <v>5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"2026-06-17 13:50:50.428"</f>
        <v>2026-06-17 13:50:50.428</v>
      </c>
      <c r="H53" t="s">
        <v>21</v>
      </c>
      <c r="I53">
        <v>0</v>
      </c>
      <c r="J53" t="s">
        <v>22</v>
      </c>
    </row>
    <row r="54" spans="1:10" s="3" customFormat="1" x14ac:dyDescent="0.25">
      <c r="A54" s="2">
        <v>6</v>
      </c>
      <c r="B54" s="3" t="s">
        <v>23</v>
      </c>
      <c r="C54" s="3">
        <v>647</v>
      </c>
      <c r="D54" s="3">
        <v>1</v>
      </c>
      <c r="E54" s="3" t="s">
        <v>24</v>
      </c>
      <c r="F54" s="3" t="s">
        <v>25</v>
      </c>
      <c r="G54" s="3" t="str">
        <f>"2026-06-17 10:34:34.170"</f>
        <v>2026-06-17 10:34:34.170</v>
      </c>
      <c r="H54" s="3" t="s">
        <v>21</v>
      </c>
    </row>
    <row r="55" spans="1:10" s="3" customFormat="1" x14ac:dyDescent="0.25">
      <c r="A55" s="2">
        <v>7</v>
      </c>
      <c r="B55" s="3" t="s">
        <v>26</v>
      </c>
      <c r="C55" s="3">
        <v>647</v>
      </c>
      <c r="D55" s="3">
        <v>1</v>
      </c>
      <c r="E55" s="3" t="s">
        <v>24</v>
      </c>
      <c r="F55" s="3" t="s">
        <v>25</v>
      </c>
      <c r="G55" s="3" t="str">
        <f>"2026-06-17 10:34:32.870"</f>
        <v>2026-06-17 10:34:32.870</v>
      </c>
      <c r="H55" s="3" t="s">
        <v>21</v>
      </c>
      <c r="I55" s="3">
        <v>20.100000000000001</v>
      </c>
      <c r="J55" s="3" t="s">
        <v>27</v>
      </c>
    </row>
    <row r="56" spans="1:10" x14ac:dyDescent="0.25">
      <c r="A56" s="1">
        <v>8</v>
      </c>
      <c r="B56" t="s">
        <v>23</v>
      </c>
      <c r="C56">
        <v>635</v>
      </c>
      <c r="D56">
        <v>1</v>
      </c>
      <c r="E56" t="s">
        <v>31</v>
      </c>
      <c r="F56" t="s">
        <v>32</v>
      </c>
      <c r="G56" t="str">
        <f>"2026-06-17 08:50:21.316"</f>
        <v>2026-06-17 08:50:21.316</v>
      </c>
      <c r="H56" t="s">
        <v>21</v>
      </c>
    </row>
    <row r="57" spans="1:10" x14ac:dyDescent="0.25">
      <c r="A57" s="1">
        <v>9</v>
      </c>
      <c r="B57" t="s">
        <v>26</v>
      </c>
      <c r="C57">
        <v>635</v>
      </c>
      <c r="D57">
        <v>1</v>
      </c>
      <c r="E57" t="s">
        <v>31</v>
      </c>
      <c r="F57" t="s">
        <v>32</v>
      </c>
      <c r="G57" t="str">
        <f>"2026-06-17 08:45:01.816"</f>
        <v>2026-06-17 08:45:01.816</v>
      </c>
      <c r="H57" t="s">
        <v>21</v>
      </c>
      <c r="I57">
        <v>5.93</v>
      </c>
      <c r="J57" t="s">
        <v>33</v>
      </c>
    </row>
    <row r="58" spans="1:10" x14ac:dyDescent="0.25">
      <c r="A58" s="1">
        <v>0</v>
      </c>
      <c r="B58" t="s">
        <v>23</v>
      </c>
      <c r="C58">
        <v>635</v>
      </c>
      <c r="D58">
        <v>1</v>
      </c>
      <c r="E58" t="s">
        <v>31</v>
      </c>
      <c r="F58" t="s">
        <v>32</v>
      </c>
      <c r="G58" t="str">
        <f>"2026-06-17 08:34:52.316"</f>
        <v>2026-06-17 08:34:52.316</v>
      </c>
      <c r="H58" t="s">
        <v>21</v>
      </c>
    </row>
    <row r="59" spans="1:10" x14ac:dyDescent="0.25">
      <c r="A59" s="1">
        <v>1</v>
      </c>
      <c r="B59" t="s">
        <v>26</v>
      </c>
      <c r="C59">
        <v>635</v>
      </c>
      <c r="D59">
        <v>1</v>
      </c>
      <c r="E59" t="s">
        <v>31</v>
      </c>
      <c r="F59" t="s">
        <v>32</v>
      </c>
      <c r="G59" t="str">
        <f>"2026-06-17 08:27:48.316"</f>
        <v>2026-06-17 08:27:48.316</v>
      </c>
      <c r="H59" t="s">
        <v>21</v>
      </c>
      <c r="I59">
        <v>5.49</v>
      </c>
      <c r="J59" t="s">
        <v>33</v>
      </c>
    </row>
    <row r="60" spans="1:10" x14ac:dyDescent="0.25">
      <c r="A60" s="1">
        <v>2</v>
      </c>
      <c r="B60" t="s">
        <v>23</v>
      </c>
      <c r="C60">
        <v>635</v>
      </c>
      <c r="D60">
        <v>1</v>
      </c>
      <c r="E60" t="s">
        <v>31</v>
      </c>
      <c r="F60" t="s">
        <v>32</v>
      </c>
      <c r="G60" t="str">
        <f>"2026-06-16 21:56:34.116"</f>
        <v>2026-06-16 21:56:34.116</v>
      </c>
      <c r="H60" t="s">
        <v>21</v>
      </c>
    </row>
    <row r="61" spans="1:10" x14ac:dyDescent="0.25">
      <c r="A61" s="1">
        <v>3</v>
      </c>
      <c r="B61" t="s">
        <v>26</v>
      </c>
      <c r="C61">
        <v>635</v>
      </c>
      <c r="D61">
        <v>1</v>
      </c>
      <c r="E61" t="s">
        <v>31</v>
      </c>
      <c r="F61" t="s">
        <v>32</v>
      </c>
      <c r="G61" t="str">
        <f>"2026-06-16 21:54:27.616"</f>
        <v>2026-06-16 21:54:27.616</v>
      </c>
      <c r="H61" t="s">
        <v>21</v>
      </c>
      <c r="I61">
        <v>5.44</v>
      </c>
      <c r="J61" t="s">
        <v>34</v>
      </c>
    </row>
    <row r="62" spans="1:10" s="3" customFormat="1" x14ac:dyDescent="0.25">
      <c r="A62" s="2">
        <v>4</v>
      </c>
      <c r="B62" s="3" t="s">
        <v>23</v>
      </c>
      <c r="C62" s="3">
        <v>647</v>
      </c>
      <c r="D62" s="3">
        <v>1</v>
      </c>
      <c r="E62" s="3" t="s">
        <v>24</v>
      </c>
      <c r="F62" s="3" t="s">
        <v>25</v>
      </c>
      <c r="G62" s="3" t="str">
        <f>"2026-06-16 16:54:13.170"</f>
        <v>2026-06-16 16:54:13.170</v>
      </c>
      <c r="H62" s="3" t="s">
        <v>21</v>
      </c>
    </row>
    <row r="63" spans="1:10" s="3" customFormat="1" x14ac:dyDescent="0.25">
      <c r="A63" s="2">
        <v>5</v>
      </c>
      <c r="B63" s="3" t="s">
        <v>26</v>
      </c>
      <c r="C63" s="3">
        <v>647</v>
      </c>
      <c r="D63" s="3">
        <v>1</v>
      </c>
      <c r="E63" s="3" t="s">
        <v>24</v>
      </c>
      <c r="F63" s="3" t="s">
        <v>25</v>
      </c>
      <c r="G63" s="3" t="str">
        <f>"2026-06-16 16:54:12.070"</f>
        <v>2026-06-16 16:54:12.070</v>
      </c>
      <c r="H63" s="3" t="s">
        <v>21</v>
      </c>
      <c r="I63" s="3">
        <v>9.81</v>
      </c>
      <c r="J63" s="3" t="s">
        <v>27</v>
      </c>
    </row>
    <row r="64" spans="1:10" x14ac:dyDescent="0.25">
      <c r="A64" s="1">
        <v>6</v>
      </c>
      <c r="B64" t="s">
        <v>23</v>
      </c>
      <c r="C64">
        <v>630</v>
      </c>
      <c r="D64">
        <v>5</v>
      </c>
      <c r="E64" t="s">
        <v>35</v>
      </c>
      <c r="F64" t="s">
        <v>36</v>
      </c>
      <c r="G64" t="str">
        <f>"2026-06-16 16:02:18.370"</f>
        <v>2026-06-16 16:02:18.370</v>
      </c>
      <c r="H64" t="s">
        <v>37</v>
      </c>
    </row>
    <row r="65" spans="1:10" x14ac:dyDescent="0.25">
      <c r="A65" s="1">
        <v>7</v>
      </c>
      <c r="B65" t="s">
        <v>19</v>
      </c>
      <c r="C65">
        <v>706</v>
      </c>
      <c r="D65">
        <v>4</v>
      </c>
      <c r="E65" t="s">
        <v>28</v>
      </c>
      <c r="F65" t="s">
        <v>29</v>
      </c>
      <c r="G65" t="str">
        <f>"2026-06-16 16:01:48.227"</f>
        <v>2026-06-16 16:01:48.227</v>
      </c>
      <c r="H65" t="s">
        <v>21</v>
      </c>
      <c r="I65">
        <v>0</v>
      </c>
      <c r="J65" t="s">
        <v>30</v>
      </c>
    </row>
    <row r="66" spans="1:10" x14ac:dyDescent="0.25">
      <c r="A66" s="1">
        <v>8</v>
      </c>
      <c r="B66" t="s">
        <v>38</v>
      </c>
      <c r="C66">
        <v>630</v>
      </c>
      <c r="D66">
        <v>5</v>
      </c>
      <c r="E66" t="s">
        <v>35</v>
      </c>
      <c r="F66" t="s">
        <v>36</v>
      </c>
      <c r="G66" t="str">
        <f>"2026-06-16 15:57:56.270"</f>
        <v>2026-06-16 15:57:56.270</v>
      </c>
      <c r="H66" t="s">
        <v>37</v>
      </c>
      <c r="I66">
        <v>0</v>
      </c>
      <c r="J66" t="s">
        <v>30</v>
      </c>
    </row>
    <row r="67" spans="1:10" x14ac:dyDescent="0.25">
      <c r="A67" s="1">
        <v>9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"2026-06-16 15:52:53.427"</f>
        <v>2026-06-16 15:52:53.427</v>
      </c>
      <c r="H67" t="s">
        <v>21</v>
      </c>
      <c r="I67">
        <v>0</v>
      </c>
      <c r="J67" t="s">
        <v>22</v>
      </c>
    </row>
    <row r="68" spans="1:10" s="3" customFormat="1" x14ac:dyDescent="0.25">
      <c r="A68" s="2">
        <v>0</v>
      </c>
      <c r="B68" s="3" t="s">
        <v>23</v>
      </c>
      <c r="C68" s="3">
        <v>647</v>
      </c>
      <c r="D68" s="3">
        <v>1</v>
      </c>
      <c r="E68" s="3" t="s">
        <v>24</v>
      </c>
      <c r="F68" s="3" t="s">
        <v>25</v>
      </c>
      <c r="G68" s="3" t="str">
        <f>"2026-06-16 15:16:51.308"</f>
        <v>2026-06-16 15:16:51.308</v>
      </c>
      <c r="H68" s="3" t="s">
        <v>21</v>
      </c>
    </row>
    <row r="69" spans="1:10" s="3" customFormat="1" x14ac:dyDescent="0.25">
      <c r="A69" s="2">
        <v>1</v>
      </c>
      <c r="B69" s="3" t="s">
        <v>26</v>
      </c>
      <c r="C69" s="3">
        <v>647</v>
      </c>
      <c r="D69" s="3">
        <v>1</v>
      </c>
      <c r="E69" s="3" t="s">
        <v>24</v>
      </c>
      <c r="F69" s="3" t="s">
        <v>25</v>
      </c>
      <c r="G69" s="3" t="str">
        <f>"2026-06-16 15:16:50.208"</f>
        <v>2026-06-16 15:16:50.208</v>
      </c>
      <c r="H69" s="3" t="s">
        <v>21</v>
      </c>
      <c r="I69" s="3">
        <v>10.87</v>
      </c>
      <c r="J69" s="3" t="s">
        <v>27</v>
      </c>
    </row>
    <row r="70" spans="1:10" x14ac:dyDescent="0.25">
      <c r="A70" s="1">
        <v>2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"2026-06-16 13:51:09.566"</f>
        <v>2026-06-16 13:51:09.566</v>
      </c>
      <c r="H70" t="s">
        <v>21</v>
      </c>
      <c r="I70">
        <v>0</v>
      </c>
      <c r="J70" t="s">
        <v>22</v>
      </c>
    </row>
    <row r="71" spans="1:10" s="3" customFormat="1" x14ac:dyDescent="0.25">
      <c r="A71" s="2">
        <v>3</v>
      </c>
      <c r="B71" s="3" t="s">
        <v>23</v>
      </c>
      <c r="C71" s="3">
        <v>647</v>
      </c>
      <c r="D71" s="3">
        <v>1</v>
      </c>
      <c r="E71" s="3" t="s">
        <v>24</v>
      </c>
      <c r="F71" s="3" t="s">
        <v>25</v>
      </c>
      <c r="G71" s="3" t="str">
        <f>"2026-06-16 12:13:46.378"</f>
        <v>2026-06-16 12:13:46.378</v>
      </c>
      <c r="H71" s="3" t="s">
        <v>21</v>
      </c>
    </row>
    <row r="72" spans="1:10" s="3" customFormat="1" x14ac:dyDescent="0.25">
      <c r="A72" s="2">
        <v>4</v>
      </c>
      <c r="B72" s="3" t="s">
        <v>26</v>
      </c>
      <c r="C72" s="3">
        <v>647</v>
      </c>
      <c r="D72" s="3">
        <v>1</v>
      </c>
      <c r="E72" s="3" t="s">
        <v>24</v>
      </c>
      <c r="F72" s="3" t="s">
        <v>25</v>
      </c>
      <c r="G72" s="3" t="str">
        <f>"2026-06-16 12:13:45.278"</f>
        <v>2026-06-16 12:13:45.278</v>
      </c>
      <c r="H72" s="3" t="s">
        <v>21</v>
      </c>
      <c r="I72" s="3">
        <v>8.6199999999999992</v>
      </c>
      <c r="J72" s="3" t="s">
        <v>27</v>
      </c>
    </row>
    <row r="73" spans="1:10" s="3" customFormat="1" x14ac:dyDescent="0.25">
      <c r="A73" s="2">
        <v>5</v>
      </c>
      <c r="B73" s="3" t="s">
        <v>23</v>
      </c>
      <c r="C73" s="3">
        <v>647</v>
      </c>
      <c r="D73" s="3">
        <v>1</v>
      </c>
      <c r="E73" s="3" t="s">
        <v>24</v>
      </c>
      <c r="F73" s="3" t="s">
        <v>25</v>
      </c>
      <c r="G73" s="3" t="str">
        <f>"2026-06-16 11:40:01.078"</f>
        <v>2026-06-16 11:40:01.078</v>
      </c>
      <c r="H73" s="3" t="s">
        <v>21</v>
      </c>
    </row>
    <row r="74" spans="1:10" s="3" customFormat="1" x14ac:dyDescent="0.25">
      <c r="A74" s="2">
        <v>6</v>
      </c>
      <c r="B74" s="3" t="s">
        <v>26</v>
      </c>
      <c r="C74" s="3">
        <v>647</v>
      </c>
      <c r="D74" s="3">
        <v>1</v>
      </c>
      <c r="E74" s="3" t="s">
        <v>24</v>
      </c>
      <c r="F74" s="3" t="s">
        <v>25</v>
      </c>
      <c r="G74" s="3" t="str">
        <f>"2026-06-16 11:39:59.579"</f>
        <v>2026-06-16 11:39:59.579</v>
      </c>
      <c r="H74" s="3" t="s">
        <v>21</v>
      </c>
      <c r="I74" s="3">
        <v>15.74</v>
      </c>
      <c r="J74" s="3" t="s">
        <v>27</v>
      </c>
    </row>
    <row r="75" spans="1:10" x14ac:dyDescent="0.25">
      <c r="A75" s="1">
        <v>7</v>
      </c>
      <c r="B75" t="s">
        <v>19</v>
      </c>
      <c r="C75">
        <v>706</v>
      </c>
      <c r="D75">
        <v>2</v>
      </c>
      <c r="E75" t="s">
        <v>28</v>
      </c>
      <c r="F75" t="s">
        <v>39</v>
      </c>
      <c r="G75" t="str">
        <f>"2026-06-15 21:19:24.521"</f>
        <v>2026-06-15 21:19:24.521</v>
      </c>
      <c r="H75" t="s">
        <v>21</v>
      </c>
      <c r="I75">
        <v>0</v>
      </c>
      <c r="J75" t="s">
        <v>30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"2026-06-15 21:18:59.421"</f>
        <v>2026-06-15 21:18:59.421</v>
      </c>
      <c r="H76" t="s">
        <v>21</v>
      </c>
    </row>
    <row r="77" spans="1:10" x14ac:dyDescent="0.25">
      <c r="A77" s="1">
        <v>9</v>
      </c>
      <c r="B77" t="s">
        <v>23</v>
      </c>
      <c r="C77">
        <v>635</v>
      </c>
      <c r="D77">
        <v>1</v>
      </c>
      <c r="E77" t="s">
        <v>31</v>
      </c>
      <c r="F77" t="s">
        <v>32</v>
      </c>
      <c r="G77" t="str">
        <f>"2026-06-15 20:21:38.552"</f>
        <v>2026-06-15 20:21:38.552</v>
      </c>
      <c r="H77" t="s">
        <v>21</v>
      </c>
    </row>
    <row r="78" spans="1:10" x14ac:dyDescent="0.25">
      <c r="A78" s="1">
        <v>0</v>
      </c>
      <c r="B78" t="s">
        <v>26</v>
      </c>
      <c r="C78">
        <v>635</v>
      </c>
      <c r="D78">
        <v>1</v>
      </c>
      <c r="E78" t="s">
        <v>31</v>
      </c>
      <c r="F78" t="s">
        <v>32</v>
      </c>
      <c r="G78" t="str">
        <f>"2026-06-15 20:16:59.552"</f>
        <v>2026-06-15 20:16:59.552</v>
      </c>
      <c r="H78" t="s">
        <v>21</v>
      </c>
      <c r="I78">
        <v>3.62</v>
      </c>
      <c r="J78" t="s">
        <v>33</v>
      </c>
    </row>
    <row r="79" spans="1:10" x14ac:dyDescent="0.25">
      <c r="A79" s="1">
        <v>1</v>
      </c>
      <c r="B79" t="s">
        <v>40</v>
      </c>
      <c r="C79">
        <v>86</v>
      </c>
      <c r="D79">
        <v>17</v>
      </c>
      <c r="E79" t="s">
        <v>41</v>
      </c>
      <c r="F79" t="s">
        <v>42</v>
      </c>
      <c r="G79" t="str">
        <f>"2026-06-15 17:12:46.885"</f>
        <v>2026-06-15 17:12:46.885</v>
      </c>
      <c r="H79" t="s">
        <v>21</v>
      </c>
    </row>
    <row r="80" spans="1:10" x14ac:dyDescent="0.25">
      <c r="A80" s="1">
        <v>2</v>
      </c>
      <c r="B80" t="s">
        <v>38</v>
      </c>
      <c r="C80">
        <v>86</v>
      </c>
      <c r="D80">
        <v>17</v>
      </c>
      <c r="E80" t="s">
        <v>41</v>
      </c>
      <c r="F80" t="s">
        <v>42</v>
      </c>
      <c r="G80" t="str">
        <f>"2026-06-15 17:12:16.803"</f>
        <v>2026-06-15 17:12:16.803</v>
      </c>
      <c r="H80" t="s">
        <v>21</v>
      </c>
      <c r="I80">
        <v>0.33</v>
      </c>
      <c r="J80" t="s">
        <v>27</v>
      </c>
    </row>
    <row r="81" spans="1:10" x14ac:dyDescent="0.25">
      <c r="A81" s="1">
        <v>3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"2026-06-15 17:12:09.442"</f>
        <v>2026-06-15 17:12:09.442</v>
      </c>
      <c r="H81" t="s">
        <v>21</v>
      </c>
      <c r="I81">
        <v>0</v>
      </c>
      <c r="J81" t="s">
        <v>22</v>
      </c>
    </row>
    <row r="82" spans="1:10" x14ac:dyDescent="0.25">
      <c r="A82" s="1">
        <v>4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"2026-06-15 13:46:28.412"</f>
        <v>2026-06-15 13:46:28.412</v>
      </c>
      <c r="H82" t="s">
        <v>21</v>
      </c>
    </row>
    <row r="83" spans="1:10" s="3" customFormat="1" x14ac:dyDescent="0.25">
      <c r="A83" s="2">
        <v>5</v>
      </c>
      <c r="B83" s="3" t="s">
        <v>23</v>
      </c>
      <c r="C83" s="3">
        <v>647</v>
      </c>
      <c r="D83" s="3">
        <v>1</v>
      </c>
      <c r="E83" s="3" t="s">
        <v>24</v>
      </c>
      <c r="F83" s="3" t="s">
        <v>25</v>
      </c>
      <c r="G83" s="3" t="str">
        <f>"2026-06-15 10:51:18.080"</f>
        <v>2026-06-15 10:51:18.080</v>
      </c>
      <c r="H83" s="3" t="s">
        <v>21</v>
      </c>
    </row>
    <row r="84" spans="1:10" s="3" customFormat="1" x14ac:dyDescent="0.25">
      <c r="A84" s="2">
        <v>6</v>
      </c>
      <c r="B84" s="3" t="s">
        <v>26</v>
      </c>
      <c r="C84" s="3">
        <v>647</v>
      </c>
      <c r="D84" s="3">
        <v>1</v>
      </c>
      <c r="E84" s="3" t="s">
        <v>24</v>
      </c>
      <c r="F84" s="3" t="s">
        <v>25</v>
      </c>
      <c r="G84" s="3" t="str">
        <f>"2026-06-15 10:51:15.780"</f>
        <v>2026-06-15 10:51:15.780</v>
      </c>
      <c r="H84" s="3" t="s">
        <v>21</v>
      </c>
      <c r="I84" s="3">
        <v>8.7899999999999991</v>
      </c>
      <c r="J84" s="3" t="s">
        <v>27</v>
      </c>
    </row>
    <row r="85" spans="1:10" s="3" customFormat="1" x14ac:dyDescent="0.25">
      <c r="A85" s="2">
        <v>7</v>
      </c>
      <c r="B85" s="3" t="s">
        <v>23</v>
      </c>
      <c r="C85" s="3">
        <v>647</v>
      </c>
      <c r="D85" s="3">
        <v>1</v>
      </c>
      <c r="E85" s="3" t="s">
        <v>24</v>
      </c>
      <c r="F85" s="3" t="s">
        <v>25</v>
      </c>
      <c r="G85" s="3" t="str">
        <f>"2026-06-15 10:11:52.179"</f>
        <v>2026-06-15 10:11:52.179</v>
      </c>
      <c r="H85" s="3" t="s">
        <v>21</v>
      </c>
    </row>
    <row r="86" spans="1:10" s="3" customFormat="1" x14ac:dyDescent="0.25">
      <c r="A86" s="2">
        <v>8</v>
      </c>
      <c r="B86" s="3" t="s">
        <v>26</v>
      </c>
      <c r="C86" s="3">
        <v>647</v>
      </c>
      <c r="D86" s="3">
        <v>1</v>
      </c>
      <c r="E86" s="3" t="s">
        <v>24</v>
      </c>
      <c r="F86" s="3" t="s">
        <v>25</v>
      </c>
      <c r="G86" s="3" t="str">
        <f>"2026-06-15 10:11:51.080"</f>
        <v>2026-06-15 10:11:51.080</v>
      </c>
      <c r="H86" s="3" t="s">
        <v>21</v>
      </c>
      <c r="I86" s="3">
        <v>13.43</v>
      </c>
      <c r="J86" s="3" t="s">
        <v>27</v>
      </c>
    </row>
    <row r="87" spans="1:10" x14ac:dyDescent="0.25">
      <c r="A87" s="1">
        <v>9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"2026-06-15 09:19:10.422"</f>
        <v>2026-06-15 09:19:10.422</v>
      </c>
      <c r="H87" t="s">
        <v>21</v>
      </c>
    </row>
    <row r="88" spans="1:10" x14ac:dyDescent="0.25">
      <c r="A88" s="1">
        <v>0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"2026-06-14 14:11:51.413"</f>
        <v>2026-06-14 14:11:51.413</v>
      </c>
      <c r="H88" t="s">
        <v>21</v>
      </c>
      <c r="I88">
        <v>0</v>
      </c>
      <c r="J88" t="s">
        <v>22</v>
      </c>
    </row>
    <row r="89" spans="1:10" x14ac:dyDescent="0.25">
      <c r="A89" s="1">
        <v>1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"2026-06-14 12:37:53.410"</f>
        <v>2026-06-14 12:37:53.410</v>
      </c>
      <c r="H89" t="s">
        <v>21</v>
      </c>
      <c r="I89">
        <v>0</v>
      </c>
      <c r="J89" t="s">
        <v>22</v>
      </c>
    </row>
    <row r="90" spans="1:10" s="3" customFormat="1" x14ac:dyDescent="0.25">
      <c r="A90" s="2">
        <v>2</v>
      </c>
      <c r="B90" s="3" t="s">
        <v>23</v>
      </c>
      <c r="C90" s="3">
        <v>647</v>
      </c>
      <c r="D90" s="3">
        <v>1</v>
      </c>
      <c r="E90" s="3" t="s">
        <v>24</v>
      </c>
      <c r="F90" s="3" t="s">
        <v>25</v>
      </c>
      <c r="G90" s="3" t="str">
        <f>"2026-06-14 11:07:02.172"</f>
        <v>2026-06-14 11:07:02.172</v>
      </c>
      <c r="H90" s="3" t="s">
        <v>21</v>
      </c>
    </row>
    <row r="91" spans="1:10" s="3" customFormat="1" x14ac:dyDescent="0.25">
      <c r="A91" s="2">
        <v>3</v>
      </c>
      <c r="B91" s="3" t="s">
        <v>26</v>
      </c>
      <c r="C91" s="3">
        <v>647</v>
      </c>
      <c r="D91" s="3">
        <v>1</v>
      </c>
      <c r="E91" s="3" t="s">
        <v>24</v>
      </c>
      <c r="F91" s="3" t="s">
        <v>25</v>
      </c>
      <c r="G91" s="3" t="str">
        <f>"2026-06-14 11:07:00.872"</f>
        <v>2026-06-14 11:07:00.872</v>
      </c>
      <c r="H91" s="3" t="s">
        <v>21</v>
      </c>
      <c r="I91" s="3">
        <v>18.21</v>
      </c>
      <c r="J91" s="3" t="s">
        <v>27</v>
      </c>
    </row>
    <row r="92" spans="1:10" s="3" customFormat="1" x14ac:dyDescent="0.25">
      <c r="A92" s="2">
        <v>4</v>
      </c>
      <c r="B92" s="3" t="s">
        <v>23</v>
      </c>
      <c r="C92" s="3">
        <v>647</v>
      </c>
      <c r="D92" s="3">
        <v>1</v>
      </c>
      <c r="E92" s="3" t="s">
        <v>24</v>
      </c>
      <c r="F92" s="3" t="s">
        <v>25</v>
      </c>
      <c r="G92" s="3" t="str">
        <f>"2026-06-14 02:36:38.172"</f>
        <v>2026-06-14 02:36:38.172</v>
      </c>
      <c r="H92" s="3" t="s">
        <v>21</v>
      </c>
    </row>
    <row r="93" spans="1:10" s="3" customFormat="1" x14ac:dyDescent="0.25">
      <c r="A93" s="2">
        <v>5</v>
      </c>
      <c r="B93" s="3" t="s">
        <v>26</v>
      </c>
      <c r="C93" s="3">
        <v>647</v>
      </c>
      <c r="D93" s="3">
        <v>1</v>
      </c>
      <c r="E93" s="3" t="s">
        <v>24</v>
      </c>
      <c r="F93" s="3" t="s">
        <v>25</v>
      </c>
      <c r="G93" s="3" t="str">
        <f>"2026-06-14 02:36:36.073"</f>
        <v>2026-06-14 02:36:36.073</v>
      </c>
      <c r="H93" s="3" t="s">
        <v>21</v>
      </c>
      <c r="I93" s="3">
        <v>23.53</v>
      </c>
      <c r="J93" s="3" t="s">
        <v>27</v>
      </c>
    </row>
    <row r="94" spans="1:10" x14ac:dyDescent="0.25">
      <c r="A94" s="1">
        <v>6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"2026-06-14 01:51:49.425"</f>
        <v>2026-06-14 01:51:49.425</v>
      </c>
      <c r="H94" t="s">
        <v>21</v>
      </c>
      <c r="I94">
        <v>0</v>
      </c>
      <c r="J94" t="s">
        <v>22</v>
      </c>
    </row>
    <row r="95" spans="1:10" x14ac:dyDescent="0.25">
      <c r="A95" s="1">
        <v>7</v>
      </c>
      <c r="B95" t="s">
        <v>23</v>
      </c>
      <c r="C95">
        <v>635</v>
      </c>
      <c r="D95">
        <v>1</v>
      </c>
      <c r="E95" t="s">
        <v>31</v>
      </c>
      <c r="F95" t="s">
        <v>32</v>
      </c>
      <c r="G95" t="str">
        <f>"2026-06-13 22:33:43.788"</f>
        <v>2026-06-13 22:33:43.788</v>
      </c>
      <c r="H95" t="s">
        <v>21</v>
      </c>
    </row>
    <row r="96" spans="1:10" x14ac:dyDescent="0.25">
      <c r="A96" s="1">
        <v>8</v>
      </c>
      <c r="B96" t="s">
        <v>26</v>
      </c>
      <c r="C96">
        <v>635</v>
      </c>
      <c r="D96">
        <v>1</v>
      </c>
      <c r="E96" t="s">
        <v>31</v>
      </c>
      <c r="F96" t="s">
        <v>32</v>
      </c>
      <c r="G96" t="str">
        <f>"2026-06-13 22:28:20.788"</f>
        <v>2026-06-13 22:28:20.788</v>
      </c>
      <c r="H96" t="s">
        <v>21</v>
      </c>
      <c r="I96">
        <v>5</v>
      </c>
      <c r="J96" t="s">
        <v>34</v>
      </c>
    </row>
    <row r="97" spans="1:10" s="3" customFormat="1" x14ac:dyDescent="0.25">
      <c r="A97" s="2">
        <v>9</v>
      </c>
      <c r="B97" s="3" t="s">
        <v>23</v>
      </c>
      <c r="C97" s="3">
        <v>647</v>
      </c>
      <c r="D97" s="3">
        <v>1</v>
      </c>
      <c r="E97" s="3" t="s">
        <v>24</v>
      </c>
      <c r="F97" s="3" t="s">
        <v>25</v>
      </c>
      <c r="G97" s="3" t="str">
        <f>"2026-06-13 17:53:22.288"</f>
        <v>2026-06-13 17:53:22.288</v>
      </c>
      <c r="H97" s="3" t="s">
        <v>21</v>
      </c>
    </row>
    <row r="98" spans="1:10" s="3" customFormat="1" x14ac:dyDescent="0.25">
      <c r="A98" s="2">
        <v>0</v>
      </c>
      <c r="B98" s="3" t="s">
        <v>26</v>
      </c>
      <c r="C98" s="3">
        <v>647</v>
      </c>
      <c r="D98" s="3">
        <v>1</v>
      </c>
      <c r="E98" s="3" t="s">
        <v>24</v>
      </c>
      <c r="F98" s="3" t="s">
        <v>25</v>
      </c>
      <c r="G98" s="3" t="str">
        <f>"2026-06-13 17:53:20.288"</f>
        <v>2026-06-13 17:53:20.288</v>
      </c>
      <c r="H98" s="3" t="s">
        <v>21</v>
      </c>
      <c r="I98" s="3">
        <v>14.49</v>
      </c>
      <c r="J98" s="3" t="s">
        <v>27</v>
      </c>
    </row>
    <row r="99" spans="1:10" s="3" customFormat="1" x14ac:dyDescent="0.25">
      <c r="A99" s="2">
        <v>1</v>
      </c>
      <c r="B99" s="3" t="s">
        <v>23</v>
      </c>
      <c r="C99" s="3">
        <v>647</v>
      </c>
      <c r="D99" s="3">
        <v>1</v>
      </c>
      <c r="E99" s="3" t="s">
        <v>24</v>
      </c>
      <c r="F99" s="3" t="s">
        <v>25</v>
      </c>
      <c r="G99" s="3" t="str">
        <f>"2026-06-13 17:18:53.788"</f>
        <v>2026-06-13 17:18:53.788</v>
      </c>
      <c r="H99" s="3" t="s">
        <v>21</v>
      </c>
    </row>
    <row r="100" spans="1:10" s="3" customFormat="1" x14ac:dyDescent="0.25">
      <c r="A100" s="2">
        <v>2</v>
      </c>
      <c r="B100" s="3" t="s">
        <v>26</v>
      </c>
      <c r="C100" s="3">
        <v>647</v>
      </c>
      <c r="D100" s="3">
        <v>1</v>
      </c>
      <c r="E100" s="3" t="s">
        <v>24</v>
      </c>
      <c r="F100" s="3" t="s">
        <v>25</v>
      </c>
      <c r="G100" s="3" t="str">
        <f>"2026-06-13 17:18:51.088"</f>
        <v>2026-06-13 17:18:51.088</v>
      </c>
      <c r="H100" s="3" t="s">
        <v>21</v>
      </c>
      <c r="I100" s="3">
        <v>12.03</v>
      </c>
      <c r="J100" s="3" t="s">
        <v>27</v>
      </c>
    </row>
    <row r="101" spans="1:10" s="3" customFormat="1" x14ac:dyDescent="0.25">
      <c r="A101" s="2">
        <v>3</v>
      </c>
      <c r="B101" s="3" t="s">
        <v>23</v>
      </c>
      <c r="C101" s="3">
        <v>647</v>
      </c>
      <c r="D101" s="3">
        <v>1</v>
      </c>
      <c r="E101" s="3" t="s">
        <v>24</v>
      </c>
      <c r="F101" s="3" t="s">
        <v>25</v>
      </c>
      <c r="G101" s="3" t="str">
        <f>"2026-06-13 17:18:47.988"</f>
        <v>2026-06-13 17:18:47.988</v>
      </c>
      <c r="H101" s="3" t="s">
        <v>21</v>
      </c>
    </row>
    <row r="102" spans="1:10" s="3" customFormat="1" x14ac:dyDescent="0.25">
      <c r="A102" s="2">
        <v>4</v>
      </c>
      <c r="B102" s="3" t="s">
        <v>26</v>
      </c>
      <c r="C102" s="3">
        <v>647</v>
      </c>
      <c r="D102" s="3">
        <v>1</v>
      </c>
      <c r="E102" s="3" t="s">
        <v>24</v>
      </c>
      <c r="F102" s="3" t="s">
        <v>25</v>
      </c>
      <c r="G102" s="3" t="str">
        <f>"2026-06-13 17:18:46.889"</f>
        <v>2026-06-13 17:18:46.889</v>
      </c>
      <c r="H102" s="3" t="s">
        <v>21</v>
      </c>
      <c r="I102" s="3">
        <v>10.58</v>
      </c>
      <c r="J102" s="3" t="s">
        <v>27</v>
      </c>
    </row>
    <row r="103" spans="1:10" x14ac:dyDescent="0.25">
      <c r="A103" s="1">
        <v>5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"2026-06-13 17:10:14.421"</f>
        <v>2026-06-13 17:10:14.421</v>
      </c>
      <c r="H103" t="s">
        <v>21</v>
      </c>
    </row>
    <row r="104" spans="1:10" s="3" customFormat="1" x14ac:dyDescent="0.25">
      <c r="A104" s="2">
        <v>6</v>
      </c>
      <c r="B104" s="3" t="s">
        <v>23</v>
      </c>
      <c r="C104" s="3">
        <v>647</v>
      </c>
      <c r="D104" s="3">
        <v>1</v>
      </c>
      <c r="E104" s="3" t="s">
        <v>24</v>
      </c>
      <c r="F104" s="3" t="s">
        <v>25</v>
      </c>
      <c r="G104" s="3" t="str">
        <f>"2026-06-13 16:23:15.861"</f>
        <v>2026-06-13 16:23:15.861</v>
      </c>
      <c r="H104" s="3" t="s">
        <v>21</v>
      </c>
    </row>
    <row r="105" spans="1:10" s="3" customFormat="1" x14ac:dyDescent="0.25">
      <c r="A105" s="2">
        <v>7</v>
      </c>
      <c r="B105" s="3" t="s">
        <v>26</v>
      </c>
      <c r="C105" s="3">
        <v>647</v>
      </c>
      <c r="D105" s="3">
        <v>1</v>
      </c>
      <c r="E105" s="3" t="s">
        <v>24</v>
      </c>
      <c r="F105" s="3" t="s">
        <v>25</v>
      </c>
      <c r="G105" s="3" t="str">
        <f>"2026-06-13 16:23:14.762"</f>
        <v>2026-06-13 16:23:14.762</v>
      </c>
      <c r="H105" s="3" t="s">
        <v>21</v>
      </c>
      <c r="I105" s="3">
        <v>17.14</v>
      </c>
      <c r="J105" s="3" t="s">
        <v>27</v>
      </c>
    </row>
    <row r="106" spans="1:10" x14ac:dyDescent="0.25">
      <c r="A106" s="1">
        <v>8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"2026-06-13 14:26:19.404"</f>
        <v>2026-06-13 14:26:19.404</v>
      </c>
      <c r="H106" t="s">
        <v>21</v>
      </c>
      <c r="I106">
        <v>0</v>
      </c>
      <c r="J106" t="s">
        <v>22</v>
      </c>
    </row>
    <row r="107" spans="1:10" x14ac:dyDescent="0.25">
      <c r="A107" s="1">
        <v>9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"2026-06-13 13:13:37.587"</f>
        <v>2026-06-13 13:13:37.587</v>
      </c>
      <c r="H107" t="s">
        <v>21</v>
      </c>
    </row>
    <row r="108" spans="1:10" s="3" customFormat="1" x14ac:dyDescent="0.25">
      <c r="A108" s="2">
        <v>0</v>
      </c>
      <c r="B108" s="3" t="s">
        <v>23</v>
      </c>
      <c r="C108" s="3">
        <v>647</v>
      </c>
      <c r="D108" s="3">
        <v>1</v>
      </c>
      <c r="E108" s="3" t="s">
        <v>24</v>
      </c>
      <c r="F108" s="3" t="s">
        <v>25</v>
      </c>
      <c r="G108" s="3" t="str">
        <f>"2026-06-13 08:40:51.664"</f>
        <v>2026-06-13 08:40:51.664</v>
      </c>
      <c r="H108" s="3" t="s">
        <v>21</v>
      </c>
    </row>
    <row r="109" spans="1:10" s="3" customFormat="1" x14ac:dyDescent="0.25">
      <c r="A109" s="2">
        <v>1</v>
      </c>
      <c r="B109" s="3" t="s">
        <v>26</v>
      </c>
      <c r="C109" s="3">
        <v>647</v>
      </c>
      <c r="D109" s="3">
        <v>1</v>
      </c>
      <c r="E109" s="3" t="s">
        <v>24</v>
      </c>
      <c r="F109" s="3" t="s">
        <v>25</v>
      </c>
      <c r="G109" s="3" t="str">
        <f>"2026-06-13 08:40:50.164"</f>
        <v>2026-06-13 08:40:50.164</v>
      </c>
      <c r="H109" s="3" t="s">
        <v>21</v>
      </c>
      <c r="I109" s="3">
        <v>8.9</v>
      </c>
      <c r="J109" s="3" t="s">
        <v>27</v>
      </c>
    </row>
    <row r="110" spans="1:10" s="3" customFormat="1" x14ac:dyDescent="0.25">
      <c r="A110" s="2">
        <v>2</v>
      </c>
      <c r="B110" s="3" t="s">
        <v>23</v>
      </c>
      <c r="C110" s="3">
        <v>647</v>
      </c>
      <c r="D110" s="3">
        <v>1</v>
      </c>
      <c r="E110" s="3" t="s">
        <v>24</v>
      </c>
      <c r="F110" s="3" t="s">
        <v>25</v>
      </c>
      <c r="G110" s="3" t="str">
        <f>"2026-06-13 02:48:39.664"</f>
        <v>2026-06-13 02:48:39.664</v>
      </c>
      <c r="H110" s="3" t="s">
        <v>21</v>
      </c>
    </row>
    <row r="111" spans="1:10" s="3" customFormat="1" x14ac:dyDescent="0.25">
      <c r="A111" s="2">
        <v>3</v>
      </c>
      <c r="B111" s="3" t="s">
        <v>26</v>
      </c>
      <c r="C111" s="3">
        <v>647</v>
      </c>
      <c r="D111" s="3">
        <v>1</v>
      </c>
      <c r="E111" s="3" t="s">
        <v>24</v>
      </c>
      <c r="F111" s="3" t="s">
        <v>25</v>
      </c>
      <c r="G111" s="3" t="str">
        <f>"2026-06-13 02:48:31.664"</f>
        <v>2026-06-13 02:48:31.664</v>
      </c>
      <c r="H111" s="3" t="s">
        <v>21</v>
      </c>
      <c r="I111" s="3">
        <v>11.47</v>
      </c>
      <c r="J111" s="3" t="s">
        <v>27</v>
      </c>
    </row>
    <row r="112" spans="1:10" s="3" customFormat="1" x14ac:dyDescent="0.25">
      <c r="A112" s="2">
        <v>4</v>
      </c>
      <c r="B112" s="3" t="s">
        <v>23</v>
      </c>
      <c r="C112" s="3">
        <v>647</v>
      </c>
      <c r="D112" s="3">
        <v>1</v>
      </c>
      <c r="E112" s="3" t="s">
        <v>24</v>
      </c>
      <c r="F112" s="3" t="s">
        <v>25</v>
      </c>
      <c r="G112" s="3" t="str">
        <f>"2026-06-12 17:39:35.264"</f>
        <v>2026-06-12 17:39:35.264</v>
      </c>
      <c r="H112" s="3" t="s">
        <v>21</v>
      </c>
    </row>
    <row r="113" spans="1:10" s="3" customFormat="1" x14ac:dyDescent="0.25">
      <c r="A113" s="2">
        <v>5</v>
      </c>
      <c r="B113" s="3" t="s">
        <v>26</v>
      </c>
      <c r="C113" s="3">
        <v>647</v>
      </c>
      <c r="D113" s="3">
        <v>1</v>
      </c>
      <c r="E113" s="3" t="s">
        <v>24</v>
      </c>
      <c r="F113" s="3" t="s">
        <v>25</v>
      </c>
      <c r="G113" s="3" t="str">
        <f>"2026-06-12 17:39:33.664"</f>
        <v>2026-06-12 17:39:33.664</v>
      </c>
      <c r="H113" s="3" t="s">
        <v>21</v>
      </c>
      <c r="I113" s="3">
        <v>12.59</v>
      </c>
      <c r="J113" s="3" t="s">
        <v>27</v>
      </c>
    </row>
    <row r="114" spans="1:10" x14ac:dyDescent="0.25">
      <c r="A114" s="1">
        <v>6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"2026-06-12 16:13:52.497"</f>
        <v>2026-06-12 16:13:52.497</v>
      </c>
      <c r="H114" t="s">
        <v>21</v>
      </c>
      <c r="I114">
        <v>0</v>
      </c>
      <c r="J114" t="s">
        <v>22</v>
      </c>
    </row>
    <row r="115" spans="1:10" x14ac:dyDescent="0.25">
      <c r="A115" s="1">
        <v>7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"2026-06-12 14:36:21.408"</f>
        <v>2026-06-12 14:36:21.408</v>
      </c>
      <c r="H115" t="s">
        <v>21</v>
      </c>
      <c r="I115">
        <v>0</v>
      </c>
      <c r="J115" t="s">
        <v>22</v>
      </c>
    </row>
    <row r="116" spans="1:10" s="3" customFormat="1" x14ac:dyDescent="0.25">
      <c r="A116" s="2">
        <v>8</v>
      </c>
      <c r="B116" s="3" t="s">
        <v>23</v>
      </c>
      <c r="C116" s="3">
        <v>647</v>
      </c>
      <c r="D116" s="3">
        <v>1</v>
      </c>
      <c r="E116" s="3" t="s">
        <v>24</v>
      </c>
      <c r="F116" s="3" t="s">
        <v>25</v>
      </c>
      <c r="G116" s="3" t="str">
        <f>"2026-06-12 12:58:14.648"</f>
        <v>2026-06-12 12:58:14.648</v>
      </c>
      <c r="H116" s="3" t="s">
        <v>21</v>
      </c>
    </row>
    <row r="117" spans="1:10" s="3" customFormat="1" x14ac:dyDescent="0.25">
      <c r="A117" s="2">
        <v>9</v>
      </c>
      <c r="B117" s="3" t="s">
        <v>26</v>
      </c>
      <c r="C117" s="3">
        <v>647</v>
      </c>
      <c r="D117" s="3">
        <v>1</v>
      </c>
      <c r="E117" s="3" t="s">
        <v>24</v>
      </c>
      <c r="F117" s="3" t="s">
        <v>25</v>
      </c>
      <c r="G117" s="3" t="str">
        <f>"2026-06-12 12:58:11.348"</f>
        <v>2026-06-12 12:58:11.348</v>
      </c>
      <c r="H117" s="3" t="s">
        <v>21</v>
      </c>
      <c r="I117" s="3">
        <v>9.08</v>
      </c>
      <c r="J117" s="3" t="s">
        <v>27</v>
      </c>
    </row>
    <row r="118" spans="1:10" s="3" customFormat="1" x14ac:dyDescent="0.25">
      <c r="A118" s="2">
        <v>10</v>
      </c>
      <c r="B118" s="3" t="s">
        <v>23</v>
      </c>
      <c r="C118" s="3">
        <v>647</v>
      </c>
      <c r="D118" s="3">
        <v>1</v>
      </c>
      <c r="E118" s="3" t="s">
        <v>24</v>
      </c>
      <c r="F118" s="3" t="s">
        <v>25</v>
      </c>
      <c r="G118" s="3" t="str">
        <f>"2026-06-12 12:30:46.348"</f>
        <v>2026-06-12 12:30:46.348</v>
      </c>
      <c r="H118" s="3" t="s">
        <v>21</v>
      </c>
    </row>
    <row r="119" spans="1:10" s="3" customFormat="1" x14ac:dyDescent="0.25">
      <c r="A119" s="2">
        <v>11</v>
      </c>
      <c r="B119" s="3" t="s">
        <v>26</v>
      </c>
      <c r="C119" s="3">
        <v>647</v>
      </c>
      <c r="D119" s="3">
        <v>1</v>
      </c>
      <c r="E119" s="3" t="s">
        <v>24</v>
      </c>
      <c r="F119" s="3" t="s">
        <v>25</v>
      </c>
      <c r="G119" s="3" t="str">
        <f>"2026-06-12 12:30:44.749"</f>
        <v>2026-06-12 12:30:44.749</v>
      </c>
      <c r="H119" s="3" t="s">
        <v>21</v>
      </c>
      <c r="I119" s="3">
        <v>12.49</v>
      </c>
      <c r="J119" s="3" t="s">
        <v>27</v>
      </c>
    </row>
    <row r="120" spans="1:10" x14ac:dyDescent="0.25">
      <c r="A120" s="1">
        <v>12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"2026-06-12 12:25:35.429"</f>
        <v>2026-06-12 12:25:35.429</v>
      </c>
      <c r="H120" t="s">
        <v>21</v>
      </c>
      <c r="I120">
        <v>0</v>
      </c>
      <c r="J120" t="s">
        <v>22</v>
      </c>
    </row>
    <row r="121" spans="1:10" s="3" customFormat="1" x14ac:dyDescent="0.25">
      <c r="A121" s="2">
        <v>13</v>
      </c>
      <c r="B121" s="3" t="s">
        <v>23</v>
      </c>
      <c r="C121" s="3">
        <v>647</v>
      </c>
      <c r="D121" s="3">
        <v>1</v>
      </c>
      <c r="E121" s="3" t="s">
        <v>24</v>
      </c>
      <c r="F121" s="3" t="s">
        <v>25</v>
      </c>
      <c r="G121" s="3" t="str">
        <f>"2026-06-12 11:07:42.055"</f>
        <v>2026-06-12 11:07:42.055</v>
      </c>
      <c r="H121" s="3" t="s">
        <v>21</v>
      </c>
    </row>
    <row r="122" spans="1:10" s="3" customFormat="1" x14ac:dyDescent="0.25">
      <c r="A122" s="2">
        <v>14</v>
      </c>
      <c r="B122" s="3" t="s">
        <v>26</v>
      </c>
      <c r="C122" s="3">
        <v>647</v>
      </c>
      <c r="D122" s="3">
        <v>1</v>
      </c>
      <c r="E122" s="3" t="s">
        <v>24</v>
      </c>
      <c r="F122" s="3" t="s">
        <v>25</v>
      </c>
      <c r="G122" s="3" t="str">
        <f>"2026-06-12 11:07:40.555"</f>
        <v>2026-06-12 11:07:40.555</v>
      </c>
      <c r="H122" s="3" t="s">
        <v>21</v>
      </c>
      <c r="I122" s="3">
        <v>9.17</v>
      </c>
      <c r="J122" s="3" t="s">
        <v>27</v>
      </c>
    </row>
    <row r="123" spans="1:10" s="3" customFormat="1" x14ac:dyDescent="0.25">
      <c r="A123" s="2">
        <v>15</v>
      </c>
      <c r="B123" s="3" t="s">
        <v>23</v>
      </c>
      <c r="C123" s="3">
        <v>647</v>
      </c>
      <c r="D123" s="3">
        <v>1</v>
      </c>
      <c r="E123" s="3" t="s">
        <v>24</v>
      </c>
      <c r="F123" s="3" t="s">
        <v>25</v>
      </c>
      <c r="G123" s="3" t="str">
        <f>"2026-06-12 09:34:10.355"</f>
        <v>2026-06-12 09:34:10.355</v>
      </c>
      <c r="H123" s="3" t="s">
        <v>21</v>
      </c>
    </row>
    <row r="124" spans="1:10" s="3" customFormat="1" x14ac:dyDescent="0.25">
      <c r="A124" s="2">
        <v>16</v>
      </c>
      <c r="B124" s="3" t="s">
        <v>26</v>
      </c>
      <c r="C124" s="3">
        <v>647</v>
      </c>
      <c r="D124" s="3">
        <v>1</v>
      </c>
      <c r="E124" s="3" t="s">
        <v>24</v>
      </c>
      <c r="F124" s="3" t="s">
        <v>25</v>
      </c>
      <c r="G124" s="3" t="str">
        <f>"2026-06-12 09:34:08.755"</f>
        <v>2026-06-12 09:34:08.755</v>
      </c>
      <c r="H124" s="3" t="s">
        <v>21</v>
      </c>
      <c r="I124" s="3">
        <v>10.53</v>
      </c>
      <c r="J124" s="3" t="s">
        <v>27</v>
      </c>
    </row>
    <row r="125" spans="1:10" x14ac:dyDescent="0.25">
      <c r="A125" s="1">
        <v>17</v>
      </c>
      <c r="B125" t="s">
        <v>23</v>
      </c>
      <c r="C125">
        <v>635</v>
      </c>
      <c r="D125">
        <v>1</v>
      </c>
      <c r="E125" t="s">
        <v>31</v>
      </c>
      <c r="F125" t="s">
        <v>32</v>
      </c>
      <c r="G125" t="str">
        <f>"2026-06-12 06:05:45.455"</f>
        <v>2026-06-12 06:05:45.455</v>
      </c>
      <c r="H125" t="s">
        <v>21</v>
      </c>
    </row>
    <row r="126" spans="1:10" x14ac:dyDescent="0.25">
      <c r="A126" s="1">
        <v>18</v>
      </c>
      <c r="B126" t="s">
        <v>26</v>
      </c>
      <c r="C126">
        <v>635</v>
      </c>
      <c r="D126">
        <v>1</v>
      </c>
      <c r="E126" t="s">
        <v>31</v>
      </c>
      <c r="F126" t="s">
        <v>32</v>
      </c>
      <c r="G126" t="str">
        <f>"2026-06-12 05:58:34.455"</f>
        <v>2026-06-12 05:58:34.455</v>
      </c>
      <c r="H126" t="s">
        <v>21</v>
      </c>
      <c r="I126">
        <v>1.44</v>
      </c>
      <c r="J126" t="s">
        <v>33</v>
      </c>
    </row>
    <row r="127" spans="1:10" x14ac:dyDescent="0.25">
      <c r="A127" s="1">
        <v>19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"2026-06-12 01:58:36.378"</f>
        <v>2026-06-12 01:58:36.378</v>
      </c>
      <c r="H127" t="s">
        <v>21</v>
      </c>
    </row>
    <row r="128" spans="1:10" x14ac:dyDescent="0.25">
      <c r="A128" s="1">
        <v>20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"2026-06-12 00:19:23.500"</f>
        <v>2026-06-12 00:19:23.500</v>
      </c>
      <c r="H128" t="s">
        <v>21</v>
      </c>
    </row>
    <row r="129" spans="1:10" x14ac:dyDescent="0.25">
      <c r="A129" s="1">
        <v>21</v>
      </c>
      <c r="B129" t="s">
        <v>23</v>
      </c>
      <c r="C129">
        <v>630</v>
      </c>
      <c r="D129">
        <v>5</v>
      </c>
      <c r="E129" t="s">
        <v>35</v>
      </c>
      <c r="F129" t="s">
        <v>36</v>
      </c>
      <c r="G129" t="str">
        <f>"2026-06-11 23:46:53.829"</f>
        <v>2026-06-11 23:46:53.829</v>
      </c>
      <c r="H129" t="s">
        <v>37</v>
      </c>
    </row>
    <row r="130" spans="1:10" x14ac:dyDescent="0.25">
      <c r="A130" s="1">
        <v>22</v>
      </c>
      <c r="B130" t="s">
        <v>19</v>
      </c>
      <c r="C130">
        <v>706</v>
      </c>
      <c r="D130">
        <v>2</v>
      </c>
      <c r="E130" t="s">
        <v>28</v>
      </c>
      <c r="F130" t="s">
        <v>39</v>
      </c>
      <c r="G130" t="str">
        <f>"2026-06-11 23:46:23.702"</f>
        <v>2026-06-11 23:46:23.702</v>
      </c>
      <c r="H130" t="s">
        <v>21</v>
      </c>
      <c r="I130">
        <v>0</v>
      </c>
      <c r="J130" t="s">
        <v>30</v>
      </c>
    </row>
    <row r="131" spans="1:10" x14ac:dyDescent="0.25">
      <c r="A131" s="1">
        <v>23</v>
      </c>
      <c r="B131" t="s">
        <v>38</v>
      </c>
      <c r="C131">
        <v>630</v>
      </c>
      <c r="D131">
        <v>5</v>
      </c>
      <c r="E131" t="s">
        <v>35</v>
      </c>
      <c r="F131" t="s">
        <v>36</v>
      </c>
      <c r="G131" t="str">
        <f>"2026-06-11 23:41:43.030"</f>
        <v>2026-06-11 23:41:43.030</v>
      </c>
      <c r="H131" t="s">
        <v>37</v>
      </c>
      <c r="I131">
        <v>0</v>
      </c>
      <c r="J131" t="s">
        <v>30</v>
      </c>
    </row>
    <row r="132" spans="1:10" x14ac:dyDescent="0.25">
      <c r="A132" s="1">
        <v>24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"2026-06-11 23:36:40.392"</f>
        <v>2026-06-11 23:36:40.392</v>
      </c>
      <c r="H132" t="s">
        <v>21</v>
      </c>
    </row>
    <row r="133" spans="1:10" x14ac:dyDescent="0.25">
      <c r="A133" s="1">
        <v>25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"2026-06-11 22:26:51.414"</f>
        <v>2026-06-11 22:26:51.414</v>
      </c>
      <c r="H133" t="s">
        <v>21</v>
      </c>
      <c r="I133">
        <v>0</v>
      </c>
      <c r="J133" t="s">
        <v>22</v>
      </c>
    </row>
    <row r="134" spans="1:10" s="3" customFormat="1" x14ac:dyDescent="0.25">
      <c r="A134" s="2">
        <v>26</v>
      </c>
      <c r="B134" s="3" t="s">
        <v>23</v>
      </c>
      <c r="C134" s="3">
        <v>647</v>
      </c>
      <c r="D134" s="3">
        <v>1</v>
      </c>
      <c r="E134" s="3" t="s">
        <v>24</v>
      </c>
      <c r="F134" s="3" t="s">
        <v>25</v>
      </c>
      <c r="G134" s="3" t="str">
        <f>"2026-06-11 16:38:13.457"</f>
        <v>2026-06-11 16:38:13.457</v>
      </c>
      <c r="H134" s="3" t="s">
        <v>21</v>
      </c>
    </row>
    <row r="135" spans="1:10" s="3" customFormat="1" x14ac:dyDescent="0.25">
      <c r="A135" s="2">
        <v>27</v>
      </c>
      <c r="B135" s="3" t="s">
        <v>26</v>
      </c>
      <c r="C135" s="3">
        <v>647</v>
      </c>
      <c r="D135" s="3">
        <v>1</v>
      </c>
      <c r="E135" s="3" t="s">
        <v>24</v>
      </c>
      <c r="F135" s="3" t="s">
        <v>25</v>
      </c>
      <c r="G135" s="3" t="str">
        <f>"2026-06-11 16:38:10.157"</f>
        <v>2026-06-11 16:38:10.157</v>
      </c>
      <c r="H135" s="3" t="s">
        <v>21</v>
      </c>
      <c r="I135" s="3">
        <v>8.3800000000000008</v>
      </c>
      <c r="J135" s="3" t="s">
        <v>27</v>
      </c>
    </row>
    <row r="136" spans="1:10" x14ac:dyDescent="0.25">
      <c r="A136" s="1">
        <v>28</v>
      </c>
      <c r="B136" t="s">
        <v>23</v>
      </c>
      <c r="C136">
        <v>635</v>
      </c>
      <c r="D136">
        <v>1</v>
      </c>
      <c r="E136" t="s">
        <v>31</v>
      </c>
      <c r="F136" t="s">
        <v>32</v>
      </c>
      <c r="G136" t="str">
        <f>"2026-06-11 13:29:25.956"</f>
        <v>2026-06-11 13:29:25.956</v>
      </c>
      <c r="H136" t="s">
        <v>21</v>
      </c>
    </row>
    <row r="137" spans="1:10" x14ac:dyDescent="0.25">
      <c r="A137" s="1">
        <v>29</v>
      </c>
      <c r="B137" t="s">
        <v>26</v>
      </c>
      <c r="C137">
        <v>635</v>
      </c>
      <c r="D137">
        <v>1</v>
      </c>
      <c r="E137" t="s">
        <v>31</v>
      </c>
      <c r="F137" t="s">
        <v>32</v>
      </c>
      <c r="G137" t="str">
        <f>"2026-06-11 13:22:46.456"</f>
        <v>2026-06-11 13:22:46.456</v>
      </c>
      <c r="H137" t="s">
        <v>21</v>
      </c>
      <c r="I137">
        <v>8.24</v>
      </c>
      <c r="J137" t="s">
        <v>33</v>
      </c>
    </row>
    <row r="138" spans="1:10" x14ac:dyDescent="0.25">
      <c r="A138" s="1">
        <v>30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"2026-06-11 13:13:46.375"</f>
        <v>2026-06-11 13:13:46.375</v>
      </c>
      <c r="H138" t="s">
        <v>21</v>
      </c>
      <c r="I138">
        <v>0</v>
      </c>
      <c r="J138" t="s">
        <v>22</v>
      </c>
    </row>
    <row r="139" spans="1:10" x14ac:dyDescent="0.25">
      <c r="A139" s="1">
        <v>31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"2026-06-11 12:46:45.512"</f>
        <v>2026-06-11 12:46:45.512</v>
      </c>
      <c r="H139" t="s">
        <v>21</v>
      </c>
    </row>
    <row r="140" spans="1:10" x14ac:dyDescent="0.25">
      <c r="A140" s="1">
        <v>32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"2026-06-11 08:18:14.403"</f>
        <v>2026-06-11 08:18:14.403</v>
      </c>
      <c r="H140" t="s">
        <v>21</v>
      </c>
      <c r="I140">
        <v>0</v>
      </c>
      <c r="J140" t="s">
        <v>22</v>
      </c>
    </row>
    <row r="141" spans="1:10" x14ac:dyDescent="0.25">
      <c r="A141" s="1">
        <v>34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"2026-06-11 01:36:38.417"</f>
        <v>2026-06-11 01:36:38.417</v>
      </c>
      <c r="H141" t="s">
        <v>21</v>
      </c>
      <c r="I141">
        <v>0</v>
      </c>
      <c r="J141" t="s">
        <v>22</v>
      </c>
    </row>
    <row r="142" spans="1:10" s="3" customFormat="1" x14ac:dyDescent="0.25">
      <c r="A142" s="2">
        <v>35</v>
      </c>
      <c r="B142" s="3" t="s">
        <v>23</v>
      </c>
      <c r="C142" s="3">
        <v>647</v>
      </c>
      <c r="D142" s="3">
        <v>1</v>
      </c>
      <c r="E142" s="3" t="s">
        <v>24</v>
      </c>
      <c r="F142" s="3" t="s">
        <v>25</v>
      </c>
      <c r="G142" s="3" t="str">
        <f>"2026-06-10 18:57:10.658"</f>
        <v>2026-06-10 18:57:10.658</v>
      </c>
      <c r="H142" s="3" t="s">
        <v>21</v>
      </c>
    </row>
    <row r="143" spans="1:10" s="3" customFormat="1" x14ac:dyDescent="0.25">
      <c r="A143" s="2">
        <v>36</v>
      </c>
      <c r="B143" s="3" t="s">
        <v>26</v>
      </c>
      <c r="C143" s="3">
        <v>647</v>
      </c>
      <c r="D143" s="3">
        <v>1</v>
      </c>
      <c r="E143" s="3" t="s">
        <v>24</v>
      </c>
      <c r="F143" s="3" t="s">
        <v>25</v>
      </c>
      <c r="G143" s="3" t="str">
        <f>"2026-06-10 18:57:09.558"</f>
        <v>2026-06-10 18:57:09.558</v>
      </c>
      <c r="H143" s="3" t="s">
        <v>21</v>
      </c>
      <c r="I143" s="3">
        <v>14.85</v>
      </c>
      <c r="J143" s="3" t="s">
        <v>27</v>
      </c>
    </row>
    <row r="144" spans="1:10" x14ac:dyDescent="0.25">
      <c r="A144" s="1">
        <v>37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"2026-06-10 17:48:10.387"</f>
        <v>2026-06-10 17:48:10.387</v>
      </c>
      <c r="H144" t="s">
        <v>21</v>
      </c>
      <c r="I144">
        <v>0</v>
      </c>
      <c r="J144" t="s">
        <v>22</v>
      </c>
    </row>
    <row r="145" spans="1:10" x14ac:dyDescent="0.25">
      <c r="A145" s="1">
        <v>38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"2026-06-10 15:13:33.375"</f>
        <v>2026-06-10 15:13:33.375</v>
      </c>
      <c r="H145" t="s">
        <v>21</v>
      </c>
    </row>
    <row r="146" spans="1:10" x14ac:dyDescent="0.25">
      <c r="A146" s="1">
        <v>39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"2026-06-10 13:56:30.407"</f>
        <v>2026-06-10 13:56:30.407</v>
      </c>
      <c r="H146" t="s">
        <v>21</v>
      </c>
      <c r="I146">
        <v>0</v>
      </c>
      <c r="J146" t="s">
        <v>22</v>
      </c>
    </row>
    <row r="147" spans="1:10" x14ac:dyDescent="0.25">
      <c r="A147" s="1">
        <v>40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"2026-06-09 15:44:36.421"</f>
        <v>2026-06-09 15:44:36.421</v>
      </c>
      <c r="H147" t="s">
        <v>21</v>
      </c>
      <c r="I147">
        <v>0</v>
      </c>
      <c r="J147" t="s">
        <v>22</v>
      </c>
    </row>
    <row r="148" spans="1:10" s="3" customFormat="1" x14ac:dyDescent="0.25">
      <c r="A148" s="2">
        <v>41</v>
      </c>
      <c r="B148" s="3" t="s">
        <v>23</v>
      </c>
      <c r="C148" s="3">
        <v>647</v>
      </c>
      <c r="D148" s="3">
        <v>1</v>
      </c>
      <c r="E148" s="3" t="s">
        <v>24</v>
      </c>
      <c r="F148" s="3" t="s">
        <v>25</v>
      </c>
      <c r="G148" s="3" t="str">
        <f>"2026-06-09 13:42:55.288"</f>
        <v>2026-06-09 13:42:55.288</v>
      </c>
      <c r="H148" s="3" t="s">
        <v>21</v>
      </c>
    </row>
    <row r="149" spans="1:10" s="3" customFormat="1" x14ac:dyDescent="0.25">
      <c r="A149" s="2">
        <v>42</v>
      </c>
      <c r="B149" s="3" t="s">
        <v>26</v>
      </c>
      <c r="C149" s="3">
        <v>647</v>
      </c>
      <c r="D149" s="3">
        <v>1</v>
      </c>
      <c r="E149" s="3" t="s">
        <v>24</v>
      </c>
      <c r="F149" s="3" t="s">
        <v>25</v>
      </c>
      <c r="G149" s="3" t="str">
        <f>"2026-06-09 13:42:52.388"</f>
        <v>2026-06-09 13:42:52.388</v>
      </c>
      <c r="H149" s="3" t="s">
        <v>21</v>
      </c>
      <c r="I149" s="3">
        <v>17.95</v>
      </c>
      <c r="J149" s="3" t="s">
        <v>27</v>
      </c>
    </row>
    <row r="150" spans="1:10" x14ac:dyDescent="0.25">
      <c r="A150" s="1">
        <v>43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"2026-06-09 12:29:03.399"</f>
        <v>2026-06-09 12:29:03.399</v>
      </c>
      <c r="H150" t="s">
        <v>21</v>
      </c>
    </row>
    <row r="151" spans="1:10" x14ac:dyDescent="0.25">
      <c r="A151" s="1">
        <v>44</v>
      </c>
      <c r="B151" t="s">
        <v>23</v>
      </c>
      <c r="C151">
        <v>630</v>
      </c>
      <c r="D151">
        <v>5</v>
      </c>
      <c r="E151" t="s">
        <v>35</v>
      </c>
      <c r="F151" t="s">
        <v>36</v>
      </c>
      <c r="G151" t="str">
        <f>"2026-06-09 04:21:44.097"</f>
        <v>2026-06-09 04:21:44.097</v>
      </c>
      <c r="H151" t="s">
        <v>37</v>
      </c>
    </row>
    <row r="152" spans="1:10" x14ac:dyDescent="0.25">
      <c r="A152" s="1">
        <v>45</v>
      </c>
      <c r="B152" t="s">
        <v>19</v>
      </c>
      <c r="C152">
        <v>706</v>
      </c>
      <c r="D152">
        <v>2</v>
      </c>
      <c r="E152" t="s">
        <v>28</v>
      </c>
      <c r="F152" t="s">
        <v>39</v>
      </c>
      <c r="G152" t="str">
        <f>"2026-06-09 04:21:13.919"</f>
        <v>2026-06-09 04:21:13.919</v>
      </c>
      <c r="H152" t="s">
        <v>21</v>
      </c>
      <c r="I152">
        <v>0</v>
      </c>
      <c r="J152" t="s">
        <v>30</v>
      </c>
    </row>
    <row r="153" spans="1:10" x14ac:dyDescent="0.25">
      <c r="A153" s="1">
        <v>46</v>
      </c>
      <c r="B153" t="s">
        <v>38</v>
      </c>
      <c r="C153">
        <v>630</v>
      </c>
      <c r="D153">
        <v>5</v>
      </c>
      <c r="E153" t="s">
        <v>35</v>
      </c>
      <c r="F153" t="s">
        <v>36</v>
      </c>
      <c r="G153" t="str">
        <f>"2026-06-09 04:18:44.397"</f>
        <v>2026-06-09 04:18:44.397</v>
      </c>
      <c r="H153" t="s">
        <v>37</v>
      </c>
      <c r="I153">
        <v>0</v>
      </c>
      <c r="J153" t="s">
        <v>30</v>
      </c>
    </row>
    <row r="154" spans="1:10" x14ac:dyDescent="0.25">
      <c r="A154" s="1">
        <v>47</v>
      </c>
      <c r="B154" t="s">
        <v>23</v>
      </c>
      <c r="C154">
        <v>635</v>
      </c>
      <c r="D154">
        <v>1</v>
      </c>
      <c r="E154" t="s">
        <v>31</v>
      </c>
      <c r="F154" t="s">
        <v>32</v>
      </c>
      <c r="G154" t="str">
        <f>"2026-06-09 02:04:10.749"</f>
        <v>2026-06-09 02:04:10.749</v>
      </c>
      <c r="H154" t="s">
        <v>21</v>
      </c>
    </row>
    <row r="155" spans="1:10" x14ac:dyDescent="0.25">
      <c r="A155" s="1">
        <v>48</v>
      </c>
      <c r="B155" t="s">
        <v>26</v>
      </c>
      <c r="C155">
        <v>635</v>
      </c>
      <c r="D155">
        <v>1</v>
      </c>
      <c r="E155" t="s">
        <v>31</v>
      </c>
      <c r="F155" t="s">
        <v>32</v>
      </c>
      <c r="G155" t="str">
        <f>"2026-06-09 01:57:57.849"</f>
        <v>2026-06-09 01:57:57.849</v>
      </c>
      <c r="H155" t="s">
        <v>21</v>
      </c>
      <c r="I155">
        <v>0</v>
      </c>
      <c r="J155" t="s">
        <v>34</v>
      </c>
    </row>
    <row r="156" spans="1:10" x14ac:dyDescent="0.25">
      <c r="A156" s="1">
        <v>49</v>
      </c>
      <c r="B156" t="s">
        <v>19</v>
      </c>
      <c r="C156">
        <v>706</v>
      </c>
      <c r="D156">
        <v>4</v>
      </c>
      <c r="E156" t="s">
        <v>28</v>
      </c>
      <c r="F156" t="s">
        <v>29</v>
      </c>
      <c r="G156" t="str">
        <f>"2026-06-09 00:50:07.649"</f>
        <v>2026-06-09 00:50:07.649</v>
      </c>
      <c r="H156" t="s">
        <v>21</v>
      </c>
      <c r="I156">
        <v>0</v>
      </c>
      <c r="J156" t="s">
        <v>30</v>
      </c>
    </row>
    <row r="157" spans="1:10" x14ac:dyDescent="0.25">
      <c r="A157" s="1">
        <v>50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"2026-06-09 00:49:30.409"</f>
        <v>2026-06-09 00:49:30.409</v>
      </c>
      <c r="H157" t="s">
        <v>21</v>
      </c>
    </row>
    <row r="158" spans="1:10" s="3" customFormat="1" x14ac:dyDescent="0.25">
      <c r="A158" s="2">
        <v>51</v>
      </c>
      <c r="B158" s="3" t="s">
        <v>23</v>
      </c>
      <c r="C158" s="3">
        <v>647</v>
      </c>
      <c r="D158" s="3">
        <v>1</v>
      </c>
      <c r="E158" s="3" t="s">
        <v>24</v>
      </c>
      <c r="F158" s="3" t="s">
        <v>25</v>
      </c>
      <c r="G158" s="3" t="str">
        <f>"2026-06-08 15:20:13.757"</f>
        <v>2026-06-08 15:20:13.757</v>
      </c>
      <c r="H158" s="3" t="s">
        <v>21</v>
      </c>
    </row>
    <row r="159" spans="1:10" s="3" customFormat="1" x14ac:dyDescent="0.25">
      <c r="A159" s="2">
        <v>52</v>
      </c>
      <c r="B159" s="3" t="s">
        <v>26</v>
      </c>
      <c r="C159" s="3">
        <v>647</v>
      </c>
      <c r="D159" s="3">
        <v>1</v>
      </c>
      <c r="E159" s="3" t="s">
        <v>24</v>
      </c>
      <c r="F159" s="3" t="s">
        <v>25</v>
      </c>
      <c r="G159" s="3" t="str">
        <f>"2026-06-08 15:20:12.757"</f>
        <v>2026-06-08 15:20:12.757</v>
      </c>
      <c r="H159" s="3" t="s">
        <v>21</v>
      </c>
      <c r="I159" s="3">
        <v>9.94</v>
      </c>
      <c r="J159" s="3" t="s">
        <v>34</v>
      </c>
    </row>
    <row r="160" spans="1:10" x14ac:dyDescent="0.25">
      <c r="A160" s="1">
        <v>53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"2026-06-08 14:33:16.474"</f>
        <v>2026-06-08 14:33:16.474</v>
      </c>
      <c r="H160" t="s">
        <v>21</v>
      </c>
      <c r="I160">
        <v>0</v>
      </c>
      <c r="J160" t="s">
        <v>22</v>
      </c>
    </row>
    <row r="161" spans="1:10" x14ac:dyDescent="0.25">
      <c r="A161" s="1">
        <v>54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"2026-06-08 13:35:25.408"</f>
        <v>2026-06-08 13:35:25.408</v>
      </c>
      <c r="H161" t="s">
        <v>21</v>
      </c>
      <c r="I161">
        <v>0</v>
      </c>
      <c r="J161" t="s">
        <v>22</v>
      </c>
    </row>
    <row r="162" spans="1:10" s="3" customFormat="1" x14ac:dyDescent="0.25">
      <c r="A162" s="2">
        <v>55</v>
      </c>
      <c r="B162" s="3" t="s">
        <v>23</v>
      </c>
      <c r="C162" s="3">
        <v>647</v>
      </c>
      <c r="D162" s="3">
        <v>1</v>
      </c>
      <c r="E162" s="3" t="s">
        <v>24</v>
      </c>
      <c r="F162" s="3" t="s">
        <v>25</v>
      </c>
      <c r="G162" s="3" t="str">
        <f>"2026-06-08 10:40:11.792"</f>
        <v>2026-06-08 10:40:11.792</v>
      </c>
      <c r="H162" s="3" t="s">
        <v>21</v>
      </c>
    </row>
    <row r="163" spans="1:10" s="3" customFormat="1" x14ac:dyDescent="0.25">
      <c r="A163" s="2">
        <v>56</v>
      </c>
      <c r="B163" s="3" t="s">
        <v>26</v>
      </c>
      <c r="C163" s="3">
        <v>647</v>
      </c>
      <c r="D163" s="3">
        <v>1</v>
      </c>
      <c r="E163" s="3" t="s">
        <v>24</v>
      </c>
      <c r="F163" s="3" t="s">
        <v>25</v>
      </c>
      <c r="G163" s="3" t="str">
        <f>"2026-06-08 10:40:06.192"</f>
        <v>2026-06-08 10:40:06.192</v>
      </c>
      <c r="H163" s="3" t="s">
        <v>21</v>
      </c>
      <c r="I163" s="3">
        <v>18</v>
      </c>
      <c r="J163" s="3" t="s">
        <v>27</v>
      </c>
    </row>
    <row r="164" spans="1:10" s="3" customFormat="1" x14ac:dyDescent="0.25">
      <c r="A164" s="2">
        <v>57</v>
      </c>
      <c r="B164" s="3" t="s">
        <v>23</v>
      </c>
      <c r="C164" s="3">
        <v>647</v>
      </c>
      <c r="D164" s="3">
        <v>1</v>
      </c>
      <c r="E164" s="3" t="s">
        <v>24</v>
      </c>
      <c r="F164" s="3" t="s">
        <v>25</v>
      </c>
      <c r="G164" s="3" t="str">
        <f>"2026-06-08 10:38:09.892"</f>
        <v>2026-06-08 10:38:09.892</v>
      </c>
      <c r="H164" s="3" t="s">
        <v>21</v>
      </c>
    </row>
    <row r="165" spans="1:10" s="3" customFormat="1" x14ac:dyDescent="0.25">
      <c r="A165" s="2">
        <v>58</v>
      </c>
      <c r="B165" s="3" t="s">
        <v>26</v>
      </c>
      <c r="C165" s="3">
        <v>647</v>
      </c>
      <c r="D165" s="3">
        <v>1</v>
      </c>
      <c r="E165" s="3" t="s">
        <v>24</v>
      </c>
      <c r="F165" s="3" t="s">
        <v>25</v>
      </c>
      <c r="G165" s="3" t="str">
        <f>"2026-06-08 10:38:06.992"</f>
        <v>2026-06-08 10:38:06.992</v>
      </c>
      <c r="H165" s="3" t="s">
        <v>21</v>
      </c>
      <c r="I165" s="3">
        <v>23.5</v>
      </c>
      <c r="J165" s="3" t="s">
        <v>27</v>
      </c>
    </row>
    <row r="166" spans="1:10" s="3" customFormat="1" x14ac:dyDescent="0.25">
      <c r="A166" s="2">
        <v>59</v>
      </c>
      <c r="B166" s="3" t="s">
        <v>23</v>
      </c>
      <c r="C166" s="3">
        <v>647</v>
      </c>
      <c r="D166" s="3">
        <v>1</v>
      </c>
      <c r="E166" s="3" t="s">
        <v>24</v>
      </c>
      <c r="F166" s="3" t="s">
        <v>25</v>
      </c>
      <c r="G166" s="3" t="str">
        <f>"2026-06-08 08:03:28.792"</f>
        <v>2026-06-08 08:03:28.792</v>
      </c>
      <c r="H166" s="3" t="s">
        <v>21</v>
      </c>
    </row>
    <row r="167" spans="1:10" s="3" customFormat="1" x14ac:dyDescent="0.25">
      <c r="A167" s="2">
        <v>60</v>
      </c>
      <c r="B167" s="3" t="s">
        <v>26</v>
      </c>
      <c r="C167" s="3">
        <v>647</v>
      </c>
      <c r="D167" s="3">
        <v>1</v>
      </c>
      <c r="E167" s="3" t="s">
        <v>24</v>
      </c>
      <c r="F167" s="3" t="s">
        <v>25</v>
      </c>
      <c r="G167" s="3" t="str">
        <f>"2026-06-08 08:03:26.492"</f>
        <v>2026-06-08 08:03:26.492</v>
      </c>
      <c r="H167" s="3" t="s">
        <v>21</v>
      </c>
      <c r="I167" s="3">
        <v>15.22</v>
      </c>
      <c r="J167" s="3" t="s">
        <v>27</v>
      </c>
    </row>
    <row r="168" spans="1:10" x14ac:dyDescent="0.25">
      <c r="A168" s="1">
        <v>61</v>
      </c>
      <c r="B168" t="s">
        <v>19</v>
      </c>
      <c r="C168">
        <v>706</v>
      </c>
      <c r="D168">
        <v>4</v>
      </c>
      <c r="E168" t="s">
        <v>28</v>
      </c>
      <c r="F168" t="s">
        <v>29</v>
      </c>
      <c r="G168" t="str">
        <f>"2026-06-08 00:54:02.650"</f>
        <v>2026-06-08 00:54:02.650</v>
      </c>
      <c r="H168" t="s">
        <v>21</v>
      </c>
      <c r="I168">
        <v>0</v>
      </c>
      <c r="J168" t="s">
        <v>30</v>
      </c>
    </row>
    <row r="169" spans="1:10" x14ac:dyDescent="0.25">
      <c r="A169" s="1">
        <v>62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"2026-06-08 00:52:31.400"</f>
        <v>2026-06-08 00:52:31.400</v>
      </c>
      <c r="H169" t="s">
        <v>21</v>
      </c>
    </row>
    <row r="170" spans="1:10" s="3" customFormat="1" x14ac:dyDescent="0.25">
      <c r="A170" s="2">
        <v>63</v>
      </c>
      <c r="B170" s="3" t="s">
        <v>23</v>
      </c>
      <c r="C170" s="3">
        <v>647</v>
      </c>
      <c r="D170" s="3">
        <v>1</v>
      </c>
      <c r="E170" s="3" t="s">
        <v>24</v>
      </c>
      <c r="F170" s="3" t="s">
        <v>25</v>
      </c>
      <c r="G170" s="3" t="str">
        <f>"2026-06-07 15:43:38.165"</f>
        <v>2026-06-07 15:43:38.165</v>
      </c>
      <c r="H170" s="3" t="s">
        <v>21</v>
      </c>
    </row>
    <row r="171" spans="1:10" s="3" customFormat="1" x14ac:dyDescent="0.25">
      <c r="A171" s="2">
        <v>64</v>
      </c>
      <c r="B171" s="3" t="s">
        <v>26</v>
      </c>
      <c r="C171" s="3">
        <v>647</v>
      </c>
      <c r="D171" s="3">
        <v>1</v>
      </c>
      <c r="E171" s="3" t="s">
        <v>24</v>
      </c>
      <c r="F171" s="3" t="s">
        <v>25</v>
      </c>
      <c r="G171" s="3" t="str">
        <f>"2026-06-07 15:43:28.565"</f>
        <v>2026-06-07 15:43:28.565</v>
      </c>
      <c r="H171" s="3" t="s">
        <v>21</v>
      </c>
      <c r="I171" s="3">
        <v>10.130000000000001</v>
      </c>
      <c r="J171" s="3" t="s">
        <v>27</v>
      </c>
    </row>
    <row r="172" spans="1:10" x14ac:dyDescent="0.25">
      <c r="A172" s="1">
        <v>65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"2026-06-07 12:44:03.376"</f>
        <v>2026-06-07 12:44:03.376</v>
      </c>
      <c r="H172" t="s">
        <v>21</v>
      </c>
      <c r="I172">
        <v>0</v>
      </c>
      <c r="J172" t="s">
        <v>22</v>
      </c>
    </row>
    <row r="173" spans="1:10" s="3" customFormat="1" x14ac:dyDescent="0.25">
      <c r="A173" s="2">
        <v>66</v>
      </c>
      <c r="B173" s="3" t="s">
        <v>23</v>
      </c>
      <c r="C173" s="3">
        <v>647</v>
      </c>
      <c r="D173" s="3">
        <v>1</v>
      </c>
      <c r="E173" s="3" t="s">
        <v>24</v>
      </c>
      <c r="F173" s="3" t="s">
        <v>25</v>
      </c>
      <c r="G173" s="3" t="str">
        <f>"2026-06-07 10:08:06.918"</f>
        <v>2026-06-07 10:08:06.918</v>
      </c>
      <c r="H173" s="3" t="s">
        <v>21</v>
      </c>
    </row>
    <row r="174" spans="1:10" s="3" customFormat="1" x14ac:dyDescent="0.25">
      <c r="A174" s="2">
        <v>67</v>
      </c>
      <c r="B174" s="3" t="s">
        <v>26</v>
      </c>
      <c r="C174" s="3">
        <v>647</v>
      </c>
      <c r="D174" s="3">
        <v>1</v>
      </c>
      <c r="E174" s="3" t="s">
        <v>24</v>
      </c>
      <c r="F174" s="3" t="s">
        <v>25</v>
      </c>
      <c r="G174" s="3" t="str">
        <f>"2026-06-07 10:08:04.818"</f>
        <v>2026-06-07 10:08:04.818</v>
      </c>
      <c r="H174" s="3" t="s">
        <v>21</v>
      </c>
      <c r="I174" s="3">
        <v>15.89</v>
      </c>
      <c r="J174" s="3" t="s">
        <v>27</v>
      </c>
    </row>
    <row r="175" spans="1:10" x14ac:dyDescent="0.25">
      <c r="A175" s="1">
        <v>68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"2026-06-07 07:34:30.523"</f>
        <v>2026-06-07 07:34:30.523</v>
      </c>
      <c r="H175" t="s">
        <v>21</v>
      </c>
      <c r="I175">
        <v>0</v>
      </c>
      <c r="J175" t="s">
        <v>22</v>
      </c>
    </row>
    <row r="176" spans="1:10" s="3" customFormat="1" x14ac:dyDescent="0.25">
      <c r="A176" s="2">
        <v>69</v>
      </c>
      <c r="B176" s="3" t="s">
        <v>23</v>
      </c>
      <c r="C176" s="3">
        <v>647</v>
      </c>
      <c r="D176" s="3">
        <v>1</v>
      </c>
      <c r="E176" s="3" t="s">
        <v>24</v>
      </c>
      <c r="F176" s="3" t="s">
        <v>25</v>
      </c>
      <c r="G176" s="3" t="str">
        <f>"2026-06-06 14:52:57.701"</f>
        <v>2026-06-06 14:52:57.701</v>
      </c>
      <c r="H176" s="3" t="s">
        <v>21</v>
      </c>
    </row>
    <row r="177" spans="1:10" s="3" customFormat="1" x14ac:dyDescent="0.25">
      <c r="A177" s="2">
        <v>70</v>
      </c>
      <c r="B177" s="3" t="s">
        <v>26</v>
      </c>
      <c r="C177" s="3">
        <v>647</v>
      </c>
      <c r="D177" s="3">
        <v>1</v>
      </c>
      <c r="E177" s="3" t="s">
        <v>24</v>
      </c>
      <c r="F177" s="3" t="s">
        <v>25</v>
      </c>
      <c r="G177" s="3" t="str">
        <f>"2026-06-06 14:52:56.201"</f>
        <v>2026-06-06 14:52:56.201</v>
      </c>
      <c r="H177" s="3" t="s">
        <v>21</v>
      </c>
      <c r="I177" s="3">
        <v>10.1</v>
      </c>
      <c r="J177" s="3" t="s">
        <v>27</v>
      </c>
    </row>
    <row r="178" spans="1:10" x14ac:dyDescent="0.25">
      <c r="A178" s="1">
        <v>71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"2026-06-06 13:41:29.510"</f>
        <v>2026-06-06 13:41:29.510</v>
      </c>
      <c r="H178" t="s">
        <v>21</v>
      </c>
    </row>
    <row r="179" spans="1:10" x14ac:dyDescent="0.25">
      <c r="A179" s="1">
        <v>72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"2026-06-06 13:21:49.400"</f>
        <v>2026-06-06 13:21:49.400</v>
      </c>
      <c r="H179" t="s">
        <v>21</v>
      </c>
    </row>
    <row r="180" spans="1:10" s="3" customFormat="1" x14ac:dyDescent="0.25">
      <c r="A180" s="2">
        <v>73</v>
      </c>
      <c r="B180" s="3" t="s">
        <v>23</v>
      </c>
      <c r="C180" s="3">
        <v>647</v>
      </c>
      <c r="D180" s="3">
        <v>1</v>
      </c>
      <c r="E180" s="3" t="s">
        <v>24</v>
      </c>
      <c r="F180" s="3" t="s">
        <v>25</v>
      </c>
      <c r="G180" s="3" t="str">
        <f>"2026-06-06 09:34:14.957"</f>
        <v>2026-06-06 09:34:14.957</v>
      </c>
      <c r="H180" s="3" t="s">
        <v>21</v>
      </c>
    </row>
    <row r="181" spans="1:10" s="3" customFormat="1" x14ac:dyDescent="0.25">
      <c r="A181" s="2">
        <v>74</v>
      </c>
      <c r="B181" s="3" t="s">
        <v>26</v>
      </c>
      <c r="C181" s="3">
        <v>647</v>
      </c>
      <c r="D181" s="3">
        <v>1</v>
      </c>
      <c r="E181" s="3" t="s">
        <v>24</v>
      </c>
      <c r="F181" s="3" t="s">
        <v>25</v>
      </c>
      <c r="G181" s="3" t="str">
        <f>"2026-06-06 09:34:13.457"</f>
        <v>2026-06-06 09:34:13.457</v>
      </c>
      <c r="H181" s="3" t="s">
        <v>21</v>
      </c>
      <c r="I181" s="3">
        <v>14.43</v>
      </c>
      <c r="J181" s="3" t="s">
        <v>27</v>
      </c>
    </row>
    <row r="182" spans="1:10" x14ac:dyDescent="0.25">
      <c r="A182" s="1">
        <v>75</v>
      </c>
      <c r="B182" t="s">
        <v>23</v>
      </c>
      <c r="C182">
        <v>635</v>
      </c>
      <c r="D182">
        <v>1</v>
      </c>
      <c r="E182" t="s">
        <v>31</v>
      </c>
      <c r="F182" t="s">
        <v>32</v>
      </c>
      <c r="G182" t="str">
        <f>"2026-06-06 05:06:24.108"</f>
        <v>2026-06-06 05:06:24.108</v>
      </c>
      <c r="H182" t="s">
        <v>21</v>
      </c>
    </row>
    <row r="183" spans="1:10" x14ac:dyDescent="0.25">
      <c r="A183" s="1">
        <v>76</v>
      </c>
      <c r="B183" t="s">
        <v>26</v>
      </c>
      <c r="C183">
        <v>635</v>
      </c>
      <c r="D183">
        <v>1</v>
      </c>
      <c r="E183" t="s">
        <v>31</v>
      </c>
      <c r="F183" t="s">
        <v>32</v>
      </c>
      <c r="G183" t="str">
        <f>"2026-06-06 05:01:03.108"</f>
        <v>2026-06-06 05:01:03.108</v>
      </c>
      <c r="H183" t="s">
        <v>21</v>
      </c>
      <c r="I183">
        <v>1.31</v>
      </c>
      <c r="J183" t="s">
        <v>33</v>
      </c>
    </row>
    <row r="184" spans="1:10" x14ac:dyDescent="0.25">
      <c r="A184" s="1">
        <v>77</v>
      </c>
      <c r="B184" t="s">
        <v>19</v>
      </c>
      <c r="C184">
        <v>706</v>
      </c>
      <c r="D184">
        <v>4</v>
      </c>
      <c r="E184" t="s">
        <v>28</v>
      </c>
      <c r="F184" t="s">
        <v>29</v>
      </c>
      <c r="G184" t="str">
        <f>"2026-06-05 22:37:06.045"</f>
        <v>2026-06-05 22:37:06.045</v>
      </c>
      <c r="H184" t="s">
        <v>21</v>
      </c>
      <c r="I184">
        <v>0</v>
      </c>
      <c r="J184" t="s">
        <v>30</v>
      </c>
    </row>
    <row r="185" spans="1:10" x14ac:dyDescent="0.25">
      <c r="A185" s="1">
        <v>78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"2026-06-05 22:36:29.355"</f>
        <v>2026-06-05 22:36:29.355</v>
      </c>
      <c r="H185" t="s">
        <v>21</v>
      </c>
    </row>
    <row r="186" spans="1:10" x14ac:dyDescent="0.25">
      <c r="A186" s="1">
        <v>79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"2026-06-05 22:25:11.406"</f>
        <v>2026-06-05 22:25:11.406</v>
      </c>
      <c r="H186" t="s">
        <v>21</v>
      </c>
      <c r="I186">
        <v>0</v>
      </c>
      <c r="J186" t="s">
        <v>22</v>
      </c>
    </row>
    <row r="187" spans="1:10" x14ac:dyDescent="0.25">
      <c r="A187" s="1">
        <v>80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"2026-06-05 17:00:01.365"</f>
        <v>2026-06-05 17:00:01.365</v>
      </c>
      <c r="H187" t="s">
        <v>21</v>
      </c>
      <c r="I187">
        <v>0</v>
      </c>
      <c r="J187" t="s">
        <v>22</v>
      </c>
    </row>
    <row r="188" spans="1:10" x14ac:dyDescent="0.25">
      <c r="A188" s="1">
        <v>81</v>
      </c>
      <c r="B188" t="s">
        <v>19</v>
      </c>
      <c r="C188">
        <v>706</v>
      </c>
      <c r="D188">
        <v>2</v>
      </c>
      <c r="E188" t="s">
        <v>28</v>
      </c>
      <c r="F188" t="s">
        <v>39</v>
      </c>
      <c r="G188" t="str">
        <f>"2026-06-05 13:00:33.503"</f>
        <v>2026-06-05 13:00:33.503</v>
      </c>
      <c r="H188" t="s">
        <v>21</v>
      </c>
      <c r="I188">
        <v>0</v>
      </c>
      <c r="J188" t="s">
        <v>30</v>
      </c>
    </row>
    <row r="189" spans="1:10" x14ac:dyDescent="0.25">
      <c r="A189" s="1">
        <v>82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"2026-06-05 13:00:07.403"</f>
        <v>2026-06-05 13:00:07.403</v>
      </c>
      <c r="H189" t="s">
        <v>21</v>
      </c>
      <c r="I189">
        <v>0</v>
      </c>
      <c r="J189" t="s">
        <v>22</v>
      </c>
    </row>
    <row r="190" spans="1:10" s="3" customFormat="1" x14ac:dyDescent="0.25">
      <c r="A190" s="2">
        <v>83</v>
      </c>
      <c r="B190" s="3" t="s">
        <v>23</v>
      </c>
      <c r="C190" s="3">
        <v>647</v>
      </c>
      <c r="D190" s="3">
        <v>1</v>
      </c>
      <c r="E190" s="3" t="s">
        <v>24</v>
      </c>
      <c r="F190" s="3" t="s">
        <v>25</v>
      </c>
      <c r="G190" s="3" t="str">
        <f>"2026-06-05 11:12:08.680"</f>
        <v>2026-06-05 11:12:08.680</v>
      </c>
      <c r="H190" s="3" t="s">
        <v>21</v>
      </c>
    </row>
    <row r="191" spans="1:10" s="3" customFormat="1" x14ac:dyDescent="0.25">
      <c r="A191" s="2">
        <v>84</v>
      </c>
      <c r="B191" s="3" t="s">
        <v>26</v>
      </c>
      <c r="C191" s="3">
        <v>647</v>
      </c>
      <c r="D191" s="3">
        <v>1</v>
      </c>
      <c r="E191" s="3" t="s">
        <v>24</v>
      </c>
      <c r="F191" s="3" t="s">
        <v>25</v>
      </c>
      <c r="G191" s="3" t="str">
        <f>"2026-06-05 11:12:07.581"</f>
        <v>2026-06-05 11:12:07.581</v>
      </c>
      <c r="H191" s="3" t="s">
        <v>21</v>
      </c>
      <c r="I191" s="3">
        <v>17.13</v>
      </c>
      <c r="J191" s="3" t="s">
        <v>27</v>
      </c>
    </row>
    <row r="192" spans="1:10" x14ac:dyDescent="0.25">
      <c r="A192" s="1">
        <v>85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"2026-06-05 09:14:14.402"</f>
        <v>2026-06-05 09:14:14.402</v>
      </c>
      <c r="H192" t="s">
        <v>21</v>
      </c>
      <c r="I192">
        <v>0</v>
      </c>
      <c r="J192" t="s">
        <v>22</v>
      </c>
    </row>
    <row r="193" spans="1:10" x14ac:dyDescent="0.25">
      <c r="A193" s="1">
        <v>86</v>
      </c>
      <c r="B193" t="s">
        <v>19</v>
      </c>
      <c r="C193">
        <v>706</v>
      </c>
      <c r="D193">
        <v>3</v>
      </c>
      <c r="E193" t="s">
        <v>28</v>
      </c>
      <c r="F193" t="s">
        <v>43</v>
      </c>
      <c r="G193" t="str">
        <f>"2026-06-05 08:59:44.629"</f>
        <v>2026-06-05 08:59:44.629</v>
      </c>
      <c r="H193" t="s">
        <v>21</v>
      </c>
      <c r="I193">
        <v>0</v>
      </c>
      <c r="J193" t="s">
        <v>30</v>
      </c>
    </row>
    <row r="194" spans="1:10" x14ac:dyDescent="0.25">
      <c r="A194" s="1">
        <v>87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"2026-06-05 01:07:31.399"</f>
        <v>2026-06-05 01:07:31.399</v>
      </c>
      <c r="H194" t="s">
        <v>21</v>
      </c>
      <c r="I194">
        <v>0</v>
      </c>
      <c r="J194" t="s">
        <v>22</v>
      </c>
    </row>
    <row r="195" spans="1:10" s="3" customFormat="1" x14ac:dyDescent="0.25">
      <c r="A195" s="2">
        <v>88</v>
      </c>
      <c r="B195" s="3" t="s">
        <v>23</v>
      </c>
      <c r="C195" s="3">
        <v>647</v>
      </c>
      <c r="D195" s="3">
        <v>1</v>
      </c>
      <c r="E195" s="3" t="s">
        <v>24</v>
      </c>
      <c r="F195" s="3" t="s">
        <v>25</v>
      </c>
      <c r="G195" s="3" t="str">
        <f>"2026-06-04 15:09:22.753"</f>
        <v>2026-06-04 15:09:22.753</v>
      </c>
      <c r="H195" s="3" t="s">
        <v>21</v>
      </c>
    </row>
    <row r="196" spans="1:10" s="3" customFormat="1" x14ac:dyDescent="0.25">
      <c r="A196" s="2">
        <v>89</v>
      </c>
      <c r="B196" s="3" t="s">
        <v>26</v>
      </c>
      <c r="C196" s="3">
        <v>647</v>
      </c>
      <c r="D196" s="3">
        <v>1</v>
      </c>
      <c r="E196" s="3" t="s">
        <v>24</v>
      </c>
      <c r="F196" s="3" t="s">
        <v>25</v>
      </c>
      <c r="G196" s="3" t="str">
        <f>"2026-06-04 15:09:21.153"</f>
        <v>2026-06-04 15:09:21.153</v>
      </c>
      <c r="H196" s="3" t="s">
        <v>21</v>
      </c>
      <c r="I196" s="3">
        <v>14.42</v>
      </c>
      <c r="J196" s="3" t="s">
        <v>27</v>
      </c>
    </row>
    <row r="197" spans="1:10" s="3" customFormat="1" x14ac:dyDescent="0.25">
      <c r="A197" s="2">
        <v>90</v>
      </c>
      <c r="B197" s="3" t="s">
        <v>23</v>
      </c>
      <c r="C197" s="3">
        <v>647</v>
      </c>
      <c r="D197" s="3">
        <v>1</v>
      </c>
      <c r="E197" s="3" t="s">
        <v>24</v>
      </c>
      <c r="F197" s="3" t="s">
        <v>25</v>
      </c>
      <c r="G197" s="3" t="str">
        <f>"2026-06-04 13:56:38.853"</f>
        <v>2026-06-04 13:56:38.853</v>
      </c>
      <c r="H197" s="3" t="s">
        <v>21</v>
      </c>
    </row>
    <row r="198" spans="1:10" s="3" customFormat="1" x14ac:dyDescent="0.25">
      <c r="A198" s="2">
        <v>91</v>
      </c>
      <c r="B198" s="3" t="s">
        <v>26</v>
      </c>
      <c r="C198" s="3">
        <v>647</v>
      </c>
      <c r="D198" s="3">
        <v>1</v>
      </c>
      <c r="E198" s="3" t="s">
        <v>24</v>
      </c>
      <c r="F198" s="3" t="s">
        <v>25</v>
      </c>
      <c r="G198" s="3" t="str">
        <f>"2026-06-04 13:56:34.953"</f>
        <v>2026-06-04 13:56:34.953</v>
      </c>
      <c r="H198" s="3" t="s">
        <v>21</v>
      </c>
      <c r="I198" s="3">
        <v>9.1300000000000008</v>
      </c>
      <c r="J198" s="3" t="s">
        <v>27</v>
      </c>
    </row>
    <row r="199" spans="1:10" x14ac:dyDescent="0.25">
      <c r="A199" s="1">
        <v>92</v>
      </c>
      <c r="B199" t="s">
        <v>19</v>
      </c>
      <c r="C199">
        <v>706</v>
      </c>
      <c r="D199">
        <v>4</v>
      </c>
      <c r="E199" t="s">
        <v>28</v>
      </c>
      <c r="F199" t="s">
        <v>29</v>
      </c>
      <c r="G199" t="str">
        <f>"2026-06-04 13:38:56.052"</f>
        <v>2026-06-04 13:38:56.052</v>
      </c>
      <c r="H199" t="s">
        <v>21</v>
      </c>
      <c r="I199">
        <v>0</v>
      </c>
      <c r="J199" t="s">
        <v>30</v>
      </c>
    </row>
    <row r="200" spans="1:10" x14ac:dyDescent="0.25">
      <c r="A200" s="1">
        <v>93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"2026-06-04 13:38:25.352"</f>
        <v>2026-06-04 13:38:25.352</v>
      </c>
      <c r="H200" t="s">
        <v>21</v>
      </c>
    </row>
    <row r="201" spans="1:10" x14ac:dyDescent="0.25">
      <c r="A201" s="1">
        <v>94</v>
      </c>
      <c r="B201" t="s">
        <v>19</v>
      </c>
      <c r="C201">
        <v>706</v>
      </c>
      <c r="D201">
        <v>4</v>
      </c>
      <c r="E201" t="s">
        <v>28</v>
      </c>
      <c r="F201" t="s">
        <v>29</v>
      </c>
      <c r="G201" t="str">
        <f>"2026-06-04 13:17:34.435"</f>
        <v>2026-06-04 13:17:34.435</v>
      </c>
      <c r="H201" t="s">
        <v>21</v>
      </c>
      <c r="I201">
        <v>0</v>
      </c>
      <c r="J201" t="s">
        <v>30</v>
      </c>
    </row>
    <row r="202" spans="1:10" x14ac:dyDescent="0.25">
      <c r="A202" s="1">
        <v>95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"2026-06-04 13:17:12.355"</f>
        <v>2026-06-04 13:17:12.355</v>
      </c>
      <c r="H202" t="s">
        <v>21</v>
      </c>
    </row>
    <row r="203" spans="1:10" x14ac:dyDescent="0.25">
      <c r="A203" s="1">
        <v>96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"2026-06-04 12:58:30.388"</f>
        <v>2026-06-04 12:58:30.388</v>
      </c>
      <c r="H203" t="s">
        <v>21</v>
      </c>
      <c r="I203">
        <v>0</v>
      </c>
      <c r="J203" t="s">
        <v>22</v>
      </c>
    </row>
    <row r="204" spans="1:10" s="3" customFormat="1" x14ac:dyDescent="0.25">
      <c r="A204" s="2">
        <v>97</v>
      </c>
      <c r="B204" s="3" t="s">
        <v>23</v>
      </c>
      <c r="C204" s="3">
        <v>647</v>
      </c>
      <c r="D204" s="3">
        <v>1</v>
      </c>
      <c r="E204" s="3" t="s">
        <v>24</v>
      </c>
      <c r="F204" s="3" t="s">
        <v>25</v>
      </c>
      <c r="G204" s="3" t="str">
        <f>"2026-06-04 09:31:52.766"</f>
        <v>2026-06-04 09:31:52.766</v>
      </c>
      <c r="H204" s="3" t="s">
        <v>21</v>
      </c>
    </row>
    <row r="205" spans="1:10" s="3" customFormat="1" x14ac:dyDescent="0.25">
      <c r="A205" s="2">
        <v>98</v>
      </c>
      <c r="B205" s="3" t="s">
        <v>26</v>
      </c>
      <c r="C205" s="3">
        <v>647</v>
      </c>
      <c r="D205" s="3">
        <v>1</v>
      </c>
      <c r="E205" s="3" t="s">
        <v>24</v>
      </c>
      <c r="F205" s="3" t="s">
        <v>25</v>
      </c>
      <c r="G205" s="3" t="str">
        <f>"2026-06-04 09:31:51.466"</f>
        <v>2026-06-04 09:31:51.466</v>
      </c>
      <c r="H205" s="3" t="s">
        <v>21</v>
      </c>
      <c r="I205" s="3">
        <v>8.85</v>
      </c>
      <c r="J205" s="3" t="s">
        <v>27</v>
      </c>
    </row>
    <row r="206" spans="1:10" x14ac:dyDescent="0.25">
      <c r="A206" s="1">
        <v>99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"2026-06-03 16:31:13.375"</f>
        <v>2026-06-03 16:31:13.375</v>
      </c>
      <c r="H206" t="s">
        <v>21</v>
      </c>
      <c r="I206">
        <v>0</v>
      </c>
      <c r="J206" t="s">
        <v>22</v>
      </c>
    </row>
    <row r="207" spans="1:10" x14ac:dyDescent="0.25">
      <c r="A207" s="1">
        <v>0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"2026-06-03 12:32:34.353"</f>
        <v>2026-06-03 12:32:34.353</v>
      </c>
      <c r="H207" t="s">
        <v>21</v>
      </c>
    </row>
    <row r="208" spans="1:10" x14ac:dyDescent="0.25">
      <c r="A208" s="1">
        <v>1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"2026-06-03 11:13:19.398"</f>
        <v>2026-06-03 11:13:19.398</v>
      </c>
      <c r="H208" t="s">
        <v>21</v>
      </c>
      <c r="I208">
        <v>0</v>
      </c>
      <c r="J208" t="s">
        <v>22</v>
      </c>
    </row>
    <row r="209" spans="1:10" s="3" customFormat="1" x14ac:dyDescent="0.25">
      <c r="A209" s="2">
        <v>2</v>
      </c>
      <c r="B209" s="3" t="s">
        <v>23</v>
      </c>
      <c r="C209" s="3">
        <v>647</v>
      </c>
      <c r="D209" s="3">
        <v>1</v>
      </c>
      <c r="E209" s="3" t="s">
        <v>24</v>
      </c>
      <c r="F209" s="3" t="s">
        <v>25</v>
      </c>
      <c r="G209" s="3" t="str">
        <f>"2026-06-03 09:55:56.961"</f>
        <v>2026-06-03 09:55:56.961</v>
      </c>
      <c r="H209" s="3" t="s">
        <v>21</v>
      </c>
    </row>
    <row r="210" spans="1:10" s="3" customFormat="1" x14ac:dyDescent="0.25">
      <c r="A210" s="2">
        <v>3</v>
      </c>
      <c r="B210" s="3" t="s">
        <v>26</v>
      </c>
      <c r="C210" s="3">
        <v>647</v>
      </c>
      <c r="D210" s="3">
        <v>1</v>
      </c>
      <c r="E210" s="3" t="s">
        <v>24</v>
      </c>
      <c r="F210" s="3" t="s">
        <v>25</v>
      </c>
      <c r="G210" s="3" t="str">
        <f>"2026-06-03 09:55:55.061"</f>
        <v>2026-06-03 09:55:55.061</v>
      </c>
      <c r="H210" s="3" t="s">
        <v>21</v>
      </c>
      <c r="I210" s="3">
        <v>8.33</v>
      </c>
      <c r="J210" s="3" t="s">
        <v>27</v>
      </c>
    </row>
    <row r="211" spans="1:10" s="3" customFormat="1" x14ac:dyDescent="0.25">
      <c r="A211" s="2">
        <v>4</v>
      </c>
      <c r="B211" s="3" t="s">
        <v>23</v>
      </c>
      <c r="C211" s="3">
        <v>647</v>
      </c>
      <c r="D211" s="3">
        <v>1</v>
      </c>
      <c r="E211" s="3" t="s">
        <v>24</v>
      </c>
      <c r="F211" s="3" t="s">
        <v>25</v>
      </c>
      <c r="G211" s="3" t="str">
        <f>"2026-06-03 09:49:51.361"</f>
        <v>2026-06-03 09:49:51.361</v>
      </c>
      <c r="H211" s="3" t="s">
        <v>21</v>
      </c>
    </row>
    <row r="212" spans="1:10" s="3" customFormat="1" x14ac:dyDescent="0.25">
      <c r="A212" s="2">
        <v>5</v>
      </c>
      <c r="B212" s="3" t="s">
        <v>26</v>
      </c>
      <c r="C212" s="3">
        <v>647</v>
      </c>
      <c r="D212" s="3">
        <v>1</v>
      </c>
      <c r="E212" s="3" t="s">
        <v>24</v>
      </c>
      <c r="F212" s="3" t="s">
        <v>25</v>
      </c>
      <c r="G212" s="3" t="str">
        <f>"2026-06-03 09:49:50.261"</f>
        <v>2026-06-03 09:49:50.261</v>
      </c>
      <c r="H212" s="3" t="s">
        <v>21</v>
      </c>
      <c r="I212" s="3">
        <v>15.01</v>
      </c>
      <c r="J212" s="3" t="s">
        <v>27</v>
      </c>
    </row>
    <row r="213" spans="1:10" x14ac:dyDescent="0.25">
      <c r="A213" s="1">
        <v>6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"2026-06-03 01:06:20.359"</f>
        <v>2026-06-03 01:06:20.359</v>
      </c>
      <c r="H213" t="s">
        <v>21</v>
      </c>
      <c r="I213">
        <v>0</v>
      </c>
      <c r="J213" t="s">
        <v>22</v>
      </c>
    </row>
    <row r="214" spans="1:10" s="3" customFormat="1" x14ac:dyDescent="0.25">
      <c r="A214" s="2">
        <v>7</v>
      </c>
      <c r="B214" s="3" t="s">
        <v>23</v>
      </c>
      <c r="C214" s="3">
        <v>647</v>
      </c>
      <c r="D214" s="3">
        <v>1</v>
      </c>
      <c r="E214" s="3" t="s">
        <v>24</v>
      </c>
      <c r="F214" s="3" t="s">
        <v>25</v>
      </c>
      <c r="G214" s="3" t="str">
        <f>"2026-06-02 16:09:14.945"</f>
        <v>2026-06-02 16:09:14.945</v>
      </c>
      <c r="H214" s="3" t="s">
        <v>21</v>
      </c>
    </row>
    <row r="215" spans="1:10" s="3" customFormat="1" x14ac:dyDescent="0.25">
      <c r="A215" s="2">
        <v>8</v>
      </c>
      <c r="B215" s="3" t="s">
        <v>26</v>
      </c>
      <c r="C215" s="3">
        <v>647</v>
      </c>
      <c r="D215" s="3">
        <v>1</v>
      </c>
      <c r="E215" s="3" t="s">
        <v>24</v>
      </c>
      <c r="F215" s="3" t="s">
        <v>25</v>
      </c>
      <c r="G215" s="3" t="str">
        <f>"2026-06-02 16:09:12.846"</f>
        <v>2026-06-02 16:09:12.846</v>
      </c>
      <c r="H215" s="3" t="s">
        <v>21</v>
      </c>
      <c r="I215" s="3">
        <v>15.04</v>
      </c>
      <c r="J215" s="3" t="s">
        <v>27</v>
      </c>
    </row>
    <row r="216" spans="1:10" x14ac:dyDescent="0.25">
      <c r="A216" s="1">
        <v>9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"2026-06-02 13:43:25.455"</f>
        <v>2026-06-02 13:43:25.455</v>
      </c>
      <c r="H216" t="s">
        <v>21</v>
      </c>
      <c r="I216">
        <v>0</v>
      </c>
      <c r="J216" t="s">
        <v>22</v>
      </c>
    </row>
    <row r="217" spans="1:10" s="3" customFormat="1" x14ac:dyDescent="0.25">
      <c r="A217" s="2">
        <v>10</v>
      </c>
      <c r="B217" s="3" t="s">
        <v>23</v>
      </c>
      <c r="C217" s="3">
        <v>647</v>
      </c>
      <c r="D217" s="3">
        <v>1</v>
      </c>
      <c r="E217" s="3" t="s">
        <v>24</v>
      </c>
      <c r="F217" s="3" t="s">
        <v>25</v>
      </c>
      <c r="G217" s="3" t="str">
        <f>"2026-06-02 10:46:42.987"</f>
        <v>2026-06-02 10:46:42.987</v>
      </c>
      <c r="H217" s="3" t="s">
        <v>21</v>
      </c>
    </row>
    <row r="218" spans="1:10" s="3" customFormat="1" x14ac:dyDescent="0.25">
      <c r="A218" s="2">
        <v>11</v>
      </c>
      <c r="B218" s="3" t="s">
        <v>26</v>
      </c>
      <c r="C218" s="3">
        <v>647</v>
      </c>
      <c r="D218" s="3">
        <v>1</v>
      </c>
      <c r="E218" s="3" t="s">
        <v>24</v>
      </c>
      <c r="F218" s="3" t="s">
        <v>25</v>
      </c>
      <c r="G218" s="3" t="str">
        <f>"2026-06-02 10:46:41.487"</f>
        <v>2026-06-02 10:46:41.487</v>
      </c>
      <c r="H218" s="3" t="s">
        <v>21</v>
      </c>
      <c r="I218" s="3">
        <v>10.59</v>
      </c>
      <c r="J218" s="3" t="s">
        <v>27</v>
      </c>
    </row>
    <row r="219" spans="1:10" s="3" customFormat="1" x14ac:dyDescent="0.25">
      <c r="A219" s="2">
        <v>12</v>
      </c>
      <c r="B219" s="3" t="s">
        <v>23</v>
      </c>
      <c r="C219" s="3">
        <v>647</v>
      </c>
      <c r="D219" s="3">
        <v>1</v>
      </c>
      <c r="E219" s="3" t="s">
        <v>24</v>
      </c>
      <c r="F219" s="3" t="s">
        <v>25</v>
      </c>
      <c r="G219" s="3" t="str">
        <f>"2026-06-02 10:44:16.887"</f>
        <v>2026-06-02 10:44:16.887</v>
      </c>
      <c r="H219" s="3" t="s">
        <v>21</v>
      </c>
    </row>
    <row r="220" spans="1:10" s="3" customFormat="1" x14ac:dyDescent="0.25">
      <c r="A220" s="2">
        <v>13</v>
      </c>
      <c r="B220" s="3" t="s">
        <v>26</v>
      </c>
      <c r="C220" s="3">
        <v>647</v>
      </c>
      <c r="D220" s="3">
        <v>1</v>
      </c>
      <c r="E220" s="3" t="s">
        <v>24</v>
      </c>
      <c r="F220" s="3" t="s">
        <v>25</v>
      </c>
      <c r="G220" s="3" t="str">
        <f>"2026-06-02 10:44:14.887"</f>
        <v>2026-06-02 10:44:14.887</v>
      </c>
      <c r="H220" s="3" t="s">
        <v>21</v>
      </c>
      <c r="I220" s="3">
        <v>15.47</v>
      </c>
      <c r="J220" s="3" t="s">
        <v>27</v>
      </c>
    </row>
    <row r="221" spans="1:10" s="3" customFormat="1" x14ac:dyDescent="0.25">
      <c r="A221" s="2">
        <v>14</v>
      </c>
      <c r="B221" s="3" t="s">
        <v>23</v>
      </c>
      <c r="C221" s="3">
        <v>647</v>
      </c>
      <c r="D221" s="3">
        <v>1</v>
      </c>
      <c r="E221" s="3" t="s">
        <v>24</v>
      </c>
      <c r="F221" s="3" t="s">
        <v>25</v>
      </c>
      <c r="G221" s="3" t="str">
        <f>"2026-06-02 10:05:41.487"</f>
        <v>2026-06-02 10:05:41.487</v>
      </c>
      <c r="H221" s="3" t="s">
        <v>21</v>
      </c>
    </row>
    <row r="222" spans="1:10" s="3" customFormat="1" x14ac:dyDescent="0.25">
      <c r="A222" s="2">
        <v>15</v>
      </c>
      <c r="B222" s="3" t="s">
        <v>26</v>
      </c>
      <c r="C222" s="3">
        <v>647</v>
      </c>
      <c r="D222" s="3">
        <v>1</v>
      </c>
      <c r="E222" s="3" t="s">
        <v>24</v>
      </c>
      <c r="F222" s="3" t="s">
        <v>25</v>
      </c>
      <c r="G222" s="3" t="str">
        <f>"2026-06-02 10:05:38.587"</f>
        <v>2026-06-02 10:05:38.587</v>
      </c>
      <c r="H222" s="3" t="s">
        <v>21</v>
      </c>
      <c r="I222" s="3">
        <v>9.6</v>
      </c>
      <c r="J222" s="3" t="s">
        <v>27</v>
      </c>
    </row>
    <row r="223" spans="1:10" s="3" customFormat="1" x14ac:dyDescent="0.25">
      <c r="A223" s="2">
        <v>16</v>
      </c>
      <c r="B223" s="3" t="s">
        <v>23</v>
      </c>
      <c r="C223" s="3">
        <v>647</v>
      </c>
      <c r="D223" s="3">
        <v>1</v>
      </c>
      <c r="E223" s="3" t="s">
        <v>24</v>
      </c>
      <c r="F223" s="3" t="s">
        <v>25</v>
      </c>
      <c r="G223" s="3" t="str">
        <f>"2026-06-02 10:05:36.487"</f>
        <v>2026-06-02 10:05:36.487</v>
      </c>
      <c r="H223" s="3" t="s">
        <v>21</v>
      </c>
    </row>
    <row r="224" spans="1:10" s="3" customFormat="1" x14ac:dyDescent="0.25">
      <c r="A224" s="2">
        <v>17</v>
      </c>
      <c r="B224" s="3" t="s">
        <v>26</v>
      </c>
      <c r="C224" s="3">
        <v>647</v>
      </c>
      <c r="D224" s="3">
        <v>1</v>
      </c>
      <c r="E224" s="3" t="s">
        <v>24</v>
      </c>
      <c r="F224" s="3" t="s">
        <v>25</v>
      </c>
      <c r="G224" s="3" t="str">
        <f>"2026-06-02 10:05:34.787"</f>
        <v>2026-06-02 10:05:34.787</v>
      </c>
      <c r="H224" s="3" t="s">
        <v>21</v>
      </c>
      <c r="I224" s="3">
        <v>8.57</v>
      </c>
      <c r="J224" s="3" t="s">
        <v>27</v>
      </c>
    </row>
    <row r="225" spans="1:10" s="3" customFormat="1" x14ac:dyDescent="0.25">
      <c r="A225" s="2">
        <v>18</v>
      </c>
      <c r="B225" s="3" t="s">
        <v>23</v>
      </c>
      <c r="C225" s="3">
        <v>647</v>
      </c>
      <c r="D225" s="3">
        <v>1</v>
      </c>
      <c r="E225" s="3" t="s">
        <v>24</v>
      </c>
      <c r="F225" s="3" t="s">
        <v>25</v>
      </c>
      <c r="G225" s="3" t="str">
        <f>"2026-06-02 09:48:27.887"</f>
        <v>2026-06-02 09:48:27.887</v>
      </c>
      <c r="H225" s="3" t="s">
        <v>21</v>
      </c>
    </row>
    <row r="226" spans="1:10" s="3" customFormat="1" x14ac:dyDescent="0.25">
      <c r="A226" s="2">
        <v>19</v>
      </c>
      <c r="B226" s="3" t="s">
        <v>26</v>
      </c>
      <c r="C226" s="3">
        <v>647</v>
      </c>
      <c r="D226" s="3">
        <v>1</v>
      </c>
      <c r="E226" s="3" t="s">
        <v>24</v>
      </c>
      <c r="F226" s="3" t="s">
        <v>25</v>
      </c>
      <c r="G226" s="3" t="str">
        <f>"2026-06-02 09:48:24.387"</f>
        <v>2026-06-02 09:48:24.387</v>
      </c>
      <c r="H226" s="3" t="s">
        <v>21</v>
      </c>
      <c r="I226" s="3">
        <v>9</v>
      </c>
      <c r="J226" s="3" t="s">
        <v>27</v>
      </c>
    </row>
    <row r="227" spans="1:10" s="3" customFormat="1" x14ac:dyDescent="0.25">
      <c r="A227" s="2">
        <v>20</v>
      </c>
      <c r="B227" s="3" t="s">
        <v>23</v>
      </c>
      <c r="C227" s="3">
        <v>647</v>
      </c>
      <c r="D227" s="3">
        <v>1</v>
      </c>
      <c r="E227" s="3" t="s">
        <v>24</v>
      </c>
      <c r="F227" s="3" t="s">
        <v>25</v>
      </c>
      <c r="G227" s="3" t="str">
        <f>"2026-06-02 07:47:44.387"</f>
        <v>2026-06-02 07:47:44.387</v>
      </c>
      <c r="H227" s="3" t="s">
        <v>21</v>
      </c>
    </row>
    <row r="228" spans="1:10" s="3" customFormat="1" x14ac:dyDescent="0.25">
      <c r="A228" s="2">
        <v>21</v>
      </c>
      <c r="B228" s="3" t="s">
        <v>26</v>
      </c>
      <c r="C228" s="3">
        <v>647</v>
      </c>
      <c r="D228" s="3">
        <v>1</v>
      </c>
      <c r="E228" s="3" t="s">
        <v>24</v>
      </c>
      <c r="F228" s="3" t="s">
        <v>25</v>
      </c>
      <c r="G228" s="3" t="str">
        <f>"2026-06-02 07:47:42.287"</f>
        <v>2026-06-02 07:47:42.287</v>
      </c>
      <c r="H228" s="3" t="s">
        <v>21</v>
      </c>
      <c r="I228" s="3">
        <v>13.58</v>
      </c>
      <c r="J228" s="3" t="s">
        <v>27</v>
      </c>
    </row>
    <row r="229" spans="1:10" x14ac:dyDescent="0.25">
      <c r="A229" s="1">
        <v>22</v>
      </c>
      <c r="B229" t="s">
        <v>23</v>
      </c>
      <c r="C229">
        <v>635</v>
      </c>
      <c r="D229">
        <v>1</v>
      </c>
      <c r="E229" t="s">
        <v>31</v>
      </c>
      <c r="F229" t="s">
        <v>32</v>
      </c>
      <c r="G229" t="str">
        <f>"2026-06-02 02:30:05.439"</f>
        <v>2026-06-02 02:30:05.439</v>
      </c>
      <c r="H229" t="s">
        <v>21</v>
      </c>
    </row>
    <row r="230" spans="1:10" x14ac:dyDescent="0.25">
      <c r="A230" s="1">
        <v>23</v>
      </c>
      <c r="B230" t="s">
        <v>26</v>
      </c>
      <c r="C230">
        <v>635</v>
      </c>
      <c r="D230">
        <v>1</v>
      </c>
      <c r="E230" t="s">
        <v>31</v>
      </c>
      <c r="F230" t="s">
        <v>32</v>
      </c>
      <c r="G230" t="str">
        <f>"2026-06-02 02:25:59.439"</f>
        <v>2026-06-02 02:25:59.439</v>
      </c>
      <c r="H230" t="s">
        <v>21</v>
      </c>
      <c r="I230">
        <v>1.93</v>
      </c>
      <c r="J230" t="s">
        <v>27</v>
      </c>
    </row>
    <row r="231" spans="1:10" x14ac:dyDescent="0.25">
      <c r="A231" s="1">
        <v>24</v>
      </c>
      <c r="B231" t="s">
        <v>23</v>
      </c>
      <c r="C231">
        <v>635</v>
      </c>
      <c r="D231">
        <v>1</v>
      </c>
      <c r="E231" t="s">
        <v>31</v>
      </c>
      <c r="F231" t="s">
        <v>32</v>
      </c>
      <c r="G231" t="str">
        <f>"2026-06-02 00:19:39.239"</f>
        <v>2026-06-02 00:19:39.239</v>
      </c>
      <c r="H231" t="s">
        <v>21</v>
      </c>
    </row>
    <row r="232" spans="1:10" x14ac:dyDescent="0.25">
      <c r="A232" s="1">
        <v>25</v>
      </c>
      <c r="B232" t="s">
        <v>26</v>
      </c>
      <c r="C232">
        <v>635</v>
      </c>
      <c r="D232">
        <v>1</v>
      </c>
      <c r="E232" t="s">
        <v>31</v>
      </c>
      <c r="F232" t="s">
        <v>32</v>
      </c>
      <c r="G232" t="str">
        <f>"2026-06-02 00:12:13.239"</f>
        <v>2026-06-02 00:12:13.239</v>
      </c>
      <c r="H232" t="s">
        <v>21</v>
      </c>
      <c r="I232">
        <v>7.9</v>
      </c>
      <c r="J232" t="s">
        <v>33</v>
      </c>
    </row>
    <row r="233" spans="1:10" s="3" customFormat="1" x14ac:dyDescent="0.25">
      <c r="A233" s="2">
        <v>26</v>
      </c>
      <c r="B233" s="3" t="s">
        <v>23</v>
      </c>
      <c r="C233" s="3">
        <v>647</v>
      </c>
      <c r="D233" s="3">
        <v>1</v>
      </c>
      <c r="E233" s="3" t="s">
        <v>24</v>
      </c>
      <c r="F233" s="3" t="s">
        <v>25</v>
      </c>
      <c r="G233" s="3" t="str">
        <f>"2026-06-01 18:55:09.787"</f>
        <v>2026-06-01 18:55:09.787</v>
      </c>
      <c r="H233" s="3" t="s">
        <v>21</v>
      </c>
    </row>
    <row r="234" spans="1:10" s="3" customFormat="1" x14ac:dyDescent="0.25">
      <c r="A234" s="2">
        <v>27</v>
      </c>
      <c r="B234" s="3" t="s">
        <v>26</v>
      </c>
      <c r="C234" s="3">
        <v>647</v>
      </c>
      <c r="D234" s="3">
        <v>1</v>
      </c>
      <c r="E234" s="3" t="s">
        <v>24</v>
      </c>
      <c r="F234" s="3" t="s">
        <v>25</v>
      </c>
      <c r="G234" s="3" t="str">
        <f>"2026-06-01 18:55:08.688"</f>
        <v>2026-06-01 18:55:08.688</v>
      </c>
      <c r="H234" s="3" t="s">
        <v>21</v>
      </c>
      <c r="I234" s="3">
        <v>16.36</v>
      </c>
      <c r="J234" s="3" t="s">
        <v>27</v>
      </c>
    </row>
    <row r="235" spans="1:10" x14ac:dyDescent="0.25">
      <c r="A235" s="1">
        <v>28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"2026-06-01 18:11:45.590"</f>
        <v>2026-06-01 18:11:45.590</v>
      </c>
      <c r="H235" t="s">
        <v>21</v>
      </c>
      <c r="I235">
        <v>0</v>
      </c>
      <c r="J235" t="s">
        <v>22</v>
      </c>
    </row>
    <row r="236" spans="1:10" x14ac:dyDescent="0.25">
      <c r="A236" s="1">
        <v>29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"2026-06-01 13:35:23.440"</f>
        <v>2026-06-01 13:35:23.440</v>
      </c>
      <c r="H236" t="s">
        <v>21</v>
      </c>
    </row>
    <row r="237" spans="1:10" s="3" customFormat="1" x14ac:dyDescent="0.25">
      <c r="A237" s="2">
        <v>30</v>
      </c>
      <c r="B237" s="3" t="s">
        <v>23</v>
      </c>
      <c r="C237" s="3">
        <v>647</v>
      </c>
      <c r="D237" s="3">
        <v>1</v>
      </c>
      <c r="E237" s="3" t="s">
        <v>24</v>
      </c>
      <c r="F237" s="3" t="s">
        <v>25</v>
      </c>
      <c r="G237" s="3" t="str">
        <f>"2026-06-01 10:17:09.260"</f>
        <v>2026-06-01 10:17:09.260</v>
      </c>
      <c r="H237" s="3" t="s">
        <v>21</v>
      </c>
    </row>
    <row r="238" spans="1:10" s="3" customFormat="1" x14ac:dyDescent="0.25">
      <c r="A238" s="2">
        <v>31</v>
      </c>
      <c r="B238" s="3" t="s">
        <v>26</v>
      </c>
      <c r="C238" s="3">
        <v>647</v>
      </c>
      <c r="D238" s="3">
        <v>1</v>
      </c>
      <c r="E238" s="3" t="s">
        <v>24</v>
      </c>
      <c r="F238" s="3" t="s">
        <v>25</v>
      </c>
      <c r="G238" s="3" t="str">
        <f>"2026-06-01 10:17:06.560"</f>
        <v>2026-06-01 10:17:06.560</v>
      </c>
      <c r="H238" s="3" t="s">
        <v>21</v>
      </c>
      <c r="I238" s="3">
        <v>10.67</v>
      </c>
      <c r="J238" s="3" t="s">
        <v>27</v>
      </c>
    </row>
    <row r="239" spans="1:10" x14ac:dyDescent="0.25">
      <c r="A239" s="1">
        <v>32</v>
      </c>
      <c r="B239" t="s">
        <v>19</v>
      </c>
      <c r="C239">
        <v>706</v>
      </c>
      <c r="D239">
        <v>2</v>
      </c>
      <c r="E239" t="s">
        <v>28</v>
      </c>
      <c r="F239" t="s">
        <v>39</v>
      </c>
      <c r="G239" t="str">
        <f>"2026-06-01 08:37:43.155"</f>
        <v>2026-06-01 08:37:43.155</v>
      </c>
      <c r="H239" t="s">
        <v>21</v>
      </c>
      <c r="I239">
        <v>0</v>
      </c>
      <c r="J239" t="s">
        <v>30</v>
      </c>
    </row>
    <row r="240" spans="1:10" x14ac:dyDescent="0.25">
      <c r="A240" s="1">
        <v>33</v>
      </c>
      <c r="B240" t="s">
        <v>19</v>
      </c>
      <c r="C240">
        <v>706</v>
      </c>
      <c r="D240">
        <v>4</v>
      </c>
      <c r="E240" t="s">
        <v>28</v>
      </c>
      <c r="F240" t="s">
        <v>29</v>
      </c>
      <c r="G240" t="str">
        <f>"2026-05-31 19:52:27.445"</f>
        <v>2026-05-31 19:52:27.445</v>
      </c>
      <c r="H240" t="s">
        <v>21</v>
      </c>
      <c r="I240">
        <v>0</v>
      </c>
      <c r="J240" t="s">
        <v>30</v>
      </c>
    </row>
    <row r="241" spans="1:10" x14ac:dyDescent="0.25">
      <c r="A241" s="1">
        <v>34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"2026-05-31 19:49:09.345"</f>
        <v>2026-05-31 19:49:09.345</v>
      </c>
      <c r="H241" t="s">
        <v>21</v>
      </c>
    </row>
    <row r="242" spans="1:10" x14ac:dyDescent="0.25">
      <c r="A242" s="1">
        <v>35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"2026-05-31 18:37:08.329"</f>
        <v>2026-05-31 18:37:08.329</v>
      </c>
      <c r="H242" t="s">
        <v>21</v>
      </c>
      <c r="I242">
        <v>0</v>
      </c>
      <c r="J242" t="s">
        <v>22</v>
      </c>
    </row>
    <row r="243" spans="1:10" x14ac:dyDescent="0.25">
      <c r="A243" s="1">
        <v>36</v>
      </c>
      <c r="B243" t="s">
        <v>23</v>
      </c>
      <c r="C243">
        <v>630</v>
      </c>
      <c r="D243">
        <v>5</v>
      </c>
      <c r="E243" t="s">
        <v>35</v>
      </c>
      <c r="F243" t="s">
        <v>36</v>
      </c>
      <c r="G243" t="str">
        <f>"2026-05-31 18:29:29.719"</f>
        <v>2026-05-31 18:29:29.719</v>
      </c>
      <c r="H243" t="s">
        <v>37</v>
      </c>
    </row>
    <row r="244" spans="1:10" x14ac:dyDescent="0.25">
      <c r="A244" s="1">
        <v>37</v>
      </c>
      <c r="B244" t="s">
        <v>19</v>
      </c>
      <c r="C244">
        <v>706</v>
      </c>
      <c r="D244">
        <v>4</v>
      </c>
      <c r="E244" t="s">
        <v>28</v>
      </c>
      <c r="F244" t="s">
        <v>29</v>
      </c>
      <c r="G244" t="str">
        <f>"2026-05-31 18:28:59.647"</f>
        <v>2026-05-31 18:28:59.647</v>
      </c>
      <c r="H244" t="s">
        <v>21</v>
      </c>
      <c r="I244">
        <v>0</v>
      </c>
      <c r="J244" t="s">
        <v>30</v>
      </c>
    </row>
    <row r="245" spans="1:10" x14ac:dyDescent="0.25">
      <c r="A245" s="1">
        <v>38</v>
      </c>
      <c r="B245" t="s">
        <v>38</v>
      </c>
      <c r="C245">
        <v>630</v>
      </c>
      <c r="D245">
        <v>5</v>
      </c>
      <c r="E245" t="s">
        <v>35</v>
      </c>
      <c r="F245" t="s">
        <v>36</v>
      </c>
      <c r="G245" t="str">
        <f>"2026-05-31 18:28:18.219"</f>
        <v>2026-05-31 18:28:18.219</v>
      </c>
      <c r="H245" t="s">
        <v>37</v>
      </c>
      <c r="I245">
        <v>0</v>
      </c>
      <c r="J245" t="s">
        <v>30</v>
      </c>
    </row>
    <row r="246" spans="1:10" x14ac:dyDescent="0.25">
      <c r="A246" s="1">
        <v>39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"2026-05-31 18:23:15.377"</f>
        <v>2026-05-31 18:23:15.377</v>
      </c>
      <c r="H246" t="s">
        <v>21</v>
      </c>
    </row>
    <row r="247" spans="1:10" x14ac:dyDescent="0.25">
      <c r="A247" s="1">
        <v>40</v>
      </c>
      <c r="B247" t="s">
        <v>19</v>
      </c>
      <c r="C247">
        <v>706</v>
      </c>
      <c r="D247">
        <v>2</v>
      </c>
      <c r="E247" t="s">
        <v>28</v>
      </c>
      <c r="F247" t="s">
        <v>39</v>
      </c>
      <c r="G247" t="str">
        <f>"2026-05-31 16:40:06.550"</f>
        <v>2026-05-31 16:40:06.550</v>
      </c>
      <c r="H247" t="s">
        <v>21</v>
      </c>
      <c r="I247">
        <v>0</v>
      </c>
      <c r="J247" t="s">
        <v>30</v>
      </c>
    </row>
    <row r="248" spans="1:10" x14ac:dyDescent="0.25">
      <c r="A248" s="1">
        <v>41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"2026-05-31 13:49:39.420"</f>
        <v>2026-05-31 13:49:39.420</v>
      </c>
      <c r="H248" t="s">
        <v>21</v>
      </c>
      <c r="I248">
        <v>0</v>
      </c>
      <c r="J248" t="s">
        <v>22</v>
      </c>
    </row>
    <row r="249" spans="1:10" x14ac:dyDescent="0.25">
      <c r="A249" s="1">
        <v>42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"2026-05-31 13:32:07.379"</f>
        <v>2026-05-31 13:32:07.379</v>
      </c>
      <c r="H249" t="s">
        <v>21</v>
      </c>
      <c r="I249">
        <v>0</v>
      </c>
      <c r="J249" t="s">
        <v>22</v>
      </c>
    </row>
    <row r="250" spans="1:10" s="3" customFormat="1" x14ac:dyDescent="0.25">
      <c r="A250" s="2">
        <v>43</v>
      </c>
      <c r="B250" s="3" t="s">
        <v>23</v>
      </c>
      <c r="C250" s="3">
        <v>647</v>
      </c>
      <c r="D250" s="3">
        <v>1</v>
      </c>
      <c r="E250" s="3" t="s">
        <v>24</v>
      </c>
      <c r="F250" s="3" t="s">
        <v>25</v>
      </c>
      <c r="G250" s="3" t="str">
        <f>"2026-05-31 11:51:49.939"</f>
        <v>2026-05-31 11:51:49.939</v>
      </c>
      <c r="H250" s="3" t="s">
        <v>21</v>
      </c>
    </row>
    <row r="251" spans="1:10" s="3" customFormat="1" x14ac:dyDescent="0.25">
      <c r="A251" s="2">
        <v>44</v>
      </c>
      <c r="B251" s="3" t="s">
        <v>26</v>
      </c>
      <c r="C251" s="3">
        <v>647</v>
      </c>
      <c r="D251" s="3">
        <v>1</v>
      </c>
      <c r="E251" s="3" t="s">
        <v>24</v>
      </c>
      <c r="F251" s="3" t="s">
        <v>25</v>
      </c>
      <c r="G251" s="3" t="str">
        <f>"2026-05-31 11:51:43.039"</f>
        <v>2026-05-31 11:51:43.039</v>
      </c>
      <c r="H251" s="3" t="s">
        <v>21</v>
      </c>
      <c r="I251" s="3">
        <v>10.26</v>
      </c>
      <c r="J251" s="3" t="s">
        <v>34</v>
      </c>
    </row>
    <row r="252" spans="1:10" x14ac:dyDescent="0.25">
      <c r="A252" s="1">
        <v>45</v>
      </c>
      <c r="B252" t="s">
        <v>23</v>
      </c>
      <c r="C252">
        <v>630</v>
      </c>
      <c r="D252">
        <v>5</v>
      </c>
      <c r="E252" t="s">
        <v>35</v>
      </c>
      <c r="F252" t="s">
        <v>36</v>
      </c>
      <c r="G252" t="str">
        <f>"2026-05-31 04:18:26.139"</f>
        <v>2026-05-31 04:18:26.139</v>
      </c>
      <c r="H252" t="s">
        <v>37</v>
      </c>
    </row>
    <row r="253" spans="1:10" x14ac:dyDescent="0.25">
      <c r="A253" s="1">
        <v>46</v>
      </c>
      <c r="B253" t="s">
        <v>19</v>
      </c>
      <c r="C253">
        <v>706</v>
      </c>
      <c r="D253">
        <v>2</v>
      </c>
      <c r="E253" t="s">
        <v>28</v>
      </c>
      <c r="F253" t="s">
        <v>39</v>
      </c>
      <c r="G253" t="str">
        <f>"2026-05-31 04:17:55.968"</f>
        <v>2026-05-31 04:17:55.968</v>
      </c>
      <c r="H253" t="s">
        <v>21</v>
      </c>
      <c r="I253">
        <v>0</v>
      </c>
      <c r="J253" t="s">
        <v>30</v>
      </c>
    </row>
    <row r="254" spans="1:10" x14ac:dyDescent="0.25">
      <c r="A254" s="1">
        <v>47</v>
      </c>
      <c r="B254" t="s">
        <v>38</v>
      </c>
      <c r="C254">
        <v>630</v>
      </c>
      <c r="D254">
        <v>5</v>
      </c>
      <c r="E254" t="s">
        <v>35</v>
      </c>
      <c r="F254" t="s">
        <v>36</v>
      </c>
      <c r="G254" t="str">
        <f>"2026-05-31 03:57:21.139"</f>
        <v>2026-05-31 03:57:21.139</v>
      </c>
      <c r="H254" t="s">
        <v>37</v>
      </c>
      <c r="I254">
        <v>0</v>
      </c>
      <c r="J254" t="s">
        <v>30</v>
      </c>
    </row>
    <row r="255" spans="1:10" x14ac:dyDescent="0.25">
      <c r="A255" s="1">
        <v>48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"2026-05-31 02:01:57.338"</f>
        <v>2026-05-31 02:01:57.338</v>
      </c>
      <c r="H255" t="s">
        <v>21</v>
      </c>
    </row>
    <row r="256" spans="1:10" x14ac:dyDescent="0.25">
      <c r="A256" s="1">
        <v>49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"2026-05-30 17:56:54.353"</f>
        <v>2026-05-30 17:56:54.353</v>
      </c>
      <c r="H256" t="s">
        <v>21</v>
      </c>
      <c r="I256">
        <v>0</v>
      </c>
      <c r="J256" t="s">
        <v>22</v>
      </c>
    </row>
    <row r="257" spans="1:10" x14ac:dyDescent="0.25">
      <c r="A257" s="1">
        <v>50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"2026-05-30 12:35:37.355"</f>
        <v>2026-05-30 12:35:37.355</v>
      </c>
      <c r="H257" t="s">
        <v>21</v>
      </c>
    </row>
    <row r="258" spans="1:10" s="3" customFormat="1" x14ac:dyDescent="0.25">
      <c r="A258" s="2">
        <v>51</v>
      </c>
      <c r="B258" s="3" t="s">
        <v>23</v>
      </c>
      <c r="C258" s="3">
        <v>647</v>
      </c>
      <c r="D258" s="3">
        <v>1</v>
      </c>
      <c r="E258" s="3" t="s">
        <v>24</v>
      </c>
      <c r="F258" s="3" t="s">
        <v>25</v>
      </c>
      <c r="G258" s="3" t="str">
        <f>"2026-05-30 09:07:19.288"</f>
        <v>2026-05-30 09:07:19.288</v>
      </c>
      <c r="H258" s="3" t="s">
        <v>21</v>
      </c>
    </row>
    <row r="259" spans="1:10" s="3" customFormat="1" x14ac:dyDescent="0.25">
      <c r="A259" s="2">
        <v>52</v>
      </c>
      <c r="B259" s="3" t="s">
        <v>26</v>
      </c>
      <c r="C259" s="3">
        <v>647</v>
      </c>
      <c r="D259" s="3">
        <v>1</v>
      </c>
      <c r="E259" s="3" t="s">
        <v>24</v>
      </c>
      <c r="F259" s="3" t="s">
        <v>25</v>
      </c>
      <c r="G259" s="3" t="str">
        <f>"2026-05-30 09:07:12.388"</f>
        <v>2026-05-30 09:07:12.388</v>
      </c>
      <c r="H259" s="3" t="s">
        <v>21</v>
      </c>
      <c r="I259" s="3">
        <v>17.53</v>
      </c>
      <c r="J259" s="3" t="s">
        <v>27</v>
      </c>
    </row>
    <row r="260" spans="1:10" x14ac:dyDescent="0.25">
      <c r="A260" s="1">
        <v>53</v>
      </c>
      <c r="B260" t="s">
        <v>19</v>
      </c>
      <c r="C260">
        <v>706</v>
      </c>
      <c r="D260">
        <v>2</v>
      </c>
      <c r="E260" t="s">
        <v>28</v>
      </c>
      <c r="F260" t="s">
        <v>39</v>
      </c>
      <c r="G260" t="str">
        <f>"2026-05-30 08:57:57.147"</f>
        <v>2026-05-30 08:57:57.147</v>
      </c>
      <c r="H260" t="s">
        <v>21</v>
      </c>
      <c r="I260">
        <v>0</v>
      </c>
      <c r="J260" t="s">
        <v>30</v>
      </c>
    </row>
    <row r="261" spans="1:10" x14ac:dyDescent="0.25">
      <c r="A261" s="1">
        <v>54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"2026-05-30 08:57:39.367"</f>
        <v>2026-05-30 08:57:39.367</v>
      </c>
      <c r="H261" t="s">
        <v>21</v>
      </c>
    </row>
    <row r="262" spans="1:10" x14ac:dyDescent="0.25">
      <c r="A262" s="1">
        <v>55</v>
      </c>
      <c r="B262" t="s">
        <v>19</v>
      </c>
      <c r="C262">
        <v>706</v>
      </c>
      <c r="D262">
        <v>2</v>
      </c>
      <c r="E262" t="s">
        <v>28</v>
      </c>
      <c r="F262" t="s">
        <v>39</v>
      </c>
      <c r="G262" t="str">
        <f>"2026-05-30 07:47:16.768"</f>
        <v>2026-05-30 07:47:16.768</v>
      </c>
      <c r="H262" t="s">
        <v>21</v>
      </c>
      <c r="I262">
        <v>0</v>
      </c>
      <c r="J262" t="s">
        <v>30</v>
      </c>
    </row>
    <row r="263" spans="1:10" x14ac:dyDescent="0.25">
      <c r="A263" s="1">
        <v>56</v>
      </c>
      <c r="B263" t="s">
        <v>19</v>
      </c>
      <c r="C263">
        <v>706</v>
      </c>
      <c r="D263">
        <v>3</v>
      </c>
      <c r="E263" t="s">
        <v>28</v>
      </c>
      <c r="F263" t="s">
        <v>43</v>
      </c>
      <c r="G263" t="str">
        <f>"2026-05-30 07:46:15.178"</f>
        <v>2026-05-30 07:46:15.178</v>
      </c>
      <c r="H263" t="s">
        <v>21</v>
      </c>
      <c r="I263">
        <v>0</v>
      </c>
      <c r="J263" t="s">
        <v>30</v>
      </c>
    </row>
    <row r="264" spans="1:10" s="3" customFormat="1" x14ac:dyDescent="0.25">
      <c r="A264" s="2">
        <v>57</v>
      </c>
      <c r="B264" s="3" t="s">
        <v>23</v>
      </c>
      <c r="C264" s="3">
        <v>647</v>
      </c>
      <c r="D264" s="3">
        <v>1</v>
      </c>
      <c r="E264" s="3" t="s">
        <v>24</v>
      </c>
      <c r="F264" s="3" t="s">
        <v>25</v>
      </c>
      <c r="G264" s="3" t="str">
        <f>"2026-05-30 05:51:44.150"</f>
        <v>2026-05-30 05:51:44.150</v>
      </c>
      <c r="H264" s="3" t="s">
        <v>21</v>
      </c>
    </row>
    <row r="265" spans="1:10" s="3" customFormat="1" x14ac:dyDescent="0.25">
      <c r="A265" s="2">
        <v>58</v>
      </c>
      <c r="B265" s="3" t="s">
        <v>26</v>
      </c>
      <c r="C265" s="3">
        <v>647</v>
      </c>
      <c r="D265" s="3">
        <v>1</v>
      </c>
      <c r="E265" s="3" t="s">
        <v>24</v>
      </c>
      <c r="F265" s="3" t="s">
        <v>25</v>
      </c>
      <c r="G265" s="3" t="str">
        <f>"2026-05-30 05:51:42.250"</f>
        <v>2026-05-30 05:51:42.250</v>
      </c>
      <c r="H265" s="3" t="s">
        <v>21</v>
      </c>
      <c r="I265" s="3">
        <v>19.010000000000002</v>
      </c>
      <c r="J265" s="3" t="s">
        <v>27</v>
      </c>
    </row>
    <row r="266" spans="1:10" x14ac:dyDescent="0.25">
      <c r="A266" s="1">
        <v>59</v>
      </c>
      <c r="B266" t="s">
        <v>23</v>
      </c>
      <c r="C266">
        <v>630</v>
      </c>
      <c r="D266">
        <v>5</v>
      </c>
      <c r="E266" t="s">
        <v>35</v>
      </c>
      <c r="F266" t="s">
        <v>36</v>
      </c>
      <c r="G266" t="str">
        <f>"2026-05-30 01:28:49.550"</f>
        <v>2026-05-30 01:28:49.550</v>
      </c>
      <c r="H266" t="s">
        <v>37</v>
      </c>
    </row>
    <row r="267" spans="1:10" x14ac:dyDescent="0.25">
      <c r="A267" s="1">
        <v>60</v>
      </c>
      <c r="B267" t="s">
        <v>19</v>
      </c>
      <c r="C267">
        <v>706</v>
      </c>
      <c r="D267">
        <v>4</v>
      </c>
      <c r="E267" t="s">
        <v>28</v>
      </c>
      <c r="F267" t="s">
        <v>29</v>
      </c>
      <c r="G267" t="str">
        <f>"2026-05-30 01:28:19.438"</f>
        <v>2026-05-30 01:28:19.438</v>
      </c>
      <c r="H267" t="s">
        <v>21</v>
      </c>
      <c r="I267">
        <v>0</v>
      </c>
      <c r="J267" t="s">
        <v>30</v>
      </c>
    </row>
    <row r="268" spans="1:10" x14ac:dyDescent="0.25">
      <c r="A268" s="1">
        <v>61</v>
      </c>
      <c r="B268" t="s">
        <v>38</v>
      </c>
      <c r="C268">
        <v>630</v>
      </c>
      <c r="D268">
        <v>5</v>
      </c>
      <c r="E268" t="s">
        <v>35</v>
      </c>
      <c r="F268" t="s">
        <v>36</v>
      </c>
      <c r="G268" t="str">
        <f>"2026-05-30 01:25:06.150"</f>
        <v>2026-05-30 01:25:06.150</v>
      </c>
      <c r="H268" t="s">
        <v>37</v>
      </c>
      <c r="I268">
        <v>0</v>
      </c>
      <c r="J268" t="s">
        <v>30</v>
      </c>
    </row>
    <row r="269" spans="1:10" x14ac:dyDescent="0.25">
      <c r="A269" s="1">
        <v>62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"2026-05-30 01:20:03.338"</f>
        <v>2026-05-30 01:20:03.338</v>
      </c>
      <c r="H269" t="s">
        <v>21</v>
      </c>
    </row>
    <row r="270" spans="1:10" x14ac:dyDescent="0.25">
      <c r="A270" s="1">
        <v>63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"2026-05-29 18:46:54.421"</f>
        <v>2026-05-29 18:46:54.421</v>
      </c>
      <c r="H270" t="s">
        <v>21</v>
      </c>
      <c r="I270">
        <v>0</v>
      </c>
      <c r="J270" t="s">
        <v>22</v>
      </c>
    </row>
    <row r="271" spans="1:10" s="3" customFormat="1" x14ac:dyDescent="0.25">
      <c r="A271" s="2">
        <v>64</v>
      </c>
      <c r="B271" s="3" t="s">
        <v>23</v>
      </c>
      <c r="C271" s="3">
        <v>647</v>
      </c>
      <c r="D271" s="3">
        <v>1</v>
      </c>
      <c r="E271" s="3" t="s">
        <v>24</v>
      </c>
      <c r="F271" s="3" t="s">
        <v>25</v>
      </c>
      <c r="G271" s="3" t="str">
        <f>"2026-05-29 13:40:01.012"</f>
        <v>2026-05-29 13:40:01.012</v>
      </c>
      <c r="H271" s="3" t="s">
        <v>21</v>
      </c>
    </row>
    <row r="272" spans="1:10" s="3" customFormat="1" x14ac:dyDescent="0.25">
      <c r="A272" s="2">
        <v>65</v>
      </c>
      <c r="B272" s="3" t="s">
        <v>26</v>
      </c>
      <c r="C272" s="3">
        <v>647</v>
      </c>
      <c r="D272" s="3">
        <v>1</v>
      </c>
      <c r="E272" s="3" t="s">
        <v>24</v>
      </c>
      <c r="F272" s="3" t="s">
        <v>25</v>
      </c>
      <c r="G272" s="3" t="str">
        <f>"2026-05-29 13:39:59.913"</f>
        <v>2026-05-29 13:39:59.913</v>
      </c>
      <c r="H272" s="3" t="s">
        <v>21</v>
      </c>
      <c r="I272" s="3">
        <v>13.88</v>
      </c>
      <c r="J272" s="3" t="s">
        <v>27</v>
      </c>
    </row>
    <row r="273" spans="1:10" x14ac:dyDescent="0.25">
      <c r="A273" s="1">
        <v>66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"2026-05-29 12:59:54.499"</f>
        <v>2026-05-29 12:59:54.499</v>
      </c>
      <c r="H273" t="s">
        <v>21</v>
      </c>
    </row>
    <row r="274" spans="1:10" x14ac:dyDescent="0.25">
      <c r="A274" s="1">
        <v>67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"2026-05-29 10:13:14.336"</f>
        <v>2026-05-29 10:13:14.336</v>
      </c>
      <c r="H274" t="s">
        <v>21</v>
      </c>
    </row>
    <row r="275" spans="1:10" s="3" customFormat="1" x14ac:dyDescent="0.25">
      <c r="A275" s="2">
        <v>68</v>
      </c>
      <c r="B275" s="3" t="s">
        <v>23</v>
      </c>
      <c r="C275" s="3">
        <v>647</v>
      </c>
      <c r="D275" s="3">
        <v>1</v>
      </c>
      <c r="E275" s="3" t="s">
        <v>24</v>
      </c>
      <c r="F275" s="3" t="s">
        <v>25</v>
      </c>
      <c r="G275" s="3" t="str">
        <f>"2026-05-29 08:59:31.458"</f>
        <v>2026-05-29 08:59:31.458</v>
      </c>
      <c r="H275" s="3" t="s">
        <v>21</v>
      </c>
    </row>
    <row r="276" spans="1:10" s="3" customFormat="1" x14ac:dyDescent="0.25">
      <c r="A276" s="2">
        <v>69</v>
      </c>
      <c r="B276" s="3" t="s">
        <v>26</v>
      </c>
      <c r="C276" s="3">
        <v>647</v>
      </c>
      <c r="D276" s="3">
        <v>1</v>
      </c>
      <c r="E276" s="3" t="s">
        <v>24</v>
      </c>
      <c r="F276" s="3" t="s">
        <v>25</v>
      </c>
      <c r="G276" s="3" t="str">
        <f>"2026-05-29 08:59:24.758"</f>
        <v>2026-05-29 08:59:24.758</v>
      </c>
      <c r="H276" s="3" t="s">
        <v>21</v>
      </c>
      <c r="I276" s="3">
        <v>13.05</v>
      </c>
      <c r="J276" s="3" t="s">
        <v>27</v>
      </c>
    </row>
    <row r="277" spans="1:10" x14ac:dyDescent="0.25">
      <c r="A277" s="1">
        <v>70</v>
      </c>
      <c r="B277" t="s">
        <v>44</v>
      </c>
      <c r="C277">
        <v>33</v>
      </c>
      <c r="D277">
        <v>1</v>
      </c>
      <c r="E277" t="s">
        <v>45</v>
      </c>
      <c r="F277" t="s">
        <v>46</v>
      </c>
      <c r="G277" t="str">
        <f>"2026-05-29 07:51:33.157"</f>
        <v>2026-05-29 07:51:33.157</v>
      </c>
      <c r="H277" t="s">
        <v>47</v>
      </c>
    </row>
    <row r="278" spans="1:10" x14ac:dyDescent="0.25">
      <c r="A278" s="1">
        <v>71</v>
      </c>
      <c r="B278" t="s">
        <v>38</v>
      </c>
      <c r="C278">
        <v>33</v>
      </c>
      <c r="D278">
        <v>1</v>
      </c>
      <c r="E278" t="s">
        <v>45</v>
      </c>
      <c r="F278" t="s">
        <v>46</v>
      </c>
      <c r="G278" t="str">
        <f>"2026-05-29 07:51:07.816"</f>
        <v>2026-05-29 07:51:07.816</v>
      </c>
      <c r="H278" t="s">
        <v>47</v>
      </c>
      <c r="I278">
        <v>9.99</v>
      </c>
      <c r="J278" t="s">
        <v>33</v>
      </c>
    </row>
    <row r="279" spans="1:10" x14ac:dyDescent="0.25">
      <c r="A279" s="1">
        <v>72</v>
      </c>
      <c r="B279" t="s">
        <v>19</v>
      </c>
      <c r="C279">
        <v>706</v>
      </c>
      <c r="D279">
        <v>2</v>
      </c>
      <c r="E279" t="s">
        <v>28</v>
      </c>
      <c r="F279" t="s">
        <v>39</v>
      </c>
      <c r="G279" t="str">
        <f>"2026-05-28 14:16:22.892"</f>
        <v>2026-05-28 14:16:22.892</v>
      </c>
      <c r="H279" t="s">
        <v>21</v>
      </c>
      <c r="I279">
        <v>0</v>
      </c>
      <c r="J279" t="s">
        <v>30</v>
      </c>
    </row>
    <row r="280" spans="1:10" x14ac:dyDescent="0.25">
      <c r="A280" s="1">
        <v>73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"2026-05-28 14:16:00.332"</f>
        <v>2026-05-28 14:16:00.332</v>
      </c>
      <c r="H280" t="s">
        <v>21</v>
      </c>
      <c r="I280">
        <v>0</v>
      </c>
      <c r="J280" t="s">
        <v>22</v>
      </c>
    </row>
    <row r="281" spans="1:10" x14ac:dyDescent="0.25">
      <c r="A281" s="1">
        <v>74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"2026-05-28 12:19:00.374"</f>
        <v>2026-05-28 12:19:00.374</v>
      </c>
      <c r="H281" t="s">
        <v>21</v>
      </c>
      <c r="I281">
        <v>0</v>
      </c>
      <c r="J281" t="s">
        <v>22</v>
      </c>
    </row>
    <row r="282" spans="1:10" s="3" customFormat="1" x14ac:dyDescent="0.25">
      <c r="A282" s="2">
        <v>75</v>
      </c>
      <c r="B282" s="3" t="s">
        <v>23</v>
      </c>
      <c r="C282" s="3">
        <v>647</v>
      </c>
      <c r="D282" s="3">
        <v>1</v>
      </c>
      <c r="E282" s="3" t="s">
        <v>24</v>
      </c>
      <c r="F282" s="3" t="s">
        <v>25</v>
      </c>
      <c r="G282" s="3" t="str">
        <f>"2026-05-28 11:03:22.079"</f>
        <v>2026-05-28 11:03:22.079</v>
      </c>
      <c r="H282" s="3" t="s">
        <v>21</v>
      </c>
    </row>
    <row r="283" spans="1:10" s="3" customFormat="1" x14ac:dyDescent="0.25">
      <c r="A283" s="2">
        <v>76</v>
      </c>
      <c r="B283" s="3" t="s">
        <v>26</v>
      </c>
      <c r="C283" s="3">
        <v>647</v>
      </c>
      <c r="D283" s="3">
        <v>1</v>
      </c>
      <c r="E283" s="3" t="s">
        <v>24</v>
      </c>
      <c r="F283" s="3" t="s">
        <v>25</v>
      </c>
      <c r="G283" s="3" t="str">
        <f>"2026-05-28 11:03:20.179"</f>
        <v>2026-05-28 11:03:20.179</v>
      </c>
      <c r="H283" s="3" t="s">
        <v>21</v>
      </c>
      <c r="I283" s="3">
        <v>14.39</v>
      </c>
      <c r="J283" s="3" t="s">
        <v>27</v>
      </c>
    </row>
    <row r="284" spans="1:10" s="3" customFormat="1" x14ac:dyDescent="0.25">
      <c r="A284" s="2">
        <v>77</v>
      </c>
      <c r="B284" s="3" t="s">
        <v>23</v>
      </c>
      <c r="C284" s="3">
        <v>647</v>
      </c>
      <c r="D284" s="3">
        <v>1</v>
      </c>
      <c r="E284" s="3" t="s">
        <v>24</v>
      </c>
      <c r="F284" s="3" t="s">
        <v>25</v>
      </c>
      <c r="G284" s="3" t="str">
        <f>"2026-05-28 11:03:08.278"</f>
        <v>2026-05-28 11:03:08.278</v>
      </c>
      <c r="H284" s="3" t="s">
        <v>21</v>
      </c>
    </row>
    <row r="285" spans="1:10" s="3" customFormat="1" x14ac:dyDescent="0.25">
      <c r="A285" s="2">
        <v>78</v>
      </c>
      <c r="B285" s="3" t="s">
        <v>26</v>
      </c>
      <c r="C285" s="3">
        <v>647</v>
      </c>
      <c r="D285" s="3">
        <v>1</v>
      </c>
      <c r="E285" s="3" t="s">
        <v>24</v>
      </c>
      <c r="F285" s="3" t="s">
        <v>25</v>
      </c>
      <c r="G285" s="3" t="str">
        <f>"2026-05-28 11:03:07.178"</f>
        <v>2026-05-28 11:03:07.178</v>
      </c>
      <c r="H285" s="3" t="s">
        <v>21</v>
      </c>
      <c r="I285" s="3">
        <v>15.45</v>
      </c>
      <c r="J285" s="3" t="s">
        <v>27</v>
      </c>
    </row>
    <row r="286" spans="1:10" s="3" customFormat="1" x14ac:dyDescent="0.25">
      <c r="A286" s="2">
        <v>79</v>
      </c>
      <c r="B286" s="3" t="s">
        <v>23</v>
      </c>
      <c r="C286" s="3">
        <v>647</v>
      </c>
      <c r="D286" s="3">
        <v>1</v>
      </c>
      <c r="E286" s="3" t="s">
        <v>24</v>
      </c>
      <c r="F286" s="3" t="s">
        <v>25</v>
      </c>
      <c r="G286" s="3" t="str">
        <f>"2026-05-28 10:18:07.979"</f>
        <v>2026-05-28 10:18:07.979</v>
      </c>
      <c r="H286" s="3" t="s">
        <v>21</v>
      </c>
    </row>
    <row r="287" spans="1:10" s="3" customFormat="1" x14ac:dyDescent="0.25">
      <c r="A287" s="2">
        <v>80</v>
      </c>
      <c r="B287" s="3" t="s">
        <v>26</v>
      </c>
      <c r="C287" s="3">
        <v>647</v>
      </c>
      <c r="D287" s="3">
        <v>1</v>
      </c>
      <c r="E287" s="3" t="s">
        <v>24</v>
      </c>
      <c r="F287" s="3" t="s">
        <v>25</v>
      </c>
      <c r="G287" s="3" t="str">
        <f>"2026-05-28 10:18:06.679"</f>
        <v>2026-05-28 10:18:06.679</v>
      </c>
      <c r="H287" s="3" t="s">
        <v>21</v>
      </c>
      <c r="I287" s="3">
        <v>12.9</v>
      </c>
      <c r="J287" s="3" t="s">
        <v>27</v>
      </c>
    </row>
    <row r="288" spans="1:10" s="3" customFormat="1" x14ac:dyDescent="0.25">
      <c r="A288" s="2">
        <v>81</v>
      </c>
      <c r="B288" s="3" t="s">
        <v>23</v>
      </c>
      <c r="C288" s="3">
        <v>647</v>
      </c>
      <c r="D288" s="3">
        <v>1</v>
      </c>
      <c r="E288" s="3" t="s">
        <v>24</v>
      </c>
      <c r="F288" s="3" t="s">
        <v>25</v>
      </c>
      <c r="G288" s="3" t="str">
        <f>"2026-05-28 10:17:08.379"</f>
        <v>2026-05-28 10:17:08.379</v>
      </c>
      <c r="H288" s="3" t="s">
        <v>21</v>
      </c>
    </row>
    <row r="289" spans="1:10" s="3" customFormat="1" x14ac:dyDescent="0.25">
      <c r="A289" s="2">
        <v>82</v>
      </c>
      <c r="B289" s="3" t="s">
        <v>26</v>
      </c>
      <c r="C289" s="3">
        <v>647</v>
      </c>
      <c r="D289" s="3">
        <v>1</v>
      </c>
      <c r="E289" s="3" t="s">
        <v>24</v>
      </c>
      <c r="F289" s="3" t="s">
        <v>25</v>
      </c>
      <c r="G289" s="3" t="str">
        <f>"2026-05-28 10:17:07.279"</f>
        <v>2026-05-28 10:17:07.279</v>
      </c>
      <c r="H289" s="3" t="s">
        <v>21</v>
      </c>
      <c r="I289" s="3">
        <v>9.24</v>
      </c>
      <c r="J289" s="3" t="s">
        <v>27</v>
      </c>
    </row>
    <row r="290" spans="1:10" s="3" customFormat="1" x14ac:dyDescent="0.25">
      <c r="A290" s="2">
        <v>83</v>
      </c>
      <c r="B290" s="3" t="s">
        <v>23</v>
      </c>
      <c r="C290" s="3">
        <v>647</v>
      </c>
      <c r="D290" s="3">
        <v>1</v>
      </c>
      <c r="E290" s="3" t="s">
        <v>24</v>
      </c>
      <c r="F290" s="3" t="s">
        <v>25</v>
      </c>
      <c r="G290" s="3" t="str">
        <f>"2026-05-28 07:45:40.079"</f>
        <v>2026-05-28 07:45:40.079</v>
      </c>
      <c r="H290" s="3" t="s">
        <v>21</v>
      </c>
    </row>
    <row r="291" spans="1:10" s="3" customFormat="1" x14ac:dyDescent="0.25">
      <c r="A291" s="2">
        <v>84</v>
      </c>
      <c r="B291" s="3" t="s">
        <v>26</v>
      </c>
      <c r="C291" s="3">
        <v>647</v>
      </c>
      <c r="D291" s="3">
        <v>1</v>
      </c>
      <c r="E291" s="3" t="s">
        <v>24</v>
      </c>
      <c r="F291" s="3" t="s">
        <v>25</v>
      </c>
      <c r="G291" s="3" t="str">
        <f>"2026-05-28 07:45:38.779"</f>
        <v>2026-05-28 07:45:38.779</v>
      </c>
      <c r="H291" s="3" t="s">
        <v>21</v>
      </c>
      <c r="I291" s="3">
        <v>14.45</v>
      </c>
      <c r="J291" s="3" t="s">
        <v>27</v>
      </c>
    </row>
    <row r="292" spans="1:10" x14ac:dyDescent="0.25">
      <c r="A292" s="1">
        <v>85</v>
      </c>
      <c r="B292" t="s">
        <v>19</v>
      </c>
      <c r="C292">
        <v>706</v>
      </c>
      <c r="D292">
        <v>4</v>
      </c>
      <c r="E292" t="s">
        <v>28</v>
      </c>
      <c r="F292" t="s">
        <v>29</v>
      </c>
      <c r="G292" t="str">
        <f>"2026-05-27 16:10:57.235"</f>
        <v>2026-05-27 16:10:57.235</v>
      </c>
      <c r="H292" t="s">
        <v>21</v>
      </c>
      <c r="I292">
        <v>0</v>
      </c>
      <c r="J292" t="s">
        <v>30</v>
      </c>
    </row>
    <row r="293" spans="1:10" x14ac:dyDescent="0.25">
      <c r="A293" s="1">
        <v>86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"2026-05-27 16:09:55.445"</f>
        <v>2026-05-27 16:09:55.445</v>
      </c>
      <c r="H293" t="s">
        <v>21</v>
      </c>
      <c r="I293">
        <v>0</v>
      </c>
      <c r="J293" t="s">
        <v>22</v>
      </c>
    </row>
    <row r="294" spans="1:10" x14ac:dyDescent="0.25">
      <c r="A294" s="1">
        <v>87</v>
      </c>
      <c r="B294" t="s">
        <v>19</v>
      </c>
      <c r="C294">
        <v>706</v>
      </c>
      <c r="D294">
        <v>4</v>
      </c>
      <c r="E294" t="s">
        <v>28</v>
      </c>
      <c r="F294" t="s">
        <v>29</v>
      </c>
      <c r="G294" t="str">
        <f>"2026-05-27 13:39:01.850"</f>
        <v>2026-05-27 13:39:01.850</v>
      </c>
      <c r="H294" t="s">
        <v>21</v>
      </c>
      <c r="I294">
        <v>0</v>
      </c>
      <c r="J294" t="s">
        <v>30</v>
      </c>
    </row>
    <row r="295" spans="1:10" x14ac:dyDescent="0.25">
      <c r="A295" s="1">
        <v>88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"2026-05-27 13:38:47.360"</f>
        <v>2026-05-27 13:38:47.360</v>
      </c>
      <c r="H295" t="s">
        <v>21</v>
      </c>
      <c r="I295">
        <v>0</v>
      </c>
      <c r="J295" t="s">
        <v>22</v>
      </c>
    </row>
    <row r="296" spans="1:10" x14ac:dyDescent="0.25">
      <c r="A296" s="1">
        <v>89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"2026-05-27 07:46:20.357"</f>
        <v>2026-05-27 07:46:20.357</v>
      </c>
      <c r="H296" t="s">
        <v>21</v>
      </c>
      <c r="I296">
        <v>0</v>
      </c>
      <c r="J296" t="s">
        <v>22</v>
      </c>
    </row>
    <row r="297" spans="1:10" x14ac:dyDescent="0.25">
      <c r="A297" s="1">
        <v>90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"2026-05-27 00:56:08.350"</f>
        <v>2026-05-27 00:56:08.350</v>
      </c>
      <c r="H297" t="s">
        <v>21</v>
      </c>
    </row>
    <row r="298" spans="1:10" x14ac:dyDescent="0.25">
      <c r="A298" s="1">
        <v>91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"2026-05-26 18:40:58.565"</f>
        <v>2026-05-26 18:40:58.565</v>
      </c>
      <c r="H298" t="s">
        <v>21</v>
      </c>
    </row>
    <row r="299" spans="1:10" x14ac:dyDescent="0.25">
      <c r="A299" s="1">
        <v>92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"2026-05-26 13:34:49.399"</f>
        <v>2026-05-26 13:34:49.399</v>
      </c>
      <c r="H299" t="s">
        <v>21</v>
      </c>
    </row>
    <row r="300" spans="1:10" x14ac:dyDescent="0.25">
      <c r="A300" s="1">
        <v>93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"2026-05-26 01:19:10.355"</f>
        <v>2026-05-26 01:19:10.355</v>
      </c>
      <c r="H300" t="s">
        <v>21</v>
      </c>
      <c r="I300">
        <v>0</v>
      </c>
      <c r="J300" t="s">
        <v>22</v>
      </c>
    </row>
    <row r="301" spans="1:10" s="3" customFormat="1" x14ac:dyDescent="0.25">
      <c r="A301" s="2">
        <v>94</v>
      </c>
      <c r="B301" s="3" t="s">
        <v>23</v>
      </c>
      <c r="C301" s="3">
        <v>647</v>
      </c>
      <c r="D301" s="3">
        <v>1</v>
      </c>
      <c r="E301" s="3" t="s">
        <v>24</v>
      </c>
      <c r="F301" s="3" t="s">
        <v>25</v>
      </c>
      <c r="G301" s="3" t="str">
        <f>"2026-05-25 21:27:55.972"</f>
        <v>2026-05-25 21:27:55.972</v>
      </c>
      <c r="H301" s="3" t="s">
        <v>21</v>
      </c>
    </row>
    <row r="302" spans="1:10" s="3" customFormat="1" x14ac:dyDescent="0.25">
      <c r="A302" s="2">
        <v>95</v>
      </c>
      <c r="B302" s="3" t="s">
        <v>26</v>
      </c>
      <c r="C302" s="3">
        <v>647</v>
      </c>
      <c r="D302" s="3">
        <v>1</v>
      </c>
      <c r="E302" s="3" t="s">
        <v>24</v>
      </c>
      <c r="F302" s="3" t="s">
        <v>25</v>
      </c>
      <c r="G302" s="3" t="str">
        <f>"2026-05-25 21:27:52.072"</f>
        <v>2026-05-25 21:27:52.072</v>
      </c>
      <c r="H302" s="3" t="s">
        <v>21</v>
      </c>
      <c r="I302" s="3">
        <v>8.9499999999999993</v>
      </c>
      <c r="J302" s="3" t="s">
        <v>27</v>
      </c>
    </row>
    <row r="303" spans="1:10" s="3" customFormat="1" x14ac:dyDescent="0.25">
      <c r="A303" s="2">
        <v>96</v>
      </c>
      <c r="B303" s="3" t="s">
        <v>23</v>
      </c>
      <c r="C303" s="3">
        <v>647</v>
      </c>
      <c r="D303" s="3">
        <v>1</v>
      </c>
      <c r="E303" s="3" t="s">
        <v>24</v>
      </c>
      <c r="F303" s="3" t="s">
        <v>25</v>
      </c>
      <c r="G303" s="3" t="str">
        <f>"2026-05-25 21:10:55.072"</f>
        <v>2026-05-25 21:10:55.072</v>
      </c>
      <c r="H303" s="3" t="s">
        <v>21</v>
      </c>
    </row>
    <row r="304" spans="1:10" s="3" customFormat="1" x14ac:dyDescent="0.25">
      <c r="A304" s="2">
        <v>97</v>
      </c>
      <c r="B304" s="3" t="s">
        <v>26</v>
      </c>
      <c r="C304" s="3">
        <v>647</v>
      </c>
      <c r="D304" s="3">
        <v>1</v>
      </c>
      <c r="E304" s="3" t="s">
        <v>24</v>
      </c>
      <c r="F304" s="3" t="s">
        <v>25</v>
      </c>
      <c r="G304" s="3" t="str">
        <f>"2026-05-25 21:10:53.472"</f>
        <v>2026-05-25 21:10:53.472</v>
      </c>
      <c r="H304" s="3" t="s">
        <v>21</v>
      </c>
      <c r="I304" s="3">
        <v>17.98</v>
      </c>
      <c r="J304" s="3" t="s">
        <v>27</v>
      </c>
    </row>
    <row r="305" spans="1:10" x14ac:dyDescent="0.25">
      <c r="A305" s="1">
        <v>98</v>
      </c>
      <c r="B305" t="s">
        <v>19</v>
      </c>
      <c r="C305">
        <v>706</v>
      </c>
      <c r="D305">
        <v>2</v>
      </c>
      <c r="E305" t="s">
        <v>28</v>
      </c>
      <c r="F305" t="s">
        <v>39</v>
      </c>
      <c r="G305" t="str">
        <f>"2026-05-25 15:32:00.508"</f>
        <v>2026-05-25 15:32:00.508</v>
      </c>
      <c r="H305" t="s">
        <v>21</v>
      </c>
      <c r="I305">
        <v>0</v>
      </c>
      <c r="J305" t="s">
        <v>30</v>
      </c>
    </row>
    <row r="306" spans="1:10" x14ac:dyDescent="0.25">
      <c r="A306" s="1">
        <v>99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"2026-05-25 15:31:42.458"</f>
        <v>2026-05-25 15:31:42.458</v>
      </c>
      <c r="H306" t="s">
        <v>21</v>
      </c>
      <c r="I306">
        <v>0</v>
      </c>
      <c r="J306" t="s">
        <v>22</v>
      </c>
    </row>
    <row r="307" spans="1:10" x14ac:dyDescent="0.25">
      <c r="A307" s="1">
        <v>0</v>
      </c>
      <c r="B307" t="s">
        <v>19</v>
      </c>
      <c r="C307">
        <v>706</v>
      </c>
      <c r="D307">
        <v>2</v>
      </c>
      <c r="E307" t="s">
        <v>28</v>
      </c>
      <c r="F307" t="s">
        <v>39</v>
      </c>
      <c r="G307" t="str">
        <f>"2026-05-25 13:03:15.473"</f>
        <v>2026-05-25 13:03:15.473</v>
      </c>
      <c r="H307" t="s">
        <v>21</v>
      </c>
      <c r="I307">
        <v>0</v>
      </c>
      <c r="J307" t="s">
        <v>30</v>
      </c>
    </row>
    <row r="308" spans="1:10" x14ac:dyDescent="0.25">
      <c r="A308" s="1">
        <v>1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"2026-05-25 13:02:59.323"</f>
        <v>2026-05-25 13:02:59.323</v>
      </c>
      <c r="H308" t="s">
        <v>21</v>
      </c>
      <c r="I308">
        <v>0</v>
      </c>
      <c r="J308" t="s">
        <v>22</v>
      </c>
    </row>
    <row r="309" spans="1:10" x14ac:dyDescent="0.25">
      <c r="A309" s="1">
        <v>2</v>
      </c>
      <c r="B309" t="s">
        <v>19</v>
      </c>
      <c r="C309">
        <v>706</v>
      </c>
      <c r="D309">
        <v>2</v>
      </c>
      <c r="E309" t="s">
        <v>28</v>
      </c>
      <c r="F309" t="s">
        <v>39</v>
      </c>
      <c r="G309" t="str">
        <f>"2026-05-25 11:27:10.495"</f>
        <v>2026-05-25 11:27:10.495</v>
      </c>
      <c r="H309" t="s">
        <v>21</v>
      </c>
      <c r="I309">
        <v>0</v>
      </c>
      <c r="J309" t="s">
        <v>30</v>
      </c>
    </row>
    <row r="310" spans="1:10" x14ac:dyDescent="0.25">
      <c r="A310" s="1">
        <v>3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"2026-05-25 11:26:27.345"</f>
        <v>2026-05-25 11:26:27.345</v>
      </c>
      <c r="H310" t="s">
        <v>21</v>
      </c>
    </row>
    <row r="311" spans="1:10" s="3" customFormat="1" x14ac:dyDescent="0.25">
      <c r="A311" s="2">
        <v>4</v>
      </c>
      <c r="B311" s="3" t="s">
        <v>23</v>
      </c>
      <c r="C311" s="3">
        <v>647</v>
      </c>
      <c r="D311" s="3">
        <v>1</v>
      </c>
      <c r="E311" s="3" t="s">
        <v>24</v>
      </c>
      <c r="F311" s="3" t="s">
        <v>25</v>
      </c>
      <c r="G311" s="3" t="str">
        <f>"2026-05-24 22:09:24.055"</f>
        <v>2026-05-24 22:09:24.055</v>
      </c>
      <c r="H311" s="3" t="s">
        <v>21</v>
      </c>
    </row>
    <row r="312" spans="1:10" s="3" customFormat="1" x14ac:dyDescent="0.25">
      <c r="A312" s="2">
        <v>5</v>
      </c>
      <c r="B312" s="3" t="s">
        <v>26</v>
      </c>
      <c r="C312" s="3">
        <v>647</v>
      </c>
      <c r="D312" s="3">
        <v>1</v>
      </c>
      <c r="E312" s="3" t="s">
        <v>24</v>
      </c>
      <c r="F312" s="3" t="s">
        <v>25</v>
      </c>
      <c r="G312" s="3" t="str">
        <f>"2026-05-24 22:09:22.655"</f>
        <v>2026-05-24 22:09:22.655</v>
      </c>
      <c r="H312" s="3" t="s">
        <v>21</v>
      </c>
      <c r="I312" s="3">
        <v>14.75</v>
      </c>
      <c r="J312" s="3" t="s">
        <v>27</v>
      </c>
    </row>
    <row r="313" spans="1:10" x14ac:dyDescent="0.25">
      <c r="A313" s="1">
        <v>6</v>
      </c>
      <c r="B313" t="s">
        <v>19</v>
      </c>
      <c r="C313">
        <v>706</v>
      </c>
      <c r="D313">
        <v>4</v>
      </c>
      <c r="E313" t="s">
        <v>28</v>
      </c>
      <c r="F313" t="s">
        <v>29</v>
      </c>
      <c r="G313" t="str">
        <f>"2026-05-24 13:29:06.645"</f>
        <v>2026-05-24 13:29:06.645</v>
      </c>
      <c r="H313" t="s">
        <v>21</v>
      </c>
      <c r="I313">
        <v>0</v>
      </c>
      <c r="J313" t="s">
        <v>30</v>
      </c>
    </row>
    <row r="314" spans="1:10" x14ac:dyDescent="0.25">
      <c r="A314" s="1">
        <v>7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"2026-05-24 13:28:32.325"</f>
        <v>2026-05-24 13:28:32.325</v>
      </c>
      <c r="H314" t="s">
        <v>21</v>
      </c>
      <c r="I314">
        <v>0</v>
      </c>
      <c r="J314" t="s">
        <v>22</v>
      </c>
    </row>
    <row r="315" spans="1:10" x14ac:dyDescent="0.25">
      <c r="A315" s="1">
        <v>8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"2026-05-24 12:18:48.337"</f>
        <v>2026-05-24 12:18:48.337</v>
      </c>
      <c r="H315" t="s">
        <v>21</v>
      </c>
    </row>
    <row r="316" spans="1:10" x14ac:dyDescent="0.25">
      <c r="A316" s="1">
        <v>9</v>
      </c>
      <c r="B316" t="s">
        <v>19</v>
      </c>
      <c r="C316">
        <v>706</v>
      </c>
      <c r="D316">
        <v>2</v>
      </c>
      <c r="E316" t="s">
        <v>28</v>
      </c>
      <c r="F316" t="s">
        <v>39</v>
      </c>
      <c r="G316" t="str">
        <f>"2026-05-24 07:36:50.205"</f>
        <v>2026-05-24 07:36:50.205</v>
      </c>
      <c r="H316" t="s">
        <v>21</v>
      </c>
      <c r="I316">
        <v>0</v>
      </c>
      <c r="J316" t="s">
        <v>30</v>
      </c>
    </row>
    <row r="317" spans="1:10" x14ac:dyDescent="0.25">
      <c r="A317" s="1">
        <v>10</v>
      </c>
      <c r="B317" t="s">
        <v>19</v>
      </c>
      <c r="C317">
        <v>706</v>
      </c>
      <c r="D317">
        <v>3</v>
      </c>
      <c r="E317" t="s">
        <v>28</v>
      </c>
      <c r="F317" t="s">
        <v>43</v>
      </c>
      <c r="G317" t="str">
        <f>"2026-05-24 07:36:30.455"</f>
        <v>2026-05-24 07:36:30.455</v>
      </c>
      <c r="H317" t="s">
        <v>21</v>
      </c>
      <c r="I317">
        <v>0</v>
      </c>
      <c r="J317" t="s">
        <v>30</v>
      </c>
    </row>
    <row r="318" spans="1:10" s="3" customFormat="1" x14ac:dyDescent="0.25">
      <c r="A318" s="2">
        <v>11</v>
      </c>
      <c r="B318" s="3" t="s">
        <v>23</v>
      </c>
      <c r="C318" s="3">
        <v>647</v>
      </c>
      <c r="D318" s="3">
        <v>1</v>
      </c>
      <c r="E318" s="3" t="s">
        <v>24</v>
      </c>
      <c r="F318" s="3" t="s">
        <v>25</v>
      </c>
      <c r="G318" s="3" t="str">
        <f>"2026-05-24 03:36:26.771"</f>
        <v>2026-05-24 03:36:26.771</v>
      </c>
      <c r="H318" s="3" t="s">
        <v>21</v>
      </c>
    </row>
    <row r="319" spans="1:10" s="3" customFormat="1" x14ac:dyDescent="0.25">
      <c r="A319" s="2">
        <v>12</v>
      </c>
      <c r="B319" s="3" t="s">
        <v>26</v>
      </c>
      <c r="C319" s="3">
        <v>647</v>
      </c>
      <c r="D319" s="3">
        <v>1</v>
      </c>
      <c r="E319" s="3" t="s">
        <v>24</v>
      </c>
      <c r="F319" s="3" t="s">
        <v>25</v>
      </c>
      <c r="G319" s="3" t="str">
        <f>"2026-05-24 03:36:25.271"</f>
        <v>2026-05-24 03:36:25.271</v>
      </c>
      <c r="H319" s="3" t="s">
        <v>21</v>
      </c>
      <c r="I319" s="3">
        <v>12.2</v>
      </c>
      <c r="J319" s="3" t="s">
        <v>27</v>
      </c>
    </row>
    <row r="320" spans="1:10" x14ac:dyDescent="0.25">
      <c r="A320" s="1">
        <v>13</v>
      </c>
      <c r="B320" t="s">
        <v>23</v>
      </c>
      <c r="C320">
        <v>630</v>
      </c>
      <c r="D320">
        <v>5</v>
      </c>
      <c r="E320" t="s">
        <v>35</v>
      </c>
      <c r="F320" t="s">
        <v>36</v>
      </c>
      <c r="G320" t="str">
        <f>"2026-05-24 03:04:26.270"</f>
        <v>2026-05-24 03:04:26.270</v>
      </c>
      <c r="H320" t="s">
        <v>37</v>
      </c>
    </row>
    <row r="321" spans="1:10" x14ac:dyDescent="0.25">
      <c r="A321" s="1">
        <v>14</v>
      </c>
      <c r="B321" t="s">
        <v>19</v>
      </c>
      <c r="C321">
        <v>706</v>
      </c>
      <c r="D321">
        <v>2</v>
      </c>
      <c r="E321" t="s">
        <v>28</v>
      </c>
      <c r="F321" t="s">
        <v>39</v>
      </c>
      <c r="G321" t="str">
        <f>"2026-05-24 03:03:56.105"</f>
        <v>2026-05-24 03:03:56.105</v>
      </c>
      <c r="H321" t="s">
        <v>21</v>
      </c>
      <c r="I321">
        <v>0</v>
      </c>
      <c r="J321" t="s">
        <v>30</v>
      </c>
    </row>
    <row r="322" spans="1:10" x14ac:dyDescent="0.25">
      <c r="A322" s="1">
        <v>15</v>
      </c>
      <c r="B322" t="s">
        <v>38</v>
      </c>
      <c r="C322">
        <v>630</v>
      </c>
      <c r="D322">
        <v>5</v>
      </c>
      <c r="E322" t="s">
        <v>35</v>
      </c>
      <c r="F322" t="s">
        <v>36</v>
      </c>
      <c r="G322" t="str">
        <f>"2026-05-24 02:53:55.171"</f>
        <v>2026-05-24 02:53:55.171</v>
      </c>
      <c r="H322" t="s">
        <v>37</v>
      </c>
      <c r="I322">
        <v>0</v>
      </c>
      <c r="J322" t="s">
        <v>30</v>
      </c>
    </row>
    <row r="323" spans="1:10" x14ac:dyDescent="0.25">
      <c r="A323" s="1">
        <v>16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"2026-05-24 01:28:02.355"</f>
        <v>2026-05-24 01:28:02.355</v>
      </c>
      <c r="H323" t="s">
        <v>21</v>
      </c>
      <c r="I323">
        <v>0</v>
      </c>
      <c r="J323" t="s">
        <v>22</v>
      </c>
    </row>
    <row r="324" spans="1:10" x14ac:dyDescent="0.25">
      <c r="A324" s="1">
        <v>17</v>
      </c>
      <c r="B324" t="s">
        <v>23</v>
      </c>
      <c r="C324">
        <v>635</v>
      </c>
      <c r="D324">
        <v>1</v>
      </c>
      <c r="E324" t="s">
        <v>31</v>
      </c>
      <c r="F324" t="s">
        <v>32</v>
      </c>
      <c r="G324" t="str">
        <f>"2026-05-23 23:04:24.195"</f>
        <v>2026-05-23 23:04:24.195</v>
      </c>
      <c r="H324" t="s">
        <v>21</v>
      </c>
    </row>
    <row r="325" spans="1:10" x14ac:dyDescent="0.25">
      <c r="A325" s="1">
        <v>18</v>
      </c>
      <c r="B325" t="s">
        <v>26</v>
      </c>
      <c r="C325">
        <v>635</v>
      </c>
      <c r="D325">
        <v>1</v>
      </c>
      <c r="E325" t="s">
        <v>31</v>
      </c>
      <c r="F325" t="s">
        <v>32</v>
      </c>
      <c r="G325" t="str">
        <f>"2026-05-23 22:56:40.295"</f>
        <v>2026-05-23 22:56:40.295</v>
      </c>
      <c r="H325" t="s">
        <v>21</v>
      </c>
      <c r="I325">
        <v>2.8</v>
      </c>
      <c r="J325" t="s">
        <v>27</v>
      </c>
    </row>
    <row r="326" spans="1:10" x14ac:dyDescent="0.25">
      <c r="A326" s="1">
        <v>19</v>
      </c>
      <c r="B326" t="s">
        <v>19</v>
      </c>
      <c r="C326">
        <v>706</v>
      </c>
      <c r="D326">
        <v>4</v>
      </c>
      <c r="E326" t="s">
        <v>28</v>
      </c>
      <c r="F326" t="s">
        <v>29</v>
      </c>
      <c r="G326" t="str">
        <f>"2026-05-23 13:29:28.662"</f>
        <v>2026-05-23 13:29:28.662</v>
      </c>
      <c r="H326" t="s">
        <v>21</v>
      </c>
      <c r="I326">
        <v>0</v>
      </c>
      <c r="J326" t="s">
        <v>30</v>
      </c>
    </row>
    <row r="327" spans="1:10" x14ac:dyDescent="0.25">
      <c r="A327" s="1">
        <v>20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"2026-05-23 13:28:32.322"</f>
        <v>2026-05-23 13:28:32.322</v>
      </c>
      <c r="H327" t="s">
        <v>21</v>
      </c>
      <c r="I327">
        <v>0</v>
      </c>
      <c r="J327" t="s">
        <v>22</v>
      </c>
    </row>
    <row r="328" spans="1:10" x14ac:dyDescent="0.25">
      <c r="A328" s="1">
        <v>21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"2026-05-23 12:28:45.499"</f>
        <v>2026-05-23 12:28:45.499</v>
      </c>
      <c r="H328" t="s">
        <v>21</v>
      </c>
    </row>
    <row r="329" spans="1:10" x14ac:dyDescent="0.25">
      <c r="A329" s="1">
        <v>22</v>
      </c>
      <c r="B329" t="s">
        <v>19</v>
      </c>
      <c r="C329">
        <v>706</v>
      </c>
      <c r="D329">
        <v>2</v>
      </c>
      <c r="E329" t="s">
        <v>28</v>
      </c>
      <c r="F329" t="s">
        <v>39</v>
      </c>
      <c r="G329" t="str">
        <f>"2026-05-23 07:39:38.901"</f>
        <v>2026-05-23 07:39:38.901</v>
      </c>
      <c r="H329" t="s">
        <v>21</v>
      </c>
      <c r="I329">
        <v>0</v>
      </c>
      <c r="J329" t="s">
        <v>30</v>
      </c>
    </row>
    <row r="330" spans="1:10" x14ac:dyDescent="0.25">
      <c r="A330" s="1">
        <v>23</v>
      </c>
      <c r="B330" t="s">
        <v>19</v>
      </c>
      <c r="C330">
        <v>706</v>
      </c>
      <c r="D330">
        <v>3</v>
      </c>
      <c r="E330" t="s">
        <v>28</v>
      </c>
      <c r="F330" t="s">
        <v>43</v>
      </c>
      <c r="G330" t="str">
        <f>"2026-05-23 07:39:19.981"</f>
        <v>2026-05-23 07:39:19.981</v>
      </c>
      <c r="H330" t="s">
        <v>21</v>
      </c>
      <c r="I330">
        <v>0</v>
      </c>
      <c r="J330" t="s">
        <v>30</v>
      </c>
    </row>
    <row r="331" spans="1:10" x14ac:dyDescent="0.25">
      <c r="A331" s="1">
        <v>24</v>
      </c>
      <c r="B331" t="s">
        <v>23</v>
      </c>
      <c r="C331">
        <v>635</v>
      </c>
      <c r="D331">
        <v>1</v>
      </c>
      <c r="E331" t="s">
        <v>31</v>
      </c>
      <c r="F331" t="s">
        <v>32</v>
      </c>
      <c r="G331" t="str">
        <f>"2026-05-22 22:44:52.741"</f>
        <v>2026-05-22 22:44:52.741</v>
      </c>
      <c r="H331" t="s">
        <v>21</v>
      </c>
    </row>
    <row r="332" spans="1:10" x14ac:dyDescent="0.25">
      <c r="A332" s="1">
        <v>25</v>
      </c>
      <c r="B332" t="s">
        <v>26</v>
      </c>
      <c r="C332">
        <v>635</v>
      </c>
      <c r="D332">
        <v>1</v>
      </c>
      <c r="E332" t="s">
        <v>31</v>
      </c>
      <c r="F332" t="s">
        <v>32</v>
      </c>
      <c r="G332" t="str">
        <f>"2026-05-22 22:40:35.241"</f>
        <v>2026-05-22 22:40:35.241</v>
      </c>
      <c r="H332" t="s">
        <v>21</v>
      </c>
      <c r="I332">
        <v>1.38</v>
      </c>
      <c r="J332" t="s">
        <v>27</v>
      </c>
    </row>
    <row r="333" spans="1:10" x14ac:dyDescent="0.25">
      <c r="A333" s="1">
        <v>26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"2026-05-22 17:07:56.361"</f>
        <v>2026-05-22 17:07:56.361</v>
      </c>
      <c r="H333" t="s">
        <v>21</v>
      </c>
      <c r="I333">
        <v>0</v>
      </c>
      <c r="J333" t="s">
        <v>22</v>
      </c>
    </row>
    <row r="334" spans="1:10" s="3" customFormat="1" x14ac:dyDescent="0.25">
      <c r="A334" s="2">
        <v>27</v>
      </c>
      <c r="B334" s="3" t="s">
        <v>23</v>
      </c>
      <c r="C334" s="3">
        <v>647</v>
      </c>
      <c r="D334" s="3">
        <v>1</v>
      </c>
      <c r="E334" s="3" t="s">
        <v>24</v>
      </c>
      <c r="F334" s="3" t="s">
        <v>25</v>
      </c>
      <c r="G334" s="3" t="str">
        <f>"2026-05-22 14:06:47.887"</f>
        <v>2026-05-22 14:06:47.887</v>
      </c>
      <c r="H334" s="3" t="s">
        <v>21</v>
      </c>
    </row>
    <row r="335" spans="1:10" s="3" customFormat="1" x14ac:dyDescent="0.25">
      <c r="A335" s="2">
        <v>28</v>
      </c>
      <c r="B335" s="3" t="s">
        <v>26</v>
      </c>
      <c r="C335" s="3">
        <v>647</v>
      </c>
      <c r="D335" s="3">
        <v>1</v>
      </c>
      <c r="E335" s="3" t="s">
        <v>24</v>
      </c>
      <c r="F335" s="3" t="s">
        <v>25</v>
      </c>
      <c r="G335" s="3" t="str">
        <f>"2026-05-22 14:06:46.787"</f>
        <v>2026-05-22 14:06:46.787</v>
      </c>
      <c r="H335" s="3" t="s">
        <v>21</v>
      </c>
      <c r="I335" s="3">
        <v>24.53</v>
      </c>
      <c r="J335" s="3" t="s">
        <v>27</v>
      </c>
    </row>
    <row r="336" spans="1:10" x14ac:dyDescent="0.25">
      <c r="A336" s="1">
        <v>29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"2026-05-22 13:57:46.346"</f>
        <v>2026-05-22 13:57:46.346</v>
      </c>
      <c r="H336" t="s">
        <v>21</v>
      </c>
      <c r="I336">
        <v>0</v>
      </c>
      <c r="J336" t="s">
        <v>22</v>
      </c>
    </row>
    <row r="337" spans="1:10" x14ac:dyDescent="0.25">
      <c r="A337" s="1">
        <v>30</v>
      </c>
      <c r="B337" t="s">
        <v>19</v>
      </c>
      <c r="C337">
        <v>706</v>
      </c>
      <c r="D337">
        <v>4</v>
      </c>
      <c r="E337" t="s">
        <v>28</v>
      </c>
      <c r="F337" t="s">
        <v>29</v>
      </c>
      <c r="G337" t="str">
        <f>"2026-05-22 09:04:38.656"</f>
        <v>2026-05-22 09:04:38.656</v>
      </c>
      <c r="H337" t="s">
        <v>21</v>
      </c>
      <c r="I337">
        <v>0</v>
      </c>
      <c r="J337" t="s">
        <v>30</v>
      </c>
    </row>
    <row r="338" spans="1:10" x14ac:dyDescent="0.25">
      <c r="A338" s="1">
        <v>31</v>
      </c>
      <c r="B338" t="s">
        <v>19</v>
      </c>
      <c r="C338">
        <v>706</v>
      </c>
      <c r="D338">
        <v>3</v>
      </c>
      <c r="E338" t="s">
        <v>28</v>
      </c>
      <c r="F338" t="s">
        <v>43</v>
      </c>
      <c r="G338" t="str">
        <f>"2026-05-22 09:04:15.946"</f>
        <v>2026-05-22 09:04:15.946</v>
      </c>
      <c r="H338" t="s">
        <v>21</v>
      </c>
      <c r="I338">
        <v>0</v>
      </c>
      <c r="J338" t="s">
        <v>30</v>
      </c>
    </row>
    <row r="339" spans="1:10" x14ac:dyDescent="0.25">
      <c r="A339" s="1">
        <v>32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"2026-05-22 09:03:31.356"</f>
        <v>2026-05-22 09:03:31.356</v>
      </c>
      <c r="H339" t="s">
        <v>21</v>
      </c>
      <c r="I339">
        <v>0</v>
      </c>
      <c r="J339" t="s">
        <v>22</v>
      </c>
    </row>
    <row r="340" spans="1:10" x14ac:dyDescent="0.25">
      <c r="A340" s="1">
        <v>33</v>
      </c>
      <c r="B340" t="s">
        <v>19</v>
      </c>
      <c r="C340">
        <v>706</v>
      </c>
      <c r="D340">
        <v>4</v>
      </c>
      <c r="E340" t="s">
        <v>28</v>
      </c>
      <c r="F340" t="s">
        <v>29</v>
      </c>
      <c r="G340" t="str">
        <f>"2026-05-22 07:36:57.423"</f>
        <v>2026-05-22 07:36:57.423</v>
      </c>
      <c r="H340" t="s">
        <v>21</v>
      </c>
      <c r="I340">
        <v>0</v>
      </c>
      <c r="J340" t="s">
        <v>30</v>
      </c>
    </row>
    <row r="341" spans="1:10" x14ac:dyDescent="0.25">
      <c r="A341" s="1">
        <v>34</v>
      </c>
      <c r="B341" t="s">
        <v>19</v>
      </c>
      <c r="C341">
        <v>706</v>
      </c>
      <c r="D341">
        <v>3</v>
      </c>
      <c r="E341" t="s">
        <v>28</v>
      </c>
      <c r="F341" t="s">
        <v>43</v>
      </c>
      <c r="G341" t="str">
        <f>"2026-05-22 07:36:37.603"</f>
        <v>2026-05-22 07:36:37.603</v>
      </c>
      <c r="H341" t="s">
        <v>21</v>
      </c>
      <c r="I341">
        <v>0</v>
      </c>
      <c r="J341" t="s">
        <v>30</v>
      </c>
    </row>
    <row r="342" spans="1:10" s="3" customFormat="1" x14ac:dyDescent="0.25">
      <c r="A342" s="2">
        <v>35</v>
      </c>
      <c r="B342" s="3" t="s">
        <v>23</v>
      </c>
      <c r="C342" s="3">
        <v>647</v>
      </c>
      <c r="D342" s="3">
        <v>1</v>
      </c>
      <c r="E342" s="3" t="s">
        <v>24</v>
      </c>
      <c r="F342" s="3" t="s">
        <v>25</v>
      </c>
      <c r="G342" s="3" t="str">
        <f>"2026-05-21 14:10:10.845"</f>
        <v>2026-05-21 14:10:10.845</v>
      </c>
      <c r="H342" s="3" t="s">
        <v>21</v>
      </c>
    </row>
    <row r="343" spans="1:10" s="3" customFormat="1" x14ac:dyDescent="0.25">
      <c r="A343" s="2">
        <v>36</v>
      </c>
      <c r="B343" s="3" t="s">
        <v>26</v>
      </c>
      <c r="C343" s="3">
        <v>647</v>
      </c>
      <c r="D343" s="3">
        <v>1</v>
      </c>
      <c r="E343" s="3" t="s">
        <v>24</v>
      </c>
      <c r="F343" s="3" t="s">
        <v>25</v>
      </c>
      <c r="G343" s="3" t="str">
        <f>"2026-05-21 14:10:09.545"</f>
        <v>2026-05-21 14:10:09.545</v>
      </c>
      <c r="H343" s="3" t="s">
        <v>21</v>
      </c>
      <c r="I343" s="3">
        <v>18.03</v>
      </c>
      <c r="J343" s="3" t="s">
        <v>27</v>
      </c>
    </row>
    <row r="344" spans="1:10" x14ac:dyDescent="0.25">
      <c r="A344" s="1">
        <v>37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"2026-05-21 13:37:29.313"</f>
        <v>2026-05-21 13:37:29.313</v>
      </c>
      <c r="H344" t="s">
        <v>21</v>
      </c>
      <c r="I344">
        <v>0</v>
      </c>
      <c r="J344" t="s">
        <v>22</v>
      </c>
    </row>
    <row r="345" spans="1:10" x14ac:dyDescent="0.25">
      <c r="A345" s="1">
        <v>38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"2026-05-21 13:22:24.300"</f>
        <v>2026-05-21 13:22:24.300</v>
      </c>
      <c r="H345" t="s">
        <v>21</v>
      </c>
    </row>
    <row r="346" spans="1:10" s="3" customFormat="1" x14ac:dyDescent="0.25">
      <c r="A346" s="2">
        <v>39</v>
      </c>
      <c r="B346" s="3" t="s">
        <v>23</v>
      </c>
      <c r="C346" s="3">
        <v>647</v>
      </c>
      <c r="D346" s="3">
        <v>1</v>
      </c>
      <c r="E346" s="3" t="s">
        <v>24</v>
      </c>
      <c r="F346" s="3" t="s">
        <v>25</v>
      </c>
      <c r="G346" s="3" t="str">
        <f>"2026-05-21 10:23:59.822"</f>
        <v>2026-05-21 10:23:59.822</v>
      </c>
      <c r="H346" s="3" t="s">
        <v>21</v>
      </c>
    </row>
    <row r="347" spans="1:10" s="3" customFormat="1" x14ac:dyDescent="0.25">
      <c r="A347" s="2">
        <v>40</v>
      </c>
      <c r="B347" s="3" t="s">
        <v>26</v>
      </c>
      <c r="C347" s="3">
        <v>647</v>
      </c>
      <c r="D347" s="3">
        <v>1</v>
      </c>
      <c r="E347" s="3" t="s">
        <v>24</v>
      </c>
      <c r="F347" s="3" t="s">
        <v>25</v>
      </c>
      <c r="G347" s="3" t="str">
        <f>"2026-05-21 10:23:53.922"</f>
        <v>2026-05-21 10:23:53.922</v>
      </c>
      <c r="H347" s="3" t="s">
        <v>21</v>
      </c>
      <c r="I347" s="3">
        <v>10.55</v>
      </c>
      <c r="J347" s="3" t="s">
        <v>27</v>
      </c>
    </row>
    <row r="348" spans="1:10" x14ac:dyDescent="0.25">
      <c r="A348" s="1">
        <v>41</v>
      </c>
      <c r="B348" t="s">
        <v>19</v>
      </c>
      <c r="C348">
        <v>706</v>
      </c>
      <c r="D348">
        <v>2</v>
      </c>
      <c r="E348" t="s">
        <v>28</v>
      </c>
      <c r="F348" t="s">
        <v>39</v>
      </c>
      <c r="G348" t="str">
        <f>"2026-05-21 07:57:53.153"</f>
        <v>2026-05-21 07:57:53.153</v>
      </c>
      <c r="H348" t="s">
        <v>21</v>
      </c>
      <c r="I348">
        <v>0</v>
      </c>
      <c r="J348" t="s">
        <v>30</v>
      </c>
    </row>
    <row r="349" spans="1:10" s="3" customFormat="1" x14ac:dyDescent="0.25">
      <c r="A349" s="2">
        <v>42</v>
      </c>
      <c r="B349" s="3" t="s">
        <v>23</v>
      </c>
      <c r="C349" s="3">
        <v>647</v>
      </c>
      <c r="D349" s="3">
        <v>1</v>
      </c>
      <c r="E349" s="3" t="s">
        <v>24</v>
      </c>
      <c r="F349" s="3" t="s">
        <v>25</v>
      </c>
      <c r="G349" s="3" t="str">
        <f>"2026-05-20 20:21:46.122"</f>
        <v>2026-05-20 20:21:46.122</v>
      </c>
      <c r="H349" s="3" t="s">
        <v>21</v>
      </c>
    </row>
    <row r="350" spans="1:10" s="3" customFormat="1" x14ac:dyDescent="0.25">
      <c r="A350" s="2">
        <v>43</v>
      </c>
      <c r="B350" s="3" t="s">
        <v>26</v>
      </c>
      <c r="C350" s="3">
        <v>647</v>
      </c>
      <c r="D350" s="3">
        <v>1</v>
      </c>
      <c r="E350" s="3" t="s">
        <v>24</v>
      </c>
      <c r="F350" s="3" t="s">
        <v>25</v>
      </c>
      <c r="G350" s="3" t="str">
        <f>"2026-05-20 20:21:43.223"</f>
        <v>2026-05-20 20:21:43.223</v>
      </c>
      <c r="H350" s="3" t="s">
        <v>21</v>
      </c>
      <c r="I350" s="3">
        <v>12.03</v>
      </c>
      <c r="J350" s="3" t="s">
        <v>27</v>
      </c>
    </row>
    <row r="351" spans="1:10" x14ac:dyDescent="0.25">
      <c r="A351" s="1">
        <v>44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"2026-05-20 15:53:10.383"</f>
        <v>2026-05-20 15:53:10.383</v>
      </c>
      <c r="H351" t="s">
        <v>21</v>
      </c>
    </row>
    <row r="352" spans="1:10" x14ac:dyDescent="0.25">
      <c r="A352" s="1">
        <v>45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"2026-05-20 15:36:42.361"</f>
        <v>2026-05-20 15:36:42.361</v>
      </c>
      <c r="H352" t="s">
        <v>21</v>
      </c>
      <c r="I352">
        <v>0</v>
      </c>
      <c r="J352" t="s">
        <v>22</v>
      </c>
    </row>
    <row r="353" spans="1:10" x14ac:dyDescent="0.25">
      <c r="A353" s="1">
        <v>46</v>
      </c>
      <c r="B353" t="s">
        <v>23</v>
      </c>
      <c r="C353">
        <v>630</v>
      </c>
      <c r="D353">
        <v>5</v>
      </c>
      <c r="E353" t="s">
        <v>35</v>
      </c>
      <c r="F353" t="s">
        <v>36</v>
      </c>
      <c r="G353" t="str">
        <f>"2026-05-20 15:17:48.186"</f>
        <v>2026-05-20 15:17:48.186</v>
      </c>
      <c r="H353" t="s">
        <v>37</v>
      </c>
    </row>
    <row r="354" spans="1:10" x14ac:dyDescent="0.25">
      <c r="A354" s="1">
        <v>47</v>
      </c>
      <c r="B354" t="s">
        <v>19</v>
      </c>
      <c r="C354">
        <v>706</v>
      </c>
      <c r="D354">
        <v>4</v>
      </c>
      <c r="E354" t="s">
        <v>28</v>
      </c>
      <c r="F354" t="s">
        <v>29</v>
      </c>
      <c r="G354" t="str">
        <f>"2026-05-20 15:17:18.018"</f>
        <v>2026-05-20 15:17:18.018</v>
      </c>
      <c r="H354" t="s">
        <v>21</v>
      </c>
      <c r="I354">
        <v>0</v>
      </c>
      <c r="J354" t="s">
        <v>30</v>
      </c>
    </row>
    <row r="355" spans="1:10" x14ac:dyDescent="0.25">
      <c r="A355" s="1">
        <v>48</v>
      </c>
      <c r="B355" t="s">
        <v>19</v>
      </c>
      <c r="C355">
        <v>706</v>
      </c>
      <c r="D355">
        <v>2</v>
      </c>
      <c r="E355" t="s">
        <v>28</v>
      </c>
      <c r="F355" t="s">
        <v>39</v>
      </c>
      <c r="G355" t="str">
        <f>"2026-05-20 15:09:36.308"</f>
        <v>2026-05-20 15:09:36.308</v>
      </c>
      <c r="H355" t="s">
        <v>21</v>
      </c>
      <c r="I355">
        <v>0</v>
      </c>
      <c r="J355" t="s">
        <v>30</v>
      </c>
    </row>
    <row r="356" spans="1:10" x14ac:dyDescent="0.25">
      <c r="A356" s="1">
        <v>49</v>
      </c>
      <c r="B356" t="s">
        <v>19</v>
      </c>
      <c r="C356">
        <v>706</v>
      </c>
      <c r="D356">
        <v>4</v>
      </c>
      <c r="E356" t="s">
        <v>28</v>
      </c>
      <c r="F356" t="s">
        <v>29</v>
      </c>
      <c r="G356" t="str">
        <f>"2026-05-20 15:09:18.448"</f>
        <v>2026-05-20 15:09:18.448</v>
      </c>
      <c r="H356" t="s">
        <v>21</v>
      </c>
      <c r="I356">
        <v>0</v>
      </c>
      <c r="J356" t="s">
        <v>30</v>
      </c>
    </row>
    <row r="357" spans="1:10" x14ac:dyDescent="0.25">
      <c r="A357" s="1">
        <v>50</v>
      </c>
      <c r="B357" t="s">
        <v>38</v>
      </c>
      <c r="C357">
        <v>630</v>
      </c>
      <c r="D357">
        <v>5</v>
      </c>
      <c r="E357" t="s">
        <v>35</v>
      </c>
      <c r="F357" t="s">
        <v>36</v>
      </c>
      <c r="G357" t="str">
        <f>"2026-05-20 15:01:31.287"</f>
        <v>2026-05-20 15:01:31.287</v>
      </c>
      <c r="H357" t="s">
        <v>37</v>
      </c>
      <c r="I357">
        <v>0</v>
      </c>
      <c r="J357" t="s">
        <v>30</v>
      </c>
    </row>
    <row r="358" spans="1:10" x14ac:dyDescent="0.25">
      <c r="A358" s="1">
        <v>51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"2026-05-20 14:56:28.418"</f>
        <v>2026-05-20 14:56:28.418</v>
      </c>
      <c r="H358" t="s">
        <v>21</v>
      </c>
      <c r="I358">
        <v>0</v>
      </c>
      <c r="J358" t="s">
        <v>22</v>
      </c>
    </row>
    <row r="359" spans="1:10" x14ac:dyDescent="0.25">
      <c r="A359" s="1">
        <v>52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"2026-05-20 12:08:55.312"</f>
        <v>2026-05-20 12:08:55.312</v>
      </c>
      <c r="H359" t="s">
        <v>21</v>
      </c>
      <c r="I359">
        <v>0</v>
      </c>
      <c r="J359" t="s">
        <v>22</v>
      </c>
    </row>
    <row r="360" spans="1:10" x14ac:dyDescent="0.25">
      <c r="A360" s="1">
        <v>53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"2026-05-20 11:45:41.343"</f>
        <v>2026-05-20 11:45:41.343</v>
      </c>
      <c r="H360" t="s">
        <v>21</v>
      </c>
      <c r="I360">
        <v>0</v>
      </c>
      <c r="J360" t="s">
        <v>22</v>
      </c>
    </row>
    <row r="361" spans="1:10" s="3" customFormat="1" x14ac:dyDescent="0.25">
      <c r="A361" s="2">
        <v>54</v>
      </c>
      <c r="B361" s="3" t="s">
        <v>23</v>
      </c>
      <c r="C361" s="3">
        <v>647</v>
      </c>
      <c r="D361" s="3">
        <v>1</v>
      </c>
      <c r="E361" s="3" t="s">
        <v>24</v>
      </c>
      <c r="F361" s="3" t="s">
        <v>25</v>
      </c>
      <c r="G361" s="3" t="str">
        <f>"2026-05-20 04:54:42.652"</f>
        <v>2026-05-20 04:54:42.652</v>
      </c>
      <c r="H361" s="3" t="s">
        <v>21</v>
      </c>
    </row>
    <row r="362" spans="1:10" s="3" customFormat="1" x14ac:dyDescent="0.25">
      <c r="A362" s="2">
        <v>55</v>
      </c>
      <c r="B362" s="3" t="s">
        <v>26</v>
      </c>
      <c r="C362" s="3">
        <v>647</v>
      </c>
      <c r="D362" s="3">
        <v>1</v>
      </c>
      <c r="E362" s="3" t="s">
        <v>24</v>
      </c>
      <c r="F362" s="3" t="s">
        <v>25</v>
      </c>
      <c r="G362" s="3" t="str">
        <f>"2026-05-20 04:54:39.552"</f>
        <v>2026-05-20 04:54:39.552</v>
      </c>
      <c r="H362" s="3" t="s">
        <v>21</v>
      </c>
      <c r="I362" s="3">
        <v>8.82</v>
      </c>
      <c r="J362" s="3" t="s">
        <v>27</v>
      </c>
    </row>
    <row r="363" spans="1:10" s="3" customFormat="1" x14ac:dyDescent="0.25">
      <c r="A363" s="2">
        <v>56</v>
      </c>
      <c r="B363" s="3" t="s">
        <v>23</v>
      </c>
      <c r="C363" s="3">
        <v>647</v>
      </c>
      <c r="D363" s="3">
        <v>1</v>
      </c>
      <c r="E363" s="3" t="s">
        <v>24</v>
      </c>
      <c r="F363" s="3" t="s">
        <v>25</v>
      </c>
      <c r="G363" s="3" t="str">
        <f>"2026-05-19 16:45:56.552"</f>
        <v>2026-05-19 16:45:56.552</v>
      </c>
      <c r="H363" s="3" t="s">
        <v>21</v>
      </c>
    </row>
    <row r="364" spans="1:10" s="3" customFormat="1" x14ac:dyDescent="0.25">
      <c r="A364" s="2">
        <v>57</v>
      </c>
      <c r="B364" s="3" t="s">
        <v>26</v>
      </c>
      <c r="C364" s="3">
        <v>647</v>
      </c>
      <c r="D364" s="3">
        <v>1</v>
      </c>
      <c r="E364" s="3" t="s">
        <v>24</v>
      </c>
      <c r="F364" s="3" t="s">
        <v>25</v>
      </c>
      <c r="G364" s="3" t="str">
        <f>"2026-05-19 16:45:48.652"</f>
        <v>2026-05-19 16:45:48.652</v>
      </c>
      <c r="H364" s="3" t="s">
        <v>21</v>
      </c>
      <c r="I364" s="3">
        <v>11.47</v>
      </c>
      <c r="J364" s="3" t="s">
        <v>27</v>
      </c>
    </row>
    <row r="365" spans="1:10" x14ac:dyDescent="0.25">
      <c r="A365" s="1">
        <v>58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"2026-05-19 15:53:32.320"</f>
        <v>2026-05-19 15:53:32.320</v>
      </c>
      <c r="H365" t="s">
        <v>21</v>
      </c>
      <c r="I365">
        <v>0</v>
      </c>
      <c r="J365" t="s">
        <v>22</v>
      </c>
    </row>
    <row r="366" spans="1:10" x14ac:dyDescent="0.25">
      <c r="A366" s="1">
        <v>59</v>
      </c>
      <c r="B366" t="s">
        <v>19</v>
      </c>
      <c r="C366">
        <v>706</v>
      </c>
      <c r="D366">
        <v>3</v>
      </c>
      <c r="E366" t="s">
        <v>28</v>
      </c>
      <c r="F366" t="s">
        <v>43</v>
      </c>
      <c r="G366" t="str">
        <f>"2026-05-19 15:40:36.878"</f>
        <v>2026-05-19 15:40:36.878</v>
      </c>
      <c r="H366" t="s">
        <v>21</v>
      </c>
      <c r="I366">
        <v>0</v>
      </c>
      <c r="J366" t="s">
        <v>30</v>
      </c>
    </row>
    <row r="367" spans="1:10" x14ac:dyDescent="0.25">
      <c r="A367" s="1">
        <v>60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"2026-05-19 13:42:22.528"</f>
        <v>2026-05-19 13:42:22.528</v>
      </c>
      <c r="H367" t="s">
        <v>21</v>
      </c>
    </row>
    <row r="368" spans="1:10" x14ac:dyDescent="0.25">
      <c r="A368" s="1">
        <v>61</v>
      </c>
      <c r="B368" t="s">
        <v>19</v>
      </c>
      <c r="C368">
        <v>706</v>
      </c>
      <c r="D368">
        <v>2</v>
      </c>
      <c r="E368" t="s">
        <v>28</v>
      </c>
      <c r="F368" t="s">
        <v>39</v>
      </c>
      <c r="G368" t="str">
        <f>"2026-05-19 07:35:58.222"</f>
        <v>2026-05-19 07:35:58.222</v>
      </c>
      <c r="H368" t="s">
        <v>21</v>
      </c>
      <c r="I368">
        <v>0</v>
      </c>
      <c r="J368" t="s">
        <v>30</v>
      </c>
    </row>
    <row r="369" spans="1:10" x14ac:dyDescent="0.25">
      <c r="A369" s="1">
        <v>62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"2026-05-19 07:35:33.372"</f>
        <v>2026-05-19 07:35:33.372</v>
      </c>
      <c r="H369" t="s">
        <v>21</v>
      </c>
      <c r="I369">
        <v>0</v>
      </c>
      <c r="J369" t="s">
        <v>22</v>
      </c>
    </row>
    <row r="370" spans="1:10" x14ac:dyDescent="0.25">
      <c r="A370" s="1">
        <v>63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"2026-05-19 00:13:35.476"</f>
        <v>2026-05-19 00:13:35.476</v>
      </c>
      <c r="H370" t="s">
        <v>21</v>
      </c>
    </row>
    <row r="371" spans="1:10" x14ac:dyDescent="0.25">
      <c r="A371" s="1">
        <v>64</v>
      </c>
      <c r="B371" t="s">
        <v>23</v>
      </c>
      <c r="C371">
        <v>630</v>
      </c>
      <c r="D371">
        <v>5</v>
      </c>
      <c r="E371" t="s">
        <v>35</v>
      </c>
      <c r="F371" t="s">
        <v>36</v>
      </c>
      <c r="G371" t="str">
        <f>"2026-05-18 13:43:36.273"</f>
        <v>2026-05-18 13:43:36.273</v>
      </c>
      <c r="H371" t="s">
        <v>37</v>
      </c>
    </row>
    <row r="372" spans="1:10" x14ac:dyDescent="0.25">
      <c r="A372" s="1">
        <v>65</v>
      </c>
      <c r="B372" t="s">
        <v>19</v>
      </c>
      <c r="C372">
        <v>706</v>
      </c>
      <c r="D372">
        <v>4</v>
      </c>
      <c r="E372" t="s">
        <v>28</v>
      </c>
      <c r="F372" t="s">
        <v>29</v>
      </c>
      <c r="G372" t="str">
        <f>"2026-05-18 13:43:06.146"</f>
        <v>2026-05-18 13:43:06.146</v>
      </c>
      <c r="H372" t="s">
        <v>21</v>
      </c>
      <c r="I372">
        <v>0</v>
      </c>
      <c r="J372" t="s">
        <v>30</v>
      </c>
    </row>
    <row r="373" spans="1:10" x14ac:dyDescent="0.25">
      <c r="A373" s="1">
        <v>66</v>
      </c>
      <c r="B373" t="s">
        <v>38</v>
      </c>
      <c r="C373">
        <v>630</v>
      </c>
      <c r="D373">
        <v>5</v>
      </c>
      <c r="E373" t="s">
        <v>35</v>
      </c>
      <c r="F373" t="s">
        <v>36</v>
      </c>
      <c r="G373" t="str">
        <f>"2026-05-18 12:47:00.673"</f>
        <v>2026-05-18 12:47:00.673</v>
      </c>
      <c r="H373" t="s">
        <v>37</v>
      </c>
      <c r="I373">
        <v>0</v>
      </c>
      <c r="J373" t="s">
        <v>30</v>
      </c>
    </row>
    <row r="374" spans="1:10" x14ac:dyDescent="0.25">
      <c r="A374" s="1">
        <v>67</v>
      </c>
      <c r="B374" t="s">
        <v>23</v>
      </c>
      <c r="C374">
        <v>635</v>
      </c>
      <c r="D374">
        <v>1</v>
      </c>
      <c r="E374" t="s">
        <v>31</v>
      </c>
      <c r="F374" t="s">
        <v>32</v>
      </c>
      <c r="G374" t="str">
        <f>"2026-05-18 10:14:40.325"</f>
        <v>2026-05-18 10:14:40.325</v>
      </c>
      <c r="H374" t="s">
        <v>21</v>
      </c>
    </row>
    <row r="375" spans="1:10" x14ac:dyDescent="0.25">
      <c r="A375" s="1">
        <v>68</v>
      </c>
      <c r="B375" t="s">
        <v>26</v>
      </c>
      <c r="C375">
        <v>635</v>
      </c>
      <c r="D375">
        <v>1</v>
      </c>
      <c r="E375" t="s">
        <v>31</v>
      </c>
      <c r="F375" t="s">
        <v>32</v>
      </c>
      <c r="G375" t="str">
        <f>"2026-05-18 10:09:10.825"</f>
        <v>2026-05-18 10:09:10.825</v>
      </c>
      <c r="H375" t="s">
        <v>21</v>
      </c>
      <c r="I375">
        <v>2.91</v>
      </c>
      <c r="J375" t="s">
        <v>33</v>
      </c>
    </row>
    <row r="376" spans="1:10" s="3" customFormat="1" x14ac:dyDescent="0.25">
      <c r="A376" s="2">
        <v>69</v>
      </c>
      <c r="B376" s="3" t="s">
        <v>23</v>
      </c>
      <c r="C376" s="3">
        <v>647</v>
      </c>
      <c r="D376" s="3">
        <v>1</v>
      </c>
      <c r="E376" s="3" t="s">
        <v>24</v>
      </c>
      <c r="F376" s="3" t="s">
        <v>25</v>
      </c>
      <c r="G376" s="3" t="str">
        <f>"2026-05-18 04:26:58.773"</f>
        <v>2026-05-18 04:26:58.773</v>
      </c>
      <c r="H376" s="3" t="s">
        <v>21</v>
      </c>
    </row>
    <row r="377" spans="1:10" s="3" customFormat="1" x14ac:dyDescent="0.25">
      <c r="A377" s="2">
        <v>70</v>
      </c>
      <c r="B377" s="3" t="s">
        <v>26</v>
      </c>
      <c r="C377" s="3">
        <v>647</v>
      </c>
      <c r="D377" s="3">
        <v>1</v>
      </c>
      <c r="E377" s="3" t="s">
        <v>24</v>
      </c>
      <c r="F377" s="3" t="s">
        <v>25</v>
      </c>
      <c r="G377" s="3" t="str">
        <f>"2026-05-18 04:26:57.774"</f>
        <v>2026-05-18 04:26:57.774</v>
      </c>
      <c r="H377" s="3" t="s">
        <v>21</v>
      </c>
      <c r="I377" s="3">
        <v>8.2899999999999991</v>
      </c>
      <c r="J377" s="3" t="s">
        <v>34</v>
      </c>
    </row>
    <row r="378" spans="1:10" x14ac:dyDescent="0.25">
      <c r="A378" s="1">
        <v>71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"2026-05-17 21:22:18.336"</f>
        <v>2026-05-17 21:22:18.336</v>
      </c>
      <c r="H378" t="s">
        <v>21</v>
      </c>
      <c r="I378">
        <v>0</v>
      </c>
      <c r="J378" t="s">
        <v>22</v>
      </c>
    </row>
    <row r="379" spans="1:10" x14ac:dyDescent="0.25">
      <c r="A379" s="1">
        <v>72</v>
      </c>
      <c r="B379" t="s">
        <v>23</v>
      </c>
      <c r="C379">
        <v>630</v>
      </c>
      <c r="D379">
        <v>5</v>
      </c>
      <c r="E379" t="s">
        <v>35</v>
      </c>
      <c r="F379" t="s">
        <v>36</v>
      </c>
      <c r="G379" t="str">
        <f>"2026-05-17 13:10:49.651"</f>
        <v>2026-05-17 13:10:49.651</v>
      </c>
      <c r="H379" t="s">
        <v>37</v>
      </c>
    </row>
    <row r="380" spans="1:10" x14ac:dyDescent="0.25">
      <c r="A380" s="1">
        <v>73</v>
      </c>
      <c r="B380" t="s">
        <v>19</v>
      </c>
      <c r="C380">
        <v>706</v>
      </c>
      <c r="D380">
        <v>4</v>
      </c>
      <c r="E380" t="s">
        <v>28</v>
      </c>
      <c r="F380" t="s">
        <v>29</v>
      </c>
      <c r="G380" t="str">
        <f>"2026-05-17 13:10:19.539"</f>
        <v>2026-05-17 13:10:19.539</v>
      </c>
      <c r="H380" t="s">
        <v>21</v>
      </c>
      <c r="I380">
        <v>0</v>
      </c>
      <c r="J380" t="s">
        <v>30</v>
      </c>
    </row>
    <row r="381" spans="1:10" x14ac:dyDescent="0.25">
      <c r="A381" s="1">
        <v>74</v>
      </c>
      <c r="B381" t="s">
        <v>38</v>
      </c>
      <c r="C381">
        <v>630</v>
      </c>
      <c r="D381">
        <v>5</v>
      </c>
      <c r="E381" t="s">
        <v>35</v>
      </c>
      <c r="F381" t="s">
        <v>36</v>
      </c>
      <c r="G381" t="str">
        <f>"2026-05-17 12:50:54.951"</f>
        <v>2026-05-17 12:50:54.951</v>
      </c>
      <c r="H381" t="s">
        <v>37</v>
      </c>
      <c r="I381">
        <v>0</v>
      </c>
      <c r="J381" t="s">
        <v>30</v>
      </c>
    </row>
    <row r="382" spans="1:10" x14ac:dyDescent="0.25">
      <c r="A382" s="1">
        <v>75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"2026-05-16 22:23:02.399"</f>
        <v>2026-05-16 22:23:02.399</v>
      </c>
      <c r="H382" t="s">
        <v>21</v>
      </c>
    </row>
    <row r="383" spans="1:10" x14ac:dyDescent="0.25">
      <c r="A383" s="1">
        <v>76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"2026-05-16 22:11:30.315"</f>
        <v>2026-05-16 22:11:30.315</v>
      </c>
      <c r="H383" t="s">
        <v>21</v>
      </c>
    </row>
    <row r="384" spans="1:10" s="3" customFormat="1" x14ac:dyDescent="0.25">
      <c r="A384" s="2">
        <v>77</v>
      </c>
      <c r="B384" s="3" t="s">
        <v>23</v>
      </c>
      <c r="C384" s="3">
        <v>647</v>
      </c>
      <c r="D384" s="3">
        <v>1</v>
      </c>
      <c r="E384" s="3" t="s">
        <v>24</v>
      </c>
      <c r="F384" s="3" t="s">
        <v>25</v>
      </c>
      <c r="G384" s="3" t="str">
        <f>"2026-05-16 16:55:54.568"</f>
        <v>2026-05-16 16:55:54.568</v>
      </c>
      <c r="H384" s="3" t="s">
        <v>21</v>
      </c>
    </row>
    <row r="385" spans="1:10" s="3" customFormat="1" x14ac:dyDescent="0.25">
      <c r="A385" s="2">
        <v>78</v>
      </c>
      <c r="B385" s="3" t="s">
        <v>26</v>
      </c>
      <c r="C385" s="3">
        <v>647</v>
      </c>
      <c r="D385" s="3">
        <v>1</v>
      </c>
      <c r="E385" s="3" t="s">
        <v>24</v>
      </c>
      <c r="F385" s="3" t="s">
        <v>25</v>
      </c>
      <c r="G385" s="3" t="str">
        <f>"2026-05-16 16:55:52.368"</f>
        <v>2026-05-16 16:55:52.368</v>
      </c>
      <c r="H385" s="3" t="s">
        <v>21</v>
      </c>
      <c r="I385" s="3">
        <v>8.56</v>
      </c>
      <c r="J385" s="3" t="s">
        <v>27</v>
      </c>
    </row>
    <row r="386" spans="1:10" x14ac:dyDescent="0.25">
      <c r="A386" s="1">
        <v>79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"2026-05-16 15:56:55.329"</f>
        <v>2026-05-16 15:56:55.329</v>
      </c>
      <c r="H386" t="s">
        <v>21</v>
      </c>
      <c r="I386">
        <v>0</v>
      </c>
      <c r="J386" t="s">
        <v>22</v>
      </c>
    </row>
    <row r="387" spans="1:10" x14ac:dyDescent="0.25">
      <c r="A387" s="1">
        <v>80</v>
      </c>
      <c r="B387" t="s">
        <v>19</v>
      </c>
      <c r="C387">
        <v>706</v>
      </c>
      <c r="D387">
        <v>2</v>
      </c>
      <c r="E387" t="s">
        <v>28</v>
      </c>
      <c r="F387" t="s">
        <v>39</v>
      </c>
      <c r="G387" t="str">
        <f>"2026-05-16 13:51:20.285"</f>
        <v>2026-05-16 13:51:20.285</v>
      </c>
      <c r="H387" t="s">
        <v>21</v>
      </c>
      <c r="I387">
        <v>0</v>
      </c>
      <c r="J387" t="s">
        <v>30</v>
      </c>
    </row>
    <row r="388" spans="1:10" x14ac:dyDescent="0.25">
      <c r="A388" s="1">
        <v>81</v>
      </c>
      <c r="B388" t="s">
        <v>23</v>
      </c>
      <c r="C388">
        <v>630</v>
      </c>
      <c r="D388">
        <v>5</v>
      </c>
      <c r="E388" t="s">
        <v>35</v>
      </c>
      <c r="F388" t="s">
        <v>36</v>
      </c>
      <c r="G388" t="str">
        <f>"2026-05-16 13:25:26.273"</f>
        <v>2026-05-16 13:25:26.273</v>
      </c>
      <c r="H388" t="s">
        <v>37</v>
      </c>
    </row>
    <row r="389" spans="1:10" x14ac:dyDescent="0.25">
      <c r="A389" s="1">
        <v>82</v>
      </c>
      <c r="B389" t="s">
        <v>38</v>
      </c>
      <c r="C389">
        <v>630</v>
      </c>
      <c r="D389">
        <v>5</v>
      </c>
      <c r="E389" t="s">
        <v>35</v>
      </c>
      <c r="F389" t="s">
        <v>36</v>
      </c>
      <c r="G389" t="str">
        <f>"2026-05-16 12:53:47.473"</f>
        <v>2026-05-16 12:53:47.473</v>
      </c>
      <c r="H389" t="s">
        <v>37</v>
      </c>
      <c r="I389">
        <v>0</v>
      </c>
      <c r="J389" t="s">
        <v>30</v>
      </c>
    </row>
    <row r="390" spans="1:10" s="3" customFormat="1" x14ac:dyDescent="0.25">
      <c r="A390" s="2">
        <v>83</v>
      </c>
      <c r="B390" s="3" t="s">
        <v>23</v>
      </c>
      <c r="C390" s="3">
        <v>647</v>
      </c>
      <c r="D390" s="3">
        <v>1</v>
      </c>
      <c r="E390" s="3" t="s">
        <v>24</v>
      </c>
      <c r="F390" s="3" t="s">
        <v>25</v>
      </c>
      <c r="G390" s="3" t="str">
        <f>"2026-05-16 01:33:49.473"</f>
        <v>2026-05-16 01:33:49.473</v>
      </c>
      <c r="H390" s="3" t="s">
        <v>21</v>
      </c>
    </row>
    <row r="391" spans="1:10" s="3" customFormat="1" x14ac:dyDescent="0.25">
      <c r="A391" s="2">
        <v>84</v>
      </c>
      <c r="B391" s="3" t="s">
        <v>26</v>
      </c>
      <c r="C391" s="3">
        <v>647</v>
      </c>
      <c r="D391" s="3">
        <v>1</v>
      </c>
      <c r="E391" s="3" t="s">
        <v>24</v>
      </c>
      <c r="F391" s="3" t="s">
        <v>25</v>
      </c>
      <c r="G391" s="3" t="str">
        <f>"2026-05-16 01:33:48.374"</f>
        <v>2026-05-16 01:33:48.374</v>
      </c>
      <c r="H391" s="3" t="s">
        <v>21</v>
      </c>
      <c r="I391" s="3">
        <v>12.33</v>
      </c>
      <c r="J391" s="3" t="s">
        <v>27</v>
      </c>
    </row>
    <row r="392" spans="1:10" x14ac:dyDescent="0.25">
      <c r="A392" s="1">
        <v>85</v>
      </c>
      <c r="B392" t="s">
        <v>19</v>
      </c>
      <c r="C392">
        <v>706</v>
      </c>
      <c r="D392">
        <v>2</v>
      </c>
      <c r="E392" t="s">
        <v>28</v>
      </c>
      <c r="F392" t="s">
        <v>39</v>
      </c>
      <c r="G392" t="str">
        <f>"2026-05-15 22:27:15.685"</f>
        <v>2026-05-15 22:27:15.685</v>
      </c>
      <c r="H392" t="s">
        <v>21</v>
      </c>
      <c r="I392">
        <v>0</v>
      </c>
      <c r="J392" t="s">
        <v>30</v>
      </c>
    </row>
    <row r="393" spans="1:10" x14ac:dyDescent="0.25">
      <c r="A393" s="1">
        <v>86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"2026-05-15 22:27:00.335"</f>
        <v>2026-05-15 22:27:00.335</v>
      </c>
      <c r="H393" t="s">
        <v>21</v>
      </c>
      <c r="I393">
        <v>0</v>
      </c>
      <c r="J393" t="s">
        <v>22</v>
      </c>
    </row>
    <row r="394" spans="1:10" x14ac:dyDescent="0.25">
      <c r="A394" s="1">
        <v>87</v>
      </c>
      <c r="B394" t="s">
        <v>23</v>
      </c>
      <c r="C394">
        <v>630</v>
      </c>
      <c r="D394">
        <v>5</v>
      </c>
      <c r="E394" t="s">
        <v>35</v>
      </c>
      <c r="F394" t="s">
        <v>36</v>
      </c>
      <c r="G394" t="str">
        <f>"2026-05-15 13:49:24.269"</f>
        <v>2026-05-15 13:49:24.269</v>
      </c>
      <c r="H394" t="s">
        <v>37</v>
      </c>
    </row>
    <row r="395" spans="1:10" x14ac:dyDescent="0.25">
      <c r="A395" s="1">
        <v>88</v>
      </c>
      <c r="B395" t="s">
        <v>19</v>
      </c>
      <c r="C395">
        <v>706</v>
      </c>
      <c r="D395">
        <v>4</v>
      </c>
      <c r="E395" t="s">
        <v>28</v>
      </c>
      <c r="F395" t="s">
        <v>29</v>
      </c>
      <c r="G395" t="str">
        <f>"2026-05-15 13:48:54.108"</f>
        <v>2026-05-15 13:48:54.108</v>
      </c>
      <c r="H395" t="s">
        <v>21</v>
      </c>
      <c r="I395">
        <v>0</v>
      </c>
      <c r="J395" t="s">
        <v>30</v>
      </c>
    </row>
    <row r="396" spans="1:10" x14ac:dyDescent="0.25">
      <c r="A396" s="1">
        <v>89</v>
      </c>
      <c r="B396" t="s">
        <v>38</v>
      </c>
      <c r="C396">
        <v>630</v>
      </c>
      <c r="D396">
        <v>5</v>
      </c>
      <c r="E396" t="s">
        <v>35</v>
      </c>
      <c r="F396" t="s">
        <v>36</v>
      </c>
      <c r="G396" t="str">
        <f>"2026-05-15 13:28:43.969"</f>
        <v>2026-05-15 13:28:43.969</v>
      </c>
      <c r="H396" t="s">
        <v>37</v>
      </c>
      <c r="I396">
        <v>0</v>
      </c>
      <c r="J396" t="s">
        <v>30</v>
      </c>
    </row>
    <row r="397" spans="1:10" s="3" customFormat="1" x14ac:dyDescent="0.25">
      <c r="A397" s="2">
        <v>90</v>
      </c>
      <c r="B397" s="3" t="s">
        <v>23</v>
      </c>
      <c r="C397" s="3">
        <v>647</v>
      </c>
      <c r="D397" s="3">
        <v>1</v>
      </c>
      <c r="E397" s="3" t="s">
        <v>24</v>
      </c>
      <c r="F397" s="3" t="s">
        <v>25</v>
      </c>
      <c r="G397" s="3" t="str">
        <f>"2026-05-15 05:52:38.569"</f>
        <v>2026-05-15 05:52:38.569</v>
      </c>
      <c r="H397" s="3" t="s">
        <v>21</v>
      </c>
    </row>
    <row r="398" spans="1:10" s="3" customFormat="1" x14ac:dyDescent="0.25">
      <c r="A398" s="2">
        <v>91</v>
      </c>
      <c r="B398" s="3" t="s">
        <v>26</v>
      </c>
      <c r="C398" s="3">
        <v>647</v>
      </c>
      <c r="D398" s="3">
        <v>1</v>
      </c>
      <c r="E398" s="3" t="s">
        <v>24</v>
      </c>
      <c r="F398" s="3" t="s">
        <v>25</v>
      </c>
      <c r="G398" s="3" t="str">
        <f>"2026-05-15 05:52:37.469"</f>
        <v>2026-05-15 05:52:37.469</v>
      </c>
      <c r="H398" s="3" t="s">
        <v>21</v>
      </c>
      <c r="I398" s="3">
        <v>8</v>
      </c>
      <c r="J398" s="3" t="s">
        <v>27</v>
      </c>
    </row>
    <row r="399" spans="1:10" s="3" customFormat="1" x14ac:dyDescent="0.25">
      <c r="A399" s="2">
        <v>92</v>
      </c>
      <c r="B399" s="3" t="s">
        <v>23</v>
      </c>
      <c r="C399" s="3">
        <v>647</v>
      </c>
      <c r="D399" s="3">
        <v>1</v>
      </c>
      <c r="E399" s="3" t="s">
        <v>24</v>
      </c>
      <c r="F399" s="3" t="s">
        <v>25</v>
      </c>
      <c r="G399" s="3" t="str">
        <f>"2026-05-15 05:14:17.669"</f>
        <v>2026-05-15 05:14:17.669</v>
      </c>
      <c r="H399" s="3" t="s">
        <v>21</v>
      </c>
    </row>
    <row r="400" spans="1:10" s="3" customFormat="1" x14ac:dyDescent="0.25">
      <c r="A400" s="2">
        <v>93</v>
      </c>
      <c r="B400" s="3" t="s">
        <v>26</v>
      </c>
      <c r="C400" s="3">
        <v>647</v>
      </c>
      <c r="D400" s="3">
        <v>1</v>
      </c>
      <c r="E400" s="3" t="s">
        <v>24</v>
      </c>
      <c r="F400" s="3" t="s">
        <v>25</v>
      </c>
      <c r="G400" s="3" t="str">
        <f>"2026-05-15 05:14:16.569"</f>
        <v>2026-05-15 05:14:16.569</v>
      </c>
      <c r="H400" s="3" t="s">
        <v>21</v>
      </c>
      <c r="I400" s="3">
        <v>14.48</v>
      </c>
      <c r="J400" s="3" t="s">
        <v>27</v>
      </c>
    </row>
    <row r="401" spans="1:10" s="3" customFormat="1" x14ac:dyDescent="0.25">
      <c r="A401" s="2">
        <v>94</v>
      </c>
      <c r="B401" s="3" t="s">
        <v>23</v>
      </c>
      <c r="C401" s="3">
        <v>647</v>
      </c>
      <c r="D401" s="3">
        <v>1</v>
      </c>
      <c r="E401" s="3" t="s">
        <v>24</v>
      </c>
      <c r="F401" s="3" t="s">
        <v>25</v>
      </c>
      <c r="G401" s="3" t="str">
        <f>"2026-05-15 05:13:07.169"</f>
        <v>2026-05-15 05:13:07.169</v>
      </c>
      <c r="H401" s="3" t="s">
        <v>21</v>
      </c>
    </row>
    <row r="402" spans="1:10" s="3" customFormat="1" x14ac:dyDescent="0.25">
      <c r="A402" s="2">
        <v>95</v>
      </c>
      <c r="B402" s="3" t="s">
        <v>26</v>
      </c>
      <c r="C402" s="3">
        <v>647</v>
      </c>
      <c r="D402" s="3">
        <v>1</v>
      </c>
      <c r="E402" s="3" t="s">
        <v>24</v>
      </c>
      <c r="F402" s="3" t="s">
        <v>25</v>
      </c>
      <c r="G402" s="3" t="str">
        <f>"2026-05-15 05:13:05.769"</f>
        <v>2026-05-15 05:13:05.769</v>
      </c>
      <c r="H402" s="3" t="s">
        <v>21</v>
      </c>
      <c r="I402" s="3">
        <v>12.88</v>
      </c>
      <c r="J402" s="3" t="s">
        <v>27</v>
      </c>
    </row>
    <row r="403" spans="1:10" s="3" customFormat="1" x14ac:dyDescent="0.25">
      <c r="A403" s="2">
        <v>96</v>
      </c>
      <c r="B403" s="3" t="s">
        <v>23</v>
      </c>
      <c r="C403" s="3">
        <v>647</v>
      </c>
      <c r="D403" s="3">
        <v>1</v>
      </c>
      <c r="E403" s="3" t="s">
        <v>24</v>
      </c>
      <c r="F403" s="3" t="s">
        <v>25</v>
      </c>
      <c r="G403" s="3" t="str">
        <f>"2026-05-15 05:13:03.469"</f>
        <v>2026-05-15 05:13:03.469</v>
      </c>
      <c r="H403" s="3" t="s">
        <v>21</v>
      </c>
    </row>
    <row r="404" spans="1:10" s="3" customFormat="1" x14ac:dyDescent="0.25">
      <c r="A404" s="2">
        <v>97</v>
      </c>
      <c r="B404" s="3" t="s">
        <v>26</v>
      </c>
      <c r="C404" s="3">
        <v>647</v>
      </c>
      <c r="D404" s="3">
        <v>1</v>
      </c>
      <c r="E404" s="3" t="s">
        <v>24</v>
      </c>
      <c r="F404" s="3" t="s">
        <v>25</v>
      </c>
      <c r="G404" s="3" t="str">
        <f>"2026-05-15 05:13:02.369"</f>
        <v>2026-05-15 05:13:02.369</v>
      </c>
      <c r="H404" s="3" t="s">
        <v>21</v>
      </c>
      <c r="I404" s="3">
        <v>9.3000000000000007</v>
      </c>
      <c r="J404" s="3" t="s">
        <v>27</v>
      </c>
    </row>
    <row r="405" spans="1:10" s="3" customFormat="1" x14ac:dyDescent="0.25">
      <c r="A405" s="2">
        <v>98</v>
      </c>
      <c r="B405" s="3" t="s">
        <v>23</v>
      </c>
      <c r="C405" s="3">
        <v>647</v>
      </c>
      <c r="D405" s="3">
        <v>1</v>
      </c>
      <c r="E405" s="3" t="s">
        <v>24</v>
      </c>
      <c r="F405" s="3" t="s">
        <v>25</v>
      </c>
      <c r="G405" s="3" t="str">
        <f>"2026-05-15 05:12:19.769"</f>
        <v>2026-05-15 05:12:19.769</v>
      </c>
      <c r="H405" s="3" t="s">
        <v>21</v>
      </c>
    </row>
    <row r="406" spans="1:10" s="3" customFormat="1" x14ac:dyDescent="0.25">
      <c r="A406" s="2">
        <v>99</v>
      </c>
      <c r="B406" s="3" t="s">
        <v>26</v>
      </c>
      <c r="C406" s="3">
        <v>647</v>
      </c>
      <c r="D406" s="3">
        <v>1</v>
      </c>
      <c r="E406" s="3" t="s">
        <v>24</v>
      </c>
      <c r="F406" s="3" t="s">
        <v>25</v>
      </c>
      <c r="G406" s="3" t="str">
        <f>"2026-05-15 05:12:18.369"</f>
        <v>2026-05-15 05:12:18.369</v>
      </c>
      <c r="H406" s="3" t="s">
        <v>21</v>
      </c>
      <c r="I406" s="3">
        <v>12.42</v>
      </c>
      <c r="J406" s="3" t="s">
        <v>27</v>
      </c>
    </row>
    <row r="407" spans="1:10" s="3" customFormat="1" x14ac:dyDescent="0.25">
      <c r="A407" s="2">
        <v>0</v>
      </c>
      <c r="B407" s="3" t="s">
        <v>23</v>
      </c>
      <c r="C407" s="3">
        <v>647</v>
      </c>
      <c r="D407" s="3">
        <v>1</v>
      </c>
      <c r="E407" s="3" t="s">
        <v>24</v>
      </c>
      <c r="F407" s="3" t="s">
        <v>25</v>
      </c>
      <c r="G407" s="3" t="str">
        <f>"2026-05-15 05:09:09.269"</f>
        <v>2026-05-15 05:09:09.269</v>
      </c>
      <c r="H407" s="3" t="s">
        <v>21</v>
      </c>
    </row>
    <row r="408" spans="1:10" s="3" customFormat="1" x14ac:dyDescent="0.25">
      <c r="A408" s="2">
        <v>1</v>
      </c>
      <c r="B408" s="3" t="s">
        <v>26</v>
      </c>
      <c r="C408" s="3">
        <v>647</v>
      </c>
      <c r="D408" s="3">
        <v>1</v>
      </c>
      <c r="E408" s="3" t="s">
        <v>24</v>
      </c>
      <c r="F408" s="3" t="s">
        <v>25</v>
      </c>
      <c r="G408" s="3" t="str">
        <f>"2026-05-15 05:09:08.169"</f>
        <v>2026-05-15 05:09:08.169</v>
      </c>
      <c r="H408" s="3" t="s">
        <v>21</v>
      </c>
      <c r="I408" s="3">
        <v>13.04</v>
      </c>
      <c r="J408" s="3" t="s">
        <v>27</v>
      </c>
    </row>
    <row r="409" spans="1:10" s="3" customFormat="1" x14ac:dyDescent="0.25">
      <c r="A409" s="2">
        <v>2</v>
      </c>
      <c r="B409" s="3" t="s">
        <v>23</v>
      </c>
      <c r="C409" s="3">
        <v>647</v>
      </c>
      <c r="D409" s="3">
        <v>1</v>
      </c>
      <c r="E409" s="3" t="s">
        <v>24</v>
      </c>
      <c r="F409" s="3" t="s">
        <v>25</v>
      </c>
      <c r="G409" s="3" t="str">
        <f>"2026-05-15 04:32:42.369"</f>
        <v>2026-05-15 04:32:42.369</v>
      </c>
      <c r="H409" s="3" t="s">
        <v>21</v>
      </c>
    </row>
    <row r="410" spans="1:10" s="3" customFormat="1" x14ac:dyDescent="0.25">
      <c r="A410" s="2">
        <v>3</v>
      </c>
      <c r="B410" s="3" t="s">
        <v>26</v>
      </c>
      <c r="C410" s="3">
        <v>647</v>
      </c>
      <c r="D410" s="3">
        <v>1</v>
      </c>
      <c r="E410" s="3" t="s">
        <v>24</v>
      </c>
      <c r="F410" s="3" t="s">
        <v>25</v>
      </c>
      <c r="G410" s="3" t="str">
        <f>"2026-05-15 04:32:41.269"</f>
        <v>2026-05-15 04:32:41.269</v>
      </c>
      <c r="H410" s="3" t="s">
        <v>21</v>
      </c>
      <c r="I410" s="3">
        <v>11.32</v>
      </c>
      <c r="J410" s="3" t="s">
        <v>27</v>
      </c>
    </row>
    <row r="411" spans="1:10" x14ac:dyDescent="0.25">
      <c r="A411" s="1">
        <v>4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"2026-05-14 22:46:38.328"</f>
        <v>2026-05-14 22:46:38.328</v>
      </c>
      <c r="H411" t="s">
        <v>21</v>
      </c>
      <c r="I411">
        <v>0</v>
      </c>
      <c r="J411" t="s">
        <v>22</v>
      </c>
    </row>
    <row r="412" spans="1:10" s="3" customFormat="1" x14ac:dyDescent="0.25">
      <c r="A412" s="2">
        <v>5</v>
      </c>
      <c r="B412" s="3" t="s">
        <v>23</v>
      </c>
      <c r="C412" s="3">
        <v>647</v>
      </c>
      <c r="D412" s="3">
        <v>1</v>
      </c>
      <c r="E412" s="3" t="s">
        <v>24</v>
      </c>
      <c r="F412" s="3" t="s">
        <v>25</v>
      </c>
      <c r="G412" s="3" t="str">
        <f>"2026-05-14 20:50:47.061"</f>
        <v>2026-05-14 20:50:47.061</v>
      </c>
      <c r="H412" s="3" t="s">
        <v>21</v>
      </c>
    </row>
    <row r="413" spans="1:10" s="3" customFormat="1" x14ac:dyDescent="0.25">
      <c r="A413" s="2">
        <v>6</v>
      </c>
      <c r="B413" s="3" t="s">
        <v>26</v>
      </c>
      <c r="C413" s="3">
        <v>647</v>
      </c>
      <c r="D413" s="3">
        <v>1</v>
      </c>
      <c r="E413" s="3" t="s">
        <v>24</v>
      </c>
      <c r="F413" s="3" t="s">
        <v>25</v>
      </c>
      <c r="G413" s="3" t="str">
        <f>"2026-05-14 20:50:45.161"</f>
        <v>2026-05-14 20:50:45.161</v>
      </c>
      <c r="H413" s="3" t="s">
        <v>21</v>
      </c>
      <c r="I413" s="3">
        <v>10.34</v>
      </c>
      <c r="J413" s="3" t="s">
        <v>27</v>
      </c>
    </row>
    <row r="414" spans="1:10" x14ac:dyDescent="0.25">
      <c r="A414" s="1">
        <v>7</v>
      </c>
      <c r="B414" t="s">
        <v>23</v>
      </c>
      <c r="C414">
        <v>630</v>
      </c>
      <c r="D414">
        <v>5</v>
      </c>
      <c r="E414" t="s">
        <v>35</v>
      </c>
      <c r="F414" t="s">
        <v>36</v>
      </c>
      <c r="G414" t="str">
        <f>"2026-05-14 14:08:55.761"</f>
        <v>2026-05-14 14:08:55.761</v>
      </c>
      <c r="H414" t="s">
        <v>37</v>
      </c>
    </row>
    <row r="415" spans="1:10" x14ac:dyDescent="0.25">
      <c r="A415" s="1">
        <v>8</v>
      </c>
      <c r="B415" t="s">
        <v>19</v>
      </c>
      <c r="C415">
        <v>706</v>
      </c>
      <c r="D415">
        <v>2</v>
      </c>
      <c r="E415" t="s">
        <v>28</v>
      </c>
      <c r="F415" t="s">
        <v>39</v>
      </c>
      <c r="G415" t="str">
        <f>"2026-05-14 14:08:25.630"</f>
        <v>2026-05-14 14:08:25.630</v>
      </c>
      <c r="H415" t="s">
        <v>21</v>
      </c>
      <c r="I415">
        <v>0</v>
      </c>
      <c r="J415" t="s">
        <v>30</v>
      </c>
    </row>
    <row r="416" spans="1:10" x14ac:dyDescent="0.25">
      <c r="A416" s="1">
        <v>9</v>
      </c>
      <c r="B416" t="s">
        <v>38</v>
      </c>
      <c r="C416">
        <v>630</v>
      </c>
      <c r="D416">
        <v>5</v>
      </c>
      <c r="E416" t="s">
        <v>35</v>
      </c>
      <c r="F416" t="s">
        <v>36</v>
      </c>
      <c r="G416" t="str">
        <f>"2026-05-14 13:37:50.761"</f>
        <v>2026-05-14 13:37:50.761</v>
      </c>
      <c r="H416" t="s">
        <v>37</v>
      </c>
      <c r="I416">
        <v>0</v>
      </c>
      <c r="J416" t="s">
        <v>30</v>
      </c>
    </row>
    <row r="417" spans="1:10" s="3" customFormat="1" x14ac:dyDescent="0.25">
      <c r="A417" s="2">
        <v>10</v>
      </c>
      <c r="B417" s="3" t="s">
        <v>23</v>
      </c>
      <c r="C417" s="3">
        <v>647</v>
      </c>
      <c r="D417" s="3">
        <v>1</v>
      </c>
      <c r="E417" s="3" t="s">
        <v>24</v>
      </c>
      <c r="F417" s="3" t="s">
        <v>25</v>
      </c>
      <c r="G417" s="3" t="str">
        <f>"2026-05-14 10:11:59.561"</f>
        <v>2026-05-14 10:11:59.561</v>
      </c>
      <c r="H417" s="3" t="s">
        <v>21</v>
      </c>
    </row>
    <row r="418" spans="1:10" s="3" customFormat="1" x14ac:dyDescent="0.25">
      <c r="A418" s="2">
        <v>11</v>
      </c>
      <c r="B418" s="3" t="s">
        <v>26</v>
      </c>
      <c r="C418" s="3">
        <v>647</v>
      </c>
      <c r="D418" s="3">
        <v>1</v>
      </c>
      <c r="E418" s="3" t="s">
        <v>24</v>
      </c>
      <c r="F418" s="3" t="s">
        <v>25</v>
      </c>
      <c r="G418" s="3" t="str">
        <f>"2026-05-14 10:11:58.161"</f>
        <v>2026-05-14 10:11:58.161</v>
      </c>
      <c r="H418" s="3" t="s">
        <v>21</v>
      </c>
      <c r="I418" s="3">
        <v>10.46</v>
      </c>
      <c r="J418" s="3" t="s">
        <v>27</v>
      </c>
    </row>
    <row r="419" spans="1:10" s="3" customFormat="1" x14ac:dyDescent="0.25">
      <c r="A419" s="2">
        <v>12</v>
      </c>
      <c r="B419" s="3" t="s">
        <v>23</v>
      </c>
      <c r="C419" s="3">
        <v>647</v>
      </c>
      <c r="D419" s="3">
        <v>1</v>
      </c>
      <c r="E419" s="3" t="s">
        <v>24</v>
      </c>
      <c r="F419" s="3" t="s">
        <v>25</v>
      </c>
      <c r="G419" s="3" t="str">
        <f>"2026-05-14 09:05:47.460"</f>
        <v>2026-05-14 09:05:47.460</v>
      </c>
      <c r="H419" s="3" t="s">
        <v>21</v>
      </c>
    </row>
    <row r="420" spans="1:10" s="3" customFormat="1" x14ac:dyDescent="0.25">
      <c r="A420" s="2">
        <v>13</v>
      </c>
      <c r="B420" s="3" t="s">
        <v>26</v>
      </c>
      <c r="C420" s="3">
        <v>647</v>
      </c>
      <c r="D420" s="3">
        <v>1</v>
      </c>
      <c r="E420" s="3" t="s">
        <v>24</v>
      </c>
      <c r="F420" s="3" t="s">
        <v>25</v>
      </c>
      <c r="G420" s="3" t="str">
        <f>"2026-05-14 09:05:43.160"</f>
        <v>2026-05-14 09:05:43.160</v>
      </c>
      <c r="H420" s="3" t="s">
        <v>21</v>
      </c>
      <c r="I420" s="3">
        <v>15.08</v>
      </c>
      <c r="J420" s="3" t="s">
        <v>27</v>
      </c>
    </row>
    <row r="421" spans="1:10" s="3" customFormat="1" x14ac:dyDescent="0.25">
      <c r="A421" s="2">
        <v>14</v>
      </c>
      <c r="B421" s="3" t="s">
        <v>23</v>
      </c>
      <c r="C421" s="3">
        <v>647</v>
      </c>
      <c r="D421" s="3">
        <v>1</v>
      </c>
      <c r="E421" s="3" t="s">
        <v>24</v>
      </c>
      <c r="F421" s="3" t="s">
        <v>25</v>
      </c>
      <c r="G421" s="3" t="str">
        <f>"2026-05-14 04:28:20.861"</f>
        <v>2026-05-14 04:28:20.861</v>
      </c>
      <c r="H421" s="3" t="s">
        <v>21</v>
      </c>
    </row>
    <row r="422" spans="1:10" s="3" customFormat="1" x14ac:dyDescent="0.25">
      <c r="A422" s="2">
        <v>15</v>
      </c>
      <c r="B422" s="3" t="s">
        <v>26</v>
      </c>
      <c r="C422" s="3">
        <v>647</v>
      </c>
      <c r="D422" s="3">
        <v>1</v>
      </c>
      <c r="E422" s="3" t="s">
        <v>24</v>
      </c>
      <c r="F422" s="3" t="s">
        <v>25</v>
      </c>
      <c r="G422" s="3" t="str">
        <f>"2026-05-14 04:28:19.761"</f>
        <v>2026-05-14 04:28:19.761</v>
      </c>
      <c r="H422" s="3" t="s">
        <v>21</v>
      </c>
      <c r="I422" s="3">
        <v>13.33</v>
      </c>
      <c r="J422" s="3" t="s">
        <v>27</v>
      </c>
    </row>
    <row r="423" spans="1:10" x14ac:dyDescent="0.25">
      <c r="A423" s="1">
        <v>16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"2026-05-14 04:22:30.310"</f>
        <v>2026-05-14 04:22:30.310</v>
      </c>
      <c r="H423" t="s">
        <v>21</v>
      </c>
      <c r="I423">
        <v>0</v>
      </c>
      <c r="J423" t="s">
        <v>22</v>
      </c>
    </row>
    <row r="424" spans="1:10" s="3" customFormat="1" x14ac:dyDescent="0.25">
      <c r="A424" s="2">
        <v>17</v>
      </c>
      <c r="B424" s="3" t="s">
        <v>23</v>
      </c>
      <c r="C424" s="3">
        <v>647</v>
      </c>
      <c r="D424" s="3">
        <v>1</v>
      </c>
      <c r="E424" s="3" t="s">
        <v>24</v>
      </c>
      <c r="F424" s="3" t="s">
        <v>25</v>
      </c>
      <c r="G424" s="3" t="str">
        <f>"2026-05-14 03:38:22.678"</f>
        <v>2026-05-14 03:38:22.678</v>
      </c>
      <c r="H424" s="3" t="s">
        <v>21</v>
      </c>
    </row>
    <row r="425" spans="1:10" s="3" customFormat="1" x14ac:dyDescent="0.25">
      <c r="A425" s="2">
        <v>18</v>
      </c>
      <c r="B425" s="3" t="s">
        <v>26</v>
      </c>
      <c r="C425" s="3">
        <v>647</v>
      </c>
      <c r="D425" s="3">
        <v>1</v>
      </c>
      <c r="E425" s="3" t="s">
        <v>24</v>
      </c>
      <c r="F425" s="3" t="s">
        <v>25</v>
      </c>
      <c r="G425" s="3" t="str">
        <f>"2026-05-14 03:38:20.978"</f>
        <v>2026-05-14 03:38:20.978</v>
      </c>
      <c r="H425" s="3" t="s">
        <v>21</v>
      </c>
      <c r="I425" s="3">
        <v>8.01</v>
      </c>
      <c r="J425" s="3" t="s">
        <v>27</v>
      </c>
    </row>
    <row r="426" spans="1:10" s="3" customFormat="1" x14ac:dyDescent="0.25">
      <c r="A426" s="2">
        <v>19</v>
      </c>
      <c r="B426" s="3" t="s">
        <v>23</v>
      </c>
      <c r="C426" s="3">
        <v>647</v>
      </c>
      <c r="D426" s="3">
        <v>1</v>
      </c>
      <c r="E426" s="3" t="s">
        <v>24</v>
      </c>
      <c r="F426" s="3" t="s">
        <v>25</v>
      </c>
      <c r="G426" s="3" t="str">
        <f>"2026-05-13 23:26:18.778"</f>
        <v>2026-05-13 23:26:18.778</v>
      </c>
      <c r="H426" s="3" t="s">
        <v>21</v>
      </c>
    </row>
    <row r="427" spans="1:10" s="3" customFormat="1" x14ac:dyDescent="0.25">
      <c r="A427" s="2">
        <v>20</v>
      </c>
      <c r="B427" s="3" t="s">
        <v>26</v>
      </c>
      <c r="C427" s="3">
        <v>647</v>
      </c>
      <c r="D427" s="3">
        <v>1</v>
      </c>
      <c r="E427" s="3" t="s">
        <v>24</v>
      </c>
      <c r="F427" s="3" t="s">
        <v>25</v>
      </c>
      <c r="G427" s="3" t="str">
        <f>"2026-05-13 23:26:06.678"</f>
        <v>2026-05-13 23:26:06.678</v>
      </c>
      <c r="H427" s="3" t="s">
        <v>21</v>
      </c>
      <c r="I427" s="3">
        <v>10.61</v>
      </c>
      <c r="J427" s="3" t="s">
        <v>27</v>
      </c>
    </row>
    <row r="428" spans="1:10" x14ac:dyDescent="0.25">
      <c r="A428" s="1">
        <v>21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"2026-05-13 21:16:00.526"</f>
        <v>2026-05-13 21:16:00.526</v>
      </c>
      <c r="H428" t="s">
        <v>21</v>
      </c>
      <c r="I428">
        <v>0</v>
      </c>
      <c r="J428" t="s">
        <v>22</v>
      </c>
    </row>
    <row r="429" spans="1:10" x14ac:dyDescent="0.25">
      <c r="A429" s="1">
        <v>22</v>
      </c>
      <c r="B429" t="s">
        <v>23</v>
      </c>
      <c r="C429">
        <v>630</v>
      </c>
      <c r="D429">
        <v>5</v>
      </c>
      <c r="E429" t="s">
        <v>35</v>
      </c>
      <c r="F429" t="s">
        <v>36</v>
      </c>
      <c r="G429" t="str">
        <f>"2026-05-13 13:45:49.383"</f>
        <v>2026-05-13 13:45:49.383</v>
      </c>
      <c r="H429" t="s">
        <v>37</v>
      </c>
    </row>
    <row r="430" spans="1:10" x14ac:dyDescent="0.25">
      <c r="A430" s="1">
        <v>23</v>
      </c>
      <c r="B430" t="s">
        <v>19</v>
      </c>
      <c r="C430">
        <v>706</v>
      </c>
      <c r="D430">
        <v>2</v>
      </c>
      <c r="E430" t="s">
        <v>28</v>
      </c>
      <c r="F430" t="s">
        <v>39</v>
      </c>
      <c r="G430" t="str">
        <f>"2026-05-13 13:45:19.291"</f>
        <v>2026-05-13 13:45:19.291</v>
      </c>
      <c r="H430" t="s">
        <v>21</v>
      </c>
      <c r="I430">
        <v>0</v>
      </c>
      <c r="J430" t="s">
        <v>30</v>
      </c>
    </row>
    <row r="431" spans="1:10" x14ac:dyDescent="0.25">
      <c r="A431" s="1">
        <v>24</v>
      </c>
      <c r="B431" t="s">
        <v>38</v>
      </c>
      <c r="C431">
        <v>630</v>
      </c>
      <c r="D431">
        <v>5</v>
      </c>
      <c r="E431" t="s">
        <v>35</v>
      </c>
      <c r="F431" t="s">
        <v>36</v>
      </c>
      <c r="G431" t="str">
        <f>"2026-05-13 12:49:40.182"</f>
        <v>2026-05-13 12:49:40.182</v>
      </c>
      <c r="H431" t="s">
        <v>37</v>
      </c>
      <c r="I431">
        <v>0</v>
      </c>
      <c r="J431" t="s">
        <v>30</v>
      </c>
    </row>
    <row r="432" spans="1:10" s="3" customFormat="1" x14ac:dyDescent="0.25">
      <c r="A432" s="2">
        <v>25</v>
      </c>
      <c r="B432" s="3" t="s">
        <v>23</v>
      </c>
      <c r="C432" s="3">
        <v>647</v>
      </c>
      <c r="D432" s="3">
        <v>1</v>
      </c>
      <c r="E432" s="3" t="s">
        <v>24</v>
      </c>
      <c r="F432" s="3" t="s">
        <v>25</v>
      </c>
      <c r="G432" s="3" t="str">
        <f>"2026-05-13 04:14:45.083"</f>
        <v>2026-05-13 04:14:45.083</v>
      </c>
      <c r="H432" s="3" t="s">
        <v>21</v>
      </c>
    </row>
    <row r="433" spans="1:10" s="3" customFormat="1" x14ac:dyDescent="0.25">
      <c r="A433" s="2">
        <v>26</v>
      </c>
      <c r="B433" s="3" t="s">
        <v>26</v>
      </c>
      <c r="C433" s="3">
        <v>647</v>
      </c>
      <c r="D433" s="3">
        <v>1</v>
      </c>
      <c r="E433" s="3" t="s">
        <v>24</v>
      </c>
      <c r="F433" s="3" t="s">
        <v>25</v>
      </c>
      <c r="G433" s="3" t="str">
        <f>"2026-05-13 04:14:43.983"</f>
        <v>2026-05-13 04:14:43.983</v>
      </c>
      <c r="H433" s="3" t="s">
        <v>21</v>
      </c>
      <c r="I433" s="3">
        <v>22.1</v>
      </c>
      <c r="J433" s="3" t="s">
        <v>27</v>
      </c>
    </row>
    <row r="434" spans="1:10" s="3" customFormat="1" x14ac:dyDescent="0.25">
      <c r="A434" s="2">
        <v>27</v>
      </c>
      <c r="B434" s="3" t="s">
        <v>23</v>
      </c>
      <c r="C434" s="3">
        <v>647</v>
      </c>
      <c r="D434" s="3">
        <v>1</v>
      </c>
      <c r="E434" s="3" t="s">
        <v>24</v>
      </c>
      <c r="F434" s="3" t="s">
        <v>25</v>
      </c>
      <c r="G434" s="3" t="str">
        <f>"2026-05-13 03:37:09.583"</f>
        <v>2026-05-13 03:37:09.583</v>
      </c>
      <c r="H434" s="3" t="s">
        <v>21</v>
      </c>
    </row>
    <row r="435" spans="1:10" s="3" customFormat="1" x14ac:dyDescent="0.25">
      <c r="A435" s="2">
        <v>28</v>
      </c>
      <c r="B435" s="3" t="s">
        <v>26</v>
      </c>
      <c r="C435" s="3">
        <v>647</v>
      </c>
      <c r="D435" s="3">
        <v>1</v>
      </c>
      <c r="E435" s="3" t="s">
        <v>24</v>
      </c>
      <c r="F435" s="3" t="s">
        <v>25</v>
      </c>
      <c r="G435" s="3" t="str">
        <f>"2026-05-13 03:37:08.083"</f>
        <v>2026-05-13 03:37:08.083</v>
      </c>
      <c r="H435" s="3" t="s">
        <v>21</v>
      </c>
      <c r="I435" s="3">
        <v>10.51</v>
      </c>
      <c r="J435" s="3" t="s">
        <v>27</v>
      </c>
    </row>
    <row r="436" spans="1:10" s="3" customFormat="1" x14ac:dyDescent="0.25">
      <c r="A436" s="2">
        <v>29</v>
      </c>
      <c r="B436" s="3" t="s">
        <v>23</v>
      </c>
      <c r="C436" s="3">
        <v>647</v>
      </c>
      <c r="D436" s="3">
        <v>1</v>
      </c>
      <c r="E436" s="3" t="s">
        <v>24</v>
      </c>
      <c r="F436" s="3" t="s">
        <v>25</v>
      </c>
      <c r="G436" s="3" t="str">
        <f>"2026-05-13 03:04:26.283"</f>
        <v>2026-05-13 03:04:26.283</v>
      </c>
      <c r="H436" s="3" t="s">
        <v>21</v>
      </c>
    </row>
    <row r="437" spans="1:10" s="3" customFormat="1" x14ac:dyDescent="0.25">
      <c r="A437" s="2">
        <v>30</v>
      </c>
      <c r="B437" s="3" t="s">
        <v>26</v>
      </c>
      <c r="C437" s="3">
        <v>647</v>
      </c>
      <c r="D437" s="3">
        <v>1</v>
      </c>
      <c r="E437" s="3" t="s">
        <v>24</v>
      </c>
      <c r="F437" s="3" t="s">
        <v>25</v>
      </c>
      <c r="G437" s="3" t="str">
        <f>"2026-05-13 03:04:24.183"</f>
        <v>2026-05-13 03:04:24.183</v>
      </c>
      <c r="H437" s="3" t="s">
        <v>21</v>
      </c>
      <c r="I437" s="3">
        <v>18.350000000000001</v>
      </c>
      <c r="J437" s="3" t="s">
        <v>27</v>
      </c>
    </row>
    <row r="438" spans="1:10" x14ac:dyDescent="0.25">
      <c r="A438" s="1">
        <v>31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"2026-05-12 20:09:40.311"</f>
        <v>2026-05-12 20:09:40.311</v>
      </c>
      <c r="H438" t="s">
        <v>21</v>
      </c>
    </row>
    <row r="439" spans="1:10" x14ac:dyDescent="0.25">
      <c r="A439" s="1">
        <v>32</v>
      </c>
      <c r="B439" t="s">
        <v>23</v>
      </c>
      <c r="C439">
        <v>630</v>
      </c>
      <c r="D439">
        <v>5</v>
      </c>
      <c r="E439" t="s">
        <v>35</v>
      </c>
      <c r="F439" t="s">
        <v>36</v>
      </c>
      <c r="G439" t="str">
        <f>"2026-05-12 13:32:39.850"</f>
        <v>2026-05-12 13:32:39.850</v>
      </c>
      <c r="H439" t="s">
        <v>37</v>
      </c>
    </row>
    <row r="440" spans="1:10" x14ac:dyDescent="0.25">
      <c r="A440" s="1">
        <v>33</v>
      </c>
      <c r="B440" t="s">
        <v>19</v>
      </c>
      <c r="C440">
        <v>706</v>
      </c>
      <c r="D440">
        <v>4</v>
      </c>
      <c r="E440" t="s">
        <v>28</v>
      </c>
      <c r="F440" t="s">
        <v>29</v>
      </c>
      <c r="G440" t="str">
        <f>"2026-05-12 13:32:09.699"</f>
        <v>2026-05-12 13:32:09.699</v>
      </c>
      <c r="H440" t="s">
        <v>21</v>
      </c>
      <c r="I440">
        <v>0</v>
      </c>
      <c r="J440" t="s">
        <v>30</v>
      </c>
    </row>
    <row r="441" spans="1:10" x14ac:dyDescent="0.25">
      <c r="A441" s="1">
        <v>34</v>
      </c>
      <c r="B441" t="s">
        <v>38</v>
      </c>
      <c r="C441">
        <v>630</v>
      </c>
      <c r="D441">
        <v>5</v>
      </c>
      <c r="E441" t="s">
        <v>35</v>
      </c>
      <c r="F441" t="s">
        <v>36</v>
      </c>
      <c r="G441" t="str">
        <f>"2026-05-12 13:24:26.550"</f>
        <v>2026-05-12 13:24:26.550</v>
      </c>
      <c r="H441" t="s">
        <v>37</v>
      </c>
      <c r="I441">
        <v>0</v>
      </c>
      <c r="J441" t="s">
        <v>30</v>
      </c>
    </row>
    <row r="442" spans="1:10" x14ac:dyDescent="0.25">
      <c r="A442" s="1">
        <v>35</v>
      </c>
      <c r="B442" t="s">
        <v>23</v>
      </c>
      <c r="C442">
        <v>630</v>
      </c>
      <c r="D442">
        <v>5</v>
      </c>
      <c r="E442" t="s">
        <v>35</v>
      </c>
      <c r="F442" t="s">
        <v>36</v>
      </c>
      <c r="G442" t="str">
        <f>"2026-05-12 13:17:42.750"</f>
        <v>2026-05-12 13:17:42.750</v>
      </c>
      <c r="H442" t="s">
        <v>37</v>
      </c>
    </row>
    <row r="443" spans="1:10" x14ac:dyDescent="0.25">
      <c r="A443" s="1">
        <v>36</v>
      </c>
      <c r="B443" t="s">
        <v>19</v>
      </c>
      <c r="C443">
        <v>706</v>
      </c>
      <c r="D443">
        <v>2</v>
      </c>
      <c r="E443" t="s">
        <v>28</v>
      </c>
      <c r="F443" t="s">
        <v>39</v>
      </c>
      <c r="G443" t="str">
        <f>"2026-05-12 13:17:12.599"</f>
        <v>2026-05-12 13:17:12.599</v>
      </c>
      <c r="H443" t="s">
        <v>21</v>
      </c>
      <c r="I443">
        <v>0</v>
      </c>
      <c r="J443" t="s">
        <v>30</v>
      </c>
    </row>
    <row r="444" spans="1:10" x14ac:dyDescent="0.25">
      <c r="A444" s="1">
        <v>37</v>
      </c>
      <c r="B444" t="s">
        <v>38</v>
      </c>
      <c r="C444">
        <v>630</v>
      </c>
      <c r="D444">
        <v>5</v>
      </c>
      <c r="E444" t="s">
        <v>35</v>
      </c>
      <c r="F444" t="s">
        <v>36</v>
      </c>
      <c r="G444" t="str">
        <f>"2026-05-12 12:51:58.950"</f>
        <v>2026-05-12 12:51:58.950</v>
      </c>
      <c r="H444" t="s">
        <v>37</v>
      </c>
      <c r="I444">
        <v>0</v>
      </c>
      <c r="J444" t="s">
        <v>30</v>
      </c>
    </row>
    <row r="445" spans="1:10" x14ac:dyDescent="0.25">
      <c r="A445" s="1">
        <v>38</v>
      </c>
      <c r="B445" t="s">
        <v>23</v>
      </c>
      <c r="C445">
        <v>630</v>
      </c>
      <c r="D445">
        <v>5</v>
      </c>
      <c r="E445" t="s">
        <v>35</v>
      </c>
      <c r="F445" t="s">
        <v>36</v>
      </c>
      <c r="G445" t="str">
        <f>"2026-05-12 09:34:12.450"</f>
        <v>2026-05-12 09:34:12.450</v>
      </c>
      <c r="H445" t="s">
        <v>37</v>
      </c>
    </row>
    <row r="446" spans="1:10" x14ac:dyDescent="0.25">
      <c r="A446" s="1">
        <v>39</v>
      </c>
      <c r="B446" t="s">
        <v>19</v>
      </c>
      <c r="C446">
        <v>706</v>
      </c>
      <c r="D446">
        <v>2</v>
      </c>
      <c r="E446" t="s">
        <v>28</v>
      </c>
      <c r="F446" t="s">
        <v>39</v>
      </c>
      <c r="G446" t="str">
        <f>"2026-05-12 09:33:42.299"</f>
        <v>2026-05-12 09:33:42.299</v>
      </c>
      <c r="H446" t="s">
        <v>21</v>
      </c>
      <c r="I446">
        <v>0</v>
      </c>
      <c r="J446" t="s">
        <v>30</v>
      </c>
    </row>
    <row r="447" spans="1:10" x14ac:dyDescent="0.25">
      <c r="A447" s="1">
        <v>40</v>
      </c>
      <c r="B447" t="s">
        <v>38</v>
      </c>
      <c r="C447">
        <v>630</v>
      </c>
      <c r="D447">
        <v>5</v>
      </c>
      <c r="E447" t="s">
        <v>35</v>
      </c>
      <c r="F447" t="s">
        <v>36</v>
      </c>
      <c r="G447" t="str">
        <f>"2026-05-12 09:26:15.250"</f>
        <v>2026-05-12 09:26:15.250</v>
      </c>
      <c r="H447" t="s">
        <v>37</v>
      </c>
      <c r="I447">
        <v>0</v>
      </c>
      <c r="J447" t="s">
        <v>30</v>
      </c>
    </row>
    <row r="448" spans="1:10" s="3" customFormat="1" x14ac:dyDescent="0.25">
      <c r="A448" s="2">
        <v>41</v>
      </c>
      <c r="B448" s="3" t="s">
        <v>23</v>
      </c>
      <c r="C448" s="3">
        <v>647</v>
      </c>
      <c r="D448" s="3">
        <v>1</v>
      </c>
      <c r="E448" s="3" t="s">
        <v>24</v>
      </c>
      <c r="F448" s="3" t="s">
        <v>25</v>
      </c>
      <c r="G448" s="3" t="str">
        <f>"2026-05-12 01:21:39.650"</f>
        <v>2026-05-12 01:21:39.650</v>
      </c>
      <c r="H448" s="3" t="s">
        <v>21</v>
      </c>
    </row>
    <row r="449" spans="1:10" s="3" customFormat="1" x14ac:dyDescent="0.25">
      <c r="A449" s="2">
        <v>42</v>
      </c>
      <c r="B449" s="3" t="s">
        <v>26</v>
      </c>
      <c r="C449" s="3">
        <v>647</v>
      </c>
      <c r="D449" s="3">
        <v>1</v>
      </c>
      <c r="E449" s="3" t="s">
        <v>24</v>
      </c>
      <c r="F449" s="3" t="s">
        <v>25</v>
      </c>
      <c r="G449" s="3" t="str">
        <f>"2026-05-12 01:21:34.450"</f>
        <v>2026-05-12 01:21:34.450</v>
      </c>
      <c r="H449" s="3" t="s">
        <v>21</v>
      </c>
      <c r="I449" s="3">
        <v>9.1300000000000008</v>
      </c>
      <c r="J449" s="3" t="s">
        <v>27</v>
      </c>
    </row>
    <row r="450" spans="1:10" s="3" customFormat="1" x14ac:dyDescent="0.25">
      <c r="A450" s="2">
        <v>43</v>
      </c>
      <c r="B450" s="3" t="s">
        <v>23</v>
      </c>
      <c r="C450" s="3">
        <v>647</v>
      </c>
      <c r="D450" s="3">
        <v>1</v>
      </c>
      <c r="E450" s="3" t="s">
        <v>24</v>
      </c>
      <c r="F450" s="3" t="s">
        <v>25</v>
      </c>
      <c r="G450" s="3" t="str">
        <f>"2026-05-11 22:54:41.450"</f>
        <v>2026-05-11 22:54:41.450</v>
      </c>
      <c r="H450" s="3" t="s">
        <v>21</v>
      </c>
    </row>
    <row r="451" spans="1:10" s="3" customFormat="1" x14ac:dyDescent="0.25">
      <c r="A451" s="2">
        <v>44</v>
      </c>
      <c r="B451" s="3" t="s">
        <v>26</v>
      </c>
      <c r="C451" s="3">
        <v>647</v>
      </c>
      <c r="D451" s="3">
        <v>1</v>
      </c>
      <c r="E451" s="3" t="s">
        <v>24</v>
      </c>
      <c r="F451" s="3" t="s">
        <v>25</v>
      </c>
      <c r="G451" s="3" t="str">
        <f>"2026-05-11 22:54:40.150"</f>
        <v>2026-05-11 22:54:40.150</v>
      </c>
      <c r="H451" s="3" t="s">
        <v>21</v>
      </c>
      <c r="I451" s="3">
        <v>15.15</v>
      </c>
      <c r="J451" s="3" t="s">
        <v>27</v>
      </c>
    </row>
    <row r="452" spans="1:10" x14ac:dyDescent="0.25">
      <c r="A452" s="1">
        <v>45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"2026-05-11 20:55:55.489"</f>
        <v>2026-05-11 20:55:55.489</v>
      </c>
      <c r="H452" t="s">
        <v>21</v>
      </c>
      <c r="I452">
        <v>0</v>
      </c>
      <c r="J452" t="s">
        <v>22</v>
      </c>
    </row>
    <row r="453" spans="1:10" s="3" customFormat="1" x14ac:dyDescent="0.25">
      <c r="A453" s="2">
        <v>46</v>
      </c>
      <c r="B453" s="3" t="s">
        <v>23</v>
      </c>
      <c r="C453" s="3">
        <v>647</v>
      </c>
      <c r="D453" s="3">
        <v>1</v>
      </c>
      <c r="E453" s="3" t="s">
        <v>24</v>
      </c>
      <c r="F453" s="3" t="s">
        <v>25</v>
      </c>
      <c r="G453" s="3" t="str">
        <f>"2026-05-11 20:15:50.357"</f>
        <v>2026-05-11 20:15:50.357</v>
      </c>
      <c r="H453" s="3" t="s">
        <v>21</v>
      </c>
    </row>
    <row r="454" spans="1:10" s="3" customFormat="1" x14ac:dyDescent="0.25">
      <c r="A454" s="2">
        <v>47</v>
      </c>
      <c r="B454" s="3" t="s">
        <v>26</v>
      </c>
      <c r="C454" s="3">
        <v>647</v>
      </c>
      <c r="D454" s="3">
        <v>1</v>
      </c>
      <c r="E454" s="3" t="s">
        <v>24</v>
      </c>
      <c r="F454" s="3" t="s">
        <v>25</v>
      </c>
      <c r="G454" s="3" t="str">
        <f>"2026-05-11 20:15:47.457"</f>
        <v>2026-05-11 20:15:47.457</v>
      </c>
      <c r="H454" s="3" t="s">
        <v>21</v>
      </c>
      <c r="I454" s="3">
        <v>11.9</v>
      </c>
      <c r="J454" s="3" t="s">
        <v>27</v>
      </c>
    </row>
    <row r="455" spans="1:10" x14ac:dyDescent="0.25">
      <c r="A455" s="1">
        <v>48</v>
      </c>
      <c r="B455" t="s">
        <v>23</v>
      </c>
      <c r="C455">
        <v>630</v>
      </c>
      <c r="D455">
        <v>5</v>
      </c>
      <c r="E455" t="s">
        <v>35</v>
      </c>
      <c r="F455" t="s">
        <v>36</v>
      </c>
      <c r="G455" t="str">
        <f>"2026-05-11 17:01:13.557"</f>
        <v>2026-05-11 17:01:13.557</v>
      </c>
      <c r="H455" t="s">
        <v>37</v>
      </c>
    </row>
    <row r="456" spans="1:10" x14ac:dyDescent="0.25">
      <c r="A456" s="1">
        <v>49</v>
      </c>
      <c r="B456" t="s">
        <v>19</v>
      </c>
      <c r="C456">
        <v>706</v>
      </c>
      <c r="D456">
        <v>2</v>
      </c>
      <c r="E456" t="s">
        <v>28</v>
      </c>
      <c r="F456" t="s">
        <v>39</v>
      </c>
      <c r="G456" t="str">
        <f>"2026-05-11 17:00:43.370"</f>
        <v>2026-05-11 17:00:43.370</v>
      </c>
      <c r="H456" t="s">
        <v>21</v>
      </c>
      <c r="I456">
        <v>0</v>
      </c>
      <c r="J456" t="s">
        <v>30</v>
      </c>
    </row>
    <row r="457" spans="1:10" x14ac:dyDescent="0.25">
      <c r="A457" s="1">
        <v>50</v>
      </c>
      <c r="B457" t="s">
        <v>38</v>
      </c>
      <c r="C457">
        <v>630</v>
      </c>
      <c r="D457">
        <v>5</v>
      </c>
      <c r="E457" t="s">
        <v>35</v>
      </c>
      <c r="F457" t="s">
        <v>36</v>
      </c>
      <c r="G457" t="str">
        <f>"2026-05-11 16:52:53.657"</f>
        <v>2026-05-11 16:52:53.657</v>
      </c>
      <c r="H457" t="s">
        <v>37</v>
      </c>
      <c r="I457">
        <v>0</v>
      </c>
      <c r="J457" t="s">
        <v>30</v>
      </c>
    </row>
    <row r="458" spans="1:10" x14ac:dyDescent="0.25">
      <c r="A458" s="1">
        <v>51</v>
      </c>
      <c r="B458" t="s">
        <v>23</v>
      </c>
      <c r="C458">
        <v>630</v>
      </c>
      <c r="D458">
        <v>5</v>
      </c>
      <c r="E458" t="s">
        <v>35</v>
      </c>
      <c r="F458" t="s">
        <v>36</v>
      </c>
      <c r="G458" t="str">
        <f>"2026-05-11 12:26:47.457"</f>
        <v>2026-05-11 12:26:47.457</v>
      </c>
      <c r="H458" t="s">
        <v>37</v>
      </c>
    </row>
    <row r="459" spans="1:10" x14ac:dyDescent="0.25">
      <c r="A459" s="1">
        <v>52</v>
      </c>
      <c r="B459" t="s">
        <v>19</v>
      </c>
      <c r="C459">
        <v>706</v>
      </c>
      <c r="D459">
        <v>4</v>
      </c>
      <c r="E459" t="s">
        <v>28</v>
      </c>
      <c r="F459" t="s">
        <v>29</v>
      </c>
      <c r="G459" t="str">
        <f>"2026-05-11 12:26:17.290"</f>
        <v>2026-05-11 12:26:17.290</v>
      </c>
      <c r="H459" t="s">
        <v>21</v>
      </c>
      <c r="I459">
        <v>0</v>
      </c>
      <c r="J459" t="s">
        <v>30</v>
      </c>
    </row>
    <row r="460" spans="1:10" x14ac:dyDescent="0.25">
      <c r="A460" s="1">
        <v>53</v>
      </c>
      <c r="B460" t="s">
        <v>38</v>
      </c>
      <c r="C460">
        <v>630</v>
      </c>
      <c r="D460">
        <v>5</v>
      </c>
      <c r="E460" t="s">
        <v>35</v>
      </c>
      <c r="F460" t="s">
        <v>36</v>
      </c>
      <c r="G460" t="str">
        <f>"2026-05-11 12:03:12.658"</f>
        <v>2026-05-11 12:03:12.658</v>
      </c>
      <c r="H460" t="s">
        <v>37</v>
      </c>
      <c r="I460">
        <v>0</v>
      </c>
      <c r="J460" t="s">
        <v>30</v>
      </c>
    </row>
    <row r="461" spans="1:10" x14ac:dyDescent="0.25">
      <c r="A461" s="1">
        <v>54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"2026-05-11 11:12:30.280"</f>
        <v>2026-05-11 11:12:30.280</v>
      </c>
      <c r="H461" t="s">
        <v>21</v>
      </c>
    </row>
    <row r="462" spans="1:10" x14ac:dyDescent="0.25">
      <c r="A462" s="1">
        <v>55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"2026-05-10 21:05:20.290"</f>
        <v>2026-05-10 21:05:20.290</v>
      </c>
      <c r="H462" t="s">
        <v>21</v>
      </c>
    </row>
    <row r="463" spans="1:10" s="3" customFormat="1" x14ac:dyDescent="0.25">
      <c r="A463" s="2">
        <v>56</v>
      </c>
      <c r="B463" s="3" t="s">
        <v>23</v>
      </c>
      <c r="C463" s="3">
        <v>647</v>
      </c>
      <c r="D463" s="3">
        <v>1</v>
      </c>
      <c r="E463" s="3" t="s">
        <v>24</v>
      </c>
      <c r="F463" s="3" t="s">
        <v>25</v>
      </c>
      <c r="G463" s="3" t="str">
        <f>"2026-05-10 19:50:30.745"</f>
        <v>2026-05-10 19:50:30.745</v>
      </c>
      <c r="H463" s="3" t="s">
        <v>21</v>
      </c>
    </row>
    <row r="464" spans="1:10" s="3" customFormat="1" x14ac:dyDescent="0.25">
      <c r="A464" s="2">
        <v>57</v>
      </c>
      <c r="B464" s="3" t="s">
        <v>26</v>
      </c>
      <c r="C464" s="3">
        <v>647</v>
      </c>
      <c r="D464" s="3">
        <v>1</v>
      </c>
      <c r="E464" s="3" t="s">
        <v>24</v>
      </c>
      <c r="F464" s="3" t="s">
        <v>25</v>
      </c>
      <c r="G464" s="3" t="str">
        <f>"2026-05-10 19:50:27.245"</f>
        <v>2026-05-10 19:50:27.245</v>
      </c>
      <c r="H464" s="3" t="s">
        <v>21</v>
      </c>
      <c r="I464" s="3">
        <v>8.1</v>
      </c>
      <c r="J464" s="3" t="s">
        <v>27</v>
      </c>
    </row>
    <row r="465" spans="1:10" x14ac:dyDescent="0.25">
      <c r="A465" s="1">
        <v>58</v>
      </c>
      <c r="B465" t="s">
        <v>23</v>
      </c>
      <c r="C465">
        <v>630</v>
      </c>
      <c r="D465">
        <v>5</v>
      </c>
      <c r="E465" t="s">
        <v>35</v>
      </c>
      <c r="F465" t="s">
        <v>36</v>
      </c>
      <c r="G465" t="str">
        <f>"2026-05-10 12:43:24.645"</f>
        <v>2026-05-10 12:43:24.645</v>
      </c>
      <c r="H465" t="s">
        <v>37</v>
      </c>
    </row>
    <row r="466" spans="1:10" x14ac:dyDescent="0.25">
      <c r="A466" s="1">
        <v>59</v>
      </c>
      <c r="B466" t="s">
        <v>19</v>
      </c>
      <c r="C466">
        <v>706</v>
      </c>
      <c r="D466">
        <v>4</v>
      </c>
      <c r="E466" t="s">
        <v>28</v>
      </c>
      <c r="F466" t="s">
        <v>29</v>
      </c>
      <c r="G466" t="str">
        <f>"2026-05-10 12:42:54.467"</f>
        <v>2026-05-10 12:42:54.467</v>
      </c>
      <c r="H466" t="s">
        <v>21</v>
      </c>
      <c r="I466">
        <v>0</v>
      </c>
      <c r="J466" t="s">
        <v>30</v>
      </c>
    </row>
    <row r="467" spans="1:10" x14ac:dyDescent="0.25">
      <c r="A467" s="1">
        <v>60</v>
      </c>
      <c r="B467" t="s">
        <v>38</v>
      </c>
      <c r="C467">
        <v>630</v>
      </c>
      <c r="D467">
        <v>5</v>
      </c>
      <c r="E467" t="s">
        <v>35</v>
      </c>
      <c r="F467" t="s">
        <v>36</v>
      </c>
      <c r="G467" t="str">
        <f>"2026-05-10 12:20:48.146"</f>
        <v>2026-05-10 12:20:48.146</v>
      </c>
      <c r="H467" t="s">
        <v>37</v>
      </c>
      <c r="I467">
        <v>0</v>
      </c>
      <c r="J467" t="s">
        <v>30</v>
      </c>
    </row>
    <row r="468" spans="1:10" x14ac:dyDescent="0.25">
      <c r="A468" s="1">
        <v>62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"2026-05-09 21:30:01.267"</f>
        <v>2026-05-09 21:30:01.267</v>
      </c>
      <c r="H468" t="s">
        <v>21</v>
      </c>
    </row>
    <row r="469" spans="1:10" x14ac:dyDescent="0.25">
      <c r="A469" s="1">
        <v>63</v>
      </c>
      <c r="B469" t="s">
        <v>19</v>
      </c>
      <c r="C469">
        <v>706</v>
      </c>
      <c r="D469">
        <v>4</v>
      </c>
      <c r="E469" t="s">
        <v>28</v>
      </c>
      <c r="F469" t="s">
        <v>29</v>
      </c>
      <c r="G469" t="str">
        <f>"2026-05-09 21:20:30.840"</f>
        <v>2026-05-09 21:20:30.840</v>
      </c>
      <c r="H469" t="s">
        <v>21</v>
      </c>
      <c r="I469">
        <v>0</v>
      </c>
      <c r="J469" t="s">
        <v>30</v>
      </c>
    </row>
    <row r="470" spans="1:10" x14ac:dyDescent="0.25">
      <c r="A470" s="1">
        <v>64</v>
      </c>
      <c r="B470" t="s">
        <v>19</v>
      </c>
      <c r="C470">
        <v>706</v>
      </c>
      <c r="D470">
        <v>2</v>
      </c>
      <c r="E470" t="s">
        <v>28</v>
      </c>
      <c r="F470" t="s">
        <v>39</v>
      </c>
      <c r="G470" t="str">
        <f>"2026-05-09 21:18:37.060"</f>
        <v>2026-05-09 21:18:37.060</v>
      </c>
      <c r="H470" t="s">
        <v>21</v>
      </c>
      <c r="I470">
        <v>0</v>
      </c>
      <c r="J470" t="s">
        <v>30</v>
      </c>
    </row>
    <row r="471" spans="1:10" x14ac:dyDescent="0.25">
      <c r="A471" s="1">
        <v>65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"2026-05-09 21:17:54.310"</f>
        <v>2026-05-09 21:17:54.310</v>
      </c>
      <c r="H471" t="s">
        <v>21</v>
      </c>
      <c r="I471">
        <v>0</v>
      </c>
      <c r="J471" t="s">
        <v>22</v>
      </c>
    </row>
    <row r="472" spans="1:10" x14ac:dyDescent="0.25">
      <c r="A472" s="1">
        <v>66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"2026-05-09 17:33:03.260"</f>
        <v>2026-05-09 17:33:03.260</v>
      </c>
      <c r="H472" t="s">
        <v>21</v>
      </c>
    </row>
    <row r="473" spans="1:10" x14ac:dyDescent="0.25">
      <c r="A473" s="1">
        <v>67</v>
      </c>
      <c r="B473" t="s">
        <v>19</v>
      </c>
      <c r="C473">
        <v>706</v>
      </c>
      <c r="D473">
        <v>2</v>
      </c>
      <c r="E473" t="s">
        <v>28</v>
      </c>
      <c r="F473" t="s">
        <v>39</v>
      </c>
      <c r="G473" t="str">
        <f>"2026-05-09 17:22:16.025"</f>
        <v>2026-05-09 17:22:16.025</v>
      </c>
      <c r="H473" t="s">
        <v>21</v>
      </c>
      <c r="I473">
        <v>0</v>
      </c>
      <c r="J473" t="s">
        <v>30</v>
      </c>
    </row>
    <row r="474" spans="1:10" x14ac:dyDescent="0.25">
      <c r="A474" s="1">
        <v>68</v>
      </c>
      <c r="B474" t="s">
        <v>19</v>
      </c>
      <c r="C474">
        <v>706</v>
      </c>
      <c r="D474">
        <v>2</v>
      </c>
      <c r="E474" t="s">
        <v>28</v>
      </c>
      <c r="F474" t="s">
        <v>39</v>
      </c>
      <c r="G474" t="str">
        <f>"2026-05-09 16:53:33.425"</f>
        <v>2026-05-09 16:53:33.425</v>
      </c>
      <c r="H474" t="s">
        <v>21</v>
      </c>
      <c r="I474">
        <v>0</v>
      </c>
      <c r="J474" t="s">
        <v>30</v>
      </c>
    </row>
    <row r="475" spans="1:10" x14ac:dyDescent="0.25">
      <c r="A475" s="1">
        <v>69</v>
      </c>
      <c r="B475" t="s">
        <v>19</v>
      </c>
      <c r="C475">
        <v>706</v>
      </c>
      <c r="D475">
        <v>4</v>
      </c>
      <c r="E475" t="s">
        <v>28</v>
      </c>
      <c r="F475" t="s">
        <v>29</v>
      </c>
      <c r="G475" t="str">
        <f>"2026-05-09 16:41:17.215"</f>
        <v>2026-05-09 16:41:17.215</v>
      </c>
      <c r="H475" t="s">
        <v>21</v>
      </c>
      <c r="I475">
        <v>0</v>
      </c>
      <c r="J475" t="s">
        <v>30</v>
      </c>
    </row>
    <row r="476" spans="1:10" x14ac:dyDescent="0.25">
      <c r="A476" s="1">
        <v>70</v>
      </c>
      <c r="B476" t="s">
        <v>19</v>
      </c>
      <c r="C476">
        <v>706</v>
      </c>
      <c r="D476">
        <v>4</v>
      </c>
      <c r="E476" t="s">
        <v>28</v>
      </c>
      <c r="F476" t="s">
        <v>29</v>
      </c>
      <c r="G476" t="str">
        <f>"2026-05-09 16:41:04.415"</f>
        <v>2026-05-09 16:41:04.415</v>
      </c>
      <c r="H476" t="s">
        <v>21</v>
      </c>
      <c r="I476">
        <v>0</v>
      </c>
      <c r="J476" t="s">
        <v>30</v>
      </c>
    </row>
    <row r="477" spans="1:10" x14ac:dyDescent="0.25">
      <c r="A477" s="1">
        <v>71</v>
      </c>
      <c r="B477" t="s">
        <v>19</v>
      </c>
      <c r="C477">
        <v>706</v>
      </c>
      <c r="D477">
        <v>4</v>
      </c>
      <c r="E477" t="s">
        <v>28</v>
      </c>
      <c r="F477" t="s">
        <v>29</v>
      </c>
      <c r="G477" t="str">
        <f>"2026-05-09 16:40:49.815"</f>
        <v>2026-05-09 16:40:49.815</v>
      </c>
      <c r="H477" t="s">
        <v>21</v>
      </c>
      <c r="I477">
        <v>0</v>
      </c>
      <c r="J477" t="s">
        <v>30</v>
      </c>
    </row>
    <row r="478" spans="1:10" x14ac:dyDescent="0.25">
      <c r="A478" s="1">
        <v>72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"2026-05-09 16:19:54.275"</f>
        <v>2026-05-09 16:19:54.275</v>
      </c>
      <c r="H478" t="s">
        <v>21</v>
      </c>
      <c r="I478">
        <v>0</v>
      </c>
      <c r="J478" t="s">
        <v>22</v>
      </c>
    </row>
    <row r="479" spans="1:10" x14ac:dyDescent="0.25">
      <c r="A479" s="1">
        <v>73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"2026-05-09 14:31:10.316"</f>
        <v>2026-05-09 14:31:10.316</v>
      </c>
      <c r="H479" t="s">
        <v>21</v>
      </c>
      <c r="I479">
        <v>0</v>
      </c>
      <c r="J479" t="s">
        <v>22</v>
      </c>
    </row>
    <row r="480" spans="1:10" s="3" customFormat="1" x14ac:dyDescent="0.25">
      <c r="A480" s="2">
        <v>74</v>
      </c>
      <c r="B480" s="3" t="s">
        <v>23</v>
      </c>
      <c r="C480" s="3">
        <v>647</v>
      </c>
      <c r="D480" s="3">
        <v>1</v>
      </c>
      <c r="E480" s="3" t="s">
        <v>24</v>
      </c>
      <c r="F480" s="3" t="s">
        <v>25</v>
      </c>
      <c r="G480" s="3" t="str">
        <f>"2026-05-09 10:55:16.773"</f>
        <v>2026-05-09 10:55:16.773</v>
      </c>
      <c r="H480" s="3" t="s">
        <v>21</v>
      </c>
    </row>
    <row r="481" spans="1:10" s="3" customFormat="1" x14ac:dyDescent="0.25">
      <c r="A481" s="2">
        <v>75</v>
      </c>
      <c r="B481" s="3" t="s">
        <v>26</v>
      </c>
      <c r="C481" s="3">
        <v>647</v>
      </c>
      <c r="D481" s="3">
        <v>1</v>
      </c>
      <c r="E481" s="3" t="s">
        <v>24</v>
      </c>
      <c r="F481" s="3" t="s">
        <v>25</v>
      </c>
      <c r="G481" s="3" t="str">
        <f>"2026-05-09 10:55:09.973"</f>
        <v>2026-05-09 10:55:09.973</v>
      </c>
      <c r="H481" s="3" t="s">
        <v>21</v>
      </c>
      <c r="I481" s="3">
        <v>9.69</v>
      </c>
      <c r="J481" s="3" t="s">
        <v>27</v>
      </c>
    </row>
    <row r="482" spans="1:10" s="3" customFormat="1" x14ac:dyDescent="0.25">
      <c r="A482" s="2">
        <v>76</v>
      </c>
      <c r="B482" s="3" t="s">
        <v>23</v>
      </c>
      <c r="C482" s="3">
        <v>647</v>
      </c>
      <c r="D482" s="3">
        <v>1</v>
      </c>
      <c r="E482" s="3" t="s">
        <v>24</v>
      </c>
      <c r="F482" s="3" t="s">
        <v>25</v>
      </c>
      <c r="G482" s="3" t="str">
        <f>"2026-05-09 10:25:41.374"</f>
        <v>2026-05-09 10:25:41.374</v>
      </c>
      <c r="H482" s="3" t="s">
        <v>21</v>
      </c>
    </row>
    <row r="483" spans="1:10" s="3" customFormat="1" x14ac:dyDescent="0.25">
      <c r="A483" s="2">
        <v>77</v>
      </c>
      <c r="B483" s="3" t="s">
        <v>26</v>
      </c>
      <c r="C483" s="3">
        <v>647</v>
      </c>
      <c r="D483" s="3">
        <v>1</v>
      </c>
      <c r="E483" s="3" t="s">
        <v>24</v>
      </c>
      <c r="F483" s="3" t="s">
        <v>25</v>
      </c>
      <c r="G483" s="3" t="str">
        <f>"2026-05-09 10:25:39.273"</f>
        <v>2026-05-09 10:25:39.273</v>
      </c>
      <c r="H483" s="3" t="s">
        <v>21</v>
      </c>
      <c r="I483" s="3">
        <v>9.4700000000000006</v>
      </c>
      <c r="J483" s="3" t="s">
        <v>27</v>
      </c>
    </row>
    <row r="484" spans="1:10" s="3" customFormat="1" x14ac:dyDescent="0.25">
      <c r="A484" s="2">
        <v>79</v>
      </c>
      <c r="B484" s="3" t="s">
        <v>23</v>
      </c>
      <c r="C484" s="3">
        <v>647</v>
      </c>
      <c r="D484" s="3">
        <v>1</v>
      </c>
      <c r="E484" s="3" t="s">
        <v>24</v>
      </c>
      <c r="F484" s="3" t="s">
        <v>25</v>
      </c>
      <c r="G484" s="3" t="str">
        <f>"2026-05-09 03:16:05.873"</f>
        <v>2026-05-09 03:16:05.873</v>
      </c>
      <c r="H484" s="3" t="s">
        <v>21</v>
      </c>
    </row>
    <row r="485" spans="1:10" s="3" customFormat="1" x14ac:dyDescent="0.25">
      <c r="A485" s="2">
        <v>80</v>
      </c>
      <c r="B485" s="3" t="s">
        <v>26</v>
      </c>
      <c r="C485" s="3">
        <v>647</v>
      </c>
      <c r="D485" s="3">
        <v>1</v>
      </c>
      <c r="E485" s="3" t="s">
        <v>24</v>
      </c>
      <c r="F485" s="3" t="s">
        <v>25</v>
      </c>
      <c r="G485" s="3" t="str">
        <f>"2026-05-09 03:16:04.373"</f>
        <v>2026-05-09 03:16:04.373</v>
      </c>
      <c r="H485" s="3" t="s">
        <v>21</v>
      </c>
      <c r="I485" s="3">
        <v>11.19</v>
      </c>
      <c r="J485" s="3" t="s">
        <v>27</v>
      </c>
    </row>
    <row r="486" spans="1:10" s="3" customFormat="1" x14ac:dyDescent="0.25">
      <c r="A486" s="2">
        <v>81</v>
      </c>
      <c r="B486" s="3" t="s">
        <v>23</v>
      </c>
      <c r="C486" s="3">
        <v>647</v>
      </c>
      <c r="D486" s="3">
        <v>1</v>
      </c>
      <c r="E486" s="3" t="s">
        <v>24</v>
      </c>
      <c r="F486" s="3" t="s">
        <v>25</v>
      </c>
      <c r="G486" s="3" t="str">
        <f>"2026-05-09 02:03:14.273"</f>
        <v>2026-05-09 02:03:14.273</v>
      </c>
      <c r="H486" s="3" t="s">
        <v>21</v>
      </c>
    </row>
    <row r="487" spans="1:10" s="3" customFormat="1" x14ac:dyDescent="0.25">
      <c r="A487" s="2">
        <v>82</v>
      </c>
      <c r="B487" s="3" t="s">
        <v>26</v>
      </c>
      <c r="C487" s="3">
        <v>647</v>
      </c>
      <c r="D487" s="3">
        <v>1</v>
      </c>
      <c r="E487" s="3" t="s">
        <v>24</v>
      </c>
      <c r="F487" s="3" t="s">
        <v>25</v>
      </c>
      <c r="G487" s="3" t="str">
        <f>"2026-05-09 02:03:12.373"</f>
        <v>2026-05-09 02:03:12.373</v>
      </c>
      <c r="H487" s="3" t="s">
        <v>21</v>
      </c>
      <c r="I487" s="3">
        <v>12.36</v>
      </c>
      <c r="J487" s="3" t="s">
        <v>27</v>
      </c>
    </row>
    <row r="488" spans="1:10" s="3" customFormat="1" x14ac:dyDescent="0.25">
      <c r="A488" s="2">
        <v>83</v>
      </c>
      <c r="B488" s="3" t="s">
        <v>23</v>
      </c>
      <c r="C488" s="3">
        <v>647</v>
      </c>
      <c r="D488" s="3">
        <v>1</v>
      </c>
      <c r="E488" s="3" t="s">
        <v>24</v>
      </c>
      <c r="F488" s="3" t="s">
        <v>25</v>
      </c>
      <c r="G488" s="3" t="str">
        <f>"2026-05-09 02:03:08.673"</f>
        <v>2026-05-09 02:03:08.673</v>
      </c>
      <c r="H488" s="3" t="s">
        <v>21</v>
      </c>
    </row>
    <row r="489" spans="1:10" s="3" customFormat="1" x14ac:dyDescent="0.25">
      <c r="A489" s="2">
        <v>84</v>
      </c>
      <c r="B489" s="3" t="s">
        <v>26</v>
      </c>
      <c r="C489" s="3">
        <v>647</v>
      </c>
      <c r="D489" s="3">
        <v>1</v>
      </c>
      <c r="E489" s="3" t="s">
        <v>24</v>
      </c>
      <c r="F489" s="3" t="s">
        <v>25</v>
      </c>
      <c r="G489" s="3" t="str">
        <f>"2026-05-09 02:03:07.373"</f>
        <v>2026-05-09 02:03:07.373</v>
      </c>
      <c r="H489" s="3" t="s">
        <v>21</v>
      </c>
      <c r="I489" s="3">
        <v>13.85</v>
      </c>
      <c r="J489" s="3" t="s">
        <v>27</v>
      </c>
    </row>
    <row r="490" spans="1:10" s="3" customFormat="1" x14ac:dyDescent="0.25">
      <c r="A490" s="2">
        <v>85</v>
      </c>
      <c r="B490" s="3" t="s">
        <v>23</v>
      </c>
      <c r="C490" s="3">
        <v>647</v>
      </c>
      <c r="D490" s="3">
        <v>1</v>
      </c>
      <c r="E490" s="3" t="s">
        <v>24</v>
      </c>
      <c r="F490" s="3" t="s">
        <v>25</v>
      </c>
      <c r="G490" s="3" t="str">
        <f>"2026-05-09 01:30:07.873"</f>
        <v>2026-05-09 01:30:07.873</v>
      </c>
      <c r="H490" s="3" t="s">
        <v>21</v>
      </c>
    </row>
    <row r="491" spans="1:10" s="3" customFormat="1" x14ac:dyDescent="0.25">
      <c r="A491" s="2">
        <v>86</v>
      </c>
      <c r="B491" s="3" t="s">
        <v>26</v>
      </c>
      <c r="C491" s="3">
        <v>647</v>
      </c>
      <c r="D491" s="3">
        <v>1</v>
      </c>
      <c r="E491" s="3" t="s">
        <v>24</v>
      </c>
      <c r="F491" s="3" t="s">
        <v>25</v>
      </c>
      <c r="G491" s="3" t="str">
        <f>"2026-05-09 01:30:06.773"</f>
        <v>2026-05-09 01:30:06.773</v>
      </c>
      <c r="H491" s="3" t="s">
        <v>21</v>
      </c>
      <c r="I491" s="3">
        <v>11.94</v>
      </c>
      <c r="J491" s="3" t="s">
        <v>27</v>
      </c>
    </row>
    <row r="492" spans="1:10" s="3" customFormat="1" x14ac:dyDescent="0.25">
      <c r="A492" s="2">
        <v>87</v>
      </c>
      <c r="B492" s="3" t="s">
        <v>23</v>
      </c>
      <c r="C492" s="3">
        <v>647</v>
      </c>
      <c r="D492" s="3">
        <v>1</v>
      </c>
      <c r="E492" s="3" t="s">
        <v>24</v>
      </c>
      <c r="F492" s="3" t="s">
        <v>25</v>
      </c>
      <c r="G492" s="3" t="str">
        <f>"2026-05-08 22:13:16.873"</f>
        <v>2026-05-08 22:13:16.873</v>
      </c>
      <c r="H492" s="3" t="s">
        <v>21</v>
      </c>
    </row>
    <row r="493" spans="1:10" s="3" customFormat="1" x14ac:dyDescent="0.25">
      <c r="A493" s="2">
        <v>88</v>
      </c>
      <c r="B493" s="3" t="s">
        <v>26</v>
      </c>
      <c r="C493" s="3">
        <v>647</v>
      </c>
      <c r="D493" s="3">
        <v>1</v>
      </c>
      <c r="E493" s="3" t="s">
        <v>24</v>
      </c>
      <c r="F493" s="3" t="s">
        <v>25</v>
      </c>
      <c r="G493" s="3" t="str">
        <f>"2026-05-08 22:13:15.573"</f>
        <v>2026-05-08 22:13:15.573</v>
      </c>
      <c r="H493" s="3" t="s">
        <v>21</v>
      </c>
      <c r="I493" s="3">
        <v>11.69</v>
      </c>
      <c r="J493" s="3" t="s">
        <v>27</v>
      </c>
    </row>
    <row r="494" spans="1:10" x14ac:dyDescent="0.25">
      <c r="A494" s="1">
        <v>89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"2026-05-08 13:47:33.281"</f>
        <v>2026-05-08 13:47:33.281</v>
      </c>
      <c r="H494" t="s">
        <v>21</v>
      </c>
    </row>
    <row r="495" spans="1:10" s="3" customFormat="1" x14ac:dyDescent="0.25">
      <c r="A495" s="2">
        <v>90</v>
      </c>
      <c r="B495" s="3" t="s">
        <v>23</v>
      </c>
      <c r="C495" s="3">
        <v>647</v>
      </c>
      <c r="D495" s="3">
        <v>1</v>
      </c>
      <c r="E495" s="3" t="s">
        <v>24</v>
      </c>
      <c r="F495" s="3" t="s">
        <v>25</v>
      </c>
      <c r="G495" s="3" t="str">
        <f>"2026-05-08 02:43:46.935"</f>
        <v>2026-05-08 02:43:46.935</v>
      </c>
      <c r="H495" s="3" t="s">
        <v>21</v>
      </c>
    </row>
    <row r="496" spans="1:10" s="3" customFormat="1" x14ac:dyDescent="0.25">
      <c r="A496" s="2">
        <v>91</v>
      </c>
      <c r="B496" s="3" t="s">
        <v>26</v>
      </c>
      <c r="C496" s="3">
        <v>647</v>
      </c>
      <c r="D496" s="3">
        <v>1</v>
      </c>
      <c r="E496" s="3" t="s">
        <v>24</v>
      </c>
      <c r="F496" s="3" t="s">
        <v>25</v>
      </c>
      <c r="G496" s="3" t="str">
        <f>"2026-05-08 02:43:44.435"</f>
        <v>2026-05-08 02:43:44.435</v>
      </c>
      <c r="H496" s="3" t="s">
        <v>21</v>
      </c>
      <c r="I496" s="3">
        <v>8.56</v>
      </c>
      <c r="J496" s="3" t="s">
        <v>27</v>
      </c>
    </row>
    <row r="497" spans="1:10" s="3" customFormat="1" x14ac:dyDescent="0.25">
      <c r="A497" s="2">
        <v>92</v>
      </c>
      <c r="B497" s="3" t="s">
        <v>23</v>
      </c>
      <c r="C497" s="3">
        <v>647</v>
      </c>
      <c r="D497" s="3">
        <v>1</v>
      </c>
      <c r="E497" s="3" t="s">
        <v>24</v>
      </c>
      <c r="F497" s="3" t="s">
        <v>25</v>
      </c>
      <c r="G497" s="3" t="str">
        <f>"2026-05-08 00:10:52.435"</f>
        <v>2026-05-08 00:10:52.435</v>
      </c>
      <c r="H497" s="3" t="s">
        <v>21</v>
      </c>
    </row>
    <row r="498" spans="1:10" s="3" customFormat="1" x14ac:dyDescent="0.25">
      <c r="A498" s="2">
        <v>93</v>
      </c>
      <c r="B498" s="3" t="s">
        <v>26</v>
      </c>
      <c r="C498" s="3">
        <v>647</v>
      </c>
      <c r="D498" s="3">
        <v>1</v>
      </c>
      <c r="E498" s="3" t="s">
        <v>24</v>
      </c>
      <c r="F498" s="3" t="s">
        <v>25</v>
      </c>
      <c r="G498" s="3" t="str">
        <f>"2026-05-08 00:10:51.335"</f>
        <v>2026-05-08 00:10:51.335</v>
      </c>
      <c r="H498" s="3" t="s">
        <v>21</v>
      </c>
      <c r="I498" s="3">
        <v>13.21</v>
      </c>
      <c r="J498" s="3" t="s">
        <v>27</v>
      </c>
    </row>
    <row r="499" spans="1:10" s="3" customFormat="1" x14ac:dyDescent="0.25">
      <c r="A499" s="2">
        <v>94</v>
      </c>
      <c r="B499" s="3" t="s">
        <v>23</v>
      </c>
      <c r="C499" s="3">
        <v>647</v>
      </c>
      <c r="D499" s="3">
        <v>1</v>
      </c>
      <c r="E499" s="3" t="s">
        <v>24</v>
      </c>
      <c r="F499" s="3" t="s">
        <v>25</v>
      </c>
      <c r="G499" s="3" t="str">
        <f>"2026-05-07 21:53:11.335"</f>
        <v>2026-05-07 21:53:11.335</v>
      </c>
      <c r="H499" s="3" t="s">
        <v>21</v>
      </c>
    </row>
    <row r="500" spans="1:10" s="3" customFormat="1" x14ac:dyDescent="0.25">
      <c r="A500" s="2">
        <v>95</v>
      </c>
      <c r="B500" s="3" t="s">
        <v>26</v>
      </c>
      <c r="C500" s="3">
        <v>647</v>
      </c>
      <c r="D500" s="3">
        <v>1</v>
      </c>
      <c r="E500" s="3" t="s">
        <v>24</v>
      </c>
      <c r="F500" s="3" t="s">
        <v>25</v>
      </c>
      <c r="G500" s="3" t="str">
        <f>"2026-05-07 21:53:10.036"</f>
        <v>2026-05-07 21:53:10.036</v>
      </c>
      <c r="H500" s="3" t="s">
        <v>21</v>
      </c>
      <c r="I500" s="3">
        <v>15.33</v>
      </c>
      <c r="J500" s="3" t="s">
        <v>27</v>
      </c>
    </row>
    <row r="501" spans="1:10" x14ac:dyDescent="0.25">
      <c r="A501" s="1">
        <v>96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"2026-05-07 20:50:33.468"</f>
        <v>2026-05-07 20:50:33.468</v>
      </c>
      <c r="H501" t="s">
        <v>21</v>
      </c>
      <c r="I501">
        <v>0</v>
      </c>
      <c r="J501" t="s">
        <v>22</v>
      </c>
    </row>
    <row r="502" spans="1:10" s="3" customFormat="1" x14ac:dyDescent="0.25">
      <c r="A502" s="2">
        <v>97</v>
      </c>
      <c r="B502" s="3" t="s">
        <v>23</v>
      </c>
      <c r="C502" s="3">
        <v>647</v>
      </c>
      <c r="D502" s="3">
        <v>1</v>
      </c>
      <c r="E502" s="3" t="s">
        <v>24</v>
      </c>
      <c r="F502" s="3" t="s">
        <v>25</v>
      </c>
      <c r="G502" s="3" t="str">
        <f>"2026-05-07 20:35:52.938"</f>
        <v>2026-05-07 20:35:52.938</v>
      </c>
      <c r="H502" s="3" t="s">
        <v>21</v>
      </c>
    </row>
    <row r="503" spans="1:10" s="3" customFormat="1" x14ac:dyDescent="0.25">
      <c r="A503" s="2">
        <v>98</v>
      </c>
      <c r="B503" s="3" t="s">
        <v>26</v>
      </c>
      <c r="C503" s="3">
        <v>647</v>
      </c>
      <c r="D503" s="3">
        <v>1</v>
      </c>
      <c r="E503" s="3" t="s">
        <v>24</v>
      </c>
      <c r="F503" s="3" t="s">
        <v>25</v>
      </c>
      <c r="G503" s="3" t="str">
        <f>"2026-05-07 20:35:51.638"</f>
        <v>2026-05-07 20:35:51.638</v>
      </c>
      <c r="H503" s="3" t="s">
        <v>21</v>
      </c>
      <c r="I503" s="3">
        <v>15.59</v>
      </c>
      <c r="J503" s="3" t="s">
        <v>27</v>
      </c>
    </row>
    <row r="504" spans="1:10" s="3" customFormat="1" x14ac:dyDescent="0.25">
      <c r="A504" s="2">
        <v>99</v>
      </c>
      <c r="B504" s="3" t="s">
        <v>23</v>
      </c>
      <c r="C504" s="3">
        <v>647</v>
      </c>
      <c r="D504" s="3">
        <v>1</v>
      </c>
      <c r="E504" s="3" t="s">
        <v>24</v>
      </c>
      <c r="F504" s="3" t="s">
        <v>25</v>
      </c>
      <c r="G504" s="3" t="str">
        <f>"2026-05-07 20:35:07.538"</f>
        <v>2026-05-07 20:35:07.538</v>
      </c>
      <c r="H504" s="3" t="s">
        <v>21</v>
      </c>
    </row>
    <row r="505" spans="1:10" s="3" customFormat="1" x14ac:dyDescent="0.25">
      <c r="A505" s="2">
        <v>0</v>
      </c>
      <c r="B505" s="3" t="s">
        <v>26</v>
      </c>
      <c r="C505" s="3">
        <v>647</v>
      </c>
      <c r="D505" s="3">
        <v>1</v>
      </c>
      <c r="E505" s="3" t="s">
        <v>24</v>
      </c>
      <c r="F505" s="3" t="s">
        <v>25</v>
      </c>
      <c r="G505" s="3" t="str">
        <f>"2026-05-07 20:35:06.538"</f>
        <v>2026-05-07 20:35:06.538</v>
      </c>
      <c r="H505" s="3" t="s">
        <v>21</v>
      </c>
      <c r="I505" s="3">
        <v>10.31</v>
      </c>
      <c r="J505" s="3" t="s">
        <v>27</v>
      </c>
    </row>
    <row r="506" spans="1:10" s="3" customFormat="1" x14ac:dyDescent="0.25">
      <c r="A506" s="2">
        <v>1</v>
      </c>
      <c r="B506" s="3" t="s">
        <v>23</v>
      </c>
      <c r="C506" s="3">
        <v>647</v>
      </c>
      <c r="D506" s="3">
        <v>1</v>
      </c>
      <c r="E506" s="3" t="s">
        <v>24</v>
      </c>
      <c r="F506" s="3" t="s">
        <v>25</v>
      </c>
      <c r="G506" s="3" t="str">
        <f>"2026-05-07 20:35:03.938"</f>
        <v>2026-05-07 20:35:03.938</v>
      </c>
      <c r="H506" s="3" t="s">
        <v>21</v>
      </c>
    </row>
    <row r="507" spans="1:10" s="3" customFormat="1" x14ac:dyDescent="0.25">
      <c r="A507" s="2">
        <v>2</v>
      </c>
      <c r="B507" s="3" t="s">
        <v>26</v>
      </c>
      <c r="C507" s="3">
        <v>647</v>
      </c>
      <c r="D507" s="3">
        <v>1</v>
      </c>
      <c r="E507" s="3" t="s">
        <v>24</v>
      </c>
      <c r="F507" s="3" t="s">
        <v>25</v>
      </c>
      <c r="G507" s="3" t="str">
        <f>"2026-05-07 20:35:02.638"</f>
        <v>2026-05-07 20:35:02.638</v>
      </c>
      <c r="H507" s="3" t="s">
        <v>21</v>
      </c>
      <c r="I507" s="3">
        <v>11.1</v>
      </c>
      <c r="J507" s="3" t="s">
        <v>27</v>
      </c>
    </row>
    <row r="508" spans="1:10" x14ac:dyDescent="0.25">
      <c r="A508" s="1">
        <v>3</v>
      </c>
      <c r="B508" t="s">
        <v>23</v>
      </c>
      <c r="C508">
        <v>630</v>
      </c>
      <c r="D508">
        <v>5</v>
      </c>
      <c r="E508" t="s">
        <v>35</v>
      </c>
      <c r="F508" t="s">
        <v>36</v>
      </c>
      <c r="G508" t="str">
        <f>"2026-05-07 14:56:22.538"</f>
        <v>2026-05-07 14:56:22.538</v>
      </c>
      <c r="H508" t="s">
        <v>37</v>
      </c>
    </row>
    <row r="509" spans="1:10" x14ac:dyDescent="0.25">
      <c r="A509" s="1">
        <v>4</v>
      </c>
      <c r="B509" t="s">
        <v>19</v>
      </c>
      <c r="C509">
        <v>706</v>
      </c>
      <c r="D509">
        <v>4</v>
      </c>
      <c r="E509" t="s">
        <v>28</v>
      </c>
      <c r="F509" t="s">
        <v>29</v>
      </c>
      <c r="G509" t="str">
        <f>"2026-05-07 14:55:52.416"</f>
        <v>2026-05-07 14:55:52.416</v>
      </c>
      <c r="H509" t="s">
        <v>21</v>
      </c>
      <c r="I509">
        <v>0</v>
      </c>
      <c r="J509" t="s">
        <v>30</v>
      </c>
    </row>
    <row r="510" spans="1:10" x14ac:dyDescent="0.25">
      <c r="A510" s="1">
        <v>5</v>
      </c>
      <c r="B510" t="s">
        <v>38</v>
      </c>
      <c r="C510">
        <v>630</v>
      </c>
      <c r="D510">
        <v>5</v>
      </c>
      <c r="E510" t="s">
        <v>35</v>
      </c>
      <c r="F510" t="s">
        <v>36</v>
      </c>
      <c r="G510" t="str">
        <f>"2026-05-07 14:45:20.038"</f>
        <v>2026-05-07 14:45:20.038</v>
      </c>
      <c r="H510" t="s">
        <v>37</v>
      </c>
      <c r="I510">
        <v>0</v>
      </c>
      <c r="J510" t="s">
        <v>30</v>
      </c>
    </row>
    <row r="511" spans="1:10" x14ac:dyDescent="0.25">
      <c r="A511" s="1">
        <v>6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"2026-05-07 14:40:17.256"</f>
        <v>2026-05-07 14:40:17.256</v>
      </c>
      <c r="H511" t="s">
        <v>21</v>
      </c>
      <c r="I511">
        <v>0</v>
      </c>
      <c r="J511" t="s">
        <v>22</v>
      </c>
    </row>
    <row r="512" spans="1:10" x14ac:dyDescent="0.25">
      <c r="A512" s="1">
        <v>7</v>
      </c>
      <c r="B512" t="s">
        <v>23</v>
      </c>
      <c r="C512">
        <v>630</v>
      </c>
      <c r="D512">
        <v>5</v>
      </c>
      <c r="E512" t="s">
        <v>35</v>
      </c>
      <c r="F512" t="s">
        <v>36</v>
      </c>
      <c r="G512" t="str">
        <f>"2026-05-07 12:25:02.516"</f>
        <v>2026-05-07 12:25:02.516</v>
      </c>
      <c r="H512" t="s">
        <v>37</v>
      </c>
    </row>
    <row r="513" spans="1:10" x14ac:dyDescent="0.25">
      <c r="A513" s="1">
        <v>8</v>
      </c>
      <c r="B513" t="s">
        <v>19</v>
      </c>
      <c r="C513">
        <v>706</v>
      </c>
      <c r="D513">
        <v>4</v>
      </c>
      <c r="E513" t="s">
        <v>28</v>
      </c>
      <c r="F513" t="s">
        <v>29</v>
      </c>
      <c r="G513" t="str">
        <f>"2026-05-07 12:24:32.400"</f>
        <v>2026-05-07 12:24:32.400</v>
      </c>
      <c r="H513" t="s">
        <v>21</v>
      </c>
      <c r="I513">
        <v>0</v>
      </c>
      <c r="J513" t="s">
        <v>30</v>
      </c>
    </row>
    <row r="514" spans="1:10" x14ac:dyDescent="0.25">
      <c r="A514" s="1">
        <v>9</v>
      </c>
      <c r="B514" t="s">
        <v>38</v>
      </c>
      <c r="C514">
        <v>630</v>
      </c>
      <c r="D514">
        <v>5</v>
      </c>
      <c r="E514" t="s">
        <v>35</v>
      </c>
      <c r="F514" t="s">
        <v>36</v>
      </c>
      <c r="G514" t="str">
        <f>"2026-05-07 11:59:33.316"</f>
        <v>2026-05-07 11:59:33.316</v>
      </c>
      <c r="H514" t="s">
        <v>37</v>
      </c>
      <c r="I514">
        <v>0</v>
      </c>
      <c r="J514" t="s">
        <v>30</v>
      </c>
    </row>
    <row r="515" spans="1:10" s="3" customFormat="1" x14ac:dyDescent="0.25">
      <c r="A515" s="2">
        <v>10</v>
      </c>
      <c r="B515" s="3" t="s">
        <v>23</v>
      </c>
      <c r="C515" s="3">
        <v>647</v>
      </c>
      <c r="D515" s="3">
        <v>1</v>
      </c>
      <c r="E515" s="3" t="s">
        <v>24</v>
      </c>
      <c r="F515" s="3" t="s">
        <v>25</v>
      </c>
      <c r="G515" s="3" t="str">
        <f>"2026-05-07 00:46:14.716"</f>
        <v>2026-05-07 00:46:14.716</v>
      </c>
      <c r="H515" s="3" t="s">
        <v>21</v>
      </c>
    </row>
    <row r="516" spans="1:10" s="3" customFormat="1" x14ac:dyDescent="0.25">
      <c r="A516" s="2">
        <v>11</v>
      </c>
      <c r="B516" s="3" t="s">
        <v>26</v>
      </c>
      <c r="C516" s="3">
        <v>647</v>
      </c>
      <c r="D516" s="3">
        <v>1</v>
      </c>
      <c r="E516" s="3" t="s">
        <v>24</v>
      </c>
      <c r="F516" s="3" t="s">
        <v>25</v>
      </c>
      <c r="G516" s="3" t="str">
        <f>"2026-05-07 00:46:05.816"</f>
        <v>2026-05-07 00:46:05.816</v>
      </c>
      <c r="H516" s="3" t="s">
        <v>21</v>
      </c>
      <c r="I516" s="3">
        <v>8.48</v>
      </c>
      <c r="J516" s="3" t="s">
        <v>27</v>
      </c>
    </row>
    <row r="517" spans="1:10" s="3" customFormat="1" x14ac:dyDescent="0.25">
      <c r="A517" s="2">
        <v>12</v>
      </c>
      <c r="B517" s="3" t="s">
        <v>23</v>
      </c>
      <c r="C517" s="3">
        <v>647</v>
      </c>
      <c r="D517" s="3">
        <v>1</v>
      </c>
      <c r="E517" s="3" t="s">
        <v>24</v>
      </c>
      <c r="F517" s="3" t="s">
        <v>25</v>
      </c>
      <c r="G517" s="3" t="str">
        <f>"2026-05-06 22:25:32.816"</f>
        <v>2026-05-06 22:25:32.816</v>
      </c>
      <c r="H517" s="3" t="s">
        <v>21</v>
      </c>
    </row>
    <row r="518" spans="1:10" s="3" customFormat="1" x14ac:dyDescent="0.25">
      <c r="A518" s="2">
        <v>13</v>
      </c>
      <c r="B518" s="3" t="s">
        <v>26</v>
      </c>
      <c r="C518" s="3">
        <v>647</v>
      </c>
      <c r="D518" s="3">
        <v>1</v>
      </c>
      <c r="E518" s="3" t="s">
        <v>24</v>
      </c>
      <c r="F518" s="3" t="s">
        <v>25</v>
      </c>
      <c r="G518" s="3" t="str">
        <f>"2026-05-06 22:25:31.516"</f>
        <v>2026-05-06 22:25:31.516</v>
      </c>
      <c r="H518" s="3" t="s">
        <v>21</v>
      </c>
      <c r="I518" s="3">
        <v>10.48</v>
      </c>
      <c r="J518" s="3" t="s">
        <v>27</v>
      </c>
    </row>
    <row r="519" spans="1:10" s="3" customFormat="1" x14ac:dyDescent="0.25">
      <c r="A519" s="2">
        <v>14</v>
      </c>
      <c r="B519" s="3" t="s">
        <v>23</v>
      </c>
      <c r="C519" s="3">
        <v>647</v>
      </c>
      <c r="D519" s="3">
        <v>1</v>
      </c>
      <c r="E519" s="3" t="s">
        <v>24</v>
      </c>
      <c r="F519" s="3" t="s">
        <v>25</v>
      </c>
      <c r="G519" s="3" t="str">
        <f>"2026-05-06 20:36:10.017"</f>
        <v>2026-05-06 20:36:10.017</v>
      </c>
      <c r="H519" s="3" t="s">
        <v>21</v>
      </c>
    </row>
    <row r="520" spans="1:10" s="3" customFormat="1" x14ac:dyDescent="0.25">
      <c r="A520" s="2">
        <v>15</v>
      </c>
      <c r="B520" s="3" t="s">
        <v>26</v>
      </c>
      <c r="C520" s="3">
        <v>647</v>
      </c>
      <c r="D520" s="3">
        <v>1</v>
      </c>
      <c r="E520" s="3" t="s">
        <v>24</v>
      </c>
      <c r="F520" s="3" t="s">
        <v>25</v>
      </c>
      <c r="G520" s="3" t="str">
        <f>"2026-05-06 20:36:08.117"</f>
        <v>2026-05-06 20:36:08.117</v>
      </c>
      <c r="H520" s="3" t="s">
        <v>21</v>
      </c>
      <c r="I520" s="3">
        <v>11.5</v>
      </c>
      <c r="J520" s="3" t="s">
        <v>27</v>
      </c>
    </row>
    <row r="521" spans="1:10" s="3" customFormat="1" x14ac:dyDescent="0.25">
      <c r="A521" s="2">
        <v>17</v>
      </c>
      <c r="B521" s="3" t="s">
        <v>23</v>
      </c>
      <c r="C521" s="3">
        <v>647</v>
      </c>
      <c r="D521" s="3">
        <v>1</v>
      </c>
      <c r="E521" s="3" t="s">
        <v>24</v>
      </c>
      <c r="F521" s="3" t="s">
        <v>25</v>
      </c>
      <c r="G521" s="3" t="str">
        <f>"2026-05-06 06:35:06.306"</f>
        <v>2026-05-06 06:35:06.306</v>
      </c>
      <c r="H521" s="3" t="s">
        <v>21</v>
      </c>
    </row>
    <row r="522" spans="1:10" s="3" customFormat="1" x14ac:dyDescent="0.25">
      <c r="A522" s="2">
        <v>18</v>
      </c>
      <c r="B522" s="3" t="s">
        <v>26</v>
      </c>
      <c r="C522" s="3">
        <v>647</v>
      </c>
      <c r="D522" s="3">
        <v>1</v>
      </c>
      <c r="E522" s="3" t="s">
        <v>24</v>
      </c>
      <c r="F522" s="3" t="s">
        <v>25</v>
      </c>
      <c r="G522" s="3" t="str">
        <f>"2026-05-06 06:35:05.007"</f>
        <v>2026-05-06 06:35:05.007</v>
      </c>
      <c r="H522" s="3" t="s">
        <v>21</v>
      </c>
      <c r="I522" s="3">
        <v>8.3800000000000008</v>
      </c>
      <c r="J522" s="3" t="s">
        <v>27</v>
      </c>
    </row>
    <row r="523" spans="1:10" s="3" customFormat="1" x14ac:dyDescent="0.25">
      <c r="A523" s="2">
        <v>19</v>
      </c>
      <c r="B523" s="3" t="s">
        <v>23</v>
      </c>
      <c r="C523" s="3">
        <v>647</v>
      </c>
      <c r="D523" s="3">
        <v>1</v>
      </c>
      <c r="E523" s="3" t="s">
        <v>24</v>
      </c>
      <c r="F523" s="3" t="s">
        <v>25</v>
      </c>
      <c r="G523" s="3" t="str">
        <f>"2026-05-05 22:42:30.706"</f>
        <v>2026-05-05 22:42:30.706</v>
      </c>
      <c r="H523" s="3" t="s">
        <v>21</v>
      </c>
    </row>
    <row r="524" spans="1:10" s="3" customFormat="1" x14ac:dyDescent="0.25">
      <c r="A524" s="2">
        <v>20</v>
      </c>
      <c r="B524" s="3" t="s">
        <v>26</v>
      </c>
      <c r="C524" s="3">
        <v>647</v>
      </c>
      <c r="D524" s="3">
        <v>1</v>
      </c>
      <c r="E524" s="3" t="s">
        <v>24</v>
      </c>
      <c r="F524" s="3" t="s">
        <v>25</v>
      </c>
      <c r="G524" s="3" t="str">
        <f>"2026-05-05 22:42:29.407"</f>
        <v>2026-05-05 22:42:29.407</v>
      </c>
      <c r="H524" s="3" t="s">
        <v>21</v>
      </c>
      <c r="I524" s="3">
        <v>8.41</v>
      </c>
      <c r="J524" s="3" t="s">
        <v>27</v>
      </c>
    </row>
    <row r="525" spans="1:10" s="3" customFormat="1" x14ac:dyDescent="0.25">
      <c r="A525" s="2">
        <v>21</v>
      </c>
      <c r="B525" s="3" t="s">
        <v>23</v>
      </c>
      <c r="C525" s="3">
        <v>647</v>
      </c>
      <c r="D525" s="3">
        <v>1</v>
      </c>
      <c r="E525" s="3" t="s">
        <v>24</v>
      </c>
      <c r="F525" s="3" t="s">
        <v>25</v>
      </c>
      <c r="G525" s="3" t="str">
        <f>"2026-05-05 22:11:27.306"</f>
        <v>2026-05-05 22:11:27.306</v>
      </c>
      <c r="H525" s="3" t="s">
        <v>21</v>
      </c>
    </row>
    <row r="526" spans="1:10" s="3" customFormat="1" x14ac:dyDescent="0.25">
      <c r="A526" s="2">
        <v>22</v>
      </c>
      <c r="B526" s="3" t="s">
        <v>26</v>
      </c>
      <c r="C526" s="3">
        <v>647</v>
      </c>
      <c r="D526" s="3">
        <v>1</v>
      </c>
      <c r="E526" s="3" t="s">
        <v>24</v>
      </c>
      <c r="F526" s="3" t="s">
        <v>25</v>
      </c>
      <c r="G526" s="3" t="str">
        <f>"2026-05-05 22:11:23.507"</f>
        <v>2026-05-05 22:11:23.507</v>
      </c>
      <c r="H526" s="3" t="s">
        <v>21</v>
      </c>
      <c r="I526" s="3">
        <v>13.01</v>
      </c>
      <c r="J526" s="3" t="s">
        <v>27</v>
      </c>
    </row>
    <row r="527" spans="1:10" x14ac:dyDescent="0.25">
      <c r="A527" s="1">
        <v>23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"2026-05-05 21:23:59.440"</f>
        <v>2026-05-05 21:23:59.440</v>
      </c>
      <c r="H527" t="s">
        <v>21</v>
      </c>
      <c r="I527">
        <v>0</v>
      </c>
      <c r="J527" t="s">
        <v>22</v>
      </c>
    </row>
    <row r="528" spans="1:10" s="3" customFormat="1" x14ac:dyDescent="0.25">
      <c r="A528" s="2">
        <v>24</v>
      </c>
      <c r="B528" s="3" t="s">
        <v>23</v>
      </c>
      <c r="C528" s="3">
        <v>647</v>
      </c>
      <c r="D528" s="3">
        <v>1</v>
      </c>
      <c r="E528" s="3" t="s">
        <v>24</v>
      </c>
      <c r="F528" s="3" t="s">
        <v>25</v>
      </c>
      <c r="G528" s="3" t="str">
        <f>"2026-05-05 11:56:54.671"</f>
        <v>2026-05-05 11:56:54.671</v>
      </c>
      <c r="H528" s="3" t="s">
        <v>21</v>
      </c>
    </row>
    <row r="529" spans="1:10" s="3" customFormat="1" x14ac:dyDescent="0.25">
      <c r="A529" s="2">
        <v>25</v>
      </c>
      <c r="B529" s="3" t="s">
        <v>26</v>
      </c>
      <c r="C529" s="3">
        <v>647</v>
      </c>
      <c r="D529" s="3">
        <v>1</v>
      </c>
      <c r="E529" s="3" t="s">
        <v>24</v>
      </c>
      <c r="F529" s="3" t="s">
        <v>25</v>
      </c>
      <c r="G529" s="3" t="str">
        <f>"2026-05-05 11:56:49.571"</f>
        <v>2026-05-05 11:56:49.571</v>
      </c>
      <c r="H529" s="3" t="s">
        <v>21</v>
      </c>
      <c r="I529" s="3">
        <v>17.920000000000002</v>
      </c>
      <c r="J529" s="3" t="s">
        <v>27</v>
      </c>
    </row>
    <row r="530" spans="1:10" s="3" customFormat="1" x14ac:dyDescent="0.25">
      <c r="A530" s="2">
        <v>26</v>
      </c>
      <c r="B530" s="3" t="s">
        <v>23</v>
      </c>
      <c r="C530" s="3">
        <v>647</v>
      </c>
      <c r="D530" s="3">
        <v>1</v>
      </c>
      <c r="E530" s="3" t="s">
        <v>24</v>
      </c>
      <c r="F530" s="3" t="s">
        <v>25</v>
      </c>
      <c r="G530" s="3" t="str">
        <f>"2026-05-04 22:40:20.071"</f>
        <v>2026-05-04 22:40:20.071</v>
      </c>
      <c r="H530" s="3" t="s">
        <v>21</v>
      </c>
    </row>
    <row r="531" spans="1:10" s="3" customFormat="1" x14ac:dyDescent="0.25">
      <c r="A531" s="2">
        <v>27</v>
      </c>
      <c r="B531" s="3" t="s">
        <v>26</v>
      </c>
      <c r="C531" s="3">
        <v>647</v>
      </c>
      <c r="D531" s="3">
        <v>1</v>
      </c>
      <c r="E531" s="3" t="s">
        <v>24</v>
      </c>
      <c r="F531" s="3" t="s">
        <v>25</v>
      </c>
      <c r="G531" s="3" t="str">
        <f>"2026-05-04 22:40:14.771"</f>
        <v>2026-05-04 22:40:14.771</v>
      </c>
      <c r="H531" s="3" t="s">
        <v>21</v>
      </c>
      <c r="I531" s="3">
        <v>15.4</v>
      </c>
      <c r="J531" s="3" t="s">
        <v>34</v>
      </c>
    </row>
    <row r="532" spans="1:10" s="3" customFormat="1" x14ac:dyDescent="0.25">
      <c r="A532" s="2">
        <v>28</v>
      </c>
      <c r="B532" s="3" t="s">
        <v>23</v>
      </c>
      <c r="C532" s="3">
        <v>647</v>
      </c>
      <c r="D532" s="3">
        <v>1</v>
      </c>
      <c r="E532" s="3" t="s">
        <v>24</v>
      </c>
      <c r="F532" s="3" t="s">
        <v>25</v>
      </c>
      <c r="G532" s="3" t="str">
        <f>"2026-05-04 22:40:11.871"</f>
        <v>2026-05-04 22:40:11.871</v>
      </c>
      <c r="H532" s="3" t="s">
        <v>21</v>
      </c>
    </row>
    <row r="533" spans="1:10" s="3" customFormat="1" x14ac:dyDescent="0.25">
      <c r="A533" s="2">
        <v>29</v>
      </c>
      <c r="B533" s="3" t="s">
        <v>26</v>
      </c>
      <c r="C533" s="3">
        <v>647</v>
      </c>
      <c r="D533" s="3">
        <v>1</v>
      </c>
      <c r="E533" s="3" t="s">
        <v>24</v>
      </c>
      <c r="F533" s="3" t="s">
        <v>25</v>
      </c>
      <c r="G533" s="3" t="str">
        <f>"2026-05-04 22:40:08.971"</f>
        <v>2026-05-04 22:40:08.971</v>
      </c>
      <c r="H533" s="3" t="s">
        <v>21</v>
      </c>
      <c r="I533" s="3">
        <v>15.6</v>
      </c>
      <c r="J533" s="3" t="s">
        <v>27</v>
      </c>
    </row>
    <row r="534" spans="1:10" x14ac:dyDescent="0.25">
      <c r="A534" s="1">
        <v>30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"2026-05-04 20:44:31.269"</f>
        <v>2026-05-04 20:44:31.269</v>
      </c>
      <c r="H534" t="s">
        <v>21</v>
      </c>
      <c r="I534">
        <v>0</v>
      </c>
      <c r="J534" t="s">
        <v>22</v>
      </c>
    </row>
    <row r="535" spans="1:10" x14ac:dyDescent="0.25">
      <c r="A535" s="1">
        <v>31</v>
      </c>
      <c r="B535" t="s">
        <v>19</v>
      </c>
      <c r="C535">
        <v>706</v>
      </c>
      <c r="D535">
        <v>4</v>
      </c>
      <c r="E535" t="s">
        <v>28</v>
      </c>
      <c r="F535" t="s">
        <v>29</v>
      </c>
      <c r="G535" t="str">
        <f>"2026-05-04 19:46:12.739"</f>
        <v>2026-05-04 19:46:12.739</v>
      </c>
      <c r="H535" t="s">
        <v>21</v>
      </c>
      <c r="I535">
        <v>0</v>
      </c>
      <c r="J535" t="s">
        <v>30</v>
      </c>
    </row>
    <row r="536" spans="1:10" x14ac:dyDescent="0.25">
      <c r="A536" s="1">
        <v>32</v>
      </c>
      <c r="B536" t="s">
        <v>23</v>
      </c>
      <c r="C536">
        <v>630</v>
      </c>
      <c r="D536">
        <v>5</v>
      </c>
      <c r="E536" t="s">
        <v>35</v>
      </c>
      <c r="F536" t="s">
        <v>36</v>
      </c>
      <c r="G536" t="str">
        <f>"2026-05-04 12:56:43.931"</f>
        <v>2026-05-04 12:56:43.931</v>
      </c>
      <c r="H536" t="s">
        <v>37</v>
      </c>
    </row>
    <row r="537" spans="1:10" x14ac:dyDescent="0.25">
      <c r="A537" s="1">
        <v>33</v>
      </c>
      <c r="B537" t="s">
        <v>19</v>
      </c>
      <c r="C537">
        <v>706</v>
      </c>
      <c r="D537">
        <v>2</v>
      </c>
      <c r="E537" t="s">
        <v>28</v>
      </c>
      <c r="F537" t="s">
        <v>39</v>
      </c>
      <c r="G537" t="str">
        <f>"2026-05-04 12:56:13.759"</f>
        <v>2026-05-04 12:56:13.759</v>
      </c>
      <c r="H537" t="s">
        <v>21</v>
      </c>
      <c r="I537">
        <v>0</v>
      </c>
      <c r="J537" t="s">
        <v>30</v>
      </c>
    </row>
    <row r="538" spans="1:10" x14ac:dyDescent="0.25">
      <c r="A538" s="1">
        <v>34</v>
      </c>
      <c r="B538" t="s">
        <v>38</v>
      </c>
      <c r="C538">
        <v>630</v>
      </c>
      <c r="D538">
        <v>5</v>
      </c>
      <c r="E538" t="s">
        <v>35</v>
      </c>
      <c r="F538" t="s">
        <v>36</v>
      </c>
      <c r="G538" t="str">
        <f>"2026-05-04 12:27:06.031"</f>
        <v>2026-05-04 12:27:06.031</v>
      </c>
      <c r="H538" t="s">
        <v>37</v>
      </c>
      <c r="I538">
        <v>0</v>
      </c>
      <c r="J538" t="s">
        <v>30</v>
      </c>
    </row>
    <row r="539" spans="1:10" x14ac:dyDescent="0.25">
      <c r="A539" s="1">
        <v>35</v>
      </c>
      <c r="B539" t="s">
        <v>23</v>
      </c>
      <c r="C539">
        <v>630</v>
      </c>
      <c r="D539">
        <v>5</v>
      </c>
      <c r="E539" t="s">
        <v>35</v>
      </c>
      <c r="F539" t="s">
        <v>36</v>
      </c>
      <c r="G539" t="str">
        <f>"2026-05-04 11:14:26.331"</f>
        <v>2026-05-04 11:14:26.331</v>
      </c>
      <c r="H539" t="s">
        <v>37</v>
      </c>
    </row>
    <row r="540" spans="1:10" x14ac:dyDescent="0.25">
      <c r="A540" s="1">
        <v>36</v>
      </c>
      <c r="B540" t="s">
        <v>19</v>
      </c>
      <c r="C540">
        <v>706</v>
      </c>
      <c r="D540">
        <v>4</v>
      </c>
      <c r="E540" t="s">
        <v>28</v>
      </c>
      <c r="F540" t="s">
        <v>29</v>
      </c>
      <c r="G540" t="str">
        <f>"2026-05-04 11:13:56.239"</f>
        <v>2026-05-04 11:13:56.239</v>
      </c>
      <c r="H540" t="s">
        <v>21</v>
      </c>
      <c r="I540">
        <v>0</v>
      </c>
      <c r="J540" t="s">
        <v>30</v>
      </c>
    </row>
    <row r="541" spans="1:10" x14ac:dyDescent="0.25">
      <c r="A541" s="1">
        <v>37</v>
      </c>
      <c r="B541" t="s">
        <v>38</v>
      </c>
      <c r="C541">
        <v>630</v>
      </c>
      <c r="D541">
        <v>5</v>
      </c>
      <c r="E541" t="s">
        <v>35</v>
      </c>
      <c r="F541" t="s">
        <v>36</v>
      </c>
      <c r="G541" t="str">
        <f>"2026-05-04 11:06:57.031"</f>
        <v>2026-05-04 11:06:57.031</v>
      </c>
      <c r="H541" t="s">
        <v>37</v>
      </c>
      <c r="I541">
        <v>0</v>
      </c>
      <c r="J541" t="s">
        <v>30</v>
      </c>
    </row>
    <row r="542" spans="1:10" x14ac:dyDescent="0.25">
      <c r="A542" s="1">
        <v>38</v>
      </c>
      <c r="B542" t="s">
        <v>23</v>
      </c>
      <c r="C542">
        <v>635</v>
      </c>
      <c r="D542">
        <v>1</v>
      </c>
      <c r="E542" t="s">
        <v>31</v>
      </c>
      <c r="F542" t="s">
        <v>32</v>
      </c>
      <c r="G542" t="str">
        <f>"2026-05-03 16:36:41.182"</f>
        <v>2026-05-03 16:36:41.182</v>
      </c>
      <c r="H542" t="s">
        <v>21</v>
      </c>
    </row>
    <row r="543" spans="1:10" x14ac:dyDescent="0.25">
      <c r="A543" s="1">
        <v>39</v>
      </c>
      <c r="B543" t="s">
        <v>26</v>
      </c>
      <c r="C543">
        <v>635</v>
      </c>
      <c r="D543">
        <v>1</v>
      </c>
      <c r="E543" t="s">
        <v>31</v>
      </c>
      <c r="F543" t="s">
        <v>32</v>
      </c>
      <c r="G543" t="str">
        <f>"2026-05-03 16:25:33.682"</f>
        <v>2026-05-03 16:25:33.682</v>
      </c>
      <c r="H543" t="s">
        <v>21</v>
      </c>
      <c r="I543">
        <v>2.57</v>
      </c>
      <c r="J543" t="s">
        <v>27</v>
      </c>
    </row>
    <row r="544" spans="1:10" x14ac:dyDescent="0.25">
      <c r="A544" s="1">
        <v>40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"2026-05-03 14:24:00.229"</f>
        <v>2026-05-03 14:24:00.229</v>
      </c>
      <c r="H544" t="s">
        <v>21</v>
      </c>
    </row>
    <row r="545" spans="1:10" x14ac:dyDescent="0.25">
      <c r="A545" s="1">
        <v>41</v>
      </c>
      <c r="B545" t="s">
        <v>19</v>
      </c>
      <c r="C545">
        <v>706</v>
      </c>
      <c r="D545">
        <v>3</v>
      </c>
      <c r="E545" t="s">
        <v>28</v>
      </c>
      <c r="F545" t="s">
        <v>43</v>
      </c>
      <c r="G545" t="str">
        <f>"2026-05-03 14:14:12.589"</f>
        <v>2026-05-03 14:14:12.589</v>
      </c>
      <c r="H545" t="s">
        <v>21</v>
      </c>
      <c r="I545">
        <v>0</v>
      </c>
      <c r="J545" t="s">
        <v>30</v>
      </c>
    </row>
    <row r="546" spans="1:10" x14ac:dyDescent="0.25">
      <c r="A546" s="1">
        <v>42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"2026-05-03 13:45:01.239"</f>
        <v>2026-05-03 13:45:01.239</v>
      </c>
      <c r="H546" t="s">
        <v>21</v>
      </c>
      <c r="I546">
        <v>0</v>
      </c>
      <c r="J546" t="s">
        <v>22</v>
      </c>
    </row>
    <row r="547" spans="1:10" x14ac:dyDescent="0.25">
      <c r="A547" s="1">
        <v>43</v>
      </c>
      <c r="B547" t="s">
        <v>23</v>
      </c>
      <c r="C547">
        <v>630</v>
      </c>
      <c r="D547">
        <v>5</v>
      </c>
      <c r="E547" t="s">
        <v>35</v>
      </c>
      <c r="F547" t="s">
        <v>36</v>
      </c>
      <c r="G547" t="str">
        <f>"2026-05-03 13:04:28.534"</f>
        <v>2026-05-03 13:04:28.534</v>
      </c>
      <c r="H547" t="s">
        <v>37</v>
      </c>
    </row>
    <row r="548" spans="1:10" x14ac:dyDescent="0.25">
      <c r="A548" s="1">
        <v>44</v>
      </c>
      <c r="B548" t="s">
        <v>19</v>
      </c>
      <c r="C548">
        <v>706</v>
      </c>
      <c r="D548">
        <v>4</v>
      </c>
      <c r="E548" t="s">
        <v>28</v>
      </c>
      <c r="F548" t="s">
        <v>29</v>
      </c>
      <c r="G548" t="str">
        <f>"2026-05-03 13:03:58.512"</f>
        <v>2026-05-03 13:03:58.512</v>
      </c>
      <c r="H548" t="s">
        <v>21</v>
      </c>
      <c r="I548">
        <v>0</v>
      </c>
      <c r="J548" t="s">
        <v>30</v>
      </c>
    </row>
    <row r="549" spans="1:10" x14ac:dyDescent="0.25">
      <c r="A549" s="1">
        <v>45</v>
      </c>
      <c r="B549" t="s">
        <v>38</v>
      </c>
      <c r="C549">
        <v>630</v>
      </c>
      <c r="D549">
        <v>5</v>
      </c>
      <c r="E549" t="s">
        <v>35</v>
      </c>
      <c r="F549" t="s">
        <v>36</v>
      </c>
      <c r="G549" t="str">
        <f>"2026-05-03 12:34:21.934"</f>
        <v>2026-05-03 12:34:21.934</v>
      </c>
      <c r="H549" t="s">
        <v>37</v>
      </c>
      <c r="I549">
        <v>0</v>
      </c>
      <c r="J549" t="s">
        <v>30</v>
      </c>
    </row>
    <row r="550" spans="1:10" s="3" customFormat="1" x14ac:dyDescent="0.25">
      <c r="A550" s="2">
        <v>46</v>
      </c>
      <c r="B550" s="3" t="s">
        <v>23</v>
      </c>
      <c r="C550" s="3">
        <v>647</v>
      </c>
      <c r="D550" s="3">
        <v>1</v>
      </c>
      <c r="E550" s="3" t="s">
        <v>24</v>
      </c>
      <c r="F550" s="3" t="s">
        <v>25</v>
      </c>
      <c r="G550" s="3" t="str">
        <f>"2026-05-03 09:50:06.734"</f>
        <v>2026-05-03 09:50:06.734</v>
      </c>
      <c r="H550" s="3" t="s">
        <v>21</v>
      </c>
    </row>
    <row r="551" spans="1:10" s="3" customFormat="1" x14ac:dyDescent="0.25">
      <c r="A551" s="2">
        <v>47</v>
      </c>
      <c r="B551" s="3" t="s">
        <v>26</v>
      </c>
      <c r="C551" s="3">
        <v>647</v>
      </c>
      <c r="D551" s="3">
        <v>1</v>
      </c>
      <c r="E551" s="3" t="s">
        <v>24</v>
      </c>
      <c r="F551" s="3" t="s">
        <v>25</v>
      </c>
      <c r="G551" s="3" t="str">
        <f>"2026-05-03 09:50:02.234"</f>
        <v>2026-05-03 09:50:02.234</v>
      </c>
      <c r="H551" s="3" t="s">
        <v>21</v>
      </c>
      <c r="I551" s="3">
        <v>10.56</v>
      </c>
      <c r="J551" s="3" t="s">
        <v>27</v>
      </c>
    </row>
    <row r="552" spans="1:10" x14ac:dyDescent="0.25">
      <c r="A552" s="1">
        <v>48</v>
      </c>
      <c r="B552" t="s">
        <v>23</v>
      </c>
      <c r="C552">
        <v>630</v>
      </c>
      <c r="D552">
        <v>5</v>
      </c>
      <c r="E552" t="s">
        <v>35</v>
      </c>
      <c r="F552" t="s">
        <v>36</v>
      </c>
      <c r="G552" t="str">
        <f>"2026-05-02 17:20:12.834"</f>
        <v>2026-05-02 17:20:12.834</v>
      </c>
      <c r="H552" t="s">
        <v>37</v>
      </c>
    </row>
    <row r="553" spans="1:10" x14ac:dyDescent="0.25">
      <c r="A553" s="1">
        <v>49</v>
      </c>
      <c r="B553" t="s">
        <v>19</v>
      </c>
      <c r="C553">
        <v>706</v>
      </c>
      <c r="D553">
        <v>2</v>
      </c>
      <c r="E553" t="s">
        <v>28</v>
      </c>
      <c r="F553" t="s">
        <v>39</v>
      </c>
      <c r="G553" t="str">
        <f>"2026-05-02 17:19:42.722"</f>
        <v>2026-05-02 17:19:42.722</v>
      </c>
      <c r="H553" t="s">
        <v>21</v>
      </c>
      <c r="I553">
        <v>0</v>
      </c>
      <c r="J553" t="s">
        <v>30</v>
      </c>
    </row>
    <row r="554" spans="1:10" x14ac:dyDescent="0.25">
      <c r="A554" s="1">
        <v>50</v>
      </c>
      <c r="B554" t="s">
        <v>38</v>
      </c>
      <c r="C554">
        <v>630</v>
      </c>
      <c r="D554">
        <v>5</v>
      </c>
      <c r="E554" t="s">
        <v>35</v>
      </c>
      <c r="F554" t="s">
        <v>36</v>
      </c>
      <c r="G554" t="str">
        <f>"2026-05-02 17:00:12.534"</f>
        <v>2026-05-02 17:00:12.534</v>
      </c>
      <c r="H554" t="s">
        <v>37</v>
      </c>
      <c r="I554">
        <v>0</v>
      </c>
      <c r="J554" t="s">
        <v>30</v>
      </c>
    </row>
    <row r="555" spans="1:10" x14ac:dyDescent="0.25">
      <c r="A555" s="1">
        <v>51</v>
      </c>
      <c r="B555" t="s">
        <v>23</v>
      </c>
      <c r="C555">
        <v>630</v>
      </c>
      <c r="D555">
        <v>5</v>
      </c>
      <c r="E555" t="s">
        <v>35</v>
      </c>
      <c r="F555" t="s">
        <v>36</v>
      </c>
      <c r="G555" t="str">
        <f>"2026-05-02 12:41:40.334"</f>
        <v>2026-05-02 12:41:40.334</v>
      </c>
      <c r="H555" t="s">
        <v>37</v>
      </c>
    </row>
    <row r="556" spans="1:10" x14ac:dyDescent="0.25">
      <c r="A556" s="1">
        <v>52</v>
      </c>
      <c r="B556" t="s">
        <v>19</v>
      </c>
      <c r="C556">
        <v>706</v>
      </c>
      <c r="D556">
        <v>4</v>
      </c>
      <c r="E556" t="s">
        <v>28</v>
      </c>
      <c r="F556" t="s">
        <v>29</v>
      </c>
      <c r="G556" t="str">
        <f>"2026-05-02 12:41:10.272"</f>
        <v>2026-05-02 12:41:10.272</v>
      </c>
      <c r="H556" t="s">
        <v>21</v>
      </c>
      <c r="I556">
        <v>0</v>
      </c>
      <c r="J556" t="s">
        <v>30</v>
      </c>
    </row>
    <row r="557" spans="1:10" x14ac:dyDescent="0.25">
      <c r="A557" s="1">
        <v>53</v>
      </c>
      <c r="B557" t="s">
        <v>19</v>
      </c>
      <c r="C557">
        <v>706</v>
      </c>
      <c r="D557">
        <v>4</v>
      </c>
      <c r="E557" t="s">
        <v>28</v>
      </c>
      <c r="F557" t="s">
        <v>29</v>
      </c>
      <c r="G557" t="str">
        <f>"2026-05-02 12:40:16.882"</f>
        <v>2026-05-02 12:40:16.882</v>
      </c>
      <c r="H557" t="s">
        <v>21</v>
      </c>
      <c r="I557">
        <v>0</v>
      </c>
      <c r="J557" t="s">
        <v>30</v>
      </c>
    </row>
    <row r="558" spans="1:10" x14ac:dyDescent="0.25">
      <c r="A558" s="1">
        <v>54</v>
      </c>
      <c r="B558" t="s">
        <v>38</v>
      </c>
      <c r="C558">
        <v>630</v>
      </c>
      <c r="D558">
        <v>5</v>
      </c>
      <c r="E558" t="s">
        <v>35</v>
      </c>
      <c r="F558" t="s">
        <v>36</v>
      </c>
      <c r="G558" t="str">
        <f>"2026-05-02 12:08:06.934"</f>
        <v>2026-05-02 12:08:06.934</v>
      </c>
      <c r="H558" t="s">
        <v>37</v>
      </c>
      <c r="I558">
        <v>0</v>
      </c>
      <c r="J558" t="s">
        <v>30</v>
      </c>
    </row>
    <row r="559" spans="1:10" x14ac:dyDescent="0.25">
      <c r="A559" s="1">
        <v>55</v>
      </c>
      <c r="B559" t="s">
        <v>23</v>
      </c>
      <c r="C559">
        <v>630</v>
      </c>
      <c r="D559">
        <v>5</v>
      </c>
      <c r="E559" t="s">
        <v>35</v>
      </c>
      <c r="F559" t="s">
        <v>36</v>
      </c>
      <c r="G559" t="str">
        <f>"2026-05-01 13:58:28.334"</f>
        <v>2026-05-01 13:58:28.334</v>
      </c>
      <c r="H559" t="s">
        <v>37</v>
      </c>
    </row>
    <row r="560" spans="1:10" x14ac:dyDescent="0.25">
      <c r="A560" s="1">
        <v>56</v>
      </c>
      <c r="B560" t="s">
        <v>19</v>
      </c>
      <c r="C560">
        <v>706</v>
      </c>
      <c r="D560">
        <v>4</v>
      </c>
      <c r="E560" t="s">
        <v>28</v>
      </c>
      <c r="F560" t="s">
        <v>29</v>
      </c>
      <c r="G560" t="str">
        <f>"2026-05-01 13:57:58.232"</f>
        <v>2026-05-01 13:57:58.232</v>
      </c>
      <c r="H560" t="s">
        <v>21</v>
      </c>
      <c r="I560">
        <v>0</v>
      </c>
      <c r="J560" t="s">
        <v>30</v>
      </c>
    </row>
    <row r="561" spans="1:10" x14ac:dyDescent="0.25">
      <c r="A561" s="1">
        <v>57</v>
      </c>
      <c r="B561" t="s">
        <v>38</v>
      </c>
      <c r="C561">
        <v>630</v>
      </c>
      <c r="D561">
        <v>5</v>
      </c>
      <c r="E561" t="s">
        <v>35</v>
      </c>
      <c r="F561" t="s">
        <v>36</v>
      </c>
      <c r="G561" t="str">
        <f>"2026-05-01 13:00:25.634"</f>
        <v>2026-05-01 13:00:25.634</v>
      </c>
      <c r="H561" t="s">
        <v>37</v>
      </c>
      <c r="I561">
        <v>0</v>
      </c>
      <c r="J561" t="s">
        <v>30</v>
      </c>
    </row>
    <row r="562" spans="1:10" x14ac:dyDescent="0.25">
      <c r="A562" s="1">
        <v>58</v>
      </c>
      <c r="B562" t="s">
        <v>19</v>
      </c>
      <c r="C562">
        <v>706</v>
      </c>
      <c r="D562">
        <v>4</v>
      </c>
      <c r="E562" t="s">
        <v>28</v>
      </c>
      <c r="F562" t="s">
        <v>29</v>
      </c>
      <c r="G562" t="str">
        <f>"2026-04-30 13:33:32.792"</f>
        <v>2026-04-30 13:33:32.792</v>
      </c>
      <c r="H562" t="s">
        <v>21</v>
      </c>
      <c r="I562">
        <v>0</v>
      </c>
      <c r="J562" t="s">
        <v>30</v>
      </c>
    </row>
    <row r="563" spans="1:10" x14ac:dyDescent="0.25">
      <c r="A563" s="1">
        <v>59</v>
      </c>
      <c r="B563" t="s">
        <v>19</v>
      </c>
      <c r="C563">
        <v>706</v>
      </c>
      <c r="D563">
        <v>4</v>
      </c>
      <c r="E563" t="s">
        <v>28</v>
      </c>
      <c r="F563" t="s">
        <v>29</v>
      </c>
      <c r="G563" t="str">
        <f>"2026-04-30 13:32:25.982"</f>
        <v>2026-04-30 13:32:25.982</v>
      </c>
      <c r="H563" t="s">
        <v>21</v>
      </c>
      <c r="I563">
        <v>0</v>
      </c>
      <c r="J563" t="s">
        <v>30</v>
      </c>
    </row>
    <row r="564" spans="1:10" x14ac:dyDescent="0.25">
      <c r="A564" s="1">
        <v>60</v>
      </c>
      <c r="B564" t="s">
        <v>23</v>
      </c>
      <c r="C564">
        <v>630</v>
      </c>
      <c r="D564">
        <v>5</v>
      </c>
      <c r="E564" t="s">
        <v>35</v>
      </c>
      <c r="F564" t="s">
        <v>36</v>
      </c>
      <c r="G564" t="str">
        <f>"2026-04-30 13:02:56.334"</f>
        <v>2026-04-30 13:02:56.334</v>
      </c>
      <c r="H564" t="s">
        <v>37</v>
      </c>
    </row>
    <row r="565" spans="1:10" x14ac:dyDescent="0.25">
      <c r="A565" s="1">
        <v>61</v>
      </c>
      <c r="B565" t="s">
        <v>38</v>
      </c>
      <c r="C565">
        <v>630</v>
      </c>
      <c r="D565">
        <v>5</v>
      </c>
      <c r="E565" t="s">
        <v>35</v>
      </c>
      <c r="F565" t="s">
        <v>36</v>
      </c>
      <c r="G565" t="str">
        <f>"2026-04-30 12:48:42.934"</f>
        <v>2026-04-30 12:48:42.934</v>
      </c>
      <c r="H565" t="s">
        <v>37</v>
      </c>
      <c r="I565">
        <v>0</v>
      </c>
      <c r="J565" t="s">
        <v>30</v>
      </c>
    </row>
    <row r="566" spans="1:10" s="3" customFormat="1" x14ac:dyDescent="0.25">
      <c r="A566" s="2">
        <v>62</v>
      </c>
      <c r="B566" s="3" t="s">
        <v>23</v>
      </c>
      <c r="C566" s="3">
        <v>647</v>
      </c>
      <c r="D566" s="3">
        <v>1</v>
      </c>
      <c r="E566" s="3" t="s">
        <v>24</v>
      </c>
      <c r="F566" s="3" t="s">
        <v>25</v>
      </c>
      <c r="G566" s="3" t="str">
        <f>"2026-04-29 14:40:59.134"</f>
        <v>2026-04-29 14:40:59.134</v>
      </c>
      <c r="H566" s="3" t="s">
        <v>21</v>
      </c>
    </row>
    <row r="567" spans="1:10" s="3" customFormat="1" x14ac:dyDescent="0.25">
      <c r="A567" s="2">
        <v>63</v>
      </c>
      <c r="B567" s="3" t="s">
        <v>26</v>
      </c>
      <c r="C567" s="3">
        <v>647</v>
      </c>
      <c r="D567" s="3">
        <v>1</v>
      </c>
      <c r="E567" s="3" t="s">
        <v>24</v>
      </c>
      <c r="F567" s="3" t="s">
        <v>25</v>
      </c>
      <c r="G567" s="3" t="str">
        <f>"2026-04-29 14:40:56.634"</f>
        <v>2026-04-29 14:40:56.634</v>
      </c>
      <c r="H567" s="3" t="s">
        <v>21</v>
      </c>
      <c r="I567" s="3">
        <v>8.23</v>
      </c>
      <c r="J567" s="3" t="s">
        <v>27</v>
      </c>
    </row>
    <row r="568" spans="1:10" x14ac:dyDescent="0.25">
      <c r="A568" s="1">
        <v>64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"2026-04-29 13:44:38.222"</f>
        <v>2026-04-29 13:44:38.222</v>
      </c>
      <c r="H568" t="s">
        <v>21</v>
      </c>
    </row>
    <row r="569" spans="1:10" x14ac:dyDescent="0.25">
      <c r="A569" s="1">
        <v>65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"2026-04-28 19:59:28.220"</f>
        <v>2026-04-28 19:59:28.220</v>
      </c>
      <c r="H569" t="s">
        <v>21</v>
      </c>
      <c r="I569">
        <v>0</v>
      </c>
      <c r="J569" t="s">
        <v>22</v>
      </c>
    </row>
    <row r="570" spans="1:10" x14ac:dyDescent="0.25">
      <c r="A570" s="1">
        <v>66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"2026-04-28 19:35:26.244"</f>
        <v>2026-04-28 19:35:26.244</v>
      </c>
      <c r="H570" t="s">
        <v>21</v>
      </c>
      <c r="I570">
        <v>0</v>
      </c>
      <c r="J570" t="s">
        <v>22</v>
      </c>
    </row>
    <row r="571" spans="1:10" x14ac:dyDescent="0.25">
      <c r="A571" s="1">
        <v>67</v>
      </c>
      <c r="B571" t="s">
        <v>23</v>
      </c>
      <c r="C571">
        <v>630</v>
      </c>
      <c r="D571">
        <v>5</v>
      </c>
      <c r="E571" t="s">
        <v>35</v>
      </c>
      <c r="F571" t="s">
        <v>36</v>
      </c>
      <c r="G571" t="str">
        <f>"2026-04-28 14:35:52.718"</f>
        <v>2026-04-28 14:35:52.718</v>
      </c>
      <c r="H571" t="s">
        <v>37</v>
      </c>
    </row>
    <row r="572" spans="1:10" x14ac:dyDescent="0.25">
      <c r="A572" s="1">
        <v>68</v>
      </c>
      <c r="B572" t="s">
        <v>19</v>
      </c>
      <c r="C572">
        <v>706</v>
      </c>
      <c r="D572">
        <v>4</v>
      </c>
      <c r="E572" t="s">
        <v>28</v>
      </c>
      <c r="F572" t="s">
        <v>29</v>
      </c>
      <c r="G572" t="str">
        <f>"2026-04-28 14:35:22.606"</f>
        <v>2026-04-28 14:35:22.606</v>
      </c>
      <c r="H572" t="s">
        <v>21</v>
      </c>
      <c r="I572">
        <v>0</v>
      </c>
      <c r="J572" t="s">
        <v>30</v>
      </c>
    </row>
    <row r="573" spans="1:10" x14ac:dyDescent="0.25">
      <c r="A573" s="1">
        <v>69</v>
      </c>
      <c r="B573" t="s">
        <v>38</v>
      </c>
      <c r="C573">
        <v>630</v>
      </c>
      <c r="D573">
        <v>5</v>
      </c>
      <c r="E573" t="s">
        <v>35</v>
      </c>
      <c r="F573" t="s">
        <v>36</v>
      </c>
      <c r="G573" t="str">
        <f>"2026-04-28 14:19:44.018"</f>
        <v>2026-04-28 14:19:44.018</v>
      </c>
      <c r="H573" t="s">
        <v>37</v>
      </c>
      <c r="I573">
        <v>0</v>
      </c>
      <c r="J573" t="s">
        <v>30</v>
      </c>
    </row>
    <row r="574" spans="1:10" x14ac:dyDescent="0.25">
      <c r="A574" s="1">
        <v>70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"2026-04-28 14:14:41.246"</f>
        <v>2026-04-28 14:14:41.246</v>
      </c>
      <c r="H574" t="s">
        <v>21</v>
      </c>
      <c r="I574">
        <v>0</v>
      </c>
      <c r="J574" t="s">
        <v>22</v>
      </c>
    </row>
    <row r="575" spans="1:10" x14ac:dyDescent="0.25">
      <c r="A575" s="1">
        <v>71</v>
      </c>
      <c r="B575" t="s">
        <v>38</v>
      </c>
      <c r="C575">
        <v>630</v>
      </c>
      <c r="D575">
        <v>5</v>
      </c>
      <c r="E575" t="s">
        <v>35</v>
      </c>
      <c r="F575" t="s">
        <v>36</v>
      </c>
      <c r="G575" t="str">
        <f>"2026-04-28 11:09:58.793"</f>
        <v>2026-04-28 11:09:58.793</v>
      </c>
      <c r="H575" t="s">
        <v>37</v>
      </c>
      <c r="I575">
        <v>0</v>
      </c>
      <c r="J575" t="s">
        <v>30</v>
      </c>
    </row>
    <row r="576" spans="1:10" x14ac:dyDescent="0.25">
      <c r="A576" s="1">
        <v>72</v>
      </c>
      <c r="B576" t="s">
        <v>19</v>
      </c>
      <c r="C576">
        <v>706</v>
      </c>
      <c r="D576">
        <v>2</v>
      </c>
      <c r="E576" t="s">
        <v>28</v>
      </c>
      <c r="F576" t="s">
        <v>39</v>
      </c>
      <c r="G576" t="str">
        <f>"2026-04-28 10:50:17.311"</f>
        <v>2026-04-28 10:50:17.311</v>
      </c>
      <c r="H576" t="s">
        <v>21</v>
      </c>
      <c r="I576">
        <v>0</v>
      </c>
      <c r="J576" t="s">
        <v>30</v>
      </c>
    </row>
    <row r="577" spans="1:10" x14ac:dyDescent="0.25">
      <c r="A577" s="1">
        <v>73</v>
      </c>
      <c r="B577" t="s">
        <v>19</v>
      </c>
      <c r="C577">
        <v>706</v>
      </c>
      <c r="D577">
        <v>4</v>
      </c>
      <c r="E577" t="s">
        <v>28</v>
      </c>
      <c r="F577" t="s">
        <v>29</v>
      </c>
      <c r="G577" t="str">
        <f>"2026-04-28 10:41:29.241"</f>
        <v>2026-04-28 10:41:29.241</v>
      </c>
      <c r="H577" t="s">
        <v>21</v>
      </c>
      <c r="I577">
        <v>0</v>
      </c>
      <c r="J577" t="s">
        <v>30</v>
      </c>
    </row>
    <row r="578" spans="1:10" x14ac:dyDescent="0.25">
      <c r="A578" s="1">
        <v>74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"2026-04-28 10:39:12.391"</f>
        <v>2026-04-28 10:39:12.391</v>
      </c>
      <c r="H578" t="s">
        <v>21</v>
      </c>
      <c r="I578">
        <v>0</v>
      </c>
      <c r="J578" t="s">
        <v>22</v>
      </c>
    </row>
    <row r="579" spans="1:10" x14ac:dyDescent="0.25">
      <c r="A579" s="1">
        <v>75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"2026-04-26 03:09:03.309"</f>
        <v>2026-04-26 03:09:03.309</v>
      </c>
      <c r="H579" t="s">
        <v>21</v>
      </c>
    </row>
    <row r="580" spans="1:10" x14ac:dyDescent="0.25">
      <c r="A580" s="1">
        <v>76</v>
      </c>
      <c r="B580" t="s">
        <v>23</v>
      </c>
      <c r="C580">
        <v>630</v>
      </c>
      <c r="D580">
        <v>5</v>
      </c>
      <c r="E580" t="s">
        <v>35</v>
      </c>
      <c r="F580" t="s">
        <v>36</v>
      </c>
      <c r="G580" t="str">
        <f>"2026-04-26 02:27:46.287"</f>
        <v>2026-04-26 02:27:46.287</v>
      </c>
      <c r="H580" t="s">
        <v>37</v>
      </c>
    </row>
    <row r="581" spans="1:10" x14ac:dyDescent="0.25">
      <c r="A581" s="1">
        <v>77</v>
      </c>
      <c r="B581" t="s">
        <v>19</v>
      </c>
      <c r="C581">
        <v>706</v>
      </c>
      <c r="D581">
        <v>4</v>
      </c>
      <c r="E581" t="s">
        <v>28</v>
      </c>
      <c r="F581" t="s">
        <v>29</v>
      </c>
      <c r="G581" t="str">
        <f>"2026-04-26 02:27:16.181"</f>
        <v>2026-04-26 02:27:16.181</v>
      </c>
      <c r="H581" t="s">
        <v>21</v>
      </c>
      <c r="I581">
        <v>0</v>
      </c>
      <c r="J581" t="s">
        <v>30</v>
      </c>
    </row>
    <row r="582" spans="1:10" x14ac:dyDescent="0.25">
      <c r="A582" s="1">
        <v>78</v>
      </c>
      <c r="B582" t="s">
        <v>38</v>
      </c>
      <c r="C582">
        <v>630</v>
      </c>
      <c r="D582">
        <v>5</v>
      </c>
      <c r="E582" t="s">
        <v>35</v>
      </c>
      <c r="F582" t="s">
        <v>36</v>
      </c>
      <c r="G582" t="str">
        <f>"2026-04-26 02:26:15.187"</f>
        <v>2026-04-26 02:26:15.187</v>
      </c>
      <c r="H582" t="s">
        <v>37</v>
      </c>
      <c r="I582">
        <v>0</v>
      </c>
      <c r="J582" t="s">
        <v>30</v>
      </c>
    </row>
    <row r="583" spans="1:10" x14ac:dyDescent="0.25">
      <c r="A583" s="1">
        <v>79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"2026-04-26 02:21:12.231"</f>
        <v>2026-04-26 02:21:12.231</v>
      </c>
      <c r="H583" t="s">
        <v>21</v>
      </c>
      <c r="I583">
        <v>0</v>
      </c>
      <c r="J583" t="s">
        <v>22</v>
      </c>
    </row>
    <row r="584" spans="1:10" x14ac:dyDescent="0.25">
      <c r="A584" s="1">
        <v>80</v>
      </c>
      <c r="B584" t="s">
        <v>19</v>
      </c>
      <c r="C584">
        <v>706</v>
      </c>
      <c r="D584">
        <v>4</v>
      </c>
      <c r="E584" t="s">
        <v>28</v>
      </c>
      <c r="F584" t="s">
        <v>29</v>
      </c>
      <c r="G584" t="str">
        <f>"2026-04-25 20:09:58.472"</f>
        <v>2026-04-25 20:09:58.472</v>
      </c>
      <c r="H584" t="s">
        <v>21</v>
      </c>
      <c r="I584">
        <v>0</v>
      </c>
      <c r="J584" t="s">
        <v>30</v>
      </c>
    </row>
    <row r="585" spans="1:10" x14ac:dyDescent="0.25">
      <c r="A585" s="1">
        <v>81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"2026-04-25 20:09:43.222"</f>
        <v>2026-04-25 20:09:43.222</v>
      </c>
      <c r="H585" t="s">
        <v>21</v>
      </c>
      <c r="I585">
        <v>0</v>
      </c>
      <c r="J585" t="s">
        <v>22</v>
      </c>
    </row>
    <row r="586" spans="1:10" x14ac:dyDescent="0.25">
      <c r="A586" s="1">
        <v>82</v>
      </c>
      <c r="B586" t="s">
        <v>19</v>
      </c>
      <c r="C586">
        <v>706</v>
      </c>
      <c r="D586">
        <v>4</v>
      </c>
      <c r="E586" t="s">
        <v>28</v>
      </c>
      <c r="F586" t="s">
        <v>29</v>
      </c>
      <c r="G586" t="str">
        <f>"2026-04-25 16:59:27.350"</f>
        <v>2026-04-25 16:59:27.350</v>
      </c>
      <c r="H586" t="s">
        <v>21</v>
      </c>
      <c r="I586">
        <v>0</v>
      </c>
      <c r="J586" t="s">
        <v>30</v>
      </c>
    </row>
    <row r="587" spans="1:10" x14ac:dyDescent="0.25">
      <c r="A587" s="1">
        <v>83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"2026-04-25 16:59:04.240"</f>
        <v>2026-04-25 16:59:04.240</v>
      </c>
      <c r="H587" t="s">
        <v>21</v>
      </c>
      <c r="I587">
        <v>0</v>
      </c>
      <c r="J587" t="s">
        <v>22</v>
      </c>
    </row>
    <row r="588" spans="1:10" x14ac:dyDescent="0.25">
      <c r="A588" s="1">
        <v>84</v>
      </c>
      <c r="B588" t="s">
        <v>23</v>
      </c>
      <c r="C588">
        <v>630</v>
      </c>
      <c r="D588">
        <v>5</v>
      </c>
      <c r="E588" t="s">
        <v>35</v>
      </c>
      <c r="F588" t="s">
        <v>36</v>
      </c>
      <c r="G588" t="str">
        <f>"2026-04-25 13:52:37.030"</f>
        <v>2026-04-25 13:52:37.030</v>
      </c>
      <c r="H588" t="s">
        <v>37</v>
      </c>
    </row>
    <row r="589" spans="1:10" x14ac:dyDescent="0.25">
      <c r="A589" s="1">
        <v>85</v>
      </c>
      <c r="B589" t="s">
        <v>19</v>
      </c>
      <c r="C589">
        <v>706</v>
      </c>
      <c r="D589">
        <v>4</v>
      </c>
      <c r="E589" t="s">
        <v>28</v>
      </c>
      <c r="F589" t="s">
        <v>29</v>
      </c>
      <c r="G589" t="str">
        <f>"2026-04-25 13:52:06.913"</f>
        <v>2026-04-25 13:52:06.913</v>
      </c>
      <c r="H589" t="s">
        <v>21</v>
      </c>
      <c r="I589">
        <v>0</v>
      </c>
      <c r="J589" t="s">
        <v>30</v>
      </c>
    </row>
    <row r="590" spans="1:10" x14ac:dyDescent="0.25">
      <c r="A590" s="1">
        <v>86</v>
      </c>
      <c r="B590" t="s">
        <v>38</v>
      </c>
      <c r="C590">
        <v>630</v>
      </c>
      <c r="D590">
        <v>5</v>
      </c>
      <c r="E590" t="s">
        <v>35</v>
      </c>
      <c r="F590" t="s">
        <v>36</v>
      </c>
      <c r="G590" t="str">
        <f>"2026-04-25 13:35:10.630"</f>
        <v>2026-04-25 13:35:10.630</v>
      </c>
      <c r="H590" t="s">
        <v>37</v>
      </c>
      <c r="I590">
        <v>0</v>
      </c>
      <c r="J590" t="s">
        <v>30</v>
      </c>
    </row>
    <row r="591" spans="1:10" x14ac:dyDescent="0.25">
      <c r="A591" s="1">
        <v>87</v>
      </c>
      <c r="B591" t="s">
        <v>23</v>
      </c>
      <c r="C591">
        <v>630</v>
      </c>
      <c r="D591">
        <v>5</v>
      </c>
      <c r="E591" t="s">
        <v>35</v>
      </c>
      <c r="F591" t="s">
        <v>36</v>
      </c>
      <c r="G591" t="str">
        <f>"2026-04-25 08:23:02.730"</f>
        <v>2026-04-25 08:23:02.730</v>
      </c>
      <c r="H591" t="s">
        <v>37</v>
      </c>
    </row>
    <row r="592" spans="1:10" x14ac:dyDescent="0.25">
      <c r="A592" s="1">
        <v>88</v>
      </c>
      <c r="B592" t="s">
        <v>40</v>
      </c>
      <c r="C592">
        <v>48</v>
      </c>
      <c r="D592">
        <v>1</v>
      </c>
      <c r="E592" t="s">
        <v>48</v>
      </c>
      <c r="F592" t="s">
        <v>49</v>
      </c>
      <c r="G592" t="str">
        <f>"2026-04-25 08:22:47.008"</f>
        <v>2026-04-25 08:22:47.008</v>
      </c>
      <c r="H592" t="s">
        <v>50</v>
      </c>
    </row>
    <row r="593" spans="1:10" x14ac:dyDescent="0.25">
      <c r="A593" s="1">
        <v>89</v>
      </c>
      <c r="B593" t="s">
        <v>38</v>
      </c>
      <c r="C593">
        <v>48</v>
      </c>
      <c r="D593">
        <v>1</v>
      </c>
      <c r="E593" t="s">
        <v>48</v>
      </c>
      <c r="F593" t="s">
        <v>49</v>
      </c>
      <c r="G593" t="str">
        <f>"2026-04-25 08:22:41.967"</f>
        <v>2026-04-25 08:22:41.967</v>
      </c>
      <c r="H593" t="s">
        <v>50</v>
      </c>
      <c r="I593">
        <v>0</v>
      </c>
      <c r="J593" t="s">
        <v>30</v>
      </c>
    </row>
    <row r="594" spans="1:10" x14ac:dyDescent="0.25">
      <c r="A594" s="1">
        <v>90</v>
      </c>
      <c r="B594" t="s">
        <v>19</v>
      </c>
      <c r="C594">
        <v>706</v>
      </c>
      <c r="D594">
        <v>4</v>
      </c>
      <c r="E594" t="s">
        <v>28</v>
      </c>
      <c r="F594" t="s">
        <v>29</v>
      </c>
      <c r="G594" t="str">
        <f>"2026-04-25 08:22:32.633"</f>
        <v>2026-04-25 08:22:32.633</v>
      </c>
      <c r="H594" t="s">
        <v>21</v>
      </c>
      <c r="I594">
        <v>0</v>
      </c>
      <c r="J594" t="s">
        <v>30</v>
      </c>
    </row>
    <row r="595" spans="1:10" x14ac:dyDescent="0.25">
      <c r="A595" s="1">
        <v>91</v>
      </c>
      <c r="B595" t="s">
        <v>38</v>
      </c>
      <c r="C595">
        <v>630</v>
      </c>
      <c r="D595">
        <v>5</v>
      </c>
      <c r="E595" t="s">
        <v>35</v>
      </c>
      <c r="F595" t="s">
        <v>36</v>
      </c>
      <c r="G595" t="str">
        <f>"2026-04-25 08:16:37.030"</f>
        <v>2026-04-25 08:16:37.030</v>
      </c>
      <c r="H595" t="s">
        <v>37</v>
      </c>
      <c r="I595">
        <v>0</v>
      </c>
      <c r="J595" t="s">
        <v>30</v>
      </c>
    </row>
    <row r="596" spans="1:10" x14ac:dyDescent="0.25">
      <c r="A596" s="1">
        <v>92</v>
      </c>
      <c r="B596" t="s">
        <v>23</v>
      </c>
      <c r="C596">
        <v>631</v>
      </c>
      <c r="D596">
        <v>2</v>
      </c>
      <c r="E596" t="s">
        <v>51</v>
      </c>
      <c r="F596" t="s">
        <v>52</v>
      </c>
      <c r="G596" t="str">
        <f>"2026-04-25 03:59:27.929"</f>
        <v>2026-04-25 03:59:27.929</v>
      </c>
      <c r="H596" t="s">
        <v>21</v>
      </c>
    </row>
    <row r="597" spans="1:10" x14ac:dyDescent="0.25">
      <c r="A597" s="1">
        <v>93</v>
      </c>
      <c r="B597" t="s">
        <v>26</v>
      </c>
      <c r="C597">
        <v>631</v>
      </c>
      <c r="D597">
        <v>2</v>
      </c>
      <c r="E597" t="s">
        <v>51</v>
      </c>
      <c r="F597" t="s">
        <v>52</v>
      </c>
      <c r="G597" t="str">
        <f>"2026-04-25 03:37:54.629"</f>
        <v>2026-04-25 03:37:54.629</v>
      </c>
      <c r="H597" t="s">
        <v>21</v>
      </c>
      <c r="I597">
        <v>0</v>
      </c>
      <c r="J597" t="s">
        <v>30</v>
      </c>
    </row>
    <row r="598" spans="1:10" x14ac:dyDescent="0.25">
      <c r="A598" s="1">
        <v>94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"2026-04-25 03:37:41.213"</f>
        <v>2026-04-25 03:37:41.213</v>
      </c>
      <c r="H598" t="s">
        <v>21</v>
      </c>
    </row>
    <row r="599" spans="1:10" x14ac:dyDescent="0.25">
      <c r="A599" s="1">
        <v>95</v>
      </c>
      <c r="B599" t="s">
        <v>23</v>
      </c>
      <c r="C599">
        <v>630</v>
      </c>
      <c r="D599">
        <v>5</v>
      </c>
      <c r="E599" t="s">
        <v>35</v>
      </c>
      <c r="F599" t="s">
        <v>36</v>
      </c>
      <c r="G599" t="str">
        <f>"2026-04-24 13:48:55.274"</f>
        <v>2026-04-24 13:48:55.274</v>
      </c>
      <c r="H599" t="s">
        <v>37</v>
      </c>
    </row>
    <row r="600" spans="1:10" x14ac:dyDescent="0.25">
      <c r="A600" s="1">
        <v>96</v>
      </c>
      <c r="B600" t="s">
        <v>19</v>
      </c>
      <c r="C600">
        <v>706</v>
      </c>
      <c r="D600">
        <v>4</v>
      </c>
      <c r="E600" t="s">
        <v>28</v>
      </c>
      <c r="F600" t="s">
        <v>29</v>
      </c>
      <c r="G600" t="str">
        <f>"2026-04-24 13:48:25.180"</f>
        <v>2026-04-24 13:48:25.180</v>
      </c>
      <c r="H600" t="s">
        <v>21</v>
      </c>
      <c r="I600">
        <v>0</v>
      </c>
      <c r="J600" t="s">
        <v>30</v>
      </c>
    </row>
    <row r="601" spans="1:10" x14ac:dyDescent="0.25">
      <c r="A601" s="1">
        <v>97</v>
      </c>
      <c r="B601" t="s">
        <v>38</v>
      </c>
      <c r="C601">
        <v>630</v>
      </c>
      <c r="D601">
        <v>5</v>
      </c>
      <c r="E601" t="s">
        <v>35</v>
      </c>
      <c r="F601" t="s">
        <v>36</v>
      </c>
      <c r="G601" t="str">
        <f>"2026-04-24 13:20:50.474"</f>
        <v>2026-04-24 13:20:50.474</v>
      </c>
      <c r="H601" t="s">
        <v>37</v>
      </c>
      <c r="I601">
        <v>0</v>
      </c>
      <c r="J601" t="s">
        <v>30</v>
      </c>
    </row>
    <row r="602" spans="1:10" x14ac:dyDescent="0.25">
      <c r="A602" s="1">
        <v>98</v>
      </c>
      <c r="B602" t="s">
        <v>23</v>
      </c>
      <c r="C602">
        <v>635</v>
      </c>
      <c r="D602">
        <v>1</v>
      </c>
      <c r="E602" t="s">
        <v>31</v>
      </c>
      <c r="F602" t="s">
        <v>32</v>
      </c>
      <c r="G602" t="str">
        <f>"2026-04-24 00:41:47.120"</f>
        <v>2026-04-24 00:41:47.120</v>
      </c>
      <c r="H602" t="s">
        <v>21</v>
      </c>
    </row>
    <row r="603" spans="1:10" x14ac:dyDescent="0.25">
      <c r="A603" s="1">
        <v>99</v>
      </c>
      <c r="B603" t="s">
        <v>26</v>
      </c>
      <c r="C603">
        <v>635</v>
      </c>
      <c r="D603">
        <v>1</v>
      </c>
      <c r="E603" t="s">
        <v>31</v>
      </c>
      <c r="F603" t="s">
        <v>32</v>
      </c>
      <c r="G603" t="str">
        <f>"2026-04-24 00:35:09.620"</f>
        <v>2026-04-24 00:35:09.620</v>
      </c>
      <c r="H603" t="s">
        <v>21</v>
      </c>
      <c r="I603">
        <v>9.65</v>
      </c>
      <c r="J603" t="s">
        <v>27</v>
      </c>
    </row>
    <row r="604" spans="1:10" x14ac:dyDescent="0.25">
      <c r="A604" s="1">
        <v>0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"2026-04-23 14:09:06.340"</f>
        <v>2026-04-23 14:09:06.340</v>
      </c>
      <c r="H604" t="s">
        <v>21</v>
      </c>
    </row>
    <row r="605" spans="1:10" x14ac:dyDescent="0.25">
      <c r="A605" s="1">
        <v>1</v>
      </c>
      <c r="B605" t="s">
        <v>23</v>
      </c>
      <c r="C605">
        <v>635</v>
      </c>
      <c r="D605">
        <v>1</v>
      </c>
      <c r="E605" t="s">
        <v>31</v>
      </c>
      <c r="F605" t="s">
        <v>32</v>
      </c>
      <c r="G605" t="str">
        <f>"2026-04-23 06:01:43.363"</f>
        <v>2026-04-23 06:01:43.363</v>
      </c>
      <c r="H605" t="s">
        <v>21</v>
      </c>
    </row>
    <row r="606" spans="1:10" x14ac:dyDescent="0.25">
      <c r="A606" s="1">
        <v>2</v>
      </c>
      <c r="B606" t="s">
        <v>26</v>
      </c>
      <c r="C606">
        <v>635</v>
      </c>
      <c r="D606">
        <v>1</v>
      </c>
      <c r="E606" t="s">
        <v>31</v>
      </c>
      <c r="F606" t="s">
        <v>32</v>
      </c>
      <c r="G606" t="str">
        <f>"2026-04-23 05:57:45.863"</f>
        <v>2026-04-23 05:57:45.863</v>
      </c>
      <c r="H606" t="s">
        <v>21</v>
      </c>
      <c r="I606">
        <v>5</v>
      </c>
      <c r="J606" t="s">
        <v>33</v>
      </c>
    </row>
    <row r="607" spans="1:10" x14ac:dyDescent="0.25">
      <c r="A607" s="1">
        <v>3</v>
      </c>
      <c r="B607" t="s">
        <v>19</v>
      </c>
      <c r="C607">
        <v>706</v>
      </c>
      <c r="D607">
        <v>4</v>
      </c>
      <c r="E607" t="s">
        <v>28</v>
      </c>
      <c r="F607" t="s">
        <v>29</v>
      </c>
      <c r="G607" t="str">
        <f>"2026-04-23 01:48:20.830"</f>
        <v>2026-04-23 01:48:20.830</v>
      </c>
      <c r="H607" t="s">
        <v>21</v>
      </c>
      <c r="I607">
        <v>0</v>
      </c>
      <c r="J607" t="s">
        <v>30</v>
      </c>
    </row>
    <row r="608" spans="1:10" x14ac:dyDescent="0.25">
      <c r="A608" s="1">
        <v>4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"2026-04-23 01:48:06.390"</f>
        <v>2026-04-23 01:48:06.390</v>
      </c>
      <c r="H608" t="s">
        <v>21</v>
      </c>
    </row>
    <row r="609" spans="1:10" s="3" customFormat="1" x14ac:dyDescent="0.25">
      <c r="A609" s="2">
        <v>5</v>
      </c>
      <c r="B609" s="3" t="s">
        <v>23</v>
      </c>
      <c r="C609" s="3">
        <v>647</v>
      </c>
      <c r="D609" s="3">
        <v>1</v>
      </c>
      <c r="E609" s="3" t="s">
        <v>24</v>
      </c>
      <c r="F609" s="3" t="s">
        <v>25</v>
      </c>
      <c r="G609" s="3" t="str">
        <f>"2026-04-22 15:36:09.931"</f>
        <v>2026-04-22 15:36:09.931</v>
      </c>
      <c r="H609" s="3" t="s">
        <v>21</v>
      </c>
    </row>
    <row r="610" spans="1:10" s="3" customFormat="1" x14ac:dyDescent="0.25">
      <c r="A610" s="2">
        <v>6</v>
      </c>
      <c r="B610" s="3" t="s">
        <v>26</v>
      </c>
      <c r="C610" s="3">
        <v>647</v>
      </c>
      <c r="D610" s="3">
        <v>1</v>
      </c>
      <c r="E610" s="3" t="s">
        <v>24</v>
      </c>
      <c r="F610" s="3" t="s">
        <v>25</v>
      </c>
      <c r="G610" s="3" t="str">
        <f>"2026-04-22 15:36:03.231"</f>
        <v>2026-04-22 15:36:03.231</v>
      </c>
      <c r="H610" s="3" t="s">
        <v>21</v>
      </c>
      <c r="I610" s="3">
        <v>10.28</v>
      </c>
      <c r="J610" s="3" t="s">
        <v>27</v>
      </c>
    </row>
    <row r="611" spans="1:10" x14ac:dyDescent="0.25">
      <c r="A611" s="1">
        <v>7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"2026-04-22 14:23:42.218"</f>
        <v>2026-04-22 14:23:42.218</v>
      </c>
      <c r="H611" t="s">
        <v>21</v>
      </c>
      <c r="I611">
        <v>0</v>
      </c>
      <c r="J611" t="s">
        <v>22</v>
      </c>
    </row>
    <row r="612" spans="1:10" x14ac:dyDescent="0.25">
      <c r="A612" s="1">
        <v>8</v>
      </c>
      <c r="B612" t="s">
        <v>23</v>
      </c>
      <c r="C612">
        <v>630</v>
      </c>
      <c r="D612">
        <v>5</v>
      </c>
      <c r="E612" t="s">
        <v>35</v>
      </c>
      <c r="F612" t="s">
        <v>36</v>
      </c>
      <c r="G612" t="str">
        <f>"2026-04-22 13:07:52.352"</f>
        <v>2026-04-22 13:07:52.352</v>
      </c>
      <c r="H612" t="s">
        <v>37</v>
      </c>
    </row>
    <row r="613" spans="1:10" x14ac:dyDescent="0.25">
      <c r="A613" s="1">
        <v>9</v>
      </c>
      <c r="B613" t="s">
        <v>19</v>
      </c>
      <c r="C613">
        <v>706</v>
      </c>
      <c r="D613">
        <v>4</v>
      </c>
      <c r="E613" t="s">
        <v>28</v>
      </c>
      <c r="F613" t="s">
        <v>29</v>
      </c>
      <c r="G613" t="str">
        <f>"2026-04-22 13:07:22.240"</f>
        <v>2026-04-22 13:07:22.240</v>
      </c>
      <c r="H613" t="s">
        <v>21</v>
      </c>
      <c r="I613">
        <v>0</v>
      </c>
      <c r="J613" t="s">
        <v>30</v>
      </c>
    </row>
    <row r="614" spans="1:10" x14ac:dyDescent="0.25">
      <c r="A614" s="1">
        <v>10</v>
      </c>
      <c r="B614" t="s">
        <v>38</v>
      </c>
      <c r="C614">
        <v>630</v>
      </c>
      <c r="D614">
        <v>5</v>
      </c>
      <c r="E614" t="s">
        <v>35</v>
      </c>
      <c r="F614" t="s">
        <v>36</v>
      </c>
      <c r="G614" t="str">
        <f>"2026-04-22 12:47:55.052"</f>
        <v>2026-04-22 12:47:55.052</v>
      </c>
      <c r="H614" t="s">
        <v>37</v>
      </c>
      <c r="I614">
        <v>0</v>
      </c>
      <c r="J614" t="s">
        <v>30</v>
      </c>
    </row>
    <row r="615" spans="1:10" x14ac:dyDescent="0.25">
      <c r="A615" s="1">
        <v>11</v>
      </c>
      <c r="B615" t="s">
        <v>23</v>
      </c>
      <c r="C615">
        <v>630</v>
      </c>
      <c r="D615">
        <v>5</v>
      </c>
      <c r="E615" t="s">
        <v>35</v>
      </c>
      <c r="F615" t="s">
        <v>36</v>
      </c>
      <c r="G615" t="str">
        <f>"2026-04-22 12:06:04.052"</f>
        <v>2026-04-22 12:06:04.052</v>
      </c>
      <c r="H615" t="s">
        <v>37</v>
      </c>
    </row>
    <row r="616" spans="1:10" x14ac:dyDescent="0.25">
      <c r="A616" s="1">
        <v>12</v>
      </c>
      <c r="B616" t="s">
        <v>19</v>
      </c>
      <c r="C616">
        <v>706</v>
      </c>
      <c r="D616">
        <v>4</v>
      </c>
      <c r="E616" t="s">
        <v>28</v>
      </c>
      <c r="F616" t="s">
        <v>29</v>
      </c>
      <c r="G616" t="str">
        <f>"2026-04-22 12:05:33.970"</f>
        <v>2026-04-22 12:05:33.970</v>
      </c>
      <c r="H616" t="s">
        <v>21</v>
      </c>
      <c r="I616">
        <v>0</v>
      </c>
      <c r="J616" t="s">
        <v>30</v>
      </c>
    </row>
    <row r="617" spans="1:10" x14ac:dyDescent="0.25">
      <c r="A617" s="1">
        <v>13</v>
      </c>
      <c r="B617" t="s">
        <v>38</v>
      </c>
      <c r="C617">
        <v>630</v>
      </c>
      <c r="D617">
        <v>5</v>
      </c>
      <c r="E617" t="s">
        <v>35</v>
      </c>
      <c r="F617" t="s">
        <v>36</v>
      </c>
      <c r="G617" t="str">
        <f>"2026-04-22 11:51:37.053"</f>
        <v>2026-04-22 11:51:37.053</v>
      </c>
      <c r="H617" t="s">
        <v>37</v>
      </c>
      <c r="I617">
        <v>0</v>
      </c>
      <c r="J617" t="s">
        <v>30</v>
      </c>
    </row>
    <row r="618" spans="1:10" x14ac:dyDescent="0.25">
      <c r="A618" s="1">
        <v>14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"2026-04-22 11:46:34.230"</f>
        <v>2026-04-22 11:46:34.230</v>
      </c>
      <c r="H618" t="s">
        <v>21</v>
      </c>
      <c r="I618">
        <v>0</v>
      </c>
      <c r="J618" t="s">
        <v>22</v>
      </c>
    </row>
    <row r="619" spans="1:10" x14ac:dyDescent="0.25">
      <c r="A619" s="1">
        <v>16</v>
      </c>
      <c r="B619" t="s">
        <v>23</v>
      </c>
      <c r="C619">
        <v>630</v>
      </c>
      <c r="D619">
        <v>5</v>
      </c>
      <c r="E619" t="s">
        <v>35</v>
      </c>
      <c r="F619" t="s">
        <v>36</v>
      </c>
      <c r="G619" t="str">
        <f>"2026-04-22 08:35:11.853"</f>
        <v>2026-04-22 08:35:11.853</v>
      </c>
      <c r="H619" t="s">
        <v>37</v>
      </c>
    </row>
    <row r="620" spans="1:10" x14ac:dyDescent="0.25">
      <c r="A620" s="1">
        <v>17</v>
      </c>
      <c r="B620" t="s">
        <v>19</v>
      </c>
      <c r="C620">
        <v>706</v>
      </c>
      <c r="D620">
        <v>4</v>
      </c>
      <c r="E620" t="s">
        <v>28</v>
      </c>
      <c r="F620" t="s">
        <v>29</v>
      </c>
      <c r="G620" t="str">
        <f>"2026-04-22 08:34:41.814"</f>
        <v>2026-04-22 08:34:41.814</v>
      </c>
      <c r="H620" t="s">
        <v>21</v>
      </c>
      <c r="I620">
        <v>0</v>
      </c>
      <c r="J620" t="s">
        <v>30</v>
      </c>
    </row>
    <row r="621" spans="1:10" x14ac:dyDescent="0.25">
      <c r="A621" s="1">
        <v>18</v>
      </c>
      <c r="B621" t="s">
        <v>38</v>
      </c>
      <c r="C621">
        <v>630</v>
      </c>
      <c r="D621">
        <v>5</v>
      </c>
      <c r="E621" t="s">
        <v>35</v>
      </c>
      <c r="F621" t="s">
        <v>36</v>
      </c>
      <c r="G621" t="str">
        <f>"2026-04-22 08:30:44.654"</f>
        <v>2026-04-22 08:30:44.654</v>
      </c>
      <c r="H621" t="s">
        <v>37</v>
      </c>
      <c r="I621">
        <v>0</v>
      </c>
      <c r="J621" t="s">
        <v>30</v>
      </c>
    </row>
    <row r="622" spans="1:10" x14ac:dyDescent="0.25">
      <c r="A622" s="1">
        <v>19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"2026-04-21 14:00:16.244"</f>
        <v>2026-04-21 14:00:16.244</v>
      </c>
      <c r="H622" t="s">
        <v>21</v>
      </c>
      <c r="I622">
        <v>0</v>
      </c>
      <c r="J622" t="s">
        <v>22</v>
      </c>
    </row>
    <row r="623" spans="1:10" x14ac:dyDescent="0.25">
      <c r="A623" s="1">
        <v>20</v>
      </c>
      <c r="B623" t="s">
        <v>19</v>
      </c>
      <c r="C623">
        <v>706</v>
      </c>
      <c r="D623">
        <v>4</v>
      </c>
      <c r="E623" t="s">
        <v>28</v>
      </c>
      <c r="F623" t="s">
        <v>29</v>
      </c>
      <c r="G623" t="str">
        <f>"2026-04-21 13:58:38.782"</f>
        <v>2026-04-21 13:58:38.782</v>
      </c>
      <c r="H623" t="s">
        <v>21</v>
      </c>
      <c r="I623">
        <v>0</v>
      </c>
      <c r="J623" t="s">
        <v>30</v>
      </c>
    </row>
    <row r="624" spans="1:10" x14ac:dyDescent="0.25">
      <c r="A624" s="1">
        <v>21</v>
      </c>
      <c r="B624" t="s">
        <v>38</v>
      </c>
      <c r="C624">
        <v>630</v>
      </c>
      <c r="D624">
        <v>5</v>
      </c>
      <c r="E624" t="s">
        <v>35</v>
      </c>
      <c r="F624" t="s">
        <v>36</v>
      </c>
      <c r="G624" t="str">
        <f>"2026-04-21 13:06:38.821"</f>
        <v>2026-04-21 13:06:38.821</v>
      </c>
      <c r="H624" t="s">
        <v>37</v>
      </c>
      <c r="I624">
        <v>0</v>
      </c>
      <c r="J624" t="s">
        <v>30</v>
      </c>
    </row>
    <row r="625" spans="1:10" x14ac:dyDescent="0.25">
      <c r="A625" s="1">
        <v>22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"2026-04-20 15:51:52.232"</f>
        <v>2026-04-20 15:51:52.232</v>
      </c>
      <c r="H625" t="s">
        <v>21</v>
      </c>
      <c r="I625">
        <v>0</v>
      </c>
      <c r="J625" t="s">
        <v>22</v>
      </c>
    </row>
    <row r="626" spans="1:10" x14ac:dyDescent="0.25">
      <c r="A626" s="1">
        <v>23</v>
      </c>
      <c r="B626" t="s">
        <v>23</v>
      </c>
      <c r="C626">
        <v>630</v>
      </c>
      <c r="D626">
        <v>5</v>
      </c>
      <c r="E626" t="s">
        <v>35</v>
      </c>
      <c r="F626" t="s">
        <v>36</v>
      </c>
      <c r="G626" t="str">
        <f>"2026-04-20 13:53:47.846"</f>
        <v>2026-04-20 13:53:47.846</v>
      </c>
      <c r="H626" t="s">
        <v>37</v>
      </c>
    </row>
    <row r="627" spans="1:10" x14ac:dyDescent="0.25">
      <c r="A627" s="1">
        <v>24</v>
      </c>
      <c r="B627" t="s">
        <v>19</v>
      </c>
      <c r="C627">
        <v>706</v>
      </c>
      <c r="D627">
        <v>2</v>
      </c>
      <c r="E627" t="s">
        <v>28</v>
      </c>
      <c r="F627" t="s">
        <v>39</v>
      </c>
      <c r="G627" t="str">
        <f>"2026-04-20 13:53:17.680"</f>
        <v>2026-04-20 13:53:17.680</v>
      </c>
      <c r="H627" t="s">
        <v>21</v>
      </c>
      <c r="I627">
        <v>0</v>
      </c>
      <c r="J627" t="s">
        <v>30</v>
      </c>
    </row>
    <row r="628" spans="1:10" x14ac:dyDescent="0.25">
      <c r="A628" s="1">
        <v>25</v>
      </c>
      <c r="B628" t="s">
        <v>38</v>
      </c>
      <c r="C628">
        <v>630</v>
      </c>
      <c r="D628">
        <v>5</v>
      </c>
      <c r="E628" t="s">
        <v>35</v>
      </c>
      <c r="F628" t="s">
        <v>36</v>
      </c>
      <c r="G628" t="str">
        <f>"2026-04-20 13:31:43.346"</f>
        <v>2026-04-20 13:31:43.346</v>
      </c>
      <c r="H628" t="s">
        <v>37</v>
      </c>
      <c r="I628">
        <v>0</v>
      </c>
      <c r="J628" t="s">
        <v>30</v>
      </c>
    </row>
    <row r="629" spans="1:10" x14ac:dyDescent="0.25">
      <c r="A629" s="1">
        <v>26</v>
      </c>
      <c r="B629" t="s">
        <v>23</v>
      </c>
      <c r="C629">
        <v>635</v>
      </c>
      <c r="D629">
        <v>1</v>
      </c>
      <c r="E629" t="s">
        <v>31</v>
      </c>
      <c r="F629" t="s">
        <v>32</v>
      </c>
      <c r="G629" t="str">
        <f>"2026-04-20 12:26:05.992"</f>
        <v>2026-04-20 12:26:05.992</v>
      </c>
      <c r="H629" t="s">
        <v>21</v>
      </c>
    </row>
    <row r="630" spans="1:10" x14ac:dyDescent="0.25">
      <c r="A630" s="1">
        <v>27</v>
      </c>
      <c r="B630" t="s">
        <v>26</v>
      </c>
      <c r="C630">
        <v>635</v>
      </c>
      <c r="D630">
        <v>1</v>
      </c>
      <c r="E630" t="s">
        <v>31</v>
      </c>
      <c r="F630" t="s">
        <v>32</v>
      </c>
      <c r="G630" t="str">
        <f>"2026-04-20 12:22:42.492"</f>
        <v>2026-04-20 12:22:42.492</v>
      </c>
      <c r="H630" t="s">
        <v>21</v>
      </c>
      <c r="I630">
        <v>1.68</v>
      </c>
      <c r="J630" t="s">
        <v>33</v>
      </c>
    </row>
    <row r="631" spans="1:10" x14ac:dyDescent="0.25">
      <c r="A631" s="1">
        <v>28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"2026-04-20 08:53:16.230"</f>
        <v>2026-04-20 08:53:16.230</v>
      </c>
      <c r="H631" t="s">
        <v>21</v>
      </c>
      <c r="I631">
        <v>0</v>
      </c>
      <c r="J631" t="s">
        <v>22</v>
      </c>
    </row>
    <row r="632" spans="1:10" x14ac:dyDescent="0.25">
      <c r="A632" s="1">
        <v>29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"2026-04-18 13:51:35.230"</f>
        <v>2026-04-18 13:51:35.230</v>
      </c>
      <c r="H632" t="s">
        <v>21</v>
      </c>
      <c r="I632">
        <v>0</v>
      </c>
      <c r="J632" t="s">
        <v>22</v>
      </c>
    </row>
    <row r="633" spans="1:10" x14ac:dyDescent="0.25">
      <c r="A633" s="1">
        <v>30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"2026-04-17 22:06:47.208"</f>
        <v>2026-04-17 22:06:47.208</v>
      </c>
      <c r="H633" t="s">
        <v>21</v>
      </c>
    </row>
    <row r="634" spans="1:10" x14ac:dyDescent="0.25">
      <c r="A634" s="1">
        <v>31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"2026-04-17 21:55:10.436"</f>
        <v>2026-04-17 21:55:10.436</v>
      </c>
      <c r="H634" t="s">
        <v>21</v>
      </c>
      <c r="I634">
        <v>0</v>
      </c>
      <c r="J634" t="s">
        <v>22</v>
      </c>
    </row>
    <row r="635" spans="1:10" x14ac:dyDescent="0.25">
      <c r="A635" s="1">
        <v>32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"2026-04-17 11:46:54.235"</f>
        <v>2026-04-17 11:46:54.235</v>
      </c>
      <c r="H635" t="s">
        <v>21</v>
      </c>
    </row>
    <row r="636" spans="1:10" x14ac:dyDescent="0.25">
      <c r="A636" s="1">
        <v>33</v>
      </c>
      <c r="B636" t="s">
        <v>19</v>
      </c>
      <c r="C636">
        <v>706</v>
      </c>
      <c r="D636">
        <v>4</v>
      </c>
      <c r="E636" t="s">
        <v>28</v>
      </c>
      <c r="F636" t="s">
        <v>29</v>
      </c>
      <c r="G636" t="str">
        <f>"2026-04-17 08:05:19.838"</f>
        <v>2026-04-17 08:05:19.838</v>
      </c>
      <c r="H636" t="s">
        <v>21</v>
      </c>
      <c r="I636">
        <v>0</v>
      </c>
      <c r="J636" t="s">
        <v>30</v>
      </c>
    </row>
    <row r="637" spans="1:10" x14ac:dyDescent="0.25">
      <c r="A637" s="1">
        <v>34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"2026-04-17 08:05:05.308"</f>
        <v>2026-04-17 08:05:05.308</v>
      </c>
      <c r="H637" t="s">
        <v>21</v>
      </c>
      <c r="I637">
        <v>0</v>
      </c>
      <c r="J637" t="s">
        <v>22</v>
      </c>
    </row>
    <row r="638" spans="1:10" s="3" customFormat="1" x14ac:dyDescent="0.25">
      <c r="A638" s="2">
        <v>35</v>
      </c>
      <c r="B638" s="3" t="s">
        <v>23</v>
      </c>
      <c r="C638" s="3">
        <v>647</v>
      </c>
      <c r="D638" s="3">
        <v>1</v>
      </c>
      <c r="E638" s="3" t="s">
        <v>24</v>
      </c>
      <c r="F638" s="3" t="s">
        <v>25</v>
      </c>
      <c r="G638" s="3" t="str">
        <f>"2026-04-15 19:43:13.155"</f>
        <v>2026-04-15 19:43:13.155</v>
      </c>
      <c r="H638" s="3" t="s">
        <v>21</v>
      </c>
    </row>
    <row r="639" spans="1:10" s="3" customFormat="1" x14ac:dyDescent="0.25">
      <c r="A639" s="2">
        <v>36</v>
      </c>
      <c r="B639" s="3" t="s">
        <v>26</v>
      </c>
      <c r="C639" s="3">
        <v>647</v>
      </c>
      <c r="D639" s="3">
        <v>1</v>
      </c>
      <c r="E639" s="3" t="s">
        <v>24</v>
      </c>
      <c r="F639" s="3" t="s">
        <v>25</v>
      </c>
      <c r="G639" s="3" t="str">
        <f>"2026-04-15 19:43:06.656"</f>
        <v>2026-04-15 19:43:06.656</v>
      </c>
      <c r="H639" s="3" t="s">
        <v>21</v>
      </c>
      <c r="I639" s="3">
        <v>9.6199999999999992</v>
      </c>
      <c r="J639" s="3" t="s">
        <v>27</v>
      </c>
    </row>
    <row r="640" spans="1:10" x14ac:dyDescent="0.25">
      <c r="A640" s="1">
        <v>37</v>
      </c>
      <c r="B640" t="s">
        <v>19</v>
      </c>
      <c r="C640">
        <v>706</v>
      </c>
      <c r="D640">
        <v>4</v>
      </c>
      <c r="E640" t="s">
        <v>28</v>
      </c>
      <c r="F640" t="s">
        <v>29</v>
      </c>
      <c r="G640" t="str">
        <f>"2026-04-15 08:57:16.447"</f>
        <v>2026-04-15 08:57:16.447</v>
      </c>
      <c r="H640" t="s">
        <v>21</v>
      </c>
      <c r="I640">
        <v>0</v>
      </c>
      <c r="J640" t="s">
        <v>30</v>
      </c>
    </row>
    <row r="641" spans="1:10" x14ac:dyDescent="0.25">
      <c r="A641" s="1">
        <v>38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"2026-04-15 08:56:55.227"</f>
        <v>2026-04-15 08:56:55.227</v>
      </c>
      <c r="H641" t="s">
        <v>21</v>
      </c>
    </row>
    <row r="642" spans="1:10" x14ac:dyDescent="0.25">
      <c r="A642" s="1">
        <v>39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"2026-04-14 23:21:37.203"</f>
        <v>2026-04-14 23:21:37.203</v>
      </c>
      <c r="H642" t="s">
        <v>21</v>
      </c>
    </row>
    <row r="643" spans="1:10" x14ac:dyDescent="0.25">
      <c r="A643" s="1">
        <v>40</v>
      </c>
      <c r="B643" t="s">
        <v>23</v>
      </c>
      <c r="C643">
        <v>4</v>
      </c>
      <c r="D643">
        <v>1</v>
      </c>
      <c r="E643" t="s">
        <v>53</v>
      </c>
      <c r="F643" t="s">
        <v>54</v>
      </c>
      <c r="G643" t="str">
        <f>"2026-04-14 22:45:11.842"</f>
        <v>2026-04-14 22:45:11.842</v>
      </c>
      <c r="H643" t="s">
        <v>55</v>
      </c>
    </row>
    <row r="644" spans="1:10" x14ac:dyDescent="0.25">
      <c r="A644" s="1">
        <v>41</v>
      </c>
      <c r="B644" t="s">
        <v>26</v>
      </c>
      <c r="C644">
        <v>4</v>
      </c>
      <c r="D644">
        <v>1</v>
      </c>
      <c r="E644" t="s">
        <v>53</v>
      </c>
      <c r="F644" t="s">
        <v>54</v>
      </c>
      <c r="G644" t="str">
        <f>"2026-04-14 22:44:20.582"</f>
        <v>2026-04-14 22:44:20.582</v>
      </c>
      <c r="H644" t="s">
        <v>55</v>
      </c>
      <c r="I644">
        <v>0</v>
      </c>
      <c r="J644" t="s">
        <v>30</v>
      </c>
    </row>
    <row r="645" spans="1:10" x14ac:dyDescent="0.25">
      <c r="A645" s="1">
        <v>42</v>
      </c>
      <c r="B645" t="s">
        <v>23</v>
      </c>
      <c r="C645">
        <v>4</v>
      </c>
      <c r="D645">
        <v>1</v>
      </c>
      <c r="E645" t="s">
        <v>53</v>
      </c>
      <c r="F645" t="s">
        <v>54</v>
      </c>
      <c r="G645" t="str">
        <f>"2026-04-14 22:43:05.442"</f>
        <v>2026-04-14 22:43:05.442</v>
      </c>
      <c r="H645" t="s">
        <v>55</v>
      </c>
    </row>
    <row r="646" spans="1:10" x14ac:dyDescent="0.25">
      <c r="A646" s="1">
        <v>43</v>
      </c>
      <c r="B646" t="s">
        <v>26</v>
      </c>
      <c r="C646">
        <v>4</v>
      </c>
      <c r="D646">
        <v>1</v>
      </c>
      <c r="E646" t="s">
        <v>53</v>
      </c>
      <c r="F646" t="s">
        <v>54</v>
      </c>
      <c r="G646" t="str">
        <f>"2026-04-14 22:42:35.462"</f>
        <v>2026-04-14 22:42:35.462</v>
      </c>
      <c r="H646" t="s">
        <v>55</v>
      </c>
      <c r="I646">
        <v>0</v>
      </c>
      <c r="J646" t="s">
        <v>30</v>
      </c>
    </row>
    <row r="647" spans="1:10" x14ac:dyDescent="0.25">
      <c r="A647" s="1">
        <v>44</v>
      </c>
      <c r="B647" t="s">
        <v>19</v>
      </c>
      <c r="C647">
        <v>706</v>
      </c>
      <c r="D647">
        <v>2</v>
      </c>
      <c r="E647" t="s">
        <v>28</v>
      </c>
      <c r="F647" t="s">
        <v>39</v>
      </c>
      <c r="G647" t="str">
        <f>"2026-04-14 22:39:20.662"</f>
        <v>2026-04-14 22:39:20.662</v>
      </c>
      <c r="H647" t="s">
        <v>21</v>
      </c>
      <c r="I647">
        <v>0</v>
      </c>
      <c r="J647" t="s">
        <v>30</v>
      </c>
    </row>
    <row r="648" spans="1:10" x14ac:dyDescent="0.25">
      <c r="A648" s="1">
        <v>45</v>
      </c>
      <c r="B648" t="s">
        <v>19</v>
      </c>
      <c r="C648">
        <v>706</v>
      </c>
      <c r="D648">
        <v>2</v>
      </c>
      <c r="E648" t="s">
        <v>28</v>
      </c>
      <c r="F648" t="s">
        <v>39</v>
      </c>
      <c r="G648" t="str">
        <f>"2026-04-14 22:34:13.462"</f>
        <v>2026-04-14 22:34:13.462</v>
      </c>
      <c r="H648" t="s">
        <v>21</v>
      </c>
      <c r="I648">
        <v>0</v>
      </c>
      <c r="J648" t="s">
        <v>30</v>
      </c>
    </row>
    <row r="649" spans="1:10" x14ac:dyDescent="0.25">
      <c r="A649" s="1">
        <v>46</v>
      </c>
      <c r="B649" t="s">
        <v>19</v>
      </c>
      <c r="C649">
        <v>706</v>
      </c>
      <c r="D649">
        <v>4</v>
      </c>
      <c r="E649" t="s">
        <v>28</v>
      </c>
      <c r="F649" t="s">
        <v>29</v>
      </c>
      <c r="G649" t="str">
        <f>"2026-04-14 22:33:57.192"</f>
        <v>2026-04-14 22:33:57.192</v>
      </c>
      <c r="H649" t="s">
        <v>21</v>
      </c>
      <c r="I649">
        <v>0</v>
      </c>
      <c r="J649" t="s">
        <v>30</v>
      </c>
    </row>
    <row r="650" spans="1:10" x14ac:dyDescent="0.25">
      <c r="A650" s="1">
        <v>47</v>
      </c>
      <c r="B650" t="s">
        <v>19</v>
      </c>
      <c r="C650">
        <v>706</v>
      </c>
      <c r="D650">
        <v>4</v>
      </c>
      <c r="E650" t="s">
        <v>28</v>
      </c>
      <c r="F650" t="s">
        <v>29</v>
      </c>
      <c r="G650" t="str">
        <f>"2026-04-14 22:33:34.992"</f>
        <v>2026-04-14 22:33:34.992</v>
      </c>
      <c r="H650" t="s">
        <v>21</v>
      </c>
      <c r="I650">
        <v>0</v>
      </c>
      <c r="J650" t="s">
        <v>30</v>
      </c>
    </row>
    <row r="651" spans="1:10" x14ac:dyDescent="0.25">
      <c r="A651" s="1">
        <v>48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"2026-04-14 22:10:34.202"</f>
        <v>2026-04-14 22:10:34.202</v>
      </c>
      <c r="H651" t="s">
        <v>21</v>
      </c>
      <c r="I651">
        <v>0</v>
      </c>
      <c r="J651" t="s">
        <v>22</v>
      </c>
    </row>
    <row r="652" spans="1:10" x14ac:dyDescent="0.25">
      <c r="A652" s="1">
        <v>49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"2026-04-14 20:13:10.449"</f>
        <v>2026-04-14 20:13:10.449</v>
      </c>
      <c r="H652" t="s">
        <v>21</v>
      </c>
      <c r="I652">
        <v>0</v>
      </c>
      <c r="J652" t="s">
        <v>22</v>
      </c>
    </row>
    <row r="653" spans="1:10" x14ac:dyDescent="0.25">
      <c r="A653" s="1">
        <v>50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"2026-04-13 10:21:42.351"</f>
        <v>2026-04-13 10:21:42.351</v>
      </c>
      <c r="H653" t="s">
        <v>21</v>
      </c>
    </row>
    <row r="654" spans="1:10" x14ac:dyDescent="0.25">
      <c r="A654" s="1">
        <v>51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"2026-04-12 10:07:14.231"</f>
        <v>2026-04-12 10:07:14.231</v>
      </c>
      <c r="H654" t="s">
        <v>21</v>
      </c>
      <c r="I654">
        <v>0</v>
      </c>
      <c r="J654" t="s">
        <v>22</v>
      </c>
    </row>
    <row r="655" spans="1:10" s="3" customFormat="1" x14ac:dyDescent="0.25">
      <c r="A655" s="2">
        <v>52</v>
      </c>
      <c r="B655" s="3" t="s">
        <v>23</v>
      </c>
      <c r="C655" s="3">
        <v>647</v>
      </c>
      <c r="D655" s="3">
        <v>1</v>
      </c>
      <c r="E655" s="3" t="s">
        <v>24</v>
      </c>
      <c r="F655" s="3" t="s">
        <v>25</v>
      </c>
      <c r="G655" s="3" t="str">
        <f>"2026-04-12 03:44:58.611"</f>
        <v>2026-04-12 03:44:58.611</v>
      </c>
      <c r="H655" s="3" t="s">
        <v>21</v>
      </c>
    </row>
    <row r="656" spans="1:10" s="3" customFormat="1" x14ac:dyDescent="0.25">
      <c r="A656" s="2">
        <v>53</v>
      </c>
      <c r="B656" s="3" t="s">
        <v>26</v>
      </c>
      <c r="C656" s="3">
        <v>647</v>
      </c>
      <c r="D656" s="3">
        <v>1</v>
      </c>
      <c r="E656" s="3" t="s">
        <v>24</v>
      </c>
      <c r="F656" s="3" t="s">
        <v>25</v>
      </c>
      <c r="G656" s="3" t="str">
        <f>"2026-04-12 03:44:54.511"</f>
        <v>2026-04-12 03:44:54.511</v>
      </c>
      <c r="H656" s="3" t="s">
        <v>21</v>
      </c>
      <c r="I656" s="3">
        <v>8.6999999999999993</v>
      </c>
      <c r="J656" s="3" t="s">
        <v>27</v>
      </c>
    </row>
    <row r="657" spans="1:10" s="3" customFormat="1" x14ac:dyDescent="0.25">
      <c r="A657" s="2">
        <v>54</v>
      </c>
      <c r="B657" s="3" t="s">
        <v>23</v>
      </c>
      <c r="C657" s="3">
        <v>647</v>
      </c>
      <c r="D657" s="3">
        <v>1</v>
      </c>
      <c r="E657" s="3" t="s">
        <v>24</v>
      </c>
      <c r="F657" s="3" t="s">
        <v>25</v>
      </c>
      <c r="G657" s="3" t="str">
        <f>"2026-04-12 03:11:09.611"</f>
        <v>2026-04-12 03:11:09.611</v>
      </c>
      <c r="H657" s="3" t="s">
        <v>21</v>
      </c>
    </row>
    <row r="658" spans="1:10" s="3" customFormat="1" x14ac:dyDescent="0.25">
      <c r="A658" s="2">
        <v>55</v>
      </c>
      <c r="B658" s="3" t="s">
        <v>26</v>
      </c>
      <c r="C658" s="3">
        <v>647</v>
      </c>
      <c r="D658" s="3">
        <v>1</v>
      </c>
      <c r="E658" s="3" t="s">
        <v>24</v>
      </c>
      <c r="F658" s="3" t="s">
        <v>25</v>
      </c>
      <c r="G658" s="3" t="str">
        <f>"2026-04-12 03:11:07.412"</f>
        <v>2026-04-12 03:11:07.412</v>
      </c>
      <c r="H658" s="3" t="s">
        <v>21</v>
      </c>
      <c r="I658" s="3">
        <v>9.76</v>
      </c>
      <c r="J658" s="3" t="s">
        <v>34</v>
      </c>
    </row>
    <row r="659" spans="1:10" x14ac:dyDescent="0.25">
      <c r="A659" s="1">
        <v>56</v>
      </c>
      <c r="B659" t="s">
        <v>19</v>
      </c>
      <c r="C659">
        <v>706</v>
      </c>
      <c r="D659">
        <v>2</v>
      </c>
      <c r="E659" t="s">
        <v>28</v>
      </c>
      <c r="F659" t="s">
        <v>39</v>
      </c>
      <c r="G659" t="str">
        <f>"2026-04-11 11:45:24.467"</f>
        <v>2026-04-11 11:45:24.467</v>
      </c>
      <c r="H659" t="s">
        <v>21</v>
      </c>
      <c r="I659">
        <v>0</v>
      </c>
      <c r="J659" t="s">
        <v>30</v>
      </c>
    </row>
    <row r="660" spans="1:10" x14ac:dyDescent="0.25">
      <c r="A660" s="1">
        <v>57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"2026-04-11 11:44:50.197"</f>
        <v>2026-04-11 11:44:50.197</v>
      </c>
      <c r="H660" t="s">
        <v>21</v>
      </c>
      <c r="I660">
        <v>0</v>
      </c>
      <c r="J660" t="s">
        <v>22</v>
      </c>
    </row>
    <row r="661" spans="1:10" x14ac:dyDescent="0.25">
      <c r="A661" s="1">
        <v>58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"2026-04-11 11:38:33.215"</f>
        <v>2026-04-11 11:38:33.215</v>
      </c>
      <c r="H661" t="s">
        <v>21</v>
      </c>
      <c r="I661">
        <v>0</v>
      </c>
      <c r="J661" t="s">
        <v>22</v>
      </c>
    </row>
    <row r="662" spans="1:10" x14ac:dyDescent="0.25">
      <c r="A662" s="1">
        <v>59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"2026-04-10 13:37:53.229"</f>
        <v>2026-04-10 13:37:53.229</v>
      </c>
      <c r="H662" t="s">
        <v>21</v>
      </c>
    </row>
    <row r="663" spans="1:10" s="3" customFormat="1" x14ac:dyDescent="0.25">
      <c r="A663" s="2">
        <v>60</v>
      </c>
      <c r="B663" s="3" t="s">
        <v>23</v>
      </c>
      <c r="C663" s="3">
        <v>647</v>
      </c>
      <c r="D663" s="3">
        <v>1</v>
      </c>
      <c r="E663" s="3" t="s">
        <v>24</v>
      </c>
      <c r="F663" s="3" t="s">
        <v>25</v>
      </c>
      <c r="G663" s="3" t="str">
        <f>"2026-04-10 09:28:49.735"</f>
        <v>2026-04-10 09:28:49.735</v>
      </c>
      <c r="H663" s="3" t="s">
        <v>21</v>
      </c>
    </row>
    <row r="664" spans="1:10" s="3" customFormat="1" x14ac:dyDescent="0.25">
      <c r="A664" s="2">
        <v>61</v>
      </c>
      <c r="B664" s="3" t="s">
        <v>26</v>
      </c>
      <c r="C664" s="3">
        <v>647</v>
      </c>
      <c r="D664" s="3">
        <v>1</v>
      </c>
      <c r="E664" s="3" t="s">
        <v>24</v>
      </c>
      <c r="F664" s="3" t="s">
        <v>25</v>
      </c>
      <c r="G664" s="3" t="str">
        <f>"2026-04-10 09:28:45.835"</f>
        <v>2026-04-10 09:28:45.835</v>
      </c>
      <c r="H664" s="3" t="s">
        <v>21</v>
      </c>
      <c r="I664" s="3">
        <v>9.4700000000000006</v>
      </c>
      <c r="J664" s="3" t="s">
        <v>27</v>
      </c>
    </row>
    <row r="665" spans="1:10" s="3" customFormat="1" x14ac:dyDescent="0.25">
      <c r="A665" s="2">
        <v>62</v>
      </c>
      <c r="B665" s="3" t="s">
        <v>23</v>
      </c>
      <c r="C665" s="3">
        <v>647</v>
      </c>
      <c r="D665" s="3">
        <v>1</v>
      </c>
      <c r="E665" s="3" t="s">
        <v>24</v>
      </c>
      <c r="F665" s="3" t="s">
        <v>25</v>
      </c>
      <c r="G665" s="3" t="str">
        <f>"2026-04-09 21:34:11.235"</f>
        <v>2026-04-09 21:34:11.235</v>
      </c>
      <c r="H665" s="3" t="s">
        <v>21</v>
      </c>
    </row>
    <row r="666" spans="1:10" s="3" customFormat="1" x14ac:dyDescent="0.25">
      <c r="A666" s="2">
        <v>63</v>
      </c>
      <c r="B666" s="3" t="s">
        <v>26</v>
      </c>
      <c r="C666" s="3">
        <v>647</v>
      </c>
      <c r="D666" s="3">
        <v>1</v>
      </c>
      <c r="E666" s="3" t="s">
        <v>24</v>
      </c>
      <c r="F666" s="3" t="s">
        <v>25</v>
      </c>
      <c r="G666" s="3" t="str">
        <f>"2026-04-09 21:34:07.535"</f>
        <v>2026-04-09 21:34:07.535</v>
      </c>
      <c r="H666" s="3" t="s">
        <v>21</v>
      </c>
      <c r="I666" s="3">
        <v>10.18</v>
      </c>
      <c r="J666" s="3" t="s">
        <v>27</v>
      </c>
    </row>
    <row r="667" spans="1:10" x14ac:dyDescent="0.25">
      <c r="A667" s="1">
        <v>64</v>
      </c>
      <c r="B667" t="s">
        <v>19</v>
      </c>
      <c r="C667">
        <v>706</v>
      </c>
      <c r="D667">
        <v>4</v>
      </c>
      <c r="E667" t="s">
        <v>28</v>
      </c>
      <c r="F667" t="s">
        <v>29</v>
      </c>
      <c r="G667" t="str">
        <f>"2026-04-09 09:16:15.444"</f>
        <v>2026-04-09 09:16:15.444</v>
      </c>
      <c r="H667" t="s">
        <v>21</v>
      </c>
      <c r="I667">
        <v>0</v>
      </c>
      <c r="J667" t="s">
        <v>30</v>
      </c>
    </row>
    <row r="668" spans="1:10" x14ac:dyDescent="0.25">
      <c r="A668" s="1">
        <v>65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"2026-04-09 09:16:00.194"</f>
        <v>2026-04-09 09:16:00.194</v>
      </c>
      <c r="H668" t="s">
        <v>21</v>
      </c>
    </row>
    <row r="669" spans="1:10" x14ac:dyDescent="0.25">
      <c r="A669" s="1">
        <v>66</v>
      </c>
      <c r="B669" t="s">
        <v>23</v>
      </c>
      <c r="C669">
        <v>635</v>
      </c>
      <c r="D669">
        <v>1</v>
      </c>
      <c r="E669" t="s">
        <v>31</v>
      </c>
      <c r="F669" t="s">
        <v>32</v>
      </c>
      <c r="G669" t="str">
        <f>"2026-04-09 03:37:12.573"</f>
        <v>2026-04-09 03:37:12.573</v>
      </c>
      <c r="H669" t="s">
        <v>21</v>
      </c>
    </row>
    <row r="670" spans="1:10" x14ac:dyDescent="0.25">
      <c r="A670" s="1">
        <v>67</v>
      </c>
      <c r="B670" t="s">
        <v>26</v>
      </c>
      <c r="C670">
        <v>635</v>
      </c>
      <c r="D670">
        <v>1</v>
      </c>
      <c r="E670" t="s">
        <v>31</v>
      </c>
      <c r="F670" t="s">
        <v>32</v>
      </c>
      <c r="G670" t="str">
        <f>"2026-04-09 03:32:58.074"</f>
        <v>2026-04-09 03:32:58.074</v>
      </c>
      <c r="H670" t="s">
        <v>21</v>
      </c>
      <c r="I670">
        <v>1.56</v>
      </c>
      <c r="J670" t="s">
        <v>27</v>
      </c>
    </row>
    <row r="671" spans="1:10" x14ac:dyDescent="0.25">
      <c r="A671" s="1">
        <v>69</v>
      </c>
      <c r="B671" t="s">
        <v>44</v>
      </c>
      <c r="C671">
        <v>33</v>
      </c>
      <c r="D671">
        <v>1</v>
      </c>
      <c r="E671" t="s">
        <v>45</v>
      </c>
      <c r="F671" t="s">
        <v>46</v>
      </c>
      <c r="G671" t="str">
        <f>"2026-04-08 18:57:38.073"</f>
        <v>2026-04-08 18:57:38.073</v>
      </c>
      <c r="H671" t="s">
        <v>47</v>
      </c>
    </row>
    <row r="672" spans="1:10" x14ac:dyDescent="0.25">
      <c r="A672" s="1">
        <v>70</v>
      </c>
      <c r="B672" t="s">
        <v>38</v>
      </c>
      <c r="C672">
        <v>33</v>
      </c>
      <c r="D672">
        <v>1</v>
      </c>
      <c r="E672" t="s">
        <v>45</v>
      </c>
      <c r="F672" t="s">
        <v>46</v>
      </c>
      <c r="G672" t="str">
        <f>"2026-04-08 18:56:41.892"</f>
        <v>2026-04-08 18:56:41.892</v>
      </c>
      <c r="H672" t="s">
        <v>47</v>
      </c>
      <c r="I672">
        <v>9.6199999999999992</v>
      </c>
      <c r="J672" t="s">
        <v>33</v>
      </c>
    </row>
    <row r="673" spans="1:10" x14ac:dyDescent="0.25">
      <c r="A673" s="1">
        <v>71</v>
      </c>
      <c r="B673" t="s">
        <v>44</v>
      </c>
      <c r="C673">
        <v>33</v>
      </c>
      <c r="D673">
        <v>1</v>
      </c>
      <c r="E673" t="s">
        <v>45</v>
      </c>
      <c r="F673" t="s">
        <v>46</v>
      </c>
      <c r="G673" t="str">
        <f>"2026-04-08 14:43:10.074"</f>
        <v>2026-04-08 14:43:10.074</v>
      </c>
      <c r="H673" t="s">
        <v>47</v>
      </c>
    </row>
    <row r="674" spans="1:10" x14ac:dyDescent="0.25">
      <c r="A674" s="1">
        <v>72</v>
      </c>
      <c r="B674" t="s">
        <v>38</v>
      </c>
      <c r="C674">
        <v>33</v>
      </c>
      <c r="D674">
        <v>1</v>
      </c>
      <c r="E674" t="s">
        <v>45</v>
      </c>
      <c r="F674" t="s">
        <v>46</v>
      </c>
      <c r="G674" t="str">
        <f>"2026-04-08 14:42:33.933"</f>
        <v>2026-04-08 14:42:33.933</v>
      </c>
      <c r="H674" t="s">
        <v>47</v>
      </c>
      <c r="I674">
        <v>11.29</v>
      </c>
      <c r="J674" t="s">
        <v>33</v>
      </c>
    </row>
    <row r="675" spans="1:10" x14ac:dyDescent="0.25">
      <c r="A675" s="1">
        <v>73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"2026-04-08 09:34:56.195"</f>
        <v>2026-04-08 09:34:56.195</v>
      </c>
      <c r="H675" t="s">
        <v>21</v>
      </c>
    </row>
    <row r="676" spans="1:10" x14ac:dyDescent="0.25">
      <c r="A676" s="1">
        <v>74</v>
      </c>
      <c r="B676" t="s">
        <v>23</v>
      </c>
      <c r="C676">
        <v>629</v>
      </c>
      <c r="D676">
        <v>1</v>
      </c>
      <c r="E676" t="s">
        <v>56</v>
      </c>
      <c r="F676" t="s">
        <v>57</v>
      </c>
      <c r="G676" t="str">
        <f>"2026-04-08 09:09:08.939"</f>
        <v>2026-04-08 09:09:08.939</v>
      </c>
      <c r="H676" t="s">
        <v>21</v>
      </c>
    </row>
    <row r="677" spans="1:10" x14ac:dyDescent="0.25">
      <c r="A677" s="1">
        <v>75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"2026-04-08 09:08:36.200"</f>
        <v>2026-04-08 09:08:36.200</v>
      </c>
      <c r="H677" t="s">
        <v>21</v>
      </c>
      <c r="I677">
        <v>0</v>
      </c>
      <c r="J677" t="s">
        <v>22</v>
      </c>
    </row>
    <row r="678" spans="1:10" x14ac:dyDescent="0.25">
      <c r="A678" s="1">
        <v>78</v>
      </c>
      <c r="B678" t="s">
        <v>26</v>
      </c>
      <c r="C678">
        <v>629</v>
      </c>
      <c r="D678">
        <v>1</v>
      </c>
      <c r="E678" t="s">
        <v>56</v>
      </c>
      <c r="F678" t="s">
        <v>57</v>
      </c>
      <c r="G678" t="str">
        <f>"2026-04-08 09:07:51.454"</f>
        <v>2026-04-08 09:07:51.454</v>
      </c>
      <c r="H678" t="s">
        <v>21</v>
      </c>
      <c r="I678">
        <v>0</v>
      </c>
      <c r="J678" t="s">
        <v>30</v>
      </c>
    </row>
    <row r="679" spans="1:10" x14ac:dyDescent="0.25">
      <c r="A679" s="1">
        <v>79</v>
      </c>
      <c r="B679" t="s">
        <v>19</v>
      </c>
      <c r="C679">
        <v>782</v>
      </c>
      <c r="D679">
        <v>7</v>
      </c>
      <c r="E679" t="s">
        <v>58</v>
      </c>
      <c r="F679" t="s">
        <v>59</v>
      </c>
      <c r="G679" t="str">
        <f>"2026-04-08 09:07:51.452"</f>
        <v>2026-04-08 09:07:51.452</v>
      </c>
      <c r="H679" t="s">
        <v>21</v>
      </c>
      <c r="I679">
        <v>0</v>
      </c>
      <c r="J679" t="s">
        <v>30</v>
      </c>
    </row>
    <row r="680" spans="1:10" x14ac:dyDescent="0.25">
      <c r="A680" s="1">
        <v>82</v>
      </c>
      <c r="B680" t="s">
        <v>23</v>
      </c>
      <c r="C680">
        <v>629</v>
      </c>
      <c r="D680">
        <v>1</v>
      </c>
      <c r="E680" t="s">
        <v>56</v>
      </c>
      <c r="F680" t="s">
        <v>57</v>
      </c>
      <c r="G680" t="str">
        <f>"2026-04-08 09:07:51.443"</f>
        <v>2026-04-08 09:07:51.443</v>
      </c>
      <c r="H680" t="s">
        <v>21</v>
      </c>
    </row>
    <row r="681" spans="1:10" x14ac:dyDescent="0.25">
      <c r="A681" s="1">
        <v>83</v>
      </c>
      <c r="B681" t="s">
        <v>19</v>
      </c>
      <c r="C681">
        <v>782</v>
      </c>
      <c r="D681">
        <v>7</v>
      </c>
      <c r="E681" t="s">
        <v>58</v>
      </c>
      <c r="F681" t="s">
        <v>59</v>
      </c>
      <c r="G681" t="str">
        <f>"2026-04-08 09:07:51.441"</f>
        <v>2026-04-08 09:07:51.441</v>
      </c>
      <c r="H681" t="s">
        <v>21</v>
      </c>
      <c r="I681">
        <v>0</v>
      </c>
      <c r="J681" t="s">
        <v>30</v>
      </c>
    </row>
    <row r="682" spans="1:10" x14ac:dyDescent="0.25">
      <c r="A682" s="1">
        <v>84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"2026-04-08 09:06:57.183"</f>
        <v>2026-04-08 09:06:57.183</v>
      </c>
      <c r="H682" t="s">
        <v>21</v>
      </c>
    </row>
    <row r="683" spans="1:10" x14ac:dyDescent="0.25">
      <c r="A683" s="1">
        <v>85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"2026-04-08 08:55:26.195"</f>
        <v>2026-04-08 08:55:26.195</v>
      </c>
      <c r="H683" t="s">
        <v>21</v>
      </c>
    </row>
    <row r="684" spans="1:10" x14ac:dyDescent="0.25">
      <c r="A684" s="1">
        <v>86</v>
      </c>
      <c r="B684" t="s">
        <v>19</v>
      </c>
      <c r="C684">
        <v>706</v>
      </c>
      <c r="D684">
        <v>3</v>
      </c>
      <c r="E684" t="s">
        <v>28</v>
      </c>
      <c r="F684" t="s">
        <v>43</v>
      </c>
      <c r="G684" t="str">
        <f>"2026-04-08 08:53:34.932"</f>
        <v>2026-04-08 08:53:34.932</v>
      </c>
      <c r="H684" t="s">
        <v>21</v>
      </c>
      <c r="I684">
        <v>0</v>
      </c>
      <c r="J684" t="s">
        <v>30</v>
      </c>
    </row>
    <row r="685" spans="1:10" x14ac:dyDescent="0.25">
      <c r="A685" s="1">
        <v>87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"2026-04-08 08:52:12.182"</f>
        <v>2026-04-08 08:52:12.182</v>
      </c>
      <c r="H685" t="s">
        <v>21</v>
      </c>
    </row>
    <row r="686" spans="1:10" x14ac:dyDescent="0.25">
      <c r="A686" s="1">
        <v>88</v>
      </c>
      <c r="B686" t="s">
        <v>38</v>
      </c>
      <c r="C686">
        <v>630</v>
      </c>
      <c r="D686">
        <v>5</v>
      </c>
      <c r="E686" t="s">
        <v>35</v>
      </c>
      <c r="F686" t="s">
        <v>36</v>
      </c>
      <c r="G686" t="str">
        <f>"2026-04-08 08:44:40.025"</f>
        <v>2026-04-08 08:44:40.025</v>
      </c>
      <c r="H686" t="s">
        <v>37</v>
      </c>
      <c r="I686">
        <v>0</v>
      </c>
      <c r="J686" t="s">
        <v>30</v>
      </c>
    </row>
    <row r="687" spans="1:10" x14ac:dyDescent="0.25">
      <c r="A687" s="1">
        <v>91</v>
      </c>
      <c r="B687" t="s">
        <v>26</v>
      </c>
      <c r="C687">
        <v>629</v>
      </c>
      <c r="D687">
        <v>1</v>
      </c>
      <c r="E687" t="s">
        <v>56</v>
      </c>
      <c r="F687" t="s">
        <v>57</v>
      </c>
      <c r="G687" t="str">
        <f>"2026-04-08 08:42:55.787"</f>
        <v>2026-04-08 08:42:55.787</v>
      </c>
      <c r="H687" t="s">
        <v>21</v>
      </c>
      <c r="I687">
        <v>0</v>
      </c>
      <c r="J687" t="s">
        <v>30</v>
      </c>
    </row>
    <row r="688" spans="1:10" x14ac:dyDescent="0.25">
      <c r="A688" s="1">
        <v>92</v>
      </c>
      <c r="B688" t="s">
        <v>19</v>
      </c>
      <c r="C688">
        <v>782</v>
      </c>
      <c r="D688">
        <v>7</v>
      </c>
      <c r="E688" t="s">
        <v>58</v>
      </c>
      <c r="F688" t="s">
        <v>59</v>
      </c>
      <c r="G688" t="str">
        <f>"2026-04-08 08:42:55.786"</f>
        <v>2026-04-08 08:42:55.786</v>
      </c>
      <c r="H688" t="s">
        <v>21</v>
      </c>
      <c r="I688">
        <v>0</v>
      </c>
      <c r="J688" t="s">
        <v>30</v>
      </c>
    </row>
    <row r="689" spans="1:10" x14ac:dyDescent="0.25">
      <c r="A689" s="1">
        <v>95</v>
      </c>
      <c r="B689" t="s">
        <v>23</v>
      </c>
      <c r="C689">
        <v>629</v>
      </c>
      <c r="D689">
        <v>1</v>
      </c>
      <c r="E689" t="s">
        <v>56</v>
      </c>
      <c r="F689" t="s">
        <v>57</v>
      </c>
      <c r="G689" t="str">
        <f>"2026-04-08 08:42:55.778"</f>
        <v>2026-04-08 08:42:55.778</v>
      </c>
      <c r="H689" t="s">
        <v>21</v>
      </c>
    </row>
    <row r="690" spans="1:10" x14ac:dyDescent="0.25">
      <c r="A690" s="1">
        <v>96</v>
      </c>
      <c r="B690" t="s">
        <v>19</v>
      </c>
      <c r="C690">
        <v>782</v>
      </c>
      <c r="D690">
        <v>7</v>
      </c>
      <c r="E690" t="s">
        <v>58</v>
      </c>
      <c r="F690" t="s">
        <v>59</v>
      </c>
      <c r="G690" t="str">
        <f>"2026-04-08 08:42:55.777"</f>
        <v>2026-04-08 08:42:55.777</v>
      </c>
      <c r="H690" t="s">
        <v>21</v>
      </c>
      <c r="I690">
        <v>0</v>
      </c>
      <c r="J690" t="s">
        <v>30</v>
      </c>
    </row>
    <row r="691" spans="1:10" x14ac:dyDescent="0.25">
      <c r="A691" s="1">
        <v>97</v>
      </c>
      <c r="B691" t="s">
        <v>26</v>
      </c>
      <c r="C691">
        <v>629</v>
      </c>
      <c r="D691">
        <v>1</v>
      </c>
      <c r="E691" t="s">
        <v>56</v>
      </c>
      <c r="F691" t="s">
        <v>57</v>
      </c>
      <c r="G691" t="str">
        <f>"2026-04-08 08:42:46.179"</f>
        <v>2026-04-08 08:42:46.179</v>
      </c>
      <c r="H691" t="s">
        <v>21</v>
      </c>
      <c r="I691">
        <v>0</v>
      </c>
      <c r="J691" t="s">
        <v>30</v>
      </c>
    </row>
    <row r="692" spans="1:10" x14ac:dyDescent="0.25">
      <c r="A692" s="1">
        <v>98</v>
      </c>
      <c r="B692" t="s">
        <v>23</v>
      </c>
      <c r="C692">
        <v>629</v>
      </c>
      <c r="D692">
        <v>1</v>
      </c>
      <c r="E692" t="s">
        <v>56</v>
      </c>
      <c r="F692" t="s">
        <v>57</v>
      </c>
      <c r="G692" t="str">
        <f>"2026-04-08 08:42:46.177"</f>
        <v>2026-04-08 08:42:46.177</v>
      </c>
      <c r="H692" t="s">
        <v>21</v>
      </c>
    </row>
    <row r="693" spans="1:10" x14ac:dyDescent="0.25">
      <c r="A693" s="1">
        <v>1</v>
      </c>
      <c r="B693" t="s">
        <v>26</v>
      </c>
      <c r="C693">
        <v>629</v>
      </c>
      <c r="D693">
        <v>1</v>
      </c>
      <c r="E693" t="s">
        <v>56</v>
      </c>
      <c r="F693" t="s">
        <v>57</v>
      </c>
      <c r="G693" t="str">
        <f>"2026-04-08 08:42:38.188"</f>
        <v>2026-04-08 08:42:38.188</v>
      </c>
      <c r="H693" t="s">
        <v>21</v>
      </c>
      <c r="I693">
        <v>0</v>
      </c>
      <c r="J693" t="s">
        <v>30</v>
      </c>
    </row>
    <row r="694" spans="1:10" x14ac:dyDescent="0.25">
      <c r="A694" s="1">
        <v>2</v>
      </c>
      <c r="B694" t="s">
        <v>19</v>
      </c>
      <c r="C694">
        <v>782</v>
      </c>
      <c r="D694">
        <v>7</v>
      </c>
      <c r="E694" t="s">
        <v>58</v>
      </c>
      <c r="F694" t="s">
        <v>59</v>
      </c>
      <c r="G694" t="str">
        <f>"2026-04-08 08:42:38.186"</f>
        <v>2026-04-08 08:42:38.186</v>
      </c>
      <c r="H694" t="s">
        <v>21</v>
      </c>
      <c r="I694">
        <v>0</v>
      </c>
      <c r="J694" t="s">
        <v>30</v>
      </c>
    </row>
    <row r="695" spans="1:10" x14ac:dyDescent="0.25">
      <c r="A695" s="1">
        <v>5</v>
      </c>
      <c r="B695" t="s">
        <v>23</v>
      </c>
      <c r="C695">
        <v>629</v>
      </c>
      <c r="D695">
        <v>1</v>
      </c>
      <c r="E695" t="s">
        <v>56</v>
      </c>
      <c r="F695" t="s">
        <v>57</v>
      </c>
      <c r="G695" t="str">
        <f>"2026-04-08 08:42:38.179"</f>
        <v>2026-04-08 08:42:38.179</v>
      </c>
      <c r="H695" t="s">
        <v>21</v>
      </c>
    </row>
    <row r="696" spans="1:10" x14ac:dyDescent="0.25">
      <c r="A696" s="1">
        <v>6</v>
      </c>
      <c r="B696" t="s">
        <v>19</v>
      </c>
      <c r="C696">
        <v>782</v>
      </c>
      <c r="D696">
        <v>7</v>
      </c>
      <c r="E696" t="s">
        <v>58</v>
      </c>
      <c r="F696" t="s">
        <v>59</v>
      </c>
      <c r="G696" t="str">
        <f>"2026-04-08 08:42:38.177"</f>
        <v>2026-04-08 08:42:38.177</v>
      </c>
      <c r="H696" t="s">
        <v>21</v>
      </c>
      <c r="I696">
        <v>0</v>
      </c>
      <c r="J696" t="s">
        <v>30</v>
      </c>
    </row>
    <row r="697" spans="1:10" x14ac:dyDescent="0.25">
      <c r="A697" s="1">
        <v>7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"2026-04-08 08:39:37.187"</f>
        <v>2026-04-08 08:39:37.187</v>
      </c>
      <c r="H697" t="s">
        <v>21</v>
      </c>
      <c r="I697">
        <v>0</v>
      </c>
      <c r="J697" t="s">
        <v>22</v>
      </c>
    </row>
    <row r="698" spans="1:10" x14ac:dyDescent="0.25">
      <c r="A698" s="1">
        <v>8</v>
      </c>
      <c r="B698" t="s">
        <v>19</v>
      </c>
      <c r="C698">
        <v>706</v>
      </c>
      <c r="D698">
        <v>3</v>
      </c>
      <c r="E698" t="s">
        <v>28</v>
      </c>
      <c r="F698" t="s">
        <v>43</v>
      </c>
      <c r="G698" t="str">
        <f>"2026-04-08 08:37:50.029"</f>
        <v>2026-04-08 08:37:50.029</v>
      </c>
      <c r="H698" t="s">
        <v>21</v>
      </c>
      <c r="I698">
        <v>0</v>
      </c>
      <c r="J698" t="s">
        <v>30</v>
      </c>
    </row>
    <row r="699" spans="1:10" x14ac:dyDescent="0.25">
      <c r="A699" s="1">
        <v>9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"2026-04-08 08:35:34.359"</f>
        <v>2026-04-08 08:35:34.359</v>
      </c>
      <c r="H699" t="s">
        <v>21</v>
      </c>
    </row>
    <row r="700" spans="1:10" x14ac:dyDescent="0.25">
      <c r="A700" s="1">
        <v>12</v>
      </c>
      <c r="B700" t="s">
        <v>26</v>
      </c>
      <c r="C700">
        <v>629</v>
      </c>
      <c r="D700">
        <v>1</v>
      </c>
      <c r="E700" t="s">
        <v>56</v>
      </c>
      <c r="F700" t="s">
        <v>57</v>
      </c>
      <c r="G700" t="str">
        <f>"2026-04-07 18:32:57.832"</f>
        <v>2026-04-07 18:32:57.832</v>
      </c>
      <c r="H700" t="s">
        <v>21</v>
      </c>
      <c r="I700">
        <v>0</v>
      </c>
      <c r="J700" t="s">
        <v>34</v>
      </c>
    </row>
    <row r="701" spans="1:10" x14ac:dyDescent="0.25">
      <c r="A701" s="1">
        <v>13</v>
      </c>
      <c r="B701" t="s">
        <v>19</v>
      </c>
      <c r="C701">
        <v>782</v>
      </c>
      <c r="D701">
        <v>7</v>
      </c>
      <c r="E701" t="s">
        <v>58</v>
      </c>
      <c r="F701" t="s">
        <v>59</v>
      </c>
      <c r="G701" t="str">
        <f>"2026-04-07 18:32:57.830"</f>
        <v>2026-04-07 18:32:57.830</v>
      </c>
      <c r="H701" t="s">
        <v>21</v>
      </c>
      <c r="I701">
        <v>0</v>
      </c>
      <c r="J701" t="s">
        <v>34</v>
      </c>
    </row>
    <row r="702" spans="1:10" x14ac:dyDescent="0.25">
      <c r="A702" s="1">
        <v>16</v>
      </c>
      <c r="B702" t="s">
        <v>23</v>
      </c>
      <c r="C702">
        <v>629</v>
      </c>
      <c r="D702">
        <v>1</v>
      </c>
      <c r="E702" t="s">
        <v>56</v>
      </c>
      <c r="F702" t="s">
        <v>57</v>
      </c>
      <c r="G702" t="str">
        <f>"2026-04-07 18:32:57.822"</f>
        <v>2026-04-07 18:32:57.822</v>
      </c>
      <c r="H702" t="s">
        <v>21</v>
      </c>
    </row>
    <row r="703" spans="1:10" x14ac:dyDescent="0.25">
      <c r="A703" s="1">
        <v>17</v>
      </c>
      <c r="B703" t="s">
        <v>19</v>
      </c>
      <c r="C703">
        <v>782</v>
      </c>
      <c r="D703">
        <v>7</v>
      </c>
      <c r="E703" t="s">
        <v>58</v>
      </c>
      <c r="F703" t="s">
        <v>59</v>
      </c>
      <c r="G703" t="str">
        <f>"2026-04-07 18:32:57.821"</f>
        <v>2026-04-07 18:32:57.821</v>
      </c>
      <c r="H703" t="s">
        <v>21</v>
      </c>
      <c r="I703">
        <v>0</v>
      </c>
      <c r="J703" t="s">
        <v>34</v>
      </c>
    </row>
    <row r="704" spans="1:10" x14ac:dyDescent="0.25">
      <c r="A704" s="1">
        <v>18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"2026-04-07 10:53:19.231"</f>
        <v>2026-04-07 10:53:19.231</v>
      </c>
      <c r="H704" t="s">
        <v>21</v>
      </c>
      <c r="I704">
        <v>0</v>
      </c>
      <c r="J704" t="s">
        <v>22</v>
      </c>
    </row>
    <row r="705" spans="1:10" x14ac:dyDescent="0.25">
      <c r="A705" s="1">
        <v>19</v>
      </c>
      <c r="B705" t="s">
        <v>23</v>
      </c>
      <c r="C705">
        <v>635</v>
      </c>
      <c r="D705">
        <v>1</v>
      </c>
      <c r="E705" t="s">
        <v>31</v>
      </c>
      <c r="F705" t="s">
        <v>32</v>
      </c>
      <c r="G705" t="str">
        <f>"2026-04-06 15:13:54.756"</f>
        <v>2026-04-06 15:13:54.756</v>
      </c>
      <c r="H705" t="s">
        <v>21</v>
      </c>
    </row>
    <row r="706" spans="1:10" x14ac:dyDescent="0.25">
      <c r="A706" s="1">
        <v>20</v>
      </c>
      <c r="B706" t="s">
        <v>26</v>
      </c>
      <c r="C706">
        <v>635</v>
      </c>
      <c r="D706">
        <v>1</v>
      </c>
      <c r="E706" t="s">
        <v>31</v>
      </c>
      <c r="F706" t="s">
        <v>32</v>
      </c>
      <c r="G706" t="str">
        <f>"2026-04-06 15:09:23.256"</f>
        <v>2026-04-06 15:09:23.256</v>
      </c>
      <c r="H706" t="s">
        <v>21</v>
      </c>
      <c r="I706">
        <v>9.32</v>
      </c>
      <c r="J706" t="s">
        <v>27</v>
      </c>
    </row>
    <row r="707" spans="1:10" x14ac:dyDescent="0.25">
      <c r="A707" s="1">
        <v>21</v>
      </c>
      <c r="B707" t="s">
        <v>23</v>
      </c>
      <c r="C707">
        <v>635</v>
      </c>
      <c r="D707">
        <v>1</v>
      </c>
      <c r="E707" t="s">
        <v>31</v>
      </c>
      <c r="F707" t="s">
        <v>32</v>
      </c>
      <c r="G707" t="str">
        <f>"2026-04-06 10:27:44.356"</f>
        <v>2026-04-06 10:27:44.356</v>
      </c>
      <c r="H707" t="s">
        <v>21</v>
      </c>
    </row>
    <row r="708" spans="1:10" x14ac:dyDescent="0.25">
      <c r="A708" s="1">
        <v>22</v>
      </c>
      <c r="B708" t="s">
        <v>26</v>
      </c>
      <c r="C708">
        <v>635</v>
      </c>
      <c r="D708">
        <v>1</v>
      </c>
      <c r="E708" t="s">
        <v>31</v>
      </c>
      <c r="F708" t="s">
        <v>32</v>
      </c>
      <c r="G708" t="str">
        <f>"2026-04-06 10:23:10.356"</f>
        <v>2026-04-06 10:23:10.356</v>
      </c>
      <c r="H708" t="s">
        <v>21</v>
      </c>
      <c r="I708">
        <v>9.91</v>
      </c>
      <c r="J708" t="s">
        <v>27</v>
      </c>
    </row>
    <row r="709" spans="1:10" x14ac:dyDescent="0.25">
      <c r="A709" s="1">
        <v>23</v>
      </c>
      <c r="B709" t="s">
        <v>19</v>
      </c>
      <c r="C709">
        <v>706</v>
      </c>
      <c r="D709">
        <v>4</v>
      </c>
      <c r="E709" t="s">
        <v>28</v>
      </c>
      <c r="F709" t="s">
        <v>29</v>
      </c>
      <c r="G709" t="str">
        <f>"2026-04-06 10:05:06.333"</f>
        <v>2026-04-06 10:05:06.333</v>
      </c>
      <c r="H709" t="s">
        <v>21</v>
      </c>
      <c r="I709">
        <v>0</v>
      </c>
      <c r="J709" t="s">
        <v>30</v>
      </c>
    </row>
    <row r="710" spans="1:10" x14ac:dyDescent="0.25">
      <c r="A710" s="1">
        <v>24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"2026-04-06 10:04:37.213"</f>
        <v>2026-04-06 10:04:37.213</v>
      </c>
      <c r="H710" t="s">
        <v>21</v>
      </c>
      <c r="I710">
        <v>0</v>
      </c>
      <c r="J710" t="s">
        <v>22</v>
      </c>
    </row>
    <row r="711" spans="1:10" s="3" customFormat="1" x14ac:dyDescent="0.25">
      <c r="A711" s="2">
        <v>25</v>
      </c>
      <c r="B711" s="3" t="s">
        <v>23</v>
      </c>
      <c r="C711" s="3">
        <v>647</v>
      </c>
      <c r="D711" s="3">
        <v>1</v>
      </c>
      <c r="E711" s="3" t="s">
        <v>24</v>
      </c>
      <c r="F711" s="3" t="s">
        <v>25</v>
      </c>
      <c r="G711" s="3" t="str">
        <f>"2026-04-06 06:06:21.146"</f>
        <v>2026-04-06 06:06:21.146</v>
      </c>
      <c r="H711" s="3" t="s">
        <v>21</v>
      </c>
    </row>
    <row r="712" spans="1:10" s="3" customFormat="1" x14ac:dyDescent="0.25">
      <c r="A712" s="2">
        <v>26</v>
      </c>
      <c r="B712" s="3" t="s">
        <v>26</v>
      </c>
      <c r="C712" s="3">
        <v>647</v>
      </c>
      <c r="D712" s="3">
        <v>1</v>
      </c>
      <c r="E712" s="3" t="s">
        <v>24</v>
      </c>
      <c r="F712" s="3" t="s">
        <v>25</v>
      </c>
      <c r="G712" s="3" t="str">
        <f>"2026-04-06 06:06:16.047"</f>
        <v>2026-04-06 06:06:16.047</v>
      </c>
      <c r="H712" s="3" t="s">
        <v>21</v>
      </c>
      <c r="I712" s="3">
        <v>10.06</v>
      </c>
      <c r="J712" s="3" t="s">
        <v>27</v>
      </c>
    </row>
    <row r="713" spans="1:10" x14ac:dyDescent="0.25">
      <c r="A713" s="1">
        <v>27</v>
      </c>
      <c r="B713" t="s">
        <v>19</v>
      </c>
      <c r="C713">
        <v>706</v>
      </c>
      <c r="D713">
        <v>2</v>
      </c>
      <c r="E713" t="s">
        <v>28</v>
      </c>
      <c r="F713" t="s">
        <v>39</v>
      </c>
      <c r="G713" t="str">
        <f>"2026-04-05 10:55:33.919"</f>
        <v>2026-04-05 10:55:33.919</v>
      </c>
      <c r="H713" t="s">
        <v>21</v>
      </c>
      <c r="I713">
        <v>0</v>
      </c>
      <c r="J713" t="s">
        <v>30</v>
      </c>
    </row>
    <row r="714" spans="1:10" x14ac:dyDescent="0.25">
      <c r="A714" s="1">
        <v>28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"2026-04-05 10:55:13.189"</f>
        <v>2026-04-05 10:55:13.189</v>
      </c>
      <c r="H714" t="s">
        <v>21</v>
      </c>
    </row>
    <row r="715" spans="1:10" x14ac:dyDescent="0.25">
      <c r="A715" s="1">
        <v>29</v>
      </c>
      <c r="B715" t="s">
        <v>26</v>
      </c>
      <c r="C715">
        <v>629</v>
      </c>
      <c r="D715">
        <v>1</v>
      </c>
      <c r="E715" t="s">
        <v>56</v>
      </c>
      <c r="F715" t="s">
        <v>57</v>
      </c>
      <c r="G715" t="str">
        <f>"2026-04-05 09:24:00.527"</f>
        <v>2026-04-05 09:24:00.527</v>
      </c>
      <c r="H715" t="s">
        <v>21</v>
      </c>
      <c r="I715">
        <v>0.02</v>
      </c>
      <c r="J715" t="s">
        <v>34</v>
      </c>
    </row>
    <row r="716" spans="1:10" x14ac:dyDescent="0.25">
      <c r="A716" s="1">
        <v>31</v>
      </c>
      <c r="B716" t="s">
        <v>19</v>
      </c>
      <c r="C716">
        <v>706</v>
      </c>
      <c r="D716">
        <v>4</v>
      </c>
      <c r="E716" t="s">
        <v>28</v>
      </c>
      <c r="F716" t="s">
        <v>29</v>
      </c>
      <c r="G716" t="str">
        <f>"2026-04-04 11:54:30.247"</f>
        <v>2026-04-04 11:54:30.247</v>
      </c>
      <c r="H716" t="s">
        <v>21</v>
      </c>
      <c r="I716">
        <v>0</v>
      </c>
      <c r="J716" t="s">
        <v>30</v>
      </c>
    </row>
    <row r="717" spans="1:10" x14ac:dyDescent="0.25">
      <c r="A717" s="1">
        <v>32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"2026-04-04 11:53:40.167"</f>
        <v>2026-04-04 11:53:40.167</v>
      </c>
      <c r="H717" t="s">
        <v>21</v>
      </c>
    </row>
    <row r="718" spans="1:10" x14ac:dyDescent="0.25">
      <c r="A718" s="1">
        <v>33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"2026-04-04 11:38:09.172"</f>
        <v>2026-04-04 11:38:09.172</v>
      </c>
      <c r="H718" t="s">
        <v>21</v>
      </c>
    </row>
    <row r="719" spans="1:10" x14ac:dyDescent="0.25">
      <c r="A719" s="1">
        <v>34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"2026-04-04 11:22:02.229"</f>
        <v>2026-04-04 11:22:02.229</v>
      </c>
      <c r="H719" t="s">
        <v>21</v>
      </c>
    </row>
    <row r="720" spans="1:10" x14ac:dyDescent="0.25">
      <c r="A720" s="1">
        <v>35</v>
      </c>
      <c r="B720" t="s">
        <v>23</v>
      </c>
      <c r="C720">
        <v>630</v>
      </c>
      <c r="D720">
        <v>5</v>
      </c>
      <c r="E720" t="s">
        <v>35</v>
      </c>
      <c r="F720" t="s">
        <v>36</v>
      </c>
      <c r="G720" t="str">
        <f>"2026-04-04 10:21:31.080"</f>
        <v>2026-04-04 10:21:31.080</v>
      </c>
      <c r="H720" t="s">
        <v>37</v>
      </c>
    </row>
    <row r="721" spans="1:10" x14ac:dyDescent="0.25">
      <c r="A721" s="1">
        <v>36</v>
      </c>
      <c r="B721" t="s">
        <v>19</v>
      </c>
      <c r="C721">
        <v>706</v>
      </c>
      <c r="D721">
        <v>4</v>
      </c>
      <c r="E721" t="s">
        <v>28</v>
      </c>
      <c r="F721" t="s">
        <v>29</v>
      </c>
      <c r="G721" t="str">
        <f>"2026-04-04 10:21:01.032"</f>
        <v>2026-04-04 10:21:01.032</v>
      </c>
      <c r="H721" t="s">
        <v>21</v>
      </c>
      <c r="I721">
        <v>0</v>
      </c>
      <c r="J721" t="s">
        <v>30</v>
      </c>
    </row>
    <row r="722" spans="1:10" x14ac:dyDescent="0.25">
      <c r="A722" s="1">
        <v>37</v>
      </c>
      <c r="B722" t="s">
        <v>19</v>
      </c>
      <c r="C722">
        <v>706</v>
      </c>
      <c r="D722">
        <v>4</v>
      </c>
      <c r="E722" t="s">
        <v>28</v>
      </c>
      <c r="F722" t="s">
        <v>29</v>
      </c>
      <c r="G722" t="str">
        <f>"2026-04-04 10:16:58.732"</f>
        <v>2026-04-04 10:16:58.732</v>
      </c>
      <c r="H722" t="s">
        <v>21</v>
      </c>
      <c r="I722">
        <v>0</v>
      </c>
      <c r="J722" t="s">
        <v>30</v>
      </c>
    </row>
    <row r="723" spans="1:10" x14ac:dyDescent="0.25">
      <c r="A723" s="1">
        <v>38</v>
      </c>
      <c r="B723" t="s">
        <v>38</v>
      </c>
      <c r="C723">
        <v>630</v>
      </c>
      <c r="D723">
        <v>5</v>
      </c>
      <c r="E723" t="s">
        <v>35</v>
      </c>
      <c r="F723" t="s">
        <v>36</v>
      </c>
      <c r="G723" t="str">
        <f>"2026-04-04 10:16:46.981"</f>
        <v>2026-04-04 10:16:46.981</v>
      </c>
      <c r="H723" t="s">
        <v>37</v>
      </c>
      <c r="I723">
        <v>0</v>
      </c>
      <c r="J723" t="s">
        <v>30</v>
      </c>
    </row>
    <row r="724" spans="1:10" x14ac:dyDescent="0.25">
      <c r="A724" s="1">
        <v>39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"2026-04-04 10:11:44.192"</f>
        <v>2026-04-04 10:11:44.192</v>
      </c>
      <c r="H724" t="s">
        <v>21</v>
      </c>
    </row>
    <row r="725" spans="1:10" x14ac:dyDescent="0.25">
      <c r="A725" s="1">
        <v>40</v>
      </c>
      <c r="B725" t="s">
        <v>38</v>
      </c>
      <c r="C725">
        <v>630</v>
      </c>
      <c r="D725">
        <v>5</v>
      </c>
      <c r="E725" t="s">
        <v>35</v>
      </c>
      <c r="F725" t="s">
        <v>36</v>
      </c>
      <c r="G725" t="str">
        <f>"2026-04-04 08:43:23.730"</f>
        <v>2026-04-04 08:43:23.730</v>
      </c>
      <c r="H725" t="s">
        <v>37</v>
      </c>
      <c r="I725">
        <v>0</v>
      </c>
      <c r="J725" t="s">
        <v>30</v>
      </c>
    </row>
    <row r="726" spans="1:10" s="3" customFormat="1" x14ac:dyDescent="0.25">
      <c r="A726" s="2">
        <v>41</v>
      </c>
      <c r="B726" s="3" t="s">
        <v>23</v>
      </c>
      <c r="C726" s="3">
        <v>647</v>
      </c>
      <c r="D726" s="3">
        <v>1</v>
      </c>
      <c r="E726" s="3" t="s">
        <v>24</v>
      </c>
      <c r="F726" s="3" t="s">
        <v>25</v>
      </c>
      <c r="G726" s="3" t="str">
        <f>"2026-04-04 04:25:23.530"</f>
        <v>2026-04-04 04:25:23.530</v>
      </c>
      <c r="H726" s="3" t="s">
        <v>21</v>
      </c>
    </row>
    <row r="727" spans="1:10" s="3" customFormat="1" x14ac:dyDescent="0.25">
      <c r="A727" s="2">
        <v>42</v>
      </c>
      <c r="B727" s="3" t="s">
        <v>26</v>
      </c>
      <c r="C727" s="3">
        <v>647</v>
      </c>
      <c r="D727" s="3">
        <v>1</v>
      </c>
      <c r="E727" s="3" t="s">
        <v>24</v>
      </c>
      <c r="F727" s="3" t="s">
        <v>25</v>
      </c>
      <c r="G727" s="3" t="str">
        <f>"2026-04-04 04:25:17.430"</f>
        <v>2026-04-04 04:25:17.430</v>
      </c>
      <c r="H727" s="3" t="s">
        <v>21</v>
      </c>
      <c r="I727" s="3">
        <v>21.23</v>
      </c>
      <c r="J727" s="3" t="s">
        <v>27</v>
      </c>
    </row>
    <row r="728" spans="1:10" s="3" customFormat="1" x14ac:dyDescent="0.25">
      <c r="A728" s="2">
        <v>43</v>
      </c>
      <c r="B728" s="3" t="s">
        <v>23</v>
      </c>
      <c r="C728" s="3">
        <v>647</v>
      </c>
      <c r="D728" s="3">
        <v>1</v>
      </c>
      <c r="E728" s="3" t="s">
        <v>24</v>
      </c>
      <c r="F728" s="3" t="s">
        <v>25</v>
      </c>
      <c r="G728" s="3" t="str">
        <f>"2026-04-03 11:01:13.830"</f>
        <v>2026-04-03 11:01:13.830</v>
      </c>
      <c r="H728" s="3" t="s">
        <v>21</v>
      </c>
    </row>
    <row r="729" spans="1:10" s="3" customFormat="1" x14ac:dyDescent="0.25">
      <c r="A729" s="2">
        <v>44</v>
      </c>
      <c r="B729" s="3" t="s">
        <v>26</v>
      </c>
      <c r="C729" s="3">
        <v>647</v>
      </c>
      <c r="D729" s="3">
        <v>1</v>
      </c>
      <c r="E729" s="3" t="s">
        <v>24</v>
      </c>
      <c r="F729" s="3" t="s">
        <v>25</v>
      </c>
      <c r="G729" s="3" t="str">
        <f>"2026-04-03 11:01:10.731"</f>
        <v>2026-04-03 11:01:10.731</v>
      </c>
      <c r="H729" s="3" t="s">
        <v>21</v>
      </c>
      <c r="I729" s="3">
        <v>15.51</v>
      </c>
      <c r="J729" s="3" t="s">
        <v>27</v>
      </c>
    </row>
    <row r="730" spans="1:10" x14ac:dyDescent="0.25">
      <c r="A730" s="1">
        <v>45</v>
      </c>
      <c r="B730" t="s">
        <v>19</v>
      </c>
      <c r="C730">
        <v>706</v>
      </c>
      <c r="D730">
        <v>4</v>
      </c>
      <c r="E730" t="s">
        <v>28</v>
      </c>
      <c r="F730" t="s">
        <v>29</v>
      </c>
      <c r="G730" t="str">
        <f>"2026-04-03 08:57:21.042"</f>
        <v>2026-04-03 08:57:21.042</v>
      </c>
      <c r="H730" t="s">
        <v>21</v>
      </c>
      <c r="I730">
        <v>0</v>
      </c>
      <c r="J730" t="s">
        <v>30</v>
      </c>
    </row>
    <row r="731" spans="1:10" x14ac:dyDescent="0.25">
      <c r="A731" s="1">
        <v>46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"2026-04-03 08:55:45.182"</f>
        <v>2026-04-03 08:55:45.182</v>
      </c>
      <c r="H731" t="s">
        <v>21</v>
      </c>
      <c r="I731">
        <v>0</v>
      </c>
      <c r="J731" t="s">
        <v>22</v>
      </c>
    </row>
    <row r="732" spans="1:10" s="3" customFormat="1" x14ac:dyDescent="0.25">
      <c r="A732" s="2">
        <v>47</v>
      </c>
      <c r="B732" s="3" t="s">
        <v>23</v>
      </c>
      <c r="C732" s="3">
        <v>647</v>
      </c>
      <c r="D732" s="3">
        <v>1</v>
      </c>
      <c r="E732" s="3" t="s">
        <v>24</v>
      </c>
      <c r="F732" s="3" t="s">
        <v>25</v>
      </c>
      <c r="G732" s="3" t="str">
        <f>"2026-04-03 06:31:40.319"</f>
        <v>2026-04-03 06:31:40.319</v>
      </c>
      <c r="H732" s="3" t="s">
        <v>21</v>
      </c>
    </row>
    <row r="733" spans="1:10" s="3" customFormat="1" x14ac:dyDescent="0.25">
      <c r="A733" s="2">
        <v>48</v>
      </c>
      <c r="B733" s="3" t="s">
        <v>26</v>
      </c>
      <c r="C733" s="3">
        <v>647</v>
      </c>
      <c r="D733" s="3">
        <v>1</v>
      </c>
      <c r="E733" s="3" t="s">
        <v>24</v>
      </c>
      <c r="F733" s="3" t="s">
        <v>25</v>
      </c>
      <c r="G733" s="3" t="str">
        <f>"2026-04-03 06:31:30.019"</f>
        <v>2026-04-03 06:31:30.019</v>
      </c>
      <c r="H733" s="3" t="s">
        <v>21</v>
      </c>
      <c r="I733" s="3">
        <v>12.29</v>
      </c>
      <c r="J733" s="3" t="s">
        <v>27</v>
      </c>
    </row>
    <row r="734" spans="1:10" x14ac:dyDescent="0.25">
      <c r="A734" s="1">
        <v>49</v>
      </c>
      <c r="B734" t="s">
        <v>23</v>
      </c>
      <c r="C734">
        <v>635</v>
      </c>
      <c r="D734">
        <v>1</v>
      </c>
      <c r="E734" t="s">
        <v>31</v>
      </c>
      <c r="F734" t="s">
        <v>32</v>
      </c>
      <c r="G734" t="str">
        <f>"2026-04-02 16:27:24.319"</f>
        <v>2026-04-02 16:27:24.319</v>
      </c>
      <c r="H734" t="s">
        <v>21</v>
      </c>
    </row>
    <row r="735" spans="1:10" x14ac:dyDescent="0.25">
      <c r="A735" s="1">
        <v>50</v>
      </c>
      <c r="B735" t="s">
        <v>26</v>
      </c>
      <c r="C735">
        <v>635</v>
      </c>
      <c r="D735">
        <v>1</v>
      </c>
      <c r="E735" t="s">
        <v>31</v>
      </c>
      <c r="F735" t="s">
        <v>32</v>
      </c>
      <c r="G735" t="str">
        <f>"2026-04-02 16:25:08.319"</f>
        <v>2026-04-02 16:25:08.319</v>
      </c>
      <c r="H735" t="s">
        <v>21</v>
      </c>
      <c r="I735">
        <v>1.1299999999999999</v>
      </c>
      <c r="J735" t="s">
        <v>34</v>
      </c>
    </row>
    <row r="736" spans="1:10" x14ac:dyDescent="0.25">
      <c r="A736" s="1">
        <v>51</v>
      </c>
      <c r="B736" t="s">
        <v>19</v>
      </c>
      <c r="C736">
        <v>706</v>
      </c>
      <c r="D736">
        <v>2</v>
      </c>
      <c r="E736" t="s">
        <v>28</v>
      </c>
      <c r="F736" t="s">
        <v>39</v>
      </c>
      <c r="G736" t="str">
        <f>"2026-04-02 15:41:12.721"</f>
        <v>2026-04-02 15:41:12.721</v>
      </c>
      <c r="H736" t="s">
        <v>21</v>
      </c>
      <c r="I736">
        <v>0</v>
      </c>
      <c r="J736" t="s">
        <v>30</v>
      </c>
    </row>
    <row r="737" spans="1:10" x14ac:dyDescent="0.25">
      <c r="A737" s="1">
        <v>52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"2026-04-02 15:40:27.171"</f>
        <v>2026-04-02 15:40:27.171</v>
      </c>
      <c r="H737" t="s">
        <v>21</v>
      </c>
      <c r="I737">
        <v>0</v>
      </c>
      <c r="J737" t="s">
        <v>22</v>
      </c>
    </row>
    <row r="738" spans="1:10" x14ac:dyDescent="0.25">
      <c r="A738" s="1">
        <v>53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"2026-04-02 08:58:52.167"</f>
        <v>2026-04-02 08:58:52.167</v>
      </c>
      <c r="H738" t="s">
        <v>21</v>
      </c>
    </row>
    <row r="739" spans="1:10" s="3" customFormat="1" x14ac:dyDescent="0.25">
      <c r="A739" s="2">
        <v>54</v>
      </c>
      <c r="B739" s="3" t="s">
        <v>23</v>
      </c>
      <c r="C739" s="3">
        <v>647</v>
      </c>
      <c r="D739" s="3">
        <v>1</v>
      </c>
      <c r="E739" s="3" t="s">
        <v>24</v>
      </c>
      <c r="F739" s="3" t="s">
        <v>25</v>
      </c>
      <c r="G739" s="3" t="str">
        <f>"2026-04-02 02:11:38.146"</f>
        <v>2026-04-02 02:11:38.146</v>
      </c>
      <c r="H739" s="3" t="s">
        <v>21</v>
      </c>
    </row>
    <row r="740" spans="1:10" s="3" customFormat="1" x14ac:dyDescent="0.25">
      <c r="A740" s="2">
        <v>55</v>
      </c>
      <c r="B740" s="3" t="s">
        <v>26</v>
      </c>
      <c r="C740" s="3">
        <v>647</v>
      </c>
      <c r="D740" s="3">
        <v>1</v>
      </c>
      <c r="E740" s="3" t="s">
        <v>24</v>
      </c>
      <c r="F740" s="3" t="s">
        <v>25</v>
      </c>
      <c r="G740" s="3" t="str">
        <f>"2026-04-02 02:11:31.647"</f>
        <v>2026-04-02 02:11:31.647</v>
      </c>
      <c r="H740" s="3" t="s">
        <v>21</v>
      </c>
      <c r="I740" s="3">
        <v>11.49</v>
      </c>
      <c r="J740" s="3" t="s">
        <v>27</v>
      </c>
    </row>
    <row r="741" spans="1:10" x14ac:dyDescent="0.25">
      <c r="A741" s="1">
        <v>56</v>
      </c>
      <c r="B741" t="s">
        <v>19</v>
      </c>
      <c r="C741">
        <v>706</v>
      </c>
      <c r="D741">
        <v>4</v>
      </c>
      <c r="E741" t="s">
        <v>28</v>
      </c>
      <c r="F741" t="s">
        <v>29</v>
      </c>
      <c r="G741" t="str">
        <f>"2026-04-01 10:41:40.849"</f>
        <v>2026-04-01 10:41:40.849</v>
      </c>
      <c r="H741" t="s">
        <v>21</v>
      </c>
      <c r="I741">
        <v>0</v>
      </c>
      <c r="J741" t="s">
        <v>30</v>
      </c>
    </row>
    <row r="742" spans="1:10" x14ac:dyDescent="0.25">
      <c r="A742" s="1">
        <v>57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"2026-04-01 10:41:13.199"</f>
        <v>2026-04-01 10:41:13.199</v>
      </c>
      <c r="H742" t="s">
        <v>21</v>
      </c>
      <c r="I742">
        <v>0</v>
      </c>
      <c r="J742" t="s">
        <v>22</v>
      </c>
    </row>
    <row r="743" spans="1:10" s="3" customFormat="1" x14ac:dyDescent="0.25">
      <c r="A743" s="2">
        <v>58</v>
      </c>
      <c r="B743" s="3" t="s">
        <v>23</v>
      </c>
      <c r="C743" s="3">
        <v>647</v>
      </c>
      <c r="D743" s="3">
        <v>1</v>
      </c>
      <c r="E743" s="3" t="s">
        <v>24</v>
      </c>
      <c r="F743" s="3" t="s">
        <v>25</v>
      </c>
      <c r="G743" s="3" t="str">
        <f>"2026-03-31 20:46:49.433"</f>
        <v>2026-03-31 20:46:49.433</v>
      </c>
      <c r="H743" s="3" t="s">
        <v>21</v>
      </c>
    </row>
    <row r="744" spans="1:10" s="3" customFormat="1" x14ac:dyDescent="0.25">
      <c r="A744" s="2">
        <v>59</v>
      </c>
      <c r="B744" s="3" t="s">
        <v>26</v>
      </c>
      <c r="C744" s="3">
        <v>647</v>
      </c>
      <c r="D744" s="3">
        <v>1</v>
      </c>
      <c r="E744" s="3" t="s">
        <v>24</v>
      </c>
      <c r="F744" s="3" t="s">
        <v>25</v>
      </c>
      <c r="G744" s="3" t="str">
        <f>"2026-03-31 20:46:47.934"</f>
        <v>2026-03-31 20:46:47.934</v>
      </c>
      <c r="H744" s="3" t="s">
        <v>21</v>
      </c>
      <c r="I744" s="3">
        <v>12.95</v>
      </c>
      <c r="J744" s="3" t="s">
        <v>27</v>
      </c>
    </row>
    <row r="745" spans="1:10" x14ac:dyDescent="0.25">
      <c r="A745" s="1">
        <v>60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"2026-03-31 11:25:42.186"</f>
        <v>2026-03-31 11:25:42.186</v>
      </c>
      <c r="H745" t="s">
        <v>21</v>
      </c>
    </row>
    <row r="746" spans="1:10" s="3" customFormat="1" x14ac:dyDescent="0.25">
      <c r="A746" s="2">
        <v>61</v>
      </c>
      <c r="B746" s="3" t="s">
        <v>23</v>
      </c>
      <c r="C746" s="3">
        <v>647</v>
      </c>
      <c r="D746" s="3">
        <v>1</v>
      </c>
      <c r="E746" s="3" t="s">
        <v>24</v>
      </c>
      <c r="F746" s="3" t="s">
        <v>25</v>
      </c>
      <c r="G746" s="3" t="str">
        <f>"2026-03-31 01:24:57.244"</f>
        <v>2026-03-31 01:24:57.244</v>
      </c>
      <c r="H746" s="3" t="s">
        <v>21</v>
      </c>
    </row>
    <row r="747" spans="1:10" s="3" customFormat="1" x14ac:dyDescent="0.25">
      <c r="A747" s="2">
        <v>62</v>
      </c>
      <c r="B747" s="3" t="s">
        <v>26</v>
      </c>
      <c r="C747" s="3">
        <v>647</v>
      </c>
      <c r="D747" s="3">
        <v>1</v>
      </c>
      <c r="E747" s="3" t="s">
        <v>24</v>
      </c>
      <c r="F747" s="3" t="s">
        <v>25</v>
      </c>
      <c r="G747" s="3" t="str">
        <f>"2026-03-31 01:24:51.145"</f>
        <v>2026-03-31 01:24:51.145</v>
      </c>
      <c r="H747" s="3" t="s">
        <v>21</v>
      </c>
      <c r="I747" s="3">
        <v>9.6199999999999992</v>
      </c>
      <c r="J747" s="3" t="s">
        <v>34</v>
      </c>
    </row>
    <row r="748" spans="1:10" s="3" customFormat="1" x14ac:dyDescent="0.25">
      <c r="A748" s="2">
        <v>63</v>
      </c>
      <c r="B748" s="3" t="s">
        <v>23</v>
      </c>
      <c r="C748" s="3">
        <v>647</v>
      </c>
      <c r="D748" s="3">
        <v>1</v>
      </c>
      <c r="E748" s="3" t="s">
        <v>24</v>
      </c>
      <c r="F748" s="3" t="s">
        <v>25</v>
      </c>
      <c r="G748" s="3" t="str">
        <f>"2026-03-30 22:28:49.545"</f>
        <v>2026-03-30 22:28:49.545</v>
      </c>
      <c r="H748" s="3" t="s">
        <v>21</v>
      </c>
    </row>
    <row r="749" spans="1:10" s="3" customFormat="1" x14ac:dyDescent="0.25">
      <c r="A749" s="2">
        <v>64</v>
      </c>
      <c r="B749" s="3" t="s">
        <v>26</v>
      </c>
      <c r="C749" s="3">
        <v>647</v>
      </c>
      <c r="D749" s="3">
        <v>1</v>
      </c>
      <c r="E749" s="3" t="s">
        <v>24</v>
      </c>
      <c r="F749" s="3" t="s">
        <v>25</v>
      </c>
      <c r="G749" s="3" t="str">
        <f>"2026-03-30 22:28:42.445"</f>
        <v>2026-03-30 22:28:42.445</v>
      </c>
      <c r="H749" s="3" t="s">
        <v>21</v>
      </c>
      <c r="I749" s="3">
        <v>14.39</v>
      </c>
      <c r="J749" s="3" t="s">
        <v>27</v>
      </c>
    </row>
    <row r="750" spans="1:10" s="3" customFormat="1" x14ac:dyDescent="0.25">
      <c r="A750" s="2">
        <v>65</v>
      </c>
      <c r="B750" s="3" t="s">
        <v>23</v>
      </c>
      <c r="C750" s="3">
        <v>647</v>
      </c>
      <c r="D750" s="3">
        <v>1</v>
      </c>
      <c r="E750" s="3" t="s">
        <v>24</v>
      </c>
      <c r="F750" s="3" t="s">
        <v>25</v>
      </c>
      <c r="G750" s="3" t="str">
        <f>"2026-03-30 21:40:41.045"</f>
        <v>2026-03-30 21:40:41.045</v>
      </c>
      <c r="H750" s="3" t="s">
        <v>21</v>
      </c>
    </row>
    <row r="751" spans="1:10" s="3" customFormat="1" x14ac:dyDescent="0.25">
      <c r="A751" s="2">
        <v>66</v>
      </c>
      <c r="B751" s="3" t="s">
        <v>26</v>
      </c>
      <c r="C751" s="3">
        <v>647</v>
      </c>
      <c r="D751" s="3">
        <v>1</v>
      </c>
      <c r="E751" s="3" t="s">
        <v>24</v>
      </c>
      <c r="F751" s="3" t="s">
        <v>25</v>
      </c>
      <c r="G751" s="3" t="str">
        <f>"2026-03-30 21:40:39.545"</f>
        <v>2026-03-30 21:40:39.545</v>
      </c>
      <c r="H751" s="3" t="s">
        <v>21</v>
      </c>
      <c r="I751" s="3">
        <v>16.96</v>
      </c>
      <c r="J751" s="3" t="s">
        <v>27</v>
      </c>
    </row>
    <row r="752" spans="1:10" s="3" customFormat="1" x14ac:dyDescent="0.25">
      <c r="A752" s="2">
        <v>67</v>
      </c>
      <c r="B752" s="3" t="s">
        <v>23</v>
      </c>
      <c r="C752" s="3">
        <v>647</v>
      </c>
      <c r="D752" s="3">
        <v>1</v>
      </c>
      <c r="E752" s="3" t="s">
        <v>24</v>
      </c>
      <c r="F752" s="3" t="s">
        <v>25</v>
      </c>
      <c r="G752" s="3" t="str">
        <f>"2026-03-30 20:03:24.745"</f>
        <v>2026-03-30 20:03:24.745</v>
      </c>
      <c r="H752" s="3" t="s">
        <v>21</v>
      </c>
    </row>
    <row r="753" spans="1:10" s="3" customFormat="1" x14ac:dyDescent="0.25">
      <c r="A753" s="2">
        <v>68</v>
      </c>
      <c r="B753" s="3" t="s">
        <v>26</v>
      </c>
      <c r="C753" s="3">
        <v>647</v>
      </c>
      <c r="D753" s="3">
        <v>1</v>
      </c>
      <c r="E753" s="3" t="s">
        <v>24</v>
      </c>
      <c r="F753" s="3" t="s">
        <v>25</v>
      </c>
      <c r="G753" s="3" t="str">
        <f>"2026-03-30 20:03:16.345"</f>
        <v>2026-03-30 20:03:16.345</v>
      </c>
      <c r="H753" s="3" t="s">
        <v>21</v>
      </c>
      <c r="I753" s="3">
        <v>12.53</v>
      </c>
      <c r="J753" s="3" t="s">
        <v>27</v>
      </c>
    </row>
    <row r="754" spans="1:10" x14ac:dyDescent="0.25">
      <c r="A754" s="1">
        <v>69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"2026-03-30 10:35:09.176"</f>
        <v>2026-03-30 10:35:09.176</v>
      </c>
      <c r="H754" t="s">
        <v>21</v>
      </c>
    </row>
    <row r="755" spans="1:10" x14ac:dyDescent="0.25">
      <c r="A755" s="1">
        <v>70</v>
      </c>
      <c r="B755" t="s">
        <v>23</v>
      </c>
      <c r="C755">
        <v>635</v>
      </c>
      <c r="D755">
        <v>1</v>
      </c>
      <c r="E755" t="s">
        <v>31</v>
      </c>
      <c r="F755" t="s">
        <v>32</v>
      </c>
      <c r="G755" t="str">
        <f>"2026-03-30 01:10:35.367"</f>
        <v>2026-03-30 01:10:35.367</v>
      </c>
      <c r="H755" t="s">
        <v>21</v>
      </c>
    </row>
    <row r="756" spans="1:10" x14ac:dyDescent="0.25">
      <c r="A756" s="1">
        <v>71</v>
      </c>
      <c r="B756" t="s">
        <v>26</v>
      </c>
      <c r="C756">
        <v>635</v>
      </c>
      <c r="D756">
        <v>1</v>
      </c>
      <c r="E756" t="s">
        <v>31</v>
      </c>
      <c r="F756" t="s">
        <v>32</v>
      </c>
      <c r="G756" t="str">
        <f>"2026-03-30 01:06:09.867"</f>
        <v>2026-03-30 01:06:09.867</v>
      </c>
      <c r="H756" t="s">
        <v>21</v>
      </c>
      <c r="I756">
        <v>3.2</v>
      </c>
      <c r="J756" t="s">
        <v>33</v>
      </c>
    </row>
    <row r="757" spans="1:10" s="3" customFormat="1" x14ac:dyDescent="0.25">
      <c r="A757" s="2">
        <v>72</v>
      </c>
      <c r="B757" s="3" t="s">
        <v>23</v>
      </c>
      <c r="C757" s="3">
        <v>647</v>
      </c>
      <c r="D757" s="3">
        <v>1</v>
      </c>
      <c r="E757" s="3" t="s">
        <v>24</v>
      </c>
      <c r="F757" s="3" t="s">
        <v>25</v>
      </c>
      <c r="G757" s="3" t="str">
        <f>"2026-03-29 20:09:24.968"</f>
        <v>2026-03-29 20:09:24.968</v>
      </c>
      <c r="H757" s="3" t="s">
        <v>21</v>
      </c>
    </row>
    <row r="758" spans="1:10" s="3" customFormat="1" x14ac:dyDescent="0.25">
      <c r="A758" s="2">
        <v>73</v>
      </c>
      <c r="B758" s="3" t="s">
        <v>26</v>
      </c>
      <c r="C758" s="3">
        <v>647</v>
      </c>
      <c r="D758" s="3">
        <v>1</v>
      </c>
      <c r="E758" s="3" t="s">
        <v>24</v>
      </c>
      <c r="F758" s="3" t="s">
        <v>25</v>
      </c>
      <c r="G758" s="3" t="str">
        <f>"2026-03-29 20:09:22.868"</f>
        <v>2026-03-29 20:09:22.868</v>
      </c>
      <c r="H758" s="3" t="s">
        <v>21</v>
      </c>
      <c r="I758" s="3">
        <v>12.56</v>
      </c>
      <c r="J758" s="3" t="s">
        <v>27</v>
      </c>
    </row>
    <row r="759" spans="1:10" x14ac:dyDescent="0.25">
      <c r="A759" s="1">
        <v>74</v>
      </c>
      <c r="B759" t="s">
        <v>23</v>
      </c>
      <c r="C759">
        <v>635</v>
      </c>
      <c r="D759">
        <v>1</v>
      </c>
      <c r="E759" t="s">
        <v>31</v>
      </c>
      <c r="F759" t="s">
        <v>32</v>
      </c>
      <c r="G759" t="str">
        <f>"2026-03-29 18:46:29.267"</f>
        <v>2026-03-29 18:46:29.267</v>
      </c>
      <c r="H759" t="s">
        <v>21</v>
      </c>
    </row>
    <row r="760" spans="1:10" x14ac:dyDescent="0.25">
      <c r="A760" s="1">
        <v>75</v>
      </c>
      <c r="B760" t="s">
        <v>26</v>
      </c>
      <c r="C760">
        <v>635</v>
      </c>
      <c r="D760">
        <v>1</v>
      </c>
      <c r="E760" t="s">
        <v>31</v>
      </c>
      <c r="F760" t="s">
        <v>32</v>
      </c>
      <c r="G760" t="str">
        <f>"2026-03-29 18:41:29.767"</f>
        <v>2026-03-29 18:41:29.767</v>
      </c>
      <c r="H760" t="s">
        <v>21</v>
      </c>
      <c r="I760">
        <v>6.05</v>
      </c>
      <c r="J760" t="s">
        <v>33</v>
      </c>
    </row>
    <row r="761" spans="1:10" x14ac:dyDescent="0.25">
      <c r="A761" s="1">
        <v>76</v>
      </c>
      <c r="B761" t="s">
        <v>19</v>
      </c>
      <c r="C761">
        <v>706</v>
      </c>
      <c r="D761">
        <v>4</v>
      </c>
      <c r="E761" t="s">
        <v>28</v>
      </c>
      <c r="F761" t="s">
        <v>29</v>
      </c>
      <c r="G761" t="str">
        <f>"2026-03-29 13:26:09.256"</f>
        <v>2026-03-29 13:26:09.256</v>
      </c>
      <c r="H761" t="s">
        <v>21</v>
      </c>
      <c r="I761">
        <v>0</v>
      </c>
      <c r="J761" t="s">
        <v>30</v>
      </c>
    </row>
    <row r="762" spans="1:10" x14ac:dyDescent="0.25">
      <c r="A762" s="1">
        <v>77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"2026-03-29 13:25:55.216"</f>
        <v>2026-03-29 13:25:55.216</v>
      </c>
      <c r="H762" t="s">
        <v>21</v>
      </c>
      <c r="I762">
        <v>0</v>
      </c>
      <c r="J762" t="s">
        <v>22</v>
      </c>
    </row>
    <row r="763" spans="1:10" s="3" customFormat="1" x14ac:dyDescent="0.25">
      <c r="A763" s="2">
        <v>78</v>
      </c>
      <c r="B763" s="3" t="s">
        <v>23</v>
      </c>
      <c r="C763" s="3">
        <v>647</v>
      </c>
      <c r="D763" s="3">
        <v>1</v>
      </c>
      <c r="E763" s="3" t="s">
        <v>24</v>
      </c>
      <c r="F763" s="3" t="s">
        <v>25</v>
      </c>
      <c r="G763" s="3" t="str">
        <f>"2026-03-29 08:52:58.727"</f>
        <v>2026-03-29 08:52:58.727</v>
      </c>
      <c r="H763" s="3" t="s">
        <v>21</v>
      </c>
    </row>
    <row r="764" spans="1:10" s="3" customFormat="1" x14ac:dyDescent="0.25">
      <c r="A764" s="2">
        <v>79</v>
      </c>
      <c r="B764" s="3" t="s">
        <v>26</v>
      </c>
      <c r="C764" s="3">
        <v>647</v>
      </c>
      <c r="D764" s="3">
        <v>1</v>
      </c>
      <c r="E764" s="3" t="s">
        <v>24</v>
      </c>
      <c r="F764" s="3" t="s">
        <v>25</v>
      </c>
      <c r="G764" s="3" t="str">
        <f>"2026-03-29 08:52:55.427"</f>
        <v>2026-03-29 08:52:55.427</v>
      </c>
      <c r="H764" s="3" t="s">
        <v>21</v>
      </c>
      <c r="I764" s="3">
        <v>15.09</v>
      </c>
      <c r="J764" s="3" t="s">
        <v>27</v>
      </c>
    </row>
    <row r="765" spans="1:10" s="3" customFormat="1" x14ac:dyDescent="0.25">
      <c r="A765" s="2">
        <v>80</v>
      </c>
      <c r="B765" s="3" t="s">
        <v>23</v>
      </c>
      <c r="C765" s="3">
        <v>647</v>
      </c>
      <c r="D765" s="3">
        <v>1</v>
      </c>
      <c r="E765" s="3" t="s">
        <v>24</v>
      </c>
      <c r="F765" s="3" t="s">
        <v>25</v>
      </c>
      <c r="G765" s="3" t="str">
        <f>"2026-03-29 07:22:16.327"</f>
        <v>2026-03-29 07:22:16.327</v>
      </c>
      <c r="H765" s="3" t="s">
        <v>21</v>
      </c>
    </row>
    <row r="766" spans="1:10" s="3" customFormat="1" x14ac:dyDescent="0.25">
      <c r="A766" s="2">
        <v>81</v>
      </c>
      <c r="B766" s="3" t="s">
        <v>26</v>
      </c>
      <c r="C766" s="3">
        <v>647</v>
      </c>
      <c r="D766" s="3">
        <v>1</v>
      </c>
      <c r="E766" s="3" t="s">
        <v>24</v>
      </c>
      <c r="F766" s="3" t="s">
        <v>25</v>
      </c>
      <c r="G766" s="3" t="str">
        <f>"2026-03-29 07:22:08.227"</f>
        <v>2026-03-29 07:22:08.227</v>
      </c>
      <c r="H766" s="3" t="s">
        <v>21</v>
      </c>
      <c r="I766" s="3">
        <v>8.41</v>
      </c>
      <c r="J766" s="3" t="s">
        <v>27</v>
      </c>
    </row>
    <row r="767" spans="1:10" s="3" customFormat="1" x14ac:dyDescent="0.25">
      <c r="A767" s="2">
        <v>83</v>
      </c>
      <c r="B767" s="3" t="s">
        <v>23</v>
      </c>
      <c r="C767" s="3">
        <v>647</v>
      </c>
      <c r="D767" s="3">
        <v>1</v>
      </c>
      <c r="E767" s="3" t="s">
        <v>24</v>
      </c>
      <c r="F767" s="3" t="s">
        <v>25</v>
      </c>
      <c r="G767" s="3" t="str">
        <f>"2026-03-28 21:39:22.627"</f>
        <v>2026-03-28 21:39:22.627</v>
      </c>
      <c r="H767" s="3" t="s">
        <v>21</v>
      </c>
    </row>
    <row r="768" spans="1:10" s="3" customFormat="1" x14ac:dyDescent="0.25">
      <c r="A768" s="2">
        <v>84</v>
      </c>
      <c r="B768" s="3" t="s">
        <v>26</v>
      </c>
      <c r="C768" s="3">
        <v>647</v>
      </c>
      <c r="D768" s="3">
        <v>1</v>
      </c>
      <c r="E768" s="3" t="s">
        <v>24</v>
      </c>
      <c r="F768" s="3" t="s">
        <v>25</v>
      </c>
      <c r="G768" s="3" t="str">
        <f>"2026-03-28 21:39:14.527"</f>
        <v>2026-03-28 21:39:14.527</v>
      </c>
      <c r="H768" s="3" t="s">
        <v>21</v>
      </c>
      <c r="I768" s="3">
        <v>13.51</v>
      </c>
      <c r="J768" s="3" t="s">
        <v>27</v>
      </c>
    </row>
    <row r="769" spans="1:10" x14ac:dyDescent="0.25">
      <c r="A769" s="1">
        <v>85</v>
      </c>
      <c r="B769" t="s">
        <v>23</v>
      </c>
      <c r="C769">
        <v>635</v>
      </c>
      <c r="D769">
        <v>1</v>
      </c>
      <c r="E769" t="s">
        <v>31</v>
      </c>
      <c r="F769" t="s">
        <v>32</v>
      </c>
      <c r="G769" t="str">
        <f>"2026-03-28 15:00:49.973"</f>
        <v>2026-03-28 15:00:49.973</v>
      </c>
      <c r="H769" t="s">
        <v>21</v>
      </c>
    </row>
    <row r="770" spans="1:10" x14ac:dyDescent="0.25">
      <c r="A770" s="1">
        <v>86</v>
      </c>
      <c r="B770" t="s">
        <v>26</v>
      </c>
      <c r="C770">
        <v>635</v>
      </c>
      <c r="D770">
        <v>1</v>
      </c>
      <c r="E770" t="s">
        <v>31</v>
      </c>
      <c r="F770" t="s">
        <v>32</v>
      </c>
      <c r="G770" t="str">
        <f>"2026-03-28 14:56:17.973"</f>
        <v>2026-03-28 14:56:17.973</v>
      </c>
      <c r="H770" t="s">
        <v>21</v>
      </c>
      <c r="I770">
        <v>10.36</v>
      </c>
      <c r="J770" t="s">
        <v>27</v>
      </c>
    </row>
    <row r="771" spans="1:10" x14ac:dyDescent="0.25">
      <c r="A771" s="1">
        <v>87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"2026-03-28 11:37:49.155"</f>
        <v>2026-03-28 11:37:49.155</v>
      </c>
      <c r="H771" t="s">
        <v>21</v>
      </c>
    </row>
    <row r="772" spans="1:10" x14ac:dyDescent="0.25">
      <c r="A772" s="1">
        <v>88</v>
      </c>
      <c r="B772" t="s">
        <v>23</v>
      </c>
      <c r="C772">
        <v>635</v>
      </c>
      <c r="D772">
        <v>1</v>
      </c>
      <c r="E772" t="s">
        <v>31</v>
      </c>
      <c r="F772" t="s">
        <v>32</v>
      </c>
      <c r="G772" t="str">
        <f>"2026-03-27 12:03:06.060"</f>
        <v>2026-03-27 12:03:06.060</v>
      </c>
      <c r="H772" t="s">
        <v>21</v>
      </c>
    </row>
    <row r="773" spans="1:10" x14ac:dyDescent="0.25">
      <c r="A773" s="1">
        <v>89</v>
      </c>
      <c r="B773" t="s">
        <v>26</v>
      </c>
      <c r="C773">
        <v>635</v>
      </c>
      <c r="D773">
        <v>1</v>
      </c>
      <c r="E773" t="s">
        <v>31</v>
      </c>
      <c r="F773" t="s">
        <v>32</v>
      </c>
      <c r="G773" t="str">
        <f>"2026-03-27 11:59:21.060"</f>
        <v>2026-03-27 11:59:21.060</v>
      </c>
      <c r="H773" t="s">
        <v>21</v>
      </c>
      <c r="I773">
        <v>8.69</v>
      </c>
      <c r="J773" t="s">
        <v>34</v>
      </c>
    </row>
    <row r="774" spans="1:10" x14ac:dyDescent="0.25">
      <c r="A774" s="1">
        <v>90</v>
      </c>
      <c r="B774" t="s">
        <v>19</v>
      </c>
      <c r="C774">
        <v>706</v>
      </c>
      <c r="D774">
        <v>4</v>
      </c>
      <c r="E774" t="s">
        <v>28</v>
      </c>
      <c r="F774" t="s">
        <v>29</v>
      </c>
      <c r="G774" t="str">
        <f>"2026-03-27 09:27:23.443"</f>
        <v>2026-03-27 09:27:23.443</v>
      </c>
      <c r="H774" t="s">
        <v>21</v>
      </c>
      <c r="I774">
        <v>0</v>
      </c>
      <c r="J774" t="s">
        <v>30</v>
      </c>
    </row>
    <row r="775" spans="1:10" x14ac:dyDescent="0.25">
      <c r="A775" s="1">
        <v>91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"2026-03-27 09:27:08.203"</f>
        <v>2026-03-27 09:27:08.203</v>
      </c>
      <c r="H775" t="s">
        <v>21</v>
      </c>
      <c r="I775">
        <v>0</v>
      </c>
      <c r="J775" t="s">
        <v>22</v>
      </c>
    </row>
    <row r="776" spans="1:10" x14ac:dyDescent="0.25">
      <c r="A776" s="1">
        <v>92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"2026-03-26 13:19:35.172"</f>
        <v>2026-03-26 13:19:35.172</v>
      </c>
      <c r="H776" t="s">
        <v>21</v>
      </c>
      <c r="I776">
        <v>0</v>
      </c>
      <c r="J776" t="s">
        <v>22</v>
      </c>
    </row>
    <row r="777" spans="1:10" s="3" customFormat="1" x14ac:dyDescent="0.25">
      <c r="A777" s="2">
        <v>93</v>
      </c>
      <c r="B777" s="3" t="s">
        <v>23</v>
      </c>
      <c r="C777" s="3">
        <v>647</v>
      </c>
      <c r="D777" s="3">
        <v>1</v>
      </c>
      <c r="E777" s="3" t="s">
        <v>24</v>
      </c>
      <c r="F777" s="3" t="s">
        <v>25</v>
      </c>
      <c r="G777" s="3" t="str">
        <f>"2026-03-26 10:01:10.252"</f>
        <v>2026-03-26 10:01:10.252</v>
      </c>
      <c r="H777" s="3" t="s">
        <v>21</v>
      </c>
    </row>
    <row r="778" spans="1:10" s="3" customFormat="1" x14ac:dyDescent="0.25">
      <c r="A778" s="2">
        <v>94</v>
      </c>
      <c r="B778" s="3" t="s">
        <v>26</v>
      </c>
      <c r="C778" s="3">
        <v>647</v>
      </c>
      <c r="D778" s="3">
        <v>1</v>
      </c>
      <c r="E778" s="3" t="s">
        <v>24</v>
      </c>
      <c r="F778" s="3" t="s">
        <v>25</v>
      </c>
      <c r="G778" s="3" t="str">
        <f>"2026-03-26 10:01:03.552"</f>
        <v>2026-03-26 10:01:03.552</v>
      </c>
      <c r="H778" s="3" t="s">
        <v>21</v>
      </c>
      <c r="I778" s="3">
        <v>22.8</v>
      </c>
      <c r="J778" s="3" t="s">
        <v>27</v>
      </c>
    </row>
    <row r="779" spans="1:10" x14ac:dyDescent="0.25">
      <c r="A779" s="1">
        <v>95</v>
      </c>
      <c r="B779" t="s">
        <v>23</v>
      </c>
      <c r="C779">
        <v>635</v>
      </c>
      <c r="D779">
        <v>1</v>
      </c>
      <c r="E779" t="s">
        <v>31</v>
      </c>
      <c r="F779" t="s">
        <v>32</v>
      </c>
      <c r="G779" t="str">
        <f>"2026-03-25 22:23:21.352"</f>
        <v>2026-03-25 22:23:21.352</v>
      </c>
      <c r="H779" t="s">
        <v>21</v>
      </c>
    </row>
    <row r="780" spans="1:10" x14ac:dyDescent="0.25">
      <c r="A780" s="1">
        <v>96</v>
      </c>
      <c r="B780" t="s">
        <v>26</v>
      </c>
      <c r="C780">
        <v>635</v>
      </c>
      <c r="D780">
        <v>1</v>
      </c>
      <c r="E780" t="s">
        <v>31</v>
      </c>
      <c r="F780" t="s">
        <v>32</v>
      </c>
      <c r="G780" t="str">
        <f>"2026-03-25 22:18:26.852"</f>
        <v>2026-03-25 22:18:26.852</v>
      </c>
      <c r="H780" t="s">
        <v>21</v>
      </c>
      <c r="I780">
        <v>0</v>
      </c>
      <c r="J780" t="s">
        <v>34</v>
      </c>
    </row>
    <row r="781" spans="1:10" x14ac:dyDescent="0.25">
      <c r="A781" s="1">
        <v>97</v>
      </c>
      <c r="B781" t="s">
        <v>19</v>
      </c>
      <c r="C781">
        <v>706</v>
      </c>
      <c r="D781">
        <v>2</v>
      </c>
      <c r="E781" t="s">
        <v>28</v>
      </c>
      <c r="F781" t="s">
        <v>39</v>
      </c>
      <c r="G781" t="str">
        <f>"2026-03-25 10:07:31.134"</f>
        <v>2026-03-25 10:07:31.134</v>
      </c>
      <c r="H781" t="s">
        <v>21</v>
      </c>
      <c r="I781">
        <v>0</v>
      </c>
      <c r="J781" t="s">
        <v>30</v>
      </c>
    </row>
    <row r="782" spans="1:10" x14ac:dyDescent="0.25">
      <c r="A782" s="1">
        <v>98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"2026-03-25 10:06:48.194"</f>
        <v>2026-03-25 10:06:48.194</v>
      </c>
      <c r="H782" t="s">
        <v>21</v>
      </c>
      <c r="I782">
        <v>0</v>
      </c>
      <c r="J782" t="s">
        <v>22</v>
      </c>
    </row>
    <row r="783" spans="1:10" x14ac:dyDescent="0.25">
      <c r="A783" s="1">
        <v>99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"2026-03-24 22:32:59.216"</f>
        <v>2026-03-24 22:32:59.216</v>
      </c>
      <c r="H783" t="s">
        <v>21</v>
      </c>
      <c r="I783">
        <v>0</v>
      </c>
      <c r="J783" t="s">
        <v>22</v>
      </c>
    </row>
    <row r="784" spans="1:10" s="3" customFormat="1" x14ac:dyDescent="0.25">
      <c r="A784" s="2">
        <v>0</v>
      </c>
      <c r="B784" s="3" t="s">
        <v>23</v>
      </c>
      <c r="C784" s="3">
        <v>647</v>
      </c>
      <c r="D784" s="3">
        <v>1</v>
      </c>
      <c r="E784" s="3" t="s">
        <v>24</v>
      </c>
      <c r="F784" s="3" t="s">
        <v>25</v>
      </c>
      <c r="G784" s="3" t="str">
        <f>"2026-03-24 22:20:26.345"</f>
        <v>2026-03-24 22:20:26.345</v>
      </c>
      <c r="H784" s="3" t="s">
        <v>21</v>
      </c>
    </row>
    <row r="785" spans="1:10" s="3" customFormat="1" x14ac:dyDescent="0.25">
      <c r="A785" s="2">
        <v>1</v>
      </c>
      <c r="B785" s="3" t="s">
        <v>26</v>
      </c>
      <c r="C785" s="3">
        <v>647</v>
      </c>
      <c r="D785" s="3">
        <v>1</v>
      </c>
      <c r="E785" s="3" t="s">
        <v>24</v>
      </c>
      <c r="F785" s="3" t="s">
        <v>25</v>
      </c>
      <c r="G785" s="3" t="str">
        <f>"2026-03-24 22:20:20.045"</f>
        <v>2026-03-24 22:20:20.045</v>
      </c>
      <c r="H785" s="3" t="s">
        <v>21</v>
      </c>
      <c r="I785" s="3">
        <v>16.27</v>
      </c>
      <c r="J785" s="3" t="s">
        <v>27</v>
      </c>
    </row>
    <row r="786" spans="1:10" s="3" customFormat="1" x14ac:dyDescent="0.25">
      <c r="A786" s="2">
        <v>2</v>
      </c>
      <c r="B786" s="3" t="s">
        <v>23</v>
      </c>
      <c r="C786" s="3">
        <v>647</v>
      </c>
      <c r="D786" s="3">
        <v>1</v>
      </c>
      <c r="E786" s="3" t="s">
        <v>24</v>
      </c>
      <c r="F786" s="3" t="s">
        <v>25</v>
      </c>
      <c r="G786" s="3" t="str">
        <f>"2026-03-24 21:02:55.545"</f>
        <v>2026-03-24 21:02:55.545</v>
      </c>
      <c r="H786" s="3" t="s">
        <v>21</v>
      </c>
    </row>
    <row r="787" spans="1:10" s="3" customFormat="1" x14ac:dyDescent="0.25">
      <c r="A787" s="2">
        <v>3</v>
      </c>
      <c r="B787" s="3" t="s">
        <v>26</v>
      </c>
      <c r="C787" s="3">
        <v>647</v>
      </c>
      <c r="D787" s="3">
        <v>1</v>
      </c>
      <c r="E787" s="3" t="s">
        <v>24</v>
      </c>
      <c r="F787" s="3" t="s">
        <v>25</v>
      </c>
      <c r="G787" s="3" t="str">
        <f>"2026-03-24 21:02:54.045"</f>
        <v>2026-03-24 21:02:54.045</v>
      </c>
      <c r="H787" s="3" t="s">
        <v>21</v>
      </c>
      <c r="I787" s="3">
        <v>10.82</v>
      </c>
      <c r="J787" s="3" t="s">
        <v>27</v>
      </c>
    </row>
    <row r="788" spans="1:10" x14ac:dyDescent="0.25">
      <c r="A788" s="1">
        <v>4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"2026-03-24 18:40:50.163"</f>
        <v>2026-03-24 18:40:50.163</v>
      </c>
      <c r="H788" t="s">
        <v>21</v>
      </c>
    </row>
    <row r="789" spans="1:10" x14ac:dyDescent="0.25">
      <c r="A789" s="1">
        <v>5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"2026-03-24 17:46:42.171"</f>
        <v>2026-03-24 17:46:42.171</v>
      </c>
      <c r="H789" t="s">
        <v>21</v>
      </c>
      <c r="I789">
        <v>0</v>
      </c>
      <c r="J789" t="s">
        <v>22</v>
      </c>
    </row>
    <row r="790" spans="1:10" x14ac:dyDescent="0.25">
      <c r="A790" s="1">
        <v>6</v>
      </c>
      <c r="B790" t="s">
        <v>19</v>
      </c>
      <c r="C790">
        <v>706</v>
      </c>
      <c r="D790">
        <v>4</v>
      </c>
      <c r="E790" t="s">
        <v>28</v>
      </c>
      <c r="F790" t="s">
        <v>29</v>
      </c>
      <c r="G790" t="str">
        <f>"2026-03-24 17:01:44.395"</f>
        <v>2026-03-24 17:01:44.395</v>
      </c>
      <c r="H790" t="s">
        <v>21</v>
      </c>
      <c r="I790">
        <v>0</v>
      </c>
      <c r="J790" t="s">
        <v>30</v>
      </c>
    </row>
    <row r="791" spans="1:10" x14ac:dyDescent="0.25">
      <c r="A791" s="1">
        <v>7</v>
      </c>
      <c r="B791" t="s">
        <v>19</v>
      </c>
      <c r="C791">
        <v>706</v>
      </c>
      <c r="D791">
        <v>2</v>
      </c>
      <c r="E791" t="s">
        <v>28</v>
      </c>
      <c r="F791" t="s">
        <v>39</v>
      </c>
      <c r="G791" t="str">
        <f>"2026-03-24 17:00:59.685"</f>
        <v>2026-03-24 17:00:59.685</v>
      </c>
      <c r="H791" t="s">
        <v>21</v>
      </c>
      <c r="I791">
        <v>0</v>
      </c>
      <c r="J791" t="s">
        <v>30</v>
      </c>
    </row>
    <row r="792" spans="1:10" x14ac:dyDescent="0.25">
      <c r="A792" s="1">
        <v>8</v>
      </c>
      <c r="B792" t="s">
        <v>19</v>
      </c>
      <c r="C792">
        <v>706</v>
      </c>
      <c r="D792">
        <v>2</v>
      </c>
      <c r="E792" t="s">
        <v>28</v>
      </c>
      <c r="F792" t="s">
        <v>39</v>
      </c>
      <c r="G792" t="str">
        <f>"2026-03-24 16:54:32.085"</f>
        <v>2026-03-24 16:54:32.085</v>
      </c>
      <c r="H792" t="s">
        <v>21</v>
      </c>
      <c r="I792">
        <v>0</v>
      </c>
      <c r="J792" t="s">
        <v>30</v>
      </c>
    </row>
    <row r="793" spans="1:10" x14ac:dyDescent="0.25">
      <c r="A793" s="1">
        <v>9</v>
      </c>
      <c r="B793" t="s">
        <v>19</v>
      </c>
      <c r="C793">
        <v>706</v>
      </c>
      <c r="D793">
        <v>2</v>
      </c>
      <c r="E793" t="s">
        <v>28</v>
      </c>
      <c r="F793" t="s">
        <v>39</v>
      </c>
      <c r="G793" t="str">
        <f>"2026-03-24 16:45:32.485"</f>
        <v>2026-03-24 16:45:32.485</v>
      </c>
      <c r="H793" t="s">
        <v>21</v>
      </c>
      <c r="I793">
        <v>0</v>
      </c>
      <c r="J793" t="s">
        <v>30</v>
      </c>
    </row>
    <row r="794" spans="1:10" x14ac:dyDescent="0.25">
      <c r="A794" s="1">
        <v>10</v>
      </c>
      <c r="B794" t="s">
        <v>23</v>
      </c>
      <c r="C794">
        <v>630</v>
      </c>
      <c r="D794">
        <v>5</v>
      </c>
      <c r="E794" t="s">
        <v>35</v>
      </c>
      <c r="F794" t="s">
        <v>36</v>
      </c>
      <c r="G794" t="str">
        <f>"2026-03-24 16:45:03.486"</f>
        <v>2026-03-24 16:45:03.486</v>
      </c>
      <c r="H794" t="s">
        <v>37</v>
      </c>
    </row>
    <row r="795" spans="1:10" x14ac:dyDescent="0.25">
      <c r="A795" s="1">
        <v>11</v>
      </c>
      <c r="B795" t="s">
        <v>19</v>
      </c>
      <c r="C795">
        <v>706</v>
      </c>
      <c r="D795">
        <v>4</v>
      </c>
      <c r="E795" t="s">
        <v>28</v>
      </c>
      <c r="F795" t="s">
        <v>29</v>
      </c>
      <c r="G795" t="str">
        <f>"2026-03-24 16:44:33.435"</f>
        <v>2026-03-24 16:44:33.435</v>
      </c>
      <c r="H795" t="s">
        <v>21</v>
      </c>
      <c r="I795">
        <v>0</v>
      </c>
      <c r="J795" t="s">
        <v>30</v>
      </c>
    </row>
    <row r="796" spans="1:10" x14ac:dyDescent="0.25">
      <c r="A796" s="1">
        <v>12</v>
      </c>
      <c r="B796" t="s">
        <v>38</v>
      </c>
      <c r="C796">
        <v>630</v>
      </c>
      <c r="D796">
        <v>5</v>
      </c>
      <c r="E796" t="s">
        <v>35</v>
      </c>
      <c r="F796" t="s">
        <v>36</v>
      </c>
      <c r="G796" t="str">
        <f>"2026-03-24 16:41:55.886"</f>
        <v>2026-03-24 16:41:55.886</v>
      </c>
      <c r="H796" t="s">
        <v>37</v>
      </c>
      <c r="I796">
        <v>0</v>
      </c>
      <c r="J796" t="s">
        <v>30</v>
      </c>
    </row>
    <row r="797" spans="1:10" x14ac:dyDescent="0.25">
      <c r="A797" s="1">
        <v>13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"2026-03-24 16:36:53.185"</f>
        <v>2026-03-24 16:36:53.185</v>
      </c>
      <c r="H797" t="s">
        <v>21</v>
      </c>
      <c r="I797">
        <v>0</v>
      </c>
      <c r="J797" t="s">
        <v>22</v>
      </c>
    </row>
    <row r="798" spans="1:10" x14ac:dyDescent="0.25">
      <c r="A798" s="1">
        <v>14</v>
      </c>
      <c r="B798" t="s">
        <v>38</v>
      </c>
      <c r="C798">
        <v>630</v>
      </c>
      <c r="D798">
        <v>5</v>
      </c>
      <c r="E798" t="s">
        <v>35</v>
      </c>
      <c r="F798" t="s">
        <v>36</v>
      </c>
      <c r="G798" t="str">
        <f>"2026-03-24 15:38:12.949"</f>
        <v>2026-03-24 15:38:12.949</v>
      </c>
      <c r="H798" t="s">
        <v>37</v>
      </c>
      <c r="I798">
        <v>0</v>
      </c>
      <c r="J798" t="s">
        <v>30</v>
      </c>
    </row>
    <row r="799" spans="1:10" x14ac:dyDescent="0.25">
      <c r="A799" s="1">
        <v>15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"2026-03-24 15:33:10.167"</f>
        <v>2026-03-24 15:33:10.167</v>
      </c>
      <c r="H799" t="s">
        <v>21</v>
      </c>
    </row>
    <row r="800" spans="1:10" x14ac:dyDescent="0.25">
      <c r="A800" s="1">
        <v>16</v>
      </c>
      <c r="B800" t="s">
        <v>19</v>
      </c>
      <c r="C800">
        <v>706</v>
      </c>
      <c r="D800">
        <v>4</v>
      </c>
      <c r="E800" t="s">
        <v>28</v>
      </c>
      <c r="F800" t="s">
        <v>29</v>
      </c>
      <c r="G800" t="str">
        <f>"2026-03-24 14:09:16.037"</f>
        <v>2026-03-24 14:09:16.037</v>
      </c>
      <c r="H800" t="s">
        <v>21</v>
      </c>
      <c r="I800">
        <v>0</v>
      </c>
      <c r="J800" t="s">
        <v>30</v>
      </c>
    </row>
    <row r="801" spans="1:10" x14ac:dyDescent="0.25">
      <c r="A801" s="1">
        <v>17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"2026-03-24 14:08:24.187"</f>
        <v>2026-03-24 14:08:24.187</v>
      </c>
      <c r="H801" t="s">
        <v>21</v>
      </c>
    </row>
    <row r="802" spans="1:10" s="3" customFormat="1" x14ac:dyDescent="0.25">
      <c r="A802" s="2">
        <v>18</v>
      </c>
      <c r="B802" s="3" t="s">
        <v>23</v>
      </c>
      <c r="C802" s="3">
        <v>647</v>
      </c>
      <c r="D802" s="3">
        <v>1</v>
      </c>
      <c r="E802" s="3" t="s">
        <v>24</v>
      </c>
      <c r="F802" s="3" t="s">
        <v>25</v>
      </c>
      <c r="G802" s="3" t="str">
        <f>"2026-03-24 02:05:40.713"</f>
        <v>2026-03-24 02:05:40.713</v>
      </c>
      <c r="H802" s="3" t="s">
        <v>21</v>
      </c>
    </row>
    <row r="803" spans="1:10" s="3" customFormat="1" x14ac:dyDescent="0.25">
      <c r="A803" s="2">
        <v>19</v>
      </c>
      <c r="B803" s="3" t="s">
        <v>26</v>
      </c>
      <c r="C803" s="3">
        <v>647</v>
      </c>
      <c r="D803" s="3">
        <v>1</v>
      </c>
      <c r="E803" s="3" t="s">
        <v>24</v>
      </c>
      <c r="F803" s="3" t="s">
        <v>25</v>
      </c>
      <c r="G803" s="3" t="str">
        <f>"2026-03-24 02:05:38.413"</f>
        <v>2026-03-24 02:05:38.413</v>
      </c>
      <c r="H803" s="3" t="s">
        <v>21</v>
      </c>
      <c r="I803" s="3">
        <v>9.5399999999999991</v>
      </c>
      <c r="J803" s="3" t="s">
        <v>34</v>
      </c>
    </row>
    <row r="804" spans="1:10" s="3" customFormat="1" x14ac:dyDescent="0.25">
      <c r="A804" s="2">
        <v>20</v>
      </c>
      <c r="B804" s="3" t="s">
        <v>23</v>
      </c>
      <c r="C804" s="3">
        <v>647</v>
      </c>
      <c r="D804" s="3">
        <v>1</v>
      </c>
      <c r="E804" s="3" t="s">
        <v>24</v>
      </c>
      <c r="F804" s="3" t="s">
        <v>25</v>
      </c>
      <c r="G804" s="3" t="str">
        <f>"2026-03-24 01:43:53.413"</f>
        <v>2026-03-24 01:43:53.413</v>
      </c>
      <c r="H804" s="3" t="s">
        <v>21</v>
      </c>
    </row>
    <row r="805" spans="1:10" s="3" customFormat="1" x14ac:dyDescent="0.25">
      <c r="A805" s="2">
        <v>21</v>
      </c>
      <c r="B805" s="3" t="s">
        <v>26</v>
      </c>
      <c r="C805" s="3">
        <v>647</v>
      </c>
      <c r="D805" s="3">
        <v>1</v>
      </c>
      <c r="E805" s="3" t="s">
        <v>24</v>
      </c>
      <c r="F805" s="3" t="s">
        <v>25</v>
      </c>
      <c r="G805" s="3" t="str">
        <f>"2026-03-24 01:43:51.913"</f>
        <v>2026-03-24 01:43:51.913</v>
      </c>
      <c r="H805" s="3" t="s">
        <v>21</v>
      </c>
      <c r="I805" s="3">
        <v>15.88</v>
      </c>
      <c r="J805" s="3" t="s">
        <v>27</v>
      </c>
    </row>
    <row r="806" spans="1:10" s="3" customFormat="1" x14ac:dyDescent="0.25">
      <c r="A806" s="2">
        <v>22</v>
      </c>
      <c r="B806" s="3" t="s">
        <v>23</v>
      </c>
      <c r="C806" s="3">
        <v>647</v>
      </c>
      <c r="D806" s="3">
        <v>1</v>
      </c>
      <c r="E806" s="3" t="s">
        <v>24</v>
      </c>
      <c r="F806" s="3" t="s">
        <v>25</v>
      </c>
      <c r="G806" s="3" t="str">
        <f>"2026-03-23 23:19:50.613"</f>
        <v>2026-03-23 23:19:50.613</v>
      </c>
      <c r="H806" s="3" t="s">
        <v>21</v>
      </c>
    </row>
    <row r="807" spans="1:10" s="3" customFormat="1" x14ac:dyDescent="0.25">
      <c r="A807" s="2">
        <v>23</v>
      </c>
      <c r="B807" s="3" t="s">
        <v>26</v>
      </c>
      <c r="C807" s="3">
        <v>647</v>
      </c>
      <c r="D807" s="3">
        <v>1</v>
      </c>
      <c r="E807" s="3" t="s">
        <v>24</v>
      </c>
      <c r="F807" s="3" t="s">
        <v>25</v>
      </c>
      <c r="G807" s="3" t="str">
        <f>"2026-03-23 23:19:15.813"</f>
        <v>2026-03-23 23:19:15.813</v>
      </c>
      <c r="H807" s="3" t="s">
        <v>21</v>
      </c>
      <c r="I807" s="3">
        <v>14.69</v>
      </c>
      <c r="J807" s="3" t="s">
        <v>27</v>
      </c>
    </row>
    <row r="808" spans="1:10" s="3" customFormat="1" x14ac:dyDescent="0.25">
      <c r="A808" s="2">
        <v>24</v>
      </c>
      <c r="B808" s="3" t="s">
        <v>23</v>
      </c>
      <c r="C808" s="3">
        <v>647</v>
      </c>
      <c r="D808" s="3">
        <v>1</v>
      </c>
      <c r="E808" s="3" t="s">
        <v>24</v>
      </c>
      <c r="F808" s="3" t="s">
        <v>25</v>
      </c>
      <c r="G808" s="3" t="str">
        <f>"2026-03-23 23:16:40.513"</f>
        <v>2026-03-23 23:16:40.513</v>
      </c>
      <c r="H808" s="3" t="s">
        <v>21</v>
      </c>
    </row>
    <row r="809" spans="1:10" s="3" customFormat="1" x14ac:dyDescent="0.25">
      <c r="A809" s="2">
        <v>25</v>
      </c>
      <c r="B809" s="3" t="s">
        <v>26</v>
      </c>
      <c r="C809" s="3">
        <v>647</v>
      </c>
      <c r="D809" s="3">
        <v>1</v>
      </c>
      <c r="E809" s="3" t="s">
        <v>24</v>
      </c>
      <c r="F809" s="3" t="s">
        <v>25</v>
      </c>
      <c r="G809" s="3" t="str">
        <f>"2026-03-23 23:16:39.213"</f>
        <v>2026-03-23 23:16:39.213</v>
      </c>
      <c r="H809" s="3" t="s">
        <v>21</v>
      </c>
      <c r="I809" s="3">
        <v>9.2899999999999991</v>
      </c>
      <c r="J809" s="3" t="s">
        <v>34</v>
      </c>
    </row>
    <row r="810" spans="1:10" x14ac:dyDescent="0.25">
      <c r="A810" s="1">
        <v>26</v>
      </c>
      <c r="B810" t="s">
        <v>23</v>
      </c>
      <c r="C810">
        <v>635</v>
      </c>
      <c r="D810">
        <v>1</v>
      </c>
      <c r="E810" t="s">
        <v>31</v>
      </c>
      <c r="F810" t="s">
        <v>32</v>
      </c>
      <c r="G810" t="str">
        <f>"2026-03-23 21:40:40.812"</f>
        <v>2026-03-23 21:40:40.812</v>
      </c>
      <c r="H810" t="s">
        <v>21</v>
      </c>
    </row>
    <row r="811" spans="1:10" x14ac:dyDescent="0.25">
      <c r="A811" s="1">
        <v>27</v>
      </c>
      <c r="B811" t="s">
        <v>26</v>
      </c>
      <c r="C811">
        <v>635</v>
      </c>
      <c r="D811">
        <v>1</v>
      </c>
      <c r="E811" t="s">
        <v>31</v>
      </c>
      <c r="F811" t="s">
        <v>32</v>
      </c>
      <c r="G811" t="str">
        <f>"2026-03-23 21:37:12.312"</f>
        <v>2026-03-23 21:37:12.312</v>
      </c>
      <c r="H811" t="s">
        <v>21</v>
      </c>
      <c r="I811">
        <v>6.38</v>
      </c>
      <c r="J811" t="s">
        <v>33</v>
      </c>
    </row>
    <row r="812" spans="1:10" x14ac:dyDescent="0.25">
      <c r="A812" s="1">
        <v>28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"2026-03-23 13:12:30.141"</f>
        <v>2026-03-23 13:12:30.141</v>
      </c>
      <c r="H812" t="s">
        <v>21</v>
      </c>
      <c r="I812">
        <v>0</v>
      </c>
      <c r="J812" t="s">
        <v>22</v>
      </c>
    </row>
    <row r="813" spans="1:10" x14ac:dyDescent="0.25">
      <c r="A813" s="1">
        <v>29</v>
      </c>
      <c r="B813" t="s">
        <v>19</v>
      </c>
      <c r="C813">
        <v>706</v>
      </c>
      <c r="D813">
        <v>2</v>
      </c>
      <c r="E813" t="s">
        <v>28</v>
      </c>
      <c r="F813" t="s">
        <v>39</v>
      </c>
      <c r="G813" t="str">
        <f>"2026-03-22 10:38:55.123"</f>
        <v>2026-03-22 10:38:55.123</v>
      </c>
      <c r="H813" t="s">
        <v>21</v>
      </c>
      <c r="I813">
        <v>0</v>
      </c>
      <c r="J813" t="s">
        <v>30</v>
      </c>
    </row>
    <row r="814" spans="1:10" x14ac:dyDescent="0.25">
      <c r="A814" s="1">
        <v>30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"2026-03-22 10:38:20.133"</f>
        <v>2026-03-22 10:38:20.133</v>
      </c>
      <c r="H814" t="s">
        <v>21</v>
      </c>
    </row>
    <row r="815" spans="1:10" x14ac:dyDescent="0.25">
      <c r="A815" s="1">
        <v>31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"2026-03-22 09:55:05.161"</f>
        <v>2026-03-22 09:55:05.161</v>
      </c>
      <c r="H815" t="s">
        <v>21</v>
      </c>
      <c r="I815">
        <v>0</v>
      </c>
      <c r="J815" t="s">
        <v>22</v>
      </c>
    </row>
    <row r="816" spans="1:10" x14ac:dyDescent="0.25">
      <c r="A816" s="1">
        <v>32</v>
      </c>
      <c r="B816" t="s">
        <v>19</v>
      </c>
      <c r="C816">
        <v>706</v>
      </c>
      <c r="D816">
        <v>4</v>
      </c>
      <c r="E816" t="s">
        <v>28</v>
      </c>
      <c r="F816" t="s">
        <v>29</v>
      </c>
      <c r="G816" t="str">
        <f>"2026-03-22 09:37:43.248"</f>
        <v>2026-03-22 09:37:43.248</v>
      </c>
      <c r="H816" t="s">
        <v>21</v>
      </c>
      <c r="I816">
        <v>0</v>
      </c>
      <c r="J816" t="s">
        <v>30</v>
      </c>
    </row>
    <row r="817" spans="1:10" x14ac:dyDescent="0.25">
      <c r="A817" s="1">
        <v>33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"2026-03-22 09:37:16.168"</f>
        <v>2026-03-22 09:37:16.168</v>
      </c>
      <c r="H817" t="s">
        <v>21</v>
      </c>
      <c r="I817">
        <v>0</v>
      </c>
      <c r="J817" t="s">
        <v>22</v>
      </c>
    </row>
    <row r="818" spans="1:10" s="3" customFormat="1" x14ac:dyDescent="0.25">
      <c r="A818" s="2">
        <v>34</v>
      </c>
      <c r="B818" s="3" t="s">
        <v>23</v>
      </c>
      <c r="C818" s="3">
        <v>647</v>
      </c>
      <c r="D818" s="3">
        <v>1</v>
      </c>
      <c r="E818" s="3" t="s">
        <v>24</v>
      </c>
      <c r="F818" s="3" t="s">
        <v>25</v>
      </c>
      <c r="G818" s="3" t="str">
        <f>"2026-03-22 02:35:22.149"</f>
        <v>2026-03-22 02:35:22.149</v>
      </c>
      <c r="H818" s="3" t="s">
        <v>21</v>
      </c>
    </row>
    <row r="819" spans="1:10" s="3" customFormat="1" x14ac:dyDescent="0.25">
      <c r="A819" s="2">
        <v>35</v>
      </c>
      <c r="B819" s="3" t="s">
        <v>26</v>
      </c>
      <c r="C819" s="3">
        <v>647</v>
      </c>
      <c r="D819" s="3">
        <v>1</v>
      </c>
      <c r="E819" s="3" t="s">
        <v>24</v>
      </c>
      <c r="F819" s="3" t="s">
        <v>25</v>
      </c>
      <c r="G819" s="3" t="str">
        <f>"2026-03-22 02:35:17.849"</f>
        <v>2026-03-22 02:35:17.849</v>
      </c>
      <c r="H819" s="3" t="s">
        <v>21</v>
      </c>
      <c r="I819" s="3">
        <v>12.69</v>
      </c>
      <c r="J819" s="3" t="s">
        <v>27</v>
      </c>
    </row>
    <row r="820" spans="1:10" s="3" customFormat="1" x14ac:dyDescent="0.25">
      <c r="A820" s="2">
        <v>36</v>
      </c>
      <c r="B820" s="3" t="s">
        <v>23</v>
      </c>
      <c r="C820" s="3">
        <v>647</v>
      </c>
      <c r="D820" s="3">
        <v>1</v>
      </c>
      <c r="E820" s="3" t="s">
        <v>24</v>
      </c>
      <c r="F820" s="3" t="s">
        <v>25</v>
      </c>
      <c r="G820" s="3" t="str">
        <f>"2026-03-22 00:54:20.950"</f>
        <v>2026-03-22 00:54:20.950</v>
      </c>
      <c r="H820" s="3" t="s">
        <v>21</v>
      </c>
    </row>
    <row r="821" spans="1:10" s="3" customFormat="1" x14ac:dyDescent="0.25">
      <c r="A821" s="2">
        <v>37</v>
      </c>
      <c r="B821" s="3" t="s">
        <v>26</v>
      </c>
      <c r="C821" s="3">
        <v>647</v>
      </c>
      <c r="D821" s="3">
        <v>1</v>
      </c>
      <c r="E821" s="3" t="s">
        <v>24</v>
      </c>
      <c r="F821" s="3" t="s">
        <v>25</v>
      </c>
      <c r="G821" s="3" t="str">
        <f>"2026-03-22 00:54:11.849"</f>
        <v>2026-03-22 00:54:11.849</v>
      </c>
      <c r="H821" s="3" t="s">
        <v>21</v>
      </c>
      <c r="I821" s="3">
        <v>16.899999999999999</v>
      </c>
      <c r="J821" s="3" t="s">
        <v>27</v>
      </c>
    </row>
    <row r="822" spans="1:10" s="3" customFormat="1" x14ac:dyDescent="0.25">
      <c r="A822" s="2">
        <v>38</v>
      </c>
      <c r="B822" s="3" t="s">
        <v>23</v>
      </c>
      <c r="C822" s="3">
        <v>647</v>
      </c>
      <c r="D822" s="3">
        <v>1</v>
      </c>
      <c r="E822" s="3" t="s">
        <v>24</v>
      </c>
      <c r="F822" s="3" t="s">
        <v>25</v>
      </c>
      <c r="G822" s="3" t="str">
        <f>"2026-03-21 23:56:39.349"</f>
        <v>2026-03-21 23:56:39.349</v>
      </c>
      <c r="H822" s="3" t="s">
        <v>21</v>
      </c>
    </row>
    <row r="823" spans="1:10" s="3" customFormat="1" x14ac:dyDescent="0.25">
      <c r="A823" s="2">
        <v>39</v>
      </c>
      <c r="B823" s="3" t="s">
        <v>26</v>
      </c>
      <c r="C823" s="3">
        <v>647</v>
      </c>
      <c r="D823" s="3">
        <v>1</v>
      </c>
      <c r="E823" s="3" t="s">
        <v>24</v>
      </c>
      <c r="F823" s="3" t="s">
        <v>25</v>
      </c>
      <c r="G823" s="3" t="str">
        <f>"2026-03-21 23:56:21.249"</f>
        <v>2026-03-21 23:56:21.249</v>
      </c>
      <c r="H823" s="3" t="s">
        <v>21</v>
      </c>
      <c r="I823" s="3">
        <v>10.89</v>
      </c>
      <c r="J823" s="3" t="s">
        <v>27</v>
      </c>
    </row>
    <row r="824" spans="1:10" s="3" customFormat="1" x14ac:dyDescent="0.25">
      <c r="A824" s="2">
        <v>40</v>
      </c>
      <c r="B824" s="3" t="s">
        <v>23</v>
      </c>
      <c r="C824" s="3">
        <v>647</v>
      </c>
      <c r="D824" s="3">
        <v>1</v>
      </c>
      <c r="E824" s="3" t="s">
        <v>24</v>
      </c>
      <c r="F824" s="3" t="s">
        <v>25</v>
      </c>
      <c r="G824" s="3" t="str">
        <f>"2026-03-21 23:20:38.549"</f>
        <v>2026-03-21 23:20:38.549</v>
      </c>
      <c r="H824" s="3" t="s">
        <v>21</v>
      </c>
    </row>
    <row r="825" spans="1:10" s="3" customFormat="1" x14ac:dyDescent="0.25">
      <c r="A825" s="2">
        <v>41</v>
      </c>
      <c r="B825" s="3" t="s">
        <v>26</v>
      </c>
      <c r="C825" s="3">
        <v>647</v>
      </c>
      <c r="D825" s="3">
        <v>1</v>
      </c>
      <c r="E825" s="3" t="s">
        <v>24</v>
      </c>
      <c r="F825" s="3" t="s">
        <v>25</v>
      </c>
      <c r="G825" s="3" t="str">
        <f>"2026-03-21 23:20:32.449"</f>
        <v>2026-03-21 23:20:32.449</v>
      </c>
      <c r="H825" s="3" t="s">
        <v>21</v>
      </c>
      <c r="I825" s="3">
        <v>13.32</v>
      </c>
      <c r="J825" s="3" t="s">
        <v>27</v>
      </c>
    </row>
    <row r="826" spans="1:10" s="3" customFormat="1" x14ac:dyDescent="0.25">
      <c r="A826" s="2">
        <v>42</v>
      </c>
      <c r="B826" s="3" t="s">
        <v>23</v>
      </c>
      <c r="C826" s="3">
        <v>647</v>
      </c>
      <c r="D826" s="3">
        <v>1</v>
      </c>
      <c r="E826" s="3" t="s">
        <v>24</v>
      </c>
      <c r="F826" s="3" t="s">
        <v>25</v>
      </c>
      <c r="G826" s="3" t="str">
        <f>"2026-03-21 21:43:43.049"</f>
        <v>2026-03-21 21:43:43.049</v>
      </c>
      <c r="H826" s="3" t="s">
        <v>21</v>
      </c>
    </row>
    <row r="827" spans="1:10" s="3" customFormat="1" x14ac:dyDescent="0.25">
      <c r="A827" s="2">
        <v>43</v>
      </c>
      <c r="B827" s="3" t="s">
        <v>26</v>
      </c>
      <c r="C827" s="3">
        <v>647</v>
      </c>
      <c r="D827" s="3">
        <v>1</v>
      </c>
      <c r="E827" s="3" t="s">
        <v>24</v>
      </c>
      <c r="F827" s="3" t="s">
        <v>25</v>
      </c>
      <c r="G827" s="3" t="str">
        <f>"2026-03-21 21:43:39.549"</f>
        <v>2026-03-21 21:43:39.549</v>
      </c>
      <c r="H827" s="3" t="s">
        <v>21</v>
      </c>
      <c r="I827" s="3">
        <v>12.49</v>
      </c>
      <c r="J827" s="3" t="s">
        <v>27</v>
      </c>
    </row>
    <row r="828" spans="1:10" s="3" customFormat="1" x14ac:dyDescent="0.25">
      <c r="A828" s="2">
        <v>44</v>
      </c>
      <c r="B828" s="3" t="s">
        <v>23</v>
      </c>
      <c r="C828" s="3">
        <v>647</v>
      </c>
      <c r="D828" s="3">
        <v>1</v>
      </c>
      <c r="E828" s="3" t="s">
        <v>24</v>
      </c>
      <c r="F828" s="3" t="s">
        <v>25</v>
      </c>
      <c r="G828" s="3" t="str">
        <f>"2026-03-21 15:42:43.749"</f>
        <v>2026-03-21 15:42:43.749</v>
      </c>
      <c r="H828" s="3" t="s">
        <v>21</v>
      </c>
    </row>
    <row r="829" spans="1:10" s="3" customFormat="1" x14ac:dyDescent="0.25">
      <c r="A829" s="2">
        <v>45</v>
      </c>
      <c r="B829" s="3" t="s">
        <v>26</v>
      </c>
      <c r="C829" s="3">
        <v>647</v>
      </c>
      <c r="D829" s="3">
        <v>1</v>
      </c>
      <c r="E829" s="3" t="s">
        <v>24</v>
      </c>
      <c r="F829" s="3" t="s">
        <v>25</v>
      </c>
      <c r="G829" s="3" t="str">
        <f>"2026-03-21 15:42:40.050"</f>
        <v>2026-03-21 15:42:40.050</v>
      </c>
      <c r="H829" s="3" t="s">
        <v>21</v>
      </c>
      <c r="I829" s="3">
        <v>15.35</v>
      </c>
      <c r="J829" s="3" t="s">
        <v>27</v>
      </c>
    </row>
    <row r="830" spans="1:10" x14ac:dyDescent="0.25">
      <c r="A830" s="1">
        <v>46</v>
      </c>
      <c r="B830" t="s">
        <v>19</v>
      </c>
      <c r="C830">
        <v>706</v>
      </c>
      <c r="D830">
        <v>2</v>
      </c>
      <c r="E830" t="s">
        <v>28</v>
      </c>
      <c r="F830" t="s">
        <v>39</v>
      </c>
      <c r="G830" t="str">
        <f>"2026-03-21 10:41:37.542"</f>
        <v>2026-03-21 10:41:37.542</v>
      </c>
      <c r="H830" t="s">
        <v>21</v>
      </c>
      <c r="I830">
        <v>0</v>
      </c>
      <c r="J830" t="s">
        <v>30</v>
      </c>
    </row>
    <row r="831" spans="1:10" x14ac:dyDescent="0.25">
      <c r="A831" s="1">
        <v>47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"2026-03-21 10:41:19.362"</f>
        <v>2026-03-21 10:41:19.362</v>
      </c>
      <c r="H831" t="s">
        <v>21</v>
      </c>
    </row>
    <row r="832" spans="1:10" s="3" customFormat="1" x14ac:dyDescent="0.25">
      <c r="A832" s="2">
        <v>48</v>
      </c>
      <c r="B832" s="3" t="s">
        <v>23</v>
      </c>
      <c r="C832" s="3">
        <v>647</v>
      </c>
      <c r="D832" s="3">
        <v>1</v>
      </c>
      <c r="E832" s="3" t="s">
        <v>24</v>
      </c>
      <c r="F832" s="3" t="s">
        <v>25</v>
      </c>
      <c r="G832" s="3" t="str">
        <f>"2026-03-20 21:19:27.962"</f>
        <v>2026-03-20 21:19:27.962</v>
      </c>
      <c r="H832" s="3" t="s">
        <v>21</v>
      </c>
    </row>
    <row r="833" spans="1:10" s="3" customFormat="1" x14ac:dyDescent="0.25">
      <c r="A833" s="2">
        <v>49</v>
      </c>
      <c r="B833" s="3" t="s">
        <v>26</v>
      </c>
      <c r="C833" s="3">
        <v>647</v>
      </c>
      <c r="D833" s="3">
        <v>1</v>
      </c>
      <c r="E833" s="3" t="s">
        <v>24</v>
      </c>
      <c r="F833" s="3" t="s">
        <v>25</v>
      </c>
      <c r="G833" s="3" t="str">
        <f>"2026-03-20 21:19:14.562"</f>
        <v>2026-03-20 21:19:14.562</v>
      </c>
      <c r="H833" s="3" t="s">
        <v>21</v>
      </c>
      <c r="I833" s="3">
        <v>13.05</v>
      </c>
      <c r="J833" s="3" t="s">
        <v>27</v>
      </c>
    </row>
    <row r="834" spans="1:10" x14ac:dyDescent="0.25">
      <c r="A834" s="1">
        <v>50</v>
      </c>
      <c r="B834" t="s">
        <v>23</v>
      </c>
      <c r="C834">
        <v>635</v>
      </c>
      <c r="D834">
        <v>1</v>
      </c>
      <c r="E834" t="s">
        <v>31</v>
      </c>
      <c r="F834" t="s">
        <v>32</v>
      </c>
      <c r="G834" t="str">
        <f>"2026-03-20 21:11:53.862"</f>
        <v>2026-03-20 21:11:53.862</v>
      </c>
      <c r="H834" t="s">
        <v>21</v>
      </c>
    </row>
    <row r="835" spans="1:10" x14ac:dyDescent="0.25">
      <c r="A835" s="1">
        <v>51</v>
      </c>
      <c r="B835" t="s">
        <v>26</v>
      </c>
      <c r="C835">
        <v>635</v>
      </c>
      <c r="D835">
        <v>1</v>
      </c>
      <c r="E835" t="s">
        <v>31</v>
      </c>
      <c r="F835" t="s">
        <v>32</v>
      </c>
      <c r="G835" t="str">
        <f>"2026-03-20 21:03:13.862"</f>
        <v>2026-03-20 21:03:13.862</v>
      </c>
      <c r="H835" t="s">
        <v>21</v>
      </c>
      <c r="I835">
        <v>9.0500000000000007</v>
      </c>
      <c r="J835" t="s">
        <v>27</v>
      </c>
    </row>
    <row r="836" spans="1:10" x14ac:dyDescent="0.25">
      <c r="A836" s="1">
        <v>52</v>
      </c>
      <c r="B836" t="s">
        <v>23</v>
      </c>
      <c r="C836">
        <v>635</v>
      </c>
      <c r="D836">
        <v>1</v>
      </c>
      <c r="E836" t="s">
        <v>31</v>
      </c>
      <c r="F836" t="s">
        <v>32</v>
      </c>
      <c r="G836" t="str">
        <f>"2026-03-20 20:54:21.862"</f>
        <v>2026-03-20 20:54:21.862</v>
      </c>
      <c r="H836" t="s">
        <v>21</v>
      </c>
    </row>
    <row r="837" spans="1:10" x14ac:dyDescent="0.25">
      <c r="A837" s="1">
        <v>53</v>
      </c>
      <c r="B837" t="s">
        <v>26</v>
      </c>
      <c r="C837">
        <v>635</v>
      </c>
      <c r="D837">
        <v>1</v>
      </c>
      <c r="E837" t="s">
        <v>31</v>
      </c>
      <c r="F837" t="s">
        <v>32</v>
      </c>
      <c r="G837" t="str">
        <f>"2026-03-20 20:46:12.462"</f>
        <v>2026-03-20 20:46:12.462</v>
      </c>
      <c r="H837" t="s">
        <v>21</v>
      </c>
      <c r="I837">
        <v>9.49</v>
      </c>
      <c r="J837" t="s">
        <v>27</v>
      </c>
    </row>
    <row r="838" spans="1:10" x14ac:dyDescent="0.25">
      <c r="A838" s="1">
        <v>54</v>
      </c>
      <c r="B838" t="s">
        <v>23</v>
      </c>
      <c r="C838">
        <v>635</v>
      </c>
      <c r="D838">
        <v>1</v>
      </c>
      <c r="E838" t="s">
        <v>31</v>
      </c>
      <c r="F838" t="s">
        <v>32</v>
      </c>
      <c r="G838" t="str">
        <f>"2026-03-20 16:07:50.062"</f>
        <v>2026-03-20 16:07:50.062</v>
      </c>
      <c r="H838" t="s">
        <v>21</v>
      </c>
    </row>
    <row r="839" spans="1:10" x14ac:dyDescent="0.25">
      <c r="A839" s="1">
        <v>55</v>
      </c>
      <c r="B839" t="s">
        <v>26</v>
      </c>
      <c r="C839">
        <v>635</v>
      </c>
      <c r="D839">
        <v>1</v>
      </c>
      <c r="E839" t="s">
        <v>31</v>
      </c>
      <c r="F839" t="s">
        <v>32</v>
      </c>
      <c r="G839" t="str">
        <f>"2026-03-20 16:05:32.563"</f>
        <v>2026-03-20 16:05:32.563</v>
      </c>
      <c r="H839" t="s">
        <v>21</v>
      </c>
      <c r="I839">
        <v>5.72</v>
      </c>
      <c r="J839" t="s">
        <v>27</v>
      </c>
    </row>
    <row r="840" spans="1:10" x14ac:dyDescent="0.25">
      <c r="A840" s="1">
        <v>56</v>
      </c>
      <c r="B840" t="s">
        <v>19</v>
      </c>
      <c r="C840">
        <v>706</v>
      </c>
      <c r="D840">
        <v>2</v>
      </c>
      <c r="E840" t="s">
        <v>28</v>
      </c>
      <c r="F840" t="s">
        <v>39</v>
      </c>
      <c r="G840" t="str">
        <f>"2026-03-20 13:08:40.866"</f>
        <v>2026-03-20 13:08:40.866</v>
      </c>
      <c r="H840" t="s">
        <v>21</v>
      </c>
      <c r="I840">
        <v>0</v>
      </c>
      <c r="J840" t="s">
        <v>30</v>
      </c>
    </row>
    <row r="841" spans="1:10" x14ac:dyDescent="0.25">
      <c r="A841" s="1">
        <v>57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"2026-03-20 13:08:26.306"</f>
        <v>2026-03-20 13:08:26.306</v>
      </c>
      <c r="H841" t="s">
        <v>21</v>
      </c>
      <c r="I841">
        <v>0</v>
      </c>
      <c r="J841" t="s">
        <v>22</v>
      </c>
    </row>
    <row r="842" spans="1:10" x14ac:dyDescent="0.25">
      <c r="A842" s="1">
        <v>58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"2026-03-20 10:47:05.168"</f>
        <v>2026-03-20 10:47:05.168</v>
      </c>
      <c r="H842" t="s">
        <v>21</v>
      </c>
      <c r="I842">
        <v>0</v>
      </c>
      <c r="J842" t="s">
        <v>22</v>
      </c>
    </row>
    <row r="843" spans="1:10" s="3" customFormat="1" x14ac:dyDescent="0.25">
      <c r="A843" s="2">
        <v>59</v>
      </c>
      <c r="B843" s="3" t="s">
        <v>23</v>
      </c>
      <c r="C843" s="3">
        <v>647</v>
      </c>
      <c r="D843" s="3">
        <v>1</v>
      </c>
      <c r="E843" s="3" t="s">
        <v>24</v>
      </c>
      <c r="F843" s="3" t="s">
        <v>25</v>
      </c>
      <c r="G843" s="3" t="str">
        <f>"2026-03-20 02:47:00.444"</f>
        <v>2026-03-20 02:47:00.444</v>
      </c>
      <c r="H843" s="3" t="s">
        <v>21</v>
      </c>
    </row>
    <row r="844" spans="1:10" s="3" customFormat="1" x14ac:dyDescent="0.25">
      <c r="A844" s="2">
        <v>60</v>
      </c>
      <c r="B844" s="3" t="s">
        <v>26</v>
      </c>
      <c r="C844" s="3">
        <v>647</v>
      </c>
      <c r="D844" s="3">
        <v>1</v>
      </c>
      <c r="E844" s="3" t="s">
        <v>24</v>
      </c>
      <c r="F844" s="3" t="s">
        <v>25</v>
      </c>
      <c r="G844" s="3" t="str">
        <f>"2026-03-20 02:46:54.744"</f>
        <v>2026-03-20 02:46:54.744</v>
      </c>
      <c r="H844" s="3" t="s">
        <v>21</v>
      </c>
      <c r="I844" s="3">
        <v>10.130000000000001</v>
      </c>
      <c r="J844" s="3" t="s">
        <v>27</v>
      </c>
    </row>
    <row r="845" spans="1:10" x14ac:dyDescent="0.25">
      <c r="A845" s="1">
        <v>61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"2026-03-19 13:25:06.162"</f>
        <v>2026-03-19 13:25:06.162</v>
      </c>
      <c r="H845" t="s">
        <v>21</v>
      </c>
      <c r="I845">
        <v>0</v>
      </c>
      <c r="J845" t="s">
        <v>22</v>
      </c>
    </row>
    <row r="846" spans="1:10" x14ac:dyDescent="0.25">
      <c r="A846" s="1">
        <v>62</v>
      </c>
      <c r="B846" t="s">
        <v>19</v>
      </c>
      <c r="C846">
        <v>706</v>
      </c>
      <c r="D846">
        <v>4</v>
      </c>
      <c r="E846" t="s">
        <v>28</v>
      </c>
      <c r="F846" t="s">
        <v>29</v>
      </c>
      <c r="G846" t="str">
        <f>"2026-03-19 07:59:09.344"</f>
        <v>2026-03-19 07:59:09.344</v>
      </c>
      <c r="H846" t="s">
        <v>21</v>
      </c>
      <c r="I846">
        <v>0</v>
      </c>
      <c r="J846" t="s">
        <v>30</v>
      </c>
    </row>
    <row r="847" spans="1:10" x14ac:dyDescent="0.25">
      <c r="A847" s="1">
        <v>63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"2026-03-19 07:58:38.164"</f>
        <v>2026-03-19 07:58:38.164</v>
      </c>
      <c r="H847" t="s">
        <v>21</v>
      </c>
      <c r="I847">
        <v>0</v>
      </c>
      <c r="J847" t="s">
        <v>22</v>
      </c>
    </row>
    <row r="848" spans="1:10" x14ac:dyDescent="0.25">
      <c r="A848" s="1">
        <v>64</v>
      </c>
      <c r="B848" t="s">
        <v>19</v>
      </c>
      <c r="C848">
        <v>706</v>
      </c>
      <c r="D848">
        <v>4</v>
      </c>
      <c r="E848" t="s">
        <v>28</v>
      </c>
      <c r="F848" t="s">
        <v>29</v>
      </c>
      <c r="G848" t="str">
        <f>"2026-03-18 22:57:59.456"</f>
        <v>2026-03-18 22:57:59.456</v>
      </c>
      <c r="H848" t="s">
        <v>21</v>
      </c>
      <c r="I848">
        <v>0</v>
      </c>
      <c r="J848" t="s">
        <v>30</v>
      </c>
    </row>
    <row r="849" spans="1:10" x14ac:dyDescent="0.25">
      <c r="A849" s="1">
        <v>65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"2026-03-18 12:26:32.156"</f>
        <v>2026-03-18 12:26:32.156</v>
      </c>
      <c r="H849" t="s">
        <v>21</v>
      </c>
    </row>
    <row r="850" spans="1:10" x14ac:dyDescent="0.25">
      <c r="A850" s="1">
        <v>66</v>
      </c>
      <c r="B850" t="s">
        <v>19</v>
      </c>
      <c r="C850">
        <v>706</v>
      </c>
      <c r="D850">
        <v>4</v>
      </c>
      <c r="E850" t="s">
        <v>28</v>
      </c>
      <c r="F850" t="s">
        <v>29</v>
      </c>
      <c r="G850" t="str">
        <f>"2026-03-17 22:29:17.063"</f>
        <v>2026-03-17 22:29:17.063</v>
      </c>
      <c r="H850" t="s">
        <v>21</v>
      </c>
      <c r="I850">
        <v>0</v>
      </c>
      <c r="J850" t="s">
        <v>30</v>
      </c>
    </row>
    <row r="851" spans="1:10" x14ac:dyDescent="0.25">
      <c r="A851" s="1">
        <v>67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"2026-03-17 22:28:47.153"</f>
        <v>2026-03-17 22:28:47.153</v>
      </c>
      <c r="H851" t="s">
        <v>21</v>
      </c>
      <c r="I851">
        <v>0</v>
      </c>
      <c r="J851" t="s">
        <v>22</v>
      </c>
    </row>
    <row r="852" spans="1:10" s="3" customFormat="1" x14ac:dyDescent="0.25">
      <c r="A852" s="2">
        <v>68</v>
      </c>
      <c r="B852" s="3" t="s">
        <v>23</v>
      </c>
      <c r="C852" s="3">
        <v>647</v>
      </c>
      <c r="D852" s="3">
        <v>1</v>
      </c>
      <c r="E852" s="3" t="s">
        <v>24</v>
      </c>
      <c r="F852" s="3" t="s">
        <v>25</v>
      </c>
      <c r="G852" s="3" t="str">
        <f>"2026-03-16 22:45:41.791"</f>
        <v>2026-03-16 22:45:41.791</v>
      </c>
      <c r="H852" s="3" t="s">
        <v>21</v>
      </c>
    </row>
    <row r="853" spans="1:10" s="3" customFormat="1" x14ac:dyDescent="0.25">
      <c r="A853" s="2">
        <v>69</v>
      </c>
      <c r="B853" s="3" t="s">
        <v>26</v>
      </c>
      <c r="C853" s="3">
        <v>647</v>
      </c>
      <c r="D853" s="3">
        <v>1</v>
      </c>
      <c r="E853" s="3" t="s">
        <v>24</v>
      </c>
      <c r="F853" s="3" t="s">
        <v>25</v>
      </c>
      <c r="G853" s="3" t="str">
        <f>"2026-03-16 22:45:38.891"</f>
        <v>2026-03-16 22:45:38.891</v>
      </c>
      <c r="H853" s="3" t="s">
        <v>21</v>
      </c>
      <c r="I853" s="3">
        <v>10.050000000000001</v>
      </c>
      <c r="J853" s="3" t="s">
        <v>34</v>
      </c>
    </row>
    <row r="854" spans="1:10" x14ac:dyDescent="0.25">
      <c r="A854" s="1">
        <v>70</v>
      </c>
      <c r="B854" t="s">
        <v>19</v>
      </c>
      <c r="C854">
        <v>706</v>
      </c>
      <c r="D854">
        <v>2</v>
      </c>
      <c r="E854" t="s">
        <v>28</v>
      </c>
      <c r="F854" t="s">
        <v>39</v>
      </c>
      <c r="G854" t="str">
        <f>"2026-03-16 22:01:25.759"</f>
        <v>2026-03-16 22:01:25.759</v>
      </c>
      <c r="H854" t="s">
        <v>21</v>
      </c>
      <c r="I854">
        <v>0</v>
      </c>
      <c r="J854" t="s">
        <v>30</v>
      </c>
    </row>
    <row r="855" spans="1:10" x14ac:dyDescent="0.25">
      <c r="A855" s="1">
        <v>71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"2026-03-16 22:00:42.299"</f>
        <v>2026-03-16 22:00:42.299</v>
      </c>
      <c r="H855" t="s">
        <v>21</v>
      </c>
    </row>
    <row r="856" spans="1:10" s="3" customFormat="1" x14ac:dyDescent="0.25">
      <c r="A856" s="2">
        <v>72</v>
      </c>
      <c r="B856" s="3" t="s">
        <v>23</v>
      </c>
      <c r="C856" s="3">
        <v>647</v>
      </c>
      <c r="D856" s="3">
        <v>1</v>
      </c>
      <c r="E856" s="3" t="s">
        <v>24</v>
      </c>
      <c r="F856" s="3" t="s">
        <v>25</v>
      </c>
      <c r="G856" s="3" t="str">
        <f>"2026-03-16 20:34:26.185"</f>
        <v>2026-03-16 20:34:26.185</v>
      </c>
      <c r="H856" s="3" t="s">
        <v>21</v>
      </c>
    </row>
    <row r="857" spans="1:10" s="3" customFormat="1" x14ac:dyDescent="0.25">
      <c r="A857" s="2">
        <v>73</v>
      </c>
      <c r="B857" s="3" t="s">
        <v>26</v>
      </c>
      <c r="C857" s="3">
        <v>647</v>
      </c>
      <c r="D857" s="3">
        <v>1</v>
      </c>
      <c r="E857" s="3" t="s">
        <v>24</v>
      </c>
      <c r="F857" s="3" t="s">
        <v>25</v>
      </c>
      <c r="G857" s="3" t="str">
        <f>"2026-03-16 20:34:23.985"</f>
        <v>2026-03-16 20:34:23.985</v>
      </c>
      <c r="H857" s="3" t="s">
        <v>21</v>
      </c>
      <c r="I857" s="3">
        <v>9.94</v>
      </c>
      <c r="J857" s="3" t="s">
        <v>27</v>
      </c>
    </row>
    <row r="858" spans="1:10" x14ac:dyDescent="0.25">
      <c r="A858" s="1">
        <v>74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"2026-03-16 13:04:16.285"</f>
        <v>2026-03-16 13:04:16.285</v>
      </c>
      <c r="H858" t="s">
        <v>21</v>
      </c>
    </row>
    <row r="859" spans="1:10" x14ac:dyDescent="0.25">
      <c r="A859" s="1">
        <v>75</v>
      </c>
      <c r="B859" t="s">
        <v>19</v>
      </c>
      <c r="C859">
        <v>706</v>
      </c>
      <c r="D859">
        <v>2</v>
      </c>
      <c r="E859" t="s">
        <v>28</v>
      </c>
      <c r="F859" t="s">
        <v>39</v>
      </c>
      <c r="G859" t="str">
        <f>"2026-03-15 23:25:22.896"</f>
        <v>2026-03-15 23:25:22.896</v>
      </c>
      <c r="H859" t="s">
        <v>21</v>
      </c>
      <c r="I859">
        <v>0</v>
      </c>
      <c r="J859" t="s">
        <v>30</v>
      </c>
    </row>
    <row r="860" spans="1:10" x14ac:dyDescent="0.25">
      <c r="A860" s="1">
        <v>76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"2026-03-15 23:22:19.176"</f>
        <v>2026-03-15 23:22:19.176</v>
      </c>
      <c r="H860" t="s">
        <v>21</v>
      </c>
      <c r="I860">
        <v>0</v>
      </c>
      <c r="J860" t="s">
        <v>22</v>
      </c>
    </row>
    <row r="861" spans="1:10" s="3" customFormat="1" x14ac:dyDescent="0.25">
      <c r="A861" s="2">
        <v>77</v>
      </c>
      <c r="B861" s="3" t="s">
        <v>23</v>
      </c>
      <c r="C861" s="3">
        <v>647</v>
      </c>
      <c r="D861" s="3">
        <v>1</v>
      </c>
      <c r="E861" s="3" t="s">
        <v>24</v>
      </c>
      <c r="F861" s="3" t="s">
        <v>25</v>
      </c>
      <c r="G861" s="3" t="str">
        <f>"2026-03-15 10:35:22.255"</f>
        <v>2026-03-15 10:35:22.255</v>
      </c>
      <c r="H861" s="3" t="s">
        <v>21</v>
      </c>
    </row>
    <row r="862" spans="1:10" s="3" customFormat="1" x14ac:dyDescent="0.25">
      <c r="A862" s="2">
        <v>78</v>
      </c>
      <c r="B862" s="3" t="s">
        <v>26</v>
      </c>
      <c r="C862" s="3">
        <v>647</v>
      </c>
      <c r="D862" s="3">
        <v>1</v>
      </c>
      <c r="E862" s="3" t="s">
        <v>24</v>
      </c>
      <c r="F862" s="3" t="s">
        <v>25</v>
      </c>
      <c r="G862" s="3" t="str">
        <f>"2026-03-15 10:35:20.755"</f>
        <v>2026-03-15 10:35:20.755</v>
      </c>
      <c r="H862" s="3" t="s">
        <v>21</v>
      </c>
      <c r="I862" s="3">
        <v>22.33</v>
      </c>
      <c r="J862" s="3" t="s">
        <v>27</v>
      </c>
    </row>
    <row r="863" spans="1:10" s="3" customFormat="1" x14ac:dyDescent="0.25">
      <c r="A863" s="2">
        <v>79</v>
      </c>
      <c r="B863" s="3" t="s">
        <v>23</v>
      </c>
      <c r="C863" s="3">
        <v>647</v>
      </c>
      <c r="D863" s="3">
        <v>1</v>
      </c>
      <c r="E863" s="3" t="s">
        <v>24</v>
      </c>
      <c r="F863" s="3" t="s">
        <v>25</v>
      </c>
      <c r="G863" s="3" t="str">
        <f>"2026-03-15 01:40:25.455"</f>
        <v>2026-03-15 01:40:25.455</v>
      </c>
      <c r="H863" s="3" t="s">
        <v>21</v>
      </c>
    </row>
    <row r="864" spans="1:10" s="3" customFormat="1" x14ac:dyDescent="0.25">
      <c r="A864" s="2">
        <v>80</v>
      </c>
      <c r="B864" s="3" t="s">
        <v>26</v>
      </c>
      <c r="C864" s="3">
        <v>647</v>
      </c>
      <c r="D864" s="3">
        <v>1</v>
      </c>
      <c r="E864" s="3" t="s">
        <v>24</v>
      </c>
      <c r="F864" s="3" t="s">
        <v>25</v>
      </c>
      <c r="G864" s="3" t="str">
        <f>"2026-03-15 01:40:19.755"</f>
        <v>2026-03-15 01:40:19.755</v>
      </c>
      <c r="H864" s="3" t="s">
        <v>21</v>
      </c>
      <c r="I864" s="3">
        <v>27.77</v>
      </c>
      <c r="J864" s="3" t="s">
        <v>27</v>
      </c>
    </row>
    <row r="865" spans="1:10" s="3" customFormat="1" x14ac:dyDescent="0.25">
      <c r="A865" s="2">
        <v>81</v>
      </c>
      <c r="B865" s="3" t="s">
        <v>23</v>
      </c>
      <c r="C865" s="3">
        <v>647</v>
      </c>
      <c r="D865" s="3">
        <v>1</v>
      </c>
      <c r="E865" s="3" t="s">
        <v>24</v>
      </c>
      <c r="F865" s="3" t="s">
        <v>25</v>
      </c>
      <c r="G865" s="3" t="str">
        <f>"2026-03-15 01:11:26.455"</f>
        <v>2026-03-15 01:11:26.455</v>
      </c>
      <c r="H865" s="3" t="s">
        <v>21</v>
      </c>
    </row>
    <row r="866" spans="1:10" s="3" customFormat="1" x14ac:dyDescent="0.25">
      <c r="A866" s="2">
        <v>82</v>
      </c>
      <c r="B866" s="3" t="s">
        <v>26</v>
      </c>
      <c r="C866" s="3">
        <v>647</v>
      </c>
      <c r="D866" s="3">
        <v>1</v>
      </c>
      <c r="E866" s="3" t="s">
        <v>24</v>
      </c>
      <c r="F866" s="3" t="s">
        <v>25</v>
      </c>
      <c r="G866" s="3" t="str">
        <f>"2026-03-15 01:11:22.355"</f>
        <v>2026-03-15 01:11:22.355</v>
      </c>
      <c r="H866" s="3" t="s">
        <v>21</v>
      </c>
      <c r="I866" s="3">
        <v>9.7799999999999994</v>
      </c>
      <c r="J866" s="3" t="s">
        <v>27</v>
      </c>
    </row>
    <row r="867" spans="1:10" x14ac:dyDescent="0.25">
      <c r="A867" s="1">
        <v>83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"2026-03-14 20:54:29.153"</f>
        <v>2026-03-14 20:54:29.153</v>
      </c>
      <c r="H867" t="s">
        <v>21</v>
      </c>
    </row>
    <row r="868" spans="1:10" x14ac:dyDescent="0.25">
      <c r="A868" s="1">
        <v>84</v>
      </c>
      <c r="B868" t="s">
        <v>23</v>
      </c>
      <c r="C868">
        <v>635</v>
      </c>
      <c r="D868">
        <v>1</v>
      </c>
      <c r="E868" t="s">
        <v>31</v>
      </c>
      <c r="F868" t="s">
        <v>32</v>
      </c>
      <c r="G868" t="str">
        <f>"2026-03-13 23:08:18.037"</f>
        <v>2026-03-13 23:08:18.037</v>
      </c>
      <c r="H868" t="s">
        <v>21</v>
      </c>
    </row>
    <row r="869" spans="1:10" x14ac:dyDescent="0.25">
      <c r="A869" s="1">
        <v>85</v>
      </c>
      <c r="B869" t="s">
        <v>26</v>
      </c>
      <c r="C869">
        <v>635</v>
      </c>
      <c r="D869">
        <v>1</v>
      </c>
      <c r="E869" t="s">
        <v>31</v>
      </c>
      <c r="F869" t="s">
        <v>32</v>
      </c>
      <c r="G869" t="str">
        <f>"2026-03-13 23:04:55.537"</f>
        <v>2026-03-13 23:04:55.537</v>
      </c>
      <c r="H869" t="s">
        <v>21</v>
      </c>
      <c r="I869">
        <v>5.6</v>
      </c>
      <c r="J869" t="s">
        <v>33</v>
      </c>
    </row>
    <row r="870" spans="1:10" x14ac:dyDescent="0.25">
      <c r="A870" s="1">
        <v>86</v>
      </c>
      <c r="B870" t="s">
        <v>23</v>
      </c>
      <c r="C870">
        <v>635</v>
      </c>
      <c r="D870">
        <v>1</v>
      </c>
      <c r="E870" t="s">
        <v>31</v>
      </c>
      <c r="F870" t="s">
        <v>32</v>
      </c>
      <c r="G870" t="str">
        <f>"2026-03-13 22:34:39.637"</f>
        <v>2026-03-13 22:34:39.637</v>
      </c>
      <c r="H870" t="s">
        <v>21</v>
      </c>
    </row>
    <row r="871" spans="1:10" x14ac:dyDescent="0.25">
      <c r="A871" s="1">
        <v>87</v>
      </c>
      <c r="B871" t="s">
        <v>26</v>
      </c>
      <c r="C871">
        <v>635</v>
      </c>
      <c r="D871">
        <v>1</v>
      </c>
      <c r="E871" t="s">
        <v>31</v>
      </c>
      <c r="F871" t="s">
        <v>32</v>
      </c>
      <c r="G871" t="str">
        <f>"2026-03-13 22:30:04.137"</f>
        <v>2026-03-13 22:30:04.137</v>
      </c>
      <c r="H871" t="s">
        <v>21</v>
      </c>
      <c r="I871">
        <v>6</v>
      </c>
      <c r="J871" t="s">
        <v>34</v>
      </c>
    </row>
    <row r="872" spans="1:10" x14ac:dyDescent="0.25">
      <c r="A872" s="1">
        <v>88</v>
      </c>
      <c r="B872" t="s">
        <v>23</v>
      </c>
      <c r="C872">
        <v>635</v>
      </c>
      <c r="D872">
        <v>1</v>
      </c>
      <c r="E872" t="s">
        <v>31</v>
      </c>
      <c r="F872" t="s">
        <v>32</v>
      </c>
      <c r="G872" t="str">
        <f>"2026-03-13 21:03:56.837"</f>
        <v>2026-03-13 21:03:56.837</v>
      </c>
      <c r="H872" t="s">
        <v>21</v>
      </c>
    </row>
    <row r="873" spans="1:10" x14ac:dyDescent="0.25">
      <c r="A873" s="1">
        <v>89</v>
      </c>
      <c r="B873" t="s">
        <v>26</v>
      </c>
      <c r="C873">
        <v>635</v>
      </c>
      <c r="D873">
        <v>1</v>
      </c>
      <c r="E873" t="s">
        <v>31</v>
      </c>
      <c r="F873" t="s">
        <v>32</v>
      </c>
      <c r="G873" t="str">
        <f>"2026-03-13 21:00:48.837"</f>
        <v>2026-03-13 21:00:48.837</v>
      </c>
      <c r="H873" t="s">
        <v>21</v>
      </c>
      <c r="I873">
        <v>3.9</v>
      </c>
      <c r="J873" t="s">
        <v>34</v>
      </c>
    </row>
    <row r="874" spans="1:10" x14ac:dyDescent="0.25">
      <c r="A874" s="1">
        <v>90</v>
      </c>
      <c r="B874" t="s">
        <v>23</v>
      </c>
      <c r="C874">
        <v>42</v>
      </c>
      <c r="D874">
        <v>1</v>
      </c>
      <c r="E874" t="s">
        <v>60</v>
      </c>
      <c r="F874" t="s">
        <v>61</v>
      </c>
      <c r="G874" t="str">
        <f>"2026-03-13 20:17:13.507"</f>
        <v>2026-03-13 20:17:13.507</v>
      </c>
      <c r="H874" t="s">
        <v>62</v>
      </c>
    </row>
    <row r="875" spans="1:10" x14ac:dyDescent="0.25">
      <c r="A875" s="1">
        <v>91</v>
      </c>
      <c r="B875" t="s">
        <v>26</v>
      </c>
      <c r="C875">
        <v>42</v>
      </c>
      <c r="D875">
        <v>1</v>
      </c>
      <c r="E875" t="s">
        <v>60</v>
      </c>
      <c r="F875" t="s">
        <v>61</v>
      </c>
      <c r="G875" t="str">
        <f>"2026-03-13 20:16:50.008"</f>
        <v>2026-03-13 20:16:50.008</v>
      </c>
      <c r="H875" t="s">
        <v>62</v>
      </c>
      <c r="I875">
        <v>0</v>
      </c>
      <c r="J875" t="s">
        <v>30</v>
      </c>
    </row>
    <row r="876" spans="1:10" x14ac:dyDescent="0.25">
      <c r="A876" s="1">
        <v>92</v>
      </c>
      <c r="B876" t="s">
        <v>19</v>
      </c>
      <c r="C876">
        <v>706</v>
      </c>
      <c r="D876">
        <v>2</v>
      </c>
      <c r="E876" t="s">
        <v>28</v>
      </c>
      <c r="F876" t="s">
        <v>39</v>
      </c>
      <c r="G876" t="str">
        <f>"2026-03-13 20:13:11.905"</f>
        <v>2026-03-13 20:13:11.905</v>
      </c>
      <c r="H876" t="s">
        <v>21</v>
      </c>
      <c r="I876">
        <v>0</v>
      </c>
      <c r="J876" t="s">
        <v>30</v>
      </c>
    </row>
    <row r="877" spans="1:10" x14ac:dyDescent="0.25">
      <c r="A877" s="1">
        <v>93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"2026-03-13 20:12:17.135"</f>
        <v>2026-03-13 20:12:17.135</v>
      </c>
      <c r="H877" t="s">
        <v>21</v>
      </c>
    </row>
    <row r="878" spans="1:10" x14ac:dyDescent="0.25">
      <c r="A878" s="1">
        <v>94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"2026-03-13 19:35:17.111"</f>
        <v>2026-03-13 19:35:17.111</v>
      </c>
      <c r="H878" t="s">
        <v>21</v>
      </c>
    </row>
    <row r="879" spans="1:10" x14ac:dyDescent="0.25">
      <c r="A879" s="1">
        <v>95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"2026-03-13 16:05:01.171"</f>
        <v>2026-03-13 16:05:01.171</v>
      </c>
      <c r="H879" t="s">
        <v>21</v>
      </c>
      <c r="I879">
        <v>0</v>
      </c>
      <c r="J879" t="s">
        <v>22</v>
      </c>
    </row>
    <row r="880" spans="1:10" x14ac:dyDescent="0.25">
      <c r="A880" s="1">
        <v>96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"2026-03-13 13:17:45.366"</f>
        <v>2026-03-13 13:17:45.366</v>
      </c>
      <c r="H880" t="s">
        <v>21</v>
      </c>
      <c r="I880">
        <v>0</v>
      </c>
      <c r="J880" t="s">
        <v>22</v>
      </c>
    </row>
    <row r="881" spans="1:10" x14ac:dyDescent="0.25">
      <c r="A881" s="1">
        <v>97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"2026-03-13 12:25:34.143"</f>
        <v>2026-03-13 12:25:34.143</v>
      </c>
      <c r="H881" t="s">
        <v>21</v>
      </c>
      <c r="I881">
        <v>0</v>
      </c>
      <c r="J881" t="s">
        <v>22</v>
      </c>
    </row>
    <row r="882" spans="1:10" s="3" customFormat="1" x14ac:dyDescent="0.25">
      <c r="A882" s="2">
        <v>98</v>
      </c>
      <c r="B882" s="3" t="s">
        <v>23</v>
      </c>
      <c r="C882" s="3">
        <v>647</v>
      </c>
      <c r="D882" s="3">
        <v>1</v>
      </c>
      <c r="E882" s="3" t="s">
        <v>24</v>
      </c>
      <c r="F882" s="3" t="s">
        <v>25</v>
      </c>
      <c r="G882" s="3" t="str">
        <f>"2026-03-13 11:55:35.308"</f>
        <v>2026-03-13 11:55:35.308</v>
      </c>
      <c r="H882" s="3" t="s">
        <v>21</v>
      </c>
    </row>
    <row r="883" spans="1:10" s="3" customFormat="1" x14ac:dyDescent="0.25">
      <c r="A883" s="2">
        <v>99</v>
      </c>
      <c r="B883" s="3" t="s">
        <v>26</v>
      </c>
      <c r="C883" s="3">
        <v>647</v>
      </c>
      <c r="D883" s="3">
        <v>1</v>
      </c>
      <c r="E883" s="3" t="s">
        <v>24</v>
      </c>
      <c r="F883" s="3" t="s">
        <v>25</v>
      </c>
      <c r="G883" s="3" t="str">
        <f>"2026-03-13 11:55:32.208"</f>
        <v>2026-03-13 11:55:32.208</v>
      </c>
      <c r="H883" s="3" t="s">
        <v>21</v>
      </c>
      <c r="I883" s="3">
        <v>19.2</v>
      </c>
      <c r="J883" s="3" t="s">
        <v>27</v>
      </c>
    </row>
    <row r="884" spans="1:10" x14ac:dyDescent="0.25">
      <c r="A884" s="1">
        <v>0</v>
      </c>
      <c r="B884" t="s">
        <v>23</v>
      </c>
      <c r="C884">
        <v>635</v>
      </c>
      <c r="D884">
        <v>1</v>
      </c>
      <c r="E884" t="s">
        <v>31</v>
      </c>
      <c r="F884" t="s">
        <v>32</v>
      </c>
      <c r="G884" t="str">
        <f>"2026-03-13 11:00:23.408"</f>
        <v>2026-03-13 11:00:23.408</v>
      </c>
      <c r="H884" t="s">
        <v>21</v>
      </c>
    </row>
    <row r="885" spans="1:10" x14ac:dyDescent="0.25">
      <c r="A885" s="1">
        <v>1</v>
      </c>
      <c r="B885" t="s">
        <v>26</v>
      </c>
      <c r="C885">
        <v>635</v>
      </c>
      <c r="D885">
        <v>1</v>
      </c>
      <c r="E885" t="s">
        <v>31</v>
      </c>
      <c r="F885" t="s">
        <v>32</v>
      </c>
      <c r="G885" t="str">
        <f>"2026-03-13 10:57:13.408"</f>
        <v>2026-03-13 10:57:13.408</v>
      </c>
      <c r="H885" t="s">
        <v>21</v>
      </c>
      <c r="I885">
        <v>3.94</v>
      </c>
      <c r="J885" t="s">
        <v>27</v>
      </c>
    </row>
    <row r="886" spans="1:10" x14ac:dyDescent="0.25">
      <c r="A886" s="1">
        <v>2</v>
      </c>
      <c r="B886" t="s">
        <v>19</v>
      </c>
      <c r="C886">
        <v>706</v>
      </c>
      <c r="D886">
        <v>4</v>
      </c>
      <c r="E886" t="s">
        <v>28</v>
      </c>
      <c r="F886" t="s">
        <v>29</v>
      </c>
      <c r="G886" t="str">
        <f>"2026-03-12 23:10:53.239"</f>
        <v>2026-03-12 23:10:53.239</v>
      </c>
      <c r="H886" t="s">
        <v>21</v>
      </c>
      <c r="I886">
        <v>0</v>
      </c>
      <c r="J886" t="s">
        <v>30</v>
      </c>
    </row>
    <row r="887" spans="1:10" x14ac:dyDescent="0.25">
      <c r="A887" s="1">
        <v>3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"2026-03-12 23:10:11.309"</f>
        <v>2026-03-12 23:10:11.309</v>
      </c>
      <c r="H887" t="s">
        <v>21</v>
      </c>
      <c r="I887">
        <v>0</v>
      </c>
      <c r="J887" t="s">
        <v>22</v>
      </c>
    </row>
    <row r="888" spans="1:10" s="3" customFormat="1" x14ac:dyDescent="0.25">
      <c r="A888" s="2">
        <v>4</v>
      </c>
      <c r="B888" s="3" t="s">
        <v>23</v>
      </c>
      <c r="C888" s="3">
        <v>647</v>
      </c>
      <c r="D888" s="3">
        <v>1</v>
      </c>
      <c r="E888" s="3" t="s">
        <v>24</v>
      </c>
      <c r="F888" s="3" t="s">
        <v>25</v>
      </c>
      <c r="G888" s="3" t="str">
        <f>"2026-03-12 19:16:01.354"</f>
        <v>2026-03-12 19:16:01.354</v>
      </c>
      <c r="H888" s="3" t="s">
        <v>21</v>
      </c>
    </row>
    <row r="889" spans="1:10" s="3" customFormat="1" x14ac:dyDescent="0.25">
      <c r="A889" s="2">
        <v>5</v>
      </c>
      <c r="B889" s="3" t="s">
        <v>26</v>
      </c>
      <c r="C889" s="3">
        <v>647</v>
      </c>
      <c r="D889" s="3">
        <v>1</v>
      </c>
      <c r="E889" s="3" t="s">
        <v>24</v>
      </c>
      <c r="F889" s="3" t="s">
        <v>25</v>
      </c>
      <c r="G889" s="3" t="str">
        <f>"2026-03-12 19:15:52.054"</f>
        <v>2026-03-12 19:15:52.054</v>
      </c>
      <c r="H889" s="3" t="s">
        <v>21</v>
      </c>
      <c r="I889" s="3">
        <v>12.86</v>
      </c>
      <c r="J889" s="3" t="s">
        <v>27</v>
      </c>
    </row>
    <row r="890" spans="1:10" x14ac:dyDescent="0.25">
      <c r="A890" s="1">
        <v>6</v>
      </c>
      <c r="B890" t="s">
        <v>19</v>
      </c>
      <c r="C890">
        <v>706</v>
      </c>
      <c r="D890">
        <v>4</v>
      </c>
      <c r="E890" t="s">
        <v>28</v>
      </c>
      <c r="F890" t="s">
        <v>29</v>
      </c>
      <c r="G890" t="str">
        <f>"2026-03-12 07:58:37.641"</f>
        <v>2026-03-12 07:58:37.641</v>
      </c>
      <c r="H890" t="s">
        <v>21</v>
      </c>
      <c r="I890">
        <v>0</v>
      </c>
      <c r="J890" t="s">
        <v>30</v>
      </c>
    </row>
    <row r="891" spans="1:10" x14ac:dyDescent="0.25">
      <c r="A891" s="1">
        <v>7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"2026-03-12 07:57:17.141"</f>
        <v>2026-03-12 07:57:17.141</v>
      </c>
      <c r="H891" t="s">
        <v>21</v>
      </c>
    </row>
    <row r="892" spans="1:10" x14ac:dyDescent="0.25">
      <c r="A892" s="1">
        <v>8</v>
      </c>
      <c r="B892" t="s">
        <v>19</v>
      </c>
      <c r="C892">
        <v>706</v>
      </c>
      <c r="D892">
        <v>2</v>
      </c>
      <c r="E892" t="s">
        <v>28</v>
      </c>
      <c r="F892" t="s">
        <v>39</v>
      </c>
      <c r="G892" t="str">
        <f>"2026-03-11 20:32:07.087"</f>
        <v>2026-03-11 20:32:07.087</v>
      </c>
      <c r="H892" t="s">
        <v>21</v>
      </c>
      <c r="I892">
        <v>0</v>
      </c>
      <c r="J892" t="s">
        <v>30</v>
      </c>
    </row>
    <row r="893" spans="1:10" x14ac:dyDescent="0.25">
      <c r="A893" s="1">
        <v>9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"2026-03-11 20:31:23.227"</f>
        <v>2026-03-11 20:31:23.227</v>
      </c>
      <c r="H893" t="s">
        <v>21</v>
      </c>
    </row>
    <row r="894" spans="1:10" x14ac:dyDescent="0.25">
      <c r="A894" s="1">
        <v>10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"2026-03-11 12:13:10.121"</f>
        <v>2026-03-11 12:13:10.121</v>
      </c>
      <c r="H894" t="s">
        <v>21</v>
      </c>
      <c r="I894">
        <v>0</v>
      </c>
      <c r="J894" t="s">
        <v>22</v>
      </c>
    </row>
    <row r="895" spans="1:10" s="3" customFormat="1" x14ac:dyDescent="0.25">
      <c r="A895" s="2">
        <v>11</v>
      </c>
      <c r="B895" s="3" t="s">
        <v>23</v>
      </c>
      <c r="C895" s="3">
        <v>647</v>
      </c>
      <c r="D895" s="3">
        <v>1</v>
      </c>
      <c r="E895" s="3" t="s">
        <v>24</v>
      </c>
      <c r="F895" s="3" t="s">
        <v>25</v>
      </c>
      <c r="G895" s="3" t="str">
        <f>"2026-03-11 11:12:55.745"</f>
        <v>2026-03-11 11:12:55.745</v>
      </c>
      <c r="H895" s="3" t="s">
        <v>21</v>
      </c>
    </row>
    <row r="896" spans="1:10" s="3" customFormat="1" x14ac:dyDescent="0.25">
      <c r="A896" s="2">
        <v>12</v>
      </c>
      <c r="B896" s="3" t="s">
        <v>26</v>
      </c>
      <c r="C896" s="3">
        <v>647</v>
      </c>
      <c r="D896" s="3">
        <v>1</v>
      </c>
      <c r="E896" s="3" t="s">
        <v>24</v>
      </c>
      <c r="F896" s="3" t="s">
        <v>25</v>
      </c>
      <c r="G896" s="3" t="str">
        <f>"2026-03-11 11:12:54.445"</f>
        <v>2026-03-11 11:12:54.445</v>
      </c>
      <c r="H896" s="3" t="s">
        <v>21</v>
      </c>
      <c r="I896" s="3">
        <v>11.8</v>
      </c>
      <c r="J896" s="3" t="s">
        <v>34</v>
      </c>
    </row>
    <row r="897" spans="1:10" x14ac:dyDescent="0.25">
      <c r="A897" s="1">
        <v>13</v>
      </c>
      <c r="B897" t="s">
        <v>19</v>
      </c>
      <c r="C897">
        <v>706</v>
      </c>
      <c r="D897">
        <v>2</v>
      </c>
      <c r="E897" t="s">
        <v>28</v>
      </c>
      <c r="F897" t="s">
        <v>39</v>
      </c>
      <c r="G897" t="str">
        <f>"2026-03-10 23:33:05.490"</f>
        <v>2026-03-10 23:33:05.490</v>
      </c>
      <c r="H897" t="s">
        <v>21</v>
      </c>
      <c r="I897">
        <v>0</v>
      </c>
      <c r="J897" t="s">
        <v>30</v>
      </c>
    </row>
    <row r="898" spans="1:10" x14ac:dyDescent="0.25">
      <c r="A898" s="1">
        <v>14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"2026-03-10 23:32:16.230"</f>
        <v>2026-03-10 23:32:16.230</v>
      </c>
      <c r="H898" t="s">
        <v>21</v>
      </c>
    </row>
    <row r="899" spans="1:10" s="3" customFormat="1" x14ac:dyDescent="0.25">
      <c r="A899" s="2">
        <v>15</v>
      </c>
      <c r="B899" s="3" t="s">
        <v>23</v>
      </c>
      <c r="C899" s="3">
        <v>647</v>
      </c>
      <c r="D899" s="3">
        <v>1</v>
      </c>
      <c r="E899" s="3" t="s">
        <v>24</v>
      </c>
      <c r="F899" s="3" t="s">
        <v>25</v>
      </c>
      <c r="G899" s="3" t="str">
        <f>"2026-03-10 16:02:45.877"</f>
        <v>2026-03-10 16:02:45.877</v>
      </c>
      <c r="H899" s="3" t="s">
        <v>21</v>
      </c>
    </row>
    <row r="900" spans="1:10" s="3" customFormat="1" x14ac:dyDescent="0.25">
      <c r="A900" s="2">
        <v>16</v>
      </c>
      <c r="B900" s="3" t="s">
        <v>26</v>
      </c>
      <c r="C900" s="3">
        <v>647</v>
      </c>
      <c r="D900" s="3">
        <v>1</v>
      </c>
      <c r="E900" s="3" t="s">
        <v>24</v>
      </c>
      <c r="F900" s="3" t="s">
        <v>25</v>
      </c>
      <c r="G900" s="3" t="str">
        <f>"2026-03-10 16:02:42.577"</f>
        <v>2026-03-10 16:02:42.577</v>
      </c>
      <c r="H900" s="3" t="s">
        <v>21</v>
      </c>
      <c r="I900" s="3">
        <v>12.6</v>
      </c>
      <c r="J900" s="3" t="s">
        <v>27</v>
      </c>
    </row>
    <row r="901" spans="1:10" x14ac:dyDescent="0.25">
      <c r="A901" s="1">
        <v>17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"2026-03-10 13:09:29.164"</f>
        <v>2026-03-10 13:09:29.164</v>
      </c>
      <c r="H901" t="s">
        <v>21</v>
      </c>
      <c r="I901">
        <v>0</v>
      </c>
      <c r="J901" t="s">
        <v>22</v>
      </c>
    </row>
    <row r="902" spans="1:10" x14ac:dyDescent="0.25">
      <c r="A902" s="1">
        <v>18</v>
      </c>
      <c r="B902" t="s">
        <v>19</v>
      </c>
      <c r="C902">
        <v>706</v>
      </c>
      <c r="D902">
        <v>4</v>
      </c>
      <c r="E902" t="s">
        <v>28</v>
      </c>
      <c r="F902" t="s">
        <v>29</v>
      </c>
      <c r="G902" t="str">
        <f>"2026-03-10 00:34:16.246"</f>
        <v>2026-03-10 00:34:16.246</v>
      </c>
      <c r="H902" t="s">
        <v>21</v>
      </c>
      <c r="I902">
        <v>0</v>
      </c>
      <c r="J902" t="s">
        <v>30</v>
      </c>
    </row>
    <row r="903" spans="1:10" x14ac:dyDescent="0.25">
      <c r="A903" s="1">
        <v>19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"2026-03-10 00:33:33.346"</f>
        <v>2026-03-10 00:33:33.346</v>
      </c>
      <c r="H903" t="s">
        <v>21</v>
      </c>
    </row>
    <row r="904" spans="1:10" s="3" customFormat="1" x14ac:dyDescent="0.25">
      <c r="A904" s="2">
        <v>20</v>
      </c>
      <c r="B904" s="3" t="s">
        <v>23</v>
      </c>
      <c r="C904" s="3">
        <v>647</v>
      </c>
      <c r="D904" s="3">
        <v>1</v>
      </c>
      <c r="E904" s="3" t="s">
        <v>24</v>
      </c>
      <c r="F904" s="3" t="s">
        <v>25</v>
      </c>
      <c r="G904" s="3" t="str">
        <f>"2026-03-09 14:24:34.141"</f>
        <v>2026-03-09 14:24:34.141</v>
      </c>
      <c r="H904" s="3" t="s">
        <v>21</v>
      </c>
    </row>
    <row r="905" spans="1:10" s="3" customFormat="1" x14ac:dyDescent="0.25">
      <c r="A905" s="2">
        <v>21</v>
      </c>
      <c r="B905" s="3" t="s">
        <v>26</v>
      </c>
      <c r="C905" s="3">
        <v>647</v>
      </c>
      <c r="D905" s="3">
        <v>1</v>
      </c>
      <c r="E905" s="3" t="s">
        <v>24</v>
      </c>
      <c r="F905" s="3" t="s">
        <v>25</v>
      </c>
      <c r="G905" s="3" t="str">
        <f>"2026-03-09 14:24:33.041"</f>
        <v>2026-03-09 14:24:33.041</v>
      </c>
      <c r="H905" s="3" t="s">
        <v>21</v>
      </c>
      <c r="I905" s="3">
        <v>19.809999999999999</v>
      </c>
      <c r="J905" s="3" t="s">
        <v>27</v>
      </c>
    </row>
    <row r="906" spans="1:10" x14ac:dyDescent="0.25">
      <c r="A906" s="1">
        <v>22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"2026-03-09 12:25:07.137"</f>
        <v>2026-03-09 12:25:07.137</v>
      </c>
      <c r="H906" t="s">
        <v>21</v>
      </c>
      <c r="I906">
        <v>0</v>
      </c>
      <c r="J906" t="s">
        <v>22</v>
      </c>
    </row>
    <row r="907" spans="1:10" s="3" customFormat="1" x14ac:dyDescent="0.25">
      <c r="A907" s="2">
        <v>23</v>
      </c>
      <c r="B907" s="3" t="s">
        <v>23</v>
      </c>
      <c r="C907" s="3">
        <v>647</v>
      </c>
      <c r="D907" s="3">
        <v>1</v>
      </c>
      <c r="E907" s="3" t="s">
        <v>24</v>
      </c>
      <c r="F907" s="3" t="s">
        <v>25</v>
      </c>
      <c r="G907" s="3" t="str">
        <f>"2026-03-09 08:50:36.546"</f>
        <v>2026-03-09 08:50:36.546</v>
      </c>
      <c r="H907" s="3" t="s">
        <v>21</v>
      </c>
    </row>
    <row r="908" spans="1:10" s="3" customFormat="1" x14ac:dyDescent="0.25">
      <c r="A908" s="2">
        <v>24</v>
      </c>
      <c r="B908" s="3" t="s">
        <v>26</v>
      </c>
      <c r="C908" s="3">
        <v>647</v>
      </c>
      <c r="D908" s="3">
        <v>1</v>
      </c>
      <c r="E908" s="3" t="s">
        <v>24</v>
      </c>
      <c r="F908" s="3" t="s">
        <v>25</v>
      </c>
      <c r="G908" s="3" t="str">
        <f>"2026-03-09 08:50:33.647"</f>
        <v>2026-03-09 08:50:33.647</v>
      </c>
      <c r="H908" s="3" t="s">
        <v>21</v>
      </c>
      <c r="I908" s="3">
        <v>22.71</v>
      </c>
      <c r="J908" s="3" t="s">
        <v>27</v>
      </c>
    </row>
    <row r="909" spans="1:10" x14ac:dyDescent="0.25">
      <c r="A909" s="1">
        <v>25</v>
      </c>
      <c r="B909" t="s">
        <v>23</v>
      </c>
      <c r="C909">
        <v>42</v>
      </c>
      <c r="D909">
        <v>1</v>
      </c>
      <c r="E909" t="s">
        <v>60</v>
      </c>
      <c r="F909" t="s">
        <v>61</v>
      </c>
      <c r="G909" t="str">
        <f>"2026-03-08 23:13:10.416"</f>
        <v>2026-03-08 23:13:10.416</v>
      </c>
      <c r="H909" t="s">
        <v>62</v>
      </c>
    </row>
    <row r="910" spans="1:10" x14ac:dyDescent="0.25">
      <c r="A910" s="1">
        <v>26</v>
      </c>
      <c r="B910" t="s">
        <v>26</v>
      </c>
      <c r="C910">
        <v>42</v>
      </c>
      <c r="D910">
        <v>1</v>
      </c>
      <c r="E910" t="s">
        <v>60</v>
      </c>
      <c r="F910" t="s">
        <v>61</v>
      </c>
      <c r="G910" t="str">
        <f>"2026-03-08 23:13:04.397"</f>
        <v>2026-03-08 23:13:04.397</v>
      </c>
      <c r="H910" t="s">
        <v>62</v>
      </c>
      <c r="I910">
        <v>0</v>
      </c>
      <c r="J910" t="s">
        <v>30</v>
      </c>
    </row>
    <row r="911" spans="1:10" x14ac:dyDescent="0.25">
      <c r="A911" s="1">
        <v>27</v>
      </c>
      <c r="B911" t="s">
        <v>19</v>
      </c>
      <c r="C911">
        <v>706</v>
      </c>
      <c r="D911">
        <v>4</v>
      </c>
      <c r="E911" t="s">
        <v>28</v>
      </c>
      <c r="F911" t="s">
        <v>29</v>
      </c>
      <c r="G911" t="str">
        <f>"2026-03-08 23:10:55.254"</f>
        <v>2026-03-08 23:10:55.254</v>
      </c>
      <c r="H911" t="s">
        <v>21</v>
      </c>
      <c r="I911">
        <v>0</v>
      </c>
      <c r="J911" t="s">
        <v>30</v>
      </c>
    </row>
    <row r="912" spans="1:10" x14ac:dyDescent="0.25">
      <c r="A912" s="1">
        <v>28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"2026-03-08 23:10:30.124"</f>
        <v>2026-03-08 23:10:30.124</v>
      </c>
      <c r="H912" t="s">
        <v>21</v>
      </c>
    </row>
    <row r="913" spans="1:10" x14ac:dyDescent="0.25">
      <c r="A913" s="1">
        <v>29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"2026-03-08 12:20:41.124"</f>
        <v>2026-03-08 12:20:41.124</v>
      </c>
      <c r="H913" t="s">
        <v>21</v>
      </c>
      <c r="I913">
        <v>0</v>
      </c>
      <c r="J913" t="s">
        <v>22</v>
      </c>
    </row>
    <row r="914" spans="1:10" x14ac:dyDescent="0.25">
      <c r="A914" s="1">
        <v>30</v>
      </c>
      <c r="B914" t="s">
        <v>19</v>
      </c>
      <c r="C914">
        <v>706</v>
      </c>
      <c r="D914">
        <v>4</v>
      </c>
      <c r="E914" t="s">
        <v>28</v>
      </c>
      <c r="F914" t="s">
        <v>29</v>
      </c>
      <c r="G914" t="str">
        <f>"2026-03-08 02:45:33.274"</f>
        <v>2026-03-08 02:45:33.274</v>
      </c>
      <c r="H914" t="s">
        <v>21</v>
      </c>
      <c r="I914">
        <v>0</v>
      </c>
      <c r="J914" t="s">
        <v>30</v>
      </c>
    </row>
    <row r="915" spans="1:10" x14ac:dyDescent="0.25">
      <c r="A915" s="1">
        <v>31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"2026-03-08 02:45:12.144"</f>
        <v>2026-03-08 02:45:12.144</v>
      </c>
      <c r="H915" t="s">
        <v>21</v>
      </c>
    </row>
    <row r="916" spans="1:10" s="3" customFormat="1" x14ac:dyDescent="0.25">
      <c r="A916" s="2">
        <v>32</v>
      </c>
      <c r="B916" s="3" t="s">
        <v>23</v>
      </c>
      <c r="C916" s="3">
        <v>647</v>
      </c>
      <c r="D916" s="3">
        <v>1</v>
      </c>
      <c r="E916" s="3" t="s">
        <v>24</v>
      </c>
      <c r="F916" s="3" t="s">
        <v>25</v>
      </c>
      <c r="G916" s="3" t="str">
        <f>"2026-03-07 21:45:37.841"</f>
        <v>2026-03-07 21:45:37.841</v>
      </c>
      <c r="H916" s="3" t="s">
        <v>21</v>
      </c>
    </row>
    <row r="917" spans="1:10" s="3" customFormat="1" x14ac:dyDescent="0.25">
      <c r="A917" s="2">
        <v>33</v>
      </c>
      <c r="B917" s="3" t="s">
        <v>26</v>
      </c>
      <c r="C917" s="3">
        <v>647</v>
      </c>
      <c r="D917" s="3">
        <v>1</v>
      </c>
      <c r="E917" s="3" t="s">
        <v>24</v>
      </c>
      <c r="F917" s="3" t="s">
        <v>25</v>
      </c>
      <c r="G917" s="3" t="str">
        <f>"2026-03-07 21:45:35.142"</f>
        <v>2026-03-07 21:45:35.142</v>
      </c>
      <c r="H917" s="3" t="s">
        <v>21</v>
      </c>
      <c r="I917" s="3">
        <v>8.08</v>
      </c>
      <c r="J917" s="3" t="s">
        <v>27</v>
      </c>
    </row>
    <row r="918" spans="1:10" x14ac:dyDescent="0.25">
      <c r="A918" s="1">
        <v>34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"2026-03-07 12:27:48.343"</f>
        <v>2026-03-07 12:27:48.343</v>
      </c>
      <c r="H918" t="s">
        <v>21</v>
      </c>
      <c r="I918">
        <v>0</v>
      </c>
      <c r="J918" t="s">
        <v>22</v>
      </c>
    </row>
    <row r="919" spans="1:10" x14ac:dyDescent="0.25">
      <c r="A919" s="1">
        <v>35</v>
      </c>
      <c r="B919" t="s">
        <v>19</v>
      </c>
      <c r="C919">
        <v>706</v>
      </c>
      <c r="D919">
        <v>4</v>
      </c>
      <c r="E919" t="s">
        <v>28</v>
      </c>
      <c r="F919" t="s">
        <v>29</v>
      </c>
      <c r="G919" t="str">
        <f>"2026-03-06 23:47:47.051"</f>
        <v>2026-03-06 23:47:47.051</v>
      </c>
      <c r="H919" t="s">
        <v>21</v>
      </c>
      <c r="I919">
        <v>0</v>
      </c>
      <c r="J919" t="s">
        <v>30</v>
      </c>
    </row>
    <row r="920" spans="1:10" x14ac:dyDescent="0.25">
      <c r="A920" s="1">
        <v>36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"2026-03-06 23:47:12.141"</f>
        <v>2026-03-06 23:47:12.141</v>
      </c>
      <c r="H920" t="s">
        <v>21</v>
      </c>
    </row>
    <row r="921" spans="1:10" x14ac:dyDescent="0.25">
      <c r="A921" s="1">
        <v>37</v>
      </c>
      <c r="B921" t="s">
        <v>19</v>
      </c>
      <c r="C921">
        <v>706</v>
      </c>
      <c r="D921">
        <v>2</v>
      </c>
      <c r="E921" t="s">
        <v>28</v>
      </c>
      <c r="F921" t="s">
        <v>39</v>
      </c>
      <c r="G921" t="str">
        <f>"2026-03-06 20:58:24.907"</f>
        <v>2026-03-06 20:58:24.907</v>
      </c>
      <c r="H921" t="s">
        <v>21</v>
      </c>
      <c r="I921">
        <v>0</v>
      </c>
      <c r="J921" t="s">
        <v>30</v>
      </c>
    </row>
    <row r="922" spans="1:10" x14ac:dyDescent="0.25">
      <c r="A922" s="1">
        <v>38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"2026-03-06 20:56:30.117"</f>
        <v>2026-03-06 20:56:30.117</v>
      </c>
      <c r="H922" t="s">
        <v>21</v>
      </c>
      <c r="I922">
        <v>0</v>
      </c>
      <c r="J922" t="s">
        <v>22</v>
      </c>
    </row>
    <row r="923" spans="1:10" x14ac:dyDescent="0.25">
      <c r="A923" s="1">
        <v>39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"2026-03-06 12:13:05.214"</f>
        <v>2026-03-06 12:13:05.214</v>
      </c>
      <c r="H923" t="s">
        <v>21</v>
      </c>
    </row>
    <row r="924" spans="1:10" s="3" customFormat="1" x14ac:dyDescent="0.25">
      <c r="A924" s="2">
        <v>40</v>
      </c>
      <c r="B924" s="3" t="s">
        <v>23</v>
      </c>
      <c r="C924" s="3">
        <v>647</v>
      </c>
      <c r="D924" s="3">
        <v>1</v>
      </c>
      <c r="E924" s="3" t="s">
        <v>24</v>
      </c>
      <c r="F924" s="3" t="s">
        <v>25</v>
      </c>
      <c r="G924" s="3" t="str">
        <f>"2026-03-05 22:33:38.534"</f>
        <v>2026-03-05 22:33:38.534</v>
      </c>
      <c r="H924" s="3" t="s">
        <v>21</v>
      </c>
    </row>
    <row r="925" spans="1:10" s="3" customFormat="1" x14ac:dyDescent="0.25">
      <c r="A925" s="2">
        <v>41</v>
      </c>
      <c r="B925" s="3" t="s">
        <v>26</v>
      </c>
      <c r="C925" s="3">
        <v>647</v>
      </c>
      <c r="D925" s="3">
        <v>1</v>
      </c>
      <c r="E925" s="3" t="s">
        <v>24</v>
      </c>
      <c r="F925" s="3" t="s">
        <v>25</v>
      </c>
      <c r="G925" s="3" t="str">
        <f>"2026-03-05 22:33:36.734"</f>
        <v>2026-03-05 22:33:36.734</v>
      </c>
      <c r="H925" s="3" t="s">
        <v>21</v>
      </c>
      <c r="I925" s="3">
        <v>11.65</v>
      </c>
      <c r="J925" s="3" t="s">
        <v>27</v>
      </c>
    </row>
    <row r="926" spans="1:10" x14ac:dyDescent="0.25">
      <c r="A926" s="1">
        <v>42</v>
      </c>
      <c r="B926" t="s">
        <v>19</v>
      </c>
      <c r="C926">
        <v>706</v>
      </c>
      <c r="D926">
        <v>2</v>
      </c>
      <c r="E926" t="s">
        <v>28</v>
      </c>
      <c r="F926" t="s">
        <v>39</v>
      </c>
      <c r="G926" t="str">
        <f>"2026-03-05 21:09:13.697"</f>
        <v>2026-03-05 21:09:13.697</v>
      </c>
      <c r="H926" t="s">
        <v>21</v>
      </c>
      <c r="I926">
        <v>0</v>
      </c>
      <c r="J926" t="s">
        <v>30</v>
      </c>
    </row>
    <row r="927" spans="1:10" x14ac:dyDescent="0.25">
      <c r="A927" s="1">
        <v>43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"2026-03-05 21:08:13.117"</f>
        <v>2026-03-05 21:08:13.117</v>
      </c>
      <c r="H927" t="s">
        <v>21</v>
      </c>
      <c r="I927">
        <v>0</v>
      </c>
      <c r="J927" t="s">
        <v>22</v>
      </c>
    </row>
    <row r="928" spans="1:10" s="3" customFormat="1" x14ac:dyDescent="0.25">
      <c r="A928" s="2">
        <v>44</v>
      </c>
      <c r="B928" s="3" t="s">
        <v>23</v>
      </c>
      <c r="C928" s="3">
        <v>647</v>
      </c>
      <c r="D928" s="3">
        <v>1</v>
      </c>
      <c r="E928" s="3" t="s">
        <v>24</v>
      </c>
      <c r="F928" s="3" t="s">
        <v>25</v>
      </c>
      <c r="G928" s="3" t="str">
        <f>"2026-03-05 19:53:33.333"</f>
        <v>2026-03-05 19:53:33.333</v>
      </c>
      <c r="H928" s="3" t="s">
        <v>21</v>
      </c>
    </row>
    <row r="929" spans="1:10" s="3" customFormat="1" x14ac:dyDescent="0.25">
      <c r="A929" s="2">
        <v>45</v>
      </c>
      <c r="B929" s="3" t="s">
        <v>26</v>
      </c>
      <c r="C929" s="3">
        <v>647</v>
      </c>
      <c r="D929" s="3">
        <v>1</v>
      </c>
      <c r="E929" s="3" t="s">
        <v>24</v>
      </c>
      <c r="F929" s="3" t="s">
        <v>25</v>
      </c>
      <c r="G929" s="3" t="str">
        <f>"2026-03-05 19:53:32.033"</f>
        <v>2026-03-05 19:53:32.033</v>
      </c>
      <c r="H929" s="3" t="s">
        <v>21</v>
      </c>
      <c r="I929" s="3">
        <v>28.1</v>
      </c>
      <c r="J929" s="3" t="s">
        <v>27</v>
      </c>
    </row>
    <row r="930" spans="1:10" s="3" customFormat="1" x14ac:dyDescent="0.25">
      <c r="A930" s="2">
        <v>46</v>
      </c>
      <c r="B930" s="3" t="s">
        <v>23</v>
      </c>
      <c r="C930" s="3">
        <v>647</v>
      </c>
      <c r="D930" s="3">
        <v>1</v>
      </c>
      <c r="E930" s="3" t="s">
        <v>24</v>
      </c>
      <c r="F930" s="3" t="s">
        <v>25</v>
      </c>
      <c r="G930" s="3" t="str">
        <f>"2026-03-05 02:27:54.833"</f>
        <v>2026-03-05 02:27:54.833</v>
      </c>
      <c r="H930" s="3" t="s">
        <v>21</v>
      </c>
    </row>
    <row r="931" spans="1:10" s="3" customFormat="1" x14ac:dyDescent="0.25">
      <c r="A931" s="2">
        <v>47</v>
      </c>
      <c r="B931" s="3" t="s">
        <v>26</v>
      </c>
      <c r="C931" s="3">
        <v>647</v>
      </c>
      <c r="D931" s="3">
        <v>1</v>
      </c>
      <c r="E931" s="3" t="s">
        <v>24</v>
      </c>
      <c r="F931" s="3" t="s">
        <v>25</v>
      </c>
      <c r="G931" s="3" t="str">
        <f>"2026-03-05 02:27:51.334"</f>
        <v>2026-03-05 02:27:51.334</v>
      </c>
      <c r="H931" s="3" t="s">
        <v>21</v>
      </c>
      <c r="I931" s="3">
        <v>21.84</v>
      </c>
      <c r="J931" s="3" t="s">
        <v>27</v>
      </c>
    </row>
    <row r="932" spans="1:10" x14ac:dyDescent="0.25">
      <c r="A932" s="1">
        <v>48</v>
      </c>
      <c r="B932" t="s">
        <v>19</v>
      </c>
      <c r="C932">
        <v>706</v>
      </c>
      <c r="D932">
        <v>4</v>
      </c>
      <c r="E932" t="s">
        <v>28</v>
      </c>
      <c r="F932" t="s">
        <v>29</v>
      </c>
      <c r="G932" t="str">
        <f>"2026-03-04 22:06:10.255"</f>
        <v>2026-03-04 22:06:10.255</v>
      </c>
      <c r="H932" t="s">
        <v>21</v>
      </c>
      <c r="I932">
        <v>0</v>
      </c>
      <c r="J932" t="s">
        <v>30</v>
      </c>
    </row>
    <row r="933" spans="1:10" x14ac:dyDescent="0.25">
      <c r="A933" s="1">
        <v>49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"2026-03-04 22:04:19.125"</f>
        <v>2026-03-04 22:04:19.125</v>
      </c>
      <c r="H933" t="s">
        <v>21</v>
      </c>
      <c r="I933">
        <v>0</v>
      </c>
      <c r="J933" t="s">
        <v>22</v>
      </c>
    </row>
    <row r="934" spans="1:10" x14ac:dyDescent="0.25">
      <c r="A934" s="1">
        <v>50</v>
      </c>
      <c r="B934" t="s">
        <v>19</v>
      </c>
      <c r="C934">
        <v>706</v>
      </c>
      <c r="D934">
        <v>2</v>
      </c>
      <c r="E934" t="s">
        <v>28</v>
      </c>
      <c r="F934" t="s">
        <v>39</v>
      </c>
      <c r="G934" t="str">
        <f>"2026-03-04 04:37:27.112"</f>
        <v>2026-03-04 04:37:27.112</v>
      </c>
      <c r="H934" t="s">
        <v>21</v>
      </c>
      <c r="I934">
        <v>0</v>
      </c>
      <c r="J934" t="s">
        <v>30</v>
      </c>
    </row>
    <row r="935" spans="1:10" x14ac:dyDescent="0.25">
      <c r="A935" s="1">
        <v>51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"2026-03-04 04:35:03.112"</f>
        <v>2026-03-04 04:35:03.112</v>
      </c>
      <c r="H935" t="s">
        <v>21</v>
      </c>
    </row>
    <row r="936" spans="1:10" x14ac:dyDescent="0.25">
      <c r="A936" s="1">
        <v>52</v>
      </c>
      <c r="B936" t="s">
        <v>23</v>
      </c>
      <c r="C936">
        <v>42</v>
      </c>
      <c r="D936">
        <v>1</v>
      </c>
      <c r="E936" t="s">
        <v>60</v>
      </c>
      <c r="F936" t="s">
        <v>61</v>
      </c>
      <c r="G936" t="str">
        <f>"2026-03-04 01:39:41.719"</f>
        <v>2026-03-04 01:39:41.719</v>
      </c>
      <c r="H936" t="s">
        <v>62</v>
      </c>
    </row>
    <row r="937" spans="1:10" x14ac:dyDescent="0.25">
      <c r="A937" s="1">
        <v>53</v>
      </c>
      <c r="B937" t="s">
        <v>26</v>
      </c>
      <c r="C937">
        <v>42</v>
      </c>
      <c r="D937">
        <v>1</v>
      </c>
      <c r="E937" t="s">
        <v>60</v>
      </c>
      <c r="F937" t="s">
        <v>61</v>
      </c>
      <c r="G937" t="str">
        <f>"2026-03-04 01:39:21.200"</f>
        <v>2026-03-04 01:39:21.200</v>
      </c>
      <c r="H937" t="s">
        <v>62</v>
      </c>
      <c r="I937">
        <v>0</v>
      </c>
      <c r="J937" t="s">
        <v>30</v>
      </c>
    </row>
    <row r="938" spans="1:10" x14ac:dyDescent="0.25">
      <c r="A938" s="1">
        <v>54</v>
      </c>
      <c r="B938" t="s">
        <v>19</v>
      </c>
      <c r="C938">
        <v>706</v>
      </c>
      <c r="D938">
        <v>2</v>
      </c>
      <c r="E938" t="s">
        <v>28</v>
      </c>
      <c r="F938" t="s">
        <v>39</v>
      </c>
      <c r="G938" t="str">
        <f>"2026-03-04 01:38:15.321"</f>
        <v>2026-03-04 01:38:15.321</v>
      </c>
      <c r="H938" t="s">
        <v>21</v>
      </c>
      <c r="I938">
        <v>0</v>
      </c>
      <c r="J938" t="s">
        <v>30</v>
      </c>
    </row>
    <row r="939" spans="1:10" x14ac:dyDescent="0.25">
      <c r="A939" s="1">
        <v>55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"2026-03-04 01:36:35.121"</f>
        <v>2026-03-04 01:36:35.121</v>
      </c>
      <c r="H939" t="s">
        <v>21</v>
      </c>
    </row>
    <row r="940" spans="1:10" x14ac:dyDescent="0.25">
      <c r="A940" s="1">
        <v>56</v>
      </c>
      <c r="B940" t="s">
        <v>19</v>
      </c>
      <c r="C940">
        <v>706</v>
      </c>
      <c r="D940">
        <v>2</v>
      </c>
      <c r="E940" t="s">
        <v>28</v>
      </c>
      <c r="F940" t="s">
        <v>39</v>
      </c>
      <c r="G940" t="str">
        <f>"2026-03-03 01:29:47.515"</f>
        <v>2026-03-03 01:29:47.515</v>
      </c>
      <c r="H940" t="s">
        <v>21</v>
      </c>
      <c r="I940">
        <v>0</v>
      </c>
      <c r="J940" t="s">
        <v>30</v>
      </c>
    </row>
    <row r="941" spans="1:10" x14ac:dyDescent="0.25">
      <c r="A941" s="1">
        <v>57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"2026-03-03 01:29:13.115"</f>
        <v>2026-03-03 01:29:13.115</v>
      </c>
      <c r="H941" t="s">
        <v>21</v>
      </c>
    </row>
    <row r="942" spans="1:10" x14ac:dyDescent="0.25">
      <c r="A942" s="1">
        <v>58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"2026-03-02 23:31:47.117"</f>
        <v>2026-03-02 23:31:47.117</v>
      </c>
      <c r="H942" t="s">
        <v>21</v>
      </c>
    </row>
    <row r="943" spans="1:10" x14ac:dyDescent="0.25">
      <c r="A943" s="1">
        <v>59</v>
      </c>
      <c r="B943" t="s">
        <v>19</v>
      </c>
      <c r="C943">
        <v>706</v>
      </c>
      <c r="D943">
        <v>2</v>
      </c>
      <c r="E943" t="s">
        <v>28</v>
      </c>
      <c r="F943" t="s">
        <v>39</v>
      </c>
      <c r="G943" t="str">
        <f>"2026-03-02 22:39:11.074"</f>
        <v>2026-03-02 22:39:11.074</v>
      </c>
      <c r="H943" t="s">
        <v>21</v>
      </c>
      <c r="I943">
        <v>0</v>
      </c>
      <c r="J943" t="s">
        <v>30</v>
      </c>
    </row>
    <row r="944" spans="1:10" x14ac:dyDescent="0.25">
      <c r="A944" s="1">
        <v>60</v>
      </c>
      <c r="B944" t="s">
        <v>19</v>
      </c>
      <c r="C944">
        <v>706</v>
      </c>
      <c r="D944">
        <v>4</v>
      </c>
      <c r="E944" t="s">
        <v>28</v>
      </c>
      <c r="F944" t="s">
        <v>29</v>
      </c>
      <c r="G944" t="str">
        <f>"2026-03-02 22:29:16.624"</f>
        <v>2026-03-02 22:29:16.624</v>
      </c>
      <c r="H944" t="s">
        <v>21</v>
      </c>
      <c r="I944">
        <v>0</v>
      </c>
      <c r="J944" t="s">
        <v>30</v>
      </c>
    </row>
    <row r="945" spans="1:10" x14ac:dyDescent="0.25">
      <c r="A945" s="1">
        <v>61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"2026-03-02 22:23:30.124"</f>
        <v>2026-03-02 22:23:30.124</v>
      </c>
      <c r="H945" t="s">
        <v>21</v>
      </c>
      <c r="I945">
        <v>0</v>
      </c>
      <c r="J945" t="s">
        <v>22</v>
      </c>
    </row>
    <row r="946" spans="1:10" x14ac:dyDescent="0.25">
      <c r="A946" s="1">
        <v>62</v>
      </c>
      <c r="B946" t="s">
        <v>38</v>
      </c>
      <c r="C946">
        <v>630</v>
      </c>
      <c r="D946">
        <v>5</v>
      </c>
      <c r="E946" t="s">
        <v>35</v>
      </c>
      <c r="F946" t="s">
        <v>36</v>
      </c>
      <c r="G946" t="str">
        <f>"2026-03-02 21:47:37.981"</f>
        <v>2026-03-02 21:47:37.981</v>
      </c>
      <c r="H946" t="s">
        <v>37</v>
      </c>
      <c r="I946">
        <v>0</v>
      </c>
      <c r="J946" t="s">
        <v>30</v>
      </c>
    </row>
    <row r="947" spans="1:10" x14ac:dyDescent="0.25">
      <c r="A947" s="1">
        <v>63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"2026-03-02 21:42:35.154"</f>
        <v>2026-03-02 21:42:35.154</v>
      </c>
      <c r="H947" t="s">
        <v>21</v>
      </c>
      <c r="I947">
        <v>0</v>
      </c>
      <c r="J947" t="s">
        <v>22</v>
      </c>
    </row>
    <row r="948" spans="1:10" x14ac:dyDescent="0.25">
      <c r="A948" s="1">
        <v>64</v>
      </c>
      <c r="B948" t="s">
        <v>19</v>
      </c>
      <c r="C948">
        <v>706</v>
      </c>
      <c r="D948">
        <v>2</v>
      </c>
      <c r="E948" t="s">
        <v>28</v>
      </c>
      <c r="F948" t="s">
        <v>39</v>
      </c>
      <c r="G948" t="str">
        <f>"2026-03-02 13:41:07.910"</f>
        <v>2026-03-02 13:41:07.910</v>
      </c>
      <c r="H948" t="s">
        <v>21</v>
      </c>
      <c r="I948">
        <v>0</v>
      </c>
      <c r="J948" t="s">
        <v>30</v>
      </c>
    </row>
    <row r="949" spans="1:10" x14ac:dyDescent="0.25">
      <c r="A949" s="1">
        <v>65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"2026-03-02 13:40:50.120"</f>
        <v>2026-03-02 13:40:50.120</v>
      </c>
      <c r="H949" t="s">
        <v>21</v>
      </c>
    </row>
    <row r="950" spans="1:10" x14ac:dyDescent="0.25">
      <c r="A950" s="1">
        <v>66</v>
      </c>
      <c r="B950" t="s">
        <v>19</v>
      </c>
      <c r="C950">
        <v>706</v>
      </c>
      <c r="D950">
        <v>2</v>
      </c>
      <c r="E950" t="s">
        <v>28</v>
      </c>
      <c r="F950" t="s">
        <v>39</v>
      </c>
      <c r="G950" t="str">
        <f>"2026-03-01 21:48:16.116"</f>
        <v>2026-03-01 21:48:16.116</v>
      </c>
      <c r="H950" t="s">
        <v>21</v>
      </c>
      <c r="I950">
        <v>0</v>
      </c>
      <c r="J950" t="s">
        <v>30</v>
      </c>
    </row>
    <row r="951" spans="1:10" x14ac:dyDescent="0.25">
      <c r="A951" s="1">
        <v>67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"2026-03-01 21:46:09.116"</f>
        <v>2026-03-01 21:46:09.116</v>
      </c>
      <c r="H951" t="s">
        <v>21</v>
      </c>
    </row>
    <row r="952" spans="1:10" x14ac:dyDescent="0.25">
      <c r="A952" s="1">
        <v>68</v>
      </c>
      <c r="B952" t="s">
        <v>19</v>
      </c>
      <c r="C952">
        <v>706</v>
      </c>
      <c r="D952">
        <v>4</v>
      </c>
      <c r="E952" t="s">
        <v>28</v>
      </c>
      <c r="F952" t="s">
        <v>29</v>
      </c>
      <c r="G952" t="str">
        <f>"2026-03-01 13:05:27.237"</f>
        <v>2026-03-01 13:05:27.237</v>
      </c>
      <c r="H952" t="s">
        <v>21</v>
      </c>
      <c r="I952">
        <v>0</v>
      </c>
      <c r="J952" t="s">
        <v>30</v>
      </c>
    </row>
    <row r="953" spans="1:10" x14ac:dyDescent="0.25">
      <c r="A953" s="1">
        <v>69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"2026-03-01 13:04:55.117"</f>
        <v>2026-03-01 13:04:55.117</v>
      </c>
      <c r="H953" t="s">
        <v>21</v>
      </c>
    </row>
    <row r="954" spans="1:10" x14ac:dyDescent="0.25">
      <c r="A954" s="1">
        <v>70</v>
      </c>
      <c r="B954" t="s">
        <v>19</v>
      </c>
      <c r="C954">
        <v>706</v>
      </c>
      <c r="D954">
        <v>4</v>
      </c>
      <c r="E954" t="s">
        <v>28</v>
      </c>
      <c r="F954" t="s">
        <v>29</v>
      </c>
      <c r="G954" t="str">
        <f>"2026-03-01 02:08:07.259"</f>
        <v>2026-03-01 02:08:07.259</v>
      </c>
      <c r="H954" t="s">
        <v>21</v>
      </c>
      <c r="I954">
        <v>0</v>
      </c>
      <c r="J954" t="s">
        <v>30</v>
      </c>
    </row>
    <row r="955" spans="1:10" x14ac:dyDescent="0.25">
      <c r="A955" s="1">
        <v>71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"2026-03-01 02:07:09.289"</f>
        <v>2026-03-01 02:07:09.289</v>
      </c>
      <c r="H955" t="s">
        <v>21</v>
      </c>
      <c r="I955">
        <v>0</v>
      </c>
      <c r="J955" t="s">
        <v>22</v>
      </c>
    </row>
    <row r="956" spans="1:10" x14ac:dyDescent="0.25">
      <c r="A956" s="1">
        <v>72</v>
      </c>
      <c r="B956" t="s">
        <v>19</v>
      </c>
      <c r="C956">
        <v>706</v>
      </c>
      <c r="D956">
        <v>4</v>
      </c>
      <c r="E956" t="s">
        <v>28</v>
      </c>
      <c r="F956" t="s">
        <v>29</v>
      </c>
      <c r="G956" t="str">
        <f>"2026-02-28 20:49:31.842"</f>
        <v>2026-02-28 20:49:31.842</v>
      </c>
      <c r="H956" t="s">
        <v>21</v>
      </c>
      <c r="I956">
        <v>0</v>
      </c>
      <c r="J956" t="s">
        <v>30</v>
      </c>
    </row>
    <row r="957" spans="1:10" x14ac:dyDescent="0.25">
      <c r="A957" s="1">
        <v>73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"2026-02-28 20:48:28.172"</f>
        <v>2026-02-28 20:48:28.172</v>
      </c>
      <c r="H957" t="s">
        <v>21</v>
      </c>
      <c r="I957">
        <v>0</v>
      </c>
      <c r="J957" t="s">
        <v>22</v>
      </c>
    </row>
    <row r="958" spans="1:10" s="3" customFormat="1" x14ac:dyDescent="0.25">
      <c r="A958" s="2">
        <v>74</v>
      </c>
      <c r="B958" s="3" t="s">
        <v>23</v>
      </c>
      <c r="C958" s="3">
        <v>647</v>
      </c>
      <c r="D958" s="3">
        <v>1</v>
      </c>
      <c r="E958" s="3" t="s">
        <v>24</v>
      </c>
      <c r="F958" s="3" t="s">
        <v>25</v>
      </c>
      <c r="G958" s="3" t="str">
        <f>"2026-02-28 19:57:09.089"</f>
        <v>2026-02-28 19:57:09.089</v>
      </c>
      <c r="H958" s="3" t="s">
        <v>21</v>
      </c>
    </row>
    <row r="959" spans="1:10" s="3" customFormat="1" x14ac:dyDescent="0.25">
      <c r="A959" s="2">
        <v>75</v>
      </c>
      <c r="B959" s="3" t="s">
        <v>26</v>
      </c>
      <c r="C959" s="3">
        <v>647</v>
      </c>
      <c r="D959" s="3">
        <v>1</v>
      </c>
      <c r="E959" s="3" t="s">
        <v>24</v>
      </c>
      <c r="F959" s="3" t="s">
        <v>25</v>
      </c>
      <c r="G959" s="3" t="str">
        <f>"2026-02-28 19:57:07.389"</f>
        <v>2026-02-28 19:57:07.389</v>
      </c>
      <c r="H959" s="3" t="s">
        <v>21</v>
      </c>
      <c r="I959" s="3">
        <v>10.3</v>
      </c>
      <c r="J959" s="3" t="s">
        <v>27</v>
      </c>
    </row>
    <row r="960" spans="1:10" x14ac:dyDescent="0.25">
      <c r="A960" s="1">
        <v>77</v>
      </c>
      <c r="B960" t="s">
        <v>19</v>
      </c>
      <c r="C960">
        <v>706</v>
      </c>
      <c r="D960">
        <v>4</v>
      </c>
      <c r="E960" t="s">
        <v>28</v>
      </c>
      <c r="F960" t="s">
        <v>29</v>
      </c>
      <c r="G960" t="str">
        <f>"2026-02-27 20:53:11.456"</f>
        <v>2026-02-27 20:53:11.456</v>
      </c>
      <c r="H960" t="s">
        <v>21</v>
      </c>
      <c r="I960">
        <v>0</v>
      </c>
      <c r="J960" t="s">
        <v>30</v>
      </c>
    </row>
    <row r="961" spans="1:10" x14ac:dyDescent="0.25">
      <c r="A961" s="1">
        <v>78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"2026-02-27 20:52:34.156"</f>
        <v>2026-02-27 20:52:34.156</v>
      </c>
      <c r="H961" t="s">
        <v>21</v>
      </c>
    </row>
    <row r="962" spans="1:10" x14ac:dyDescent="0.25">
      <c r="A962" s="1">
        <v>79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"2026-02-27 13:38:42.168"</f>
        <v>2026-02-27 13:38:42.168</v>
      </c>
      <c r="H962" t="s">
        <v>21</v>
      </c>
      <c r="I962">
        <v>0</v>
      </c>
      <c r="J962" t="s">
        <v>22</v>
      </c>
    </row>
    <row r="963" spans="1:10" x14ac:dyDescent="0.25">
      <c r="A963" s="1">
        <v>80</v>
      </c>
      <c r="B963" t="s">
        <v>19</v>
      </c>
      <c r="C963">
        <v>706</v>
      </c>
      <c r="D963">
        <v>4</v>
      </c>
      <c r="E963" t="s">
        <v>28</v>
      </c>
      <c r="F963" t="s">
        <v>29</v>
      </c>
      <c r="G963" t="str">
        <f>"2026-02-26 22:08:08.252"</f>
        <v>2026-02-26 22:08:08.252</v>
      </c>
      <c r="H963" t="s">
        <v>21</v>
      </c>
      <c r="I963">
        <v>0</v>
      </c>
      <c r="J963" t="s">
        <v>30</v>
      </c>
    </row>
    <row r="964" spans="1:10" x14ac:dyDescent="0.25">
      <c r="A964" s="1">
        <v>81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"2026-02-26 22:06:48.162"</f>
        <v>2026-02-26 22:06:48.162</v>
      </c>
      <c r="H964" t="s">
        <v>21</v>
      </c>
      <c r="I964">
        <v>0</v>
      </c>
      <c r="J964" t="s">
        <v>22</v>
      </c>
    </row>
    <row r="965" spans="1:10" x14ac:dyDescent="0.25">
      <c r="A965" s="1">
        <v>82</v>
      </c>
      <c r="B965" t="s">
        <v>19</v>
      </c>
      <c r="C965">
        <v>706</v>
      </c>
      <c r="D965">
        <v>2</v>
      </c>
      <c r="E965" t="s">
        <v>28</v>
      </c>
      <c r="F965" t="s">
        <v>39</v>
      </c>
      <c r="G965" t="str">
        <f>"2026-02-26 16:46:22.510"</f>
        <v>2026-02-26 16:46:22.510</v>
      </c>
      <c r="H965" t="s">
        <v>21</v>
      </c>
      <c r="I965">
        <v>0</v>
      </c>
      <c r="J965" t="s">
        <v>30</v>
      </c>
    </row>
    <row r="966" spans="1:10" x14ac:dyDescent="0.25">
      <c r="A966" s="1">
        <v>83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"2026-02-26 16:40:27.110"</f>
        <v>2026-02-26 16:40:27.110</v>
      </c>
      <c r="H966" t="s">
        <v>21</v>
      </c>
    </row>
    <row r="967" spans="1:10" x14ac:dyDescent="0.25">
      <c r="A967" s="1">
        <v>84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"2026-02-26 16:29:35.262"</f>
        <v>2026-02-26 16:29:35.262</v>
      </c>
      <c r="H967" t="s">
        <v>21</v>
      </c>
      <c r="I967">
        <v>0</v>
      </c>
      <c r="J967" t="s">
        <v>22</v>
      </c>
    </row>
    <row r="968" spans="1:10" x14ac:dyDescent="0.25">
      <c r="A968" s="1">
        <v>85</v>
      </c>
      <c r="B968" t="s">
        <v>23</v>
      </c>
      <c r="C968">
        <v>89</v>
      </c>
      <c r="D968">
        <v>3</v>
      </c>
      <c r="E968" t="s">
        <v>63</v>
      </c>
      <c r="F968" t="s">
        <v>64</v>
      </c>
      <c r="G968" t="str">
        <f>"2026-02-26 15:57:31.656"</f>
        <v>2026-02-26 15:57:31.656</v>
      </c>
      <c r="H968" t="s">
        <v>21</v>
      </c>
    </row>
    <row r="969" spans="1:10" x14ac:dyDescent="0.25">
      <c r="A969" s="1">
        <v>86</v>
      </c>
      <c r="B969" t="s">
        <v>38</v>
      </c>
      <c r="C969">
        <v>89</v>
      </c>
      <c r="D969">
        <v>3</v>
      </c>
      <c r="E969" t="s">
        <v>63</v>
      </c>
      <c r="F969" t="s">
        <v>64</v>
      </c>
      <c r="G969" t="str">
        <f>"2026-02-26 15:57:06.057"</f>
        <v>2026-02-26 15:57:06.057</v>
      </c>
      <c r="H969" t="s">
        <v>21</v>
      </c>
      <c r="I969">
        <v>0</v>
      </c>
      <c r="J969" t="s">
        <v>34</v>
      </c>
    </row>
    <row r="970" spans="1:10" x14ac:dyDescent="0.25">
      <c r="A970" s="1">
        <v>87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"2026-02-26 15:54:42.132"</f>
        <v>2026-02-26 15:54:42.132</v>
      </c>
      <c r="H970" t="s">
        <v>21</v>
      </c>
      <c r="I970">
        <v>0</v>
      </c>
      <c r="J970" t="s">
        <v>22</v>
      </c>
    </row>
    <row r="971" spans="1:10" x14ac:dyDescent="0.25">
      <c r="A971" s="1">
        <v>88</v>
      </c>
      <c r="B971" t="s">
        <v>19</v>
      </c>
      <c r="C971">
        <v>706</v>
      </c>
      <c r="D971">
        <v>4</v>
      </c>
      <c r="E971" t="s">
        <v>28</v>
      </c>
      <c r="F971" t="s">
        <v>29</v>
      </c>
      <c r="G971" t="str">
        <f>"2026-02-25 10:50:28.466"</f>
        <v>2026-02-25 10:50:28.466</v>
      </c>
      <c r="H971" t="s">
        <v>21</v>
      </c>
      <c r="I971">
        <v>0</v>
      </c>
      <c r="J971" t="s">
        <v>30</v>
      </c>
    </row>
    <row r="972" spans="1:10" x14ac:dyDescent="0.25">
      <c r="A972" s="1">
        <v>89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"2026-02-25 10:50:04.116"</f>
        <v>2026-02-25 10:50:04.116</v>
      </c>
      <c r="H972" t="s">
        <v>21</v>
      </c>
    </row>
    <row r="973" spans="1:10" x14ac:dyDescent="0.25">
      <c r="A973" s="1">
        <v>90</v>
      </c>
      <c r="B973" t="s">
        <v>19</v>
      </c>
      <c r="C973">
        <v>706</v>
      </c>
      <c r="D973">
        <v>3</v>
      </c>
      <c r="E973" t="s">
        <v>28</v>
      </c>
      <c r="F973" t="s">
        <v>43</v>
      </c>
      <c r="G973" t="str">
        <f>"2026-02-24 14:39:29.540"</f>
        <v>2026-02-24 14:39:29.540</v>
      </c>
      <c r="H973" t="s">
        <v>21</v>
      </c>
      <c r="I973">
        <v>0</v>
      </c>
      <c r="J973" t="s">
        <v>30</v>
      </c>
    </row>
    <row r="974" spans="1:10" x14ac:dyDescent="0.25">
      <c r="A974" s="1">
        <v>91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"2026-02-24 14:37:18.210"</f>
        <v>2026-02-24 14:37:18.210</v>
      </c>
      <c r="H974" t="s">
        <v>21</v>
      </c>
      <c r="I974">
        <v>0</v>
      </c>
      <c r="J974" t="s">
        <v>22</v>
      </c>
    </row>
    <row r="975" spans="1:10" x14ac:dyDescent="0.25">
      <c r="A975" s="1">
        <v>92</v>
      </c>
      <c r="B975" t="s">
        <v>19</v>
      </c>
      <c r="C975">
        <v>706</v>
      </c>
      <c r="D975">
        <v>4</v>
      </c>
      <c r="E975" t="s">
        <v>28</v>
      </c>
      <c r="F975" t="s">
        <v>29</v>
      </c>
      <c r="G975" t="str">
        <f>"2026-02-24 12:18:49.469"</f>
        <v>2026-02-24 12:18:49.469</v>
      </c>
      <c r="H975" t="s">
        <v>21</v>
      </c>
      <c r="I975">
        <v>0</v>
      </c>
      <c r="J975" t="s">
        <v>30</v>
      </c>
    </row>
    <row r="976" spans="1:10" x14ac:dyDescent="0.25">
      <c r="A976" s="1">
        <v>93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"2026-02-24 12:18:32.129"</f>
        <v>2026-02-24 12:18:32.129</v>
      </c>
      <c r="H976" t="s">
        <v>21</v>
      </c>
      <c r="I976">
        <v>0</v>
      </c>
      <c r="J976" t="s">
        <v>22</v>
      </c>
    </row>
    <row r="977" spans="1:10" x14ac:dyDescent="0.25">
      <c r="A977" s="1">
        <v>94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"2026-02-24 04:21:48.123"</f>
        <v>2026-02-24 04:21:48.123</v>
      </c>
      <c r="H977" t="s">
        <v>21</v>
      </c>
      <c r="I977">
        <v>0</v>
      </c>
      <c r="J977" t="s">
        <v>22</v>
      </c>
    </row>
    <row r="978" spans="1:10" x14ac:dyDescent="0.25">
      <c r="A978" s="1">
        <v>95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"2026-02-24 04:17:50.158"</f>
        <v>2026-02-24 04:17:50.158</v>
      </c>
      <c r="H978" t="s">
        <v>21</v>
      </c>
      <c r="I978">
        <v>0</v>
      </c>
      <c r="J978" t="s">
        <v>22</v>
      </c>
    </row>
    <row r="979" spans="1:10" x14ac:dyDescent="0.25">
      <c r="A979" s="1">
        <v>96</v>
      </c>
      <c r="B979" t="s">
        <v>19</v>
      </c>
      <c r="C979">
        <v>706</v>
      </c>
      <c r="D979">
        <v>2</v>
      </c>
      <c r="E979" t="s">
        <v>28</v>
      </c>
      <c r="F979" t="s">
        <v>39</v>
      </c>
      <c r="G979" t="str">
        <f>"2026-02-24 00:45:22.288"</f>
        <v>2026-02-24 00:45:22.288</v>
      </c>
      <c r="H979" t="s">
        <v>21</v>
      </c>
      <c r="I979">
        <v>0</v>
      </c>
      <c r="J979" t="s">
        <v>30</v>
      </c>
    </row>
    <row r="980" spans="1:10" x14ac:dyDescent="0.25">
      <c r="A980" s="1">
        <v>97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"2026-02-24 00:44:25.268"</f>
        <v>2026-02-24 00:44:25.268</v>
      </c>
      <c r="H980" t="s">
        <v>21</v>
      </c>
      <c r="I980">
        <v>0</v>
      </c>
      <c r="J980" t="s">
        <v>22</v>
      </c>
    </row>
    <row r="981" spans="1:10" s="3" customFormat="1" x14ac:dyDescent="0.25">
      <c r="A981" s="2">
        <v>98</v>
      </c>
      <c r="B981" s="3" t="s">
        <v>23</v>
      </c>
      <c r="C981" s="3">
        <v>647</v>
      </c>
      <c r="D981" s="3">
        <v>1</v>
      </c>
      <c r="E981" s="3" t="s">
        <v>24</v>
      </c>
      <c r="F981" s="3" t="s">
        <v>25</v>
      </c>
      <c r="G981" s="3" t="str">
        <f>"2026-02-23 23:08:44.559"</f>
        <v>2026-02-23 23:08:44.559</v>
      </c>
      <c r="H981" s="3" t="s">
        <v>21</v>
      </c>
    </row>
    <row r="982" spans="1:10" s="3" customFormat="1" x14ac:dyDescent="0.25">
      <c r="A982" s="2">
        <v>99</v>
      </c>
      <c r="B982" s="3" t="s">
        <v>26</v>
      </c>
      <c r="C982" s="3">
        <v>647</v>
      </c>
      <c r="D982" s="3">
        <v>1</v>
      </c>
      <c r="E982" s="3" t="s">
        <v>24</v>
      </c>
      <c r="F982" s="3" t="s">
        <v>25</v>
      </c>
      <c r="G982" s="3" t="str">
        <f>"2026-02-23 23:08:41.059"</f>
        <v>2026-02-23 23:08:41.059</v>
      </c>
      <c r="H982" s="3" t="s">
        <v>21</v>
      </c>
      <c r="I982" s="3">
        <v>11.57</v>
      </c>
      <c r="J982" s="3" t="s">
        <v>27</v>
      </c>
    </row>
    <row r="983" spans="1:10" x14ac:dyDescent="0.25">
      <c r="A983" s="1">
        <v>0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"2026-02-23 13:41:16.118"</f>
        <v>2026-02-23 13:41:16.118</v>
      </c>
      <c r="H983" t="s">
        <v>21</v>
      </c>
    </row>
    <row r="984" spans="1:10" x14ac:dyDescent="0.25">
      <c r="A984" s="1">
        <v>1</v>
      </c>
      <c r="B984" t="s">
        <v>19</v>
      </c>
      <c r="C984">
        <v>706</v>
      </c>
      <c r="D984">
        <v>4</v>
      </c>
      <c r="E984" t="s">
        <v>28</v>
      </c>
      <c r="F984" t="s">
        <v>29</v>
      </c>
      <c r="G984" t="str">
        <f>"2026-02-22 19:59:51.638"</f>
        <v>2026-02-22 19:59:51.638</v>
      </c>
      <c r="H984" t="s">
        <v>21</v>
      </c>
      <c r="I984">
        <v>0</v>
      </c>
      <c r="J984" t="s">
        <v>30</v>
      </c>
    </row>
    <row r="985" spans="1:10" x14ac:dyDescent="0.25">
      <c r="A985" s="1">
        <v>2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"2026-02-22 19:58:23.138"</f>
        <v>2026-02-22 19:58:23.138</v>
      </c>
      <c r="H985" t="s">
        <v>21</v>
      </c>
      <c r="I985">
        <v>0</v>
      </c>
      <c r="J985" t="s">
        <v>22</v>
      </c>
    </row>
    <row r="986" spans="1:10" x14ac:dyDescent="0.25">
      <c r="A986" s="1">
        <v>3</v>
      </c>
      <c r="B986" t="s">
        <v>19</v>
      </c>
      <c r="C986">
        <v>706</v>
      </c>
      <c r="D986">
        <v>4</v>
      </c>
      <c r="E986" t="s">
        <v>28</v>
      </c>
      <c r="F986" t="s">
        <v>29</v>
      </c>
      <c r="G986" t="str">
        <f>"2026-02-22 13:49:56.626"</f>
        <v>2026-02-22 13:49:56.626</v>
      </c>
      <c r="H986" t="s">
        <v>21</v>
      </c>
      <c r="I986">
        <v>0</v>
      </c>
      <c r="J986" t="s">
        <v>30</v>
      </c>
    </row>
    <row r="987" spans="1:10" x14ac:dyDescent="0.25">
      <c r="A987" s="1">
        <v>4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"2026-02-22 13:49:39.156"</f>
        <v>2026-02-22 13:49:39.156</v>
      </c>
      <c r="H987" t="s">
        <v>21</v>
      </c>
      <c r="I987">
        <v>0</v>
      </c>
      <c r="J987" t="s">
        <v>22</v>
      </c>
    </row>
    <row r="988" spans="1:10" x14ac:dyDescent="0.25">
      <c r="A988" s="1">
        <v>5</v>
      </c>
      <c r="B988" t="s">
        <v>23</v>
      </c>
      <c r="C988">
        <v>630</v>
      </c>
      <c r="D988">
        <v>5</v>
      </c>
      <c r="E988" t="s">
        <v>35</v>
      </c>
      <c r="F988" t="s">
        <v>36</v>
      </c>
      <c r="G988" t="str">
        <f>"2026-02-22 01:03:45.383"</f>
        <v>2026-02-22 01:03:45.383</v>
      </c>
      <c r="H988" t="s">
        <v>37</v>
      </c>
    </row>
    <row r="989" spans="1:10" x14ac:dyDescent="0.25">
      <c r="A989" s="1">
        <v>6</v>
      </c>
      <c r="B989" t="s">
        <v>19</v>
      </c>
      <c r="C989">
        <v>706</v>
      </c>
      <c r="D989">
        <v>4</v>
      </c>
      <c r="E989" t="s">
        <v>28</v>
      </c>
      <c r="F989" t="s">
        <v>29</v>
      </c>
      <c r="G989" t="str">
        <f>"2026-02-22 01:03:15.222"</f>
        <v>2026-02-22 01:03:15.222</v>
      </c>
      <c r="H989" t="s">
        <v>21</v>
      </c>
      <c r="I989">
        <v>0</v>
      </c>
      <c r="J989" t="s">
        <v>30</v>
      </c>
    </row>
    <row r="990" spans="1:10" x14ac:dyDescent="0.25">
      <c r="A990" s="1">
        <v>7</v>
      </c>
      <c r="B990" t="s">
        <v>38</v>
      </c>
      <c r="C990">
        <v>630</v>
      </c>
      <c r="D990">
        <v>5</v>
      </c>
      <c r="E990" t="s">
        <v>35</v>
      </c>
      <c r="F990" t="s">
        <v>36</v>
      </c>
      <c r="G990" t="str">
        <f>"2026-02-22 01:01:04.983"</f>
        <v>2026-02-22 01:01:04.983</v>
      </c>
      <c r="H990" t="s">
        <v>37</v>
      </c>
      <c r="I990">
        <v>0</v>
      </c>
      <c r="J990" t="s">
        <v>30</v>
      </c>
    </row>
    <row r="991" spans="1:10" x14ac:dyDescent="0.25">
      <c r="A991" s="1">
        <v>8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"2026-02-22 00:56:02.142"</f>
        <v>2026-02-22 00:56:02.142</v>
      </c>
      <c r="H991" t="s">
        <v>21</v>
      </c>
    </row>
    <row r="992" spans="1:10" x14ac:dyDescent="0.25">
      <c r="A992" s="1">
        <v>9</v>
      </c>
      <c r="B992" t="s">
        <v>19</v>
      </c>
      <c r="C992">
        <v>706</v>
      </c>
      <c r="D992">
        <v>4</v>
      </c>
      <c r="E992" t="s">
        <v>28</v>
      </c>
      <c r="F992" t="s">
        <v>29</v>
      </c>
      <c r="G992" t="str">
        <f>"2026-02-21 22:08:02.446"</f>
        <v>2026-02-21 22:08:02.446</v>
      </c>
      <c r="H992" t="s">
        <v>21</v>
      </c>
      <c r="I992">
        <v>0</v>
      </c>
      <c r="J992" t="s">
        <v>30</v>
      </c>
    </row>
    <row r="993" spans="1:10" x14ac:dyDescent="0.25">
      <c r="A993" s="1">
        <v>10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"2026-02-21 22:05:25.296"</f>
        <v>2026-02-21 22:05:25.296</v>
      </c>
      <c r="H993" t="s">
        <v>21</v>
      </c>
      <c r="I993">
        <v>0</v>
      </c>
      <c r="J993" t="s">
        <v>22</v>
      </c>
    </row>
    <row r="994" spans="1:10" x14ac:dyDescent="0.25">
      <c r="A994" s="1">
        <v>11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"2026-02-21 13:14:50.152"</f>
        <v>2026-02-21 13:14:50.152</v>
      </c>
      <c r="H994" t="s">
        <v>21</v>
      </c>
    </row>
    <row r="995" spans="1:10" x14ac:dyDescent="0.25">
      <c r="A995" s="1">
        <v>12</v>
      </c>
      <c r="B995" t="s">
        <v>19</v>
      </c>
      <c r="C995">
        <v>706</v>
      </c>
      <c r="D995">
        <v>4</v>
      </c>
      <c r="E995" t="s">
        <v>28</v>
      </c>
      <c r="F995" t="s">
        <v>29</v>
      </c>
      <c r="G995" t="str">
        <f>"2026-02-21 02:00:18.847"</f>
        <v>2026-02-21 02:00:18.847</v>
      </c>
      <c r="H995" t="s">
        <v>21</v>
      </c>
      <c r="I995">
        <v>0</v>
      </c>
      <c r="J995" t="s">
        <v>30</v>
      </c>
    </row>
    <row r="996" spans="1:10" x14ac:dyDescent="0.25">
      <c r="A996" s="1">
        <v>13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"2026-02-21 01:59:05.157"</f>
        <v>2026-02-21 01:59:05.157</v>
      </c>
      <c r="H996" t="s">
        <v>21</v>
      </c>
    </row>
    <row r="997" spans="1:10" x14ac:dyDescent="0.25">
      <c r="A997" s="1">
        <v>14</v>
      </c>
      <c r="B997" t="s">
        <v>44</v>
      </c>
      <c r="C997">
        <v>33</v>
      </c>
      <c r="D997">
        <v>1</v>
      </c>
      <c r="E997" t="s">
        <v>45</v>
      </c>
      <c r="F997" t="s">
        <v>46</v>
      </c>
      <c r="G997" t="str">
        <f>"2026-02-20 22:50:39.982"</f>
        <v>2026-02-20 22:50:39.982</v>
      </c>
      <c r="H997" t="s">
        <v>47</v>
      </c>
    </row>
    <row r="998" spans="1:10" x14ac:dyDescent="0.25">
      <c r="A998" s="1">
        <v>15</v>
      </c>
      <c r="B998" t="s">
        <v>38</v>
      </c>
      <c r="C998">
        <v>33</v>
      </c>
      <c r="D998">
        <v>1</v>
      </c>
      <c r="E998" t="s">
        <v>45</v>
      </c>
      <c r="F998" t="s">
        <v>46</v>
      </c>
      <c r="G998" t="str">
        <f>"2026-02-20 22:50:18.561"</f>
        <v>2026-02-20 22:50:18.561</v>
      </c>
      <c r="H998" t="s">
        <v>47</v>
      </c>
      <c r="I998">
        <v>12.33</v>
      </c>
      <c r="J998" t="s">
        <v>33</v>
      </c>
    </row>
    <row r="999" spans="1:10" x14ac:dyDescent="0.25">
      <c r="A999" s="1">
        <v>16</v>
      </c>
      <c r="B999" t="s">
        <v>19</v>
      </c>
      <c r="C999">
        <v>706</v>
      </c>
      <c r="D999">
        <v>2</v>
      </c>
      <c r="E999" t="s">
        <v>28</v>
      </c>
      <c r="F999" t="s">
        <v>39</v>
      </c>
      <c r="G999" t="str">
        <f>"2026-02-20 21:26:51.741"</f>
        <v>2026-02-20 21:26:51.741</v>
      </c>
      <c r="H999" t="s">
        <v>21</v>
      </c>
      <c r="I999">
        <v>0</v>
      </c>
      <c r="J999" t="s">
        <v>30</v>
      </c>
    </row>
    <row r="1000" spans="1:10" x14ac:dyDescent="0.25">
      <c r="A1000" s="1">
        <v>17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"2026-02-20 21:23:18.151"</f>
        <v>2026-02-20 21:23:18.151</v>
      </c>
      <c r="H1000" t="s">
        <v>21</v>
      </c>
      <c r="I1000">
        <v>0</v>
      </c>
      <c r="J1000" t="s">
        <v>22</v>
      </c>
    </row>
    <row r="1001" spans="1:10" x14ac:dyDescent="0.25">
      <c r="A1001" s="1">
        <v>18</v>
      </c>
      <c r="B1001" t="s">
        <v>23</v>
      </c>
      <c r="C1001">
        <v>635</v>
      </c>
      <c r="D1001">
        <v>1</v>
      </c>
      <c r="E1001" t="s">
        <v>31</v>
      </c>
      <c r="F1001" t="s">
        <v>32</v>
      </c>
      <c r="G1001" t="str">
        <f>"2026-02-20 21:07:57.262"</f>
        <v>2026-02-20 21:07:57.262</v>
      </c>
      <c r="H1001" t="s">
        <v>21</v>
      </c>
    </row>
    <row r="1002" spans="1:10" x14ac:dyDescent="0.25">
      <c r="A1002" s="1">
        <v>19</v>
      </c>
      <c r="B1002" t="s">
        <v>26</v>
      </c>
      <c r="C1002">
        <v>635</v>
      </c>
      <c r="D1002">
        <v>1</v>
      </c>
      <c r="E1002" t="s">
        <v>31</v>
      </c>
      <c r="F1002" t="s">
        <v>32</v>
      </c>
      <c r="G1002" t="str">
        <f>"2026-02-20 21:02:25.862"</f>
        <v>2026-02-20 21:02:25.862</v>
      </c>
      <c r="H1002" t="s">
        <v>21</v>
      </c>
      <c r="I1002">
        <v>2.94</v>
      </c>
      <c r="J1002" t="s">
        <v>27</v>
      </c>
    </row>
    <row r="1003" spans="1:10" x14ac:dyDescent="0.25">
      <c r="A1003" s="1">
        <v>20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"2026-02-20 12:41:58.131"</f>
        <v>2026-02-20 12:41:58.131</v>
      </c>
      <c r="H1003" t="s">
        <v>21</v>
      </c>
      <c r="I1003">
        <v>0</v>
      </c>
      <c r="J1003" t="s">
        <v>22</v>
      </c>
    </row>
    <row r="1004" spans="1:10" s="3" customFormat="1" x14ac:dyDescent="0.25">
      <c r="A1004" s="2">
        <v>21</v>
      </c>
      <c r="B1004" s="3" t="s">
        <v>23</v>
      </c>
      <c r="C1004" s="3">
        <v>647</v>
      </c>
      <c r="D1004" s="3">
        <v>1</v>
      </c>
      <c r="E1004" s="3" t="s">
        <v>24</v>
      </c>
      <c r="F1004" s="3" t="s">
        <v>25</v>
      </c>
      <c r="G1004" s="3" t="str">
        <f>"2026-02-19 20:59:15.666"</f>
        <v>2026-02-19 20:59:15.666</v>
      </c>
      <c r="H1004" s="3" t="s">
        <v>21</v>
      </c>
    </row>
    <row r="1005" spans="1:10" s="3" customFormat="1" x14ac:dyDescent="0.25">
      <c r="A1005" s="2">
        <v>22</v>
      </c>
      <c r="B1005" s="3" t="s">
        <v>26</v>
      </c>
      <c r="C1005" s="3">
        <v>647</v>
      </c>
      <c r="D1005" s="3">
        <v>1</v>
      </c>
      <c r="E1005" s="3" t="s">
        <v>24</v>
      </c>
      <c r="F1005" s="3" t="s">
        <v>25</v>
      </c>
      <c r="G1005" s="3" t="str">
        <f>"2026-02-19 20:59:13.667"</f>
        <v>2026-02-19 20:59:13.667</v>
      </c>
      <c r="H1005" s="3" t="s">
        <v>21</v>
      </c>
      <c r="I1005" s="3">
        <v>20.72</v>
      </c>
      <c r="J1005" s="3" t="s">
        <v>27</v>
      </c>
    </row>
    <row r="1006" spans="1:10" x14ac:dyDescent="0.25">
      <c r="A1006" s="1">
        <v>23</v>
      </c>
      <c r="B1006" t="s">
        <v>19</v>
      </c>
      <c r="C1006">
        <v>706</v>
      </c>
      <c r="D1006">
        <v>2</v>
      </c>
      <c r="E1006" t="s">
        <v>28</v>
      </c>
      <c r="F1006" t="s">
        <v>39</v>
      </c>
      <c r="G1006" t="str">
        <f>"2026-02-19 20:25:08.937"</f>
        <v>2026-02-19 20:25:08.937</v>
      </c>
      <c r="H1006" t="s">
        <v>21</v>
      </c>
      <c r="I1006">
        <v>0</v>
      </c>
      <c r="J1006" t="s">
        <v>30</v>
      </c>
    </row>
    <row r="1007" spans="1:10" x14ac:dyDescent="0.25">
      <c r="A1007" s="1">
        <v>24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"2026-02-19 20:24:17.137"</f>
        <v>2026-02-19 20:24:17.137</v>
      </c>
      <c r="H1007" t="s">
        <v>21</v>
      </c>
      <c r="I1007">
        <v>0</v>
      </c>
      <c r="J1007" t="s">
        <v>22</v>
      </c>
    </row>
    <row r="1008" spans="1:10" x14ac:dyDescent="0.25">
      <c r="A1008" s="1">
        <v>25</v>
      </c>
      <c r="B1008" t="s">
        <v>23</v>
      </c>
      <c r="C1008">
        <v>98</v>
      </c>
      <c r="D1008">
        <v>1</v>
      </c>
      <c r="E1008" t="s">
        <v>65</v>
      </c>
      <c r="F1008" t="s">
        <v>66</v>
      </c>
      <c r="G1008" t="str">
        <f>"2026-02-19 12:55:59.267"</f>
        <v>2026-02-19 12:55:59.267</v>
      </c>
      <c r="H1008" t="s">
        <v>21</v>
      </c>
    </row>
    <row r="1009" spans="1:10" x14ac:dyDescent="0.25">
      <c r="A1009" s="1">
        <v>26</v>
      </c>
      <c r="B1009" t="s">
        <v>26</v>
      </c>
      <c r="C1009">
        <v>98</v>
      </c>
      <c r="D1009">
        <v>1</v>
      </c>
      <c r="E1009" t="s">
        <v>65</v>
      </c>
      <c r="F1009" t="s">
        <v>66</v>
      </c>
      <c r="G1009" t="str">
        <f>"2026-02-19 12:55:58.267"</f>
        <v>2026-02-19 12:55:58.267</v>
      </c>
      <c r="H1009" t="s">
        <v>21</v>
      </c>
      <c r="I1009">
        <v>0</v>
      </c>
      <c r="J1009" t="s">
        <v>34</v>
      </c>
    </row>
    <row r="1010" spans="1:10" s="3" customFormat="1" x14ac:dyDescent="0.25">
      <c r="A1010" s="2">
        <v>27</v>
      </c>
      <c r="B1010" s="3" t="s">
        <v>23</v>
      </c>
      <c r="C1010" s="3">
        <v>647</v>
      </c>
      <c r="D1010" s="3">
        <v>1</v>
      </c>
      <c r="E1010" s="3" t="s">
        <v>24</v>
      </c>
      <c r="F1010" s="3" t="s">
        <v>25</v>
      </c>
      <c r="G1010" s="3" t="str">
        <f>"2026-02-19 10:32:17.668"</f>
        <v>2026-02-19 10:32:17.668</v>
      </c>
      <c r="H1010" s="3" t="s">
        <v>21</v>
      </c>
    </row>
    <row r="1011" spans="1:10" s="3" customFormat="1" x14ac:dyDescent="0.25">
      <c r="A1011" s="2">
        <v>28</v>
      </c>
      <c r="B1011" s="3" t="s">
        <v>26</v>
      </c>
      <c r="C1011" s="3">
        <v>647</v>
      </c>
      <c r="D1011" s="3">
        <v>1</v>
      </c>
      <c r="E1011" s="3" t="s">
        <v>24</v>
      </c>
      <c r="F1011" s="3" t="s">
        <v>25</v>
      </c>
      <c r="G1011" s="3" t="str">
        <f>"2026-02-19 10:32:14.368"</f>
        <v>2026-02-19 10:32:14.368</v>
      </c>
      <c r="H1011" s="3" t="s">
        <v>21</v>
      </c>
      <c r="I1011" s="3">
        <v>17.29</v>
      </c>
      <c r="J1011" s="3" t="s">
        <v>27</v>
      </c>
    </row>
    <row r="1012" spans="1:10" x14ac:dyDescent="0.25">
      <c r="A1012" s="1">
        <v>29</v>
      </c>
      <c r="B1012" t="s">
        <v>44</v>
      </c>
      <c r="C1012">
        <v>216</v>
      </c>
      <c r="D1012">
        <v>5</v>
      </c>
      <c r="E1012" t="s">
        <v>67</v>
      </c>
      <c r="F1012" t="s">
        <v>68</v>
      </c>
      <c r="G1012" t="str">
        <f>"2026-02-19 01:28:08.748"</f>
        <v>2026-02-19 01:28:08.748</v>
      </c>
      <c r="H1012" t="s">
        <v>69</v>
      </c>
    </row>
    <row r="1013" spans="1:10" x14ac:dyDescent="0.25">
      <c r="A1013" s="1">
        <v>30</v>
      </c>
      <c r="B1013" t="s">
        <v>38</v>
      </c>
      <c r="C1013">
        <v>216</v>
      </c>
      <c r="D1013">
        <v>5</v>
      </c>
      <c r="E1013" t="s">
        <v>67</v>
      </c>
      <c r="F1013" t="s">
        <v>68</v>
      </c>
      <c r="G1013" t="str">
        <f>"2026-02-19 01:28:05.430"</f>
        <v>2026-02-19 01:28:05.430</v>
      </c>
      <c r="H1013" t="s">
        <v>69</v>
      </c>
      <c r="I1013">
        <v>18.920000000000002</v>
      </c>
      <c r="J1013" t="s">
        <v>33</v>
      </c>
    </row>
    <row r="1014" spans="1:10" x14ac:dyDescent="0.25">
      <c r="A1014" s="1">
        <v>31</v>
      </c>
      <c r="B1014" t="s">
        <v>44</v>
      </c>
      <c r="C1014">
        <v>33</v>
      </c>
      <c r="D1014">
        <v>1</v>
      </c>
      <c r="E1014" t="s">
        <v>45</v>
      </c>
      <c r="F1014" t="s">
        <v>46</v>
      </c>
      <c r="G1014" t="str">
        <f>"2026-02-18 22:20:01.614"</f>
        <v>2026-02-18 22:20:01.614</v>
      </c>
      <c r="H1014" t="s">
        <v>47</v>
      </c>
    </row>
    <row r="1015" spans="1:10" x14ac:dyDescent="0.25">
      <c r="A1015" s="1">
        <v>32</v>
      </c>
      <c r="B1015" t="s">
        <v>38</v>
      </c>
      <c r="C1015">
        <v>33</v>
      </c>
      <c r="D1015">
        <v>1</v>
      </c>
      <c r="E1015" t="s">
        <v>45</v>
      </c>
      <c r="F1015" t="s">
        <v>46</v>
      </c>
      <c r="G1015" t="str">
        <f>"2026-02-18 22:19:23.286"</f>
        <v>2026-02-18 22:19:23.286</v>
      </c>
      <c r="H1015" t="s">
        <v>47</v>
      </c>
      <c r="I1015">
        <v>13.09</v>
      </c>
      <c r="J1015" t="s">
        <v>33</v>
      </c>
    </row>
    <row r="1016" spans="1:10" x14ac:dyDescent="0.25">
      <c r="A1016" s="1">
        <v>33</v>
      </c>
      <c r="B1016" t="s">
        <v>19</v>
      </c>
      <c r="C1016">
        <v>706</v>
      </c>
      <c r="D1016">
        <v>2</v>
      </c>
      <c r="E1016" t="s">
        <v>28</v>
      </c>
      <c r="F1016" t="s">
        <v>39</v>
      </c>
      <c r="G1016" t="str">
        <f>"2026-02-18 21:44:56.126"</f>
        <v>2026-02-18 21:44:56.126</v>
      </c>
      <c r="H1016" t="s">
        <v>21</v>
      </c>
      <c r="I1016">
        <v>0</v>
      </c>
      <c r="J1016" t="s">
        <v>30</v>
      </c>
    </row>
    <row r="1017" spans="1:10" x14ac:dyDescent="0.25">
      <c r="A1017" s="1">
        <v>34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"2026-02-18 21:42:50.126"</f>
        <v>2026-02-18 21:42:50.126</v>
      </c>
      <c r="H1017" t="s">
        <v>21</v>
      </c>
      <c r="I1017">
        <v>0</v>
      </c>
      <c r="J1017" t="s">
        <v>22</v>
      </c>
    </row>
    <row r="1018" spans="1:10" x14ac:dyDescent="0.25">
      <c r="A1018" s="1">
        <v>35</v>
      </c>
      <c r="B1018" t="s">
        <v>19</v>
      </c>
      <c r="C1018">
        <v>706</v>
      </c>
      <c r="D1018">
        <v>4</v>
      </c>
      <c r="E1018" t="s">
        <v>28</v>
      </c>
      <c r="F1018" t="s">
        <v>29</v>
      </c>
      <c r="G1018" t="str">
        <f>"2026-02-18 02:58:08.810"</f>
        <v>2026-02-18 02:58:08.810</v>
      </c>
      <c r="H1018" t="s">
        <v>21</v>
      </c>
      <c r="I1018">
        <v>0</v>
      </c>
      <c r="J1018" t="s">
        <v>30</v>
      </c>
    </row>
    <row r="1019" spans="1:10" x14ac:dyDescent="0.25">
      <c r="A1019" s="1">
        <v>36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"2026-02-18 02:46:37.160"</f>
        <v>2026-02-18 02:46:37.160</v>
      </c>
      <c r="H1019" t="s">
        <v>21</v>
      </c>
      <c r="I1019">
        <v>0</v>
      </c>
      <c r="J1019" t="s">
        <v>22</v>
      </c>
    </row>
    <row r="1020" spans="1:10" x14ac:dyDescent="0.25">
      <c r="A1020" s="1">
        <v>37</v>
      </c>
      <c r="B1020" t="s">
        <v>23</v>
      </c>
      <c r="C1020">
        <v>630</v>
      </c>
      <c r="D1020">
        <v>5</v>
      </c>
      <c r="E1020" t="s">
        <v>35</v>
      </c>
      <c r="F1020" t="s">
        <v>36</v>
      </c>
      <c r="G1020" t="str">
        <f>"2026-02-18 01:23:06.264"</f>
        <v>2026-02-18 01:23:06.264</v>
      </c>
      <c r="H1020" t="s">
        <v>37</v>
      </c>
    </row>
    <row r="1021" spans="1:10" x14ac:dyDescent="0.25">
      <c r="A1021" s="1">
        <v>38</v>
      </c>
      <c r="B1021" t="s">
        <v>38</v>
      </c>
      <c r="C1021">
        <v>630</v>
      </c>
      <c r="D1021">
        <v>5</v>
      </c>
      <c r="E1021" t="s">
        <v>35</v>
      </c>
      <c r="F1021" t="s">
        <v>36</v>
      </c>
      <c r="G1021" t="str">
        <f>"2026-02-18 01:17:46.964"</f>
        <v>2026-02-18 01:17:46.964</v>
      </c>
      <c r="H1021" t="s">
        <v>37</v>
      </c>
      <c r="I1021">
        <v>0</v>
      </c>
      <c r="J1021" t="s">
        <v>30</v>
      </c>
    </row>
    <row r="1022" spans="1:10" x14ac:dyDescent="0.25">
      <c r="A1022" s="1">
        <v>39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"2026-02-18 01:12:44.111"</f>
        <v>2026-02-18 01:12:44.111</v>
      </c>
      <c r="H1022" t="s">
        <v>21</v>
      </c>
      <c r="I1022">
        <v>0</v>
      </c>
      <c r="J1022" t="s">
        <v>22</v>
      </c>
    </row>
    <row r="1023" spans="1:10" x14ac:dyDescent="0.25">
      <c r="A1023" s="1">
        <v>40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"2026-02-18 01:09:58.301"</f>
        <v>2026-02-18 01:09:58.301</v>
      </c>
      <c r="H1023" t="s">
        <v>21</v>
      </c>
      <c r="I1023">
        <v>0</v>
      </c>
      <c r="J1023" t="s">
        <v>22</v>
      </c>
    </row>
    <row r="1024" spans="1:10" x14ac:dyDescent="0.25">
      <c r="A1024" s="1">
        <v>41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"2026-02-17 07:56:44.138"</f>
        <v>2026-02-17 07:56:44.138</v>
      </c>
      <c r="H1024" t="s">
        <v>21</v>
      </c>
    </row>
    <row r="1025" spans="1:10" x14ac:dyDescent="0.25">
      <c r="A1025" s="1">
        <v>42</v>
      </c>
      <c r="B1025" t="s">
        <v>23</v>
      </c>
      <c r="C1025">
        <v>630</v>
      </c>
      <c r="D1025">
        <v>5</v>
      </c>
      <c r="E1025" t="s">
        <v>35</v>
      </c>
      <c r="F1025" t="s">
        <v>36</v>
      </c>
      <c r="G1025" t="str">
        <f>"2026-02-16 15:34:10.868"</f>
        <v>2026-02-16 15:34:10.868</v>
      </c>
      <c r="H1025" t="s">
        <v>37</v>
      </c>
    </row>
    <row r="1026" spans="1:10" x14ac:dyDescent="0.25">
      <c r="A1026" s="1">
        <v>43</v>
      </c>
      <c r="B1026" t="s">
        <v>19</v>
      </c>
      <c r="C1026">
        <v>706</v>
      </c>
      <c r="D1026">
        <v>2</v>
      </c>
      <c r="E1026" t="s">
        <v>28</v>
      </c>
      <c r="F1026" t="s">
        <v>39</v>
      </c>
      <c r="G1026" t="str">
        <f>"2026-02-16 15:33:40.645"</f>
        <v>2026-02-16 15:33:40.645</v>
      </c>
      <c r="H1026" t="s">
        <v>21</v>
      </c>
      <c r="I1026">
        <v>0</v>
      </c>
      <c r="J1026" t="s">
        <v>30</v>
      </c>
    </row>
    <row r="1027" spans="1:10" x14ac:dyDescent="0.25">
      <c r="A1027" s="1">
        <v>44</v>
      </c>
      <c r="B1027" t="s">
        <v>38</v>
      </c>
      <c r="C1027">
        <v>630</v>
      </c>
      <c r="D1027">
        <v>5</v>
      </c>
      <c r="E1027" t="s">
        <v>35</v>
      </c>
      <c r="F1027" t="s">
        <v>36</v>
      </c>
      <c r="G1027" t="str">
        <f>"2026-02-16 15:31:32.868"</f>
        <v>2026-02-16 15:31:32.868</v>
      </c>
      <c r="H1027" t="s">
        <v>37</v>
      </c>
      <c r="I1027">
        <v>0</v>
      </c>
      <c r="J1027" t="s">
        <v>30</v>
      </c>
    </row>
    <row r="1028" spans="1:10" x14ac:dyDescent="0.25">
      <c r="A1028" s="1">
        <v>45</v>
      </c>
      <c r="B1028" t="s">
        <v>23</v>
      </c>
      <c r="C1028">
        <v>630</v>
      </c>
      <c r="D1028">
        <v>5</v>
      </c>
      <c r="E1028" t="s">
        <v>35</v>
      </c>
      <c r="F1028" t="s">
        <v>36</v>
      </c>
      <c r="G1028" t="str">
        <f>"2026-02-16 03:15:33.368"</f>
        <v>2026-02-16 03:15:33.368</v>
      </c>
      <c r="H1028" t="s">
        <v>37</v>
      </c>
    </row>
    <row r="1029" spans="1:10" x14ac:dyDescent="0.25">
      <c r="A1029" s="1">
        <v>46</v>
      </c>
      <c r="B1029" t="s">
        <v>19</v>
      </c>
      <c r="C1029">
        <v>706</v>
      </c>
      <c r="D1029">
        <v>4</v>
      </c>
      <c r="E1029" t="s">
        <v>28</v>
      </c>
      <c r="F1029" t="s">
        <v>29</v>
      </c>
      <c r="G1029" t="str">
        <f>"2026-02-16 03:15:03.255"</f>
        <v>2026-02-16 03:15:03.255</v>
      </c>
      <c r="H1029" t="s">
        <v>21</v>
      </c>
      <c r="I1029">
        <v>0</v>
      </c>
      <c r="J1029" t="s">
        <v>30</v>
      </c>
    </row>
    <row r="1030" spans="1:10" x14ac:dyDescent="0.25">
      <c r="A1030" s="1">
        <v>47</v>
      </c>
      <c r="B1030" t="s">
        <v>38</v>
      </c>
      <c r="C1030">
        <v>630</v>
      </c>
      <c r="D1030">
        <v>5</v>
      </c>
      <c r="E1030" t="s">
        <v>35</v>
      </c>
      <c r="F1030" t="s">
        <v>36</v>
      </c>
      <c r="G1030" t="str">
        <f>"2026-02-16 03:13:33.168"</f>
        <v>2026-02-16 03:13:33.168</v>
      </c>
      <c r="H1030" t="s">
        <v>37</v>
      </c>
      <c r="I1030">
        <v>0</v>
      </c>
      <c r="J1030" t="s">
        <v>30</v>
      </c>
    </row>
    <row r="1031" spans="1:10" x14ac:dyDescent="0.25">
      <c r="A1031" s="1">
        <v>48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"2026-02-16 01:59:40.125"</f>
        <v>2026-02-16 01:59:40.125</v>
      </c>
      <c r="H1031" t="s">
        <v>21</v>
      </c>
      <c r="I1031">
        <v>0</v>
      </c>
      <c r="J1031" t="s">
        <v>22</v>
      </c>
    </row>
    <row r="1032" spans="1:10" x14ac:dyDescent="0.25">
      <c r="A1032" s="1">
        <v>49</v>
      </c>
      <c r="B1032" t="s">
        <v>23</v>
      </c>
      <c r="C1032">
        <v>635</v>
      </c>
      <c r="D1032">
        <v>1</v>
      </c>
      <c r="E1032" t="s">
        <v>31</v>
      </c>
      <c r="F1032" t="s">
        <v>32</v>
      </c>
      <c r="G1032" t="str">
        <f>"2026-02-15 07:09:08.296"</f>
        <v>2026-02-15 07:09:08.296</v>
      </c>
      <c r="H1032" t="s">
        <v>21</v>
      </c>
    </row>
    <row r="1033" spans="1:10" x14ac:dyDescent="0.25">
      <c r="A1033" s="1">
        <v>50</v>
      </c>
      <c r="B1033" t="s">
        <v>26</v>
      </c>
      <c r="C1033">
        <v>635</v>
      </c>
      <c r="D1033">
        <v>1</v>
      </c>
      <c r="E1033" t="s">
        <v>31</v>
      </c>
      <c r="F1033" t="s">
        <v>32</v>
      </c>
      <c r="G1033" t="str">
        <f>"2026-02-15 06:49:15.796"</f>
        <v>2026-02-15 06:49:15.796</v>
      </c>
      <c r="H1033" t="s">
        <v>21</v>
      </c>
      <c r="I1033">
        <v>4.3</v>
      </c>
      <c r="J1033" t="s">
        <v>27</v>
      </c>
    </row>
    <row r="1034" spans="1:10" x14ac:dyDescent="0.25">
      <c r="A1034" s="1">
        <v>51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"2026-02-15 01:46:41.235"</f>
        <v>2026-02-15 01:46:41.235</v>
      </c>
      <c r="H1034" t="s">
        <v>21</v>
      </c>
    </row>
    <row r="1035" spans="1:10" x14ac:dyDescent="0.25">
      <c r="A1035" s="1">
        <v>52</v>
      </c>
      <c r="B1035" t="s">
        <v>23</v>
      </c>
      <c r="C1035">
        <v>635</v>
      </c>
      <c r="D1035">
        <v>1</v>
      </c>
      <c r="E1035" t="s">
        <v>31</v>
      </c>
      <c r="F1035" t="s">
        <v>32</v>
      </c>
      <c r="G1035" t="str">
        <f>"2026-02-13 08:46:15.573"</f>
        <v>2026-02-13 08:46:15.573</v>
      </c>
      <c r="H1035" t="s">
        <v>21</v>
      </c>
    </row>
    <row r="1036" spans="1:10" x14ac:dyDescent="0.25">
      <c r="A1036" s="1">
        <v>53</v>
      </c>
      <c r="B1036" t="s">
        <v>26</v>
      </c>
      <c r="C1036">
        <v>635</v>
      </c>
      <c r="D1036">
        <v>1</v>
      </c>
      <c r="E1036" t="s">
        <v>31</v>
      </c>
      <c r="F1036" t="s">
        <v>32</v>
      </c>
      <c r="G1036" t="str">
        <f>"2026-02-13 08:40:15.573"</f>
        <v>2026-02-13 08:40:15.573</v>
      </c>
      <c r="H1036" t="s">
        <v>21</v>
      </c>
      <c r="I1036">
        <v>5.24</v>
      </c>
      <c r="J1036" t="s">
        <v>33</v>
      </c>
    </row>
    <row r="1037" spans="1:10" x14ac:dyDescent="0.25">
      <c r="A1037" s="1">
        <v>54</v>
      </c>
      <c r="B1037" t="s">
        <v>19</v>
      </c>
      <c r="C1037">
        <v>706</v>
      </c>
      <c r="D1037">
        <v>2</v>
      </c>
      <c r="E1037" t="s">
        <v>28</v>
      </c>
      <c r="F1037" t="s">
        <v>39</v>
      </c>
      <c r="G1037" t="str">
        <f>"2026-02-13 05:46:46.145"</f>
        <v>2026-02-13 05:46:46.145</v>
      </c>
      <c r="H1037" t="s">
        <v>21</v>
      </c>
      <c r="I1037">
        <v>0</v>
      </c>
      <c r="J1037" t="s">
        <v>30</v>
      </c>
    </row>
    <row r="1038" spans="1:10" x14ac:dyDescent="0.25">
      <c r="A1038" s="1">
        <v>55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"2026-02-13 05:46:30.115"</f>
        <v>2026-02-13 05:46:30.115</v>
      </c>
      <c r="H1038" t="s">
        <v>21</v>
      </c>
    </row>
    <row r="1039" spans="1:10" x14ac:dyDescent="0.25">
      <c r="A1039" s="1">
        <v>56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"2026-02-13 05:39:53.150"</f>
        <v>2026-02-13 05:39:53.150</v>
      </c>
      <c r="H1039" t="s">
        <v>21</v>
      </c>
      <c r="I1039">
        <v>0</v>
      </c>
      <c r="J1039" t="s">
        <v>22</v>
      </c>
    </row>
    <row r="1040" spans="1:10" x14ac:dyDescent="0.25">
      <c r="A1040" s="1">
        <v>57</v>
      </c>
      <c r="B1040" t="s">
        <v>19</v>
      </c>
      <c r="C1040">
        <v>706</v>
      </c>
      <c r="D1040">
        <v>4</v>
      </c>
      <c r="E1040" t="s">
        <v>28</v>
      </c>
      <c r="F1040" t="s">
        <v>29</v>
      </c>
      <c r="G1040" t="str">
        <f>"2026-02-13 01:33:30.034"</f>
        <v>2026-02-13 01:33:30.034</v>
      </c>
      <c r="H1040" t="s">
        <v>21</v>
      </c>
      <c r="I1040">
        <v>0</v>
      </c>
      <c r="J1040" t="s">
        <v>30</v>
      </c>
    </row>
    <row r="1041" spans="1:10" x14ac:dyDescent="0.25">
      <c r="A1041" s="1">
        <v>58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"2026-02-13 01:33:07.324"</f>
        <v>2026-02-13 01:33:07.324</v>
      </c>
      <c r="H1041" t="s">
        <v>21</v>
      </c>
    </row>
    <row r="1042" spans="1:10" s="3" customFormat="1" x14ac:dyDescent="0.25">
      <c r="A1042" s="2">
        <v>59</v>
      </c>
      <c r="B1042" s="3" t="s">
        <v>23</v>
      </c>
      <c r="C1042" s="3">
        <v>647</v>
      </c>
      <c r="D1042" s="3">
        <v>1</v>
      </c>
      <c r="E1042" s="3" t="s">
        <v>24</v>
      </c>
      <c r="F1042" s="3" t="s">
        <v>25</v>
      </c>
      <c r="G1042" s="3" t="str">
        <f>"2026-02-12 02:06:34.662"</f>
        <v>2026-02-12 02:06:34.662</v>
      </c>
      <c r="H1042" s="3" t="s">
        <v>21</v>
      </c>
    </row>
    <row r="1043" spans="1:10" s="3" customFormat="1" x14ac:dyDescent="0.25">
      <c r="A1043" s="2">
        <v>60</v>
      </c>
      <c r="B1043" s="3" t="s">
        <v>26</v>
      </c>
      <c r="C1043" s="3">
        <v>647</v>
      </c>
      <c r="D1043" s="3">
        <v>1</v>
      </c>
      <c r="E1043" s="3" t="s">
        <v>24</v>
      </c>
      <c r="F1043" s="3" t="s">
        <v>25</v>
      </c>
      <c r="G1043" s="3" t="str">
        <f>"2026-02-12 02:06:25.863"</f>
        <v>2026-02-12 02:06:25.863</v>
      </c>
      <c r="H1043" s="3" t="s">
        <v>21</v>
      </c>
      <c r="I1043" s="3">
        <v>10.15</v>
      </c>
      <c r="J1043" s="3" t="s">
        <v>27</v>
      </c>
    </row>
    <row r="1044" spans="1:10" x14ac:dyDescent="0.25">
      <c r="A1044" s="1">
        <v>61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"2026-02-11 22:33:23.132"</f>
        <v>2026-02-11 22:33:23.132</v>
      </c>
      <c r="H1044" t="s">
        <v>21</v>
      </c>
      <c r="I1044">
        <v>0</v>
      </c>
      <c r="J1044" t="s">
        <v>22</v>
      </c>
    </row>
    <row r="1045" spans="1:10" s="3" customFormat="1" x14ac:dyDescent="0.25">
      <c r="A1045" s="2">
        <v>62</v>
      </c>
      <c r="B1045" s="3" t="s">
        <v>23</v>
      </c>
      <c r="C1045" s="3">
        <v>647</v>
      </c>
      <c r="D1045" s="3">
        <v>1</v>
      </c>
      <c r="E1045" s="3" t="s">
        <v>24</v>
      </c>
      <c r="F1045" s="3" t="s">
        <v>25</v>
      </c>
      <c r="G1045" s="3" t="str">
        <f>"2026-02-11 06:48:00.978"</f>
        <v>2026-02-11 06:48:00.978</v>
      </c>
      <c r="H1045" s="3" t="s">
        <v>21</v>
      </c>
    </row>
    <row r="1046" spans="1:10" s="3" customFormat="1" x14ac:dyDescent="0.25">
      <c r="A1046" s="2">
        <v>63</v>
      </c>
      <c r="B1046" s="3" t="s">
        <v>26</v>
      </c>
      <c r="C1046" s="3">
        <v>647</v>
      </c>
      <c r="D1046" s="3">
        <v>1</v>
      </c>
      <c r="E1046" s="3" t="s">
        <v>24</v>
      </c>
      <c r="F1046" s="3" t="s">
        <v>25</v>
      </c>
      <c r="G1046" s="3" t="str">
        <f>"2026-02-11 06:47:54.178"</f>
        <v>2026-02-11 06:47:54.178</v>
      </c>
      <c r="H1046" s="3" t="s">
        <v>21</v>
      </c>
      <c r="I1046" s="3">
        <v>11.5</v>
      </c>
      <c r="J1046" s="3" t="s">
        <v>27</v>
      </c>
    </row>
    <row r="1047" spans="1:10" s="3" customFormat="1" x14ac:dyDescent="0.25">
      <c r="A1047" s="2">
        <v>64</v>
      </c>
      <c r="B1047" s="3" t="s">
        <v>23</v>
      </c>
      <c r="C1047" s="3">
        <v>647</v>
      </c>
      <c r="D1047" s="3">
        <v>1</v>
      </c>
      <c r="E1047" s="3" t="s">
        <v>24</v>
      </c>
      <c r="F1047" s="3" t="s">
        <v>25</v>
      </c>
      <c r="G1047" s="3" t="str">
        <f>"2026-02-11 03:02:39.778"</f>
        <v>2026-02-11 03:02:39.778</v>
      </c>
      <c r="H1047" s="3" t="s">
        <v>21</v>
      </c>
    </row>
    <row r="1048" spans="1:10" s="3" customFormat="1" x14ac:dyDescent="0.25">
      <c r="A1048" s="2">
        <v>65</v>
      </c>
      <c r="B1048" s="3" t="s">
        <v>26</v>
      </c>
      <c r="C1048" s="3">
        <v>647</v>
      </c>
      <c r="D1048" s="3">
        <v>1</v>
      </c>
      <c r="E1048" s="3" t="s">
        <v>24</v>
      </c>
      <c r="F1048" s="3" t="s">
        <v>25</v>
      </c>
      <c r="G1048" s="3" t="str">
        <f>"2026-02-11 03:02:38.278"</f>
        <v>2026-02-11 03:02:38.278</v>
      </c>
      <c r="H1048" s="3" t="s">
        <v>21</v>
      </c>
      <c r="I1048" s="3">
        <v>10.72</v>
      </c>
      <c r="J1048" s="3" t="s">
        <v>34</v>
      </c>
    </row>
    <row r="1049" spans="1:10" s="3" customFormat="1" x14ac:dyDescent="0.25">
      <c r="A1049" s="2">
        <v>66</v>
      </c>
      <c r="B1049" s="3" t="s">
        <v>23</v>
      </c>
      <c r="C1049" s="3">
        <v>647</v>
      </c>
      <c r="D1049" s="3">
        <v>1</v>
      </c>
      <c r="E1049" s="3" t="s">
        <v>24</v>
      </c>
      <c r="F1049" s="3" t="s">
        <v>25</v>
      </c>
      <c r="G1049" s="3" t="str">
        <f>"2026-02-10 21:55:09.378"</f>
        <v>2026-02-10 21:55:09.378</v>
      </c>
      <c r="H1049" s="3" t="s">
        <v>21</v>
      </c>
    </row>
    <row r="1050" spans="1:10" s="3" customFormat="1" x14ac:dyDescent="0.25">
      <c r="A1050" s="2">
        <v>67</v>
      </c>
      <c r="B1050" s="3" t="s">
        <v>26</v>
      </c>
      <c r="C1050" s="3">
        <v>647</v>
      </c>
      <c r="D1050" s="3">
        <v>1</v>
      </c>
      <c r="E1050" s="3" t="s">
        <v>24</v>
      </c>
      <c r="F1050" s="3" t="s">
        <v>25</v>
      </c>
      <c r="G1050" s="3" t="str">
        <f>"2026-02-10 21:55:02.078"</f>
        <v>2026-02-10 21:55:02.078</v>
      </c>
      <c r="H1050" s="3" t="s">
        <v>21</v>
      </c>
      <c r="I1050" s="3">
        <v>8.4</v>
      </c>
      <c r="J1050" s="3" t="s">
        <v>27</v>
      </c>
    </row>
    <row r="1051" spans="1:10" x14ac:dyDescent="0.25">
      <c r="A1051" s="1">
        <v>68</v>
      </c>
      <c r="B1051" t="s">
        <v>23</v>
      </c>
      <c r="C1051">
        <v>635</v>
      </c>
      <c r="D1051">
        <v>1</v>
      </c>
      <c r="E1051" t="s">
        <v>31</v>
      </c>
      <c r="F1051" t="s">
        <v>32</v>
      </c>
      <c r="G1051" t="str">
        <f>"2026-02-09 10:07:05.424"</f>
        <v>2026-02-09 10:07:05.424</v>
      </c>
      <c r="H1051" t="s">
        <v>21</v>
      </c>
    </row>
    <row r="1052" spans="1:10" x14ac:dyDescent="0.25">
      <c r="A1052" s="1">
        <v>69</v>
      </c>
      <c r="B1052" t="s">
        <v>26</v>
      </c>
      <c r="C1052">
        <v>635</v>
      </c>
      <c r="D1052">
        <v>1</v>
      </c>
      <c r="E1052" t="s">
        <v>31</v>
      </c>
      <c r="F1052" t="s">
        <v>32</v>
      </c>
      <c r="G1052" t="str">
        <f>"2026-02-09 10:03:35.424"</f>
        <v>2026-02-09 10:03:35.424</v>
      </c>
      <c r="H1052" t="s">
        <v>21</v>
      </c>
      <c r="I1052">
        <v>2.2000000000000002</v>
      </c>
      <c r="J1052" t="s">
        <v>33</v>
      </c>
    </row>
    <row r="1053" spans="1:10" x14ac:dyDescent="0.25">
      <c r="A1053" s="1">
        <v>70</v>
      </c>
      <c r="B1053" t="s">
        <v>19</v>
      </c>
      <c r="C1053">
        <v>706</v>
      </c>
      <c r="D1053">
        <v>4</v>
      </c>
      <c r="E1053" t="s">
        <v>28</v>
      </c>
      <c r="F1053" t="s">
        <v>29</v>
      </c>
      <c r="G1053" t="str">
        <f>"2026-02-09 01:55:28.262"</f>
        <v>2026-02-09 01:55:28.262</v>
      </c>
      <c r="H1053" t="s">
        <v>21</v>
      </c>
      <c r="I1053">
        <v>0</v>
      </c>
      <c r="J1053" t="s">
        <v>30</v>
      </c>
    </row>
    <row r="1054" spans="1:10" x14ac:dyDescent="0.25">
      <c r="A1054" s="1">
        <v>71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"2026-02-09 01:55:10.112"</f>
        <v>2026-02-09 01:55:10.112</v>
      </c>
      <c r="H1054" t="s">
        <v>21</v>
      </c>
    </row>
    <row r="1055" spans="1:10" x14ac:dyDescent="0.25">
      <c r="A1055" s="1">
        <v>72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"2026-02-09 01:32:25.293"</f>
        <v>2026-02-09 01:32:25.293</v>
      </c>
      <c r="H1055" t="s">
        <v>21</v>
      </c>
      <c r="I1055">
        <v>0</v>
      </c>
      <c r="J1055" t="s">
        <v>22</v>
      </c>
    </row>
    <row r="1056" spans="1:10" x14ac:dyDescent="0.25">
      <c r="A1056" s="1">
        <v>73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"2026-02-07 21:59:45.148"</f>
        <v>2026-02-07 21:59:45.148</v>
      </c>
      <c r="H1056" t="s">
        <v>21</v>
      </c>
      <c r="I1056">
        <v>0</v>
      </c>
      <c r="J1056" t="s">
        <v>22</v>
      </c>
    </row>
    <row r="1057" spans="1:10" x14ac:dyDescent="0.25">
      <c r="A1057" s="1">
        <v>74</v>
      </c>
      <c r="B1057" t="s">
        <v>23</v>
      </c>
      <c r="C1057">
        <v>42</v>
      </c>
      <c r="D1057">
        <v>1</v>
      </c>
      <c r="E1057" t="s">
        <v>60</v>
      </c>
      <c r="F1057" t="s">
        <v>61</v>
      </c>
      <c r="G1057" t="str">
        <f>"2026-02-07 21:51:55.023"</f>
        <v>2026-02-07 21:51:55.023</v>
      </c>
      <c r="H1057" t="s">
        <v>62</v>
      </c>
    </row>
    <row r="1058" spans="1:10" x14ac:dyDescent="0.25">
      <c r="A1058" s="1">
        <v>75</v>
      </c>
      <c r="B1058" t="s">
        <v>26</v>
      </c>
      <c r="C1058">
        <v>42</v>
      </c>
      <c r="D1058">
        <v>1</v>
      </c>
      <c r="E1058" t="s">
        <v>60</v>
      </c>
      <c r="F1058" t="s">
        <v>61</v>
      </c>
      <c r="G1058" t="str">
        <f>"2026-02-07 21:51:48.504"</f>
        <v>2026-02-07 21:51:48.504</v>
      </c>
      <c r="H1058" t="s">
        <v>62</v>
      </c>
      <c r="I1058">
        <v>0</v>
      </c>
      <c r="J1058" t="s">
        <v>30</v>
      </c>
    </row>
    <row r="1059" spans="1:10" x14ac:dyDescent="0.25">
      <c r="A1059" s="1">
        <v>76</v>
      </c>
      <c r="B1059" t="s">
        <v>23</v>
      </c>
      <c r="C1059">
        <v>635</v>
      </c>
      <c r="D1059">
        <v>1</v>
      </c>
      <c r="E1059" t="s">
        <v>31</v>
      </c>
      <c r="F1059" t="s">
        <v>32</v>
      </c>
      <c r="G1059" t="str">
        <f>"2026-02-07 12:50:54.413"</f>
        <v>2026-02-07 12:50:54.413</v>
      </c>
      <c r="H1059" t="s">
        <v>21</v>
      </c>
    </row>
    <row r="1060" spans="1:10" x14ac:dyDescent="0.25">
      <c r="A1060" s="1">
        <v>77</v>
      </c>
      <c r="B1060" t="s">
        <v>26</v>
      </c>
      <c r="C1060">
        <v>635</v>
      </c>
      <c r="D1060">
        <v>1</v>
      </c>
      <c r="E1060" t="s">
        <v>31</v>
      </c>
      <c r="F1060" t="s">
        <v>32</v>
      </c>
      <c r="G1060" t="str">
        <f>"2026-02-07 12:30:56.513"</f>
        <v>2026-02-07 12:30:56.513</v>
      </c>
      <c r="H1060" t="s">
        <v>21</v>
      </c>
      <c r="I1060">
        <v>9.08</v>
      </c>
      <c r="J1060" t="s">
        <v>27</v>
      </c>
    </row>
    <row r="1061" spans="1:10" x14ac:dyDescent="0.25">
      <c r="A1061" s="1">
        <v>78</v>
      </c>
      <c r="B1061" t="s">
        <v>23</v>
      </c>
      <c r="C1061">
        <v>635</v>
      </c>
      <c r="D1061">
        <v>1</v>
      </c>
      <c r="E1061" t="s">
        <v>31</v>
      </c>
      <c r="F1061" t="s">
        <v>32</v>
      </c>
      <c r="G1061" t="str">
        <f>"2026-02-07 11:02:32.113"</f>
        <v>2026-02-07 11:02:32.113</v>
      </c>
      <c r="H1061" t="s">
        <v>21</v>
      </c>
    </row>
    <row r="1062" spans="1:10" x14ac:dyDescent="0.25">
      <c r="A1062" s="1">
        <v>79</v>
      </c>
      <c r="B1062" t="s">
        <v>26</v>
      </c>
      <c r="C1062">
        <v>635</v>
      </c>
      <c r="D1062">
        <v>1</v>
      </c>
      <c r="E1062" t="s">
        <v>31</v>
      </c>
      <c r="F1062" t="s">
        <v>32</v>
      </c>
      <c r="G1062" t="str">
        <f>"2026-02-07 10:47:18.213"</f>
        <v>2026-02-07 10:47:18.213</v>
      </c>
      <c r="H1062" t="s">
        <v>21</v>
      </c>
      <c r="I1062">
        <v>12.25</v>
      </c>
      <c r="J1062" t="s">
        <v>27</v>
      </c>
    </row>
    <row r="1063" spans="1:10" x14ac:dyDescent="0.25">
      <c r="A1063" s="1">
        <v>80</v>
      </c>
      <c r="B1063" t="s">
        <v>19</v>
      </c>
      <c r="C1063">
        <v>706</v>
      </c>
      <c r="D1063">
        <v>4</v>
      </c>
      <c r="E1063" t="s">
        <v>28</v>
      </c>
      <c r="F1063" t="s">
        <v>29</v>
      </c>
      <c r="G1063" t="str">
        <f>"2026-02-07 05:26:44.004"</f>
        <v>2026-02-07 05:26:44.004</v>
      </c>
      <c r="H1063" t="s">
        <v>21</v>
      </c>
      <c r="I1063">
        <v>0</v>
      </c>
      <c r="J1063" t="s">
        <v>30</v>
      </c>
    </row>
    <row r="1064" spans="1:10" x14ac:dyDescent="0.25">
      <c r="A1064" s="1">
        <v>81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"2026-02-07 05:15:01.104"</f>
        <v>2026-02-07 05:15:01.104</v>
      </c>
      <c r="H1064" t="s">
        <v>21</v>
      </c>
    </row>
    <row r="1065" spans="1:10" x14ac:dyDescent="0.25">
      <c r="A1065" s="1">
        <v>82</v>
      </c>
      <c r="B1065" t="s">
        <v>19</v>
      </c>
      <c r="C1065">
        <v>706</v>
      </c>
      <c r="D1065">
        <v>2</v>
      </c>
      <c r="E1065" t="s">
        <v>28</v>
      </c>
      <c r="F1065" t="s">
        <v>39</v>
      </c>
      <c r="G1065" t="str">
        <f>"2026-02-07 04:44:31.101"</f>
        <v>2026-02-07 04:44:31.101</v>
      </c>
      <c r="H1065" t="s">
        <v>21</v>
      </c>
      <c r="I1065">
        <v>0</v>
      </c>
      <c r="J1065" t="s">
        <v>30</v>
      </c>
    </row>
    <row r="1066" spans="1:10" x14ac:dyDescent="0.25">
      <c r="A1066" s="1">
        <v>83</v>
      </c>
      <c r="B1066" t="s">
        <v>23</v>
      </c>
      <c r="C1066">
        <v>630</v>
      </c>
      <c r="D1066">
        <v>5</v>
      </c>
      <c r="E1066" t="s">
        <v>35</v>
      </c>
      <c r="F1066" t="s">
        <v>36</v>
      </c>
      <c r="G1066" t="str">
        <f>"2026-02-07 04:43:14.639"</f>
        <v>2026-02-07 04:43:14.639</v>
      </c>
      <c r="H1066" t="s">
        <v>37</v>
      </c>
    </row>
    <row r="1067" spans="1:10" x14ac:dyDescent="0.25">
      <c r="A1067" s="1">
        <v>84</v>
      </c>
      <c r="B1067" t="s">
        <v>38</v>
      </c>
      <c r="C1067">
        <v>630</v>
      </c>
      <c r="D1067">
        <v>5</v>
      </c>
      <c r="E1067" t="s">
        <v>35</v>
      </c>
      <c r="F1067" t="s">
        <v>36</v>
      </c>
      <c r="G1067" t="str">
        <f>"2026-02-07 04:36:43.940"</f>
        <v>2026-02-07 04:36:43.940</v>
      </c>
      <c r="H1067" t="s">
        <v>37</v>
      </c>
      <c r="I1067">
        <v>0</v>
      </c>
      <c r="J1067" t="s">
        <v>30</v>
      </c>
    </row>
    <row r="1068" spans="1:10" x14ac:dyDescent="0.25">
      <c r="A1068" s="1">
        <v>85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"2026-02-07 04:31:41.131"</f>
        <v>2026-02-07 04:31:41.131</v>
      </c>
      <c r="H1068" t="s">
        <v>21</v>
      </c>
    </row>
    <row r="1069" spans="1:10" x14ac:dyDescent="0.25">
      <c r="A1069" s="1">
        <v>86</v>
      </c>
      <c r="B1069" t="s">
        <v>38</v>
      </c>
      <c r="C1069">
        <v>630</v>
      </c>
      <c r="D1069">
        <v>5</v>
      </c>
      <c r="E1069" t="s">
        <v>35</v>
      </c>
      <c r="F1069" t="s">
        <v>36</v>
      </c>
      <c r="G1069" t="str">
        <f>"2026-02-07 03:33:12.127"</f>
        <v>2026-02-07 03:33:12.127</v>
      </c>
      <c r="H1069" t="s">
        <v>37</v>
      </c>
      <c r="I1069">
        <v>0</v>
      </c>
      <c r="J1069" t="s">
        <v>30</v>
      </c>
    </row>
    <row r="1070" spans="1:10" x14ac:dyDescent="0.25">
      <c r="A1070" s="1">
        <v>87</v>
      </c>
      <c r="B1070" t="s">
        <v>23</v>
      </c>
      <c r="C1070">
        <v>635</v>
      </c>
      <c r="D1070">
        <v>1</v>
      </c>
      <c r="E1070" t="s">
        <v>31</v>
      </c>
      <c r="F1070" t="s">
        <v>32</v>
      </c>
      <c r="G1070" t="str">
        <f>"2026-02-07 00:31:58.326"</f>
        <v>2026-02-07 00:31:58.326</v>
      </c>
      <c r="H1070" t="s">
        <v>21</v>
      </c>
    </row>
    <row r="1071" spans="1:10" x14ac:dyDescent="0.25">
      <c r="A1071" s="1">
        <v>88</v>
      </c>
      <c r="B1071" t="s">
        <v>26</v>
      </c>
      <c r="C1071">
        <v>635</v>
      </c>
      <c r="D1071">
        <v>1</v>
      </c>
      <c r="E1071" t="s">
        <v>31</v>
      </c>
      <c r="F1071" t="s">
        <v>32</v>
      </c>
      <c r="G1071" t="str">
        <f>"2026-02-07 00:20:59.826"</f>
        <v>2026-02-07 00:20:59.826</v>
      </c>
      <c r="H1071" t="s">
        <v>21</v>
      </c>
      <c r="I1071">
        <v>2.54</v>
      </c>
      <c r="J1071" t="s">
        <v>27</v>
      </c>
    </row>
    <row r="1072" spans="1:10" s="3" customFormat="1" x14ac:dyDescent="0.25">
      <c r="A1072" s="2">
        <v>89</v>
      </c>
      <c r="B1072" s="3" t="s">
        <v>23</v>
      </c>
      <c r="C1072" s="3">
        <v>647</v>
      </c>
      <c r="D1072" s="3">
        <v>1</v>
      </c>
      <c r="E1072" s="3" t="s">
        <v>24</v>
      </c>
      <c r="F1072" s="3" t="s">
        <v>25</v>
      </c>
      <c r="G1072" s="3" t="str">
        <f>"2026-02-06 23:58:38.827"</f>
        <v>2026-02-06 23:58:38.827</v>
      </c>
      <c r="H1072" s="3" t="s">
        <v>21</v>
      </c>
    </row>
    <row r="1073" spans="1:10" s="3" customFormat="1" x14ac:dyDescent="0.25">
      <c r="A1073" s="2">
        <v>90</v>
      </c>
      <c r="B1073" s="3" t="s">
        <v>26</v>
      </c>
      <c r="C1073" s="3">
        <v>647</v>
      </c>
      <c r="D1073" s="3">
        <v>1</v>
      </c>
      <c r="E1073" s="3" t="s">
        <v>24</v>
      </c>
      <c r="F1073" s="3" t="s">
        <v>25</v>
      </c>
      <c r="G1073" s="3" t="str">
        <f>"2026-02-06 23:58:34.127"</f>
        <v>2026-02-06 23:58:34.127</v>
      </c>
      <c r="H1073" s="3" t="s">
        <v>21</v>
      </c>
      <c r="I1073" s="3">
        <v>12.93</v>
      </c>
      <c r="J1073" s="3" t="s">
        <v>27</v>
      </c>
    </row>
    <row r="1074" spans="1:10" x14ac:dyDescent="0.25">
      <c r="A1074" s="1">
        <v>91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"2026-02-06 19:42:12.105"</f>
        <v>2026-02-06 19:42:12.105</v>
      </c>
      <c r="H1074" t="s">
        <v>21</v>
      </c>
    </row>
    <row r="1075" spans="1:10" s="3" customFormat="1" x14ac:dyDescent="0.25">
      <c r="A1075" s="2">
        <v>92</v>
      </c>
      <c r="B1075" s="3" t="s">
        <v>23</v>
      </c>
      <c r="C1075" s="3">
        <v>647</v>
      </c>
      <c r="D1075" s="3">
        <v>1</v>
      </c>
      <c r="E1075" s="3" t="s">
        <v>24</v>
      </c>
      <c r="F1075" s="3" t="s">
        <v>25</v>
      </c>
      <c r="G1075" s="3" t="str">
        <f>"2026-02-06 16:31:43.737"</f>
        <v>2026-02-06 16:31:43.737</v>
      </c>
      <c r="H1075" s="3" t="s">
        <v>21</v>
      </c>
    </row>
    <row r="1076" spans="1:10" s="3" customFormat="1" x14ac:dyDescent="0.25">
      <c r="A1076" s="2">
        <v>93</v>
      </c>
      <c r="B1076" s="3" t="s">
        <v>26</v>
      </c>
      <c r="C1076" s="3">
        <v>647</v>
      </c>
      <c r="D1076" s="3">
        <v>1</v>
      </c>
      <c r="E1076" s="3" t="s">
        <v>24</v>
      </c>
      <c r="F1076" s="3" t="s">
        <v>25</v>
      </c>
      <c r="G1076" s="3" t="str">
        <f>"2026-02-06 16:31:41.437"</f>
        <v>2026-02-06 16:31:41.437</v>
      </c>
      <c r="H1076" s="3" t="s">
        <v>21</v>
      </c>
      <c r="I1076" s="3">
        <v>8.0500000000000007</v>
      </c>
      <c r="J1076" s="3" t="s">
        <v>27</v>
      </c>
    </row>
    <row r="1077" spans="1:10" x14ac:dyDescent="0.25">
      <c r="A1077" s="1">
        <v>94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"2026-02-06 12:54:15.285"</f>
        <v>2026-02-06 12:54:15.285</v>
      </c>
      <c r="H1077" t="s">
        <v>21</v>
      </c>
      <c r="I1077">
        <v>0</v>
      </c>
      <c r="J1077" t="s">
        <v>22</v>
      </c>
    </row>
    <row r="1078" spans="1:10" x14ac:dyDescent="0.25">
      <c r="A1078" s="1">
        <v>95</v>
      </c>
      <c r="B1078" t="s">
        <v>23</v>
      </c>
      <c r="C1078">
        <v>98</v>
      </c>
      <c r="D1078">
        <v>1</v>
      </c>
      <c r="E1078" t="s">
        <v>65</v>
      </c>
      <c r="F1078" t="s">
        <v>66</v>
      </c>
      <c r="G1078" t="str">
        <f>"2026-02-06 10:56:36.760"</f>
        <v>2026-02-06 10:56:36.760</v>
      </c>
      <c r="H1078" t="s">
        <v>21</v>
      </c>
    </row>
    <row r="1079" spans="1:10" x14ac:dyDescent="0.25">
      <c r="A1079" s="1">
        <v>96</v>
      </c>
      <c r="B1079" t="s">
        <v>26</v>
      </c>
      <c r="C1079">
        <v>98</v>
      </c>
      <c r="D1079">
        <v>1</v>
      </c>
      <c r="E1079" t="s">
        <v>65</v>
      </c>
      <c r="F1079" t="s">
        <v>66</v>
      </c>
      <c r="G1079" t="str">
        <f>"2026-02-06 10:56:34.760"</f>
        <v>2026-02-06 10:56:34.760</v>
      </c>
      <c r="H1079" t="s">
        <v>21</v>
      </c>
      <c r="I1079">
        <v>8.7799999999999994</v>
      </c>
      <c r="J1079" t="s">
        <v>33</v>
      </c>
    </row>
    <row r="1080" spans="1:10" x14ac:dyDescent="0.25">
      <c r="A1080" s="1">
        <v>97</v>
      </c>
      <c r="B1080" t="s">
        <v>19</v>
      </c>
      <c r="C1080">
        <v>706</v>
      </c>
      <c r="D1080">
        <v>2</v>
      </c>
      <c r="E1080" t="s">
        <v>28</v>
      </c>
      <c r="F1080" t="s">
        <v>39</v>
      </c>
      <c r="G1080" t="str">
        <f>"2026-02-06 01:42:34.278"</f>
        <v>2026-02-06 01:42:34.278</v>
      </c>
      <c r="H1080" t="s">
        <v>21</v>
      </c>
      <c r="I1080">
        <v>0</v>
      </c>
      <c r="J1080" t="s">
        <v>30</v>
      </c>
    </row>
    <row r="1081" spans="1:10" x14ac:dyDescent="0.25">
      <c r="A1081" s="1">
        <v>98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"2026-02-06 01:41:45.108"</f>
        <v>2026-02-06 01:41:45.108</v>
      </c>
      <c r="H1081" t="s">
        <v>21</v>
      </c>
    </row>
    <row r="1082" spans="1:10" x14ac:dyDescent="0.25">
      <c r="A1082" s="1">
        <v>99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"2026-02-05 22:54:30.103"</f>
        <v>2026-02-05 22:54:30.103</v>
      </c>
      <c r="H1082" t="s">
        <v>21</v>
      </c>
      <c r="I1082">
        <v>0</v>
      </c>
      <c r="J1082" t="s">
        <v>22</v>
      </c>
    </row>
    <row r="1083" spans="1:10" x14ac:dyDescent="0.25">
      <c r="A1083" s="1">
        <v>100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"2026-02-05 01:14:51.302"</f>
        <v>2026-02-05 01:14:51.302</v>
      </c>
      <c r="H1083" t="s">
        <v>21</v>
      </c>
    </row>
    <row r="1084" spans="1:10" x14ac:dyDescent="0.25">
      <c r="A1084" s="1">
        <v>101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"2026-02-03 22:36:34.119"</f>
        <v>2026-02-03 22:36:34.119</v>
      </c>
      <c r="H1084" t="s">
        <v>21</v>
      </c>
    </row>
    <row r="1085" spans="1:10" x14ac:dyDescent="0.25">
      <c r="A1085" s="1">
        <v>102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"2026-02-03 22:24:23.192"</f>
        <v>2026-02-03 22:24:23.192</v>
      </c>
      <c r="H1085" t="s">
        <v>21</v>
      </c>
    </row>
    <row r="1086" spans="1:10" x14ac:dyDescent="0.25">
      <c r="A1086" s="1">
        <v>103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"2026-02-03 21:20:35.137"</f>
        <v>2026-02-03 21:20:35.137</v>
      </c>
      <c r="H1086" t="s">
        <v>21</v>
      </c>
      <c r="I1086">
        <v>0</v>
      </c>
      <c r="J1086" t="s">
        <v>22</v>
      </c>
    </row>
    <row r="1087" spans="1:10" x14ac:dyDescent="0.25">
      <c r="A1087" s="1">
        <v>104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"2026-02-03 01:42:07.133"</f>
        <v>2026-02-03 01:42:07.133</v>
      </c>
      <c r="H1087" t="s">
        <v>21</v>
      </c>
      <c r="I1087">
        <v>0</v>
      </c>
      <c r="J1087" t="s">
        <v>22</v>
      </c>
    </row>
    <row r="1088" spans="1:10" x14ac:dyDescent="0.25">
      <c r="A1088" s="1">
        <v>105</v>
      </c>
      <c r="B1088" t="s">
        <v>23</v>
      </c>
      <c r="C1088">
        <v>630</v>
      </c>
      <c r="D1088">
        <v>5</v>
      </c>
      <c r="E1088" t="s">
        <v>35</v>
      </c>
      <c r="F1088" t="s">
        <v>36</v>
      </c>
      <c r="G1088" t="str">
        <f>"2026-02-02 10:30:47.594"</f>
        <v>2026-02-02 10:30:47.594</v>
      </c>
      <c r="H1088" t="s">
        <v>37</v>
      </c>
    </row>
    <row r="1089" spans="1:10" x14ac:dyDescent="0.25">
      <c r="A1089" s="1">
        <v>106</v>
      </c>
      <c r="B1089" t="s">
        <v>19</v>
      </c>
      <c r="C1089">
        <v>706</v>
      </c>
      <c r="D1089">
        <v>2</v>
      </c>
      <c r="E1089" t="s">
        <v>28</v>
      </c>
      <c r="F1089" t="s">
        <v>39</v>
      </c>
      <c r="G1089" t="str">
        <f>"2026-02-02 10:30:17.383"</f>
        <v>2026-02-02 10:30:17.383</v>
      </c>
      <c r="H1089" t="s">
        <v>21</v>
      </c>
      <c r="I1089">
        <v>0</v>
      </c>
      <c r="J1089" t="s">
        <v>30</v>
      </c>
    </row>
    <row r="1090" spans="1:10" x14ac:dyDescent="0.25">
      <c r="A1090" s="1">
        <v>107</v>
      </c>
      <c r="B1090" t="s">
        <v>38</v>
      </c>
      <c r="C1090">
        <v>630</v>
      </c>
      <c r="D1090">
        <v>5</v>
      </c>
      <c r="E1090" t="s">
        <v>35</v>
      </c>
      <c r="F1090" t="s">
        <v>36</v>
      </c>
      <c r="G1090" t="str">
        <f>"2026-02-02 10:26:41.294"</f>
        <v>2026-02-02 10:26:41.294</v>
      </c>
      <c r="H1090" t="s">
        <v>37</v>
      </c>
      <c r="I1090">
        <v>0</v>
      </c>
      <c r="J1090" t="s">
        <v>30</v>
      </c>
    </row>
    <row r="1091" spans="1:10" x14ac:dyDescent="0.25">
      <c r="A1091" s="1">
        <v>108</v>
      </c>
      <c r="B1091" t="s">
        <v>19</v>
      </c>
      <c r="C1091">
        <v>706</v>
      </c>
      <c r="D1091">
        <v>4</v>
      </c>
      <c r="E1091" t="s">
        <v>28</v>
      </c>
      <c r="F1091" t="s">
        <v>29</v>
      </c>
      <c r="G1091" t="str">
        <f>"2026-02-02 02:00:24.243"</f>
        <v>2026-02-02 02:00:24.243</v>
      </c>
      <c r="H1091" t="s">
        <v>21</v>
      </c>
      <c r="I1091">
        <v>0</v>
      </c>
      <c r="J1091" t="s">
        <v>30</v>
      </c>
    </row>
    <row r="1092" spans="1:10" x14ac:dyDescent="0.25">
      <c r="A1092" s="1">
        <v>109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"2026-02-02 02:00:09.133"</f>
        <v>2026-02-02 02:00:09.133</v>
      </c>
      <c r="H1092" t="s">
        <v>21</v>
      </c>
      <c r="I1092">
        <v>0</v>
      </c>
      <c r="J1092" t="s">
        <v>22</v>
      </c>
    </row>
    <row r="1093" spans="1:10" s="3" customFormat="1" x14ac:dyDescent="0.25">
      <c r="A1093" s="2">
        <v>110</v>
      </c>
      <c r="B1093" s="3" t="s">
        <v>23</v>
      </c>
      <c r="C1093" s="3">
        <v>647</v>
      </c>
      <c r="D1093" s="3">
        <v>1</v>
      </c>
      <c r="E1093" s="3" t="s">
        <v>24</v>
      </c>
      <c r="F1093" s="3" t="s">
        <v>25</v>
      </c>
      <c r="G1093" s="3" t="str">
        <f>"2026-02-02 00:58:26.290"</f>
        <v>2026-02-02 00:58:26.290</v>
      </c>
      <c r="H1093" s="3" t="s">
        <v>21</v>
      </c>
    </row>
    <row r="1094" spans="1:10" s="3" customFormat="1" x14ac:dyDescent="0.25">
      <c r="A1094" s="2">
        <v>111</v>
      </c>
      <c r="B1094" s="3" t="s">
        <v>26</v>
      </c>
      <c r="C1094" s="3">
        <v>647</v>
      </c>
      <c r="D1094" s="3">
        <v>1</v>
      </c>
      <c r="E1094" s="3" t="s">
        <v>24</v>
      </c>
      <c r="F1094" s="3" t="s">
        <v>25</v>
      </c>
      <c r="G1094" s="3" t="str">
        <f>"2026-02-02 00:58:23.190"</f>
        <v>2026-02-02 00:58:23.190</v>
      </c>
      <c r="H1094" s="3" t="s">
        <v>21</v>
      </c>
      <c r="I1094" s="3">
        <v>15.41</v>
      </c>
      <c r="J1094" s="3" t="s">
        <v>27</v>
      </c>
    </row>
    <row r="1095" spans="1:10" x14ac:dyDescent="0.25">
      <c r="A1095" s="1">
        <v>112</v>
      </c>
      <c r="B1095" t="s">
        <v>23</v>
      </c>
      <c r="C1095">
        <v>635</v>
      </c>
      <c r="D1095">
        <v>1</v>
      </c>
      <c r="E1095" t="s">
        <v>31</v>
      </c>
      <c r="F1095" t="s">
        <v>32</v>
      </c>
      <c r="G1095" t="str">
        <f>"2026-02-01 18:15:20.089"</f>
        <v>2026-02-01 18:15:20.089</v>
      </c>
      <c r="H1095" t="s">
        <v>21</v>
      </c>
    </row>
    <row r="1096" spans="1:10" x14ac:dyDescent="0.25">
      <c r="A1096" s="1">
        <v>113</v>
      </c>
      <c r="B1096" t="s">
        <v>26</v>
      </c>
      <c r="C1096">
        <v>635</v>
      </c>
      <c r="D1096">
        <v>1</v>
      </c>
      <c r="E1096" t="s">
        <v>31</v>
      </c>
      <c r="F1096" t="s">
        <v>32</v>
      </c>
      <c r="G1096" t="str">
        <f>"2026-02-01 18:10:57.689"</f>
        <v>2026-02-01 18:10:57.689</v>
      </c>
      <c r="H1096" t="s">
        <v>21</v>
      </c>
      <c r="I1096">
        <v>6.25</v>
      </c>
      <c r="J1096" t="s">
        <v>33</v>
      </c>
    </row>
    <row r="1097" spans="1:10" s="3" customFormat="1" x14ac:dyDescent="0.25">
      <c r="A1097" s="2">
        <v>114</v>
      </c>
      <c r="B1097" s="3" t="s">
        <v>23</v>
      </c>
      <c r="C1097" s="3">
        <v>647</v>
      </c>
      <c r="D1097" s="3">
        <v>1</v>
      </c>
      <c r="E1097" s="3" t="s">
        <v>24</v>
      </c>
      <c r="F1097" s="3" t="s">
        <v>25</v>
      </c>
      <c r="G1097" s="3" t="str">
        <f>"2026-02-01 05:37:27.790"</f>
        <v>2026-02-01 05:37:27.790</v>
      </c>
      <c r="H1097" s="3" t="s">
        <v>21</v>
      </c>
    </row>
    <row r="1098" spans="1:10" s="3" customFormat="1" x14ac:dyDescent="0.25">
      <c r="A1098" s="2">
        <v>115</v>
      </c>
      <c r="B1098" s="3" t="s">
        <v>26</v>
      </c>
      <c r="C1098" s="3">
        <v>647</v>
      </c>
      <c r="D1098" s="3">
        <v>1</v>
      </c>
      <c r="E1098" s="3" t="s">
        <v>24</v>
      </c>
      <c r="F1098" s="3" t="s">
        <v>25</v>
      </c>
      <c r="G1098" s="3" t="str">
        <f>"2026-02-01 05:37:21.690"</f>
        <v>2026-02-01 05:37:21.690</v>
      </c>
      <c r="H1098" s="3" t="s">
        <v>21</v>
      </c>
      <c r="I1098" s="3">
        <v>10.79</v>
      </c>
      <c r="J1098" s="3" t="s">
        <v>27</v>
      </c>
    </row>
    <row r="1099" spans="1:10" x14ac:dyDescent="0.25">
      <c r="A1099" s="1">
        <v>116</v>
      </c>
      <c r="B1099" t="s">
        <v>19</v>
      </c>
      <c r="C1099">
        <v>706</v>
      </c>
      <c r="D1099">
        <v>4</v>
      </c>
      <c r="E1099" t="s">
        <v>28</v>
      </c>
      <c r="F1099" t="s">
        <v>29</v>
      </c>
      <c r="G1099" t="str">
        <f>"2026-02-01 00:35:55.642"</f>
        <v>2026-02-01 00:35:55.642</v>
      </c>
      <c r="H1099" t="s">
        <v>21</v>
      </c>
      <c r="I1099">
        <v>0</v>
      </c>
      <c r="J1099" t="s">
        <v>30</v>
      </c>
    </row>
    <row r="1100" spans="1:10" x14ac:dyDescent="0.25">
      <c r="A1100" s="1">
        <v>117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"2026-02-01 00:35:39.252"</f>
        <v>2026-02-01 00:35:39.252</v>
      </c>
      <c r="H1100" t="s">
        <v>21</v>
      </c>
      <c r="I1100">
        <v>0</v>
      </c>
      <c r="J1100" t="s">
        <v>22</v>
      </c>
    </row>
    <row r="1101" spans="1:10" x14ac:dyDescent="0.25">
      <c r="A1101" s="1">
        <v>118</v>
      </c>
      <c r="B1101" t="s">
        <v>23</v>
      </c>
      <c r="C1101">
        <v>630</v>
      </c>
      <c r="D1101">
        <v>5</v>
      </c>
      <c r="E1101" t="s">
        <v>35</v>
      </c>
      <c r="F1101" t="s">
        <v>36</v>
      </c>
      <c r="G1101" t="str">
        <f>"2026-01-31 07:58:20.391"</f>
        <v>2026-01-31 07:58:20.391</v>
      </c>
      <c r="H1101" t="s">
        <v>37</v>
      </c>
    </row>
    <row r="1102" spans="1:10" x14ac:dyDescent="0.25">
      <c r="A1102" s="1">
        <v>119</v>
      </c>
      <c r="B1102" t="s">
        <v>19</v>
      </c>
      <c r="C1102">
        <v>706</v>
      </c>
      <c r="D1102">
        <v>4</v>
      </c>
      <c r="E1102" t="s">
        <v>28</v>
      </c>
      <c r="F1102" t="s">
        <v>29</v>
      </c>
      <c r="G1102" t="str">
        <f>"2026-01-31 07:57:50.263"</f>
        <v>2026-01-31 07:57:50.263</v>
      </c>
      <c r="H1102" t="s">
        <v>21</v>
      </c>
      <c r="I1102">
        <v>0</v>
      </c>
      <c r="J1102" t="s">
        <v>30</v>
      </c>
    </row>
    <row r="1103" spans="1:10" x14ac:dyDescent="0.25">
      <c r="A1103" s="1">
        <v>120</v>
      </c>
      <c r="B1103" t="s">
        <v>38</v>
      </c>
      <c r="C1103">
        <v>630</v>
      </c>
      <c r="D1103">
        <v>5</v>
      </c>
      <c r="E1103" t="s">
        <v>35</v>
      </c>
      <c r="F1103" t="s">
        <v>36</v>
      </c>
      <c r="G1103" t="str">
        <f>"2026-01-31 07:51:43.492"</f>
        <v>2026-01-31 07:51:43.492</v>
      </c>
      <c r="H1103" t="s">
        <v>37</v>
      </c>
      <c r="I1103">
        <v>0</v>
      </c>
      <c r="J1103" t="s">
        <v>30</v>
      </c>
    </row>
    <row r="1104" spans="1:10" x14ac:dyDescent="0.25">
      <c r="A1104" s="1">
        <v>121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"2026-01-31 01:45:53.233"</f>
        <v>2026-01-31 01:45:53.233</v>
      </c>
      <c r="H1104" t="s">
        <v>21</v>
      </c>
      <c r="I1104">
        <v>0</v>
      </c>
      <c r="J1104" t="s">
        <v>22</v>
      </c>
    </row>
    <row r="1105" spans="1:10" s="3" customFormat="1" x14ac:dyDescent="0.25">
      <c r="A1105" s="2">
        <v>122</v>
      </c>
      <c r="B1105" s="3" t="s">
        <v>23</v>
      </c>
      <c r="C1105" s="3">
        <v>647</v>
      </c>
      <c r="D1105" s="3">
        <v>1</v>
      </c>
      <c r="E1105" s="3" t="s">
        <v>24</v>
      </c>
      <c r="F1105" s="3" t="s">
        <v>25</v>
      </c>
      <c r="G1105" s="3" t="str">
        <f>"2026-01-30 14:20:57.885"</f>
        <v>2026-01-30 14:20:57.885</v>
      </c>
      <c r="H1105" s="3" t="s">
        <v>21</v>
      </c>
    </row>
    <row r="1106" spans="1:10" s="3" customFormat="1" x14ac:dyDescent="0.25">
      <c r="A1106" s="2">
        <v>123</v>
      </c>
      <c r="B1106" s="3" t="s">
        <v>26</v>
      </c>
      <c r="C1106" s="3">
        <v>647</v>
      </c>
      <c r="D1106" s="3">
        <v>1</v>
      </c>
      <c r="E1106" s="3" t="s">
        <v>24</v>
      </c>
      <c r="F1106" s="3" t="s">
        <v>25</v>
      </c>
      <c r="G1106" s="3" t="str">
        <f>"2026-01-30 14:20:51.586"</f>
        <v>2026-01-30 14:20:51.586</v>
      </c>
      <c r="H1106" s="3" t="s">
        <v>21</v>
      </c>
      <c r="I1106" s="3">
        <v>8.43</v>
      </c>
      <c r="J1106" s="3" t="s">
        <v>27</v>
      </c>
    </row>
    <row r="1107" spans="1:10" x14ac:dyDescent="0.25">
      <c r="A1107" s="1">
        <v>124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"2026-01-29 10:15:40.128"</f>
        <v>2026-01-29 10:15:40.128</v>
      </c>
      <c r="H1107" t="s">
        <v>21</v>
      </c>
      <c r="I1107">
        <v>0</v>
      </c>
      <c r="J1107" t="s">
        <v>22</v>
      </c>
    </row>
    <row r="1108" spans="1:10" x14ac:dyDescent="0.25">
      <c r="A1108" s="1">
        <v>125</v>
      </c>
      <c r="B1108" t="s">
        <v>19</v>
      </c>
      <c r="C1108">
        <v>706</v>
      </c>
      <c r="D1108">
        <v>4</v>
      </c>
      <c r="E1108" t="s">
        <v>28</v>
      </c>
      <c r="F1108" t="s">
        <v>29</v>
      </c>
      <c r="G1108" t="str">
        <f>"2026-01-29 01:59:01.252"</f>
        <v>2026-01-29 01:59:01.252</v>
      </c>
      <c r="H1108" t="s">
        <v>21</v>
      </c>
      <c r="I1108">
        <v>0</v>
      </c>
      <c r="J1108" t="s">
        <v>30</v>
      </c>
    </row>
    <row r="1109" spans="1:10" x14ac:dyDescent="0.25">
      <c r="A1109" s="1">
        <v>126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"2026-01-29 01:57:26.132"</f>
        <v>2026-01-29 01:57:26.132</v>
      </c>
      <c r="H1109" t="s">
        <v>21</v>
      </c>
    </row>
    <row r="1110" spans="1:10" x14ac:dyDescent="0.25">
      <c r="A1110" s="1">
        <v>127</v>
      </c>
      <c r="B1110" t="s">
        <v>23</v>
      </c>
      <c r="C1110">
        <v>98</v>
      </c>
      <c r="D1110">
        <v>1</v>
      </c>
      <c r="E1110" t="s">
        <v>65</v>
      </c>
      <c r="F1110" t="s">
        <v>66</v>
      </c>
      <c r="G1110" t="str">
        <f>"2026-01-27 14:05:02.374"</f>
        <v>2026-01-27 14:05:02.374</v>
      </c>
      <c r="H1110" t="s">
        <v>21</v>
      </c>
    </row>
    <row r="1111" spans="1:10" x14ac:dyDescent="0.25">
      <c r="A1111" s="1">
        <v>128</v>
      </c>
      <c r="B1111" t="s">
        <v>26</v>
      </c>
      <c r="C1111">
        <v>98</v>
      </c>
      <c r="D1111">
        <v>1</v>
      </c>
      <c r="E1111" t="s">
        <v>65</v>
      </c>
      <c r="F1111" t="s">
        <v>66</v>
      </c>
      <c r="G1111" t="str">
        <f>"2026-01-27 14:05:01.375"</f>
        <v>2026-01-27 14:05:01.375</v>
      </c>
      <c r="H1111" t="s">
        <v>21</v>
      </c>
      <c r="I1111">
        <v>0</v>
      </c>
      <c r="J1111" t="s">
        <v>34</v>
      </c>
    </row>
    <row r="1112" spans="1:10" x14ac:dyDescent="0.25">
      <c r="A1112" s="1">
        <v>129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"2026-01-27 14:02:58.105"</f>
        <v>2026-01-27 14:02:58.105</v>
      </c>
      <c r="H1112" t="s">
        <v>21</v>
      </c>
      <c r="I1112">
        <v>0</v>
      </c>
      <c r="J1112" t="s">
        <v>22</v>
      </c>
    </row>
    <row r="1113" spans="1:10" x14ac:dyDescent="0.25">
      <c r="A1113" s="1">
        <v>130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"2026-01-27 13:53:25.097"</f>
        <v>2026-01-27 13:53:25.097</v>
      </c>
      <c r="H1113" t="s">
        <v>21</v>
      </c>
    </row>
    <row r="1114" spans="1:10" x14ac:dyDescent="0.25">
      <c r="A1114" s="1">
        <v>131</v>
      </c>
      <c r="B1114" t="s">
        <v>19</v>
      </c>
      <c r="C1114">
        <v>706</v>
      </c>
      <c r="D1114">
        <v>4</v>
      </c>
      <c r="E1114" t="s">
        <v>28</v>
      </c>
      <c r="F1114" t="s">
        <v>29</v>
      </c>
      <c r="G1114" t="str">
        <f>"2026-01-27 12:43:56.172"</f>
        <v>2026-01-27 12:43:56.172</v>
      </c>
      <c r="H1114" t="s">
        <v>21</v>
      </c>
      <c r="I1114">
        <v>0</v>
      </c>
      <c r="J1114" t="s">
        <v>30</v>
      </c>
    </row>
    <row r="1115" spans="1:10" x14ac:dyDescent="0.25">
      <c r="A1115" s="1">
        <v>132</v>
      </c>
      <c r="B1115" t="s">
        <v>19</v>
      </c>
      <c r="C1115">
        <v>706</v>
      </c>
      <c r="D1115">
        <v>2</v>
      </c>
      <c r="E1115" t="s">
        <v>28</v>
      </c>
      <c r="F1115" t="s">
        <v>39</v>
      </c>
      <c r="G1115" t="str">
        <f>"2026-01-27 12:42:46.622"</f>
        <v>2026-01-27 12:42:46.622</v>
      </c>
      <c r="H1115" t="s">
        <v>21</v>
      </c>
      <c r="I1115">
        <v>0</v>
      </c>
      <c r="J1115" t="s">
        <v>30</v>
      </c>
    </row>
    <row r="1116" spans="1:10" x14ac:dyDescent="0.25">
      <c r="A1116" s="1">
        <v>133</v>
      </c>
      <c r="B1116" t="s">
        <v>19</v>
      </c>
      <c r="C1116">
        <v>706</v>
      </c>
      <c r="D1116">
        <v>4</v>
      </c>
      <c r="E1116" t="s">
        <v>28</v>
      </c>
      <c r="F1116" t="s">
        <v>29</v>
      </c>
      <c r="G1116" t="str">
        <f>"2026-01-27 12:41:42.382"</f>
        <v>2026-01-27 12:41:42.382</v>
      </c>
      <c r="H1116" t="s">
        <v>21</v>
      </c>
      <c r="I1116">
        <v>0</v>
      </c>
      <c r="J1116" t="s">
        <v>30</v>
      </c>
    </row>
    <row r="1117" spans="1:10" x14ac:dyDescent="0.25">
      <c r="A1117" s="1">
        <v>134</v>
      </c>
      <c r="B1117" t="s">
        <v>19</v>
      </c>
      <c r="C1117">
        <v>706</v>
      </c>
      <c r="D1117">
        <v>4</v>
      </c>
      <c r="E1117" t="s">
        <v>28</v>
      </c>
      <c r="F1117" t="s">
        <v>29</v>
      </c>
      <c r="G1117" t="str">
        <f>"2026-01-27 12:41:33.982"</f>
        <v>2026-01-27 12:41:33.982</v>
      </c>
      <c r="H1117" t="s">
        <v>21</v>
      </c>
      <c r="I1117">
        <v>0</v>
      </c>
      <c r="J1117" t="s">
        <v>30</v>
      </c>
    </row>
    <row r="1118" spans="1:10" x14ac:dyDescent="0.25">
      <c r="A1118" s="1">
        <v>135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"2026-01-27 12:38:40.142"</f>
        <v>2026-01-27 12:38:40.142</v>
      </c>
      <c r="H1118" t="s">
        <v>21</v>
      </c>
      <c r="I1118">
        <v>0</v>
      </c>
      <c r="J1118" t="s">
        <v>22</v>
      </c>
    </row>
    <row r="1119" spans="1:10" x14ac:dyDescent="0.25">
      <c r="A1119" s="1">
        <v>136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"2026-01-27 09:32:19.119"</f>
        <v>2026-01-27 09:32:19.119</v>
      </c>
      <c r="H1119" t="s">
        <v>21</v>
      </c>
      <c r="I1119">
        <v>0</v>
      </c>
      <c r="J1119" t="s">
        <v>22</v>
      </c>
    </row>
    <row r="1120" spans="1:10" x14ac:dyDescent="0.25">
      <c r="A1120" s="1">
        <v>137</v>
      </c>
      <c r="B1120" t="s">
        <v>23</v>
      </c>
      <c r="C1120">
        <v>630</v>
      </c>
      <c r="D1120">
        <v>5</v>
      </c>
      <c r="E1120" t="s">
        <v>35</v>
      </c>
      <c r="F1120" t="s">
        <v>36</v>
      </c>
      <c r="G1120" t="str">
        <f>"2026-01-27 09:21:14.780"</f>
        <v>2026-01-27 09:21:14.780</v>
      </c>
      <c r="H1120" t="s">
        <v>37</v>
      </c>
    </row>
    <row r="1121" spans="1:10" x14ac:dyDescent="0.25">
      <c r="A1121" s="1">
        <v>138</v>
      </c>
      <c r="B1121" t="s">
        <v>38</v>
      </c>
      <c r="C1121">
        <v>630</v>
      </c>
      <c r="D1121">
        <v>5</v>
      </c>
      <c r="E1121" t="s">
        <v>35</v>
      </c>
      <c r="F1121" t="s">
        <v>36</v>
      </c>
      <c r="G1121" t="str">
        <f>"2026-01-27 09:12:39.781"</f>
        <v>2026-01-27 09:12:39.781</v>
      </c>
      <c r="H1121" t="s">
        <v>37</v>
      </c>
      <c r="I1121">
        <v>0</v>
      </c>
      <c r="J1121" t="s">
        <v>30</v>
      </c>
    </row>
    <row r="1122" spans="1:10" x14ac:dyDescent="0.25">
      <c r="A1122" s="1">
        <v>139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"2026-01-27 09:07:37.133"</f>
        <v>2026-01-27 09:07:37.133</v>
      </c>
      <c r="H1122" t="s">
        <v>21</v>
      </c>
      <c r="I1122">
        <v>0</v>
      </c>
      <c r="J1122" t="s">
        <v>22</v>
      </c>
    </row>
    <row r="1123" spans="1:10" s="3" customFormat="1" x14ac:dyDescent="0.25">
      <c r="A1123" s="2">
        <v>140</v>
      </c>
      <c r="B1123" s="3" t="s">
        <v>23</v>
      </c>
      <c r="C1123" s="3">
        <v>647</v>
      </c>
      <c r="D1123" s="3">
        <v>1</v>
      </c>
      <c r="E1123" s="3" t="s">
        <v>24</v>
      </c>
      <c r="F1123" s="3" t="s">
        <v>25</v>
      </c>
      <c r="G1123" s="3" t="str">
        <f>"2026-01-27 07:25:11.979"</f>
        <v>2026-01-27 07:25:11.979</v>
      </c>
      <c r="H1123" s="3" t="s">
        <v>21</v>
      </c>
    </row>
    <row r="1124" spans="1:10" s="3" customFormat="1" x14ac:dyDescent="0.25">
      <c r="A1124" s="2">
        <v>141</v>
      </c>
      <c r="B1124" s="3" t="s">
        <v>26</v>
      </c>
      <c r="C1124" s="3">
        <v>647</v>
      </c>
      <c r="D1124" s="3">
        <v>1</v>
      </c>
      <c r="E1124" s="3" t="s">
        <v>24</v>
      </c>
      <c r="F1124" s="3" t="s">
        <v>25</v>
      </c>
      <c r="G1124" s="3" t="str">
        <f>"2026-01-27 07:25:10.279"</f>
        <v>2026-01-27 07:25:10.279</v>
      </c>
      <c r="H1124" s="3" t="s">
        <v>21</v>
      </c>
      <c r="I1124" s="3">
        <v>27.1</v>
      </c>
      <c r="J1124" s="3" t="s">
        <v>27</v>
      </c>
    </row>
    <row r="1125" spans="1:10" x14ac:dyDescent="0.25">
      <c r="A1125" s="1">
        <v>142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"2026-01-27 02:01:05.090"</f>
        <v>2026-01-27 02:01:05.090</v>
      </c>
      <c r="H1125" t="s">
        <v>21</v>
      </c>
    </row>
    <row r="1126" spans="1:10" s="3" customFormat="1" x14ac:dyDescent="0.25">
      <c r="A1126" s="2">
        <v>143</v>
      </c>
      <c r="B1126" s="3" t="s">
        <v>23</v>
      </c>
      <c r="C1126" s="3">
        <v>647</v>
      </c>
      <c r="D1126" s="3">
        <v>1</v>
      </c>
      <c r="E1126" s="3" t="s">
        <v>24</v>
      </c>
      <c r="F1126" s="3" t="s">
        <v>25</v>
      </c>
      <c r="G1126" s="3" t="str">
        <f>"2026-01-27 01:29:19.293"</f>
        <v>2026-01-27 01:29:19.293</v>
      </c>
      <c r="H1126" s="3" t="s">
        <v>21</v>
      </c>
    </row>
    <row r="1127" spans="1:10" s="3" customFormat="1" x14ac:dyDescent="0.25">
      <c r="A1127" s="2">
        <v>144</v>
      </c>
      <c r="B1127" s="3" t="s">
        <v>26</v>
      </c>
      <c r="C1127" s="3">
        <v>647</v>
      </c>
      <c r="D1127" s="3">
        <v>1</v>
      </c>
      <c r="E1127" s="3" t="s">
        <v>24</v>
      </c>
      <c r="F1127" s="3" t="s">
        <v>25</v>
      </c>
      <c r="G1127" s="3" t="str">
        <f>"2026-01-27 01:29:17.093"</f>
        <v>2026-01-27 01:29:17.093</v>
      </c>
      <c r="H1127" s="3" t="s">
        <v>21</v>
      </c>
      <c r="I1127" s="3">
        <v>13.66</v>
      </c>
      <c r="J1127" s="3" t="s">
        <v>27</v>
      </c>
    </row>
    <row r="1128" spans="1:10" s="3" customFormat="1" x14ac:dyDescent="0.25">
      <c r="A1128" s="2">
        <v>145</v>
      </c>
      <c r="B1128" s="3" t="s">
        <v>23</v>
      </c>
      <c r="C1128" s="3">
        <v>647</v>
      </c>
      <c r="D1128" s="3">
        <v>1</v>
      </c>
      <c r="E1128" s="3" t="s">
        <v>24</v>
      </c>
      <c r="F1128" s="3" t="s">
        <v>25</v>
      </c>
      <c r="G1128" s="3" t="str">
        <f>"2026-01-27 01:27:00.593"</f>
        <v>2026-01-27 01:27:00.593</v>
      </c>
      <c r="H1128" s="3" t="s">
        <v>21</v>
      </c>
    </row>
    <row r="1129" spans="1:10" s="3" customFormat="1" x14ac:dyDescent="0.25">
      <c r="A1129" s="2">
        <v>146</v>
      </c>
      <c r="B1129" s="3" t="s">
        <v>26</v>
      </c>
      <c r="C1129" s="3">
        <v>647</v>
      </c>
      <c r="D1129" s="3">
        <v>1</v>
      </c>
      <c r="E1129" s="3" t="s">
        <v>24</v>
      </c>
      <c r="F1129" s="3" t="s">
        <v>25</v>
      </c>
      <c r="G1129" s="3" t="str">
        <f>"2026-01-27 01:26:57.693"</f>
        <v>2026-01-27 01:26:57.693</v>
      </c>
      <c r="H1129" s="3" t="s">
        <v>21</v>
      </c>
      <c r="I1129" s="3">
        <v>15.68</v>
      </c>
      <c r="J1129" s="3" t="s">
        <v>27</v>
      </c>
    </row>
    <row r="1130" spans="1:10" x14ac:dyDescent="0.25">
      <c r="A1130" s="1">
        <v>147</v>
      </c>
      <c r="B1130" t="s">
        <v>23</v>
      </c>
      <c r="C1130">
        <v>635</v>
      </c>
      <c r="D1130">
        <v>1</v>
      </c>
      <c r="E1130" t="s">
        <v>31</v>
      </c>
      <c r="F1130" t="s">
        <v>32</v>
      </c>
      <c r="G1130" t="str">
        <f>"2026-01-26 10:30:19.292"</f>
        <v>2026-01-26 10:30:19.292</v>
      </c>
      <c r="H1130" t="s">
        <v>21</v>
      </c>
    </row>
    <row r="1131" spans="1:10" x14ac:dyDescent="0.25">
      <c r="A1131" s="1">
        <v>148</v>
      </c>
      <c r="B1131" t="s">
        <v>26</v>
      </c>
      <c r="C1131">
        <v>635</v>
      </c>
      <c r="D1131">
        <v>1</v>
      </c>
      <c r="E1131" t="s">
        <v>31</v>
      </c>
      <c r="F1131" t="s">
        <v>32</v>
      </c>
      <c r="G1131" t="str">
        <f>"2026-01-26 10:26:45.293"</f>
        <v>2026-01-26 10:26:45.293</v>
      </c>
      <c r="H1131" t="s">
        <v>21</v>
      </c>
      <c r="I1131">
        <v>6.15</v>
      </c>
      <c r="J1131" t="s">
        <v>33</v>
      </c>
    </row>
    <row r="1132" spans="1:10" s="3" customFormat="1" x14ac:dyDescent="0.25">
      <c r="A1132" s="2">
        <v>149</v>
      </c>
      <c r="B1132" s="3" t="s">
        <v>23</v>
      </c>
      <c r="C1132" s="3">
        <v>647</v>
      </c>
      <c r="D1132" s="3">
        <v>1</v>
      </c>
      <c r="E1132" s="3" t="s">
        <v>24</v>
      </c>
      <c r="F1132" s="3" t="s">
        <v>25</v>
      </c>
      <c r="G1132" s="3" t="str">
        <f>"2026-01-26 02:37:14.993"</f>
        <v>2026-01-26 02:37:14.993</v>
      </c>
      <c r="H1132" s="3" t="s">
        <v>21</v>
      </c>
    </row>
    <row r="1133" spans="1:10" s="3" customFormat="1" x14ac:dyDescent="0.25">
      <c r="A1133" s="2">
        <v>150</v>
      </c>
      <c r="B1133" s="3" t="s">
        <v>26</v>
      </c>
      <c r="C1133" s="3">
        <v>647</v>
      </c>
      <c r="D1133" s="3">
        <v>1</v>
      </c>
      <c r="E1133" s="3" t="s">
        <v>24</v>
      </c>
      <c r="F1133" s="3" t="s">
        <v>25</v>
      </c>
      <c r="G1133" s="3" t="str">
        <f>"2026-01-26 02:37:07.794"</f>
        <v>2026-01-26 02:37:07.794</v>
      </c>
      <c r="H1133" s="3" t="s">
        <v>21</v>
      </c>
      <c r="I1133" s="3">
        <v>15.71</v>
      </c>
      <c r="J1133" s="3" t="s">
        <v>27</v>
      </c>
    </row>
    <row r="1134" spans="1:10" x14ac:dyDescent="0.25">
      <c r="A1134" s="1">
        <v>151</v>
      </c>
      <c r="B1134" t="s">
        <v>19</v>
      </c>
      <c r="C1134">
        <v>706</v>
      </c>
      <c r="D1134">
        <v>4</v>
      </c>
      <c r="E1134" t="s">
        <v>28</v>
      </c>
      <c r="F1134" t="s">
        <v>29</v>
      </c>
      <c r="G1134" t="str">
        <f>"2026-01-26 01:37:13.646"</f>
        <v>2026-01-26 01:37:13.646</v>
      </c>
      <c r="H1134" t="s">
        <v>21</v>
      </c>
      <c r="I1134">
        <v>0</v>
      </c>
      <c r="J1134" t="s">
        <v>30</v>
      </c>
    </row>
    <row r="1135" spans="1:10" x14ac:dyDescent="0.25">
      <c r="A1135" s="1">
        <v>152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"2026-01-26 01:36:59.236"</f>
        <v>2026-01-26 01:36:59.236</v>
      </c>
      <c r="H1135" t="s">
        <v>21</v>
      </c>
    </row>
    <row r="1136" spans="1:10" s="3" customFormat="1" x14ac:dyDescent="0.25">
      <c r="A1136" s="2">
        <v>153</v>
      </c>
      <c r="B1136" s="3" t="s">
        <v>23</v>
      </c>
      <c r="C1136" s="3">
        <v>647</v>
      </c>
      <c r="D1136" s="3">
        <v>1</v>
      </c>
      <c r="E1136" s="3" t="s">
        <v>24</v>
      </c>
      <c r="F1136" s="3" t="s">
        <v>25</v>
      </c>
      <c r="G1136" s="3" t="str">
        <f>"2026-01-25 13:53:22.576"</f>
        <v>2026-01-25 13:53:22.576</v>
      </c>
      <c r="H1136" s="3" t="s">
        <v>21</v>
      </c>
    </row>
    <row r="1137" spans="1:10" s="3" customFormat="1" x14ac:dyDescent="0.25">
      <c r="A1137" s="2">
        <v>154</v>
      </c>
      <c r="B1137" s="3" t="s">
        <v>26</v>
      </c>
      <c r="C1137" s="3">
        <v>647</v>
      </c>
      <c r="D1137" s="3">
        <v>1</v>
      </c>
      <c r="E1137" s="3" t="s">
        <v>24</v>
      </c>
      <c r="F1137" s="3" t="s">
        <v>25</v>
      </c>
      <c r="G1137" s="3" t="str">
        <f>"2026-01-25 13:53:19.876"</f>
        <v>2026-01-25 13:53:19.876</v>
      </c>
      <c r="H1137" s="3" t="s">
        <v>21</v>
      </c>
      <c r="I1137" s="3">
        <v>12.13</v>
      </c>
      <c r="J1137" s="3" t="s">
        <v>27</v>
      </c>
    </row>
    <row r="1138" spans="1:10" x14ac:dyDescent="0.25">
      <c r="A1138" s="1">
        <v>155</v>
      </c>
      <c r="B1138" t="s">
        <v>23</v>
      </c>
      <c r="C1138">
        <v>630</v>
      </c>
      <c r="D1138">
        <v>5</v>
      </c>
      <c r="E1138" t="s">
        <v>35</v>
      </c>
      <c r="F1138" t="s">
        <v>36</v>
      </c>
      <c r="G1138" t="str">
        <f>"2026-01-24 11:07:49.676"</f>
        <v>2026-01-24 11:07:49.676</v>
      </c>
      <c r="H1138" t="s">
        <v>37</v>
      </c>
    </row>
    <row r="1139" spans="1:10" x14ac:dyDescent="0.25">
      <c r="A1139" s="1">
        <v>156</v>
      </c>
      <c r="B1139" t="s">
        <v>19</v>
      </c>
      <c r="C1139">
        <v>706</v>
      </c>
      <c r="D1139">
        <v>2</v>
      </c>
      <c r="E1139" t="s">
        <v>28</v>
      </c>
      <c r="F1139" t="s">
        <v>39</v>
      </c>
      <c r="G1139" t="str">
        <f>"2026-01-24 11:07:19.449"</f>
        <v>2026-01-24 11:07:19.449</v>
      </c>
      <c r="H1139" t="s">
        <v>21</v>
      </c>
      <c r="I1139">
        <v>0</v>
      </c>
      <c r="J1139" t="s">
        <v>30</v>
      </c>
    </row>
    <row r="1140" spans="1:10" x14ac:dyDescent="0.25">
      <c r="A1140" s="1">
        <v>157</v>
      </c>
      <c r="B1140" t="s">
        <v>38</v>
      </c>
      <c r="C1140">
        <v>630</v>
      </c>
      <c r="D1140">
        <v>5</v>
      </c>
      <c r="E1140" t="s">
        <v>35</v>
      </c>
      <c r="F1140" t="s">
        <v>36</v>
      </c>
      <c r="G1140" t="str">
        <f>"2026-01-24 11:02:56.877"</f>
        <v>2026-01-24 11:02:56.877</v>
      </c>
      <c r="H1140" t="s">
        <v>37</v>
      </c>
      <c r="I1140">
        <v>0</v>
      </c>
      <c r="J1140" t="s">
        <v>30</v>
      </c>
    </row>
    <row r="1141" spans="1:10" x14ac:dyDescent="0.25">
      <c r="A1141" s="1">
        <v>158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"2026-01-24 10:57:54.109"</f>
        <v>2026-01-24 10:57:54.109</v>
      </c>
      <c r="H1141" t="s">
        <v>21</v>
      </c>
      <c r="I1141">
        <v>0</v>
      </c>
      <c r="J1141" t="s">
        <v>22</v>
      </c>
    </row>
    <row r="1142" spans="1:10" x14ac:dyDescent="0.25">
      <c r="A1142" s="1">
        <v>159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"2026-01-24 01:06:32.097"</f>
        <v>2026-01-24 01:06:32.097</v>
      </c>
      <c r="H1142" t="s">
        <v>21</v>
      </c>
      <c r="I1142">
        <v>0</v>
      </c>
      <c r="J1142" t="s">
        <v>22</v>
      </c>
    </row>
    <row r="1143" spans="1:10" s="3" customFormat="1" x14ac:dyDescent="0.25">
      <c r="A1143" s="2">
        <v>160</v>
      </c>
      <c r="B1143" s="3" t="s">
        <v>23</v>
      </c>
      <c r="C1143" s="3">
        <v>647</v>
      </c>
      <c r="D1143" s="3">
        <v>1</v>
      </c>
      <c r="E1143" s="3" t="s">
        <v>24</v>
      </c>
      <c r="F1143" s="3" t="s">
        <v>25</v>
      </c>
      <c r="G1143" s="3" t="str">
        <f>"2026-01-23 19:46:46.173"</f>
        <v>2026-01-23 19:46:46.173</v>
      </c>
      <c r="H1143" s="3" t="s">
        <v>21</v>
      </c>
    </row>
    <row r="1144" spans="1:10" s="3" customFormat="1" x14ac:dyDescent="0.25">
      <c r="A1144" s="2">
        <v>161</v>
      </c>
      <c r="B1144" s="3" t="s">
        <v>26</v>
      </c>
      <c r="C1144" s="3">
        <v>647</v>
      </c>
      <c r="D1144" s="3">
        <v>1</v>
      </c>
      <c r="E1144" s="3" t="s">
        <v>24</v>
      </c>
      <c r="F1144" s="3" t="s">
        <v>25</v>
      </c>
      <c r="G1144" s="3" t="str">
        <f>"2026-01-23 19:46:44.272"</f>
        <v>2026-01-23 19:46:44.272</v>
      </c>
      <c r="H1144" s="3" t="s">
        <v>21</v>
      </c>
      <c r="I1144" s="3">
        <v>11.16</v>
      </c>
      <c r="J1144" s="3" t="s">
        <v>27</v>
      </c>
    </row>
    <row r="1145" spans="1:10" s="3" customFormat="1" x14ac:dyDescent="0.25">
      <c r="A1145" s="2">
        <v>162</v>
      </c>
      <c r="B1145" s="3" t="s">
        <v>23</v>
      </c>
      <c r="C1145" s="3">
        <v>647</v>
      </c>
      <c r="D1145" s="3">
        <v>1</v>
      </c>
      <c r="E1145" s="3" t="s">
        <v>24</v>
      </c>
      <c r="F1145" s="3" t="s">
        <v>25</v>
      </c>
      <c r="G1145" s="3" t="str">
        <f>"2026-01-23 19:05:18.672"</f>
        <v>2026-01-23 19:05:18.672</v>
      </c>
      <c r="H1145" s="3" t="s">
        <v>21</v>
      </c>
    </row>
    <row r="1146" spans="1:10" s="3" customFormat="1" x14ac:dyDescent="0.25">
      <c r="A1146" s="2">
        <v>163</v>
      </c>
      <c r="B1146" s="3" t="s">
        <v>26</v>
      </c>
      <c r="C1146" s="3">
        <v>647</v>
      </c>
      <c r="D1146" s="3">
        <v>1</v>
      </c>
      <c r="E1146" s="3" t="s">
        <v>24</v>
      </c>
      <c r="F1146" s="3" t="s">
        <v>25</v>
      </c>
      <c r="G1146" s="3" t="str">
        <f>"2026-01-23 19:05:13.973"</f>
        <v>2026-01-23 19:05:13.973</v>
      </c>
      <c r="H1146" s="3" t="s">
        <v>21</v>
      </c>
      <c r="I1146" s="3">
        <v>10.57</v>
      </c>
      <c r="J1146" s="3" t="s">
        <v>27</v>
      </c>
    </row>
    <row r="1147" spans="1:10" s="3" customFormat="1" x14ac:dyDescent="0.25">
      <c r="A1147" s="2">
        <v>164</v>
      </c>
      <c r="B1147" s="3" t="s">
        <v>23</v>
      </c>
      <c r="C1147" s="3">
        <v>647</v>
      </c>
      <c r="D1147" s="3">
        <v>1</v>
      </c>
      <c r="E1147" s="3" t="s">
        <v>24</v>
      </c>
      <c r="F1147" s="3" t="s">
        <v>25</v>
      </c>
      <c r="G1147" s="3" t="str">
        <f>"2026-01-23 16:52:12.272"</f>
        <v>2026-01-23 16:52:12.272</v>
      </c>
      <c r="H1147" s="3" t="s">
        <v>21</v>
      </c>
    </row>
    <row r="1148" spans="1:10" s="3" customFormat="1" x14ac:dyDescent="0.25">
      <c r="A1148" s="2">
        <v>165</v>
      </c>
      <c r="B1148" s="3" t="s">
        <v>26</v>
      </c>
      <c r="C1148" s="3">
        <v>647</v>
      </c>
      <c r="D1148" s="3">
        <v>1</v>
      </c>
      <c r="E1148" s="3" t="s">
        <v>24</v>
      </c>
      <c r="F1148" s="3" t="s">
        <v>25</v>
      </c>
      <c r="G1148" s="3" t="str">
        <f>"2026-01-23 16:52:10.373"</f>
        <v>2026-01-23 16:52:10.373</v>
      </c>
      <c r="H1148" s="3" t="s">
        <v>21</v>
      </c>
      <c r="I1148" s="3">
        <v>8.67</v>
      </c>
      <c r="J1148" s="3" t="s">
        <v>34</v>
      </c>
    </row>
    <row r="1149" spans="1:10" s="3" customFormat="1" x14ac:dyDescent="0.25">
      <c r="A1149" s="2">
        <v>166</v>
      </c>
      <c r="B1149" s="3" t="s">
        <v>23</v>
      </c>
      <c r="C1149" s="3">
        <v>647</v>
      </c>
      <c r="D1149" s="3">
        <v>1</v>
      </c>
      <c r="E1149" s="3" t="s">
        <v>24</v>
      </c>
      <c r="F1149" s="3" t="s">
        <v>25</v>
      </c>
      <c r="G1149" s="3" t="str">
        <f>"2026-01-22 23:08:08.173"</f>
        <v>2026-01-22 23:08:08.173</v>
      </c>
      <c r="H1149" s="3" t="s">
        <v>21</v>
      </c>
    </row>
    <row r="1150" spans="1:10" s="3" customFormat="1" x14ac:dyDescent="0.25">
      <c r="A1150" s="2">
        <v>167</v>
      </c>
      <c r="B1150" s="3" t="s">
        <v>26</v>
      </c>
      <c r="C1150" s="3">
        <v>647</v>
      </c>
      <c r="D1150" s="3">
        <v>1</v>
      </c>
      <c r="E1150" s="3" t="s">
        <v>24</v>
      </c>
      <c r="F1150" s="3" t="s">
        <v>25</v>
      </c>
      <c r="G1150" s="3" t="str">
        <f>"2026-01-22 23:08:03.672"</f>
        <v>2026-01-22 23:08:03.672</v>
      </c>
      <c r="H1150" s="3" t="s">
        <v>21</v>
      </c>
      <c r="I1150" s="3">
        <v>8.34</v>
      </c>
      <c r="J1150" s="3" t="s">
        <v>27</v>
      </c>
    </row>
    <row r="1151" spans="1:10" s="3" customFormat="1" x14ac:dyDescent="0.25">
      <c r="A1151" s="2">
        <v>168</v>
      </c>
      <c r="B1151" s="3" t="s">
        <v>23</v>
      </c>
      <c r="C1151" s="3">
        <v>647</v>
      </c>
      <c r="D1151" s="3">
        <v>1</v>
      </c>
      <c r="E1151" s="3" t="s">
        <v>24</v>
      </c>
      <c r="F1151" s="3" t="s">
        <v>25</v>
      </c>
      <c r="G1151" s="3" t="str">
        <f>"2026-01-22 21:29:12.373"</f>
        <v>2026-01-22 21:29:12.373</v>
      </c>
      <c r="H1151" s="3" t="s">
        <v>21</v>
      </c>
    </row>
    <row r="1152" spans="1:10" s="3" customFormat="1" x14ac:dyDescent="0.25">
      <c r="A1152" s="2">
        <v>169</v>
      </c>
      <c r="B1152" s="3" t="s">
        <v>26</v>
      </c>
      <c r="C1152" s="3">
        <v>647</v>
      </c>
      <c r="D1152" s="3">
        <v>1</v>
      </c>
      <c r="E1152" s="3" t="s">
        <v>24</v>
      </c>
      <c r="F1152" s="3" t="s">
        <v>25</v>
      </c>
      <c r="G1152" s="3" t="str">
        <f>"2026-01-22 21:29:03.272"</f>
        <v>2026-01-22 21:29:03.272</v>
      </c>
      <c r="H1152" s="3" t="s">
        <v>21</v>
      </c>
      <c r="I1152" s="3">
        <v>10.75</v>
      </c>
      <c r="J1152" s="3" t="s">
        <v>27</v>
      </c>
    </row>
    <row r="1153" spans="1:10" s="3" customFormat="1" x14ac:dyDescent="0.25">
      <c r="A1153" s="2">
        <v>170</v>
      </c>
      <c r="B1153" s="3" t="s">
        <v>23</v>
      </c>
      <c r="C1153" s="3">
        <v>647</v>
      </c>
      <c r="D1153" s="3">
        <v>1</v>
      </c>
      <c r="E1153" s="3" t="s">
        <v>24</v>
      </c>
      <c r="F1153" s="3" t="s">
        <v>25</v>
      </c>
      <c r="G1153" s="3" t="str">
        <f>"2026-01-22 20:55:57.873"</f>
        <v>2026-01-22 20:55:57.873</v>
      </c>
      <c r="H1153" s="3" t="s">
        <v>21</v>
      </c>
    </row>
    <row r="1154" spans="1:10" s="3" customFormat="1" x14ac:dyDescent="0.25">
      <c r="A1154" s="2">
        <v>171</v>
      </c>
      <c r="B1154" s="3" t="s">
        <v>26</v>
      </c>
      <c r="C1154" s="3">
        <v>647</v>
      </c>
      <c r="D1154" s="3">
        <v>1</v>
      </c>
      <c r="E1154" s="3" t="s">
        <v>24</v>
      </c>
      <c r="F1154" s="3" t="s">
        <v>25</v>
      </c>
      <c r="G1154" s="3" t="str">
        <f>"2026-01-22 20:55:54.972"</f>
        <v>2026-01-22 20:55:54.972</v>
      </c>
      <c r="H1154" s="3" t="s">
        <v>21</v>
      </c>
      <c r="I1154" s="3">
        <v>12.91</v>
      </c>
      <c r="J1154" s="3" t="s">
        <v>27</v>
      </c>
    </row>
    <row r="1155" spans="1:10" s="3" customFormat="1" x14ac:dyDescent="0.25">
      <c r="A1155" s="2">
        <v>172</v>
      </c>
      <c r="B1155" s="3" t="s">
        <v>23</v>
      </c>
      <c r="C1155" s="3">
        <v>647</v>
      </c>
      <c r="D1155" s="3">
        <v>1</v>
      </c>
      <c r="E1155" s="3" t="s">
        <v>24</v>
      </c>
      <c r="F1155" s="3" t="s">
        <v>25</v>
      </c>
      <c r="G1155" s="3" t="str">
        <f>"2026-01-22 16:35:16.872"</f>
        <v>2026-01-22 16:35:16.872</v>
      </c>
      <c r="H1155" s="3" t="s">
        <v>21</v>
      </c>
    </row>
    <row r="1156" spans="1:10" s="3" customFormat="1" x14ac:dyDescent="0.25">
      <c r="A1156" s="2">
        <v>173</v>
      </c>
      <c r="B1156" s="3" t="s">
        <v>26</v>
      </c>
      <c r="C1156" s="3">
        <v>647</v>
      </c>
      <c r="D1156" s="3">
        <v>1</v>
      </c>
      <c r="E1156" s="3" t="s">
        <v>24</v>
      </c>
      <c r="F1156" s="3" t="s">
        <v>25</v>
      </c>
      <c r="G1156" s="3" t="str">
        <f>"2026-01-22 16:35:13.973"</f>
        <v>2026-01-22 16:35:13.973</v>
      </c>
      <c r="H1156" s="3" t="s">
        <v>21</v>
      </c>
      <c r="I1156" s="3">
        <v>8.31</v>
      </c>
      <c r="J1156" s="3" t="s">
        <v>27</v>
      </c>
    </row>
    <row r="1157" spans="1:10" s="3" customFormat="1" x14ac:dyDescent="0.25">
      <c r="A1157" s="2">
        <v>174</v>
      </c>
      <c r="B1157" s="3" t="s">
        <v>23</v>
      </c>
      <c r="C1157" s="3">
        <v>647</v>
      </c>
      <c r="D1157" s="3">
        <v>1</v>
      </c>
      <c r="E1157" s="3" t="s">
        <v>24</v>
      </c>
      <c r="F1157" s="3" t="s">
        <v>25</v>
      </c>
      <c r="G1157" s="3" t="str">
        <f>"2026-01-22 03:59:45.272"</f>
        <v>2026-01-22 03:59:45.272</v>
      </c>
      <c r="H1157" s="3" t="s">
        <v>21</v>
      </c>
    </row>
    <row r="1158" spans="1:10" s="3" customFormat="1" x14ac:dyDescent="0.25">
      <c r="A1158" s="2">
        <v>175</v>
      </c>
      <c r="B1158" s="3" t="s">
        <v>26</v>
      </c>
      <c r="C1158" s="3">
        <v>647</v>
      </c>
      <c r="D1158" s="3">
        <v>1</v>
      </c>
      <c r="E1158" s="3" t="s">
        <v>24</v>
      </c>
      <c r="F1158" s="3" t="s">
        <v>25</v>
      </c>
      <c r="G1158" s="3" t="str">
        <f>"2026-01-22 03:59:42.173"</f>
        <v>2026-01-22 03:59:42.173</v>
      </c>
      <c r="H1158" s="3" t="s">
        <v>21</v>
      </c>
      <c r="I1158" s="3">
        <v>14.17</v>
      </c>
      <c r="J1158" s="3" t="s">
        <v>27</v>
      </c>
    </row>
    <row r="1159" spans="1:10" s="3" customFormat="1" x14ac:dyDescent="0.25">
      <c r="A1159" s="2">
        <v>176</v>
      </c>
      <c r="B1159" s="3" t="s">
        <v>23</v>
      </c>
      <c r="C1159" s="3">
        <v>647</v>
      </c>
      <c r="D1159" s="3">
        <v>1</v>
      </c>
      <c r="E1159" s="3" t="s">
        <v>24</v>
      </c>
      <c r="F1159" s="3" t="s">
        <v>25</v>
      </c>
      <c r="G1159" s="3" t="str">
        <f>"2026-01-22 01:33:18.173"</f>
        <v>2026-01-22 01:33:18.173</v>
      </c>
      <c r="H1159" s="3" t="s">
        <v>21</v>
      </c>
    </row>
    <row r="1160" spans="1:10" s="3" customFormat="1" x14ac:dyDescent="0.25">
      <c r="A1160" s="2">
        <v>177</v>
      </c>
      <c r="B1160" s="3" t="s">
        <v>26</v>
      </c>
      <c r="C1160" s="3">
        <v>647</v>
      </c>
      <c r="D1160" s="3">
        <v>1</v>
      </c>
      <c r="E1160" s="3" t="s">
        <v>24</v>
      </c>
      <c r="F1160" s="3" t="s">
        <v>25</v>
      </c>
      <c r="G1160" s="3" t="str">
        <f>"2026-01-22 01:33:11.872"</f>
        <v>2026-01-22 01:33:11.872</v>
      </c>
      <c r="H1160" s="3" t="s">
        <v>21</v>
      </c>
      <c r="I1160" s="3">
        <v>8.56</v>
      </c>
      <c r="J1160" s="3" t="s">
        <v>27</v>
      </c>
    </row>
    <row r="1161" spans="1:10" s="3" customFormat="1" x14ac:dyDescent="0.25">
      <c r="A1161" s="2">
        <v>178</v>
      </c>
      <c r="B1161" s="3" t="s">
        <v>23</v>
      </c>
      <c r="C1161" s="3">
        <v>647</v>
      </c>
      <c r="D1161" s="3">
        <v>1</v>
      </c>
      <c r="E1161" s="3" t="s">
        <v>24</v>
      </c>
      <c r="F1161" s="3" t="s">
        <v>25</v>
      </c>
      <c r="G1161" s="3" t="str">
        <f>"2026-01-21 23:12:51.272"</f>
        <v>2026-01-21 23:12:51.272</v>
      </c>
      <c r="H1161" s="3" t="s">
        <v>21</v>
      </c>
    </row>
    <row r="1162" spans="1:10" s="3" customFormat="1" x14ac:dyDescent="0.25">
      <c r="A1162" s="2">
        <v>179</v>
      </c>
      <c r="B1162" s="3" t="s">
        <v>26</v>
      </c>
      <c r="C1162" s="3">
        <v>647</v>
      </c>
      <c r="D1162" s="3">
        <v>1</v>
      </c>
      <c r="E1162" s="3" t="s">
        <v>24</v>
      </c>
      <c r="F1162" s="3" t="s">
        <v>25</v>
      </c>
      <c r="G1162" s="3" t="str">
        <f>"2026-01-21 23:12:47.772"</f>
        <v>2026-01-21 23:12:47.772</v>
      </c>
      <c r="H1162" s="3" t="s">
        <v>21</v>
      </c>
      <c r="I1162" s="3">
        <v>15.69</v>
      </c>
      <c r="J1162" s="3" t="s">
        <v>27</v>
      </c>
    </row>
    <row r="1163" spans="1:10" s="3" customFormat="1" x14ac:dyDescent="0.25">
      <c r="A1163" s="2">
        <v>180</v>
      </c>
      <c r="B1163" s="3" t="s">
        <v>23</v>
      </c>
      <c r="C1163" s="3">
        <v>647</v>
      </c>
      <c r="D1163" s="3">
        <v>1</v>
      </c>
      <c r="E1163" s="3" t="s">
        <v>24</v>
      </c>
      <c r="F1163" s="3" t="s">
        <v>25</v>
      </c>
      <c r="G1163" s="3" t="str">
        <f>"2026-01-21 21:54:43.172"</f>
        <v>2026-01-21 21:54:43.172</v>
      </c>
      <c r="H1163" s="3" t="s">
        <v>21</v>
      </c>
    </row>
    <row r="1164" spans="1:10" s="3" customFormat="1" x14ac:dyDescent="0.25">
      <c r="A1164" s="2">
        <v>181</v>
      </c>
      <c r="B1164" s="3" t="s">
        <v>26</v>
      </c>
      <c r="C1164" s="3">
        <v>647</v>
      </c>
      <c r="D1164" s="3">
        <v>1</v>
      </c>
      <c r="E1164" s="3" t="s">
        <v>24</v>
      </c>
      <c r="F1164" s="3" t="s">
        <v>25</v>
      </c>
      <c r="G1164" s="3" t="str">
        <f>"2026-01-21 21:54:40.472"</f>
        <v>2026-01-21 21:54:40.472</v>
      </c>
      <c r="H1164" s="3" t="s">
        <v>21</v>
      </c>
      <c r="I1164" s="3">
        <v>18.77</v>
      </c>
      <c r="J1164" s="3" t="s">
        <v>27</v>
      </c>
    </row>
    <row r="1165" spans="1:10" s="3" customFormat="1" x14ac:dyDescent="0.25">
      <c r="A1165" s="2">
        <v>182</v>
      </c>
      <c r="B1165" s="3" t="s">
        <v>23</v>
      </c>
      <c r="C1165" s="3">
        <v>647</v>
      </c>
      <c r="D1165" s="3">
        <v>1</v>
      </c>
      <c r="E1165" s="3" t="s">
        <v>24</v>
      </c>
      <c r="F1165" s="3" t="s">
        <v>25</v>
      </c>
      <c r="G1165" s="3" t="str">
        <f>"2026-01-21 21:52:28.272"</f>
        <v>2026-01-21 21:52:28.272</v>
      </c>
      <c r="H1165" s="3" t="s">
        <v>21</v>
      </c>
    </row>
    <row r="1166" spans="1:10" s="3" customFormat="1" x14ac:dyDescent="0.25">
      <c r="A1166" s="2">
        <v>183</v>
      </c>
      <c r="B1166" s="3" t="s">
        <v>26</v>
      </c>
      <c r="C1166" s="3">
        <v>647</v>
      </c>
      <c r="D1166" s="3">
        <v>1</v>
      </c>
      <c r="E1166" s="3" t="s">
        <v>24</v>
      </c>
      <c r="F1166" s="3" t="s">
        <v>25</v>
      </c>
      <c r="G1166" s="3" t="str">
        <f>"2026-01-21 21:52:15.773"</f>
        <v>2026-01-21 21:52:15.773</v>
      </c>
      <c r="H1166" s="3" t="s">
        <v>21</v>
      </c>
      <c r="I1166" s="3">
        <v>16.510000000000002</v>
      </c>
      <c r="J1166" s="3" t="s">
        <v>27</v>
      </c>
    </row>
    <row r="1167" spans="1:10" x14ac:dyDescent="0.25">
      <c r="A1167" s="1">
        <v>184</v>
      </c>
      <c r="B1167" t="s">
        <v>19</v>
      </c>
      <c r="C1167">
        <v>706</v>
      </c>
      <c r="D1167">
        <v>4</v>
      </c>
      <c r="E1167" t="s">
        <v>28</v>
      </c>
      <c r="F1167" t="s">
        <v>29</v>
      </c>
      <c r="G1167" t="str">
        <f>"2026-01-21 20:08:06.854"</f>
        <v>2026-01-21 20:08:06.854</v>
      </c>
      <c r="H1167" t="s">
        <v>21</v>
      </c>
      <c r="I1167">
        <v>0</v>
      </c>
      <c r="J1167" t="s">
        <v>30</v>
      </c>
    </row>
    <row r="1168" spans="1:10" x14ac:dyDescent="0.25">
      <c r="A1168" s="1">
        <v>185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"2026-01-21 20:07:30.284"</f>
        <v>2026-01-21 20:07:30.284</v>
      </c>
      <c r="H1168" t="s">
        <v>21</v>
      </c>
    </row>
    <row r="1169" spans="1:10" s="3" customFormat="1" x14ac:dyDescent="0.25">
      <c r="A1169" s="2">
        <v>186</v>
      </c>
      <c r="B1169" s="3" t="s">
        <v>23</v>
      </c>
      <c r="C1169" s="3">
        <v>647</v>
      </c>
      <c r="D1169" s="3">
        <v>1</v>
      </c>
      <c r="E1169" s="3" t="s">
        <v>24</v>
      </c>
      <c r="F1169" s="3" t="s">
        <v>25</v>
      </c>
      <c r="G1169" s="3" t="str">
        <f>"2026-01-21 14:37:15.755"</f>
        <v>2026-01-21 14:37:15.755</v>
      </c>
      <c r="H1169" s="3" t="s">
        <v>21</v>
      </c>
    </row>
    <row r="1170" spans="1:10" s="3" customFormat="1" x14ac:dyDescent="0.25">
      <c r="A1170" s="2">
        <v>187</v>
      </c>
      <c r="B1170" s="3" t="s">
        <v>26</v>
      </c>
      <c r="C1170" s="3">
        <v>647</v>
      </c>
      <c r="D1170" s="3">
        <v>1</v>
      </c>
      <c r="E1170" s="3" t="s">
        <v>24</v>
      </c>
      <c r="F1170" s="3" t="s">
        <v>25</v>
      </c>
      <c r="G1170" s="3" t="str">
        <f>"2026-01-21 14:37:07.855"</f>
        <v>2026-01-21 14:37:07.855</v>
      </c>
      <c r="H1170" s="3" t="s">
        <v>21</v>
      </c>
      <c r="I1170" s="3">
        <v>15</v>
      </c>
      <c r="J1170" s="3" t="s">
        <v>27</v>
      </c>
    </row>
    <row r="1171" spans="1:10" x14ac:dyDescent="0.25">
      <c r="A1171" s="1">
        <v>188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"2026-01-21 10:59:34.273"</f>
        <v>2026-01-21 10:59:34.273</v>
      </c>
      <c r="H1171" t="s">
        <v>21</v>
      </c>
      <c r="I1171">
        <v>0</v>
      </c>
      <c r="J1171" t="s">
        <v>22</v>
      </c>
    </row>
    <row r="1172" spans="1:10" x14ac:dyDescent="0.25">
      <c r="A1172" s="1">
        <v>189</v>
      </c>
      <c r="B1172" t="s">
        <v>44</v>
      </c>
      <c r="C1172">
        <v>33</v>
      </c>
      <c r="D1172">
        <v>1</v>
      </c>
      <c r="E1172" t="s">
        <v>45</v>
      </c>
      <c r="F1172" t="s">
        <v>46</v>
      </c>
      <c r="G1172" t="str">
        <f>"2026-01-21 07:59:04.707"</f>
        <v>2026-01-21 07:59:04.707</v>
      </c>
      <c r="H1172" t="s">
        <v>47</v>
      </c>
    </row>
    <row r="1173" spans="1:10" x14ac:dyDescent="0.25">
      <c r="A1173" s="1">
        <v>190</v>
      </c>
      <c r="B1173" t="s">
        <v>38</v>
      </c>
      <c r="C1173">
        <v>33</v>
      </c>
      <c r="D1173">
        <v>1</v>
      </c>
      <c r="E1173" t="s">
        <v>45</v>
      </c>
      <c r="F1173" t="s">
        <v>46</v>
      </c>
      <c r="G1173" t="str">
        <f>"2026-01-21 07:58:52.605"</f>
        <v>2026-01-21 07:58:52.605</v>
      </c>
      <c r="H1173" t="s">
        <v>47</v>
      </c>
      <c r="I1173">
        <v>11.93</v>
      </c>
      <c r="J1173" t="s">
        <v>33</v>
      </c>
    </row>
    <row r="1174" spans="1:10" x14ac:dyDescent="0.25">
      <c r="A1174" s="1">
        <v>191</v>
      </c>
      <c r="B1174" t="s">
        <v>23</v>
      </c>
      <c r="C1174">
        <v>635</v>
      </c>
      <c r="D1174">
        <v>1</v>
      </c>
      <c r="E1174" t="s">
        <v>31</v>
      </c>
      <c r="F1174" t="s">
        <v>32</v>
      </c>
      <c r="G1174" t="str">
        <f>"2026-01-21 07:06:33.354"</f>
        <v>2026-01-21 07:06:33.354</v>
      </c>
      <c r="H1174" t="s">
        <v>21</v>
      </c>
    </row>
    <row r="1175" spans="1:10" x14ac:dyDescent="0.25">
      <c r="A1175" s="1">
        <v>192</v>
      </c>
      <c r="B1175" t="s">
        <v>26</v>
      </c>
      <c r="C1175">
        <v>635</v>
      </c>
      <c r="D1175">
        <v>1</v>
      </c>
      <c r="E1175" t="s">
        <v>31</v>
      </c>
      <c r="F1175" t="s">
        <v>32</v>
      </c>
      <c r="G1175" t="str">
        <f>"2026-01-21 07:01:22.854"</f>
        <v>2026-01-21 07:01:22.854</v>
      </c>
      <c r="H1175" t="s">
        <v>21</v>
      </c>
      <c r="I1175">
        <v>3.13</v>
      </c>
      <c r="J1175" t="s">
        <v>33</v>
      </c>
    </row>
    <row r="1176" spans="1:10" x14ac:dyDescent="0.25">
      <c r="A1176" s="1">
        <v>193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"2026-01-21 02:59:02.116"</f>
        <v>2026-01-21 02:59:02.116</v>
      </c>
      <c r="H1176" t="s">
        <v>21</v>
      </c>
      <c r="I1176">
        <v>0</v>
      </c>
      <c r="J1176" t="s">
        <v>22</v>
      </c>
    </row>
    <row r="1177" spans="1:10" x14ac:dyDescent="0.25">
      <c r="A1177" s="1">
        <v>194</v>
      </c>
      <c r="B1177" t="s">
        <v>23</v>
      </c>
      <c r="C1177">
        <v>635</v>
      </c>
      <c r="D1177">
        <v>1</v>
      </c>
      <c r="E1177" t="s">
        <v>31</v>
      </c>
      <c r="F1177" t="s">
        <v>32</v>
      </c>
      <c r="G1177" t="str">
        <f>"2026-01-20 15:22:23.654"</f>
        <v>2026-01-20 15:22:23.654</v>
      </c>
      <c r="H1177" t="s">
        <v>21</v>
      </c>
    </row>
    <row r="1178" spans="1:10" x14ac:dyDescent="0.25">
      <c r="A1178" s="1">
        <v>195</v>
      </c>
      <c r="B1178" t="s">
        <v>26</v>
      </c>
      <c r="C1178">
        <v>635</v>
      </c>
      <c r="D1178">
        <v>1</v>
      </c>
      <c r="E1178" t="s">
        <v>31</v>
      </c>
      <c r="F1178" t="s">
        <v>32</v>
      </c>
      <c r="G1178" t="str">
        <f>"2026-01-20 15:15:26.654"</f>
        <v>2026-01-20 15:15:26.654</v>
      </c>
      <c r="H1178" t="s">
        <v>21</v>
      </c>
      <c r="I1178">
        <v>6.23</v>
      </c>
      <c r="J1178" t="s">
        <v>33</v>
      </c>
    </row>
    <row r="1179" spans="1:10" x14ac:dyDescent="0.25">
      <c r="A1179" s="1">
        <v>196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"2026-01-20 12:51:59.066"</f>
        <v>2026-01-20 12:51:59.066</v>
      </c>
      <c r="H1179" t="s">
        <v>21</v>
      </c>
      <c r="I1179">
        <v>0</v>
      </c>
      <c r="J1179" t="s">
        <v>22</v>
      </c>
    </row>
    <row r="1180" spans="1:10" x14ac:dyDescent="0.25">
      <c r="A1180" s="1">
        <v>197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"2026-01-20 12:48:47.108"</f>
        <v>2026-01-20 12:48:47.108</v>
      </c>
      <c r="H1180" t="s">
        <v>21</v>
      </c>
    </row>
    <row r="1181" spans="1:10" s="3" customFormat="1" x14ac:dyDescent="0.25">
      <c r="A1181" s="2">
        <v>198</v>
      </c>
      <c r="B1181" s="3" t="s">
        <v>23</v>
      </c>
      <c r="C1181" s="3">
        <v>647</v>
      </c>
      <c r="D1181" s="3">
        <v>1</v>
      </c>
      <c r="E1181" s="3" t="s">
        <v>24</v>
      </c>
      <c r="F1181" s="3" t="s">
        <v>25</v>
      </c>
      <c r="G1181" s="3" t="str">
        <f>"2026-01-20 01:08:38.829"</f>
        <v>2026-01-20 01:08:38.829</v>
      </c>
      <c r="H1181" s="3" t="s">
        <v>21</v>
      </c>
    </row>
    <row r="1182" spans="1:10" s="3" customFormat="1" x14ac:dyDescent="0.25">
      <c r="A1182" s="2">
        <v>199</v>
      </c>
      <c r="B1182" s="3" t="s">
        <v>26</v>
      </c>
      <c r="C1182" s="3">
        <v>647</v>
      </c>
      <c r="D1182" s="3">
        <v>1</v>
      </c>
      <c r="E1182" s="3" t="s">
        <v>24</v>
      </c>
      <c r="F1182" s="3" t="s">
        <v>25</v>
      </c>
      <c r="G1182" s="3" t="str">
        <f>"2026-01-20 01:08:35.729"</f>
        <v>2026-01-20 01:08:35.729</v>
      </c>
      <c r="H1182" s="3" t="s">
        <v>21</v>
      </c>
      <c r="I1182" s="3">
        <v>16.98</v>
      </c>
      <c r="J1182" s="3" t="s">
        <v>27</v>
      </c>
    </row>
    <row r="1183" spans="1:10" x14ac:dyDescent="0.25">
      <c r="A1183" s="1">
        <v>200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"2026-01-20 00:57:06.917"</f>
        <v>2026-01-20 00:57:06.917</v>
      </c>
      <c r="H1183" t="s">
        <v>21</v>
      </c>
    </row>
    <row r="1184" spans="1:10" x14ac:dyDescent="0.25">
      <c r="A1184" s="1">
        <v>201</v>
      </c>
      <c r="B1184" t="s">
        <v>19</v>
      </c>
      <c r="C1184">
        <v>706</v>
      </c>
      <c r="D1184">
        <v>2</v>
      </c>
      <c r="E1184" t="s">
        <v>28</v>
      </c>
      <c r="F1184" t="s">
        <v>39</v>
      </c>
      <c r="G1184" t="str">
        <f>"2026-01-19 07:51:30.476"</f>
        <v>2026-01-19 07:51:30.476</v>
      </c>
      <c r="H1184" t="s">
        <v>21</v>
      </c>
      <c r="I1184">
        <v>0</v>
      </c>
      <c r="J1184" t="s">
        <v>30</v>
      </c>
    </row>
    <row r="1185" spans="1:10" x14ac:dyDescent="0.25">
      <c r="A1185" s="1">
        <v>202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"2026-01-19 07:50:54.296"</f>
        <v>2026-01-19 07:50:54.296</v>
      </c>
      <c r="H1185" t="s">
        <v>21</v>
      </c>
    </row>
    <row r="1186" spans="1:10" x14ac:dyDescent="0.25">
      <c r="A1186" s="1">
        <v>203</v>
      </c>
      <c r="B1186" t="s">
        <v>23</v>
      </c>
      <c r="C1186">
        <v>635</v>
      </c>
      <c r="D1186">
        <v>1</v>
      </c>
      <c r="E1186" t="s">
        <v>31</v>
      </c>
      <c r="F1186" t="s">
        <v>32</v>
      </c>
      <c r="G1186" t="str">
        <f>"2026-01-18 14:57:27.468"</f>
        <v>2026-01-18 14:57:27.468</v>
      </c>
      <c r="H1186" t="s">
        <v>21</v>
      </c>
    </row>
    <row r="1187" spans="1:10" x14ac:dyDescent="0.25">
      <c r="A1187" s="1">
        <v>204</v>
      </c>
      <c r="B1187" t="s">
        <v>26</v>
      </c>
      <c r="C1187">
        <v>635</v>
      </c>
      <c r="D1187">
        <v>1</v>
      </c>
      <c r="E1187" t="s">
        <v>31</v>
      </c>
      <c r="F1187" t="s">
        <v>32</v>
      </c>
      <c r="G1187" t="str">
        <f>"2026-01-18 14:52:59.468"</f>
        <v>2026-01-18 14:52:59.468</v>
      </c>
      <c r="H1187" t="s">
        <v>21</v>
      </c>
      <c r="I1187">
        <v>3.19</v>
      </c>
      <c r="J1187" t="s">
        <v>33</v>
      </c>
    </row>
    <row r="1188" spans="1:10" x14ac:dyDescent="0.25">
      <c r="A1188" s="1">
        <v>205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"2026-01-18 11:21:15.076"</f>
        <v>2026-01-18 11:21:15.076</v>
      </c>
      <c r="H1188" t="s">
        <v>21</v>
      </c>
    </row>
    <row r="1189" spans="1:10" x14ac:dyDescent="0.25">
      <c r="A1189" s="1">
        <v>206</v>
      </c>
      <c r="B1189" t="s">
        <v>19</v>
      </c>
      <c r="C1189">
        <v>706</v>
      </c>
      <c r="D1189">
        <v>4</v>
      </c>
      <c r="E1189" t="s">
        <v>28</v>
      </c>
      <c r="F1189" t="s">
        <v>29</v>
      </c>
      <c r="G1189" t="str">
        <f>"2026-01-18 01:22:54.899"</f>
        <v>2026-01-18 01:22:54.899</v>
      </c>
      <c r="H1189" t="s">
        <v>21</v>
      </c>
      <c r="I1189">
        <v>0</v>
      </c>
      <c r="J1189" t="s">
        <v>30</v>
      </c>
    </row>
    <row r="1190" spans="1:10" x14ac:dyDescent="0.25">
      <c r="A1190" s="1">
        <v>207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"2026-01-17 16:42:08.359"</f>
        <v>2026-01-17 16:42:08.359</v>
      </c>
      <c r="H1190" t="s">
        <v>21</v>
      </c>
      <c r="I1190">
        <v>0</v>
      </c>
      <c r="J1190" t="s">
        <v>22</v>
      </c>
    </row>
    <row r="1191" spans="1:10" x14ac:dyDescent="0.25">
      <c r="A1191" s="1">
        <v>208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"2026-01-17 16:19:07.100"</f>
        <v>2026-01-17 16:19:07.100</v>
      </c>
      <c r="H1191" t="s">
        <v>21</v>
      </c>
    </row>
    <row r="1192" spans="1:10" x14ac:dyDescent="0.25">
      <c r="A1192" s="1">
        <v>209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"2026-01-17 16:06:39.083"</f>
        <v>2026-01-17 16:06:39.083</v>
      </c>
      <c r="H1192" t="s">
        <v>21</v>
      </c>
    </row>
    <row r="1193" spans="1:10" x14ac:dyDescent="0.25">
      <c r="A1193" s="1">
        <v>210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"2026-01-17 16:01:10.215"</f>
        <v>2026-01-17 16:01:10.215</v>
      </c>
      <c r="H1193" t="s">
        <v>21</v>
      </c>
    </row>
    <row r="1194" spans="1:10" x14ac:dyDescent="0.25">
      <c r="A1194" s="1">
        <v>211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"2026-01-17 13:10:39.139"</f>
        <v>2026-01-17 13:10:39.139</v>
      </c>
      <c r="H1194" t="s">
        <v>21</v>
      </c>
      <c r="I1194">
        <v>0</v>
      </c>
      <c r="J1194" t="s">
        <v>22</v>
      </c>
    </row>
    <row r="1195" spans="1:10" x14ac:dyDescent="0.25">
      <c r="A1195" s="1">
        <v>212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"2026-01-16 23:12:07.086"</f>
        <v>2026-01-16 23:12:07.086</v>
      </c>
      <c r="H1195" t="s">
        <v>21</v>
      </c>
    </row>
    <row r="1196" spans="1:10" x14ac:dyDescent="0.25">
      <c r="A1196" s="1">
        <v>213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"2026-01-16 22:49:18.094"</f>
        <v>2026-01-16 22:49:18.094</v>
      </c>
      <c r="H1196" t="s">
        <v>21</v>
      </c>
    </row>
    <row r="1197" spans="1:10" x14ac:dyDescent="0.25">
      <c r="A1197" s="1">
        <v>214</v>
      </c>
      <c r="B1197" t="s">
        <v>19</v>
      </c>
      <c r="C1197">
        <v>706</v>
      </c>
      <c r="D1197">
        <v>2</v>
      </c>
      <c r="E1197" t="s">
        <v>28</v>
      </c>
      <c r="F1197" t="s">
        <v>39</v>
      </c>
      <c r="G1197" t="str">
        <f>"2026-01-16 22:32:29.554"</f>
        <v>2026-01-16 22:32:29.554</v>
      </c>
      <c r="H1197" t="s">
        <v>21</v>
      </c>
      <c r="I1197">
        <v>0</v>
      </c>
      <c r="J1197" t="s">
        <v>30</v>
      </c>
    </row>
    <row r="1198" spans="1:10" x14ac:dyDescent="0.25">
      <c r="A1198" s="1">
        <v>215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"2026-01-16 21:58:12.084"</f>
        <v>2026-01-16 21:58:12.084</v>
      </c>
      <c r="H1198" t="s">
        <v>21</v>
      </c>
    </row>
    <row r="1199" spans="1:10" x14ac:dyDescent="0.25">
      <c r="A1199" s="1">
        <v>216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"2026-01-16 20:53:45.334"</f>
        <v>2026-01-16 20:53:45.334</v>
      </c>
      <c r="H1199" t="s">
        <v>21</v>
      </c>
    </row>
    <row r="1200" spans="1:10" x14ac:dyDescent="0.25">
      <c r="A1200" s="1">
        <v>217</v>
      </c>
      <c r="B1200" t="s">
        <v>19</v>
      </c>
      <c r="C1200">
        <v>706</v>
      </c>
      <c r="D1200">
        <v>2</v>
      </c>
      <c r="E1200" t="s">
        <v>28</v>
      </c>
      <c r="F1200" t="s">
        <v>39</v>
      </c>
      <c r="G1200" t="str">
        <f>"2026-01-16 20:46:12.259"</f>
        <v>2026-01-16 20:46:12.259</v>
      </c>
      <c r="H1200" t="s">
        <v>21</v>
      </c>
      <c r="I1200">
        <v>0</v>
      </c>
      <c r="J1200" t="s">
        <v>30</v>
      </c>
    </row>
    <row r="1201" spans="1:10" s="3" customFormat="1" x14ac:dyDescent="0.25">
      <c r="A1201" s="2">
        <v>218</v>
      </c>
      <c r="B1201" s="3" t="s">
        <v>23</v>
      </c>
      <c r="C1201" s="3">
        <v>647</v>
      </c>
      <c r="D1201" s="3">
        <v>1</v>
      </c>
      <c r="E1201" s="3" t="s">
        <v>24</v>
      </c>
      <c r="F1201" s="3" t="s">
        <v>25</v>
      </c>
      <c r="G1201" s="3" t="str">
        <f>"2026-01-16 09:53:27.907"</f>
        <v>2026-01-16 09:53:27.907</v>
      </c>
      <c r="H1201" s="3" t="s">
        <v>21</v>
      </c>
    </row>
    <row r="1202" spans="1:10" s="3" customFormat="1" x14ac:dyDescent="0.25">
      <c r="A1202" s="2">
        <v>219</v>
      </c>
      <c r="B1202" s="3" t="s">
        <v>26</v>
      </c>
      <c r="C1202" s="3">
        <v>647</v>
      </c>
      <c r="D1202" s="3">
        <v>1</v>
      </c>
      <c r="E1202" s="3" t="s">
        <v>24</v>
      </c>
      <c r="F1202" s="3" t="s">
        <v>25</v>
      </c>
      <c r="G1202" s="3" t="str">
        <f>"2026-01-16 09:53:18.608"</f>
        <v>2026-01-16 09:53:18.608</v>
      </c>
      <c r="H1202" s="3" t="s">
        <v>21</v>
      </c>
      <c r="I1202" s="3">
        <v>9.3800000000000008</v>
      </c>
      <c r="J1202" s="3" t="s">
        <v>27</v>
      </c>
    </row>
    <row r="1203" spans="1:10" x14ac:dyDescent="0.25">
      <c r="A1203" s="1">
        <v>220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"2026-01-16 08:24:22.219"</f>
        <v>2026-01-16 08:24:22.219</v>
      </c>
      <c r="H1203" t="s">
        <v>21</v>
      </c>
      <c r="I1203">
        <v>0</v>
      </c>
      <c r="J1203" t="s">
        <v>22</v>
      </c>
    </row>
    <row r="1204" spans="1:10" s="3" customFormat="1" x14ac:dyDescent="0.25">
      <c r="A1204" s="2">
        <v>221</v>
      </c>
      <c r="B1204" s="3" t="s">
        <v>23</v>
      </c>
      <c r="C1204" s="3">
        <v>647</v>
      </c>
      <c r="D1204" s="3">
        <v>1</v>
      </c>
      <c r="E1204" s="3" t="s">
        <v>24</v>
      </c>
      <c r="F1204" s="3" t="s">
        <v>25</v>
      </c>
      <c r="G1204" s="3" t="str">
        <f>"2026-01-16 03:12:23.279"</f>
        <v>2026-01-16 03:12:23.279</v>
      </c>
      <c r="H1204" s="3" t="s">
        <v>21</v>
      </c>
    </row>
    <row r="1205" spans="1:10" s="3" customFormat="1" x14ac:dyDescent="0.25">
      <c r="A1205" s="2">
        <v>222</v>
      </c>
      <c r="B1205" s="3" t="s">
        <v>26</v>
      </c>
      <c r="C1205" s="3">
        <v>647</v>
      </c>
      <c r="D1205" s="3">
        <v>1</v>
      </c>
      <c r="E1205" s="3" t="s">
        <v>24</v>
      </c>
      <c r="F1205" s="3" t="s">
        <v>25</v>
      </c>
      <c r="G1205" s="3" t="str">
        <f>"2026-01-16 03:12:20.579"</f>
        <v>2026-01-16 03:12:20.579</v>
      </c>
      <c r="H1205" s="3" t="s">
        <v>21</v>
      </c>
      <c r="I1205" s="3">
        <v>9.39</v>
      </c>
      <c r="J1205" s="3" t="s">
        <v>34</v>
      </c>
    </row>
    <row r="1206" spans="1:10" s="3" customFormat="1" x14ac:dyDescent="0.25">
      <c r="A1206" s="2">
        <v>223</v>
      </c>
      <c r="B1206" s="3" t="s">
        <v>23</v>
      </c>
      <c r="C1206" s="3">
        <v>647</v>
      </c>
      <c r="D1206" s="3">
        <v>1</v>
      </c>
      <c r="E1206" s="3" t="s">
        <v>24</v>
      </c>
      <c r="F1206" s="3" t="s">
        <v>25</v>
      </c>
      <c r="G1206" s="3" t="str">
        <f>"2026-01-15 17:52:18.879"</f>
        <v>2026-01-15 17:52:18.879</v>
      </c>
      <c r="H1206" s="3" t="s">
        <v>21</v>
      </c>
    </row>
    <row r="1207" spans="1:10" s="3" customFormat="1" x14ac:dyDescent="0.25">
      <c r="A1207" s="2">
        <v>224</v>
      </c>
      <c r="B1207" s="3" t="s">
        <v>26</v>
      </c>
      <c r="C1207" s="3">
        <v>647</v>
      </c>
      <c r="D1207" s="3">
        <v>1</v>
      </c>
      <c r="E1207" s="3" t="s">
        <v>24</v>
      </c>
      <c r="F1207" s="3" t="s">
        <v>25</v>
      </c>
      <c r="G1207" s="3" t="str">
        <f>"2026-01-15 17:52:14.380"</f>
        <v>2026-01-15 17:52:14.380</v>
      </c>
      <c r="H1207" s="3" t="s">
        <v>21</v>
      </c>
      <c r="I1207" s="3">
        <v>10.45</v>
      </c>
      <c r="J1207" s="3" t="s">
        <v>27</v>
      </c>
    </row>
    <row r="1208" spans="1:10" x14ac:dyDescent="0.25">
      <c r="A1208" s="1">
        <v>225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"2026-01-15 09:32:38.103"</f>
        <v>2026-01-15 09:32:38.103</v>
      </c>
      <c r="H1208" t="s">
        <v>21</v>
      </c>
      <c r="I1208">
        <v>0</v>
      </c>
      <c r="J1208" t="s">
        <v>22</v>
      </c>
    </row>
    <row r="1209" spans="1:10" x14ac:dyDescent="0.25">
      <c r="A1209" s="1">
        <v>226</v>
      </c>
      <c r="B1209" t="s">
        <v>23</v>
      </c>
      <c r="C1209">
        <v>635</v>
      </c>
      <c r="D1209">
        <v>1</v>
      </c>
      <c r="E1209" t="s">
        <v>31</v>
      </c>
      <c r="F1209" t="s">
        <v>32</v>
      </c>
      <c r="G1209" t="str">
        <f>"2026-01-14 23:40:37.428"</f>
        <v>2026-01-14 23:40:37.428</v>
      </c>
      <c r="H1209" t="s">
        <v>21</v>
      </c>
    </row>
    <row r="1210" spans="1:10" x14ac:dyDescent="0.25">
      <c r="A1210" s="1">
        <v>227</v>
      </c>
      <c r="B1210" t="s">
        <v>26</v>
      </c>
      <c r="C1210">
        <v>635</v>
      </c>
      <c r="D1210">
        <v>1</v>
      </c>
      <c r="E1210" t="s">
        <v>31</v>
      </c>
      <c r="F1210" t="s">
        <v>32</v>
      </c>
      <c r="G1210" t="str">
        <f>"2026-01-14 23:36:14.928"</f>
        <v>2026-01-14 23:36:14.928</v>
      </c>
      <c r="H1210" t="s">
        <v>21</v>
      </c>
      <c r="I1210">
        <v>4.1100000000000003</v>
      </c>
      <c r="J1210" t="s">
        <v>34</v>
      </c>
    </row>
    <row r="1211" spans="1:10" s="3" customFormat="1" x14ac:dyDescent="0.25">
      <c r="A1211" s="2">
        <v>228</v>
      </c>
      <c r="B1211" s="3" t="s">
        <v>23</v>
      </c>
      <c r="C1211" s="3">
        <v>647</v>
      </c>
      <c r="D1211" s="3">
        <v>1</v>
      </c>
      <c r="E1211" s="3" t="s">
        <v>24</v>
      </c>
      <c r="F1211" s="3" t="s">
        <v>25</v>
      </c>
      <c r="G1211" s="3" t="str">
        <f>"2026-01-14 21:15:53.929"</f>
        <v>2026-01-14 21:15:53.929</v>
      </c>
      <c r="H1211" s="3" t="s">
        <v>21</v>
      </c>
    </row>
    <row r="1212" spans="1:10" s="3" customFormat="1" x14ac:dyDescent="0.25">
      <c r="A1212" s="2">
        <v>229</v>
      </c>
      <c r="B1212" s="3" t="s">
        <v>26</v>
      </c>
      <c r="C1212" s="3">
        <v>647</v>
      </c>
      <c r="D1212" s="3">
        <v>1</v>
      </c>
      <c r="E1212" s="3" t="s">
        <v>24</v>
      </c>
      <c r="F1212" s="3" t="s">
        <v>25</v>
      </c>
      <c r="G1212" s="3" t="str">
        <f>"2026-01-14 21:15:49.629"</f>
        <v>2026-01-14 21:15:49.629</v>
      </c>
      <c r="H1212" s="3" t="s">
        <v>21</v>
      </c>
      <c r="I1212" s="3">
        <v>10.029999999999999</v>
      </c>
      <c r="J1212" s="3" t="s">
        <v>34</v>
      </c>
    </row>
    <row r="1213" spans="1:10" s="3" customFormat="1" x14ac:dyDescent="0.25">
      <c r="A1213" s="2">
        <v>230</v>
      </c>
      <c r="B1213" s="3" t="s">
        <v>23</v>
      </c>
      <c r="C1213" s="3">
        <v>647</v>
      </c>
      <c r="D1213" s="3">
        <v>1</v>
      </c>
      <c r="E1213" s="3" t="s">
        <v>24</v>
      </c>
      <c r="F1213" s="3" t="s">
        <v>25</v>
      </c>
      <c r="G1213" s="3" t="str">
        <f>"2026-01-14 18:14:43.729"</f>
        <v>2026-01-14 18:14:43.729</v>
      </c>
      <c r="H1213" s="3" t="s">
        <v>21</v>
      </c>
    </row>
    <row r="1214" spans="1:10" s="3" customFormat="1" x14ac:dyDescent="0.25">
      <c r="A1214" s="2">
        <v>231</v>
      </c>
      <c r="B1214" s="3" t="s">
        <v>26</v>
      </c>
      <c r="C1214" s="3">
        <v>647</v>
      </c>
      <c r="D1214" s="3">
        <v>1</v>
      </c>
      <c r="E1214" s="3" t="s">
        <v>24</v>
      </c>
      <c r="F1214" s="3" t="s">
        <v>25</v>
      </c>
      <c r="G1214" s="3" t="str">
        <f>"2026-01-14 18:14:41.629"</f>
        <v>2026-01-14 18:14:41.629</v>
      </c>
      <c r="H1214" s="3" t="s">
        <v>21</v>
      </c>
      <c r="I1214" s="3">
        <v>8.59</v>
      </c>
      <c r="J1214" s="3" t="s">
        <v>27</v>
      </c>
    </row>
    <row r="1215" spans="1:10" s="3" customFormat="1" x14ac:dyDescent="0.25">
      <c r="A1215" s="2">
        <v>232</v>
      </c>
      <c r="B1215" s="3" t="s">
        <v>23</v>
      </c>
      <c r="C1215" s="3">
        <v>647</v>
      </c>
      <c r="D1215" s="3">
        <v>1</v>
      </c>
      <c r="E1215" s="3" t="s">
        <v>24</v>
      </c>
      <c r="F1215" s="3" t="s">
        <v>25</v>
      </c>
      <c r="G1215" s="3" t="str">
        <f>"2026-01-14 15:53:49.629"</f>
        <v>2026-01-14 15:53:49.629</v>
      </c>
      <c r="H1215" s="3" t="s">
        <v>21</v>
      </c>
    </row>
    <row r="1216" spans="1:10" s="3" customFormat="1" x14ac:dyDescent="0.25">
      <c r="A1216" s="2">
        <v>233</v>
      </c>
      <c r="B1216" s="3" t="s">
        <v>26</v>
      </c>
      <c r="C1216" s="3">
        <v>647</v>
      </c>
      <c r="D1216" s="3">
        <v>1</v>
      </c>
      <c r="E1216" s="3" t="s">
        <v>24</v>
      </c>
      <c r="F1216" s="3" t="s">
        <v>25</v>
      </c>
      <c r="G1216" s="3" t="str">
        <f>"2026-01-14 15:53:33.529"</f>
        <v>2026-01-14 15:53:33.529</v>
      </c>
      <c r="H1216" s="3" t="s">
        <v>21</v>
      </c>
      <c r="I1216" s="3">
        <v>10.06</v>
      </c>
      <c r="J1216" s="3" t="s">
        <v>27</v>
      </c>
    </row>
    <row r="1217" spans="1:10" s="3" customFormat="1" x14ac:dyDescent="0.25">
      <c r="A1217" s="2">
        <v>234</v>
      </c>
      <c r="B1217" s="3" t="s">
        <v>23</v>
      </c>
      <c r="C1217" s="3">
        <v>647</v>
      </c>
      <c r="D1217" s="3">
        <v>1</v>
      </c>
      <c r="E1217" s="3" t="s">
        <v>24</v>
      </c>
      <c r="F1217" s="3" t="s">
        <v>25</v>
      </c>
      <c r="G1217" s="3" t="str">
        <f>"2026-01-14 11:30:06.829"</f>
        <v>2026-01-14 11:30:06.829</v>
      </c>
      <c r="H1217" s="3" t="s">
        <v>21</v>
      </c>
    </row>
    <row r="1218" spans="1:10" s="3" customFormat="1" x14ac:dyDescent="0.25">
      <c r="A1218" s="2">
        <v>235</v>
      </c>
      <c r="B1218" s="3" t="s">
        <v>26</v>
      </c>
      <c r="C1218" s="3">
        <v>647</v>
      </c>
      <c r="D1218" s="3">
        <v>1</v>
      </c>
      <c r="E1218" s="3" t="s">
        <v>24</v>
      </c>
      <c r="F1218" s="3" t="s">
        <v>25</v>
      </c>
      <c r="G1218" s="3" t="str">
        <f>"2026-01-14 11:29:58.129"</f>
        <v>2026-01-14 11:29:58.129</v>
      </c>
      <c r="H1218" s="3" t="s">
        <v>21</v>
      </c>
      <c r="I1218" s="3">
        <v>15.67</v>
      </c>
      <c r="J1218" s="3" t="s">
        <v>27</v>
      </c>
    </row>
    <row r="1219" spans="1:10" x14ac:dyDescent="0.25">
      <c r="A1219" s="1">
        <v>236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"2026-01-13 08:27:35.078"</f>
        <v>2026-01-13 08:27:35.078</v>
      </c>
      <c r="H1219" t="s">
        <v>21</v>
      </c>
      <c r="I1219">
        <v>0</v>
      </c>
      <c r="J1219" t="s">
        <v>22</v>
      </c>
    </row>
    <row r="1220" spans="1:10" s="3" customFormat="1" x14ac:dyDescent="0.25">
      <c r="A1220" s="2">
        <v>237</v>
      </c>
      <c r="B1220" s="3" t="s">
        <v>23</v>
      </c>
      <c r="C1220" s="3">
        <v>647</v>
      </c>
      <c r="D1220" s="3">
        <v>1</v>
      </c>
      <c r="E1220" s="3" t="s">
        <v>24</v>
      </c>
      <c r="F1220" s="3" t="s">
        <v>25</v>
      </c>
      <c r="G1220" s="3" t="str">
        <f>"2026-01-12 19:25:11.671"</f>
        <v>2026-01-12 19:25:11.671</v>
      </c>
      <c r="H1220" s="3" t="s">
        <v>21</v>
      </c>
    </row>
    <row r="1221" spans="1:10" s="3" customFormat="1" x14ac:dyDescent="0.25">
      <c r="A1221" s="2">
        <v>238</v>
      </c>
      <c r="B1221" s="3" t="s">
        <v>26</v>
      </c>
      <c r="C1221" s="3">
        <v>647</v>
      </c>
      <c r="D1221" s="3">
        <v>1</v>
      </c>
      <c r="E1221" s="3" t="s">
        <v>24</v>
      </c>
      <c r="F1221" s="3" t="s">
        <v>25</v>
      </c>
      <c r="G1221" s="3" t="str">
        <f>"2026-01-12 19:25:06.971"</f>
        <v>2026-01-12 19:25:06.971</v>
      </c>
      <c r="H1221" s="3" t="s">
        <v>21</v>
      </c>
      <c r="I1221" s="3">
        <v>11.74</v>
      </c>
      <c r="J1221" s="3" t="s">
        <v>27</v>
      </c>
    </row>
    <row r="1222" spans="1:10" x14ac:dyDescent="0.25">
      <c r="A1222" s="1">
        <v>239</v>
      </c>
      <c r="B1222" t="s">
        <v>23</v>
      </c>
      <c r="C1222">
        <v>635</v>
      </c>
      <c r="D1222">
        <v>1</v>
      </c>
      <c r="E1222" t="s">
        <v>31</v>
      </c>
      <c r="F1222" t="s">
        <v>32</v>
      </c>
      <c r="G1222" t="str">
        <f>"2026-01-12 18:03:02.522"</f>
        <v>2026-01-12 18:03:02.522</v>
      </c>
      <c r="H1222" t="s">
        <v>21</v>
      </c>
    </row>
    <row r="1223" spans="1:10" x14ac:dyDescent="0.25">
      <c r="A1223" s="1">
        <v>240</v>
      </c>
      <c r="B1223" t="s">
        <v>26</v>
      </c>
      <c r="C1223">
        <v>635</v>
      </c>
      <c r="D1223">
        <v>1</v>
      </c>
      <c r="E1223" t="s">
        <v>31</v>
      </c>
      <c r="F1223" t="s">
        <v>32</v>
      </c>
      <c r="G1223" t="str">
        <f>"2026-01-12 17:59:23.022"</f>
        <v>2026-01-12 17:59:23.022</v>
      </c>
      <c r="H1223" t="s">
        <v>21</v>
      </c>
      <c r="I1223">
        <v>8.1999999999999993</v>
      </c>
      <c r="J1223" t="s">
        <v>33</v>
      </c>
    </row>
    <row r="1224" spans="1:10" x14ac:dyDescent="0.25">
      <c r="A1224" s="1">
        <v>241</v>
      </c>
      <c r="B1224" t="s">
        <v>19</v>
      </c>
      <c r="C1224">
        <v>706</v>
      </c>
      <c r="D1224">
        <v>4</v>
      </c>
      <c r="E1224" t="s">
        <v>28</v>
      </c>
      <c r="F1224" t="s">
        <v>29</v>
      </c>
      <c r="G1224" t="str">
        <f>"2026-01-12 15:11:18.412"</f>
        <v>2026-01-12 15:11:18.412</v>
      </c>
      <c r="H1224" t="s">
        <v>21</v>
      </c>
      <c r="I1224">
        <v>0</v>
      </c>
      <c r="J1224" t="s">
        <v>30</v>
      </c>
    </row>
    <row r="1225" spans="1:10" x14ac:dyDescent="0.25">
      <c r="A1225" s="1">
        <v>242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"2026-01-12 14:55:58.082"</f>
        <v>2026-01-12 14:55:58.082</v>
      </c>
      <c r="H1225" t="s">
        <v>21</v>
      </c>
      <c r="I1225">
        <v>0</v>
      </c>
      <c r="J1225" t="s">
        <v>22</v>
      </c>
    </row>
    <row r="1226" spans="1:10" s="3" customFormat="1" x14ac:dyDescent="0.25">
      <c r="A1226" s="2">
        <v>243</v>
      </c>
      <c r="B1226" s="3" t="s">
        <v>23</v>
      </c>
      <c r="C1226" s="3">
        <v>647</v>
      </c>
      <c r="D1226" s="3">
        <v>1</v>
      </c>
      <c r="E1226" s="3" t="s">
        <v>24</v>
      </c>
      <c r="F1226" s="3" t="s">
        <v>25</v>
      </c>
      <c r="G1226" s="3" t="str">
        <f>"2026-01-12 14:04:24.698"</f>
        <v>2026-01-12 14:04:24.698</v>
      </c>
      <c r="H1226" s="3" t="s">
        <v>21</v>
      </c>
    </row>
    <row r="1227" spans="1:10" s="3" customFormat="1" x14ac:dyDescent="0.25">
      <c r="A1227" s="2">
        <v>244</v>
      </c>
      <c r="B1227" s="3" t="s">
        <v>26</v>
      </c>
      <c r="C1227" s="3">
        <v>647</v>
      </c>
      <c r="D1227" s="3">
        <v>1</v>
      </c>
      <c r="E1227" s="3" t="s">
        <v>24</v>
      </c>
      <c r="F1227" s="3" t="s">
        <v>25</v>
      </c>
      <c r="G1227" s="3" t="str">
        <f>"2026-01-12 14:04:17.898"</f>
        <v>2026-01-12 14:04:17.898</v>
      </c>
      <c r="H1227" s="3" t="s">
        <v>21</v>
      </c>
      <c r="I1227" s="3">
        <v>8.84</v>
      </c>
      <c r="J1227" s="3" t="s">
        <v>34</v>
      </c>
    </row>
    <row r="1228" spans="1:10" s="3" customFormat="1" x14ac:dyDescent="0.25">
      <c r="A1228" s="2">
        <v>245</v>
      </c>
      <c r="B1228" s="3" t="s">
        <v>23</v>
      </c>
      <c r="C1228" s="3">
        <v>647</v>
      </c>
      <c r="D1228" s="3">
        <v>1</v>
      </c>
      <c r="E1228" s="3" t="s">
        <v>24</v>
      </c>
      <c r="F1228" s="3" t="s">
        <v>25</v>
      </c>
      <c r="G1228" s="3" t="str">
        <f>"2026-01-11 14:33:48.398"</f>
        <v>2026-01-11 14:33:48.398</v>
      </c>
      <c r="H1228" s="3" t="s">
        <v>21</v>
      </c>
    </row>
    <row r="1229" spans="1:10" s="3" customFormat="1" x14ac:dyDescent="0.25">
      <c r="A1229" s="2">
        <v>246</v>
      </c>
      <c r="B1229" s="3" t="s">
        <v>26</v>
      </c>
      <c r="C1229" s="3">
        <v>647</v>
      </c>
      <c r="D1229" s="3">
        <v>1</v>
      </c>
      <c r="E1229" s="3" t="s">
        <v>24</v>
      </c>
      <c r="F1229" s="3" t="s">
        <v>25</v>
      </c>
      <c r="G1229" s="3" t="str">
        <f>"2026-01-11 14:33:32.198"</f>
        <v>2026-01-11 14:33:32.198</v>
      </c>
      <c r="H1229" s="3" t="s">
        <v>21</v>
      </c>
      <c r="I1229" s="3">
        <v>8.74</v>
      </c>
      <c r="J1229" s="3" t="s">
        <v>27</v>
      </c>
    </row>
    <row r="1230" spans="1:10" s="3" customFormat="1" x14ac:dyDescent="0.25">
      <c r="A1230" s="2">
        <v>247</v>
      </c>
      <c r="B1230" s="3" t="s">
        <v>23</v>
      </c>
      <c r="C1230" s="3">
        <v>647</v>
      </c>
      <c r="D1230" s="3">
        <v>1</v>
      </c>
      <c r="E1230" s="3" t="s">
        <v>24</v>
      </c>
      <c r="F1230" s="3" t="s">
        <v>25</v>
      </c>
      <c r="G1230" s="3" t="str">
        <f>"2026-01-11 10:03:30.098"</f>
        <v>2026-01-11 10:03:30.098</v>
      </c>
      <c r="H1230" s="3" t="s">
        <v>21</v>
      </c>
    </row>
    <row r="1231" spans="1:10" s="3" customFormat="1" x14ac:dyDescent="0.25">
      <c r="A1231" s="2">
        <v>248</v>
      </c>
      <c r="B1231" s="3" t="s">
        <v>26</v>
      </c>
      <c r="C1231" s="3">
        <v>647</v>
      </c>
      <c r="D1231" s="3">
        <v>1</v>
      </c>
      <c r="E1231" s="3" t="s">
        <v>24</v>
      </c>
      <c r="F1231" s="3" t="s">
        <v>25</v>
      </c>
      <c r="G1231" s="3" t="str">
        <f>"2026-01-11 10:03:18.598"</f>
        <v>2026-01-11 10:03:18.598</v>
      </c>
      <c r="H1231" s="3" t="s">
        <v>21</v>
      </c>
      <c r="I1231" s="3">
        <v>15.77</v>
      </c>
      <c r="J1231" s="3" t="s">
        <v>27</v>
      </c>
    </row>
    <row r="1232" spans="1:10" s="3" customFormat="1" x14ac:dyDescent="0.25">
      <c r="A1232" s="2">
        <v>249</v>
      </c>
      <c r="B1232" s="3" t="s">
        <v>23</v>
      </c>
      <c r="C1232" s="3">
        <v>647</v>
      </c>
      <c r="D1232" s="3">
        <v>1</v>
      </c>
      <c r="E1232" s="3" t="s">
        <v>24</v>
      </c>
      <c r="F1232" s="3" t="s">
        <v>25</v>
      </c>
      <c r="G1232" s="3" t="str">
        <f>"2026-01-11 09:15:31.998"</f>
        <v>2026-01-11 09:15:31.998</v>
      </c>
      <c r="H1232" s="3" t="s">
        <v>21</v>
      </c>
    </row>
    <row r="1233" spans="1:10" s="3" customFormat="1" x14ac:dyDescent="0.25">
      <c r="A1233" s="2">
        <v>250</v>
      </c>
      <c r="B1233" s="3" t="s">
        <v>26</v>
      </c>
      <c r="C1233" s="3">
        <v>647</v>
      </c>
      <c r="D1233" s="3">
        <v>1</v>
      </c>
      <c r="E1233" s="3" t="s">
        <v>24</v>
      </c>
      <c r="F1233" s="3" t="s">
        <v>25</v>
      </c>
      <c r="G1233" s="3" t="str">
        <f>"2026-01-11 09:15:28.698"</f>
        <v>2026-01-11 09:15:28.698</v>
      </c>
      <c r="H1233" s="3" t="s">
        <v>21</v>
      </c>
      <c r="I1233" s="3">
        <v>10.52</v>
      </c>
      <c r="J1233" s="3" t="s">
        <v>27</v>
      </c>
    </row>
    <row r="1234" spans="1:10" x14ac:dyDescent="0.25">
      <c r="A1234" s="1">
        <v>251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"2026-01-11 09:04:29.097"</f>
        <v>2026-01-11 09:04:29.097</v>
      </c>
      <c r="H1234" t="s">
        <v>21</v>
      </c>
      <c r="I1234">
        <v>0</v>
      </c>
      <c r="J1234" t="s">
        <v>22</v>
      </c>
    </row>
    <row r="1235" spans="1:10" s="3" customFormat="1" x14ac:dyDescent="0.25">
      <c r="A1235" s="2">
        <v>252</v>
      </c>
      <c r="B1235" s="3" t="s">
        <v>23</v>
      </c>
      <c r="C1235" s="3">
        <v>647</v>
      </c>
      <c r="D1235" s="3">
        <v>1</v>
      </c>
      <c r="E1235" s="3" t="s">
        <v>24</v>
      </c>
      <c r="F1235" s="3" t="s">
        <v>25</v>
      </c>
      <c r="G1235" s="3" t="str">
        <f>"2026-01-11 08:09:22.194"</f>
        <v>2026-01-11 08:09:22.194</v>
      </c>
      <c r="H1235" s="3" t="s">
        <v>21</v>
      </c>
    </row>
    <row r="1236" spans="1:10" s="3" customFormat="1" x14ac:dyDescent="0.25">
      <c r="A1236" s="2">
        <v>253</v>
      </c>
      <c r="B1236" s="3" t="s">
        <v>26</v>
      </c>
      <c r="C1236" s="3">
        <v>647</v>
      </c>
      <c r="D1236" s="3">
        <v>1</v>
      </c>
      <c r="E1236" s="3" t="s">
        <v>24</v>
      </c>
      <c r="F1236" s="3" t="s">
        <v>25</v>
      </c>
      <c r="G1236" s="3" t="str">
        <f>"2026-01-11 08:09:18.694"</f>
        <v>2026-01-11 08:09:18.694</v>
      </c>
      <c r="H1236" s="3" t="s">
        <v>21</v>
      </c>
      <c r="I1236" s="3">
        <v>12.67</v>
      </c>
      <c r="J1236" s="3" t="s">
        <v>27</v>
      </c>
    </row>
    <row r="1237" spans="1:10" s="3" customFormat="1" x14ac:dyDescent="0.25">
      <c r="A1237" s="2">
        <v>254</v>
      </c>
      <c r="B1237" s="3" t="s">
        <v>23</v>
      </c>
      <c r="C1237" s="3">
        <v>647</v>
      </c>
      <c r="D1237" s="3">
        <v>1</v>
      </c>
      <c r="E1237" s="3" t="s">
        <v>24</v>
      </c>
      <c r="F1237" s="3" t="s">
        <v>25</v>
      </c>
      <c r="G1237" s="3" t="str">
        <f>"2026-01-10 14:46:05.994"</f>
        <v>2026-01-10 14:46:05.994</v>
      </c>
      <c r="H1237" s="3" t="s">
        <v>21</v>
      </c>
    </row>
    <row r="1238" spans="1:10" s="3" customFormat="1" x14ac:dyDescent="0.25">
      <c r="A1238" s="2">
        <v>255</v>
      </c>
      <c r="B1238" s="3" t="s">
        <v>26</v>
      </c>
      <c r="C1238" s="3">
        <v>647</v>
      </c>
      <c r="D1238" s="3">
        <v>1</v>
      </c>
      <c r="E1238" s="3" t="s">
        <v>24</v>
      </c>
      <c r="F1238" s="3" t="s">
        <v>25</v>
      </c>
      <c r="G1238" s="3" t="str">
        <f>"2026-01-10 14:45:48.494"</f>
        <v>2026-01-10 14:45:48.494</v>
      </c>
      <c r="H1238" s="3" t="s">
        <v>21</v>
      </c>
      <c r="I1238" s="3">
        <v>11.62</v>
      </c>
      <c r="J1238" s="3" t="s">
        <v>27</v>
      </c>
    </row>
    <row r="1239" spans="1:10" x14ac:dyDescent="0.25">
      <c r="A1239" s="1">
        <v>256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"2026-01-10 11:16:47.090"</f>
        <v>2026-01-10 11:16:47.090</v>
      </c>
      <c r="H1239" t="s">
        <v>21</v>
      </c>
      <c r="I1239">
        <v>0</v>
      </c>
      <c r="J1239" t="s">
        <v>22</v>
      </c>
    </row>
    <row r="1240" spans="1:10" s="3" customFormat="1" x14ac:dyDescent="0.25">
      <c r="A1240" s="2">
        <v>257</v>
      </c>
      <c r="B1240" s="3" t="s">
        <v>23</v>
      </c>
      <c r="C1240" s="3">
        <v>647</v>
      </c>
      <c r="D1240" s="3">
        <v>1</v>
      </c>
      <c r="E1240" s="3" t="s">
        <v>24</v>
      </c>
      <c r="F1240" s="3" t="s">
        <v>25</v>
      </c>
      <c r="G1240" s="3" t="str">
        <f>"2026-01-09 18:41:36.998"</f>
        <v>2026-01-09 18:41:36.998</v>
      </c>
      <c r="H1240" s="3" t="s">
        <v>21</v>
      </c>
    </row>
    <row r="1241" spans="1:10" s="3" customFormat="1" x14ac:dyDescent="0.25">
      <c r="A1241" s="2">
        <v>258</v>
      </c>
      <c r="B1241" s="3" t="s">
        <v>26</v>
      </c>
      <c r="C1241" s="3">
        <v>647</v>
      </c>
      <c r="D1241" s="3">
        <v>1</v>
      </c>
      <c r="E1241" s="3" t="s">
        <v>24</v>
      </c>
      <c r="F1241" s="3" t="s">
        <v>25</v>
      </c>
      <c r="G1241" s="3" t="str">
        <f>"2026-01-09 18:41:24.099"</f>
        <v>2026-01-09 18:41:24.099</v>
      </c>
      <c r="H1241" s="3" t="s">
        <v>21</v>
      </c>
      <c r="I1241" s="3">
        <v>10.77</v>
      </c>
      <c r="J1241" s="3" t="s">
        <v>27</v>
      </c>
    </row>
    <row r="1242" spans="1:10" s="3" customFormat="1" x14ac:dyDescent="0.25">
      <c r="A1242" s="2">
        <v>259</v>
      </c>
      <c r="B1242" s="3" t="s">
        <v>23</v>
      </c>
      <c r="C1242" s="3">
        <v>647</v>
      </c>
      <c r="D1242" s="3">
        <v>1</v>
      </c>
      <c r="E1242" s="3" t="s">
        <v>24</v>
      </c>
      <c r="F1242" s="3" t="s">
        <v>25</v>
      </c>
      <c r="G1242" s="3" t="str">
        <f>"2026-01-09 18:22:05.298"</f>
        <v>2026-01-09 18:22:05.298</v>
      </c>
      <c r="H1242" s="3" t="s">
        <v>21</v>
      </c>
    </row>
    <row r="1243" spans="1:10" s="3" customFormat="1" x14ac:dyDescent="0.25">
      <c r="A1243" s="2">
        <v>260</v>
      </c>
      <c r="B1243" s="3" t="s">
        <v>26</v>
      </c>
      <c r="C1243" s="3">
        <v>647</v>
      </c>
      <c r="D1243" s="3">
        <v>1</v>
      </c>
      <c r="E1243" s="3" t="s">
        <v>24</v>
      </c>
      <c r="F1243" s="3" t="s">
        <v>25</v>
      </c>
      <c r="G1243" s="3" t="str">
        <f>"2026-01-09 18:21:59.799"</f>
        <v>2026-01-09 18:21:59.799</v>
      </c>
      <c r="H1243" s="3" t="s">
        <v>21</v>
      </c>
      <c r="I1243" s="3">
        <v>14.38</v>
      </c>
      <c r="J1243" s="3" t="s">
        <v>27</v>
      </c>
    </row>
    <row r="1244" spans="1:10" x14ac:dyDescent="0.25">
      <c r="A1244" s="1">
        <v>261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"2026-01-09 16:59:54.100"</f>
        <v>2026-01-09 16:59:54.100</v>
      </c>
      <c r="H1244" t="s">
        <v>21</v>
      </c>
      <c r="I1244">
        <v>0</v>
      </c>
      <c r="J1244" t="s">
        <v>22</v>
      </c>
    </row>
    <row r="1245" spans="1:10" x14ac:dyDescent="0.25">
      <c r="A1245" s="1">
        <v>262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"2026-01-09 07:39:44.052"</f>
        <v>2026-01-09 07:39:44.052</v>
      </c>
      <c r="H1245" t="s">
        <v>21</v>
      </c>
    </row>
    <row r="1246" spans="1:10" s="3" customFormat="1" x14ac:dyDescent="0.25">
      <c r="A1246" s="2">
        <v>263</v>
      </c>
      <c r="B1246" s="3" t="s">
        <v>23</v>
      </c>
      <c r="C1246" s="3">
        <v>647</v>
      </c>
      <c r="D1246" s="3">
        <v>1</v>
      </c>
      <c r="E1246" s="3" t="s">
        <v>24</v>
      </c>
      <c r="F1246" s="3" t="s">
        <v>25</v>
      </c>
      <c r="G1246" s="3" t="str">
        <f>"2026-01-09 06:17:46.561"</f>
        <v>2026-01-09 06:17:46.561</v>
      </c>
      <c r="H1246" s="3" t="s">
        <v>21</v>
      </c>
    </row>
    <row r="1247" spans="1:10" s="3" customFormat="1" x14ac:dyDescent="0.25">
      <c r="A1247" s="2">
        <v>264</v>
      </c>
      <c r="B1247" s="3" t="s">
        <v>26</v>
      </c>
      <c r="C1247" s="3">
        <v>647</v>
      </c>
      <c r="D1247" s="3">
        <v>1</v>
      </c>
      <c r="E1247" s="3" t="s">
        <v>24</v>
      </c>
      <c r="F1247" s="3" t="s">
        <v>25</v>
      </c>
      <c r="G1247" s="3" t="str">
        <f>"2026-01-09 06:17:45.462"</f>
        <v>2026-01-09 06:17:45.462</v>
      </c>
      <c r="H1247" s="3" t="s">
        <v>21</v>
      </c>
      <c r="I1247" s="3">
        <v>21.63</v>
      </c>
      <c r="J1247" s="3" t="s">
        <v>34</v>
      </c>
    </row>
    <row r="1248" spans="1:10" x14ac:dyDescent="0.25">
      <c r="A1248" s="1">
        <v>265</v>
      </c>
      <c r="B1248" t="s">
        <v>19</v>
      </c>
      <c r="C1248">
        <v>706</v>
      </c>
      <c r="D1248">
        <v>2</v>
      </c>
      <c r="E1248" t="s">
        <v>28</v>
      </c>
      <c r="F1248" t="s">
        <v>39</v>
      </c>
      <c r="G1248" t="str">
        <f>"2026-01-09 05:21:04.705"</f>
        <v>2026-01-09 05:21:04.705</v>
      </c>
      <c r="H1248" t="s">
        <v>21</v>
      </c>
      <c r="I1248">
        <v>0</v>
      </c>
      <c r="J1248" t="s">
        <v>30</v>
      </c>
    </row>
    <row r="1249" spans="1:10" x14ac:dyDescent="0.25">
      <c r="A1249" s="1">
        <v>266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"2026-01-09 05:15:42.055"</f>
        <v>2026-01-09 05:15:42.055</v>
      </c>
      <c r="H1249" t="s">
        <v>21</v>
      </c>
      <c r="I1249">
        <v>0</v>
      </c>
      <c r="J1249" t="s">
        <v>22</v>
      </c>
    </row>
    <row r="1250" spans="1:10" x14ac:dyDescent="0.25">
      <c r="A1250" s="1">
        <v>267</v>
      </c>
      <c r="B1250" t="s">
        <v>19</v>
      </c>
      <c r="C1250">
        <v>706</v>
      </c>
      <c r="D1250">
        <v>2</v>
      </c>
      <c r="E1250" t="s">
        <v>28</v>
      </c>
      <c r="F1250" t="s">
        <v>39</v>
      </c>
      <c r="G1250" t="str">
        <f>"2026-01-09 05:10:42.114"</f>
        <v>2026-01-09 05:10:42.114</v>
      </c>
      <c r="H1250" t="s">
        <v>21</v>
      </c>
      <c r="I1250">
        <v>0</v>
      </c>
      <c r="J1250" t="s">
        <v>30</v>
      </c>
    </row>
    <row r="1251" spans="1:10" x14ac:dyDescent="0.25">
      <c r="A1251" s="1">
        <v>268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"2026-01-09 05:07:51.044"</f>
        <v>2026-01-09 05:07:51.044</v>
      </c>
      <c r="H1251" t="s">
        <v>21</v>
      </c>
      <c r="I1251">
        <v>0</v>
      </c>
      <c r="J1251" t="s">
        <v>22</v>
      </c>
    </row>
    <row r="1252" spans="1:10" x14ac:dyDescent="0.25">
      <c r="A1252" s="1">
        <v>269</v>
      </c>
      <c r="B1252" t="s">
        <v>19</v>
      </c>
      <c r="C1252">
        <v>706</v>
      </c>
      <c r="D1252">
        <v>4</v>
      </c>
      <c r="E1252" t="s">
        <v>28</v>
      </c>
      <c r="F1252" t="s">
        <v>29</v>
      </c>
      <c r="G1252" t="str">
        <f>"2026-01-09 04:21:36.229"</f>
        <v>2026-01-09 04:21:36.229</v>
      </c>
      <c r="H1252" t="s">
        <v>21</v>
      </c>
      <c r="I1252">
        <v>0</v>
      </c>
      <c r="J1252" t="s">
        <v>30</v>
      </c>
    </row>
    <row r="1253" spans="1:10" x14ac:dyDescent="0.25">
      <c r="A1253" s="1">
        <v>270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"2026-01-09 04:13:53.179"</f>
        <v>2026-01-09 04:13:53.179</v>
      </c>
      <c r="H1253" t="s">
        <v>21</v>
      </c>
    </row>
    <row r="1254" spans="1:10" x14ac:dyDescent="0.25">
      <c r="A1254" s="1">
        <v>271</v>
      </c>
      <c r="B1254" t="s">
        <v>19</v>
      </c>
      <c r="C1254">
        <v>706</v>
      </c>
      <c r="D1254">
        <v>2</v>
      </c>
      <c r="E1254" t="s">
        <v>28</v>
      </c>
      <c r="F1254" t="s">
        <v>39</v>
      </c>
      <c r="G1254" t="str">
        <f>"2026-01-09 03:05:49.795"</f>
        <v>2026-01-09 03:05:49.795</v>
      </c>
      <c r="H1254" t="s">
        <v>21</v>
      </c>
      <c r="I1254">
        <v>0</v>
      </c>
      <c r="J1254" t="s">
        <v>30</v>
      </c>
    </row>
    <row r="1255" spans="1:10" x14ac:dyDescent="0.25">
      <c r="A1255" s="1">
        <v>272</v>
      </c>
      <c r="B1255" t="s">
        <v>23</v>
      </c>
      <c r="C1255">
        <v>635</v>
      </c>
      <c r="D1255">
        <v>1</v>
      </c>
      <c r="E1255" t="s">
        <v>31</v>
      </c>
      <c r="F1255" t="s">
        <v>32</v>
      </c>
      <c r="G1255" t="str">
        <f>"2026-01-08 20:29:00.950"</f>
        <v>2026-01-08 20:29:00.950</v>
      </c>
      <c r="H1255" t="s">
        <v>21</v>
      </c>
    </row>
    <row r="1256" spans="1:10" x14ac:dyDescent="0.25">
      <c r="A1256" s="1">
        <v>273</v>
      </c>
      <c r="B1256" t="s">
        <v>26</v>
      </c>
      <c r="C1256">
        <v>635</v>
      </c>
      <c r="D1256">
        <v>1</v>
      </c>
      <c r="E1256" t="s">
        <v>31</v>
      </c>
      <c r="F1256" t="s">
        <v>32</v>
      </c>
      <c r="G1256" t="str">
        <f>"2026-01-08 20:24:21.950"</f>
        <v>2026-01-08 20:24:21.950</v>
      </c>
      <c r="H1256" t="s">
        <v>21</v>
      </c>
      <c r="I1256">
        <v>3.99</v>
      </c>
      <c r="J1256" t="s">
        <v>33</v>
      </c>
    </row>
    <row r="1257" spans="1:10" s="3" customFormat="1" x14ac:dyDescent="0.25">
      <c r="A1257" s="2">
        <v>274</v>
      </c>
      <c r="B1257" s="3" t="s">
        <v>23</v>
      </c>
      <c r="C1257" s="3">
        <v>647</v>
      </c>
      <c r="D1257" s="3">
        <v>1</v>
      </c>
      <c r="E1257" s="3" t="s">
        <v>24</v>
      </c>
      <c r="F1257" s="3" t="s">
        <v>25</v>
      </c>
      <c r="G1257" s="3" t="str">
        <f>"2026-01-08 16:48:32.750"</f>
        <v>2026-01-08 16:48:32.750</v>
      </c>
      <c r="H1257" s="3" t="s">
        <v>21</v>
      </c>
    </row>
    <row r="1258" spans="1:10" s="3" customFormat="1" x14ac:dyDescent="0.25">
      <c r="A1258" s="2">
        <v>275</v>
      </c>
      <c r="B1258" s="3" t="s">
        <v>26</v>
      </c>
      <c r="C1258" s="3">
        <v>647</v>
      </c>
      <c r="D1258" s="3">
        <v>1</v>
      </c>
      <c r="E1258" s="3" t="s">
        <v>24</v>
      </c>
      <c r="F1258" s="3" t="s">
        <v>25</v>
      </c>
      <c r="G1258" s="3" t="str">
        <f>"2026-01-08 16:48:30.451"</f>
        <v>2026-01-08 16:48:30.451</v>
      </c>
      <c r="H1258" s="3" t="s">
        <v>21</v>
      </c>
      <c r="I1258" s="3">
        <v>9.51</v>
      </c>
      <c r="J1258" s="3" t="s">
        <v>27</v>
      </c>
    </row>
    <row r="1259" spans="1:10" x14ac:dyDescent="0.25">
      <c r="A1259" s="1">
        <v>276</v>
      </c>
      <c r="B1259" t="s">
        <v>19</v>
      </c>
      <c r="C1259">
        <v>706</v>
      </c>
      <c r="D1259">
        <v>4</v>
      </c>
      <c r="E1259" t="s">
        <v>28</v>
      </c>
      <c r="F1259" t="s">
        <v>29</v>
      </c>
      <c r="G1259" t="str">
        <f>"2026-01-08 16:36:20.934"</f>
        <v>2026-01-08 16:36:20.934</v>
      </c>
      <c r="H1259" t="s">
        <v>21</v>
      </c>
      <c r="I1259">
        <v>0</v>
      </c>
      <c r="J1259" t="s">
        <v>30</v>
      </c>
    </row>
    <row r="1260" spans="1:10" x14ac:dyDescent="0.25">
      <c r="A1260" s="1">
        <v>277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"2026-01-08 12:43:11.235"</f>
        <v>2026-01-08 12:43:11.235</v>
      </c>
      <c r="H1260" t="s">
        <v>21</v>
      </c>
    </row>
    <row r="1261" spans="1:10" x14ac:dyDescent="0.25">
      <c r="A1261" s="1">
        <v>278</v>
      </c>
      <c r="B1261" t="s">
        <v>19</v>
      </c>
      <c r="C1261">
        <v>706</v>
      </c>
      <c r="D1261">
        <v>2</v>
      </c>
      <c r="E1261" t="s">
        <v>28</v>
      </c>
      <c r="F1261" t="s">
        <v>39</v>
      </c>
      <c r="G1261" t="str">
        <f>"2026-01-08 09:34:51.560"</f>
        <v>2026-01-08 09:34:51.560</v>
      </c>
      <c r="H1261" t="s">
        <v>21</v>
      </c>
      <c r="I1261">
        <v>0</v>
      </c>
      <c r="J1261" t="s">
        <v>30</v>
      </c>
    </row>
    <row r="1262" spans="1:10" s="3" customFormat="1" x14ac:dyDescent="0.25">
      <c r="A1262" s="2">
        <v>279</v>
      </c>
      <c r="B1262" s="3" t="s">
        <v>23</v>
      </c>
      <c r="C1262" s="3">
        <v>647</v>
      </c>
      <c r="D1262" s="3">
        <v>1</v>
      </c>
      <c r="E1262" s="3" t="s">
        <v>24</v>
      </c>
      <c r="F1262" s="3" t="s">
        <v>25</v>
      </c>
      <c r="G1262" s="3" t="str">
        <f>"2026-01-08 08:49:00.011"</f>
        <v>2026-01-08 08:49:00.011</v>
      </c>
      <c r="H1262" s="3" t="s">
        <v>21</v>
      </c>
    </row>
    <row r="1263" spans="1:10" s="3" customFormat="1" x14ac:dyDescent="0.25">
      <c r="A1263" s="2">
        <v>280</v>
      </c>
      <c r="B1263" s="3" t="s">
        <v>26</v>
      </c>
      <c r="C1263" s="3">
        <v>647</v>
      </c>
      <c r="D1263" s="3">
        <v>1</v>
      </c>
      <c r="E1263" s="3" t="s">
        <v>24</v>
      </c>
      <c r="F1263" s="3" t="s">
        <v>25</v>
      </c>
      <c r="G1263" s="3" t="str">
        <f>"2026-01-08 08:48:56.311"</f>
        <v>2026-01-08 08:48:56.311</v>
      </c>
      <c r="H1263" s="3" t="s">
        <v>21</v>
      </c>
      <c r="I1263" s="3">
        <v>10.71</v>
      </c>
      <c r="J1263" s="3" t="s">
        <v>27</v>
      </c>
    </row>
    <row r="1264" spans="1:10" s="3" customFormat="1" x14ac:dyDescent="0.25">
      <c r="A1264" s="2">
        <v>281</v>
      </c>
      <c r="B1264" s="3" t="s">
        <v>23</v>
      </c>
      <c r="C1264" s="3">
        <v>647</v>
      </c>
      <c r="D1264" s="3">
        <v>1</v>
      </c>
      <c r="E1264" s="3" t="s">
        <v>24</v>
      </c>
      <c r="F1264" s="3" t="s">
        <v>25</v>
      </c>
      <c r="G1264" s="3" t="str">
        <f>"2026-01-08 07:08:16.511"</f>
        <v>2026-01-08 07:08:16.511</v>
      </c>
      <c r="H1264" s="3" t="s">
        <v>21</v>
      </c>
    </row>
    <row r="1265" spans="1:10" s="3" customFormat="1" x14ac:dyDescent="0.25">
      <c r="A1265" s="2">
        <v>282</v>
      </c>
      <c r="B1265" s="3" t="s">
        <v>26</v>
      </c>
      <c r="C1265" s="3">
        <v>647</v>
      </c>
      <c r="D1265" s="3">
        <v>1</v>
      </c>
      <c r="E1265" s="3" t="s">
        <v>24</v>
      </c>
      <c r="F1265" s="3" t="s">
        <v>25</v>
      </c>
      <c r="G1265" s="3" t="str">
        <f>"2026-01-08 07:08:15.211"</f>
        <v>2026-01-08 07:08:15.211</v>
      </c>
      <c r="H1265" s="3" t="s">
        <v>21</v>
      </c>
      <c r="I1265" s="3">
        <v>17.05</v>
      </c>
      <c r="J1265" s="3" t="s">
        <v>27</v>
      </c>
    </row>
    <row r="1266" spans="1:10" s="3" customFormat="1" x14ac:dyDescent="0.25">
      <c r="A1266" s="2">
        <v>283</v>
      </c>
      <c r="B1266" s="3" t="s">
        <v>23</v>
      </c>
      <c r="C1266" s="3">
        <v>647</v>
      </c>
      <c r="D1266" s="3">
        <v>1</v>
      </c>
      <c r="E1266" s="3" t="s">
        <v>24</v>
      </c>
      <c r="F1266" s="3" t="s">
        <v>25</v>
      </c>
      <c r="G1266" s="3" t="str">
        <f>"2026-01-08 03:11:44.011"</f>
        <v>2026-01-08 03:11:44.011</v>
      </c>
      <c r="H1266" s="3" t="s">
        <v>21</v>
      </c>
    </row>
    <row r="1267" spans="1:10" s="3" customFormat="1" x14ac:dyDescent="0.25">
      <c r="A1267" s="2">
        <v>284</v>
      </c>
      <c r="B1267" s="3" t="s">
        <v>26</v>
      </c>
      <c r="C1267" s="3">
        <v>647</v>
      </c>
      <c r="D1267" s="3">
        <v>1</v>
      </c>
      <c r="E1267" s="3" t="s">
        <v>24</v>
      </c>
      <c r="F1267" s="3" t="s">
        <v>25</v>
      </c>
      <c r="G1267" s="3" t="str">
        <f>"2026-01-08 03:11:40.711"</f>
        <v>2026-01-08 03:11:40.711</v>
      </c>
      <c r="H1267" s="3" t="s">
        <v>21</v>
      </c>
      <c r="I1267" s="3">
        <v>8.3000000000000007</v>
      </c>
      <c r="J1267" s="3" t="s">
        <v>34</v>
      </c>
    </row>
    <row r="1268" spans="1:10" x14ac:dyDescent="0.25">
      <c r="A1268" s="1">
        <v>285</v>
      </c>
      <c r="B1268" t="s">
        <v>23</v>
      </c>
      <c r="C1268">
        <v>635</v>
      </c>
      <c r="D1268">
        <v>1</v>
      </c>
      <c r="E1268" t="s">
        <v>31</v>
      </c>
      <c r="F1268" t="s">
        <v>32</v>
      </c>
      <c r="G1268" t="str">
        <f>"2026-01-08 00:49:31.810"</f>
        <v>2026-01-08 00:49:31.810</v>
      </c>
      <c r="H1268" t="s">
        <v>21</v>
      </c>
    </row>
    <row r="1269" spans="1:10" x14ac:dyDescent="0.25">
      <c r="A1269" s="1">
        <v>286</v>
      </c>
      <c r="B1269" t="s">
        <v>26</v>
      </c>
      <c r="C1269">
        <v>635</v>
      </c>
      <c r="D1269">
        <v>1</v>
      </c>
      <c r="E1269" t="s">
        <v>31</v>
      </c>
      <c r="F1269" t="s">
        <v>32</v>
      </c>
      <c r="G1269" t="str">
        <f>"2026-01-08 00:43:34.810"</f>
        <v>2026-01-08 00:43:34.810</v>
      </c>
      <c r="H1269" t="s">
        <v>21</v>
      </c>
      <c r="I1269">
        <v>0.69</v>
      </c>
      <c r="J1269" t="s">
        <v>33</v>
      </c>
    </row>
    <row r="1270" spans="1:10" x14ac:dyDescent="0.25">
      <c r="A1270" s="1">
        <v>287</v>
      </c>
      <c r="B1270" t="s">
        <v>19</v>
      </c>
      <c r="C1270">
        <v>706</v>
      </c>
      <c r="D1270">
        <v>2</v>
      </c>
      <c r="E1270" t="s">
        <v>28</v>
      </c>
      <c r="F1270" t="s">
        <v>39</v>
      </c>
      <c r="G1270" t="str">
        <f>"2026-01-07 23:18:35.560"</f>
        <v>2026-01-07 23:18:35.560</v>
      </c>
      <c r="H1270" t="s">
        <v>21</v>
      </c>
      <c r="I1270">
        <v>0</v>
      </c>
      <c r="J1270" t="s">
        <v>30</v>
      </c>
    </row>
    <row r="1271" spans="1:10" x14ac:dyDescent="0.25">
      <c r="A1271" s="1">
        <v>288</v>
      </c>
      <c r="B1271" t="s">
        <v>19</v>
      </c>
      <c r="C1271">
        <v>706</v>
      </c>
      <c r="D1271">
        <v>3</v>
      </c>
      <c r="E1271" t="s">
        <v>28</v>
      </c>
      <c r="F1271" t="s">
        <v>43</v>
      </c>
      <c r="G1271" t="str">
        <f>"2026-01-07 18:59:07.100"</f>
        <v>2026-01-07 18:59:07.100</v>
      </c>
      <c r="H1271" t="s">
        <v>21</v>
      </c>
      <c r="I1271">
        <v>0</v>
      </c>
      <c r="J1271" t="s">
        <v>30</v>
      </c>
    </row>
    <row r="1272" spans="1:10" x14ac:dyDescent="0.25">
      <c r="A1272" s="1">
        <v>289</v>
      </c>
      <c r="B1272" t="s">
        <v>19</v>
      </c>
      <c r="C1272">
        <v>706</v>
      </c>
      <c r="D1272">
        <v>2</v>
      </c>
      <c r="E1272" t="s">
        <v>28</v>
      </c>
      <c r="F1272" t="s">
        <v>39</v>
      </c>
      <c r="G1272" t="str">
        <f>"2026-01-07 18:58:13.360"</f>
        <v>2026-01-07 18:58:13.360</v>
      </c>
      <c r="H1272" t="s">
        <v>21</v>
      </c>
      <c r="I1272">
        <v>0</v>
      </c>
      <c r="J1272" t="s">
        <v>30</v>
      </c>
    </row>
    <row r="1273" spans="1:10" s="3" customFormat="1" x14ac:dyDescent="0.25">
      <c r="A1273" s="2">
        <v>291</v>
      </c>
      <c r="B1273" s="3" t="s">
        <v>23</v>
      </c>
      <c r="C1273" s="3">
        <v>647</v>
      </c>
      <c r="D1273" s="3">
        <v>1</v>
      </c>
      <c r="E1273" s="3" t="s">
        <v>24</v>
      </c>
      <c r="F1273" s="3" t="s">
        <v>25</v>
      </c>
      <c r="G1273" s="3" t="str">
        <f>"2026-01-07 09:43:13.911"</f>
        <v>2026-01-07 09:43:13.911</v>
      </c>
      <c r="H1273" s="3" t="s">
        <v>21</v>
      </c>
    </row>
    <row r="1274" spans="1:10" s="3" customFormat="1" x14ac:dyDescent="0.25">
      <c r="A1274" s="2">
        <v>292</v>
      </c>
      <c r="B1274" s="3" t="s">
        <v>26</v>
      </c>
      <c r="C1274" s="3">
        <v>647</v>
      </c>
      <c r="D1274" s="3">
        <v>1</v>
      </c>
      <c r="E1274" s="3" t="s">
        <v>24</v>
      </c>
      <c r="F1274" s="3" t="s">
        <v>25</v>
      </c>
      <c r="G1274" s="3" t="str">
        <f>"2026-01-07 09:43:10.811"</f>
        <v>2026-01-07 09:43:10.811</v>
      </c>
      <c r="H1274" s="3" t="s">
        <v>21</v>
      </c>
      <c r="I1274" s="3">
        <v>10.73</v>
      </c>
      <c r="J1274" s="3" t="s">
        <v>27</v>
      </c>
    </row>
    <row r="1275" spans="1:10" s="3" customFormat="1" x14ac:dyDescent="0.25">
      <c r="A1275" s="2">
        <v>293</v>
      </c>
      <c r="B1275" s="3" t="s">
        <v>23</v>
      </c>
      <c r="C1275" s="3">
        <v>647</v>
      </c>
      <c r="D1275" s="3">
        <v>1</v>
      </c>
      <c r="E1275" s="3" t="s">
        <v>24</v>
      </c>
      <c r="F1275" s="3" t="s">
        <v>25</v>
      </c>
      <c r="G1275" s="3" t="str">
        <f>"2026-01-07 08:49:50.511"</f>
        <v>2026-01-07 08:49:50.511</v>
      </c>
      <c r="H1275" s="3" t="s">
        <v>21</v>
      </c>
    </row>
    <row r="1276" spans="1:10" s="3" customFormat="1" x14ac:dyDescent="0.25">
      <c r="A1276" s="2">
        <v>294</v>
      </c>
      <c r="B1276" s="3" t="s">
        <v>26</v>
      </c>
      <c r="C1276" s="3">
        <v>647</v>
      </c>
      <c r="D1276" s="3">
        <v>1</v>
      </c>
      <c r="E1276" s="3" t="s">
        <v>24</v>
      </c>
      <c r="F1276" s="3" t="s">
        <v>25</v>
      </c>
      <c r="G1276" s="3" t="str">
        <f>"2026-01-07 08:49:44.011"</f>
        <v>2026-01-07 08:49:44.011</v>
      </c>
      <c r="H1276" s="3" t="s">
        <v>21</v>
      </c>
      <c r="I1276" s="3">
        <v>22.72</v>
      </c>
      <c r="J1276" s="3" t="s">
        <v>27</v>
      </c>
    </row>
    <row r="1277" spans="1:10" x14ac:dyDescent="0.25">
      <c r="A1277" s="1">
        <v>295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"2026-01-07 08:45:23.180"</f>
        <v>2026-01-07 08:45:23.180</v>
      </c>
      <c r="H1277" t="s">
        <v>21</v>
      </c>
    </row>
    <row r="1278" spans="1:10" x14ac:dyDescent="0.25">
      <c r="A1278" s="1">
        <v>296</v>
      </c>
      <c r="B1278" t="s">
        <v>19</v>
      </c>
      <c r="C1278">
        <v>706</v>
      </c>
      <c r="D1278">
        <v>4</v>
      </c>
      <c r="E1278" t="s">
        <v>28</v>
      </c>
      <c r="F1278" t="s">
        <v>29</v>
      </c>
      <c r="G1278" t="str">
        <f>"2026-01-07 07:43:49.808"</f>
        <v>2026-01-07 07:43:49.808</v>
      </c>
      <c r="H1278" t="s">
        <v>21</v>
      </c>
      <c r="I1278">
        <v>0</v>
      </c>
      <c r="J1278" t="s">
        <v>30</v>
      </c>
    </row>
    <row r="1279" spans="1:10" x14ac:dyDescent="0.25">
      <c r="A1279" s="1">
        <v>297</v>
      </c>
      <c r="B1279" t="s">
        <v>19</v>
      </c>
      <c r="C1279">
        <v>706</v>
      </c>
      <c r="D1279">
        <v>2</v>
      </c>
      <c r="E1279" t="s">
        <v>28</v>
      </c>
      <c r="F1279" t="s">
        <v>39</v>
      </c>
      <c r="G1279" t="str">
        <f>"2026-01-07 01:20:11.729"</f>
        <v>2026-01-07 01:20:11.729</v>
      </c>
      <c r="H1279" t="s">
        <v>21</v>
      </c>
      <c r="I1279">
        <v>0</v>
      </c>
      <c r="J1279" t="s">
        <v>30</v>
      </c>
    </row>
    <row r="1280" spans="1:10" x14ac:dyDescent="0.25">
      <c r="A1280" s="1">
        <v>298</v>
      </c>
      <c r="B1280" t="s">
        <v>19</v>
      </c>
      <c r="C1280">
        <v>706</v>
      </c>
      <c r="D1280">
        <v>4</v>
      </c>
      <c r="E1280" t="s">
        <v>28</v>
      </c>
      <c r="F1280" t="s">
        <v>29</v>
      </c>
      <c r="G1280" t="str">
        <f>"2026-01-06 23:21:44.609"</f>
        <v>2026-01-06 23:21:44.609</v>
      </c>
      <c r="H1280" t="s">
        <v>21</v>
      </c>
      <c r="I1280">
        <v>0</v>
      </c>
      <c r="J1280" t="s">
        <v>30</v>
      </c>
    </row>
    <row r="1281" spans="1:10" x14ac:dyDescent="0.25">
      <c r="A1281" s="1">
        <v>299</v>
      </c>
      <c r="B1281" t="s">
        <v>19</v>
      </c>
      <c r="C1281">
        <v>706</v>
      </c>
      <c r="D1281">
        <v>4</v>
      </c>
      <c r="E1281" t="s">
        <v>28</v>
      </c>
      <c r="F1281" t="s">
        <v>29</v>
      </c>
      <c r="G1281" t="str">
        <f>"2026-01-06 20:02:04.959"</f>
        <v>2026-01-06 20:02:04.959</v>
      </c>
      <c r="H1281" t="s">
        <v>21</v>
      </c>
      <c r="I1281">
        <v>0</v>
      </c>
      <c r="J1281" t="s">
        <v>30</v>
      </c>
    </row>
    <row r="1282" spans="1:10" s="3" customFormat="1" x14ac:dyDescent="0.25">
      <c r="A1282" s="2">
        <v>300</v>
      </c>
      <c r="B1282" s="3" t="s">
        <v>23</v>
      </c>
      <c r="C1282" s="3">
        <v>647</v>
      </c>
      <c r="D1282" s="3">
        <v>1</v>
      </c>
      <c r="E1282" s="3" t="s">
        <v>24</v>
      </c>
      <c r="F1282" s="3" t="s">
        <v>25</v>
      </c>
      <c r="G1282" s="3" t="str">
        <f>"2026-01-06 14:53:17.292"</f>
        <v>2026-01-06 14:53:17.292</v>
      </c>
      <c r="H1282" s="3" t="s">
        <v>21</v>
      </c>
    </row>
    <row r="1283" spans="1:10" s="3" customFormat="1" x14ac:dyDescent="0.25">
      <c r="A1283" s="2">
        <v>301</v>
      </c>
      <c r="B1283" s="3" t="s">
        <v>26</v>
      </c>
      <c r="C1283" s="3">
        <v>647</v>
      </c>
      <c r="D1283" s="3">
        <v>1</v>
      </c>
      <c r="E1283" s="3" t="s">
        <v>24</v>
      </c>
      <c r="F1283" s="3" t="s">
        <v>25</v>
      </c>
      <c r="G1283" s="3" t="str">
        <f>"2026-01-06 14:53:04.392"</f>
        <v>2026-01-06 14:53:04.392</v>
      </c>
      <c r="H1283" s="3" t="s">
        <v>21</v>
      </c>
      <c r="I1283" s="3">
        <v>8.6</v>
      </c>
      <c r="J1283" s="3" t="s">
        <v>27</v>
      </c>
    </row>
    <row r="1284" spans="1:10" x14ac:dyDescent="0.25">
      <c r="A1284" s="1">
        <v>302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"2026-01-06 10:20:40.069"</f>
        <v>2026-01-06 10:20:40.069</v>
      </c>
      <c r="H1284" t="s">
        <v>21</v>
      </c>
    </row>
    <row r="1285" spans="1:10" x14ac:dyDescent="0.25">
      <c r="A1285" s="1">
        <v>303</v>
      </c>
      <c r="B1285" t="s">
        <v>19</v>
      </c>
      <c r="C1285">
        <v>706</v>
      </c>
      <c r="D1285">
        <v>2</v>
      </c>
      <c r="E1285" t="s">
        <v>28</v>
      </c>
      <c r="F1285" t="s">
        <v>39</v>
      </c>
      <c r="G1285" t="str">
        <f>"2026-01-06 05:42:57.717"</f>
        <v>2026-01-06 05:42:57.717</v>
      </c>
      <c r="H1285" t="s">
        <v>21</v>
      </c>
      <c r="I1285">
        <v>0</v>
      </c>
      <c r="J1285" t="s">
        <v>30</v>
      </c>
    </row>
    <row r="1286" spans="1:10" x14ac:dyDescent="0.25">
      <c r="A1286" s="1">
        <v>304</v>
      </c>
      <c r="B1286" t="s">
        <v>19</v>
      </c>
      <c r="C1286">
        <v>706</v>
      </c>
      <c r="D1286">
        <v>4</v>
      </c>
      <c r="E1286" t="s">
        <v>28</v>
      </c>
      <c r="F1286" t="s">
        <v>29</v>
      </c>
      <c r="G1286" t="str">
        <f>"2026-01-06 05:42:34.457"</f>
        <v>2026-01-06 05:42:34.457</v>
      </c>
      <c r="H1286" t="s">
        <v>21</v>
      </c>
      <c r="I1286">
        <v>0</v>
      </c>
      <c r="J1286" t="s">
        <v>30</v>
      </c>
    </row>
    <row r="1287" spans="1:10" x14ac:dyDescent="0.25">
      <c r="A1287" s="1">
        <v>305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"2026-01-06 04:23:22.097"</f>
        <v>2026-01-06 04:23:22.097</v>
      </c>
      <c r="H1287" t="s">
        <v>21</v>
      </c>
    </row>
    <row r="1288" spans="1:10" x14ac:dyDescent="0.25">
      <c r="A1288" s="1">
        <v>306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"2026-01-06 03:57:43.122"</f>
        <v>2026-01-06 03:57:43.122</v>
      </c>
      <c r="H1288" t="s">
        <v>21</v>
      </c>
      <c r="I1288">
        <v>0</v>
      </c>
      <c r="J1288" t="s">
        <v>22</v>
      </c>
    </row>
    <row r="1289" spans="1:10" x14ac:dyDescent="0.25">
      <c r="A1289" s="1">
        <v>307</v>
      </c>
      <c r="B1289" t="s">
        <v>38</v>
      </c>
      <c r="C1289">
        <v>630</v>
      </c>
      <c r="D1289">
        <v>5</v>
      </c>
      <c r="E1289" t="s">
        <v>35</v>
      </c>
      <c r="F1289" t="s">
        <v>36</v>
      </c>
      <c r="G1289" t="str">
        <f>"2026-01-06 03:05:08.144"</f>
        <v>2026-01-06 03:05:08.144</v>
      </c>
      <c r="H1289" t="s">
        <v>37</v>
      </c>
      <c r="I1289">
        <v>0</v>
      </c>
      <c r="J1289" t="s">
        <v>30</v>
      </c>
    </row>
    <row r="1290" spans="1:10" x14ac:dyDescent="0.25">
      <c r="A1290" s="1">
        <v>308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"2026-01-06 03:00:05.492"</f>
        <v>2026-01-06 03:00:05.492</v>
      </c>
      <c r="H1290" t="s">
        <v>21</v>
      </c>
      <c r="I1290">
        <v>0</v>
      </c>
      <c r="J1290" t="s">
        <v>22</v>
      </c>
    </row>
    <row r="1291" spans="1:10" s="3" customFormat="1" x14ac:dyDescent="0.25">
      <c r="A1291" s="2">
        <v>309</v>
      </c>
      <c r="B1291" s="3" t="s">
        <v>23</v>
      </c>
      <c r="C1291" s="3">
        <v>647</v>
      </c>
      <c r="D1291" s="3">
        <v>1</v>
      </c>
      <c r="E1291" s="3" t="s">
        <v>24</v>
      </c>
      <c r="F1291" s="3" t="s">
        <v>25</v>
      </c>
      <c r="G1291" s="3" t="str">
        <f>"2026-01-06 00:11:09.397"</f>
        <v>2026-01-06 00:11:09.397</v>
      </c>
      <c r="H1291" s="3" t="s">
        <v>21</v>
      </c>
    </row>
    <row r="1292" spans="1:10" s="3" customFormat="1" x14ac:dyDescent="0.25">
      <c r="A1292" s="2">
        <v>310</v>
      </c>
      <c r="B1292" s="3" t="s">
        <v>26</v>
      </c>
      <c r="C1292" s="3">
        <v>647</v>
      </c>
      <c r="D1292" s="3">
        <v>1</v>
      </c>
      <c r="E1292" s="3" t="s">
        <v>24</v>
      </c>
      <c r="F1292" s="3" t="s">
        <v>25</v>
      </c>
      <c r="G1292" s="3" t="str">
        <f>"2026-01-06 00:11:02.697"</f>
        <v>2026-01-06 00:11:02.697</v>
      </c>
      <c r="H1292" s="3" t="s">
        <v>21</v>
      </c>
      <c r="I1292" s="3">
        <v>8.1199999999999992</v>
      </c>
      <c r="J1292" s="3" t="s">
        <v>27</v>
      </c>
    </row>
    <row r="1293" spans="1:10" s="3" customFormat="1" x14ac:dyDescent="0.25">
      <c r="A1293" s="2">
        <v>311</v>
      </c>
      <c r="B1293" s="3" t="s">
        <v>23</v>
      </c>
      <c r="C1293" s="3">
        <v>647</v>
      </c>
      <c r="D1293" s="3">
        <v>1</v>
      </c>
      <c r="E1293" s="3" t="s">
        <v>24</v>
      </c>
      <c r="F1293" s="3" t="s">
        <v>25</v>
      </c>
      <c r="G1293" s="3" t="str">
        <f>"2026-01-05 20:41:14.797"</f>
        <v>2026-01-05 20:41:14.797</v>
      </c>
      <c r="H1293" s="3" t="s">
        <v>21</v>
      </c>
    </row>
    <row r="1294" spans="1:10" s="3" customFormat="1" x14ac:dyDescent="0.25">
      <c r="A1294" s="2">
        <v>312</v>
      </c>
      <c r="B1294" s="3" t="s">
        <v>26</v>
      </c>
      <c r="C1294" s="3">
        <v>647</v>
      </c>
      <c r="D1294" s="3">
        <v>1</v>
      </c>
      <c r="E1294" s="3" t="s">
        <v>24</v>
      </c>
      <c r="F1294" s="3" t="s">
        <v>25</v>
      </c>
      <c r="G1294" s="3" t="str">
        <f>"2026-01-05 20:41:08.097"</f>
        <v>2026-01-05 20:41:08.097</v>
      </c>
      <c r="H1294" s="3" t="s">
        <v>21</v>
      </c>
      <c r="I1294" s="3">
        <v>9</v>
      </c>
      <c r="J1294" s="3" t="s">
        <v>34</v>
      </c>
    </row>
    <row r="1295" spans="1:10" x14ac:dyDescent="0.25">
      <c r="A1295" s="1">
        <v>313</v>
      </c>
      <c r="B1295" t="s">
        <v>19</v>
      </c>
      <c r="C1295">
        <v>706</v>
      </c>
      <c r="D1295">
        <v>4</v>
      </c>
      <c r="E1295" t="s">
        <v>28</v>
      </c>
      <c r="F1295" t="s">
        <v>29</v>
      </c>
      <c r="G1295" t="str">
        <f>"2026-01-05 19:05:21.004"</f>
        <v>2026-01-05 19:05:21.004</v>
      </c>
      <c r="H1295" t="s">
        <v>21</v>
      </c>
      <c r="I1295">
        <v>0</v>
      </c>
      <c r="J1295" t="s">
        <v>30</v>
      </c>
    </row>
    <row r="1296" spans="1:10" x14ac:dyDescent="0.25">
      <c r="A1296" s="1">
        <v>314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"2026-01-05 09:34:15.064"</f>
        <v>2026-01-05 09:34:15.064</v>
      </c>
      <c r="H1296" t="s">
        <v>21</v>
      </c>
    </row>
    <row r="1297" spans="1:10" s="3" customFormat="1" x14ac:dyDescent="0.25">
      <c r="A1297" s="2">
        <v>315</v>
      </c>
      <c r="B1297" s="3" t="s">
        <v>23</v>
      </c>
      <c r="C1297" s="3">
        <v>647</v>
      </c>
      <c r="D1297" s="3">
        <v>1</v>
      </c>
      <c r="E1297" s="3" t="s">
        <v>24</v>
      </c>
      <c r="F1297" s="3" t="s">
        <v>25</v>
      </c>
      <c r="G1297" s="3" t="str">
        <f>"2026-01-05 08:39:12.149"</f>
        <v>2026-01-05 08:39:12.149</v>
      </c>
      <c r="H1297" s="3" t="s">
        <v>21</v>
      </c>
    </row>
    <row r="1298" spans="1:10" s="3" customFormat="1" x14ac:dyDescent="0.25">
      <c r="A1298" s="2">
        <v>316</v>
      </c>
      <c r="B1298" s="3" t="s">
        <v>26</v>
      </c>
      <c r="C1298" s="3">
        <v>647</v>
      </c>
      <c r="D1298" s="3">
        <v>1</v>
      </c>
      <c r="E1298" s="3" t="s">
        <v>24</v>
      </c>
      <c r="F1298" s="3" t="s">
        <v>25</v>
      </c>
      <c r="G1298" s="3" t="str">
        <f>"2026-01-05 08:39:00.450"</f>
        <v>2026-01-05 08:39:00.450</v>
      </c>
      <c r="H1298" s="3" t="s">
        <v>21</v>
      </c>
      <c r="I1298" s="3">
        <v>14.82</v>
      </c>
      <c r="J1298" s="3" t="s">
        <v>27</v>
      </c>
    </row>
    <row r="1299" spans="1:10" x14ac:dyDescent="0.25">
      <c r="A1299" s="1">
        <v>317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"2026-01-04 23:44:51.021"</f>
        <v>2026-01-04 23:44:51.021</v>
      </c>
      <c r="H1299" t="s">
        <v>21</v>
      </c>
    </row>
    <row r="1300" spans="1:10" x14ac:dyDescent="0.25">
      <c r="A1300" s="1">
        <v>318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"2026-01-04 23:41:18.018"</f>
        <v>2026-01-04 23:41:18.018</v>
      </c>
      <c r="H1300" t="s">
        <v>21</v>
      </c>
    </row>
    <row r="1301" spans="1:10" x14ac:dyDescent="0.25">
      <c r="A1301" s="1">
        <v>319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"2026-01-04 23:11:51.035"</f>
        <v>2026-01-04 23:11:51.035</v>
      </c>
      <c r="H1301" t="s">
        <v>21</v>
      </c>
    </row>
    <row r="1302" spans="1:10" x14ac:dyDescent="0.25">
      <c r="A1302" s="1">
        <v>320</v>
      </c>
      <c r="B1302" t="s">
        <v>19</v>
      </c>
      <c r="C1302">
        <v>706</v>
      </c>
      <c r="D1302">
        <v>4</v>
      </c>
      <c r="E1302" t="s">
        <v>28</v>
      </c>
      <c r="F1302" t="s">
        <v>29</v>
      </c>
      <c r="G1302" t="str">
        <f>"2026-01-04 21:46:36.643"</f>
        <v>2026-01-04 21:46:36.643</v>
      </c>
      <c r="H1302" t="s">
        <v>21</v>
      </c>
      <c r="I1302">
        <v>0</v>
      </c>
      <c r="J1302" t="s">
        <v>30</v>
      </c>
    </row>
    <row r="1303" spans="1:10" x14ac:dyDescent="0.25">
      <c r="A1303" s="1">
        <v>321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"2026-01-04 12:37:03.113"</f>
        <v>2026-01-04 12:37:03.113</v>
      </c>
      <c r="H1303" t="s">
        <v>21</v>
      </c>
      <c r="I1303">
        <v>0</v>
      </c>
      <c r="J1303" t="s">
        <v>22</v>
      </c>
    </row>
    <row r="1304" spans="1:10" x14ac:dyDescent="0.25">
      <c r="A1304" s="1">
        <v>322</v>
      </c>
      <c r="B1304" t="s">
        <v>38</v>
      </c>
      <c r="C1304">
        <v>47</v>
      </c>
      <c r="D1304">
        <v>2</v>
      </c>
      <c r="E1304" t="s">
        <v>70</v>
      </c>
      <c r="F1304" t="s">
        <v>71</v>
      </c>
      <c r="G1304" t="str">
        <f>"2026-01-04 12:33:59.706"</f>
        <v>2026-01-04 12:33:59.706</v>
      </c>
      <c r="H1304" t="s">
        <v>50</v>
      </c>
      <c r="I1304">
        <v>0</v>
      </c>
      <c r="J1304" t="s">
        <v>30</v>
      </c>
    </row>
    <row r="1305" spans="1:10" x14ac:dyDescent="0.25">
      <c r="A1305" s="1">
        <v>323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"2026-01-04 12:33:54.055"</f>
        <v>2026-01-04 12:33:54.055</v>
      </c>
      <c r="H1305" t="s">
        <v>21</v>
      </c>
    </row>
    <row r="1306" spans="1:10" s="3" customFormat="1" x14ac:dyDescent="0.25">
      <c r="A1306" s="2">
        <v>324</v>
      </c>
      <c r="B1306" s="3" t="s">
        <v>23</v>
      </c>
      <c r="C1306" s="3">
        <v>647</v>
      </c>
      <c r="D1306" s="3">
        <v>1</v>
      </c>
      <c r="E1306" s="3" t="s">
        <v>24</v>
      </c>
      <c r="F1306" s="3" t="s">
        <v>25</v>
      </c>
      <c r="G1306" s="3" t="str">
        <f>"2026-01-04 12:05:51.555"</f>
        <v>2026-01-04 12:05:51.555</v>
      </c>
      <c r="H1306" s="3" t="s">
        <v>21</v>
      </c>
    </row>
    <row r="1307" spans="1:10" s="3" customFormat="1" x14ac:dyDescent="0.25">
      <c r="A1307" s="2">
        <v>325</v>
      </c>
      <c r="B1307" s="3" t="s">
        <v>26</v>
      </c>
      <c r="C1307" s="3">
        <v>647</v>
      </c>
      <c r="D1307" s="3">
        <v>1</v>
      </c>
      <c r="E1307" s="3" t="s">
        <v>24</v>
      </c>
      <c r="F1307" s="3" t="s">
        <v>25</v>
      </c>
      <c r="G1307" s="3" t="str">
        <f>"2026-01-04 12:05:49.055"</f>
        <v>2026-01-04 12:05:49.055</v>
      </c>
      <c r="H1307" s="3" t="s">
        <v>21</v>
      </c>
      <c r="I1307" s="3">
        <v>14.59</v>
      </c>
      <c r="J1307" s="3" t="s">
        <v>27</v>
      </c>
    </row>
    <row r="1308" spans="1:10" x14ac:dyDescent="0.25">
      <c r="A1308" s="1">
        <v>326</v>
      </c>
      <c r="B1308" t="s">
        <v>19</v>
      </c>
      <c r="C1308">
        <v>706</v>
      </c>
      <c r="D1308">
        <v>4</v>
      </c>
      <c r="E1308" t="s">
        <v>28</v>
      </c>
      <c r="F1308" t="s">
        <v>29</v>
      </c>
      <c r="G1308" t="str">
        <f>"2026-01-04 12:03:37.081"</f>
        <v>2026-01-04 12:03:37.081</v>
      </c>
      <c r="H1308" t="s">
        <v>21</v>
      </c>
      <c r="I1308">
        <v>0</v>
      </c>
      <c r="J1308" t="s">
        <v>30</v>
      </c>
    </row>
    <row r="1309" spans="1:10" s="3" customFormat="1" x14ac:dyDescent="0.25">
      <c r="A1309" s="2">
        <v>327</v>
      </c>
      <c r="B1309" s="3" t="s">
        <v>23</v>
      </c>
      <c r="C1309" s="3">
        <v>647</v>
      </c>
      <c r="D1309" s="3">
        <v>1</v>
      </c>
      <c r="E1309" s="3" t="s">
        <v>24</v>
      </c>
      <c r="F1309" s="3" t="s">
        <v>25</v>
      </c>
      <c r="G1309" s="3" t="str">
        <f>"2026-01-04 11:30:52.555"</f>
        <v>2026-01-04 11:30:52.555</v>
      </c>
      <c r="H1309" s="3" t="s">
        <v>21</v>
      </c>
    </row>
    <row r="1310" spans="1:10" s="3" customFormat="1" x14ac:dyDescent="0.25">
      <c r="A1310" s="2">
        <v>328</v>
      </c>
      <c r="B1310" s="3" t="s">
        <v>26</v>
      </c>
      <c r="C1310" s="3">
        <v>647</v>
      </c>
      <c r="D1310" s="3">
        <v>1</v>
      </c>
      <c r="E1310" s="3" t="s">
        <v>24</v>
      </c>
      <c r="F1310" s="3" t="s">
        <v>25</v>
      </c>
      <c r="G1310" s="3" t="str">
        <f>"2026-01-04 11:30:41.655"</f>
        <v>2026-01-04 11:30:41.655</v>
      </c>
      <c r="H1310" s="3" t="s">
        <v>21</v>
      </c>
      <c r="I1310" s="3">
        <v>10.6</v>
      </c>
      <c r="J1310" s="3" t="s">
        <v>27</v>
      </c>
    </row>
    <row r="1311" spans="1:10" s="3" customFormat="1" x14ac:dyDescent="0.25">
      <c r="A1311" s="2">
        <v>329</v>
      </c>
      <c r="B1311" s="3" t="s">
        <v>23</v>
      </c>
      <c r="C1311" s="3">
        <v>647</v>
      </c>
      <c r="D1311" s="3">
        <v>1</v>
      </c>
      <c r="E1311" s="3" t="s">
        <v>24</v>
      </c>
      <c r="F1311" s="3" t="s">
        <v>25</v>
      </c>
      <c r="G1311" s="3" t="str">
        <f>"2026-01-04 09:57:04.155"</f>
        <v>2026-01-04 09:57:04.155</v>
      </c>
      <c r="H1311" s="3" t="s">
        <v>21</v>
      </c>
    </row>
    <row r="1312" spans="1:10" s="3" customFormat="1" x14ac:dyDescent="0.25">
      <c r="A1312" s="2">
        <v>330</v>
      </c>
      <c r="B1312" s="3" t="s">
        <v>26</v>
      </c>
      <c r="C1312" s="3">
        <v>647</v>
      </c>
      <c r="D1312" s="3">
        <v>1</v>
      </c>
      <c r="E1312" s="3" t="s">
        <v>24</v>
      </c>
      <c r="F1312" s="3" t="s">
        <v>25</v>
      </c>
      <c r="G1312" s="3" t="str">
        <f>"2026-01-04 09:56:37.655"</f>
        <v>2026-01-04 09:56:37.655</v>
      </c>
      <c r="H1312" s="3" t="s">
        <v>21</v>
      </c>
      <c r="I1312" s="3">
        <v>18.61</v>
      </c>
      <c r="J1312" s="3" t="s">
        <v>27</v>
      </c>
    </row>
    <row r="1313" spans="1:10" x14ac:dyDescent="0.25">
      <c r="A1313" s="1">
        <v>331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"2026-01-03 23:54:02.031"</f>
        <v>2026-01-03 23:54:02.031</v>
      </c>
      <c r="H1313" t="s">
        <v>21</v>
      </c>
      <c r="I1313">
        <v>0</v>
      </c>
      <c r="J1313" t="s">
        <v>22</v>
      </c>
    </row>
    <row r="1314" spans="1:10" x14ac:dyDescent="0.25">
      <c r="A1314" s="1">
        <v>332</v>
      </c>
      <c r="B1314" t="s">
        <v>19</v>
      </c>
      <c r="C1314">
        <v>706</v>
      </c>
      <c r="D1314">
        <v>2</v>
      </c>
      <c r="E1314" t="s">
        <v>28</v>
      </c>
      <c r="F1314" t="s">
        <v>39</v>
      </c>
      <c r="G1314" t="str">
        <f>"2026-01-03 22:20:11.310"</f>
        <v>2026-01-03 22:20:11.310</v>
      </c>
      <c r="H1314" t="s">
        <v>21</v>
      </c>
      <c r="I1314">
        <v>0</v>
      </c>
      <c r="J1314" t="s">
        <v>30</v>
      </c>
    </row>
    <row r="1315" spans="1:10" x14ac:dyDescent="0.25">
      <c r="A1315" s="1">
        <v>333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"2026-01-03 22:19:41.020"</f>
        <v>2026-01-03 22:19:41.020</v>
      </c>
      <c r="H1315" t="s">
        <v>21</v>
      </c>
    </row>
    <row r="1316" spans="1:10" x14ac:dyDescent="0.25">
      <c r="A1316" s="1">
        <v>334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"2026-01-03 17:52:06.019"</f>
        <v>2026-01-03 17:52:06.019</v>
      </c>
      <c r="H1316" t="s">
        <v>21</v>
      </c>
      <c r="I1316">
        <v>0</v>
      </c>
      <c r="J1316" t="s">
        <v>22</v>
      </c>
    </row>
    <row r="1317" spans="1:10" x14ac:dyDescent="0.25">
      <c r="A1317" s="1">
        <v>335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"2026-01-03 17:32:02.039"</f>
        <v>2026-01-03 17:32:02.039</v>
      </c>
      <c r="H1317" t="s">
        <v>21</v>
      </c>
    </row>
    <row r="1318" spans="1:10" x14ac:dyDescent="0.25">
      <c r="A1318" s="1">
        <v>336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"2026-01-03 17:27:24.028"</f>
        <v>2026-01-03 17:27:24.028</v>
      </c>
      <c r="H1318" t="s">
        <v>21</v>
      </c>
      <c r="I1318">
        <v>0</v>
      </c>
      <c r="J1318" t="s">
        <v>22</v>
      </c>
    </row>
    <row r="1319" spans="1:10" x14ac:dyDescent="0.25">
      <c r="A1319" s="1">
        <v>337</v>
      </c>
      <c r="B1319" t="s">
        <v>23</v>
      </c>
      <c r="C1319">
        <v>631</v>
      </c>
      <c r="D1319">
        <v>2</v>
      </c>
      <c r="E1319" t="s">
        <v>51</v>
      </c>
      <c r="F1319" t="s">
        <v>52</v>
      </c>
      <c r="G1319" t="str">
        <f>"2026-01-03 15:15:28.452"</f>
        <v>2026-01-03 15:15:28.452</v>
      </c>
      <c r="H1319" t="s">
        <v>21</v>
      </c>
    </row>
    <row r="1320" spans="1:10" x14ac:dyDescent="0.25">
      <c r="A1320" s="1">
        <v>338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"2026-01-03 15:15:15.012"</f>
        <v>2026-01-03 15:15:15.012</v>
      </c>
      <c r="H1320" t="s">
        <v>21</v>
      </c>
    </row>
    <row r="1321" spans="1:10" s="3" customFormat="1" x14ac:dyDescent="0.25">
      <c r="A1321" s="2">
        <v>339</v>
      </c>
      <c r="B1321" s="3" t="s">
        <v>23</v>
      </c>
      <c r="C1321" s="3">
        <v>647</v>
      </c>
      <c r="D1321" s="3">
        <v>1</v>
      </c>
      <c r="E1321" s="3" t="s">
        <v>24</v>
      </c>
      <c r="F1321" s="3" t="s">
        <v>25</v>
      </c>
      <c r="G1321" s="3" t="str">
        <f>"2026-01-03 12:15:57.514"</f>
        <v>2026-01-03 12:15:57.514</v>
      </c>
      <c r="H1321" s="3" t="s">
        <v>21</v>
      </c>
    </row>
    <row r="1322" spans="1:10" s="3" customFormat="1" x14ac:dyDescent="0.25">
      <c r="A1322" s="2">
        <v>340</v>
      </c>
      <c r="B1322" s="3" t="s">
        <v>26</v>
      </c>
      <c r="C1322" s="3">
        <v>647</v>
      </c>
      <c r="D1322" s="3">
        <v>1</v>
      </c>
      <c r="E1322" s="3" t="s">
        <v>24</v>
      </c>
      <c r="F1322" s="3" t="s">
        <v>25</v>
      </c>
      <c r="G1322" s="3" t="str">
        <f>"2026-01-03 12:15:47.914"</f>
        <v>2026-01-03 12:15:47.914</v>
      </c>
      <c r="H1322" s="3" t="s">
        <v>21</v>
      </c>
      <c r="I1322" s="3">
        <v>9.6300000000000008</v>
      </c>
      <c r="J1322" s="3" t="s">
        <v>34</v>
      </c>
    </row>
    <row r="1323" spans="1:10" x14ac:dyDescent="0.25">
      <c r="A1323" s="1">
        <v>341</v>
      </c>
      <c r="B1323" t="s">
        <v>19</v>
      </c>
      <c r="C1323">
        <v>706</v>
      </c>
      <c r="D1323">
        <v>2</v>
      </c>
      <c r="E1323" t="s">
        <v>28</v>
      </c>
      <c r="F1323" t="s">
        <v>39</v>
      </c>
      <c r="G1323" t="str">
        <f>"2026-01-03 12:10:14.514"</f>
        <v>2026-01-03 12:10:14.514</v>
      </c>
      <c r="H1323" t="s">
        <v>21</v>
      </c>
      <c r="I1323">
        <v>0</v>
      </c>
      <c r="J1323" t="s">
        <v>30</v>
      </c>
    </row>
    <row r="1324" spans="1:10" x14ac:dyDescent="0.25">
      <c r="A1324" s="1">
        <v>342</v>
      </c>
      <c r="B1324" t="s">
        <v>26</v>
      </c>
      <c r="C1324">
        <v>631</v>
      </c>
      <c r="D1324">
        <v>2</v>
      </c>
      <c r="E1324" t="s">
        <v>51</v>
      </c>
      <c r="F1324" t="s">
        <v>52</v>
      </c>
      <c r="G1324" t="str">
        <f>"2026-01-03 12:08:37.515"</f>
        <v>2026-01-03 12:08:37.515</v>
      </c>
      <c r="H1324" t="s">
        <v>21</v>
      </c>
      <c r="I1324">
        <v>0</v>
      </c>
      <c r="J1324" t="s">
        <v>30</v>
      </c>
    </row>
    <row r="1325" spans="1:10" x14ac:dyDescent="0.25">
      <c r="A1325" s="1">
        <v>343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"2026-01-03 12:08:24.114"</f>
        <v>2026-01-03 12:08:24.114</v>
      </c>
      <c r="H1325" t="s">
        <v>21</v>
      </c>
    </row>
    <row r="1326" spans="1:10" x14ac:dyDescent="0.25">
      <c r="A1326" s="1">
        <v>344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"2026-01-03 11:08:01.031"</f>
        <v>2026-01-03 11:08:01.031</v>
      </c>
      <c r="H1326" t="s">
        <v>21</v>
      </c>
    </row>
    <row r="1327" spans="1:10" s="3" customFormat="1" x14ac:dyDescent="0.25">
      <c r="A1327" s="2">
        <v>345</v>
      </c>
      <c r="B1327" s="3" t="s">
        <v>23</v>
      </c>
      <c r="C1327" s="3">
        <v>647</v>
      </c>
      <c r="D1327" s="3">
        <v>1</v>
      </c>
      <c r="E1327" s="3" t="s">
        <v>24</v>
      </c>
      <c r="F1327" s="3" t="s">
        <v>25</v>
      </c>
      <c r="G1327" s="3" t="str">
        <f>"2026-01-03 08:36:49.545"</f>
        <v>2026-01-03 08:36:49.545</v>
      </c>
      <c r="H1327" s="3" t="s">
        <v>21</v>
      </c>
    </row>
    <row r="1328" spans="1:10" s="3" customFormat="1" x14ac:dyDescent="0.25">
      <c r="A1328" s="2">
        <v>346</v>
      </c>
      <c r="B1328" s="3" t="s">
        <v>26</v>
      </c>
      <c r="C1328" s="3">
        <v>647</v>
      </c>
      <c r="D1328" s="3">
        <v>1</v>
      </c>
      <c r="E1328" s="3" t="s">
        <v>24</v>
      </c>
      <c r="F1328" s="3" t="s">
        <v>25</v>
      </c>
      <c r="G1328" s="3" t="str">
        <f>"2026-01-03 08:36:43.146"</f>
        <v>2026-01-03 08:36:43.146</v>
      </c>
      <c r="H1328" s="3" t="s">
        <v>21</v>
      </c>
      <c r="I1328" s="3">
        <v>9.01</v>
      </c>
      <c r="J1328" s="3" t="s">
        <v>27</v>
      </c>
    </row>
    <row r="1329" spans="1:10" x14ac:dyDescent="0.25">
      <c r="A1329" s="1">
        <v>347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"2026-01-03 08:23:03.216"</f>
        <v>2026-01-03 08:23:03.216</v>
      </c>
      <c r="H1329" t="s">
        <v>21</v>
      </c>
      <c r="I1329">
        <v>0</v>
      </c>
      <c r="J1329" t="s">
        <v>22</v>
      </c>
    </row>
    <row r="1330" spans="1:10" s="3" customFormat="1" x14ac:dyDescent="0.25">
      <c r="A1330" s="2">
        <v>348</v>
      </c>
      <c r="B1330" s="3" t="s">
        <v>23</v>
      </c>
      <c r="C1330" s="3">
        <v>647</v>
      </c>
      <c r="D1330" s="3">
        <v>1</v>
      </c>
      <c r="E1330" s="3" t="s">
        <v>24</v>
      </c>
      <c r="F1330" s="3" t="s">
        <v>25</v>
      </c>
      <c r="G1330" s="3" t="str">
        <f>"2026-01-03 07:05:17.841"</f>
        <v>2026-01-03 07:05:17.841</v>
      </c>
      <c r="H1330" s="3" t="s">
        <v>21</v>
      </c>
    </row>
    <row r="1331" spans="1:10" s="3" customFormat="1" x14ac:dyDescent="0.25">
      <c r="A1331" s="2">
        <v>349</v>
      </c>
      <c r="B1331" s="3" t="s">
        <v>26</v>
      </c>
      <c r="C1331" s="3">
        <v>647</v>
      </c>
      <c r="D1331" s="3">
        <v>1</v>
      </c>
      <c r="E1331" s="3" t="s">
        <v>24</v>
      </c>
      <c r="F1331" s="3" t="s">
        <v>25</v>
      </c>
      <c r="G1331" s="3" t="str">
        <f>"2026-01-03 07:05:14.740"</f>
        <v>2026-01-03 07:05:14.740</v>
      </c>
      <c r="H1331" s="3" t="s">
        <v>21</v>
      </c>
      <c r="I1331" s="3">
        <v>8.6300000000000008</v>
      </c>
      <c r="J1331" s="3" t="s">
        <v>34</v>
      </c>
    </row>
    <row r="1332" spans="1:10" x14ac:dyDescent="0.25">
      <c r="A1332" s="1">
        <v>350</v>
      </c>
      <c r="B1332" t="s">
        <v>19</v>
      </c>
      <c r="C1332">
        <v>706</v>
      </c>
      <c r="D1332">
        <v>4</v>
      </c>
      <c r="E1332" t="s">
        <v>28</v>
      </c>
      <c r="F1332" t="s">
        <v>29</v>
      </c>
      <c r="G1332" t="str">
        <f>"2026-01-03 03:46:03.261"</f>
        <v>2026-01-03 03:46:03.261</v>
      </c>
      <c r="H1332" t="s">
        <v>21</v>
      </c>
      <c r="I1332">
        <v>0</v>
      </c>
      <c r="J1332" t="s">
        <v>30</v>
      </c>
    </row>
    <row r="1333" spans="1:10" s="3" customFormat="1" x14ac:dyDescent="0.25">
      <c r="A1333" s="2">
        <v>351</v>
      </c>
      <c r="B1333" s="3" t="s">
        <v>23</v>
      </c>
      <c r="C1333" s="3">
        <v>647</v>
      </c>
      <c r="D1333" s="3">
        <v>1</v>
      </c>
      <c r="E1333" s="3" t="s">
        <v>24</v>
      </c>
      <c r="F1333" s="3" t="s">
        <v>25</v>
      </c>
      <c r="G1333" s="3" t="str">
        <f>"2026-01-03 00:47:52.741"</f>
        <v>2026-01-03 00:47:52.741</v>
      </c>
      <c r="H1333" s="3" t="s">
        <v>21</v>
      </c>
    </row>
    <row r="1334" spans="1:10" s="3" customFormat="1" x14ac:dyDescent="0.25">
      <c r="A1334" s="2">
        <v>352</v>
      </c>
      <c r="B1334" s="3" t="s">
        <v>26</v>
      </c>
      <c r="C1334" s="3">
        <v>647</v>
      </c>
      <c r="D1334" s="3">
        <v>1</v>
      </c>
      <c r="E1334" s="3" t="s">
        <v>24</v>
      </c>
      <c r="F1334" s="3" t="s">
        <v>25</v>
      </c>
      <c r="G1334" s="3" t="str">
        <f>"2026-01-03 00:47:51.041"</f>
        <v>2026-01-03 00:47:51.041</v>
      </c>
      <c r="H1334" s="3" t="s">
        <v>21</v>
      </c>
      <c r="I1334" s="3">
        <v>10.220000000000001</v>
      </c>
      <c r="J1334" s="3" t="s">
        <v>27</v>
      </c>
    </row>
    <row r="1335" spans="1:10" x14ac:dyDescent="0.25">
      <c r="A1335" s="1">
        <v>353</v>
      </c>
      <c r="B1335" t="s">
        <v>19</v>
      </c>
      <c r="C1335">
        <v>706</v>
      </c>
      <c r="D1335">
        <v>4</v>
      </c>
      <c r="E1335" t="s">
        <v>28</v>
      </c>
      <c r="F1335" t="s">
        <v>29</v>
      </c>
      <c r="G1335" t="str">
        <f>"2026-01-03 00:21:38.120"</f>
        <v>2026-01-03 00:21:38.120</v>
      </c>
      <c r="H1335" t="s">
        <v>21</v>
      </c>
      <c r="I1335">
        <v>0</v>
      </c>
      <c r="J1335" t="s">
        <v>30</v>
      </c>
    </row>
    <row r="1336" spans="1:10" s="3" customFormat="1" x14ac:dyDescent="0.25">
      <c r="A1336" s="2">
        <v>354</v>
      </c>
      <c r="B1336" s="3" t="s">
        <v>23</v>
      </c>
      <c r="C1336" s="3">
        <v>647</v>
      </c>
      <c r="D1336" s="3">
        <v>1</v>
      </c>
      <c r="E1336" s="3" t="s">
        <v>24</v>
      </c>
      <c r="F1336" s="3" t="s">
        <v>25</v>
      </c>
      <c r="G1336" s="3" t="str">
        <f>"2026-01-03 00:01:09.040"</f>
        <v>2026-01-03 00:01:09.040</v>
      </c>
      <c r="H1336" s="3" t="s">
        <v>21</v>
      </c>
    </row>
    <row r="1337" spans="1:10" s="3" customFormat="1" x14ac:dyDescent="0.25">
      <c r="A1337" s="2">
        <v>355</v>
      </c>
      <c r="B1337" s="3" t="s">
        <v>26</v>
      </c>
      <c r="C1337" s="3">
        <v>647</v>
      </c>
      <c r="D1337" s="3">
        <v>1</v>
      </c>
      <c r="E1337" s="3" t="s">
        <v>24</v>
      </c>
      <c r="F1337" s="3" t="s">
        <v>25</v>
      </c>
      <c r="G1337" s="3" t="str">
        <f>"2026-01-03 00:01:06.741"</f>
        <v>2026-01-03 00:01:06.741</v>
      </c>
      <c r="H1337" s="3" t="s">
        <v>21</v>
      </c>
      <c r="I1337" s="3">
        <v>9.2899999999999991</v>
      </c>
      <c r="J1337" s="3" t="s">
        <v>34</v>
      </c>
    </row>
    <row r="1338" spans="1:10" s="3" customFormat="1" x14ac:dyDescent="0.25">
      <c r="A1338" s="2">
        <v>356</v>
      </c>
      <c r="B1338" s="3" t="s">
        <v>23</v>
      </c>
      <c r="C1338" s="3">
        <v>647</v>
      </c>
      <c r="D1338" s="3">
        <v>1</v>
      </c>
      <c r="E1338" s="3" t="s">
        <v>24</v>
      </c>
      <c r="F1338" s="3" t="s">
        <v>25</v>
      </c>
      <c r="G1338" s="3" t="str">
        <f>"2026-01-02 19:22:29.441"</f>
        <v>2026-01-02 19:22:29.441</v>
      </c>
      <c r="H1338" s="3" t="s">
        <v>21</v>
      </c>
    </row>
    <row r="1339" spans="1:10" s="3" customFormat="1" x14ac:dyDescent="0.25">
      <c r="A1339" s="2">
        <v>357</v>
      </c>
      <c r="B1339" s="3" t="s">
        <v>26</v>
      </c>
      <c r="C1339" s="3">
        <v>647</v>
      </c>
      <c r="D1339" s="3">
        <v>1</v>
      </c>
      <c r="E1339" s="3" t="s">
        <v>24</v>
      </c>
      <c r="F1339" s="3" t="s">
        <v>25</v>
      </c>
      <c r="G1339" s="3" t="str">
        <f>"2026-01-02 19:22:14.941"</f>
        <v>2026-01-02 19:22:14.941</v>
      </c>
      <c r="H1339" s="3" t="s">
        <v>21</v>
      </c>
      <c r="I1339" s="3">
        <v>9.76</v>
      </c>
      <c r="J1339" s="3" t="s">
        <v>27</v>
      </c>
    </row>
    <row r="1340" spans="1:10" s="3" customFormat="1" x14ac:dyDescent="0.25">
      <c r="A1340" s="2">
        <v>358</v>
      </c>
      <c r="B1340" s="3" t="s">
        <v>23</v>
      </c>
      <c r="C1340" s="3">
        <v>647</v>
      </c>
      <c r="D1340" s="3">
        <v>1</v>
      </c>
      <c r="E1340" s="3" t="s">
        <v>24</v>
      </c>
      <c r="F1340" s="3" t="s">
        <v>25</v>
      </c>
      <c r="G1340" s="3" t="str">
        <f>"2026-01-02 17:23:53.841"</f>
        <v>2026-01-02 17:23:53.841</v>
      </c>
      <c r="H1340" s="3" t="s">
        <v>21</v>
      </c>
    </row>
    <row r="1341" spans="1:10" s="3" customFormat="1" x14ac:dyDescent="0.25">
      <c r="A1341" s="2">
        <v>359</v>
      </c>
      <c r="B1341" s="3" t="s">
        <v>26</v>
      </c>
      <c r="C1341" s="3">
        <v>647</v>
      </c>
      <c r="D1341" s="3">
        <v>1</v>
      </c>
      <c r="E1341" s="3" t="s">
        <v>24</v>
      </c>
      <c r="F1341" s="3" t="s">
        <v>25</v>
      </c>
      <c r="G1341" s="3" t="str">
        <f>"2026-01-02 17:23:44.741"</f>
        <v>2026-01-02 17:23:44.741</v>
      </c>
      <c r="H1341" s="3" t="s">
        <v>21</v>
      </c>
      <c r="I1341" s="3">
        <v>15.09</v>
      </c>
      <c r="J1341" s="3" t="s">
        <v>27</v>
      </c>
    </row>
    <row r="1342" spans="1:10" x14ac:dyDescent="0.25">
      <c r="A1342" s="1">
        <v>360</v>
      </c>
      <c r="B1342" t="s">
        <v>19</v>
      </c>
      <c r="C1342">
        <v>706</v>
      </c>
      <c r="D1342">
        <v>2</v>
      </c>
      <c r="E1342" t="s">
        <v>28</v>
      </c>
      <c r="F1342" t="s">
        <v>39</v>
      </c>
      <c r="G1342" t="str">
        <f>"2026-01-02 14:39:00.081"</f>
        <v>2026-01-02 14:39:00.081</v>
      </c>
      <c r="H1342" t="s">
        <v>21</v>
      </c>
      <c r="I1342">
        <v>0</v>
      </c>
      <c r="J1342" t="s">
        <v>30</v>
      </c>
    </row>
    <row r="1343" spans="1:10" s="3" customFormat="1" x14ac:dyDescent="0.25">
      <c r="A1343" s="2">
        <v>361</v>
      </c>
      <c r="B1343" s="3" t="s">
        <v>23</v>
      </c>
      <c r="C1343" s="3">
        <v>647</v>
      </c>
      <c r="D1343" s="3">
        <v>1</v>
      </c>
      <c r="E1343" s="3" t="s">
        <v>24</v>
      </c>
      <c r="F1343" s="3" t="s">
        <v>25</v>
      </c>
      <c r="G1343" s="3" t="str">
        <f>"2026-01-02 07:58:46.541"</f>
        <v>2026-01-02 07:58:46.541</v>
      </c>
      <c r="H1343" s="3" t="s">
        <v>21</v>
      </c>
    </row>
    <row r="1344" spans="1:10" s="3" customFormat="1" x14ac:dyDescent="0.25">
      <c r="A1344" s="2">
        <v>362</v>
      </c>
      <c r="B1344" s="3" t="s">
        <v>26</v>
      </c>
      <c r="C1344" s="3">
        <v>647</v>
      </c>
      <c r="D1344" s="3">
        <v>1</v>
      </c>
      <c r="E1344" s="3" t="s">
        <v>24</v>
      </c>
      <c r="F1344" s="3" t="s">
        <v>25</v>
      </c>
      <c r="G1344" s="3" t="str">
        <f>"2026-01-02 07:58:45.041"</f>
        <v>2026-01-02 07:58:45.041</v>
      </c>
      <c r="H1344" s="3" t="s">
        <v>21</v>
      </c>
      <c r="I1344" s="3">
        <v>14.07</v>
      </c>
      <c r="J1344" s="3" t="s">
        <v>27</v>
      </c>
    </row>
    <row r="1345" spans="1:10" x14ac:dyDescent="0.25">
      <c r="A1345" s="1">
        <v>363</v>
      </c>
      <c r="B1345" t="s">
        <v>19</v>
      </c>
      <c r="C1345">
        <v>706</v>
      </c>
      <c r="D1345">
        <v>2</v>
      </c>
      <c r="E1345" t="s">
        <v>28</v>
      </c>
      <c r="F1345" t="s">
        <v>39</v>
      </c>
      <c r="G1345" t="str">
        <f>"2026-01-02 06:11:10.581"</f>
        <v>2026-01-02 06:11:10.581</v>
      </c>
      <c r="H1345" t="s">
        <v>21</v>
      </c>
      <c r="I1345">
        <v>0</v>
      </c>
      <c r="J1345" t="s">
        <v>30</v>
      </c>
    </row>
    <row r="1346" spans="1:10" s="3" customFormat="1" x14ac:dyDescent="0.25">
      <c r="A1346" s="2">
        <v>364</v>
      </c>
      <c r="B1346" s="3" t="s">
        <v>23</v>
      </c>
      <c r="C1346" s="3">
        <v>647</v>
      </c>
      <c r="D1346" s="3">
        <v>1</v>
      </c>
      <c r="E1346" s="3" t="s">
        <v>24</v>
      </c>
      <c r="F1346" s="3" t="s">
        <v>25</v>
      </c>
      <c r="G1346" s="3" t="str">
        <f>"2026-01-02 05:43:24.241"</f>
        <v>2026-01-02 05:43:24.241</v>
      </c>
      <c r="H1346" s="3" t="s">
        <v>21</v>
      </c>
    </row>
    <row r="1347" spans="1:10" s="3" customFormat="1" x14ac:dyDescent="0.25">
      <c r="A1347" s="2">
        <v>365</v>
      </c>
      <c r="B1347" s="3" t="s">
        <v>26</v>
      </c>
      <c r="C1347" s="3">
        <v>647</v>
      </c>
      <c r="D1347" s="3">
        <v>1</v>
      </c>
      <c r="E1347" s="3" t="s">
        <v>24</v>
      </c>
      <c r="F1347" s="3" t="s">
        <v>25</v>
      </c>
      <c r="G1347" s="3" t="str">
        <f>"2026-01-02 05:43:21.141"</f>
        <v>2026-01-02 05:43:21.141</v>
      </c>
      <c r="H1347" s="3" t="s">
        <v>21</v>
      </c>
      <c r="I1347" s="3">
        <v>9.9600000000000009</v>
      </c>
      <c r="J1347" s="3" t="s">
        <v>27</v>
      </c>
    </row>
    <row r="1348" spans="1:10" x14ac:dyDescent="0.25">
      <c r="A1348" s="1">
        <v>366</v>
      </c>
      <c r="B1348" t="s">
        <v>23</v>
      </c>
      <c r="C1348">
        <v>635</v>
      </c>
      <c r="D1348">
        <v>1</v>
      </c>
      <c r="E1348" t="s">
        <v>31</v>
      </c>
      <c r="F1348" t="s">
        <v>32</v>
      </c>
      <c r="G1348" t="str">
        <f>"2026-01-01 23:31:41.287"</f>
        <v>2026-01-01 23:31:41.287</v>
      </c>
      <c r="H1348" t="s">
        <v>21</v>
      </c>
    </row>
    <row r="1349" spans="1:10" x14ac:dyDescent="0.25">
      <c r="A1349" s="1">
        <v>367</v>
      </c>
      <c r="B1349" t="s">
        <v>26</v>
      </c>
      <c r="C1349">
        <v>635</v>
      </c>
      <c r="D1349">
        <v>1</v>
      </c>
      <c r="E1349" t="s">
        <v>31</v>
      </c>
      <c r="F1349" t="s">
        <v>32</v>
      </c>
      <c r="G1349" t="str">
        <f>"2026-01-01 23:27:28.287"</f>
        <v>2026-01-01 23:27:28.287</v>
      </c>
      <c r="H1349" t="s">
        <v>21</v>
      </c>
      <c r="I1349">
        <v>0</v>
      </c>
      <c r="J1349" t="s">
        <v>34</v>
      </c>
    </row>
    <row r="1350" spans="1:10" s="3" customFormat="1" x14ac:dyDescent="0.25">
      <c r="A1350" s="2">
        <v>368</v>
      </c>
      <c r="B1350" s="3" t="s">
        <v>23</v>
      </c>
      <c r="C1350" s="3">
        <v>647</v>
      </c>
      <c r="D1350" s="3">
        <v>1</v>
      </c>
      <c r="E1350" s="3" t="s">
        <v>24</v>
      </c>
      <c r="F1350" s="3" t="s">
        <v>25</v>
      </c>
      <c r="G1350" s="3" t="str">
        <f>"2026-01-01 19:31:46.040"</f>
        <v>2026-01-01 19:31:46.040</v>
      </c>
      <c r="H1350" s="3" t="s">
        <v>21</v>
      </c>
    </row>
    <row r="1351" spans="1:10" s="3" customFormat="1" x14ac:dyDescent="0.25">
      <c r="A1351" s="2">
        <v>369</v>
      </c>
      <c r="B1351" s="3" t="s">
        <v>26</v>
      </c>
      <c r="C1351" s="3">
        <v>647</v>
      </c>
      <c r="D1351" s="3">
        <v>1</v>
      </c>
      <c r="E1351" s="3" t="s">
        <v>24</v>
      </c>
      <c r="F1351" s="3" t="s">
        <v>25</v>
      </c>
      <c r="G1351" s="3" t="str">
        <f>"2026-01-01 19:31:40.341"</f>
        <v>2026-01-01 19:31:40.341</v>
      </c>
      <c r="H1351" s="3" t="s">
        <v>21</v>
      </c>
      <c r="I1351" s="3">
        <v>23.32</v>
      </c>
      <c r="J1351" s="3" t="s">
        <v>27</v>
      </c>
    </row>
    <row r="1352" spans="1:10" x14ac:dyDescent="0.25">
      <c r="A1352" s="1">
        <v>370</v>
      </c>
      <c r="B1352" t="s">
        <v>23</v>
      </c>
      <c r="C1352">
        <v>630</v>
      </c>
      <c r="D1352">
        <v>5</v>
      </c>
      <c r="E1352" t="s">
        <v>35</v>
      </c>
      <c r="F1352" t="s">
        <v>36</v>
      </c>
      <c r="G1352" t="str">
        <f>"2026-01-01 19:26:19.141"</f>
        <v>2026-01-01 19:26:19.141</v>
      </c>
      <c r="H1352" t="s">
        <v>37</v>
      </c>
    </row>
    <row r="1353" spans="1:10" x14ac:dyDescent="0.25">
      <c r="A1353" s="1">
        <v>371</v>
      </c>
      <c r="B1353" t="s">
        <v>19</v>
      </c>
      <c r="C1353">
        <v>706</v>
      </c>
      <c r="D1353">
        <v>4</v>
      </c>
      <c r="E1353" t="s">
        <v>28</v>
      </c>
      <c r="F1353" t="s">
        <v>29</v>
      </c>
      <c r="G1353" t="str">
        <f>"2026-01-01 19:25:48.991"</f>
        <v>2026-01-01 19:25:48.991</v>
      </c>
      <c r="H1353" t="s">
        <v>21</v>
      </c>
      <c r="I1353">
        <v>0</v>
      </c>
      <c r="J1353" t="s">
        <v>30</v>
      </c>
    </row>
    <row r="1354" spans="1:10" x14ac:dyDescent="0.25">
      <c r="A1354" s="1">
        <v>372</v>
      </c>
      <c r="B1354" t="s">
        <v>38</v>
      </c>
      <c r="C1354">
        <v>630</v>
      </c>
      <c r="D1354">
        <v>5</v>
      </c>
      <c r="E1354" t="s">
        <v>35</v>
      </c>
      <c r="F1354" t="s">
        <v>36</v>
      </c>
      <c r="G1354" t="str">
        <f>"2026-01-01 19:22:20.341"</f>
        <v>2026-01-01 19:22:20.341</v>
      </c>
      <c r="H1354" t="s">
        <v>37</v>
      </c>
      <c r="I1354">
        <v>0</v>
      </c>
      <c r="J1354" t="s">
        <v>30</v>
      </c>
    </row>
    <row r="1355" spans="1:10" s="3" customFormat="1" x14ac:dyDescent="0.25">
      <c r="A1355" s="2">
        <v>373</v>
      </c>
      <c r="B1355" s="3" t="s">
        <v>23</v>
      </c>
      <c r="C1355" s="3">
        <v>647</v>
      </c>
      <c r="D1355" s="3">
        <v>1</v>
      </c>
      <c r="E1355" s="3" t="s">
        <v>24</v>
      </c>
      <c r="F1355" s="3" t="s">
        <v>25</v>
      </c>
      <c r="G1355" s="3" t="str">
        <f>"2026-01-01 16:34:10.041"</f>
        <v>2026-01-01 16:34:10.041</v>
      </c>
      <c r="H1355" s="3" t="s">
        <v>21</v>
      </c>
    </row>
    <row r="1356" spans="1:10" s="3" customFormat="1" x14ac:dyDescent="0.25">
      <c r="A1356" s="2">
        <v>374</v>
      </c>
      <c r="B1356" s="3" t="s">
        <v>26</v>
      </c>
      <c r="C1356" s="3">
        <v>647</v>
      </c>
      <c r="D1356" s="3">
        <v>1</v>
      </c>
      <c r="E1356" s="3" t="s">
        <v>24</v>
      </c>
      <c r="F1356" s="3" t="s">
        <v>25</v>
      </c>
      <c r="G1356" s="3" t="str">
        <f>"2026-01-01 16:33:52.341"</f>
        <v>2026-01-01 16:33:52.341</v>
      </c>
      <c r="H1356" s="3" t="s">
        <v>21</v>
      </c>
      <c r="I1356" s="3">
        <v>14.49</v>
      </c>
      <c r="J1356" s="3" t="s">
        <v>27</v>
      </c>
    </row>
    <row r="1357" spans="1:10" x14ac:dyDescent="0.25">
      <c r="A1357" s="1">
        <v>375</v>
      </c>
      <c r="B1357" t="s">
        <v>19</v>
      </c>
      <c r="C1357">
        <v>706</v>
      </c>
      <c r="D1357">
        <v>4</v>
      </c>
      <c r="E1357" t="s">
        <v>28</v>
      </c>
      <c r="F1357" t="s">
        <v>29</v>
      </c>
      <c r="G1357" t="str">
        <f>"2026-01-01 16:15:25.411"</f>
        <v>2026-01-01 16:15:25.411</v>
      </c>
      <c r="H1357" t="s">
        <v>21</v>
      </c>
      <c r="I1357">
        <v>0</v>
      </c>
      <c r="J1357" t="s">
        <v>30</v>
      </c>
    </row>
    <row r="1358" spans="1:10" x14ac:dyDescent="0.25">
      <c r="A1358" s="1">
        <v>376</v>
      </c>
      <c r="B1358" t="s">
        <v>23</v>
      </c>
      <c r="C1358">
        <v>98</v>
      </c>
      <c r="D1358">
        <v>1</v>
      </c>
      <c r="E1358" t="s">
        <v>65</v>
      </c>
      <c r="F1358" t="s">
        <v>66</v>
      </c>
      <c r="G1358" t="str">
        <f>"2026-01-01 10:00:23.940"</f>
        <v>2026-01-01 10:00:23.940</v>
      </c>
      <c r="H1358" t="s">
        <v>21</v>
      </c>
    </row>
    <row r="1359" spans="1:10" x14ac:dyDescent="0.25">
      <c r="A1359" s="1">
        <v>377</v>
      </c>
      <c r="B1359" t="s">
        <v>26</v>
      </c>
      <c r="C1359">
        <v>98</v>
      </c>
      <c r="D1359">
        <v>1</v>
      </c>
      <c r="E1359" t="s">
        <v>65</v>
      </c>
      <c r="F1359" t="s">
        <v>66</v>
      </c>
      <c r="G1359" t="str">
        <f>"2026-01-01 10:00:22.941"</f>
        <v>2026-01-01 10:00:22.941</v>
      </c>
      <c r="H1359" t="s">
        <v>21</v>
      </c>
      <c r="I1359">
        <v>5.93</v>
      </c>
      <c r="J1359" t="s">
        <v>33</v>
      </c>
    </row>
    <row r="1360" spans="1:10" x14ac:dyDescent="0.25">
      <c r="A1360" s="1">
        <v>378</v>
      </c>
      <c r="B1360" t="s">
        <v>19</v>
      </c>
      <c r="C1360">
        <v>706</v>
      </c>
      <c r="D1360">
        <v>4</v>
      </c>
      <c r="E1360" t="s">
        <v>28</v>
      </c>
      <c r="F1360" t="s">
        <v>29</v>
      </c>
      <c r="G1360" t="str">
        <f>"2026-01-01 06:27:40.341"</f>
        <v>2026-01-01 06:27:40.341</v>
      </c>
      <c r="H1360" t="s">
        <v>21</v>
      </c>
      <c r="I1360">
        <v>0</v>
      </c>
      <c r="J1360" t="s">
        <v>30</v>
      </c>
    </row>
    <row r="1361" spans="1:10" s="3" customFormat="1" x14ac:dyDescent="0.25">
      <c r="A1361" s="2">
        <v>379</v>
      </c>
      <c r="B1361" s="3" t="s">
        <v>23</v>
      </c>
      <c r="C1361" s="3">
        <v>647</v>
      </c>
      <c r="D1361" s="3">
        <v>1</v>
      </c>
      <c r="E1361" s="3" t="s">
        <v>24</v>
      </c>
      <c r="F1361" s="3" t="s">
        <v>25</v>
      </c>
      <c r="G1361" s="3" t="str">
        <f>"2026-01-01 04:36:41.441"</f>
        <v>2026-01-01 04:36:41.441</v>
      </c>
      <c r="H1361" s="3" t="s">
        <v>21</v>
      </c>
    </row>
    <row r="1362" spans="1:10" s="3" customFormat="1" x14ac:dyDescent="0.25">
      <c r="A1362" s="2">
        <v>380</v>
      </c>
      <c r="B1362" s="3" t="s">
        <v>26</v>
      </c>
      <c r="C1362" s="3">
        <v>647</v>
      </c>
      <c r="D1362" s="3">
        <v>1</v>
      </c>
      <c r="E1362" s="3" t="s">
        <v>24</v>
      </c>
      <c r="F1362" s="3" t="s">
        <v>25</v>
      </c>
      <c r="G1362" s="3" t="str">
        <f>"2026-01-01 04:36:33.341"</f>
        <v>2026-01-01 04:36:33.341</v>
      </c>
      <c r="H1362" s="3" t="s">
        <v>21</v>
      </c>
      <c r="I1362" s="3">
        <v>16.760000000000002</v>
      </c>
      <c r="J1362" s="3" t="s">
        <v>27</v>
      </c>
    </row>
    <row r="1363" spans="1:10" s="3" customFormat="1" x14ac:dyDescent="0.25">
      <c r="A1363" s="2">
        <v>381</v>
      </c>
      <c r="B1363" s="3" t="s">
        <v>23</v>
      </c>
      <c r="C1363" s="3">
        <v>647</v>
      </c>
      <c r="D1363" s="3">
        <v>1</v>
      </c>
      <c r="E1363" s="3" t="s">
        <v>24</v>
      </c>
      <c r="F1363" s="3" t="s">
        <v>25</v>
      </c>
      <c r="G1363" s="3" t="str">
        <f>"2026-01-01 03:01:06.240"</f>
        <v>2026-01-01 03:01:06.240</v>
      </c>
      <c r="H1363" s="3" t="s">
        <v>21</v>
      </c>
    </row>
    <row r="1364" spans="1:10" s="3" customFormat="1" x14ac:dyDescent="0.25">
      <c r="A1364" s="2">
        <v>382</v>
      </c>
      <c r="B1364" s="3" t="s">
        <v>26</v>
      </c>
      <c r="C1364" s="3">
        <v>647</v>
      </c>
      <c r="D1364" s="3">
        <v>1</v>
      </c>
      <c r="E1364" s="3" t="s">
        <v>24</v>
      </c>
      <c r="F1364" s="3" t="s">
        <v>25</v>
      </c>
      <c r="G1364" s="3" t="str">
        <f>"2026-01-01 03:00:58.341"</f>
        <v>2026-01-01 03:00:58.341</v>
      </c>
      <c r="H1364" s="3" t="s">
        <v>21</v>
      </c>
      <c r="I1364" s="3">
        <v>8.07</v>
      </c>
      <c r="J1364" s="3" t="s">
        <v>27</v>
      </c>
    </row>
    <row r="1365" spans="1:10" x14ac:dyDescent="0.25">
      <c r="A1365" s="1">
        <v>383</v>
      </c>
      <c r="B1365" t="s">
        <v>19</v>
      </c>
      <c r="C1365">
        <v>706</v>
      </c>
      <c r="D1365">
        <v>2</v>
      </c>
      <c r="E1365" t="s">
        <v>28</v>
      </c>
      <c r="F1365" t="s">
        <v>39</v>
      </c>
      <c r="G1365" t="str">
        <f>"2025-12-31 21:06:30.881"</f>
        <v>2025-12-31 21:06:30.881</v>
      </c>
      <c r="H1365" t="s">
        <v>21</v>
      </c>
      <c r="I1365">
        <v>0</v>
      </c>
      <c r="J1365" t="s">
        <v>30</v>
      </c>
    </row>
    <row r="1366" spans="1:10" x14ac:dyDescent="0.25">
      <c r="A1366" s="1">
        <v>384</v>
      </c>
      <c r="B1366" t="s">
        <v>19</v>
      </c>
      <c r="C1366">
        <v>706</v>
      </c>
      <c r="D1366">
        <v>4</v>
      </c>
      <c r="E1366" t="s">
        <v>28</v>
      </c>
      <c r="F1366" t="s">
        <v>29</v>
      </c>
      <c r="G1366" t="str">
        <f>"2025-12-31 21:05:09.401"</f>
        <v>2025-12-31 21:05:09.401</v>
      </c>
      <c r="H1366" t="s">
        <v>21</v>
      </c>
      <c r="I1366">
        <v>0</v>
      </c>
      <c r="J1366" t="s">
        <v>30</v>
      </c>
    </row>
    <row r="1367" spans="1:10" x14ac:dyDescent="0.25">
      <c r="A1367" s="1">
        <v>385</v>
      </c>
      <c r="B1367" t="s">
        <v>19</v>
      </c>
      <c r="C1367">
        <v>706</v>
      </c>
      <c r="D1367">
        <v>4</v>
      </c>
      <c r="E1367" t="s">
        <v>28</v>
      </c>
      <c r="F1367" t="s">
        <v>29</v>
      </c>
      <c r="G1367" t="str">
        <f>"2025-12-31 20:05:48.551"</f>
        <v>2025-12-31 20:05:48.551</v>
      </c>
      <c r="H1367" t="s">
        <v>21</v>
      </c>
      <c r="I1367">
        <v>0</v>
      </c>
      <c r="J1367" t="s">
        <v>30</v>
      </c>
    </row>
    <row r="1368" spans="1:10" x14ac:dyDescent="0.25">
      <c r="A1368" s="1">
        <v>386</v>
      </c>
      <c r="B1368" t="s">
        <v>19</v>
      </c>
      <c r="C1368">
        <v>706</v>
      </c>
      <c r="D1368">
        <v>2</v>
      </c>
      <c r="E1368" t="s">
        <v>28</v>
      </c>
      <c r="F1368" t="s">
        <v>39</v>
      </c>
      <c r="G1368" t="str">
        <f>"2025-12-31 20:05:04.981"</f>
        <v>2025-12-31 20:05:04.981</v>
      </c>
      <c r="H1368" t="s">
        <v>21</v>
      </c>
      <c r="I1368">
        <v>0</v>
      </c>
      <c r="J1368" t="s">
        <v>30</v>
      </c>
    </row>
    <row r="1369" spans="1:10" x14ac:dyDescent="0.25">
      <c r="A1369" s="1">
        <v>387</v>
      </c>
      <c r="B1369" t="s">
        <v>19</v>
      </c>
      <c r="C1369">
        <v>706</v>
      </c>
      <c r="D1369">
        <v>2</v>
      </c>
      <c r="E1369" t="s">
        <v>28</v>
      </c>
      <c r="F1369" t="s">
        <v>39</v>
      </c>
      <c r="G1369" t="str">
        <f>"2025-12-31 11:20:30.181"</f>
        <v>2025-12-31 11:20:30.181</v>
      </c>
      <c r="H1369" t="s">
        <v>21</v>
      </c>
      <c r="I1369">
        <v>0</v>
      </c>
      <c r="J1369" t="s">
        <v>30</v>
      </c>
    </row>
    <row r="1370" spans="1:10" s="3" customFormat="1" x14ac:dyDescent="0.25">
      <c r="A1370" s="2">
        <v>388</v>
      </c>
      <c r="B1370" s="3" t="s">
        <v>23</v>
      </c>
      <c r="C1370" s="3">
        <v>647</v>
      </c>
      <c r="D1370" s="3">
        <v>1</v>
      </c>
      <c r="E1370" s="3" t="s">
        <v>24</v>
      </c>
      <c r="F1370" s="3" t="s">
        <v>25</v>
      </c>
      <c r="G1370" s="3" t="str">
        <f>"2025-12-31 09:44:52.741"</f>
        <v>2025-12-31 09:44:52.741</v>
      </c>
      <c r="H1370" s="3" t="s">
        <v>21</v>
      </c>
    </row>
    <row r="1371" spans="1:10" s="3" customFormat="1" x14ac:dyDescent="0.25">
      <c r="A1371" s="2">
        <v>389</v>
      </c>
      <c r="B1371" s="3" t="s">
        <v>26</v>
      </c>
      <c r="C1371" s="3">
        <v>647</v>
      </c>
      <c r="D1371" s="3">
        <v>1</v>
      </c>
      <c r="E1371" s="3" t="s">
        <v>24</v>
      </c>
      <c r="F1371" s="3" t="s">
        <v>25</v>
      </c>
      <c r="G1371" s="3" t="str">
        <f>"2025-12-31 09:44:40.441"</f>
        <v>2025-12-31 09:44:40.441</v>
      </c>
      <c r="H1371" s="3" t="s">
        <v>21</v>
      </c>
      <c r="I1371" s="3">
        <v>10.39</v>
      </c>
      <c r="J1371" s="3" t="s">
        <v>27</v>
      </c>
    </row>
    <row r="1372" spans="1:10" s="3" customFormat="1" x14ac:dyDescent="0.25">
      <c r="A1372" s="2">
        <v>390</v>
      </c>
      <c r="B1372" s="3" t="s">
        <v>23</v>
      </c>
      <c r="C1372" s="3">
        <v>647</v>
      </c>
      <c r="D1372" s="3">
        <v>1</v>
      </c>
      <c r="E1372" s="3" t="s">
        <v>24</v>
      </c>
      <c r="F1372" s="3" t="s">
        <v>25</v>
      </c>
      <c r="G1372" s="3" t="str">
        <f>"2025-12-31 08:39:19.141"</f>
        <v>2025-12-31 08:39:19.141</v>
      </c>
      <c r="H1372" s="3" t="s">
        <v>21</v>
      </c>
    </row>
    <row r="1373" spans="1:10" s="3" customFormat="1" x14ac:dyDescent="0.25">
      <c r="A1373" s="2">
        <v>391</v>
      </c>
      <c r="B1373" s="3" t="s">
        <v>26</v>
      </c>
      <c r="C1373" s="3">
        <v>647</v>
      </c>
      <c r="D1373" s="3">
        <v>1</v>
      </c>
      <c r="E1373" s="3" t="s">
        <v>24</v>
      </c>
      <c r="F1373" s="3" t="s">
        <v>25</v>
      </c>
      <c r="G1373" s="3" t="str">
        <f>"2025-12-31 08:39:14.241"</f>
        <v>2025-12-31 08:39:14.241</v>
      </c>
      <c r="H1373" s="3" t="s">
        <v>21</v>
      </c>
      <c r="I1373" s="3">
        <v>14.38</v>
      </c>
      <c r="J1373" s="3" t="s">
        <v>27</v>
      </c>
    </row>
    <row r="1374" spans="1:10" s="3" customFormat="1" x14ac:dyDescent="0.25">
      <c r="A1374" s="2">
        <v>392</v>
      </c>
      <c r="B1374" s="3" t="s">
        <v>23</v>
      </c>
      <c r="C1374" s="3">
        <v>647</v>
      </c>
      <c r="D1374" s="3">
        <v>1</v>
      </c>
      <c r="E1374" s="3" t="s">
        <v>24</v>
      </c>
      <c r="F1374" s="3" t="s">
        <v>25</v>
      </c>
      <c r="G1374" s="3" t="str">
        <f>"2025-12-31 03:38:48.841"</f>
        <v>2025-12-31 03:38:48.841</v>
      </c>
      <c r="H1374" s="3" t="s">
        <v>21</v>
      </c>
    </row>
    <row r="1375" spans="1:10" s="3" customFormat="1" x14ac:dyDescent="0.25">
      <c r="A1375" s="2">
        <v>393</v>
      </c>
      <c r="B1375" s="3" t="s">
        <v>26</v>
      </c>
      <c r="C1375" s="3">
        <v>647</v>
      </c>
      <c r="D1375" s="3">
        <v>1</v>
      </c>
      <c r="E1375" s="3" t="s">
        <v>24</v>
      </c>
      <c r="F1375" s="3" t="s">
        <v>25</v>
      </c>
      <c r="G1375" s="3" t="str">
        <f>"2025-12-31 03:38:43.341"</f>
        <v>2025-12-31 03:38:43.341</v>
      </c>
      <c r="H1375" s="3" t="s">
        <v>21</v>
      </c>
      <c r="I1375" s="3">
        <v>12.53</v>
      </c>
      <c r="J1375" s="3" t="s">
        <v>27</v>
      </c>
    </row>
    <row r="1376" spans="1:10" x14ac:dyDescent="0.25">
      <c r="A1376" s="1">
        <v>394</v>
      </c>
      <c r="B1376" t="s">
        <v>19</v>
      </c>
      <c r="C1376">
        <v>706</v>
      </c>
      <c r="D1376">
        <v>4</v>
      </c>
      <c r="E1376" t="s">
        <v>28</v>
      </c>
      <c r="F1376" t="s">
        <v>29</v>
      </c>
      <c r="G1376" t="str">
        <f>"2025-12-31 01:51:37.401"</f>
        <v>2025-12-31 01:51:37.401</v>
      </c>
      <c r="H1376" t="s">
        <v>21</v>
      </c>
      <c r="I1376">
        <v>0</v>
      </c>
      <c r="J1376" t="s">
        <v>30</v>
      </c>
    </row>
    <row r="1377" spans="1:10" x14ac:dyDescent="0.25">
      <c r="A1377" s="1">
        <v>395</v>
      </c>
      <c r="B1377" t="s">
        <v>19</v>
      </c>
      <c r="C1377">
        <v>706</v>
      </c>
      <c r="D1377">
        <v>4</v>
      </c>
      <c r="E1377" t="s">
        <v>28</v>
      </c>
      <c r="F1377" t="s">
        <v>29</v>
      </c>
      <c r="G1377" t="str">
        <f>"2025-12-30 21:26:38.991"</f>
        <v>2025-12-30 21:26:38.991</v>
      </c>
      <c r="H1377" t="s">
        <v>21</v>
      </c>
      <c r="I1377">
        <v>0</v>
      </c>
      <c r="J1377" t="s">
        <v>30</v>
      </c>
    </row>
    <row r="1378" spans="1:10" x14ac:dyDescent="0.25">
      <c r="A1378" s="1">
        <v>396</v>
      </c>
      <c r="B1378" t="s">
        <v>19</v>
      </c>
      <c r="C1378">
        <v>706</v>
      </c>
      <c r="D1378">
        <v>2</v>
      </c>
      <c r="E1378" t="s">
        <v>28</v>
      </c>
      <c r="F1378" t="s">
        <v>39</v>
      </c>
      <c r="G1378" t="str">
        <f>"2025-12-30 15:16:39.281"</f>
        <v>2025-12-30 15:16:39.281</v>
      </c>
      <c r="H1378" t="s">
        <v>21</v>
      </c>
      <c r="I1378">
        <v>0</v>
      </c>
      <c r="J1378" t="s">
        <v>30</v>
      </c>
    </row>
    <row r="1379" spans="1:10" x14ac:dyDescent="0.25">
      <c r="A1379" s="1">
        <v>397</v>
      </c>
      <c r="B1379" t="s">
        <v>19</v>
      </c>
      <c r="C1379">
        <v>706</v>
      </c>
      <c r="D1379">
        <v>4</v>
      </c>
      <c r="E1379" t="s">
        <v>28</v>
      </c>
      <c r="F1379" t="s">
        <v>29</v>
      </c>
      <c r="G1379" t="str">
        <f>"2025-12-30 14:54:29.671"</f>
        <v>2025-12-30 14:54:29.671</v>
      </c>
      <c r="H1379" t="s">
        <v>21</v>
      </c>
      <c r="I1379">
        <v>0</v>
      </c>
      <c r="J1379" t="s">
        <v>30</v>
      </c>
    </row>
    <row r="1380" spans="1:10" x14ac:dyDescent="0.25">
      <c r="A1380" s="1">
        <v>398</v>
      </c>
      <c r="B1380" t="s">
        <v>19</v>
      </c>
      <c r="C1380">
        <v>706</v>
      </c>
      <c r="D1380">
        <v>3</v>
      </c>
      <c r="E1380" t="s">
        <v>28</v>
      </c>
      <c r="F1380" t="s">
        <v>43</v>
      </c>
      <c r="G1380" t="str">
        <f>"2025-12-30 14:54:18.621"</f>
        <v>2025-12-30 14:54:18.621</v>
      </c>
      <c r="H1380" t="s">
        <v>21</v>
      </c>
      <c r="I1380">
        <v>0</v>
      </c>
      <c r="J1380" t="s">
        <v>30</v>
      </c>
    </row>
    <row r="1381" spans="1:10" s="3" customFormat="1" x14ac:dyDescent="0.25">
      <c r="A1381" s="2">
        <v>399</v>
      </c>
      <c r="B1381" s="3" t="s">
        <v>23</v>
      </c>
      <c r="C1381" s="3">
        <v>647</v>
      </c>
      <c r="D1381" s="3">
        <v>1</v>
      </c>
      <c r="E1381" s="3" t="s">
        <v>24</v>
      </c>
      <c r="F1381" s="3" t="s">
        <v>25</v>
      </c>
      <c r="G1381" s="3" t="str">
        <f>"2025-12-30 08:38:23.141"</f>
        <v>2025-12-30 08:38:23.141</v>
      </c>
      <c r="H1381" s="3" t="s">
        <v>21</v>
      </c>
    </row>
    <row r="1382" spans="1:10" s="3" customFormat="1" x14ac:dyDescent="0.25">
      <c r="A1382" s="2">
        <v>400</v>
      </c>
      <c r="B1382" s="3" t="s">
        <v>26</v>
      </c>
      <c r="C1382" s="3">
        <v>647</v>
      </c>
      <c r="D1382" s="3">
        <v>1</v>
      </c>
      <c r="E1382" s="3" t="s">
        <v>24</v>
      </c>
      <c r="F1382" s="3" t="s">
        <v>25</v>
      </c>
      <c r="G1382" s="3" t="str">
        <f>"2025-12-30 08:38:20.841"</f>
        <v>2025-12-30 08:38:20.841</v>
      </c>
      <c r="H1382" s="3" t="s">
        <v>21</v>
      </c>
      <c r="I1382" s="3">
        <v>9.41</v>
      </c>
      <c r="J1382" s="3" t="s">
        <v>27</v>
      </c>
    </row>
    <row r="1383" spans="1:10" x14ac:dyDescent="0.25">
      <c r="A1383" s="1">
        <v>401</v>
      </c>
      <c r="B1383" t="s">
        <v>19</v>
      </c>
      <c r="C1383">
        <v>706</v>
      </c>
      <c r="D1383">
        <v>4</v>
      </c>
      <c r="E1383" t="s">
        <v>28</v>
      </c>
      <c r="F1383" t="s">
        <v>29</v>
      </c>
      <c r="G1383" t="str">
        <f>"2025-12-29 19:50:20.971"</f>
        <v>2025-12-29 19:50:20.971</v>
      </c>
      <c r="H1383" t="s">
        <v>21</v>
      </c>
      <c r="I1383">
        <v>0</v>
      </c>
      <c r="J1383" t="s">
        <v>30</v>
      </c>
    </row>
    <row r="1384" spans="1:10" x14ac:dyDescent="0.25">
      <c r="A1384" s="1">
        <v>402</v>
      </c>
      <c r="B1384" t="s">
        <v>23</v>
      </c>
      <c r="C1384">
        <v>635</v>
      </c>
      <c r="D1384">
        <v>1</v>
      </c>
      <c r="E1384" t="s">
        <v>31</v>
      </c>
      <c r="F1384" t="s">
        <v>32</v>
      </c>
      <c r="G1384" t="str">
        <f>"2025-12-29 09:50:13.387"</f>
        <v>2025-12-29 09:50:13.387</v>
      </c>
      <c r="H1384" t="s">
        <v>21</v>
      </c>
    </row>
    <row r="1385" spans="1:10" x14ac:dyDescent="0.25">
      <c r="A1385" s="1">
        <v>403</v>
      </c>
      <c r="B1385" t="s">
        <v>26</v>
      </c>
      <c r="C1385">
        <v>635</v>
      </c>
      <c r="D1385">
        <v>1</v>
      </c>
      <c r="E1385" t="s">
        <v>31</v>
      </c>
      <c r="F1385" t="s">
        <v>32</v>
      </c>
      <c r="G1385" t="str">
        <f>"2025-12-29 09:47:04.387"</f>
        <v>2025-12-29 09:47:04.387</v>
      </c>
      <c r="H1385" t="s">
        <v>21</v>
      </c>
      <c r="I1385">
        <v>0</v>
      </c>
      <c r="J1385" t="s">
        <v>34</v>
      </c>
    </row>
    <row r="1386" spans="1:10" x14ac:dyDescent="0.25">
      <c r="A1386" s="1">
        <v>404</v>
      </c>
      <c r="B1386" t="s">
        <v>19</v>
      </c>
      <c r="C1386">
        <v>706</v>
      </c>
      <c r="D1386">
        <v>4</v>
      </c>
      <c r="E1386" t="s">
        <v>28</v>
      </c>
      <c r="F1386" t="s">
        <v>29</v>
      </c>
      <c r="G1386" t="str">
        <f>"2025-12-29 09:18:59.331"</f>
        <v>2025-12-29 09:18:59.331</v>
      </c>
      <c r="H1386" t="s">
        <v>21</v>
      </c>
      <c r="I1386">
        <v>0</v>
      </c>
      <c r="J1386" t="s">
        <v>30</v>
      </c>
    </row>
    <row r="1387" spans="1:10" s="3" customFormat="1" x14ac:dyDescent="0.25">
      <c r="A1387" s="2">
        <v>405</v>
      </c>
      <c r="B1387" s="3" t="s">
        <v>23</v>
      </c>
      <c r="C1387" s="3">
        <v>647</v>
      </c>
      <c r="D1387" s="3">
        <v>1</v>
      </c>
      <c r="E1387" s="3" t="s">
        <v>24</v>
      </c>
      <c r="F1387" s="3" t="s">
        <v>25</v>
      </c>
      <c r="G1387" s="3" t="str">
        <f>"2025-12-29 05:32:36.741"</f>
        <v>2025-12-29 05:32:36.741</v>
      </c>
      <c r="H1387" s="3" t="s">
        <v>21</v>
      </c>
    </row>
    <row r="1388" spans="1:10" s="3" customFormat="1" x14ac:dyDescent="0.25">
      <c r="A1388" s="2">
        <v>406</v>
      </c>
      <c r="B1388" s="3" t="s">
        <v>26</v>
      </c>
      <c r="C1388" s="3">
        <v>647</v>
      </c>
      <c r="D1388" s="3">
        <v>1</v>
      </c>
      <c r="E1388" s="3" t="s">
        <v>24</v>
      </c>
      <c r="F1388" s="3" t="s">
        <v>25</v>
      </c>
      <c r="G1388" s="3" t="str">
        <f>"2025-12-29 05:32:35.341"</f>
        <v>2025-12-29 05:32:35.341</v>
      </c>
      <c r="H1388" s="3" t="s">
        <v>21</v>
      </c>
      <c r="I1388" s="3">
        <v>11.04</v>
      </c>
      <c r="J1388" s="3" t="s">
        <v>34</v>
      </c>
    </row>
    <row r="1389" spans="1:10" s="3" customFormat="1" x14ac:dyDescent="0.25">
      <c r="A1389" s="2">
        <v>407</v>
      </c>
      <c r="B1389" s="3" t="s">
        <v>23</v>
      </c>
      <c r="C1389" s="3">
        <v>647</v>
      </c>
      <c r="D1389" s="3">
        <v>1</v>
      </c>
      <c r="E1389" s="3" t="s">
        <v>24</v>
      </c>
      <c r="F1389" s="3" t="s">
        <v>25</v>
      </c>
      <c r="G1389" s="3" t="str">
        <f>"2025-12-29 05:32:33.441"</f>
        <v>2025-12-29 05:32:33.441</v>
      </c>
      <c r="H1389" s="3" t="s">
        <v>21</v>
      </c>
    </row>
    <row r="1390" spans="1:10" s="3" customFormat="1" x14ac:dyDescent="0.25">
      <c r="A1390" s="2">
        <v>408</v>
      </c>
      <c r="B1390" s="3" t="s">
        <v>26</v>
      </c>
      <c r="C1390" s="3">
        <v>647</v>
      </c>
      <c r="D1390" s="3">
        <v>1</v>
      </c>
      <c r="E1390" s="3" t="s">
        <v>24</v>
      </c>
      <c r="F1390" s="3" t="s">
        <v>25</v>
      </c>
      <c r="G1390" s="3" t="str">
        <f>"2025-12-29 05:32:31.341"</f>
        <v>2025-12-29 05:32:31.341</v>
      </c>
      <c r="H1390" s="3" t="s">
        <v>21</v>
      </c>
      <c r="I1390" s="3">
        <v>9.9700000000000006</v>
      </c>
      <c r="J1390" s="3" t="s">
        <v>34</v>
      </c>
    </row>
    <row r="1391" spans="1:10" x14ac:dyDescent="0.25">
      <c r="A1391" s="1">
        <v>409</v>
      </c>
      <c r="B1391" t="s">
        <v>19</v>
      </c>
      <c r="C1391">
        <v>706</v>
      </c>
      <c r="D1391">
        <v>2</v>
      </c>
      <c r="E1391" t="s">
        <v>28</v>
      </c>
      <c r="F1391" t="s">
        <v>39</v>
      </c>
      <c r="G1391" t="str">
        <f>"2025-12-28 23:58:19.981"</f>
        <v>2025-12-28 23:58:19.981</v>
      </c>
      <c r="H1391" t="s">
        <v>21</v>
      </c>
      <c r="I1391">
        <v>0</v>
      </c>
      <c r="J1391" t="s">
        <v>30</v>
      </c>
    </row>
    <row r="1392" spans="1:10" s="3" customFormat="1" x14ac:dyDescent="0.25">
      <c r="A1392" s="2">
        <v>410</v>
      </c>
      <c r="B1392" s="3" t="s">
        <v>23</v>
      </c>
      <c r="C1392" s="3">
        <v>647</v>
      </c>
      <c r="D1392" s="3">
        <v>1</v>
      </c>
      <c r="E1392" s="3" t="s">
        <v>24</v>
      </c>
      <c r="F1392" s="3" t="s">
        <v>25</v>
      </c>
      <c r="G1392" s="3" t="str">
        <f>"2025-12-28 23:29:37.841"</f>
        <v>2025-12-28 23:29:37.841</v>
      </c>
      <c r="H1392" s="3" t="s">
        <v>21</v>
      </c>
    </row>
    <row r="1393" spans="1:10" s="3" customFormat="1" x14ac:dyDescent="0.25">
      <c r="A1393" s="2">
        <v>411</v>
      </c>
      <c r="B1393" s="3" t="s">
        <v>26</v>
      </c>
      <c r="C1393" s="3">
        <v>647</v>
      </c>
      <c r="D1393" s="3">
        <v>1</v>
      </c>
      <c r="E1393" s="3" t="s">
        <v>24</v>
      </c>
      <c r="F1393" s="3" t="s">
        <v>25</v>
      </c>
      <c r="G1393" s="3" t="str">
        <f>"2025-12-28 23:29:36.141"</f>
        <v>2025-12-28 23:29:36.141</v>
      </c>
      <c r="H1393" s="3" t="s">
        <v>21</v>
      </c>
      <c r="I1393" s="3">
        <v>18.41</v>
      </c>
      <c r="J1393" s="3" t="s">
        <v>34</v>
      </c>
    </row>
    <row r="1394" spans="1:10" s="3" customFormat="1" x14ac:dyDescent="0.25">
      <c r="A1394" s="2">
        <v>412</v>
      </c>
      <c r="B1394" s="3" t="s">
        <v>23</v>
      </c>
      <c r="C1394" s="3">
        <v>647</v>
      </c>
      <c r="D1394" s="3">
        <v>1</v>
      </c>
      <c r="E1394" s="3" t="s">
        <v>24</v>
      </c>
      <c r="F1394" s="3" t="s">
        <v>25</v>
      </c>
      <c r="G1394" s="3" t="str">
        <f>"2025-12-28 17:58:24.540"</f>
        <v>2025-12-28 17:58:24.540</v>
      </c>
      <c r="H1394" s="3" t="s">
        <v>21</v>
      </c>
    </row>
    <row r="1395" spans="1:10" s="3" customFormat="1" x14ac:dyDescent="0.25">
      <c r="A1395" s="2">
        <v>413</v>
      </c>
      <c r="B1395" s="3" t="s">
        <v>26</v>
      </c>
      <c r="C1395" s="3">
        <v>647</v>
      </c>
      <c r="D1395" s="3">
        <v>1</v>
      </c>
      <c r="E1395" s="3" t="s">
        <v>24</v>
      </c>
      <c r="F1395" s="3" t="s">
        <v>25</v>
      </c>
      <c r="G1395" s="3" t="str">
        <f>"2025-12-28 17:58:21.440"</f>
        <v>2025-12-28 17:58:21.440</v>
      </c>
      <c r="H1395" s="3" t="s">
        <v>21</v>
      </c>
      <c r="I1395" s="3">
        <v>10.06</v>
      </c>
      <c r="J1395" s="3" t="s">
        <v>27</v>
      </c>
    </row>
    <row r="1396" spans="1:10" x14ac:dyDescent="0.25">
      <c r="A1396" s="1">
        <v>414</v>
      </c>
      <c r="B1396" t="s">
        <v>19</v>
      </c>
      <c r="C1396">
        <v>706</v>
      </c>
      <c r="D1396">
        <v>2</v>
      </c>
      <c r="E1396" t="s">
        <v>28</v>
      </c>
      <c r="F1396" t="s">
        <v>39</v>
      </c>
      <c r="G1396" t="str">
        <f>"2025-12-28 13:49:11.881"</f>
        <v>2025-12-28 13:49:11.881</v>
      </c>
      <c r="H1396" t="s">
        <v>21</v>
      </c>
      <c r="I1396">
        <v>0</v>
      </c>
      <c r="J1396" t="s">
        <v>30</v>
      </c>
    </row>
    <row r="1397" spans="1:10" x14ac:dyDescent="0.25">
      <c r="A1397" s="1">
        <v>415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"2025-12-28 13:48:27.001"</f>
        <v>2025-12-28 13:48:27.001</v>
      </c>
      <c r="H1397" t="s">
        <v>21</v>
      </c>
      <c r="I1397">
        <v>0</v>
      </c>
      <c r="J1397" t="s">
        <v>22</v>
      </c>
    </row>
    <row r="1398" spans="1:10" x14ac:dyDescent="0.25">
      <c r="A1398" s="1">
        <v>416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"2025-12-28 13:31:49.021"</f>
        <v>2025-12-28 13:31:49.021</v>
      </c>
      <c r="H1398" t="s">
        <v>21</v>
      </c>
    </row>
    <row r="1399" spans="1:10" s="3" customFormat="1" x14ac:dyDescent="0.25">
      <c r="A1399" s="2">
        <v>417</v>
      </c>
      <c r="B1399" s="3" t="s">
        <v>23</v>
      </c>
      <c r="C1399" s="3">
        <v>647</v>
      </c>
      <c r="D1399" s="3">
        <v>1</v>
      </c>
      <c r="E1399" s="3" t="s">
        <v>24</v>
      </c>
      <c r="F1399" s="3" t="s">
        <v>25</v>
      </c>
      <c r="G1399" s="3" t="str">
        <f>"2025-12-28 09:52:26.459"</f>
        <v>2025-12-28 09:52:26.459</v>
      </c>
      <c r="H1399" s="3" t="s">
        <v>21</v>
      </c>
    </row>
    <row r="1400" spans="1:10" s="3" customFormat="1" x14ac:dyDescent="0.25">
      <c r="A1400" s="2">
        <v>418</v>
      </c>
      <c r="B1400" s="3" t="s">
        <v>26</v>
      </c>
      <c r="C1400" s="3">
        <v>647</v>
      </c>
      <c r="D1400" s="3">
        <v>1</v>
      </c>
      <c r="E1400" s="3" t="s">
        <v>24</v>
      </c>
      <c r="F1400" s="3" t="s">
        <v>25</v>
      </c>
      <c r="G1400" s="3" t="str">
        <f>"2025-12-28 09:52:16.159"</f>
        <v>2025-12-28 09:52:16.159</v>
      </c>
      <c r="H1400" s="3" t="s">
        <v>21</v>
      </c>
      <c r="I1400" s="3">
        <v>8.35</v>
      </c>
      <c r="J1400" s="3" t="s">
        <v>34</v>
      </c>
    </row>
    <row r="1401" spans="1:10" s="3" customFormat="1" x14ac:dyDescent="0.25">
      <c r="A1401" s="2">
        <v>419</v>
      </c>
      <c r="B1401" s="3" t="s">
        <v>23</v>
      </c>
      <c r="C1401" s="3">
        <v>647</v>
      </c>
      <c r="D1401" s="3">
        <v>1</v>
      </c>
      <c r="E1401" s="3" t="s">
        <v>24</v>
      </c>
      <c r="F1401" s="3" t="s">
        <v>25</v>
      </c>
      <c r="G1401" s="3" t="str">
        <f>"2025-12-28 08:38:00.159"</f>
        <v>2025-12-28 08:38:00.159</v>
      </c>
      <c r="H1401" s="3" t="s">
        <v>21</v>
      </c>
    </row>
    <row r="1402" spans="1:10" s="3" customFormat="1" x14ac:dyDescent="0.25">
      <c r="A1402" s="2">
        <v>420</v>
      </c>
      <c r="B1402" s="3" t="s">
        <v>26</v>
      </c>
      <c r="C1402" s="3">
        <v>647</v>
      </c>
      <c r="D1402" s="3">
        <v>1</v>
      </c>
      <c r="E1402" s="3" t="s">
        <v>24</v>
      </c>
      <c r="F1402" s="3" t="s">
        <v>25</v>
      </c>
      <c r="G1402" s="3" t="str">
        <f>"2025-12-28 08:37:52.659"</f>
        <v>2025-12-28 08:37:52.659</v>
      </c>
      <c r="H1402" s="3" t="s">
        <v>21</v>
      </c>
      <c r="I1402" s="3">
        <v>10.49</v>
      </c>
      <c r="J1402" s="3" t="s">
        <v>27</v>
      </c>
    </row>
    <row r="1403" spans="1:10" x14ac:dyDescent="0.25">
      <c r="A1403" s="1">
        <v>421</v>
      </c>
      <c r="B1403" t="s">
        <v>23</v>
      </c>
      <c r="C1403">
        <v>635</v>
      </c>
      <c r="D1403">
        <v>1</v>
      </c>
      <c r="E1403" t="s">
        <v>31</v>
      </c>
      <c r="F1403" t="s">
        <v>32</v>
      </c>
      <c r="G1403" t="str">
        <f>"2025-12-28 06:02:30.358"</f>
        <v>2025-12-28 06:02:30.358</v>
      </c>
      <c r="H1403" t="s">
        <v>21</v>
      </c>
    </row>
    <row r="1404" spans="1:10" x14ac:dyDescent="0.25">
      <c r="A1404" s="1">
        <v>422</v>
      </c>
      <c r="B1404" t="s">
        <v>26</v>
      </c>
      <c r="C1404">
        <v>635</v>
      </c>
      <c r="D1404">
        <v>1</v>
      </c>
      <c r="E1404" t="s">
        <v>31</v>
      </c>
      <c r="F1404" t="s">
        <v>32</v>
      </c>
      <c r="G1404" t="str">
        <f>"2025-12-28 05:56:22.858"</f>
        <v>2025-12-28 05:56:22.858</v>
      </c>
      <c r="H1404" t="s">
        <v>21</v>
      </c>
      <c r="I1404">
        <v>11.6</v>
      </c>
      <c r="J1404" t="s">
        <v>27</v>
      </c>
    </row>
    <row r="1405" spans="1:10" x14ac:dyDescent="0.25">
      <c r="A1405" s="1">
        <v>423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"2025-12-28 05:10:22.008"</f>
        <v>2025-12-28 05:10:22.008</v>
      </c>
      <c r="H1405" t="s">
        <v>21</v>
      </c>
    </row>
    <row r="1406" spans="1:10" x14ac:dyDescent="0.25">
      <c r="A1406" s="1">
        <v>424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"2025-12-27 18:14:48.997"</f>
        <v>2025-12-27 18:14:48.997</v>
      </c>
      <c r="H1406" t="s">
        <v>21</v>
      </c>
      <c r="I1406">
        <v>0</v>
      </c>
      <c r="J1406" t="s">
        <v>22</v>
      </c>
    </row>
    <row r="1407" spans="1:10" x14ac:dyDescent="0.25">
      <c r="A1407" s="1">
        <v>425</v>
      </c>
      <c r="B1407" t="s">
        <v>23</v>
      </c>
      <c r="C1407">
        <v>635</v>
      </c>
      <c r="D1407">
        <v>1</v>
      </c>
      <c r="E1407" t="s">
        <v>31</v>
      </c>
      <c r="F1407" t="s">
        <v>32</v>
      </c>
      <c r="G1407" t="str">
        <f>"2025-12-27 17:34:48.984"</f>
        <v>2025-12-27 17:34:48.984</v>
      </c>
      <c r="H1407" t="s">
        <v>21</v>
      </c>
    </row>
    <row r="1408" spans="1:10" x14ac:dyDescent="0.25">
      <c r="A1408" s="1">
        <v>426</v>
      </c>
      <c r="B1408" t="s">
        <v>26</v>
      </c>
      <c r="C1408">
        <v>635</v>
      </c>
      <c r="D1408">
        <v>1</v>
      </c>
      <c r="E1408" t="s">
        <v>31</v>
      </c>
      <c r="F1408" t="s">
        <v>32</v>
      </c>
      <c r="G1408" t="str">
        <f>"2025-12-27 17:27:56.984"</f>
        <v>2025-12-27 17:27:56.984</v>
      </c>
      <c r="H1408" t="s">
        <v>21</v>
      </c>
      <c r="I1408">
        <v>0.87</v>
      </c>
      <c r="J1408" t="s">
        <v>33</v>
      </c>
    </row>
    <row r="1409" spans="1:10" x14ac:dyDescent="0.25">
      <c r="A1409" s="1">
        <v>427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"2025-12-27 10:01:08.023"</f>
        <v>2025-12-27 10:01:08.023</v>
      </c>
      <c r="H1409" t="s">
        <v>21</v>
      </c>
    </row>
    <row r="1410" spans="1:10" s="3" customFormat="1" x14ac:dyDescent="0.25">
      <c r="A1410" s="2">
        <v>428</v>
      </c>
      <c r="B1410" s="3" t="s">
        <v>23</v>
      </c>
      <c r="C1410" s="3">
        <v>647</v>
      </c>
      <c r="D1410" s="3">
        <v>1</v>
      </c>
      <c r="E1410" s="3" t="s">
        <v>24</v>
      </c>
      <c r="F1410" s="3" t="s">
        <v>25</v>
      </c>
      <c r="G1410" s="3" t="str">
        <f>"2025-12-27 08:38:39.764"</f>
        <v>2025-12-27 08:38:39.764</v>
      </c>
      <c r="H1410" s="3" t="s">
        <v>21</v>
      </c>
    </row>
    <row r="1411" spans="1:10" s="3" customFormat="1" x14ac:dyDescent="0.25">
      <c r="A1411" s="2">
        <v>429</v>
      </c>
      <c r="B1411" s="3" t="s">
        <v>26</v>
      </c>
      <c r="C1411" s="3">
        <v>647</v>
      </c>
      <c r="D1411" s="3">
        <v>1</v>
      </c>
      <c r="E1411" s="3" t="s">
        <v>24</v>
      </c>
      <c r="F1411" s="3" t="s">
        <v>25</v>
      </c>
      <c r="G1411" s="3" t="str">
        <f>"2025-12-27 08:38:37.264"</f>
        <v>2025-12-27 08:38:37.264</v>
      </c>
      <c r="H1411" s="3" t="s">
        <v>21</v>
      </c>
      <c r="I1411" s="3">
        <v>17.32</v>
      </c>
      <c r="J1411" s="3" t="s">
        <v>27</v>
      </c>
    </row>
    <row r="1412" spans="1:10" x14ac:dyDescent="0.25">
      <c r="A1412" s="1">
        <v>430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"2025-12-27 04:49:52.013"</f>
        <v>2025-12-27 04:49:52.013</v>
      </c>
      <c r="H1412" t="s">
        <v>21</v>
      </c>
      <c r="I1412">
        <v>0</v>
      </c>
      <c r="J1412" t="s">
        <v>22</v>
      </c>
    </row>
    <row r="1413" spans="1:10" s="3" customFormat="1" x14ac:dyDescent="0.25">
      <c r="A1413" s="2">
        <v>431</v>
      </c>
      <c r="B1413" s="3" t="s">
        <v>23</v>
      </c>
      <c r="C1413" s="3">
        <v>647</v>
      </c>
      <c r="D1413" s="3">
        <v>1</v>
      </c>
      <c r="E1413" s="3" t="s">
        <v>24</v>
      </c>
      <c r="F1413" s="3" t="s">
        <v>25</v>
      </c>
      <c r="G1413" s="3" t="str">
        <f>"2025-12-26 21:23:30.103"</f>
        <v>2025-12-26 21:23:30.103</v>
      </c>
      <c r="H1413" s="3" t="s">
        <v>21</v>
      </c>
    </row>
    <row r="1414" spans="1:10" s="3" customFormat="1" x14ac:dyDescent="0.25">
      <c r="A1414" s="2">
        <v>432</v>
      </c>
      <c r="B1414" s="3" t="s">
        <v>26</v>
      </c>
      <c r="C1414" s="3">
        <v>647</v>
      </c>
      <c r="D1414" s="3">
        <v>1</v>
      </c>
      <c r="E1414" s="3" t="s">
        <v>24</v>
      </c>
      <c r="F1414" s="3" t="s">
        <v>25</v>
      </c>
      <c r="G1414" s="3" t="str">
        <f>"2025-12-26 21:23:28.603"</f>
        <v>2025-12-26 21:23:28.603</v>
      </c>
      <c r="H1414" s="3" t="s">
        <v>21</v>
      </c>
      <c r="I1414" s="3">
        <v>9.64</v>
      </c>
      <c r="J1414" s="3" t="s">
        <v>34</v>
      </c>
    </row>
    <row r="1415" spans="1:10" x14ac:dyDescent="0.25">
      <c r="A1415" s="1">
        <v>433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"2025-12-26 17:02:31.051"</f>
        <v>2025-12-26 17:02:31.051</v>
      </c>
      <c r="H1415" t="s">
        <v>21</v>
      </c>
      <c r="I1415">
        <v>0</v>
      </c>
      <c r="J1415" t="s">
        <v>22</v>
      </c>
    </row>
    <row r="1416" spans="1:10" x14ac:dyDescent="0.25">
      <c r="A1416" s="1">
        <v>434</v>
      </c>
      <c r="B1416" t="s">
        <v>19</v>
      </c>
      <c r="C1416">
        <v>706</v>
      </c>
      <c r="D1416">
        <v>4</v>
      </c>
      <c r="E1416" t="s">
        <v>28</v>
      </c>
      <c r="F1416" t="s">
        <v>29</v>
      </c>
      <c r="G1416" t="str">
        <f>"2025-12-26 16:54:38.374"</f>
        <v>2025-12-26 16:54:38.374</v>
      </c>
      <c r="H1416" t="s">
        <v>21</v>
      </c>
      <c r="I1416">
        <v>0</v>
      </c>
      <c r="J1416" t="s">
        <v>30</v>
      </c>
    </row>
    <row r="1417" spans="1:10" x14ac:dyDescent="0.25">
      <c r="A1417" s="1">
        <v>435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"2025-12-26 16:34:29.984"</f>
        <v>2025-12-26 16:34:29.984</v>
      </c>
      <c r="H1417" t="s">
        <v>21</v>
      </c>
    </row>
    <row r="1418" spans="1:10" x14ac:dyDescent="0.25">
      <c r="A1418" s="1">
        <v>436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"2025-12-26 15:49:27.235"</f>
        <v>2025-12-26 15:49:27.235</v>
      </c>
      <c r="H1418" t="s">
        <v>21</v>
      </c>
    </row>
    <row r="1419" spans="1:10" x14ac:dyDescent="0.25">
      <c r="A1419" s="1">
        <v>437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"2025-12-26 15:47:20.212"</f>
        <v>2025-12-26 15:47:20.212</v>
      </c>
      <c r="H1419" t="s">
        <v>21</v>
      </c>
    </row>
    <row r="1420" spans="1:10" x14ac:dyDescent="0.25">
      <c r="A1420" s="1">
        <v>438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"2025-12-26 15:44:54.221"</f>
        <v>2025-12-26 15:44:54.221</v>
      </c>
      <c r="H1420" t="s">
        <v>21</v>
      </c>
    </row>
    <row r="1421" spans="1:10" x14ac:dyDescent="0.25">
      <c r="A1421" s="1">
        <v>439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"2025-12-26 15:43:41.281"</f>
        <v>2025-12-26 15:43:41.281</v>
      </c>
      <c r="H1421" t="s">
        <v>21</v>
      </c>
    </row>
    <row r="1422" spans="1:10" x14ac:dyDescent="0.25">
      <c r="A1422" s="1">
        <v>440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"2025-12-26 15:40:34.355"</f>
        <v>2025-12-26 15:40:34.355</v>
      </c>
      <c r="H1422" t="s">
        <v>21</v>
      </c>
      <c r="I1422">
        <v>0</v>
      </c>
      <c r="J1422" t="s">
        <v>22</v>
      </c>
    </row>
    <row r="1423" spans="1:10" x14ac:dyDescent="0.25">
      <c r="A1423" s="1">
        <v>441</v>
      </c>
      <c r="B1423" t="s">
        <v>19</v>
      </c>
      <c r="C1423">
        <v>706</v>
      </c>
      <c r="D1423">
        <v>2</v>
      </c>
      <c r="E1423" t="s">
        <v>28</v>
      </c>
      <c r="F1423" t="s">
        <v>39</v>
      </c>
      <c r="G1423" t="str">
        <f>"2025-12-26 09:29:32.550"</f>
        <v>2025-12-26 09:29:32.550</v>
      </c>
      <c r="H1423" t="s">
        <v>21</v>
      </c>
      <c r="I1423">
        <v>0</v>
      </c>
      <c r="J1423" t="s">
        <v>30</v>
      </c>
    </row>
    <row r="1424" spans="1:10" x14ac:dyDescent="0.25">
      <c r="A1424" s="1">
        <v>442</v>
      </c>
      <c r="B1424" t="s">
        <v>23</v>
      </c>
      <c r="C1424">
        <v>98</v>
      </c>
      <c r="D1424">
        <v>1</v>
      </c>
      <c r="E1424" t="s">
        <v>65</v>
      </c>
      <c r="F1424" t="s">
        <v>66</v>
      </c>
      <c r="G1424" t="str">
        <f>"2025-12-26 09:06:54.160"</f>
        <v>2025-12-26 09:06:54.160</v>
      </c>
      <c r="H1424" t="s">
        <v>21</v>
      </c>
    </row>
    <row r="1425" spans="1:10" x14ac:dyDescent="0.25">
      <c r="A1425" s="1">
        <v>443</v>
      </c>
      <c r="B1425" t="s">
        <v>26</v>
      </c>
      <c r="C1425">
        <v>98</v>
      </c>
      <c r="D1425">
        <v>1</v>
      </c>
      <c r="E1425" t="s">
        <v>65</v>
      </c>
      <c r="F1425" t="s">
        <v>66</v>
      </c>
      <c r="G1425" t="str">
        <f>"2025-12-26 09:06:53.060"</f>
        <v>2025-12-26 09:06:53.060</v>
      </c>
      <c r="H1425" t="s">
        <v>21</v>
      </c>
      <c r="I1425">
        <v>7.31</v>
      </c>
      <c r="J1425" t="s">
        <v>33</v>
      </c>
    </row>
    <row r="1426" spans="1:10" x14ac:dyDescent="0.25">
      <c r="A1426" s="1">
        <v>444</v>
      </c>
      <c r="B1426" t="s">
        <v>19</v>
      </c>
      <c r="C1426">
        <v>706</v>
      </c>
      <c r="D1426">
        <v>4</v>
      </c>
      <c r="E1426" t="s">
        <v>28</v>
      </c>
      <c r="F1426" t="s">
        <v>29</v>
      </c>
      <c r="G1426" t="str">
        <f>"2025-12-25 23:34:44.270"</f>
        <v>2025-12-25 23:34:44.270</v>
      </c>
      <c r="H1426" t="s">
        <v>21</v>
      </c>
      <c r="I1426">
        <v>0</v>
      </c>
      <c r="J1426" t="s">
        <v>30</v>
      </c>
    </row>
    <row r="1427" spans="1:10" x14ac:dyDescent="0.25">
      <c r="A1427" s="1">
        <v>445</v>
      </c>
      <c r="B1427" t="s">
        <v>23</v>
      </c>
      <c r="C1427">
        <v>98</v>
      </c>
      <c r="D1427">
        <v>1</v>
      </c>
      <c r="E1427" t="s">
        <v>65</v>
      </c>
      <c r="F1427" t="s">
        <v>66</v>
      </c>
      <c r="G1427" t="str">
        <f>"2025-12-25 14:28:53.061"</f>
        <v>2025-12-25 14:28:53.061</v>
      </c>
      <c r="H1427" t="s">
        <v>21</v>
      </c>
    </row>
    <row r="1428" spans="1:10" x14ac:dyDescent="0.25">
      <c r="A1428" s="1">
        <v>446</v>
      </c>
      <c r="B1428" t="s">
        <v>26</v>
      </c>
      <c r="C1428">
        <v>98</v>
      </c>
      <c r="D1428">
        <v>1</v>
      </c>
      <c r="E1428" t="s">
        <v>65</v>
      </c>
      <c r="F1428" t="s">
        <v>66</v>
      </c>
      <c r="G1428" t="str">
        <f>"2025-12-25 14:28:51.961"</f>
        <v>2025-12-25 14:28:51.961</v>
      </c>
      <c r="H1428" t="s">
        <v>21</v>
      </c>
      <c r="I1428">
        <v>15.29</v>
      </c>
      <c r="J1428" t="s">
        <v>33</v>
      </c>
    </row>
    <row r="1429" spans="1:10" x14ac:dyDescent="0.25">
      <c r="A1429" s="1">
        <v>447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"2025-12-25 13:37:29.010"</f>
        <v>2025-12-25 13:37:29.010</v>
      </c>
      <c r="H1429" t="s">
        <v>21</v>
      </c>
      <c r="I1429">
        <v>0</v>
      </c>
      <c r="J1429" t="s">
        <v>22</v>
      </c>
    </row>
    <row r="1430" spans="1:10" x14ac:dyDescent="0.25">
      <c r="A1430" s="1">
        <v>448</v>
      </c>
      <c r="B1430" t="s">
        <v>23</v>
      </c>
      <c r="C1430">
        <v>98</v>
      </c>
      <c r="D1430">
        <v>1</v>
      </c>
      <c r="E1430" t="s">
        <v>65</v>
      </c>
      <c r="F1430" t="s">
        <v>66</v>
      </c>
      <c r="G1430" t="str">
        <f>"2025-12-25 11:59:54.493"</f>
        <v>2025-12-25 11:59:54.493</v>
      </c>
      <c r="H1430" t="s">
        <v>21</v>
      </c>
    </row>
    <row r="1431" spans="1:10" x14ac:dyDescent="0.25">
      <c r="A1431" s="1">
        <v>449</v>
      </c>
      <c r="B1431" t="s">
        <v>26</v>
      </c>
      <c r="C1431">
        <v>98</v>
      </c>
      <c r="D1431">
        <v>1</v>
      </c>
      <c r="E1431" t="s">
        <v>65</v>
      </c>
      <c r="F1431" t="s">
        <v>66</v>
      </c>
      <c r="G1431" t="str">
        <f>"2025-12-25 11:59:53.493"</f>
        <v>2025-12-25 11:59:53.493</v>
      </c>
      <c r="H1431" t="s">
        <v>21</v>
      </c>
      <c r="I1431">
        <v>7.18</v>
      </c>
      <c r="J1431" t="s">
        <v>33</v>
      </c>
    </row>
    <row r="1432" spans="1:10" s="3" customFormat="1" x14ac:dyDescent="0.25">
      <c r="A1432" s="2">
        <v>450</v>
      </c>
      <c r="B1432" s="3" t="s">
        <v>23</v>
      </c>
      <c r="C1432" s="3">
        <v>647</v>
      </c>
      <c r="D1432" s="3">
        <v>1</v>
      </c>
      <c r="E1432" s="3" t="s">
        <v>24</v>
      </c>
      <c r="F1432" s="3" t="s">
        <v>25</v>
      </c>
      <c r="G1432" s="3" t="str">
        <f>"2025-12-25 11:31:14.093"</f>
        <v>2025-12-25 11:31:14.093</v>
      </c>
      <c r="H1432" s="3" t="s">
        <v>21</v>
      </c>
    </row>
    <row r="1433" spans="1:10" s="3" customFormat="1" x14ac:dyDescent="0.25">
      <c r="A1433" s="2">
        <v>451</v>
      </c>
      <c r="B1433" s="3" t="s">
        <v>26</v>
      </c>
      <c r="C1433" s="3">
        <v>647</v>
      </c>
      <c r="D1433" s="3">
        <v>1</v>
      </c>
      <c r="E1433" s="3" t="s">
        <v>24</v>
      </c>
      <c r="F1433" s="3" t="s">
        <v>25</v>
      </c>
      <c r="G1433" s="3" t="str">
        <f>"2025-12-25 11:31:10.993"</f>
        <v>2025-12-25 11:31:10.993</v>
      </c>
      <c r="H1433" s="3" t="s">
        <v>21</v>
      </c>
      <c r="I1433" s="3">
        <v>10.24</v>
      </c>
      <c r="J1433" s="3" t="s">
        <v>27</v>
      </c>
    </row>
    <row r="1434" spans="1:10" x14ac:dyDescent="0.25">
      <c r="A1434" s="1">
        <v>453</v>
      </c>
      <c r="B1434" t="s">
        <v>23</v>
      </c>
      <c r="C1434">
        <v>635</v>
      </c>
      <c r="D1434">
        <v>1</v>
      </c>
      <c r="E1434" t="s">
        <v>31</v>
      </c>
      <c r="F1434" t="s">
        <v>32</v>
      </c>
      <c r="G1434" t="str">
        <f>"2025-12-25 08:10:14.339"</f>
        <v>2025-12-25 08:10:14.339</v>
      </c>
      <c r="H1434" t="s">
        <v>21</v>
      </c>
    </row>
    <row r="1435" spans="1:10" x14ac:dyDescent="0.25">
      <c r="A1435" s="1">
        <v>454</v>
      </c>
      <c r="B1435" t="s">
        <v>26</v>
      </c>
      <c r="C1435">
        <v>635</v>
      </c>
      <c r="D1435">
        <v>1</v>
      </c>
      <c r="E1435" t="s">
        <v>31</v>
      </c>
      <c r="F1435" t="s">
        <v>32</v>
      </c>
      <c r="G1435" t="str">
        <f>"2025-12-25 08:03:39.438"</f>
        <v>2025-12-25 08:03:39.438</v>
      </c>
      <c r="H1435" t="s">
        <v>21</v>
      </c>
      <c r="I1435">
        <v>2.89</v>
      </c>
      <c r="J1435" t="s">
        <v>33</v>
      </c>
    </row>
    <row r="1436" spans="1:10" x14ac:dyDescent="0.25">
      <c r="A1436" s="1">
        <v>455</v>
      </c>
      <c r="B1436" t="s">
        <v>19</v>
      </c>
      <c r="C1436">
        <v>706</v>
      </c>
      <c r="D1436">
        <v>4</v>
      </c>
      <c r="E1436" t="s">
        <v>28</v>
      </c>
      <c r="F1436" t="s">
        <v>29</v>
      </c>
      <c r="G1436" t="str">
        <f>"2025-12-25 05:03:09.120"</f>
        <v>2025-12-25 05:03:09.120</v>
      </c>
      <c r="H1436" t="s">
        <v>21</v>
      </c>
      <c r="I1436">
        <v>0</v>
      </c>
      <c r="J1436" t="s">
        <v>30</v>
      </c>
    </row>
    <row r="1437" spans="1:10" x14ac:dyDescent="0.25">
      <c r="A1437" s="1">
        <v>456</v>
      </c>
      <c r="B1437" t="s">
        <v>19</v>
      </c>
      <c r="C1437">
        <v>706</v>
      </c>
      <c r="D1437">
        <v>4</v>
      </c>
      <c r="E1437" t="s">
        <v>28</v>
      </c>
      <c r="F1437" t="s">
        <v>29</v>
      </c>
      <c r="G1437" t="str">
        <f>"2025-12-24 22:54:55.960"</f>
        <v>2025-12-24 22:54:55.960</v>
      </c>
      <c r="H1437" t="s">
        <v>21</v>
      </c>
      <c r="I1437">
        <v>0</v>
      </c>
      <c r="J1437" t="s">
        <v>30</v>
      </c>
    </row>
    <row r="1438" spans="1:10" s="3" customFormat="1" x14ac:dyDescent="0.25">
      <c r="A1438" s="2">
        <v>457</v>
      </c>
      <c r="B1438" s="3" t="s">
        <v>23</v>
      </c>
      <c r="C1438" s="3">
        <v>647</v>
      </c>
      <c r="D1438" s="3">
        <v>1</v>
      </c>
      <c r="E1438" s="3" t="s">
        <v>24</v>
      </c>
      <c r="F1438" s="3" t="s">
        <v>25</v>
      </c>
      <c r="G1438" s="3" t="str">
        <f>"2025-12-24 22:47:08.293"</f>
        <v>2025-12-24 22:47:08.293</v>
      </c>
      <c r="H1438" s="3" t="s">
        <v>21</v>
      </c>
    </row>
    <row r="1439" spans="1:10" s="3" customFormat="1" x14ac:dyDescent="0.25">
      <c r="A1439" s="2">
        <v>458</v>
      </c>
      <c r="B1439" s="3" t="s">
        <v>26</v>
      </c>
      <c r="C1439" s="3">
        <v>647</v>
      </c>
      <c r="D1439" s="3">
        <v>1</v>
      </c>
      <c r="E1439" s="3" t="s">
        <v>24</v>
      </c>
      <c r="F1439" s="3" t="s">
        <v>25</v>
      </c>
      <c r="G1439" s="3" t="str">
        <f>"2025-12-24 22:47:05.793"</f>
        <v>2025-12-24 22:47:05.793</v>
      </c>
      <c r="H1439" s="3" t="s">
        <v>21</v>
      </c>
      <c r="I1439" s="3">
        <v>8.9499999999999993</v>
      </c>
      <c r="J1439" s="3" t="s">
        <v>34</v>
      </c>
    </row>
    <row r="1440" spans="1:10" s="3" customFormat="1" x14ac:dyDescent="0.25">
      <c r="A1440" s="2">
        <v>459</v>
      </c>
      <c r="B1440" s="3" t="s">
        <v>23</v>
      </c>
      <c r="C1440" s="3">
        <v>647</v>
      </c>
      <c r="D1440" s="3">
        <v>1</v>
      </c>
      <c r="E1440" s="3" t="s">
        <v>24</v>
      </c>
      <c r="F1440" s="3" t="s">
        <v>25</v>
      </c>
      <c r="G1440" s="3" t="str">
        <f>"2025-12-24 21:42:44.793"</f>
        <v>2025-12-24 21:42:44.793</v>
      </c>
      <c r="H1440" s="3" t="s">
        <v>21</v>
      </c>
    </row>
    <row r="1441" spans="1:10" s="3" customFormat="1" x14ac:dyDescent="0.25">
      <c r="A1441" s="2">
        <v>460</v>
      </c>
      <c r="B1441" s="3" t="s">
        <v>26</v>
      </c>
      <c r="C1441" s="3">
        <v>647</v>
      </c>
      <c r="D1441" s="3">
        <v>1</v>
      </c>
      <c r="E1441" s="3" t="s">
        <v>24</v>
      </c>
      <c r="F1441" s="3" t="s">
        <v>25</v>
      </c>
      <c r="G1441" s="3" t="str">
        <f>"2025-12-24 21:42:43.093"</f>
        <v>2025-12-24 21:42:43.093</v>
      </c>
      <c r="H1441" s="3" t="s">
        <v>21</v>
      </c>
      <c r="I1441" s="3">
        <v>9.39</v>
      </c>
      <c r="J1441" s="3" t="s">
        <v>34</v>
      </c>
    </row>
    <row r="1442" spans="1:10" x14ac:dyDescent="0.25">
      <c r="A1442" s="1">
        <v>461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"2025-12-24 13:43:50.030"</f>
        <v>2025-12-24 13:43:50.030</v>
      </c>
      <c r="H1442" t="s">
        <v>21</v>
      </c>
      <c r="I1442">
        <v>0</v>
      </c>
      <c r="J1442" t="s">
        <v>22</v>
      </c>
    </row>
    <row r="1443" spans="1:10" x14ac:dyDescent="0.25">
      <c r="A1443" s="1">
        <v>462</v>
      </c>
      <c r="B1443" t="s">
        <v>23</v>
      </c>
      <c r="C1443">
        <v>98</v>
      </c>
      <c r="D1443">
        <v>1</v>
      </c>
      <c r="E1443" t="s">
        <v>65</v>
      </c>
      <c r="F1443" t="s">
        <v>66</v>
      </c>
      <c r="G1443" t="str">
        <f>"2025-12-24 13:01:49.167"</f>
        <v>2025-12-24 13:01:49.167</v>
      </c>
      <c r="H1443" t="s">
        <v>21</v>
      </c>
    </row>
    <row r="1444" spans="1:10" x14ac:dyDescent="0.25">
      <c r="A1444" s="1">
        <v>463</v>
      </c>
      <c r="B1444" t="s">
        <v>26</v>
      </c>
      <c r="C1444">
        <v>98</v>
      </c>
      <c r="D1444">
        <v>1</v>
      </c>
      <c r="E1444" t="s">
        <v>65</v>
      </c>
      <c r="F1444" t="s">
        <v>66</v>
      </c>
      <c r="G1444" t="str">
        <f>"2025-12-24 13:01:48.168"</f>
        <v>2025-12-24 13:01:48.168</v>
      </c>
      <c r="H1444" t="s">
        <v>21</v>
      </c>
      <c r="I1444">
        <v>21.26</v>
      </c>
      <c r="J1444" t="s">
        <v>33</v>
      </c>
    </row>
    <row r="1445" spans="1:10" x14ac:dyDescent="0.25">
      <c r="A1445" s="1">
        <v>464</v>
      </c>
      <c r="B1445" t="s">
        <v>19</v>
      </c>
      <c r="C1445">
        <v>706</v>
      </c>
      <c r="D1445">
        <v>4</v>
      </c>
      <c r="E1445" t="s">
        <v>28</v>
      </c>
      <c r="F1445" t="s">
        <v>29</v>
      </c>
      <c r="G1445" t="str">
        <f>"2025-12-24 05:42:37.938"</f>
        <v>2025-12-24 05:42:37.938</v>
      </c>
      <c r="H1445" t="s">
        <v>21</v>
      </c>
      <c r="I1445">
        <v>0</v>
      </c>
      <c r="J1445" t="s">
        <v>30</v>
      </c>
    </row>
    <row r="1446" spans="1:10" x14ac:dyDescent="0.25">
      <c r="A1446" s="1">
        <v>465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"2025-12-23 20:24:35.998"</f>
        <v>2025-12-23 20:24:35.998</v>
      </c>
      <c r="H1446" t="s">
        <v>21</v>
      </c>
    </row>
    <row r="1447" spans="1:10" x14ac:dyDescent="0.25">
      <c r="A1447" s="1">
        <v>466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"2025-12-23 12:48:25.012"</f>
        <v>2025-12-23 12:48:25.012</v>
      </c>
      <c r="H1447" t="s">
        <v>21</v>
      </c>
      <c r="I1447">
        <v>0</v>
      </c>
      <c r="J1447" t="s">
        <v>22</v>
      </c>
    </row>
    <row r="1448" spans="1:10" x14ac:dyDescent="0.25">
      <c r="A1448" s="1">
        <v>467</v>
      </c>
      <c r="B1448" t="s">
        <v>19</v>
      </c>
      <c r="C1448">
        <v>706</v>
      </c>
      <c r="D1448">
        <v>4</v>
      </c>
      <c r="E1448" t="s">
        <v>28</v>
      </c>
      <c r="F1448" t="s">
        <v>29</v>
      </c>
      <c r="G1448" t="str">
        <f>"2025-12-23 12:00:38.097"</f>
        <v>2025-12-23 12:00:38.097</v>
      </c>
      <c r="H1448" t="s">
        <v>21</v>
      </c>
      <c r="I1448">
        <v>0</v>
      </c>
      <c r="J1448" t="s">
        <v>30</v>
      </c>
    </row>
    <row r="1449" spans="1:10" x14ac:dyDescent="0.25">
      <c r="A1449" s="1">
        <v>468</v>
      </c>
      <c r="B1449" t="s">
        <v>19</v>
      </c>
      <c r="C1449">
        <v>706</v>
      </c>
      <c r="D1449">
        <v>3</v>
      </c>
      <c r="E1449" t="s">
        <v>28</v>
      </c>
      <c r="F1449" t="s">
        <v>43</v>
      </c>
      <c r="G1449" t="str">
        <f>"2025-12-23 12:00:24.787"</f>
        <v>2025-12-23 12:00:24.787</v>
      </c>
      <c r="H1449" t="s">
        <v>21</v>
      </c>
      <c r="I1449">
        <v>0</v>
      </c>
      <c r="J1449" t="s">
        <v>30</v>
      </c>
    </row>
    <row r="1450" spans="1:10" x14ac:dyDescent="0.25">
      <c r="A1450" s="1">
        <v>469</v>
      </c>
      <c r="B1450" t="s">
        <v>23</v>
      </c>
      <c r="C1450">
        <v>98</v>
      </c>
      <c r="D1450">
        <v>1</v>
      </c>
      <c r="E1450" t="s">
        <v>65</v>
      </c>
      <c r="F1450" t="s">
        <v>66</v>
      </c>
      <c r="G1450" t="str">
        <f>"2025-12-23 11:37:44.778"</f>
        <v>2025-12-23 11:37:44.778</v>
      </c>
      <c r="H1450" t="s">
        <v>21</v>
      </c>
    </row>
    <row r="1451" spans="1:10" x14ac:dyDescent="0.25">
      <c r="A1451" s="1">
        <v>470</v>
      </c>
      <c r="B1451" t="s">
        <v>26</v>
      </c>
      <c r="C1451">
        <v>98</v>
      </c>
      <c r="D1451">
        <v>1</v>
      </c>
      <c r="E1451" t="s">
        <v>65</v>
      </c>
      <c r="F1451" t="s">
        <v>66</v>
      </c>
      <c r="G1451" t="str">
        <f>"2025-12-23 11:37:43.778"</f>
        <v>2025-12-23 11:37:43.778</v>
      </c>
      <c r="H1451" t="s">
        <v>21</v>
      </c>
      <c r="I1451">
        <v>6.78</v>
      </c>
      <c r="J1451" t="s">
        <v>33</v>
      </c>
    </row>
    <row r="1452" spans="1:10" x14ac:dyDescent="0.25">
      <c r="A1452" s="1">
        <v>471</v>
      </c>
      <c r="B1452" t="s">
        <v>23</v>
      </c>
      <c r="C1452">
        <v>98</v>
      </c>
      <c r="D1452">
        <v>1</v>
      </c>
      <c r="E1452" t="s">
        <v>65</v>
      </c>
      <c r="F1452" t="s">
        <v>66</v>
      </c>
      <c r="G1452" t="str">
        <f>"2025-12-23 08:45:14.778"</f>
        <v>2025-12-23 08:45:14.778</v>
      </c>
      <c r="H1452" t="s">
        <v>21</v>
      </c>
    </row>
    <row r="1453" spans="1:10" x14ac:dyDescent="0.25">
      <c r="A1453" s="1">
        <v>472</v>
      </c>
      <c r="B1453" t="s">
        <v>26</v>
      </c>
      <c r="C1453">
        <v>98</v>
      </c>
      <c r="D1453">
        <v>1</v>
      </c>
      <c r="E1453" t="s">
        <v>65</v>
      </c>
      <c r="F1453" t="s">
        <v>66</v>
      </c>
      <c r="G1453" t="str">
        <f>"2025-12-23 08:45:13.778"</f>
        <v>2025-12-23 08:45:13.778</v>
      </c>
      <c r="H1453" t="s">
        <v>21</v>
      </c>
      <c r="I1453">
        <v>17.34</v>
      </c>
      <c r="J1453" t="s">
        <v>33</v>
      </c>
    </row>
    <row r="1454" spans="1:10" x14ac:dyDescent="0.25">
      <c r="A1454" s="1">
        <v>473</v>
      </c>
      <c r="B1454" t="s">
        <v>23</v>
      </c>
      <c r="C1454">
        <v>635</v>
      </c>
      <c r="D1454">
        <v>1</v>
      </c>
      <c r="E1454" t="s">
        <v>31</v>
      </c>
      <c r="F1454" t="s">
        <v>32</v>
      </c>
      <c r="G1454" t="str">
        <f>"2025-12-23 06:19:57.017"</f>
        <v>2025-12-23 06:19:57.017</v>
      </c>
      <c r="H1454" t="s">
        <v>21</v>
      </c>
    </row>
    <row r="1455" spans="1:10" x14ac:dyDescent="0.25">
      <c r="A1455" s="1">
        <v>474</v>
      </c>
      <c r="B1455" t="s">
        <v>26</v>
      </c>
      <c r="C1455">
        <v>635</v>
      </c>
      <c r="D1455">
        <v>1</v>
      </c>
      <c r="E1455" t="s">
        <v>31</v>
      </c>
      <c r="F1455" t="s">
        <v>32</v>
      </c>
      <c r="G1455" t="str">
        <f>"2025-12-23 06:16:16.517"</f>
        <v>2025-12-23 06:16:16.517</v>
      </c>
      <c r="H1455" t="s">
        <v>21</v>
      </c>
      <c r="I1455">
        <v>1.72</v>
      </c>
      <c r="J1455" t="s">
        <v>33</v>
      </c>
    </row>
    <row r="1456" spans="1:10" s="3" customFormat="1" x14ac:dyDescent="0.25">
      <c r="A1456" s="2">
        <v>475</v>
      </c>
      <c r="B1456" s="3" t="s">
        <v>23</v>
      </c>
      <c r="C1456" s="3">
        <v>647</v>
      </c>
      <c r="D1456" s="3">
        <v>1</v>
      </c>
      <c r="E1456" s="3" t="s">
        <v>24</v>
      </c>
      <c r="F1456" s="3" t="s">
        <v>25</v>
      </c>
      <c r="G1456" s="3" t="str">
        <f>"2025-12-23 05:27:21.065"</f>
        <v>2025-12-23 05:27:21.065</v>
      </c>
      <c r="H1456" s="3" t="s">
        <v>21</v>
      </c>
    </row>
    <row r="1457" spans="1:10" s="3" customFormat="1" x14ac:dyDescent="0.25">
      <c r="A1457" s="2">
        <v>476</v>
      </c>
      <c r="B1457" s="3" t="s">
        <v>26</v>
      </c>
      <c r="C1457" s="3">
        <v>647</v>
      </c>
      <c r="D1457" s="3">
        <v>1</v>
      </c>
      <c r="E1457" s="3" t="s">
        <v>24</v>
      </c>
      <c r="F1457" s="3" t="s">
        <v>25</v>
      </c>
      <c r="G1457" s="3" t="str">
        <f>"2025-12-23 05:27:15.165"</f>
        <v>2025-12-23 05:27:15.165</v>
      </c>
      <c r="H1457" s="3" t="s">
        <v>21</v>
      </c>
      <c r="I1457" s="3">
        <v>8.44</v>
      </c>
      <c r="J1457" s="3" t="s">
        <v>34</v>
      </c>
    </row>
    <row r="1458" spans="1:10" s="3" customFormat="1" x14ac:dyDescent="0.25">
      <c r="A1458" s="2">
        <v>477</v>
      </c>
      <c r="B1458" s="3" t="s">
        <v>23</v>
      </c>
      <c r="C1458" s="3">
        <v>647</v>
      </c>
      <c r="D1458" s="3">
        <v>1</v>
      </c>
      <c r="E1458" s="3" t="s">
        <v>24</v>
      </c>
      <c r="F1458" s="3" t="s">
        <v>25</v>
      </c>
      <c r="G1458" s="3" t="str">
        <f>"2025-12-23 02:51:22.066"</f>
        <v>2025-12-23 02:51:22.066</v>
      </c>
      <c r="H1458" s="3" t="s">
        <v>21</v>
      </c>
    </row>
    <row r="1459" spans="1:10" s="3" customFormat="1" x14ac:dyDescent="0.25">
      <c r="A1459" s="2">
        <v>478</v>
      </c>
      <c r="B1459" s="3" t="s">
        <v>26</v>
      </c>
      <c r="C1459" s="3">
        <v>647</v>
      </c>
      <c r="D1459" s="3">
        <v>1</v>
      </c>
      <c r="E1459" s="3" t="s">
        <v>24</v>
      </c>
      <c r="F1459" s="3" t="s">
        <v>25</v>
      </c>
      <c r="G1459" s="3" t="str">
        <f>"2025-12-23 02:51:19.965"</f>
        <v>2025-12-23 02:51:19.965</v>
      </c>
      <c r="H1459" s="3" t="s">
        <v>21</v>
      </c>
      <c r="I1459" s="3">
        <v>9.41</v>
      </c>
      <c r="J1459" s="3" t="s">
        <v>34</v>
      </c>
    </row>
    <row r="1460" spans="1:10" s="3" customFormat="1" x14ac:dyDescent="0.25">
      <c r="A1460" s="2">
        <v>479</v>
      </c>
      <c r="B1460" s="3" t="s">
        <v>23</v>
      </c>
      <c r="C1460" s="3">
        <v>647</v>
      </c>
      <c r="D1460" s="3">
        <v>1</v>
      </c>
      <c r="E1460" s="3" t="s">
        <v>24</v>
      </c>
      <c r="F1460" s="3" t="s">
        <v>25</v>
      </c>
      <c r="G1460" s="3" t="str">
        <f>"2025-12-23 01:37:13.465"</f>
        <v>2025-12-23 01:37:13.465</v>
      </c>
      <c r="H1460" s="3" t="s">
        <v>21</v>
      </c>
    </row>
    <row r="1461" spans="1:10" s="3" customFormat="1" x14ac:dyDescent="0.25">
      <c r="A1461" s="2">
        <v>480</v>
      </c>
      <c r="B1461" s="3" t="s">
        <v>26</v>
      </c>
      <c r="C1461" s="3">
        <v>647</v>
      </c>
      <c r="D1461" s="3">
        <v>1</v>
      </c>
      <c r="E1461" s="3" t="s">
        <v>24</v>
      </c>
      <c r="F1461" s="3" t="s">
        <v>25</v>
      </c>
      <c r="G1461" s="3" t="str">
        <f>"2025-12-23 01:37:11.265"</f>
        <v>2025-12-23 01:37:11.265</v>
      </c>
      <c r="H1461" s="3" t="s">
        <v>21</v>
      </c>
      <c r="I1461" s="3">
        <v>8.4700000000000006</v>
      </c>
      <c r="J1461" s="3" t="s">
        <v>34</v>
      </c>
    </row>
    <row r="1462" spans="1:10" x14ac:dyDescent="0.25">
      <c r="A1462" s="1">
        <v>481</v>
      </c>
      <c r="B1462" t="s">
        <v>19</v>
      </c>
      <c r="C1462">
        <v>706</v>
      </c>
      <c r="D1462">
        <v>4</v>
      </c>
      <c r="E1462" t="s">
        <v>28</v>
      </c>
      <c r="F1462" t="s">
        <v>29</v>
      </c>
      <c r="G1462" t="str">
        <f>"2025-12-23 01:28:37.787"</f>
        <v>2025-12-23 01:28:37.787</v>
      </c>
      <c r="H1462" t="s">
        <v>21</v>
      </c>
      <c r="I1462">
        <v>0</v>
      </c>
      <c r="J1462" t="s">
        <v>30</v>
      </c>
    </row>
    <row r="1463" spans="1:10" x14ac:dyDescent="0.25">
      <c r="A1463" s="1">
        <v>482</v>
      </c>
      <c r="B1463" t="s">
        <v>23</v>
      </c>
      <c r="C1463">
        <v>630</v>
      </c>
      <c r="D1463">
        <v>5</v>
      </c>
      <c r="E1463" t="s">
        <v>35</v>
      </c>
      <c r="F1463" t="s">
        <v>36</v>
      </c>
      <c r="G1463" t="str">
        <f>"2025-12-22 16:17:36.165"</f>
        <v>2025-12-22 16:17:36.165</v>
      </c>
      <c r="H1463" t="s">
        <v>37</v>
      </c>
    </row>
    <row r="1464" spans="1:10" x14ac:dyDescent="0.25">
      <c r="A1464" s="1">
        <v>483</v>
      </c>
      <c r="B1464" t="s">
        <v>19</v>
      </c>
      <c r="C1464">
        <v>706</v>
      </c>
      <c r="D1464">
        <v>4</v>
      </c>
      <c r="E1464" t="s">
        <v>28</v>
      </c>
      <c r="F1464" t="s">
        <v>29</v>
      </c>
      <c r="G1464" t="str">
        <f>"2025-12-22 16:17:05.987"</f>
        <v>2025-12-22 16:17:05.987</v>
      </c>
      <c r="H1464" t="s">
        <v>21</v>
      </c>
      <c r="I1464">
        <v>0</v>
      </c>
      <c r="J1464" t="s">
        <v>30</v>
      </c>
    </row>
    <row r="1465" spans="1:10" x14ac:dyDescent="0.25">
      <c r="A1465" s="1">
        <v>484</v>
      </c>
      <c r="B1465" t="s">
        <v>38</v>
      </c>
      <c r="C1465">
        <v>630</v>
      </c>
      <c r="D1465">
        <v>5</v>
      </c>
      <c r="E1465" t="s">
        <v>35</v>
      </c>
      <c r="F1465" t="s">
        <v>36</v>
      </c>
      <c r="G1465" t="str">
        <f>"2025-12-22 16:03:19.866"</f>
        <v>2025-12-22 16:03:19.866</v>
      </c>
      <c r="H1465" t="s">
        <v>37</v>
      </c>
      <c r="I1465">
        <v>0</v>
      </c>
      <c r="J1465" t="s">
        <v>30</v>
      </c>
    </row>
    <row r="1466" spans="1:10" x14ac:dyDescent="0.25">
      <c r="A1466" s="1">
        <v>485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"2025-12-22 15:58:17.087"</f>
        <v>2025-12-22 15:58:17.087</v>
      </c>
      <c r="H1466" t="s">
        <v>21</v>
      </c>
    </row>
    <row r="1467" spans="1:10" x14ac:dyDescent="0.25">
      <c r="A1467" s="1">
        <v>486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"2025-12-22 13:37:51.991"</f>
        <v>2025-12-22 13:37:51.991</v>
      </c>
      <c r="H1467" t="s">
        <v>21</v>
      </c>
    </row>
    <row r="1468" spans="1:10" s="3" customFormat="1" x14ac:dyDescent="0.25">
      <c r="A1468" s="2">
        <v>487</v>
      </c>
      <c r="B1468" s="3" t="s">
        <v>23</v>
      </c>
      <c r="C1468" s="3">
        <v>647</v>
      </c>
      <c r="D1468" s="3">
        <v>1</v>
      </c>
      <c r="E1468" s="3" t="s">
        <v>24</v>
      </c>
      <c r="F1468" s="3" t="s">
        <v>25</v>
      </c>
      <c r="G1468" s="3" t="str">
        <f>"2025-12-22 11:18:39.438"</f>
        <v>2025-12-22 11:18:39.438</v>
      </c>
      <c r="H1468" s="3" t="s">
        <v>21</v>
      </c>
    </row>
    <row r="1469" spans="1:10" s="3" customFormat="1" x14ac:dyDescent="0.25">
      <c r="A1469" s="2">
        <v>488</v>
      </c>
      <c r="B1469" s="3" t="s">
        <v>26</v>
      </c>
      <c r="C1469" s="3">
        <v>647</v>
      </c>
      <c r="D1469" s="3">
        <v>1</v>
      </c>
      <c r="E1469" s="3" t="s">
        <v>24</v>
      </c>
      <c r="F1469" s="3" t="s">
        <v>25</v>
      </c>
      <c r="G1469" s="3" t="str">
        <f>"2025-12-22 11:18:38.338"</f>
        <v>2025-12-22 11:18:38.338</v>
      </c>
      <c r="H1469" s="3" t="s">
        <v>21</v>
      </c>
      <c r="I1469" s="3">
        <v>21.69</v>
      </c>
      <c r="J1469" s="3" t="s">
        <v>27</v>
      </c>
    </row>
    <row r="1470" spans="1:10" x14ac:dyDescent="0.25">
      <c r="A1470" s="1">
        <v>489</v>
      </c>
      <c r="B1470" t="s">
        <v>19</v>
      </c>
      <c r="C1470">
        <v>706</v>
      </c>
      <c r="D1470">
        <v>4</v>
      </c>
      <c r="E1470" t="s">
        <v>28</v>
      </c>
      <c r="F1470" t="s">
        <v>29</v>
      </c>
      <c r="G1470" t="str">
        <f>"2025-12-22 11:03:38.450"</f>
        <v>2025-12-22 11:03:38.450</v>
      </c>
      <c r="H1470" t="s">
        <v>21</v>
      </c>
      <c r="I1470">
        <v>0</v>
      </c>
      <c r="J1470" t="s">
        <v>30</v>
      </c>
    </row>
    <row r="1471" spans="1:10" s="3" customFormat="1" x14ac:dyDescent="0.25">
      <c r="A1471" s="2">
        <v>490</v>
      </c>
      <c r="B1471" s="3" t="s">
        <v>23</v>
      </c>
      <c r="C1471" s="3">
        <v>647</v>
      </c>
      <c r="D1471" s="3">
        <v>1</v>
      </c>
      <c r="E1471" s="3" t="s">
        <v>24</v>
      </c>
      <c r="F1471" s="3" t="s">
        <v>25</v>
      </c>
      <c r="G1471" s="3" t="str">
        <f>"2025-12-22 07:52:15.538"</f>
        <v>2025-12-22 07:52:15.538</v>
      </c>
      <c r="H1471" s="3" t="s">
        <v>21</v>
      </c>
    </row>
    <row r="1472" spans="1:10" s="3" customFormat="1" x14ac:dyDescent="0.25">
      <c r="A1472" s="2">
        <v>491</v>
      </c>
      <c r="B1472" s="3" t="s">
        <v>26</v>
      </c>
      <c r="C1472" s="3">
        <v>647</v>
      </c>
      <c r="D1472" s="3">
        <v>1</v>
      </c>
      <c r="E1472" s="3" t="s">
        <v>24</v>
      </c>
      <c r="F1472" s="3" t="s">
        <v>25</v>
      </c>
      <c r="G1472" s="3" t="str">
        <f>"2025-12-22 07:52:13.638"</f>
        <v>2025-12-22 07:52:13.638</v>
      </c>
      <c r="H1472" s="3" t="s">
        <v>21</v>
      </c>
      <c r="I1472" s="3">
        <v>15.32</v>
      </c>
      <c r="J1472" s="3" t="s">
        <v>27</v>
      </c>
    </row>
    <row r="1473" spans="1:10" x14ac:dyDescent="0.25">
      <c r="A1473" s="1">
        <v>492</v>
      </c>
      <c r="B1473" t="s">
        <v>19</v>
      </c>
      <c r="C1473">
        <v>706</v>
      </c>
      <c r="D1473">
        <v>2</v>
      </c>
      <c r="E1473" t="s">
        <v>28</v>
      </c>
      <c r="F1473" t="s">
        <v>39</v>
      </c>
      <c r="G1473" t="str">
        <f>"2025-12-22 05:42:44.770"</f>
        <v>2025-12-22 05:42:44.770</v>
      </c>
      <c r="H1473" t="s">
        <v>21</v>
      </c>
      <c r="I1473">
        <v>0</v>
      </c>
      <c r="J1473" t="s">
        <v>30</v>
      </c>
    </row>
    <row r="1474" spans="1:10" x14ac:dyDescent="0.25">
      <c r="A1474" s="1">
        <v>493</v>
      </c>
      <c r="B1474" t="s">
        <v>23</v>
      </c>
      <c r="C1474">
        <v>635</v>
      </c>
      <c r="D1474">
        <v>1</v>
      </c>
      <c r="E1474" t="s">
        <v>31</v>
      </c>
      <c r="F1474" t="s">
        <v>32</v>
      </c>
      <c r="G1474" t="str">
        <f>"2025-12-22 03:51:40.690"</f>
        <v>2025-12-22 03:51:40.690</v>
      </c>
      <c r="H1474" t="s">
        <v>21</v>
      </c>
    </row>
    <row r="1475" spans="1:10" x14ac:dyDescent="0.25">
      <c r="A1475" s="1">
        <v>494</v>
      </c>
      <c r="B1475" t="s">
        <v>19</v>
      </c>
      <c r="C1475">
        <v>706</v>
      </c>
      <c r="D1475">
        <v>2</v>
      </c>
      <c r="E1475" t="s">
        <v>28</v>
      </c>
      <c r="F1475" t="s">
        <v>39</v>
      </c>
      <c r="G1475" t="str">
        <f>"2025-12-22 03:42:39.670"</f>
        <v>2025-12-22 03:42:39.670</v>
      </c>
      <c r="H1475" t="s">
        <v>21</v>
      </c>
      <c r="I1475">
        <v>0</v>
      </c>
      <c r="J1475" t="s">
        <v>30</v>
      </c>
    </row>
    <row r="1476" spans="1:10" x14ac:dyDescent="0.25">
      <c r="A1476" s="1">
        <v>495</v>
      </c>
      <c r="B1476" t="s">
        <v>26</v>
      </c>
      <c r="C1476">
        <v>635</v>
      </c>
      <c r="D1476">
        <v>1</v>
      </c>
      <c r="E1476" t="s">
        <v>31</v>
      </c>
      <c r="F1476" t="s">
        <v>32</v>
      </c>
      <c r="G1476" t="str">
        <f>"2025-12-22 03:41:28.190"</f>
        <v>2025-12-22 03:41:28.190</v>
      </c>
      <c r="H1476" t="s">
        <v>21</v>
      </c>
      <c r="I1476">
        <v>5.53</v>
      </c>
      <c r="J1476" t="s">
        <v>33</v>
      </c>
    </row>
    <row r="1477" spans="1:10" x14ac:dyDescent="0.25">
      <c r="A1477" s="1">
        <v>496</v>
      </c>
      <c r="B1477" t="s">
        <v>19</v>
      </c>
      <c r="C1477">
        <v>706</v>
      </c>
      <c r="D1477">
        <v>4</v>
      </c>
      <c r="E1477" t="s">
        <v>28</v>
      </c>
      <c r="F1477" t="s">
        <v>29</v>
      </c>
      <c r="G1477" t="str">
        <f>"2025-12-22 01:42:32.560"</f>
        <v>2025-12-22 01:42:32.560</v>
      </c>
      <c r="H1477" t="s">
        <v>21</v>
      </c>
      <c r="I1477">
        <v>0</v>
      </c>
      <c r="J1477" t="s">
        <v>30</v>
      </c>
    </row>
    <row r="1478" spans="1:10" x14ac:dyDescent="0.25">
      <c r="A1478" s="1">
        <v>497</v>
      </c>
      <c r="B1478" t="s">
        <v>19</v>
      </c>
      <c r="C1478">
        <v>706</v>
      </c>
      <c r="D1478">
        <v>2</v>
      </c>
      <c r="E1478" t="s">
        <v>28</v>
      </c>
      <c r="F1478" t="s">
        <v>39</v>
      </c>
      <c r="G1478" t="str">
        <f>"2025-12-21 20:10:08.470"</f>
        <v>2025-12-21 20:10:08.470</v>
      </c>
      <c r="H1478" t="s">
        <v>21</v>
      </c>
      <c r="I1478">
        <v>0</v>
      </c>
      <c r="J1478" t="s">
        <v>30</v>
      </c>
    </row>
    <row r="1479" spans="1:10" s="3" customFormat="1" x14ac:dyDescent="0.25">
      <c r="A1479" s="2">
        <v>498</v>
      </c>
      <c r="B1479" s="3" t="s">
        <v>23</v>
      </c>
      <c r="C1479" s="3">
        <v>647</v>
      </c>
      <c r="D1479" s="3">
        <v>1</v>
      </c>
      <c r="E1479" s="3" t="s">
        <v>24</v>
      </c>
      <c r="F1479" s="3" t="s">
        <v>25</v>
      </c>
      <c r="G1479" s="3" t="str">
        <f>"2025-12-21 15:19:04.238"</f>
        <v>2025-12-21 15:19:04.238</v>
      </c>
      <c r="H1479" s="3" t="s">
        <v>21</v>
      </c>
    </row>
    <row r="1480" spans="1:10" s="3" customFormat="1" x14ac:dyDescent="0.25">
      <c r="A1480" s="2">
        <v>499</v>
      </c>
      <c r="B1480" s="3" t="s">
        <v>26</v>
      </c>
      <c r="C1480" s="3">
        <v>647</v>
      </c>
      <c r="D1480" s="3">
        <v>1</v>
      </c>
      <c r="E1480" s="3" t="s">
        <v>24</v>
      </c>
      <c r="F1480" s="3" t="s">
        <v>25</v>
      </c>
      <c r="G1480" s="3" t="str">
        <f>"2025-12-21 15:19:03.038"</f>
        <v>2025-12-21 15:19:03.038</v>
      </c>
      <c r="H1480" s="3" t="s">
        <v>21</v>
      </c>
      <c r="I1480" s="3">
        <v>9.4700000000000006</v>
      </c>
      <c r="J1480" s="3" t="s">
        <v>34</v>
      </c>
    </row>
    <row r="1481" spans="1:10" s="3" customFormat="1" x14ac:dyDescent="0.25">
      <c r="A1481" s="2">
        <v>500</v>
      </c>
      <c r="B1481" s="3" t="s">
        <v>23</v>
      </c>
      <c r="C1481" s="3">
        <v>647</v>
      </c>
      <c r="D1481" s="3">
        <v>1</v>
      </c>
      <c r="E1481" s="3" t="s">
        <v>24</v>
      </c>
      <c r="F1481" s="3" t="s">
        <v>25</v>
      </c>
      <c r="G1481" s="3" t="str">
        <f>"2025-12-21 14:37:07.138"</f>
        <v>2025-12-21 14:37:07.138</v>
      </c>
      <c r="H1481" s="3" t="s">
        <v>21</v>
      </c>
    </row>
    <row r="1482" spans="1:10" s="3" customFormat="1" x14ac:dyDescent="0.25">
      <c r="A1482" s="2">
        <v>501</v>
      </c>
      <c r="B1482" s="3" t="s">
        <v>26</v>
      </c>
      <c r="C1482" s="3">
        <v>647</v>
      </c>
      <c r="D1482" s="3">
        <v>1</v>
      </c>
      <c r="E1482" s="3" t="s">
        <v>24</v>
      </c>
      <c r="F1482" s="3" t="s">
        <v>25</v>
      </c>
      <c r="G1482" s="3" t="str">
        <f>"2025-12-21 14:37:03.238"</f>
        <v>2025-12-21 14:37:03.238</v>
      </c>
      <c r="H1482" s="3" t="s">
        <v>21</v>
      </c>
      <c r="I1482" s="3">
        <v>11.09</v>
      </c>
      <c r="J1482" s="3" t="s">
        <v>27</v>
      </c>
    </row>
    <row r="1483" spans="1:10" s="3" customFormat="1" x14ac:dyDescent="0.25">
      <c r="A1483" s="2">
        <v>502</v>
      </c>
      <c r="B1483" s="3" t="s">
        <v>23</v>
      </c>
      <c r="C1483" s="3">
        <v>647</v>
      </c>
      <c r="D1483" s="3">
        <v>1</v>
      </c>
      <c r="E1483" s="3" t="s">
        <v>24</v>
      </c>
      <c r="F1483" s="3" t="s">
        <v>25</v>
      </c>
      <c r="G1483" s="3" t="str">
        <f>"2025-12-21 11:59:36.338"</f>
        <v>2025-12-21 11:59:36.338</v>
      </c>
      <c r="H1483" s="3" t="s">
        <v>21</v>
      </c>
    </row>
    <row r="1484" spans="1:10" s="3" customFormat="1" x14ac:dyDescent="0.25">
      <c r="A1484" s="2">
        <v>503</v>
      </c>
      <c r="B1484" s="3" t="s">
        <v>26</v>
      </c>
      <c r="C1484" s="3">
        <v>647</v>
      </c>
      <c r="D1484" s="3">
        <v>1</v>
      </c>
      <c r="E1484" s="3" t="s">
        <v>24</v>
      </c>
      <c r="F1484" s="3" t="s">
        <v>25</v>
      </c>
      <c r="G1484" s="3" t="str">
        <f>"2025-12-21 11:59:15.738"</f>
        <v>2025-12-21 11:59:15.738</v>
      </c>
      <c r="H1484" s="3" t="s">
        <v>21</v>
      </c>
      <c r="I1484" s="3">
        <v>9.48</v>
      </c>
      <c r="J1484" s="3" t="s">
        <v>27</v>
      </c>
    </row>
    <row r="1485" spans="1:10" s="3" customFormat="1" x14ac:dyDescent="0.25">
      <c r="A1485" s="2">
        <v>504</v>
      </c>
      <c r="B1485" s="3" t="s">
        <v>23</v>
      </c>
      <c r="C1485" s="3">
        <v>647</v>
      </c>
      <c r="D1485" s="3">
        <v>1</v>
      </c>
      <c r="E1485" s="3" t="s">
        <v>24</v>
      </c>
      <c r="F1485" s="3" t="s">
        <v>25</v>
      </c>
      <c r="G1485" s="3" t="str">
        <f>"2025-12-21 11:54:52.339"</f>
        <v>2025-12-21 11:54:52.339</v>
      </c>
      <c r="H1485" s="3" t="s">
        <v>21</v>
      </c>
    </row>
    <row r="1486" spans="1:10" s="3" customFormat="1" x14ac:dyDescent="0.25">
      <c r="A1486" s="2">
        <v>505</v>
      </c>
      <c r="B1486" s="3" t="s">
        <v>26</v>
      </c>
      <c r="C1486" s="3">
        <v>647</v>
      </c>
      <c r="D1486" s="3">
        <v>1</v>
      </c>
      <c r="E1486" s="3" t="s">
        <v>24</v>
      </c>
      <c r="F1486" s="3" t="s">
        <v>25</v>
      </c>
      <c r="G1486" s="3" t="str">
        <f>"2025-12-21 11:54:49.238"</f>
        <v>2025-12-21 11:54:49.238</v>
      </c>
      <c r="H1486" s="3" t="s">
        <v>21</v>
      </c>
      <c r="I1486" s="3">
        <v>14.91</v>
      </c>
      <c r="J1486" s="3" t="s">
        <v>27</v>
      </c>
    </row>
    <row r="1487" spans="1:10" s="3" customFormat="1" x14ac:dyDescent="0.25">
      <c r="A1487" s="2">
        <v>506</v>
      </c>
      <c r="B1487" s="3" t="s">
        <v>23</v>
      </c>
      <c r="C1487" s="3">
        <v>647</v>
      </c>
      <c r="D1487" s="3">
        <v>1</v>
      </c>
      <c r="E1487" s="3" t="s">
        <v>24</v>
      </c>
      <c r="F1487" s="3" t="s">
        <v>25</v>
      </c>
      <c r="G1487" s="3" t="str">
        <f>"2025-12-21 11:08:53.638"</f>
        <v>2025-12-21 11:08:53.638</v>
      </c>
      <c r="H1487" s="3" t="s">
        <v>21</v>
      </c>
    </row>
    <row r="1488" spans="1:10" s="3" customFormat="1" x14ac:dyDescent="0.25">
      <c r="A1488" s="2">
        <v>507</v>
      </c>
      <c r="B1488" s="3" t="s">
        <v>26</v>
      </c>
      <c r="C1488" s="3">
        <v>647</v>
      </c>
      <c r="D1488" s="3">
        <v>1</v>
      </c>
      <c r="E1488" s="3" t="s">
        <v>24</v>
      </c>
      <c r="F1488" s="3" t="s">
        <v>25</v>
      </c>
      <c r="G1488" s="3" t="str">
        <f>"2025-12-21 11:08:34.139"</f>
        <v>2025-12-21 11:08:34.139</v>
      </c>
      <c r="H1488" s="3" t="s">
        <v>21</v>
      </c>
      <c r="I1488" s="3">
        <v>9.3699999999999992</v>
      </c>
      <c r="J1488" s="3" t="s">
        <v>27</v>
      </c>
    </row>
    <row r="1489" spans="1:10" x14ac:dyDescent="0.25">
      <c r="A1489" s="1">
        <v>508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"2025-12-21 10:33:19.950"</f>
        <v>2025-12-21 10:33:19.950</v>
      </c>
      <c r="H1489" t="s">
        <v>21</v>
      </c>
    </row>
    <row r="1490" spans="1:10" x14ac:dyDescent="0.25">
      <c r="A1490" s="1">
        <v>509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"2025-12-21 10:21:23.963"</f>
        <v>2025-12-21 10:21:23.963</v>
      </c>
      <c r="H1490" t="s">
        <v>21</v>
      </c>
      <c r="I1490">
        <v>0</v>
      </c>
      <c r="J1490" t="s">
        <v>22</v>
      </c>
    </row>
    <row r="1491" spans="1:10" s="3" customFormat="1" x14ac:dyDescent="0.25">
      <c r="A1491" s="2">
        <v>510</v>
      </c>
      <c r="B1491" s="3" t="s">
        <v>23</v>
      </c>
      <c r="C1491" s="3">
        <v>647</v>
      </c>
      <c r="D1491" s="3">
        <v>1</v>
      </c>
      <c r="E1491" s="3" t="s">
        <v>24</v>
      </c>
      <c r="F1491" s="3" t="s">
        <v>25</v>
      </c>
      <c r="G1491" s="3" t="str">
        <f>"2025-12-21 09:58:05.464"</f>
        <v>2025-12-21 09:58:05.464</v>
      </c>
      <c r="H1491" s="3" t="s">
        <v>21</v>
      </c>
    </row>
    <row r="1492" spans="1:10" s="3" customFormat="1" x14ac:dyDescent="0.25">
      <c r="A1492" s="2">
        <v>511</v>
      </c>
      <c r="B1492" s="3" t="s">
        <v>26</v>
      </c>
      <c r="C1492" s="3">
        <v>647</v>
      </c>
      <c r="D1492" s="3">
        <v>1</v>
      </c>
      <c r="E1492" s="3" t="s">
        <v>24</v>
      </c>
      <c r="F1492" s="3" t="s">
        <v>25</v>
      </c>
      <c r="G1492" s="3" t="str">
        <f>"2025-12-21 09:57:56.164"</f>
        <v>2025-12-21 09:57:56.164</v>
      </c>
      <c r="H1492" s="3" t="s">
        <v>21</v>
      </c>
      <c r="I1492" s="3">
        <v>10.01</v>
      </c>
      <c r="J1492" s="3" t="s">
        <v>34</v>
      </c>
    </row>
    <row r="1493" spans="1:10" x14ac:dyDescent="0.25">
      <c r="A1493" s="1">
        <v>512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"2025-12-21 08:27:31.093"</f>
        <v>2025-12-21 08:27:31.093</v>
      </c>
      <c r="H1493" t="s">
        <v>21</v>
      </c>
      <c r="I1493">
        <v>0</v>
      </c>
      <c r="J1493" t="s">
        <v>22</v>
      </c>
    </row>
    <row r="1494" spans="1:10" x14ac:dyDescent="0.25">
      <c r="A1494" s="1">
        <v>513</v>
      </c>
      <c r="B1494" t="s">
        <v>19</v>
      </c>
      <c r="C1494">
        <v>706</v>
      </c>
      <c r="D1494">
        <v>2</v>
      </c>
      <c r="E1494" t="s">
        <v>28</v>
      </c>
      <c r="F1494" t="s">
        <v>39</v>
      </c>
      <c r="G1494" t="str">
        <f>"2025-12-20 22:58:00.917"</f>
        <v>2025-12-20 22:58:00.917</v>
      </c>
      <c r="H1494" t="s">
        <v>21</v>
      </c>
      <c r="I1494">
        <v>0</v>
      </c>
      <c r="J1494" t="s">
        <v>30</v>
      </c>
    </row>
    <row r="1495" spans="1:10" s="3" customFormat="1" x14ac:dyDescent="0.25">
      <c r="A1495" s="2">
        <v>514</v>
      </c>
      <c r="B1495" s="3" t="s">
        <v>23</v>
      </c>
      <c r="C1495" s="3">
        <v>647</v>
      </c>
      <c r="D1495" s="3">
        <v>1</v>
      </c>
      <c r="E1495" s="3" t="s">
        <v>24</v>
      </c>
      <c r="F1495" s="3" t="s">
        <v>25</v>
      </c>
      <c r="G1495" s="3" t="str">
        <f>"2025-12-20 19:23:38.169"</f>
        <v>2025-12-20 19:23:38.169</v>
      </c>
      <c r="H1495" s="3" t="s">
        <v>21</v>
      </c>
    </row>
    <row r="1496" spans="1:10" s="3" customFormat="1" x14ac:dyDescent="0.25">
      <c r="A1496" s="2">
        <v>515</v>
      </c>
      <c r="B1496" s="3" t="s">
        <v>26</v>
      </c>
      <c r="C1496" s="3">
        <v>647</v>
      </c>
      <c r="D1496" s="3">
        <v>1</v>
      </c>
      <c r="E1496" s="3" t="s">
        <v>24</v>
      </c>
      <c r="F1496" s="3" t="s">
        <v>25</v>
      </c>
      <c r="G1496" s="3" t="str">
        <f>"2025-12-20 19:23:20.069"</f>
        <v>2025-12-20 19:23:20.069</v>
      </c>
      <c r="H1496" s="3" t="s">
        <v>21</v>
      </c>
      <c r="I1496" s="3">
        <v>14.69</v>
      </c>
      <c r="J1496" s="3" t="s">
        <v>27</v>
      </c>
    </row>
    <row r="1497" spans="1:10" x14ac:dyDescent="0.25">
      <c r="A1497" s="1">
        <v>516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"2025-12-20 12:19:58.997"</f>
        <v>2025-12-20 12:19:58.997</v>
      </c>
      <c r="H1497" t="s">
        <v>21</v>
      </c>
      <c r="I1497">
        <v>0</v>
      </c>
      <c r="J1497" t="s">
        <v>22</v>
      </c>
    </row>
    <row r="1498" spans="1:10" s="3" customFormat="1" x14ac:dyDescent="0.25">
      <c r="A1498" s="2">
        <v>517</v>
      </c>
      <c r="B1498" s="3" t="s">
        <v>23</v>
      </c>
      <c r="C1498" s="3">
        <v>647</v>
      </c>
      <c r="D1498" s="3">
        <v>1</v>
      </c>
      <c r="E1498" s="3" t="s">
        <v>24</v>
      </c>
      <c r="F1498" s="3" t="s">
        <v>25</v>
      </c>
      <c r="G1498" s="3" t="str">
        <f>"2025-12-20 11:38:06.917"</f>
        <v>2025-12-20 11:38:06.917</v>
      </c>
      <c r="H1498" s="3" t="s">
        <v>21</v>
      </c>
    </row>
    <row r="1499" spans="1:10" s="3" customFormat="1" x14ac:dyDescent="0.25">
      <c r="A1499" s="2">
        <v>518</v>
      </c>
      <c r="B1499" s="3" t="s">
        <v>26</v>
      </c>
      <c r="C1499" s="3">
        <v>647</v>
      </c>
      <c r="D1499" s="3">
        <v>1</v>
      </c>
      <c r="E1499" s="3" t="s">
        <v>24</v>
      </c>
      <c r="F1499" s="3" t="s">
        <v>25</v>
      </c>
      <c r="G1499" s="3" t="str">
        <f>"2025-12-20 11:37:59.617"</f>
        <v>2025-12-20 11:37:59.617</v>
      </c>
      <c r="H1499" s="3" t="s">
        <v>21</v>
      </c>
      <c r="I1499" s="3">
        <v>13.96</v>
      </c>
      <c r="J1499" s="3" t="s">
        <v>27</v>
      </c>
    </row>
    <row r="1500" spans="1:10" s="3" customFormat="1" x14ac:dyDescent="0.25">
      <c r="A1500" s="2">
        <v>519</v>
      </c>
      <c r="B1500" s="3" t="s">
        <v>23</v>
      </c>
      <c r="C1500" s="3">
        <v>647</v>
      </c>
      <c r="D1500" s="3">
        <v>1</v>
      </c>
      <c r="E1500" s="3" t="s">
        <v>24</v>
      </c>
      <c r="F1500" s="3" t="s">
        <v>25</v>
      </c>
      <c r="G1500" s="3" t="str">
        <f>"2025-12-20 03:58:09.317"</f>
        <v>2025-12-20 03:58:09.317</v>
      </c>
      <c r="H1500" s="3" t="s">
        <v>21</v>
      </c>
    </row>
    <row r="1501" spans="1:10" s="3" customFormat="1" x14ac:dyDescent="0.25">
      <c r="A1501" s="2">
        <v>520</v>
      </c>
      <c r="B1501" s="3" t="s">
        <v>26</v>
      </c>
      <c r="C1501" s="3">
        <v>647</v>
      </c>
      <c r="D1501" s="3">
        <v>1</v>
      </c>
      <c r="E1501" s="3" t="s">
        <v>24</v>
      </c>
      <c r="F1501" s="3" t="s">
        <v>25</v>
      </c>
      <c r="G1501" s="3" t="str">
        <f>"2025-12-20 03:58:07.217"</f>
        <v>2025-12-20 03:58:07.217</v>
      </c>
      <c r="H1501" s="3" t="s">
        <v>21</v>
      </c>
      <c r="I1501" s="3">
        <v>9.2899999999999991</v>
      </c>
      <c r="J1501" s="3" t="s">
        <v>27</v>
      </c>
    </row>
    <row r="1502" spans="1:10" x14ac:dyDescent="0.25">
      <c r="A1502" s="1">
        <v>521</v>
      </c>
      <c r="B1502" t="s">
        <v>19</v>
      </c>
      <c r="C1502">
        <v>706</v>
      </c>
      <c r="D1502">
        <v>4</v>
      </c>
      <c r="E1502" t="s">
        <v>28</v>
      </c>
      <c r="F1502" t="s">
        <v>29</v>
      </c>
      <c r="G1502" t="str">
        <f>"2025-12-20 00:09:59.985"</f>
        <v>2025-12-20 00:09:59.985</v>
      </c>
      <c r="H1502" t="s">
        <v>21</v>
      </c>
      <c r="I1502">
        <v>0</v>
      </c>
      <c r="J1502" t="s">
        <v>30</v>
      </c>
    </row>
    <row r="1503" spans="1:10" s="3" customFormat="1" x14ac:dyDescent="0.25">
      <c r="A1503" s="2">
        <v>522</v>
      </c>
      <c r="B1503" s="3" t="s">
        <v>23</v>
      </c>
      <c r="C1503" s="3">
        <v>647</v>
      </c>
      <c r="D1503" s="3">
        <v>1</v>
      </c>
      <c r="E1503" s="3" t="s">
        <v>24</v>
      </c>
      <c r="F1503" s="3" t="s">
        <v>25</v>
      </c>
      <c r="G1503" s="3" t="str">
        <f>"2025-12-19 19:36:19.417"</f>
        <v>2025-12-19 19:36:19.417</v>
      </c>
      <c r="H1503" s="3" t="s">
        <v>21</v>
      </c>
    </row>
    <row r="1504" spans="1:10" s="3" customFormat="1" x14ac:dyDescent="0.25">
      <c r="A1504" s="2">
        <v>523</v>
      </c>
      <c r="B1504" s="3" t="s">
        <v>26</v>
      </c>
      <c r="C1504" s="3">
        <v>647</v>
      </c>
      <c r="D1504" s="3">
        <v>1</v>
      </c>
      <c r="E1504" s="3" t="s">
        <v>24</v>
      </c>
      <c r="F1504" s="3" t="s">
        <v>25</v>
      </c>
      <c r="G1504" s="3" t="str">
        <f>"2025-12-19 19:36:02.117"</f>
        <v>2025-12-19 19:36:02.117</v>
      </c>
      <c r="H1504" s="3" t="s">
        <v>21</v>
      </c>
      <c r="I1504" s="3">
        <v>14.82</v>
      </c>
      <c r="J1504" s="3" t="s">
        <v>27</v>
      </c>
    </row>
    <row r="1505" spans="1:10" s="3" customFormat="1" x14ac:dyDescent="0.25">
      <c r="A1505" s="2">
        <v>524</v>
      </c>
      <c r="B1505" s="3" t="s">
        <v>23</v>
      </c>
      <c r="C1505" s="3">
        <v>647</v>
      </c>
      <c r="D1505" s="3">
        <v>1</v>
      </c>
      <c r="E1505" s="3" t="s">
        <v>24</v>
      </c>
      <c r="F1505" s="3" t="s">
        <v>25</v>
      </c>
      <c r="G1505" s="3" t="str">
        <f>"2025-12-19 19:34:20.217"</f>
        <v>2025-12-19 19:34:20.217</v>
      </c>
      <c r="H1505" s="3" t="s">
        <v>21</v>
      </c>
    </row>
    <row r="1506" spans="1:10" s="3" customFormat="1" x14ac:dyDescent="0.25">
      <c r="A1506" s="2">
        <v>525</v>
      </c>
      <c r="B1506" s="3" t="s">
        <v>26</v>
      </c>
      <c r="C1506" s="3">
        <v>647</v>
      </c>
      <c r="D1506" s="3">
        <v>1</v>
      </c>
      <c r="E1506" s="3" t="s">
        <v>24</v>
      </c>
      <c r="F1506" s="3" t="s">
        <v>25</v>
      </c>
      <c r="G1506" s="3" t="str">
        <f>"2025-12-19 19:34:12.117"</f>
        <v>2025-12-19 19:34:12.117</v>
      </c>
      <c r="H1506" s="3" t="s">
        <v>21</v>
      </c>
      <c r="I1506" s="3">
        <v>22.75</v>
      </c>
      <c r="J1506" s="3" t="s">
        <v>27</v>
      </c>
    </row>
    <row r="1507" spans="1:10" x14ac:dyDescent="0.25">
      <c r="A1507" s="1">
        <v>526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"2025-12-19 12:56:52.135"</f>
        <v>2025-12-19 12:56:52.135</v>
      </c>
      <c r="H1507" t="s">
        <v>21</v>
      </c>
      <c r="I1507">
        <v>0</v>
      </c>
      <c r="J1507" t="s">
        <v>22</v>
      </c>
    </row>
    <row r="1508" spans="1:10" x14ac:dyDescent="0.25">
      <c r="A1508" s="1">
        <v>527</v>
      </c>
      <c r="B1508" t="s">
        <v>19</v>
      </c>
      <c r="C1508">
        <v>706</v>
      </c>
      <c r="D1508">
        <v>4</v>
      </c>
      <c r="E1508" t="s">
        <v>28</v>
      </c>
      <c r="F1508" t="s">
        <v>29</v>
      </c>
      <c r="G1508" t="str">
        <f>"2025-12-18 23:49:50.287"</f>
        <v>2025-12-18 23:49:50.287</v>
      </c>
      <c r="H1508" t="s">
        <v>21</v>
      </c>
      <c r="I1508">
        <v>0</v>
      </c>
      <c r="J1508" t="s">
        <v>30</v>
      </c>
    </row>
    <row r="1509" spans="1:10" x14ac:dyDescent="0.25">
      <c r="A1509" s="1">
        <v>528</v>
      </c>
      <c r="B1509" t="s">
        <v>19</v>
      </c>
      <c r="C1509">
        <v>706</v>
      </c>
      <c r="D1509">
        <v>2</v>
      </c>
      <c r="E1509" t="s">
        <v>28</v>
      </c>
      <c r="F1509" t="s">
        <v>39</v>
      </c>
      <c r="G1509" t="str">
        <f>"2025-12-18 13:27:12.667"</f>
        <v>2025-12-18 13:27:12.667</v>
      </c>
      <c r="H1509" t="s">
        <v>21</v>
      </c>
      <c r="I1509">
        <v>0</v>
      </c>
      <c r="J1509" t="s">
        <v>30</v>
      </c>
    </row>
    <row r="1510" spans="1:10" x14ac:dyDescent="0.25">
      <c r="A1510" s="1">
        <v>529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"2025-12-18 13:26:31.967"</f>
        <v>2025-12-18 13:26:31.967</v>
      </c>
      <c r="H1510" t="s">
        <v>21</v>
      </c>
    </row>
    <row r="1511" spans="1:10" s="3" customFormat="1" x14ac:dyDescent="0.25">
      <c r="A1511" s="2">
        <v>530</v>
      </c>
      <c r="B1511" s="3" t="s">
        <v>23</v>
      </c>
      <c r="C1511" s="3">
        <v>647</v>
      </c>
      <c r="D1511" s="3">
        <v>1</v>
      </c>
      <c r="E1511" s="3" t="s">
        <v>24</v>
      </c>
      <c r="F1511" s="3" t="s">
        <v>25</v>
      </c>
      <c r="G1511" s="3" t="str">
        <f>"2025-12-18 10:13:11.004"</f>
        <v>2025-12-18 10:13:11.004</v>
      </c>
      <c r="H1511" s="3" t="s">
        <v>21</v>
      </c>
    </row>
    <row r="1512" spans="1:10" s="3" customFormat="1" x14ac:dyDescent="0.25">
      <c r="A1512" s="2">
        <v>531</v>
      </c>
      <c r="B1512" s="3" t="s">
        <v>26</v>
      </c>
      <c r="C1512" s="3">
        <v>647</v>
      </c>
      <c r="D1512" s="3">
        <v>1</v>
      </c>
      <c r="E1512" s="3" t="s">
        <v>24</v>
      </c>
      <c r="F1512" s="3" t="s">
        <v>25</v>
      </c>
      <c r="G1512" s="3" t="str">
        <f>"2025-12-18 10:13:05.904"</f>
        <v>2025-12-18 10:13:05.904</v>
      </c>
      <c r="H1512" s="3" t="s">
        <v>21</v>
      </c>
      <c r="I1512" s="3">
        <v>11.41</v>
      </c>
      <c r="J1512" s="3" t="s">
        <v>27</v>
      </c>
    </row>
    <row r="1513" spans="1:10" x14ac:dyDescent="0.25">
      <c r="A1513" s="1">
        <v>532</v>
      </c>
      <c r="B1513" t="s">
        <v>23</v>
      </c>
      <c r="C1513">
        <v>635</v>
      </c>
      <c r="D1513">
        <v>1</v>
      </c>
      <c r="E1513" t="s">
        <v>31</v>
      </c>
      <c r="F1513" t="s">
        <v>32</v>
      </c>
      <c r="G1513" t="str">
        <f>"2025-12-18 08:50:55.403"</f>
        <v>2025-12-18 08:50:55.403</v>
      </c>
      <c r="H1513" t="s">
        <v>21</v>
      </c>
    </row>
    <row r="1514" spans="1:10" x14ac:dyDescent="0.25">
      <c r="A1514" s="1">
        <v>533</v>
      </c>
      <c r="B1514" t="s">
        <v>26</v>
      </c>
      <c r="C1514">
        <v>635</v>
      </c>
      <c r="D1514">
        <v>1</v>
      </c>
      <c r="E1514" t="s">
        <v>31</v>
      </c>
      <c r="F1514" t="s">
        <v>32</v>
      </c>
      <c r="G1514" t="str">
        <f>"2025-12-18 08:45:36.904"</f>
        <v>2025-12-18 08:45:36.904</v>
      </c>
      <c r="H1514" t="s">
        <v>21</v>
      </c>
      <c r="I1514">
        <v>2.42</v>
      </c>
      <c r="J1514" t="s">
        <v>27</v>
      </c>
    </row>
    <row r="1515" spans="1:10" x14ac:dyDescent="0.25">
      <c r="A1515" s="1">
        <v>534</v>
      </c>
      <c r="B1515" t="s">
        <v>19</v>
      </c>
      <c r="C1515">
        <v>706</v>
      </c>
      <c r="D1515">
        <v>4</v>
      </c>
      <c r="E1515" t="s">
        <v>28</v>
      </c>
      <c r="F1515" t="s">
        <v>29</v>
      </c>
      <c r="G1515" t="str">
        <f>"2025-12-18 08:31:46.347"</f>
        <v>2025-12-18 08:31:46.347</v>
      </c>
      <c r="H1515" t="s">
        <v>21</v>
      </c>
      <c r="I1515">
        <v>0</v>
      </c>
      <c r="J1515" t="s">
        <v>30</v>
      </c>
    </row>
    <row r="1516" spans="1:10" x14ac:dyDescent="0.25">
      <c r="A1516" s="1">
        <v>535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"2025-12-18 08:30:51.947"</f>
        <v>2025-12-18 08:30:51.947</v>
      </c>
      <c r="H1516" t="s">
        <v>21</v>
      </c>
      <c r="I1516">
        <v>0</v>
      </c>
      <c r="J1516" t="s">
        <v>22</v>
      </c>
    </row>
    <row r="1517" spans="1:10" s="3" customFormat="1" x14ac:dyDescent="0.25">
      <c r="A1517" s="2">
        <v>537</v>
      </c>
      <c r="B1517" s="3" t="s">
        <v>23</v>
      </c>
      <c r="C1517" s="3">
        <v>647</v>
      </c>
      <c r="D1517" s="3">
        <v>1</v>
      </c>
      <c r="E1517" s="3" t="s">
        <v>24</v>
      </c>
      <c r="F1517" s="3" t="s">
        <v>25</v>
      </c>
      <c r="G1517" s="3" t="str">
        <f>"2025-12-17 22:13:04.718"</f>
        <v>2025-12-17 22:13:04.718</v>
      </c>
      <c r="H1517" s="3" t="s">
        <v>21</v>
      </c>
    </row>
    <row r="1518" spans="1:10" s="3" customFormat="1" x14ac:dyDescent="0.25">
      <c r="A1518" s="2">
        <v>538</v>
      </c>
      <c r="B1518" s="3" t="s">
        <v>26</v>
      </c>
      <c r="C1518" s="3">
        <v>647</v>
      </c>
      <c r="D1518" s="3">
        <v>1</v>
      </c>
      <c r="E1518" s="3" t="s">
        <v>24</v>
      </c>
      <c r="F1518" s="3" t="s">
        <v>25</v>
      </c>
      <c r="G1518" s="3" t="str">
        <f>"2025-12-17 22:13:03.418"</f>
        <v>2025-12-17 22:13:03.418</v>
      </c>
      <c r="H1518" s="3" t="s">
        <v>21</v>
      </c>
      <c r="I1518" s="3">
        <v>9.6</v>
      </c>
      <c r="J1518" s="3" t="s">
        <v>27</v>
      </c>
    </row>
    <row r="1519" spans="1:10" s="3" customFormat="1" x14ac:dyDescent="0.25">
      <c r="A1519" s="2">
        <v>539</v>
      </c>
      <c r="B1519" s="3" t="s">
        <v>23</v>
      </c>
      <c r="C1519" s="3">
        <v>647</v>
      </c>
      <c r="D1519" s="3">
        <v>1</v>
      </c>
      <c r="E1519" s="3" t="s">
        <v>24</v>
      </c>
      <c r="F1519" s="3" t="s">
        <v>25</v>
      </c>
      <c r="G1519" s="3" t="str">
        <f>"2025-12-17 22:13:01.318"</f>
        <v>2025-12-17 22:13:01.318</v>
      </c>
      <c r="H1519" s="3" t="s">
        <v>21</v>
      </c>
    </row>
    <row r="1520" spans="1:10" s="3" customFormat="1" x14ac:dyDescent="0.25">
      <c r="A1520" s="2">
        <v>540</v>
      </c>
      <c r="B1520" s="3" t="s">
        <v>26</v>
      </c>
      <c r="C1520" s="3">
        <v>647</v>
      </c>
      <c r="D1520" s="3">
        <v>1</v>
      </c>
      <c r="E1520" s="3" t="s">
        <v>24</v>
      </c>
      <c r="F1520" s="3" t="s">
        <v>25</v>
      </c>
      <c r="G1520" s="3" t="str">
        <f>"2025-12-17 22:12:55.419"</f>
        <v>2025-12-17 22:12:55.419</v>
      </c>
      <c r="H1520" s="3" t="s">
        <v>21</v>
      </c>
      <c r="I1520" s="3">
        <v>21.93</v>
      </c>
      <c r="J1520" s="3" t="s">
        <v>27</v>
      </c>
    </row>
    <row r="1521" spans="1:10" x14ac:dyDescent="0.25">
      <c r="A1521" s="1">
        <v>541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"2025-12-17 19:25:52.941"</f>
        <v>2025-12-17 19:25:52.941</v>
      </c>
      <c r="H1521" t="s">
        <v>21</v>
      </c>
      <c r="I1521">
        <v>0</v>
      </c>
      <c r="J1521" t="s">
        <v>22</v>
      </c>
    </row>
    <row r="1522" spans="1:10" x14ac:dyDescent="0.25">
      <c r="A1522" s="1">
        <v>542</v>
      </c>
      <c r="B1522" t="s">
        <v>23</v>
      </c>
      <c r="C1522">
        <v>635</v>
      </c>
      <c r="D1522">
        <v>1</v>
      </c>
      <c r="E1522" t="s">
        <v>31</v>
      </c>
      <c r="F1522" t="s">
        <v>32</v>
      </c>
      <c r="G1522" t="str">
        <f>"2025-12-17 14:47:14.697"</f>
        <v>2025-12-17 14:47:14.697</v>
      </c>
      <c r="H1522" t="s">
        <v>21</v>
      </c>
    </row>
    <row r="1523" spans="1:10" x14ac:dyDescent="0.25">
      <c r="A1523" s="1">
        <v>543</v>
      </c>
      <c r="B1523" t="s">
        <v>26</v>
      </c>
      <c r="C1523">
        <v>635</v>
      </c>
      <c r="D1523">
        <v>1</v>
      </c>
      <c r="E1523" t="s">
        <v>31</v>
      </c>
      <c r="F1523" t="s">
        <v>32</v>
      </c>
      <c r="G1523" t="str">
        <f>"2025-12-17 14:43:46.697"</f>
        <v>2025-12-17 14:43:46.697</v>
      </c>
      <c r="H1523" t="s">
        <v>21</v>
      </c>
      <c r="I1523">
        <v>7.21</v>
      </c>
      <c r="J1523" t="s">
        <v>27</v>
      </c>
    </row>
    <row r="1524" spans="1:10" x14ac:dyDescent="0.25">
      <c r="A1524" s="1">
        <v>544</v>
      </c>
      <c r="B1524" t="s">
        <v>19</v>
      </c>
      <c r="C1524">
        <v>706</v>
      </c>
      <c r="D1524">
        <v>4</v>
      </c>
      <c r="E1524" t="s">
        <v>28</v>
      </c>
      <c r="F1524" t="s">
        <v>29</v>
      </c>
      <c r="G1524" t="str">
        <f>"2025-12-17 08:46:58.249"</f>
        <v>2025-12-17 08:46:58.249</v>
      </c>
      <c r="H1524" t="s">
        <v>21</v>
      </c>
      <c r="I1524">
        <v>0</v>
      </c>
      <c r="J1524" t="s">
        <v>30</v>
      </c>
    </row>
    <row r="1525" spans="1:10" x14ac:dyDescent="0.25">
      <c r="A1525" s="1">
        <v>545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"2025-12-17 08:45:08.959"</f>
        <v>2025-12-17 08:45:08.959</v>
      </c>
      <c r="H1525" t="s">
        <v>21</v>
      </c>
      <c r="I1525">
        <v>0</v>
      </c>
      <c r="J1525" t="s">
        <v>22</v>
      </c>
    </row>
    <row r="1526" spans="1:10" x14ac:dyDescent="0.25">
      <c r="A1526" s="1">
        <v>546</v>
      </c>
      <c r="B1526" t="s">
        <v>44</v>
      </c>
      <c r="C1526">
        <v>33</v>
      </c>
      <c r="D1526">
        <v>1</v>
      </c>
      <c r="E1526" t="s">
        <v>45</v>
      </c>
      <c r="F1526" t="s">
        <v>46</v>
      </c>
      <c r="G1526" t="str">
        <f>"2025-12-17 08:19:49.606"</f>
        <v>2025-12-17 08:19:49.606</v>
      </c>
      <c r="H1526" t="s">
        <v>47</v>
      </c>
    </row>
    <row r="1527" spans="1:10" x14ac:dyDescent="0.25">
      <c r="A1527" s="1">
        <v>547</v>
      </c>
      <c r="B1527" t="s">
        <v>38</v>
      </c>
      <c r="C1527">
        <v>33</v>
      </c>
      <c r="D1527">
        <v>1</v>
      </c>
      <c r="E1527" t="s">
        <v>45</v>
      </c>
      <c r="F1527" t="s">
        <v>46</v>
      </c>
      <c r="G1527" t="str">
        <f>"2025-12-17 08:19:34.497"</f>
        <v>2025-12-17 08:19:34.497</v>
      </c>
      <c r="H1527" t="s">
        <v>47</v>
      </c>
      <c r="I1527">
        <v>9.1199999999999992</v>
      </c>
      <c r="J1527" t="s">
        <v>33</v>
      </c>
    </row>
    <row r="1528" spans="1:10" x14ac:dyDescent="0.25">
      <c r="A1528" s="1">
        <v>548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"2025-12-17 05:06:58.954"</f>
        <v>2025-12-17 05:06:58.954</v>
      </c>
      <c r="H1528" t="s">
        <v>21</v>
      </c>
      <c r="I1528">
        <v>0</v>
      </c>
      <c r="J1528" t="s">
        <v>22</v>
      </c>
    </row>
    <row r="1529" spans="1:10" x14ac:dyDescent="0.25">
      <c r="A1529" s="1">
        <v>549</v>
      </c>
      <c r="B1529" t="s">
        <v>23</v>
      </c>
      <c r="C1529">
        <v>635</v>
      </c>
      <c r="D1529">
        <v>1</v>
      </c>
      <c r="E1529" t="s">
        <v>31</v>
      </c>
      <c r="F1529" t="s">
        <v>32</v>
      </c>
      <c r="G1529" t="str">
        <f>"2025-12-17 01:27:08.769"</f>
        <v>2025-12-17 01:27:08.769</v>
      </c>
      <c r="H1529" t="s">
        <v>21</v>
      </c>
    </row>
    <row r="1530" spans="1:10" x14ac:dyDescent="0.25">
      <c r="A1530" s="1">
        <v>550</v>
      </c>
      <c r="B1530" t="s">
        <v>26</v>
      </c>
      <c r="C1530">
        <v>635</v>
      </c>
      <c r="D1530">
        <v>1</v>
      </c>
      <c r="E1530" t="s">
        <v>31</v>
      </c>
      <c r="F1530" t="s">
        <v>32</v>
      </c>
      <c r="G1530" t="str">
        <f>"2025-12-17 01:24:28.869"</f>
        <v>2025-12-17 01:24:28.869</v>
      </c>
      <c r="H1530" t="s">
        <v>21</v>
      </c>
      <c r="I1530">
        <v>4.4400000000000004</v>
      </c>
      <c r="J1530" t="s">
        <v>33</v>
      </c>
    </row>
    <row r="1531" spans="1:10" s="3" customFormat="1" x14ac:dyDescent="0.25">
      <c r="A1531" s="2">
        <v>551</v>
      </c>
      <c r="B1531" s="3" t="s">
        <v>23</v>
      </c>
      <c r="C1531" s="3">
        <v>647</v>
      </c>
      <c r="D1531" s="3">
        <v>1</v>
      </c>
      <c r="E1531" s="3" t="s">
        <v>24</v>
      </c>
      <c r="F1531" s="3" t="s">
        <v>25</v>
      </c>
      <c r="G1531" s="3" t="str">
        <f>"2025-12-16 22:52:57.423"</f>
        <v>2025-12-16 22:52:57.423</v>
      </c>
      <c r="H1531" s="3" t="s">
        <v>21</v>
      </c>
    </row>
    <row r="1532" spans="1:10" s="3" customFormat="1" x14ac:dyDescent="0.25">
      <c r="A1532" s="2">
        <v>552</v>
      </c>
      <c r="B1532" s="3" t="s">
        <v>26</v>
      </c>
      <c r="C1532" s="3">
        <v>647</v>
      </c>
      <c r="D1532" s="3">
        <v>1</v>
      </c>
      <c r="E1532" s="3" t="s">
        <v>24</v>
      </c>
      <c r="F1532" s="3" t="s">
        <v>25</v>
      </c>
      <c r="G1532" s="3" t="str">
        <f>"2025-12-16 22:52:56.323"</f>
        <v>2025-12-16 22:52:56.323</v>
      </c>
      <c r="H1532" s="3" t="s">
        <v>21</v>
      </c>
      <c r="I1532" s="3">
        <v>9.52</v>
      </c>
      <c r="J1532" s="3" t="s">
        <v>27</v>
      </c>
    </row>
    <row r="1533" spans="1:10" x14ac:dyDescent="0.25">
      <c r="A1533" s="1">
        <v>553</v>
      </c>
      <c r="B1533" t="s">
        <v>19</v>
      </c>
      <c r="C1533">
        <v>706</v>
      </c>
      <c r="D1533">
        <v>4</v>
      </c>
      <c r="E1533" t="s">
        <v>28</v>
      </c>
      <c r="F1533" t="s">
        <v>29</v>
      </c>
      <c r="G1533" t="str">
        <f>"2025-12-16 22:46:04.962"</f>
        <v>2025-12-16 22:46:04.962</v>
      </c>
      <c r="H1533" t="s">
        <v>21</v>
      </c>
      <c r="I1533">
        <v>0</v>
      </c>
      <c r="J1533" t="s">
        <v>30</v>
      </c>
    </row>
    <row r="1534" spans="1:10" x14ac:dyDescent="0.25">
      <c r="A1534" s="1">
        <v>554</v>
      </c>
      <c r="B1534" t="s">
        <v>19</v>
      </c>
      <c r="C1534">
        <v>706</v>
      </c>
      <c r="D1534">
        <v>4</v>
      </c>
      <c r="E1534" t="s">
        <v>28</v>
      </c>
      <c r="F1534" t="s">
        <v>29</v>
      </c>
      <c r="G1534" t="str">
        <f>"2025-12-16 13:00:01.442"</f>
        <v>2025-12-16 13:00:01.442</v>
      </c>
      <c r="H1534" t="s">
        <v>21</v>
      </c>
      <c r="I1534">
        <v>0</v>
      </c>
      <c r="J1534" t="s">
        <v>30</v>
      </c>
    </row>
    <row r="1535" spans="1:10" x14ac:dyDescent="0.25">
      <c r="A1535" s="1">
        <v>555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"2025-12-16 12:58:54.932"</f>
        <v>2025-12-16 12:58:54.932</v>
      </c>
      <c r="H1535" t="s">
        <v>21</v>
      </c>
    </row>
    <row r="1536" spans="1:10" x14ac:dyDescent="0.25">
      <c r="A1536" s="1">
        <v>556</v>
      </c>
      <c r="B1536" t="s">
        <v>19</v>
      </c>
      <c r="C1536">
        <v>706</v>
      </c>
      <c r="D1536">
        <v>4</v>
      </c>
      <c r="E1536" t="s">
        <v>28</v>
      </c>
      <c r="F1536" t="s">
        <v>29</v>
      </c>
      <c r="G1536" t="str">
        <f>"2025-12-16 11:24:20.374"</f>
        <v>2025-12-16 11:24:20.374</v>
      </c>
      <c r="H1536" t="s">
        <v>21</v>
      </c>
      <c r="I1536">
        <v>0</v>
      </c>
      <c r="J1536" t="s">
        <v>30</v>
      </c>
    </row>
    <row r="1537" spans="1:10" x14ac:dyDescent="0.25">
      <c r="A1537" s="1">
        <v>557</v>
      </c>
      <c r="B1537" t="s">
        <v>19</v>
      </c>
      <c r="C1537">
        <v>706</v>
      </c>
      <c r="D1537">
        <v>4</v>
      </c>
      <c r="E1537" t="s">
        <v>28</v>
      </c>
      <c r="F1537" t="s">
        <v>29</v>
      </c>
      <c r="G1537" t="str">
        <f>"2025-12-15 23:25:44.524"</f>
        <v>2025-12-15 23:25:44.524</v>
      </c>
      <c r="H1537" t="s">
        <v>21</v>
      </c>
      <c r="I1537">
        <v>0</v>
      </c>
      <c r="J1537" t="s">
        <v>30</v>
      </c>
    </row>
    <row r="1538" spans="1:10" s="3" customFormat="1" x14ac:dyDescent="0.25">
      <c r="A1538" s="2">
        <v>558</v>
      </c>
      <c r="B1538" s="3" t="s">
        <v>23</v>
      </c>
      <c r="C1538" s="3">
        <v>647</v>
      </c>
      <c r="D1538" s="3">
        <v>1</v>
      </c>
      <c r="E1538" s="3" t="s">
        <v>24</v>
      </c>
      <c r="F1538" s="3" t="s">
        <v>25</v>
      </c>
      <c r="G1538" s="3" t="str">
        <f>"2025-12-15 21:23:58.441"</f>
        <v>2025-12-15 21:23:58.441</v>
      </c>
      <c r="H1538" s="3" t="s">
        <v>21</v>
      </c>
    </row>
    <row r="1539" spans="1:10" s="3" customFormat="1" x14ac:dyDescent="0.25">
      <c r="A1539" s="2">
        <v>559</v>
      </c>
      <c r="B1539" s="3" t="s">
        <v>26</v>
      </c>
      <c r="C1539" s="3">
        <v>647</v>
      </c>
      <c r="D1539" s="3">
        <v>1</v>
      </c>
      <c r="E1539" s="3" t="s">
        <v>24</v>
      </c>
      <c r="F1539" s="3" t="s">
        <v>25</v>
      </c>
      <c r="G1539" s="3" t="str">
        <f>"2025-12-15 21:23:51.142"</f>
        <v>2025-12-15 21:23:51.142</v>
      </c>
      <c r="H1539" s="3" t="s">
        <v>21</v>
      </c>
      <c r="I1539" s="3">
        <v>15.84</v>
      </c>
      <c r="J1539" s="3" t="s">
        <v>27</v>
      </c>
    </row>
    <row r="1540" spans="1:10" x14ac:dyDescent="0.25">
      <c r="A1540" s="1">
        <v>562</v>
      </c>
      <c r="B1540" t="s">
        <v>19</v>
      </c>
      <c r="C1540">
        <v>706</v>
      </c>
      <c r="D1540">
        <v>2</v>
      </c>
      <c r="E1540" t="s">
        <v>28</v>
      </c>
      <c r="F1540" t="s">
        <v>39</v>
      </c>
      <c r="G1540" t="str">
        <f>"2025-12-15 13:30:37.064"</f>
        <v>2025-12-15 13:30:37.064</v>
      </c>
      <c r="H1540" t="s">
        <v>21</v>
      </c>
      <c r="I1540">
        <v>0</v>
      </c>
      <c r="J1540" t="s">
        <v>30</v>
      </c>
    </row>
    <row r="1541" spans="1:10" x14ac:dyDescent="0.25">
      <c r="A1541" s="1">
        <v>563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"2025-12-15 13:29:04.954"</f>
        <v>2025-12-15 13:29:04.954</v>
      </c>
      <c r="H1541" t="s">
        <v>21</v>
      </c>
      <c r="I1541">
        <v>0</v>
      </c>
      <c r="J1541" t="s">
        <v>22</v>
      </c>
    </row>
    <row r="1542" spans="1:10" s="3" customFormat="1" x14ac:dyDescent="0.25">
      <c r="A1542" s="2">
        <v>564</v>
      </c>
      <c r="B1542" s="3" t="s">
        <v>23</v>
      </c>
      <c r="C1542" s="3">
        <v>647</v>
      </c>
      <c r="D1542" s="3">
        <v>1</v>
      </c>
      <c r="E1542" s="3" t="s">
        <v>24</v>
      </c>
      <c r="F1542" s="3" t="s">
        <v>25</v>
      </c>
      <c r="G1542" s="3" t="str">
        <f>"2025-12-15 11:07:30.591"</f>
        <v>2025-12-15 11:07:30.591</v>
      </c>
      <c r="H1542" s="3" t="s">
        <v>21</v>
      </c>
    </row>
    <row r="1543" spans="1:10" s="3" customFormat="1" x14ac:dyDescent="0.25">
      <c r="A1543" s="2">
        <v>565</v>
      </c>
      <c r="B1543" s="3" t="s">
        <v>26</v>
      </c>
      <c r="C1543" s="3">
        <v>647</v>
      </c>
      <c r="D1543" s="3">
        <v>1</v>
      </c>
      <c r="E1543" s="3" t="s">
        <v>24</v>
      </c>
      <c r="F1543" s="3" t="s">
        <v>25</v>
      </c>
      <c r="G1543" s="3" t="str">
        <f>"2025-12-15 11:07:29.591"</f>
        <v>2025-12-15 11:07:29.591</v>
      </c>
      <c r="H1543" s="3" t="s">
        <v>21</v>
      </c>
      <c r="I1543" s="3">
        <v>12.02</v>
      </c>
      <c r="J1543" s="3" t="s">
        <v>27</v>
      </c>
    </row>
    <row r="1544" spans="1:10" x14ac:dyDescent="0.25">
      <c r="A1544" s="1">
        <v>566</v>
      </c>
      <c r="B1544" t="s">
        <v>19</v>
      </c>
      <c r="C1544">
        <v>706</v>
      </c>
      <c r="D1544">
        <v>2</v>
      </c>
      <c r="E1544" t="s">
        <v>28</v>
      </c>
      <c r="F1544" t="s">
        <v>39</v>
      </c>
      <c r="G1544" t="str">
        <f>"2025-12-15 08:20:47.493"</f>
        <v>2025-12-15 08:20:47.493</v>
      </c>
      <c r="H1544" t="s">
        <v>21</v>
      </c>
      <c r="I1544">
        <v>0</v>
      </c>
      <c r="J1544" t="s">
        <v>30</v>
      </c>
    </row>
    <row r="1545" spans="1:10" x14ac:dyDescent="0.25">
      <c r="A1545" s="1">
        <v>567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"2025-12-15 08:20:18.923"</f>
        <v>2025-12-15 08:20:18.923</v>
      </c>
      <c r="H1545" t="s">
        <v>21</v>
      </c>
      <c r="I1545">
        <v>0</v>
      </c>
      <c r="J1545" t="s">
        <v>22</v>
      </c>
    </row>
    <row r="1546" spans="1:10" x14ac:dyDescent="0.25">
      <c r="A1546" s="1">
        <v>568</v>
      </c>
      <c r="B1546" t="s">
        <v>19</v>
      </c>
      <c r="C1546">
        <v>706</v>
      </c>
      <c r="D1546">
        <v>4</v>
      </c>
      <c r="E1546" t="s">
        <v>28</v>
      </c>
      <c r="F1546" t="s">
        <v>29</v>
      </c>
      <c r="G1546" t="str">
        <f>"2025-12-15 00:22:02.490"</f>
        <v>2025-12-15 00:22:02.490</v>
      </c>
      <c r="H1546" t="s">
        <v>21</v>
      </c>
      <c r="I1546">
        <v>0</v>
      </c>
      <c r="J1546" t="s">
        <v>30</v>
      </c>
    </row>
    <row r="1547" spans="1:10" x14ac:dyDescent="0.25">
      <c r="A1547" s="1">
        <v>569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"2025-12-14 23:14:06.930"</f>
        <v>2025-12-14 23:14:06.930</v>
      </c>
      <c r="H1547" t="s">
        <v>21</v>
      </c>
    </row>
    <row r="1548" spans="1:10" x14ac:dyDescent="0.25">
      <c r="A1548" s="1">
        <v>570</v>
      </c>
      <c r="B1548" t="s">
        <v>38</v>
      </c>
      <c r="C1548">
        <v>630</v>
      </c>
      <c r="D1548">
        <v>5</v>
      </c>
      <c r="E1548" t="s">
        <v>35</v>
      </c>
      <c r="F1548" t="s">
        <v>36</v>
      </c>
      <c r="G1548" t="str">
        <f>"2025-12-14 21:42:37.968"</f>
        <v>2025-12-14 21:42:37.968</v>
      </c>
      <c r="H1548" t="s">
        <v>37</v>
      </c>
      <c r="I1548">
        <v>0</v>
      </c>
      <c r="J1548" t="s">
        <v>30</v>
      </c>
    </row>
    <row r="1549" spans="1:10" x14ac:dyDescent="0.25">
      <c r="A1549" s="1">
        <v>571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"2025-12-14 21:37:34.922"</f>
        <v>2025-12-14 21:37:34.922</v>
      </c>
      <c r="H1549" t="s">
        <v>21</v>
      </c>
    </row>
    <row r="1550" spans="1:10" x14ac:dyDescent="0.25">
      <c r="A1550" s="1">
        <v>572</v>
      </c>
      <c r="B1550" t="s">
        <v>19</v>
      </c>
      <c r="C1550">
        <v>706</v>
      </c>
      <c r="D1550">
        <v>2</v>
      </c>
      <c r="E1550" t="s">
        <v>28</v>
      </c>
      <c r="F1550" t="s">
        <v>39</v>
      </c>
      <c r="G1550" t="str">
        <f>"2025-12-14 13:37:39.105"</f>
        <v>2025-12-14 13:37:39.105</v>
      </c>
      <c r="H1550" t="s">
        <v>21</v>
      </c>
      <c r="I1550">
        <v>0</v>
      </c>
      <c r="J1550" t="s">
        <v>30</v>
      </c>
    </row>
    <row r="1551" spans="1:10" x14ac:dyDescent="0.25">
      <c r="A1551" s="1">
        <v>573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"2025-12-14 13:35:57.105"</f>
        <v>2025-12-14 13:35:57.105</v>
      </c>
      <c r="H1551" t="s">
        <v>21</v>
      </c>
      <c r="I1551">
        <v>0</v>
      </c>
      <c r="J1551" t="s">
        <v>22</v>
      </c>
    </row>
    <row r="1552" spans="1:10" x14ac:dyDescent="0.25">
      <c r="A1552" s="1">
        <v>574</v>
      </c>
      <c r="B1552" t="s">
        <v>23</v>
      </c>
      <c r="C1552">
        <v>635</v>
      </c>
      <c r="D1552">
        <v>1</v>
      </c>
      <c r="E1552" t="s">
        <v>31</v>
      </c>
      <c r="F1552" t="s">
        <v>32</v>
      </c>
      <c r="G1552" t="str">
        <f>"2025-12-14 04:19:23.055"</f>
        <v>2025-12-14 04:19:23.055</v>
      </c>
      <c r="H1552" t="s">
        <v>21</v>
      </c>
    </row>
    <row r="1553" spans="1:10" x14ac:dyDescent="0.25">
      <c r="A1553" s="1">
        <v>575</v>
      </c>
      <c r="B1553" t="s">
        <v>26</v>
      </c>
      <c r="C1553">
        <v>635</v>
      </c>
      <c r="D1553">
        <v>1</v>
      </c>
      <c r="E1553" t="s">
        <v>31</v>
      </c>
      <c r="F1553" t="s">
        <v>32</v>
      </c>
      <c r="G1553" t="str">
        <f>"2025-12-14 04:16:45.055"</f>
        <v>2025-12-14 04:16:45.055</v>
      </c>
      <c r="H1553" t="s">
        <v>21</v>
      </c>
      <c r="I1553">
        <v>5.68</v>
      </c>
      <c r="J1553" t="s">
        <v>33</v>
      </c>
    </row>
    <row r="1554" spans="1:10" x14ac:dyDescent="0.25">
      <c r="A1554" s="1">
        <v>576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"2025-12-14 01:44:14.951"</f>
        <v>2025-12-14 01:44:14.951</v>
      </c>
      <c r="H1554" t="s">
        <v>21</v>
      </c>
      <c r="I1554">
        <v>0</v>
      </c>
      <c r="J1554" t="s">
        <v>22</v>
      </c>
    </row>
    <row r="1555" spans="1:10" s="3" customFormat="1" x14ac:dyDescent="0.25">
      <c r="A1555" s="2">
        <v>577</v>
      </c>
      <c r="B1555" s="3" t="s">
        <v>23</v>
      </c>
      <c r="C1555" s="3">
        <v>647</v>
      </c>
      <c r="D1555" s="3">
        <v>1</v>
      </c>
      <c r="E1555" s="3" t="s">
        <v>24</v>
      </c>
      <c r="F1555" s="3" t="s">
        <v>25</v>
      </c>
      <c r="G1555" s="3" t="str">
        <f>"2025-12-13 21:17:04.191"</f>
        <v>2025-12-13 21:17:04.191</v>
      </c>
      <c r="H1555" s="3" t="s">
        <v>21</v>
      </c>
    </row>
    <row r="1556" spans="1:10" s="3" customFormat="1" x14ac:dyDescent="0.25">
      <c r="A1556" s="2">
        <v>578</v>
      </c>
      <c r="B1556" s="3" t="s">
        <v>26</v>
      </c>
      <c r="C1556" s="3">
        <v>647</v>
      </c>
      <c r="D1556" s="3">
        <v>1</v>
      </c>
      <c r="E1556" s="3" t="s">
        <v>24</v>
      </c>
      <c r="F1556" s="3" t="s">
        <v>25</v>
      </c>
      <c r="G1556" s="3" t="str">
        <f>"2025-12-13 21:16:44.291"</f>
        <v>2025-12-13 21:16:44.291</v>
      </c>
      <c r="H1556" s="3" t="s">
        <v>21</v>
      </c>
      <c r="I1556" s="3">
        <v>25.2</v>
      </c>
      <c r="J1556" s="3" t="s">
        <v>27</v>
      </c>
    </row>
    <row r="1557" spans="1:10" x14ac:dyDescent="0.25">
      <c r="A1557" s="1">
        <v>579</v>
      </c>
      <c r="B1557" t="s">
        <v>23</v>
      </c>
      <c r="C1557">
        <v>635</v>
      </c>
      <c r="D1557">
        <v>1</v>
      </c>
      <c r="E1557" t="s">
        <v>31</v>
      </c>
      <c r="F1557" t="s">
        <v>32</v>
      </c>
      <c r="G1557" t="str">
        <f>"2025-12-13 10:53:06.242"</f>
        <v>2025-12-13 10:53:06.242</v>
      </c>
      <c r="H1557" t="s">
        <v>21</v>
      </c>
    </row>
    <row r="1558" spans="1:10" x14ac:dyDescent="0.25">
      <c r="A1558" s="1">
        <v>580</v>
      </c>
      <c r="B1558" t="s">
        <v>26</v>
      </c>
      <c r="C1558">
        <v>635</v>
      </c>
      <c r="D1558">
        <v>1</v>
      </c>
      <c r="E1558" t="s">
        <v>31</v>
      </c>
      <c r="F1558" t="s">
        <v>32</v>
      </c>
      <c r="G1558" t="str">
        <f>"2025-12-13 10:39:36.743"</f>
        <v>2025-12-13 10:39:36.743</v>
      </c>
      <c r="H1558" t="s">
        <v>21</v>
      </c>
      <c r="I1558">
        <v>11.85</v>
      </c>
      <c r="J1558" t="s">
        <v>27</v>
      </c>
    </row>
    <row r="1559" spans="1:10" x14ac:dyDescent="0.25">
      <c r="A1559" s="1">
        <v>581</v>
      </c>
      <c r="B1559" t="s">
        <v>19</v>
      </c>
      <c r="C1559">
        <v>706</v>
      </c>
      <c r="D1559">
        <v>2</v>
      </c>
      <c r="E1559" t="s">
        <v>28</v>
      </c>
      <c r="F1559" t="s">
        <v>39</v>
      </c>
      <c r="G1559" t="str">
        <f>"2025-12-13 09:14:28.500"</f>
        <v>2025-12-13 09:14:28.500</v>
      </c>
      <c r="H1559" t="s">
        <v>21</v>
      </c>
      <c r="I1559">
        <v>0</v>
      </c>
      <c r="J1559" t="s">
        <v>30</v>
      </c>
    </row>
    <row r="1560" spans="1:10" x14ac:dyDescent="0.25">
      <c r="A1560" s="1">
        <v>582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"2025-12-13 09:13:48.080"</f>
        <v>2025-12-13 09:13:48.080</v>
      </c>
      <c r="H1560" t="s">
        <v>21</v>
      </c>
    </row>
    <row r="1561" spans="1:10" x14ac:dyDescent="0.25">
      <c r="A1561" s="1">
        <v>583</v>
      </c>
      <c r="B1561" t="s">
        <v>19</v>
      </c>
      <c r="C1561">
        <v>706</v>
      </c>
      <c r="D1561">
        <v>4</v>
      </c>
      <c r="E1561" t="s">
        <v>28</v>
      </c>
      <c r="F1561" t="s">
        <v>29</v>
      </c>
      <c r="G1561" t="str">
        <f>"2025-12-13 02:44:15.313"</f>
        <v>2025-12-13 02:44:15.313</v>
      </c>
      <c r="H1561" t="s">
        <v>21</v>
      </c>
      <c r="I1561">
        <v>0</v>
      </c>
      <c r="J1561" t="s">
        <v>30</v>
      </c>
    </row>
    <row r="1562" spans="1:10" s="3" customFormat="1" x14ac:dyDescent="0.25">
      <c r="A1562" s="2">
        <v>584</v>
      </c>
      <c r="B1562" s="3" t="s">
        <v>23</v>
      </c>
      <c r="C1562" s="3">
        <v>647</v>
      </c>
      <c r="D1562" s="3">
        <v>1</v>
      </c>
      <c r="E1562" s="3" t="s">
        <v>24</v>
      </c>
      <c r="F1562" s="3" t="s">
        <v>25</v>
      </c>
      <c r="G1562" s="3" t="str">
        <f>"2025-12-13 00:57:24.211"</f>
        <v>2025-12-13 00:57:24.211</v>
      </c>
      <c r="H1562" s="3" t="s">
        <v>21</v>
      </c>
    </row>
    <row r="1563" spans="1:10" s="3" customFormat="1" x14ac:dyDescent="0.25">
      <c r="A1563" s="2">
        <v>585</v>
      </c>
      <c r="B1563" s="3" t="s">
        <v>26</v>
      </c>
      <c r="C1563" s="3">
        <v>647</v>
      </c>
      <c r="D1563" s="3">
        <v>1</v>
      </c>
      <c r="E1563" s="3" t="s">
        <v>24</v>
      </c>
      <c r="F1563" s="3" t="s">
        <v>25</v>
      </c>
      <c r="G1563" s="3" t="str">
        <f>"2025-12-13 00:57:17.111"</f>
        <v>2025-12-13 00:57:17.111</v>
      </c>
      <c r="H1563" s="3" t="s">
        <v>21</v>
      </c>
      <c r="I1563" s="3">
        <v>12.61</v>
      </c>
      <c r="J1563" s="3" t="s">
        <v>27</v>
      </c>
    </row>
    <row r="1564" spans="1:10" x14ac:dyDescent="0.25">
      <c r="A1564" s="1">
        <v>586</v>
      </c>
      <c r="B1564" t="s">
        <v>23</v>
      </c>
      <c r="C1564">
        <v>635</v>
      </c>
      <c r="D1564">
        <v>1</v>
      </c>
      <c r="E1564" t="s">
        <v>31</v>
      </c>
      <c r="F1564" t="s">
        <v>32</v>
      </c>
      <c r="G1564" t="str">
        <f>"2025-12-12 15:04:42.263"</f>
        <v>2025-12-12 15:04:42.263</v>
      </c>
      <c r="H1564" t="s">
        <v>21</v>
      </c>
    </row>
    <row r="1565" spans="1:10" x14ac:dyDescent="0.25">
      <c r="A1565" s="1">
        <v>587</v>
      </c>
      <c r="B1565" t="s">
        <v>26</v>
      </c>
      <c r="C1565">
        <v>635</v>
      </c>
      <c r="D1565">
        <v>1</v>
      </c>
      <c r="E1565" t="s">
        <v>31</v>
      </c>
      <c r="F1565" t="s">
        <v>32</v>
      </c>
      <c r="G1565" t="str">
        <f>"2025-12-12 14:56:59.763"</f>
        <v>2025-12-12 14:56:59.763</v>
      </c>
      <c r="H1565" t="s">
        <v>21</v>
      </c>
      <c r="I1565">
        <v>4.66</v>
      </c>
      <c r="J1565" t="s">
        <v>34</v>
      </c>
    </row>
    <row r="1566" spans="1:10" x14ac:dyDescent="0.25">
      <c r="A1566" s="1">
        <v>588</v>
      </c>
      <c r="B1566" t="s">
        <v>19</v>
      </c>
      <c r="C1566">
        <v>706</v>
      </c>
      <c r="D1566">
        <v>2</v>
      </c>
      <c r="E1566" t="s">
        <v>28</v>
      </c>
      <c r="F1566" t="s">
        <v>39</v>
      </c>
      <c r="G1566" t="str">
        <f>"2025-12-12 13:24:04.943"</f>
        <v>2025-12-12 13:24:04.943</v>
      </c>
      <c r="H1566" t="s">
        <v>21</v>
      </c>
      <c r="I1566">
        <v>0</v>
      </c>
      <c r="J1566" t="s">
        <v>30</v>
      </c>
    </row>
    <row r="1567" spans="1:10" x14ac:dyDescent="0.25">
      <c r="A1567" s="1">
        <v>589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"2025-12-12 13:23:28.913"</f>
        <v>2025-12-12 13:23:28.913</v>
      </c>
      <c r="H1567" t="s">
        <v>21</v>
      </c>
    </row>
    <row r="1568" spans="1:10" x14ac:dyDescent="0.25">
      <c r="A1568" s="1">
        <v>590</v>
      </c>
      <c r="B1568" t="s">
        <v>19</v>
      </c>
      <c r="C1568">
        <v>706</v>
      </c>
      <c r="D1568">
        <v>2</v>
      </c>
      <c r="E1568" t="s">
        <v>28</v>
      </c>
      <c r="F1568" t="s">
        <v>39</v>
      </c>
      <c r="G1568" t="str">
        <f>"2025-12-12 10:56:20.879"</f>
        <v>2025-12-12 10:56:20.879</v>
      </c>
      <c r="H1568" t="s">
        <v>21</v>
      </c>
      <c r="I1568">
        <v>0</v>
      </c>
      <c r="J1568" t="s">
        <v>30</v>
      </c>
    </row>
    <row r="1569" spans="1:10" x14ac:dyDescent="0.25">
      <c r="A1569" s="1">
        <v>591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"2025-12-12 10:55:30.949"</f>
        <v>2025-12-12 10:55:30.949</v>
      </c>
      <c r="H1569" t="s">
        <v>21</v>
      </c>
      <c r="I1569">
        <v>0</v>
      </c>
      <c r="J1569" t="s">
        <v>22</v>
      </c>
    </row>
    <row r="1570" spans="1:10" x14ac:dyDescent="0.25">
      <c r="A1570" s="1">
        <v>592</v>
      </c>
      <c r="B1570" t="s">
        <v>19</v>
      </c>
      <c r="C1570">
        <v>706</v>
      </c>
      <c r="D1570">
        <v>4</v>
      </c>
      <c r="E1570" t="s">
        <v>28</v>
      </c>
      <c r="F1570" t="s">
        <v>29</v>
      </c>
      <c r="G1570" t="str">
        <f>"2025-12-11 23:50:51.635"</f>
        <v>2025-12-11 23:50:51.635</v>
      </c>
      <c r="H1570" t="s">
        <v>21</v>
      </c>
      <c r="I1570">
        <v>0</v>
      </c>
      <c r="J1570" t="s">
        <v>30</v>
      </c>
    </row>
    <row r="1571" spans="1:10" x14ac:dyDescent="0.25">
      <c r="A1571" s="1">
        <v>593</v>
      </c>
      <c r="B1571" t="s">
        <v>19</v>
      </c>
      <c r="C1571">
        <v>706</v>
      </c>
      <c r="D1571">
        <v>2</v>
      </c>
      <c r="E1571" t="s">
        <v>28</v>
      </c>
      <c r="F1571" t="s">
        <v>39</v>
      </c>
      <c r="G1571" t="str">
        <f>"2025-12-11 13:09:37.485"</f>
        <v>2025-12-11 13:09:37.485</v>
      </c>
      <c r="H1571" t="s">
        <v>21</v>
      </c>
      <c r="I1571">
        <v>0</v>
      </c>
      <c r="J1571" t="s">
        <v>30</v>
      </c>
    </row>
    <row r="1572" spans="1:10" x14ac:dyDescent="0.25">
      <c r="A1572" s="1">
        <v>594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"2025-12-11 13:08:36.035"</f>
        <v>2025-12-11 13:08:36.035</v>
      </c>
      <c r="H1572" t="s">
        <v>21</v>
      </c>
      <c r="I1572">
        <v>0</v>
      </c>
      <c r="J1572" t="s">
        <v>22</v>
      </c>
    </row>
    <row r="1573" spans="1:10" x14ac:dyDescent="0.25">
      <c r="A1573" s="1">
        <v>595</v>
      </c>
      <c r="B1573" t="s">
        <v>19</v>
      </c>
      <c r="C1573">
        <v>706</v>
      </c>
      <c r="D1573">
        <v>4</v>
      </c>
      <c r="E1573" t="s">
        <v>28</v>
      </c>
      <c r="F1573" t="s">
        <v>29</v>
      </c>
      <c r="G1573" t="str">
        <f>"2025-12-11 09:53:31.934"</f>
        <v>2025-12-11 09:53:31.934</v>
      </c>
      <c r="H1573" t="s">
        <v>21</v>
      </c>
      <c r="I1573">
        <v>0</v>
      </c>
      <c r="J1573" t="s">
        <v>30</v>
      </c>
    </row>
    <row r="1574" spans="1:10" x14ac:dyDescent="0.25">
      <c r="A1574" s="1">
        <v>596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"2025-12-11 09:52:17.924"</f>
        <v>2025-12-11 09:52:17.924</v>
      </c>
      <c r="H1574" t="s">
        <v>21</v>
      </c>
      <c r="I1574">
        <v>0</v>
      </c>
      <c r="J1574" t="s">
        <v>22</v>
      </c>
    </row>
    <row r="1575" spans="1:10" x14ac:dyDescent="0.25">
      <c r="A1575" s="1">
        <v>597</v>
      </c>
      <c r="B1575" t="s">
        <v>19</v>
      </c>
      <c r="C1575">
        <v>706</v>
      </c>
      <c r="D1575">
        <v>2</v>
      </c>
      <c r="E1575" t="s">
        <v>28</v>
      </c>
      <c r="F1575" t="s">
        <v>39</v>
      </c>
      <c r="G1575" t="str">
        <f>"2025-12-11 06:02:05.839"</f>
        <v>2025-12-11 06:02:05.839</v>
      </c>
      <c r="H1575" t="s">
        <v>21</v>
      </c>
      <c r="I1575">
        <v>0</v>
      </c>
      <c r="J1575" t="s">
        <v>30</v>
      </c>
    </row>
    <row r="1576" spans="1:10" x14ac:dyDescent="0.25">
      <c r="A1576" s="1">
        <v>598</v>
      </c>
      <c r="B1576" t="s">
        <v>23</v>
      </c>
      <c r="C1576">
        <v>635</v>
      </c>
      <c r="D1576">
        <v>1</v>
      </c>
      <c r="E1576" t="s">
        <v>31</v>
      </c>
      <c r="F1576" t="s">
        <v>32</v>
      </c>
      <c r="G1576" t="str">
        <f>"2025-12-10 23:23:17.561"</f>
        <v>2025-12-10 23:23:17.561</v>
      </c>
      <c r="H1576" t="s">
        <v>21</v>
      </c>
    </row>
    <row r="1577" spans="1:10" x14ac:dyDescent="0.25">
      <c r="A1577" s="1">
        <v>599</v>
      </c>
      <c r="B1577" t="s">
        <v>26</v>
      </c>
      <c r="C1577">
        <v>635</v>
      </c>
      <c r="D1577">
        <v>1</v>
      </c>
      <c r="E1577" t="s">
        <v>31</v>
      </c>
      <c r="F1577" t="s">
        <v>32</v>
      </c>
      <c r="G1577" t="str">
        <f>"2025-12-10 23:19:33.061"</f>
        <v>2025-12-10 23:19:33.061</v>
      </c>
      <c r="H1577" t="s">
        <v>21</v>
      </c>
      <c r="I1577">
        <v>0.85</v>
      </c>
      <c r="J1577" t="s">
        <v>27</v>
      </c>
    </row>
    <row r="1578" spans="1:10" x14ac:dyDescent="0.25">
      <c r="A1578" s="1">
        <v>600</v>
      </c>
      <c r="B1578" t="s">
        <v>19</v>
      </c>
      <c r="C1578">
        <v>706</v>
      </c>
      <c r="D1578">
        <v>2</v>
      </c>
      <c r="E1578" t="s">
        <v>28</v>
      </c>
      <c r="F1578" t="s">
        <v>39</v>
      </c>
      <c r="G1578" t="str">
        <f>"2025-12-10 19:44:29.939"</f>
        <v>2025-12-10 19:44:29.939</v>
      </c>
      <c r="H1578" t="s">
        <v>21</v>
      </c>
      <c r="I1578">
        <v>0</v>
      </c>
      <c r="J1578" t="s">
        <v>30</v>
      </c>
    </row>
    <row r="1579" spans="1:10" x14ac:dyDescent="0.25">
      <c r="A1579" s="1">
        <v>601</v>
      </c>
      <c r="B1579" t="s">
        <v>19</v>
      </c>
      <c r="C1579">
        <v>706</v>
      </c>
      <c r="D1579">
        <v>2</v>
      </c>
      <c r="E1579" t="s">
        <v>28</v>
      </c>
      <c r="F1579" t="s">
        <v>39</v>
      </c>
      <c r="G1579" t="str">
        <f>"2025-12-10 12:36:19.739"</f>
        <v>2025-12-10 12:36:19.739</v>
      </c>
      <c r="H1579" t="s">
        <v>21</v>
      </c>
      <c r="I1579">
        <v>0</v>
      </c>
      <c r="J1579" t="s">
        <v>30</v>
      </c>
    </row>
    <row r="1580" spans="1:10" x14ac:dyDescent="0.25">
      <c r="A1580" s="1">
        <v>602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"2025-12-10 12:35:10.909"</f>
        <v>2025-12-10 12:35:10.909</v>
      </c>
      <c r="H1580" t="s">
        <v>21</v>
      </c>
      <c r="I1580">
        <v>0</v>
      </c>
      <c r="J1580" t="s">
        <v>22</v>
      </c>
    </row>
    <row r="1581" spans="1:10" x14ac:dyDescent="0.25">
      <c r="A1581" s="1">
        <v>603</v>
      </c>
      <c r="B1581" t="s">
        <v>23</v>
      </c>
      <c r="C1581">
        <v>635</v>
      </c>
      <c r="D1581">
        <v>1</v>
      </c>
      <c r="E1581" t="s">
        <v>31</v>
      </c>
      <c r="F1581" t="s">
        <v>32</v>
      </c>
      <c r="G1581" t="str">
        <f>"2025-12-10 11:36:04.389"</f>
        <v>2025-12-10 11:36:04.389</v>
      </c>
      <c r="H1581" t="s">
        <v>21</v>
      </c>
    </row>
    <row r="1582" spans="1:10" x14ac:dyDescent="0.25">
      <c r="A1582" s="1">
        <v>604</v>
      </c>
      <c r="B1582" t="s">
        <v>26</v>
      </c>
      <c r="C1582">
        <v>635</v>
      </c>
      <c r="D1582">
        <v>1</v>
      </c>
      <c r="E1582" t="s">
        <v>31</v>
      </c>
      <c r="F1582" t="s">
        <v>32</v>
      </c>
      <c r="G1582" t="str">
        <f>"2025-12-10 11:32:37.390"</f>
        <v>2025-12-10 11:32:37.390</v>
      </c>
      <c r="H1582" t="s">
        <v>21</v>
      </c>
      <c r="I1582">
        <v>9.8000000000000007</v>
      </c>
      <c r="J1582" t="s">
        <v>27</v>
      </c>
    </row>
    <row r="1583" spans="1:10" x14ac:dyDescent="0.25">
      <c r="A1583" s="1">
        <v>605</v>
      </c>
      <c r="B1583" t="s">
        <v>19</v>
      </c>
      <c r="C1583">
        <v>706</v>
      </c>
      <c r="D1583">
        <v>4</v>
      </c>
      <c r="E1583" t="s">
        <v>28</v>
      </c>
      <c r="F1583" t="s">
        <v>29</v>
      </c>
      <c r="G1583" t="str">
        <f>"2025-12-10 11:02:34.138"</f>
        <v>2025-12-10 11:02:34.138</v>
      </c>
      <c r="H1583" t="s">
        <v>21</v>
      </c>
      <c r="I1583">
        <v>0</v>
      </c>
      <c r="J1583" t="s">
        <v>30</v>
      </c>
    </row>
    <row r="1584" spans="1:10" x14ac:dyDescent="0.25">
      <c r="A1584" s="1">
        <v>606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"2025-12-10 11:01:16.938"</f>
        <v>2025-12-10 11:01:16.938</v>
      </c>
      <c r="H1584" t="s">
        <v>21</v>
      </c>
      <c r="I1584">
        <v>0</v>
      </c>
      <c r="J1584" t="s">
        <v>22</v>
      </c>
    </row>
    <row r="1585" spans="1:10" x14ac:dyDescent="0.25">
      <c r="A1585" s="1">
        <v>607</v>
      </c>
      <c r="B1585" t="s">
        <v>38</v>
      </c>
      <c r="C1585">
        <v>630</v>
      </c>
      <c r="D1585">
        <v>5</v>
      </c>
      <c r="E1585" t="s">
        <v>35</v>
      </c>
      <c r="F1585" t="s">
        <v>36</v>
      </c>
      <c r="G1585" t="str">
        <f>"2025-12-10 10:47:06.756"</f>
        <v>2025-12-10 10:47:06.756</v>
      </c>
      <c r="H1585" t="s">
        <v>37</v>
      </c>
      <c r="I1585">
        <v>0</v>
      </c>
      <c r="J1585" t="s">
        <v>30</v>
      </c>
    </row>
    <row r="1586" spans="1:10" x14ac:dyDescent="0.25">
      <c r="A1586" s="1">
        <v>608</v>
      </c>
      <c r="B1586" t="s">
        <v>19</v>
      </c>
      <c r="C1586">
        <v>706</v>
      </c>
      <c r="D1586">
        <v>2</v>
      </c>
      <c r="E1586" t="s">
        <v>28</v>
      </c>
      <c r="F1586" t="s">
        <v>39</v>
      </c>
      <c r="G1586" t="str">
        <f>"2025-12-10 08:02:36.901"</f>
        <v>2025-12-10 08:02:36.901</v>
      </c>
      <c r="H1586" t="s">
        <v>21</v>
      </c>
      <c r="I1586">
        <v>0</v>
      </c>
      <c r="J1586" t="s">
        <v>30</v>
      </c>
    </row>
    <row r="1587" spans="1:10" x14ac:dyDescent="0.25">
      <c r="A1587" s="1">
        <v>609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"2025-12-10 08:00:18.941"</f>
        <v>2025-12-10 08:00:18.941</v>
      </c>
      <c r="H1587" t="s">
        <v>21</v>
      </c>
    </row>
    <row r="1588" spans="1:10" x14ac:dyDescent="0.25">
      <c r="A1588" s="1">
        <v>610</v>
      </c>
      <c r="B1588" t="s">
        <v>19</v>
      </c>
      <c r="C1588">
        <v>706</v>
      </c>
      <c r="D1588">
        <v>2</v>
      </c>
      <c r="E1588" t="s">
        <v>28</v>
      </c>
      <c r="F1588" t="s">
        <v>39</v>
      </c>
      <c r="G1588" t="str">
        <f>"2025-12-10 06:50:18.112"</f>
        <v>2025-12-10 06:50:18.112</v>
      </c>
      <c r="H1588" t="s">
        <v>21</v>
      </c>
      <c r="I1588">
        <v>0</v>
      </c>
      <c r="J1588" t="s">
        <v>30</v>
      </c>
    </row>
    <row r="1589" spans="1:10" x14ac:dyDescent="0.25">
      <c r="A1589" s="1">
        <v>611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"2025-12-09 21:26:29.942"</f>
        <v>2025-12-09 21:26:29.942</v>
      </c>
      <c r="H1589" t="s">
        <v>21</v>
      </c>
    </row>
    <row r="1590" spans="1:10" x14ac:dyDescent="0.25">
      <c r="A1590" s="1">
        <v>612</v>
      </c>
      <c r="B1590" t="s">
        <v>19</v>
      </c>
      <c r="C1590">
        <v>706</v>
      </c>
      <c r="D1590">
        <v>4</v>
      </c>
      <c r="E1590" t="s">
        <v>28</v>
      </c>
      <c r="F1590" t="s">
        <v>29</v>
      </c>
      <c r="G1590" t="str">
        <f>"2025-12-09 13:16:02.247"</f>
        <v>2025-12-09 13:16:02.247</v>
      </c>
      <c r="H1590" t="s">
        <v>21</v>
      </c>
      <c r="I1590">
        <v>0</v>
      </c>
      <c r="J1590" t="s">
        <v>30</v>
      </c>
    </row>
    <row r="1591" spans="1:10" x14ac:dyDescent="0.25">
      <c r="A1591" s="1">
        <v>613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"2025-12-09 13:13:31.937"</f>
        <v>2025-12-09 13:13:31.937</v>
      </c>
      <c r="H1591" t="s">
        <v>21</v>
      </c>
    </row>
    <row r="1592" spans="1:10" x14ac:dyDescent="0.25">
      <c r="A1592" s="1">
        <v>614</v>
      </c>
      <c r="B1592" t="s">
        <v>23</v>
      </c>
      <c r="C1592">
        <v>635</v>
      </c>
      <c r="D1592">
        <v>1</v>
      </c>
      <c r="E1592" t="s">
        <v>31</v>
      </c>
      <c r="F1592" t="s">
        <v>32</v>
      </c>
      <c r="G1592" t="str">
        <f>"2025-12-09 11:12:53.232"</f>
        <v>2025-12-09 11:12:53.232</v>
      </c>
      <c r="H1592" t="s">
        <v>21</v>
      </c>
    </row>
    <row r="1593" spans="1:10" x14ac:dyDescent="0.25">
      <c r="A1593" s="1">
        <v>615</v>
      </c>
      <c r="B1593" t="s">
        <v>26</v>
      </c>
      <c r="C1593">
        <v>635</v>
      </c>
      <c r="D1593">
        <v>1</v>
      </c>
      <c r="E1593" t="s">
        <v>31</v>
      </c>
      <c r="F1593" t="s">
        <v>32</v>
      </c>
      <c r="G1593" t="str">
        <f>"2025-12-09 11:09:24.732"</f>
        <v>2025-12-09 11:09:24.732</v>
      </c>
      <c r="H1593" t="s">
        <v>21</v>
      </c>
      <c r="I1593">
        <v>7.73</v>
      </c>
      <c r="J1593" t="s">
        <v>34</v>
      </c>
    </row>
    <row r="1594" spans="1:10" s="3" customFormat="1" x14ac:dyDescent="0.25">
      <c r="A1594" s="2">
        <v>616</v>
      </c>
      <c r="B1594" s="3" t="s">
        <v>23</v>
      </c>
      <c r="C1594" s="3">
        <v>647</v>
      </c>
      <c r="D1594" s="3">
        <v>1</v>
      </c>
      <c r="E1594" s="3" t="s">
        <v>24</v>
      </c>
      <c r="F1594" s="3" t="s">
        <v>25</v>
      </c>
      <c r="G1594" s="3" t="str">
        <f>"2025-12-09 11:00:25.033"</f>
        <v>2025-12-09 11:00:25.033</v>
      </c>
      <c r="H1594" s="3" t="s">
        <v>21</v>
      </c>
    </row>
    <row r="1595" spans="1:10" s="3" customFormat="1" x14ac:dyDescent="0.25">
      <c r="A1595" s="2">
        <v>617</v>
      </c>
      <c r="B1595" s="3" t="s">
        <v>26</v>
      </c>
      <c r="C1595" s="3">
        <v>647</v>
      </c>
      <c r="D1595" s="3">
        <v>1</v>
      </c>
      <c r="E1595" s="3" t="s">
        <v>24</v>
      </c>
      <c r="F1595" s="3" t="s">
        <v>25</v>
      </c>
      <c r="G1595" s="3" t="str">
        <f>"2025-12-09 11:00:23.533"</f>
        <v>2025-12-09 11:00:23.533</v>
      </c>
      <c r="H1595" s="3" t="s">
        <v>21</v>
      </c>
      <c r="I1595" s="3">
        <v>16.98</v>
      </c>
      <c r="J1595" s="3" t="s">
        <v>27</v>
      </c>
    </row>
    <row r="1596" spans="1:10" x14ac:dyDescent="0.25">
      <c r="A1596" s="1">
        <v>618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"2025-12-09 06:04:48.900"</f>
        <v>2025-12-09 06:04:48.900</v>
      </c>
      <c r="H1596" t="s">
        <v>21</v>
      </c>
    </row>
    <row r="1597" spans="1:10" x14ac:dyDescent="0.25">
      <c r="A1597" s="1">
        <v>619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"2025-12-09 06:01:28.072"</f>
        <v>2025-12-09 06:01:28.072</v>
      </c>
      <c r="H1597" t="s">
        <v>21</v>
      </c>
      <c r="I1597">
        <v>0</v>
      </c>
      <c r="J1597" t="s">
        <v>22</v>
      </c>
    </row>
    <row r="1598" spans="1:10" s="3" customFormat="1" x14ac:dyDescent="0.25">
      <c r="A1598" s="2">
        <v>620</v>
      </c>
      <c r="B1598" s="3" t="s">
        <v>23</v>
      </c>
      <c r="C1598" s="3">
        <v>647</v>
      </c>
      <c r="D1598" s="3">
        <v>1</v>
      </c>
      <c r="E1598" s="3" t="s">
        <v>24</v>
      </c>
      <c r="F1598" s="3" t="s">
        <v>25</v>
      </c>
      <c r="G1598" s="3" t="str">
        <f>"2025-12-09 04:07:41.039"</f>
        <v>2025-12-09 04:07:41.039</v>
      </c>
      <c r="H1598" s="3" t="s">
        <v>21</v>
      </c>
    </row>
    <row r="1599" spans="1:10" s="3" customFormat="1" x14ac:dyDescent="0.25">
      <c r="A1599" s="2">
        <v>621</v>
      </c>
      <c r="B1599" s="3" t="s">
        <v>26</v>
      </c>
      <c r="C1599" s="3">
        <v>647</v>
      </c>
      <c r="D1599" s="3">
        <v>1</v>
      </c>
      <c r="E1599" s="3" t="s">
        <v>24</v>
      </c>
      <c r="F1599" s="3" t="s">
        <v>25</v>
      </c>
      <c r="G1599" s="3" t="str">
        <f>"2025-12-09 04:07:37.139"</f>
        <v>2025-12-09 04:07:37.139</v>
      </c>
      <c r="H1599" s="3" t="s">
        <v>21</v>
      </c>
      <c r="I1599" s="3">
        <v>11.82</v>
      </c>
      <c r="J1599" s="3" t="s">
        <v>27</v>
      </c>
    </row>
    <row r="1600" spans="1:10" x14ac:dyDescent="0.25">
      <c r="A1600" s="1">
        <v>622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"2025-12-09 03:40:08.923"</f>
        <v>2025-12-09 03:40:08.923</v>
      </c>
      <c r="H1600" t="s">
        <v>21</v>
      </c>
    </row>
    <row r="1601" spans="1:10" x14ac:dyDescent="0.25">
      <c r="A1601" s="1">
        <v>623</v>
      </c>
      <c r="B1601" t="s">
        <v>19</v>
      </c>
      <c r="C1601">
        <v>706</v>
      </c>
      <c r="D1601">
        <v>2</v>
      </c>
      <c r="E1601" t="s">
        <v>28</v>
      </c>
      <c r="F1601" t="s">
        <v>39</v>
      </c>
      <c r="G1601" t="str">
        <f>"2025-12-08 21:35:20.916"</f>
        <v>2025-12-08 21:35:20.916</v>
      </c>
      <c r="H1601" t="s">
        <v>21</v>
      </c>
      <c r="I1601">
        <v>0</v>
      </c>
      <c r="J1601" t="s">
        <v>30</v>
      </c>
    </row>
    <row r="1602" spans="1:10" x14ac:dyDescent="0.25">
      <c r="A1602" s="1">
        <v>624</v>
      </c>
      <c r="B1602" t="s">
        <v>19</v>
      </c>
      <c r="C1602">
        <v>706</v>
      </c>
      <c r="D1602">
        <v>4</v>
      </c>
      <c r="E1602" t="s">
        <v>28</v>
      </c>
      <c r="F1602" t="s">
        <v>29</v>
      </c>
      <c r="G1602" t="str">
        <f>"2025-12-08 16:54:07.086"</f>
        <v>2025-12-08 16:54:07.086</v>
      </c>
      <c r="H1602" t="s">
        <v>21</v>
      </c>
      <c r="I1602">
        <v>0</v>
      </c>
      <c r="J1602" t="s">
        <v>30</v>
      </c>
    </row>
    <row r="1603" spans="1:10" x14ac:dyDescent="0.25">
      <c r="A1603" s="1">
        <v>625</v>
      </c>
      <c r="B1603" t="s">
        <v>23</v>
      </c>
      <c r="C1603">
        <v>635</v>
      </c>
      <c r="D1603">
        <v>1</v>
      </c>
      <c r="E1603" t="s">
        <v>31</v>
      </c>
      <c r="F1603" t="s">
        <v>32</v>
      </c>
      <c r="G1603" t="str">
        <f>"2025-12-08 16:09:43.438"</f>
        <v>2025-12-08 16:09:43.438</v>
      </c>
      <c r="H1603" t="s">
        <v>21</v>
      </c>
    </row>
    <row r="1604" spans="1:10" x14ac:dyDescent="0.25">
      <c r="A1604" s="1">
        <v>626</v>
      </c>
      <c r="B1604" t="s">
        <v>26</v>
      </c>
      <c r="C1604">
        <v>635</v>
      </c>
      <c r="D1604">
        <v>1</v>
      </c>
      <c r="E1604" t="s">
        <v>31</v>
      </c>
      <c r="F1604" t="s">
        <v>32</v>
      </c>
      <c r="G1604" t="str">
        <f>"2025-12-08 16:04:58.938"</f>
        <v>2025-12-08 16:04:58.938</v>
      </c>
      <c r="H1604" t="s">
        <v>21</v>
      </c>
      <c r="I1604">
        <v>6.64</v>
      </c>
      <c r="J1604" t="s">
        <v>27</v>
      </c>
    </row>
    <row r="1605" spans="1:10" x14ac:dyDescent="0.25">
      <c r="A1605" s="1">
        <v>627</v>
      </c>
      <c r="B1605" t="s">
        <v>19</v>
      </c>
      <c r="C1605">
        <v>706</v>
      </c>
      <c r="D1605">
        <v>2</v>
      </c>
      <c r="E1605" t="s">
        <v>28</v>
      </c>
      <c r="F1605" t="s">
        <v>39</v>
      </c>
      <c r="G1605" t="str">
        <f>"2025-12-08 12:38:58.316"</f>
        <v>2025-12-08 12:38:58.316</v>
      </c>
      <c r="H1605" t="s">
        <v>21</v>
      </c>
      <c r="I1605">
        <v>0</v>
      </c>
      <c r="J1605" t="s">
        <v>30</v>
      </c>
    </row>
    <row r="1606" spans="1:10" x14ac:dyDescent="0.25">
      <c r="A1606" s="1">
        <v>628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"2025-12-08 12:37:32.966"</f>
        <v>2025-12-08 12:37:32.966</v>
      </c>
      <c r="H1606" t="s">
        <v>21</v>
      </c>
    </row>
    <row r="1607" spans="1:10" s="3" customFormat="1" x14ac:dyDescent="0.25">
      <c r="A1607" s="2">
        <v>629</v>
      </c>
      <c r="B1607" s="3" t="s">
        <v>23</v>
      </c>
      <c r="C1607" s="3">
        <v>647</v>
      </c>
      <c r="D1607" s="3">
        <v>1</v>
      </c>
      <c r="E1607" s="3" t="s">
        <v>24</v>
      </c>
      <c r="F1607" s="3" t="s">
        <v>25</v>
      </c>
      <c r="G1607" s="3" t="str">
        <f>"2025-12-07 23:07:23.833"</f>
        <v>2025-12-07 23:07:23.833</v>
      </c>
      <c r="H1607" s="3" t="s">
        <v>21</v>
      </c>
    </row>
    <row r="1608" spans="1:10" s="3" customFormat="1" x14ac:dyDescent="0.25">
      <c r="A1608" s="2">
        <v>630</v>
      </c>
      <c r="B1608" s="3" t="s">
        <v>26</v>
      </c>
      <c r="C1608" s="3">
        <v>647</v>
      </c>
      <c r="D1608" s="3">
        <v>1</v>
      </c>
      <c r="E1608" s="3" t="s">
        <v>24</v>
      </c>
      <c r="F1608" s="3" t="s">
        <v>25</v>
      </c>
      <c r="G1608" s="3" t="str">
        <f>"2025-12-07 23:07:17.533"</f>
        <v>2025-12-07 23:07:17.533</v>
      </c>
      <c r="H1608" s="3" t="s">
        <v>21</v>
      </c>
      <c r="I1608" s="3">
        <v>10.26</v>
      </c>
      <c r="J1608" s="3" t="s">
        <v>27</v>
      </c>
    </row>
    <row r="1609" spans="1:10" s="3" customFormat="1" x14ac:dyDescent="0.25">
      <c r="A1609" s="2">
        <v>631</v>
      </c>
      <c r="B1609" s="3" t="s">
        <v>23</v>
      </c>
      <c r="C1609" s="3">
        <v>647</v>
      </c>
      <c r="D1609" s="3">
        <v>1</v>
      </c>
      <c r="E1609" s="3" t="s">
        <v>24</v>
      </c>
      <c r="F1609" s="3" t="s">
        <v>25</v>
      </c>
      <c r="G1609" s="3" t="str">
        <f>"2025-12-07 18:06:20.833"</f>
        <v>2025-12-07 18:06:20.833</v>
      </c>
      <c r="H1609" s="3" t="s">
        <v>21</v>
      </c>
    </row>
    <row r="1610" spans="1:10" s="3" customFormat="1" x14ac:dyDescent="0.25">
      <c r="A1610" s="2">
        <v>632</v>
      </c>
      <c r="B1610" s="3" t="s">
        <v>26</v>
      </c>
      <c r="C1610" s="3">
        <v>647</v>
      </c>
      <c r="D1610" s="3">
        <v>1</v>
      </c>
      <c r="E1610" s="3" t="s">
        <v>24</v>
      </c>
      <c r="F1610" s="3" t="s">
        <v>25</v>
      </c>
      <c r="G1610" s="3" t="str">
        <f>"2025-12-07 18:06:16.734"</f>
        <v>2025-12-07 18:06:16.734</v>
      </c>
      <c r="H1610" s="3" t="s">
        <v>21</v>
      </c>
      <c r="I1610" s="3">
        <v>8.65</v>
      </c>
      <c r="J1610" s="3" t="s">
        <v>27</v>
      </c>
    </row>
    <row r="1611" spans="1:10" x14ac:dyDescent="0.25">
      <c r="A1611" s="1">
        <v>633</v>
      </c>
      <c r="B1611" t="s">
        <v>19</v>
      </c>
      <c r="C1611">
        <v>706</v>
      </c>
      <c r="D1611">
        <v>4</v>
      </c>
      <c r="E1611" t="s">
        <v>28</v>
      </c>
      <c r="F1611" t="s">
        <v>29</v>
      </c>
      <c r="G1611" t="str">
        <f>"2025-12-07 13:17:41.036"</f>
        <v>2025-12-07 13:17:41.036</v>
      </c>
      <c r="H1611" t="s">
        <v>21</v>
      </c>
      <c r="I1611">
        <v>0</v>
      </c>
      <c r="J1611" t="s">
        <v>30</v>
      </c>
    </row>
    <row r="1612" spans="1:10" x14ac:dyDescent="0.25">
      <c r="A1612" s="1">
        <v>634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"2025-12-07 13:16:11.916"</f>
        <v>2025-12-07 13:16:11.916</v>
      </c>
      <c r="H1612" t="s">
        <v>21</v>
      </c>
      <c r="I1612">
        <v>0</v>
      </c>
      <c r="J1612" t="s">
        <v>22</v>
      </c>
    </row>
    <row r="1613" spans="1:10" x14ac:dyDescent="0.25">
      <c r="A1613" s="1">
        <v>635</v>
      </c>
      <c r="B1613" t="s">
        <v>19</v>
      </c>
      <c r="C1613">
        <v>706</v>
      </c>
      <c r="D1613">
        <v>2</v>
      </c>
      <c r="E1613" t="s">
        <v>28</v>
      </c>
      <c r="F1613" t="s">
        <v>39</v>
      </c>
      <c r="G1613" t="str">
        <f>"2025-12-06 11:05:00.151"</f>
        <v>2025-12-06 11:05:00.151</v>
      </c>
      <c r="H1613" t="s">
        <v>21</v>
      </c>
      <c r="I1613">
        <v>0</v>
      </c>
      <c r="J1613" t="s">
        <v>30</v>
      </c>
    </row>
    <row r="1614" spans="1:10" x14ac:dyDescent="0.25">
      <c r="A1614" s="1">
        <v>636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"2025-12-06 11:04:06.921"</f>
        <v>2025-12-06 11:04:06.921</v>
      </c>
      <c r="H1614" t="s">
        <v>21</v>
      </c>
      <c r="I1614">
        <v>0</v>
      </c>
      <c r="J1614" t="s">
        <v>22</v>
      </c>
    </row>
    <row r="1615" spans="1:10" s="3" customFormat="1" x14ac:dyDescent="0.25">
      <c r="A1615" s="2">
        <v>637</v>
      </c>
      <c r="B1615" s="3" t="s">
        <v>23</v>
      </c>
      <c r="C1615" s="3">
        <v>647</v>
      </c>
      <c r="D1615" s="3">
        <v>1</v>
      </c>
      <c r="E1615" s="3" t="s">
        <v>24</v>
      </c>
      <c r="F1615" s="3" t="s">
        <v>25</v>
      </c>
      <c r="G1615" s="3" t="str">
        <f>"2025-12-06 08:36:26.844"</f>
        <v>2025-12-06 08:36:26.844</v>
      </c>
      <c r="H1615" s="3" t="s">
        <v>21</v>
      </c>
    </row>
    <row r="1616" spans="1:10" s="3" customFormat="1" x14ac:dyDescent="0.25">
      <c r="A1616" s="2">
        <v>638</v>
      </c>
      <c r="B1616" s="3" t="s">
        <v>26</v>
      </c>
      <c r="C1616" s="3">
        <v>647</v>
      </c>
      <c r="D1616" s="3">
        <v>1</v>
      </c>
      <c r="E1616" s="3" t="s">
        <v>24</v>
      </c>
      <c r="F1616" s="3" t="s">
        <v>25</v>
      </c>
      <c r="G1616" s="3" t="str">
        <f>"2025-12-06 08:36:23.544"</f>
        <v>2025-12-06 08:36:23.544</v>
      </c>
      <c r="H1616" s="3" t="s">
        <v>21</v>
      </c>
      <c r="I1616" s="3">
        <v>9.66</v>
      </c>
      <c r="J1616" s="3" t="s">
        <v>27</v>
      </c>
    </row>
    <row r="1617" spans="1:10" s="3" customFormat="1" x14ac:dyDescent="0.25">
      <c r="A1617" s="2">
        <v>639</v>
      </c>
      <c r="B1617" s="3" t="s">
        <v>23</v>
      </c>
      <c r="C1617" s="3">
        <v>647</v>
      </c>
      <c r="D1617" s="3">
        <v>1</v>
      </c>
      <c r="E1617" s="3" t="s">
        <v>24</v>
      </c>
      <c r="F1617" s="3" t="s">
        <v>25</v>
      </c>
      <c r="G1617" s="3" t="str">
        <f>"2025-12-06 05:46:57.844"</f>
        <v>2025-12-06 05:46:57.844</v>
      </c>
      <c r="H1617" s="3" t="s">
        <v>21</v>
      </c>
    </row>
    <row r="1618" spans="1:10" s="3" customFormat="1" x14ac:dyDescent="0.25">
      <c r="A1618" s="2">
        <v>640</v>
      </c>
      <c r="B1618" s="3" t="s">
        <v>26</v>
      </c>
      <c r="C1618" s="3">
        <v>647</v>
      </c>
      <c r="D1618" s="3">
        <v>1</v>
      </c>
      <c r="E1618" s="3" t="s">
        <v>24</v>
      </c>
      <c r="F1618" s="3" t="s">
        <v>25</v>
      </c>
      <c r="G1618" s="3" t="str">
        <f>"2025-12-06 05:46:54.644"</f>
        <v>2025-12-06 05:46:54.644</v>
      </c>
      <c r="H1618" s="3" t="s">
        <v>21</v>
      </c>
      <c r="I1618" s="3">
        <v>9.91</v>
      </c>
      <c r="J1618" s="3" t="s">
        <v>34</v>
      </c>
    </row>
    <row r="1619" spans="1:10" x14ac:dyDescent="0.25">
      <c r="A1619" s="1">
        <v>641</v>
      </c>
      <c r="B1619" t="s">
        <v>44</v>
      </c>
      <c r="C1619">
        <v>33</v>
      </c>
      <c r="D1619">
        <v>1</v>
      </c>
      <c r="E1619" t="s">
        <v>45</v>
      </c>
      <c r="F1619" t="s">
        <v>46</v>
      </c>
      <c r="G1619" t="str">
        <f>"2025-12-06 05:29:27.290"</f>
        <v>2025-12-06 05:29:27.290</v>
      </c>
      <c r="H1619" t="s">
        <v>47</v>
      </c>
    </row>
    <row r="1620" spans="1:10" s="3" customFormat="1" x14ac:dyDescent="0.25">
      <c r="A1620" s="2">
        <v>642</v>
      </c>
      <c r="B1620" s="3" t="s">
        <v>23</v>
      </c>
      <c r="C1620" s="3">
        <v>647</v>
      </c>
      <c r="D1620" s="3">
        <v>1</v>
      </c>
      <c r="E1620" s="3" t="s">
        <v>24</v>
      </c>
      <c r="F1620" s="3" t="s">
        <v>25</v>
      </c>
      <c r="G1620" s="3" t="str">
        <f>"2025-12-06 05:28:14.644"</f>
        <v>2025-12-06 05:28:14.644</v>
      </c>
      <c r="H1620" s="3" t="s">
        <v>21</v>
      </c>
    </row>
    <row r="1621" spans="1:10" s="3" customFormat="1" x14ac:dyDescent="0.25">
      <c r="A1621" s="2">
        <v>643</v>
      </c>
      <c r="B1621" s="3" t="s">
        <v>26</v>
      </c>
      <c r="C1621" s="3">
        <v>647</v>
      </c>
      <c r="D1621" s="3">
        <v>1</v>
      </c>
      <c r="E1621" s="3" t="s">
        <v>24</v>
      </c>
      <c r="F1621" s="3" t="s">
        <v>25</v>
      </c>
      <c r="G1621" s="3" t="str">
        <f>"2025-12-06 05:28:04.744"</f>
        <v>2025-12-06 05:28:04.744</v>
      </c>
      <c r="H1621" s="3" t="s">
        <v>21</v>
      </c>
      <c r="I1621" s="3">
        <v>12.19</v>
      </c>
      <c r="J1621" s="3" t="s">
        <v>27</v>
      </c>
    </row>
    <row r="1622" spans="1:10" x14ac:dyDescent="0.25">
      <c r="A1622" s="1">
        <v>644</v>
      </c>
      <c r="B1622" t="s">
        <v>38</v>
      </c>
      <c r="C1622">
        <v>33</v>
      </c>
      <c r="D1622">
        <v>1</v>
      </c>
      <c r="E1622" t="s">
        <v>45</v>
      </c>
      <c r="F1622" t="s">
        <v>46</v>
      </c>
      <c r="G1622" t="str">
        <f>"2025-12-06 05:27:51.222"</f>
        <v>2025-12-06 05:27:51.222</v>
      </c>
      <c r="H1622" t="s">
        <v>47</v>
      </c>
      <c r="I1622">
        <v>8.14</v>
      </c>
      <c r="J1622" t="s">
        <v>33</v>
      </c>
    </row>
    <row r="1623" spans="1:10" s="3" customFormat="1" x14ac:dyDescent="0.25">
      <c r="A1623" s="2">
        <v>645</v>
      </c>
      <c r="B1623" s="3" t="s">
        <v>23</v>
      </c>
      <c r="C1623" s="3">
        <v>647</v>
      </c>
      <c r="D1623" s="3">
        <v>1</v>
      </c>
      <c r="E1623" s="3" t="s">
        <v>24</v>
      </c>
      <c r="F1623" s="3" t="s">
        <v>25</v>
      </c>
      <c r="G1623" s="3" t="str">
        <f>"2025-12-05 20:29:18.244"</f>
        <v>2025-12-05 20:29:18.244</v>
      </c>
      <c r="H1623" s="3" t="s">
        <v>21</v>
      </c>
    </row>
    <row r="1624" spans="1:10" s="3" customFormat="1" x14ac:dyDescent="0.25">
      <c r="A1624" s="2">
        <v>646</v>
      </c>
      <c r="B1624" s="3" t="s">
        <v>26</v>
      </c>
      <c r="C1624" s="3">
        <v>647</v>
      </c>
      <c r="D1624" s="3">
        <v>1</v>
      </c>
      <c r="E1624" s="3" t="s">
        <v>24</v>
      </c>
      <c r="F1624" s="3" t="s">
        <v>25</v>
      </c>
      <c r="G1624" s="3" t="str">
        <f>"2025-12-05 20:29:10.944"</f>
        <v>2025-12-05 20:29:10.944</v>
      </c>
      <c r="H1624" s="3" t="s">
        <v>21</v>
      </c>
      <c r="I1624" s="3">
        <v>13.36</v>
      </c>
      <c r="J1624" s="3" t="s">
        <v>27</v>
      </c>
    </row>
    <row r="1625" spans="1:10" x14ac:dyDescent="0.25">
      <c r="A1625" s="1">
        <v>647</v>
      </c>
      <c r="B1625" t="s">
        <v>19</v>
      </c>
      <c r="C1625">
        <v>706</v>
      </c>
      <c r="D1625">
        <v>4</v>
      </c>
      <c r="E1625" t="s">
        <v>28</v>
      </c>
      <c r="F1625" t="s">
        <v>29</v>
      </c>
      <c r="G1625" t="str">
        <f>"2025-12-05 08:00:38.059"</f>
        <v>2025-12-05 08:00:38.059</v>
      </c>
      <c r="H1625" t="s">
        <v>21</v>
      </c>
      <c r="I1625">
        <v>0</v>
      </c>
      <c r="J1625" t="s">
        <v>30</v>
      </c>
    </row>
    <row r="1626" spans="1:10" x14ac:dyDescent="0.25">
      <c r="A1626" s="1">
        <v>648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"2025-12-05 07:57:16.919"</f>
        <v>2025-12-05 07:57:16.919</v>
      </c>
      <c r="H1626" t="s">
        <v>21</v>
      </c>
      <c r="I1626">
        <v>0</v>
      </c>
      <c r="J1626" t="s">
        <v>22</v>
      </c>
    </row>
    <row r="1627" spans="1:10" x14ac:dyDescent="0.25">
      <c r="A1627" s="1">
        <v>649</v>
      </c>
      <c r="B1627" t="s">
        <v>23</v>
      </c>
      <c r="C1627">
        <v>635</v>
      </c>
      <c r="D1627">
        <v>1</v>
      </c>
      <c r="E1627" t="s">
        <v>31</v>
      </c>
      <c r="F1627" t="s">
        <v>32</v>
      </c>
      <c r="G1627" t="str">
        <f>"2025-12-05 01:35:29.715"</f>
        <v>2025-12-05 01:35:29.715</v>
      </c>
      <c r="H1627" t="s">
        <v>21</v>
      </c>
    </row>
    <row r="1628" spans="1:10" x14ac:dyDescent="0.25">
      <c r="A1628" s="1">
        <v>650</v>
      </c>
      <c r="B1628" t="s">
        <v>26</v>
      </c>
      <c r="C1628">
        <v>635</v>
      </c>
      <c r="D1628">
        <v>1</v>
      </c>
      <c r="E1628" t="s">
        <v>31</v>
      </c>
      <c r="F1628" t="s">
        <v>32</v>
      </c>
      <c r="G1628" t="str">
        <f>"2025-12-05 01:29:23.815"</f>
        <v>2025-12-05 01:29:23.815</v>
      </c>
      <c r="H1628" t="s">
        <v>21</v>
      </c>
      <c r="I1628">
        <v>-0.19</v>
      </c>
      <c r="J1628" t="s">
        <v>34</v>
      </c>
    </row>
    <row r="1629" spans="1:10" s="3" customFormat="1" x14ac:dyDescent="0.25">
      <c r="A1629" s="2">
        <v>651</v>
      </c>
      <c r="B1629" s="3" t="s">
        <v>23</v>
      </c>
      <c r="C1629" s="3">
        <v>647</v>
      </c>
      <c r="D1629" s="3">
        <v>1</v>
      </c>
      <c r="E1629" s="3" t="s">
        <v>24</v>
      </c>
      <c r="F1629" s="3" t="s">
        <v>25</v>
      </c>
      <c r="G1629" s="3" t="str">
        <f>"2025-12-05 00:43:33.116"</f>
        <v>2025-12-05 00:43:33.116</v>
      </c>
      <c r="H1629" s="3" t="s">
        <v>21</v>
      </c>
    </row>
    <row r="1630" spans="1:10" s="3" customFormat="1" x14ac:dyDescent="0.25">
      <c r="A1630" s="2">
        <v>652</v>
      </c>
      <c r="B1630" s="3" t="s">
        <v>26</v>
      </c>
      <c r="C1630" s="3">
        <v>647</v>
      </c>
      <c r="D1630" s="3">
        <v>1</v>
      </c>
      <c r="E1630" s="3" t="s">
        <v>24</v>
      </c>
      <c r="F1630" s="3" t="s">
        <v>25</v>
      </c>
      <c r="G1630" s="3" t="str">
        <f>"2025-12-05 00:43:28.416"</f>
        <v>2025-12-05 00:43:28.416</v>
      </c>
      <c r="H1630" s="3" t="s">
        <v>21</v>
      </c>
      <c r="I1630" s="3">
        <v>8.91</v>
      </c>
      <c r="J1630" s="3" t="s">
        <v>27</v>
      </c>
    </row>
    <row r="1631" spans="1:10" x14ac:dyDescent="0.25">
      <c r="A1631" s="1">
        <v>653</v>
      </c>
      <c r="B1631" t="s">
        <v>23</v>
      </c>
      <c r="C1631">
        <v>635</v>
      </c>
      <c r="D1631">
        <v>1</v>
      </c>
      <c r="E1631" t="s">
        <v>31</v>
      </c>
      <c r="F1631" t="s">
        <v>32</v>
      </c>
      <c r="G1631" t="str">
        <f>"2025-12-04 22:54:18.615"</f>
        <v>2025-12-04 22:54:18.615</v>
      </c>
      <c r="H1631" t="s">
        <v>21</v>
      </c>
    </row>
    <row r="1632" spans="1:10" x14ac:dyDescent="0.25">
      <c r="A1632" s="1">
        <v>654</v>
      </c>
      <c r="B1632" t="s">
        <v>26</v>
      </c>
      <c r="C1632">
        <v>635</v>
      </c>
      <c r="D1632">
        <v>1</v>
      </c>
      <c r="E1632" t="s">
        <v>31</v>
      </c>
      <c r="F1632" t="s">
        <v>32</v>
      </c>
      <c r="G1632" t="str">
        <f>"2025-12-04 22:49:40.615"</f>
        <v>2025-12-04 22:49:40.615</v>
      </c>
      <c r="H1632" t="s">
        <v>21</v>
      </c>
      <c r="I1632">
        <v>1.07</v>
      </c>
      <c r="J1632" t="s">
        <v>27</v>
      </c>
    </row>
    <row r="1633" spans="1:10" s="3" customFormat="1" x14ac:dyDescent="0.25">
      <c r="A1633" s="2">
        <v>655</v>
      </c>
      <c r="B1633" s="3" t="s">
        <v>23</v>
      </c>
      <c r="C1633" s="3">
        <v>647</v>
      </c>
      <c r="D1633" s="3">
        <v>1</v>
      </c>
      <c r="E1633" s="3" t="s">
        <v>24</v>
      </c>
      <c r="F1633" s="3" t="s">
        <v>25</v>
      </c>
      <c r="G1633" s="3" t="str">
        <f>"2025-12-04 19:41:55.516"</f>
        <v>2025-12-04 19:41:55.516</v>
      </c>
      <c r="H1633" s="3" t="s">
        <v>21</v>
      </c>
    </row>
    <row r="1634" spans="1:10" s="3" customFormat="1" x14ac:dyDescent="0.25">
      <c r="A1634" s="2">
        <v>656</v>
      </c>
      <c r="B1634" s="3" t="s">
        <v>26</v>
      </c>
      <c r="C1634" s="3">
        <v>647</v>
      </c>
      <c r="D1634" s="3">
        <v>1</v>
      </c>
      <c r="E1634" s="3" t="s">
        <v>24</v>
      </c>
      <c r="F1634" s="3" t="s">
        <v>25</v>
      </c>
      <c r="G1634" s="3" t="str">
        <f>"2025-12-04 19:41:51.916"</f>
        <v>2025-12-04 19:41:51.916</v>
      </c>
      <c r="H1634" s="3" t="s">
        <v>21</v>
      </c>
      <c r="I1634" s="3">
        <v>8.8800000000000008</v>
      </c>
      <c r="J1634" s="3" t="s">
        <v>34</v>
      </c>
    </row>
    <row r="1635" spans="1:10" x14ac:dyDescent="0.25">
      <c r="A1635" s="1">
        <v>657</v>
      </c>
      <c r="B1635" t="s">
        <v>19</v>
      </c>
      <c r="C1635">
        <v>706</v>
      </c>
      <c r="D1635">
        <v>2</v>
      </c>
      <c r="E1635" t="s">
        <v>28</v>
      </c>
      <c r="F1635" t="s">
        <v>39</v>
      </c>
      <c r="G1635" t="str">
        <f>"2025-12-04 12:32:49.294"</f>
        <v>2025-12-04 12:32:49.294</v>
      </c>
      <c r="H1635" t="s">
        <v>21</v>
      </c>
      <c r="I1635">
        <v>0</v>
      </c>
      <c r="J1635" t="s">
        <v>30</v>
      </c>
    </row>
    <row r="1636" spans="1:10" x14ac:dyDescent="0.25">
      <c r="A1636" s="1">
        <v>658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"2025-12-04 12:31:49.894"</f>
        <v>2025-12-04 12:31:49.894</v>
      </c>
      <c r="H1636" t="s">
        <v>21</v>
      </c>
      <c r="I1636">
        <v>0</v>
      </c>
      <c r="J1636" t="s">
        <v>22</v>
      </c>
    </row>
    <row r="1637" spans="1:10" x14ac:dyDescent="0.25">
      <c r="A1637" s="1">
        <v>659</v>
      </c>
      <c r="B1637" t="s">
        <v>19</v>
      </c>
      <c r="C1637">
        <v>706</v>
      </c>
      <c r="D1637">
        <v>2</v>
      </c>
      <c r="E1637" t="s">
        <v>28</v>
      </c>
      <c r="F1637" t="s">
        <v>39</v>
      </c>
      <c r="G1637" t="str">
        <f>"2025-12-04 10:39:14.710"</f>
        <v>2025-12-04 10:39:14.710</v>
      </c>
      <c r="H1637" t="s">
        <v>21</v>
      </c>
      <c r="I1637">
        <v>0</v>
      </c>
      <c r="J1637" t="s">
        <v>30</v>
      </c>
    </row>
    <row r="1638" spans="1:10" x14ac:dyDescent="0.25">
      <c r="A1638" s="1">
        <v>660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"2025-12-04 10:37:19.080"</f>
        <v>2025-12-04 10:37:19.080</v>
      </c>
      <c r="H1638" t="s">
        <v>21</v>
      </c>
      <c r="I1638">
        <v>0</v>
      </c>
      <c r="J1638" t="s">
        <v>22</v>
      </c>
    </row>
    <row r="1639" spans="1:10" s="3" customFormat="1" x14ac:dyDescent="0.25">
      <c r="A1639" s="2">
        <v>661</v>
      </c>
      <c r="B1639" s="3" t="s">
        <v>23</v>
      </c>
      <c r="C1639" s="3">
        <v>647</v>
      </c>
      <c r="D1639" s="3">
        <v>1</v>
      </c>
      <c r="E1639" s="3" t="s">
        <v>24</v>
      </c>
      <c r="F1639" s="3" t="s">
        <v>25</v>
      </c>
      <c r="G1639" s="3" t="str">
        <f>"2025-12-04 06:02:51.060"</f>
        <v>2025-12-04 06:02:51.060</v>
      </c>
      <c r="H1639" s="3" t="s">
        <v>21</v>
      </c>
    </row>
    <row r="1640" spans="1:10" s="3" customFormat="1" x14ac:dyDescent="0.25">
      <c r="A1640" s="2">
        <v>662</v>
      </c>
      <c r="B1640" s="3" t="s">
        <v>26</v>
      </c>
      <c r="C1640" s="3">
        <v>647</v>
      </c>
      <c r="D1640" s="3">
        <v>1</v>
      </c>
      <c r="E1640" s="3" t="s">
        <v>24</v>
      </c>
      <c r="F1640" s="3" t="s">
        <v>25</v>
      </c>
      <c r="G1640" s="3" t="str">
        <f>"2025-12-04 06:02:47.161"</f>
        <v>2025-12-04 06:02:47.161</v>
      </c>
      <c r="H1640" s="3" t="s">
        <v>21</v>
      </c>
      <c r="I1640" s="3">
        <v>13.7</v>
      </c>
      <c r="J1640" s="3" t="s">
        <v>27</v>
      </c>
    </row>
    <row r="1641" spans="1:10" x14ac:dyDescent="0.25">
      <c r="A1641" s="1">
        <v>663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"2025-12-04 05:52:01.901"</f>
        <v>2025-12-04 05:52:01.901</v>
      </c>
      <c r="H1641" t="s">
        <v>21</v>
      </c>
      <c r="I1641">
        <v>0</v>
      </c>
      <c r="J1641" t="s">
        <v>22</v>
      </c>
    </row>
    <row r="1642" spans="1:10" x14ac:dyDescent="0.25">
      <c r="A1642" s="1">
        <v>664</v>
      </c>
      <c r="B1642" t="s">
        <v>19</v>
      </c>
      <c r="C1642">
        <v>706</v>
      </c>
      <c r="D1642">
        <v>2</v>
      </c>
      <c r="E1642" t="s">
        <v>28</v>
      </c>
      <c r="F1642" t="s">
        <v>39</v>
      </c>
      <c r="G1642" t="str">
        <f>"2025-12-04 05:43:45.251"</f>
        <v>2025-12-04 05:43:45.251</v>
      </c>
      <c r="H1642" t="s">
        <v>21</v>
      </c>
      <c r="I1642">
        <v>0</v>
      </c>
      <c r="J1642" t="s">
        <v>30</v>
      </c>
    </row>
    <row r="1643" spans="1:10" x14ac:dyDescent="0.25">
      <c r="A1643" s="1">
        <v>665</v>
      </c>
      <c r="B1643" t="s">
        <v>19</v>
      </c>
      <c r="C1643">
        <v>706</v>
      </c>
      <c r="D1643">
        <v>4</v>
      </c>
      <c r="E1643" t="s">
        <v>28</v>
      </c>
      <c r="F1643" t="s">
        <v>29</v>
      </c>
      <c r="G1643" t="str">
        <f>"2025-12-04 05:36:41.981"</f>
        <v>2025-12-04 05:36:41.981</v>
      </c>
      <c r="H1643" t="s">
        <v>21</v>
      </c>
      <c r="I1643">
        <v>0</v>
      </c>
      <c r="J1643" t="s">
        <v>30</v>
      </c>
    </row>
    <row r="1644" spans="1:10" x14ac:dyDescent="0.25">
      <c r="A1644" s="1">
        <v>666</v>
      </c>
      <c r="B1644" t="s">
        <v>19</v>
      </c>
      <c r="C1644">
        <v>706</v>
      </c>
      <c r="D1644">
        <v>2</v>
      </c>
      <c r="E1644" t="s">
        <v>28</v>
      </c>
      <c r="F1644" t="s">
        <v>39</v>
      </c>
      <c r="G1644" t="str">
        <f>"2025-12-04 05:36:18.651"</f>
        <v>2025-12-04 05:36:18.651</v>
      </c>
      <c r="H1644" t="s">
        <v>21</v>
      </c>
      <c r="I1644">
        <v>0</v>
      </c>
      <c r="J1644" t="s">
        <v>30</v>
      </c>
    </row>
    <row r="1645" spans="1:10" x14ac:dyDescent="0.25">
      <c r="A1645" s="1">
        <v>667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"2025-12-04 05:07:03.941"</f>
        <v>2025-12-04 05:07:03.941</v>
      </c>
      <c r="H1645" t="s">
        <v>21</v>
      </c>
      <c r="I1645">
        <v>0</v>
      </c>
      <c r="J1645" t="s">
        <v>22</v>
      </c>
    </row>
    <row r="1646" spans="1:10" x14ac:dyDescent="0.25">
      <c r="A1646" s="1">
        <v>668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"2025-12-04 05:05:01.885"</f>
        <v>2025-12-04 05:05:01.885</v>
      </c>
      <c r="H1646" t="s">
        <v>21</v>
      </c>
      <c r="I1646">
        <v>0</v>
      </c>
      <c r="J1646" t="s">
        <v>22</v>
      </c>
    </row>
    <row r="1647" spans="1:10" x14ac:dyDescent="0.25">
      <c r="A1647" s="1">
        <v>669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"2025-12-04 04:56:45.922"</f>
        <v>2025-12-04 04:56:45.922</v>
      </c>
      <c r="H1647" t="s">
        <v>21</v>
      </c>
    </row>
    <row r="1648" spans="1:10" x14ac:dyDescent="0.25">
      <c r="A1648" s="1">
        <v>670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"2025-12-04 04:50:25.923"</f>
        <v>2025-12-04 04:50:25.923</v>
      </c>
      <c r="H1648" t="s">
        <v>21</v>
      </c>
      <c r="I1648">
        <v>0</v>
      </c>
      <c r="J1648" t="s">
        <v>22</v>
      </c>
    </row>
    <row r="1649" spans="1:10" x14ac:dyDescent="0.25">
      <c r="A1649" s="1">
        <v>671</v>
      </c>
      <c r="B1649" t="s">
        <v>19</v>
      </c>
      <c r="C1649">
        <v>706</v>
      </c>
      <c r="D1649">
        <v>4</v>
      </c>
      <c r="E1649" t="s">
        <v>28</v>
      </c>
      <c r="F1649" t="s">
        <v>29</v>
      </c>
      <c r="G1649" t="str">
        <f>"2025-12-03 13:56:17.552"</f>
        <v>2025-12-03 13:56:17.552</v>
      </c>
      <c r="H1649" t="s">
        <v>21</v>
      </c>
      <c r="I1649">
        <v>0</v>
      </c>
      <c r="J1649" t="s">
        <v>30</v>
      </c>
    </row>
    <row r="1650" spans="1:10" x14ac:dyDescent="0.25">
      <c r="A1650" s="1">
        <v>672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"2025-12-03 13:55:09.922"</f>
        <v>2025-12-03 13:55:09.922</v>
      </c>
      <c r="H1650" t="s">
        <v>21</v>
      </c>
      <c r="I1650">
        <v>0</v>
      </c>
      <c r="J1650" t="s">
        <v>22</v>
      </c>
    </row>
    <row r="1651" spans="1:10" s="3" customFormat="1" x14ac:dyDescent="0.25">
      <c r="A1651" s="2">
        <v>673</v>
      </c>
      <c r="B1651" s="3" t="s">
        <v>23</v>
      </c>
      <c r="C1651" s="3">
        <v>647</v>
      </c>
      <c r="D1651" s="3">
        <v>1</v>
      </c>
      <c r="E1651" s="3" t="s">
        <v>24</v>
      </c>
      <c r="F1651" s="3" t="s">
        <v>25</v>
      </c>
      <c r="G1651" s="3" t="str">
        <f>"2025-12-03 12:23:28.739"</f>
        <v>2025-12-03 12:23:28.739</v>
      </c>
      <c r="H1651" s="3" t="s">
        <v>21</v>
      </c>
    </row>
    <row r="1652" spans="1:10" s="3" customFormat="1" x14ac:dyDescent="0.25">
      <c r="A1652" s="2">
        <v>674</v>
      </c>
      <c r="B1652" s="3" t="s">
        <v>26</v>
      </c>
      <c r="C1652" s="3">
        <v>647</v>
      </c>
      <c r="D1652" s="3">
        <v>1</v>
      </c>
      <c r="E1652" s="3" t="s">
        <v>24</v>
      </c>
      <c r="F1652" s="3" t="s">
        <v>25</v>
      </c>
      <c r="G1652" s="3" t="str">
        <f>"2025-12-03 12:23:24.740"</f>
        <v>2025-12-03 12:23:24.740</v>
      </c>
      <c r="H1652" s="3" t="s">
        <v>21</v>
      </c>
      <c r="I1652" s="3">
        <v>13.56</v>
      </c>
      <c r="J1652" s="3" t="s">
        <v>27</v>
      </c>
    </row>
    <row r="1653" spans="1:10" x14ac:dyDescent="0.25">
      <c r="A1653" s="1">
        <v>675</v>
      </c>
      <c r="B1653" t="s">
        <v>19</v>
      </c>
      <c r="C1653">
        <v>706</v>
      </c>
      <c r="D1653">
        <v>4</v>
      </c>
      <c r="E1653" t="s">
        <v>28</v>
      </c>
      <c r="F1653" t="s">
        <v>29</v>
      </c>
      <c r="G1653" t="str">
        <f>"2025-12-03 08:36:53.032"</f>
        <v>2025-12-03 08:36:53.032</v>
      </c>
      <c r="H1653" t="s">
        <v>21</v>
      </c>
      <c r="I1653">
        <v>0</v>
      </c>
      <c r="J1653" t="s">
        <v>30</v>
      </c>
    </row>
    <row r="1654" spans="1:10" x14ac:dyDescent="0.25">
      <c r="A1654" s="1">
        <v>676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"2025-12-03 08:33:42.012"</f>
        <v>2025-12-03 08:33:42.012</v>
      </c>
      <c r="H1654" t="s">
        <v>21</v>
      </c>
      <c r="I1654">
        <v>0</v>
      </c>
      <c r="J1654" t="s">
        <v>22</v>
      </c>
    </row>
    <row r="1655" spans="1:10" x14ac:dyDescent="0.25">
      <c r="A1655" s="1">
        <v>677</v>
      </c>
      <c r="B1655" t="s">
        <v>19</v>
      </c>
      <c r="C1655">
        <v>706</v>
      </c>
      <c r="D1655">
        <v>4</v>
      </c>
      <c r="E1655" t="s">
        <v>28</v>
      </c>
      <c r="F1655" t="s">
        <v>29</v>
      </c>
      <c r="G1655" t="str">
        <f>"2025-12-03 01:12:34.186"</f>
        <v>2025-12-03 01:12:34.186</v>
      </c>
      <c r="H1655" t="s">
        <v>21</v>
      </c>
      <c r="I1655">
        <v>0</v>
      </c>
      <c r="J1655" t="s">
        <v>30</v>
      </c>
    </row>
    <row r="1656" spans="1:10" x14ac:dyDescent="0.25">
      <c r="A1656" s="1">
        <v>678</v>
      </c>
      <c r="B1656" t="s">
        <v>44</v>
      </c>
      <c r="C1656">
        <v>33</v>
      </c>
      <c r="D1656">
        <v>1</v>
      </c>
      <c r="E1656" t="s">
        <v>45</v>
      </c>
      <c r="F1656" t="s">
        <v>46</v>
      </c>
      <c r="G1656" t="str">
        <f>"2025-12-02 15:36:33.620"</f>
        <v>2025-12-02 15:36:33.620</v>
      </c>
      <c r="H1656" t="s">
        <v>47</v>
      </c>
    </row>
    <row r="1657" spans="1:10" x14ac:dyDescent="0.25">
      <c r="A1657" s="1">
        <v>679</v>
      </c>
      <c r="B1657" t="s">
        <v>38</v>
      </c>
      <c r="C1657">
        <v>33</v>
      </c>
      <c r="D1657">
        <v>1</v>
      </c>
      <c r="E1657" t="s">
        <v>45</v>
      </c>
      <c r="F1657" t="s">
        <v>46</v>
      </c>
      <c r="G1657" t="str">
        <f>"2025-12-02 15:36:23.018"</f>
        <v>2025-12-02 15:36:23.018</v>
      </c>
      <c r="H1657" t="s">
        <v>47</v>
      </c>
      <c r="I1657">
        <v>9.3699999999999992</v>
      </c>
      <c r="J1657" t="s">
        <v>33</v>
      </c>
    </row>
    <row r="1658" spans="1:10" x14ac:dyDescent="0.25">
      <c r="A1658" s="1">
        <v>680</v>
      </c>
      <c r="B1658" t="s">
        <v>19</v>
      </c>
      <c r="C1658">
        <v>706</v>
      </c>
      <c r="D1658">
        <v>2</v>
      </c>
      <c r="E1658" t="s">
        <v>28</v>
      </c>
      <c r="F1658" t="s">
        <v>39</v>
      </c>
      <c r="G1658" t="str">
        <f>"2025-12-02 14:14:40.916"</f>
        <v>2025-12-02 14:14:40.916</v>
      </c>
      <c r="H1658" t="s">
        <v>21</v>
      </c>
      <c r="I1658">
        <v>0</v>
      </c>
      <c r="J1658" t="s">
        <v>30</v>
      </c>
    </row>
    <row r="1659" spans="1:10" x14ac:dyDescent="0.25">
      <c r="A1659" s="1">
        <v>681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"2025-12-02 14:13:43.996"</f>
        <v>2025-12-02 14:13:43.996</v>
      </c>
      <c r="H1659" t="s">
        <v>21</v>
      </c>
      <c r="I1659">
        <v>0</v>
      </c>
      <c r="J1659" t="s">
        <v>22</v>
      </c>
    </row>
    <row r="1660" spans="1:10" s="3" customFormat="1" x14ac:dyDescent="0.25">
      <c r="A1660" s="2">
        <v>684</v>
      </c>
      <c r="B1660" s="3" t="s">
        <v>23</v>
      </c>
      <c r="C1660" s="3">
        <v>647</v>
      </c>
      <c r="D1660" s="3">
        <v>1</v>
      </c>
      <c r="E1660" s="3" t="s">
        <v>24</v>
      </c>
      <c r="F1660" s="3" t="s">
        <v>25</v>
      </c>
      <c r="G1660" s="3" t="str">
        <f>"2025-12-02 02:40:51.159"</f>
        <v>2025-12-02 02:40:51.159</v>
      </c>
      <c r="H1660" s="3" t="s">
        <v>21</v>
      </c>
    </row>
    <row r="1661" spans="1:10" s="3" customFormat="1" x14ac:dyDescent="0.25">
      <c r="A1661" s="2">
        <v>685</v>
      </c>
      <c r="B1661" s="3" t="s">
        <v>26</v>
      </c>
      <c r="C1661" s="3">
        <v>647</v>
      </c>
      <c r="D1661" s="3">
        <v>1</v>
      </c>
      <c r="E1661" s="3" t="s">
        <v>24</v>
      </c>
      <c r="F1661" s="3" t="s">
        <v>25</v>
      </c>
      <c r="G1661" s="3" t="str">
        <f>"2025-12-02 02:40:49.860"</f>
        <v>2025-12-02 02:40:49.860</v>
      </c>
      <c r="H1661" s="3" t="s">
        <v>21</v>
      </c>
      <c r="I1661" s="3">
        <v>10.23</v>
      </c>
      <c r="J1661" s="3" t="s">
        <v>34</v>
      </c>
    </row>
    <row r="1662" spans="1:10" x14ac:dyDescent="0.25">
      <c r="A1662" s="1">
        <v>686</v>
      </c>
      <c r="B1662" t="s">
        <v>19</v>
      </c>
      <c r="C1662">
        <v>706</v>
      </c>
      <c r="D1662">
        <v>4</v>
      </c>
      <c r="E1662" t="s">
        <v>28</v>
      </c>
      <c r="F1662" t="s">
        <v>29</v>
      </c>
      <c r="G1662" t="str">
        <f>"2025-12-01 13:49:46.450"</f>
        <v>2025-12-01 13:49:46.450</v>
      </c>
      <c r="H1662" t="s">
        <v>21</v>
      </c>
      <c r="I1662">
        <v>0</v>
      </c>
      <c r="J1662" t="s">
        <v>30</v>
      </c>
    </row>
    <row r="1663" spans="1:10" x14ac:dyDescent="0.25">
      <c r="A1663" s="1">
        <v>687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"2025-12-01 13:48:51.030"</f>
        <v>2025-12-01 13:48:51.030</v>
      </c>
      <c r="H1663" t="s">
        <v>21</v>
      </c>
      <c r="I1663">
        <v>0</v>
      </c>
      <c r="J1663" t="s">
        <v>22</v>
      </c>
    </row>
    <row r="1664" spans="1:10" x14ac:dyDescent="0.25">
      <c r="A1664" s="1">
        <v>688</v>
      </c>
      <c r="B1664" t="s">
        <v>19</v>
      </c>
      <c r="C1664">
        <v>706</v>
      </c>
      <c r="D1664">
        <v>2</v>
      </c>
      <c r="E1664" t="s">
        <v>28</v>
      </c>
      <c r="F1664" t="s">
        <v>39</v>
      </c>
      <c r="G1664" t="str">
        <f>"2025-12-01 09:45:04.339"</f>
        <v>2025-12-01 09:45:04.339</v>
      </c>
      <c r="H1664" t="s">
        <v>21</v>
      </c>
      <c r="I1664">
        <v>0</v>
      </c>
      <c r="J1664" t="s">
        <v>30</v>
      </c>
    </row>
    <row r="1665" spans="1:10" x14ac:dyDescent="0.25">
      <c r="A1665" s="1">
        <v>689</v>
      </c>
      <c r="B1665" t="s">
        <v>23</v>
      </c>
      <c r="C1665">
        <v>630</v>
      </c>
      <c r="D1665">
        <v>5</v>
      </c>
      <c r="E1665" t="s">
        <v>35</v>
      </c>
      <c r="F1665" t="s">
        <v>36</v>
      </c>
      <c r="G1665" t="str">
        <f>"2025-12-01 09:39:32.232"</f>
        <v>2025-12-01 09:39:32.232</v>
      </c>
      <c r="H1665" t="s">
        <v>37</v>
      </c>
    </row>
    <row r="1666" spans="1:10" x14ac:dyDescent="0.25">
      <c r="A1666" s="1">
        <v>690</v>
      </c>
      <c r="B1666" t="s">
        <v>38</v>
      </c>
      <c r="C1666">
        <v>630</v>
      </c>
      <c r="D1666">
        <v>5</v>
      </c>
      <c r="E1666" t="s">
        <v>35</v>
      </c>
      <c r="F1666" t="s">
        <v>36</v>
      </c>
      <c r="G1666" t="str">
        <f>"2025-12-01 09:33:13.932"</f>
        <v>2025-12-01 09:33:13.932</v>
      </c>
      <c r="H1666" t="s">
        <v>37</v>
      </c>
      <c r="I1666">
        <v>0</v>
      </c>
      <c r="J1666" t="s">
        <v>30</v>
      </c>
    </row>
    <row r="1667" spans="1:10" x14ac:dyDescent="0.25">
      <c r="A1667" s="1">
        <v>691</v>
      </c>
      <c r="B1667" t="s">
        <v>19</v>
      </c>
      <c r="C1667">
        <v>706</v>
      </c>
      <c r="D1667">
        <v>2</v>
      </c>
      <c r="E1667" t="s">
        <v>28</v>
      </c>
      <c r="F1667" t="s">
        <v>39</v>
      </c>
      <c r="G1667" t="str">
        <f>"2025-12-01 08:11:14.139"</f>
        <v>2025-12-01 08:11:14.139</v>
      </c>
      <c r="H1667" t="s">
        <v>21</v>
      </c>
      <c r="I1667">
        <v>0</v>
      </c>
      <c r="J1667" t="s">
        <v>30</v>
      </c>
    </row>
    <row r="1668" spans="1:10" x14ac:dyDescent="0.25">
      <c r="A1668" s="1">
        <v>692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"2025-12-01 08:06:39.879"</f>
        <v>2025-12-01 08:06:39.879</v>
      </c>
      <c r="H1668" t="s">
        <v>21</v>
      </c>
    </row>
    <row r="1669" spans="1:10" x14ac:dyDescent="0.25">
      <c r="A1669" s="1">
        <v>693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"2025-11-30 21:16:46.038"</f>
        <v>2025-11-30 21:16:46.038</v>
      </c>
      <c r="H1669" t="s">
        <v>21</v>
      </c>
      <c r="I1669">
        <v>0</v>
      </c>
      <c r="J1669" t="s">
        <v>22</v>
      </c>
    </row>
    <row r="1670" spans="1:10" s="3" customFormat="1" x14ac:dyDescent="0.25">
      <c r="A1670" s="2">
        <v>694</v>
      </c>
      <c r="B1670" s="3" t="s">
        <v>23</v>
      </c>
      <c r="C1670" s="3">
        <v>647</v>
      </c>
      <c r="D1670" s="3">
        <v>1</v>
      </c>
      <c r="E1670" s="3" t="s">
        <v>24</v>
      </c>
      <c r="F1670" s="3" t="s">
        <v>25</v>
      </c>
      <c r="G1670" s="3" t="str">
        <f>"2025-11-30 21:14:45.331"</f>
        <v>2025-11-30 21:14:45.331</v>
      </c>
      <c r="H1670" s="3" t="s">
        <v>21</v>
      </c>
    </row>
    <row r="1671" spans="1:10" s="3" customFormat="1" x14ac:dyDescent="0.25">
      <c r="A1671" s="2">
        <v>695</v>
      </c>
      <c r="B1671" s="3" t="s">
        <v>26</v>
      </c>
      <c r="C1671" s="3">
        <v>647</v>
      </c>
      <c r="D1671" s="3">
        <v>1</v>
      </c>
      <c r="E1671" s="3" t="s">
        <v>24</v>
      </c>
      <c r="F1671" s="3" t="s">
        <v>25</v>
      </c>
      <c r="G1671" s="3" t="str">
        <f>"2025-11-30 21:14:38.631"</f>
        <v>2025-11-30 21:14:38.631</v>
      </c>
      <c r="H1671" s="3" t="s">
        <v>21</v>
      </c>
      <c r="I1671" s="3">
        <v>11.02</v>
      </c>
      <c r="J1671" s="3" t="s">
        <v>34</v>
      </c>
    </row>
    <row r="1672" spans="1:10" s="3" customFormat="1" x14ac:dyDescent="0.25">
      <c r="A1672" s="2">
        <v>696</v>
      </c>
      <c r="B1672" s="3" t="s">
        <v>23</v>
      </c>
      <c r="C1672" s="3">
        <v>647</v>
      </c>
      <c r="D1672" s="3">
        <v>1</v>
      </c>
      <c r="E1672" s="3" t="s">
        <v>24</v>
      </c>
      <c r="F1672" s="3" t="s">
        <v>25</v>
      </c>
      <c r="G1672" s="3" t="str">
        <f>"2025-11-30 21:14:35.731"</f>
        <v>2025-11-30 21:14:35.731</v>
      </c>
      <c r="H1672" s="3" t="s">
        <v>21</v>
      </c>
    </row>
    <row r="1673" spans="1:10" s="3" customFormat="1" x14ac:dyDescent="0.25">
      <c r="A1673" s="2">
        <v>697</v>
      </c>
      <c r="B1673" s="3" t="s">
        <v>26</v>
      </c>
      <c r="C1673" s="3">
        <v>647</v>
      </c>
      <c r="D1673" s="3">
        <v>1</v>
      </c>
      <c r="E1673" s="3" t="s">
        <v>24</v>
      </c>
      <c r="F1673" s="3" t="s">
        <v>25</v>
      </c>
      <c r="G1673" s="3" t="str">
        <f>"2025-11-30 21:14:25.631"</f>
        <v>2025-11-30 21:14:25.631</v>
      </c>
      <c r="H1673" s="3" t="s">
        <v>21</v>
      </c>
      <c r="I1673" s="3">
        <v>10.96</v>
      </c>
      <c r="J1673" s="3" t="s">
        <v>34</v>
      </c>
    </row>
    <row r="1674" spans="1:10" s="3" customFormat="1" x14ac:dyDescent="0.25">
      <c r="A1674" s="2">
        <v>698</v>
      </c>
      <c r="B1674" s="3" t="s">
        <v>23</v>
      </c>
      <c r="C1674" s="3">
        <v>647</v>
      </c>
      <c r="D1674" s="3">
        <v>1</v>
      </c>
      <c r="E1674" s="3" t="s">
        <v>24</v>
      </c>
      <c r="F1674" s="3" t="s">
        <v>25</v>
      </c>
      <c r="G1674" s="3" t="str">
        <f>"2025-11-30 19:44:01.931"</f>
        <v>2025-11-30 19:44:01.931</v>
      </c>
      <c r="H1674" s="3" t="s">
        <v>21</v>
      </c>
    </row>
    <row r="1675" spans="1:10" s="3" customFormat="1" x14ac:dyDescent="0.25">
      <c r="A1675" s="2">
        <v>699</v>
      </c>
      <c r="B1675" s="3" t="s">
        <v>26</v>
      </c>
      <c r="C1675" s="3">
        <v>647</v>
      </c>
      <c r="D1675" s="3">
        <v>1</v>
      </c>
      <c r="E1675" s="3" t="s">
        <v>24</v>
      </c>
      <c r="F1675" s="3" t="s">
        <v>25</v>
      </c>
      <c r="G1675" s="3" t="str">
        <f>"2025-11-30 19:43:56.432"</f>
        <v>2025-11-30 19:43:56.432</v>
      </c>
      <c r="H1675" s="3" t="s">
        <v>21</v>
      </c>
      <c r="I1675" s="3">
        <v>9.07</v>
      </c>
      <c r="J1675" s="3" t="s">
        <v>27</v>
      </c>
    </row>
    <row r="1676" spans="1:10" x14ac:dyDescent="0.25">
      <c r="A1676" s="1">
        <v>700</v>
      </c>
      <c r="B1676" t="s">
        <v>19</v>
      </c>
      <c r="C1676">
        <v>706</v>
      </c>
      <c r="D1676">
        <v>4</v>
      </c>
      <c r="E1676" t="s">
        <v>28</v>
      </c>
      <c r="F1676" t="s">
        <v>29</v>
      </c>
      <c r="G1676" t="str">
        <f>"2025-11-30 12:53:31.233"</f>
        <v>2025-11-30 12:53:31.233</v>
      </c>
      <c r="H1676" t="s">
        <v>21</v>
      </c>
      <c r="I1676">
        <v>0</v>
      </c>
      <c r="J1676" t="s">
        <v>30</v>
      </c>
    </row>
    <row r="1677" spans="1:10" x14ac:dyDescent="0.25">
      <c r="A1677" s="1">
        <v>701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"2025-11-30 12:52:56.903"</f>
        <v>2025-11-30 12:52:56.903</v>
      </c>
      <c r="H1677" t="s">
        <v>21</v>
      </c>
    </row>
    <row r="1678" spans="1:10" s="3" customFormat="1" x14ac:dyDescent="0.25">
      <c r="A1678" s="2">
        <v>702</v>
      </c>
      <c r="B1678" s="3" t="s">
        <v>23</v>
      </c>
      <c r="C1678" s="3">
        <v>647</v>
      </c>
      <c r="D1678" s="3">
        <v>1</v>
      </c>
      <c r="E1678" s="3" t="s">
        <v>24</v>
      </c>
      <c r="F1678" s="3" t="s">
        <v>25</v>
      </c>
      <c r="G1678" s="3" t="str">
        <f>"2025-11-30 11:28:15.702"</f>
        <v>2025-11-30 11:28:15.702</v>
      </c>
      <c r="H1678" s="3" t="s">
        <v>21</v>
      </c>
    </row>
    <row r="1679" spans="1:10" s="3" customFormat="1" x14ac:dyDescent="0.25">
      <c r="A1679" s="2">
        <v>703</v>
      </c>
      <c r="B1679" s="3" t="s">
        <v>26</v>
      </c>
      <c r="C1679" s="3">
        <v>647</v>
      </c>
      <c r="D1679" s="3">
        <v>1</v>
      </c>
      <c r="E1679" s="3" t="s">
        <v>24</v>
      </c>
      <c r="F1679" s="3" t="s">
        <v>25</v>
      </c>
      <c r="G1679" s="3" t="str">
        <f>"2025-11-30 11:28:12.603"</f>
        <v>2025-11-30 11:28:12.603</v>
      </c>
      <c r="H1679" s="3" t="s">
        <v>21</v>
      </c>
      <c r="I1679" s="3">
        <v>11.76</v>
      </c>
      <c r="J1679" s="3" t="s">
        <v>27</v>
      </c>
    </row>
    <row r="1680" spans="1:10" x14ac:dyDescent="0.25">
      <c r="A1680" s="1">
        <v>704</v>
      </c>
      <c r="B1680" t="s">
        <v>19</v>
      </c>
      <c r="C1680">
        <v>706</v>
      </c>
      <c r="D1680">
        <v>2</v>
      </c>
      <c r="E1680" t="s">
        <v>28</v>
      </c>
      <c r="F1680" t="s">
        <v>39</v>
      </c>
      <c r="G1680" t="str">
        <f>"2025-11-30 08:11:15.304"</f>
        <v>2025-11-30 08:11:15.304</v>
      </c>
      <c r="H1680" t="s">
        <v>21</v>
      </c>
      <c r="I1680">
        <v>0</v>
      </c>
      <c r="J1680" t="s">
        <v>30</v>
      </c>
    </row>
    <row r="1681" spans="1:10" x14ac:dyDescent="0.25">
      <c r="A1681" s="1">
        <v>705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"2025-11-30 08:10:37.874"</f>
        <v>2025-11-30 08:10:37.874</v>
      </c>
      <c r="H1681" t="s">
        <v>21</v>
      </c>
      <c r="I1681">
        <v>0</v>
      </c>
      <c r="J1681" t="s">
        <v>22</v>
      </c>
    </row>
    <row r="1682" spans="1:10" s="3" customFormat="1" x14ac:dyDescent="0.25">
      <c r="A1682" s="2">
        <v>706</v>
      </c>
      <c r="B1682" s="3" t="s">
        <v>23</v>
      </c>
      <c r="C1682" s="3">
        <v>647</v>
      </c>
      <c r="D1682" s="3">
        <v>1</v>
      </c>
      <c r="E1682" s="3" t="s">
        <v>24</v>
      </c>
      <c r="F1682" s="3" t="s">
        <v>25</v>
      </c>
      <c r="G1682" s="3" t="str">
        <f>"2025-11-30 06:13:08.919"</f>
        <v>2025-11-30 06:13:08.919</v>
      </c>
      <c r="H1682" s="3" t="s">
        <v>21</v>
      </c>
    </row>
    <row r="1683" spans="1:10" s="3" customFormat="1" x14ac:dyDescent="0.25">
      <c r="A1683" s="2">
        <v>707</v>
      </c>
      <c r="B1683" s="3" t="s">
        <v>26</v>
      </c>
      <c r="C1683" s="3">
        <v>647</v>
      </c>
      <c r="D1683" s="3">
        <v>1</v>
      </c>
      <c r="E1683" s="3" t="s">
        <v>24</v>
      </c>
      <c r="F1683" s="3" t="s">
        <v>25</v>
      </c>
      <c r="G1683" s="3" t="str">
        <f>"2025-11-30 06:12:53.020"</f>
        <v>2025-11-30 06:12:53.020</v>
      </c>
      <c r="H1683" s="3" t="s">
        <v>21</v>
      </c>
      <c r="I1683" s="3">
        <v>8.66</v>
      </c>
      <c r="J1683" s="3" t="s">
        <v>27</v>
      </c>
    </row>
    <row r="1684" spans="1:10" x14ac:dyDescent="0.25">
      <c r="A1684" s="1">
        <v>708</v>
      </c>
      <c r="B1684" t="s">
        <v>19</v>
      </c>
      <c r="C1684">
        <v>706</v>
      </c>
      <c r="D1684">
        <v>2</v>
      </c>
      <c r="E1684" t="s">
        <v>28</v>
      </c>
      <c r="F1684" t="s">
        <v>39</v>
      </c>
      <c r="G1684" t="str">
        <f>"2025-11-30 00:01:46.410"</f>
        <v>2025-11-30 00:01:46.410</v>
      </c>
      <c r="H1684" t="s">
        <v>21</v>
      </c>
      <c r="I1684">
        <v>0</v>
      </c>
      <c r="J1684" t="s">
        <v>30</v>
      </c>
    </row>
    <row r="1685" spans="1:10" x14ac:dyDescent="0.25">
      <c r="A1685" s="1">
        <v>709</v>
      </c>
      <c r="B1685" t="s">
        <v>19</v>
      </c>
      <c r="C1685">
        <v>706</v>
      </c>
      <c r="D1685">
        <v>4</v>
      </c>
      <c r="E1685" t="s">
        <v>28</v>
      </c>
      <c r="F1685" t="s">
        <v>29</v>
      </c>
      <c r="G1685" t="str">
        <f>"2025-11-29 13:04:24.440"</f>
        <v>2025-11-29 13:04:24.440</v>
      </c>
      <c r="H1685" t="s">
        <v>21</v>
      </c>
      <c r="I1685">
        <v>0</v>
      </c>
      <c r="J1685" t="s">
        <v>30</v>
      </c>
    </row>
    <row r="1686" spans="1:10" x14ac:dyDescent="0.25">
      <c r="A1686" s="1">
        <v>710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"2025-11-29 13:03:28.880"</f>
        <v>2025-11-29 13:03:28.880</v>
      </c>
      <c r="H1686" t="s">
        <v>21</v>
      </c>
    </row>
    <row r="1687" spans="1:10" s="3" customFormat="1" x14ac:dyDescent="0.25">
      <c r="A1687" s="2">
        <v>711</v>
      </c>
      <c r="B1687" s="3" t="s">
        <v>23</v>
      </c>
      <c r="C1687" s="3">
        <v>647</v>
      </c>
      <c r="D1687" s="3">
        <v>1</v>
      </c>
      <c r="E1687" s="3" t="s">
        <v>24</v>
      </c>
      <c r="F1687" s="3" t="s">
        <v>25</v>
      </c>
      <c r="G1687" s="3" t="str">
        <f>"2025-11-29 09:38:00.509"</f>
        <v>2025-11-29 09:38:00.509</v>
      </c>
      <c r="H1687" s="3" t="s">
        <v>21</v>
      </c>
    </row>
    <row r="1688" spans="1:10" s="3" customFormat="1" x14ac:dyDescent="0.25">
      <c r="A1688" s="2">
        <v>712</v>
      </c>
      <c r="B1688" s="3" t="s">
        <v>26</v>
      </c>
      <c r="C1688" s="3">
        <v>647</v>
      </c>
      <c r="D1688" s="3">
        <v>1</v>
      </c>
      <c r="E1688" s="3" t="s">
        <v>24</v>
      </c>
      <c r="F1688" s="3" t="s">
        <v>25</v>
      </c>
      <c r="G1688" s="3" t="str">
        <f>"2025-11-29 09:37:56.209"</f>
        <v>2025-11-29 09:37:56.209</v>
      </c>
      <c r="H1688" s="3" t="s">
        <v>21</v>
      </c>
      <c r="I1688" s="3">
        <v>12.97</v>
      </c>
      <c r="J1688" s="3" t="s">
        <v>27</v>
      </c>
    </row>
    <row r="1689" spans="1:10" s="3" customFormat="1" x14ac:dyDescent="0.25">
      <c r="A1689" s="2">
        <v>713</v>
      </c>
      <c r="B1689" s="3" t="s">
        <v>23</v>
      </c>
      <c r="C1689" s="3">
        <v>647</v>
      </c>
      <c r="D1689" s="3">
        <v>1</v>
      </c>
      <c r="E1689" s="3" t="s">
        <v>24</v>
      </c>
      <c r="F1689" s="3" t="s">
        <v>25</v>
      </c>
      <c r="G1689" s="3" t="str">
        <f>"2025-11-29 04:09:36.609"</f>
        <v>2025-11-29 04:09:36.609</v>
      </c>
      <c r="H1689" s="3" t="s">
        <v>21</v>
      </c>
    </row>
    <row r="1690" spans="1:10" s="3" customFormat="1" x14ac:dyDescent="0.25">
      <c r="A1690" s="2">
        <v>714</v>
      </c>
      <c r="B1690" s="3" t="s">
        <v>26</v>
      </c>
      <c r="C1690" s="3">
        <v>647</v>
      </c>
      <c r="D1690" s="3">
        <v>1</v>
      </c>
      <c r="E1690" s="3" t="s">
        <v>24</v>
      </c>
      <c r="F1690" s="3" t="s">
        <v>25</v>
      </c>
      <c r="G1690" s="3" t="str">
        <f>"2025-11-29 04:09:35.509"</f>
        <v>2025-11-29 04:09:35.509</v>
      </c>
      <c r="H1690" s="3" t="s">
        <v>21</v>
      </c>
      <c r="I1690" s="3">
        <v>17.739999999999998</v>
      </c>
      <c r="J1690" s="3" t="s">
        <v>34</v>
      </c>
    </row>
    <row r="1691" spans="1:10" x14ac:dyDescent="0.25">
      <c r="A1691" s="1">
        <v>715</v>
      </c>
      <c r="B1691" t="s">
        <v>23</v>
      </c>
      <c r="C1691">
        <v>635</v>
      </c>
      <c r="D1691">
        <v>1</v>
      </c>
      <c r="E1691" t="s">
        <v>31</v>
      </c>
      <c r="F1691" t="s">
        <v>32</v>
      </c>
      <c r="G1691" t="str">
        <f>"2025-11-29 02:41:55.109"</f>
        <v>2025-11-29 02:41:55.109</v>
      </c>
      <c r="H1691" t="s">
        <v>21</v>
      </c>
    </row>
    <row r="1692" spans="1:10" x14ac:dyDescent="0.25">
      <c r="A1692" s="1">
        <v>716</v>
      </c>
      <c r="B1692" t="s">
        <v>26</v>
      </c>
      <c r="C1692">
        <v>635</v>
      </c>
      <c r="D1692">
        <v>1</v>
      </c>
      <c r="E1692" t="s">
        <v>31</v>
      </c>
      <c r="F1692" t="s">
        <v>32</v>
      </c>
      <c r="G1692" t="str">
        <f>"2025-11-29 02:30:05.209"</f>
        <v>2025-11-29 02:30:05.209</v>
      </c>
      <c r="H1692" t="s">
        <v>21</v>
      </c>
      <c r="I1692">
        <v>3.11</v>
      </c>
      <c r="J1692" t="s">
        <v>33</v>
      </c>
    </row>
    <row r="1693" spans="1:10" x14ac:dyDescent="0.25">
      <c r="A1693" s="1">
        <v>717</v>
      </c>
      <c r="B1693" t="s">
        <v>23</v>
      </c>
      <c r="C1693">
        <v>635</v>
      </c>
      <c r="D1693">
        <v>1</v>
      </c>
      <c r="E1693" t="s">
        <v>31</v>
      </c>
      <c r="F1693" t="s">
        <v>32</v>
      </c>
      <c r="G1693" t="str">
        <f>"2025-11-28 23:02:11.109"</f>
        <v>2025-11-28 23:02:11.109</v>
      </c>
      <c r="H1693" t="s">
        <v>21</v>
      </c>
    </row>
    <row r="1694" spans="1:10" x14ac:dyDescent="0.25">
      <c r="A1694" s="1">
        <v>718</v>
      </c>
      <c r="B1694" t="s">
        <v>26</v>
      </c>
      <c r="C1694">
        <v>635</v>
      </c>
      <c r="D1694">
        <v>1</v>
      </c>
      <c r="E1694" t="s">
        <v>31</v>
      </c>
      <c r="F1694" t="s">
        <v>32</v>
      </c>
      <c r="G1694" t="str">
        <f>"2025-11-28 22:52:52.609"</f>
        <v>2025-11-28 22:52:52.609</v>
      </c>
      <c r="H1694" t="s">
        <v>21</v>
      </c>
      <c r="I1694">
        <v>0.18</v>
      </c>
      <c r="J1694" t="s">
        <v>34</v>
      </c>
    </row>
    <row r="1695" spans="1:10" x14ac:dyDescent="0.25">
      <c r="A1695" s="1">
        <v>719</v>
      </c>
      <c r="B1695" t="s">
        <v>19</v>
      </c>
      <c r="C1695">
        <v>706</v>
      </c>
      <c r="D1695">
        <v>2</v>
      </c>
      <c r="E1695" t="s">
        <v>28</v>
      </c>
      <c r="F1695" t="s">
        <v>39</v>
      </c>
      <c r="G1695" t="str">
        <f>"2025-11-28 13:33:51.270"</f>
        <v>2025-11-28 13:33:51.270</v>
      </c>
      <c r="H1695" t="s">
        <v>21</v>
      </c>
      <c r="I1695">
        <v>0</v>
      </c>
      <c r="J1695" t="s">
        <v>30</v>
      </c>
    </row>
    <row r="1696" spans="1:10" x14ac:dyDescent="0.25">
      <c r="A1696" s="1">
        <v>720</v>
      </c>
      <c r="B1696" t="s">
        <v>19</v>
      </c>
      <c r="C1696">
        <v>700</v>
      </c>
      <c r="D1696">
        <v>0</v>
      </c>
      <c r="E1696" t="s">
        <v>20</v>
      </c>
      <c r="F1696" t="s">
        <v>20</v>
      </c>
      <c r="G1696" t="str">
        <f>"2025-11-28 13:32:16.870"</f>
        <v>2025-11-28 13:32:16.870</v>
      </c>
      <c r="H1696" t="s">
        <v>21</v>
      </c>
      <c r="I1696">
        <v>0</v>
      </c>
      <c r="J1696" t="s">
        <v>22</v>
      </c>
    </row>
    <row r="1697" spans="1:10" x14ac:dyDescent="0.25">
      <c r="A1697" s="1">
        <v>721</v>
      </c>
      <c r="B1697" t="s">
        <v>23</v>
      </c>
      <c r="C1697">
        <v>630</v>
      </c>
      <c r="D1697">
        <v>5</v>
      </c>
      <c r="E1697" t="s">
        <v>35</v>
      </c>
      <c r="F1697" t="s">
        <v>36</v>
      </c>
      <c r="G1697" t="str">
        <f>"2025-11-27 16:11:28.941"</f>
        <v>2025-11-27 16:11:28.941</v>
      </c>
      <c r="H1697" t="s">
        <v>37</v>
      </c>
    </row>
    <row r="1698" spans="1:10" x14ac:dyDescent="0.25">
      <c r="A1698" s="1">
        <v>722</v>
      </c>
      <c r="B1698" t="s">
        <v>19</v>
      </c>
      <c r="C1698">
        <v>706</v>
      </c>
      <c r="D1698">
        <v>2</v>
      </c>
      <c r="E1698" t="s">
        <v>28</v>
      </c>
      <c r="F1698" t="s">
        <v>39</v>
      </c>
      <c r="G1698" t="str">
        <f>"2025-11-27 16:10:58.783"</f>
        <v>2025-11-27 16:10:58.783</v>
      </c>
      <c r="H1698" t="s">
        <v>21</v>
      </c>
      <c r="I1698">
        <v>0</v>
      </c>
      <c r="J1698" t="s">
        <v>30</v>
      </c>
    </row>
    <row r="1699" spans="1:10" x14ac:dyDescent="0.25">
      <c r="A1699" s="1">
        <v>723</v>
      </c>
      <c r="B1699" t="s">
        <v>38</v>
      </c>
      <c r="C1699">
        <v>630</v>
      </c>
      <c r="D1699">
        <v>5</v>
      </c>
      <c r="E1699" t="s">
        <v>35</v>
      </c>
      <c r="F1699" t="s">
        <v>36</v>
      </c>
      <c r="G1699" t="str">
        <f>"2025-11-27 16:03:39.741"</f>
        <v>2025-11-27 16:03:39.741</v>
      </c>
      <c r="H1699" t="s">
        <v>37</v>
      </c>
      <c r="I1699">
        <v>0</v>
      </c>
      <c r="J1699" t="s">
        <v>30</v>
      </c>
    </row>
    <row r="1700" spans="1:10" s="3" customFormat="1" x14ac:dyDescent="0.25">
      <c r="A1700" s="2">
        <v>724</v>
      </c>
      <c r="B1700" s="3" t="s">
        <v>23</v>
      </c>
      <c r="C1700" s="3">
        <v>647</v>
      </c>
      <c r="D1700" s="3">
        <v>1</v>
      </c>
      <c r="E1700" s="3" t="s">
        <v>24</v>
      </c>
      <c r="F1700" s="3" t="s">
        <v>25</v>
      </c>
      <c r="G1700" s="3" t="str">
        <f>"2025-11-27 15:47:20.542"</f>
        <v>2025-11-27 15:47:20.542</v>
      </c>
      <c r="H1700" s="3" t="s">
        <v>21</v>
      </c>
    </row>
    <row r="1701" spans="1:10" s="3" customFormat="1" x14ac:dyDescent="0.25">
      <c r="A1701" s="2">
        <v>725</v>
      </c>
      <c r="B1701" s="3" t="s">
        <v>26</v>
      </c>
      <c r="C1701" s="3">
        <v>647</v>
      </c>
      <c r="D1701" s="3">
        <v>1</v>
      </c>
      <c r="E1701" s="3" t="s">
        <v>24</v>
      </c>
      <c r="F1701" s="3" t="s">
        <v>25</v>
      </c>
      <c r="G1701" s="3" t="str">
        <f>"2025-11-27 15:47:18.642"</f>
        <v>2025-11-27 15:47:18.642</v>
      </c>
      <c r="H1701" s="3" t="s">
        <v>21</v>
      </c>
      <c r="I1701" s="3">
        <v>12.67</v>
      </c>
      <c r="J1701" s="3" t="s">
        <v>27</v>
      </c>
    </row>
    <row r="1702" spans="1:10" x14ac:dyDescent="0.25">
      <c r="A1702" s="1">
        <v>726</v>
      </c>
      <c r="B1702" t="s">
        <v>19</v>
      </c>
      <c r="C1702">
        <v>706</v>
      </c>
      <c r="D1702">
        <v>2</v>
      </c>
      <c r="E1702" t="s">
        <v>28</v>
      </c>
      <c r="F1702" t="s">
        <v>39</v>
      </c>
      <c r="G1702" t="str">
        <f>"2025-11-27 13:43:01.283"</f>
        <v>2025-11-27 13:43:01.283</v>
      </c>
      <c r="H1702" t="s">
        <v>21</v>
      </c>
      <c r="I1702">
        <v>0</v>
      </c>
      <c r="J1702" t="s">
        <v>30</v>
      </c>
    </row>
    <row r="1703" spans="1:10" x14ac:dyDescent="0.25">
      <c r="A1703" s="1">
        <v>727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"2025-11-27 13:42:12.893"</f>
        <v>2025-11-27 13:42:12.893</v>
      </c>
      <c r="H1703" t="s">
        <v>21</v>
      </c>
      <c r="I1703">
        <v>0</v>
      </c>
      <c r="J1703" t="s">
        <v>22</v>
      </c>
    </row>
    <row r="1704" spans="1:10" s="3" customFormat="1" x14ac:dyDescent="0.25">
      <c r="A1704" s="2">
        <v>728</v>
      </c>
      <c r="B1704" s="3" t="s">
        <v>23</v>
      </c>
      <c r="C1704" s="3">
        <v>647</v>
      </c>
      <c r="D1704" s="3">
        <v>1</v>
      </c>
      <c r="E1704" s="3" t="s">
        <v>24</v>
      </c>
      <c r="F1704" s="3" t="s">
        <v>25</v>
      </c>
      <c r="G1704" s="3" t="str">
        <f>"2025-11-27 10:09:55.866"</f>
        <v>2025-11-27 10:09:55.866</v>
      </c>
      <c r="H1704" s="3" t="s">
        <v>21</v>
      </c>
    </row>
    <row r="1705" spans="1:10" s="3" customFormat="1" x14ac:dyDescent="0.25">
      <c r="A1705" s="2">
        <v>729</v>
      </c>
      <c r="B1705" s="3" t="s">
        <v>26</v>
      </c>
      <c r="C1705" s="3">
        <v>647</v>
      </c>
      <c r="D1705" s="3">
        <v>1</v>
      </c>
      <c r="E1705" s="3" t="s">
        <v>24</v>
      </c>
      <c r="F1705" s="3" t="s">
        <v>25</v>
      </c>
      <c r="G1705" s="3" t="str">
        <f>"2025-11-27 10:09:52.366"</f>
        <v>2025-11-27 10:09:52.366</v>
      </c>
      <c r="H1705" s="3" t="s">
        <v>21</v>
      </c>
      <c r="I1705" s="3">
        <v>8.56</v>
      </c>
      <c r="J1705" s="3" t="s">
        <v>27</v>
      </c>
    </row>
    <row r="1706" spans="1:10" x14ac:dyDescent="0.25">
      <c r="A1706" s="1">
        <v>730</v>
      </c>
      <c r="B1706" t="s">
        <v>23</v>
      </c>
      <c r="C1706">
        <v>98</v>
      </c>
      <c r="D1706">
        <v>1</v>
      </c>
      <c r="E1706" t="s">
        <v>65</v>
      </c>
      <c r="F1706" t="s">
        <v>66</v>
      </c>
      <c r="G1706" t="str">
        <f>"2025-11-27 04:02:13.058"</f>
        <v>2025-11-27 04:02:13.058</v>
      </c>
      <c r="H1706" t="s">
        <v>21</v>
      </c>
    </row>
    <row r="1707" spans="1:10" x14ac:dyDescent="0.25">
      <c r="A1707" s="1">
        <v>731</v>
      </c>
      <c r="B1707" t="s">
        <v>26</v>
      </c>
      <c r="C1707">
        <v>98</v>
      </c>
      <c r="D1707">
        <v>1</v>
      </c>
      <c r="E1707" t="s">
        <v>65</v>
      </c>
      <c r="F1707" t="s">
        <v>66</v>
      </c>
      <c r="G1707" t="str">
        <f>"2025-11-27 04:02:12.059"</f>
        <v>2025-11-27 04:02:12.059</v>
      </c>
      <c r="H1707" t="s">
        <v>21</v>
      </c>
      <c r="I1707">
        <v>14.88</v>
      </c>
      <c r="J1707" t="s">
        <v>27</v>
      </c>
    </row>
    <row r="1708" spans="1:10" s="3" customFormat="1" x14ac:dyDescent="0.25">
      <c r="A1708" s="2">
        <v>732</v>
      </c>
      <c r="B1708" s="3" t="s">
        <v>23</v>
      </c>
      <c r="C1708" s="3">
        <v>647</v>
      </c>
      <c r="D1708" s="3">
        <v>1</v>
      </c>
      <c r="E1708" s="3" t="s">
        <v>24</v>
      </c>
      <c r="F1708" s="3" t="s">
        <v>25</v>
      </c>
      <c r="G1708" s="3" t="str">
        <f>"2025-11-27 01:31:13.868"</f>
        <v>2025-11-27 01:31:13.868</v>
      </c>
      <c r="H1708" s="3" t="s">
        <v>21</v>
      </c>
    </row>
    <row r="1709" spans="1:10" s="3" customFormat="1" x14ac:dyDescent="0.25">
      <c r="A1709" s="2">
        <v>733</v>
      </c>
      <c r="B1709" s="3" t="s">
        <v>26</v>
      </c>
      <c r="C1709" s="3">
        <v>647</v>
      </c>
      <c r="D1709" s="3">
        <v>1</v>
      </c>
      <c r="E1709" s="3" t="s">
        <v>24</v>
      </c>
      <c r="F1709" s="3" t="s">
        <v>25</v>
      </c>
      <c r="G1709" s="3" t="str">
        <f>"2025-11-27 01:31:08.967"</f>
        <v>2025-11-27 01:31:08.967</v>
      </c>
      <c r="H1709" s="3" t="s">
        <v>21</v>
      </c>
      <c r="I1709" s="3">
        <v>11.82</v>
      </c>
      <c r="J1709" s="3" t="s">
        <v>27</v>
      </c>
    </row>
    <row r="1710" spans="1:10" x14ac:dyDescent="0.25">
      <c r="A1710" s="1">
        <v>734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"2025-11-27 00:00:58.028"</f>
        <v>2025-11-27 00:00:58.028</v>
      </c>
      <c r="H1710" t="s">
        <v>21</v>
      </c>
      <c r="I1710">
        <v>0</v>
      </c>
      <c r="J1710" t="s">
        <v>22</v>
      </c>
    </row>
    <row r="1711" spans="1:10" x14ac:dyDescent="0.25">
      <c r="A1711" s="1">
        <v>735</v>
      </c>
      <c r="B1711" t="s">
        <v>44</v>
      </c>
      <c r="C1711">
        <v>33</v>
      </c>
      <c r="D1711">
        <v>1</v>
      </c>
      <c r="E1711" t="s">
        <v>45</v>
      </c>
      <c r="F1711" t="s">
        <v>46</v>
      </c>
      <c r="G1711" t="str">
        <f>"2025-11-26 08:56:38.638"</f>
        <v>2025-11-26 08:56:38.638</v>
      </c>
      <c r="H1711" t="s">
        <v>47</v>
      </c>
    </row>
    <row r="1712" spans="1:10" x14ac:dyDescent="0.25">
      <c r="A1712" s="1">
        <v>736</v>
      </c>
      <c r="B1712" t="s">
        <v>38</v>
      </c>
      <c r="C1712">
        <v>33</v>
      </c>
      <c r="D1712">
        <v>1</v>
      </c>
      <c r="E1712" t="s">
        <v>45</v>
      </c>
      <c r="F1712" t="s">
        <v>46</v>
      </c>
      <c r="G1712" t="str">
        <f>"2025-11-26 08:56:01.109"</f>
        <v>2025-11-26 08:56:01.109</v>
      </c>
      <c r="H1712" t="s">
        <v>47</v>
      </c>
      <c r="I1712">
        <v>10.44</v>
      </c>
      <c r="J1712" t="s">
        <v>33</v>
      </c>
    </row>
    <row r="1713" spans="1:10" x14ac:dyDescent="0.25">
      <c r="A1713" s="1">
        <v>737</v>
      </c>
      <c r="B1713" t="s">
        <v>23</v>
      </c>
      <c r="C1713">
        <v>630</v>
      </c>
      <c r="D1713">
        <v>5</v>
      </c>
      <c r="E1713" t="s">
        <v>35</v>
      </c>
      <c r="F1713" t="s">
        <v>36</v>
      </c>
      <c r="G1713" t="str">
        <f>"2025-11-26 08:07:35.137"</f>
        <v>2025-11-26 08:07:35.137</v>
      </c>
      <c r="H1713" t="s">
        <v>37</v>
      </c>
    </row>
    <row r="1714" spans="1:10" x14ac:dyDescent="0.25">
      <c r="A1714" s="1">
        <v>738</v>
      </c>
      <c r="B1714" t="s">
        <v>19</v>
      </c>
      <c r="C1714">
        <v>706</v>
      </c>
      <c r="D1714">
        <v>2</v>
      </c>
      <c r="E1714" t="s">
        <v>28</v>
      </c>
      <c r="F1714" t="s">
        <v>39</v>
      </c>
      <c r="G1714" t="str">
        <f>"2025-11-26 08:07:05.038"</f>
        <v>2025-11-26 08:07:05.038</v>
      </c>
      <c r="H1714" t="s">
        <v>21</v>
      </c>
      <c r="I1714">
        <v>0</v>
      </c>
      <c r="J1714" t="s">
        <v>30</v>
      </c>
    </row>
    <row r="1715" spans="1:10" x14ac:dyDescent="0.25">
      <c r="A1715" s="1">
        <v>739</v>
      </c>
      <c r="B1715" t="s">
        <v>38</v>
      </c>
      <c r="C1715">
        <v>630</v>
      </c>
      <c r="D1715">
        <v>5</v>
      </c>
      <c r="E1715" t="s">
        <v>35</v>
      </c>
      <c r="F1715" t="s">
        <v>36</v>
      </c>
      <c r="G1715" t="str">
        <f>"2025-11-26 08:00:26.538"</f>
        <v>2025-11-26 08:00:26.538</v>
      </c>
      <c r="H1715" t="s">
        <v>37</v>
      </c>
      <c r="I1715">
        <v>0</v>
      </c>
      <c r="J1715" t="s">
        <v>30</v>
      </c>
    </row>
    <row r="1716" spans="1:10" x14ac:dyDescent="0.25">
      <c r="A1716" s="1">
        <v>740</v>
      </c>
      <c r="B1716" t="s">
        <v>19</v>
      </c>
      <c r="C1716">
        <v>706</v>
      </c>
      <c r="D1716">
        <v>4</v>
      </c>
      <c r="E1716" t="s">
        <v>28</v>
      </c>
      <c r="F1716" t="s">
        <v>29</v>
      </c>
      <c r="G1716" t="str">
        <f>"2025-11-25 09:20:04.228"</f>
        <v>2025-11-25 09:20:04.228</v>
      </c>
      <c r="H1716" t="s">
        <v>21</v>
      </c>
      <c r="I1716">
        <v>0</v>
      </c>
      <c r="J1716" t="s">
        <v>30</v>
      </c>
    </row>
    <row r="1717" spans="1:10" x14ac:dyDescent="0.25">
      <c r="A1717" s="1">
        <v>741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"2025-11-25 09:15:40.898"</f>
        <v>2025-11-25 09:15:40.898</v>
      </c>
      <c r="H1717" t="s">
        <v>21</v>
      </c>
      <c r="I1717">
        <v>0</v>
      </c>
      <c r="J1717" t="s">
        <v>22</v>
      </c>
    </row>
    <row r="1718" spans="1:10" x14ac:dyDescent="0.25">
      <c r="A1718" s="1">
        <v>742</v>
      </c>
      <c r="B1718" t="s">
        <v>19</v>
      </c>
      <c r="C1718">
        <v>706</v>
      </c>
      <c r="D1718">
        <v>2</v>
      </c>
      <c r="E1718" t="s">
        <v>28</v>
      </c>
      <c r="F1718" t="s">
        <v>39</v>
      </c>
      <c r="G1718" t="str">
        <f>"2025-11-25 08:01:07.478"</f>
        <v>2025-11-25 08:01:07.478</v>
      </c>
      <c r="H1718" t="s">
        <v>21</v>
      </c>
      <c r="I1718">
        <v>0</v>
      </c>
      <c r="J1718" t="s">
        <v>30</v>
      </c>
    </row>
    <row r="1719" spans="1:10" x14ac:dyDescent="0.25">
      <c r="A1719" s="1">
        <v>743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"2025-11-25 07:59:49.048"</f>
        <v>2025-11-25 07:59:49.048</v>
      </c>
      <c r="H1719" t="s">
        <v>21</v>
      </c>
      <c r="I1719">
        <v>0</v>
      </c>
      <c r="J1719" t="s">
        <v>22</v>
      </c>
    </row>
    <row r="1720" spans="1:10" x14ac:dyDescent="0.25">
      <c r="A1720" s="1">
        <v>744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"2025-11-24 20:23:36.029"</f>
        <v>2025-11-24 20:23:36.029</v>
      </c>
      <c r="H1720" t="s">
        <v>21</v>
      </c>
      <c r="I1720">
        <v>0</v>
      </c>
      <c r="J1720" t="s">
        <v>22</v>
      </c>
    </row>
    <row r="1721" spans="1:10" x14ac:dyDescent="0.25">
      <c r="A1721" s="1">
        <v>745</v>
      </c>
      <c r="B1721" t="s">
        <v>23</v>
      </c>
      <c r="C1721">
        <v>98</v>
      </c>
      <c r="D1721">
        <v>1</v>
      </c>
      <c r="E1721" t="s">
        <v>65</v>
      </c>
      <c r="F1721" t="s">
        <v>66</v>
      </c>
      <c r="G1721" t="str">
        <f>"2025-11-24 19:29:58.998"</f>
        <v>2025-11-24 19:29:58.998</v>
      </c>
      <c r="H1721" t="s">
        <v>21</v>
      </c>
    </row>
    <row r="1722" spans="1:10" x14ac:dyDescent="0.25">
      <c r="A1722" s="1">
        <v>746</v>
      </c>
      <c r="B1722" t="s">
        <v>26</v>
      </c>
      <c r="C1722">
        <v>98</v>
      </c>
      <c r="D1722">
        <v>1</v>
      </c>
      <c r="E1722" t="s">
        <v>65</v>
      </c>
      <c r="F1722" t="s">
        <v>66</v>
      </c>
      <c r="G1722" t="str">
        <f>"2025-11-24 19:29:57.899"</f>
        <v>2025-11-24 19:29:57.899</v>
      </c>
      <c r="H1722" t="s">
        <v>21</v>
      </c>
      <c r="I1722">
        <v>0</v>
      </c>
      <c r="J1722" t="s">
        <v>34</v>
      </c>
    </row>
    <row r="1723" spans="1:10" x14ac:dyDescent="0.25">
      <c r="A1723" s="1">
        <v>747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"2025-11-24 10:14:24.857"</f>
        <v>2025-11-24 10:14:24.857</v>
      </c>
      <c r="H1723" t="s">
        <v>21</v>
      </c>
      <c r="I1723">
        <v>0</v>
      </c>
      <c r="J1723" t="s">
        <v>22</v>
      </c>
    </row>
    <row r="1724" spans="1:10" x14ac:dyDescent="0.25">
      <c r="A1724" s="1">
        <v>748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"2025-11-24 10:13:19.888"</f>
        <v>2025-11-24 10:13:19.888</v>
      </c>
      <c r="H1724" t="s">
        <v>21</v>
      </c>
      <c r="I1724">
        <v>0</v>
      </c>
      <c r="J1724" t="s">
        <v>22</v>
      </c>
    </row>
    <row r="1725" spans="1:10" x14ac:dyDescent="0.25">
      <c r="A1725" s="1">
        <v>749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"2025-11-23 23:27:58.899"</f>
        <v>2025-11-23 23:27:58.899</v>
      </c>
      <c r="H1725" t="s">
        <v>21</v>
      </c>
      <c r="I1725">
        <v>0</v>
      </c>
      <c r="J1725" t="s">
        <v>22</v>
      </c>
    </row>
    <row r="1726" spans="1:10" x14ac:dyDescent="0.25">
      <c r="A1726" s="1">
        <v>750</v>
      </c>
      <c r="B1726" t="s">
        <v>23</v>
      </c>
      <c r="C1726">
        <v>635</v>
      </c>
      <c r="D1726">
        <v>1</v>
      </c>
      <c r="E1726" t="s">
        <v>31</v>
      </c>
      <c r="F1726" t="s">
        <v>32</v>
      </c>
      <c r="G1726" t="str">
        <f>"2025-11-23 21:56:00.906"</f>
        <v>2025-11-23 21:56:00.906</v>
      </c>
      <c r="H1726" t="s">
        <v>21</v>
      </c>
    </row>
    <row r="1727" spans="1:10" x14ac:dyDescent="0.25">
      <c r="A1727" s="1">
        <v>751</v>
      </c>
      <c r="B1727" t="s">
        <v>26</v>
      </c>
      <c r="C1727">
        <v>635</v>
      </c>
      <c r="D1727">
        <v>1</v>
      </c>
      <c r="E1727" t="s">
        <v>31</v>
      </c>
      <c r="F1727" t="s">
        <v>32</v>
      </c>
      <c r="G1727" t="str">
        <f>"2025-11-23 21:50:10.906"</f>
        <v>2025-11-23 21:50:10.906</v>
      </c>
      <c r="H1727" t="s">
        <v>21</v>
      </c>
      <c r="I1727">
        <v>8.56</v>
      </c>
      <c r="J1727" t="s">
        <v>27</v>
      </c>
    </row>
    <row r="1728" spans="1:10" x14ac:dyDescent="0.25">
      <c r="A1728" s="1">
        <v>752</v>
      </c>
      <c r="B1728" t="s">
        <v>19</v>
      </c>
      <c r="C1728">
        <v>706</v>
      </c>
      <c r="D1728">
        <v>4</v>
      </c>
      <c r="E1728" t="s">
        <v>28</v>
      </c>
      <c r="F1728" t="s">
        <v>29</v>
      </c>
      <c r="G1728" t="str">
        <f>"2025-11-23 14:10:42.848"</f>
        <v>2025-11-23 14:10:42.848</v>
      </c>
      <c r="H1728" t="s">
        <v>21</v>
      </c>
      <c r="I1728">
        <v>0</v>
      </c>
      <c r="J1728" t="s">
        <v>30</v>
      </c>
    </row>
    <row r="1729" spans="1:10" x14ac:dyDescent="0.25">
      <c r="A1729" s="1">
        <v>753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"2025-11-23 14:08:51.868"</f>
        <v>2025-11-23 14:08:51.868</v>
      </c>
      <c r="H1729" t="s">
        <v>21</v>
      </c>
      <c r="I1729">
        <v>0</v>
      </c>
      <c r="J1729" t="s">
        <v>22</v>
      </c>
    </row>
    <row r="1730" spans="1:10" x14ac:dyDescent="0.25">
      <c r="A1730" s="1">
        <v>754</v>
      </c>
      <c r="B1730" t="s">
        <v>19</v>
      </c>
      <c r="C1730">
        <v>706</v>
      </c>
      <c r="D1730">
        <v>2</v>
      </c>
      <c r="E1730" t="s">
        <v>28</v>
      </c>
      <c r="F1730" t="s">
        <v>39</v>
      </c>
      <c r="G1730" t="str">
        <f>"2025-11-23 12:19:16.595"</f>
        <v>2025-11-23 12:19:16.595</v>
      </c>
      <c r="H1730" t="s">
        <v>21</v>
      </c>
      <c r="I1730">
        <v>0</v>
      </c>
      <c r="J1730" t="s">
        <v>30</v>
      </c>
    </row>
    <row r="1731" spans="1:10" x14ac:dyDescent="0.25">
      <c r="A1731" s="1">
        <v>755</v>
      </c>
      <c r="B1731" t="s">
        <v>19</v>
      </c>
      <c r="C1731">
        <v>706</v>
      </c>
      <c r="D1731">
        <v>2</v>
      </c>
      <c r="E1731" t="s">
        <v>28</v>
      </c>
      <c r="F1731" t="s">
        <v>39</v>
      </c>
      <c r="G1731" t="str">
        <f>"2025-11-23 12:02:49.695"</f>
        <v>2025-11-23 12:02:49.695</v>
      </c>
      <c r="H1731" t="s">
        <v>21</v>
      </c>
      <c r="I1731">
        <v>0</v>
      </c>
      <c r="J1731" t="s">
        <v>30</v>
      </c>
    </row>
    <row r="1732" spans="1:10" x14ac:dyDescent="0.25">
      <c r="A1732" s="1">
        <v>756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"2025-11-23 11:53:02.855"</f>
        <v>2025-11-23 11:53:02.855</v>
      </c>
      <c r="H1732" t="s">
        <v>21</v>
      </c>
      <c r="I1732">
        <v>0</v>
      </c>
      <c r="J1732" t="s">
        <v>22</v>
      </c>
    </row>
    <row r="1733" spans="1:10" x14ac:dyDescent="0.25">
      <c r="A1733" s="1">
        <v>757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"2025-11-23 11:49:59.879"</f>
        <v>2025-11-23 11:49:59.879</v>
      </c>
      <c r="H1733" t="s">
        <v>21</v>
      </c>
    </row>
    <row r="1734" spans="1:10" x14ac:dyDescent="0.25">
      <c r="A1734" s="1">
        <v>758</v>
      </c>
      <c r="B1734" t="s">
        <v>19</v>
      </c>
      <c r="C1734">
        <v>706</v>
      </c>
      <c r="D1734">
        <v>4</v>
      </c>
      <c r="E1734" t="s">
        <v>28</v>
      </c>
      <c r="F1734" t="s">
        <v>29</v>
      </c>
      <c r="G1734" t="str">
        <f>"2025-11-23 11:31:54.833"</f>
        <v>2025-11-23 11:31:54.833</v>
      </c>
      <c r="H1734" t="s">
        <v>21</v>
      </c>
      <c r="I1734">
        <v>0</v>
      </c>
      <c r="J1734" t="s">
        <v>30</v>
      </c>
    </row>
    <row r="1735" spans="1:10" x14ac:dyDescent="0.25">
      <c r="A1735" s="1">
        <v>759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"2025-11-23 10:03:44.853"</f>
        <v>2025-11-23 10:03:44.853</v>
      </c>
      <c r="H1735" t="s">
        <v>21</v>
      </c>
    </row>
    <row r="1736" spans="1:10" x14ac:dyDescent="0.25">
      <c r="A1736" s="1">
        <v>760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"2025-11-23 09:08:54.102"</f>
        <v>2025-11-23 09:08:54.102</v>
      </c>
      <c r="H1736" t="s">
        <v>21</v>
      </c>
      <c r="I1736">
        <v>0</v>
      </c>
      <c r="J1736" t="s">
        <v>22</v>
      </c>
    </row>
    <row r="1737" spans="1:10" x14ac:dyDescent="0.25">
      <c r="A1737" s="1">
        <v>761</v>
      </c>
      <c r="B1737" t="s">
        <v>19</v>
      </c>
      <c r="C1737">
        <v>706</v>
      </c>
      <c r="D1737">
        <v>4</v>
      </c>
      <c r="E1737" t="s">
        <v>28</v>
      </c>
      <c r="F1737" t="s">
        <v>29</v>
      </c>
      <c r="G1737" t="str">
        <f>"2025-11-23 09:03:27.166"</f>
        <v>2025-11-23 09:03:27.166</v>
      </c>
      <c r="H1737" t="s">
        <v>21</v>
      </c>
      <c r="I1737">
        <v>0</v>
      </c>
      <c r="J1737" t="s">
        <v>30</v>
      </c>
    </row>
    <row r="1738" spans="1:10" x14ac:dyDescent="0.25">
      <c r="A1738" s="1">
        <v>762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"2025-11-23 07:00:05.876"</f>
        <v>2025-11-23 07:00:05.876</v>
      </c>
      <c r="H1738" t="s">
        <v>21</v>
      </c>
      <c r="I1738">
        <v>0</v>
      </c>
      <c r="J1738" t="s">
        <v>22</v>
      </c>
    </row>
    <row r="1739" spans="1:10" s="3" customFormat="1" x14ac:dyDescent="0.25">
      <c r="A1739" s="2">
        <v>763</v>
      </c>
      <c r="B1739" s="3" t="s">
        <v>23</v>
      </c>
      <c r="C1739" s="3">
        <v>647</v>
      </c>
      <c r="D1739" s="3">
        <v>1</v>
      </c>
      <c r="E1739" s="3" t="s">
        <v>24</v>
      </c>
      <c r="F1739" s="3" t="s">
        <v>25</v>
      </c>
      <c r="G1739" s="3" t="str">
        <f>"2025-11-23 05:59:04.502"</f>
        <v>2025-11-23 05:59:04.502</v>
      </c>
      <c r="H1739" s="3" t="s">
        <v>21</v>
      </c>
    </row>
    <row r="1740" spans="1:10" s="3" customFormat="1" x14ac:dyDescent="0.25">
      <c r="A1740" s="2">
        <v>764</v>
      </c>
      <c r="B1740" s="3" t="s">
        <v>26</v>
      </c>
      <c r="C1740" s="3">
        <v>647</v>
      </c>
      <c r="D1740" s="3">
        <v>1</v>
      </c>
      <c r="E1740" s="3" t="s">
        <v>24</v>
      </c>
      <c r="F1740" s="3" t="s">
        <v>25</v>
      </c>
      <c r="G1740" s="3" t="str">
        <f>"2025-11-23 05:59:01.803"</f>
        <v>2025-11-23 05:59:01.803</v>
      </c>
      <c r="H1740" s="3" t="s">
        <v>21</v>
      </c>
      <c r="I1740" s="3">
        <v>12.03</v>
      </c>
      <c r="J1740" s="3" t="s">
        <v>27</v>
      </c>
    </row>
    <row r="1741" spans="1:10" x14ac:dyDescent="0.25">
      <c r="A1741" s="1">
        <v>765</v>
      </c>
      <c r="B1741" t="s">
        <v>19</v>
      </c>
      <c r="C1741">
        <v>706</v>
      </c>
      <c r="D1741">
        <v>2</v>
      </c>
      <c r="E1741" t="s">
        <v>28</v>
      </c>
      <c r="F1741" t="s">
        <v>39</v>
      </c>
      <c r="G1741" t="str">
        <f>"2025-11-22 15:26:34.665"</f>
        <v>2025-11-22 15:26:34.665</v>
      </c>
      <c r="H1741" t="s">
        <v>21</v>
      </c>
      <c r="I1741">
        <v>0</v>
      </c>
      <c r="J1741" t="s">
        <v>30</v>
      </c>
    </row>
    <row r="1742" spans="1:10" x14ac:dyDescent="0.25">
      <c r="A1742" s="1">
        <v>766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"2025-11-22 15:24:37.855"</f>
        <v>2025-11-22 15:24:37.855</v>
      </c>
      <c r="H1742" t="s">
        <v>21</v>
      </c>
    </row>
    <row r="1743" spans="1:10" x14ac:dyDescent="0.25">
      <c r="A1743" s="1">
        <v>767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"2025-11-22 15:01:45.867"</f>
        <v>2025-11-22 15:01:45.867</v>
      </c>
      <c r="H1743" t="s">
        <v>21</v>
      </c>
    </row>
    <row r="1744" spans="1:10" x14ac:dyDescent="0.25">
      <c r="A1744" s="1">
        <v>768</v>
      </c>
      <c r="B1744" t="s">
        <v>23</v>
      </c>
      <c r="C1744">
        <v>630</v>
      </c>
      <c r="D1744">
        <v>5</v>
      </c>
      <c r="E1744" t="s">
        <v>35</v>
      </c>
      <c r="F1744" t="s">
        <v>36</v>
      </c>
      <c r="G1744" t="str">
        <f>"2025-11-22 14:56:26.720"</f>
        <v>2025-11-22 14:56:26.720</v>
      </c>
      <c r="H1744" t="s">
        <v>37</v>
      </c>
    </row>
    <row r="1745" spans="1:10" x14ac:dyDescent="0.25">
      <c r="A1745" s="1">
        <v>769</v>
      </c>
      <c r="B1745" t="s">
        <v>19</v>
      </c>
      <c r="C1745">
        <v>706</v>
      </c>
      <c r="D1745">
        <v>4</v>
      </c>
      <c r="E1745" t="s">
        <v>28</v>
      </c>
      <c r="F1745" t="s">
        <v>29</v>
      </c>
      <c r="G1745" t="str">
        <f>"2025-11-22 14:55:56.558"</f>
        <v>2025-11-22 14:55:56.558</v>
      </c>
      <c r="H1745" t="s">
        <v>21</v>
      </c>
      <c r="I1745">
        <v>0</v>
      </c>
      <c r="J1745" t="s">
        <v>30</v>
      </c>
    </row>
    <row r="1746" spans="1:10" x14ac:dyDescent="0.25">
      <c r="A1746" s="1">
        <v>770</v>
      </c>
      <c r="B1746" t="s">
        <v>38</v>
      </c>
      <c r="C1746">
        <v>630</v>
      </c>
      <c r="D1746">
        <v>5</v>
      </c>
      <c r="E1746" t="s">
        <v>35</v>
      </c>
      <c r="F1746" t="s">
        <v>36</v>
      </c>
      <c r="G1746" t="str">
        <f>"2025-11-22 14:31:23.620"</f>
        <v>2025-11-22 14:31:23.620</v>
      </c>
      <c r="H1746" t="s">
        <v>37</v>
      </c>
      <c r="I1746">
        <v>0</v>
      </c>
      <c r="J1746" t="s">
        <v>30</v>
      </c>
    </row>
    <row r="1747" spans="1:10" x14ac:dyDescent="0.25">
      <c r="A1747" s="1">
        <v>771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"2025-11-22 14:26:20.868"</f>
        <v>2025-11-22 14:26:20.868</v>
      </c>
      <c r="H1747" t="s">
        <v>21</v>
      </c>
      <c r="I1747">
        <v>0</v>
      </c>
      <c r="J1747" t="s">
        <v>22</v>
      </c>
    </row>
    <row r="1748" spans="1:10" x14ac:dyDescent="0.25">
      <c r="A1748" s="1">
        <v>772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"2025-11-22 12:35:46.034"</f>
        <v>2025-11-22 12:35:46.034</v>
      </c>
      <c r="H1748" t="s">
        <v>21</v>
      </c>
    </row>
    <row r="1749" spans="1:10" x14ac:dyDescent="0.25">
      <c r="A1749" s="1">
        <v>773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"2025-11-22 03:44:02.853"</f>
        <v>2025-11-22 03:44:02.853</v>
      </c>
      <c r="H1749" t="s">
        <v>21</v>
      </c>
      <c r="I1749">
        <v>0</v>
      </c>
      <c r="J1749" t="s">
        <v>22</v>
      </c>
    </row>
    <row r="1750" spans="1:10" s="3" customFormat="1" x14ac:dyDescent="0.25">
      <c r="A1750" s="2">
        <v>774</v>
      </c>
      <c r="B1750" s="3" t="s">
        <v>23</v>
      </c>
      <c r="C1750" s="3">
        <v>647</v>
      </c>
      <c r="D1750" s="3">
        <v>1</v>
      </c>
      <c r="E1750" s="3" t="s">
        <v>24</v>
      </c>
      <c r="F1750" s="3" t="s">
        <v>25</v>
      </c>
      <c r="G1750" s="3" t="str">
        <f>"2025-11-21 12:51:33.233"</f>
        <v>2025-11-21 12:51:33.233</v>
      </c>
      <c r="H1750" s="3" t="s">
        <v>21</v>
      </c>
    </row>
    <row r="1751" spans="1:10" s="3" customFormat="1" x14ac:dyDescent="0.25">
      <c r="A1751" s="2">
        <v>775</v>
      </c>
      <c r="B1751" s="3" t="s">
        <v>26</v>
      </c>
      <c r="C1751" s="3">
        <v>647</v>
      </c>
      <c r="D1751" s="3">
        <v>1</v>
      </c>
      <c r="E1751" s="3" t="s">
        <v>24</v>
      </c>
      <c r="F1751" s="3" t="s">
        <v>25</v>
      </c>
      <c r="G1751" s="3" t="str">
        <f>"2025-11-21 12:51:30.134"</f>
        <v>2025-11-21 12:51:30.134</v>
      </c>
      <c r="H1751" s="3" t="s">
        <v>21</v>
      </c>
      <c r="I1751" s="3">
        <v>8.69</v>
      </c>
      <c r="J1751" s="3" t="s">
        <v>34</v>
      </c>
    </row>
    <row r="1752" spans="1:10" x14ac:dyDescent="0.25">
      <c r="A1752" s="1">
        <v>776</v>
      </c>
      <c r="B1752" t="s">
        <v>19</v>
      </c>
      <c r="C1752">
        <v>706</v>
      </c>
      <c r="D1752">
        <v>2</v>
      </c>
      <c r="E1752" t="s">
        <v>28</v>
      </c>
      <c r="F1752" t="s">
        <v>39</v>
      </c>
      <c r="G1752" t="str">
        <f>"2025-11-21 12:48:37.715"</f>
        <v>2025-11-21 12:48:37.715</v>
      </c>
      <c r="H1752" t="s">
        <v>21</v>
      </c>
      <c r="I1752">
        <v>0</v>
      </c>
      <c r="J1752" t="s">
        <v>30</v>
      </c>
    </row>
    <row r="1753" spans="1:10" x14ac:dyDescent="0.25">
      <c r="A1753" s="1">
        <v>777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"2025-11-21 12:48:01.875"</f>
        <v>2025-11-21 12:48:01.875</v>
      </c>
      <c r="H1753" t="s">
        <v>21</v>
      </c>
    </row>
    <row r="1754" spans="1:10" x14ac:dyDescent="0.25">
      <c r="A1754" s="1">
        <v>778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"2025-11-21 02:02:52.891"</f>
        <v>2025-11-21 02:02:52.891</v>
      </c>
      <c r="H1754" t="s">
        <v>21</v>
      </c>
      <c r="I1754">
        <v>0</v>
      </c>
      <c r="J1754" t="s">
        <v>22</v>
      </c>
    </row>
    <row r="1755" spans="1:10" s="3" customFormat="1" x14ac:dyDescent="0.25">
      <c r="A1755" s="2">
        <v>779</v>
      </c>
      <c r="B1755" s="3" t="s">
        <v>23</v>
      </c>
      <c r="C1755" s="3">
        <v>647</v>
      </c>
      <c r="D1755" s="3">
        <v>1</v>
      </c>
      <c r="E1755" s="3" t="s">
        <v>24</v>
      </c>
      <c r="F1755" s="3" t="s">
        <v>25</v>
      </c>
      <c r="G1755" s="3" t="str">
        <f>"2025-11-20 18:12:21.800"</f>
        <v>2025-11-20 18:12:21.800</v>
      </c>
      <c r="H1755" s="3" t="s">
        <v>21</v>
      </c>
    </row>
    <row r="1756" spans="1:10" s="3" customFormat="1" x14ac:dyDescent="0.25">
      <c r="A1756" s="2">
        <v>780</v>
      </c>
      <c r="B1756" s="3" t="s">
        <v>26</v>
      </c>
      <c r="C1756" s="3">
        <v>647</v>
      </c>
      <c r="D1756" s="3">
        <v>1</v>
      </c>
      <c r="E1756" s="3" t="s">
        <v>24</v>
      </c>
      <c r="F1756" s="3" t="s">
        <v>25</v>
      </c>
      <c r="G1756" s="3" t="str">
        <f>"2025-11-20 18:12:19.500"</f>
        <v>2025-11-20 18:12:19.500</v>
      </c>
      <c r="H1756" s="3" t="s">
        <v>21</v>
      </c>
      <c r="I1756" s="3">
        <v>27.84</v>
      </c>
      <c r="J1756" s="3" t="s">
        <v>27</v>
      </c>
    </row>
    <row r="1757" spans="1:10" x14ac:dyDescent="0.25">
      <c r="A1757" s="1">
        <v>781</v>
      </c>
      <c r="B1757" t="s">
        <v>19</v>
      </c>
      <c r="C1757">
        <v>706</v>
      </c>
      <c r="D1757">
        <v>4</v>
      </c>
      <c r="E1757" t="s">
        <v>28</v>
      </c>
      <c r="F1757" t="s">
        <v>29</v>
      </c>
      <c r="G1757" t="str">
        <f>"2025-11-20 11:52:24.927"</f>
        <v>2025-11-20 11:52:24.927</v>
      </c>
      <c r="H1757" t="s">
        <v>21</v>
      </c>
      <c r="I1757">
        <v>0</v>
      </c>
      <c r="J1757" t="s">
        <v>30</v>
      </c>
    </row>
    <row r="1758" spans="1:10" x14ac:dyDescent="0.25">
      <c r="A1758" s="1">
        <v>782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"2025-11-20 11:52:10.847"</f>
        <v>2025-11-20 11:52:10.847</v>
      </c>
      <c r="H1758" t="s">
        <v>21</v>
      </c>
      <c r="I1758">
        <v>0</v>
      </c>
      <c r="J1758" t="s">
        <v>22</v>
      </c>
    </row>
    <row r="1759" spans="1:10" x14ac:dyDescent="0.25">
      <c r="A1759" s="1">
        <v>783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"2025-11-20 04:54:53.840"</f>
        <v>2025-11-20 04:54:53.840</v>
      </c>
      <c r="H1759" t="s">
        <v>21</v>
      </c>
    </row>
    <row r="1760" spans="1:10" x14ac:dyDescent="0.25">
      <c r="A1760" s="1">
        <v>784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"2025-11-19 13:57:29.909"</f>
        <v>2025-11-19 13:57:29.909</v>
      </c>
      <c r="H1760" t="s">
        <v>21</v>
      </c>
      <c r="I1760">
        <v>0</v>
      </c>
      <c r="J1760" t="s">
        <v>22</v>
      </c>
    </row>
    <row r="1761" spans="1:10" x14ac:dyDescent="0.25">
      <c r="A1761" s="1">
        <v>785</v>
      </c>
      <c r="B1761" t="s">
        <v>23</v>
      </c>
      <c r="C1761">
        <v>635</v>
      </c>
      <c r="D1761">
        <v>1</v>
      </c>
      <c r="E1761" t="s">
        <v>31</v>
      </c>
      <c r="F1761" t="s">
        <v>32</v>
      </c>
      <c r="G1761" t="str">
        <f>"2025-11-19 11:03:43.235"</f>
        <v>2025-11-19 11:03:43.235</v>
      </c>
      <c r="H1761" t="s">
        <v>21</v>
      </c>
    </row>
    <row r="1762" spans="1:10" x14ac:dyDescent="0.25">
      <c r="A1762" s="1">
        <v>786</v>
      </c>
      <c r="B1762" t="s">
        <v>26</v>
      </c>
      <c r="C1762">
        <v>635</v>
      </c>
      <c r="D1762">
        <v>1</v>
      </c>
      <c r="E1762" t="s">
        <v>31</v>
      </c>
      <c r="F1762" t="s">
        <v>32</v>
      </c>
      <c r="G1762" t="str">
        <f>"2025-11-19 10:59:49.235"</f>
        <v>2025-11-19 10:59:49.235</v>
      </c>
      <c r="H1762" t="s">
        <v>21</v>
      </c>
      <c r="I1762">
        <v>8.33</v>
      </c>
      <c r="J1762" t="s">
        <v>33</v>
      </c>
    </row>
    <row r="1763" spans="1:10" x14ac:dyDescent="0.25">
      <c r="A1763" s="1">
        <v>787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"2025-11-18 22:46:07.874"</f>
        <v>2025-11-18 22:46:07.874</v>
      </c>
      <c r="H1763" t="s">
        <v>21</v>
      </c>
    </row>
    <row r="1764" spans="1:10" s="3" customFormat="1" x14ac:dyDescent="0.25">
      <c r="A1764" s="2">
        <v>788</v>
      </c>
      <c r="B1764" s="3" t="s">
        <v>23</v>
      </c>
      <c r="C1764" s="3">
        <v>647</v>
      </c>
      <c r="D1764" s="3">
        <v>1</v>
      </c>
      <c r="E1764" s="3" t="s">
        <v>24</v>
      </c>
      <c r="F1764" s="3" t="s">
        <v>25</v>
      </c>
      <c r="G1764" s="3" t="str">
        <f>"2025-11-18 18:35:35.809"</f>
        <v>2025-11-18 18:35:35.809</v>
      </c>
      <c r="H1764" s="3" t="s">
        <v>21</v>
      </c>
    </row>
    <row r="1765" spans="1:10" s="3" customFormat="1" x14ac:dyDescent="0.25">
      <c r="A1765" s="2">
        <v>789</v>
      </c>
      <c r="B1765" s="3" t="s">
        <v>26</v>
      </c>
      <c r="C1765" s="3">
        <v>647</v>
      </c>
      <c r="D1765" s="3">
        <v>1</v>
      </c>
      <c r="E1765" s="3" t="s">
        <v>24</v>
      </c>
      <c r="F1765" s="3" t="s">
        <v>25</v>
      </c>
      <c r="G1765" s="3" t="str">
        <f>"2025-11-18 18:35:34.509"</f>
        <v>2025-11-18 18:35:34.509</v>
      </c>
      <c r="H1765" s="3" t="s">
        <v>21</v>
      </c>
      <c r="I1765" s="3">
        <v>8.68</v>
      </c>
      <c r="J1765" s="3" t="s">
        <v>27</v>
      </c>
    </row>
    <row r="1766" spans="1:10" x14ac:dyDescent="0.25">
      <c r="A1766" s="1">
        <v>790</v>
      </c>
      <c r="B1766" t="s">
        <v>23</v>
      </c>
      <c r="C1766">
        <v>635</v>
      </c>
      <c r="D1766">
        <v>1</v>
      </c>
      <c r="E1766" t="s">
        <v>31</v>
      </c>
      <c r="F1766" t="s">
        <v>32</v>
      </c>
      <c r="G1766" t="str">
        <f>"2025-11-18 14:27:33.309"</f>
        <v>2025-11-18 14:27:33.309</v>
      </c>
      <c r="H1766" t="s">
        <v>21</v>
      </c>
    </row>
    <row r="1767" spans="1:10" x14ac:dyDescent="0.25">
      <c r="A1767" s="1">
        <v>791</v>
      </c>
      <c r="B1767" t="s">
        <v>26</v>
      </c>
      <c r="C1767">
        <v>635</v>
      </c>
      <c r="D1767">
        <v>1</v>
      </c>
      <c r="E1767" t="s">
        <v>31</v>
      </c>
      <c r="F1767" t="s">
        <v>32</v>
      </c>
      <c r="G1767" t="str">
        <f>"2025-11-18 14:20:50.809"</f>
        <v>2025-11-18 14:20:50.809</v>
      </c>
      <c r="H1767" t="s">
        <v>21</v>
      </c>
      <c r="I1767">
        <v>2.8</v>
      </c>
      <c r="J1767" t="s">
        <v>34</v>
      </c>
    </row>
    <row r="1768" spans="1:10" x14ac:dyDescent="0.25">
      <c r="A1768" s="1">
        <v>792</v>
      </c>
      <c r="B1768" t="s">
        <v>19</v>
      </c>
      <c r="C1768">
        <v>706</v>
      </c>
      <c r="D1768">
        <v>4</v>
      </c>
      <c r="E1768" t="s">
        <v>28</v>
      </c>
      <c r="F1768" t="s">
        <v>29</v>
      </c>
      <c r="G1768" t="str">
        <f>"2025-11-18 13:17:56.350"</f>
        <v>2025-11-18 13:17:56.350</v>
      </c>
      <c r="H1768" t="s">
        <v>21</v>
      </c>
      <c r="I1768">
        <v>0</v>
      </c>
      <c r="J1768" t="s">
        <v>30</v>
      </c>
    </row>
    <row r="1769" spans="1:10" x14ac:dyDescent="0.25">
      <c r="A1769" s="1">
        <v>793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"2025-11-18 13:16:48.860"</f>
        <v>2025-11-18 13:16:48.860</v>
      </c>
      <c r="H1769" t="s">
        <v>21</v>
      </c>
      <c r="I1769">
        <v>0</v>
      </c>
      <c r="J1769" t="s">
        <v>22</v>
      </c>
    </row>
    <row r="1770" spans="1:10" x14ac:dyDescent="0.25">
      <c r="A1770" s="1">
        <v>794</v>
      </c>
      <c r="B1770" t="s">
        <v>19</v>
      </c>
      <c r="C1770">
        <v>706</v>
      </c>
      <c r="D1770">
        <v>4</v>
      </c>
      <c r="E1770" t="s">
        <v>28</v>
      </c>
      <c r="F1770" t="s">
        <v>29</v>
      </c>
      <c r="G1770" t="str">
        <f>"2025-11-18 01:45:07.456"</f>
        <v>2025-11-18 01:45:07.456</v>
      </c>
      <c r="H1770" t="s">
        <v>21</v>
      </c>
      <c r="I1770">
        <v>0</v>
      </c>
      <c r="J1770" t="s">
        <v>30</v>
      </c>
    </row>
    <row r="1771" spans="1:10" x14ac:dyDescent="0.25">
      <c r="A1771" s="1">
        <v>795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"2025-11-18 01:44:25.876"</f>
        <v>2025-11-18 01:44:25.876</v>
      </c>
      <c r="H1771" t="s">
        <v>21</v>
      </c>
    </row>
    <row r="1772" spans="1:10" s="3" customFormat="1" x14ac:dyDescent="0.25">
      <c r="A1772" s="2">
        <v>796</v>
      </c>
      <c r="B1772" s="3" t="s">
        <v>23</v>
      </c>
      <c r="C1772" s="3">
        <v>647</v>
      </c>
      <c r="D1772" s="3">
        <v>1</v>
      </c>
      <c r="E1772" s="3" t="s">
        <v>24</v>
      </c>
      <c r="F1772" s="3" t="s">
        <v>25</v>
      </c>
      <c r="G1772" s="3" t="str">
        <f>"2025-11-17 19:05:53.926"</f>
        <v>2025-11-17 19:05:53.926</v>
      </c>
      <c r="H1772" s="3" t="s">
        <v>21</v>
      </c>
    </row>
    <row r="1773" spans="1:10" s="3" customFormat="1" x14ac:dyDescent="0.25">
      <c r="A1773" s="2">
        <v>797</v>
      </c>
      <c r="B1773" s="3" t="s">
        <v>26</v>
      </c>
      <c r="C1773" s="3">
        <v>647</v>
      </c>
      <c r="D1773" s="3">
        <v>1</v>
      </c>
      <c r="E1773" s="3" t="s">
        <v>24</v>
      </c>
      <c r="F1773" s="3" t="s">
        <v>25</v>
      </c>
      <c r="G1773" s="3" t="str">
        <f>"2025-11-17 19:05:52.226"</f>
        <v>2025-11-17 19:05:52.226</v>
      </c>
      <c r="H1773" s="3" t="s">
        <v>21</v>
      </c>
      <c r="I1773" s="3">
        <v>21.11</v>
      </c>
      <c r="J1773" s="3" t="s">
        <v>27</v>
      </c>
    </row>
    <row r="1774" spans="1:10" x14ac:dyDescent="0.25">
      <c r="A1774" s="1">
        <v>798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"2025-11-17 15:36:18.954"</f>
        <v>2025-11-17 15:36:18.954</v>
      </c>
      <c r="H1774" t="s">
        <v>21</v>
      </c>
    </row>
    <row r="1775" spans="1:10" x14ac:dyDescent="0.25">
      <c r="A1775" s="1">
        <v>799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"2025-11-17 14:33:20.841"</f>
        <v>2025-11-17 14:33:20.841</v>
      </c>
      <c r="H1775" t="s">
        <v>21</v>
      </c>
    </row>
    <row r="1776" spans="1:10" x14ac:dyDescent="0.25">
      <c r="A1776" s="1">
        <v>800</v>
      </c>
      <c r="B1776" t="s">
        <v>19</v>
      </c>
      <c r="C1776">
        <v>706</v>
      </c>
      <c r="D1776">
        <v>4</v>
      </c>
      <c r="E1776" t="s">
        <v>28</v>
      </c>
      <c r="F1776" t="s">
        <v>29</v>
      </c>
      <c r="G1776" t="str">
        <f>"2025-11-17 07:56:46.024"</f>
        <v>2025-11-17 07:56:46.024</v>
      </c>
      <c r="H1776" t="s">
        <v>21</v>
      </c>
      <c r="I1776">
        <v>0</v>
      </c>
      <c r="J1776" t="s">
        <v>30</v>
      </c>
    </row>
    <row r="1777" spans="1:10" x14ac:dyDescent="0.25">
      <c r="A1777" s="1">
        <v>801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"2025-11-17 07:54:59.884"</f>
        <v>2025-11-17 07:54:59.884</v>
      </c>
      <c r="H1777" t="s">
        <v>21</v>
      </c>
      <c r="I1777">
        <v>0</v>
      </c>
      <c r="J1777" t="s">
        <v>22</v>
      </c>
    </row>
    <row r="1778" spans="1:10" s="3" customFormat="1" x14ac:dyDescent="0.25">
      <c r="A1778" s="2">
        <v>802</v>
      </c>
      <c r="B1778" s="3" t="s">
        <v>23</v>
      </c>
      <c r="C1778" s="3">
        <v>647</v>
      </c>
      <c r="D1778" s="3">
        <v>1</v>
      </c>
      <c r="E1778" s="3" t="s">
        <v>24</v>
      </c>
      <c r="F1778" s="3" t="s">
        <v>25</v>
      </c>
      <c r="G1778" s="3" t="str">
        <f>"2025-11-17 05:36:02.393"</f>
        <v>2025-11-17 05:36:02.393</v>
      </c>
      <c r="H1778" s="3" t="s">
        <v>21</v>
      </c>
    </row>
    <row r="1779" spans="1:10" s="3" customFormat="1" x14ac:dyDescent="0.25">
      <c r="A1779" s="2">
        <v>803</v>
      </c>
      <c r="B1779" s="3" t="s">
        <v>26</v>
      </c>
      <c r="C1779" s="3">
        <v>647</v>
      </c>
      <c r="D1779" s="3">
        <v>1</v>
      </c>
      <c r="E1779" s="3" t="s">
        <v>24</v>
      </c>
      <c r="F1779" s="3" t="s">
        <v>25</v>
      </c>
      <c r="G1779" s="3" t="str">
        <f>"2025-11-17 05:35:58.494"</f>
        <v>2025-11-17 05:35:58.494</v>
      </c>
      <c r="H1779" s="3" t="s">
        <v>21</v>
      </c>
      <c r="I1779" s="3">
        <v>9.16</v>
      </c>
      <c r="J1779" s="3" t="s">
        <v>27</v>
      </c>
    </row>
    <row r="1780" spans="1:10" x14ac:dyDescent="0.25">
      <c r="A1780" s="1">
        <v>804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"2025-11-16 21:24:54.845"</f>
        <v>2025-11-16 21:24:54.845</v>
      </c>
      <c r="H1780" t="s">
        <v>21</v>
      </c>
      <c r="I1780">
        <v>0</v>
      </c>
      <c r="J1780" t="s">
        <v>22</v>
      </c>
    </row>
    <row r="1781" spans="1:10" x14ac:dyDescent="0.25">
      <c r="A1781" s="1">
        <v>805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"2025-11-16 21:20:39.874"</f>
        <v>2025-11-16 21:20:39.874</v>
      </c>
      <c r="H1781" t="s">
        <v>21</v>
      </c>
      <c r="I1781">
        <v>0</v>
      </c>
      <c r="J1781" t="s">
        <v>22</v>
      </c>
    </row>
    <row r="1782" spans="1:10" x14ac:dyDescent="0.25">
      <c r="A1782" s="1">
        <v>806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"2025-11-16 13:11:58.843"</f>
        <v>2025-11-16 13:11:58.843</v>
      </c>
      <c r="H1782" t="s">
        <v>21</v>
      </c>
      <c r="I1782">
        <v>0</v>
      </c>
      <c r="J1782" t="s">
        <v>22</v>
      </c>
    </row>
    <row r="1783" spans="1:10" x14ac:dyDescent="0.25">
      <c r="A1783" s="1">
        <v>807</v>
      </c>
      <c r="B1783" t="s">
        <v>19</v>
      </c>
      <c r="C1783">
        <v>700</v>
      </c>
      <c r="D1783">
        <v>0</v>
      </c>
      <c r="E1783" t="s">
        <v>20</v>
      </c>
      <c r="F1783" t="s">
        <v>20</v>
      </c>
      <c r="G1783" t="str">
        <f>"2025-11-16 10:53:39.877"</f>
        <v>2025-11-16 10:53:39.877</v>
      </c>
      <c r="H1783" t="s">
        <v>21</v>
      </c>
      <c r="I1783">
        <v>0</v>
      </c>
      <c r="J1783" t="s">
        <v>22</v>
      </c>
    </row>
    <row r="1784" spans="1:10" s="3" customFormat="1" x14ac:dyDescent="0.25">
      <c r="A1784" s="2">
        <v>808</v>
      </c>
      <c r="B1784" s="3" t="s">
        <v>23</v>
      </c>
      <c r="C1784" s="3">
        <v>647</v>
      </c>
      <c r="D1784" s="3">
        <v>1</v>
      </c>
      <c r="E1784" s="3" t="s">
        <v>24</v>
      </c>
      <c r="F1784" s="3" t="s">
        <v>25</v>
      </c>
      <c r="G1784" s="3" t="str">
        <f>"2025-11-16 02:07:52.233"</f>
        <v>2025-11-16 02:07:52.233</v>
      </c>
      <c r="H1784" s="3" t="s">
        <v>21</v>
      </c>
    </row>
    <row r="1785" spans="1:10" s="3" customFormat="1" x14ac:dyDescent="0.25">
      <c r="A1785" s="2">
        <v>809</v>
      </c>
      <c r="B1785" s="3" t="s">
        <v>26</v>
      </c>
      <c r="C1785" s="3">
        <v>647</v>
      </c>
      <c r="D1785" s="3">
        <v>1</v>
      </c>
      <c r="E1785" s="3" t="s">
        <v>24</v>
      </c>
      <c r="F1785" s="3" t="s">
        <v>25</v>
      </c>
      <c r="G1785" s="3" t="str">
        <f>"2025-11-16 02:07:50.533"</f>
        <v>2025-11-16 02:07:50.533</v>
      </c>
      <c r="H1785" s="3" t="s">
        <v>21</v>
      </c>
      <c r="I1785" s="3">
        <v>10.19</v>
      </c>
      <c r="J1785" s="3" t="s">
        <v>27</v>
      </c>
    </row>
    <row r="1786" spans="1:10" s="3" customFormat="1" x14ac:dyDescent="0.25">
      <c r="A1786" s="2">
        <v>810</v>
      </c>
      <c r="B1786" s="3" t="s">
        <v>23</v>
      </c>
      <c r="C1786" s="3">
        <v>647</v>
      </c>
      <c r="D1786" s="3">
        <v>1</v>
      </c>
      <c r="E1786" s="3" t="s">
        <v>24</v>
      </c>
      <c r="F1786" s="3" t="s">
        <v>25</v>
      </c>
      <c r="G1786" s="3" t="str">
        <f>"2025-11-16 01:41:37.333"</f>
        <v>2025-11-16 01:41:37.333</v>
      </c>
      <c r="H1786" s="3" t="s">
        <v>21</v>
      </c>
    </row>
    <row r="1787" spans="1:10" s="3" customFormat="1" x14ac:dyDescent="0.25">
      <c r="A1787" s="2">
        <v>811</v>
      </c>
      <c r="B1787" s="3" t="s">
        <v>26</v>
      </c>
      <c r="C1787" s="3">
        <v>647</v>
      </c>
      <c r="D1787" s="3">
        <v>1</v>
      </c>
      <c r="E1787" s="3" t="s">
        <v>24</v>
      </c>
      <c r="F1787" s="3" t="s">
        <v>25</v>
      </c>
      <c r="G1787" s="3" t="str">
        <f>"2025-11-16 01:41:35.333"</f>
        <v>2025-11-16 01:41:35.333</v>
      </c>
      <c r="H1787" s="3" t="s">
        <v>21</v>
      </c>
      <c r="I1787" s="3">
        <v>27.65</v>
      </c>
      <c r="J1787" s="3" t="s">
        <v>27</v>
      </c>
    </row>
    <row r="1788" spans="1:10" x14ac:dyDescent="0.25">
      <c r="A1788" s="1">
        <v>812</v>
      </c>
      <c r="B1788" t="s">
        <v>19</v>
      </c>
      <c r="C1788">
        <v>706</v>
      </c>
      <c r="D1788">
        <v>2</v>
      </c>
      <c r="E1788" t="s">
        <v>28</v>
      </c>
      <c r="F1788" t="s">
        <v>39</v>
      </c>
      <c r="G1788" t="str">
        <f>"2025-11-16 01:12:46.341"</f>
        <v>2025-11-16 01:12:46.341</v>
      </c>
      <c r="H1788" t="s">
        <v>21</v>
      </c>
      <c r="I1788">
        <v>0</v>
      </c>
      <c r="J1788" t="s">
        <v>30</v>
      </c>
    </row>
    <row r="1789" spans="1:10" x14ac:dyDescent="0.25">
      <c r="A1789" s="1">
        <v>813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"2025-11-16 01:12:19.861"</f>
        <v>2025-11-16 01:12:19.861</v>
      </c>
      <c r="H1789" t="s">
        <v>21</v>
      </c>
    </row>
    <row r="1790" spans="1:10" x14ac:dyDescent="0.25">
      <c r="A1790" s="1">
        <v>814</v>
      </c>
      <c r="B1790" t="s">
        <v>23</v>
      </c>
      <c r="C1790">
        <v>635</v>
      </c>
      <c r="D1790">
        <v>1</v>
      </c>
      <c r="E1790" t="s">
        <v>31</v>
      </c>
      <c r="F1790" t="s">
        <v>32</v>
      </c>
      <c r="G1790" t="str">
        <f>"2025-11-15 20:46:27.939"</f>
        <v>2025-11-15 20:46:27.939</v>
      </c>
      <c r="H1790" t="s">
        <v>21</v>
      </c>
    </row>
    <row r="1791" spans="1:10" x14ac:dyDescent="0.25">
      <c r="A1791" s="1">
        <v>815</v>
      </c>
      <c r="B1791" t="s">
        <v>26</v>
      </c>
      <c r="C1791">
        <v>635</v>
      </c>
      <c r="D1791">
        <v>1</v>
      </c>
      <c r="E1791" t="s">
        <v>31</v>
      </c>
      <c r="F1791" t="s">
        <v>32</v>
      </c>
      <c r="G1791" t="str">
        <f>"2025-11-15 20:37:48.439"</f>
        <v>2025-11-15 20:37:48.439</v>
      </c>
      <c r="H1791" t="s">
        <v>21</v>
      </c>
      <c r="I1791">
        <v>10.28</v>
      </c>
      <c r="J1791" t="s">
        <v>27</v>
      </c>
    </row>
    <row r="1792" spans="1:10" x14ac:dyDescent="0.25">
      <c r="A1792" s="1">
        <v>816</v>
      </c>
      <c r="B1792" t="s">
        <v>19</v>
      </c>
      <c r="C1792">
        <v>706</v>
      </c>
      <c r="D1792">
        <v>2</v>
      </c>
      <c r="E1792" t="s">
        <v>28</v>
      </c>
      <c r="F1792" t="s">
        <v>39</v>
      </c>
      <c r="G1792" t="str">
        <f>"2025-11-15 13:34:27.932"</f>
        <v>2025-11-15 13:34:27.932</v>
      </c>
      <c r="H1792" t="s">
        <v>21</v>
      </c>
      <c r="I1792">
        <v>0</v>
      </c>
      <c r="J1792" t="s">
        <v>30</v>
      </c>
    </row>
    <row r="1793" spans="1:10" x14ac:dyDescent="0.25">
      <c r="A1793" s="1">
        <v>817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"2025-11-15 13:33:33.862"</f>
        <v>2025-11-15 13:33:33.862</v>
      </c>
      <c r="H1793" t="s">
        <v>21</v>
      </c>
    </row>
    <row r="1794" spans="1:10" x14ac:dyDescent="0.25">
      <c r="A1794" s="1">
        <v>818</v>
      </c>
      <c r="B1794" t="s">
        <v>19</v>
      </c>
      <c r="C1794">
        <v>706</v>
      </c>
      <c r="D1794">
        <v>4</v>
      </c>
      <c r="E1794" t="s">
        <v>28</v>
      </c>
      <c r="F1794" t="s">
        <v>29</v>
      </c>
      <c r="G1794" t="str">
        <f>"2025-11-15 08:24:19.046"</f>
        <v>2025-11-15 08:24:19.046</v>
      </c>
      <c r="H1794" t="s">
        <v>21</v>
      </c>
      <c r="I1794">
        <v>0</v>
      </c>
      <c r="J1794" t="s">
        <v>30</v>
      </c>
    </row>
    <row r="1795" spans="1:10" x14ac:dyDescent="0.25">
      <c r="A1795" s="1">
        <v>819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"2025-11-15 08:23:48.006"</f>
        <v>2025-11-15 08:23:48.006</v>
      </c>
      <c r="H1795" t="s">
        <v>21</v>
      </c>
      <c r="I1795">
        <v>0</v>
      </c>
      <c r="J1795" t="s">
        <v>22</v>
      </c>
    </row>
    <row r="1796" spans="1:10" x14ac:dyDescent="0.25">
      <c r="A1796" s="1">
        <v>820</v>
      </c>
      <c r="B1796" t="s">
        <v>19</v>
      </c>
      <c r="C1796">
        <v>706</v>
      </c>
      <c r="D1796">
        <v>4</v>
      </c>
      <c r="E1796" t="s">
        <v>28</v>
      </c>
      <c r="F1796" t="s">
        <v>29</v>
      </c>
      <c r="G1796" t="str">
        <f>"2025-11-14 21:33:18.050"</f>
        <v>2025-11-14 21:33:18.050</v>
      </c>
      <c r="H1796" t="s">
        <v>21</v>
      </c>
      <c r="I1796">
        <v>0</v>
      </c>
      <c r="J1796" t="s">
        <v>30</v>
      </c>
    </row>
    <row r="1797" spans="1:10" x14ac:dyDescent="0.25">
      <c r="A1797" s="1">
        <v>821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"2025-11-14 21:32:17.880"</f>
        <v>2025-11-14 21:32:17.880</v>
      </c>
      <c r="H1797" t="s">
        <v>21</v>
      </c>
    </row>
    <row r="1798" spans="1:10" x14ac:dyDescent="0.25">
      <c r="A1798" s="1">
        <v>822</v>
      </c>
      <c r="B1798" t="s">
        <v>19</v>
      </c>
      <c r="C1798">
        <v>706</v>
      </c>
      <c r="D1798">
        <v>2</v>
      </c>
      <c r="E1798" t="s">
        <v>28</v>
      </c>
      <c r="F1798" t="s">
        <v>39</v>
      </c>
      <c r="G1798" t="str">
        <f>"2025-11-14 15:30:43.519"</f>
        <v>2025-11-14 15:30:43.519</v>
      </c>
      <c r="H1798" t="s">
        <v>21</v>
      </c>
      <c r="I1798">
        <v>0</v>
      </c>
      <c r="J1798" t="s">
        <v>30</v>
      </c>
    </row>
    <row r="1799" spans="1:10" x14ac:dyDescent="0.25">
      <c r="A1799" s="1">
        <v>823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"2025-11-14 14:01:16.879"</f>
        <v>2025-11-14 14:01:16.879</v>
      </c>
      <c r="H1799" t="s">
        <v>21</v>
      </c>
    </row>
    <row r="1800" spans="1:10" x14ac:dyDescent="0.25">
      <c r="A1800" s="1">
        <v>824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"2025-11-14 08:23:37.896"</f>
        <v>2025-11-14 08:23:37.896</v>
      </c>
      <c r="H1800" t="s">
        <v>21</v>
      </c>
      <c r="I1800">
        <v>0</v>
      </c>
      <c r="J1800" t="s">
        <v>22</v>
      </c>
    </row>
    <row r="1801" spans="1:10" s="3" customFormat="1" x14ac:dyDescent="0.25">
      <c r="A1801" s="2">
        <v>825</v>
      </c>
      <c r="B1801" s="3" t="s">
        <v>23</v>
      </c>
      <c r="C1801" s="3">
        <v>647</v>
      </c>
      <c r="D1801" s="3">
        <v>1</v>
      </c>
      <c r="E1801" s="3" t="s">
        <v>24</v>
      </c>
      <c r="F1801" s="3" t="s">
        <v>25</v>
      </c>
      <c r="G1801" s="3" t="str">
        <f>"2025-11-14 00:47:28.444"</f>
        <v>2025-11-14 00:47:28.444</v>
      </c>
      <c r="H1801" s="3" t="s">
        <v>21</v>
      </c>
    </row>
    <row r="1802" spans="1:10" s="3" customFormat="1" x14ac:dyDescent="0.25">
      <c r="A1802" s="2">
        <v>826</v>
      </c>
      <c r="B1802" s="3" t="s">
        <v>26</v>
      </c>
      <c r="C1802" s="3">
        <v>647</v>
      </c>
      <c r="D1802" s="3">
        <v>1</v>
      </c>
      <c r="E1802" s="3" t="s">
        <v>24</v>
      </c>
      <c r="F1802" s="3" t="s">
        <v>25</v>
      </c>
      <c r="G1802" s="3" t="str">
        <f>"2025-11-14 00:47:24.945"</f>
        <v>2025-11-14 00:47:24.945</v>
      </c>
      <c r="H1802" s="3" t="s">
        <v>21</v>
      </c>
      <c r="I1802" s="3">
        <v>15.42</v>
      </c>
      <c r="J1802" s="3" t="s">
        <v>27</v>
      </c>
    </row>
    <row r="1803" spans="1:10" x14ac:dyDescent="0.25">
      <c r="A1803" s="1">
        <v>827</v>
      </c>
      <c r="B1803" t="s">
        <v>19</v>
      </c>
      <c r="C1803">
        <v>706</v>
      </c>
      <c r="D1803">
        <v>4</v>
      </c>
      <c r="E1803" t="s">
        <v>28</v>
      </c>
      <c r="F1803" t="s">
        <v>29</v>
      </c>
      <c r="G1803" t="str">
        <f>"2025-11-13 22:16:56.236"</f>
        <v>2025-11-13 22:16:56.236</v>
      </c>
      <c r="H1803" t="s">
        <v>21</v>
      </c>
      <c r="I1803">
        <v>0</v>
      </c>
      <c r="J1803" t="s">
        <v>30</v>
      </c>
    </row>
    <row r="1804" spans="1:10" x14ac:dyDescent="0.25">
      <c r="A1804" s="1">
        <v>828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"2025-11-13 22:14:43.876"</f>
        <v>2025-11-13 22:14:43.876</v>
      </c>
      <c r="H1804" t="s">
        <v>21</v>
      </c>
      <c r="I1804">
        <v>0</v>
      </c>
      <c r="J1804" t="s">
        <v>22</v>
      </c>
    </row>
    <row r="1805" spans="1:10" s="3" customFormat="1" x14ac:dyDescent="0.25">
      <c r="A1805" s="2">
        <v>829</v>
      </c>
      <c r="B1805" s="3" t="s">
        <v>23</v>
      </c>
      <c r="C1805" s="3">
        <v>647</v>
      </c>
      <c r="D1805" s="3">
        <v>1</v>
      </c>
      <c r="E1805" s="3" t="s">
        <v>24</v>
      </c>
      <c r="F1805" s="3" t="s">
        <v>25</v>
      </c>
      <c r="G1805" s="3" t="str">
        <f>"2025-11-13 18:04:44.647"</f>
        <v>2025-11-13 18:04:44.647</v>
      </c>
      <c r="H1805" s="3" t="s">
        <v>21</v>
      </c>
    </row>
    <row r="1806" spans="1:10" s="3" customFormat="1" x14ac:dyDescent="0.25">
      <c r="A1806" s="2">
        <v>830</v>
      </c>
      <c r="B1806" s="3" t="s">
        <v>26</v>
      </c>
      <c r="C1806" s="3">
        <v>647</v>
      </c>
      <c r="D1806" s="3">
        <v>1</v>
      </c>
      <c r="E1806" s="3" t="s">
        <v>24</v>
      </c>
      <c r="F1806" s="3" t="s">
        <v>25</v>
      </c>
      <c r="G1806" s="3" t="str">
        <f>"2025-11-13 18:04:41.947"</f>
        <v>2025-11-13 18:04:41.947</v>
      </c>
      <c r="H1806" s="3" t="s">
        <v>21</v>
      </c>
      <c r="I1806" s="3">
        <v>10.68</v>
      </c>
      <c r="J1806" s="3" t="s">
        <v>27</v>
      </c>
    </row>
    <row r="1807" spans="1:10" x14ac:dyDescent="0.25">
      <c r="A1807" s="1">
        <v>831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"2025-11-13 12:17:40.878"</f>
        <v>2025-11-13 12:17:40.878</v>
      </c>
      <c r="H1807" t="s">
        <v>21</v>
      </c>
    </row>
    <row r="1808" spans="1:10" x14ac:dyDescent="0.25">
      <c r="A1808" s="1">
        <v>832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"2025-11-13 02:40:37.028"</f>
        <v>2025-11-13 02:40:37.028</v>
      </c>
      <c r="H1808" t="s">
        <v>21</v>
      </c>
      <c r="I1808">
        <v>0</v>
      </c>
      <c r="J1808" t="s">
        <v>22</v>
      </c>
    </row>
    <row r="1809" spans="1:10" x14ac:dyDescent="0.25">
      <c r="A1809" s="1">
        <v>833</v>
      </c>
      <c r="B1809" t="s">
        <v>19</v>
      </c>
      <c r="C1809">
        <v>706</v>
      </c>
      <c r="D1809">
        <v>4</v>
      </c>
      <c r="E1809" t="s">
        <v>28</v>
      </c>
      <c r="F1809" t="s">
        <v>29</v>
      </c>
      <c r="G1809" t="str">
        <f>"2025-11-12 16:54:13.109"</f>
        <v>2025-11-12 16:54:13.109</v>
      </c>
      <c r="H1809" t="s">
        <v>21</v>
      </c>
      <c r="I1809">
        <v>0</v>
      </c>
      <c r="J1809" t="s">
        <v>30</v>
      </c>
    </row>
    <row r="1810" spans="1:10" x14ac:dyDescent="0.25">
      <c r="A1810" s="1">
        <v>834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"2025-11-12 16:37:59.879"</f>
        <v>2025-11-12 16:37:59.879</v>
      </c>
      <c r="H1810" t="s">
        <v>21</v>
      </c>
      <c r="I1810">
        <v>0</v>
      </c>
      <c r="J1810" t="s">
        <v>22</v>
      </c>
    </row>
    <row r="1811" spans="1:10" x14ac:dyDescent="0.25">
      <c r="A1811" s="1">
        <v>835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"2025-11-12 11:34:21.861"</f>
        <v>2025-11-12 11:34:21.861</v>
      </c>
      <c r="H1811" t="s">
        <v>21</v>
      </c>
    </row>
    <row r="1812" spans="1:10" x14ac:dyDescent="0.25">
      <c r="A1812" s="1">
        <v>836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"2025-11-12 09:11:18.854"</f>
        <v>2025-11-12 09:11:18.854</v>
      </c>
      <c r="H1812" t="s">
        <v>21</v>
      </c>
    </row>
    <row r="1813" spans="1:10" x14ac:dyDescent="0.25">
      <c r="A1813" s="1">
        <v>837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"2025-11-12 08:09:17.130"</f>
        <v>2025-11-12 08:09:17.130</v>
      </c>
      <c r="H1813" t="s">
        <v>21</v>
      </c>
    </row>
    <row r="1814" spans="1:10" x14ac:dyDescent="0.25">
      <c r="A1814" s="1">
        <v>838</v>
      </c>
      <c r="B1814" t="s">
        <v>23</v>
      </c>
      <c r="C1814">
        <v>635</v>
      </c>
      <c r="D1814">
        <v>1</v>
      </c>
      <c r="E1814" t="s">
        <v>31</v>
      </c>
      <c r="F1814" t="s">
        <v>32</v>
      </c>
      <c r="G1814" t="str">
        <f>"2025-11-12 00:02:06.937"</f>
        <v>2025-11-12 00:02:06.937</v>
      </c>
      <c r="H1814" t="s">
        <v>21</v>
      </c>
    </row>
    <row r="1815" spans="1:10" x14ac:dyDescent="0.25">
      <c r="A1815" s="1">
        <v>839</v>
      </c>
      <c r="B1815" t="s">
        <v>26</v>
      </c>
      <c r="C1815">
        <v>635</v>
      </c>
      <c r="D1815">
        <v>1</v>
      </c>
      <c r="E1815" t="s">
        <v>31</v>
      </c>
      <c r="F1815" t="s">
        <v>32</v>
      </c>
      <c r="G1815" t="str">
        <f>"2025-11-11 23:54:57.037"</f>
        <v>2025-11-11 23:54:57.037</v>
      </c>
      <c r="H1815" t="s">
        <v>21</v>
      </c>
      <c r="I1815">
        <v>0</v>
      </c>
      <c r="J1815" t="s">
        <v>34</v>
      </c>
    </row>
    <row r="1816" spans="1:10" x14ac:dyDescent="0.25">
      <c r="A1816" s="1">
        <v>840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"2025-11-11 13:21:16.017"</f>
        <v>2025-11-11 13:21:16.017</v>
      </c>
      <c r="H1816" t="s">
        <v>21</v>
      </c>
    </row>
    <row r="1817" spans="1:10" x14ac:dyDescent="0.25">
      <c r="A1817" s="1">
        <v>841</v>
      </c>
      <c r="B1817" t="s">
        <v>19</v>
      </c>
      <c r="C1817">
        <v>706</v>
      </c>
      <c r="D1817">
        <v>2</v>
      </c>
      <c r="E1817" t="s">
        <v>28</v>
      </c>
      <c r="F1817" t="s">
        <v>39</v>
      </c>
      <c r="G1817" t="str">
        <f>"2025-11-10 17:47:12.077"</f>
        <v>2025-11-10 17:47:12.077</v>
      </c>
      <c r="H1817" t="s">
        <v>21</v>
      </c>
      <c r="I1817">
        <v>0</v>
      </c>
      <c r="J1817" t="s">
        <v>30</v>
      </c>
    </row>
    <row r="1818" spans="1:10" x14ac:dyDescent="0.25">
      <c r="A1818" s="1">
        <v>842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"2025-11-10 17:46:42.937"</f>
        <v>2025-11-10 17:46:42.937</v>
      </c>
      <c r="H1818" t="s">
        <v>21</v>
      </c>
      <c r="I1818">
        <v>0</v>
      </c>
      <c r="J1818" t="s">
        <v>22</v>
      </c>
    </row>
    <row r="1819" spans="1:10" x14ac:dyDescent="0.25">
      <c r="A1819" s="1">
        <v>843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"2025-11-10 16:09:50.847"</f>
        <v>2025-11-10 16:09:50.847</v>
      </c>
      <c r="H1819" t="s">
        <v>21</v>
      </c>
    </row>
    <row r="1820" spans="1:10" x14ac:dyDescent="0.25">
      <c r="A1820" s="1">
        <v>844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"2025-11-10 15:12:42.853"</f>
        <v>2025-11-10 15:12:42.853</v>
      </c>
      <c r="H1820" t="s">
        <v>21</v>
      </c>
      <c r="I1820">
        <v>0</v>
      </c>
      <c r="J1820" t="s">
        <v>22</v>
      </c>
    </row>
    <row r="1821" spans="1:10" x14ac:dyDescent="0.25">
      <c r="A1821" s="1">
        <v>845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"2025-11-10 15:09:25.845"</f>
        <v>2025-11-10 15:09:25.845</v>
      </c>
      <c r="H1821" t="s">
        <v>21</v>
      </c>
    </row>
    <row r="1822" spans="1:10" x14ac:dyDescent="0.25">
      <c r="A1822" s="1">
        <v>846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"2025-11-10 08:57:53.844"</f>
        <v>2025-11-10 08:57:53.844</v>
      </c>
      <c r="H1822" t="s">
        <v>21</v>
      </c>
    </row>
    <row r="1823" spans="1:10" x14ac:dyDescent="0.25">
      <c r="A1823" s="1">
        <v>847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"2025-11-10 08:05:18.852"</f>
        <v>2025-11-10 08:05:18.852</v>
      </c>
      <c r="H1823" t="s">
        <v>21</v>
      </c>
      <c r="I1823">
        <v>0</v>
      </c>
      <c r="J1823" t="s">
        <v>22</v>
      </c>
    </row>
    <row r="1824" spans="1:10" x14ac:dyDescent="0.25">
      <c r="A1824" s="1">
        <v>848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"2025-11-10 06:10:48.853"</f>
        <v>2025-11-10 06:10:48.853</v>
      </c>
      <c r="H1824" t="s">
        <v>21</v>
      </c>
      <c r="I1824">
        <v>0</v>
      </c>
      <c r="J1824" t="s">
        <v>22</v>
      </c>
    </row>
    <row r="1825" spans="1:10" x14ac:dyDescent="0.25">
      <c r="A1825" s="1">
        <v>849</v>
      </c>
      <c r="B1825" t="s">
        <v>23</v>
      </c>
      <c r="C1825">
        <v>635</v>
      </c>
      <c r="D1825">
        <v>1</v>
      </c>
      <c r="E1825" t="s">
        <v>31</v>
      </c>
      <c r="F1825" t="s">
        <v>32</v>
      </c>
      <c r="G1825" t="str">
        <f>"2025-11-09 17:47:37.725"</f>
        <v>2025-11-09 17:47:37.725</v>
      </c>
      <c r="H1825" t="s">
        <v>21</v>
      </c>
    </row>
    <row r="1826" spans="1:10" x14ac:dyDescent="0.25">
      <c r="A1826" s="1">
        <v>850</v>
      </c>
      <c r="B1826" t="s">
        <v>26</v>
      </c>
      <c r="C1826">
        <v>635</v>
      </c>
      <c r="D1826">
        <v>1</v>
      </c>
      <c r="E1826" t="s">
        <v>31</v>
      </c>
      <c r="F1826" t="s">
        <v>32</v>
      </c>
      <c r="G1826" t="str">
        <f>"2025-11-09 17:37:18.225"</f>
        <v>2025-11-09 17:37:18.225</v>
      </c>
      <c r="H1826" t="s">
        <v>21</v>
      </c>
      <c r="I1826">
        <v>0</v>
      </c>
      <c r="J1826" t="s">
        <v>34</v>
      </c>
    </row>
    <row r="1827" spans="1:10" x14ac:dyDescent="0.25">
      <c r="A1827" s="1">
        <v>851</v>
      </c>
      <c r="B1827" t="s">
        <v>19</v>
      </c>
      <c r="C1827">
        <v>706</v>
      </c>
      <c r="D1827">
        <v>4</v>
      </c>
      <c r="E1827" t="s">
        <v>28</v>
      </c>
      <c r="F1827" t="s">
        <v>29</v>
      </c>
      <c r="G1827" t="str">
        <f>"2025-11-09 08:49:40.604"</f>
        <v>2025-11-09 08:49:40.604</v>
      </c>
      <c r="H1827" t="s">
        <v>21</v>
      </c>
      <c r="I1827">
        <v>0</v>
      </c>
      <c r="J1827" t="s">
        <v>30</v>
      </c>
    </row>
    <row r="1828" spans="1:10" x14ac:dyDescent="0.25">
      <c r="A1828" s="1">
        <v>852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"2025-11-09 08:32:08.844"</f>
        <v>2025-11-09 08:32:08.844</v>
      </c>
      <c r="H1828" t="s">
        <v>21</v>
      </c>
    </row>
    <row r="1829" spans="1:10" x14ac:dyDescent="0.25">
      <c r="A1829" s="1">
        <v>853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"2025-11-09 08:23:02.852"</f>
        <v>2025-11-09 08:23:02.852</v>
      </c>
      <c r="H1829" t="s">
        <v>21</v>
      </c>
      <c r="I1829">
        <v>0</v>
      </c>
      <c r="J1829" t="s">
        <v>22</v>
      </c>
    </row>
    <row r="1830" spans="1:10" x14ac:dyDescent="0.25">
      <c r="A1830" s="1">
        <v>854</v>
      </c>
      <c r="B1830" t="s">
        <v>19</v>
      </c>
      <c r="C1830">
        <v>706</v>
      </c>
      <c r="D1830">
        <v>4</v>
      </c>
      <c r="E1830" t="s">
        <v>28</v>
      </c>
      <c r="F1830" t="s">
        <v>29</v>
      </c>
      <c r="G1830" t="str">
        <f>"2025-11-09 07:44:15.434"</f>
        <v>2025-11-09 07:44:15.434</v>
      </c>
      <c r="H1830" t="s">
        <v>21</v>
      </c>
      <c r="I1830">
        <v>0</v>
      </c>
      <c r="J1830" t="s">
        <v>30</v>
      </c>
    </row>
    <row r="1831" spans="1:10" x14ac:dyDescent="0.25">
      <c r="A1831" s="1">
        <v>855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"2025-11-09 07:43:42.884"</f>
        <v>2025-11-09 07:43:42.884</v>
      </c>
      <c r="H1831" t="s">
        <v>21</v>
      </c>
      <c r="I1831">
        <v>0</v>
      </c>
      <c r="J1831" t="s">
        <v>22</v>
      </c>
    </row>
    <row r="1832" spans="1:10" x14ac:dyDescent="0.25">
      <c r="A1832" s="1">
        <v>856</v>
      </c>
      <c r="B1832" t="s">
        <v>44</v>
      </c>
      <c r="C1832">
        <v>33</v>
      </c>
      <c r="D1832">
        <v>1</v>
      </c>
      <c r="E1832" t="s">
        <v>45</v>
      </c>
      <c r="F1832" t="s">
        <v>46</v>
      </c>
      <c r="G1832" t="str">
        <f>"2025-11-08 23:29:00.651"</f>
        <v>2025-11-08 23:29:00.651</v>
      </c>
      <c r="H1832" t="s">
        <v>47</v>
      </c>
    </row>
    <row r="1833" spans="1:10" x14ac:dyDescent="0.25">
      <c r="A1833" s="1">
        <v>857</v>
      </c>
      <c r="B1833" t="s">
        <v>38</v>
      </c>
      <c r="C1833">
        <v>33</v>
      </c>
      <c r="D1833">
        <v>1</v>
      </c>
      <c r="E1833" t="s">
        <v>45</v>
      </c>
      <c r="F1833" t="s">
        <v>46</v>
      </c>
      <c r="G1833" t="str">
        <f>"2025-11-08 23:28:50.669"</f>
        <v>2025-11-08 23:28:50.669</v>
      </c>
      <c r="H1833" t="s">
        <v>47</v>
      </c>
      <c r="I1833">
        <v>10.11</v>
      </c>
      <c r="J1833" t="s">
        <v>33</v>
      </c>
    </row>
    <row r="1834" spans="1:10" s="3" customFormat="1" x14ac:dyDescent="0.25">
      <c r="A1834" s="2">
        <v>858</v>
      </c>
      <c r="B1834" s="3" t="s">
        <v>23</v>
      </c>
      <c r="C1834" s="3">
        <v>647</v>
      </c>
      <c r="D1834" s="3">
        <v>1</v>
      </c>
      <c r="E1834" s="3" t="s">
        <v>24</v>
      </c>
      <c r="F1834" s="3" t="s">
        <v>25</v>
      </c>
      <c r="G1834" s="3" t="str">
        <f>"2025-11-08 15:37:58.251"</f>
        <v>2025-11-08 15:37:58.251</v>
      </c>
      <c r="H1834" s="3" t="s">
        <v>21</v>
      </c>
    </row>
    <row r="1835" spans="1:10" s="3" customFormat="1" x14ac:dyDescent="0.25">
      <c r="A1835" s="2">
        <v>859</v>
      </c>
      <c r="B1835" s="3" t="s">
        <v>26</v>
      </c>
      <c r="C1835" s="3">
        <v>647</v>
      </c>
      <c r="D1835" s="3">
        <v>1</v>
      </c>
      <c r="E1835" s="3" t="s">
        <v>24</v>
      </c>
      <c r="F1835" s="3" t="s">
        <v>25</v>
      </c>
      <c r="G1835" s="3" t="str">
        <f>"2025-11-08 15:37:55.851"</f>
        <v>2025-11-08 15:37:55.851</v>
      </c>
      <c r="H1835" s="3" t="s">
        <v>21</v>
      </c>
      <c r="I1835" s="3">
        <v>22.36</v>
      </c>
      <c r="J1835" s="3" t="s">
        <v>27</v>
      </c>
    </row>
    <row r="1836" spans="1:10" s="3" customFormat="1" x14ac:dyDescent="0.25">
      <c r="A1836" s="2">
        <v>860</v>
      </c>
      <c r="B1836" s="3" t="s">
        <v>23</v>
      </c>
      <c r="C1836" s="3">
        <v>647</v>
      </c>
      <c r="D1836" s="3">
        <v>1</v>
      </c>
      <c r="E1836" s="3" t="s">
        <v>24</v>
      </c>
      <c r="F1836" s="3" t="s">
        <v>25</v>
      </c>
      <c r="G1836" s="3" t="str">
        <f>"2025-11-08 15:37:54.051"</f>
        <v>2025-11-08 15:37:54.051</v>
      </c>
      <c r="H1836" s="3" t="s">
        <v>21</v>
      </c>
    </row>
    <row r="1837" spans="1:10" s="3" customFormat="1" x14ac:dyDescent="0.25">
      <c r="A1837" s="2">
        <v>861</v>
      </c>
      <c r="B1837" s="3" t="s">
        <v>26</v>
      </c>
      <c r="C1837" s="3">
        <v>647</v>
      </c>
      <c r="D1837" s="3">
        <v>1</v>
      </c>
      <c r="E1837" s="3" t="s">
        <v>24</v>
      </c>
      <c r="F1837" s="3" t="s">
        <v>25</v>
      </c>
      <c r="G1837" s="3" t="str">
        <f>"2025-11-08 15:37:52.551"</f>
        <v>2025-11-08 15:37:52.551</v>
      </c>
      <c r="H1837" s="3" t="s">
        <v>21</v>
      </c>
      <c r="I1837" s="3">
        <v>27.88</v>
      </c>
      <c r="J1837" s="3" t="s">
        <v>27</v>
      </c>
    </row>
    <row r="1838" spans="1:10" x14ac:dyDescent="0.25">
      <c r="A1838" s="1">
        <v>862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"2025-11-08 13:58:41.869"</f>
        <v>2025-11-08 13:58:41.869</v>
      </c>
      <c r="H1838" t="s">
        <v>21</v>
      </c>
    </row>
    <row r="1839" spans="1:10" x14ac:dyDescent="0.25">
      <c r="A1839" s="1">
        <v>865</v>
      </c>
      <c r="B1839" t="s">
        <v>23</v>
      </c>
      <c r="C1839">
        <v>635</v>
      </c>
      <c r="D1839">
        <v>1</v>
      </c>
      <c r="E1839" t="s">
        <v>31</v>
      </c>
      <c r="F1839" t="s">
        <v>32</v>
      </c>
      <c r="G1839" t="str">
        <f>"2025-11-06 23:25:33.470"</f>
        <v>2025-11-06 23:25:33.470</v>
      </c>
      <c r="H1839" t="s">
        <v>21</v>
      </c>
    </row>
    <row r="1840" spans="1:10" x14ac:dyDescent="0.25">
      <c r="A1840" s="1">
        <v>866</v>
      </c>
      <c r="B1840" t="s">
        <v>26</v>
      </c>
      <c r="C1840">
        <v>635</v>
      </c>
      <c r="D1840">
        <v>1</v>
      </c>
      <c r="E1840" t="s">
        <v>31</v>
      </c>
      <c r="F1840" t="s">
        <v>32</v>
      </c>
      <c r="G1840" t="str">
        <f>"2025-11-06 23:21:20.970"</f>
        <v>2025-11-06 23:21:20.970</v>
      </c>
      <c r="H1840" t="s">
        <v>21</v>
      </c>
      <c r="I1840">
        <v>0.22</v>
      </c>
      <c r="J1840" t="s">
        <v>34</v>
      </c>
    </row>
    <row r="1841" spans="1:10" x14ac:dyDescent="0.25">
      <c r="A1841" s="1">
        <v>867</v>
      </c>
      <c r="B1841" t="s">
        <v>23</v>
      </c>
      <c r="C1841">
        <v>635</v>
      </c>
      <c r="D1841">
        <v>1</v>
      </c>
      <c r="E1841" t="s">
        <v>31</v>
      </c>
      <c r="F1841" t="s">
        <v>32</v>
      </c>
      <c r="G1841" t="str">
        <f>"2025-11-06 14:58:43.570"</f>
        <v>2025-11-06 14:58:43.570</v>
      </c>
      <c r="H1841" t="s">
        <v>21</v>
      </c>
    </row>
    <row r="1842" spans="1:10" x14ac:dyDescent="0.25">
      <c r="A1842" s="1">
        <v>868</v>
      </c>
      <c r="B1842" t="s">
        <v>26</v>
      </c>
      <c r="C1842">
        <v>635</v>
      </c>
      <c r="D1842">
        <v>1</v>
      </c>
      <c r="E1842" t="s">
        <v>31</v>
      </c>
      <c r="F1842" t="s">
        <v>32</v>
      </c>
      <c r="G1842" t="str">
        <f>"2025-11-06 14:55:46.070"</f>
        <v>2025-11-06 14:55:46.070</v>
      </c>
      <c r="H1842" t="s">
        <v>21</v>
      </c>
      <c r="I1842">
        <v>0</v>
      </c>
      <c r="J1842" t="s">
        <v>34</v>
      </c>
    </row>
    <row r="1843" spans="1:10" x14ac:dyDescent="0.25">
      <c r="A1843" s="1">
        <v>869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"2025-11-06 12:30:07.040"</f>
        <v>2025-11-06 12:30:07.040</v>
      </c>
      <c r="H1843" t="s">
        <v>21</v>
      </c>
      <c r="I1843">
        <v>0</v>
      </c>
      <c r="J1843" t="s">
        <v>22</v>
      </c>
    </row>
    <row r="1844" spans="1:10" s="3" customFormat="1" x14ac:dyDescent="0.25">
      <c r="A1844" s="2">
        <v>872</v>
      </c>
      <c r="B1844" s="3" t="s">
        <v>23</v>
      </c>
      <c r="C1844" s="3">
        <v>647</v>
      </c>
      <c r="D1844" s="3">
        <v>1</v>
      </c>
      <c r="E1844" s="3" t="s">
        <v>24</v>
      </c>
      <c r="F1844" s="3" t="s">
        <v>25</v>
      </c>
      <c r="G1844" s="3" t="str">
        <f>"2025-11-05 18:10:07.427"</f>
        <v>2025-11-05 18:10:07.427</v>
      </c>
      <c r="H1844" s="3" t="s">
        <v>21</v>
      </c>
    </row>
    <row r="1845" spans="1:10" s="3" customFormat="1" x14ac:dyDescent="0.25">
      <c r="A1845" s="2">
        <v>873</v>
      </c>
      <c r="B1845" s="3" t="s">
        <v>26</v>
      </c>
      <c r="C1845" s="3">
        <v>647</v>
      </c>
      <c r="D1845" s="3">
        <v>1</v>
      </c>
      <c r="E1845" s="3" t="s">
        <v>24</v>
      </c>
      <c r="F1845" s="3" t="s">
        <v>25</v>
      </c>
      <c r="G1845" s="3" t="str">
        <f>"2025-11-05 18:09:57.727"</f>
        <v>2025-11-05 18:09:57.727</v>
      </c>
      <c r="H1845" s="3" t="s">
        <v>21</v>
      </c>
      <c r="I1845" s="3">
        <v>8.93</v>
      </c>
      <c r="J1845" s="3" t="s">
        <v>27</v>
      </c>
    </row>
    <row r="1846" spans="1:10" x14ac:dyDescent="0.25">
      <c r="A1846" s="1">
        <v>874</v>
      </c>
      <c r="B1846" t="s">
        <v>23</v>
      </c>
      <c r="C1846">
        <v>635</v>
      </c>
      <c r="D1846">
        <v>1</v>
      </c>
      <c r="E1846" t="s">
        <v>31</v>
      </c>
      <c r="F1846" t="s">
        <v>32</v>
      </c>
      <c r="G1846" t="str">
        <f>"2025-11-04 16:27:29.027"</f>
        <v>2025-11-04 16:27:29.027</v>
      </c>
      <c r="H1846" t="s">
        <v>21</v>
      </c>
    </row>
    <row r="1847" spans="1:10" x14ac:dyDescent="0.25">
      <c r="A1847" s="1">
        <v>875</v>
      </c>
      <c r="B1847" t="s">
        <v>26</v>
      </c>
      <c r="C1847">
        <v>635</v>
      </c>
      <c r="D1847">
        <v>1</v>
      </c>
      <c r="E1847" t="s">
        <v>31</v>
      </c>
      <c r="F1847" t="s">
        <v>32</v>
      </c>
      <c r="G1847" t="str">
        <f>"2025-11-04 16:22:53.027"</f>
        <v>2025-11-04 16:22:53.027</v>
      </c>
      <c r="H1847" t="s">
        <v>21</v>
      </c>
      <c r="I1847">
        <v>2.17</v>
      </c>
      <c r="J1847" t="s">
        <v>27</v>
      </c>
    </row>
    <row r="1848" spans="1:10" x14ac:dyDescent="0.25">
      <c r="A1848" s="1">
        <v>876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"2025-11-04 13:02:26.850"</f>
        <v>2025-11-04 13:02:26.850</v>
      </c>
      <c r="H1848" t="s">
        <v>21</v>
      </c>
      <c r="I1848">
        <v>0</v>
      </c>
      <c r="J1848" t="s">
        <v>22</v>
      </c>
    </row>
    <row r="1849" spans="1:10" x14ac:dyDescent="0.25">
      <c r="A1849" s="1">
        <v>877</v>
      </c>
      <c r="B1849" t="s">
        <v>23</v>
      </c>
      <c r="C1849">
        <v>635</v>
      </c>
      <c r="D1849">
        <v>1</v>
      </c>
      <c r="E1849" t="s">
        <v>31</v>
      </c>
      <c r="F1849" t="s">
        <v>32</v>
      </c>
      <c r="G1849" t="str">
        <f>"2025-11-04 03:53:31.678"</f>
        <v>2025-11-04 03:53:31.678</v>
      </c>
      <c r="H1849" t="s">
        <v>21</v>
      </c>
    </row>
    <row r="1850" spans="1:10" x14ac:dyDescent="0.25">
      <c r="A1850" s="1">
        <v>878</v>
      </c>
      <c r="B1850" t="s">
        <v>26</v>
      </c>
      <c r="C1850">
        <v>635</v>
      </c>
      <c r="D1850">
        <v>1</v>
      </c>
      <c r="E1850" t="s">
        <v>31</v>
      </c>
      <c r="F1850" t="s">
        <v>32</v>
      </c>
      <c r="G1850" t="str">
        <f>"2025-11-04 03:50:13.679"</f>
        <v>2025-11-04 03:50:13.679</v>
      </c>
      <c r="H1850" t="s">
        <v>21</v>
      </c>
      <c r="I1850">
        <v>7.77</v>
      </c>
      <c r="J1850" t="s">
        <v>33</v>
      </c>
    </row>
    <row r="1851" spans="1:10" x14ac:dyDescent="0.25">
      <c r="A1851" s="1">
        <v>879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"2025-11-02 00:28:15.990"</f>
        <v>2025-11-02 00:28:15.990</v>
      </c>
      <c r="H1851" t="s">
        <v>21</v>
      </c>
    </row>
    <row r="1852" spans="1:10" x14ac:dyDescent="0.25">
      <c r="A1852" s="1">
        <v>880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"2025-11-01 22:41:56.842"</f>
        <v>2025-11-01 22:41:56.842</v>
      </c>
      <c r="H1852" t="s">
        <v>21</v>
      </c>
    </row>
    <row r="1853" spans="1:10" x14ac:dyDescent="0.25">
      <c r="A1853" s="1">
        <v>881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"2025-11-01 22:28:58.837"</f>
        <v>2025-11-01 22:28:58.837</v>
      </c>
      <c r="H1853" t="s">
        <v>21</v>
      </c>
    </row>
    <row r="1854" spans="1:10" x14ac:dyDescent="0.25">
      <c r="A1854" s="1">
        <v>882</v>
      </c>
      <c r="B1854" t="s">
        <v>19</v>
      </c>
      <c r="C1854">
        <v>706</v>
      </c>
      <c r="D1854">
        <v>2</v>
      </c>
      <c r="E1854" t="s">
        <v>28</v>
      </c>
      <c r="F1854" t="s">
        <v>39</v>
      </c>
      <c r="G1854" t="str">
        <f>"2025-11-01 22:27:30.258"</f>
        <v>2025-11-01 22:27:30.258</v>
      </c>
      <c r="H1854" t="s">
        <v>21</v>
      </c>
      <c r="I1854">
        <v>0</v>
      </c>
      <c r="J1854" t="s">
        <v>30</v>
      </c>
    </row>
    <row r="1855" spans="1:10" x14ac:dyDescent="0.25">
      <c r="A1855" s="1">
        <v>883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"2025-11-01 22:09:37.858"</f>
        <v>2025-11-01 22:09:37.858</v>
      </c>
      <c r="H1855" t="s">
        <v>21</v>
      </c>
      <c r="I1855">
        <v>0</v>
      </c>
      <c r="J1855" t="s">
        <v>22</v>
      </c>
    </row>
    <row r="1856" spans="1:10" x14ac:dyDescent="0.25">
      <c r="A1856" s="1">
        <v>884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"2025-11-01 20:42:01.850"</f>
        <v>2025-11-01 20:42:01.850</v>
      </c>
      <c r="H1856" t="s">
        <v>21</v>
      </c>
    </row>
    <row r="1857" spans="1:10" x14ac:dyDescent="0.25">
      <c r="A1857" s="1">
        <v>885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"2025-11-01 20:03:43.835"</f>
        <v>2025-11-01 20:03:43.835</v>
      </c>
      <c r="H1857" t="s">
        <v>21</v>
      </c>
    </row>
    <row r="1858" spans="1:10" x14ac:dyDescent="0.25">
      <c r="A1858" s="1">
        <v>886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"2025-11-01 18:23:18.840"</f>
        <v>2025-11-01 18:23:18.840</v>
      </c>
      <c r="H1858" t="s">
        <v>21</v>
      </c>
    </row>
    <row r="1859" spans="1:10" x14ac:dyDescent="0.25">
      <c r="A1859" s="1">
        <v>887</v>
      </c>
      <c r="B1859" t="s">
        <v>23</v>
      </c>
      <c r="C1859">
        <v>635</v>
      </c>
      <c r="D1859">
        <v>1</v>
      </c>
      <c r="E1859" t="s">
        <v>31</v>
      </c>
      <c r="F1859" t="s">
        <v>32</v>
      </c>
      <c r="G1859" t="str">
        <f>"2025-11-01 16:06:26.157"</f>
        <v>2025-11-01 16:06:26.157</v>
      </c>
      <c r="H1859" t="s">
        <v>21</v>
      </c>
    </row>
    <row r="1860" spans="1:10" x14ac:dyDescent="0.25">
      <c r="A1860" s="1">
        <v>888</v>
      </c>
      <c r="B1860" t="s">
        <v>26</v>
      </c>
      <c r="C1860">
        <v>635</v>
      </c>
      <c r="D1860">
        <v>1</v>
      </c>
      <c r="E1860" t="s">
        <v>31</v>
      </c>
      <c r="F1860" t="s">
        <v>32</v>
      </c>
      <c r="G1860" t="str">
        <f>"2025-11-01 15:53:13.257"</f>
        <v>2025-11-01 15:53:13.257</v>
      </c>
      <c r="H1860" t="s">
        <v>21</v>
      </c>
      <c r="I1860">
        <v>1.87</v>
      </c>
      <c r="J1860" t="s">
        <v>33</v>
      </c>
    </row>
    <row r="1861" spans="1:10" x14ac:dyDescent="0.25">
      <c r="A1861" s="1">
        <v>889</v>
      </c>
      <c r="B1861" t="s">
        <v>23</v>
      </c>
      <c r="C1861">
        <v>635</v>
      </c>
      <c r="D1861">
        <v>1</v>
      </c>
      <c r="E1861" t="s">
        <v>31</v>
      </c>
      <c r="F1861" t="s">
        <v>32</v>
      </c>
      <c r="G1861" t="str">
        <f>"2025-11-01 14:45:22.357"</f>
        <v>2025-11-01 14:45:22.357</v>
      </c>
      <c r="H1861" t="s">
        <v>21</v>
      </c>
    </row>
    <row r="1862" spans="1:10" x14ac:dyDescent="0.25">
      <c r="A1862" s="1">
        <v>890</v>
      </c>
      <c r="B1862" t="s">
        <v>26</v>
      </c>
      <c r="C1862">
        <v>635</v>
      </c>
      <c r="D1862">
        <v>1</v>
      </c>
      <c r="E1862" t="s">
        <v>31</v>
      </c>
      <c r="F1862" t="s">
        <v>32</v>
      </c>
      <c r="G1862" t="str">
        <f>"2025-11-01 14:41:05.858"</f>
        <v>2025-11-01 14:41:05.858</v>
      </c>
      <c r="H1862" t="s">
        <v>21</v>
      </c>
      <c r="I1862">
        <v>2.95</v>
      </c>
      <c r="J1862" t="s">
        <v>33</v>
      </c>
    </row>
    <row r="1863" spans="1:10" x14ac:dyDescent="0.25">
      <c r="A1863" s="1">
        <v>891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"2025-11-01 14:06:52.869"</f>
        <v>2025-11-01 14:06:52.869</v>
      </c>
      <c r="H1863" t="s">
        <v>21</v>
      </c>
    </row>
    <row r="1864" spans="1:10" x14ac:dyDescent="0.25">
      <c r="A1864" s="1">
        <v>892</v>
      </c>
      <c r="B1864" t="s">
        <v>23</v>
      </c>
      <c r="C1864">
        <v>635</v>
      </c>
      <c r="D1864">
        <v>1</v>
      </c>
      <c r="E1864" t="s">
        <v>31</v>
      </c>
      <c r="F1864" t="s">
        <v>32</v>
      </c>
      <c r="G1864" t="str">
        <f>"2025-11-01 06:16:53.270"</f>
        <v>2025-11-01 06:16:53.270</v>
      </c>
      <c r="H1864" t="s">
        <v>21</v>
      </c>
    </row>
    <row r="1865" spans="1:10" x14ac:dyDescent="0.25">
      <c r="A1865" s="1">
        <v>893</v>
      </c>
      <c r="B1865" t="s">
        <v>26</v>
      </c>
      <c r="C1865">
        <v>635</v>
      </c>
      <c r="D1865">
        <v>1</v>
      </c>
      <c r="E1865" t="s">
        <v>31</v>
      </c>
      <c r="F1865" t="s">
        <v>32</v>
      </c>
      <c r="G1865" t="str">
        <f>"2025-11-01 06:11:55.270"</f>
        <v>2025-11-01 06:11:55.270</v>
      </c>
      <c r="H1865" t="s">
        <v>21</v>
      </c>
      <c r="I1865">
        <v>4.1100000000000003</v>
      </c>
      <c r="J1865" t="s">
        <v>34</v>
      </c>
    </row>
    <row r="1866" spans="1:10" x14ac:dyDescent="0.25">
      <c r="A1866" s="1">
        <v>894</v>
      </c>
      <c r="B1866" t="s">
        <v>44</v>
      </c>
      <c r="C1866">
        <v>33</v>
      </c>
      <c r="D1866">
        <v>1</v>
      </c>
      <c r="E1866" t="s">
        <v>45</v>
      </c>
      <c r="F1866" t="s">
        <v>46</v>
      </c>
      <c r="G1866" t="str">
        <f>"2025-11-01 04:20:00.922"</f>
        <v>2025-11-01 04:20:00.922</v>
      </c>
      <c r="H1866" t="s">
        <v>47</v>
      </c>
    </row>
    <row r="1867" spans="1:10" x14ac:dyDescent="0.25">
      <c r="A1867" s="1">
        <v>895</v>
      </c>
      <c r="B1867" t="s">
        <v>38</v>
      </c>
      <c r="C1867">
        <v>33</v>
      </c>
      <c r="D1867">
        <v>1</v>
      </c>
      <c r="E1867" t="s">
        <v>45</v>
      </c>
      <c r="F1867" t="s">
        <v>46</v>
      </c>
      <c r="G1867" t="str">
        <f>"2025-11-01 04:19:59.242"</f>
        <v>2025-11-01 04:19:59.242</v>
      </c>
      <c r="H1867" t="s">
        <v>47</v>
      </c>
      <c r="I1867">
        <v>3.42</v>
      </c>
      <c r="J1867" t="s">
        <v>34</v>
      </c>
    </row>
    <row r="1868" spans="1:10" s="3" customFormat="1" x14ac:dyDescent="0.25">
      <c r="A1868" s="2">
        <v>896</v>
      </c>
      <c r="B1868" s="3" t="s">
        <v>23</v>
      </c>
      <c r="C1868" s="3">
        <v>647</v>
      </c>
      <c r="D1868" s="3">
        <v>1</v>
      </c>
      <c r="E1868" s="3" t="s">
        <v>24</v>
      </c>
      <c r="F1868" s="3" t="s">
        <v>25</v>
      </c>
      <c r="G1868" s="3" t="str">
        <f>"2025-10-31 23:02:36.270"</f>
        <v>2025-10-31 23:02:36.270</v>
      </c>
      <c r="H1868" s="3" t="s">
        <v>21</v>
      </c>
    </row>
    <row r="1869" spans="1:10" s="3" customFormat="1" x14ac:dyDescent="0.25">
      <c r="A1869" s="2">
        <v>897</v>
      </c>
      <c r="B1869" s="3" t="s">
        <v>26</v>
      </c>
      <c r="C1869" s="3">
        <v>647</v>
      </c>
      <c r="D1869" s="3">
        <v>1</v>
      </c>
      <c r="E1869" s="3" t="s">
        <v>24</v>
      </c>
      <c r="F1869" s="3" t="s">
        <v>25</v>
      </c>
      <c r="G1869" s="3" t="str">
        <f>"2025-10-31 23:02:17.971"</f>
        <v>2025-10-31 23:02:17.971</v>
      </c>
      <c r="H1869" s="3" t="s">
        <v>21</v>
      </c>
      <c r="I1869" s="3">
        <v>11.03</v>
      </c>
      <c r="J1869" s="3" t="s">
        <v>27</v>
      </c>
    </row>
    <row r="1870" spans="1:10" x14ac:dyDescent="0.25">
      <c r="A1870" s="1">
        <v>898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"2025-10-31 21:33:37.883"</f>
        <v>2025-10-31 21:33:37.883</v>
      </c>
      <c r="H1870" t="s">
        <v>21</v>
      </c>
    </row>
    <row r="1871" spans="1:10" x14ac:dyDescent="0.25">
      <c r="A1871" s="1">
        <v>899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"2025-10-31 01:50:27.881"</f>
        <v>2025-10-31 01:50:27.881</v>
      </c>
      <c r="H1871" t="s">
        <v>21</v>
      </c>
    </row>
    <row r="1872" spans="1:10" s="3" customFormat="1" x14ac:dyDescent="0.25">
      <c r="A1872" s="2">
        <v>900</v>
      </c>
      <c r="B1872" s="3" t="s">
        <v>23</v>
      </c>
      <c r="C1872" s="3">
        <v>647</v>
      </c>
      <c r="D1872" s="3">
        <v>1</v>
      </c>
      <c r="E1872" s="3" t="s">
        <v>24</v>
      </c>
      <c r="F1872" s="3" t="s">
        <v>25</v>
      </c>
      <c r="G1872" s="3" t="str">
        <f>"2025-10-30 03:24:21.254"</f>
        <v>2025-10-30 03:24:21.254</v>
      </c>
      <c r="H1872" s="3" t="s">
        <v>21</v>
      </c>
    </row>
    <row r="1873" spans="1:10" s="3" customFormat="1" x14ac:dyDescent="0.25">
      <c r="A1873" s="2">
        <v>901</v>
      </c>
      <c r="B1873" s="3" t="s">
        <v>26</v>
      </c>
      <c r="C1873" s="3">
        <v>647</v>
      </c>
      <c r="D1873" s="3">
        <v>1</v>
      </c>
      <c r="E1873" s="3" t="s">
        <v>24</v>
      </c>
      <c r="F1873" s="3" t="s">
        <v>25</v>
      </c>
      <c r="G1873" s="3" t="str">
        <f>"2025-10-30 03:24:17.555"</f>
        <v>2025-10-30 03:24:17.555</v>
      </c>
      <c r="H1873" s="3" t="s">
        <v>21</v>
      </c>
      <c r="I1873" s="3">
        <v>18.510000000000002</v>
      </c>
      <c r="J1873" s="3" t="s">
        <v>27</v>
      </c>
    </row>
    <row r="1874" spans="1:10" x14ac:dyDescent="0.25">
      <c r="A1874" s="1">
        <v>902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"2025-10-30 01:54:42.867"</f>
        <v>2025-10-30 01:54:42.867</v>
      </c>
      <c r="H1874" t="s">
        <v>21</v>
      </c>
    </row>
    <row r="1875" spans="1:10" x14ac:dyDescent="0.25">
      <c r="A1875" s="1">
        <v>904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"2025-10-29 02:38:07.859"</f>
        <v>2025-10-29 02:38:07.859</v>
      </c>
      <c r="H1875" t="s">
        <v>21</v>
      </c>
      <c r="I1875">
        <v>0</v>
      </c>
      <c r="J1875" t="s">
        <v>22</v>
      </c>
    </row>
    <row r="1876" spans="1:10" x14ac:dyDescent="0.25">
      <c r="A1876" s="1">
        <v>905</v>
      </c>
      <c r="B1876" t="s">
        <v>19</v>
      </c>
      <c r="C1876">
        <v>706</v>
      </c>
      <c r="D1876">
        <v>2</v>
      </c>
      <c r="E1876" t="s">
        <v>28</v>
      </c>
      <c r="F1876" t="s">
        <v>39</v>
      </c>
      <c r="G1876" t="str">
        <f>"2025-10-29 02:08:16.491"</f>
        <v>2025-10-29 02:08:16.491</v>
      </c>
      <c r="H1876" t="s">
        <v>21</v>
      </c>
      <c r="I1876">
        <v>0</v>
      </c>
      <c r="J1876" t="s">
        <v>30</v>
      </c>
    </row>
    <row r="1877" spans="1:10" x14ac:dyDescent="0.25">
      <c r="A1877" s="1">
        <v>906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"2025-10-29 02:08:01.831"</f>
        <v>2025-10-29 02:08:01.831</v>
      </c>
      <c r="H1877" t="s">
        <v>21</v>
      </c>
    </row>
    <row r="1878" spans="1:10" x14ac:dyDescent="0.25">
      <c r="A1878" s="1">
        <v>907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"2025-10-29 02:00:49.894"</f>
        <v>2025-10-29 02:00:49.894</v>
      </c>
      <c r="H1878" t="s">
        <v>21</v>
      </c>
      <c r="I1878">
        <v>0</v>
      </c>
      <c r="J1878" t="s">
        <v>22</v>
      </c>
    </row>
    <row r="1879" spans="1:10" x14ac:dyDescent="0.25">
      <c r="A1879" s="1">
        <v>908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"2025-10-29 01:44:27.861"</f>
        <v>2025-10-29 01:44:27.861</v>
      </c>
      <c r="H1879" t="s">
        <v>21</v>
      </c>
      <c r="I1879">
        <v>0</v>
      </c>
      <c r="J1879" t="s">
        <v>22</v>
      </c>
    </row>
    <row r="1880" spans="1:10" x14ac:dyDescent="0.25">
      <c r="A1880" s="1">
        <v>909</v>
      </c>
      <c r="B1880" t="s">
        <v>44</v>
      </c>
      <c r="C1880">
        <v>33</v>
      </c>
      <c r="D1880">
        <v>1</v>
      </c>
      <c r="E1880" t="s">
        <v>45</v>
      </c>
      <c r="F1880" t="s">
        <v>46</v>
      </c>
      <c r="G1880" t="str">
        <f>"2025-10-29 00:05:55.945"</f>
        <v>2025-10-29 00:05:55.945</v>
      </c>
      <c r="H1880" t="s">
        <v>47</v>
      </c>
    </row>
    <row r="1881" spans="1:10" x14ac:dyDescent="0.25">
      <c r="A1881" s="1">
        <v>910</v>
      </c>
      <c r="B1881" t="s">
        <v>38</v>
      </c>
      <c r="C1881">
        <v>33</v>
      </c>
      <c r="D1881">
        <v>1</v>
      </c>
      <c r="E1881" t="s">
        <v>45</v>
      </c>
      <c r="F1881" t="s">
        <v>46</v>
      </c>
      <c r="G1881" t="str">
        <f>"2025-10-29 00:05:23.544"</f>
        <v>2025-10-29 00:05:23.544</v>
      </c>
      <c r="H1881" t="s">
        <v>47</v>
      </c>
      <c r="I1881">
        <v>9.4700000000000006</v>
      </c>
      <c r="J1881" t="s">
        <v>33</v>
      </c>
    </row>
    <row r="1882" spans="1:10" x14ac:dyDescent="0.25">
      <c r="A1882" s="1">
        <v>911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"2025-10-28 12:15:16.054"</f>
        <v>2025-10-28 12:15:16.054</v>
      </c>
      <c r="H1882" t="s">
        <v>21</v>
      </c>
      <c r="I1882">
        <v>0</v>
      </c>
      <c r="J1882" t="s">
        <v>22</v>
      </c>
    </row>
    <row r="1883" spans="1:10" x14ac:dyDescent="0.25">
      <c r="A1883" s="1">
        <v>912</v>
      </c>
      <c r="B1883" t="s">
        <v>19</v>
      </c>
      <c r="C1883">
        <v>700</v>
      </c>
      <c r="D1883">
        <v>0</v>
      </c>
      <c r="E1883" t="s">
        <v>20</v>
      </c>
      <c r="F1883" t="s">
        <v>20</v>
      </c>
      <c r="G1883" t="str">
        <f>"2025-10-28 01:20:52.946"</f>
        <v>2025-10-28 01:20:52.946</v>
      </c>
      <c r="H1883" t="s">
        <v>21</v>
      </c>
    </row>
    <row r="1884" spans="1:10" x14ac:dyDescent="0.25">
      <c r="A1884" s="1">
        <v>913</v>
      </c>
      <c r="B1884" t="s">
        <v>19</v>
      </c>
      <c r="C1884">
        <v>700</v>
      </c>
      <c r="D1884">
        <v>0</v>
      </c>
      <c r="E1884" t="s">
        <v>20</v>
      </c>
      <c r="F1884" t="s">
        <v>20</v>
      </c>
      <c r="G1884" t="str">
        <f>"2025-10-28 01:18:15.901"</f>
        <v>2025-10-28 01:18:15.901</v>
      </c>
      <c r="H1884" t="s">
        <v>21</v>
      </c>
      <c r="I1884">
        <v>0</v>
      </c>
      <c r="J1884" t="s">
        <v>22</v>
      </c>
    </row>
    <row r="1885" spans="1:10" x14ac:dyDescent="0.25">
      <c r="A1885" s="1">
        <v>914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"2025-10-27 12:22:39.857"</f>
        <v>2025-10-27 12:22:39.857</v>
      </c>
      <c r="H1885" t="s">
        <v>21</v>
      </c>
      <c r="I1885">
        <v>0</v>
      </c>
      <c r="J1885" t="s">
        <v>22</v>
      </c>
    </row>
    <row r="1886" spans="1:10" x14ac:dyDescent="0.25">
      <c r="A1886" s="1">
        <v>915</v>
      </c>
      <c r="B1886" t="s">
        <v>19</v>
      </c>
      <c r="C1886">
        <v>706</v>
      </c>
      <c r="D1886">
        <v>2</v>
      </c>
      <c r="E1886" t="s">
        <v>28</v>
      </c>
      <c r="F1886" t="s">
        <v>39</v>
      </c>
      <c r="G1886" t="str">
        <f>"2025-10-27 01:12:38.905"</f>
        <v>2025-10-27 01:12:38.905</v>
      </c>
      <c r="H1886" t="s">
        <v>21</v>
      </c>
      <c r="I1886">
        <v>0</v>
      </c>
      <c r="J1886" t="s">
        <v>30</v>
      </c>
    </row>
    <row r="1887" spans="1:10" x14ac:dyDescent="0.25">
      <c r="A1887" s="1">
        <v>916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"2025-10-27 01:11:50.855"</f>
        <v>2025-10-27 01:11:50.855</v>
      </c>
      <c r="H1887" t="s">
        <v>21</v>
      </c>
      <c r="I1887">
        <v>0</v>
      </c>
      <c r="J1887" t="s">
        <v>22</v>
      </c>
    </row>
    <row r="1888" spans="1:10" x14ac:dyDescent="0.25">
      <c r="A1888" s="1">
        <v>917</v>
      </c>
      <c r="B1888" t="s">
        <v>19</v>
      </c>
      <c r="C1888">
        <v>706</v>
      </c>
      <c r="D1888">
        <v>2</v>
      </c>
      <c r="E1888" t="s">
        <v>28</v>
      </c>
      <c r="F1888" t="s">
        <v>39</v>
      </c>
      <c r="G1888" t="str">
        <f>"2025-10-26 19:46:32.411"</f>
        <v>2025-10-26 19:46:32.411</v>
      </c>
      <c r="H1888" t="s">
        <v>21</v>
      </c>
      <c r="I1888">
        <v>0</v>
      </c>
      <c r="J1888" t="s">
        <v>30</v>
      </c>
    </row>
    <row r="1889" spans="1:10" x14ac:dyDescent="0.25">
      <c r="A1889" s="1">
        <v>918</v>
      </c>
      <c r="B1889" t="s">
        <v>19</v>
      </c>
      <c r="C1889">
        <v>706</v>
      </c>
      <c r="D1889">
        <v>3</v>
      </c>
      <c r="E1889" t="s">
        <v>28</v>
      </c>
      <c r="F1889" t="s">
        <v>43</v>
      </c>
      <c r="G1889" t="str">
        <f>"2025-10-26 19:46:18.991"</f>
        <v>2025-10-26 19:46:18.991</v>
      </c>
      <c r="H1889" t="s">
        <v>21</v>
      </c>
      <c r="I1889">
        <v>0</v>
      </c>
      <c r="J1889" t="s">
        <v>30</v>
      </c>
    </row>
    <row r="1890" spans="1:10" x14ac:dyDescent="0.25">
      <c r="A1890" s="1">
        <v>919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"2025-10-26 14:07:39.051"</f>
        <v>2025-10-26 14:07:39.051</v>
      </c>
      <c r="H1890" t="s">
        <v>21</v>
      </c>
      <c r="I1890">
        <v>0</v>
      </c>
      <c r="J1890" t="s">
        <v>22</v>
      </c>
    </row>
    <row r="1891" spans="1:10" x14ac:dyDescent="0.25">
      <c r="A1891" s="1">
        <v>920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"2025-10-26 02:06:48.912"</f>
        <v>2025-10-26 02:06:48.912</v>
      </c>
      <c r="H1891" t="s">
        <v>21</v>
      </c>
      <c r="I1891">
        <v>0</v>
      </c>
      <c r="J1891" t="s">
        <v>22</v>
      </c>
    </row>
    <row r="1892" spans="1:10" x14ac:dyDescent="0.25">
      <c r="A1892" s="1">
        <v>921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"2025-10-26 02:01:43.990"</f>
        <v>2025-10-26 02:01:43.990</v>
      </c>
      <c r="H1892" t="s">
        <v>21</v>
      </c>
    </row>
    <row r="1893" spans="1:10" x14ac:dyDescent="0.25">
      <c r="A1893" s="1">
        <v>922</v>
      </c>
      <c r="B1893" t="s">
        <v>44</v>
      </c>
      <c r="C1893">
        <v>33</v>
      </c>
      <c r="D1893">
        <v>1</v>
      </c>
      <c r="E1893" t="s">
        <v>45</v>
      </c>
      <c r="F1893" t="s">
        <v>46</v>
      </c>
      <c r="G1893" t="str">
        <f>"2025-10-26 00:07:31.810"</f>
        <v>2025-10-26 00:07:31.810</v>
      </c>
      <c r="H1893" t="s">
        <v>47</v>
      </c>
    </row>
    <row r="1894" spans="1:10" x14ac:dyDescent="0.25">
      <c r="A1894" s="1">
        <v>923</v>
      </c>
      <c r="B1894" t="s">
        <v>38</v>
      </c>
      <c r="C1894">
        <v>33</v>
      </c>
      <c r="D1894">
        <v>1</v>
      </c>
      <c r="E1894" t="s">
        <v>45</v>
      </c>
      <c r="F1894" t="s">
        <v>46</v>
      </c>
      <c r="G1894" t="str">
        <f>"2025-10-26 00:06:49.461"</f>
        <v>2025-10-26 00:06:49.461</v>
      </c>
      <c r="H1894" t="s">
        <v>47</v>
      </c>
      <c r="I1894">
        <v>8.2899999999999991</v>
      </c>
      <c r="J1894" t="s">
        <v>33</v>
      </c>
    </row>
    <row r="1895" spans="1:10" x14ac:dyDescent="0.25">
      <c r="A1895" s="1">
        <v>924</v>
      </c>
      <c r="B1895" t="s">
        <v>44</v>
      </c>
      <c r="C1895">
        <v>33</v>
      </c>
      <c r="D1895">
        <v>1</v>
      </c>
      <c r="E1895" t="s">
        <v>45</v>
      </c>
      <c r="F1895" t="s">
        <v>46</v>
      </c>
      <c r="G1895" t="str">
        <f>"2025-10-25 21:53:18.363"</f>
        <v>2025-10-25 21:53:18.363</v>
      </c>
      <c r="H1895" t="s">
        <v>47</v>
      </c>
    </row>
    <row r="1896" spans="1:10" x14ac:dyDescent="0.25">
      <c r="A1896" s="1">
        <v>925</v>
      </c>
      <c r="B1896" t="s">
        <v>38</v>
      </c>
      <c r="C1896">
        <v>33</v>
      </c>
      <c r="D1896">
        <v>1</v>
      </c>
      <c r="E1896" t="s">
        <v>45</v>
      </c>
      <c r="F1896" t="s">
        <v>46</v>
      </c>
      <c r="G1896" t="str">
        <f>"2025-10-25 21:53:07.182"</f>
        <v>2025-10-25 21:53:07.182</v>
      </c>
      <c r="H1896" t="s">
        <v>47</v>
      </c>
      <c r="I1896">
        <v>9.1300000000000008</v>
      </c>
      <c r="J1896" t="s">
        <v>33</v>
      </c>
    </row>
    <row r="1897" spans="1:10" x14ac:dyDescent="0.25">
      <c r="A1897" s="1">
        <v>926</v>
      </c>
      <c r="B1897" t="s">
        <v>23</v>
      </c>
      <c r="C1897">
        <v>635</v>
      </c>
      <c r="D1897">
        <v>1</v>
      </c>
      <c r="E1897" t="s">
        <v>31</v>
      </c>
      <c r="F1897" t="s">
        <v>32</v>
      </c>
      <c r="G1897" t="str">
        <f>"2025-10-25 18:01:24.763"</f>
        <v>2025-10-25 18:01:24.763</v>
      </c>
      <c r="H1897" t="s">
        <v>21</v>
      </c>
    </row>
    <row r="1898" spans="1:10" x14ac:dyDescent="0.25">
      <c r="A1898" s="1">
        <v>927</v>
      </c>
      <c r="B1898" t="s">
        <v>26</v>
      </c>
      <c r="C1898">
        <v>635</v>
      </c>
      <c r="D1898">
        <v>1</v>
      </c>
      <c r="E1898" t="s">
        <v>31</v>
      </c>
      <c r="F1898" t="s">
        <v>32</v>
      </c>
      <c r="G1898" t="str">
        <f>"2025-10-25 17:40:20.363"</f>
        <v>2025-10-25 17:40:20.363</v>
      </c>
      <c r="H1898" t="s">
        <v>21</v>
      </c>
      <c r="I1898">
        <v>2.63</v>
      </c>
      <c r="J1898" t="s">
        <v>33</v>
      </c>
    </row>
    <row r="1899" spans="1:10" x14ac:dyDescent="0.25">
      <c r="A1899" s="1">
        <v>928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"2025-10-25 01:28:37.858"</f>
        <v>2025-10-25 01:28:37.858</v>
      </c>
      <c r="H1899" t="s">
        <v>21</v>
      </c>
    </row>
    <row r="1900" spans="1:10" x14ac:dyDescent="0.25">
      <c r="A1900" s="1">
        <v>929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"2025-10-24 22:37:50.985"</f>
        <v>2025-10-24 22:37:50.985</v>
      </c>
      <c r="H1900" t="s">
        <v>21</v>
      </c>
      <c r="I1900">
        <v>0</v>
      </c>
      <c r="J1900" t="s">
        <v>22</v>
      </c>
    </row>
    <row r="1901" spans="1:10" x14ac:dyDescent="0.25">
      <c r="A1901" s="1">
        <v>930</v>
      </c>
      <c r="B1901" t="s">
        <v>23</v>
      </c>
      <c r="C1901">
        <v>635</v>
      </c>
      <c r="D1901">
        <v>1</v>
      </c>
      <c r="E1901" t="s">
        <v>31</v>
      </c>
      <c r="F1901" t="s">
        <v>32</v>
      </c>
      <c r="G1901" t="str">
        <f>"2025-10-24 09:49:11.279"</f>
        <v>2025-10-24 09:49:11.279</v>
      </c>
      <c r="H1901" t="s">
        <v>21</v>
      </c>
    </row>
    <row r="1902" spans="1:10" x14ac:dyDescent="0.25">
      <c r="A1902" s="1">
        <v>931</v>
      </c>
      <c r="B1902" t="s">
        <v>26</v>
      </c>
      <c r="C1902">
        <v>635</v>
      </c>
      <c r="D1902">
        <v>1</v>
      </c>
      <c r="E1902" t="s">
        <v>31</v>
      </c>
      <c r="F1902" t="s">
        <v>32</v>
      </c>
      <c r="G1902" t="str">
        <f>"2025-10-24 09:44:54.779"</f>
        <v>2025-10-24 09:44:54.779</v>
      </c>
      <c r="H1902" t="s">
        <v>21</v>
      </c>
      <c r="I1902">
        <v>1.69</v>
      </c>
      <c r="J1902" t="s">
        <v>34</v>
      </c>
    </row>
    <row r="1903" spans="1:10" x14ac:dyDescent="0.25">
      <c r="A1903" s="1">
        <v>932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"2025-10-24 00:35:36.181"</f>
        <v>2025-10-24 00:35:36.181</v>
      </c>
      <c r="H1903" t="s">
        <v>21</v>
      </c>
    </row>
    <row r="1904" spans="1:10" x14ac:dyDescent="0.25">
      <c r="A1904" s="1">
        <v>933</v>
      </c>
      <c r="B1904" t="s">
        <v>19</v>
      </c>
      <c r="C1904">
        <v>706</v>
      </c>
      <c r="D1904">
        <v>4</v>
      </c>
      <c r="E1904" t="s">
        <v>28</v>
      </c>
      <c r="F1904" t="s">
        <v>29</v>
      </c>
      <c r="G1904" t="str">
        <f>"2025-10-23 22:53:23.012"</f>
        <v>2025-10-23 22:53:23.012</v>
      </c>
      <c r="H1904" t="s">
        <v>21</v>
      </c>
      <c r="I1904">
        <v>0</v>
      </c>
      <c r="J1904" t="s">
        <v>30</v>
      </c>
    </row>
    <row r="1905" spans="1:10" x14ac:dyDescent="0.25">
      <c r="A1905" s="1">
        <v>934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"2025-10-23 22:52:52.042"</f>
        <v>2025-10-23 22:52:52.042</v>
      </c>
      <c r="H1905" t="s">
        <v>21</v>
      </c>
      <c r="I1905">
        <v>0</v>
      </c>
      <c r="J1905" t="s">
        <v>22</v>
      </c>
    </row>
    <row r="1906" spans="1:10" s="3" customFormat="1" x14ac:dyDescent="0.25">
      <c r="A1906" s="2">
        <v>935</v>
      </c>
      <c r="B1906" s="3" t="s">
        <v>23</v>
      </c>
      <c r="C1906" s="3">
        <v>647</v>
      </c>
      <c r="D1906" s="3">
        <v>1</v>
      </c>
      <c r="E1906" s="3" t="s">
        <v>24</v>
      </c>
      <c r="F1906" s="3" t="s">
        <v>25</v>
      </c>
      <c r="G1906" s="3" t="str">
        <f>"2025-10-23 10:39:43.467"</f>
        <v>2025-10-23 10:39:43.467</v>
      </c>
      <c r="H1906" s="3" t="s">
        <v>21</v>
      </c>
    </row>
    <row r="1907" spans="1:10" s="3" customFormat="1" x14ac:dyDescent="0.25">
      <c r="A1907" s="2">
        <v>936</v>
      </c>
      <c r="B1907" s="3" t="s">
        <v>26</v>
      </c>
      <c r="C1907" s="3">
        <v>647</v>
      </c>
      <c r="D1907" s="3">
        <v>1</v>
      </c>
      <c r="E1907" s="3" t="s">
        <v>24</v>
      </c>
      <c r="F1907" s="3" t="s">
        <v>25</v>
      </c>
      <c r="G1907" s="3" t="str">
        <f>"2025-10-23 10:39:39.167"</f>
        <v>2025-10-23 10:39:39.167</v>
      </c>
      <c r="H1907" s="3" t="s">
        <v>21</v>
      </c>
      <c r="I1907" s="3">
        <v>27.59</v>
      </c>
      <c r="J1907" s="3" t="s">
        <v>27</v>
      </c>
    </row>
    <row r="1908" spans="1:10" x14ac:dyDescent="0.25">
      <c r="A1908" s="1">
        <v>937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"2025-10-23 01:55:13.864"</f>
        <v>2025-10-23 01:55:13.864</v>
      </c>
      <c r="H1908" t="s">
        <v>21</v>
      </c>
      <c r="I1908">
        <v>0</v>
      </c>
      <c r="J1908" t="s">
        <v>22</v>
      </c>
    </row>
    <row r="1909" spans="1:10" s="3" customFormat="1" x14ac:dyDescent="0.25">
      <c r="A1909" s="2">
        <v>938</v>
      </c>
      <c r="B1909" s="3" t="s">
        <v>23</v>
      </c>
      <c r="C1909" s="3">
        <v>647</v>
      </c>
      <c r="D1909" s="3">
        <v>1</v>
      </c>
      <c r="E1909" s="3" t="s">
        <v>24</v>
      </c>
      <c r="F1909" s="3" t="s">
        <v>25</v>
      </c>
      <c r="G1909" s="3" t="str">
        <f>"2025-10-22 23:07:11.439"</f>
        <v>2025-10-22 23:07:11.439</v>
      </c>
      <c r="H1909" s="3" t="s">
        <v>21</v>
      </c>
    </row>
    <row r="1910" spans="1:10" s="3" customFormat="1" x14ac:dyDescent="0.25">
      <c r="A1910" s="2">
        <v>939</v>
      </c>
      <c r="B1910" s="3" t="s">
        <v>26</v>
      </c>
      <c r="C1910" s="3">
        <v>647</v>
      </c>
      <c r="D1910" s="3">
        <v>1</v>
      </c>
      <c r="E1910" s="3" t="s">
        <v>24</v>
      </c>
      <c r="F1910" s="3" t="s">
        <v>25</v>
      </c>
      <c r="G1910" s="3" t="str">
        <f>"2025-10-22 23:07:03.939"</f>
        <v>2025-10-22 23:07:03.939</v>
      </c>
      <c r="H1910" s="3" t="s">
        <v>21</v>
      </c>
      <c r="I1910" s="3">
        <v>28.3</v>
      </c>
      <c r="J1910" s="3" t="s">
        <v>27</v>
      </c>
    </row>
    <row r="1911" spans="1:10" x14ac:dyDescent="0.25">
      <c r="A1911" s="1">
        <v>940</v>
      </c>
      <c r="B1911" t="s">
        <v>44</v>
      </c>
      <c r="C1911">
        <v>33</v>
      </c>
      <c r="D1911">
        <v>1</v>
      </c>
      <c r="E1911" t="s">
        <v>45</v>
      </c>
      <c r="F1911" t="s">
        <v>46</v>
      </c>
      <c r="G1911" t="str">
        <f>"2025-10-22 21:49:17.838"</f>
        <v>2025-10-22 21:49:17.838</v>
      </c>
      <c r="H1911" t="s">
        <v>47</v>
      </c>
    </row>
    <row r="1912" spans="1:10" x14ac:dyDescent="0.25">
      <c r="A1912" s="1">
        <v>941</v>
      </c>
      <c r="B1912" t="s">
        <v>38</v>
      </c>
      <c r="C1912">
        <v>33</v>
      </c>
      <c r="D1912">
        <v>1</v>
      </c>
      <c r="E1912" t="s">
        <v>45</v>
      </c>
      <c r="F1912" t="s">
        <v>46</v>
      </c>
      <c r="G1912" t="str">
        <f>"2025-10-22 21:49:03.057"</f>
        <v>2025-10-22 21:49:03.057</v>
      </c>
      <c r="H1912" t="s">
        <v>47</v>
      </c>
      <c r="I1912">
        <v>11.21</v>
      </c>
      <c r="J1912" t="s">
        <v>33</v>
      </c>
    </row>
    <row r="1913" spans="1:10" s="3" customFormat="1" x14ac:dyDescent="0.25">
      <c r="A1913" s="2">
        <v>942</v>
      </c>
      <c r="B1913" s="3" t="s">
        <v>23</v>
      </c>
      <c r="C1913" s="3">
        <v>647</v>
      </c>
      <c r="D1913" s="3">
        <v>1</v>
      </c>
      <c r="E1913" s="3" t="s">
        <v>24</v>
      </c>
      <c r="F1913" s="3" t="s">
        <v>25</v>
      </c>
      <c r="G1913" s="3" t="str">
        <f>"2025-10-22 21:09:00.739"</f>
        <v>2025-10-22 21:09:00.739</v>
      </c>
      <c r="H1913" s="3" t="s">
        <v>21</v>
      </c>
    </row>
    <row r="1914" spans="1:10" s="3" customFormat="1" x14ac:dyDescent="0.25">
      <c r="A1914" s="2">
        <v>943</v>
      </c>
      <c r="B1914" s="3" t="s">
        <v>26</v>
      </c>
      <c r="C1914" s="3">
        <v>647</v>
      </c>
      <c r="D1914" s="3">
        <v>1</v>
      </c>
      <c r="E1914" s="3" t="s">
        <v>24</v>
      </c>
      <c r="F1914" s="3" t="s">
        <v>25</v>
      </c>
      <c r="G1914" s="3" t="str">
        <f>"2025-10-22 21:08:57.239"</f>
        <v>2025-10-22 21:08:57.239</v>
      </c>
      <c r="H1914" s="3" t="s">
        <v>21</v>
      </c>
      <c r="I1914" s="3">
        <v>27.98</v>
      </c>
      <c r="J1914" s="3" t="s">
        <v>27</v>
      </c>
    </row>
    <row r="1915" spans="1:10" x14ac:dyDescent="0.25">
      <c r="A1915" s="1">
        <v>944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"2025-10-22 12:26:32.033"</f>
        <v>2025-10-22 12:26:32.033</v>
      </c>
      <c r="H1915" t="s">
        <v>21</v>
      </c>
    </row>
    <row r="1916" spans="1:10" x14ac:dyDescent="0.25">
      <c r="A1916" s="1">
        <v>945</v>
      </c>
      <c r="B1916" t="s">
        <v>44</v>
      </c>
      <c r="C1916">
        <v>625</v>
      </c>
      <c r="D1916">
        <v>1</v>
      </c>
      <c r="E1916" t="s">
        <v>72</v>
      </c>
      <c r="F1916" t="s">
        <v>32</v>
      </c>
      <c r="G1916" t="str">
        <f>"2025-10-22 04:19:06.978"</f>
        <v>2025-10-22 04:19:06.978</v>
      </c>
      <c r="H1916" t="s">
        <v>21</v>
      </c>
    </row>
    <row r="1917" spans="1:10" x14ac:dyDescent="0.25">
      <c r="A1917" s="1">
        <v>946</v>
      </c>
      <c r="B1917" t="s">
        <v>38</v>
      </c>
      <c r="C1917">
        <v>625</v>
      </c>
      <c r="D1917">
        <v>1</v>
      </c>
      <c r="E1917" t="s">
        <v>72</v>
      </c>
      <c r="F1917" t="s">
        <v>32</v>
      </c>
      <c r="G1917" t="str">
        <f>"2025-10-22 04:13:57.157"</f>
        <v>2025-10-22 04:13:57.157</v>
      </c>
      <c r="H1917" t="s">
        <v>21</v>
      </c>
      <c r="I1917">
        <v>20.8</v>
      </c>
      <c r="J1917" t="s">
        <v>33</v>
      </c>
    </row>
    <row r="1918" spans="1:10" x14ac:dyDescent="0.25">
      <c r="A1918" s="1">
        <v>947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"2025-10-22 01:37:48.863"</f>
        <v>2025-10-22 01:37:48.863</v>
      </c>
      <c r="H1918" t="s">
        <v>21</v>
      </c>
    </row>
    <row r="1919" spans="1:10" x14ac:dyDescent="0.25">
      <c r="A1919" s="1">
        <v>948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"2025-10-21 12:37:01.877"</f>
        <v>2025-10-21 12:37:01.877</v>
      </c>
      <c r="H1919" t="s">
        <v>21</v>
      </c>
      <c r="I1919">
        <v>0</v>
      </c>
      <c r="J1919" t="s">
        <v>22</v>
      </c>
    </row>
    <row r="1920" spans="1:10" x14ac:dyDescent="0.25">
      <c r="A1920" s="1">
        <v>949</v>
      </c>
      <c r="B1920" t="s">
        <v>19</v>
      </c>
      <c r="C1920">
        <v>706</v>
      </c>
      <c r="D1920">
        <v>2</v>
      </c>
      <c r="E1920" t="s">
        <v>28</v>
      </c>
      <c r="F1920" t="s">
        <v>39</v>
      </c>
      <c r="G1920" t="str">
        <f>"2025-10-21 12:11:42.251"</f>
        <v>2025-10-21 12:11:42.251</v>
      </c>
      <c r="H1920" t="s">
        <v>21</v>
      </c>
      <c r="I1920">
        <v>0</v>
      </c>
      <c r="J1920" t="s">
        <v>30</v>
      </c>
    </row>
    <row r="1921" spans="1:10" x14ac:dyDescent="0.25">
      <c r="A1921" s="1">
        <v>950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"2025-10-21 10:13:00.851"</f>
        <v>2025-10-21 10:13:00.851</v>
      </c>
      <c r="H1921" t="s">
        <v>21</v>
      </c>
      <c r="I1921">
        <v>0</v>
      </c>
      <c r="J1921" t="s">
        <v>22</v>
      </c>
    </row>
    <row r="1922" spans="1:10" x14ac:dyDescent="0.25">
      <c r="A1922" s="1">
        <v>951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"2025-10-21 08:53:12.841"</f>
        <v>2025-10-21 08:53:12.841</v>
      </c>
      <c r="H1922" t="s">
        <v>21</v>
      </c>
    </row>
    <row r="1923" spans="1:10" x14ac:dyDescent="0.25">
      <c r="A1923" s="1">
        <v>952</v>
      </c>
      <c r="B1923" t="s">
        <v>38</v>
      </c>
      <c r="C1923">
        <v>630</v>
      </c>
      <c r="D1923">
        <v>5</v>
      </c>
      <c r="E1923" t="s">
        <v>35</v>
      </c>
      <c r="F1923" t="s">
        <v>36</v>
      </c>
      <c r="G1923" t="str">
        <f>"2025-10-21 08:38:53.824"</f>
        <v>2025-10-21 08:38:53.824</v>
      </c>
      <c r="H1923" t="s">
        <v>37</v>
      </c>
      <c r="I1923">
        <v>0</v>
      </c>
      <c r="J1923" t="s">
        <v>30</v>
      </c>
    </row>
    <row r="1924" spans="1:10" x14ac:dyDescent="0.25">
      <c r="A1924" s="1">
        <v>953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"2025-10-21 08:33:51.086"</f>
        <v>2025-10-21 08:33:51.086</v>
      </c>
      <c r="H1924" t="s">
        <v>21</v>
      </c>
      <c r="I1924">
        <v>0</v>
      </c>
      <c r="J1924" t="s">
        <v>22</v>
      </c>
    </row>
    <row r="1925" spans="1:10" x14ac:dyDescent="0.25">
      <c r="A1925" s="1">
        <v>954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"2025-10-21 01:58:44.852"</f>
        <v>2025-10-21 01:58:44.852</v>
      </c>
      <c r="H1925" t="s">
        <v>21</v>
      </c>
      <c r="I1925">
        <v>0</v>
      </c>
      <c r="J1925" t="s">
        <v>22</v>
      </c>
    </row>
    <row r="1926" spans="1:10" x14ac:dyDescent="0.25">
      <c r="A1926" s="1">
        <v>955</v>
      </c>
      <c r="B1926" t="s">
        <v>19</v>
      </c>
      <c r="C1926">
        <v>700</v>
      </c>
      <c r="D1926">
        <v>0</v>
      </c>
      <c r="E1926" t="s">
        <v>20</v>
      </c>
      <c r="F1926" t="s">
        <v>20</v>
      </c>
      <c r="G1926" t="str">
        <f>"2025-10-20 12:03:38.863"</f>
        <v>2025-10-20 12:03:38.863</v>
      </c>
      <c r="H1926" t="s">
        <v>21</v>
      </c>
      <c r="I1926">
        <v>0</v>
      </c>
      <c r="J1926" t="s">
        <v>22</v>
      </c>
    </row>
    <row r="1927" spans="1:10" x14ac:dyDescent="0.25">
      <c r="A1927" s="1">
        <v>956</v>
      </c>
      <c r="B1927" t="s">
        <v>23</v>
      </c>
      <c r="C1927">
        <v>635</v>
      </c>
      <c r="D1927">
        <v>1</v>
      </c>
      <c r="E1927" t="s">
        <v>31</v>
      </c>
      <c r="F1927" t="s">
        <v>32</v>
      </c>
      <c r="G1927" t="str">
        <f>"2025-10-20 10:38:58.343"</f>
        <v>2025-10-20 10:38:58.343</v>
      </c>
      <c r="H1927" t="s">
        <v>21</v>
      </c>
    </row>
    <row r="1928" spans="1:10" x14ac:dyDescent="0.25">
      <c r="A1928" s="1">
        <v>957</v>
      </c>
      <c r="B1928" t="s">
        <v>26</v>
      </c>
      <c r="C1928">
        <v>635</v>
      </c>
      <c r="D1928">
        <v>1</v>
      </c>
      <c r="E1928" t="s">
        <v>31</v>
      </c>
      <c r="F1928" t="s">
        <v>32</v>
      </c>
      <c r="G1928" t="str">
        <f>"2025-10-20 10:33:35.843"</f>
        <v>2025-10-20 10:33:35.843</v>
      </c>
      <c r="H1928" t="s">
        <v>21</v>
      </c>
      <c r="I1928">
        <v>2.64</v>
      </c>
      <c r="J1928" t="s">
        <v>33</v>
      </c>
    </row>
    <row r="1929" spans="1:10" x14ac:dyDescent="0.25">
      <c r="A1929" s="1">
        <v>958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"2025-10-20 02:11:24.841"</f>
        <v>2025-10-20 02:11:24.841</v>
      </c>
      <c r="H1929" t="s">
        <v>21</v>
      </c>
      <c r="I1929">
        <v>0</v>
      </c>
      <c r="J1929" t="s">
        <v>22</v>
      </c>
    </row>
    <row r="1930" spans="1:10" x14ac:dyDescent="0.25">
      <c r="A1930" s="1">
        <v>959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"2025-10-20 01:59:49.856"</f>
        <v>2025-10-20 01:59:49.856</v>
      </c>
      <c r="H1930" t="s">
        <v>21</v>
      </c>
    </row>
    <row r="1931" spans="1:10" x14ac:dyDescent="0.25">
      <c r="A1931" s="1">
        <v>960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"2025-10-20 00:58:51.843"</f>
        <v>2025-10-20 00:58:51.843</v>
      </c>
      <c r="H1931" t="s">
        <v>21</v>
      </c>
      <c r="I1931">
        <v>0</v>
      </c>
      <c r="J1931" t="s">
        <v>22</v>
      </c>
    </row>
    <row r="1932" spans="1:10" s="3" customFormat="1" x14ac:dyDescent="0.25">
      <c r="A1932" s="2">
        <v>961</v>
      </c>
      <c r="B1932" s="3" t="s">
        <v>23</v>
      </c>
      <c r="C1932" s="3">
        <v>647</v>
      </c>
      <c r="D1932" s="3">
        <v>1</v>
      </c>
      <c r="E1932" s="3" t="s">
        <v>24</v>
      </c>
      <c r="F1932" s="3" t="s">
        <v>25</v>
      </c>
      <c r="G1932" s="3" t="str">
        <f>"2025-10-19 18:46:58.306"</f>
        <v>2025-10-19 18:46:58.306</v>
      </c>
      <c r="H1932" s="3" t="s">
        <v>21</v>
      </c>
    </row>
    <row r="1933" spans="1:10" s="3" customFormat="1" x14ac:dyDescent="0.25">
      <c r="A1933" s="2">
        <v>962</v>
      </c>
      <c r="B1933" s="3" t="s">
        <v>26</v>
      </c>
      <c r="C1933" s="3">
        <v>647</v>
      </c>
      <c r="D1933" s="3">
        <v>1</v>
      </c>
      <c r="E1933" s="3" t="s">
        <v>24</v>
      </c>
      <c r="F1933" s="3" t="s">
        <v>25</v>
      </c>
      <c r="G1933" s="3" t="str">
        <f>"2025-10-19 18:46:54.806"</f>
        <v>2025-10-19 18:46:54.806</v>
      </c>
      <c r="H1933" s="3" t="s">
        <v>21</v>
      </c>
      <c r="I1933" s="3">
        <v>10.3</v>
      </c>
      <c r="J1933" s="3" t="s">
        <v>27</v>
      </c>
    </row>
    <row r="1934" spans="1:10" x14ac:dyDescent="0.25">
      <c r="A1934" s="1">
        <v>963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"2025-10-19 12:45:57.890"</f>
        <v>2025-10-19 12:45:57.890</v>
      </c>
      <c r="H1934" t="s">
        <v>21</v>
      </c>
    </row>
    <row r="1935" spans="1:10" s="3" customFormat="1" x14ac:dyDescent="0.25">
      <c r="A1935" s="2">
        <v>964</v>
      </c>
      <c r="B1935" s="3" t="s">
        <v>23</v>
      </c>
      <c r="C1935" s="3">
        <v>647</v>
      </c>
      <c r="D1935" s="3">
        <v>1</v>
      </c>
      <c r="E1935" s="3" t="s">
        <v>24</v>
      </c>
      <c r="F1935" s="3" t="s">
        <v>25</v>
      </c>
      <c r="G1935" s="3" t="str">
        <f>"2025-10-19 11:25:24.174"</f>
        <v>2025-10-19 11:25:24.174</v>
      </c>
      <c r="H1935" s="3" t="s">
        <v>21</v>
      </c>
    </row>
    <row r="1936" spans="1:10" s="3" customFormat="1" x14ac:dyDescent="0.25">
      <c r="A1936" s="2">
        <v>965</v>
      </c>
      <c r="B1936" s="3" t="s">
        <v>26</v>
      </c>
      <c r="C1936" s="3">
        <v>647</v>
      </c>
      <c r="D1936" s="3">
        <v>1</v>
      </c>
      <c r="E1936" s="3" t="s">
        <v>24</v>
      </c>
      <c r="F1936" s="3" t="s">
        <v>25</v>
      </c>
      <c r="G1936" s="3" t="str">
        <f>"2025-10-19 11:25:22.874"</f>
        <v>2025-10-19 11:25:22.874</v>
      </c>
      <c r="H1936" s="3" t="s">
        <v>21</v>
      </c>
      <c r="I1936" s="3">
        <v>12.42</v>
      </c>
      <c r="J1936" s="3" t="s">
        <v>27</v>
      </c>
    </row>
    <row r="1937" spans="1:10" x14ac:dyDescent="0.25">
      <c r="A1937" s="1">
        <v>966</v>
      </c>
      <c r="B1937" t="s">
        <v>23</v>
      </c>
      <c r="C1937">
        <v>635</v>
      </c>
      <c r="D1937">
        <v>1</v>
      </c>
      <c r="E1937" t="s">
        <v>31</v>
      </c>
      <c r="F1937" t="s">
        <v>32</v>
      </c>
      <c r="G1937" t="str">
        <f>"2025-10-19 10:13:48.873"</f>
        <v>2025-10-19 10:13:48.873</v>
      </c>
      <c r="H1937" t="s">
        <v>21</v>
      </c>
    </row>
    <row r="1938" spans="1:10" x14ac:dyDescent="0.25">
      <c r="A1938" s="1">
        <v>967</v>
      </c>
      <c r="B1938" t="s">
        <v>26</v>
      </c>
      <c r="C1938">
        <v>635</v>
      </c>
      <c r="D1938">
        <v>1</v>
      </c>
      <c r="E1938" t="s">
        <v>31</v>
      </c>
      <c r="F1938" t="s">
        <v>32</v>
      </c>
      <c r="G1938" t="str">
        <f>"2025-10-19 10:11:13.873"</f>
        <v>2025-10-19 10:11:13.873</v>
      </c>
      <c r="H1938" t="s">
        <v>21</v>
      </c>
      <c r="I1938">
        <v>2.19</v>
      </c>
      <c r="J1938" t="s">
        <v>27</v>
      </c>
    </row>
    <row r="1939" spans="1:10" x14ac:dyDescent="0.25">
      <c r="A1939" s="1">
        <v>968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"2025-10-19 01:42:35.857"</f>
        <v>2025-10-19 01:42:35.857</v>
      </c>
      <c r="H1939" t="s">
        <v>21</v>
      </c>
      <c r="I1939">
        <v>0</v>
      </c>
      <c r="J1939" t="s">
        <v>22</v>
      </c>
    </row>
    <row r="1940" spans="1:10" s="3" customFormat="1" x14ac:dyDescent="0.25">
      <c r="A1940" s="2">
        <v>969</v>
      </c>
      <c r="B1940" s="3" t="s">
        <v>23</v>
      </c>
      <c r="C1940" s="3">
        <v>647</v>
      </c>
      <c r="D1940" s="3">
        <v>1</v>
      </c>
      <c r="E1940" s="3" t="s">
        <v>24</v>
      </c>
      <c r="F1940" s="3" t="s">
        <v>25</v>
      </c>
      <c r="G1940" s="3" t="str">
        <f>"2025-10-18 03:20:27.200"</f>
        <v>2025-10-18 03:20:27.200</v>
      </c>
      <c r="H1940" s="3" t="s">
        <v>21</v>
      </c>
    </row>
    <row r="1941" spans="1:10" s="3" customFormat="1" x14ac:dyDescent="0.25">
      <c r="A1941" s="2">
        <v>970</v>
      </c>
      <c r="B1941" s="3" t="s">
        <v>26</v>
      </c>
      <c r="C1941" s="3">
        <v>647</v>
      </c>
      <c r="D1941" s="3">
        <v>1</v>
      </c>
      <c r="E1941" s="3" t="s">
        <v>24</v>
      </c>
      <c r="F1941" s="3" t="s">
        <v>25</v>
      </c>
      <c r="G1941" s="3" t="str">
        <f>"2025-10-18 03:20:21.701"</f>
        <v>2025-10-18 03:20:21.701</v>
      </c>
      <c r="H1941" s="3" t="s">
        <v>21</v>
      </c>
      <c r="I1941" s="3">
        <v>13.06</v>
      </c>
      <c r="J1941" s="3" t="s">
        <v>27</v>
      </c>
    </row>
    <row r="1942" spans="1:10" x14ac:dyDescent="0.25">
      <c r="A1942" s="1">
        <v>971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"2025-10-17 00:28:08.844"</f>
        <v>2025-10-17 00:28:08.844</v>
      </c>
      <c r="H1942" t="s">
        <v>21</v>
      </c>
      <c r="I1942">
        <v>0</v>
      </c>
      <c r="J1942" t="s">
        <v>22</v>
      </c>
    </row>
    <row r="1943" spans="1:10" s="3" customFormat="1" x14ac:dyDescent="0.25">
      <c r="A1943" s="2">
        <v>972</v>
      </c>
      <c r="B1943" s="3" t="s">
        <v>23</v>
      </c>
      <c r="C1943" s="3">
        <v>647</v>
      </c>
      <c r="D1943" s="3">
        <v>1</v>
      </c>
      <c r="E1943" s="3" t="s">
        <v>24</v>
      </c>
      <c r="F1943" s="3" t="s">
        <v>25</v>
      </c>
      <c r="G1943" s="3" t="str">
        <f>"2025-10-16 20:43:47.043"</f>
        <v>2025-10-16 20:43:47.043</v>
      </c>
      <c r="H1943" s="3" t="s">
        <v>21</v>
      </c>
    </row>
    <row r="1944" spans="1:10" s="3" customFormat="1" x14ac:dyDescent="0.25">
      <c r="A1944" s="2">
        <v>973</v>
      </c>
      <c r="B1944" s="3" t="s">
        <v>26</v>
      </c>
      <c r="C1944" s="3">
        <v>647</v>
      </c>
      <c r="D1944" s="3">
        <v>1</v>
      </c>
      <c r="E1944" s="3" t="s">
        <v>24</v>
      </c>
      <c r="F1944" s="3" t="s">
        <v>25</v>
      </c>
      <c r="G1944" s="3" t="str">
        <f>"2025-10-16 20:43:41.344"</f>
        <v>2025-10-16 20:43:41.344</v>
      </c>
      <c r="H1944" s="3" t="s">
        <v>21</v>
      </c>
      <c r="I1944" s="3">
        <v>11.49</v>
      </c>
      <c r="J1944" s="3" t="s">
        <v>27</v>
      </c>
    </row>
    <row r="1945" spans="1:10" x14ac:dyDescent="0.25">
      <c r="A1945" s="1">
        <v>974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"2025-10-16 15:41:10.840"</f>
        <v>2025-10-16 15:41:10.840</v>
      </c>
      <c r="H1945" t="s">
        <v>21</v>
      </c>
      <c r="I1945">
        <v>0</v>
      </c>
      <c r="J1945" t="s">
        <v>22</v>
      </c>
    </row>
    <row r="1946" spans="1:10" x14ac:dyDescent="0.25">
      <c r="A1946" s="1">
        <v>975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"2025-10-16 14:44:10.844"</f>
        <v>2025-10-16 14:44:10.844</v>
      </c>
      <c r="H1946" t="s">
        <v>21</v>
      </c>
      <c r="I1946">
        <v>0</v>
      </c>
      <c r="J1946" t="s">
        <v>22</v>
      </c>
    </row>
    <row r="1947" spans="1:10" x14ac:dyDescent="0.25">
      <c r="A1947" s="1">
        <v>976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"2025-10-16 13:03:53.854"</f>
        <v>2025-10-16 13:03:53.854</v>
      </c>
      <c r="H1947" t="s">
        <v>21</v>
      </c>
      <c r="I1947">
        <v>0</v>
      </c>
      <c r="J1947" t="s">
        <v>22</v>
      </c>
    </row>
    <row r="1948" spans="1:10" x14ac:dyDescent="0.25">
      <c r="A1948" s="1">
        <v>977</v>
      </c>
      <c r="B1948" t="s">
        <v>23</v>
      </c>
      <c r="C1948">
        <v>635</v>
      </c>
      <c r="D1948">
        <v>1</v>
      </c>
      <c r="E1948" t="s">
        <v>31</v>
      </c>
      <c r="F1948" t="s">
        <v>32</v>
      </c>
      <c r="G1948" t="str">
        <f>"2025-10-15 09:51:14.300"</f>
        <v>2025-10-15 09:51:14.300</v>
      </c>
      <c r="H1948" t="s">
        <v>21</v>
      </c>
    </row>
    <row r="1949" spans="1:10" x14ac:dyDescent="0.25">
      <c r="A1949" s="1">
        <v>978</v>
      </c>
      <c r="B1949" t="s">
        <v>26</v>
      </c>
      <c r="C1949">
        <v>635</v>
      </c>
      <c r="D1949">
        <v>1</v>
      </c>
      <c r="E1949" t="s">
        <v>31</v>
      </c>
      <c r="F1949" t="s">
        <v>32</v>
      </c>
      <c r="G1949" t="str">
        <f>"2025-10-15 09:48:02.800"</f>
        <v>2025-10-15 09:48:02.800</v>
      </c>
      <c r="H1949" t="s">
        <v>21</v>
      </c>
      <c r="I1949">
        <v>0.84</v>
      </c>
      <c r="J1949" t="s">
        <v>27</v>
      </c>
    </row>
    <row r="1950" spans="1:10" s="3" customFormat="1" x14ac:dyDescent="0.25">
      <c r="A1950" s="2">
        <v>979</v>
      </c>
      <c r="B1950" s="3" t="s">
        <v>23</v>
      </c>
      <c r="C1950" s="3">
        <v>647</v>
      </c>
      <c r="D1950" s="3">
        <v>1</v>
      </c>
      <c r="E1950" s="3" t="s">
        <v>24</v>
      </c>
      <c r="F1950" s="3" t="s">
        <v>25</v>
      </c>
      <c r="G1950" s="3" t="str">
        <f>"2025-10-14 07:30:11.001"</f>
        <v>2025-10-14 07:30:11.001</v>
      </c>
      <c r="H1950" s="3" t="s">
        <v>21</v>
      </c>
    </row>
    <row r="1951" spans="1:10" s="3" customFormat="1" x14ac:dyDescent="0.25">
      <c r="A1951" s="2">
        <v>980</v>
      </c>
      <c r="B1951" s="3" t="s">
        <v>26</v>
      </c>
      <c r="C1951" s="3">
        <v>647</v>
      </c>
      <c r="D1951" s="3">
        <v>1</v>
      </c>
      <c r="E1951" s="3" t="s">
        <v>24</v>
      </c>
      <c r="F1951" s="3" t="s">
        <v>25</v>
      </c>
      <c r="G1951" s="3" t="str">
        <f>"2025-10-14 07:30:09.901"</f>
        <v>2025-10-14 07:30:09.901</v>
      </c>
      <c r="H1951" s="3" t="s">
        <v>21</v>
      </c>
      <c r="I1951" s="3">
        <v>17.97</v>
      </c>
      <c r="J1951" s="3" t="s">
        <v>27</v>
      </c>
    </row>
    <row r="1952" spans="1:10" x14ac:dyDescent="0.25">
      <c r="A1952" s="1">
        <v>981</v>
      </c>
      <c r="B1952" t="s">
        <v>23</v>
      </c>
      <c r="C1952">
        <v>635</v>
      </c>
      <c r="D1952">
        <v>1</v>
      </c>
      <c r="E1952" t="s">
        <v>31</v>
      </c>
      <c r="F1952" t="s">
        <v>32</v>
      </c>
      <c r="G1952" t="str">
        <f>"2025-10-14 02:22:13.800"</f>
        <v>2025-10-14 02:22:13.800</v>
      </c>
      <c r="H1952" t="s">
        <v>21</v>
      </c>
    </row>
    <row r="1953" spans="1:10" x14ac:dyDescent="0.25">
      <c r="A1953" s="1">
        <v>982</v>
      </c>
      <c r="B1953" t="s">
        <v>26</v>
      </c>
      <c r="C1953">
        <v>635</v>
      </c>
      <c r="D1953">
        <v>1</v>
      </c>
      <c r="E1953" t="s">
        <v>31</v>
      </c>
      <c r="F1953" t="s">
        <v>32</v>
      </c>
      <c r="G1953" t="str">
        <f>"2025-10-14 02:17:13.800"</f>
        <v>2025-10-14 02:17:13.800</v>
      </c>
      <c r="H1953" t="s">
        <v>21</v>
      </c>
      <c r="I1953">
        <v>1.1599999999999999</v>
      </c>
      <c r="J1953" t="s">
        <v>27</v>
      </c>
    </row>
    <row r="1954" spans="1:10" x14ac:dyDescent="0.25">
      <c r="A1954" s="1">
        <v>983</v>
      </c>
      <c r="B1954" t="s">
        <v>19</v>
      </c>
      <c r="C1954">
        <v>706</v>
      </c>
      <c r="D1954">
        <v>4</v>
      </c>
      <c r="E1954" t="s">
        <v>28</v>
      </c>
      <c r="F1954" t="s">
        <v>29</v>
      </c>
      <c r="G1954" t="str">
        <f>"2025-10-14 01:03:50.255"</f>
        <v>2025-10-14 01:03:50.255</v>
      </c>
      <c r="H1954" t="s">
        <v>21</v>
      </c>
      <c r="I1954">
        <v>0</v>
      </c>
      <c r="J1954" t="s">
        <v>30</v>
      </c>
    </row>
    <row r="1955" spans="1:10" x14ac:dyDescent="0.25">
      <c r="A1955" s="1">
        <v>984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"2025-10-14 01:03:29.985"</f>
        <v>2025-10-14 01:03:29.985</v>
      </c>
      <c r="H1955" t="s">
        <v>21</v>
      </c>
      <c r="I1955">
        <v>0</v>
      </c>
      <c r="J1955" t="s">
        <v>22</v>
      </c>
    </row>
    <row r="1956" spans="1:10" x14ac:dyDescent="0.25">
      <c r="A1956" s="1">
        <v>985</v>
      </c>
      <c r="B1956" t="s">
        <v>23</v>
      </c>
      <c r="C1956">
        <v>635</v>
      </c>
      <c r="D1956">
        <v>1</v>
      </c>
      <c r="E1956" t="s">
        <v>31</v>
      </c>
      <c r="F1956" t="s">
        <v>32</v>
      </c>
      <c r="G1956" t="str">
        <f>"2025-10-13 07:22:30.701"</f>
        <v>2025-10-13 07:22:30.701</v>
      </c>
      <c r="H1956" t="s">
        <v>21</v>
      </c>
    </row>
    <row r="1957" spans="1:10" x14ac:dyDescent="0.25">
      <c r="A1957" s="1">
        <v>986</v>
      </c>
      <c r="B1957" t="s">
        <v>26</v>
      </c>
      <c r="C1957">
        <v>635</v>
      </c>
      <c r="D1957">
        <v>1</v>
      </c>
      <c r="E1957" t="s">
        <v>31</v>
      </c>
      <c r="F1957" t="s">
        <v>32</v>
      </c>
      <c r="G1957" t="str">
        <f>"2025-10-13 07:19:31.201"</f>
        <v>2025-10-13 07:19:31.201</v>
      </c>
      <c r="H1957" t="s">
        <v>21</v>
      </c>
      <c r="I1957">
        <v>1.31</v>
      </c>
      <c r="J1957" t="s">
        <v>27</v>
      </c>
    </row>
    <row r="1958" spans="1:10" s="3" customFormat="1" x14ac:dyDescent="0.25">
      <c r="A1958" s="2">
        <v>987</v>
      </c>
      <c r="B1958" s="3" t="s">
        <v>23</v>
      </c>
      <c r="C1958" s="3">
        <v>647</v>
      </c>
      <c r="D1958" s="3">
        <v>1</v>
      </c>
      <c r="E1958" s="3" t="s">
        <v>24</v>
      </c>
      <c r="F1958" s="3" t="s">
        <v>25</v>
      </c>
      <c r="G1958" s="3" t="str">
        <f>"2025-10-12 02:18:12.502"</f>
        <v>2025-10-12 02:18:12.502</v>
      </c>
      <c r="H1958" s="3" t="s">
        <v>21</v>
      </c>
    </row>
    <row r="1959" spans="1:10" s="3" customFormat="1" x14ac:dyDescent="0.25">
      <c r="A1959" s="2">
        <v>988</v>
      </c>
      <c r="B1959" s="3" t="s">
        <v>26</v>
      </c>
      <c r="C1959" s="3">
        <v>647</v>
      </c>
      <c r="D1959" s="3">
        <v>1</v>
      </c>
      <c r="E1959" s="3" t="s">
        <v>24</v>
      </c>
      <c r="F1959" s="3" t="s">
        <v>25</v>
      </c>
      <c r="G1959" s="3" t="str">
        <f>"2025-10-12 02:18:11.002"</f>
        <v>2025-10-12 02:18:11.002</v>
      </c>
      <c r="H1959" s="3" t="s">
        <v>21</v>
      </c>
      <c r="I1959" s="3">
        <v>13.31</v>
      </c>
      <c r="J1959" s="3" t="s">
        <v>27</v>
      </c>
    </row>
    <row r="1960" spans="1:10" x14ac:dyDescent="0.25">
      <c r="A1960" s="1">
        <v>989</v>
      </c>
      <c r="B1960" t="s">
        <v>23</v>
      </c>
      <c r="C1960">
        <v>635</v>
      </c>
      <c r="D1960">
        <v>1</v>
      </c>
      <c r="E1960" t="s">
        <v>31</v>
      </c>
      <c r="F1960" t="s">
        <v>32</v>
      </c>
      <c r="G1960" t="str">
        <f>"2025-10-11 23:07:34.401"</f>
        <v>2025-10-11 23:07:34.401</v>
      </c>
      <c r="H1960" t="s">
        <v>21</v>
      </c>
    </row>
    <row r="1961" spans="1:10" x14ac:dyDescent="0.25">
      <c r="A1961" s="1">
        <v>990</v>
      </c>
      <c r="B1961" t="s">
        <v>26</v>
      </c>
      <c r="C1961">
        <v>635</v>
      </c>
      <c r="D1961">
        <v>1</v>
      </c>
      <c r="E1961" t="s">
        <v>31</v>
      </c>
      <c r="F1961" t="s">
        <v>32</v>
      </c>
      <c r="G1961" t="str">
        <f>"2025-10-11 23:05:32.400"</f>
        <v>2025-10-11 23:05:32.400</v>
      </c>
      <c r="H1961" t="s">
        <v>21</v>
      </c>
      <c r="I1961">
        <v>3.02</v>
      </c>
      <c r="J1961" t="s">
        <v>33</v>
      </c>
    </row>
    <row r="1962" spans="1:10" s="3" customFormat="1" x14ac:dyDescent="0.25">
      <c r="A1962" s="2">
        <v>991</v>
      </c>
      <c r="B1962" s="3" t="s">
        <v>23</v>
      </c>
      <c r="C1962" s="3">
        <v>647</v>
      </c>
      <c r="D1962" s="3">
        <v>1</v>
      </c>
      <c r="E1962" s="3" t="s">
        <v>24</v>
      </c>
      <c r="F1962" s="3" t="s">
        <v>25</v>
      </c>
      <c r="G1962" s="3" t="str">
        <f>"2025-10-11 21:44:05.702"</f>
        <v>2025-10-11 21:44:05.702</v>
      </c>
      <c r="H1962" s="3" t="s">
        <v>21</v>
      </c>
    </row>
    <row r="1963" spans="1:10" s="3" customFormat="1" x14ac:dyDescent="0.25">
      <c r="A1963" s="2">
        <v>992</v>
      </c>
      <c r="B1963" s="3" t="s">
        <v>26</v>
      </c>
      <c r="C1963" s="3">
        <v>647</v>
      </c>
      <c r="D1963" s="3">
        <v>1</v>
      </c>
      <c r="E1963" s="3" t="s">
        <v>24</v>
      </c>
      <c r="F1963" s="3" t="s">
        <v>25</v>
      </c>
      <c r="G1963" s="3" t="str">
        <f>"2025-10-11 21:44:03.202"</f>
        <v>2025-10-11 21:44:03.202</v>
      </c>
      <c r="H1963" s="3" t="s">
        <v>21</v>
      </c>
      <c r="I1963" s="3">
        <v>9.75</v>
      </c>
      <c r="J1963" s="3" t="s">
        <v>27</v>
      </c>
    </row>
    <row r="1964" spans="1:10" x14ac:dyDescent="0.25">
      <c r="A1964" s="1">
        <v>993</v>
      </c>
      <c r="B1964" t="s">
        <v>23</v>
      </c>
      <c r="C1964">
        <v>635</v>
      </c>
      <c r="D1964">
        <v>1</v>
      </c>
      <c r="E1964" t="s">
        <v>31</v>
      </c>
      <c r="F1964" t="s">
        <v>32</v>
      </c>
      <c r="G1964" t="str">
        <f>"2025-10-11 20:12:33.301"</f>
        <v>2025-10-11 20:12:33.301</v>
      </c>
      <c r="H1964" t="s">
        <v>21</v>
      </c>
    </row>
    <row r="1965" spans="1:10" x14ac:dyDescent="0.25">
      <c r="A1965" s="1">
        <v>994</v>
      </c>
      <c r="B1965" t="s">
        <v>26</v>
      </c>
      <c r="C1965">
        <v>635</v>
      </c>
      <c r="D1965">
        <v>1</v>
      </c>
      <c r="E1965" t="s">
        <v>31</v>
      </c>
      <c r="F1965" t="s">
        <v>32</v>
      </c>
      <c r="G1965" t="str">
        <f>"2025-10-11 20:03:18.801"</f>
        <v>2025-10-11 20:03:18.801</v>
      </c>
      <c r="H1965" t="s">
        <v>21</v>
      </c>
      <c r="I1965">
        <v>1.96</v>
      </c>
      <c r="J1965" t="s">
        <v>27</v>
      </c>
    </row>
    <row r="1966" spans="1:10" x14ac:dyDescent="0.25">
      <c r="A1966" s="1">
        <v>995</v>
      </c>
      <c r="B1966" t="s">
        <v>23</v>
      </c>
      <c r="C1966">
        <v>635</v>
      </c>
      <c r="D1966">
        <v>1</v>
      </c>
      <c r="E1966" t="s">
        <v>31</v>
      </c>
      <c r="F1966" t="s">
        <v>32</v>
      </c>
      <c r="G1966" t="str">
        <f>"2025-10-11 10:34:47.501"</f>
        <v>2025-10-11 10:34:47.501</v>
      </c>
      <c r="H1966" t="s">
        <v>21</v>
      </c>
    </row>
    <row r="1967" spans="1:10" x14ac:dyDescent="0.25">
      <c r="A1967" s="1">
        <v>996</v>
      </c>
      <c r="B1967" t="s">
        <v>26</v>
      </c>
      <c r="C1967">
        <v>635</v>
      </c>
      <c r="D1967">
        <v>1</v>
      </c>
      <c r="E1967" t="s">
        <v>31</v>
      </c>
      <c r="F1967" t="s">
        <v>32</v>
      </c>
      <c r="G1967" t="str">
        <f>"2025-10-11 10:31:06.501"</f>
        <v>2025-10-11 10:31:06.501</v>
      </c>
      <c r="H1967" t="s">
        <v>21</v>
      </c>
      <c r="I1967">
        <v>2.84</v>
      </c>
      <c r="J1967" t="s">
        <v>33</v>
      </c>
    </row>
    <row r="1968" spans="1:10" x14ac:dyDescent="0.25">
      <c r="A1968" s="1">
        <v>997</v>
      </c>
      <c r="B1968" t="s">
        <v>23</v>
      </c>
      <c r="C1968">
        <v>635</v>
      </c>
      <c r="D1968">
        <v>1</v>
      </c>
      <c r="E1968" t="s">
        <v>31</v>
      </c>
      <c r="F1968" t="s">
        <v>32</v>
      </c>
      <c r="G1968" t="str">
        <f>"2025-10-11 10:19:22.101"</f>
        <v>2025-10-11 10:19:22.101</v>
      </c>
      <c r="H1968" t="s">
        <v>21</v>
      </c>
    </row>
    <row r="1969" spans="1:10" x14ac:dyDescent="0.25">
      <c r="A1969" s="1">
        <v>998</v>
      </c>
      <c r="B1969" t="s">
        <v>26</v>
      </c>
      <c r="C1969">
        <v>635</v>
      </c>
      <c r="D1969">
        <v>1</v>
      </c>
      <c r="E1969" t="s">
        <v>31</v>
      </c>
      <c r="F1969" t="s">
        <v>32</v>
      </c>
      <c r="G1969" t="str">
        <f>"2025-10-11 10:16:56.601"</f>
        <v>2025-10-11 10:16:56.601</v>
      </c>
      <c r="H1969" t="s">
        <v>21</v>
      </c>
      <c r="I1969">
        <v>7.63</v>
      </c>
      <c r="J1969" t="s">
        <v>33</v>
      </c>
    </row>
    <row r="1970" spans="1:10" x14ac:dyDescent="0.25">
      <c r="A1970" s="1">
        <v>999</v>
      </c>
      <c r="B1970" t="s">
        <v>23</v>
      </c>
      <c r="C1970">
        <v>635</v>
      </c>
      <c r="D1970">
        <v>1</v>
      </c>
      <c r="E1970" t="s">
        <v>31</v>
      </c>
      <c r="F1970" t="s">
        <v>32</v>
      </c>
      <c r="G1970" t="str">
        <f>"2025-10-10 14:37:42.501"</f>
        <v>2025-10-10 14:37:42.501</v>
      </c>
      <c r="H1970" t="s">
        <v>21</v>
      </c>
    </row>
    <row r="1971" spans="1:10" x14ac:dyDescent="0.25">
      <c r="A1971" s="1">
        <v>0</v>
      </c>
      <c r="B1971" t="s">
        <v>26</v>
      </c>
      <c r="C1971">
        <v>635</v>
      </c>
      <c r="D1971">
        <v>1</v>
      </c>
      <c r="E1971" t="s">
        <v>31</v>
      </c>
      <c r="F1971" t="s">
        <v>32</v>
      </c>
      <c r="G1971" t="str">
        <f>"2025-10-10 14:08:33.101"</f>
        <v>2025-10-10 14:08:33.101</v>
      </c>
      <c r="H1971" t="s">
        <v>21</v>
      </c>
      <c r="I1971">
        <v>7.44</v>
      </c>
      <c r="J1971" t="s">
        <v>33</v>
      </c>
    </row>
    <row r="1972" spans="1:10" x14ac:dyDescent="0.25">
      <c r="A1972" s="1">
        <v>1</v>
      </c>
      <c r="B1972" t="s">
        <v>19</v>
      </c>
      <c r="C1972">
        <v>706</v>
      </c>
      <c r="D1972">
        <v>2</v>
      </c>
      <c r="E1972" t="s">
        <v>28</v>
      </c>
      <c r="F1972" t="s">
        <v>39</v>
      </c>
      <c r="G1972" t="str">
        <f>"2025-10-10 11:49:31.688"</f>
        <v>2025-10-10 11:49:31.688</v>
      </c>
      <c r="H1972" t="s">
        <v>21</v>
      </c>
      <c r="I1972">
        <v>0</v>
      </c>
      <c r="J1972" t="s">
        <v>30</v>
      </c>
    </row>
    <row r="1973" spans="1:10" x14ac:dyDescent="0.25">
      <c r="A1973" s="1">
        <v>2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"2025-10-10 11:49:02.908"</f>
        <v>2025-10-10 11:49:02.908</v>
      </c>
      <c r="H1973" t="s">
        <v>21</v>
      </c>
      <c r="I1973">
        <v>0</v>
      </c>
      <c r="J1973" t="s">
        <v>22</v>
      </c>
    </row>
    <row r="1974" spans="1:10" x14ac:dyDescent="0.25">
      <c r="A1974" s="1">
        <v>3</v>
      </c>
      <c r="B1974" t="s">
        <v>19</v>
      </c>
      <c r="C1974">
        <v>706</v>
      </c>
      <c r="D1974">
        <v>4</v>
      </c>
      <c r="E1974" t="s">
        <v>28</v>
      </c>
      <c r="F1974" t="s">
        <v>29</v>
      </c>
      <c r="G1974" t="str">
        <f>"2025-10-10 11:06:53.233"</f>
        <v>2025-10-10 11:06:53.233</v>
      </c>
      <c r="H1974" t="s">
        <v>21</v>
      </c>
      <c r="I1974">
        <v>0</v>
      </c>
      <c r="J1974" t="s">
        <v>30</v>
      </c>
    </row>
    <row r="1975" spans="1:10" x14ac:dyDescent="0.25">
      <c r="A1975" s="1">
        <v>4</v>
      </c>
      <c r="B1975" t="s">
        <v>19</v>
      </c>
      <c r="C1975">
        <v>700</v>
      </c>
      <c r="D1975">
        <v>0</v>
      </c>
      <c r="E1975" t="s">
        <v>20</v>
      </c>
      <c r="F1975" t="s">
        <v>20</v>
      </c>
      <c r="G1975" t="str">
        <f>"2025-10-10 11:05:26.823"</f>
        <v>2025-10-10 11:05:26.823</v>
      </c>
      <c r="H1975" t="s">
        <v>21</v>
      </c>
      <c r="I1975">
        <v>0</v>
      </c>
      <c r="J1975" t="s">
        <v>22</v>
      </c>
    </row>
    <row r="1976" spans="1:10" x14ac:dyDescent="0.25">
      <c r="A1976" s="1">
        <v>5</v>
      </c>
      <c r="B1976" t="s">
        <v>19</v>
      </c>
      <c r="C1976">
        <v>706</v>
      </c>
      <c r="D1976">
        <v>4</v>
      </c>
      <c r="E1976" t="s">
        <v>28</v>
      </c>
      <c r="F1976" t="s">
        <v>29</v>
      </c>
      <c r="G1976" t="str">
        <f>"2025-10-10 10:21:49.417"</f>
        <v>2025-10-10 10:21:49.417</v>
      </c>
      <c r="H1976" t="s">
        <v>21</v>
      </c>
      <c r="I1976">
        <v>0</v>
      </c>
      <c r="J1976" t="s">
        <v>30</v>
      </c>
    </row>
    <row r="1977" spans="1:10" x14ac:dyDescent="0.25">
      <c r="A1977" s="1">
        <v>6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"2025-10-10 10:09:15.817"</f>
        <v>2025-10-10 10:09:15.817</v>
      </c>
      <c r="H1977" t="s">
        <v>21</v>
      </c>
    </row>
    <row r="1978" spans="1:10" x14ac:dyDescent="0.25">
      <c r="A1978" s="1">
        <v>7</v>
      </c>
      <c r="B1978" t="s">
        <v>19</v>
      </c>
      <c r="C1978">
        <v>706</v>
      </c>
      <c r="D1978">
        <v>4</v>
      </c>
      <c r="E1978" t="s">
        <v>28</v>
      </c>
      <c r="F1978" t="s">
        <v>29</v>
      </c>
      <c r="G1978" t="str">
        <f>"2025-10-10 10:01:47.594"</f>
        <v>2025-10-10 10:01:47.594</v>
      </c>
      <c r="H1978" t="s">
        <v>21</v>
      </c>
      <c r="I1978">
        <v>0</v>
      </c>
      <c r="J1978" t="s">
        <v>30</v>
      </c>
    </row>
    <row r="1979" spans="1:10" x14ac:dyDescent="0.25">
      <c r="A1979" s="1">
        <v>8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"2025-10-10 09:35:30.864"</f>
        <v>2025-10-10 09:35:30.864</v>
      </c>
      <c r="H1979" t="s">
        <v>21</v>
      </c>
      <c r="I1979">
        <v>0</v>
      </c>
      <c r="J1979" t="s">
        <v>22</v>
      </c>
    </row>
    <row r="1980" spans="1:10" x14ac:dyDescent="0.25">
      <c r="A1980" s="1">
        <v>9</v>
      </c>
      <c r="B1980" t="s">
        <v>19</v>
      </c>
      <c r="C1980">
        <v>719</v>
      </c>
      <c r="D1980">
        <v>5</v>
      </c>
      <c r="E1980" t="s">
        <v>73</v>
      </c>
      <c r="F1980" t="s">
        <v>74</v>
      </c>
      <c r="G1980" t="str">
        <f>"2025-10-10 08:42:00.107"</f>
        <v>2025-10-10 08:42:00.107</v>
      </c>
      <c r="H1980" t="s">
        <v>21</v>
      </c>
      <c r="I1980">
        <v>0</v>
      </c>
      <c r="J1980" t="s">
        <v>30</v>
      </c>
    </row>
    <row r="1981" spans="1:10" x14ac:dyDescent="0.25">
      <c r="A1981" s="1">
        <v>10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"2025-10-10 01:20:07.836"</f>
        <v>2025-10-10 01:20:07.836</v>
      </c>
      <c r="H1981" t="s">
        <v>21</v>
      </c>
      <c r="I1981">
        <v>0</v>
      </c>
      <c r="J1981" t="s">
        <v>22</v>
      </c>
    </row>
    <row r="1982" spans="1:10" x14ac:dyDescent="0.25">
      <c r="A1982" s="1">
        <v>11</v>
      </c>
      <c r="B1982" t="s">
        <v>23</v>
      </c>
      <c r="C1982">
        <v>635</v>
      </c>
      <c r="D1982">
        <v>1</v>
      </c>
      <c r="E1982" t="s">
        <v>31</v>
      </c>
      <c r="F1982" t="s">
        <v>32</v>
      </c>
      <c r="G1982" t="str">
        <f>"2025-10-09 23:22:56.254"</f>
        <v>2025-10-09 23:22:56.254</v>
      </c>
      <c r="H1982" t="s">
        <v>21</v>
      </c>
    </row>
    <row r="1983" spans="1:10" x14ac:dyDescent="0.25">
      <c r="A1983" s="1">
        <v>12</v>
      </c>
      <c r="B1983" t="s">
        <v>26</v>
      </c>
      <c r="C1983">
        <v>635</v>
      </c>
      <c r="D1983">
        <v>1</v>
      </c>
      <c r="E1983" t="s">
        <v>31</v>
      </c>
      <c r="F1983" t="s">
        <v>32</v>
      </c>
      <c r="G1983" t="str">
        <f>"2025-10-09 23:19:55.254"</f>
        <v>2025-10-09 23:19:55.254</v>
      </c>
      <c r="H1983" t="s">
        <v>21</v>
      </c>
      <c r="I1983">
        <v>1.69</v>
      </c>
      <c r="J1983" t="s">
        <v>33</v>
      </c>
    </row>
    <row r="1984" spans="1:10" x14ac:dyDescent="0.25">
      <c r="A1984" s="1">
        <v>13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"2025-10-09 17:43:11.832"</f>
        <v>2025-10-09 17:43:11.832</v>
      </c>
      <c r="H1984" t="s">
        <v>21</v>
      </c>
      <c r="I1984">
        <v>0</v>
      </c>
      <c r="J1984" t="s">
        <v>22</v>
      </c>
    </row>
    <row r="1985" spans="1:10" x14ac:dyDescent="0.25">
      <c r="A1985" s="1">
        <v>14</v>
      </c>
      <c r="B1985" t="s">
        <v>23</v>
      </c>
      <c r="C1985">
        <v>635</v>
      </c>
      <c r="D1985">
        <v>1</v>
      </c>
      <c r="E1985" t="s">
        <v>31</v>
      </c>
      <c r="F1985" t="s">
        <v>32</v>
      </c>
      <c r="G1985" t="str">
        <f>"2025-10-09 15:13:56.799"</f>
        <v>2025-10-09 15:13:56.799</v>
      </c>
      <c r="H1985" t="s">
        <v>21</v>
      </c>
    </row>
    <row r="1986" spans="1:10" x14ac:dyDescent="0.25">
      <c r="A1986" s="1">
        <v>15</v>
      </c>
      <c r="B1986" t="s">
        <v>26</v>
      </c>
      <c r="C1986">
        <v>635</v>
      </c>
      <c r="D1986">
        <v>1</v>
      </c>
      <c r="E1986" t="s">
        <v>31</v>
      </c>
      <c r="F1986" t="s">
        <v>32</v>
      </c>
      <c r="G1986" t="str">
        <f>"2025-10-09 15:11:02.799"</f>
        <v>2025-10-09 15:11:02.799</v>
      </c>
      <c r="H1986" t="s">
        <v>21</v>
      </c>
      <c r="I1986">
        <v>2.19</v>
      </c>
      <c r="J1986" t="s">
        <v>33</v>
      </c>
    </row>
    <row r="1987" spans="1:10" x14ac:dyDescent="0.25">
      <c r="A1987" s="1">
        <v>16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"2025-10-09 10:22:21.826"</f>
        <v>2025-10-09 10:22:21.826</v>
      </c>
      <c r="H1987" t="s">
        <v>21</v>
      </c>
      <c r="I1987">
        <v>0</v>
      </c>
      <c r="J1987" t="s">
        <v>22</v>
      </c>
    </row>
    <row r="1988" spans="1:10" x14ac:dyDescent="0.25">
      <c r="A1988" s="1">
        <v>17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"2025-10-09 10:10:46.822"</f>
        <v>2025-10-09 10:10:46.822</v>
      </c>
      <c r="H1988" t="s">
        <v>21</v>
      </c>
    </row>
    <row r="1989" spans="1:10" x14ac:dyDescent="0.25">
      <c r="A1989" s="1">
        <v>18</v>
      </c>
      <c r="B1989" t="s">
        <v>23</v>
      </c>
      <c r="C1989">
        <v>635</v>
      </c>
      <c r="D1989">
        <v>1</v>
      </c>
      <c r="E1989" t="s">
        <v>31</v>
      </c>
      <c r="F1989" t="s">
        <v>32</v>
      </c>
      <c r="G1989" t="str">
        <f>"2025-10-09 09:20:13.795"</f>
        <v>2025-10-09 09:20:13.795</v>
      </c>
      <c r="H1989" t="s">
        <v>21</v>
      </c>
    </row>
    <row r="1990" spans="1:10" x14ac:dyDescent="0.25">
      <c r="A1990" s="1">
        <v>19</v>
      </c>
      <c r="B1990" t="s">
        <v>26</v>
      </c>
      <c r="C1990">
        <v>635</v>
      </c>
      <c r="D1990">
        <v>1</v>
      </c>
      <c r="E1990" t="s">
        <v>31</v>
      </c>
      <c r="F1990" t="s">
        <v>32</v>
      </c>
      <c r="G1990" t="str">
        <f>"2025-10-09 09:17:10.796"</f>
        <v>2025-10-09 09:17:10.796</v>
      </c>
      <c r="H1990" t="s">
        <v>21</v>
      </c>
      <c r="I1990">
        <v>2.37</v>
      </c>
      <c r="J1990" t="s">
        <v>27</v>
      </c>
    </row>
    <row r="1991" spans="1:10" x14ac:dyDescent="0.25">
      <c r="A1991" s="1">
        <v>20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"2025-10-09 08:20:29.815"</f>
        <v>2025-10-09 08:20:29.815</v>
      </c>
      <c r="H1991" t="s">
        <v>21</v>
      </c>
    </row>
    <row r="1992" spans="1:10" x14ac:dyDescent="0.25">
      <c r="A1992" s="1">
        <v>21</v>
      </c>
      <c r="B1992" t="s">
        <v>23</v>
      </c>
      <c r="C1992">
        <v>635</v>
      </c>
      <c r="D1992">
        <v>1</v>
      </c>
      <c r="E1992" t="s">
        <v>31</v>
      </c>
      <c r="F1992" t="s">
        <v>32</v>
      </c>
      <c r="G1992" t="str">
        <f>"2025-10-08 09:21:59.874"</f>
        <v>2025-10-08 09:21:59.874</v>
      </c>
      <c r="H1992" t="s">
        <v>21</v>
      </c>
    </row>
    <row r="1993" spans="1:10" x14ac:dyDescent="0.25">
      <c r="A1993" s="1">
        <v>22</v>
      </c>
      <c r="B1993" t="s">
        <v>26</v>
      </c>
      <c r="C1993">
        <v>635</v>
      </c>
      <c r="D1993">
        <v>1</v>
      </c>
      <c r="E1993" t="s">
        <v>31</v>
      </c>
      <c r="F1993" t="s">
        <v>32</v>
      </c>
      <c r="G1993" t="str">
        <f>"2025-10-08 09:17:44.875"</f>
        <v>2025-10-08 09:17:44.875</v>
      </c>
      <c r="H1993" t="s">
        <v>21</v>
      </c>
      <c r="I1993">
        <v>1.54</v>
      </c>
      <c r="J1993" t="s">
        <v>33</v>
      </c>
    </row>
    <row r="1994" spans="1:10" x14ac:dyDescent="0.25">
      <c r="A1994" s="1">
        <v>23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"2025-10-08 01:08:05.834"</f>
        <v>2025-10-08 01:08:05.834</v>
      </c>
      <c r="H1994" t="s">
        <v>21</v>
      </c>
    </row>
    <row r="1995" spans="1:10" x14ac:dyDescent="0.25">
      <c r="A1995" s="1">
        <v>24</v>
      </c>
      <c r="B1995" t="s">
        <v>19</v>
      </c>
      <c r="C1995">
        <v>706</v>
      </c>
      <c r="D1995">
        <v>4</v>
      </c>
      <c r="E1995" t="s">
        <v>28</v>
      </c>
      <c r="F1995" t="s">
        <v>29</v>
      </c>
      <c r="G1995" t="str">
        <f>"2025-10-06 17:40:23.043"</f>
        <v>2025-10-06 17:40:23.043</v>
      </c>
      <c r="H1995" t="s">
        <v>21</v>
      </c>
      <c r="I1995">
        <v>0</v>
      </c>
      <c r="J1995" t="s">
        <v>30</v>
      </c>
    </row>
    <row r="1996" spans="1:10" x14ac:dyDescent="0.25">
      <c r="A1996" s="1">
        <v>25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"2025-10-06 17:39:53.813"</f>
        <v>2025-10-06 17:39:53.813</v>
      </c>
      <c r="H1996" t="s">
        <v>21</v>
      </c>
    </row>
    <row r="1997" spans="1:10" x14ac:dyDescent="0.25">
      <c r="A1997" s="1">
        <v>26</v>
      </c>
      <c r="B1997" t="s">
        <v>38</v>
      </c>
      <c r="C1997">
        <v>630</v>
      </c>
      <c r="D1997">
        <v>5</v>
      </c>
      <c r="E1997" t="s">
        <v>35</v>
      </c>
      <c r="F1997" t="s">
        <v>36</v>
      </c>
      <c r="G1997" t="str">
        <f>"2025-10-06 16:52:56.541"</f>
        <v>2025-10-06 16:52:56.541</v>
      </c>
      <c r="H1997" t="s">
        <v>37</v>
      </c>
      <c r="I1997">
        <v>0</v>
      </c>
      <c r="J1997" t="s">
        <v>30</v>
      </c>
    </row>
    <row r="1998" spans="1:10" x14ac:dyDescent="0.25">
      <c r="A1998" s="1">
        <v>27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"2025-10-06 16:47:53.851"</f>
        <v>2025-10-06 16:47:53.851</v>
      </c>
      <c r="H1998" t="s">
        <v>21</v>
      </c>
      <c r="I1998">
        <v>0</v>
      </c>
      <c r="J1998" t="s">
        <v>22</v>
      </c>
    </row>
    <row r="1999" spans="1:10" s="3" customFormat="1" x14ac:dyDescent="0.25">
      <c r="A1999" s="2">
        <v>28</v>
      </c>
      <c r="B1999" s="3" t="s">
        <v>23</v>
      </c>
      <c r="C1999" s="3">
        <v>647</v>
      </c>
      <c r="D1999" s="3">
        <v>1</v>
      </c>
      <c r="E1999" s="3" t="s">
        <v>24</v>
      </c>
      <c r="F1999" s="3" t="s">
        <v>25</v>
      </c>
      <c r="G1999" s="3" t="str">
        <f>"2025-10-06 14:48:40.702"</f>
        <v>2025-10-06 14:48:40.702</v>
      </c>
      <c r="H1999" s="3" t="s">
        <v>21</v>
      </c>
    </row>
    <row r="2000" spans="1:10" s="3" customFormat="1" x14ac:dyDescent="0.25">
      <c r="A2000" s="2">
        <v>29</v>
      </c>
      <c r="B2000" s="3" t="s">
        <v>26</v>
      </c>
      <c r="C2000" s="3">
        <v>647</v>
      </c>
      <c r="D2000" s="3">
        <v>1</v>
      </c>
      <c r="E2000" s="3" t="s">
        <v>24</v>
      </c>
      <c r="F2000" s="3" t="s">
        <v>25</v>
      </c>
      <c r="G2000" s="3" t="str">
        <f>"2025-10-06 14:48:36.402"</f>
        <v>2025-10-06 14:48:36.402</v>
      </c>
      <c r="H2000" s="3" t="s">
        <v>21</v>
      </c>
      <c r="I2000" s="3">
        <v>14.66</v>
      </c>
      <c r="J2000" s="3" t="s">
        <v>27</v>
      </c>
    </row>
    <row r="2001" spans="1:10" x14ac:dyDescent="0.25">
      <c r="A2001" s="1">
        <v>30</v>
      </c>
      <c r="B2001" t="s">
        <v>19</v>
      </c>
      <c r="C2001">
        <v>706</v>
      </c>
      <c r="D2001">
        <v>2</v>
      </c>
      <c r="E2001" t="s">
        <v>28</v>
      </c>
      <c r="F2001" t="s">
        <v>39</v>
      </c>
      <c r="G2001" t="str">
        <f>"2025-10-06 14:02:30.840"</f>
        <v>2025-10-06 14:02:30.840</v>
      </c>
      <c r="H2001" t="s">
        <v>21</v>
      </c>
      <c r="I2001">
        <v>0</v>
      </c>
      <c r="J2001" t="s">
        <v>30</v>
      </c>
    </row>
    <row r="2002" spans="1:10" x14ac:dyDescent="0.25">
      <c r="A2002" s="1">
        <v>31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"2025-10-06 13:28:34.870"</f>
        <v>2025-10-06 13:28:34.870</v>
      </c>
      <c r="H2002" t="s">
        <v>21</v>
      </c>
      <c r="I2002">
        <v>0</v>
      </c>
      <c r="J2002" t="s">
        <v>22</v>
      </c>
    </row>
    <row r="2003" spans="1:10" x14ac:dyDescent="0.25">
      <c r="A2003" s="1">
        <v>32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"2025-10-06 11:52:40.816"</f>
        <v>2025-10-06 11:52:40.816</v>
      </c>
      <c r="H2003" t="s">
        <v>21</v>
      </c>
    </row>
    <row r="2004" spans="1:10" x14ac:dyDescent="0.25">
      <c r="A2004" s="1">
        <v>33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"2025-10-06 10:55:47.819"</f>
        <v>2025-10-06 10:55:47.819</v>
      </c>
      <c r="H2004" t="s">
        <v>21</v>
      </c>
    </row>
    <row r="2005" spans="1:10" x14ac:dyDescent="0.25">
      <c r="A2005" s="1">
        <v>34</v>
      </c>
      <c r="B2005" t="s">
        <v>19</v>
      </c>
      <c r="C2005">
        <v>706</v>
      </c>
      <c r="D2005">
        <v>2</v>
      </c>
      <c r="E2005" t="s">
        <v>28</v>
      </c>
      <c r="F2005" t="s">
        <v>39</v>
      </c>
      <c r="G2005" t="str">
        <f>"2025-10-06 10:36:54.887"</f>
        <v>2025-10-06 10:36:54.887</v>
      </c>
      <c r="H2005" t="s">
        <v>21</v>
      </c>
      <c r="I2005">
        <v>0</v>
      </c>
      <c r="J2005" t="s">
        <v>30</v>
      </c>
    </row>
    <row r="2006" spans="1:10" x14ac:dyDescent="0.25">
      <c r="A2006" s="1">
        <v>35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"2025-10-06 10:35:17.817"</f>
        <v>2025-10-06 10:35:17.817</v>
      </c>
      <c r="H2006" t="s">
        <v>21</v>
      </c>
      <c r="I2006">
        <v>0</v>
      </c>
      <c r="J2006" t="s">
        <v>22</v>
      </c>
    </row>
    <row r="2007" spans="1:10" x14ac:dyDescent="0.25">
      <c r="A2007" s="1">
        <v>36</v>
      </c>
      <c r="B2007" t="s">
        <v>19</v>
      </c>
      <c r="C2007">
        <v>706</v>
      </c>
      <c r="D2007">
        <v>4</v>
      </c>
      <c r="E2007" t="s">
        <v>28</v>
      </c>
      <c r="F2007" t="s">
        <v>29</v>
      </c>
      <c r="G2007" t="str">
        <f>"2025-10-06 10:11:37.223"</f>
        <v>2025-10-06 10:11:37.223</v>
      </c>
      <c r="H2007" t="s">
        <v>21</v>
      </c>
      <c r="I2007">
        <v>0</v>
      </c>
      <c r="J2007" t="s">
        <v>30</v>
      </c>
    </row>
    <row r="2008" spans="1:10" x14ac:dyDescent="0.25">
      <c r="A2008" s="1">
        <v>37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"2025-10-06 10:02:25.813"</f>
        <v>2025-10-06 10:02:25.813</v>
      </c>
      <c r="H2008" t="s">
        <v>21</v>
      </c>
      <c r="I2008">
        <v>0</v>
      </c>
      <c r="J2008" t="s">
        <v>22</v>
      </c>
    </row>
    <row r="2009" spans="1:10" x14ac:dyDescent="0.25">
      <c r="A2009" s="1">
        <v>38</v>
      </c>
      <c r="B2009" t="s">
        <v>23</v>
      </c>
      <c r="C2009">
        <v>630</v>
      </c>
      <c r="D2009">
        <v>5</v>
      </c>
      <c r="E2009" t="s">
        <v>35</v>
      </c>
      <c r="F2009" t="s">
        <v>36</v>
      </c>
      <c r="G2009" t="str">
        <f>"2025-10-06 09:34:53.034"</f>
        <v>2025-10-06 09:34:53.034</v>
      </c>
      <c r="H2009" t="s">
        <v>37</v>
      </c>
    </row>
    <row r="2010" spans="1:10" x14ac:dyDescent="0.25">
      <c r="A2010" s="1">
        <v>39</v>
      </c>
      <c r="B2010" t="s">
        <v>38</v>
      </c>
      <c r="C2010">
        <v>630</v>
      </c>
      <c r="D2010">
        <v>5</v>
      </c>
      <c r="E2010" t="s">
        <v>35</v>
      </c>
      <c r="F2010" t="s">
        <v>36</v>
      </c>
      <c r="G2010" t="str">
        <f>"2025-10-06 08:57:32.635"</f>
        <v>2025-10-06 08:57:32.635</v>
      </c>
      <c r="H2010" t="s">
        <v>37</v>
      </c>
      <c r="I2010">
        <v>0</v>
      </c>
      <c r="J2010" t="s">
        <v>30</v>
      </c>
    </row>
    <row r="2011" spans="1:10" x14ac:dyDescent="0.25">
      <c r="A2011" s="1">
        <v>40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"2025-10-06 08:52:29.804"</f>
        <v>2025-10-06 08:52:29.804</v>
      </c>
      <c r="H2011" t="s">
        <v>21</v>
      </c>
    </row>
    <row r="2012" spans="1:10" s="3" customFormat="1" x14ac:dyDescent="0.25">
      <c r="A2012" s="2">
        <v>41</v>
      </c>
      <c r="B2012" s="3" t="s">
        <v>23</v>
      </c>
      <c r="C2012" s="3">
        <v>647</v>
      </c>
      <c r="D2012" s="3">
        <v>1</v>
      </c>
      <c r="E2012" s="3" t="s">
        <v>24</v>
      </c>
      <c r="F2012" s="3" t="s">
        <v>25</v>
      </c>
      <c r="G2012" s="3" t="str">
        <f>"2025-10-06 04:35:35.107"</f>
        <v>2025-10-06 04:35:35.107</v>
      </c>
      <c r="H2012" s="3" t="s">
        <v>21</v>
      </c>
    </row>
    <row r="2013" spans="1:10" s="3" customFormat="1" x14ac:dyDescent="0.25">
      <c r="A2013" s="2">
        <v>42</v>
      </c>
      <c r="B2013" s="3" t="s">
        <v>26</v>
      </c>
      <c r="C2013" s="3">
        <v>647</v>
      </c>
      <c r="D2013" s="3">
        <v>1</v>
      </c>
      <c r="E2013" s="3" t="s">
        <v>24</v>
      </c>
      <c r="F2013" s="3" t="s">
        <v>25</v>
      </c>
      <c r="G2013" s="3" t="str">
        <f>"2025-10-06 04:35:32.007"</f>
        <v>2025-10-06 04:35:32.007</v>
      </c>
      <c r="H2013" s="3" t="s">
        <v>21</v>
      </c>
      <c r="I2013" s="3">
        <v>8.7200000000000006</v>
      </c>
      <c r="J2013" s="3" t="s">
        <v>27</v>
      </c>
    </row>
    <row r="2014" spans="1:10" x14ac:dyDescent="0.25">
      <c r="A2014" s="1">
        <v>43</v>
      </c>
      <c r="B2014" t="s">
        <v>23</v>
      </c>
      <c r="C2014">
        <v>635</v>
      </c>
      <c r="D2014">
        <v>1</v>
      </c>
      <c r="E2014" t="s">
        <v>31</v>
      </c>
      <c r="F2014" t="s">
        <v>32</v>
      </c>
      <c r="G2014" t="str">
        <f>"2025-10-06 00:31:53.559"</f>
        <v>2025-10-06 00:31:53.559</v>
      </c>
      <c r="H2014" t="s">
        <v>21</v>
      </c>
    </row>
    <row r="2015" spans="1:10" x14ac:dyDescent="0.25">
      <c r="A2015" s="1">
        <v>44</v>
      </c>
      <c r="B2015" t="s">
        <v>26</v>
      </c>
      <c r="C2015">
        <v>635</v>
      </c>
      <c r="D2015">
        <v>1</v>
      </c>
      <c r="E2015" t="s">
        <v>31</v>
      </c>
      <c r="F2015" t="s">
        <v>32</v>
      </c>
      <c r="G2015" t="str">
        <f>"2025-10-06 00:28:59.059"</f>
        <v>2025-10-06 00:28:59.059</v>
      </c>
      <c r="H2015" t="s">
        <v>21</v>
      </c>
      <c r="I2015">
        <v>0.04</v>
      </c>
      <c r="J2015" t="s">
        <v>34</v>
      </c>
    </row>
    <row r="2016" spans="1:10" x14ac:dyDescent="0.25">
      <c r="A2016" s="1">
        <v>45</v>
      </c>
      <c r="B2016" t="s">
        <v>23</v>
      </c>
      <c r="C2016">
        <v>630</v>
      </c>
      <c r="D2016">
        <v>5</v>
      </c>
      <c r="E2016" t="s">
        <v>35</v>
      </c>
      <c r="F2016" t="s">
        <v>36</v>
      </c>
      <c r="G2016" t="str">
        <f>"2025-10-04 18:34:46.007"</f>
        <v>2025-10-04 18:34:46.007</v>
      </c>
      <c r="H2016" t="s">
        <v>37</v>
      </c>
    </row>
    <row r="2017" spans="1:10" x14ac:dyDescent="0.25">
      <c r="A2017" s="1">
        <v>46</v>
      </c>
      <c r="B2017" t="s">
        <v>19</v>
      </c>
      <c r="C2017">
        <v>706</v>
      </c>
      <c r="D2017">
        <v>2</v>
      </c>
      <c r="E2017" t="s">
        <v>28</v>
      </c>
      <c r="F2017" t="s">
        <v>39</v>
      </c>
      <c r="G2017" t="str">
        <f>"2025-10-04 18:34:15.819"</f>
        <v>2025-10-04 18:34:15.819</v>
      </c>
      <c r="H2017" t="s">
        <v>21</v>
      </c>
      <c r="I2017">
        <v>0</v>
      </c>
      <c r="J2017" t="s">
        <v>30</v>
      </c>
    </row>
    <row r="2018" spans="1:10" x14ac:dyDescent="0.25">
      <c r="A2018" s="1">
        <v>47</v>
      </c>
      <c r="B2018" t="s">
        <v>38</v>
      </c>
      <c r="C2018">
        <v>630</v>
      </c>
      <c r="D2018">
        <v>5</v>
      </c>
      <c r="E2018" t="s">
        <v>35</v>
      </c>
      <c r="F2018" t="s">
        <v>36</v>
      </c>
      <c r="G2018" t="str">
        <f>"2025-10-04 18:09:37.608"</f>
        <v>2025-10-04 18:09:37.608</v>
      </c>
      <c r="H2018" t="s">
        <v>37</v>
      </c>
      <c r="I2018">
        <v>0</v>
      </c>
      <c r="J2018" t="s">
        <v>30</v>
      </c>
    </row>
    <row r="2019" spans="1:10" x14ac:dyDescent="0.25">
      <c r="A2019" s="1">
        <v>48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"2025-10-04 18:04:34.819"</f>
        <v>2025-10-04 18:04:34.819</v>
      </c>
      <c r="H2019" t="s">
        <v>21</v>
      </c>
      <c r="I2019">
        <v>0</v>
      </c>
      <c r="J2019" t="s">
        <v>22</v>
      </c>
    </row>
    <row r="2020" spans="1:10" x14ac:dyDescent="0.25">
      <c r="A2020" s="1">
        <v>49</v>
      </c>
      <c r="B2020" t="s">
        <v>23</v>
      </c>
      <c r="C2020">
        <v>630</v>
      </c>
      <c r="D2020">
        <v>5</v>
      </c>
      <c r="E2020" t="s">
        <v>35</v>
      </c>
      <c r="F2020" t="s">
        <v>36</v>
      </c>
      <c r="G2020" t="str">
        <f>"2025-10-04 09:32:29.336"</f>
        <v>2025-10-04 09:32:29.336</v>
      </c>
      <c r="H2020" t="s">
        <v>37</v>
      </c>
    </row>
    <row r="2021" spans="1:10" x14ac:dyDescent="0.25">
      <c r="A2021" s="1">
        <v>50</v>
      </c>
      <c r="B2021" t="s">
        <v>19</v>
      </c>
      <c r="C2021">
        <v>706</v>
      </c>
      <c r="D2021">
        <v>4</v>
      </c>
      <c r="E2021" t="s">
        <v>28</v>
      </c>
      <c r="F2021" t="s">
        <v>29</v>
      </c>
      <c r="G2021" t="str">
        <f>"2025-10-04 09:31:59.185"</f>
        <v>2025-10-04 09:31:59.185</v>
      </c>
      <c r="H2021" t="s">
        <v>21</v>
      </c>
      <c r="I2021">
        <v>0</v>
      </c>
      <c r="J2021" t="s">
        <v>30</v>
      </c>
    </row>
    <row r="2022" spans="1:10" x14ac:dyDescent="0.25">
      <c r="A2022" s="1">
        <v>51</v>
      </c>
      <c r="B2022" t="s">
        <v>38</v>
      </c>
      <c r="C2022">
        <v>630</v>
      </c>
      <c r="D2022">
        <v>5</v>
      </c>
      <c r="E2022" t="s">
        <v>35</v>
      </c>
      <c r="F2022" t="s">
        <v>36</v>
      </c>
      <c r="G2022" t="str">
        <f>"2025-10-04 09:31:27.536"</f>
        <v>2025-10-04 09:31:27.536</v>
      </c>
      <c r="H2022" t="s">
        <v>37</v>
      </c>
      <c r="I2022">
        <v>0</v>
      </c>
      <c r="J2022" t="s">
        <v>30</v>
      </c>
    </row>
    <row r="2023" spans="1:10" x14ac:dyDescent="0.25">
      <c r="A2023" s="1">
        <v>52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"2025-10-02 11:05:06.795"</f>
        <v>2025-10-02 11:05:06.795</v>
      </c>
      <c r="H2023" t="s">
        <v>21</v>
      </c>
    </row>
    <row r="2024" spans="1:10" x14ac:dyDescent="0.25">
      <c r="A2024" s="1">
        <v>53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"2025-10-02 09:43:12.810"</f>
        <v>2025-10-02 09:43:12.810</v>
      </c>
      <c r="H2024" t="s">
        <v>21</v>
      </c>
    </row>
    <row r="2025" spans="1:10" x14ac:dyDescent="0.25">
      <c r="A2025" s="1">
        <v>54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"2025-10-02 03:04:51.868"</f>
        <v>2025-10-02 03:04:51.868</v>
      </c>
      <c r="H2025" t="s">
        <v>21</v>
      </c>
      <c r="I2025">
        <v>0</v>
      </c>
      <c r="J2025" t="s">
        <v>22</v>
      </c>
    </row>
    <row r="2026" spans="1:10" x14ac:dyDescent="0.25">
      <c r="A2026" s="1">
        <v>55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"2025-10-02 03:00:24.811"</f>
        <v>2025-10-02 03:00:24.811</v>
      </c>
      <c r="H2026" t="s">
        <v>21</v>
      </c>
    </row>
    <row r="2027" spans="1:10" x14ac:dyDescent="0.25">
      <c r="A2027" s="1">
        <v>56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"2025-10-02 02:45:25.968"</f>
        <v>2025-10-02 02:45:25.968</v>
      </c>
      <c r="H2027" t="s">
        <v>21</v>
      </c>
      <c r="I2027">
        <v>0</v>
      </c>
      <c r="J2027" t="s">
        <v>22</v>
      </c>
    </row>
    <row r="2028" spans="1:10" x14ac:dyDescent="0.25">
      <c r="A2028" s="1">
        <v>57</v>
      </c>
      <c r="B2028" t="s">
        <v>23</v>
      </c>
      <c r="C2028">
        <v>635</v>
      </c>
      <c r="D2028">
        <v>1</v>
      </c>
      <c r="E2028" t="s">
        <v>31</v>
      </c>
      <c r="F2028" t="s">
        <v>32</v>
      </c>
      <c r="G2028" t="str">
        <f>"2025-09-30 09:27:08.312"</f>
        <v>2025-09-30 09:27:08.312</v>
      </c>
      <c r="H2028" t="s">
        <v>21</v>
      </c>
    </row>
    <row r="2029" spans="1:10" x14ac:dyDescent="0.25">
      <c r="A2029" s="1">
        <v>58</v>
      </c>
      <c r="B2029" t="s">
        <v>26</v>
      </c>
      <c r="C2029">
        <v>635</v>
      </c>
      <c r="D2029">
        <v>1</v>
      </c>
      <c r="E2029" t="s">
        <v>31</v>
      </c>
      <c r="F2029" t="s">
        <v>32</v>
      </c>
      <c r="G2029" t="str">
        <f>"2025-09-30 09:23:25.313"</f>
        <v>2025-09-30 09:23:25.313</v>
      </c>
      <c r="H2029" t="s">
        <v>21</v>
      </c>
      <c r="I2029">
        <v>1.75</v>
      </c>
      <c r="J2029" t="s">
        <v>27</v>
      </c>
    </row>
    <row r="2030" spans="1:10" x14ac:dyDescent="0.25">
      <c r="A2030" s="1">
        <v>59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"2025-09-29 17:25:31.832"</f>
        <v>2025-09-29 17:25:31.832</v>
      </c>
      <c r="H2030" t="s">
        <v>21</v>
      </c>
      <c r="I2030">
        <v>0</v>
      </c>
      <c r="J2030" t="s">
        <v>22</v>
      </c>
    </row>
    <row r="2031" spans="1:10" x14ac:dyDescent="0.25">
      <c r="A2031" s="1">
        <v>60</v>
      </c>
      <c r="B2031" t="s">
        <v>19</v>
      </c>
      <c r="C2031">
        <v>706</v>
      </c>
      <c r="D2031">
        <v>2</v>
      </c>
      <c r="E2031" t="s">
        <v>28</v>
      </c>
      <c r="F2031" t="s">
        <v>39</v>
      </c>
      <c r="G2031" t="str">
        <f>"2025-09-29 16:46:17.984"</f>
        <v>2025-09-29 16:46:17.984</v>
      </c>
      <c r="H2031" t="s">
        <v>21</v>
      </c>
      <c r="I2031">
        <v>0</v>
      </c>
      <c r="J2031" t="s">
        <v>30</v>
      </c>
    </row>
    <row r="2032" spans="1:10" x14ac:dyDescent="0.25">
      <c r="A2032" s="1">
        <v>61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"2025-09-29 16:46:01.814"</f>
        <v>2025-09-29 16:46:01.814</v>
      </c>
      <c r="H2032" t="s">
        <v>21</v>
      </c>
    </row>
    <row r="2033" spans="1:10" x14ac:dyDescent="0.25">
      <c r="A2033" s="1">
        <v>62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"2025-09-29 15:45:49.846"</f>
        <v>2025-09-29 15:45:49.846</v>
      </c>
      <c r="H2033" t="s">
        <v>21</v>
      </c>
    </row>
    <row r="2034" spans="1:10" x14ac:dyDescent="0.25">
      <c r="A2034" s="1">
        <v>64</v>
      </c>
      <c r="B2034" t="s">
        <v>23</v>
      </c>
      <c r="C2034">
        <v>635</v>
      </c>
      <c r="D2034">
        <v>1</v>
      </c>
      <c r="E2034" t="s">
        <v>31</v>
      </c>
      <c r="F2034" t="s">
        <v>32</v>
      </c>
      <c r="G2034" t="str">
        <f>"2025-09-27 06:09:18.406"</f>
        <v>2025-09-27 06:09:18.406</v>
      </c>
      <c r="H2034" t="s">
        <v>21</v>
      </c>
    </row>
    <row r="2035" spans="1:10" x14ac:dyDescent="0.25">
      <c r="A2035" s="1">
        <v>65</v>
      </c>
      <c r="B2035" t="s">
        <v>26</v>
      </c>
      <c r="C2035">
        <v>635</v>
      </c>
      <c r="D2035">
        <v>1</v>
      </c>
      <c r="E2035" t="s">
        <v>31</v>
      </c>
      <c r="F2035" t="s">
        <v>32</v>
      </c>
      <c r="G2035" t="str">
        <f>"2025-09-27 06:06:23.406"</f>
        <v>2025-09-27 06:06:23.406</v>
      </c>
      <c r="H2035" t="s">
        <v>21</v>
      </c>
      <c r="I2035">
        <v>-0.08</v>
      </c>
      <c r="J2035" t="s">
        <v>33</v>
      </c>
    </row>
    <row r="2036" spans="1:10" s="3" customFormat="1" x14ac:dyDescent="0.25">
      <c r="A2036" s="2">
        <v>66</v>
      </c>
      <c r="B2036" s="3" t="s">
        <v>23</v>
      </c>
      <c r="C2036" s="3">
        <v>647</v>
      </c>
      <c r="D2036" s="3">
        <v>1</v>
      </c>
      <c r="E2036" s="3" t="s">
        <v>24</v>
      </c>
      <c r="F2036" s="3" t="s">
        <v>25</v>
      </c>
      <c r="G2036" s="3" t="str">
        <f>"2025-09-27 00:24:30.807"</f>
        <v>2025-09-27 00:24:30.807</v>
      </c>
      <c r="H2036" s="3" t="s">
        <v>21</v>
      </c>
    </row>
    <row r="2037" spans="1:10" s="3" customFormat="1" x14ac:dyDescent="0.25">
      <c r="A2037" s="2">
        <v>67</v>
      </c>
      <c r="B2037" s="3" t="s">
        <v>26</v>
      </c>
      <c r="C2037" s="3">
        <v>647</v>
      </c>
      <c r="D2037" s="3">
        <v>1</v>
      </c>
      <c r="E2037" s="3" t="s">
        <v>24</v>
      </c>
      <c r="F2037" s="3" t="s">
        <v>25</v>
      </c>
      <c r="G2037" s="3" t="str">
        <f>"2025-09-27 00:24:27.907"</f>
        <v>2025-09-27 00:24:27.907</v>
      </c>
      <c r="H2037" s="3" t="s">
        <v>21</v>
      </c>
      <c r="I2037" s="3">
        <v>8.19</v>
      </c>
      <c r="J2037" s="3" t="s">
        <v>27</v>
      </c>
    </row>
    <row r="2038" spans="1:10" x14ac:dyDescent="0.25">
      <c r="A2038" s="1">
        <v>68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"2025-09-26 22:17:15.815"</f>
        <v>2025-09-26 22:17:15.815</v>
      </c>
      <c r="H2038" t="s">
        <v>21</v>
      </c>
    </row>
    <row r="2039" spans="1:10" x14ac:dyDescent="0.25">
      <c r="A2039" s="1">
        <v>69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"2025-09-26 22:00:55.815"</f>
        <v>2025-09-26 22:00:55.815</v>
      </c>
      <c r="H2039" t="s">
        <v>21</v>
      </c>
    </row>
    <row r="2040" spans="1:10" x14ac:dyDescent="0.25">
      <c r="A2040" s="1">
        <v>70</v>
      </c>
      <c r="B2040" t="s">
        <v>19</v>
      </c>
      <c r="C2040">
        <v>706</v>
      </c>
      <c r="D2040">
        <v>4</v>
      </c>
      <c r="E2040" t="s">
        <v>28</v>
      </c>
      <c r="F2040" t="s">
        <v>29</v>
      </c>
      <c r="G2040" t="str">
        <f>"2025-09-26 21:47:58.049"</f>
        <v>2025-09-26 21:47:58.049</v>
      </c>
      <c r="H2040" t="s">
        <v>21</v>
      </c>
      <c r="I2040">
        <v>0</v>
      </c>
      <c r="J2040" t="s">
        <v>30</v>
      </c>
    </row>
    <row r="2041" spans="1:10" x14ac:dyDescent="0.25">
      <c r="A2041" s="1">
        <v>71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"2025-09-26 21:46:26.819"</f>
        <v>2025-09-26 21:46:26.819</v>
      </c>
      <c r="H2041" t="s">
        <v>21</v>
      </c>
    </row>
    <row r="2042" spans="1:10" x14ac:dyDescent="0.25">
      <c r="A2042" s="1">
        <v>72</v>
      </c>
      <c r="B2042" t="s">
        <v>23</v>
      </c>
      <c r="C2042">
        <v>61</v>
      </c>
      <c r="D2042">
        <v>2</v>
      </c>
      <c r="E2042" t="s">
        <v>75</v>
      </c>
      <c r="F2042" t="s">
        <v>76</v>
      </c>
      <c r="G2042" t="str">
        <f>"2025-09-26 20:45:07.870"</f>
        <v>2025-09-26 20:45:07.870</v>
      </c>
      <c r="H2042" t="s">
        <v>21</v>
      </c>
    </row>
    <row r="2043" spans="1:10" x14ac:dyDescent="0.25">
      <c r="A2043" s="1">
        <v>73</v>
      </c>
      <c r="B2043" t="s">
        <v>38</v>
      </c>
      <c r="C2043">
        <v>61</v>
      </c>
      <c r="D2043">
        <v>2</v>
      </c>
      <c r="E2043" t="s">
        <v>75</v>
      </c>
      <c r="F2043" t="s">
        <v>76</v>
      </c>
      <c r="G2043" t="str">
        <f>"2025-09-26 20:44:52.470"</f>
        <v>2025-09-26 20:44:52.470</v>
      </c>
      <c r="H2043" t="s">
        <v>21</v>
      </c>
      <c r="I2043">
        <v>37.83</v>
      </c>
      <c r="J2043" t="s">
        <v>27</v>
      </c>
    </row>
    <row r="2044" spans="1:10" x14ac:dyDescent="0.25">
      <c r="A2044" s="1">
        <v>74</v>
      </c>
      <c r="B2044" t="s">
        <v>19</v>
      </c>
      <c r="C2044">
        <v>706</v>
      </c>
      <c r="D2044">
        <v>4</v>
      </c>
      <c r="E2044" t="s">
        <v>28</v>
      </c>
      <c r="F2044" t="s">
        <v>29</v>
      </c>
      <c r="G2044" t="str">
        <f>"2025-09-26 16:09:57.918"</f>
        <v>2025-09-26 16:09:57.918</v>
      </c>
      <c r="H2044" t="s">
        <v>21</v>
      </c>
      <c r="I2044">
        <v>0</v>
      </c>
      <c r="J2044" t="s">
        <v>30</v>
      </c>
    </row>
    <row r="2045" spans="1:10" x14ac:dyDescent="0.25">
      <c r="A2045" s="1">
        <v>75</v>
      </c>
      <c r="B2045" t="s">
        <v>23</v>
      </c>
      <c r="C2045">
        <v>635</v>
      </c>
      <c r="D2045">
        <v>1</v>
      </c>
      <c r="E2045" t="s">
        <v>31</v>
      </c>
      <c r="F2045" t="s">
        <v>32</v>
      </c>
      <c r="G2045" t="str">
        <f>"2025-09-25 21:03:09.029"</f>
        <v>2025-09-25 21:03:09.029</v>
      </c>
      <c r="H2045" t="s">
        <v>21</v>
      </c>
    </row>
    <row r="2046" spans="1:10" x14ac:dyDescent="0.25">
      <c r="A2046" s="1">
        <v>76</v>
      </c>
      <c r="B2046" t="s">
        <v>26</v>
      </c>
      <c r="C2046">
        <v>635</v>
      </c>
      <c r="D2046">
        <v>1</v>
      </c>
      <c r="E2046" t="s">
        <v>31</v>
      </c>
      <c r="F2046" t="s">
        <v>32</v>
      </c>
      <c r="G2046" t="str">
        <f>"2025-09-25 21:00:37.529"</f>
        <v>2025-09-25 21:00:37.529</v>
      </c>
      <c r="H2046" t="s">
        <v>21</v>
      </c>
      <c r="I2046">
        <v>0</v>
      </c>
      <c r="J2046" t="s">
        <v>34</v>
      </c>
    </row>
    <row r="2047" spans="1:10" x14ac:dyDescent="0.25">
      <c r="A2047" s="1">
        <v>77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"2025-09-25 17:46:28.848"</f>
        <v>2025-09-25 17:46:28.848</v>
      </c>
      <c r="H2047" t="s">
        <v>21</v>
      </c>
      <c r="I2047">
        <v>0</v>
      </c>
      <c r="J2047" t="s">
        <v>22</v>
      </c>
    </row>
    <row r="2048" spans="1:10" s="3" customFormat="1" x14ac:dyDescent="0.25">
      <c r="A2048" s="2">
        <v>78</v>
      </c>
      <c r="B2048" s="3" t="s">
        <v>23</v>
      </c>
      <c r="C2048" s="3">
        <v>647</v>
      </c>
      <c r="D2048" s="3">
        <v>1</v>
      </c>
      <c r="E2048" s="3" t="s">
        <v>24</v>
      </c>
      <c r="F2048" s="3" t="s">
        <v>25</v>
      </c>
      <c r="G2048" s="3" t="str">
        <f>"2025-09-24 23:14:21.353"</f>
        <v>2025-09-24 23:14:21.353</v>
      </c>
      <c r="H2048" s="3" t="s">
        <v>21</v>
      </c>
    </row>
    <row r="2049" spans="1:10" s="3" customFormat="1" x14ac:dyDescent="0.25">
      <c r="A2049" s="2">
        <v>79</v>
      </c>
      <c r="B2049" s="3" t="s">
        <v>26</v>
      </c>
      <c r="C2049" s="3">
        <v>647</v>
      </c>
      <c r="D2049" s="3">
        <v>1</v>
      </c>
      <c r="E2049" s="3" t="s">
        <v>24</v>
      </c>
      <c r="F2049" s="3" t="s">
        <v>25</v>
      </c>
      <c r="G2049" s="3" t="str">
        <f>"2025-09-24 23:14:20.253"</f>
        <v>2025-09-24 23:14:20.253</v>
      </c>
      <c r="H2049" s="3" t="s">
        <v>21</v>
      </c>
      <c r="I2049" s="3">
        <v>19.43</v>
      </c>
      <c r="J2049" s="3" t="s">
        <v>27</v>
      </c>
    </row>
    <row r="2050" spans="1:10" s="3" customFormat="1" x14ac:dyDescent="0.25">
      <c r="A2050" s="2">
        <v>80</v>
      </c>
      <c r="B2050" s="3" t="s">
        <v>23</v>
      </c>
      <c r="C2050" s="3">
        <v>647</v>
      </c>
      <c r="D2050" s="3">
        <v>1</v>
      </c>
      <c r="E2050" s="3" t="s">
        <v>24</v>
      </c>
      <c r="F2050" s="3" t="s">
        <v>25</v>
      </c>
      <c r="G2050" s="3" t="str">
        <f>"2025-09-24 07:08:04.554"</f>
        <v>2025-09-24 07:08:04.554</v>
      </c>
      <c r="H2050" s="3" t="s">
        <v>21</v>
      </c>
    </row>
    <row r="2051" spans="1:10" s="3" customFormat="1" x14ac:dyDescent="0.25">
      <c r="A2051" s="2">
        <v>81</v>
      </c>
      <c r="B2051" s="3" t="s">
        <v>26</v>
      </c>
      <c r="C2051" s="3">
        <v>647</v>
      </c>
      <c r="D2051" s="3">
        <v>1</v>
      </c>
      <c r="E2051" s="3" t="s">
        <v>24</v>
      </c>
      <c r="F2051" s="3" t="s">
        <v>25</v>
      </c>
      <c r="G2051" s="3" t="str">
        <f>"2025-09-24 07:08:03.253"</f>
        <v>2025-09-24 07:08:03.253</v>
      </c>
      <c r="H2051" s="3" t="s">
        <v>21</v>
      </c>
      <c r="I2051" s="3">
        <v>19.809999999999999</v>
      </c>
      <c r="J2051" s="3" t="s">
        <v>27</v>
      </c>
    </row>
    <row r="2052" spans="1:10" s="3" customFormat="1" x14ac:dyDescent="0.25">
      <c r="A2052" s="2">
        <v>82</v>
      </c>
      <c r="B2052" s="3" t="s">
        <v>23</v>
      </c>
      <c r="C2052" s="3">
        <v>647</v>
      </c>
      <c r="D2052" s="3">
        <v>1</v>
      </c>
      <c r="E2052" s="3" t="s">
        <v>24</v>
      </c>
      <c r="F2052" s="3" t="s">
        <v>25</v>
      </c>
      <c r="G2052" s="3" t="str">
        <f>"2025-09-23 22:02:51.553"</f>
        <v>2025-09-23 22:02:51.553</v>
      </c>
      <c r="H2052" s="3" t="s">
        <v>21</v>
      </c>
    </row>
    <row r="2053" spans="1:10" s="3" customFormat="1" x14ac:dyDescent="0.25">
      <c r="A2053" s="2">
        <v>83</v>
      </c>
      <c r="B2053" s="3" t="s">
        <v>26</v>
      </c>
      <c r="C2053" s="3">
        <v>647</v>
      </c>
      <c r="D2053" s="3">
        <v>1</v>
      </c>
      <c r="E2053" s="3" t="s">
        <v>24</v>
      </c>
      <c r="F2053" s="3" t="s">
        <v>25</v>
      </c>
      <c r="G2053" s="3" t="str">
        <f>"2025-09-23 22:02:50.453"</f>
        <v>2025-09-23 22:02:50.453</v>
      </c>
      <c r="H2053" s="3" t="s">
        <v>21</v>
      </c>
      <c r="I2053" s="3">
        <v>17.16</v>
      </c>
      <c r="J2053" s="3" t="s">
        <v>27</v>
      </c>
    </row>
    <row r="2054" spans="1:10" s="3" customFormat="1" x14ac:dyDescent="0.25">
      <c r="A2054" s="2">
        <v>84</v>
      </c>
      <c r="B2054" s="3" t="s">
        <v>23</v>
      </c>
      <c r="C2054" s="3">
        <v>647</v>
      </c>
      <c r="D2054" s="3">
        <v>1</v>
      </c>
      <c r="E2054" s="3" t="s">
        <v>24</v>
      </c>
      <c r="F2054" s="3" t="s">
        <v>25</v>
      </c>
      <c r="G2054" s="3" t="str">
        <f>"2025-09-23 22:02:46.553"</f>
        <v>2025-09-23 22:02:46.553</v>
      </c>
      <c r="H2054" s="3" t="s">
        <v>21</v>
      </c>
    </row>
    <row r="2055" spans="1:10" s="3" customFormat="1" x14ac:dyDescent="0.25">
      <c r="A2055" s="2">
        <v>85</v>
      </c>
      <c r="B2055" s="3" t="s">
        <v>26</v>
      </c>
      <c r="C2055" s="3">
        <v>647</v>
      </c>
      <c r="D2055" s="3">
        <v>1</v>
      </c>
      <c r="E2055" s="3" t="s">
        <v>24</v>
      </c>
      <c r="F2055" s="3" t="s">
        <v>25</v>
      </c>
      <c r="G2055" s="3" t="str">
        <f>"2025-09-23 22:02:44.853"</f>
        <v>2025-09-23 22:02:44.853</v>
      </c>
      <c r="H2055" s="3" t="s">
        <v>21</v>
      </c>
      <c r="I2055" s="3">
        <v>29.22</v>
      </c>
      <c r="J2055" s="3" t="s">
        <v>27</v>
      </c>
    </row>
    <row r="2056" spans="1:10" x14ac:dyDescent="0.25">
      <c r="A2056" s="1">
        <v>86</v>
      </c>
      <c r="B2056" t="s">
        <v>23</v>
      </c>
      <c r="C2056">
        <v>635</v>
      </c>
      <c r="D2056">
        <v>1</v>
      </c>
      <c r="E2056" t="s">
        <v>31</v>
      </c>
      <c r="F2056" t="s">
        <v>32</v>
      </c>
      <c r="G2056" t="str">
        <f>"2025-09-23 21:23:50.853"</f>
        <v>2025-09-23 21:23:50.853</v>
      </c>
      <c r="H2056" t="s">
        <v>21</v>
      </c>
    </row>
    <row r="2057" spans="1:10" x14ac:dyDescent="0.25">
      <c r="A2057" s="1">
        <v>87</v>
      </c>
      <c r="B2057" t="s">
        <v>26</v>
      </c>
      <c r="C2057">
        <v>635</v>
      </c>
      <c r="D2057">
        <v>1</v>
      </c>
      <c r="E2057" t="s">
        <v>31</v>
      </c>
      <c r="F2057" t="s">
        <v>32</v>
      </c>
      <c r="G2057" t="str">
        <f>"2025-09-23 20:49:03.353"</f>
        <v>2025-09-23 20:49:03.353</v>
      </c>
      <c r="H2057" t="s">
        <v>21</v>
      </c>
      <c r="I2057">
        <v>7.44</v>
      </c>
      <c r="J2057" t="s">
        <v>33</v>
      </c>
    </row>
    <row r="2058" spans="1:10" s="3" customFormat="1" x14ac:dyDescent="0.25">
      <c r="A2058" s="2">
        <v>88</v>
      </c>
      <c r="B2058" s="3" t="s">
        <v>23</v>
      </c>
      <c r="C2058" s="3">
        <v>647</v>
      </c>
      <c r="D2058" s="3">
        <v>1</v>
      </c>
      <c r="E2058" s="3" t="s">
        <v>24</v>
      </c>
      <c r="F2058" s="3" t="s">
        <v>25</v>
      </c>
      <c r="G2058" s="3" t="str">
        <f>"2025-09-22 20:36:46.353"</f>
        <v>2025-09-22 20:36:46.353</v>
      </c>
      <c r="H2058" s="3" t="s">
        <v>21</v>
      </c>
    </row>
    <row r="2059" spans="1:10" s="3" customFormat="1" x14ac:dyDescent="0.25">
      <c r="A2059" s="2">
        <v>89</v>
      </c>
      <c r="B2059" s="3" t="s">
        <v>26</v>
      </c>
      <c r="C2059" s="3">
        <v>647</v>
      </c>
      <c r="D2059" s="3">
        <v>1</v>
      </c>
      <c r="E2059" s="3" t="s">
        <v>24</v>
      </c>
      <c r="F2059" s="3" t="s">
        <v>25</v>
      </c>
      <c r="G2059" s="3" t="str">
        <f>"2025-09-22 20:36:38.153"</f>
        <v>2025-09-22 20:36:38.153</v>
      </c>
      <c r="H2059" s="3" t="s">
        <v>21</v>
      </c>
      <c r="I2059" s="3">
        <v>12.21</v>
      </c>
      <c r="J2059" s="3" t="s">
        <v>27</v>
      </c>
    </row>
    <row r="2060" spans="1:10" s="3" customFormat="1" x14ac:dyDescent="0.25">
      <c r="A2060" s="2">
        <v>90</v>
      </c>
      <c r="B2060" s="3" t="s">
        <v>23</v>
      </c>
      <c r="C2060" s="3">
        <v>647</v>
      </c>
      <c r="D2060" s="3">
        <v>1</v>
      </c>
      <c r="E2060" s="3" t="s">
        <v>24</v>
      </c>
      <c r="F2060" s="3" t="s">
        <v>25</v>
      </c>
      <c r="G2060" s="3" t="str">
        <f>"2025-09-22 15:07:32.053"</f>
        <v>2025-09-22 15:07:32.053</v>
      </c>
      <c r="H2060" s="3" t="s">
        <v>21</v>
      </c>
    </row>
    <row r="2061" spans="1:10" s="3" customFormat="1" x14ac:dyDescent="0.25">
      <c r="A2061" s="2">
        <v>91</v>
      </c>
      <c r="B2061" s="3" t="s">
        <v>26</v>
      </c>
      <c r="C2061" s="3">
        <v>647</v>
      </c>
      <c r="D2061" s="3">
        <v>1</v>
      </c>
      <c r="E2061" s="3" t="s">
        <v>24</v>
      </c>
      <c r="F2061" s="3" t="s">
        <v>25</v>
      </c>
      <c r="G2061" s="3" t="str">
        <f>"2025-09-22 15:07:27.853"</f>
        <v>2025-09-22 15:07:27.853</v>
      </c>
      <c r="H2061" s="3" t="s">
        <v>21</v>
      </c>
      <c r="I2061" s="3">
        <v>10.24</v>
      </c>
      <c r="J2061" s="3" t="s">
        <v>27</v>
      </c>
    </row>
    <row r="2062" spans="1:10" s="3" customFormat="1" x14ac:dyDescent="0.25">
      <c r="A2062" s="2">
        <v>92</v>
      </c>
      <c r="B2062" s="3" t="s">
        <v>23</v>
      </c>
      <c r="C2062" s="3">
        <v>647</v>
      </c>
      <c r="D2062" s="3">
        <v>1</v>
      </c>
      <c r="E2062" s="3" t="s">
        <v>24</v>
      </c>
      <c r="F2062" s="3" t="s">
        <v>25</v>
      </c>
      <c r="G2062" s="3" t="str">
        <f>"2025-09-21 01:46:36.753"</f>
        <v>2025-09-21 01:46:36.753</v>
      </c>
      <c r="H2062" s="3" t="s">
        <v>21</v>
      </c>
    </row>
    <row r="2063" spans="1:10" s="3" customFormat="1" x14ac:dyDescent="0.25">
      <c r="A2063" s="2">
        <v>93</v>
      </c>
      <c r="B2063" s="3" t="s">
        <v>26</v>
      </c>
      <c r="C2063" s="3">
        <v>647</v>
      </c>
      <c r="D2063" s="3">
        <v>1</v>
      </c>
      <c r="E2063" s="3" t="s">
        <v>24</v>
      </c>
      <c r="F2063" s="3" t="s">
        <v>25</v>
      </c>
      <c r="G2063" s="3" t="str">
        <f>"2025-09-21 01:46:25.453"</f>
        <v>2025-09-21 01:46:25.453</v>
      </c>
      <c r="H2063" s="3" t="s">
        <v>21</v>
      </c>
      <c r="I2063" s="3">
        <v>11.98</v>
      </c>
      <c r="J2063" s="3" t="s">
        <v>27</v>
      </c>
    </row>
    <row r="2064" spans="1:10" s="3" customFormat="1" x14ac:dyDescent="0.25">
      <c r="A2064" s="2">
        <v>94</v>
      </c>
      <c r="B2064" s="3" t="s">
        <v>23</v>
      </c>
      <c r="C2064" s="3">
        <v>647</v>
      </c>
      <c r="D2064" s="3">
        <v>1</v>
      </c>
      <c r="E2064" s="3" t="s">
        <v>24</v>
      </c>
      <c r="F2064" s="3" t="s">
        <v>25</v>
      </c>
      <c r="G2064" s="3" t="str">
        <f>"2025-09-20 23:23:16.453"</f>
        <v>2025-09-20 23:23:16.453</v>
      </c>
      <c r="H2064" s="3" t="s">
        <v>21</v>
      </c>
    </row>
    <row r="2065" spans="1:10" s="3" customFormat="1" x14ac:dyDescent="0.25">
      <c r="A2065" s="2">
        <v>95</v>
      </c>
      <c r="B2065" s="3" t="s">
        <v>26</v>
      </c>
      <c r="C2065" s="3">
        <v>647</v>
      </c>
      <c r="D2065" s="3">
        <v>1</v>
      </c>
      <c r="E2065" s="3" t="s">
        <v>24</v>
      </c>
      <c r="F2065" s="3" t="s">
        <v>25</v>
      </c>
      <c r="G2065" s="3" t="str">
        <f>"2025-09-20 23:23:09.053"</f>
        <v>2025-09-20 23:23:09.053</v>
      </c>
      <c r="H2065" s="3" t="s">
        <v>21</v>
      </c>
      <c r="I2065" s="3">
        <v>10.36</v>
      </c>
      <c r="J2065" s="3" t="s">
        <v>27</v>
      </c>
    </row>
    <row r="2066" spans="1:10" s="3" customFormat="1" x14ac:dyDescent="0.25">
      <c r="A2066" s="2">
        <v>96</v>
      </c>
      <c r="B2066" s="3" t="s">
        <v>23</v>
      </c>
      <c r="C2066" s="3">
        <v>647</v>
      </c>
      <c r="D2066" s="3">
        <v>1</v>
      </c>
      <c r="E2066" s="3" t="s">
        <v>24</v>
      </c>
      <c r="F2066" s="3" t="s">
        <v>25</v>
      </c>
      <c r="G2066" s="3" t="str">
        <f>"2025-09-20 14:57:52.153"</f>
        <v>2025-09-20 14:57:52.153</v>
      </c>
      <c r="H2066" s="3" t="s">
        <v>21</v>
      </c>
    </row>
    <row r="2067" spans="1:10" s="3" customFormat="1" x14ac:dyDescent="0.25">
      <c r="A2067" s="2">
        <v>97</v>
      </c>
      <c r="B2067" s="3" t="s">
        <v>26</v>
      </c>
      <c r="C2067" s="3">
        <v>647</v>
      </c>
      <c r="D2067" s="3">
        <v>1</v>
      </c>
      <c r="E2067" s="3" t="s">
        <v>24</v>
      </c>
      <c r="F2067" s="3" t="s">
        <v>25</v>
      </c>
      <c r="G2067" s="3" t="str">
        <f>"2025-09-20 14:57:47.253"</f>
        <v>2025-09-20 14:57:47.253</v>
      </c>
      <c r="H2067" s="3" t="s">
        <v>21</v>
      </c>
      <c r="I2067" s="3">
        <v>9.5299999999999994</v>
      </c>
      <c r="J2067" s="3" t="s">
        <v>27</v>
      </c>
    </row>
    <row r="2068" spans="1:10" s="3" customFormat="1" x14ac:dyDescent="0.25">
      <c r="A2068" s="2">
        <v>98</v>
      </c>
      <c r="B2068" s="3" t="s">
        <v>23</v>
      </c>
      <c r="C2068" s="3">
        <v>647</v>
      </c>
      <c r="D2068" s="3">
        <v>1</v>
      </c>
      <c r="E2068" s="3" t="s">
        <v>24</v>
      </c>
      <c r="F2068" s="3" t="s">
        <v>25</v>
      </c>
      <c r="G2068" s="3" t="str">
        <f>"2025-09-19 02:35:18.253"</f>
        <v>2025-09-19 02:35:18.253</v>
      </c>
      <c r="H2068" s="3" t="s">
        <v>21</v>
      </c>
    </row>
    <row r="2069" spans="1:10" s="3" customFormat="1" x14ac:dyDescent="0.25">
      <c r="A2069" s="2">
        <v>99</v>
      </c>
      <c r="B2069" s="3" t="s">
        <v>26</v>
      </c>
      <c r="C2069" s="3">
        <v>647</v>
      </c>
      <c r="D2069" s="3">
        <v>1</v>
      </c>
      <c r="E2069" s="3" t="s">
        <v>24</v>
      </c>
      <c r="F2069" s="3" t="s">
        <v>25</v>
      </c>
      <c r="G2069" s="3" t="str">
        <f>"2025-09-19 02:35:15.754"</f>
        <v>2025-09-19 02:35:15.754</v>
      </c>
      <c r="H2069" s="3" t="s">
        <v>21</v>
      </c>
      <c r="I2069" s="3">
        <v>15.98</v>
      </c>
      <c r="J2069" s="3" t="s">
        <v>27</v>
      </c>
    </row>
    <row r="2070" spans="1:10" x14ac:dyDescent="0.25">
      <c r="A2070" s="1">
        <v>100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"2025-09-18 20:07:03.905"</f>
        <v>2025-09-18 20:07:03.905</v>
      </c>
      <c r="H2070" t="s">
        <v>21</v>
      </c>
      <c r="I2070">
        <v>0</v>
      </c>
      <c r="J2070" t="s">
        <v>22</v>
      </c>
    </row>
    <row r="2071" spans="1:10" x14ac:dyDescent="0.25">
      <c r="A2071" s="1">
        <v>101</v>
      </c>
      <c r="B2071" t="s">
        <v>19</v>
      </c>
      <c r="C2071">
        <v>706</v>
      </c>
      <c r="D2071">
        <v>4</v>
      </c>
      <c r="E2071" t="s">
        <v>28</v>
      </c>
      <c r="F2071" t="s">
        <v>29</v>
      </c>
      <c r="G2071" t="str">
        <f>"2025-09-18 17:58:40.631"</f>
        <v>2025-09-18 17:58:40.631</v>
      </c>
      <c r="H2071" t="s">
        <v>21</v>
      </c>
      <c r="I2071">
        <v>0</v>
      </c>
      <c r="J2071" t="s">
        <v>30</v>
      </c>
    </row>
    <row r="2072" spans="1:10" x14ac:dyDescent="0.25">
      <c r="A2072" s="1">
        <v>102</v>
      </c>
      <c r="B2072" t="s">
        <v>19</v>
      </c>
      <c r="C2072">
        <v>706</v>
      </c>
      <c r="D2072">
        <v>4</v>
      </c>
      <c r="E2072" t="s">
        <v>28</v>
      </c>
      <c r="F2072" t="s">
        <v>29</v>
      </c>
      <c r="G2072" t="str">
        <f>"2025-09-18 17:54:08.241"</f>
        <v>2025-09-18 17:54:08.241</v>
      </c>
      <c r="H2072" t="s">
        <v>21</v>
      </c>
      <c r="I2072">
        <v>0</v>
      </c>
      <c r="J2072" t="s">
        <v>30</v>
      </c>
    </row>
    <row r="2073" spans="1:10" x14ac:dyDescent="0.25">
      <c r="A2073" s="1">
        <v>103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"2025-09-18 17:53:48.821"</f>
        <v>2025-09-18 17:53:48.821</v>
      </c>
      <c r="H2073" t="s">
        <v>21</v>
      </c>
      <c r="I2073">
        <v>0</v>
      </c>
      <c r="J2073" t="s">
        <v>22</v>
      </c>
    </row>
    <row r="2074" spans="1:10" x14ac:dyDescent="0.25">
      <c r="A2074" s="1">
        <v>104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"2025-09-18 17:21:11.811"</f>
        <v>2025-09-18 17:21:11.811</v>
      </c>
      <c r="H2074" t="s">
        <v>21</v>
      </c>
      <c r="I2074">
        <v>0</v>
      </c>
      <c r="J2074" t="s">
        <v>22</v>
      </c>
    </row>
    <row r="2075" spans="1:10" x14ac:dyDescent="0.25">
      <c r="A2075" s="1">
        <v>105</v>
      </c>
      <c r="B2075" t="s">
        <v>19</v>
      </c>
      <c r="C2075">
        <v>706</v>
      </c>
      <c r="D2075">
        <v>2</v>
      </c>
      <c r="E2075" t="s">
        <v>28</v>
      </c>
      <c r="F2075" t="s">
        <v>39</v>
      </c>
      <c r="G2075" t="str">
        <f>"2025-09-18 17:12:23.845"</f>
        <v>2025-09-18 17:12:23.845</v>
      </c>
      <c r="H2075" t="s">
        <v>21</v>
      </c>
      <c r="I2075">
        <v>0</v>
      </c>
      <c r="J2075" t="s">
        <v>30</v>
      </c>
    </row>
    <row r="2076" spans="1:10" x14ac:dyDescent="0.25">
      <c r="A2076" s="1">
        <v>108</v>
      </c>
      <c r="B2076" t="s">
        <v>19</v>
      </c>
      <c r="C2076">
        <v>782</v>
      </c>
      <c r="D2076">
        <v>7</v>
      </c>
      <c r="E2076" t="s">
        <v>58</v>
      </c>
      <c r="F2076" t="s">
        <v>59</v>
      </c>
      <c r="G2076" t="str">
        <f>"2025-09-18 17:09:06.525"</f>
        <v>2025-09-18 17:09:06.525</v>
      </c>
      <c r="H2076" t="s">
        <v>21</v>
      </c>
      <c r="I2076">
        <v>0</v>
      </c>
      <c r="J2076" t="s">
        <v>30</v>
      </c>
    </row>
    <row r="2077" spans="1:10" x14ac:dyDescent="0.25">
      <c r="A2077" s="1">
        <v>111</v>
      </c>
      <c r="B2077" t="s">
        <v>23</v>
      </c>
      <c r="C2077">
        <v>148</v>
      </c>
      <c r="D2077">
        <v>7</v>
      </c>
      <c r="E2077" t="s">
        <v>77</v>
      </c>
      <c r="F2077" t="s">
        <v>78</v>
      </c>
      <c r="G2077" t="str">
        <f>"2025-09-18 17:09:06.519"</f>
        <v>2025-09-18 17:09:06.519</v>
      </c>
      <c r="H2077" t="s">
        <v>21</v>
      </c>
    </row>
    <row r="2078" spans="1:10" x14ac:dyDescent="0.25">
      <c r="A2078" s="1">
        <v>112</v>
      </c>
      <c r="B2078" t="s">
        <v>23</v>
      </c>
      <c r="C2078">
        <v>148</v>
      </c>
      <c r="D2078">
        <v>1</v>
      </c>
      <c r="E2078" t="s">
        <v>77</v>
      </c>
      <c r="F2078" t="s">
        <v>79</v>
      </c>
      <c r="G2078" t="str">
        <f>"2025-09-18 17:09:06.517"</f>
        <v>2025-09-18 17:09:06.517</v>
      </c>
      <c r="H2078" t="s">
        <v>21</v>
      </c>
    </row>
    <row r="2079" spans="1:10" x14ac:dyDescent="0.25">
      <c r="A2079" s="1">
        <v>113</v>
      </c>
      <c r="B2079" t="s">
        <v>23</v>
      </c>
      <c r="C2079">
        <v>45</v>
      </c>
      <c r="D2079">
        <v>1</v>
      </c>
      <c r="E2079" t="s">
        <v>80</v>
      </c>
      <c r="F2079" t="s">
        <v>81</v>
      </c>
      <c r="G2079" t="str">
        <f>"2025-09-18 17:09:06.515"</f>
        <v>2025-09-18 17:09:06.515</v>
      </c>
      <c r="H2079" t="s">
        <v>37</v>
      </c>
    </row>
    <row r="2080" spans="1:10" x14ac:dyDescent="0.25">
      <c r="A2080" s="1">
        <v>114</v>
      </c>
      <c r="B2080" t="s">
        <v>19</v>
      </c>
      <c r="C2080">
        <v>782</v>
      </c>
      <c r="D2080">
        <v>7</v>
      </c>
      <c r="E2080" t="s">
        <v>58</v>
      </c>
      <c r="F2080" t="s">
        <v>59</v>
      </c>
      <c r="G2080" t="str">
        <f>"2025-09-18 17:09:06.514"</f>
        <v>2025-09-18 17:09:06.514</v>
      </c>
      <c r="H2080" t="s">
        <v>21</v>
      </c>
      <c r="I2080">
        <v>0</v>
      </c>
      <c r="J2080" t="s">
        <v>30</v>
      </c>
    </row>
    <row r="2081" spans="1:10" x14ac:dyDescent="0.25">
      <c r="A2081" s="1">
        <v>115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"2025-09-18 17:08:52.815"</f>
        <v>2025-09-18 17:08:52.815</v>
      </c>
      <c r="H2081" t="s">
        <v>21</v>
      </c>
      <c r="I2081">
        <v>0</v>
      </c>
      <c r="J2081" t="s">
        <v>22</v>
      </c>
    </row>
    <row r="2082" spans="1:10" x14ac:dyDescent="0.25">
      <c r="A2082" s="1">
        <v>116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"2025-09-18 17:05:25.813"</f>
        <v>2025-09-18 17:05:25.813</v>
      </c>
      <c r="H2082" t="s">
        <v>21</v>
      </c>
      <c r="I2082">
        <v>0</v>
      </c>
      <c r="J2082" t="s">
        <v>22</v>
      </c>
    </row>
    <row r="2083" spans="1:10" x14ac:dyDescent="0.25">
      <c r="A2083" s="1">
        <v>117</v>
      </c>
      <c r="B2083" t="s">
        <v>40</v>
      </c>
      <c r="C2083">
        <v>77</v>
      </c>
      <c r="D2083">
        <v>1</v>
      </c>
      <c r="E2083" t="s">
        <v>82</v>
      </c>
      <c r="F2083" t="s">
        <v>83</v>
      </c>
      <c r="G2083" t="str">
        <f>"2025-09-18 17:03:13.778"</f>
        <v>2025-09-18 17:03:13.778</v>
      </c>
      <c r="H2083" t="s">
        <v>50</v>
      </c>
    </row>
    <row r="2084" spans="1:10" x14ac:dyDescent="0.25">
      <c r="A2084" s="1">
        <v>118</v>
      </c>
      <c r="B2084" t="s">
        <v>38</v>
      </c>
      <c r="C2084">
        <v>77</v>
      </c>
      <c r="D2084">
        <v>1</v>
      </c>
      <c r="E2084" t="s">
        <v>82</v>
      </c>
      <c r="F2084" t="s">
        <v>83</v>
      </c>
      <c r="G2084" t="str">
        <f>"2025-09-18 17:03:08.691"</f>
        <v>2025-09-18 17:03:08.691</v>
      </c>
      <c r="H2084" t="s">
        <v>50</v>
      </c>
      <c r="I2084">
        <v>0</v>
      </c>
      <c r="J2084" t="s">
        <v>30</v>
      </c>
    </row>
    <row r="2085" spans="1:10" x14ac:dyDescent="0.25">
      <c r="A2085" s="1">
        <v>119</v>
      </c>
      <c r="B2085" t="s">
        <v>40</v>
      </c>
      <c r="C2085">
        <v>77</v>
      </c>
      <c r="D2085">
        <v>1</v>
      </c>
      <c r="E2085" t="s">
        <v>82</v>
      </c>
      <c r="F2085" t="s">
        <v>83</v>
      </c>
      <c r="G2085" t="str">
        <f>"2025-09-18 17:02:54.678"</f>
        <v>2025-09-18 17:02:54.678</v>
      </c>
      <c r="H2085" t="s">
        <v>50</v>
      </c>
    </row>
    <row r="2086" spans="1:10" x14ac:dyDescent="0.25">
      <c r="A2086" s="1">
        <v>120</v>
      </c>
      <c r="B2086" t="s">
        <v>38</v>
      </c>
      <c r="C2086">
        <v>77</v>
      </c>
      <c r="D2086">
        <v>1</v>
      </c>
      <c r="E2086" t="s">
        <v>82</v>
      </c>
      <c r="F2086" t="s">
        <v>83</v>
      </c>
      <c r="G2086" t="str">
        <f>"2025-09-18 17:02:49.591"</f>
        <v>2025-09-18 17:02:49.591</v>
      </c>
      <c r="H2086" t="s">
        <v>50</v>
      </c>
      <c r="I2086">
        <v>0</v>
      </c>
      <c r="J2086" t="s">
        <v>30</v>
      </c>
    </row>
    <row r="2087" spans="1:10" x14ac:dyDescent="0.25">
      <c r="A2087" s="1">
        <v>121</v>
      </c>
      <c r="B2087" t="s">
        <v>40</v>
      </c>
      <c r="C2087">
        <v>77</v>
      </c>
      <c r="D2087">
        <v>1</v>
      </c>
      <c r="E2087" t="s">
        <v>82</v>
      </c>
      <c r="F2087" t="s">
        <v>83</v>
      </c>
      <c r="G2087" t="str">
        <f>"2025-09-18 17:02:35.578"</f>
        <v>2025-09-18 17:02:35.578</v>
      </c>
      <c r="H2087" t="s">
        <v>50</v>
      </c>
    </row>
    <row r="2088" spans="1:10" x14ac:dyDescent="0.25">
      <c r="A2088" s="1">
        <v>122</v>
      </c>
      <c r="B2088" t="s">
        <v>38</v>
      </c>
      <c r="C2088">
        <v>77</v>
      </c>
      <c r="D2088">
        <v>1</v>
      </c>
      <c r="E2088" t="s">
        <v>82</v>
      </c>
      <c r="F2088" t="s">
        <v>83</v>
      </c>
      <c r="G2088" t="str">
        <f>"2025-09-18 17:02:30.491"</f>
        <v>2025-09-18 17:02:30.491</v>
      </c>
      <c r="H2088" t="s">
        <v>50</v>
      </c>
      <c r="I2088">
        <v>0</v>
      </c>
      <c r="J2088" t="s">
        <v>30</v>
      </c>
    </row>
    <row r="2089" spans="1:10" x14ac:dyDescent="0.25">
      <c r="A2089" s="1">
        <v>123</v>
      </c>
      <c r="B2089" t="s">
        <v>40</v>
      </c>
      <c r="C2089">
        <v>77</v>
      </c>
      <c r="D2089">
        <v>1</v>
      </c>
      <c r="E2089" t="s">
        <v>82</v>
      </c>
      <c r="F2089" t="s">
        <v>83</v>
      </c>
      <c r="G2089" t="str">
        <f>"2025-09-18 17:02:16.478"</f>
        <v>2025-09-18 17:02:16.478</v>
      </c>
      <c r="H2089" t="s">
        <v>50</v>
      </c>
    </row>
    <row r="2090" spans="1:10" x14ac:dyDescent="0.25">
      <c r="A2090" s="1">
        <v>124</v>
      </c>
      <c r="B2090" t="s">
        <v>38</v>
      </c>
      <c r="C2090">
        <v>77</v>
      </c>
      <c r="D2090">
        <v>1</v>
      </c>
      <c r="E2090" t="s">
        <v>82</v>
      </c>
      <c r="F2090" t="s">
        <v>83</v>
      </c>
      <c r="G2090" t="str">
        <f>"2025-09-18 17:02:11.391"</f>
        <v>2025-09-18 17:02:11.391</v>
      </c>
      <c r="H2090" t="s">
        <v>50</v>
      </c>
      <c r="I2090">
        <v>0</v>
      </c>
      <c r="J2090" t="s">
        <v>30</v>
      </c>
    </row>
    <row r="2091" spans="1:10" x14ac:dyDescent="0.25">
      <c r="A2091" s="1">
        <v>125</v>
      </c>
      <c r="B2091" t="s">
        <v>40</v>
      </c>
      <c r="C2091">
        <v>77</v>
      </c>
      <c r="D2091">
        <v>1</v>
      </c>
      <c r="E2091" t="s">
        <v>82</v>
      </c>
      <c r="F2091" t="s">
        <v>83</v>
      </c>
      <c r="G2091" t="str">
        <f>"2025-09-18 17:01:57.378"</f>
        <v>2025-09-18 17:01:57.378</v>
      </c>
      <c r="H2091" t="s">
        <v>50</v>
      </c>
    </row>
    <row r="2092" spans="1:10" x14ac:dyDescent="0.25">
      <c r="A2092" s="1">
        <v>126</v>
      </c>
      <c r="B2092" t="s">
        <v>38</v>
      </c>
      <c r="C2092">
        <v>77</v>
      </c>
      <c r="D2092">
        <v>1</v>
      </c>
      <c r="E2092" t="s">
        <v>82</v>
      </c>
      <c r="F2092" t="s">
        <v>83</v>
      </c>
      <c r="G2092" t="str">
        <f>"2025-09-18 17:01:52.291"</f>
        <v>2025-09-18 17:01:52.291</v>
      </c>
      <c r="H2092" t="s">
        <v>50</v>
      </c>
      <c r="I2092">
        <v>0</v>
      </c>
      <c r="J2092" t="s">
        <v>30</v>
      </c>
    </row>
    <row r="2093" spans="1:10" x14ac:dyDescent="0.25">
      <c r="A2093" s="1">
        <v>127</v>
      </c>
      <c r="B2093" t="s">
        <v>40</v>
      </c>
      <c r="C2093">
        <v>77</v>
      </c>
      <c r="D2093">
        <v>1</v>
      </c>
      <c r="E2093" t="s">
        <v>82</v>
      </c>
      <c r="F2093" t="s">
        <v>83</v>
      </c>
      <c r="G2093" t="str">
        <f>"2025-09-18 17:01:38.278"</f>
        <v>2025-09-18 17:01:38.278</v>
      </c>
      <c r="H2093" t="s">
        <v>50</v>
      </c>
    </row>
    <row r="2094" spans="1:10" x14ac:dyDescent="0.25">
      <c r="A2094" s="1">
        <v>128</v>
      </c>
      <c r="B2094" t="s">
        <v>38</v>
      </c>
      <c r="C2094">
        <v>77</v>
      </c>
      <c r="D2094">
        <v>1</v>
      </c>
      <c r="E2094" t="s">
        <v>82</v>
      </c>
      <c r="F2094" t="s">
        <v>83</v>
      </c>
      <c r="G2094" t="str">
        <f>"2025-09-18 17:01:33.191"</f>
        <v>2025-09-18 17:01:33.191</v>
      </c>
      <c r="H2094" t="s">
        <v>50</v>
      </c>
      <c r="I2094">
        <v>0</v>
      </c>
      <c r="J2094" t="s">
        <v>30</v>
      </c>
    </row>
    <row r="2095" spans="1:10" x14ac:dyDescent="0.25">
      <c r="A2095" s="1">
        <v>129</v>
      </c>
      <c r="B2095" t="s">
        <v>26</v>
      </c>
      <c r="C2095">
        <v>148</v>
      </c>
      <c r="D2095">
        <v>7</v>
      </c>
      <c r="E2095" t="s">
        <v>77</v>
      </c>
      <c r="F2095" t="s">
        <v>78</v>
      </c>
      <c r="G2095" t="str">
        <f>"2025-09-18 17:01:30.777"</f>
        <v>2025-09-18 17:01:30.777</v>
      </c>
      <c r="H2095" t="s">
        <v>21</v>
      </c>
      <c r="I2095">
        <v>0</v>
      </c>
      <c r="J2095" t="s">
        <v>30</v>
      </c>
    </row>
    <row r="2096" spans="1:10" x14ac:dyDescent="0.25">
      <c r="A2096" s="1">
        <v>130</v>
      </c>
      <c r="B2096" t="s">
        <v>26</v>
      </c>
      <c r="C2096">
        <v>148</v>
      </c>
      <c r="D2096">
        <v>1</v>
      </c>
      <c r="E2096" t="s">
        <v>77</v>
      </c>
      <c r="F2096" t="s">
        <v>79</v>
      </c>
      <c r="G2096" t="str">
        <f>"2025-09-18 17:01:29.837"</f>
        <v>2025-09-18 17:01:29.837</v>
      </c>
      <c r="H2096" t="s">
        <v>21</v>
      </c>
      <c r="I2096">
        <v>0</v>
      </c>
      <c r="J2096" t="s">
        <v>30</v>
      </c>
    </row>
    <row r="2097" spans="1:10" x14ac:dyDescent="0.25">
      <c r="A2097" s="1">
        <v>131</v>
      </c>
      <c r="B2097" t="s">
        <v>26</v>
      </c>
      <c r="C2097">
        <v>45</v>
      </c>
      <c r="D2097">
        <v>1</v>
      </c>
      <c r="E2097" t="s">
        <v>80</v>
      </c>
      <c r="F2097" t="s">
        <v>81</v>
      </c>
      <c r="G2097" t="str">
        <f>"2025-09-18 17:01:26.913"</f>
        <v>2025-09-18 17:01:26.913</v>
      </c>
      <c r="H2097" t="s">
        <v>37</v>
      </c>
      <c r="I2097">
        <v>0</v>
      </c>
      <c r="J2097" t="s">
        <v>30</v>
      </c>
    </row>
    <row r="2098" spans="1:10" x14ac:dyDescent="0.25">
      <c r="A2098" s="1">
        <v>132</v>
      </c>
      <c r="B2098" t="s">
        <v>40</v>
      </c>
      <c r="C2098">
        <v>148</v>
      </c>
      <c r="D2098">
        <v>7</v>
      </c>
      <c r="E2098" t="s">
        <v>77</v>
      </c>
      <c r="F2098" t="s">
        <v>78</v>
      </c>
      <c r="G2098" t="str">
        <f>"2025-09-18 17:01:23.378"</f>
        <v>2025-09-18 17:01:23.378</v>
      </c>
      <c r="H2098" t="s">
        <v>21</v>
      </c>
    </row>
    <row r="2099" spans="1:10" x14ac:dyDescent="0.25">
      <c r="A2099" s="1">
        <v>133</v>
      </c>
      <c r="B2099" t="s">
        <v>38</v>
      </c>
      <c r="C2099">
        <v>148</v>
      </c>
      <c r="D2099">
        <v>7</v>
      </c>
      <c r="E2099" t="s">
        <v>77</v>
      </c>
      <c r="F2099" t="s">
        <v>78</v>
      </c>
      <c r="G2099" t="str">
        <f>"2025-09-18 17:01:18.297"</f>
        <v>2025-09-18 17:01:18.297</v>
      </c>
      <c r="H2099" t="s">
        <v>21</v>
      </c>
      <c r="I2099">
        <v>0</v>
      </c>
      <c r="J2099" t="s">
        <v>30</v>
      </c>
    </row>
    <row r="2100" spans="1:10" x14ac:dyDescent="0.25">
      <c r="A2100" s="1">
        <v>134</v>
      </c>
      <c r="B2100" t="s">
        <v>19</v>
      </c>
      <c r="C2100">
        <v>706</v>
      </c>
      <c r="D2100">
        <v>4</v>
      </c>
      <c r="E2100" t="s">
        <v>28</v>
      </c>
      <c r="F2100" t="s">
        <v>29</v>
      </c>
      <c r="G2100" t="str">
        <f>"2025-09-18 17:01:08.792"</f>
        <v>2025-09-18 17:01:08.792</v>
      </c>
      <c r="H2100" t="s">
        <v>21</v>
      </c>
      <c r="I2100">
        <v>0</v>
      </c>
      <c r="J2100" t="s">
        <v>30</v>
      </c>
    </row>
    <row r="2101" spans="1:10" x14ac:dyDescent="0.25">
      <c r="A2101" s="1">
        <v>135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"2025-09-18 16:31:53.802"</f>
        <v>2025-09-18 16:31:53.802</v>
      </c>
      <c r="H2101" t="s">
        <v>21</v>
      </c>
      <c r="I2101">
        <v>0</v>
      </c>
      <c r="J2101" t="s">
        <v>22</v>
      </c>
    </row>
    <row r="2102" spans="1:10" x14ac:dyDescent="0.25">
      <c r="A2102" s="1">
        <v>136</v>
      </c>
      <c r="B2102" t="s">
        <v>19</v>
      </c>
      <c r="C2102">
        <v>706</v>
      </c>
      <c r="D2102">
        <v>4</v>
      </c>
      <c r="E2102" t="s">
        <v>28</v>
      </c>
      <c r="F2102" t="s">
        <v>29</v>
      </c>
      <c r="G2102" t="str">
        <f>"2025-09-18 07:56:20.831"</f>
        <v>2025-09-18 07:56:20.831</v>
      </c>
      <c r="H2102" t="s">
        <v>21</v>
      </c>
      <c r="I2102">
        <v>0</v>
      </c>
      <c r="J2102" t="s">
        <v>30</v>
      </c>
    </row>
    <row r="2103" spans="1:10" x14ac:dyDescent="0.25">
      <c r="A2103" s="1">
        <v>137</v>
      </c>
      <c r="B2103" t="s">
        <v>19</v>
      </c>
      <c r="C2103">
        <v>706</v>
      </c>
      <c r="D2103">
        <v>4</v>
      </c>
      <c r="E2103" t="s">
        <v>28</v>
      </c>
      <c r="F2103" t="s">
        <v>29</v>
      </c>
      <c r="G2103" t="str">
        <f>"2025-09-18 07:47:55.051"</f>
        <v>2025-09-18 07:47:55.051</v>
      </c>
      <c r="H2103" t="s">
        <v>21</v>
      </c>
      <c r="I2103">
        <v>0</v>
      </c>
      <c r="J2103" t="s">
        <v>30</v>
      </c>
    </row>
    <row r="2104" spans="1:10" x14ac:dyDescent="0.25">
      <c r="A2104" s="1">
        <v>138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"2025-09-18 07:47:38.831"</f>
        <v>2025-09-18 07:47:38.831</v>
      </c>
      <c r="H2104" t="s">
        <v>21</v>
      </c>
    </row>
    <row r="2105" spans="1:10" x14ac:dyDescent="0.25">
      <c r="A2105" s="1">
        <v>139</v>
      </c>
      <c r="B2105" t="s">
        <v>19</v>
      </c>
      <c r="C2105">
        <v>700</v>
      </c>
      <c r="D2105">
        <v>0</v>
      </c>
      <c r="E2105" t="s">
        <v>20</v>
      </c>
      <c r="F2105" t="s">
        <v>20</v>
      </c>
      <c r="G2105" t="str">
        <f>"2025-09-18 06:24:04.810"</f>
        <v>2025-09-18 06:24:04.810</v>
      </c>
      <c r="H2105" t="s">
        <v>21</v>
      </c>
    </row>
    <row r="2106" spans="1:10" x14ac:dyDescent="0.25">
      <c r="A2106" s="1">
        <v>140</v>
      </c>
      <c r="B2106" t="s">
        <v>23</v>
      </c>
      <c r="C2106">
        <v>635</v>
      </c>
      <c r="D2106">
        <v>1</v>
      </c>
      <c r="E2106" t="s">
        <v>31</v>
      </c>
      <c r="F2106" t="s">
        <v>32</v>
      </c>
      <c r="G2106" t="str">
        <f>"2025-09-17 19:25:31.851"</f>
        <v>2025-09-17 19:25:31.851</v>
      </c>
      <c r="H2106" t="s">
        <v>21</v>
      </c>
    </row>
    <row r="2107" spans="1:10" x14ac:dyDescent="0.25">
      <c r="A2107" s="1">
        <v>141</v>
      </c>
      <c r="B2107" t="s">
        <v>26</v>
      </c>
      <c r="C2107">
        <v>635</v>
      </c>
      <c r="D2107">
        <v>1</v>
      </c>
      <c r="E2107" t="s">
        <v>31</v>
      </c>
      <c r="F2107" t="s">
        <v>32</v>
      </c>
      <c r="G2107" t="str">
        <f>"2025-09-17 19:23:22.851"</f>
        <v>2025-09-17 19:23:22.851</v>
      </c>
      <c r="H2107" t="s">
        <v>21</v>
      </c>
      <c r="I2107">
        <v>3.71</v>
      </c>
      <c r="J2107" t="s">
        <v>33</v>
      </c>
    </row>
    <row r="2108" spans="1:10" x14ac:dyDescent="0.25">
      <c r="A2108" s="1">
        <v>142</v>
      </c>
      <c r="B2108" t="s">
        <v>23</v>
      </c>
      <c r="C2108">
        <v>635</v>
      </c>
      <c r="D2108">
        <v>1</v>
      </c>
      <c r="E2108" t="s">
        <v>31</v>
      </c>
      <c r="F2108" t="s">
        <v>32</v>
      </c>
      <c r="G2108" t="str">
        <f>"2025-09-17 09:45:17.451"</f>
        <v>2025-09-17 09:45:17.451</v>
      </c>
      <c r="H2108" t="s">
        <v>21</v>
      </c>
    </row>
    <row r="2109" spans="1:10" x14ac:dyDescent="0.25">
      <c r="A2109" s="1">
        <v>143</v>
      </c>
      <c r="B2109" t="s">
        <v>26</v>
      </c>
      <c r="C2109">
        <v>635</v>
      </c>
      <c r="D2109">
        <v>1</v>
      </c>
      <c r="E2109" t="s">
        <v>31</v>
      </c>
      <c r="F2109" t="s">
        <v>32</v>
      </c>
      <c r="G2109" t="str">
        <f>"2025-09-17 09:40:54.051"</f>
        <v>2025-09-17 09:40:54.051</v>
      </c>
      <c r="H2109" t="s">
        <v>21</v>
      </c>
      <c r="I2109">
        <v>1.79</v>
      </c>
      <c r="J2109" t="s">
        <v>33</v>
      </c>
    </row>
    <row r="2110" spans="1:10" s="3" customFormat="1" x14ac:dyDescent="0.25">
      <c r="A2110" s="2">
        <v>144</v>
      </c>
      <c r="B2110" s="3" t="s">
        <v>23</v>
      </c>
      <c r="C2110" s="3">
        <v>647</v>
      </c>
      <c r="D2110" s="3">
        <v>1</v>
      </c>
      <c r="E2110" s="3" t="s">
        <v>24</v>
      </c>
      <c r="F2110" s="3" t="s">
        <v>25</v>
      </c>
      <c r="G2110" s="3" t="str">
        <f>"2025-09-17 03:44:40.199"</f>
        <v>2025-09-17 03:44:40.199</v>
      </c>
      <c r="H2110" s="3" t="s">
        <v>21</v>
      </c>
    </row>
    <row r="2111" spans="1:10" s="3" customFormat="1" x14ac:dyDescent="0.25">
      <c r="A2111" s="2">
        <v>145</v>
      </c>
      <c r="B2111" s="3" t="s">
        <v>26</v>
      </c>
      <c r="C2111" s="3">
        <v>647</v>
      </c>
      <c r="D2111" s="3">
        <v>1</v>
      </c>
      <c r="E2111" s="3" t="s">
        <v>24</v>
      </c>
      <c r="F2111" s="3" t="s">
        <v>25</v>
      </c>
      <c r="G2111" s="3" t="str">
        <f>"2025-09-17 03:44:38.499"</f>
        <v>2025-09-17 03:44:38.499</v>
      </c>
      <c r="H2111" s="3" t="s">
        <v>21</v>
      </c>
      <c r="I2111" s="3">
        <v>15.07</v>
      </c>
      <c r="J2111" s="3" t="s">
        <v>27</v>
      </c>
    </row>
    <row r="2112" spans="1:10" s="3" customFormat="1" x14ac:dyDescent="0.25">
      <c r="A2112" s="2">
        <v>146</v>
      </c>
      <c r="B2112" s="3" t="s">
        <v>23</v>
      </c>
      <c r="C2112" s="3">
        <v>647</v>
      </c>
      <c r="D2112" s="3">
        <v>1</v>
      </c>
      <c r="E2112" s="3" t="s">
        <v>24</v>
      </c>
      <c r="F2112" s="3" t="s">
        <v>25</v>
      </c>
      <c r="G2112" s="3" t="str">
        <f>"2025-09-16 23:59:48.199"</f>
        <v>2025-09-16 23:59:48.199</v>
      </c>
      <c r="H2112" s="3" t="s">
        <v>21</v>
      </c>
    </row>
    <row r="2113" spans="1:10" s="3" customFormat="1" x14ac:dyDescent="0.25">
      <c r="A2113" s="2">
        <v>147</v>
      </c>
      <c r="B2113" s="3" t="s">
        <v>26</v>
      </c>
      <c r="C2113" s="3">
        <v>647</v>
      </c>
      <c r="D2113" s="3">
        <v>1</v>
      </c>
      <c r="E2113" s="3" t="s">
        <v>24</v>
      </c>
      <c r="F2113" s="3" t="s">
        <v>25</v>
      </c>
      <c r="G2113" s="3" t="str">
        <f>"2025-09-16 23:59:36.299"</f>
        <v>2025-09-16 23:59:36.299</v>
      </c>
      <c r="H2113" s="3" t="s">
        <v>21</v>
      </c>
      <c r="I2113" s="3">
        <v>26.03</v>
      </c>
      <c r="J2113" s="3" t="s">
        <v>27</v>
      </c>
    </row>
    <row r="2114" spans="1:10" s="3" customFormat="1" x14ac:dyDescent="0.25">
      <c r="A2114" s="2">
        <v>148</v>
      </c>
      <c r="B2114" s="3" t="s">
        <v>23</v>
      </c>
      <c r="C2114" s="3">
        <v>647</v>
      </c>
      <c r="D2114" s="3">
        <v>1</v>
      </c>
      <c r="E2114" s="3" t="s">
        <v>24</v>
      </c>
      <c r="F2114" s="3" t="s">
        <v>25</v>
      </c>
      <c r="G2114" s="3" t="str">
        <f>"2025-09-16 23:59:31.799"</f>
        <v>2025-09-16 23:59:31.799</v>
      </c>
      <c r="H2114" s="3" t="s">
        <v>21</v>
      </c>
    </row>
    <row r="2115" spans="1:10" s="3" customFormat="1" x14ac:dyDescent="0.25">
      <c r="A2115" s="2">
        <v>149</v>
      </c>
      <c r="B2115" s="3" t="s">
        <v>26</v>
      </c>
      <c r="C2115" s="3">
        <v>647</v>
      </c>
      <c r="D2115" s="3">
        <v>1</v>
      </c>
      <c r="E2115" s="3" t="s">
        <v>24</v>
      </c>
      <c r="F2115" s="3" t="s">
        <v>25</v>
      </c>
      <c r="G2115" s="3" t="str">
        <f>"2025-09-16 23:59:30.299"</f>
        <v>2025-09-16 23:59:30.299</v>
      </c>
      <c r="H2115" s="3" t="s">
        <v>21</v>
      </c>
      <c r="I2115" s="3">
        <v>19.79</v>
      </c>
      <c r="J2115" s="3" t="s">
        <v>27</v>
      </c>
    </row>
    <row r="2116" spans="1:10" x14ac:dyDescent="0.25">
      <c r="A2116" s="1">
        <v>150</v>
      </c>
      <c r="B2116" t="s">
        <v>23</v>
      </c>
      <c r="C2116">
        <v>630</v>
      </c>
      <c r="D2116">
        <v>5</v>
      </c>
      <c r="E2116" t="s">
        <v>35</v>
      </c>
      <c r="F2116" t="s">
        <v>36</v>
      </c>
      <c r="G2116" t="str">
        <f>"2025-09-16 16:36:21.599"</f>
        <v>2025-09-16 16:36:21.599</v>
      </c>
      <c r="H2116" t="s">
        <v>37</v>
      </c>
    </row>
    <row r="2117" spans="1:10" x14ac:dyDescent="0.25">
      <c r="A2117" s="1">
        <v>151</v>
      </c>
      <c r="B2117" t="s">
        <v>19</v>
      </c>
      <c r="C2117">
        <v>706</v>
      </c>
      <c r="D2117">
        <v>4</v>
      </c>
      <c r="E2117" t="s">
        <v>28</v>
      </c>
      <c r="F2117" t="s">
        <v>29</v>
      </c>
      <c r="G2117" t="str">
        <f>"2025-09-16 16:35:51.512"</f>
        <v>2025-09-16 16:35:51.512</v>
      </c>
      <c r="H2117" t="s">
        <v>21</v>
      </c>
      <c r="I2117">
        <v>0</v>
      </c>
      <c r="J2117" t="s">
        <v>30</v>
      </c>
    </row>
    <row r="2118" spans="1:10" x14ac:dyDescent="0.25">
      <c r="A2118" s="1">
        <v>152</v>
      </c>
      <c r="B2118" t="s">
        <v>38</v>
      </c>
      <c r="C2118">
        <v>630</v>
      </c>
      <c r="D2118">
        <v>5</v>
      </c>
      <c r="E2118" t="s">
        <v>35</v>
      </c>
      <c r="F2118" t="s">
        <v>36</v>
      </c>
      <c r="G2118" t="str">
        <f>"2025-09-16 16:25:43.300"</f>
        <v>2025-09-16 16:25:43.300</v>
      </c>
      <c r="H2118" t="s">
        <v>37</v>
      </c>
      <c r="I2118">
        <v>0</v>
      </c>
      <c r="J2118" t="s">
        <v>30</v>
      </c>
    </row>
    <row r="2119" spans="1:10" x14ac:dyDescent="0.25">
      <c r="A2119" s="1">
        <v>153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"2025-09-16 13:52:05.942"</f>
        <v>2025-09-16 13:52:05.942</v>
      </c>
      <c r="H2119" t="s">
        <v>21</v>
      </c>
    </row>
    <row r="2120" spans="1:10" x14ac:dyDescent="0.25">
      <c r="A2120" s="1">
        <v>154</v>
      </c>
      <c r="B2120" t="s">
        <v>19</v>
      </c>
      <c r="C2120">
        <v>700</v>
      </c>
      <c r="D2120">
        <v>0</v>
      </c>
      <c r="E2120" t="s">
        <v>20</v>
      </c>
      <c r="F2120" t="s">
        <v>20</v>
      </c>
      <c r="G2120" t="str">
        <f>"2025-09-16 10:42:23.933"</f>
        <v>2025-09-16 10:42:23.933</v>
      </c>
      <c r="H2120" t="s">
        <v>21</v>
      </c>
    </row>
    <row r="2121" spans="1:10" x14ac:dyDescent="0.25">
      <c r="A2121" s="1">
        <v>155</v>
      </c>
      <c r="B2121" t="s">
        <v>19</v>
      </c>
      <c r="C2121">
        <v>706</v>
      </c>
      <c r="D2121">
        <v>4</v>
      </c>
      <c r="E2121" t="s">
        <v>28</v>
      </c>
      <c r="F2121" t="s">
        <v>29</v>
      </c>
      <c r="G2121" t="str">
        <f>"2025-09-16 10:40:58.280"</f>
        <v>2025-09-16 10:40:58.280</v>
      </c>
      <c r="H2121" t="s">
        <v>21</v>
      </c>
      <c r="I2121">
        <v>0</v>
      </c>
      <c r="J2121" t="s">
        <v>30</v>
      </c>
    </row>
    <row r="2122" spans="1:10" s="3" customFormat="1" x14ac:dyDescent="0.25">
      <c r="A2122" s="2">
        <v>156</v>
      </c>
      <c r="B2122" s="3" t="s">
        <v>23</v>
      </c>
      <c r="C2122" s="3">
        <v>647</v>
      </c>
      <c r="D2122" s="3">
        <v>1</v>
      </c>
      <c r="E2122" s="3" t="s">
        <v>24</v>
      </c>
      <c r="F2122" s="3" t="s">
        <v>25</v>
      </c>
      <c r="G2122" s="3" t="str">
        <f>"2025-09-16 06:32:28.758"</f>
        <v>2025-09-16 06:32:28.758</v>
      </c>
      <c r="H2122" s="3" t="s">
        <v>21</v>
      </c>
    </row>
    <row r="2123" spans="1:10" s="3" customFormat="1" x14ac:dyDescent="0.25">
      <c r="A2123" s="2">
        <v>157</v>
      </c>
      <c r="B2123" s="3" t="s">
        <v>26</v>
      </c>
      <c r="C2123" s="3">
        <v>647</v>
      </c>
      <c r="D2123" s="3">
        <v>1</v>
      </c>
      <c r="E2123" s="3" t="s">
        <v>24</v>
      </c>
      <c r="F2123" s="3" t="s">
        <v>25</v>
      </c>
      <c r="G2123" s="3" t="str">
        <f>"2025-09-16 06:32:26.858"</f>
        <v>2025-09-16 06:32:26.858</v>
      </c>
      <c r="H2123" s="3" t="s">
        <v>21</v>
      </c>
      <c r="I2123" s="3">
        <v>13.66</v>
      </c>
      <c r="J2123" s="3" t="s">
        <v>27</v>
      </c>
    </row>
    <row r="2124" spans="1:10" s="3" customFormat="1" x14ac:dyDescent="0.25">
      <c r="A2124" s="2">
        <v>158</v>
      </c>
      <c r="B2124" s="3" t="s">
        <v>23</v>
      </c>
      <c r="C2124" s="3">
        <v>647</v>
      </c>
      <c r="D2124" s="3">
        <v>1</v>
      </c>
      <c r="E2124" s="3" t="s">
        <v>24</v>
      </c>
      <c r="F2124" s="3" t="s">
        <v>25</v>
      </c>
      <c r="G2124" s="3" t="str">
        <f>"2025-09-16 05:52:11.358"</f>
        <v>2025-09-16 05:52:11.358</v>
      </c>
      <c r="H2124" s="3" t="s">
        <v>21</v>
      </c>
    </row>
    <row r="2125" spans="1:10" s="3" customFormat="1" x14ac:dyDescent="0.25">
      <c r="A2125" s="2">
        <v>159</v>
      </c>
      <c r="B2125" s="3" t="s">
        <v>26</v>
      </c>
      <c r="C2125" s="3">
        <v>647</v>
      </c>
      <c r="D2125" s="3">
        <v>1</v>
      </c>
      <c r="E2125" s="3" t="s">
        <v>24</v>
      </c>
      <c r="F2125" s="3" t="s">
        <v>25</v>
      </c>
      <c r="G2125" s="3" t="str">
        <f>"2025-09-16 05:52:06.258"</f>
        <v>2025-09-16 05:52:06.258</v>
      </c>
      <c r="H2125" s="3" t="s">
        <v>21</v>
      </c>
      <c r="I2125" s="3">
        <v>9.3699999999999992</v>
      </c>
      <c r="J2125" s="3" t="s">
        <v>27</v>
      </c>
    </row>
    <row r="2126" spans="1:10" s="3" customFormat="1" x14ac:dyDescent="0.25">
      <c r="A2126" s="2">
        <v>160</v>
      </c>
      <c r="B2126" s="3" t="s">
        <v>23</v>
      </c>
      <c r="C2126" s="3">
        <v>647</v>
      </c>
      <c r="D2126" s="3">
        <v>1</v>
      </c>
      <c r="E2126" s="3" t="s">
        <v>24</v>
      </c>
      <c r="F2126" s="3" t="s">
        <v>25</v>
      </c>
      <c r="G2126" s="3" t="str">
        <f>"2025-09-16 05:52:00.358"</f>
        <v>2025-09-16 05:52:00.358</v>
      </c>
      <c r="H2126" s="3" t="s">
        <v>21</v>
      </c>
    </row>
    <row r="2127" spans="1:10" s="3" customFormat="1" x14ac:dyDescent="0.25">
      <c r="A2127" s="2">
        <v>161</v>
      </c>
      <c r="B2127" s="3" t="s">
        <v>26</v>
      </c>
      <c r="C2127" s="3">
        <v>647</v>
      </c>
      <c r="D2127" s="3">
        <v>1</v>
      </c>
      <c r="E2127" s="3" t="s">
        <v>24</v>
      </c>
      <c r="F2127" s="3" t="s">
        <v>25</v>
      </c>
      <c r="G2127" s="3" t="str">
        <f>"2025-09-16 05:51:49.858"</f>
        <v>2025-09-16 05:51:49.858</v>
      </c>
      <c r="H2127" s="3" t="s">
        <v>21</v>
      </c>
      <c r="I2127" s="3">
        <v>22.36</v>
      </c>
      <c r="J2127" s="3" t="s">
        <v>27</v>
      </c>
    </row>
    <row r="2128" spans="1:10" s="3" customFormat="1" x14ac:dyDescent="0.25">
      <c r="A2128" s="2">
        <v>163</v>
      </c>
      <c r="B2128" s="3" t="s">
        <v>23</v>
      </c>
      <c r="C2128" s="3">
        <v>647</v>
      </c>
      <c r="D2128" s="3">
        <v>1</v>
      </c>
      <c r="E2128" s="3" t="s">
        <v>24</v>
      </c>
      <c r="F2128" s="3" t="s">
        <v>25</v>
      </c>
      <c r="G2128" s="3" t="str">
        <f>"2025-09-16 00:50:39.658"</f>
        <v>2025-09-16 00:50:39.658</v>
      </c>
      <c r="H2128" s="3" t="s">
        <v>21</v>
      </c>
    </row>
    <row r="2129" spans="1:10" s="3" customFormat="1" x14ac:dyDescent="0.25">
      <c r="A2129" s="2">
        <v>164</v>
      </c>
      <c r="B2129" s="3" t="s">
        <v>26</v>
      </c>
      <c r="C2129" s="3">
        <v>647</v>
      </c>
      <c r="D2129" s="3">
        <v>1</v>
      </c>
      <c r="E2129" s="3" t="s">
        <v>24</v>
      </c>
      <c r="F2129" s="3" t="s">
        <v>25</v>
      </c>
      <c r="G2129" s="3" t="str">
        <f>"2025-09-16 00:50:34.759"</f>
        <v>2025-09-16 00:50:34.759</v>
      </c>
      <c r="H2129" s="3" t="s">
        <v>21</v>
      </c>
      <c r="I2129" s="3">
        <v>18.38</v>
      </c>
      <c r="J2129" s="3" t="s">
        <v>27</v>
      </c>
    </row>
    <row r="2130" spans="1:10" x14ac:dyDescent="0.25">
      <c r="A2130" s="1">
        <v>165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"2025-09-15 13:01:56.790"</f>
        <v>2025-09-15 13:01:56.790</v>
      </c>
      <c r="H2130" t="s">
        <v>21</v>
      </c>
      <c r="I2130">
        <v>0</v>
      </c>
      <c r="J2130" t="s">
        <v>22</v>
      </c>
    </row>
    <row r="2131" spans="1:10" s="3" customFormat="1" x14ac:dyDescent="0.25">
      <c r="A2131" s="2">
        <v>166</v>
      </c>
      <c r="B2131" s="3" t="s">
        <v>23</v>
      </c>
      <c r="C2131" s="3">
        <v>647</v>
      </c>
      <c r="D2131" s="3">
        <v>1</v>
      </c>
      <c r="E2131" s="3" t="s">
        <v>24</v>
      </c>
      <c r="F2131" s="3" t="s">
        <v>25</v>
      </c>
      <c r="G2131" s="3" t="str">
        <f>"2025-09-15 07:32:48.771"</f>
        <v>2025-09-15 07:32:48.771</v>
      </c>
      <c r="H2131" s="3" t="s">
        <v>21</v>
      </c>
    </row>
    <row r="2132" spans="1:10" s="3" customFormat="1" x14ac:dyDescent="0.25">
      <c r="A2132" s="2">
        <v>167</v>
      </c>
      <c r="B2132" s="3" t="s">
        <v>26</v>
      </c>
      <c r="C2132" s="3">
        <v>647</v>
      </c>
      <c r="D2132" s="3">
        <v>1</v>
      </c>
      <c r="E2132" s="3" t="s">
        <v>24</v>
      </c>
      <c r="F2132" s="3" t="s">
        <v>25</v>
      </c>
      <c r="G2132" s="3" t="str">
        <f>"2025-09-15 07:32:43.471"</f>
        <v>2025-09-15 07:32:43.471</v>
      </c>
      <c r="H2132" s="3" t="s">
        <v>21</v>
      </c>
      <c r="I2132" s="3">
        <v>26.61</v>
      </c>
      <c r="J2132" s="3" t="s">
        <v>27</v>
      </c>
    </row>
    <row r="2133" spans="1:10" x14ac:dyDescent="0.25">
      <c r="A2133" s="1">
        <v>168</v>
      </c>
      <c r="B2133" t="s">
        <v>23</v>
      </c>
      <c r="C2133">
        <v>635</v>
      </c>
      <c r="D2133">
        <v>1</v>
      </c>
      <c r="E2133" t="s">
        <v>31</v>
      </c>
      <c r="F2133" t="s">
        <v>32</v>
      </c>
      <c r="G2133" t="str">
        <f>"2025-09-15 03:27:57.823"</f>
        <v>2025-09-15 03:27:57.823</v>
      </c>
      <c r="H2133" t="s">
        <v>21</v>
      </c>
    </row>
    <row r="2134" spans="1:10" x14ac:dyDescent="0.25">
      <c r="A2134" s="1">
        <v>169</v>
      </c>
      <c r="B2134" t="s">
        <v>26</v>
      </c>
      <c r="C2134">
        <v>635</v>
      </c>
      <c r="D2134">
        <v>1</v>
      </c>
      <c r="E2134" t="s">
        <v>31</v>
      </c>
      <c r="F2134" t="s">
        <v>32</v>
      </c>
      <c r="G2134" t="str">
        <f>"2025-09-15 03:06:20.823"</f>
        <v>2025-09-15 03:06:20.823</v>
      </c>
      <c r="H2134" t="s">
        <v>21</v>
      </c>
      <c r="I2134">
        <v>0.38</v>
      </c>
      <c r="J2134" t="s">
        <v>27</v>
      </c>
    </row>
    <row r="2135" spans="1:10" x14ac:dyDescent="0.25">
      <c r="A2135" s="1">
        <v>170</v>
      </c>
      <c r="B2135" t="s">
        <v>23</v>
      </c>
      <c r="C2135">
        <v>635</v>
      </c>
      <c r="D2135">
        <v>1</v>
      </c>
      <c r="E2135" t="s">
        <v>31</v>
      </c>
      <c r="F2135" t="s">
        <v>32</v>
      </c>
      <c r="G2135" t="str">
        <f>"2025-09-15 01:45:31.023"</f>
        <v>2025-09-15 01:45:31.023</v>
      </c>
      <c r="H2135" t="s">
        <v>21</v>
      </c>
    </row>
    <row r="2136" spans="1:10" x14ac:dyDescent="0.25">
      <c r="A2136" s="1">
        <v>171</v>
      </c>
      <c r="B2136" t="s">
        <v>26</v>
      </c>
      <c r="C2136">
        <v>635</v>
      </c>
      <c r="D2136">
        <v>1</v>
      </c>
      <c r="E2136" t="s">
        <v>31</v>
      </c>
      <c r="F2136" t="s">
        <v>32</v>
      </c>
      <c r="G2136" t="str">
        <f>"2025-09-15 01:43:29.523"</f>
        <v>2025-09-15 01:43:29.523</v>
      </c>
      <c r="H2136" t="s">
        <v>21</v>
      </c>
      <c r="I2136">
        <v>5.66</v>
      </c>
      <c r="J2136" t="s">
        <v>33</v>
      </c>
    </row>
    <row r="2137" spans="1:10" s="3" customFormat="1" x14ac:dyDescent="0.25">
      <c r="A2137" s="2">
        <v>172</v>
      </c>
      <c r="B2137" s="3" t="s">
        <v>23</v>
      </c>
      <c r="C2137" s="3">
        <v>647</v>
      </c>
      <c r="D2137" s="3">
        <v>1</v>
      </c>
      <c r="E2137" s="3" t="s">
        <v>24</v>
      </c>
      <c r="F2137" s="3" t="s">
        <v>25</v>
      </c>
      <c r="G2137" s="3" t="str">
        <f>"2025-09-15 01:14:01.671"</f>
        <v>2025-09-15 01:14:01.671</v>
      </c>
      <c r="H2137" s="3" t="s">
        <v>21</v>
      </c>
    </row>
    <row r="2138" spans="1:10" s="3" customFormat="1" x14ac:dyDescent="0.25">
      <c r="A2138" s="2">
        <v>173</v>
      </c>
      <c r="B2138" s="3" t="s">
        <v>26</v>
      </c>
      <c r="C2138" s="3">
        <v>647</v>
      </c>
      <c r="D2138" s="3">
        <v>1</v>
      </c>
      <c r="E2138" s="3" t="s">
        <v>24</v>
      </c>
      <c r="F2138" s="3" t="s">
        <v>25</v>
      </c>
      <c r="G2138" s="3" t="str">
        <f>"2025-09-15 01:13:59.371"</f>
        <v>2025-09-15 01:13:59.371</v>
      </c>
      <c r="H2138" s="3" t="s">
        <v>21</v>
      </c>
      <c r="I2138" s="3">
        <v>10.3</v>
      </c>
      <c r="J2138" s="3" t="s">
        <v>27</v>
      </c>
    </row>
    <row r="2139" spans="1:10" s="3" customFormat="1" x14ac:dyDescent="0.25">
      <c r="A2139" s="2">
        <v>174</v>
      </c>
      <c r="B2139" s="3" t="s">
        <v>23</v>
      </c>
      <c r="C2139" s="3">
        <v>647</v>
      </c>
      <c r="D2139" s="3">
        <v>1</v>
      </c>
      <c r="E2139" s="3" t="s">
        <v>24</v>
      </c>
      <c r="F2139" s="3" t="s">
        <v>25</v>
      </c>
      <c r="G2139" s="3" t="str">
        <f>"2025-09-14 03:05:39.871"</f>
        <v>2025-09-14 03:05:39.871</v>
      </c>
      <c r="H2139" s="3" t="s">
        <v>21</v>
      </c>
    </row>
    <row r="2140" spans="1:10" s="3" customFormat="1" x14ac:dyDescent="0.25">
      <c r="A2140" s="2">
        <v>175</v>
      </c>
      <c r="B2140" s="3" t="s">
        <v>26</v>
      </c>
      <c r="C2140" s="3">
        <v>647</v>
      </c>
      <c r="D2140" s="3">
        <v>1</v>
      </c>
      <c r="E2140" s="3" t="s">
        <v>24</v>
      </c>
      <c r="F2140" s="3" t="s">
        <v>25</v>
      </c>
      <c r="G2140" s="3" t="str">
        <f>"2025-09-14 03:05:38.771"</f>
        <v>2025-09-14 03:05:38.771</v>
      </c>
      <c r="H2140" s="3" t="s">
        <v>21</v>
      </c>
      <c r="I2140" s="3">
        <v>12.3</v>
      </c>
      <c r="J2140" s="3" t="s">
        <v>27</v>
      </c>
    </row>
    <row r="2141" spans="1:10" s="3" customFormat="1" x14ac:dyDescent="0.25">
      <c r="A2141" s="2">
        <v>176</v>
      </c>
      <c r="B2141" s="3" t="s">
        <v>23</v>
      </c>
      <c r="C2141" s="3">
        <v>647</v>
      </c>
      <c r="D2141" s="3">
        <v>1</v>
      </c>
      <c r="E2141" s="3" t="s">
        <v>24</v>
      </c>
      <c r="F2141" s="3" t="s">
        <v>25</v>
      </c>
      <c r="G2141" s="3" t="str">
        <f>"2025-09-14 02:34:46.871"</f>
        <v>2025-09-14 02:34:46.871</v>
      </c>
      <c r="H2141" s="3" t="s">
        <v>21</v>
      </c>
    </row>
    <row r="2142" spans="1:10" s="3" customFormat="1" x14ac:dyDescent="0.25">
      <c r="A2142" s="2">
        <v>177</v>
      </c>
      <c r="B2142" s="3" t="s">
        <v>26</v>
      </c>
      <c r="C2142" s="3">
        <v>647</v>
      </c>
      <c r="D2142" s="3">
        <v>1</v>
      </c>
      <c r="E2142" s="3" t="s">
        <v>24</v>
      </c>
      <c r="F2142" s="3" t="s">
        <v>25</v>
      </c>
      <c r="G2142" s="3" t="str">
        <f>"2025-09-14 02:34:41.171"</f>
        <v>2025-09-14 02:34:41.171</v>
      </c>
      <c r="H2142" s="3" t="s">
        <v>21</v>
      </c>
      <c r="I2142" s="3">
        <v>12.22</v>
      </c>
      <c r="J2142" s="3" t="s">
        <v>27</v>
      </c>
    </row>
    <row r="2143" spans="1:10" s="3" customFormat="1" x14ac:dyDescent="0.25">
      <c r="A2143" s="2">
        <v>178</v>
      </c>
      <c r="B2143" s="3" t="s">
        <v>23</v>
      </c>
      <c r="C2143" s="3">
        <v>647</v>
      </c>
      <c r="D2143" s="3">
        <v>1</v>
      </c>
      <c r="E2143" s="3" t="s">
        <v>24</v>
      </c>
      <c r="F2143" s="3" t="s">
        <v>25</v>
      </c>
      <c r="G2143" s="3" t="str">
        <f>"2025-09-14 02:34:32.671"</f>
        <v>2025-09-14 02:34:32.671</v>
      </c>
      <c r="H2143" s="3" t="s">
        <v>21</v>
      </c>
    </row>
    <row r="2144" spans="1:10" s="3" customFormat="1" x14ac:dyDescent="0.25">
      <c r="A2144" s="2">
        <v>179</v>
      </c>
      <c r="B2144" s="3" t="s">
        <v>26</v>
      </c>
      <c r="C2144" s="3">
        <v>647</v>
      </c>
      <c r="D2144" s="3">
        <v>1</v>
      </c>
      <c r="E2144" s="3" t="s">
        <v>24</v>
      </c>
      <c r="F2144" s="3" t="s">
        <v>25</v>
      </c>
      <c r="G2144" s="3" t="str">
        <f>"2025-09-14 02:34:27.571"</f>
        <v>2025-09-14 02:34:27.571</v>
      </c>
      <c r="H2144" s="3" t="s">
        <v>21</v>
      </c>
      <c r="I2144" s="3">
        <v>15.59</v>
      </c>
      <c r="J2144" s="3" t="s">
        <v>27</v>
      </c>
    </row>
    <row r="2145" spans="1:10" x14ac:dyDescent="0.25">
      <c r="A2145" s="1">
        <v>180</v>
      </c>
      <c r="B2145" t="s">
        <v>23</v>
      </c>
      <c r="C2145">
        <v>635</v>
      </c>
      <c r="D2145">
        <v>1</v>
      </c>
      <c r="E2145" t="s">
        <v>31</v>
      </c>
      <c r="F2145" t="s">
        <v>32</v>
      </c>
      <c r="G2145" t="str">
        <f>"2025-09-13 21:29:47.923"</f>
        <v>2025-09-13 21:29:47.923</v>
      </c>
      <c r="H2145" t="s">
        <v>21</v>
      </c>
    </row>
    <row r="2146" spans="1:10" x14ac:dyDescent="0.25">
      <c r="A2146" s="1">
        <v>181</v>
      </c>
      <c r="B2146" t="s">
        <v>26</v>
      </c>
      <c r="C2146">
        <v>635</v>
      </c>
      <c r="D2146">
        <v>1</v>
      </c>
      <c r="E2146" t="s">
        <v>31</v>
      </c>
      <c r="F2146" t="s">
        <v>32</v>
      </c>
      <c r="G2146" t="str">
        <f>"2025-09-13 21:21:59.523"</f>
        <v>2025-09-13 21:21:59.523</v>
      </c>
      <c r="H2146" t="s">
        <v>21</v>
      </c>
      <c r="I2146">
        <v>-0.03</v>
      </c>
      <c r="J2146" t="s">
        <v>34</v>
      </c>
    </row>
    <row r="2147" spans="1:10" x14ac:dyDescent="0.25">
      <c r="A2147" s="1">
        <v>182</v>
      </c>
      <c r="B2147" t="s">
        <v>19</v>
      </c>
      <c r="C2147">
        <v>706</v>
      </c>
      <c r="D2147">
        <v>2</v>
      </c>
      <c r="E2147" t="s">
        <v>28</v>
      </c>
      <c r="F2147" t="s">
        <v>39</v>
      </c>
      <c r="G2147" t="str">
        <f>"2025-09-13 13:33:04.294"</f>
        <v>2025-09-13 13:33:04.294</v>
      </c>
      <c r="H2147" t="s">
        <v>21</v>
      </c>
      <c r="I2147">
        <v>0</v>
      </c>
      <c r="J2147" t="s">
        <v>30</v>
      </c>
    </row>
    <row r="2148" spans="1:10" x14ac:dyDescent="0.25">
      <c r="A2148" s="1">
        <v>183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"2025-09-13 13:32:43.804"</f>
        <v>2025-09-13 13:32:43.804</v>
      </c>
      <c r="H2148" t="s">
        <v>21</v>
      </c>
      <c r="I2148">
        <v>0</v>
      </c>
      <c r="J2148" t="s">
        <v>22</v>
      </c>
    </row>
    <row r="2149" spans="1:10" x14ac:dyDescent="0.25">
      <c r="A2149" s="1">
        <v>184</v>
      </c>
      <c r="B2149" t="s">
        <v>23</v>
      </c>
      <c r="C2149">
        <v>635</v>
      </c>
      <c r="D2149">
        <v>1</v>
      </c>
      <c r="E2149" t="s">
        <v>31</v>
      </c>
      <c r="F2149" t="s">
        <v>32</v>
      </c>
      <c r="G2149" t="str">
        <f>"2025-09-13 03:11:58.342"</f>
        <v>2025-09-13 03:11:58.342</v>
      </c>
      <c r="H2149" t="s">
        <v>21</v>
      </c>
    </row>
    <row r="2150" spans="1:10" x14ac:dyDescent="0.25">
      <c r="A2150" s="1">
        <v>185</v>
      </c>
      <c r="B2150" t="s">
        <v>26</v>
      </c>
      <c r="C2150">
        <v>635</v>
      </c>
      <c r="D2150">
        <v>1</v>
      </c>
      <c r="E2150" t="s">
        <v>31</v>
      </c>
      <c r="F2150" t="s">
        <v>32</v>
      </c>
      <c r="G2150" t="str">
        <f>"2025-09-13 03:08:59.342"</f>
        <v>2025-09-13 03:08:59.342</v>
      </c>
      <c r="H2150" t="s">
        <v>21</v>
      </c>
      <c r="I2150">
        <v>-2.0499999999999998</v>
      </c>
      <c r="J2150" t="s">
        <v>33</v>
      </c>
    </row>
    <row r="2151" spans="1:10" s="3" customFormat="1" x14ac:dyDescent="0.25">
      <c r="A2151" s="2">
        <v>186</v>
      </c>
      <c r="B2151" s="3" t="s">
        <v>23</v>
      </c>
      <c r="C2151" s="3">
        <v>647</v>
      </c>
      <c r="D2151" s="3">
        <v>1</v>
      </c>
      <c r="E2151" s="3" t="s">
        <v>24</v>
      </c>
      <c r="F2151" s="3" t="s">
        <v>25</v>
      </c>
      <c r="G2151" s="3" t="str">
        <f>"2025-09-12 22:56:51.142"</f>
        <v>2025-09-12 22:56:51.142</v>
      </c>
      <c r="H2151" s="3" t="s">
        <v>21</v>
      </c>
    </row>
    <row r="2152" spans="1:10" s="3" customFormat="1" x14ac:dyDescent="0.25">
      <c r="A2152" s="2">
        <v>187</v>
      </c>
      <c r="B2152" s="3" t="s">
        <v>26</v>
      </c>
      <c r="C2152" s="3">
        <v>647</v>
      </c>
      <c r="D2152" s="3">
        <v>1</v>
      </c>
      <c r="E2152" s="3" t="s">
        <v>24</v>
      </c>
      <c r="F2152" s="3" t="s">
        <v>25</v>
      </c>
      <c r="G2152" s="3" t="str">
        <f>"2025-09-12 22:56:48.842"</f>
        <v>2025-09-12 22:56:48.842</v>
      </c>
      <c r="H2152" s="3" t="s">
        <v>21</v>
      </c>
      <c r="I2152" s="3">
        <v>8.74</v>
      </c>
      <c r="J2152" s="3" t="s">
        <v>27</v>
      </c>
    </row>
    <row r="2153" spans="1:10" s="3" customFormat="1" x14ac:dyDescent="0.25">
      <c r="A2153" s="2">
        <v>188</v>
      </c>
      <c r="B2153" s="3" t="s">
        <v>23</v>
      </c>
      <c r="C2153" s="3">
        <v>647</v>
      </c>
      <c r="D2153" s="3">
        <v>1</v>
      </c>
      <c r="E2153" s="3" t="s">
        <v>24</v>
      </c>
      <c r="F2153" s="3" t="s">
        <v>25</v>
      </c>
      <c r="G2153" s="3" t="str">
        <f>"2025-09-12 04:52:16.242"</f>
        <v>2025-09-12 04:52:16.242</v>
      </c>
      <c r="H2153" s="3" t="s">
        <v>21</v>
      </c>
    </row>
    <row r="2154" spans="1:10" s="3" customFormat="1" x14ac:dyDescent="0.25">
      <c r="A2154" s="2">
        <v>189</v>
      </c>
      <c r="B2154" s="3" t="s">
        <v>26</v>
      </c>
      <c r="C2154" s="3">
        <v>647</v>
      </c>
      <c r="D2154" s="3">
        <v>1</v>
      </c>
      <c r="E2154" s="3" t="s">
        <v>24</v>
      </c>
      <c r="F2154" s="3" t="s">
        <v>25</v>
      </c>
      <c r="G2154" s="3" t="str">
        <f>"2025-09-12 04:52:13.242"</f>
        <v>2025-09-12 04:52:13.242</v>
      </c>
      <c r="H2154" s="3" t="s">
        <v>21</v>
      </c>
      <c r="I2154" s="3">
        <v>9.8699999999999992</v>
      </c>
      <c r="J2154" s="3" t="s">
        <v>27</v>
      </c>
    </row>
    <row r="2155" spans="1:10" s="3" customFormat="1" x14ac:dyDescent="0.25">
      <c r="A2155" s="2">
        <v>190</v>
      </c>
      <c r="B2155" s="3" t="s">
        <v>23</v>
      </c>
      <c r="C2155" s="3">
        <v>647</v>
      </c>
      <c r="D2155" s="3">
        <v>1</v>
      </c>
      <c r="E2155" s="3" t="s">
        <v>24</v>
      </c>
      <c r="F2155" s="3" t="s">
        <v>25</v>
      </c>
      <c r="G2155" s="3" t="str">
        <f>"2025-09-11 22:15:09.942"</f>
        <v>2025-09-11 22:15:09.942</v>
      </c>
      <c r="H2155" s="3" t="s">
        <v>21</v>
      </c>
    </row>
    <row r="2156" spans="1:10" s="3" customFormat="1" x14ac:dyDescent="0.25">
      <c r="A2156" s="2">
        <v>191</v>
      </c>
      <c r="B2156" s="3" t="s">
        <v>26</v>
      </c>
      <c r="C2156" s="3">
        <v>647</v>
      </c>
      <c r="D2156" s="3">
        <v>1</v>
      </c>
      <c r="E2156" s="3" t="s">
        <v>24</v>
      </c>
      <c r="F2156" s="3" t="s">
        <v>25</v>
      </c>
      <c r="G2156" s="3" t="str">
        <f>"2025-09-11 22:15:08.143"</f>
        <v>2025-09-11 22:15:08.143</v>
      </c>
      <c r="H2156" s="3" t="s">
        <v>21</v>
      </c>
      <c r="I2156" s="3">
        <v>17.52</v>
      </c>
      <c r="J2156" s="3" t="s">
        <v>27</v>
      </c>
    </row>
    <row r="2157" spans="1:10" x14ac:dyDescent="0.25">
      <c r="A2157" s="1">
        <v>192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"2025-09-11 14:02:35.765"</f>
        <v>2025-09-11 14:02:35.765</v>
      </c>
      <c r="H2157" t="s">
        <v>21</v>
      </c>
    </row>
    <row r="2158" spans="1:10" s="3" customFormat="1" x14ac:dyDescent="0.25">
      <c r="A2158" s="2">
        <v>193</v>
      </c>
      <c r="B2158" s="3" t="s">
        <v>23</v>
      </c>
      <c r="C2158" s="3">
        <v>647</v>
      </c>
      <c r="D2158" s="3">
        <v>1</v>
      </c>
      <c r="E2158" s="3" t="s">
        <v>24</v>
      </c>
      <c r="F2158" s="3" t="s">
        <v>25</v>
      </c>
      <c r="G2158" s="3" t="str">
        <f>"2025-09-11 04:55:20.946"</f>
        <v>2025-09-11 04:55:20.946</v>
      </c>
      <c r="H2158" s="3" t="s">
        <v>21</v>
      </c>
    </row>
    <row r="2159" spans="1:10" s="3" customFormat="1" x14ac:dyDescent="0.25">
      <c r="A2159" s="2">
        <v>194</v>
      </c>
      <c r="B2159" s="3" t="s">
        <v>26</v>
      </c>
      <c r="C2159" s="3">
        <v>647</v>
      </c>
      <c r="D2159" s="3">
        <v>1</v>
      </c>
      <c r="E2159" s="3" t="s">
        <v>24</v>
      </c>
      <c r="F2159" s="3" t="s">
        <v>25</v>
      </c>
      <c r="G2159" s="3" t="str">
        <f>"2025-09-11 04:55:08.446"</f>
        <v>2025-09-11 04:55:08.446</v>
      </c>
      <c r="H2159" s="3" t="s">
        <v>21</v>
      </c>
      <c r="I2159" s="3">
        <v>10.67</v>
      </c>
      <c r="J2159" s="3" t="s">
        <v>27</v>
      </c>
    </row>
    <row r="2160" spans="1:10" s="3" customFormat="1" x14ac:dyDescent="0.25">
      <c r="A2160" s="2">
        <v>195</v>
      </c>
      <c r="B2160" s="3" t="s">
        <v>23</v>
      </c>
      <c r="C2160" s="3">
        <v>647</v>
      </c>
      <c r="D2160" s="3">
        <v>1</v>
      </c>
      <c r="E2160" s="3" t="s">
        <v>24</v>
      </c>
      <c r="F2160" s="3" t="s">
        <v>25</v>
      </c>
      <c r="G2160" s="3" t="str">
        <f>"2025-09-10 00:01:25.046"</f>
        <v>2025-09-10 00:01:25.046</v>
      </c>
      <c r="H2160" s="3" t="s">
        <v>21</v>
      </c>
    </row>
    <row r="2161" spans="1:10" s="3" customFormat="1" x14ac:dyDescent="0.25">
      <c r="A2161" s="2">
        <v>196</v>
      </c>
      <c r="B2161" s="3" t="s">
        <v>26</v>
      </c>
      <c r="C2161" s="3">
        <v>647</v>
      </c>
      <c r="D2161" s="3">
        <v>1</v>
      </c>
      <c r="E2161" s="3" t="s">
        <v>24</v>
      </c>
      <c r="F2161" s="3" t="s">
        <v>25</v>
      </c>
      <c r="G2161" s="3" t="str">
        <f>"2025-09-10 00:01:23.046"</f>
        <v>2025-09-10 00:01:23.046</v>
      </c>
      <c r="H2161" s="3" t="s">
        <v>21</v>
      </c>
      <c r="I2161" s="3">
        <v>13.92</v>
      </c>
      <c r="J2161" s="3" t="s">
        <v>27</v>
      </c>
    </row>
    <row r="2162" spans="1:10" s="3" customFormat="1" x14ac:dyDescent="0.25">
      <c r="A2162" s="2">
        <v>197</v>
      </c>
      <c r="B2162" s="3" t="s">
        <v>23</v>
      </c>
      <c r="C2162" s="3">
        <v>647</v>
      </c>
      <c r="D2162" s="3">
        <v>1</v>
      </c>
      <c r="E2162" s="3" t="s">
        <v>24</v>
      </c>
      <c r="F2162" s="3" t="s">
        <v>25</v>
      </c>
      <c r="G2162" s="3" t="str">
        <f>"2025-09-09 21:29:04.046"</f>
        <v>2025-09-09 21:29:04.046</v>
      </c>
      <c r="H2162" s="3" t="s">
        <v>21</v>
      </c>
    </row>
    <row r="2163" spans="1:10" s="3" customFormat="1" x14ac:dyDescent="0.25">
      <c r="A2163" s="2">
        <v>198</v>
      </c>
      <c r="B2163" s="3" t="s">
        <v>26</v>
      </c>
      <c r="C2163" s="3">
        <v>647</v>
      </c>
      <c r="D2163" s="3">
        <v>1</v>
      </c>
      <c r="E2163" s="3" t="s">
        <v>24</v>
      </c>
      <c r="F2163" s="3" t="s">
        <v>25</v>
      </c>
      <c r="G2163" s="3" t="str">
        <f>"2025-09-09 21:28:56.546"</f>
        <v>2025-09-09 21:28:56.546</v>
      </c>
      <c r="H2163" s="3" t="s">
        <v>21</v>
      </c>
      <c r="I2163" s="3">
        <v>8.17</v>
      </c>
      <c r="J2163" s="3" t="s">
        <v>27</v>
      </c>
    </row>
    <row r="2164" spans="1:10" x14ac:dyDescent="0.25">
      <c r="A2164" s="1">
        <v>199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"2025-09-09 14:17:37.765"</f>
        <v>2025-09-09 14:17:37.765</v>
      </c>
      <c r="H2164" t="s">
        <v>21</v>
      </c>
      <c r="I2164">
        <v>0</v>
      </c>
      <c r="J2164" t="s">
        <v>22</v>
      </c>
    </row>
    <row r="2165" spans="1:10" s="3" customFormat="1" x14ac:dyDescent="0.25">
      <c r="A2165" s="2">
        <v>200</v>
      </c>
      <c r="B2165" s="3" t="s">
        <v>23</v>
      </c>
      <c r="C2165" s="3">
        <v>647</v>
      </c>
      <c r="D2165" s="3">
        <v>1</v>
      </c>
      <c r="E2165" s="3" t="s">
        <v>24</v>
      </c>
      <c r="F2165" s="3" t="s">
        <v>25</v>
      </c>
      <c r="G2165" s="3" t="str">
        <f>"2025-09-09 05:48:47.049"</f>
        <v>2025-09-09 05:48:47.049</v>
      </c>
      <c r="H2165" s="3" t="s">
        <v>21</v>
      </c>
    </row>
    <row r="2166" spans="1:10" s="3" customFormat="1" x14ac:dyDescent="0.25">
      <c r="A2166" s="2">
        <v>201</v>
      </c>
      <c r="B2166" s="3" t="s">
        <v>26</v>
      </c>
      <c r="C2166" s="3">
        <v>647</v>
      </c>
      <c r="D2166" s="3">
        <v>1</v>
      </c>
      <c r="E2166" s="3" t="s">
        <v>24</v>
      </c>
      <c r="F2166" s="3" t="s">
        <v>25</v>
      </c>
      <c r="G2166" s="3" t="str">
        <f>"2025-09-09 05:48:45.049"</f>
        <v>2025-09-09 05:48:45.049</v>
      </c>
      <c r="H2166" s="3" t="s">
        <v>21</v>
      </c>
      <c r="I2166" s="3">
        <v>17.29</v>
      </c>
      <c r="J2166" s="3" t="s">
        <v>27</v>
      </c>
    </row>
    <row r="2167" spans="1:10" x14ac:dyDescent="0.25">
      <c r="A2167" s="1">
        <v>202</v>
      </c>
      <c r="B2167" t="s">
        <v>23</v>
      </c>
      <c r="C2167">
        <v>635</v>
      </c>
      <c r="D2167">
        <v>1</v>
      </c>
      <c r="E2167" t="s">
        <v>31</v>
      </c>
      <c r="F2167" t="s">
        <v>32</v>
      </c>
      <c r="G2167" t="str">
        <f>"2025-09-08 23:46:21.295"</f>
        <v>2025-09-08 23:46:21.295</v>
      </c>
      <c r="H2167" t="s">
        <v>21</v>
      </c>
    </row>
    <row r="2168" spans="1:10" x14ac:dyDescent="0.25">
      <c r="A2168" s="1">
        <v>203</v>
      </c>
      <c r="B2168" t="s">
        <v>26</v>
      </c>
      <c r="C2168">
        <v>635</v>
      </c>
      <c r="D2168">
        <v>1</v>
      </c>
      <c r="E2168" t="s">
        <v>31</v>
      </c>
      <c r="F2168" t="s">
        <v>32</v>
      </c>
      <c r="G2168" t="str">
        <f>"2025-09-08 23:26:35.295"</f>
        <v>2025-09-08 23:26:35.295</v>
      </c>
      <c r="H2168" t="s">
        <v>21</v>
      </c>
      <c r="I2168">
        <v>6.48</v>
      </c>
      <c r="J2168" t="s">
        <v>27</v>
      </c>
    </row>
    <row r="2169" spans="1:10" s="3" customFormat="1" x14ac:dyDescent="0.25">
      <c r="A2169" s="2">
        <v>204</v>
      </c>
      <c r="B2169" s="3" t="s">
        <v>23</v>
      </c>
      <c r="C2169" s="3">
        <v>647</v>
      </c>
      <c r="D2169" s="3">
        <v>1</v>
      </c>
      <c r="E2169" s="3" t="s">
        <v>24</v>
      </c>
      <c r="F2169" s="3" t="s">
        <v>25</v>
      </c>
      <c r="G2169" s="3" t="str">
        <f>"2025-09-08 22:00:48.649"</f>
        <v>2025-09-08 22:00:48.649</v>
      </c>
      <c r="H2169" s="3" t="s">
        <v>21</v>
      </c>
    </row>
    <row r="2170" spans="1:10" s="3" customFormat="1" x14ac:dyDescent="0.25">
      <c r="A2170" s="2">
        <v>205</v>
      </c>
      <c r="B2170" s="3" t="s">
        <v>26</v>
      </c>
      <c r="C2170" s="3">
        <v>647</v>
      </c>
      <c r="D2170" s="3">
        <v>1</v>
      </c>
      <c r="E2170" s="3" t="s">
        <v>24</v>
      </c>
      <c r="F2170" s="3" t="s">
        <v>25</v>
      </c>
      <c r="G2170" s="3" t="str">
        <f>"2025-09-08 22:00:46.549"</f>
        <v>2025-09-08 22:00:46.549</v>
      </c>
      <c r="H2170" s="3" t="s">
        <v>21</v>
      </c>
      <c r="I2170" s="3">
        <v>9.31</v>
      </c>
      <c r="J2170" s="3" t="s">
        <v>27</v>
      </c>
    </row>
    <row r="2171" spans="1:10" x14ac:dyDescent="0.25">
      <c r="A2171" s="1">
        <v>206</v>
      </c>
      <c r="B2171" t="s">
        <v>19</v>
      </c>
      <c r="C2171">
        <v>706</v>
      </c>
      <c r="D2171">
        <v>2</v>
      </c>
      <c r="E2171" t="s">
        <v>28</v>
      </c>
      <c r="F2171" t="s">
        <v>39</v>
      </c>
      <c r="G2171" t="str">
        <f>"2025-09-08 02:26:33.267"</f>
        <v>2025-09-08 02:26:33.267</v>
      </c>
      <c r="H2171" t="s">
        <v>21</v>
      </c>
      <c r="I2171">
        <v>0</v>
      </c>
      <c r="J2171" t="s">
        <v>30</v>
      </c>
    </row>
    <row r="2172" spans="1:10" x14ac:dyDescent="0.25">
      <c r="A2172" s="1">
        <v>207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"2025-09-08 02:22:00.767"</f>
        <v>2025-09-08 02:22:00.767</v>
      </c>
      <c r="H2172" t="s">
        <v>21</v>
      </c>
      <c r="I2172">
        <v>0</v>
      </c>
      <c r="J2172" t="s">
        <v>22</v>
      </c>
    </row>
    <row r="2173" spans="1:10" x14ac:dyDescent="0.25">
      <c r="A2173" s="1">
        <v>208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"2025-09-07 21:19:34.754"</f>
        <v>2025-09-07 21:19:34.754</v>
      </c>
      <c r="H2173" t="s">
        <v>21</v>
      </c>
    </row>
    <row r="2174" spans="1:10" x14ac:dyDescent="0.25">
      <c r="A2174" s="1">
        <v>209</v>
      </c>
      <c r="B2174" t="s">
        <v>38</v>
      </c>
      <c r="C2174">
        <v>630</v>
      </c>
      <c r="D2174">
        <v>5</v>
      </c>
      <c r="E2174" t="s">
        <v>35</v>
      </c>
      <c r="F2174" t="s">
        <v>36</v>
      </c>
      <c r="G2174" t="str">
        <f>"2025-09-07 21:12:59.497"</f>
        <v>2025-09-07 21:12:59.497</v>
      </c>
      <c r="H2174" t="s">
        <v>37</v>
      </c>
      <c r="I2174">
        <v>0</v>
      </c>
      <c r="J2174" t="s">
        <v>30</v>
      </c>
    </row>
    <row r="2175" spans="1:10" x14ac:dyDescent="0.25">
      <c r="A2175" s="1">
        <v>210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"2025-09-07 21:07:56.776"</f>
        <v>2025-09-07 21:07:56.776</v>
      </c>
      <c r="H2175" t="s">
        <v>21</v>
      </c>
      <c r="I2175">
        <v>0</v>
      </c>
      <c r="J2175" t="s">
        <v>22</v>
      </c>
    </row>
    <row r="2176" spans="1:10" x14ac:dyDescent="0.25">
      <c r="A2176" s="1">
        <v>211</v>
      </c>
      <c r="B2176" t="s">
        <v>38</v>
      </c>
      <c r="C2176">
        <v>630</v>
      </c>
      <c r="D2176">
        <v>5</v>
      </c>
      <c r="E2176" t="s">
        <v>35</v>
      </c>
      <c r="F2176" t="s">
        <v>36</v>
      </c>
      <c r="G2176" t="str">
        <f>"2025-09-07 20:37:04.844"</f>
        <v>2025-09-07 20:37:04.844</v>
      </c>
      <c r="H2176" t="s">
        <v>37</v>
      </c>
      <c r="I2176">
        <v>0</v>
      </c>
      <c r="J2176" t="s">
        <v>30</v>
      </c>
    </row>
    <row r="2177" spans="1:10" x14ac:dyDescent="0.25">
      <c r="A2177" s="1">
        <v>212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"2025-09-07 20:32:01.999"</f>
        <v>2025-09-07 20:32:01.999</v>
      </c>
      <c r="H2177" t="s">
        <v>21</v>
      </c>
    </row>
    <row r="2178" spans="1:10" x14ac:dyDescent="0.25">
      <c r="A2178" s="1">
        <v>213</v>
      </c>
      <c r="B2178" t="s">
        <v>19</v>
      </c>
      <c r="C2178">
        <v>706</v>
      </c>
      <c r="D2178">
        <v>2</v>
      </c>
      <c r="E2178" t="s">
        <v>28</v>
      </c>
      <c r="F2178" t="s">
        <v>39</v>
      </c>
      <c r="G2178" t="str">
        <f>"2025-09-07 20:09:44.102"</f>
        <v>2025-09-07 20:09:44.102</v>
      </c>
      <c r="H2178" t="s">
        <v>21</v>
      </c>
      <c r="I2178">
        <v>0</v>
      </c>
      <c r="J2178" t="s">
        <v>30</v>
      </c>
    </row>
    <row r="2179" spans="1:10" s="3" customFormat="1" x14ac:dyDescent="0.25">
      <c r="A2179" s="2">
        <v>214</v>
      </c>
      <c r="B2179" s="3" t="s">
        <v>23</v>
      </c>
      <c r="C2179" s="3">
        <v>647</v>
      </c>
      <c r="D2179" s="3">
        <v>1</v>
      </c>
      <c r="E2179" s="3" t="s">
        <v>24</v>
      </c>
      <c r="F2179" s="3" t="s">
        <v>25</v>
      </c>
      <c r="G2179" s="3" t="str">
        <f>"2025-09-07 19:58:03.254"</f>
        <v>2025-09-07 19:58:03.254</v>
      </c>
      <c r="H2179" s="3" t="s">
        <v>21</v>
      </c>
    </row>
    <row r="2180" spans="1:10" s="3" customFormat="1" x14ac:dyDescent="0.25">
      <c r="A2180" s="2">
        <v>215</v>
      </c>
      <c r="B2180" s="3" t="s">
        <v>26</v>
      </c>
      <c r="C2180" s="3">
        <v>647</v>
      </c>
      <c r="D2180" s="3">
        <v>1</v>
      </c>
      <c r="E2180" s="3" t="s">
        <v>24</v>
      </c>
      <c r="F2180" s="3" t="s">
        <v>25</v>
      </c>
      <c r="G2180" s="3" t="str">
        <f>"2025-09-07 19:57:59.754"</f>
        <v>2025-09-07 19:57:59.754</v>
      </c>
      <c r="H2180" s="3" t="s">
        <v>21</v>
      </c>
      <c r="I2180" s="3">
        <v>8.23</v>
      </c>
      <c r="J2180" s="3" t="s">
        <v>27</v>
      </c>
    </row>
    <row r="2181" spans="1:10" s="3" customFormat="1" x14ac:dyDescent="0.25">
      <c r="A2181" s="2">
        <v>217</v>
      </c>
      <c r="B2181" s="3" t="s">
        <v>23</v>
      </c>
      <c r="C2181" s="3">
        <v>647</v>
      </c>
      <c r="D2181" s="3">
        <v>1</v>
      </c>
      <c r="E2181" s="3" t="s">
        <v>24</v>
      </c>
      <c r="F2181" s="3" t="s">
        <v>25</v>
      </c>
      <c r="G2181" s="3" t="str">
        <f>"2025-09-07 06:43:29.154"</f>
        <v>2025-09-07 06:43:29.154</v>
      </c>
      <c r="H2181" s="3" t="s">
        <v>21</v>
      </c>
    </row>
    <row r="2182" spans="1:10" s="3" customFormat="1" x14ac:dyDescent="0.25">
      <c r="A2182" s="2">
        <v>218</v>
      </c>
      <c r="B2182" s="3" t="s">
        <v>26</v>
      </c>
      <c r="C2182" s="3">
        <v>647</v>
      </c>
      <c r="D2182" s="3">
        <v>1</v>
      </c>
      <c r="E2182" s="3" t="s">
        <v>24</v>
      </c>
      <c r="F2182" s="3" t="s">
        <v>25</v>
      </c>
      <c r="G2182" s="3" t="str">
        <f>"2025-09-07 06:43:25.054"</f>
        <v>2025-09-07 06:43:25.054</v>
      </c>
      <c r="H2182" s="3" t="s">
        <v>21</v>
      </c>
      <c r="I2182" s="3">
        <v>26.54</v>
      </c>
      <c r="J2182" s="3" t="s">
        <v>27</v>
      </c>
    </row>
    <row r="2183" spans="1:10" s="3" customFormat="1" x14ac:dyDescent="0.25">
      <c r="A2183" s="2">
        <v>219</v>
      </c>
      <c r="B2183" s="3" t="s">
        <v>23</v>
      </c>
      <c r="C2183" s="3">
        <v>647</v>
      </c>
      <c r="D2183" s="3">
        <v>1</v>
      </c>
      <c r="E2183" s="3" t="s">
        <v>24</v>
      </c>
      <c r="F2183" s="3" t="s">
        <v>25</v>
      </c>
      <c r="G2183" s="3" t="str">
        <f>"2025-09-07 04:32:23.654"</f>
        <v>2025-09-07 04:32:23.654</v>
      </c>
      <c r="H2183" s="3" t="s">
        <v>21</v>
      </c>
    </row>
    <row r="2184" spans="1:10" s="3" customFormat="1" x14ac:dyDescent="0.25">
      <c r="A2184" s="2">
        <v>220</v>
      </c>
      <c r="B2184" s="3" t="s">
        <v>26</v>
      </c>
      <c r="C2184" s="3">
        <v>647</v>
      </c>
      <c r="D2184" s="3">
        <v>1</v>
      </c>
      <c r="E2184" s="3" t="s">
        <v>24</v>
      </c>
      <c r="F2184" s="3" t="s">
        <v>25</v>
      </c>
      <c r="G2184" s="3" t="str">
        <f>"2025-09-07 04:32:22.154"</f>
        <v>2025-09-07 04:32:22.154</v>
      </c>
      <c r="H2184" s="3" t="s">
        <v>21</v>
      </c>
      <c r="I2184" s="3">
        <v>9.01</v>
      </c>
      <c r="J2184" s="3" t="s">
        <v>27</v>
      </c>
    </row>
    <row r="2185" spans="1:10" s="3" customFormat="1" x14ac:dyDescent="0.25">
      <c r="A2185" s="2">
        <v>221</v>
      </c>
      <c r="B2185" s="3" t="s">
        <v>23</v>
      </c>
      <c r="C2185" s="3">
        <v>647</v>
      </c>
      <c r="D2185" s="3">
        <v>1</v>
      </c>
      <c r="E2185" s="3" t="s">
        <v>24</v>
      </c>
      <c r="F2185" s="3" t="s">
        <v>25</v>
      </c>
      <c r="G2185" s="3" t="str">
        <f>"2025-09-07 04:32:15.454"</f>
        <v>2025-09-07 04:32:15.454</v>
      </c>
      <c r="H2185" s="3" t="s">
        <v>21</v>
      </c>
    </row>
    <row r="2186" spans="1:10" s="3" customFormat="1" x14ac:dyDescent="0.25">
      <c r="A2186" s="2">
        <v>222</v>
      </c>
      <c r="B2186" s="3" t="s">
        <v>26</v>
      </c>
      <c r="C2186" s="3">
        <v>647</v>
      </c>
      <c r="D2186" s="3">
        <v>1</v>
      </c>
      <c r="E2186" s="3" t="s">
        <v>24</v>
      </c>
      <c r="F2186" s="3" t="s">
        <v>25</v>
      </c>
      <c r="G2186" s="3" t="str">
        <f>"2025-09-07 04:32:10.954"</f>
        <v>2025-09-07 04:32:10.954</v>
      </c>
      <c r="H2186" s="3" t="s">
        <v>21</v>
      </c>
      <c r="I2186" s="3">
        <v>9.64</v>
      </c>
      <c r="J2186" s="3" t="s">
        <v>27</v>
      </c>
    </row>
    <row r="2187" spans="1:10" s="3" customFormat="1" x14ac:dyDescent="0.25">
      <c r="A2187" s="2">
        <v>223</v>
      </c>
      <c r="B2187" s="3" t="s">
        <v>23</v>
      </c>
      <c r="C2187" s="3">
        <v>647</v>
      </c>
      <c r="D2187" s="3">
        <v>1</v>
      </c>
      <c r="E2187" s="3" t="s">
        <v>24</v>
      </c>
      <c r="F2187" s="3" t="s">
        <v>25</v>
      </c>
      <c r="G2187" s="3" t="str">
        <f>"2025-09-07 03:24:04.754"</f>
        <v>2025-09-07 03:24:04.754</v>
      </c>
      <c r="H2187" s="3" t="s">
        <v>21</v>
      </c>
    </row>
    <row r="2188" spans="1:10" s="3" customFormat="1" x14ac:dyDescent="0.25">
      <c r="A2188" s="2">
        <v>224</v>
      </c>
      <c r="B2188" s="3" t="s">
        <v>26</v>
      </c>
      <c r="C2188" s="3">
        <v>647</v>
      </c>
      <c r="D2188" s="3">
        <v>1</v>
      </c>
      <c r="E2188" s="3" t="s">
        <v>24</v>
      </c>
      <c r="F2188" s="3" t="s">
        <v>25</v>
      </c>
      <c r="G2188" s="3" t="str">
        <f>"2025-09-07 03:23:57.654"</f>
        <v>2025-09-07 03:23:57.654</v>
      </c>
      <c r="H2188" s="3" t="s">
        <v>21</v>
      </c>
      <c r="I2188" s="3">
        <v>25.9</v>
      </c>
      <c r="J2188" s="3" t="s">
        <v>27</v>
      </c>
    </row>
    <row r="2189" spans="1:10" s="3" customFormat="1" x14ac:dyDescent="0.25">
      <c r="A2189" s="2">
        <v>225</v>
      </c>
      <c r="B2189" s="3" t="s">
        <v>23</v>
      </c>
      <c r="C2189" s="3">
        <v>647</v>
      </c>
      <c r="D2189" s="3">
        <v>1</v>
      </c>
      <c r="E2189" s="3" t="s">
        <v>24</v>
      </c>
      <c r="F2189" s="3" t="s">
        <v>25</v>
      </c>
      <c r="G2189" s="3" t="str">
        <f>"2025-09-07 00:56:21.254"</f>
        <v>2025-09-07 00:56:21.254</v>
      </c>
      <c r="H2189" s="3" t="s">
        <v>21</v>
      </c>
    </row>
    <row r="2190" spans="1:10" s="3" customFormat="1" x14ac:dyDescent="0.25">
      <c r="A2190" s="2">
        <v>226</v>
      </c>
      <c r="B2190" s="3" t="s">
        <v>26</v>
      </c>
      <c r="C2190" s="3">
        <v>647</v>
      </c>
      <c r="D2190" s="3">
        <v>1</v>
      </c>
      <c r="E2190" s="3" t="s">
        <v>24</v>
      </c>
      <c r="F2190" s="3" t="s">
        <v>25</v>
      </c>
      <c r="G2190" s="3" t="str">
        <f>"2025-09-07 00:56:18.154"</f>
        <v>2025-09-07 00:56:18.154</v>
      </c>
      <c r="H2190" s="3" t="s">
        <v>21</v>
      </c>
      <c r="I2190" s="3">
        <v>10.029999999999999</v>
      </c>
      <c r="J2190" s="3" t="s">
        <v>34</v>
      </c>
    </row>
    <row r="2191" spans="1:10" s="3" customFormat="1" x14ac:dyDescent="0.25">
      <c r="A2191" s="2">
        <v>227</v>
      </c>
      <c r="B2191" s="3" t="s">
        <v>23</v>
      </c>
      <c r="C2191" s="3">
        <v>647</v>
      </c>
      <c r="D2191" s="3">
        <v>1</v>
      </c>
      <c r="E2191" s="3" t="s">
        <v>24</v>
      </c>
      <c r="F2191" s="3" t="s">
        <v>25</v>
      </c>
      <c r="G2191" s="3" t="str">
        <f>"2025-09-07 00:54:17.854"</f>
        <v>2025-09-07 00:54:17.854</v>
      </c>
      <c r="H2191" s="3" t="s">
        <v>21</v>
      </c>
    </row>
    <row r="2192" spans="1:10" s="3" customFormat="1" x14ac:dyDescent="0.25">
      <c r="A2192" s="2">
        <v>228</v>
      </c>
      <c r="B2192" s="3" t="s">
        <v>26</v>
      </c>
      <c r="C2192" s="3">
        <v>647</v>
      </c>
      <c r="D2192" s="3">
        <v>1</v>
      </c>
      <c r="E2192" s="3" t="s">
        <v>24</v>
      </c>
      <c r="F2192" s="3" t="s">
        <v>25</v>
      </c>
      <c r="G2192" s="3" t="str">
        <f>"2025-09-07 00:54:13.554"</f>
        <v>2025-09-07 00:54:13.554</v>
      </c>
      <c r="H2192" s="3" t="s">
        <v>21</v>
      </c>
      <c r="I2192" s="3">
        <v>9.8699999999999992</v>
      </c>
      <c r="J2192" s="3" t="s">
        <v>27</v>
      </c>
    </row>
    <row r="2193" spans="1:10" s="3" customFormat="1" x14ac:dyDescent="0.25">
      <c r="A2193" s="2">
        <v>229</v>
      </c>
      <c r="B2193" s="3" t="s">
        <v>23</v>
      </c>
      <c r="C2193" s="3">
        <v>647</v>
      </c>
      <c r="D2193" s="3">
        <v>1</v>
      </c>
      <c r="E2193" s="3" t="s">
        <v>24</v>
      </c>
      <c r="F2193" s="3" t="s">
        <v>25</v>
      </c>
      <c r="G2193" s="3" t="str">
        <f>"2025-09-07 00:27:07.754"</f>
        <v>2025-09-07 00:27:07.754</v>
      </c>
      <c r="H2193" s="3" t="s">
        <v>21</v>
      </c>
    </row>
    <row r="2194" spans="1:10" s="3" customFormat="1" x14ac:dyDescent="0.25">
      <c r="A2194" s="2">
        <v>230</v>
      </c>
      <c r="B2194" s="3" t="s">
        <v>26</v>
      </c>
      <c r="C2194" s="3">
        <v>647</v>
      </c>
      <c r="D2194" s="3">
        <v>1</v>
      </c>
      <c r="E2194" s="3" t="s">
        <v>24</v>
      </c>
      <c r="F2194" s="3" t="s">
        <v>25</v>
      </c>
      <c r="G2194" s="3" t="str">
        <f>"2025-09-07 00:27:06.054"</f>
        <v>2025-09-07 00:27:06.054</v>
      </c>
      <c r="H2194" s="3" t="s">
        <v>21</v>
      </c>
      <c r="I2194" s="3">
        <v>9.68</v>
      </c>
      <c r="J2194" s="3" t="s">
        <v>27</v>
      </c>
    </row>
    <row r="2195" spans="1:10" s="3" customFormat="1" x14ac:dyDescent="0.25">
      <c r="A2195" s="2">
        <v>231</v>
      </c>
      <c r="B2195" s="3" t="s">
        <v>23</v>
      </c>
      <c r="C2195" s="3">
        <v>647</v>
      </c>
      <c r="D2195" s="3">
        <v>1</v>
      </c>
      <c r="E2195" s="3" t="s">
        <v>24</v>
      </c>
      <c r="F2195" s="3" t="s">
        <v>25</v>
      </c>
      <c r="G2195" s="3" t="str">
        <f>"2025-09-06 22:41:07.854"</f>
        <v>2025-09-06 22:41:07.854</v>
      </c>
      <c r="H2195" s="3" t="s">
        <v>21</v>
      </c>
    </row>
    <row r="2196" spans="1:10" s="3" customFormat="1" x14ac:dyDescent="0.25">
      <c r="A2196" s="2">
        <v>232</v>
      </c>
      <c r="B2196" s="3" t="s">
        <v>26</v>
      </c>
      <c r="C2196" s="3">
        <v>647</v>
      </c>
      <c r="D2196" s="3">
        <v>1</v>
      </c>
      <c r="E2196" s="3" t="s">
        <v>24</v>
      </c>
      <c r="F2196" s="3" t="s">
        <v>25</v>
      </c>
      <c r="G2196" s="3" t="str">
        <f>"2025-09-06 22:40:55.854"</f>
        <v>2025-09-06 22:40:55.854</v>
      </c>
      <c r="H2196" s="3" t="s">
        <v>21</v>
      </c>
      <c r="I2196" s="3">
        <v>16.16</v>
      </c>
      <c r="J2196" s="3" t="s">
        <v>27</v>
      </c>
    </row>
    <row r="2197" spans="1:10" x14ac:dyDescent="0.25">
      <c r="A2197" s="1">
        <v>233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"2025-09-06 08:54:44.752"</f>
        <v>2025-09-06 08:54:44.752</v>
      </c>
      <c r="H2197" t="s">
        <v>21</v>
      </c>
    </row>
    <row r="2198" spans="1:10" s="3" customFormat="1" x14ac:dyDescent="0.25">
      <c r="A2198" s="2">
        <v>234</v>
      </c>
      <c r="B2198" s="3" t="s">
        <v>23</v>
      </c>
      <c r="C2198" s="3">
        <v>647</v>
      </c>
      <c r="D2198" s="3">
        <v>1</v>
      </c>
      <c r="E2198" s="3" t="s">
        <v>24</v>
      </c>
      <c r="F2198" s="3" t="s">
        <v>25</v>
      </c>
      <c r="G2198" s="3" t="str">
        <f>"2025-09-06 04:36:05.566"</f>
        <v>2025-09-06 04:36:05.566</v>
      </c>
      <c r="H2198" s="3" t="s">
        <v>21</v>
      </c>
    </row>
    <row r="2199" spans="1:10" s="3" customFormat="1" x14ac:dyDescent="0.25">
      <c r="A2199" s="2">
        <v>235</v>
      </c>
      <c r="B2199" s="3" t="s">
        <v>26</v>
      </c>
      <c r="C2199" s="3">
        <v>647</v>
      </c>
      <c r="D2199" s="3">
        <v>1</v>
      </c>
      <c r="E2199" s="3" t="s">
        <v>24</v>
      </c>
      <c r="F2199" s="3" t="s">
        <v>25</v>
      </c>
      <c r="G2199" s="3" t="str">
        <f>"2025-09-06 04:36:01.265"</f>
        <v>2025-09-06 04:36:01.265</v>
      </c>
      <c r="H2199" s="3" t="s">
        <v>21</v>
      </c>
      <c r="I2199" s="3">
        <v>9.65</v>
      </c>
      <c r="J2199" s="3" t="s">
        <v>27</v>
      </c>
    </row>
    <row r="2200" spans="1:10" x14ac:dyDescent="0.25">
      <c r="A2200" s="1">
        <v>236</v>
      </c>
      <c r="B2200" t="s">
        <v>23</v>
      </c>
      <c r="C2200">
        <v>635</v>
      </c>
      <c r="D2200">
        <v>1</v>
      </c>
      <c r="E2200" t="s">
        <v>31</v>
      </c>
      <c r="F2200" t="s">
        <v>32</v>
      </c>
      <c r="G2200" t="str">
        <f>"2025-09-05 20:48:15.417"</f>
        <v>2025-09-05 20:48:15.417</v>
      </c>
      <c r="H2200" t="s">
        <v>21</v>
      </c>
    </row>
    <row r="2201" spans="1:10" x14ac:dyDescent="0.25">
      <c r="A2201" s="1">
        <v>237</v>
      </c>
      <c r="B2201" t="s">
        <v>26</v>
      </c>
      <c r="C2201">
        <v>635</v>
      </c>
      <c r="D2201">
        <v>1</v>
      </c>
      <c r="E2201" t="s">
        <v>31</v>
      </c>
      <c r="F2201" t="s">
        <v>32</v>
      </c>
      <c r="G2201" t="str">
        <f>"2025-09-05 20:36:00.517"</f>
        <v>2025-09-05 20:36:00.517</v>
      </c>
      <c r="H2201" t="s">
        <v>21</v>
      </c>
      <c r="I2201">
        <v>0</v>
      </c>
      <c r="J2201" t="s">
        <v>34</v>
      </c>
    </row>
    <row r="2202" spans="1:10" s="3" customFormat="1" x14ac:dyDescent="0.25">
      <c r="A2202" s="2">
        <v>238</v>
      </c>
      <c r="B2202" s="3" t="s">
        <v>23</v>
      </c>
      <c r="C2202" s="3">
        <v>647</v>
      </c>
      <c r="D2202" s="3">
        <v>1</v>
      </c>
      <c r="E2202" s="3" t="s">
        <v>24</v>
      </c>
      <c r="F2202" s="3" t="s">
        <v>25</v>
      </c>
      <c r="G2202" s="3" t="str">
        <f>"2025-09-05 19:59:16.165"</f>
        <v>2025-09-05 19:59:16.165</v>
      </c>
      <c r="H2202" s="3" t="s">
        <v>21</v>
      </c>
    </row>
    <row r="2203" spans="1:10" s="3" customFormat="1" x14ac:dyDescent="0.25">
      <c r="A2203" s="2">
        <v>239</v>
      </c>
      <c r="B2203" s="3" t="s">
        <v>26</v>
      </c>
      <c r="C2203" s="3">
        <v>647</v>
      </c>
      <c r="D2203" s="3">
        <v>1</v>
      </c>
      <c r="E2203" s="3" t="s">
        <v>24</v>
      </c>
      <c r="F2203" s="3" t="s">
        <v>25</v>
      </c>
      <c r="G2203" s="3" t="str">
        <f>"2025-09-05 19:59:13.066"</f>
        <v>2025-09-05 19:59:13.066</v>
      </c>
      <c r="H2203" s="3" t="s">
        <v>21</v>
      </c>
      <c r="I2203" s="3">
        <v>10.65</v>
      </c>
      <c r="J2203" s="3" t="s">
        <v>27</v>
      </c>
    </row>
    <row r="2204" spans="1:10" x14ac:dyDescent="0.25">
      <c r="A2204" s="1">
        <v>240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"2025-09-05 12:38:37.777"</f>
        <v>2025-09-05 12:38:37.777</v>
      </c>
      <c r="H2204" t="s">
        <v>21</v>
      </c>
      <c r="I2204">
        <v>0</v>
      </c>
      <c r="J2204" t="s">
        <v>22</v>
      </c>
    </row>
    <row r="2205" spans="1:10" s="3" customFormat="1" x14ac:dyDescent="0.25">
      <c r="A2205" s="2">
        <v>241</v>
      </c>
      <c r="B2205" s="3" t="s">
        <v>23</v>
      </c>
      <c r="C2205" s="3">
        <v>647</v>
      </c>
      <c r="D2205" s="3">
        <v>1</v>
      </c>
      <c r="E2205" s="3" t="s">
        <v>24</v>
      </c>
      <c r="F2205" s="3" t="s">
        <v>25</v>
      </c>
      <c r="G2205" s="3" t="str">
        <f>"2025-09-05 01:21:10.418"</f>
        <v>2025-09-05 01:21:10.418</v>
      </c>
      <c r="H2205" s="3" t="s">
        <v>21</v>
      </c>
    </row>
    <row r="2206" spans="1:10" s="3" customFormat="1" x14ac:dyDescent="0.25">
      <c r="A2206" s="2">
        <v>242</v>
      </c>
      <c r="B2206" s="3" t="s">
        <v>26</v>
      </c>
      <c r="C2206" s="3">
        <v>647</v>
      </c>
      <c r="D2206" s="3">
        <v>1</v>
      </c>
      <c r="E2206" s="3" t="s">
        <v>24</v>
      </c>
      <c r="F2206" s="3" t="s">
        <v>25</v>
      </c>
      <c r="G2206" s="3" t="str">
        <f>"2025-09-05 01:21:02.118"</f>
        <v>2025-09-05 01:21:02.118</v>
      </c>
      <c r="H2206" s="3" t="s">
        <v>21</v>
      </c>
      <c r="I2206" s="3">
        <v>13.07</v>
      </c>
      <c r="J2206" s="3" t="s">
        <v>27</v>
      </c>
    </row>
    <row r="2207" spans="1:10" x14ac:dyDescent="0.25">
      <c r="A2207" s="1">
        <v>243</v>
      </c>
      <c r="B2207" t="s">
        <v>19</v>
      </c>
      <c r="C2207">
        <v>700</v>
      </c>
      <c r="D2207">
        <v>0</v>
      </c>
      <c r="E2207" t="s">
        <v>20</v>
      </c>
      <c r="F2207" t="s">
        <v>20</v>
      </c>
      <c r="G2207" t="str">
        <f>"2025-09-03 08:24:11.823"</f>
        <v>2025-09-03 08:24:11.823</v>
      </c>
      <c r="H2207" t="s">
        <v>21</v>
      </c>
      <c r="I2207">
        <v>0</v>
      </c>
      <c r="J2207" t="s">
        <v>22</v>
      </c>
    </row>
    <row r="2208" spans="1:10" s="3" customFormat="1" x14ac:dyDescent="0.25">
      <c r="A2208" s="2">
        <v>244</v>
      </c>
      <c r="B2208" s="3" t="s">
        <v>23</v>
      </c>
      <c r="C2208" s="3">
        <v>647</v>
      </c>
      <c r="D2208" s="3">
        <v>1</v>
      </c>
      <c r="E2208" s="3" t="s">
        <v>24</v>
      </c>
      <c r="F2208" s="3" t="s">
        <v>25</v>
      </c>
      <c r="G2208" s="3" t="str">
        <f>"2025-09-02 23:45:51.748"</f>
        <v>2025-09-02 23:45:51.748</v>
      </c>
      <c r="H2208" s="3" t="s">
        <v>21</v>
      </c>
    </row>
    <row r="2209" spans="1:10" s="3" customFormat="1" x14ac:dyDescent="0.25">
      <c r="A2209" s="2">
        <v>245</v>
      </c>
      <c r="B2209" s="3" t="s">
        <v>26</v>
      </c>
      <c r="C2209" s="3">
        <v>647</v>
      </c>
      <c r="D2209" s="3">
        <v>1</v>
      </c>
      <c r="E2209" s="3" t="s">
        <v>24</v>
      </c>
      <c r="F2209" s="3" t="s">
        <v>25</v>
      </c>
      <c r="G2209" s="3" t="str">
        <f>"2025-09-02 23:45:48.048"</f>
        <v>2025-09-02 23:45:48.048</v>
      </c>
      <c r="H2209" s="3" t="s">
        <v>21</v>
      </c>
      <c r="I2209" s="3">
        <v>8.5500000000000007</v>
      </c>
      <c r="J2209" s="3" t="s">
        <v>27</v>
      </c>
    </row>
    <row r="2210" spans="1:10" x14ac:dyDescent="0.25">
      <c r="A2210" s="1">
        <v>246</v>
      </c>
      <c r="B2210" t="s">
        <v>23</v>
      </c>
      <c r="C2210">
        <v>635</v>
      </c>
      <c r="D2210">
        <v>1</v>
      </c>
      <c r="E2210" t="s">
        <v>31</v>
      </c>
      <c r="F2210" t="s">
        <v>32</v>
      </c>
      <c r="G2210" t="str">
        <f>"2025-09-02 08:43:00.400"</f>
        <v>2025-09-02 08:43:00.400</v>
      </c>
      <c r="H2210" t="s">
        <v>21</v>
      </c>
    </row>
    <row r="2211" spans="1:10" x14ac:dyDescent="0.25">
      <c r="A2211" s="1">
        <v>247</v>
      </c>
      <c r="B2211" t="s">
        <v>26</v>
      </c>
      <c r="C2211">
        <v>635</v>
      </c>
      <c r="D2211">
        <v>1</v>
      </c>
      <c r="E2211" t="s">
        <v>31</v>
      </c>
      <c r="F2211" t="s">
        <v>32</v>
      </c>
      <c r="G2211" t="str">
        <f>"2025-09-02 08:39:12.401"</f>
        <v>2025-09-02 08:39:12.401</v>
      </c>
      <c r="H2211" t="s">
        <v>21</v>
      </c>
      <c r="I2211">
        <v>2.1800000000000002</v>
      </c>
      <c r="J2211" t="s">
        <v>27</v>
      </c>
    </row>
    <row r="2212" spans="1:10" x14ac:dyDescent="0.25">
      <c r="A2212" s="1">
        <v>248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"2025-09-02 08:23:01.749"</f>
        <v>2025-09-02 08:23:01.749</v>
      </c>
      <c r="H2212" t="s">
        <v>21</v>
      </c>
    </row>
    <row r="2213" spans="1:10" s="3" customFormat="1" x14ac:dyDescent="0.25">
      <c r="A2213" s="2">
        <v>249</v>
      </c>
      <c r="B2213" s="3" t="s">
        <v>23</v>
      </c>
      <c r="C2213" s="3">
        <v>647</v>
      </c>
      <c r="D2213" s="3">
        <v>1</v>
      </c>
      <c r="E2213" s="3" t="s">
        <v>24</v>
      </c>
      <c r="F2213" s="3" t="s">
        <v>25</v>
      </c>
      <c r="G2213" s="3" t="str">
        <f>"2025-09-02 04:58:05.441"</f>
        <v>2025-09-02 04:58:05.441</v>
      </c>
      <c r="H2213" s="3" t="s">
        <v>21</v>
      </c>
    </row>
    <row r="2214" spans="1:10" s="3" customFormat="1" x14ac:dyDescent="0.25">
      <c r="A2214" s="2">
        <v>250</v>
      </c>
      <c r="B2214" s="3" t="s">
        <v>26</v>
      </c>
      <c r="C2214" s="3">
        <v>647</v>
      </c>
      <c r="D2214" s="3">
        <v>1</v>
      </c>
      <c r="E2214" s="3" t="s">
        <v>24</v>
      </c>
      <c r="F2214" s="3" t="s">
        <v>25</v>
      </c>
      <c r="G2214" s="3" t="str">
        <f>"2025-09-02 04:57:58.741"</f>
        <v>2025-09-02 04:57:58.741</v>
      </c>
      <c r="H2214" s="3" t="s">
        <v>21</v>
      </c>
      <c r="I2214" s="3">
        <v>13.21</v>
      </c>
      <c r="J2214" s="3" t="s">
        <v>27</v>
      </c>
    </row>
    <row r="2215" spans="1:10" s="3" customFormat="1" x14ac:dyDescent="0.25">
      <c r="A2215" s="2">
        <v>251</v>
      </c>
      <c r="B2215" s="3" t="s">
        <v>23</v>
      </c>
      <c r="C2215" s="3">
        <v>647</v>
      </c>
      <c r="D2215" s="3">
        <v>1</v>
      </c>
      <c r="E2215" s="3" t="s">
        <v>24</v>
      </c>
      <c r="F2215" s="3" t="s">
        <v>25</v>
      </c>
      <c r="G2215" s="3" t="str">
        <f>"2025-09-02 04:27:52.641"</f>
        <v>2025-09-02 04:27:52.641</v>
      </c>
      <c r="H2215" s="3" t="s">
        <v>21</v>
      </c>
    </row>
    <row r="2216" spans="1:10" s="3" customFormat="1" x14ac:dyDescent="0.25">
      <c r="A2216" s="2">
        <v>252</v>
      </c>
      <c r="B2216" s="3" t="s">
        <v>26</v>
      </c>
      <c r="C2216" s="3">
        <v>647</v>
      </c>
      <c r="D2216" s="3">
        <v>1</v>
      </c>
      <c r="E2216" s="3" t="s">
        <v>24</v>
      </c>
      <c r="F2216" s="3" t="s">
        <v>25</v>
      </c>
      <c r="G2216" s="3" t="str">
        <f>"2025-09-02 04:27:44.541"</f>
        <v>2025-09-02 04:27:44.541</v>
      </c>
      <c r="H2216" s="3" t="s">
        <v>21</v>
      </c>
      <c r="I2216" s="3">
        <v>12.68</v>
      </c>
      <c r="J2216" s="3" t="s">
        <v>27</v>
      </c>
    </row>
    <row r="2217" spans="1:10" x14ac:dyDescent="0.25">
      <c r="A2217" s="1">
        <v>253</v>
      </c>
      <c r="B2217" t="s">
        <v>44</v>
      </c>
      <c r="C2217">
        <v>33</v>
      </c>
      <c r="D2217">
        <v>1</v>
      </c>
      <c r="E2217" t="s">
        <v>45</v>
      </c>
      <c r="F2217" t="s">
        <v>46</v>
      </c>
      <c r="G2217" t="str">
        <f>"2025-09-01 16:49:07.794"</f>
        <v>2025-09-01 16:49:07.794</v>
      </c>
      <c r="H2217" t="s">
        <v>47</v>
      </c>
    </row>
    <row r="2218" spans="1:10" x14ac:dyDescent="0.25">
      <c r="A2218" s="1">
        <v>254</v>
      </c>
      <c r="B2218" t="s">
        <v>38</v>
      </c>
      <c r="C2218">
        <v>33</v>
      </c>
      <c r="D2218">
        <v>1</v>
      </c>
      <c r="E2218" t="s">
        <v>45</v>
      </c>
      <c r="F2218" t="s">
        <v>46</v>
      </c>
      <c r="G2218" t="str">
        <f>"2025-09-01 16:48:16.513"</f>
        <v>2025-09-01 16:48:16.513</v>
      </c>
      <c r="H2218" t="s">
        <v>47</v>
      </c>
      <c r="I2218">
        <v>9.76</v>
      </c>
      <c r="J2218" t="s">
        <v>33</v>
      </c>
    </row>
    <row r="2219" spans="1:10" s="3" customFormat="1" x14ac:dyDescent="0.25">
      <c r="A2219" s="2">
        <v>255</v>
      </c>
      <c r="B2219" s="3" t="s">
        <v>23</v>
      </c>
      <c r="C2219" s="3">
        <v>647</v>
      </c>
      <c r="D2219" s="3">
        <v>1</v>
      </c>
      <c r="E2219" s="3" t="s">
        <v>24</v>
      </c>
      <c r="F2219" s="3" t="s">
        <v>25</v>
      </c>
      <c r="G2219" s="3" t="str">
        <f>"2025-09-01 05:15:18.741"</f>
        <v>2025-09-01 05:15:18.741</v>
      </c>
      <c r="H2219" s="3" t="s">
        <v>21</v>
      </c>
    </row>
    <row r="2220" spans="1:10" s="3" customFormat="1" x14ac:dyDescent="0.25">
      <c r="A2220" s="2">
        <v>256</v>
      </c>
      <c r="B2220" s="3" t="s">
        <v>26</v>
      </c>
      <c r="C2220" s="3">
        <v>647</v>
      </c>
      <c r="D2220" s="3">
        <v>1</v>
      </c>
      <c r="E2220" s="3" t="s">
        <v>24</v>
      </c>
      <c r="F2220" s="3" t="s">
        <v>25</v>
      </c>
      <c r="G2220" s="3" t="str">
        <f>"2025-09-01 05:15:17.041"</f>
        <v>2025-09-01 05:15:17.041</v>
      </c>
      <c r="H2220" s="3" t="s">
        <v>21</v>
      </c>
      <c r="I2220" s="3">
        <v>12.52</v>
      </c>
      <c r="J2220" s="3" t="s">
        <v>27</v>
      </c>
    </row>
    <row r="2221" spans="1:10" s="3" customFormat="1" x14ac:dyDescent="0.25">
      <c r="A2221" s="2">
        <v>257</v>
      </c>
      <c r="B2221" s="3" t="s">
        <v>23</v>
      </c>
      <c r="C2221" s="3">
        <v>647</v>
      </c>
      <c r="D2221" s="3">
        <v>1</v>
      </c>
      <c r="E2221" s="3" t="s">
        <v>24</v>
      </c>
      <c r="F2221" s="3" t="s">
        <v>25</v>
      </c>
      <c r="G2221" s="3" t="str">
        <f>"2025-09-01 04:41:48.041"</f>
        <v>2025-09-01 04:41:48.041</v>
      </c>
      <c r="H2221" s="3" t="s">
        <v>21</v>
      </c>
    </row>
    <row r="2222" spans="1:10" s="3" customFormat="1" x14ac:dyDescent="0.25">
      <c r="A2222" s="2">
        <v>258</v>
      </c>
      <c r="B2222" s="3" t="s">
        <v>26</v>
      </c>
      <c r="C2222" s="3">
        <v>647</v>
      </c>
      <c r="D2222" s="3">
        <v>1</v>
      </c>
      <c r="E2222" s="3" t="s">
        <v>24</v>
      </c>
      <c r="F2222" s="3" t="s">
        <v>25</v>
      </c>
      <c r="G2222" s="3" t="str">
        <f>"2025-09-01 04:41:40.741"</f>
        <v>2025-09-01 04:41:40.741</v>
      </c>
      <c r="H2222" s="3" t="s">
        <v>21</v>
      </c>
      <c r="I2222" s="3">
        <v>8.74</v>
      </c>
      <c r="J2222" s="3" t="s">
        <v>27</v>
      </c>
    </row>
    <row r="2223" spans="1:10" s="3" customFormat="1" x14ac:dyDescent="0.25">
      <c r="A2223" s="2">
        <v>259</v>
      </c>
      <c r="B2223" s="3" t="s">
        <v>23</v>
      </c>
      <c r="C2223" s="3">
        <v>647</v>
      </c>
      <c r="D2223" s="3">
        <v>1</v>
      </c>
      <c r="E2223" s="3" t="s">
        <v>24</v>
      </c>
      <c r="F2223" s="3" t="s">
        <v>25</v>
      </c>
      <c r="G2223" s="3" t="str">
        <f>"2025-09-01 02:59:13.041"</f>
        <v>2025-09-01 02:59:13.041</v>
      </c>
      <c r="H2223" s="3" t="s">
        <v>21</v>
      </c>
    </row>
    <row r="2224" spans="1:10" s="3" customFormat="1" x14ac:dyDescent="0.25">
      <c r="A2224" s="2">
        <v>260</v>
      </c>
      <c r="B2224" s="3" t="s">
        <v>26</v>
      </c>
      <c r="C2224" s="3">
        <v>647</v>
      </c>
      <c r="D2224" s="3">
        <v>1</v>
      </c>
      <c r="E2224" s="3" t="s">
        <v>24</v>
      </c>
      <c r="F2224" s="3" t="s">
        <v>25</v>
      </c>
      <c r="G2224" s="3" t="str">
        <f>"2025-09-01 02:59:04.741"</f>
        <v>2025-09-01 02:59:04.741</v>
      </c>
      <c r="H2224" s="3" t="s">
        <v>21</v>
      </c>
      <c r="I2224" s="3">
        <v>13.98</v>
      </c>
      <c r="J2224" s="3" t="s">
        <v>27</v>
      </c>
    </row>
    <row r="2225" spans="1:10" s="3" customFormat="1" x14ac:dyDescent="0.25">
      <c r="A2225" s="2">
        <v>261</v>
      </c>
      <c r="B2225" s="3" t="s">
        <v>23</v>
      </c>
      <c r="C2225" s="3">
        <v>647</v>
      </c>
      <c r="D2225" s="3">
        <v>1</v>
      </c>
      <c r="E2225" s="3" t="s">
        <v>24</v>
      </c>
      <c r="F2225" s="3" t="s">
        <v>25</v>
      </c>
      <c r="G2225" s="3" t="str">
        <f>"2025-08-31 21:28:24.341"</f>
        <v>2025-08-31 21:28:24.341</v>
      </c>
      <c r="H2225" s="3" t="s">
        <v>21</v>
      </c>
    </row>
    <row r="2226" spans="1:10" s="3" customFormat="1" x14ac:dyDescent="0.25">
      <c r="A2226" s="2">
        <v>262</v>
      </c>
      <c r="B2226" s="3" t="s">
        <v>26</v>
      </c>
      <c r="C2226" s="3">
        <v>647</v>
      </c>
      <c r="D2226" s="3">
        <v>1</v>
      </c>
      <c r="E2226" s="3" t="s">
        <v>24</v>
      </c>
      <c r="F2226" s="3" t="s">
        <v>25</v>
      </c>
      <c r="G2226" s="3" t="str">
        <f>"2025-08-31 21:28:20.241"</f>
        <v>2025-08-31 21:28:20.241</v>
      </c>
      <c r="H2226" s="3" t="s">
        <v>21</v>
      </c>
      <c r="I2226" s="3">
        <v>16.05</v>
      </c>
      <c r="J2226" s="3" t="s">
        <v>27</v>
      </c>
    </row>
    <row r="2227" spans="1:10" s="3" customFormat="1" x14ac:dyDescent="0.25">
      <c r="A2227" s="2">
        <v>263</v>
      </c>
      <c r="B2227" s="3" t="s">
        <v>23</v>
      </c>
      <c r="C2227" s="3">
        <v>647</v>
      </c>
      <c r="D2227" s="3">
        <v>1</v>
      </c>
      <c r="E2227" s="3" t="s">
        <v>24</v>
      </c>
      <c r="F2227" s="3" t="s">
        <v>25</v>
      </c>
      <c r="G2227" s="3" t="str">
        <f>"2025-08-31 06:04:44.041"</f>
        <v>2025-08-31 06:04:44.041</v>
      </c>
      <c r="H2227" s="3" t="s">
        <v>21</v>
      </c>
    </row>
    <row r="2228" spans="1:10" s="3" customFormat="1" x14ac:dyDescent="0.25">
      <c r="A2228" s="2">
        <v>264</v>
      </c>
      <c r="B2228" s="3" t="s">
        <v>26</v>
      </c>
      <c r="C2228" s="3">
        <v>647</v>
      </c>
      <c r="D2228" s="3">
        <v>1</v>
      </c>
      <c r="E2228" s="3" t="s">
        <v>24</v>
      </c>
      <c r="F2228" s="3" t="s">
        <v>25</v>
      </c>
      <c r="G2228" s="3" t="str">
        <f>"2025-08-31 06:04:34.741"</f>
        <v>2025-08-31 06:04:34.741</v>
      </c>
      <c r="H2228" s="3" t="s">
        <v>21</v>
      </c>
      <c r="I2228" s="3">
        <v>10.119999999999999</v>
      </c>
      <c r="J2228" s="3" t="s">
        <v>27</v>
      </c>
    </row>
    <row r="2229" spans="1:10" s="3" customFormat="1" x14ac:dyDescent="0.25">
      <c r="A2229" s="2">
        <v>265</v>
      </c>
      <c r="B2229" s="3" t="s">
        <v>23</v>
      </c>
      <c r="C2229" s="3">
        <v>647</v>
      </c>
      <c r="D2229" s="3">
        <v>1</v>
      </c>
      <c r="E2229" s="3" t="s">
        <v>24</v>
      </c>
      <c r="F2229" s="3" t="s">
        <v>25</v>
      </c>
      <c r="G2229" s="3" t="str">
        <f>"2025-08-31 06:03:57.041"</f>
        <v>2025-08-31 06:03:57.041</v>
      </c>
      <c r="H2229" s="3" t="s">
        <v>21</v>
      </c>
    </row>
    <row r="2230" spans="1:10" s="3" customFormat="1" x14ac:dyDescent="0.25">
      <c r="A2230" s="2">
        <v>266</v>
      </c>
      <c r="B2230" s="3" t="s">
        <v>26</v>
      </c>
      <c r="C2230" s="3">
        <v>647</v>
      </c>
      <c r="D2230" s="3">
        <v>1</v>
      </c>
      <c r="E2230" s="3" t="s">
        <v>24</v>
      </c>
      <c r="F2230" s="3" t="s">
        <v>25</v>
      </c>
      <c r="G2230" s="3" t="str">
        <f>"2025-08-31 06:03:54.141"</f>
        <v>2025-08-31 06:03:54.141</v>
      </c>
      <c r="H2230" s="3" t="s">
        <v>21</v>
      </c>
      <c r="I2230" s="3">
        <v>15.98</v>
      </c>
      <c r="J2230" s="3" t="s">
        <v>27</v>
      </c>
    </row>
    <row r="2231" spans="1:10" s="3" customFormat="1" x14ac:dyDescent="0.25">
      <c r="A2231" s="2">
        <v>267</v>
      </c>
      <c r="B2231" s="3" t="s">
        <v>23</v>
      </c>
      <c r="C2231" s="3">
        <v>647</v>
      </c>
      <c r="D2231" s="3">
        <v>1</v>
      </c>
      <c r="E2231" s="3" t="s">
        <v>24</v>
      </c>
      <c r="F2231" s="3" t="s">
        <v>25</v>
      </c>
      <c r="G2231" s="3" t="str">
        <f>"2025-08-30 19:58:58.241"</f>
        <v>2025-08-30 19:58:58.241</v>
      </c>
      <c r="H2231" s="3" t="s">
        <v>21</v>
      </c>
    </row>
    <row r="2232" spans="1:10" s="3" customFormat="1" x14ac:dyDescent="0.25">
      <c r="A2232" s="2">
        <v>268</v>
      </c>
      <c r="B2232" s="3" t="s">
        <v>26</v>
      </c>
      <c r="C2232" s="3">
        <v>647</v>
      </c>
      <c r="D2232" s="3">
        <v>1</v>
      </c>
      <c r="E2232" s="3" t="s">
        <v>24</v>
      </c>
      <c r="F2232" s="3" t="s">
        <v>25</v>
      </c>
      <c r="G2232" s="3" t="str">
        <f>"2025-08-30 19:58:54.142"</f>
        <v>2025-08-30 19:58:54.142</v>
      </c>
      <c r="H2232" s="3" t="s">
        <v>21</v>
      </c>
      <c r="I2232" s="3">
        <v>15.3</v>
      </c>
      <c r="J2232" s="3" t="s">
        <v>27</v>
      </c>
    </row>
    <row r="2233" spans="1:10" x14ac:dyDescent="0.25">
      <c r="A2233" s="1">
        <v>269</v>
      </c>
      <c r="B2233" t="s">
        <v>19</v>
      </c>
      <c r="C2233">
        <v>706</v>
      </c>
      <c r="D2233">
        <v>2</v>
      </c>
      <c r="E2233" t="s">
        <v>28</v>
      </c>
      <c r="F2233" t="s">
        <v>39</v>
      </c>
      <c r="G2233" t="str">
        <f>"2025-08-30 13:39:33.310"</f>
        <v>2025-08-30 13:39:33.310</v>
      </c>
      <c r="H2233" t="s">
        <v>21</v>
      </c>
      <c r="I2233">
        <v>0</v>
      </c>
      <c r="J2233" t="s">
        <v>30</v>
      </c>
    </row>
    <row r="2234" spans="1:10" x14ac:dyDescent="0.25">
      <c r="A2234" s="1">
        <v>270</v>
      </c>
      <c r="B2234" t="s">
        <v>19</v>
      </c>
      <c r="C2234">
        <v>700</v>
      </c>
      <c r="D2234">
        <v>0</v>
      </c>
      <c r="E2234" t="s">
        <v>20</v>
      </c>
      <c r="F2234" t="s">
        <v>20</v>
      </c>
      <c r="G2234" t="str">
        <f>"2025-08-30 13:39:11.760"</f>
        <v>2025-08-30 13:39:11.760</v>
      </c>
      <c r="H2234" t="s">
        <v>21</v>
      </c>
      <c r="I2234">
        <v>0</v>
      </c>
      <c r="J2234" t="s">
        <v>22</v>
      </c>
    </row>
    <row r="2235" spans="1:10" s="3" customFormat="1" x14ac:dyDescent="0.25">
      <c r="A2235" s="2">
        <v>271</v>
      </c>
      <c r="B2235" s="3" t="s">
        <v>23</v>
      </c>
      <c r="C2235" s="3">
        <v>647</v>
      </c>
      <c r="D2235" s="3">
        <v>1</v>
      </c>
      <c r="E2235" s="3" t="s">
        <v>24</v>
      </c>
      <c r="F2235" s="3" t="s">
        <v>25</v>
      </c>
      <c r="G2235" s="3" t="str">
        <f>"2025-08-30 02:37:52.340"</f>
        <v>2025-08-30 02:37:52.340</v>
      </c>
      <c r="H2235" s="3" t="s">
        <v>21</v>
      </c>
    </row>
    <row r="2236" spans="1:10" s="3" customFormat="1" x14ac:dyDescent="0.25">
      <c r="A2236" s="2">
        <v>272</v>
      </c>
      <c r="B2236" s="3" t="s">
        <v>26</v>
      </c>
      <c r="C2236" s="3">
        <v>647</v>
      </c>
      <c r="D2236" s="3">
        <v>1</v>
      </c>
      <c r="E2236" s="3" t="s">
        <v>24</v>
      </c>
      <c r="F2236" s="3" t="s">
        <v>25</v>
      </c>
      <c r="G2236" s="3" t="str">
        <f>"2025-08-30 02:37:46.640"</f>
        <v>2025-08-30 02:37:46.640</v>
      </c>
      <c r="H2236" s="3" t="s">
        <v>21</v>
      </c>
      <c r="I2236" s="3">
        <v>8.5500000000000007</v>
      </c>
      <c r="J2236" s="3" t="s">
        <v>27</v>
      </c>
    </row>
    <row r="2237" spans="1:10" s="3" customFormat="1" x14ac:dyDescent="0.25">
      <c r="A2237" s="2">
        <v>273</v>
      </c>
      <c r="B2237" s="3" t="s">
        <v>23</v>
      </c>
      <c r="C2237" s="3">
        <v>647</v>
      </c>
      <c r="D2237" s="3">
        <v>1</v>
      </c>
      <c r="E2237" s="3" t="s">
        <v>24</v>
      </c>
      <c r="F2237" s="3" t="s">
        <v>25</v>
      </c>
      <c r="G2237" s="3" t="str">
        <f>"2025-08-30 02:37:18.940"</f>
        <v>2025-08-30 02:37:18.940</v>
      </c>
      <c r="H2237" s="3" t="s">
        <v>21</v>
      </c>
    </row>
    <row r="2238" spans="1:10" s="3" customFormat="1" x14ac:dyDescent="0.25">
      <c r="A2238" s="2">
        <v>274</v>
      </c>
      <c r="B2238" s="3" t="s">
        <v>26</v>
      </c>
      <c r="C2238" s="3">
        <v>647</v>
      </c>
      <c r="D2238" s="3">
        <v>1</v>
      </c>
      <c r="E2238" s="3" t="s">
        <v>24</v>
      </c>
      <c r="F2238" s="3" t="s">
        <v>25</v>
      </c>
      <c r="G2238" s="3" t="str">
        <f>"2025-08-30 02:37:17.240"</f>
        <v>2025-08-30 02:37:17.240</v>
      </c>
      <c r="H2238" s="3" t="s">
        <v>21</v>
      </c>
      <c r="I2238" s="3">
        <v>14.45</v>
      </c>
      <c r="J2238" s="3" t="s">
        <v>27</v>
      </c>
    </row>
    <row r="2239" spans="1:10" s="3" customFormat="1" x14ac:dyDescent="0.25">
      <c r="A2239" s="2">
        <v>275</v>
      </c>
      <c r="B2239" s="3" t="s">
        <v>23</v>
      </c>
      <c r="C2239" s="3">
        <v>647</v>
      </c>
      <c r="D2239" s="3">
        <v>1</v>
      </c>
      <c r="E2239" s="3" t="s">
        <v>24</v>
      </c>
      <c r="F2239" s="3" t="s">
        <v>25</v>
      </c>
      <c r="G2239" s="3" t="str">
        <f>"2025-08-30 01:38:29.740"</f>
        <v>2025-08-30 01:38:29.740</v>
      </c>
      <c r="H2239" s="3" t="s">
        <v>21</v>
      </c>
    </row>
    <row r="2240" spans="1:10" s="3" customFormat="1" x14ac:dyDescent="0.25">
      <c r="A2240" s="2">
        <v>276</v>
      </c>
      <c r="B2240" s="3" t="s">
        <v>26</v>
      </c>
      <c r="C2240" s="3">
        <v>647</v>
      </c>
      <c r="D2240" s="3">
        <v>1</v>
      </c>
      <c r="E2240" s="3" t="s">
        <v>24</v>
      </c>
      <c r="F2240" s="3" t="s">
        <v>25</v>
      </c>
      <c r="G2240" s="3" t="str">
        <f>"2025-08-30 01:38:28.240"</f>
        <v>2025-08-30 01:38:28.240</v>
      </c>
      <c r="H2240" s="3" t="s">
        <v>21</v>
      </c>
      <c r="I2240" s="3">
        <v>9.4700000000000006</v>
      </c>
      <c r="J2240" s="3" t="s">
        <v>27</v>
      </c>
    </row>
    <row r="2241" spans="1:10" s="3" customFormat="1" x14ac:dyDescent="0.25">
      <c r="A2241" s="2">
        <v>277</v>
      </c>
      <c r="B2241" s="3" t="s">
        <v>23</v>
      </c>
      <c r="C2241" s="3">
        <v>647</v>
      </c>
      <c r="D2241" s="3">
        <v>1</v>
      </c>
      <c r="E2241" s="3" t="s">
        <v>24</v>
      </c>
      <c r="F2241" s="3" t="s">
        <v>25</v>
      </c>
      <c r="G2241" s="3" t="str">
        <f>"2025-08-30 00:34:37.040"</f>
        <v>2025-08-30 00:34:37.040</v>
      </c>
      <c r="H2241" s="3" t="s">
        <v>21</v>
      </c>
    </row>
    <row r="2242" spans="1:10" s="3" customFormat="1" x14ac:dyDescent="0.25">
      <c r="A2242" s="2">
        <v>278</v>
      </c>
      <c r="B2242" s="3" t="s">
        <v>26</v>
      </c>
      <c r="C2242" s="3">
        <v>647</v>
      </c>
      <c r="D2242" s="3">
        <v>1</v>
      </c>
      <c r="E2242" s="3" t="s">
        <v>24</v>
      </c>
      <c r="F2242" s="3" t="s">
        <v>25</v>
      </c>
      <c r="G2242" s="3" t="str">
        <f>"2025-08-30 00:34:33.740"</f>
        <v>2025-08-30 00:34:33.740</v>
      </c>
      <c r="H2242" s="3" t="s">
        <v>21</v>
      </c>
      <c r="I2242" s="3">
        <v>11.41</v>
      </c>
      <c r="J2242" s="3" t="s">
        <v>27</v>
      </c>
    </row>
    <row r="2243" spans="1:10" s="3" customFormat="1" x14ac:dyDescent="0.25">
      <c r="A2243" s="2">
        <v>279</v>
      </c>
      <c r="B2243" s="3" t="s">
        <v>23</v>
      </c>
      <c r="C2243" s="3">
        <v>647</v>
      </c>
      <c r="D2243" s="3">
        <v>1</v>
      </c>
      <c r="E2243" s="3" t="s">
        <v>24</v>
      </c>
      <c r="F2243" s="3" t="s">
        <v>25</v>
      </c>
      <c r="G2243" s="3" t="str">
        <f>"2025-08-29 23:51:09.140"</f>
        <v>2025-08-29 23:51:09.140</v>
      </c>
      <c r="H2243" s="3" t="s">
        <v>21</v>
      </c>
    </row>
    <row r="2244" spans="1:10" s="3" customFormat="1" x14ac:dyDescent="0.25">
      <c r="A2244" s="2">
        <v>280</v>
      </c>
      <c r="B2244" s="3" t="s">
        <v>26</v>
      </c>
      <c r="C2244" s="3">
        <v>647</v>
      </c>
      <c r="D2244" s="3">
        <v>1</v>
      </c>
      <c r="E2244" s="3" t="s">
        <v>24</v>
      </c>
      <c r="F2244" s="3" t="s">
        <v>25</v>
      </c>
      <c r="G2244" s="3" t="str">
        <f>"2025-08-29 23:50:52.840"</f>
        <v>2025-08-29 23:50:52.840</v>
      </c>
      <c r="H2244" s="3" t="s">
        <v>21</v>
      </c>
      <c r="I2244" s="3">
        <v>10.5</v>
      </c>
      <c r="J2244" s="3" t="s">
        <v>27</v>
      </c>
    </row>
    <row r="2245" spans="1:10" s="3" customFormat="1" x14ac:dyDescent="0.25">
      <c r="A2245" s="2">
        <v>281</v>
      </c>
      <c r="B2245" s="3" t="s">
        <v>23</v>
      </c>
      <c r="C2245" s="3">
        <v>647</v>
      </c>
      <c r="D2245" s="3">
        <v>1</v>
      </c>
      <c r="E2245" s="3" t="s">
        <v>24</v>
      </c>
      <c r="F2245" s="3" t="s">
        <v>25</v>
      </c>
      <c r="G2245" s="3" t="str">
        <f>"2025-08-29 21:49:53.340"</f>
        <v>2025-08-29 21:49:53.340</v>
      </c>
      <c r="H2245" s="3" t="s">
        <v>21</v>
      </c>
    </row>
    <row r="2246" spans="1:10" s="3" customFormat="1" x14ac:dyDescent="0.25">
      <c r="A2246" s="2">
        <v>282</v>
      </c>
      <c r="B2246" s="3" t="s">
        <v>26</v>
      </c>
      <c r="C2246" s="3">
        <v>647</v>
      </c>
      <c r="D2246" s="3">
        <v>1</v>
      </c>
      <c r="E2246" s="3" t="s">
        <v>24</v>
      </c>
      <c r="F2246" s="3" t="s">
        <v>25</v>
      </c>
      <c r="G2246" s="3" t="str">
        <f>"2025-08-29 21:49:45.040"</f>
        <v>2025-08-29 21:49:45.040</v>
      </c>
      <c r="H2246" s="3" t="s">
        <v>21</v>
      </c>
      <c r="I2246" s="3">
        <v>8.5399999999999991</v>
      </c>
      <c r="J2246" s="3" t="s">
        <v>27</v>
      </c>
    </row>
    <row r="2247" spans="1:10" s="3" customFormat="1" x14ac:dyDescent="0.25">
      <c r="A2247" s="2">
        <v>283</v>
      </c>
      <c r="B2247" s="3" t="s">
        <v>23</v>
      </c>
      <c r="C2247" s="3">
        <v>647</v>
      </c>
      <c r="D2247" s="3">
        <v>1</v>
      </c>
      <c r="E2247" s="3" t="s">
        <v>24</v>
      </c>
      <c r="F2247" s="3" t="s">
        <v>25</v>
      </c>
      <c r="G2247" s="3" t="str">
        <f>"2025-08-29 21:46:03.940"</f>
        <v>2025-08-29 21:46:03.940</v>
      </c>
      <c r="H2247" s="3" t="s">
        <v>21</v>
      </c>
    </row>
    <row r="2248" spans="1:10" s="3" customFormat="1" x14ac:dyDescent="0.25">
      <c r="A2248" s="2">
        <v>284</v>
      </c>
      <c r="B2248" s="3" t="s">
        <v>26</v>
      </c>
      <c r="C2248" s="3">
        <v>647</v>
      </c>
      <c r="D2248" s="3">
        <v>1</v>
      </c>
      <c r="E2248" s="3" t="s">
        <v>24</v>
      </c>
      <c r="F2248" s="3" t="s">
        <v>25</v>
      </c>
      <c r="G2248" s="3" t="str">
        <f>"2025-08-29 21:46:01.140"</f>
        <v>2025-08-29 21:46:01.140</v>
      </c>
      <c r="H2248" s="3" t="s">
        <v>21</v>
      </c>
      <c r="I2248" s="3">
        <v>8.57</v>
      </c>
      <c r="J2248" s="3" t="s">
        <v>27</v>
      </c>
    </row>
    <row r="2249" spans="1:10" s="3" customFormat="1" x14ac:dyDescent="0.25">
      <c r="A2249" s="2">
        <v>285</v>
      </c>
      <c r="B2249" s="3" t="s">
        <v>23</v>
      </c>
      <c r="C2249" s="3">
        <v>647</v>
      </c>
      <c r="D2249" s="3">
        <v>1</v>
      </c>
      <c r="E2249" s="3" t="s">
        <v>24</v>
      </c>
      <c r="F2249" s="3" t="s">
        <v>25</v>
      </c>
      <c r="G2249" s="3" t="str">
        <f>"2025-08-29 04:07:31.740"</f>
        <v>2025-08-29 04:07:31.740</v>
      </c>
      <c r="H2249" s="3" t="s">
        <v>21</v>
      </c>
    </row>
    <row r="2250" spans="1:10" s="3" customFormat="1" x14ac:dyDescent="0.25">
      <c r="A2250" s="2">
        <v>286</v>
      </c>
      <c r="B2250" s="3" t="s">
        <v>26</v>
      </c>
      <c r="C2250" s="3">
        <v>647</v>
      </c>
      <c r="D2250" s="3">
        <v>1</v>
      </c>
      <c r="E2250" s="3" t="s">
        <v>24</v>
      </c>
      <c r="F2250" s="3" t="s">
        <v>25</v>
      </c>
      <c r="G2250" s="3" t="str">
        <f>"2025-08-29 04:07:28.040"</f>
        <v>2025-08-29 04:07:28.040</v>
      </c>
      <c r="H2250" s="3" t="s">
        <v>21</v>
      </c>
      <c r="I2250" s="3">
        <v>10.84</v>
      </c>
      <c r="J2250" s="3" t="s">
        <v>27</v>
      </c>
    </row>
    <row r="2251" spans="1:10" s="3" customFormat="1" x14ac:dyDescent="0.25">
      <c r="A2251" s="2">
        <v>287</v>
      </c>
      <c r="B2251" s="3" t="s">
        <v>23</v>
      </c>
      <c r="C2251" s="3">
        <v>647</v>
      </c>
      <c r="D2251" s="3">
        <v>1</v>
      </c>
      <c r="E2251" s="3" t="s">
        <v>24</v>
      </c>
      <c r="F2251" s="3" t="s">
        <v>25</v>
      </c>
      <c r="G2251" s="3" t="str">
        <f>"2025-08-29 02:22:30.940"</f>
        <v>2025-08-29 02:22:30.940</v>
      </c>
      <c r="H2251" s="3" t="s">
        <v>21</v>
      </c>
    </row>
    <row r="2252" spans="1:10" s="3" customFormat="1" x14ac:dyDescent="0.25">
      <c r="A2252" s="2">
        <v>288</v>
      </c>
      <c r="B2252" s="3" t="s">
        <v>26</v>
      </c>
      <c r="C2252" s="3">
        <v>647</v>
      </c>
      <c r="D2252" s="3">
        <v>1</v>
      </c>
      <c r="E2252" s="3" t="s">
        <v>24</v>
      </c>
      <c r="F2252" s="3" t="s">
        <v>25</v>
      </c>
      <c r="G2252" s="3" t="str">
        <f>"2025-08-29 02:22:26.040"</f>
        <v>2025-08-29 02:22:26.040</v>
      </c>
      <c r="H2252" s="3" t="s">
        <v>21</v>
      </c>
      <c r="I2252" s="3">
        <v>9.76</v>
      </c>
      <c r="J2252" s="3" t="s">
        <v>27</v>
      </c>
    </row>
    <row r="2253" spans="1:10" x14ac:dyDescent="0.25">
      <c r="A2253" s="1">
        <v>289</v>
      </c>
      <c r="B2253" t="s">
        <v>19</v>
      </c>
      <c r="C2253">
        <v>700</v>
      </c>
      <c r="D2253">
        <v>0</v>
      </c>
      <c r="E2253" t="s">
        <v>20</v>
      </c>
      <c r="F2253" t="s">
        <v>20</v>
      </c>
      <c r="G2253" t="str">
        <f>"2025-08-28 09:04:45.717"</f>
        <v>2025-08-28 09:04:45.717</v>
      </c>
      <c r="H2253" t="s">
        <v>21</v>
      </c>
    </row>
    <row r="2254" spans="1:10" x14ac:dyDescent="0.25">
      <c r="A2254" s="1">
        <v>290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"2025-08-28 05:59:56.850"</f>
        <v>2025-08-28 05:59:56.850</v>
      </c>
      <c r="H2254" t="s">
        <v>21</v>
      </c>
    </row>
    <row r="2255" spans="1:10" x14ac:dyDescent="0.25">
      <c r="A2255" s="1">
        <v>291</v>
      </c>
      <c r="B2255" t="s">
        <v>19</v>
      </c>
      <c r="C2255">
        <v>706</v>
      </c>
      <c r="D2255">
        <v>4</v>
      </c>
      <c r="E2255" t="s">
        <v>28</v>
      </c>
      <c r="F2255" t="s">
        <v>29</v>
      </c>
      <c r="G2255" t="str">
        <f>"2025-08-28 04:59:50.842"</f>
        <v>2025-08-28 04:59:50.842</v>
      </c>
      <c r="H2255" t="s">
        <v>21</v>
      </c>
      <c r="I2255">
        <v>0</v>
      </c>
      <c r="J2255" t="s">
        <v>30</v>
      </c>
    </row>
    <row r="2256" spans="1:10" x14ac:dyDescent="0.25">
      <c r="A2256" s="1">
        <v>292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"2025-08-28 04:59:12.732"</f>
        <v>2025-08-28 04:59:12.732</v>
      </c>
      <c r="H2256" t="s">
        <v>21</v>
      </c>
      <c r="I2256">
        <v>0</v>
      </c>
      <c r="J2256" t="s">
        <v>22</v>
      </c>
    </row>
    <row r="2257" spans="1:10" x14ac:dyDescent="0.25">
      <c r="A2257" s="1">
        <v>293</v>
      </c>
      <c r="B2257" t="s">
        <v>23</v>
      </c>
      <c r="C2257">
        <v>630</v>
      </c>
      <c r="D2257">
        <v>5</v>
      </c>
      <c r="E2257" t="s">
        <v>35</v>
      </c>
      <c r="F2257" t="s">
        <v>36</v>
      </c>
      <c r="G2257" t="str">
        <f>"2025-08-28 04:25:11.747"</f>
        <v>2025-08-28 04:25:11.747</v>
      </c>
      <c r="H2257" t="s">
        <v>37</v>
      </c>
    </row>
    <row r="2258" spans="1:10" x14ac:dyDescent="0.25">
      <c r="A2258" s="1">
        <v>294</v>
      </c>
      <c r="B2258" t="s">
        <v>19</v>
      </c>
      <c r="C2258">
        <v>706</v>
      </c>
      <c r="D2258">
        <v>2</v>
      </c>
      <c r="E2258" t="s">
        <v>28</v>
      </c>
      <c r="F2258" t="s">
        <v>39</v>
      </c>
      <c r="G2258" t="str">
        <f>"2025-08-28 04:24:36.475"</f>
        <v>2025-08-28 04:24:36.475</v>
      </c>
      <c r="H2258" t="s">
        <v>21</v>
      </c>
      <c r="I2258">
        <v>0</v>
      </c>
      <c r="J2258" t="s">
        <v>30</v>
      </c>
    </row>
    <row r="2259" spans="1:10" x14ac:dyDescent="0.25">
      <c r="A2259" s="1">
        <v>295</v>
      </c>
      <c r="B2259" t="s">
        <v>38</v>
      </c>
      <c r="C2259">
        <v>630</v>
      </c>
      <c r="D2259">
        <v>5</v>
      </c>
      <c r="E2259" t="s">
        <v>35</v>
      </c>
      <c r="F2259" t="s">
        <v>36</v>
      </c>
      <c r="G2259" t="str">
        <f>"2025-08-28 04:16:03.448"</f>
        <v>2025-08-28 04:16:03.448</v>
      </c>
      <c r="H2259" t="s">
        <v>37</v>
      </c>
      <c r="I2259">
        <v>0</v>
      </c>
      <c r="J2259" t="s">
        <v>30</v>
      </c>
    </row>
    <row r="2260" spans="1:10" x14ac:dyDescent="0.25">
      <c r="A2260" s="1">
        <v>296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"2025-08-28 04:11:00.735"</f>
        <v>2025-08-28 04:11:00.735</v>
      </c>
      <c r="H2260" t="s">
        <v>21</v>
      </c>
    </row>
    <row r="2261" spans="1:10" x14ac:dyDescent="0.25">
      <c r="A2261" s="1">
        <v>297</v>
      </c>
      <c r="B2261" t="s">
        <v>19</v>
      </c>
      <c r="C2261">
        <v>700</v>
      </c>
      <c r="D2261">
        <v>0</v>
      </c>
      <c r="E2261" t="s">
        <v>20</v>
      </c>
      <c r="F2261" t="s">
        <v>20</v>
      </c>
      <c r="G2261" t="str">
        <f>"2025-08-28 02:33:31.749"</f>
        <v>2025-08-28 02:33:31.749</v>
      </c>
      <c r="H2261" t="s">
        <v>21</v>
      </c>
      <c r="I2261">
        <v>0</v>
      </c>
      <c r="J2261" t="s">
        <v>22</v>
      </c>
    </row>
    <row r="2262" spans="1:10" x14ac:dyDescent="0.25">
      <c r="A2262" s="1">
        <v>298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"2025-08-28 02:24:27.735"</f>
        <v>2025-08-28 02:24:27.735</v>
      </c>
      <c r="H2262" t="s">
        <v>21</v>
      </c>
    </row>
    <row r="2263" spans="1:10" x14ac:dyDescent="0.25">
      <c r="A2263" s="1">
        <v>299</v>
      </c>
      <c r="B2263" t="s">
        <v>23</v>
      </c>
      <c r="C2263">
        <v>635</v>
      </c>
      <c r="D2263">
        <v>1</v>
      </c>
      <c r="E2263" t="s">
        <v>31</v>
      </c>
      <c r="F2263" t="s">
        <v>32</v>
      </c>
      <c r="G2263" t="str">
        <f>"2025-08-28 00:48:32.088"</f>
        <v>2025-08-28 00:48:32.088</v>
      </c>
      <c r="H2263" t="s">
        <v>21</v>
      </c>
    </row>
    <row r="2264" spans="1:10" x14ac:dyDescent="0.25">
      <c r="A2264" s="1">
        <v>300</v>
      </c>
      <c r="B2264" t="s">
        <v>26</v>
      </c>
      <c r="C2264">
        <v>635</v>
      </c>
      <c r="D2264">
        <v>1</v>
      </c>
      <c r="E2264" t="s">
        <v>31</v>
      </c>
      <c r="F2264" t="s">
        <v>32</v>
      </c>
      <c r="G2264" t="str">
        <f>"2025-08-28 00:31:56.188"</f>
        <v>2025-08-28 00:31:56.188</v>
      </c>
      <c r="H2264" t="s">
        <v>21</v>
      </c>
      <c r="I2264">
        <v>4.87</v>
      </c>
      <c r="J2264" t="s">
        <v>33</v>
      </c>
    </row>
    <row r="2265" spans="1:10" s="3" customFormat="1" x14ac:dyDescent="0.25">
      <c r="A2265" s="2">
        <v>301</v>
      </c>
      <c r="B2265" s="3" t="s">
        <v>23</v>
      </c>
      <c r="C2265" s="3">
        <v>647</v>
      </c>
      <c r="D2265" s="3">
        <v>1</v>
      </c>
      <c r="E2265" s="3" t="s">
        <v>24</v>
      </c>
      <c r="F2265" s="3" t="s">
        <v>25</v>
      </c>
      <c r="G2265" s="3" t="str">
        <f>"2025-08-28 00:20:26.589"</f>
        <v>2025-08-28 00:20:26.589</v>
      </c>
      <c r="H2265" s="3" t="s">
        <v>21</v>
      </c>
    </row>
    <row r="2266" spans="1:10" s="3" customFormat="1" x14ac:dyDescent="0.25">
      <c r="A2266" s="2">
        <v>302</v>
      </c>
      <c r="B2266" s="3" t="s">
        <v>26</v>
      </c>
      <c r="C2266" s="3">
        <v>647</v>
      </c>
      <c r="D2266" s="3">
        <v>1</v>
      </c>
      <c r="E2266" s="3" t="s">
        <v>24</v>
      </c>
      <c r="F2266" s="3" t="s">
        <v>25</v>
      </c>
      <c r="G2266" s="3" t="str">
        <f>"2025-08-28 00:20:24.489"</f>
        <v>2025-08-28 00:20:24.489</v>
      </c>
      <c r="H2266" s="3" t="s">
        <v>21</v>
      </c>
      <c r="I2266" s="3">
        <v>14.44</v>
      </c>
      <c r="J2266" s="3" t="s">
        <v>27</v>
      </c>
    </row>
    <row r="2267" spans="1:10" s="3" customFormat="1" x14ac:dyDescent="0.25">
      <c r="A2267" s="2">
        <v>303</v>
      </c>
      <c r="B2267" s="3" t="s">
        <v>23</v>
      </c>
      <c r="C2267" s="3">
        <v>647</v>
      </c>
      <c r="D2267" s="3">
        <v>1</v>
      </c>
      <c r="E2267" s="3" t="s">
        <v>24</v>
      </c>
      <c r="F2267" s="3" t="s">
        <v>25</v>
      </c>
      <c r="G2267" s="3" t="str">
        <f>"2025-08-27 23:42:25.289"</f>
        <v>2025-08-27 23:42:25.289</v>
      </c>
      <c r="H2267" s="3" t="s">
        <v>21</v>
      </c>
    </row>
    <row r="2268" spans="1:10" s="3" customFormat="1" x14ac:dyDescent="0.25">
      <c r="A2268" s="2">
        <v>304</v>
      </c>
      <c r="B2268" s="3" t="s">
        <v>26</v>
      </c>
      <c r="C2268" s="3">
        <v>647</v>
      </c>
      <c r="D2268" s="3">
        <v>1</v>
      </c>
      <c r="E2268" s="3" t="s">
        <v>24</v>
      </c>
      <c r="F2268" s="3" t="s">
        <v>25</v>
      </c>
      <c r="G2268" s="3" t="str">
        <f>"2025-08-27 23:42:17.589"</f>
        <v>2025-08-27 23:42:17.589</v>
      </c>
      <c r="H2268" s="3" t="s">
        <v>21</v>
      </c>
      <c r="I2268" s="3">
        <v>8.17</v>
      </c>
      <c r="J2268" s="3" t="s">
        <v>27</v>
      </c>
    </row>
    <row r="2269" spans="1:10" s="3" customFormat="1" x14ac:dyDescent="0.25">
      <c r="A2269" s="2">
        <v>305</v>
      </c>
      <c r="B2269" s="3" t="s">
        <v>23</v>
      </c>
      <c r="C2269" s="3">
        <v>647</v>
      </c>
      <c r="D2269" s="3">
        <v>1</v>
      </c>
      <c r="E2269" s="3" t="s">
        <v>24</v>
      </c>
      <c r="F2269" s="3" t="s">
        <v>25</v>
      </c>
      <c r="G2269" s="3" t="str">
        <f>"2025-08-27 22:26:28.389"</f>
        <v>2025-08-27 22:26:28.389</v>
      </c>
      <c r="H2269" s="3" t="s">
        <v>21</v>
      </c>
    </row>
    <row r="2270" spans="1:10" s="3" customFormat="1" x14ac:dyDescent="0.25">
      <c r="A2270" s="2">
        <v>306</v>
      </c>
      <c r="B2270" s="3" t="s">
        <v>26</v>
      </c>
      <c r="C2270" s="3">
        <v>647</v>
      </c>
      <c r="D2270" s="3">
        <v>1</v>
      </c>
      <c r="E2270" s="3" t="s">
        <v>24</v>
      </c>
      <c r="F2270" s="3" t="s">
        <v>25</v>
      </c>
      <c r="G2270" s="3" t="str">
        <f>"2025-08-27 22:26:18.489"</f>
        <v>2025-08-27 22:26:18.489</v>
      </c>
      <c r="H2270" s="3" t="s">
        <v>21</v>
      </c>
      <c r="I2270" s="3">
        <v>9.23</v>
      </c>
      <c r="J2270" s="3" t="s">
        <v>27</v>
      </c>
    </row>
    <row r="2271" spans="1:10" s="3" customFormat="1" x14ac:dyDescent="0.25">
      <c r="A2271" s="2">
        <v>307</v>
      </c>
      <c r="B2271" s="3" t="s">
        <v>23</v>
      </c>
      <c r="C2271" s="3">
        <v>647</v>
      </c>
      <c r="D2271" s="3">
        <v>1</v>
      </c>
      <c r="E2271" s="3" t="s">
        <v>24</v>
      </c>
      <c r="F2271" s="3" t="s">
        <v>25</v>
      </c>
      <c r="G2271" s="3" t="str">
        <f>"2025-08-27 22:04:26.689"</f>
        <v>2025-08-27 22:04:26.689</v>
      </c>
      <c r="H2271" s="3" t="s">
        <v>21</v>
      </c>
    </row>
    <row r="2272" spans="1:10" s="3" customFormat="1" x14ac:dyDescent="0.25">
      <c r="A2272" s="2">
        <v>308</v>
      </c>
      <c r="B2272" s="3" t="s">
        <v>26</v>
      </c>
      <c r="C2272" s="3">
        <v>647</v>
      </c>
      <c r="D2272" s="3">
        <v>1</v>
      </c>
      <c r="E2272" s="3" t="s">
        <v>24</v>
      </c>
      <c r="F2272" s="3" t="s">
        <v>25</v>
      </c>
      <c r="G2272" s="3" t="str">
        <f>"2025-08-27 22:04:23.789"</f>
        <v>2025-08-27 22:04:23.789</v>
      </c>
      <c r="H2272" s="3" t="s">
        <v>21</v>
      </c>
      <c r="I2272" s="3">
        <v>8.2899999999999991</v>
      </c>
      <c r="J2272" s="3" t="s">
        <v>27</v>
      </c>
    </row>
    <row r="2273" spans="1:10" s="3" customFormat="1" x14ac:dyDescent="0.25">
      <c r="A2273" s="2">
        <v>309</v>
      </c>
      <c r="B2273" s="3" t="s">
        <v>23</v>
      </c>
      <c r="C2273" s="3">
        <v>647</v>
      </c>
      <c r="D2273" s="3">
        <v>1</v>
      </c>
      <c r="E2273" s="3" t="s">
        <v>24</v>
      </c>
      <c r="F2273" s="3" t="s">
        <v>25</v>
      </c>
      <c r="G2273" s="3" t="str">
        <f>"2025-08-27 21:42:03.189"</f>
        <v>2025-08-27 21:42:03.189</v>
      </c>
      <c r="H2273" s="3" t="s">
        <v>21</v>
      </c>
    </row>
    <row r="2274" spans="1:10" s="3" customFormat="1" x14ac:dyDescent="0.25">
      <c r="A2274" s="2">
        <v>310</v>
      </c>
      <c r="B2274" s="3" t="s">
        <v>26</v>
      </c>
      <c r="C2274" s="3">
        <v>647</v>
      </c>
      <c r="D2274" s="3">
        <v>1</v>
      </c>
      <c r="E2274" s="3" t="s">
        <v>24</v>
      </c>
      <c r="F2274" s="3" t="s">
        <v>25</v>
      </c>
      <c r="G2274" s="3" t="str">
        <f>"2025-08-27 21:41:54.789"</f>
        <v>2025-08-27 21:41:54.789</v>
      </c>
      <c r="H2274" s="3" t="s">
        <v>21</v>
      </c>
      <c r="I2274" s="3">
        <v>9.26</v>
      </c>
      <c r="J2274" s="3" t="s">
        <v>27</v>
      </c>
    </row>
    <row r="2275" spans="1:10" s="3" customFormat="1" x14ac:dyDescent="0.25">
      <c r="A2275" s="2">
        <v>311</v>
      </c>
      <c r="B2275" s="3" t="s">
        <v>23</v>
      </c>
      <c r="C2275" s="3">
        <v>647</v>
      </c>
      <c r="D2275" s="3">
        <v>1</v>
      </c>
      <c r="E2275" s="3" t="s">
        <v>24</v>
      </c>
      <c r="F2275" s="3" t="s">
        <v>25</v>
      </c>
      <c r="G2275" s="3" t="str">
        <f>"2025-08-27 21:02:15.389"</f>
        <v>2025-08-27 21:02:15.389</v>
      </c>
      <c r="H2275" s="3" t="s">
        <v>21</v>
      </c>
    </row>
    <row r="2276" spans="1:10" s="3" customFormat="1" x14ac:dyDescent="0.25">
      <c r="A2276" s="2">
        <v>312</v>
      </c>
      <c r="B2276" s="3" t="s">
        <v>26</v>
      </c>
      <c r="C2276" s="3">
        <v>647</v>
      </c>
      <c r="D2276" s="3">
        <v>1</v>
      </c>
      <c r="E2276" s="3" t="s">
        <v>24</v>
      </c>
      <c r="F2276" s="3" t="s">
        <v>25</v>
      </c>
      <c r="G2276" s="3" t="str">
        <f>"2025-08-27 21:02:04.889"</f>
        <v>2025-08-27 21:02:04.889</v>
      </c>
      <c r="H2276" s="3" t="s">
        <v>21</v>
      </c>
      <c r="I2276" s="3">
        <v>8.19</v>
      </c>
      <c r="J2276" s="3" t="s">
        <v>27</v>
      </c>
    </row>
    <row r="2277" spans="1:10" s="3" customFormat="1" x14ac:dyDescent="0.25">
      <c r="A2277" s="2">
        <v>313</v>
      </c>
      <c r="B2277" s="3" t="s">
        <v>23</v>
      </c>
      <c r="C2277" s="3">
        <v>647</v>
      </c>
      <c r="D2277" s="3">
        <v>1</v>
      </c>
      <c r="E2277" s="3" t="s">
        <v>24</v>
      </c>
      <c r="F2277" s="3" t="s">
        <v>25</v>
      </c>
      <c r="G2277" s="3" t="str">
        <f>"2025-08-27 03:01:00.989"</f>
        <v>2025-08-27 03:01:00.989</v>
      </c>
      <c r="H2277" s="3" t="s">
        <v>21</v>
      </c>
    </row>
    <row r="2278" spans="1:10" s="3" customFormat="1" x14ac:dyDescent="0.25">
      <c r="A2278" s="2">
        <v>314</v>
      </c>
      <c r="B2278" s="3" t="s">
        <v>26</v>
      </c>
      <c r="C2278" s="3">
        <v>647</v>
      </c>
      <c r="D2278" s="3">
        <v>1</v>
      </c>
      <c r="E2278" s="3" t="s">
        <v>24</v>
      </c>
      <c r="F2278" s="3" t="s">
        <v>25</v>
      </c>
      <c r="G2278" s="3" t="str">
        <f>"2025-08-27 03:00:52.089"</f>
        <v>2025-08-27 03:00:52.089</v>
      </c>
      <c r="H2278" s="3" t="s">
        <v>21</v>
      </c>
      <c r="I2278" s="3">
        <v>22.9</v>
      </c>
      <c r="J2278" s="3" t="s">
        <v>27</v>
      </c>
    </row>
    <row r="2279" spans="1:10" x14ac:dyDescent="0.25">
      <c r="A2279" s="1">
        <v>315</v>
      </c>
      <c r="B2279" t="s">
        <v>23</v>
      </c>
      <c r="C2279">
        <v>635</v>
      </c>
      <c r="D2279">
        <v>1</v>
      </c>
      <c r="E2279" t="s">
        <v>31</v>
      </c>
      <c r="F2279" t="s">
        <v>32</v>
      </c>
      <c r="G2279" t="str">
        <f>"2025-08-27 02:11:30.388"</f>
        <v>2025-08-27 02:11:30.388</v>
      </c>
      <c r="H2279" t="s">
        <v>21</v>
      </c>
    </row>
    <row r="2280" spans="1:10" x14ac:dyDescent="0.25">
      <c r="A2280" s="1">
        <v>316</v>
      </c>
      <c r="B2280" t="s">
        <v>26</v>
      </c>
      <c r="C2280">
        <v>635</v>
      </c>
      <c r="D2280">
        <v>1</v>
      </c>
      <c r="E2280" t="s">
        <v>31</v>
      </c>
      <c r="F2280" t="s">
        <v>32</v>
      </c>
      <c r="G2280" t="str">
        <f>"2025-08-27 01:51:05.488"</f>
        <v>2025-08-27 01:51:05.488</v>
      </c>
      <c r="H2280" t="s">
        <v>21</v>
      </c>
      <c r="I2280">
        <v>2.79</v>
      </c>
      <c r="J2280" t="s">
        <v>33</v>
      </c>
    </row>
    <row r="2281" spans="1:10" s="3" customFormat="1" x14ac:dyDescent="0.25">
      <c r="A2281" s="2">
        <v>317</v>
      </c>
      <c r="B2281" s="3" t="s">
        <v>23</v>
      </c>
      <c r="C2281" s="3">
        <v>647</v>
      </c>
      <c r="D2281" s="3">
        <v>1</v>
      </c>
      <c r="E2281" s="3" t="s">
        <v>24</v>
      </c>
      <c r="F2281" s="3" t="s">
        <v>25</v>
      </c>
      <c r="G2281" s="3" t="str">
        <f>"2025-08-26 23:50:41.589"</f>
        <v>2025-08-26 23:50:41.589</v>
      </c>
      <c r="H2281" s="3" t="s">
        <v>21</v>
      </c>
    </row>
    <row r="2282" spans="1:10" s="3" customFormat="1" x14ac:dyDescent="0.25">
      <c r="A2282" s="2">
        <v>318</v>
      </c>
      <c r="B2282" s="3" t="s">
        <v>26</v>
      </c>
      <c r="C2282" s="3">
        <v>647</v>
      </c>
      <c r="D2282" s="3">
        <v>1</v>
      </c>
      <c r="E2282" s="3" t="s">
        <v>24</v>
      </c>
      <c r="F2282" s="3" t="s">
        <v>25</v>
      </c>
      <c r="G2282" s="3" t="str">
        <f>"2025-08-26 23:50:37.489"</f>
        <v>2025-08-26 23:50:37.489</v>
      </c>
      <c r="H2282" s="3" t="s">
        <v>21</v>
      </c>
      <c r="I2282" s="3">
        <v>13.77</v>
      </c>
      <c r="J2282" s="3" t="s">
        <v>27</v>
      </c>
    </row>
    <row r="2283" spans="1:10" x14ac:dyDescent="0.25">
      <c r="A2283" s="1">
        <v>319</v>
      </c>
      <c r="B2283" t="s">
        <v>23</v>
      </c>
      <c r="C2283">
        <v>630</v>
      </c>
      <c r="D2283">
        <v>5</v>
      </c>
      <c r="E2283" t="s">
        <v>35</v>
      </c>
      <c r="F2283" t="s">
        <v>36</v>
      </c>
      <c r="G2283" t="str">
        <f>"2025-08-26 14:00:07.189"</f>
        <v>2025-08-26 14:00:07.189</v>
      </c>
      <c r="H2283" t="s">
        <v>37</v>
      </c>
    </row>
    <row r="2284" spans="1:10" x14ac:dyDescent="0.25">
      <c r="A2284" s="1">
        <v>320</v>
      </c>
      <c r="B2284" t="s">
        <v>19</v>
      </c>
      <c r="C2284">
        <v>706</v>
      </c>
      <c r="D2284">
        <v>2</v>
      </c>
      <c r="E2284" t="s">
        <v>28</v>
      </c>
      <c r="F2284" t="s">
        <v>39</v>
      </c>
      <c r="G2284" t="str">
        <f>"2025-08-26 13:59:37.087"</f>
        <v>2025-08-26 13:59:37.087</v>
      </c>
      <c r="H2284" t="s">
        <v>21</v>
      </c>
      <c r="I2284">
        <v>0</v>
      </c>
      <c r="J2284" t="s">
        <v>30</v>
      </c>
    </row>
    <row r="2285" spans="1:10" x14ac:dyDescent="0.25">
      <c r="A2285" s="1">
        <v>321</v>
      </c>
      <c r="B2285" t="s">
        <v>38</v>
      </c>
      <c r="C2285">
        <v>630</v>
      </c>
      <c r="D2285">
        <v>5</v>
      </c>
      <c r="E2285" t="s">
        <v>35</v>
      </c>
      <c r="F2285" t="s">
        <v>36</v>
      </c>
      <c r="G2285" t="str">
        <f>"2025-08-26 13:51:26.589"</f>
        <v>2025-08-26 13:51:26.589</v>
      </c>
      <c r="H2285" t="s">
        <v>37</v>
      </c>
      <c r="I2285">
        <v>0</v>
      </c>
      <c r="J2285" t="s">
        <v>30</v>
      </c>
    </row>
    <row r="2286" spans="1:10" x14ac:dyDescent="0.25">
      <c r="A2286" s="1">
        <v>322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"2025-08-26 13:46:23.767"</f>
        <v>2025-08-26 13:46:23.767</v>
      </c>
      <c r="H2286" t="s">
        <v>21</v>
      </c>
    </row>
    <row r="2287" spans="1:10" s="3" customFormat="1" x14ac:dyDescent="0.25">
      <c r="A2287" s="2">
        <v>323</v>
      </c>
      <c r="B2287" s="3" t="s">
        <v>23</v>
      </c>
      <c r="C2287" s="3">
        <v>647</v>
      </c>
      <c r="D2287" s="3">
        <v>1</v>
      </c>
      <c r="E2287" s="3" t="s">
        <v>24</v>
      </c>
      <c r="F2287" s="3" t="s">
        <v>25</v>
      </c>
      <c r="G2287" s="3" t="str">
        <f>"2025-08-26 04:53:23.280"</f>
        <v>2025-08-26 04:53:23.280</v>
      </c>
      <c r="H2287" s="3" t="s">
        <v>21</v>
      </c>
    </row>
    <row r="2288" spans="1:10" s="3" customFormat="1" x14ac:dyDescent="0.25">
      <c r="A2288" s="2">
        <v>324</v>
      </c>
      <c r="B2288" s="3" t="s">
        <v>26</v>
      </c>
      <c r="C2288" s="3">
        <v>647</v>
      </c>
      <c r="D2288" s="3">
        <v>1</v>
      </c>
      <c r="E2288" s="3" t="s">
        <v>24</v>
      </c>
      <c r="F2288" s="3" t="s">
        <v>25</v>
      </c>
      <c r="G2288" s="3" t="str">
        <f>"2025-08-26 04:53:21.380"</f>
        <v>2025-08-26 04:53:21.380</v>
      </c>
      <c r="H2288" s="3" t="s">
        <v>21</v>
      </c>
      <c r="I2288" s="3">
        <v>19.55</v>
      </c>
      <c r="J2288" s="3" t="s">
        <v>27</v>
      </c>
    </row>
    <row r="2289" spans="1:10" s="3" customFormat="1" x14ac:dyDescent="0.25">
      <c r="A2289" s="2">
        <v>325</v>
      </c>
      <c r="B2289" s="3" t="s">
        <v>23</v>
      </c>
      <c r="C2289" s="3">
        <v>647</v>
      </c>
      <c r="D2289" s="3">
        <v>1</v>
      </c>
      <c r="E2289" s="3" t="s">
        <v>24</v>
      </c>
      <c r="F2289" s="3" t="s">
        <v>25</v>
      </c>
      <c r="G2289" s="3" t="str">
        <f>"2025-08-26 04:18:24.180"</f>
        <v>2025-08-26 04:18:24.180</v>
      </c>
      <c r="H2289" s="3" t="s">
        <v>21</v>
      </c>
    </row>
    <row r="2290" spans="1:10" s="3" customFormat="1" x14ac:dyDescent="0.25">
      <c r="A2290" s="2">
        <v>326</v>
      </c>
      <c r="B2290" s="3" t="s">
        <v>26</v>
      </c>
      <c r="C2290" s="3">
        <v>647</v>
      </c>
      <c r="D2290" s="3">
        <v>1</v>
      </c>
      <c r="E2290" s="3" t="s">
        <v>24</v>
      </c>
      <c r="F2290" s="3" t="s">
        <v>25</v>
      </c>
      <c r="G2290" s="3" t="str">
        <f>"2025-08-26 04:18:18.680"</f>
        <v>2025-08-26 04:18:18.680</v>
      </c>
      <c r="H2290" s="3" t="s">
        <v>21</v>
      </c>
      <c r="I2290" s="3">
        <v>11.14</v>
      </c>
      <c r="J2290" s="3" t="s">
        <v>27</v>
      </c>
    </row>
    <row r="2291" spans="1:10" s="3" customFormat="1" x14ac:dyDescent="0.25">
      <c r="A2291" s="2">
        <v>327</v>
      </c>
      <c r="B2291" s="3" t="s">
        <v>23</v>
      </c>
      <c r="C2291" s="3">
        <v>647</v>
      </c>
      <c r="D2291" s="3">
        <v>1</v>
      </c>
      <c r="E2291" s="3" t="s">
        <v>24</v>
      </c>
      <c r="F2291" s="3" t="s">
        <v>25</v>
      </c>
      <c r="G2291" s="3" t="str">
        <f>"2025-08-26 03:10:28.480"</f>
        <v>2025-08-26 03:10:28.480</v>
      </c>
      <c r="H2291" s="3" t="s">
        <v>21</v>
      </c>
    </row>
    <row r="2292" spans="1:10" s="3" customFormat="1" x14ac:dyDescent="0.25">
      <c r="A2292" s="2">
        <v>328</v>
      </c>
      <c r="B2292" s="3" t="s">
        <v>26</v>
      </c>
      <c r="C2292" s="3">
        <v>647</v>
      </c>
      <c r="D2292" s="3">
        <v>1</v>
      </c>
      <c r="E2292" s="3" t="s">
        <v>24</v>
      </c>
      <c r="F2292" s="3" t="s">
        <v>25</v>
      </c>
      <c r="G2292" s="3" t="str">
        <f>"2025-08-26 03:10:25.180"</f>
        <v>2025-08-26 03:10:25.180</v>
      </c>
      <c r="H2292" s="3" t="s">
        <v>21</v>
      </c>
      <c r="I2292" s="3">
        <v>17.010000000000002</v>
      </c>
      <c r="J2292" s="3" t="s">
        <v>27</v>
      </c>
    </row>
    <row r="2293" spans="1:10" x14ac:dyDescent="0.25">
      <c r="A2293" s="1">
        <v>329</v>
      </c>
      <c r="B2293" t="s">
        <v>23</v>
      </c>
      <c r="C2293">
        <v>635</v>
      </c>
      <c r="D2293">
        <v>1</v>
      </c>
      <c r="E2293" t="s">
        <v>31</v>
      </c>
      <c r="F2293" t="s">
        <v>32</v>
      </c>
      <c r="G2293" t="str">
        <f>"2025-08-26 02:40:39.279"</f>
        <v>2025-08-26 02:40:39.279</v>
      </c>
      <c r="H2293" t="s">
        <v>21</v>
      </c>
    </row>
    <row r="2294" spans="1:10" x14ac:dyDescent="0.25">
      <c r="A2294" s="1">
        <v>330</v>
      </c>
      <c r="B2294" t="s">
        <v>26</v>
      </c>
      <c r="C2294">
        <v>635</v>
      </c>
      <c r="D2294">
        <v>1</v>
      </c>
      <c r="E2294" t="s">
        <v>31</v>
      </c>
      <c r="F2294" t="s">
        <v>32</v>
      </c>
      <c r="G2294" t="str">
        <f>"2025-08-26 02:37:09.779"</f>
        <v>2025-08-26 02:37:09.779</v>
      </c>
      <c r="H2294" t="s">
        <v>21</v>
      </c>
      <c r="I2294">
        <v>-3.58</v>
      </c>
      <c r="J2294" t="s">
        <v>33</v>
      </c>
    </row>
    <row r="2295" spans="1:10" x14ac:dyDescent="0.25">
      <c r="A2295" s="1">
        <v>331</v>
      </c>
      <c r="B2295" t="s">
        <v>23</v>
      </c>
      <c r="C2295">
        <v>635</v>
      </c>
      <c r="D2295">
        <v>1</v>
      </c>
      <c r="E2295" t="s">
        <v>31</v>
      </c>
      <c r="F2295" t="s">
        <v>32</v>
      </c>
      <c r="G2295" t="str">
        <f>"2025-08-25 23:04:48.679"</f>
        <v>2025-08-25 23:04:48.679</v>
      </c>
      <c r="H2295" t="s">
        <v>21</v>
      </c>
    </row>
    <row r="2296" spans="1:10" x14ac:dyDescent="0.25">
      <c r="A2296" s="1">
        <v>332</v>
      </c>
      <c r="B2296" t="s">
        <v>26</v>
      </c>
      <c r="C2296">
        <v>635</v>
      </c>
      <c r="D2296">
        <v>1</v>
      </c>
      <c r="E2296" t="s">
        <v>31</v>
      </c>
      <c r="F2296" t="s">
        <v>32</v>
      </c>
      <c r="G2296" t="str">
        <f>"2025-08-25 22:57:41.678"</f>
        <v>2025-08-25 22:57:41.678</v>
      </c>
      <c r="H2296" t="s">
        <v>21</v>
      </c>
      <c r="I2296">
        <v>0</v>
      </c>
      <c r="J2296" t="s">
        <v>34</v>
      </c>
    </row>
    <row r="2297" spans="1:10" s="3" customFormat="1" x14ac:dyDescent="0.25">
      <c r="A2297" s="2">
        <v>333</v>
      </c>
      <c r="B2297" s="3" t="s">
        <v>23</v>
      </c>
      <c r="C2297" s="3">
        <v>647</v>
      </c>
      <c r="D2297" s="3">
        <v>1</v>
      </c>
      <c r="E2297" s="3" t="s">
        <v>24</v>
      </c>
      <c r="F2297" s="3" t="s">
        <v>25</v>
      </c>
      <c r="G2297" s="3" t="str">
        <f>"2025-08-25 20:53:53.480"</f>
        <v>2025-08-25 20:53:53.480</v>
      </c>
      <c r="H2297" s="3" t="s">
        <v>21</v>
      </c>
    </row>
    <row r="2298" spans="1:10" s="3" customFormat="1" x14ac:dyDescent="0.25">
      <c r="A2298" s="2">
        <v>334</v>
      </c>
      <c r="B2298" s="3" t="s">
        <v>26</v>
      </c>
      <c r="C2298" s="3">
        <v>647</v>
      </c>
      <c r="D2298" s="3">
        <v>1</v>
      </c>
      <c r="E2298" s="3" t="s">
        <v>24</v>
      </c>
      <c r="F2298" s="3" t="s">
        <v>25</v>
      </c>
      <c r="G2298" s="3" t="str">
        <f>"2025-08-25 20:53:47.580"</f>
        <v>2025-08-25 20:53:47.580</v>
      </c>
      <c r="H2298" s="3" t="s">
        <v>21</v>
      </c>
      <c r="I2298" s="3">
        <v>12.54</v>
      </c>
      <c r="J2298" s="3" t="s">
        <v>27</v>
      </c>
    </row>
    <row r="2299" spans="1:10" s="3" customFormat="1" x14ac:dyDescent="0.25">
      <c r="A2299" s="2">
        <v>335</v>
      </c>
      <c r="B2299" s="3" t="s">
        <v>23</v>
      </c>
      <c r="C2299" s="3">
        <v>647</v>
      </c>
      <c r="D2299" s="3">
        <v>1</v>
      </c>
      <c r="E2299" s="3" t="s">
        <v>24</v>
      </c>
      <c r="F2299" s="3" t="s">
        <v>25</v>
      </c>
      <c r="G2299" s="3" t="str">
        <f>"2025-08-25 03:17:40.280"</f>
        <v>2025-08-25 03:17:40.280</v>
      </c>
      <c r="H2299" s="3" t="s">
        <v>21</v>
      </c>
    </row>
    <row r="2300" spans="1:10" s="3" customFormat="1" x14ac:dyDescent="0.25">
      <c r="A2300" s="2">
        <v>336</v>
      </c>
      <c r="B2300" s="3" t="s">
        <v>26</v>
      </c>
      <c r="C2300" s="3">
        <v>647</v>
      </c>
      <c r="D2300" s="3">
        <v>1</v>
      </c>
      <c r="E2300" s="3" t="s">
        <v>24</v>
      </c>
      <c r="F2300" s="3" t="s">
        <v>25</v>
      </c>
      <c r="G2300" s="3" t="str">
        <f>"2025-08-25 03:17:33.580"</f>
        <v>2025-08-25 03:17:33.580</v>
      </c>
      <c r="H2300" s="3" t="s">
        <v>21</v>
      </c>
      <c r="I2300" s="3">
        <v>10.43</v>
      </c>
      <c r="J2300" s="3" t="s">
        <v>27</v>
      </c>
    </row>
    <row r="2301" spans="1:10" x14ac:dyDescent="0.25">
      <c r="A2301" s="1">
        <v>337</v>
      </c>
      <c r="B2301" t="s">
        <v>19</v>
      </c>
      <c r="C2301">
        <v>706</v>
      </c>
      <c r="D2301">
        <v>4</v>
      </c>
      <c r="E2301" t="s">
        <v>28</v>
      </c>
      <c r="F2301" t="s">
        <v>29</v>
      </c>
      <c r="G2301" t="str">
        <f>"2025-08-24 12:47:17.254"</f>
        <v>2025-08-24 12:47:17.254</v>
      </c>
      <c r="H2301" t="s">
        <v>21</v>
      </c>
      <c r="I2301">
        <v>0</v>
      </c>
      <c r="J2301" t="s">
        <v>30</v>
      </c>
    </row>
    <row r="2302" spans="1:10" x14ac:dyDescent="0.25">
      <c r="A2302" s="1">
        <v>338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"2025-08-24 12:46:58.704"</f>
        <v>2025-08-24 12:46:58.704</v>
      </c>
      <c r="H2302" t="s">
        <v>21</v>
      </c>
      <c r="I2302">
        <v>0</v>
      </c>
      <c r="J2302" t="s">
        <v>22</v>
      </c>
    </row>
    <row r="2303" spans="1:10" s="3" customFormat="1" x14ac:dyDescent="0.25">
      <c r="A2303" s="2">
        <v>339</v>
      </c>
      <c r="B2303" s="3" t="s">
        <v>23</v>
      </c>
      <c r="C2303" s="3">
        <v>647</v>
      </c>
      <c r="D2303" s="3">
        <v>1</v>
      </c>
      <c r="E2303" s="3" t="s">
        <v>24</v>
      </c>
      <c r="F2303" s="3" t="s">
        <v>25</v>
      </c>
      <c r="G2303" s="3" t="str">
        <f>"2025-08-23 22:25:54.966"</f>
        <v>2025-08-23 22:25:54.966</v>
      </c>
      <c r="H2303" s="3" t="s">
        <v>21</v>
      </c>
    </row>
    <row r="2304" spans="1:10" s="3" customFormat="1" x14ac:dyDescent="0.25">
      <c r="A2304" s="2">
        <v>340</v>
      </c>
      <c r="B2304" s="3" t="s">
        <v>26</v>
      </c>
      <c r="C2304" s="3">
        <v>647</v>
      </c>
      <c r="D2304" s="3">
        <v>1</v>
      </c>
      <c r="E2304" s="3" t="s">
        <v>24</v>
      </c>
      <c r="F2304" s="3" t="s">
        <v>25</v>
      </c>
      <c r="G2304" s="3" t="str">
        <f>"2025-08-23 22:25:53.066"</f>
        <v>2025-08-23 22:25:53.066</v>
      </c>
      <c r="H2304" s="3" t="s">
        <v>21</v>
      </c>
      <c r="I2304" s="3">
        <v>9</v>
      </c>
      <c r="J2304" s="3" t="s">
        <v>27</v>
      </c>
    </row>
    <row r="2305" spans="1:10" s="3" customFormat="1" x14ac:dyDescent="0.25">
      <c r="A2305" s="2">
        <v>341</v>
      </c>
      <c r="B2305" s="3" t="s">
        <v>23</v>
      </c>
      <c r="C2305" s="3">
        <v>647</v>
      </c>
      <c r="D2305" s="3">
        <v>1</v>
      </c>
      <c r="E2305" s="3" t="s">
        <v>24</v>
      </c>
      <c r="F2305" s="3" t="s">
        <v>25</v>
      </c>
      <c r="G2305" s="3" t="str">
        <f>"2025-08-23 21:01:30.166"</f>
        <v>2025-08-23 21:01:30.166</v>
      </c>
      <c r="H2305" s="3" t="s">
        <v>21</v>
      </c>
    </row>
    <row r="2306" spans="1:10" s="3" customFormat="1" x14ac:dyDescent="0.25">
      <c r="A2306" s="2">
        <v>342</v>
      </c>
      <c r="B2306" s="3" t="s">
        <v>26</v>
      </c>
      <c r="C2306" s="3">
        <v>647</v>
      </c>
      <c r="D2306" s="3">
        <v>1</v>
      </c>
      <c r="E2306" s="3" t="s">
        <v>24</v>
      </c>
      <c r="F2306" s="3" t="s">
        <v>25</v>
      </c>
      <c r="G2306" s="3" t="str">
        <f>"2025-08-23 21:01:23.466"</f>
        <v>2025-08-23 21:01:23.466</v>
      </c>
      <c r="H2306" s="3" t="s">
        <v>21</v>
      </c>
      <c r="I2306" s="3">
        <v>10.78</v>
      </c>
      <c r="J2306" s="3" t="s">
        <v>27</v>
      </c>
    </row>
    <row r="2307" spans="1:10" x14ac:dyDescent="0.25">
      <c r="A2307" s="1">
        <v>343</v>
      </c>
      <c r="B2307" t="s">
        <v>19</v>
      </c>
      <c r="C2307">
        <v>706</v>
      </c>
      <c r="D2307">
        <v>4</v>
      </c>
      <c r="E2307" t="s">
        <v>28</v>
      </c>
      <c r="F2307" t="s">
        <v>29</v>
      </c>
      <c r="G2307" t="str">
        <f>"2025-08-23 13:50:40.854"</f>
        <v>2025-08-23 13:50:40.854</v>
      </c>
      <c r="H2307" t="s">
        <v>21</v>
      </c>
      <c r="I2307">
        <v>0</v>
      </c>
      <c r="J2307" t="s">
        <v>30</v>
      </c>
    </row>
    <row r="2308" spans="1:10" x14ac:dyDescent="0.25">
      <c r="A2308" s="1">
        <v>344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"2025-08-23 13:49:32.874"</f>
        <v>2025-08-23 13:49:32.874</v>
      </c>
      <c r="H2308" t="s">
        <v>21</v>
      </c>
    </row>
    <row r="2309" spans="1:10" x14ac:dyDescent="0.25">
      <c r="A2309" s="1">
        <v>345</v>
      </c>
      <c r="B2309" t="s">
        <v>23</v>
      </c>
      <c r="C2309">
        <v>635</v>
      </c>
      <c r="D2309">
        <v>1</v>
      </c>
      <c r="E2309" t="s">
        <v>31</v>
      </c>
      <c r="F2309" t="s">
        <v>32</v>
      </c>
      <c r="G2309" t="str">
        <f>"2025-08-23 05:39:08.020"</f>
        <v>2025-08-23 05:39:08.020</v>
      </c>
      <c r="H2309" t="s">
        <v>21</v>
      </c>
    </row>
    <row r="2310" spans="1:10" x14ac:dyDescent="0.25">
      <c r="A2310" s="1">
        <v>346</v>
      </c>
      <c r="B2310" t="s">
        <v>26</v>
      </c>
      <c r="C2310">
        <v>635</v>
      </c>
      <c r="D2310">
        <v>1</v>
      </c>
      <c r="E2310" t="s">
        <v>31</v>
      </c>
      <c r="F2310" t="s">
        <v>32</v>
      </c>
      <c r="G2310" t="str">
        <f>"2025-08-23 05:36:20.020"</f>
        <v>2025-08-23 05:36:20.020</v>
      </c>
      <c r="H2310" t="s">
        <v>21</v>
      </c>
      <c r="I2310">
        <v>2.31</v>
      </c>
      <c r="J2310" t="s">
        <v>33</v>
      </c>
    </row>
    <row r="2311" spans="1:10" s="3" customFormat="1" x14ac:dyDescent="0.25">
      <c r="A2311" s="2">
        <v>347</v>
      </c>
      <c r="B2311" s="3" t="s">
        <v>23</v>
      </c>
      <c r="C2311" s="3">
        <v>647</v>
      </c>
      <c r="D2311" s="3">
        <v>1</v>
      </c>
      <c r="E2311" s="3" t="s">
        <v>24</v>
      </c>
      <c r="F2311" s="3" t="s">
        <v>25</v>
      </c>
      <c r="G2311" s="3" t="str">
        <f>"2025-08-22 22:15:55.721"</f>
        <v>2025-08-22 22:15:55.721</v>
      </c>
      <c r="H2311" s="3" t="s">
        <v>21</v>
      </c>
    </row>
    <row r="2312" spans="1:10" s="3" customFormat="1" x14ac:dyDescent="0.25">
      <c r="A2312" s="2">
        <v>348</v>
      </c>
      <c r="B2312" s="3" t="s">
        <v>26</v>
      </c>
      <c r="C2312" s="3">
        <v>647</v>
      </c>
      <c r="D2312" s="3">
        <v>1</v>
      </c>
      <c r="E2312" s="3" t="s">
        <v>24</v>
      </c>
      <c r="F2312" s="3" t="s">
        <v>25</v>
      </c>
      <c r="G2312" s="3" t="str">
        <f>"2025-08-22 22:15:53.721"</f>
        <v>2025-08-22 22:15:53.721</v>
      </c>
      <c r="H2312" s="3" t="s">
        <v>21</v>
      </c>
      <c r="I2312" s="3">
        <v>11.37</v>
      </c>
      <c r="J2312" s="3" t="s">
        <v>27</v>
      </c>
    </row>
    <row r="2313" spans="1:10" x14ac:dyDescent="0.25">
      <c r="A2313" s="1">
        <v>349</v>
      </c>
      <c r="B2313" t="s">
        <v>23</v>
      </c>
      <c r="C2313">
        <v>635</v>
      </c>
      <c r="D2313">
        <v>1</v>
      </c>
      <c r="E2313" t="s">
        <v>31</v>
      </c>
      <c r="F2313" t="s">
        <v>32</v>
      </c>
      <c r="G2313" t="str">
        <f>"2025-08-22 18:13:47.420"</f>
        <v>2025-08-22 18:13:47.420</v>
      </c>
      <c r="H2313" t="s">
        <v>21</v>
      </c>
    </row>
    <row r="2314" spans="1:10" x14ac:dyDescent="0.25">
      <c r="A2314" s="1">
        <v>350</v>
      </c>
      <c r="B2314" t="s">
        <v>26</v>
      </c>
      <c r="C2314">
        <v>635</v>
      </c>
      <c r="D2314">
        <v>1</v>
      </c>
      <c r="E2314" t="s">
        <v>31</v>
      </c>
      <c r="F2314" t="s">
        <v>32</v>
      </c>
      <c r="G2314" t="str">
        <f>"2025-08-22 18:07:54.920"</f>
        <v>2025-08-22 18:07:54.920</v>
      </c>
      <c r="H2314" t="s">
        <v>21</v>
      </c>
      <c r="I2314">
        <v>3.72</v>
      </c>
      <c r="J2314" t="s">
        <v>33</v>
      </c>
    </row>
    <row r="2315" spans="1:10" x14ac:dyDescent="0.25">
      <c r="A2315" s="1">
        <v>351</v>
      </c>
      <c r="B2315" t="s">
        <v>19</v>
      </c>
      <c r="C2315">
        <v>700</v>
      </c>
      <c r="D2315">
        <v>0</v>
      </c>
      <c r="E2315" t="s">
        <v>20</v>
      </c>
      <c r="F2315" t="s">
        <v>20</v>
      </c>
      <c r="G2315" t="str">
        <f>"2025-08-22 13:59:43.701"</f>
        <v>2025-08-22 13:59:43.701</v>
      </c>
      <c r="H2315" t="s">
        <v>21</v>
      </c>
      <c r="I2315">
        <v>0</v>
      </c>
      <c r="J2315" t="s">
        <v>22</v>
      </c>
    </row>
    <row r="2316" spans="1:10" s="3" customFormat="1" x14ac:dyDescent="0.25">
      <c r="A2316" s="2">
        <v>352</v>
      </c>
      <c r="B2316" s="3" t="s">
        <v>23</v>
      </c>
      <c r="C2316" s="3">
        <v>647</v>
      </c>
      <c r="D2316" s="3">
        <v>1</v>
      </c>
      <c r="E2316" s="3" t="s">
        <v>24</v>
      </c>
      <c r="F2316" s="3" t="s">
        <v>25</v>
      </c>
      <c r="G2316" s="3" t="str">
        <f>"2025-08-21 21:07:02.825"</f>
        <v>2025-08-21 21:07:02.825</v>
      </c>
      <c r="H2316" s="3" t="s">
        <v>21</v>
      </c>
    </row>
    <row r="2317" spans="1:10" s="3" customFormat="1" x14ac:dyDescent="0.25">
      <c r="A2317" s="2">
        <v>353</v>
      </c>
      <c r="B2317" s="3" t="s">
        <v>26</v>
      </c>
      <c r="C2317" s="3">
        <v>647</v>
      </c>
      <c r="D2317" s="3">
        <v>1</v>
      </c>
      <c r="E2317" s="3" t="s">
        <v>24</v>
      </c>
      <c r="F2317" s="3" t="s">
        <v>25</v>
      </c>
      <c r="G2317" s="3" t="str">
        <f>"2025-08-21 21:06:52.125"</f>
        <v>2025-08-21 21:06:52.125</v>
      </c>
      <c r="H2317" s="3" t="s">
        <v>21</v>
      </c>
      <c r="I2317" s="3">
        <v>10.66</v>
      </c>
      <c r="J2317" s="3" t="s">
        <v>27</v>
      </c>
    </row>
    <row r="2318" spans="1:10" x14ac:dyDescent="0.25">
      <c r="A2318" s="1">
        <v>354</v>
      </c>
      <c r="B2318" t="s">
        <v>44</v>
      </c>
      <c r="C2318">
        <v>33</v>
      </c>
      <c r="D2318">
        <v>1</v>
      </c>
      <c r="E2318" t="s">
        <v>45</v>
      </c>
      <c r="F2318" t="s">
        <v>46</v>
      </c>
      <c r="G2318" t="str">
        <f>"2025-08-21 20:56:46.271"</f>
        <v>2025-08-21 20:56:46.271</v>
      </c>
      <c r="H2318" t="s">
        <v>47</v>
      </c>
    </row>
    <row r="2319" spans="1:10" x14ac:dyDescent="0.25">
      <c r="A2319" s="1">
        <v>355</v>
      </c>
      <c r="B2319" t="s">
        <v>38</v>
      </c>
      <c r="C2319">
        <v>33</v>
      </c>
      <c r="D2319">
        <v>1</v>
      </c>
      <c r="E2319" t="s">
        <v>45</v>
      </c>
      <c r="F2319" t="s">
        <v>46</v>
      </c>
      <c r="G2319" t="str">
        <f>"2025-08-21 20:50:12.743"</f>
        <v>2025-08-21 20:50:12.743</v>
      </c>
      <c r="H2319" t="s">
        <v>47</v>
      </c>
      <c r="I2319">
        <v>7.96</v>
      </c>
      <c r="J2319" t="s">
        <v>33</v>
      </c>
    </row>
    <row r="2320" spans="1:10" s="3" customFormat="1" x14ac:dyDescent="0.25">
      <c r="A2320" s="2">
        <v>356</v>
      </c>
      <c r="B2320" s="3" t="s">
        <v>23</v>
      </c>
      <c r="C2320" s="3">
        <v>647</v>
      </c>
      <c r="D2320" s="3">
        <v>1</v>
      </c>
      <c r="E2320" s="3" t="s">
        <v>24</v>
      </c>
      <c r="F2320" s="3" t="s">
        <v>25</v>
      </c>
      <c r="G2320" s="3" t="str">
        <f>"2025-08-20 23:46:20.325"</f>
        <v>2025-08-20 23:46:20.325</v>
      </c>
      <c r="H2320" s="3" t="s">
        <v>21</v>
      </c>
    </row>
    <row r="2321" spans="1:10" s="3" customFormat="1" x14ac:dyDescent="0.25">
      <c r="A2321" s="2">
        <v>357</v>
      </c>
      <c r="B2321" s="3" t="s">
        <v>26</v>
      </c>
      <c r="C2321" s="3">
        <v>647</v>
      </c>
      <c r="D2321" s="3">
        <v>1</v>
      </c>
      <c r="E2321" s="3" t="s">
        <v>24</v>
      </c>
      <c r="F2321" s="3" t="s">
        <v>25</v>
      </c>
      <c r="G2321" s="3" t="str">
        <f>"2025-08-20 23:46:17.725"</f>
        <v>2025-08-20 23:46:17.725</v>
      </c>
      <c r="H2321" s="3" t="s">
        <v>21</v>
      </c>
      <c r="I2321" s="3">
        <v>10.72</v>
      </c>
      <c r="J2321" s="3" t="s">
        <v>27</v>
      </c>
    </row>
    <row r="2322" spans="1:10" x14ac:dyDescent="0.25">
      <c r="A2322" s="1">
        <v>358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"2025-08-20 14:33:00.693"</f>
        <v>2025-08-20 14:33:00.693</v>
      </c>
      <c r="H2322" t="s">
        <v>21</v>
      </c>
    </row>
    <row r="2323" spans="1:10" x14ac:dyDescent="0.25">
      <c r="A2323" s="1">
        <v>359</v>
      </c>
      <c r="B2323" t="s">
        <v>23</v>
      </c>
      <c r="C2323">
        <v>635</v>
      </c>
      <c r="D2323">
        <v>1</v>
      </c>
      <c r="E2323" t="s">
        <v>31</v>
      </c>
      <c r="F2323" t="s">
        <v>32</v>
      </c>
      <c r="G2323" t="str">
        <f>"2025-08-20 03:52:40.138"</f>
        <v>2025-08-20 03:52:40.138</v>
      </c>
      <c r="H2323" t="s">
        <v>21</v>
      </c>
    </row>
    <row r="2324" spans="1:10" x14ac:dyDescent="0.25">
      <c r="A2324" s="1">
        <v>360</v>
      </c>
      <c r="B2324" t="s">
        <v>26</v>
      </c>
      <c r="C2324">
        <v>635</v>
      </c>
      <c r="D2324">
        <v>1</v>
      </c>
      <c r="E2324" t="s">
        <v>31</v>
      </c>
      <c r="F2324" t="s">
        <v>32</v>
      </c>
      <c r="G2324" t="str">
        <f>"2025-08-20 03:45:59.638"</f>
        <v>2025-08-20 03:45:59.638</v>
      </c>
      <c r="H2324" t="s">
        <v>21</v>
      </c>
      <c r="I2324">
        <v>3.04</v>
      </c>
      <c r="J2324" t="s">
        <v>33</v>
      </c>
    </row>
    <row r="2325" spans="1:10" s="3" customFormat="1" x14ac:dyDescent="0.25">
      <c r="A2325" s="2">
        <v>361</v>
      </c>
      <c r="B2325" s="3" t="s">
        <v>23</v>
      </c>
      <c r="C2325" s="3">
        <v>647</v>
      </c>
      <c r="D2325" s="3">
        <v>1</v>
      </c>
      <c r="E2325" s="3" t="s">
        <v>24</v>
      </c>
      <c r="F2325" s="3" t="s">
        <v>25</v>
      </c>
      <c r="G2325" s="3" t="str">
        <f>"2025-08-20 01:59:11.139"</f>
        <v>2025-08-20 01:59:11.139</v>
      </c>
      <c r="H2325" s="3" t="s">
        <v>21</v>
      </c>
    </row>
    <row r="2326" spans="1:10" s="3" customFormat="1" x14ac:dyDescent="0.25">
      <c r="A2326" s="2">
        <v>362</v>
      </c>
      <c r="B2326" s="3" t="s">
        <v>26</v>
      </c>
      <c r="C2326" s="3">
        <v>647</v>
      </c>
      <c r="D2326" s="3">
        <v>1</v>
      </c>
      <c r="E2326" s="3" t="s">
        <v>24</v>
      </c>
      <c r="F2326" s="3" t="s">
        <v>25</v>
      </c>
      <c r="G2326" s="3" t="str">
        <f>"2025-08-20 01:59:07.439"</f>
        <v>2025-08-20 01:59:07.439</v>
      </c>
      <c r="H2326" s="3" t="s">
        <v>21</v>
      </c>
      <c r="I2326" s="3">
        <v>9</v>
      </c>
      <c r="J2326" s="3" t="s">
        <v>27</v>
      </c>
    </row>
    <row r="2327" spans="1:10" x14ac:dyDescent="0.25">
      <c r="A2327" s="1">
        <v>363</v>
      </c>
      <c r="B2327" t="s">
        <v>19</v>
      </c>
      <c r="C2327">
        <v>700</v>
      </c>
      <c r="D2327">
        <v>0</v>
      </c>
      <c r="E2327" t="s">
        <v>20</v>
      </c>
      <c r="F2327" t="s">
        <v>20</v>
      </c>
      <c r="G2327" t="str">
        <f>"2025-08-19 17:15:59.706"</f>
        <v>2025-08-19 17:15:59.706</v>
      </c>
      <c r="H2327" t="s">
        <v>21</v>
      </c>
    </row>
    <row r="2328" spans="1:10" x14ac:dyDescent="0.25">
      <c r="A2328" s="1">
        <v>364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"2025-08-19 00:03:24.688"</f>
        <v>2025-08-19 00:03:24.688</v>
      </c>
      <c r="H2328" t="s">
        <v>21</v>
      </c>
      <c r="I2328">
        <v>0</v>
      </c>
      <c r="J2328" t="s">
        <v>22</v>
      </c>
    </row>
    <row r="2329" spans="1:10" x14ac:dyDescent="0.25">
      <c r="A2329" s="1">
        <v>365</v>
      </c>
      <c r="B2329" t="s">
        <v>19</v>
      </c>
      <c r="C2329">
        <v>706</v>
      </c>
      <c r="D2329">
        <v>4</v>
      </c>
      <c r="E2329" t="s">
        <v>28</v>
      </c>
      <c r="F2329" t="s">
        <v>29</v>
      </c>
      <c r="G2329" t="str">
        <f>"2025-08-19 00:02:15.649"</f>
        <v>2025-08-19 00:02:15.649</v>
      </c>
      <c r="H2329" t="s">
        <v>21</v>
      </c>
      <c r="I2329">
        <v>0</v>
      </c>
      <c r="J2329" t="s">
        <v>30</v>
      </c>
    </row>
    <row r="2330" spans="1:10" x14ac:dyDescent="0.25">
      <c r="A2330" s="1">
        <v>366</v>
      </c>
      <c r="B2330" t="s">
        <v>23</v>
      </c>
      <c r="C2330">
        <v>98</v>
      </c>
      <c r="D2330">
        <v>1</v>
      </c>
      <c r="E2330" t="s">
        <v>65</v>
      </c>
      <c r="F2330" t="s">
        <v>66</v>
      </c>
      <c r="G2330" t="str">
        <f>"2025-08-18 19:22:03.339"</f>
        <v>2025-08-18 19:22:03.339</v>
      </c>
      <c r="H2330" t="s">
        <v>21</v>
      </c>
    </row>
    <row r="2331" spans="1:10" x14ac:dyDescent="0.25">
      <c r="A2331" s="1">
        <v>367</v>
      </c>
      <c r="B2331" t="s">
        <v>26</v>
      </c>
      <c r="C2331">
        <v>98</v>
      </c>
      <c r="D2331">
        <v>1</v>
      </c>
      <c r="E2331" t="s">
        <v>65</v>
      </c>
      <c r="F2331" t="s">
        <v>66</v>
      </c>
      <c r="G2331" t="str">
        <f>"2025-08-18 19:22:02.339"</f>
        <v>2025-08-18 19:22:02.339</v>
      </c>
      <c r="H2331" t="s">
        <v>21</v>
      </c>
      <c r="I2331">
        <v>0</v>
      </c>
      <c r="J2331" t="s">
        <v>30</v>
      </c>
    </row>
    <row r="2332" spans="1:10" x14ac:dyDescent="0.25">
      <c r="A2332" s="1">
        <v>368</v>
      </c>
      <c r="B2332" t="s">
        <v>23</v>
      </c>
      <c r="C2332">
        <v>98</v>
      </c>
      <c r="D2332">
        <v>1</v>
      </c>
      <c r="E2332" t="s">
        <v>65</v>
      </c>
      <c r="F2332" t="s">
        <v>66</v>
      </c>
      <c r="G2332" t="str">
        <f>"2025-08-18 19:22:01.739"</f>
        <v>2025-08-18 19:22:01.739</v>
      </c>
      <c r="H2332" t="s">
        <v>21</v>
      </c>
    </row>
    <row r="2333" spans="1:10" x14ac:dyDescent="0.25">
      <c r="A2333" s="1">
        <v>369</v>
      </c>
      <c r="B2333" t="s">
        <v>26</v>
      </c>
      <c r="C2333">
        <v>98</v>
      </c>
      <c r="D2333">
        <v>1</v>
      </c>
      <c r="E2333" t="s">
        <v>65</v>
      </c>
      <c r="F2333" t="s">
        <v>66</v>
      </c>
      <c r="G2333" t="str">
        <f>"2025-08-18 19:22:00.139"</f>
        <v>2025-08-18 19:22:00.139</v>
      </c>
      <c r="H2333" t="s">
        <v>21</v>
      </c>
      <c r="I2333">
        <v>0</v>
      </c>
      <c r="J2333" t="s">
        <v>30</v>
      </c>
    </row>
    <row r="2334" spans="1:10" x14ac:dyDescent="0.25">
      <c r="A2334" s="1">
        <v>370</v>
      </c>
      <c r="B2334" t="s">
        <v>23</v>
      </c>
      <c r="C2334">
        <v>98</v>
      </c>
      <c r="D2334">
        <v>1</v>
      </c>
      <c r="E2334" t="s">
        <v>65</v>
      </c>
      <c r="F2334" t="s">
        <v>66</v>
      </c>
      <c r="G2334" t="str">
        <f>"2025-08-18 19:20:58.840"</f>
        <v>2025-08-18 19:20:58.840</v>
      </c>
      <c r="H2334" t="s">
        <v>21</v>
      </c>
    </row>
    <row r="2335" spans="1:10" x14ac:dyDescent="0.25">
      <c r="A2335" s="1">
        <v>371</v>
      </c>
      <c r="B2335" t="s">
        <v>26</v>
      </c>
      <c r="C2335">
        <v>98</v>
      </c>
      <c r="D2335">
        <v>1</v>
      </c>
      <c r="E2335" t="s">
        <v>65</v>
      </c>
      <c r="F2335" t="s">
        <v>66</v>
      </c>
      <c r="G2335" t="str">
        <f>"2025-08-18 19:20:57.740"</f>
        <v>2025-08-18 19:20:57.740</v>
      </c>
      <c r="H2335" t="s">
        <v>21</v>
      </c>
      <c r="I2335">
        <v>0</v>
      </c>
      <c r="J2335" t="s">
        <v>30</v>
      </c>
    </row>
    <row r="2336" spans="1:10" x14ac:dyDescent="0.25">
      <c r="A2336" s="1">
        <v>372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"2025-08-18 19:20:38.699"</f>
        <v>2025-08-18 19:20:38.699</v>
      </c>
      <c r="H2336" t="s">
        <v>21</v>
      </c>
      <c r="I2336">
        <v>0</v>
      </c>
      <c r="J2336" t="s">
        <v>22</v>
      </c>
    </row>
    <row r="2337" spans="1:10" x14ac:dyDescent="0.25">
      <c r="A2337" s="1">
        <v>373</v>
      </c>
      <c r="B2337" t="s">
        <v>19</v>
      </c>
      <c r="C2337">
        <v>706</v>
      </c>
      <c r="D2337">
        <v>2</v>
      </c>
      <c r="E2337" t="s">
        <v>28</v>
      </c>
      <c r="F2337" t="s">
        <v>39</v>
      </c>
      <c r="G2337" t="str">
        <f>"2025-08-18 13:55:04.509"</f>
        <v>2025-08-18 13:55:04.509</v>
      </c>
      <c r="H2337" t="s">
        <v>21</v>
      </c>
      <c r="I2337">
        <v>0</v>
      </c>
      <c r="J2337" t="s">
        <v>30</v>
      </c>
    </row>
    <row r="2338" spans="1:10" x14ac:dyDescent="0.25">
      <c r="A2338" s="1">
        <v>374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"2025-08-18 13:54:48.889"</f>
        <v>2025-08-18 13:54:48.889</v>
      </c>
      <c r="H2338" t="s">
        <v>21</v>
      </c>
      <c r="I2338">
        <v>0</v>
      </c>
      <c r="J2338" t="s">
        <v>22</v>
      </c>
    </row>
    <row r="2339" spans="1:10" x14ac:dyDescent="0.25">
      <c r="A2339" s="1">
        <v>375</v>
      </c>
      <c r="B2339" t="s">
        <v>38</v>
      </c>
      <c r="C2339">
        <v>630</v>
      </c>
      <c r="D2339">
        <v>5</v>
      </c>
      <c r="E2339" t="s">
        <v>35</v>
      </c>
      <c r="F2339" t="s">
        <v>36</v>
      </c>
      <c r="G2339" t="str">
        <f>"2025-08-18 13:43:57.092"</f>
        <v>2025-08-18 13:43:57.092</v>
      </c>
      <c r="H2339" t="s">
        <v>37</v>
      </c>
      <c r="I2339">
        <v>0</v>
      </c>
      <c r="J2339" t="s">
        <v>30</v>
      </c>
    </row>
    <row r="2340" spans="1:10" x14ac:dyDescent="0.25">
      <c r="A2340" s="1">
        <v>376</v>
      </c>
      <c r="B2340" t="s">
        <v>19</v>
      </c>
      <c r="C2340">
        <v>706</v>
      </c>
      <c r="D2340">
        <v>4</v>
      </c>
      <c r="E2340" t="s">
        <v>28</v>
      </c>
      <c r="F2340" t="s">
        <v>29</v>
      </c>
      <c r="G2340" t="str">
        <f>"2025-08-18 13:06:47.373"</f>
        <v>2025-08-18 13:06:47.373</v>
      </c>
      <c r="H2340" t="s">
        <v>21</v>
      </c>
      <c r="I2340">
        <v>0</v>
      </c>
      <c r="J2340" t="s">
        <v>30</v>
      </c>
    </row>
    <row r="2341" spans="1:10" x14ac:dyDescent="0.25">
      <c r="A2341" s="1">
        <v>377</v>
      </c>
      <c r="B2341" t="s">
        <v>23</v>
      </c>
      <c r="C2341">
        <v>635</v>
      </c>
      <c r="D2341">
        <v>1</v>
      </c>
      <c r="E2341" t="s">
        <v>31</v>
      </c>
      <c r="F2341" t="s">
        <v>32</v>
      </c>
      <c r="G2341" t="str">
        <f>"2025-08-18 02:44:19.892"</f>
        <v>2025-08-18 02:44:19.892</v>
      </c>
      <c r="H2341" t="s">
        <v>21</v>
      </c>
    </row>
    <row r="2342" spans="1:10" x14ac:dyDescent="0.25">
      <c r="A2342" s="1">
        <v>378</v>
      </c>
      <c r="B2342" t="s">
        <v>26</v>
      </c>
      <c r="C2342">
        <v>635</v>
      </c>
      <c r="D2342">
        <v>1</v>
      </c>
      <c r="E2342" t="s">
        <v>31</v>
      </c>
      <c r="F2342" t="s">
        <v>32</v>
      </c>
      <c r="G2342" t="str">
        <f>"2025-08-18 02:36:36.392"</f>
        <v>2025-08-18 02:36:36.392</v>
      </c>
      <c r="H2342" t="s">
        <v>21</v>
      </c>
      <c r="I2342">
        <v>1.0900000000000001</v>
      </c>
      <c r="J2342" t="s">
        <v>34</v>
      </c>
    </row>
    <row r="2343" spans="1:10" x14ac:dyDescent="0.25">
      <c r="A2343" s="1">
        <v>379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"2025-08-17 22:09:08.873"</f>
        <v>2025-08-17 22:09:08.873</v>
      </c>
      <c r="H2343" t="s">
        <v>21</v>
      </c>
      <c r="I2343">
        <v>0</v>
      </c>
      <c r="J2343" t="s">
        <v>22</v>
      </c>
    </row>
    <row r="2344" spans="1:10" x14ac:dyDescent="0.25">
      <c r="A2344" s="1">
        <v>381</v>
      </c>
      <c r="B2344" t="s">
        <v>19</v>
      </c>
      <c r="C2344">
        <v>706</v>
      </c>
      <c r="D2344">
        <v>2</v>
      </c>
      <c r="E2344" t="s">
        <v>28</v>
      </c>
      <c r="F2344" t="s">
        <v>39</v>
      </c>
      <c r="G2344" t="str">
        <f>"2025-08-17 08:28:48.893"</f>
        <v>2025-08-17 08:28:48.893</v>
      </c>
      <c r="H2344" t="s">
        <v>21</v>
      </c>
      <c r="I2344">
        <v>0</v>
      </c>
      <c r="J2344" t="s">
        <v>30</v>
      </c>
    </row>
    <row r="2345" spans="1:10" x14ac:dyDescent="0.25">
      <c r="A2345" s="1">
        <v>382</v>
      </c>
      <c r="B2345" t="s">
        <v>19</v>
      </c>
      <c r="C2345">
        <v>700</v>
      </c>
      <c r="D2345">
        <v>0</v>
      </c>
      <c r="E2345" t="s">
        <v>20</v>
      </c>
      <c r="F2345" t="s">
        <v>20</v>
      </c>
      <c r="G2345" t="str">
        <f>"2025-08-17 08:27:58.683"</f>
        <v>2025-08-17 08:27:58.683</v>
      </c>
      <c r="H2345" t="s">
        <v>21</v>
      </c>
    </row>
    <row r="2346" spans="1:10" x14ac:dyDescent="0.25">
      <c r="A2346" s="1">
        <v>383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"2025-08-17 02:18:41.676"</f>
        <v>2025-08-17 02:18:41.676</v>
      </c>
      <c r="H2346" t="s">
        <v>21</v>
      </c>
      <c r="I2346">
        <v>0</v>
      </c>
      <c r="J2346" t="s">
        <v>22</v>
      </c>
    </row>
    <row r="2347" spans="1:10" x14ac:dyDescent="0.25">
      <c r="A2347" s="1">
        <v>384</v>
      </c>
      <c r="B2347" t="s">
        <v>19</v>
      </c>
      <c r="C2347">
        <v>706</v>
      </c>
      <c r="D2347">
        <v>4</v>
      </c>
      <c r="E2347" t="s">
        <v>28</v>
      </c>
      <c r="F2347" t="s">
        <v>29</v>
      </c>
      <c r="G2347" t="str">
        <f>"2025-08-17 00:04:45.521"</f>
        <v>2025-08-17 00:04:45.521</v>
      </c>
      <c r="H2347" t="s">
        <v>21</v>
      </c>
      <c r="I2347">
        <v>0</v>
      </c>
      <c r="J2347" t="s">
        <v>30</v>
      </c>
    </row>
    <row r="2348" spans="1:10" x14ac:dyDescent="0.25">
      <c r="A2348" s="1">
        <v>385</v>
      </c>
      <c r="B2348" t="s">
        <v>19</v>
      </c>
      <c r="C2348">
        <v>706</v>
      </c>
      <c r="D2348">
        <v>3</v>
      </c>
      <c r="E2348" t="s">
        <v>28</v>
      </c>
      <c r="F2348" t="s">
        <v>43</v>
      </c>
      <c r="G2348" t="str">
        <f>"2025-08-17 00:04:32.911"</f>
        <v>2025-08-17 00:04:32.911</v>
      </c>
      <c r="H2348" t="s">
        <v>21</v>
      </c>
      <c r="I2348">
        <v>0</v>
      </c>
      <c r="J2348" t="s">
        <v>30</v>
      </c>
    </row>
    <row r="2349" spans="1:10" x14ac:dyDescent="0.25">
      <c r="A2349" s="1">
        <v>386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"2025-08-17 00:00:05.681"</f>
        <v>2025-08-17 00:00:05.681</v>
      </c>
      <c r="H2349" t="s">
        <v>21</v>
      </c>
    </row>
    <row r="2350" spans="1:10" x14ac:dyDescent="0.25">
      <c r="A2350" s="1">
        <v>387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"2025-08-16 23:55:00.694"</f>
        <v>2025-08-16 23:55:00.694</v>
      </c>
      <c r="H2350" t="s">
        <v>21</v>
      </c>
      <c r="I2350">
        <v>0</v>
      </c>
      <c r="J2350" t="s">
        <v>22</v>
      </c>
    </row>
    <row r="2351" spans="1:10" x14ac:dyDescent="0.25">
      <c r="A2351" s="1">
        <v>388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"2025-08-16 22:53:04.689"</f>
        <v>2025-08-16 22:53:04.689</v>
      </c>
      <c r="H2351" t="s">
        <v>21</v>
      </c>
      <c r="I2351">
        <v>0</v>
      </c>
      <c r="J2351" t="s">
        <v>22</v>
      </c>
    </row>
    <row r="2352" spans="1:10" x14ac:dyDescent="0.25">
      <c r="A2352" s="1">
        <v>389</v>
      </c>
      <c r="B2352" t="s">
        <v>23</v>
      </c>
      <c r="C2352">
        <v>630</v>
      </c>
      <c r="D2352">
        <v>5</v>
      </c>
      <c r="E2352" t="s">
        <v>35</v>
      </c>
      <c r="F2352" t="s">
        <v>36</v>
      </c>
      <c r="G2352" t="str">
        <f>"2025-08-16 22:45:04.139"</f>
        <v>2025-08-16 22:45:04.139</v>
      </c>
      <c r="H2352" t="s">
        <v>37</v>
      </c>
    </row>
    <row r="2353" spans="1:10" x14ac:dyDescent="0.25">
      <c r="A2353" s="1">
        <v>390</v>
      </c>
      <c r="B2353" t="s">
        <v>19</v>
      </c>
      <c r="C2353">
        <v>706</v>
      </c>
      <c r="D2353">
        <v>2</v>
      </c>
      <c r="E2353" t="s">
        <v>28</v>
      </c>
      <c r="F2353" t="s">
        <v>39</v>
      </c>
      <c r="G2353" t="str">
        <f>"2025-08-16 22:44:34.026"</f>
        <v>2025-08-16 22:44:34.026</v>
      </c>
      <c r="H2353" t="s">
        <v>21</v>
      </c>
      <c r="I2353">
        <v>0</v>
      </c>
      <c r="J2353" t="s">
        <v>30</v>
      </c>
    </row>
    <row r="2354" spans="1:10" x14ac:dyDescent="0.25">
      <c r="A2354" s="1">
        <v>391</v>
      </c>
      <c r="B2354" t="s">
        <v>38</v>
      </c>
      <c r="C2354">
        <v>630</v>
      </c>
      <c r="D2354">
        <v>5</v>
      </c>
      <c r="E2354" t="s">
        <v>35</v>
      </c>
      <c r="F2354" t="s">
        <v>36</v>
      </c>
      <c r="G2354" t="str">
        <f>"2025-08-16 22:28:04.639"</f>
        <v>2025-08-16 22:28:04.639</v>
      </c>
      <c r="H2354" t="s">
        <v>37</v>
      </c>
      <c r="I2354">
        <v>0</v>
      </c>
      <c r="J2354" t="s">
        <v>30</v>
      </c>
    </row>
    <row r="2355" spans="1:10" x14ac:dyDescent="0.25">
      <c r="A2355" s="1">
        <v>392</v>
      </c>
      <c r="B2355" t="s">
        <v>19</v>
      </c>
      <c r="C2355">
        <v>700</v>
      </c>
      <c r="D2355">
        <v>0</v>
      </c>
      <c r="E2355" t="s">
        <v>20</v>
      </c>
      <c r="F2355" t="s">
        <v>20</v>
      </c>
      <c r="G2355" t="str">
        <f>"2025-08-16 22:23:01.756"</f>
        <v>2025-08-16 22:23:01.756</v>
      </c>
      <c r="H2355" t="s">
        <v>21</v>
      </c>
    </row>
    <row r="2356" spans="1:10" s="3" customFormat="1" x14ac:dyDescent="0.25">
      <c r="A2356" s="2">
        <v>393</v>
      </c>
      <c r="B2356" s="3" t="s">
        <v>23</v>
      </c>
      <c r="C2356" s="3">
        <v>647</v>
      </c>
      <c r="D2356" s="3">
        <v>1</v>
      </c>
      <c r="E2356" s="3" t="s">
        <v>24</v>
      </c>
      <c r="F2356" s="3" t="s">
        <v>25</v>
      </c>
      <c r="G2356" s="3" t="str">
        <f>"2025-08-16 20:13:55.741"</f>
        <v>2025-08-16 20:13:55.741</v>
      </c>
      <c r="H2356" s="3" t="s">
        <v>21</v>
      </c>
    </row>
    <row r="2357" spans="1:10" s="3" customFormat="1" x14ac:dyDescent="0.25">
      <c r="A2357" s="2">
        <v>394</v>
      </c>
      <c r="B2357" s="3" t="s">
        <v>26</v>
      </c>
      <c r="C2357" s="3">
        <v>647</v>
      </c>
      <c r="D2357" s="3">
        <v>1</v>
      </c>
      <c r="E2357" s="3" t="s">
        <v>24</v>
      </c>
      <c r="F2357" s="3" t="s">
        <v>25</v>
      </c>
      <c r="G2357" s="3" t="str">
        <f>"2025-08-16 20:13:54.441"</f>
        <v>2025-08-16 20:13:54.441</v>
      </c>
      <c r="H2357" s="3" t="s">
        <v>21</v>
      </c>
      <c r="I2357" s="3">
        <v>9.36</v>
      </c>
      <c r="J2357" s="3" t="s">
        <v>27</v>
      </c>
    </row>
    <row r="2358" spans="1:10" x14ac:dyDescent="0.25">
      <c r="A2358" s="1">
        <v>395</v>
      </c>
      <c r="B2358" t="s">
        <v>23</v>
      </c>
      <c r="C2358">
        <v>635</v>
      </c>
      <c r="D2358">
        <v>1</v>
      </c>
      <c r="E2358" t="s">
        <v>31</v>
      </c>
      <c r="F2358" t="s">
        <v>32</v>
      </c>
      <c r="G2358" t="str">
        <f>"2025-08-16 15:45:27.841"</f>
        <v>2025-08-16 15:45:27.841</v>
      </c>
      <c r="H2358" t="s">
        <v>21</v>
      </c>
    </row>
    <row r="2359" spans="1:10" x14ac:dyDescent="0.25">
      <c r="A2359" s="1">
        <v>396</v>
      </c>
      <c r="B2359" t="s">
        <v>26</v>
      </c>
      <c r="C2359">
        <v>635</v>
      </c>
      <c r="D2359">
        <v>1</v>
      </c>
      <c r="E2359" t="s">
        <v>31</v>
      </c>
      <c r="F2359" t="s">
        <v>32</v>
      </c>
      <c r="G2359" t="str">
        <f>"2025-08-16 15:38:44.841"</f>
        <v>2025-08-16 15:38:44.841</v>
      </c>
      <c r="H2359" t="s">
        <v>21</v>
      </c>
      <c r="I2359">
        <v>3.93</v>
      </c>
      <c r="J2359" t="s">
        <v>33</v>
      </c>
    </row>
    <row r="2360" spans="1:10" x14ac:dyDescent="0.25">
      <c r="A2360" s="1">
        <v>397</v>
      </c>
      <c r="B2360" t="s">
        <v>19</v>
      </c>
      <c r="C2360">
        <v>706</v>
      </c>
      <c r="D2360">
        <v>2</v>
      </c>
      <c r="E2360" t="s">
        <v>28</v>
      </c>
      <c r="F2360" t="s">
        <v>39</v>
      </c>
      <c r="G2360" t="str">
        <f>"2025-08-16 15:05:28.733"</f>
        <v>2025-08-16 15:05:28.733</v>
      </c>
      <c r="H2360" t="s">
        <v>21</v>
      </c>
      <c r="I2360">
        <v>0</v>
      </c>
      <c r="J2360" t="s">
        <v>30</v>
      </c>
    </row>
    <row r="2361" spans="1:10" x14ac:dyDescent="0.25">
      <c r="A2361" s="1">
        <v>398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"2025-08-16 15:05:07.823"</f>
        <v>2025-08-16 15:05:07.823</v>
      </c>
      <c r="H2361" t="s">
        <v>21</v>
      </c>
      <c r="I2361">
        <v>0</v>
      </c>
      <c r="J2361" t="s">
        <v>22</v>
      </c>
    </row>
    <row r="2362" spans="1:10" x14ac:dyDescent="0.25">
      <c r="A2362" s="1">
        <v>399</v>
      </c>
      <c r="B2362" t="s">
        <v>19</v>
      </c>
      <c r="C2362">
        <v>706</v>
      </c>
      <c r="D2362">
        <v>2</v>
      </c>
      <c r="E2362" t="s">
        <v>28</v>
      </c>
      <c r="F2362" t="s">
        <v>39</v>
      </c>
      <c r="G2362" t="str">
        <f>"2025-08-16 12:38:51.466"</f>
        <v>2025-08-16 12:38:51.466</v>
      </c>
      <c r="H2362" t="s">
        <v>21</v>
      </c>
      <c r="I2362">
        <v>0</v>
      </c>
      <c r="J2362" t="s">
        <v>30</v>
      </c>
    </row>
    <row r="2363" spans="1:10" x14ac:dyDescent="0.25">
      <c r="A2363" s="1">
        <v>400</v>
      </c>
      <c r="B2363" t="s">
        <v>19</v>
      </c>
      <c r="C2363">
        <v>700</v>
      </c>
      <c r="D2363">
        <v>0</v>
      </c>
      <c r="E2363" t="s">
        <v>20</v>
      </c>
      <c r="F2363" t="s">
        <v>20</v>
      </c>
      <c r="G2363" t="str">
        <f>"2025-08-16 12:38:11.846"</f>
        <v>2025-08-16 12:38:11.846</v>
      </c>
      <c r="H2363" t="s">
        <v>21</v>
      </c>
      <c r="I2363">
        <v>0</v>
      </c>
      <c r="J2363" t="s">
        <v>22</v>
      </c>
    </row>
    <row r="2364" spans="1:10" x14ac:dyDescent="0.25">
      <c r="A2364" s="1">
        <v>401</v>
      </c>
      <c r="B2364" t="s">
        <v>19</v>
      </c>
      <c r="C2364">
        <v>700</v>
      </c>
      <c r="D2364">
        <v>0</v>
      </c>
      <c r="E2364" t="s">
        <v>20</v>
      </c>
      <c r="F2364" t="s">
        <v>20</v>
      </c>
      <c r="G2364" t="str">
        <f>"2025-08-16 05:27:34.889"</f>
        <v>2025-08-16 05:27:34.889</v>
      </c>
      <c r="H2364" t="s">
        <v>21</v>
      </c>
    </row>
    <row r="2365" spans="1:10" x14ac:dyDescent="0.25">
      <c r="A2365" s="1">
        <v>402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"2025-08-15 13:23:15.695"</f>
        <v>2025-08-15 13:23:15.695</v>
      </c>
      <c r="H2365" t="s">
        <v>21</v>
      </c>
    </row>
    <row r="2366" spans="1:10" x14ac:dyDescent="0.25">
      <c r="A2366" s="1">
        <v>403</v>
      </c>
      <c r="B2366" t="s">
        <v>19</v>
      </c>
      <c r="C2366">
        <v>706</v>
      </c>
      <c r="D2366">
        <v>4</v>
      </c>
      <c r="E2366" t="s">
        <v>28</v>
      </c>
      <c r="F2366" t="s">
        <v>29</v>
      </c>
      <c r="G2366" t="str">
        <f>"2025-08-14 16:15:53.207"</f>
        <v>2025-08-14 16:15:53.207</v>
      </c>
      <c r="H2366" t="s">
        <v>21</v>
      </c>
      <c r="I2366">
        <v>0</v>
      </c>
      <c r="J2366" t="s">
        <v>30</v>
      </c>
    </row>
    <row r="2367" spans="1:10" x14ac:dyDescent="0.25">
      <c r="A2367" s="1">
        <v>404</v>
      </c>
      <c r="B2367" t="s">
        <v>19</v>
      </c>
      <c r="C2367">
        <v>706</v>
      </c>
      <c r="D2367">
        <v>3</v>
      </c>
      <c r="E2367" t="s">
        <v>28</v>
      </c>
      <c r="F2367" t="s">
        <v>43</v>
      </c>
      <c r="G2367" t="str">
        <f>"2025-08-14 16:15:00.167"</f>
        <v>2025-08-14 16:15:00.167</v>
      </c>
      <c r="H2367" t="s">
        <v>21</v>
      </c>
      <c r="I2367">
        <v>0</v>
      </c>
      <c r="J2367" t="s">
        <v>30</v>
      </c>
    </row>
    <row r="2368" spans="1:10" x14ac:dyDescent="0.25">
      <c r="A2368" s="1">
        <v>406</v>
      </c>
      <c r="B2368" t="s">
        <v>19</v>
      </c>
      <c r="C2368">
        <v>706</v>
      </c>
      <c r="D2368">
        <v>4</v>
      </c>
      <c r="E2368" t="s">
        <v>28</v>
      </c>
      <c r="F2368" t="s">
        <v>29</v>
      </c>
      <c r="G2368" t="str">
        <f>"2025-08-14 13:37:33.857"</f>
        <v>2025-08-14 13:37:33.857</v>
      </c>
      <c r="H2368" t="s">
        <v>21</v>
      </c>
      <c r="I2368">
        <v>0</v>
      </c>
      <c r="J2368" t="s">
        <v>30</v>
      </c>
    </row>
    <row r="2369" spans="1:10" x14ac:dyDescent="0.25">
      <c r="A2369" s="1">
        <v>407</v>
      </c>
      <c r="B2369" t="s">
        <v>19</v>
      </c>
      <c r="C2369">
        <v>700</v>
      </c>
      <c r="D2369">
        <v>0</v>
      </c>
      <c r="E2369" t="s">
        <v>20</v>
      </c>
      <c r="F2369" t="s">
        <v>20</v>
      </c>
      <c r="G2369" t="str">
        <f>"2025-08-14 13:37:09.677"</f>
        <v>2025-08-14 13:37:09.677</v>
      </c>
      <c r="H2369" t="s">
        <v>21</v>
      </c>
    </row>
    <row r="2370" spans="1:10" x14ac:dyDescent="0.25">
      <c r="A2370" s="1">
        <v>408</v>
      </c>
      <c r="B2370" t="s">
        <v>23</v>
      </c>
      <c r="C2370">
        <v>635</v>
      </c>
      <c r="D2370">
        <v>1</v>
      </c>
      <c r="E2370" t="s">
        <v>31</v>
      </c>
      <c r="F2370" t="s">
        <v>32</v>
      </c>
      <c r="G2370" t="str">
        <f>"2025-08-13 22:00:33.737"</f>
        <v>2025-08-13 22:00:33.737</v>
      </c>
      <c r="H2370" t="s">
        <v>21</v>
      </c>
    </row>
    <row r="2371" spans="1:10" x14ac:dyDescent="0.25">
      <c r="A2371" s="1">
        <v>409</v>
      </c>
      <c r="B2371" t="s">
        <v>26</v>
      </c>
      <c r="C2371">
        <v>635</v>
      </c>
      <c r="D2371">
        <v>1</v>
      </c>
      <c r="E2371" t="s">
        <v>31</v>
      </c>
      <c r="F2371" t="s">
        <v>32</v>
      </c>
      <c r="G2371" t="str">
        <f>"2025-08-13 21:54:50.737"</f>
        <v>2025-08-13 21:54:50.737</v>
      </c>
      <c r="H2371" t="s">
        <v>21</v>
      </c>
      <c r="I2371">
        <v>1.5</v>
      </c>
      <c r="J2371" t="s">
        <v>33</v>
      </c>
    </row>
    <row r="2372" spans="1:10" x14ac:dyDescent="0.25">
      <c r="A2372" s="1">
        <v>410</v>
      </c>
      <c r="B2372" t="s">
        <v>19</v>
      </c>
      <c r="C2372">
        <v>706</v>
      </c>
      <c r="D2372">
        <v>2</v>
      </c>
      <c r="E2372" t="s">
        <v>28</v>
      </c>
      <c r="F2372" t="s">
        <v>39</v>
      </c>
      <c r="G2372" t="str">
        <f>"2025-08-13 16:14:55.525"</f>
        <v>2025-08-13 16:14:55.525</v>
      </c>
      <c r="H2372" t="s">
        <v>21</v>
      </c>
      <c r="I2372">
        <v>0</v>
      </c>
      <c r="J2372" t="s">
        <v>30</v>
      </c>
    </row>
    <row r="2373" spans="1:10" x14ac:dyDescent="0.25">
      <c r="A2373" s="1">
        <v>411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"2025-08-13 16:14:39.705"</f>
        <v>2025-08-13 16:14:39.705</v>
      </c>
      <c r="H2373" t="s">
        <v>21</v>
      </c>
      <c r="I2373">
        <v>0</v>
      </c>
      <c r="J2373" t="s">
        <v>22</v>
      </c>
    </row>
    <row r="2374" spans="1:10" x14ac:dyDescent="0.25">
      <c r="A2374" s="1">
        <v>412</v>
      </c>
      <c r="B2374" t="s">
        <v>19</v>
      </c>
      <c r="C2374">
        <v>706</v>
      </c>
      <c r="D2374">
        <v>3</v>
      </c>
      <c r="E2374" t="s">
        <v>28</v>
      </c>
      <c r="F2374" t="s">
        <v>43</v>
      </c>
      <c r="G2374" t="str">
        <f>"2025-08-13 14:49:26.064"</f>
        <v>2025-08-13 14:49:26.064</v>
      </c>
      <c r="H2374" t="s">
        <v>21</v>
      </c>
      <c r="I2374">
        <v>0</v>
      </c>
      <c r="J2374" t="s">
        <v>30</v>
      </c>
    </row>
    <row r="2375" spans="1:10" x14ac:dyDescent="0.25">
      <c r="A2375" s="1">
        <v>413</v>
      </c>
      <c r="B2375" t="s">
        <v>38</v>
      </c>
      <c r="C2375">
        <v>630</v>
      </c>
      <c r="D2375">
        <v>5</v>
      </c>
      <c r="E2375" t="s">
        <v>35</v>
      </c>
      <c r="F2375" t="s">
        <v>36</v>
      </c>
      <c r="G2375" t="str">
        <f>"2025-08-13 14:31:39.523"</f>
        <v>2025-08-13 14:31:39.523</v>
      </c>
      <c r="H2375" t="s">
        <v>37</v>
      </c>
      <c r="I2375">
        <v>0</v>
      </c>
      <c r="J2375" t="s">
        <v>30</v>
      </c>
    </row>
    <row r="2376" spans="1:10" x14ac:dyDescent="0.25">
      <c r="A2376" s="1">
        <v>414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"2025-08-13 14:26:36.694"</f>
        <v>2025-08-13 14:26:36.694</v>
      </c>
      <c r="H2376" t="s">
        <v>21</v>
      </c>
      <c r="I2376">
        <v>0</v>
      </c>
      <c r="J2376" t="s">
        <v>22</v>
      </c>
    </row>
    <row r="2377" spans="1:10" x14ac:dyDescent="0.25">
      <c r="A2377" s="1">
        <v>415</v>
      </c>
      <c r="B2377" t="s">
        <v>19</v>
      </c>
      <c r="C2377">
        <v>706</v>
      </c>
      <c r="D2377">
        <v>2</v>
      </c>
      <c r="E2377" t="s">
        <v>28</v>
      </c>
      <c r="F2377" t="s">
        <v>39</v>
      </c>
      <c r="G2377" t="str">
        <f>"2025-08-13 13:07:16.139"</f>
        <v>2025-08-13 13:07:16.139</v>
      </c>
      <c r="H2377" t="s">
        <v>21</v>
      </c>
      <c r="I2377">
        <v>0</v>
      </c>
      <c r="J2377" t="s">
        <v>30</v>
      </c>
    </row>
    <row r="2378" spans="1:10" x14ac:dyDescent="0.25">
      <c r="A2378" s="1">
        <v>416</v>
      </c>
      <c r="B2378" t="s">
        <v>19</v>
      </c>
      <c r="C2378">
        <v>700</v>
      </c>
      <c r="D2378">
        <v>0</v>
      </c>
      <c r="E2378" t="s">
        <v>20</v>
      </c>
      <c r="F2378" t="s">
        <v>20</v>
      </c>
      <c r="G2378" t="str">
        <f>"2025-08-13 13:06:58.819"</f>
        <v>2025-08-13 13:06:58.819</v>
      </c>
      <c r="H2378" t="s">
        <v>21</v>
      </c>
      <c r="I2378">
        <v>0</v>
      </c>
      <c r="J2378" t="s">
        <v>22</v>
      </c>
    </row>
    <row r="2379" spans="1:10" x14ac:dyDescent="0.25">
      <c r="A2379" s="1">
        <v>417</v>
      </c>
      <c r="B2379" t="s">
        <v>23</v>
      </c>
      <c r="C2379">
        <v>635</v>
      </c>
      <c r="D2379">
        <v>1</v>
      </c>
      <c r="E2379" t="s">
        <v>31</v>
      </c>
      <c r="F2379" t="s">
        <v>32</v>
      </c>
      <c r="G2379" t="str">
        <f>"2025-08-12 22:23:41.828"</f>
        <v>2025-08-12 22:23:41.828</v>
      </c>
      <c r="H2379" t="s">
        <v>21</v>
      </c>
    </row>
    <row r="2380" spans="1:10" x14ac:dyDescent="0.25">
      <c r="A2380" s="1">
        <v>418</v>
      </c>
      <c r="B2380" t="s">
        <v>26</v>
      </c>
      <c r="C2380">
        <v>635</v>
      </c>
      <c r="D2380">
        <v>1</v>
      </c>
      <c r="E2380" t="s">
        <v>31</v>
      </c>
      <c r="F2380" t="s">
        <v>32</v>
      </c>
      <c r="G2380" t="str">
        <f>"2025-08-12 22:15:59.829"</f>
        <v>2025-08-12 22:15:59.829</v>
      </c>
      <c r="H2380" t="s">
        <v>21</v>
      </c>
      <c r="I2380">
        <v>4.04</v>
      </c>
      <c r="J2380" t="s">
        <v>34</v>
      </c>
    </row>
    <row r="2381" spans="1:10" x14ac:dyDescent="0.25">
      <c r="A2381" s="1">
        <v>419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"2025-08-12 13:06:15.701"</f>
        <v>2025-08-12 13:06:15.701</v>
      </c>
      <c r="H2381" t="s">
        <v>21</v>
      </c>
    </row>
    <row r="2382" spans="1:10" x14ac:dyDescent="0.25">
      <c r="A2382" s="1">
        <v>420</v>
      </c>
      <c r="B2382" t="s">
        <v>19</v>
      </c>
      <c r="C2382">
        <v>706</v>
      </c>
      <c r="D2382">
        <v>4</v>
      </c>
      <c r="E2382" t="s">
        <v>28</v>
      </c>
      <c r="F2382" t="s">
        <v>29</v>
      </c>
      <c r="G2382" t="str">
        <f>"2025-08-12 08:38:45.834"</f>
        <v>2025-08-12 08:38:45.834</v>
      </c>
      <c r="H2382" t="s">
        <v>21</v>
      </c>
      <c r="I2382">
        <v>0</v>
      </c>
      <c r="J2382" t="s">
        <v>30</v>
      </c>
    </row>
    <row r="2383" spans="1:10" x14ac:dyDescent="0.25">
      <c r="A2383" s="1">
        <v>421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"2025-08-12 08:38:26.674"</f>
        <v>2025-08-12 08:38:26.674</v>
      </c>
      <c r="H2383" t="s">
        <v>21</v>
      </c>
      <c r="I2383">
        <v>0</v>
      </c>
      <c r="J2383" t="s">
        <v>22</v>
      </c>
    </row>
    <row r="2384" spans="1:10" x14ac:dyDescent="0.25">
      <c r="A2384" s="1">
        <v>422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"2025-08-11 20:03:16.702"</f>
        <v>2025-08-11 20:03:16.702</v>
      </c>
      <c r="H2384" t="s">
        <v>21</v>
      </c>
      <c r="I2384">
        <v>0</v>
      </c>
      <c r="J2384" t="s">
        <v>22</v>
      </c>
    </row>
    <row r="2385" spans="1:10" x14ac:dyDescent="0.25">
      <c r="A2385" s="1">
        <v>423</v>
      </c>
      <c r="B2385" t="s">
        <v>19</v>
      </c>
      <c r="C2385">
        <v>706</v>
      </c>
      <c r="D2385">
        <v>4</v>
      </c>
      <c r="E2385" t="s">
        <v>28</v>
      </c>
      <c r="F2385" t="s">
        <v>29</v>
      </c>
      <c r="G2385" t="str">
        <f>"2025-08-11 14:06:16.939"</f>
        <v>2025-08-11 14:06:16.939</v>
      </c>
      <c r="H2385" t="s">
        <v>21</v>
      </c>
      <c r="I2385">
        <v>0</v>
      </c>
      <c r="J2385" t="s">
        <v>30</v>
      </c>
    </row>
    <row r="2386" spans="1:10" x14ac:dyDescent="0.25">
      <c r="A2386" s="1">
        <v>424</v>
      </c>
      <c r="B2386" t="s">
        <v>19</v>
      </c>
      <c r="C2386">
        <v>700</v>
      </c>
      <c r="D2386">
        <v>0</v>
      </c>
      <c r="E2386" t="s">
        <v>20</v>
      </c>
      <c r="F2386" t="s">
        <v>20</v>
      </c>
      <c r="G2386" t="str">
        <f>"2025-08-11 14:03:33.679"</f>
        <v>2025-08-11 14:03:33.679</v>
      </c>
      <c r="H2386" t="s">
        <v>21</v>
      </c>
      <c r="I2386">
        <v>0</v>
      </c>
      <c r="J2386" t="s">
        <v>22</v>
      </c>
    </row>
    <row r="2387" spans="1:10" x14ac:dyDescent="0.25">
      <c r="A2387" s="1">
        <v>425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"2025-08-10 22:36:50.673"</f>
        <v>2025-08-10 22:36:50.673</v>
      </c>
      <c r="H2387" t="s">
        <v>21</v>
      </c>
      <c r="I2387">
        <v>0</v>
      </c>
      <c r="J2387" t="s">
        <v>22</v>
      </c>
    </row>
    <row r="2388" spans="1:10" x14ac:dyDescent="0.25">
      <c r="A2388" s="1">
        <v>426</v>
      </c>
      <c r="B2388" t="s">
        <v>19</v>
      </c>
      <c r="C2388">
        <v>706</v>
      </c>
      <c r="D2388">
        <v>4</v>
      </c>
      <c r="E2388" t="s">
        <v>28</v>
      </c>
      <c r="F2388" t="s">
        <v>29</v>
      </c>
      <c r="G2388" t="str">
        <f>"2025-08-10 12:50:54.447"</f>
        <v>2025-08-10 12:50:54.447</v>
      </c>
      <c r="H2388" t="s">
        <v>21</v>
      </c>
      <c r="I2388">
        <v>0</v>
      </c>
      <c r="J2388" t="s">
        <v>30</v>
      </c>
    </row>
    <row r="2389" spans="1:10" x14ac:dyDescent="0.25">
      <c r="A2389" s="1">
        <v>427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"2025-08-10 12:50:34.867"</f>
        <v>2025-08-10 12:50:34.867</v>
      </c>
      <c r="H2389" t="s">
        <v>21</v>
      </c>
    </row>
    <row r="2390" spans="1:10" x14ac:dyDescent="0.25">
      <c r="A2390" s="1">
        <v>428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"2025-08-09 20:17:36.669"</f>
        <v>2025-08-09 20:17:36.669</v>
      </c>
      <c r="H2390" t="s">
        <v>21</v>
      </c>
    </row>
    <row r="2391" spans="1:10" x14ac:dyDescent="0.25">
      <c r="A2391" s="1">
        <v>429</v>
      </c>
      <c r="B2391" t="s">
        <v>19</v>
      </c>
      <c r="C2391">
        <v>706</v>
      </c>
      <c r="D2391">
        <v>2</v>
      </c>
      <c r="E2391" t="s">
        <v>28</v>
      </c>
      <c r="F2391" t="s">
        <v>39</v>
      </c>
      <c r="G2391" t="str">
        <f>"2025-08-09 15:23:51.300"</f>
        <v>2025-08-09 15:23:51.300</v>
      </c>
      <c r="H2391" t="s">
        <v>21</v>
      </c>
      <c r="I2391">
        <v>0</v>
      </c>
      <c r="J2391" t="s">
        <v>30</v>
      </c>
    </row>
    <row r="2392" spans="1:10" x14ac:dyDescent="0.25">
      <c r="A2392" s="1">
        <v>430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"2025-08-09 15:23:14.800"</f>
        <v>2025-08-09 15:23:14.800</v>
      </c>
      <c r="H2392" t="s">
        <v>21</v>
      </c>
    </row>
    <row r="2393" spans="1:10" x14ac:dyDescent="0.25">
      <c r="A2393" s="1">
        <v>431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"2025-08-09 13:40:21.670"</f>
        <v>2025-08-09 13:40:21.670</v>
      </c>
      <c r="H2393" t="s">
        <v>21</v>
      </c>
      <c r="I2393">
        <v>0</v>
      </c>
      <c r="J2393" t="s">
        <v>22</v>
      </c>
    </row>
    <row r="2394" spans="1:10" x14ac:dyDescent="0.25">
      <c r="A2394" s="1">
        <v>432</v>
      </c>
      <c r="B2394" t="s">
        <v>19</v>
      </c>
      <c r="C2394">
        <v>706</v>
      </c>
      <c r="D2394">
        <v>2</v>
      </c>
      <c r="E2394" t="s">
        <v>28</v>
      </c>
      <c r="F2394" t="s">
        <v>39</v>
      </c>
      <c r="G2394" t="str">
        <f>"2025-08-09 13:23:39.879"</f>
        <v>2025-08-09 13:23:39.879</v>
      </c>
      <c r="H2394" t="s">
        <v>21</v>
      </c>
      <c r="I2394">
        <v>0</v>
      </c>
      <c r="J2394" t="s">
        <v>30</v>
      </c>
    </row>
    <row r="2395" spans="1:10" x14ac:dyDescent="0.25">
      <c r="A2395" s="1">
        <v>433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"2025-08-09 13:23:22.699"</f>
        <v>2025-08-09 13:23:22.699</v>
      </c>
      <c r="H2395" t="s">
        <v>21</v>
      </c>
      <c r="I2395">
        <v>0</v>
      </c>
      <c r="J2395" t="s">
        <v>22</v>
      </c>
    </row>
    <row r="2396" spans="1:10" s="3" customFormat="1" x14ac:dyDescent="0.25">
      <c r="A2396" s="2">
        <v>434</v>
      </c>
      <c r="B2396" s="3" t="s">
        <v>23</v>
      </c>
      <c r="C2396" s="3">
        <v>647</v>
      </c>
      <c r="D2396" s="3">
        <v>1</v>
      </c>
      <c r="E2396" s="3" t="s">
        <v>24</v>
      </c>
      <c r="F2396" s="3" t="s">
        <v>25</v>
      </c>
      <c r="G2396" s="3" t="str">
        <f>"2025-08-09 10:41:47.715"</f>
        <v>2025-08-09 10:41:47.715</v>
      </c>
      <c r="H2396" s="3" t="s">
        <v>21</v>
      </c>
    </row>
    <row r="2397" spans="1:10" s="3" customFormat="1" x14ac:dyDescent="0.25">
      <c r="A2397" s="2">
        <v>435</v>
      </c>
      <c r="B2397" s="3" t="s">
        <v>26</v>
      </c>
      <c r="C2397" s="3">
        <v>647</v>
      </c>
      <c r="D2397" s="3">
        <v>1</v>
      </c>
      <c r="E2397" s="3" t="s">
        <v>24</v>
      </c>
      <c r="F2397" s="3" t="s">
        <v>25</v>
      </c>
      <c r="G2397" s="3" t="str">
        <f>"2025-08-09 10:41:45.515"</f>
        <v>2025-08-09 10:41:45.515</v>
      </c>
      <c r="H2397" s="3" t="s">
        <v>21</v>
      </c>
      <c r="I2397" s="3">
        <v>9.1300000000000008</v>
      </c>
      <c r="J2397" s="3" t="s">
        <v>34</v>
      </c>
    </row>
    <row r="2398" spans="1:10" x14ac:dyDescent="0.25">
      <c r="A2398" s="1">
        <v>436</v>
      </c>
      <c r="B2398" t="s">
        <v>23</v>
      </c>
      <c r="C2398">
        <v>98</v>
      </c>
      <c r="D2398">
        <v>1</v>
      </c>
      <c r="E2398" t="s">
        <v>65</v>
      </c>
      <c r="F2398" t="s">
        <v>66</v>
      </c>
      <c r="G2398" t="str">
        <f>"2025-08-09 09:28:01.614"</f>
        <v>2025-08-09 09:28:01.614</v>
      </c>
      <c r="H2398" t="s">
        <v>21</v>
      </c>
    </row>
    <row r="2399" spans="1:10" x14ac:dyDescent="0.25">
      <c r="A2399" s="1">
        <v>437</v>
      </c>
      <c r="B2399" t="s">
        <v>26</v>
      </c>
      <c r="C2399">
        <v>98</v>
      </c>
      <c r="D2399">
        <v>1</v>
      </c>
      <c r="E2399" t="s">
        <v>65</v>
      </c>
      <c r="F2399" t="s">
        <v>66</v>
      </c>
      <c r="G2399" t="str">
        <f>"2025-08-09 09:28:00.215"</f>
        <v>2025-08-09 09:28:00.215</v>
      </c>
      <c r="H2399" t="s">
        <v>21</v>
      </c>
      <c r="I2399">
        <v>8.0500000000000007</v>
      </c>
      <c r="J2399" t="s">
        <v>33</v>
      </c>
    </row>
    <row r="2400" spans="1:10" s="3" customFormat="1" x14ac:dyDescent="0.25">
      <c r="A2400" s="2">
        <v>438</v>
      </c>
      <c r="B2400" s="3" t="s">
        <v>23</v>
      </c>
      <c r="C2400" s="3">
        <v>647</v>
      </c>
      <c r="D2400" s="3">
        <v>1</v>
      </c>
      <c r="E2400" s="3" t="s">
        <v>24</v>
      </c>
      <c r="F2400" s="3" t="s">
        <v>25</v>
      </c>
      <c r="G2400" s="3" t="str">
        <f>"2025-08-09 09:07:55.315"</f>
        <v>2025-08-09 09:07:55.315</v>
      </c>
      <c r="H2400" s="3" t="s">
        <v>21</v>
      </c>
    </row>
    <row r="2401" spans="1:10" s="3" customFormat="1" x14ac:dyDescent="0.25">
      <c r="A2401" s="2">
        <v>439</v>
      </c>
      <c r="B2401" s="3" t="s">
        <v>26</v>
      </c>
      <c r="C2401" s="3">
        <v>647</v>
      </c>
      <c r="D2401" s="3">
        <v>1</v>
      </c>
      <c r="E2401" s="3" t="s">
        <v>24</v>
      </c>
      <c r="F2401" s="3" t="s">
        <v>25</v>
      </c>
      <c r="G2401" s="3" t="str">
        <f>"2025-08-09 09:07:48.015"</f>
        <v>2025-08-09 09:07:48.015</v>
      </c>
      <c r="H2401" s="3" t="s">
        <v>21</v>
      </c>
      <c r="I2401" s="3">
        <v>12.05</v>
      </c>
      <c r="J2401" s="3" t="s">
        <v>27</v>
      </c>
    </row>
    <row r="2402" spans="1:10" x14ac:dyDescent="0.25">
      <c r="A2402" s="1">
        <v>440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"2025-08-08 22:49:45.673"</f>
        <v>2025-08-08 22:49:45.673</v>
      </c>
      <c r="H2402" t="s">
        <v>21</v>
      </c>
      <c r="I2402">
        <v>0</v>
      </c>
      <c r="J2402" t="s">
        <v>22</v>
      </c>
    </row>
    <row r="2403" spans="1:10" s="3" customFormat="1" x14ac:dyDescent="0.25">
      <c r="A2403" s="2">
        <v>441</v>
      </c>
      <c r="B2403" s="3" t="s">
        <v>23</v>
      </c>
      <c r="C2403" s="3">
        <v>647</v>
      </c>
      <c r="D2403" s="3">
        <v>1</v>
      </c>
      <c r="E2403" s="3" t="s">
        <v>24</v>
      </c>
      <c r="F2403" s="3" t="s">
        <v>25</v>
      </c>
      <c r="G2403" s="3" t="str">
        <f>"2025-08-08 18:55:47.011"</f>
        <v>2025-08-08 18:55:47.011</v>
      </c>
      <c r="H2403" s="3" t="s">
        <v>21</v>
      </c>
    </row>
    <row r="2404" spans="1:10" s="3" customFormat="1" x14ac:dyDescent="0.25">
      <c r="A2404" s="2">
        <v>442</v>
      </c>
      <c r="B2404" s="3" t="s">
        <v>26</v>
      </c>
      <c r="C2404" s="3">
        <v>647</v>
      </c>
      <c r="D2404" s="3">
        <v>1</v>
      </c>
      <c r="E2404" s="3" t="s">
        <v>24</v>
      </c>
      <c r="F2404" s="3" t="s">
        <v>25</v>
      </c>
      <c r="G2404" s="3" t="str">
        <f>"2025-08-08 18:55:35.712"</f>
        <v>2025-08-08 18:55:35.712</v>
      </c>
      <c r="H2404" s="3" t="s">
        <v>21</v>
      </c>
      <c r="I2404" s="3">
        <v>8.1999999999999993</v>
      </c>
      <c r="J2404" s="3" t="s">
        <v>27</v>
      </c>
    </row>
    <row r="2405" spans="1:10" x14ac:dyDescent="0.25">
      <c r="A2405" s="1">
        <v>443</v>
      </c>
      <c r="B2405" t="s">
        <v>19</v>
      </c>
      <c r="C2405">
        <v>706</v>
      </c>
      <c r="D2405">
        <v>2</v>
      </c>
      <c r="E2405" t="s">
        <v>28</v>
      </c>
      <c r="F2405" t="s">
        <v>39</v>
      </c>
      <c r="G2405" t="str">
        <f>"2025-08-08 16:57:23.253"</f>
        <v>2025-08-08 16:57:23.253</v>
      </c>
      <c r="H2405" t="s">
        <v>21</v>
      </c>
      <c r="I2405">
        <v>0</v>
      </c>
      <c r="J2405" t="s">
        <v>30</v>
      </c>
    </row>
    <row r="2406" spans="1:10" x14ac:dyDescent="0.25">
      <c r="A2406" s="1">
        <v>444</v>
      </c>
      <c r="B2406" t="s">
        <v>19</v>
      </c>
      <c r="C2406">
        <v>700</v>
      </c>
      <c r="D2406">
        <v>0</v>
      </c>
      <c r="E2406" t="s">
        <v>20</v>
      </c>
      <c r="F2406" t="s">
        <v>20</v>
      </c>
      <c r="G2406" t="str">
        <f>"2025-08-08 16:57:05.673"</f>
        <v>2025-08-08 16:57:05.673</v>
      </c>
      <c r="H2406" t="s">
        <v>21</v>
      </c>
      <c r="I2406">
        <v>0</v>
      </c>
      <c r="J2406" t="s">
        <v>22</v>
      </c>
    </row>
    <row r="2407" spans="1:10" x14ac:dyDescent="0.25">
      <c r="A2407" s="1">
        <v>445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"2025-08-08 15:45:33.670"</f>
        <v>2025-08-08 15:45:33.670</v>
      </c>
      <c r="H2407" t="s">
        <v>21</v>
      </c>
    </row>
    <row r="2408" spans="1:10" x14ac:dyDescent="0.25">
      <c r="A2408" s="1">
        <v>446</v>
      </c>
      <c r="B2408" t="s">
        <v>19</v>
      </c>
      <c r="C2408">
        <v>706</v>
      </c>
      <c r="D2408">
        <v>2</v>
      </c>
      <c r="E2408" t="s">
        <v>28</v>
      </c>
      <c r="F2408" t="s">
        <v>39</v>
      </c>
      <c r="G2408" t="str">
        <f>"2025-08-08 13:44:32.475"</f>
        <v>2025-08-08 13:44:32.475</v>
      </c>
      <c r="H2408" t="s">
        <v>21</v>
      </c>
      <c r="I2408">
        <v>0</v>
      </c>
      <c r="J2408" t="s">
        <v>30</v>
      </c>
    </row>
    <row r="2409" spans="1:10" x14ac:dyDescent="0.25">
      <c r="A2409" s="1">
        <v>447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"2025-08-08 13:43:58.655"</f>
        <v>2025-08-08 13:43:58.655</v>
      </c>
      <c r="H2409" t="s">
        <v>21</v>
      </c>
      <c r="I2409">
        <v>0</v>
      </c>
      <c r="J2409" t="s">
        <v>22</v>
      </c>
    </row>
    <row r="2410" spans="1:10" x14ac:dyDescent="0.25">
      <c r="A2410" s="1">
        <v>448</v>
      </c>
      <c r="B2410" t="s">
        <v>23</v>
      </c>
      <c r="C2410">
        <v>98</v>
      </c>
      <c r="D2410">
        <v>1</v>
      </c>
      <c r="E2410" t="s">
        <v>65</v>
      </c>
      <c r="F2410" t="s">
        <v>66</v>
      </c>
      <c r="G2410" t="str">
        <f>"2025-08-08 04:00:17.848"</f>
        <v>2025-08-08 04:00:17.848</v>
      </c>
      <c r="H2410" t="s">
        <v>21</v>
      </c>
    </row>
    <row r="2411" spans="1:10" x14ac:dyDescent="0.25">
      <c r="A2411" s="1">
        <v>449</v>
      </c>
      <c r="B2411" t="s">
        <v>26</v>
      </c>
      <c r="C2411">
        <v>98</v>
      </c>
      <c r="D2411">
        <v>1</v>
      </c>
      <c r="E2411" t="s">
        <v>65</v>
      </c>
      <c r="F2411" t="s">
        <v>66</v>
      </c>
      <c r="G2411" t="str">
        <f>"2025-08-08 04:00:16.748"</f>
        <v>2025-08-08 04:00:16.748</v>
      </c>
      <c r="H2411" t="s">
        <v>21</v>
      </c>
      <c r="I2411">
        <v>1.04</v>
      </c>
      <c r="J2411" t="s">
        <v>27</v>
      </c>
    </row>
    <row r="2412" spans="1:10" s="3" customFormat="1" x14ac:dyDescent="0.25">
      <c r="A2412" s="2">
        <v>450</v>
      </c>
      <c r="B2412" s="3" t="s">
        <v>23</v>
      </c>
      <c r="C2412" s="3">
        <v>647</v>
      </c>
      <c r="D2412" s="3">
        <v>1</v>
      </c>
      <c r="E2412" s="3" t="s">
        <v>24</v>
      </c>
      <c r="F2412" s="3" t="s">
        <v>25</v>
      </c>
      <c r="G2412" s="3" t="str">
        <f>"2025-08-07 14:53:39.248"</f>
        <v>2025-08-07 14:53:39.248</v>
      </c>
      <c r="H2412" s="3" t="s">
        <v>21</v>
      </c>
    </row>
    <row r="2413" spans="1:10" s="3" customFormat="1" x14ac:dyDescent="0.25">
      <c r="A2413" s="2">
        <v>451</v>
      </c>
      <c r="B2413" s="3" t="s">
        <v>26</v>
      </c>
      <c r="C2413" s="3">
        <v>647</v>
      </c>
      <c r="D2413" s="3">
        <v>1</v>
      </c>
      <c r="E2413" s="3" t="s">
        <v>24</v>
      </c>
      <c r="F2413" s="3" t="s">
        <v>25</v>
      </c>
      <c r="G2413" s="3" t="str">
        <f>"2025-08-07 14:53:38.248"</f>
        <v>2025-08-07 14:53:38.248</v>
      </c>
      <c r="H2413" s="3" t="s">
        <v>21</v>
      </c>
      <c r="I2413" s="3">
        <v>15.3</v>
      </c>
      <c r="J2413" s="3" t="s">
        <v>27</v>
      </c>
    </row>
    <row r="2414" spans="1:10" s="3" customFormat="1" x14ac:dyDescent="0.25">
      <c r="A2414" s="2">
        <v>452</v>
      </c>
      <c r="B2414" s="3" t="s">
        <v>23</v>
      </c>
      <c r="C2414" s="3">
        <v>647</v>
      </c>
      <c r="D2414" s="3">
        <v>1</v>
      </c>
      <c r="E2414" s="3" t="s">
        <v>24</v>
      </c>
      <c r="F2414" s="3" t="s">
        <v>25</v>
      </c>
      <c r="G2414" s="3" t="str">
        <f>"2025-08-07 13:56:45.048"</f>
        <v>2025-08-07 13:56:45.048</v>
      </c>
      <c r="H2414" s="3" t="s">
        <v>21</v>
      </c>
    </row>
    <row r="2415" spans="1:10" s="3" customFormat="1" x14ac:dyDescent="0.25">
      <c r="A2415" s="2">
        <v>453</v>
      </c>
      <c r="B2415" s="3" t="s">
        <v>26</v>
      </c>
      <c r="C2415" s="3">
        <v>647</v>
      </c>
      <c r="D2415" s="3">
        <v>1</v>
      </c>
      <c r="E2415" s="3" t="s">
        <v>24</v>
      </c>
      <c r="F2415" s="3" t="s">
        <v>25</v>
      </c>
      <c r="G2415" s="3" t="str">
        <f>"2025-08-07 13:56:43.548"</f>
        <v>2025-08-07 13:56:43.548</v>
      </c>
      <c r="H2415" s="3" t="s">
        <v>21</v>
      </c>
      <c r="I2415" s="3">
        <v>13.48</v>
      </c>
      <c r="J2415" s="3" t="s">
        <v>27</v>
      </c>
    </row>
    <row r="2416" spans="1:10" x14ac:dyDescent="0.25">
      <c r="A2416" s="1">
        <v>454</v>
      </c>
      <c r="B2416" t="s">
        <v>19</v>
      </c>
      <c r="C2416">
        <v>706</v>
      </c>
      <c r="D2416">
        <v>2</v>
      </c>
      <c r="E2416" t="s">
        <v>28</v>
      </c>
      <c r="F2416" t="s">
        <v>39</v>
      </c>
      <c r="G2416" t="str">
        <f>"2025-08-07 13:49:47.736"</f>
        <v>2025-08-07 13:49:47.736</v>
      </c>
      <c r="H2416" t="s">
        <v>21</v>
      </c>
      <c r="I2416">
        <v>0</v>
      </c>
      <c r="J2416" t="s">
        <v>30</v>
      </c>
    </row>
    <row r="2417" spans="1:10" x14ac:dyDescent="0.25">
      <c r="A2417" s="1">
        <v>455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"2025-08-07 13:48:45.686"</f>
        <v>2025-08-07 13:48:45.686</v>
      </c>
      <c r="H2417" t="s">
        <v>21</v>
      </c>
    </row>
    <row r="2418" spans="1:10" x14ac:dyDescent="0.25">
      <c r="A2418" s="1">
        <v>456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"2025-08-06 22:20:43.845"</f>
        <v>2025-08-06 22:20:43.845</v>
      </c>
      <c r="H2418" t="s">
        <v>21</v>
      </c>
    </row>
    <row r="2419" spans="1:10" x14ac:dyDescent="0.25">
      <c r="A2419" s="1">
        <v>457</v>
      </c>
      <c r="B2419" t="s">
        <v>19</v>
      </c>
      <c r="C2419">
        <v>706</v>
      </c>
      <c r="D2419">
        <v>2</v>
      </c>
      <c r="E2419" t="s">
        <v>28</v>
      </c>
      <c r="F2419" t="s">
        <v>39</v>
      </c>
      <c r="G2419" t="str">
        <f>"2025-08-06 13:54:09.875"</f>
        <v>2025-08-06 13:54:09.875</v>
      </c>
      <c r="H2419" t="s">
        <v>21</v>
      </c>
      <c r="I2419">
        <v>0</v>
      </c>
      <c r="J2419" t="s">
        <v>30</v>
      </c>
    </row>
    <row r="2420" spans="1:10" x14ac:dyDescent="0.25">
      <c r="A2420" s="1">
        <v>458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"2025-08-06 13:53:52.825"</f>
        <v>2025-08-06 13:53:52.825</v>
      </c>
      <c r="H2420" t="s">
        <v>21</v>
      </c>
    </row>
    <row r="2421" spans="1:10" s="3" customFormat="1" x14ac:dyDescent="0.25">
      <c r="A2421" s="2">
        <v>459</v>
      </c>
      <c r="B2421" s="3" t="s">
        <v>23</v>
      </c>
      <c r="C2421" s="3">
        <v>647</v>
      </c>
      <c r="D2421" s="3">
        <v>1</v>
      </c>
      <c r="E2421" s="3" t="s">
        <v>24</v>
      </c>
      <c r="F2421" s="3" t="s">
        <v>25</v>
      </c>
      <c r="G2421" s="3" t="str">
        <f>"2025-08-06 10:03:17.179"</f>
        <v>2025-08-06 10:03:17.179</v>
      </c>
      <c r="H2421" s="3" t="s">
        <v>21</v>
      </c>
    </row>
    <row r="2422" spans="1:10" s="3" customFormat="1" x14ac:dyDescent="0.25">
      <c r="A2422" s="2">
        <v>460</v>
      </c>
      <c r="B2422" s="3" t="s">
        <v>26</v>
      </c>
      <c r="C2422" s="3">
        <v>647</v>
      </c>
      <c r="D2422" s="3">
        <v>1</v>
      </c>
      <c r="E2422" s="3" t="s">
        <v>24</v>
      </c>
      <c r="F2422" s="3" t="s">
        <v>25</v>
      </c>
      <c r="G2422" s="3" t="str">
        <f>"2025-08-06 10:03:12.380"</f>
        <v>2025-08-06 10:03:12.380</v>
      </c>
      <c r="H2422" s="3" t="s">
        <v>21</v>
      </c>
      <c r="I2422" s="3">
        <v>9.52</v>
      </c>
      <c r="J2422" s="3" t="s">
        <v>34</v>
      </c>
    </row>
    <row r="2423" spans="1:10" x14ac:dyDescent="0.25">
      <c r="A2423" s="1">
        <v>461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"2025-08-06 00:45:51.721"</f>
        <v>2025-08-06 00:45:51.721</v>
      </c>
      <c r="H2423" t="s">
        <v>21</v>
      </c>
      <c r="I2423">
        <v>0</v>
      </c>
      <c r="J2423" t="s">
        <v>22</v>
      </c>
    </row>
    <row r="2424" spans="1:10" x14ac:dyDescent="0.25">
      <c r="A2424" s="1">
        <v>462</v>
      </c>
      <c r="B2424" t="s">
        <v>19</v>
      </c>
      <c r="C2424">
        <v>706</v>
      </c>
      <c r="D2424">
        <v>2</v>
      </c>
      <c r="E2424" t="s">
        <v>28</v>
      </c>
      <c r="F2424" t="s">
        <v>39</v>
      </c>
      <c r="G2424" t="str">
        <f>"2025-08-05 23:13:12.911"</f>
        <v>2025-08-05 23:13:12.911</v>
      </c>
      <c r="H2424" t="s">
        <v>21</v>
      </c>
      <c r="I2424">
        <v>0</v>
      </c>
      <c r="J2424" t="s">
        <v>30</v>
      </c>
    </row>
    <row r="2425" spans="1:10" x14ac:dyDescent="0.25">
      <c r="A2425" s="1">
        <v>463</v>
      </c>
      <c r="B2425" t="s">
        <v>19</v>
      </c>
      <c r="C2425">
        <v>700</v>
      </c>
      <c r="D2425">
        <v>0</v>
      </c>
      <c r="E2425" t="s">
        <v>20</v>
      </c>
      <c r="F2425" t="s">
        <v>20</v>
      </c>
      <c r="G2425" t="str">
        <f>"2025-08-05 23:11:30.661"</f>
        <v>2025-08-05 23:11:30.661</v>
      </c>
      <c r="H2425" t="s">
        <v>21</v>
      </c>
    </row>
    <row r="2426" spans="1:10" x14ac:dyDescent="0.25">
      <c r="A2426" s="1">
        <v>464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"2025-08-05 22:41:38.660"</f>
        <v>2025-08-05 22:41:38.660</v>
      </c>
      <c r="H2426" t="s">
        <v>21</v>
      </c>
    </row>
    <row r="2427" spans="1:10" x14ac:dyDescent="0.25">
      <c r="A2427" s="1">
        <v>465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"2025-08-05 22:39:29.672"</f>
        <v>2025-08-05 22:39:29.672</v>
      </c>
      <c r="H2427" t="s">
        <v>21</v>
      </c>
      <c r="I2427">
        <v>0</v>
      </c>
      <c r="J2427" t="s">
        <v>22</v>
      </c>
    </row>
    <row r="2428" spans="1:10" x14ac:dyDescent="0.25">
      <c r="A2428" s="1">
        <v>466</v>
      </c>
      <c r="B2428" t="s">
        <v>38</v>
      </c>
      <c r="C2428">
        <v>630</v>
      </c>
      <c r="D2428">
        <v>5</v>
      </c>
      <c r="E2428" t="s">
        <v>35</v>
      </c>
      <c r="F2428" t="s">
        <v>36</v>
      </c>
      <c r="G2428" t="str">
        <f>"2025-08-05 22:21:50.409"</f>
        <v>2025-08-05 22:21:50.409</v>
      </c>
      <c r="H2428" t="s">
        <v>37</v>
      </c>
      <c r="I2428">
        <v>0</v>
      </c>
      <c r="J2428" t="s">
        <v>30</v>
      </c>
    </row>
    <row r="2429" spans="1:10" x14ac:dyDescent="0.25">
      <c r="A2429" s="1">
        <v>467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"2025-08-05 22:16:47.641"</f>
        <v>2025-08-05 22:16:47.641</v>
      </c>
      <c r="H2429" t="s">
        <v>21</v>
      </c>
    </row>
    <row r="2430" spans="1:10" x14ac:dyDescent="0.25">
      <c r="A2430" s="1">
        <v>468</v>
      </c>
      <c r="B2430" t="s">
        <v>38</v>
      </c>
      <c r="C2430">
        <v>630</v>
      </c>
      <c r="D2430">
        <v>5</v>
      </c>
      <c r="E2430" t="s">
        <v>35</v>
      </c>
      <c r="F2430" t="s">
        <v>36</v>
      </c>
      <c r="G2430" t="str">
        <f>"2025-08-05 22:01:10.459"</f>
        <v>2025-08-05 22:01:10.459</v>
      </c>
      <c r="H2430" t="s">
        <v>37</v>
      </c>
      <c r="I2430">
        <v>0</v>
      </c>
      <c r="J2430" t="s">
        <v>30</v>
      </c>
    </row>
    <row r="2431" spans="1:10" x14ac:dyDescent="0.25">
      <c r="A2431" s="1">
        <v>469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"2025-08-05 21:56:07.670"</f>
        <v>2025-08-05 21:56:07.670</v>
      </c>
      <c r="H2431" t="s">
        <v>21</v>
      </c>
      <c r="I2431">
        <v>0</v>
      </c>
      <c r="J2431" t="s">
        <v>22</v>
      </c>
    </row>
    <row r="2432" spans="1:10" x14ac:dyDescent="0.25">
      <c r="A2432" s="1">
        <v>470</v>
      </c>
      <c r="B2432" t="s">
        <v>38</v>
      </c>
      <c r="C2432">
        <v>630</v>
      </c>
      <c r="D2432">
        <v>5</v>
      </c>
      <c r="E2432" t="s">
        <v>35</v>
      </c>
      <c r="F2432" t="s">
        <v>36</v>
      </c>
      <c r="G2432" t="str">
        <f>"2025-08-05 20:30:19.110"</f>
        <v>2025-08-05 20:30:19.110</v>
      </c>
      <c r="H2432" t="s">
        <v>37</v>
      </c>
      <c r="I2432">
        <v>0</v>
      </c>
      <c r="J2432" t="s">
        <v>30</v>
      </c>
    </row>
    <row r="2433" spans="1:10" x14ac:dyDescent="0.25">
      <c r="A2433" s="1">
        <v>471</v>
      </c>
      <c r="B2433" t="s">
        <v>19</v>
      </c>
      <c r="C2433">
        <v>706</v>
      </c>
      <c r="D2433">
        <v>4</v>
      </c>
      <c r="E2433" t="s">
        <v>28</v>
      </c>
      <c r="F2433" t="s">
        <v>29</v>
      </c>
      <c r="G2433" t="str">
        <f>"2025-08-05 20:15:20.642"</f>
        <v>2025-08-05 20:15:20.642</v>
      </c>
      <c r="H2433" t="s">
        <v>21</v>
      </c>
      <c r="I2433">
        <v>0</v>
      </c>
      <c r="J2433" t="s">
        <v>30</v>
      </c>
    </row>
    <row r="2434" spans="1:10" x14ac:dyDescent="0.25">
      <c r="A2434" s="1">
        <v>472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"2025-08-05 20:15:05.662"</f>
        <v>2025-08-05 20:15:05.662</v>
      </c>
      <c r="H2434" t="s">
        <v>21</v>
      </c>
      <c r="I2434">
        <v>0</v>
      </c>
      <c r="J2434" t="s">
        <v>22</v>
      </c>
    </row>
    <row r="2435" spans="1:10" x14ac:dyDescent="0.25">
      <c r="A2435" s="1">
        <v>473</v>
      </c>
      <c r="B2435" t="s">
        <v>19</v>
      </c>
      <c r="C2435">
        <v>706</v>
      </c>
      <c r="D2435">
        <v>4</v>
      </c>
      <c r="E2435" t="s">
        <v>28</v>
      </c>
      <c r="F2435" t="s">
        <v>29</v>
      </c>
      <c r="G2435" t="str">
        <f>"2025-08-05 18:29:01.529"</f>
        <v>2025-08-05 18:29:01.529</v>
      </c>
      <c r="H2435" t="s">
        <v>21</v>
      </c>
      <c r="I2435">
        <v>0</v>
      </c>
      <c r="J2435" t="s">
        <v>30</v>
      </c>
    </row>
    <row r="2436" spans="1:10" x14ac:dyDescent="0.25">
      <c r="A2436" s="1">
        <v>474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"2025-08-05 18:28:42.659"</f>
        <v>2025-08-05 18:28:42.659</v>
      </c>
      <c r="H2436" t="s">
        <v>21</v>
      </c>
      <c r="I2436">
        <v>0</v>
      </c>
      <c r="J2436" t="s">
        <v>22</v>
      </c>
    </row>
    <row r="2437" spans="1:10" x14ac:dyDescent="0.25">
      <c r="A2437" s="1">
        <v>475</v>
      </c>
      <c r="B2437" t="s">
        <v>19</v>
      </c>
      <c r="C2437">
        <v>706</v>
      </c>
      <c r="D2437">
        <v>2</v>
      </c>
      <c r="E2437" t="s">
        <v>28</v>
      </c>
      <c r="F2437" t="s">
        <v>39</v>
      </c>
      <c r="G2437" t="str">
        <f>"2025-08-05 18:23:59.478"</f>
        <v>2025-08-05 18:23:59.478</v>
      </c>
      <c r="H2437" t="s">
        <v>21</v>
      </c>
      <c r="I2437">
        <v>0</v>
      </c>
      <c r="J2437" t="s">
        <v>30</v>
      </c>
    </row>
    <row r="2438" spans="1:10" x14ac:dyDescent="0.25">
      <c r="A2438" s="1">
        <v>476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"2025-08-05 18:23:37.638"</f>
        <v>2025-08-05 18:23:37.638</v>
      </c>
      <c r="H2438" t="s">
        <v>21</v>
      </c>
      <c r="I2438">
        <v>0</v>
      </c>
      <c r="J2438" t="s">
        <v>22</v>
      </c>
    </row>
    <row r="2439" spans="1:10" x14ac:dyDescent="0.25">
      <c r="A2439" s="1">
        <v>477</v>
      </c>
      <c r="B2439" t="s">
        <v>19</v>
      </c>
      <c r="C2439">
        <v>700</v>
      </c>
      <c r="D2439">
        <v>0</v>
      </c>
      <c r="E2439" t="s">
        <v>20</v>
      </c>
      <c r="F2439" t="s">
        <v>20</v>
      </c>
      <c r="G2439" t="str">
        <f>"2025-08-05 17:33:13.769"</f>
        <v>2025-08-05 17:33:13.769</v>
      </c>
      <c r="H2439" t="s">
        <v>21</v>
      </c>
      <c r="I2439">
        <v>0</v>
      </c>
      <c r="J2439" t="s">
        <v>22</v>
      </c>
    </row>
    <row r="2440" spans="1:10" x14ac:dyDescent="0.25">
      <c r="A2440" s="1">
        <v>478</v>
      </c>
      <c r="B2440" t="s">
        <v>44</v>
      </c>
      <c r="C2440">
        <v>33</v>
      </c>
      <c r="D2440">
        <v>1</v>
      </c>
      <c r="E2440" t="s">
        <v>45</v>
      </c>
      <c r="F2440" t="s">
        <v>46</v>
      </c>
      <c r="G2440" t="str">
        <f>"2025-08-05 17:05:06.367"</f>
        <v>2025-08-05 17:05:06.367</v>
      </c>
      <c r="H2440" t="s">
        <v>47</v>
      </c>
    </row>
    <row r="2441" spans="1:10" x14ac:dyDescent="0.25">
      <c r="A2441" s="1">
        <v>479</v>
      </c>
      <c r="B2441" t="s">
        <v>38</v>
      </c>
      <c r="C2441">
        <v>33</v>
      </c>
      <c r="D2441">
        <v>1</v>
      </c>
      <c r="E2441" t="s">
        <v>45</v>
      </c>
      <c r="F2441" t="s">
        <v>46</v>
      </c>
      <c r="G2441" t="str">
        <f>"2025-08-05 17:04:47.607"</f>
        <v>2025-08-05 17:04:47.607</v>
      </c>
      <c r="H2441" t="s">
        <v>47</v>
      </c>
      <c r="I2441">
        <v>8.15</v>
      </c>
      <c r="J2441" t="s">
        <v>33</v>
      </c>
    </row>
    <row r="2442" spans="1:10" x14ac:dyDescent="0.25">
      <c r="A2442" s="1">
        <v>480</v>
      </c>
      <c r="B2442" t="s">
        <v>19</v>
      </c>
      <c r="C2442">
        <v>706</v>
      </c>
      <c r="D2442">
        <v>2</v>
      </c>
      <c r="E2442" t="s">
        <v>28</v>
      </c>
      <c r="F2442" t="s">
        <v>39</v>
      </c>
      <c r="G2442" t="str">
        <f>"2025-08-05 16:23:21.708"</f>
        <v>2025-08-05 16:23:21.708</v>
      </c>
      <c r="H2442" t="s">
        <v>21</v>
      </c>
      <c r="I2442">
        <v>0</v>
      </c>
      <c r="J2442" t="s">
        <v>30</v>
      </c>
    </row>
    <row r="2443" spans="1:10" x14ac:dyDescent="0.25">
      <c r="A2443" s="1">
        <v>481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"2025-08-05 16:22:39.668"</f>
        <v>2025-08-05 16:22:39.668</v>
      </c>
      <c r="H2443" t="s">
        <v>21</v>
      </c>
      <c r="I2443">
        <v>0</v>
      </c>
      <c r="J2443" t="s">
        <v>22</v>
      </c>
    </row>
    <row r="2444" spans="1:10" x14ac:dyDescent="0.25">
      <c r="A2444" s="1">
        <v>482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"2025-08-05 13:10:21.663"</f>
        <v>2025-08-05 13:10:21.663</v>
      </c>
      <c r="H2444" t="s">
        <v>21</v>
      </c>
    </row>
    <row r="2445" spans="1:10" x14ac:dyDescent="0.25">
      <c r="A2445" s="1">
        <v>483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"2025-08-05 07:00:10.647"</f>
        <v>2025-08-05 07:00:10.647</v>
      </c>
      <c r="H2445" t="s">
        <v>21</v>
      </c>
    </row>
    <row r="2446" spans="1:10" x14ac:dyDescent="0.25">
      <c r="A2446" s="1">
        <v>484</v>
      </c>
      <c r="B2446" t="s">
        <v>19</v>
      </c>
      <c r="C2446">
        <v>706</v>
      </c>
      <c r="D2446">
        <v>4</v>
      </c>
      <c r="E2446" t="s">
        <v>28</v>
      </c>
      <c r="F2446" t="s">
        <v>29</v>
      </c>
      <c r="G2446" t="str">
        <f>"2025-08-04 13:05:09.641"</f>
        <v>2025-08-04 13:05:09.641</v>
      </c>
      <c r="H2446" t="s">
        <v>21</v>
      </c>
      <c r="I2446">
        <v>0</v>
      </c>
      <c r="J2446" t="s">
        <v>30</v>
      </c>
    </row>
    <row r="2447" spans="1:10" x14ac:dyDescent="0.25">
      <c r="A2447" s="1">
        <v>485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"2025-08-04 13:04:54.671"</f>
        <v>2025-08-04 13:04:54.671</v>
      </c>
      <c r="H2447" t="s">
        <v>21</v>
      </c>
    </row>
    <row r="2448" spans="1:10" x14ac:dyDescent="0.25">
      <c r="A2448" s="1">
        <v>486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"2025-08-04 04:05:27.641"</f>
        <v>2025-08-04 04:05:27.641</v>
      </c>
      <c r="H2448" t="s">
        <v>21</v>
      </c>
      <c r="I2448">
        <v>0</v>
      </c>
      <c r="J2448" t="s">
        <v>22</v>
      </c>
    </row>
    <row r="2449" spans="1:10" x14ac:dyDescent="0.25">
      <c r="A2449" s="1">
        <v>487</v>
      </c>
      <c r="B2449" t="s">
        <v>19</v>
      </c>
      <c r="C2449">
        <v>706</v>
      </c>
      <c r="D2449">
        <v>2</v>
      </c>
      <c r="E2449" t="s">
        <v>28</v>
      </c>
      <c r="F2449" t="s">
        <v>39</v>
      </c>
      <c r="G2449" t="str">
        <f>"2025-08-03 13:24:38.469"</f>
        <v>2025-08-03 13:24:38.469</v>
      </c>
      <c r="H2449" t="s">
        <v>21</v>
      </c>
      <c r="I2449">
        <v>0</v>
      </c>
      <c r="J2449" t="s">
        <v>30</v>
      </c>
    </row>
    <row r="2450" spans="1:10" x14ac:dyDescent="0.25">
      <c r="A2450" s="1">
        <v>488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"2025-08-03 13:24:16.799"</f>
        <v>2025-08-03 13:24:16.799</v>
      </c>
      <c r="H2450" t="s">
        <v>21</v>
      </c>
    </row>
    <row r="2451" spans="1:10" x14ac:dyDescent="0.25">
      <c r="A2451" s="1">
        <v>489</v>
      </c>
      <c r="B2451" t="s">
        <v>23</v>
      </c>
      <c r="C2451">
        <v>635</v>
      </c>
      <c r="D2451">
        <v>1</v>
      </c>
      <c r="E2451" t="s">
        <v>31</v>
      </c>
      <c r="F2451" t="s">
        <v>32</v>
      </c>
      <c r="G2451" t="str">
        <f>"2025-08-03 08:17:09.145"</f>
        <v>2025-08-03 08:17:09.145</v>
      </c>
      <c r="H2451" t="s">
        <v>21</v>
      </c>
    </row>
    <row r="2452" spans="1:10" x14ac:dyDescent="0.25">
      <c r="A2452" s="1">
        <v>490</v>
      </c>
      <c r="B2452" t="s">
        <v>26</v>
      </c>
      <c r="C2452">
        <v>635</v>
      </c>
      <c r="D2452">
        <v>1</v>
      </c>
      <c r="E2452" t="s">
        <v>31</v>
      </c>
      <c r="F2452" t="s">
        <v>32</v>
      </c>
      <c r="G2452" t="str">
        <f>"2025-08-03 08:15:05.645"</f>
        <v>2025-08-03 08:15:05.645</v>
      </c>
      <c r="H2452" t="s">
        <v>21</v>
      </c>
      <c r="I2452">
        <v>3.22</v>
      </c>
      <c r="J2452" t="s">
        <v>27</v>
      </c>
    </row>
    <row r="2453" spans="1:10" x14ac:dyDescent="0.25">
      <c r="A2453" s="1">
        <v>491</v>
      </c>
      <c r="B2453" t="s">
        <v>19</v>
      </c>
      <c r="C2453">
        <v>706</v>
      </c>
      <c r="D2453">
        <v>4</v>
      </c>
      <c r="E2453" t="s">
        <v>28</v>
      </c>
      <c r="F2453" t="s">
        <v>29</v>
      </c>
      <c r="G2453" t="str">
        <f>"2025-08-02 21:46:59.068"</f>
        <v>2025-08-02 21:46:59.068</v>
      </c>
      <c r="H2453" t="s">
        <v>21</v>
      </c>
      <c r="I2453">
        <v>0</v>
      </c>
      <c r="J2453" t="s">
        <v>30</v>
      </c>
    </row>
    <row r="2454" spans="1:10" x14ac:dyDescent="0.25">
      <c r="A2454" s="1">
        <v>492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"2025-08-02 21:46:28.678"</f>
        <v>2025-08-02 21:46:28.678</v>
      </c>
      <c r="H2454" t="s">
        <v>21</v>
      </c>
    </row>
    <row r="2455" spans="1:10" s="3" customFormat="1" x14ac:dyDescent="0.25">
      <c r="A2455" s="2">
        <v>493</v>
      </c>
      <c r="B2455" s="3" t="s">
        <v>23</v>
      </c>
      <c r="C2455" s="3">
        <v>647</v>
      </c>
      <c r="D2455" s="3">
        <v>1</v>
      </c>
      <c r="E2455" s="3" t="s">
        <v>24</v>
      </c>
      <c r="F2455" s="3" t="s">
        <v>25</v>
      </c>
      <c r="G2455" s="3" t="str">
        <f>"2025-08-02 17:56:26.740"</f>
        <v>2025-08-02 17:56:26.740</v>
      </c>
      <c r="H2455" s="3" t="s">
        <v>21</v>
      </c>
    </row>
    <row r="2456" spans="1:10" s="3" customFormat="1" x14ac:dyDescent="0.25">
      <c r="A2456" s="2">
        <v>494</v>
      </c>
      <c r="B2456" s="3" t="s">
        <v>26</v>
      </c>
      <c r="C2456" s="3">
        <v>647</v>
      </c>
      <c r="D2456" s="3">
        <v>1</v>
      </c>
      <c r="E2456" s="3" t="s">
        <v>24</v>
      </c>
      <c r="F2456" s="3" t="s">
        <v>25</v>
      </c>
      <c r="G2456" s="3" t="str">
        <f>"2025-08-02 17:56:24.640"</f>
        <v>2025-08-02 17:56:24.640</v>
      </c>
      <c r="H2456" s="3" t="s">
        <v>21</v>
      </c>
      <c r="I2456" s="3">
        <v>8.41</v>
      </c>
      <c r="J2456" s="3" t="s">
        <v>27</v>
      </c>
    </row>
    <row r="2457" spans="1:10" x14ac:dyDescent="0.25">
      <c r="A2457" s="1">
        <v>495</v>
      </c>
      <c r="B2457" t="s">
        <v>44</v>
      </c>
      <c r="C2457">
        <v>33</v>
      </c>
      <c r="D2457">
        <v>1</v>
      </c>
      <c r="E2457" t="s">
        <v>45</v>
      </c>
      <c r="F2457" t="s">
        <v>46</v>
      </c>
      <c r="G2457" t="str">
        <f>"2025-08-02 16:47:23.539"</f>
        <v>2025-08-02 16:47:23.539</v>
      </c>
      <c r="H2457" t="s">
        <v>47</v>
      </c>
    </row>
    <row r="2458" spans="1:10" x14ac:dyDescent="0.25">
      <c r="A2458" s="1">
        <v>496</v>
      </c>
      <c r="B2458" t="s">
        <v>38</v>
      </c>
      <c r="C2458">
        <v>33</v>
      </c>
      <c r="D2458">
        <v>1</v>
      </c>
      <c r="E2458" t="s">
        <v>45</v>
      </c>
      <c r="F2458" t="s">
        <v>46</v>
      </c>
      <c r="G2458" t="str">
        <f>"2025-08-02 16:47:11.978"</f>
        <v>2025-08-02 16:47:11.978</v>
      </c>
      <c r="H2458" t="s">
        <v>47</v>
      </c>
      <c r="I2458">
        <v>8.2100000000000009</v>
      </c>
      <c r="J2458" t="s">
        <v>33</v>
      </c>
    </row>
    <row r="2459" spans="1:10" x14ac:dyDescent="0.25">
      <c r="A2459" s="1">
        <v>497</v>
      </c>
      <c r="B2459" t="s">
        <v>19</v>
      </c>
      <c r="C2459">
        <v>706</v>
      </c>
      <c r="D2459">
        <v>2</v>
      </c>
      <c r="E2459" t="s">
        <v>28</v>
      </c>
      <c r="F2459" t="s">
        <v>39</v>
      </c>
      <c r="G2459" t="str">
        <f>"2025-08-02 13:03:53.358"</f>
        <v>2025-08-02 13:03:53.358</v>
      </c>
      <c r="H2459" t="s">
        <v>21</v>
      </c>
      <c r="I2459">
        <v>0</v>
      </c>
      <c r="J2459" t="s">
        <v>30</v>
      </c>
    </row>
    <row r="2460" spans="1:10" x14ac:dyDescent="0.25">
      <c r="A2460" s="1">
        <v>498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"2025-08-02 13:03:37.668"</f>
        <v>2025-08-02 13:03:37.668</v>
      </c>
      <c r="H2460" t="s">
        <v>21</v>
      </c>
      <c r="I2460">
        <v>0</v>
      </c>
      <c r="J2460" t="s">
        <v>22</v>
      </c>
    </row>
    <row r="2461" spans="1:10" x14ac:dyDescent="0.25">
      <c r="A2461" s="1">
        <v>499</v>
      </c>
      <c r="B2461" t="s">
        <v>23</v>
      </c>
      <c r="C2461">
        <v>635</v>
      </c>
      <c r="D2461">
        <v>1</v>
      </c>
      <c r="E2461" t="s">
        <v>31</v>
      </c>
      <c r="F2461" t="s">
        <v>32</v>
      </c>
      <c r="G2461" t="str">
        <f>"2025-08-02 11:40:19.259"</f>
        <v>2025-08-02 11:40:19.259</v>
      </c>
      <c r="H2461" t="s">
        <v>21</v>
      </c>
    </row>
    <row r="2462" spans="1:10" x14ac:dyDescent="0.25">
      <c r="A2462" s="1">
        <v>500</v>
      </c>
      <c r="B2462" t="s">
        <v>26</v>
      </c>
      <c r="C2462">
        <v>635</v>
      </c>
      <c r="D2462">
        <v>1</v>
      </c>
      <c r="E2462" t="s">
        <v>31</v>
      </c>
      <c r="F2462" t="s">
        <v>32</v>
      </c>
      <c r="G2462" t="str">
        <f>"2025-08-02 11:34:44.759"</f>
        <v>2025-08-02 11:34:44.759</v>
      </c>
      <c r="H2462" t="s">
        <v>21</v>
      </c>
      <c r="I2462">
        <v>0</v>
      </c>
      <c r="J2462" t="s">
        <v>34</v>
      </c>
    </row>
    <row r="2463" spans="1:10" x14ac:dyDescent="0.25">
      <c r="A2463" s="1">
        <v>501</v>
      </c>
      <c r="B2463" t="s">
        <v>23</v>
      </c>
      <c r="C2463">
        <v>635</v>
      </c>
      <c r="D2463">
        <v>1</v>
      </c>
      <c r="E2463" t="s">
        <v>31</v>
      </c>
      <c r="F2463" t="s">
        <v>32</v>
      </c>
      <c r="G2463" t="str">
        <f>"2025-08-01 23:56:54.759"</f>
        <v>2025-08-01 23:56:54.759</v>
      </c>
      <c r="H2463" t="s">
        <v>21</v>
      </c>
    </row>
    <row r="2464" spans="1:10" x14ac:dyDescent="0.25">
      <c r="A2464" s="1">
        <v>502</v>
      </c>
      <c r="B2464" t="s">
        <v>26</v>
      </c>
      <c r="C2464">
        <v>635</v>
      </c>
      <c r="D2464">
        <v>1</v>
      </c>
      <c r="E2464" t="s">
        <v>31</v>
      </c>
      <c r="F2464" t="s">
        <v>32</v>
      </c>
      <c r="G2464" t="str">
        <f>"2025-08-01 23:53:56.759"</f>
        <v>2025-08-01 23:53:56.759</v>
      </c>
      <c r="H2464" t="s">
        <v>21</v>
      </c>
      <c r="I2464">
        <v>3.61</v>
      </c>
      <c r="J2464" t="s">
        <v>34</v>
      </c>
    </row>
    <row r="2465" spans="1:10" x14ac:dyDescent="0.25">
      <c r="A2465" s="1">
        <v>503</v>
      </c>
      <c r="B2465" t="s">
        <v>23</v>
      </c>
      <c r="C2465">
        <v>635</v>
      </c>
      <c r="D2465">
        <v>1</v>
      </c>
      <c r="E2465" t="s">
        <v>31</v>
      </c>
      <c r="F2465" t="s">
        <v>32</v>
      </c>
      <c r="G2465" t="str">
        <f>"2025-08-01 18:12:09.459"</f>
        <v>2025-08-01 18:12:09.459</v>
      </c>
      <c r="H2465" t="s">
        <v>21</v>
      </c>
    </row>
    <row r="2466" spans="1:10" x14ac:dyDescent="0.25">
      <c r="A2466" s="1">
        <v>504</v>
      </c>
      <c r="B2466" t="s">
        <v>26</v>
      </c>
      <c r="C2466">
        <v>635</v>
      </c>
      <c r="D2466">
        <v>1</v>
      </c>
      <c r="E2466" t="s">
        <v>31</v>
      </c>
      <c r="F2466" t="s">
        <v>32</v>
      </c>
      <c r="G2466" t="str">
        <f>"2025-08-01 18:09:48.459"</f>
        <v>2025-08-01 18:09:48.459</v>
      </c>
      <c r="H2466" t="s">
        <v>21</v>
      </c>
      <c r="I2466">
        <v>2.04</v>
      </c>
      <c r="J2466" t="s">
        <v>27</v>
      </c>
    </row>
    <row r="2467" spans="1:10" x14ac:dyDescent="0.25">
      <c r="A2467" s="1">
        <v>505</v>
      </c>
      <c r="B2467" t="s">
        <v>23</v>
      </c>
      <c r="C2467">
        <v>630</v>
      </c>
      <c r="D2467">
        <v>5</v>
      </c>
      <c r="E2467" t="s">
        <v>35</v>
      </c>
      <c r="F2467" t="s">
        <v>36</v>
      </c>
      <c r="G2467" t="str">
        <f>"2025-08-01 17:43:17.707"</f>
        <v>2025-08-01 17:43:17.707</v>
      </c>
      <c r="H2467" t="s">
        <v>37</v>
      </c>
    </row>
    <row r="2468" spans="1:10" x14ac:dyDescent="0.25">
      <c r="A2468" s="1">
        <v>506</v>
      </c>
      <c r="B2468" t="s">
        <v>19</v>
      </c>
      <c r="C2468">
        <v>706</v>
      </c>
      <c r="D2468">
        <v>4</v>
      </c>
      <c r="E2468" t="s">
        <v>28</v>
      </c>
      <c r="F2468" t="s">
        <v>29</v>
      </c>
      <c r="G2468" t="str">
        <f>"2025-08-01 17:42:47.589"</f>
        <v>2025-08-01 17:42:47.589</v>
      </c>
      <c r="H2468" t="s">
        <v>21</v>
      </c>
      <c r="I2468">
        <v>0</v>
      </c>
      <c r="J2468" t="s">
        <v>30</v>
      </c>
    </row>
    <row r="2469" spans="1:10" x14ac:dyDescent="0.25">
      <c r="A2469" s="1">
        <v>507</v>
      </c>
      <c r="B2469" t="s">
        <v>38</v>
      </c>
      <c r="C2469">
        <v>630</v>
      </c>
      <c r="D2469">
        <v>5</v>
      </c>
      <c r="E2469" t="s">
        <v>35</v>
      </c>
      <c r="F2469" t="s">
        <v>36</v>
      </c>
      <c r="G2469" t="str">
        <f>"2025-08-01 17:34:23.508"</f>
        <v>2025-08-01 17:34:23.508</v>
      </c>
      <c r="H2469" t="s">
        <v>37</v>
      </c>
      <c r="I2469">
        <v>0</v>
      </c>
      <c r="J2469" t="s">
        <v>30</v>
      </c>
    </row>
    <row r="2470" spans="1:10" x14ac:dyDescent="0.25">
      <c r="A2470" s="1">
        <v>508</v>
      </c>
      <c r="B2470" t="s">
        <v>19</v>
      </c>
      <c r="C2470">
        <v>700</v>
      </c>
      <c r="D2470">
        <v>0</v>
      </c>
      <c r="E2470" t="s">
        <v>20</v>
      </c>
      <c r="F2470" t="s">
        <v>20</v>
      </c>
      <c r="G2470" t="str">
        <f>"2025-08-01 14:00:05.649"</f>
        <v>2025-08-01 14:00:05.649</v>
      </c>
      <c r="H2470" t="s">
        <v>21</v>
      </c>
      <c r="I2470">
        <v>0</v>
      </c>
      <c r="J2470" t="s">
        <v>22</v>
      </c>
    </row>
    <row r="2471" spans="1:10" s="3" customFormat="1" x14ac:dyDescent="0.25">
      <c r="A2471" s="2">
        <v>509</v>
      </c>
      <c r="B2471" s="3" t="s">
        <v>23</v>
      </c>
      <c r="C2471" s="3">
        <v>647</v>
      </c>
      <c r="D2471" s="3">
        <v>1</v>
      </c>
      <c r="E2471" s="3" t="s">
        <v>24</v>
      </c>
      <c r="F2471" s="3" t="s">
        <v>25</v>
      </c>
      <c r="G2471" s="3" t="str">
        <f>"2025-08-01 08:57:46.734"</f>
        <v>2025-08-01 08:57:46.734</v>
      </c>
      <c r="H2471" s="3" t="s">
        <v>21</v>
      </c>
    </row>
    <row r="2472" spans="1:10" s="3" customFormat="1" x14ac:dyDescent="0.25">
      <c r="A2472" s="2">
        <v>510</v>
      </c>
      <c r="B2472" s="3" t="s">
        <v>26</v>
      </c>
      <c r="C2472" s="3">
        <v>647</v>
      </c>
      <c r="D2472" s="3">
        <v>1</v>
      </c>
      <c r="E2472" s="3" t="s">
        <v>24</v>
      </c>
      <c r="F2472" s="3" t="s">
        <v>25</v>
      </c>
      <c r="G2472" s="3" t="str">
        <f>"2025-08-01 08:57:43.835"</f>
        <v>2025-08-01 08:57:43.835</v>
      </c>
      <c r="H2472" s="3" t="s">
        <v>21</v>
      </c>
      <c r="I2472" s="3">
        <v>12.47</v>
      </c>
      <c r="J2472" s="3" t="s">
        <v>27</v>
      </c>
    </row>
    <row r="2473" spans="1:10" x14ac:dyDescent="0.25">
      <c r="A2473" s="1">
        <v>511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"2025-07-31 23:25:52.677"</f>
        <v>2025-07-31 23:25:52.677</v>
      </c>
      <c r="H2473" t="s">
        <v>21</v>
      </c>
      <c r="I2473">
        <v>0</v>
      </c>
      <c r="J2473" t="s">
        <v>22</v>
      </c>
    </row>
    <row r="2474" spans="1:10" x14ac:dyDescent="0.25">
      <c r="A2474" s="1">
        <v>512</v>
      </c>
      <c r="B2474" t="s">
        <v>23</v>
      </c>
      <c r="C2474">
        <v>635</v>
      </c>
      <c r="D2474">
        <v>1</v>
      </c>
      <c r="E2474" t="s">
        <v>31</v>
      </c>
      <c r="F2474" t="s">
        <v>32</v>
      </c>
      <c r="G2474" t="str">
        <f>"2025-07-31 17:36:22.411"</f>
        <v>2025-07-31 17:36:22.411</v>
      </c>
      <c r="H2474" t="s">
        <v>21</v>
      </c>
    </row>
    <row r="2475" spans="1:10" x14ac:dyDescent="0.25">
      <c r="A2475" s="1">
        <v>513</v>
      </c>
      <c r="B2475" t="s">
        <v>26</v>
      </c>
      <c r="C2475">
        <v>635</v>
      </c>
      <c r="D2475">
        <v>1</v>
      </c>
      <c r="E2475" t="s">
        <v>31</v>
      </c>
      <c r="F2475" t="s">
        <v>32</v>
      </c>
      <c r="G2475" t="str">
        <f>"2025-07-31 17:32:50.911"</f>
        <v>2025-07-31 17:32:50.911</v>
      </c>
      <c r="H2475" t="s">
        <v>21</v>
      </c>
      <c r="I2475">
        <v>2.86</v>
      </c>
      <c r="J2475" t="s">
        <v>33</v>
      </c>
    </row>
    <row r="2476" spans="1:10" x14ac:dyDescent="0.25">
      <c r="A2476" s="1">
        <v>514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"2025-07-31 13:33:16.753"</f>
        <v>2025-07-31 13:33:16.753</v>
      </c>
      <c r="H2476" t="s">
        <v>21</v>
      </c>
      <c r="I2476">
        <v>0</v>
      </c>
      <c r="J2476" t="s">
        <v>22</v>
      </c>
    </row>
    <row r="2477" spans="1:10" x14ac:dyDescent="0.25">
      <c r="A2477" s="1">
        <v>515</v>
      </c>
      <c r="B2477" t="s">
        <v>23</v>
      </c>
      <c r="C2477">
        <v>635</v>
      </c>
      <c r="D2477">
        <v>1</v>
      </c>
      <c r="E2477" t="s">
        <v>31</v>
      </c>
      <c r="F2477" t="s">
        <v>32</v>
      </c>
      <c r="G2477" t="str">
        <f>"2025-07-31 08:27:35.651"</f>
        <v>2025-07-31 08:27:35.651</v>
      </c>
      <c r="H2477" t="s">
        <v>21</v>
      </c>
    </row>
    <row r="2478" spans="1:10" x14ac:dyDescent="0.25">
      <c r="A2478" s="1">
        <v>516</v>
      </c>
      <c r="B2478" t="s">
        <v>26</v>
      </c>
      <c r="C2478">
        <v>635</v>
      </c>
      <c r="D2478">
        <v>1</v>
      </c>
      <c r="E2478" t="s">
        <v>31</v>
      </c>
      <c r="F2478" t="s">
        <v>32</v>
      </c>
      <c r="G2478" t="str">
        <f>"2025-07-31 08:22:34.151"</f>
        <v>2025-07-31 08:22:34.151</v>
      </c>
      <c r="H2478" t="s">
        <v>21</v>
      </c>
      <c r="I2478">
        <v>0</v>
      </c>
      <c r="J2478" t="s">
        <v>34</v>
      </c>
    </row>
    <row r="2479" spans="1:10" x14ac:dyDescent="0.25">
      <c r="A2479" s="1">
        <v>517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"2025-07-31 06:06:23.670"</f>
        <v>2025-07-31 06:06:23.670</v>
      </c>
      <c r="H2479" t="s">
        <v>21</v>
      </c>
    </row>
    <row r="2480" spans="1:10" s="3" customFormat="1" x14ac:dyDescent="0.25">
      <c r="A2480" s="2">
        <v>518</v>
      </c>
      <c r="B2480" s="3" t="s">
        <v>23</v>
      </c>
      <c r="C2480" s="3">
        <v>647</v>
      </c>
      <c r="D2480" s="3">
        <v>1</v>
      </c>
      <c r="E2480" s="3" t="s">
        <v>24</v>
      </c>
      <c r="F2480" s="3" t="s">
        <v>25</v>
      </c>
      <c r="G2480" s="3" t="str">
        <f>"2025-07-30 15:13:59.831"</f>
        <v>2025-07-30 15:13:59.831</v>
      </c>
      <c r="H2480" s="3" t="s">
        <v>21</v>
      </c>
    </row>
    <row r="2481" spans="1:10" s="3" customFormat="1" x14ac:dyDescent="0.25">
      <c r="A2481" s="2">
        <v>519</v>
      </c>
      <c r="B2481" s="3" t="s">
        <v>26</v>
      </c>
      <c r="C2481" s="3">
        <v>647</v>
      </c>
      <c r="D2481" s="3">
        <v>1</v>
      </c>
      <c r="E2481" s="3" t="s">
        <v>24</v>
      </c>
      <c r="F2481" s="3" t="s">
        <v>25</v>
      </c>
      <c r="G2481" s="3" t="str">
        <f>"2025-07-30 15:13:56.132"</f>
        <v>2025-07-30 15:13:56.132</v>
      </c>
      <c r="H2481" s="3" t="s">
        <v>21</v>
      </c>
      <c r="I2481" s="3">
        <v>9.99</v>
      </c>
      <c r="J2481" s="3" t="s">
        <v>27</v>
      </c>
    </row>
    <row r="2482" spans="1:10" x14ac:dyDescent="0.25">
      <c r="A2482" s="1">
        <v>520</v>
      </c>
      <c r="B2482" t="s">
        <v>19</v>
      </c>
      <c r="C2482">
        <v>706</v>
      </c>
      <c r="D2482">
        <v>2</v>
      </c>
      <c r="E2482" t="s">
        <v>28</v>
      </c>
      <c r="F2482" t="s">
        <v>39</v>
      </c>
      <c r="G2482" t="str">
        <f>"2025-07-30 14:15:52.744"</f>
        <v>2025-07-30 14:15:52.744</v>
      </c>
      <c r="H2482" t="s">
        <v>21</v>
      </c>
      <c r="I2482">
        <v>0</v>
      </c>
      <c r="J2482" t="s">
        <v>30</v>
      </c>
    </row>
    <row r="2483" spans="1:10" x14ac:dyDescent="0.25">
      <c r="A2483" s="1">
        <v>521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"2025-07-30 14:15:11.684"</f>
        <v>2025-07-30 14:15:11.684</v>
      </c>
      <c r="H2483" t="s">
        <v>21</v>
      </c>
      <c r="I2483">
        <v>0</v>
      </c>
      <c r="J2483" t="s">
        <v>22</v>
      </c>
    </row>
    <row r="2484" spans="1:10" x14ac:dyDescent="0.25">
      <c r="A2484" s="1">
        <v>522</v>
      </c>
      <c r="B2484" t="s">
        <v>19</v>
      </c>
      <c r="C2484">
        <v>700</v>
      </c>
      <c r="D2484">
        <v>0</v>
      </c>
      <c r="E2484" t="s">
        <v>20</v>
      </c>
      <c r="F2484" t="s">
        <v>20</v>
      </c>
      <c r="G2484" t="str">
        <f>"2025-07-30 13:41:31.637"</f>
        <v>2025-07-30 13:41:31.637</v>
      </c>
      <c r="H2484" t="s">
        <v>21</v>
      </c>
    </row>
    <row r="2485" spans="1:10" x14ac:dyDescent="0.25">
      <c r="A2485" s="1">
        <v>523</v>
      </c>
      <c r="B2485" t="s">
        <v>23</v>
      </c>
      <c r="C2485">
        <v>98</v>
      </c>
      <c r="D2485">
        <v>1</v>
      </c>
      <c r="E2485" t="s">
        <v>65</v>
      </c>
      <c r="F2485" t="s">
        <v>66</v>
      </c>
      <c r="G2485" t="str">
        <f>"2025-07-30 11:07:29.608"</f>
        <v>2025-07-30 11:07:29.608</v>
      </c>
      <c r="H2485" t="s">
        <v>21</v>
      </c>
    </row>
    <row r="2486" spans="1:10" x14ac:dyDescent="0.25">
      <c r="A2486" s="1">
        <v>524</v>
      </c>
      <c r="B2486" t="s">
        <v>19</v>
      </c>
      <c r="C2486">
        <v>700</v>
      </c>
      <c r="D2486">
        <v>0</v>
      </c>
      <c r="E2486" t="s">
        <v>20</v>
      </c>
      <c r="F2486" t="s">
        <v>20</v>
      </c>
      <c r="G2486" t="str">
        <f>"2025-07-30 11:07:26.776"</f>
        <v>2025-07-30 11:07:26.776</v>
      </c>
      <c r="H2486" t="s">
        <v>21</v>
      </c>
      <c r="I2486">
        <v>0</v>
      </c>
      <c r="J2486" t="s">
        <v>22</v>
      </c>
    </row>
    <row r="2487" spans="1:10" x14ac:dyDescent="0.25">
      <c r="A2487" s="1">
        <v>525</v>
      </c>
      <c r="B2487" t="s">
        <v>26</v>
      </c>
      <c r="C2487">
        <v>98</v>
      </c>
      <c r="D2487">
        <v>1</v>
      </c>
      <c r="E2487" t="s">
        <v>65</v>
      </c>
      <c r="F2487" t="s">
        <v>66</v>
      </c>
      <c r="G2487" t="str">
        <f>"2025-07-30 11:06:08.621"</f>
        <v>2025-07-30 11:06:08.621</v>
      </c>
      <c r="H2487" t="s">
        <v>21</v>
      </c>
      <c r="I2487">
        <v>0</v>
      </c>
      <c r="J2487" t="s">
        <v>34</v>
      </c>
    </row>
    <row r="2488" spans="1:10" x14ac:dyDescent="0.25">
      <c r="A2488" s="1">
        <v>526</v>
      </c>
      <c r="B2488" t="s">
        <v>44</v>
      </c>
      <c r="C2488">
        <v>33</v>
      </c>
      <c r="D2488">
        <v>1</v>
      </c>
      <c r="E2488" t="s">
        <v>45</v>
      </c>
      <c r="F2488" t="s">
        <v>46</v>
      </c>
      <c r="G2488" t="str">
        <f>"2025-07-30 11:05:28.722"</f>
        <v>2025-07-30 11:05:28.722</v>
      </c>
      <c r="H2488" t="s">
        <v>47</v>
      </c>
    </row>
    <row r="2489" spans="1:10" x14ac:dyDescent="0.25">
      <c r="A2489" s="1">
        <v>527</v>
      </c>
      <c r="B2489" t="s">
        <v>38</v>
      </c>
      <c r="C2489">
        <v>33</v>
      </c>
      <c r="D2489">
        <v>1</v>
      </c>
      <c r="E2489" t="s">
        <v>45</v>
      </c>
      <c r="F2489" t="s">
        <v>46</v>
      </c>
      <c r="G2489" t="str">
        <f>"2025-07-30 11:04:52.920"</f>
        <v>2025-07-30 11:04:52.920</v>
      </c>
      <c r="H2489" t="s">
        <v>47</v>
      </c>
      <c r="I2489">
        <v>25.86</v>
      </c>
      <c r="J2489" t="s">
        <v>33</v>
      </c>
    </row>
    <row r="2490" spans="1:10" s="3" customFormat="1" x14ac:dyDescent="0.25">
      <c r="A2490" s="2">
        <v>528</v>
      </c>
      <c r="B2490" s="3" t="s">
        <v>23</v>
      </c>
      <c r="C2490" s="3">
        <v>647</v>
      </c>
      <c r="D2490" s="3">
        <v>1</v>
      </c>
      <c r="E2490" s="3" t="s">
        <v>24</v>
      </c>
      <c r="F2490" s="3" t="s">
        <v>25</v>
      </c>
      <c r="G2490" s="3" t="str">
        <f>"2025-07-30 10:58:12.022"</f>
        <v>2025-07-30 10:58:12.022</v>
      </c>
      <c r="H2490" s="3" t="s">
        <v>21</v>
      </c>
    </row>
    <row r="2491" spans="1:10" s="3" customFormat="1" x14ac:dyDescent="0.25">
      <c r="A2491" s="2">
        <v>529</v>
      </c>
      <c r="B2491" s="3" t="s">
        <v>26</v>
      </c>
      <c r="C2491" s="3">
        <v>647</v>
      </c>
      <c r="D2491" s="3">
        <v>1</v>
      </c>
      <c r="E2491" s="3" t="s">
        <v>24</v>
      </c>
      <c r="F2491" s="3" t="s">
        <v>25</v>
      </c>
      <c r="G2491" s="3" t="str">
        <f>"2025-07-30 10:58:10.122"</f>
        <v>2025-07-30 10:58:10.122</v>
      </c>
      <c r="H2491" s="3" t="s">
        <v>21</v>
      </c>
      <c r="I2491" s="3">
        <v>8.6300000000000008</v>
      </c>
      <c r="J2491" s="3" t="s">
        <v>27</v>
      </c>
    </row>
    <row r="2492" spans="1:10" x14ac:dyDescent="0.25">
      <c r="A2492" s="1">
        <v>530</v>
      </c>
      <c r="B2492" t="s">
        <v>23</v>
      </c>
      <c r="C2492">
        <v>635</v>
      </c>
      <c r="D2492">
        <v>1</v>
      </c>
      <c r="E2492" t="s">
        <v>31</v>
      </c>
      <c r="F2492" t="s">
        <v>32</v>
      </c>
      <c r="G2492" t="str">
        <f>"2025-07-30 04:07:45.521"</f>
        <v>2025-07-30 04:07:45.521</v>
      </c>
      <c r="H2492" t="s">
        <v>21</v>
      </c>
    </row>
    <row r="2493" spans="1:10" x14ac:dyDescent="0.25">
      <c r="A2493" s="1">
        <v>531</v>
      </c>
      <c r="B2493" t="s">
        <v>26</v>
      </c>
      <c r="C2493">
        <v>635</v>
      </c>
      <c r="D2493">
        <v>1</v>
      </c>
      <c r="E2493" t="s">
        <v>31</v>
      </c>
      <c r="F2493" t="s">
        <v>32</v>
      </c>
      <c r="G2493" t="str">
        <f>"2025-07-30 04:04:42.521"</f>
        <v>2025-07-30 04:04:42.521</v>
      </c>
      <c r="H2493" t="s">
        <v>21</v>
      </c>
      <c r="I2493">
        <v>2.1</v>
      </c>
      <c r="J2493" t="s">
        <v>33</v>
      </c>
    </row>
    <row r="2494" spans="1:10" x14ac:dyDescent="0.25">
      <c r="A2494" s="1">
        <v>532</v>
      </c>
      <c r="B2494" t="s">
        <v>19</v>
      </c>
      <c r="C2494">
        <v>700</v>
      </c>
      <c r="D2494">
        <v>0</v>
      </c>
      <c r="E2494" t="s">
        <v>20</v>
      </c>
      <c r="F2494" t="s">
        <v>20</v>
      </c>
      <c r="G2494" t="str">
        <f>"2025-07-29 16:40:28.651"</f>
        <v>2025-07-29 16:40:28.651</v>
      </c>
      <c r="H2494" t="s">
        <v>21</v>
      </c>
    </row>
    <row r="2495" spans="1:10" x14ac:dyDescent="0.25">
      <c r="A2495" s="1">
        <v>533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"2025-07-29 13:50:59.640"</f>
        <v>2025-07-29 13:50:59.640</v>
      </c>
      <c r="H2495" t="s">
        <v>21</v>
      </c>
    </row>
    <row r="2496" spans="1:10" s="3" customFormat="1" x14ac:dyDescent="0.25">
      <c r="A2496" s="2">
        <v>534</v>
      </c>
      <c r="B2496" s="3" t="s">
        <v>23</v>
      </c>
      <c r="C2496" s="3">
        <v>647</v>
      </c>
      <c r="D2496" s="3">
        <v>1</v>
      </c>
      <c r="E2496" s="3" t="s">
        <v>24</v>
      </c>
      <c r="F2496" s="3" t="s">
        <v>25</v>
      </c>
      <c r="G2496" s="3" t="str">
        <f>"2025-07-29 10:58:29.996"</f>
        <v>2025-07-29 10:58:29.996</v>
      </c>
      <c r="H2496" s="3" t="s">
        <v>21</v>
      </c>
    </row>
    <row r="2497" spans="1:10" s="3" customFormat="1" x14ac:dyDescent="0.25">
      <c r="A2497" s="2">
        <v>535</v>
      </c>
      <c r="B2497" s="3" t="s">
        <v>26</v>
      </c>
      <c r="C2497" s="3">
        <v>647</v>
      </c>
      <c r="D2497" s="3">
        <v>1</v>
      </c>
      <c r="E2497" s="3" t="s">
        <v>24</v>
      </c>
      <c r="F2497" s="3" t="s">
        <v>25</v>
      </c>
      <c r="G2497" s="3" t="str">
        <f>"2025-07-29 10:58:28.296"</f>
        <v>2025-07-29 10:58:28.296</v>
      </c>
      <c r="H2497" s="3" t="s">
        <v>21</v>
      </c>
      <c r="I2497" s="3">
        <v>8.4600000000000009</v>
      </c>
      <c r="J2497" s="3" t="s">
        <v>27</v>
      </c>
    </row>
    <row r="2498" spans="1:10" x14ac:dyDescent="0.25">
      <c r="A2498" s="1">
        <v>536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"2025-07-29 08:43:12.725"</f>
        <v>2025-07-29 08:43:12.725</v>
      </c>
      <c r="H2498" t="s">
        <v>21</v>
      </c>
    </row>
    <row r="2499" spans="1:10" x14ac:dyDescent="0.25">
      <c r="A2499" s="1">
        <v>537</v>
      </c>
      <c r="B2499" t="s">
        <v>19</v>
      </c>
      <c r="C2499">
        <v>700</v>
      </c>
      <c r="D2499">
        <v>0</v>
      </c>
      <c r="E2499" t="s">
        <v>20</v>
      </c>
      <c r="F2499" t="s">
        <v>20</v>
      </c>
      <c r="G2499" t="str">
        <f>"2025-07-28 22:38:33.622"</f>
        <v>2025-07-28 22:38:33.622</v>
      </c>
      <c r="H2499" t="s">
        <v>21</v>
      </c>
      <c r="I2499">
        <v>0</v>
      </c>
      <c r="J2499" t="s">
        <v>22</v>
      </c>
    </row>
    <row r="2500" spans="1:10" x14ac:dyDescent="0.25">
      <c r="A2500" s="1">
        <v>538</v>
      </c>
      <c r="B2500" t="s">
        <v>23</v>
      </c>
      <c r="C2500">
        <v>61</v>
      </c>
      <c r="D2500">
        <v>2</v>
      </c>
      <c r="E2500" t="s">
        <v>75</v>
      </c>
      <c r="F2500" t="s">
        <v>76</v>
      </c>
      <c r="G2500" t="str">
        <f>"2025-07-28 18:58:34.409"</f>
        <v>2025-07-28 18:58:34.409</v>
      </c>
      <c r="H2500" t="s">
        <v>21</v>
      </c>
    </row>
    <row r="2501" spans="1:10" x14ac:dyDescent="0.25">
      <c r="A2501" s="1">
        <v>539</v>
      </c>
      <c r="B2501" t="s">
        <v>38</v>
      </c>
      <c r="C2501">
        <v>61</v>
      </c>
      <c r="D2501">
        <v>2</v>
      </c>
      <c r="E2501" t="s">
        <v>75</v>
      </c>
      <c r="F2501" t="s">
        <v>76</v>
      </c>
      <c r="G2501" t="str">
        <f>"2025-07-28 18:58:26.709"</f>
        <v>2025-07-28 18:58:26.709</v>
      </c>
      <c r="H2501" t="s">
        <v>21</v>
      </c>
      <c r="I2501">
        <v>35.11</v>
      </c>
      <c r="J2501" t="s">
        <v>27</v>
      </c>
    </row>
    <row r="2502" spans="1:10" x14ac:dyDescent="0.25">
      <c r="A2502" s="1">
        <v>540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"2025-07-28 13:39:30.648"</f>
        <v>2025-07-28 13:39:30.648</v>
      </c>
      <c r="H2502" t="s">
        <v>21</v>
      </c>
      <c r="I2502">
        <v>0</v>
      </c>
      <c r="J2502" t="s">
        <v>22</v>
      </c>
    </row>
    <row r="2503" spans="1:10" s="3" customFormat="1" x14ac:dyDescent="0.25">
      <c r="A2503" s="2">
        <v>541</v>
      </c>
      <c r="B2503" s="3" t="s">
        <v>23</v>
      </c>
      <c r="C2503" s="3">
        <v>647</v>
      </c>
      <c r="D2503" s="3">
        <v>1</v>
      </c>
      <c r="E2503" s="3" t="s">
        <v>24</v>
      </c>
      <c r="F2503" s="3" t="s">
        <v>25</v>
      </c>
      <c r="G2503" s="3" t="str">
        <f>"2025-07-28 09:45:28.610"</f>
        <v>2025-07-28 09:45:28.610</v>
      </c>
      <c r="H2503" s="3" t="s">
        <v>21</v>
      </c>
    </row>
    <row r="2504" spans="1:10" s="3" customFormat="1" x14ac:dyDescent="0.25">
      <c r="A2504" s="2">
        <v>542</v>
      </c>
      <c r="B2504" s="3" t="s">
        <v>26</v>
      </c>
      <c r="C2504" s="3">
        <v>647</v>
      </c>
      <c r="D2504" s="3">
        <v>1</v>
      </c>
      <c r="E2504" s="3" t="s">
        <v>24</v>
      </c>
      <c r="F2504" s="3" t="s">
        <v>25</v>
      </c>
      <c r="G2504" s="3" t="str">
        <f>"2025-07-28 09:45:26.110"</f>
        <v>2025-07-28 09:45:26.110</v>
      </c>
      <c r="H2504" s="3" t="s">
        <v>21</v>
      </c>
      <c r="I2504" s="3">
        <v>19.21</v>
      </c>
      <c r="J2504" s="3" t="s">
        <v>27</v>
      </c>
    </row>
    <row r="2505" spans="1:10" s="3" customFormat="1" x14ac:dyDescent="0.25">
      <c r="A2505" s="2">
        <v>543</v>
      </c>
      <c r="B2505" s="3" t="s">
        <v>23</v>
      </c>
      <c r="C2505" s="3">
        <v>647</v>
      </c>
      <c r="D2505" s="3">
        <v>1</v>
      </c>
      <c r="E2505" s="3" t="s">
        <v>24</v>
      </c>
      <c r="F2505" s="3" t="s">
        <v>25</v>
      </c>
      <c r="G2505" s="3" t="str">
        <f>"2025-07-28 02:03:44.210"</f>
        <v>2025-07-28 02:03:44.210</v>
      </c>
      <c r="H2505" s="3" t="s">
        <v>21</v>
      </c>
    </row>
    <row r="2506" spans="1:10" s="3" customFormat="1" x14ac:dyDescent="0.25">
      <c r="A2506" s="2">
        <v>544</v>
      </c>
      <c r="B2506" s="3" t="s">
        <v>26</v>
      </c>
      <c r="C2506" s="3">
        <v>647</v>
      </c>
      <c r="D2506" s="3">
        <v>1</v>
      </c>
      <c r="E2506" s="3" t="s">
        <v>24</v>
      </c>
      <c r="F2506" s="3" t="s">
        <v>25</v>
      </c>
      <c r="G2506" s="3" t="str">
        <f>"2025-07-28 02:03:39.310"</f>
        <v>2025-07-28 02:03:39.310</v>
      </c>
      <c r="H2506" s="3" t="s">
        <v>21</v>
      </c>
      <c r="I2506" s="3">
        <v>9.31</v>
      </c>
      <c r="J2506" s="3" t="s">
        <v>27</v>
      </c>
    </row>
    <row r="2507" spans="1:10" x14ac:dyDescent="0.25">
      <c r="A2507" s="1">
        <v>545</v>
      </c>
      <c r="B2507" t="s">
        <v>23</v>
      </c>
      <c r="C2507">
        <v>635</v>
      </c>
      <c r="D2507">
        <v>1</v>
      </c>
      <c r="E2507" t="s">
        <v>31</v>
      </c>
      <c r="F2507" t="s">
        <v>32</v>
      </c>
      <c r="G2507" t="str">
        <f>"2025-07-27 07:12:10.109"</f>
        <v>2025-07-27 07:12:10.109</v>
      </c>
      <c r="H2507" t="s">
        <v>21</v>
      </c>
    </row>
    <row r="2508" spans="1:10" x14ac:dyDescent="0.25">
      <c r="A2508" s="1">
        <v>546</v>
      </c>
      <c r="B2508" t="s">
        <v>26</v>
      </c>
      <c r="C2508">
        <v>635</v>
      </c>
      <c r="D2508">
        <v>1</v>
      </c>
      <c r="E2508" t="s">
        <v>31</v>
      </c>
      <c r="F2508" t="s">
        <v>32</v>
      </c>
      <c r="G2508" t="str">
        <f>"2025-07-27 07:08:23.609"</f>
        <v>2025-07-27 07:08:23.609</v>
      </c>
      <c r="H2508" t="s">
        <v>21</v>
      </c>
      <c r="I2508">
        <v>1.3</v>
      </c>
      <c r="J2508" t="s">
        <v>27</v>
      </c>
    </row>
    <row r="2509" spans="1:10" x14ac:dyDescent="0.25">
      <c r="A2509" s="1">
        <v>547</v>
      </c>
      <c r="B2509" t="s">
        <v>23</v>
      </c>
      <c r="C2509">
        <v>98</v>
      </c>
      <c r="D2509">
        <v>1</v>
      </c>
      <c r="E2509" t="s">
        <v>65</v>
      </c>
      <c r="F2509" t="s">
        <v>66</v>
      </c>
      <c r="G2509" t="str">
        <f>"2025-07-26 23:19:17.821"</f>
        <v>2025-07-26 23:19:17.821</v>
      </c>
      <c r="H2509" t="s">
        <v>21</v>
      </c>
    </row>
    <row r="2510" spans="1:10" x14ac:dyDescent="0.25">
      <c r="A2510" s="1">
        <v>548</v>
      </c>
      <c r="B2510" t="s">
        <v>26</v>
      </c>
      <c r="C2510">
        <v>98</v>
      </c>
      <c r="D2510">
        <v>1</v>
      </c>
      <c r="E2510" t="s">
        <v>65</v>
      </c>
      <c r="F2510" t="s">
        <v>66</v>
      </c>
      <c r="G2510" t="str">
        <f>"2025-07-26 23:19:16.822"</f>
        <v>2025-07-26 23:19:16.822</v>
      </c>
      <c r="H2510" t="s">
        <v>21</v>
      </c>
      <c r="I2510">
        <v>0</v>
      </c>
      <c r="J2510" t="s">
        <v>34</v>
      </c>
    </row>
    <row r="2511" spans="1:10" x14ac:dyDescent="0.25">
      <c r="A2511" s="1">
        <v>549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"2025-07-26 20:35:18.619"</f>
        <v>2025-07-26 20:35:18.619</v>
      </c>
      <c r="H2511" t="s">
        <v>21</v>
      </c>
    </row>
    <row r="2512" spans="1:10" x14ac:dyDescent="0.25">
      <c r="A2512" s="1">
        <v>550</v>
      </c>
      <c r="B2512" t="s">
        <v>44</v>
      </c>
      <c r="C2512">
        <v>33</v>
      </c>
      <c r="D2512">
        <v>1</v>
      </c>
      <c r="E2512" t="s">
        <v>45</v>
      </c>
      <c r="F2512" t="s">
        <v>46</v>
      </c>
      <c r="G2512" t="str">
        <f>"2025-07-26 16:55:07.931"</f>
        <v>2025-07-26 16:55:07.931</v>
      </c>
      <c r="H2512" t="s">
        <v>47</v>
      </c>
    </row>
    <row r="2513" spans="1:10" x14ac:dyDescent="0.25">
      <c r="A2513" s="1">
        <v>551</v>
      </c>
      <c r="B2513" t="s">
        <v>38</v>
      </c>
      <c r="C2513">
        <v>33</v>
      </c>
      <c r="D2513">
        <v>1</v>
      </c>
      <c r="E2513" t="s">
        <v>45</v>
      </c>
      <c r="F2513" t="s">
        <v>46</v>
      </c>
      <c r="G2513" t="str">
        <f>"2025-07-26 16:54:45.249"</f>
        <v>2025-07-26 16:54:45.249</v>
      </c>
      <c r="H2513" t="s">
        <v>47</v>
      </c>
      <c r="I2513">
        <v>10.78</v>
      </c>
      <c r="J2513" t="s">
        <v>33</v>
      </c>
    </row>
    <row r="2514" spans="1:10" x14ac:dyDescent="0.25">
      <c r="A2514" s="1">
        <v>552</v>
      </c>
      <c r="B2514" t="s">
        <v>44</v>
      </c>
      <c r="C2514">
        <v>33</v>
      </c>
      <c r="D2514">
        <v>1</v>
      </c>
      <c r="E2514" t="s">
        <v>45</v>
      </c>
      <c r="F2514" t="s">
        <v>46</v>
      </c>
      <c r="G2514" t="str">
        <f>"2025-07-26 15:44:06.731"</f>
        <v>2025-07-26 15:44:06.731</v>
      </c>
      <c r="H2514" t="s">
        <v>47</v>
      </c>
    </row>
    <row r="2515" spans="1:10" x14ac:dyDescent="0.25">
      <c r="A2515" s="1">
        <v>553</v>
      </c>
      <c r="B2515" t="s">
        <v>38</v>
      </c>
      <c r="C2515">
        <v>33</v>
      </c>
      <c r="D2515">
        <v>1</v>
      </c>
      <c r="E2515" t="s">
        <v>45</v>
      </c>
      <c r="F2515" t="s">
        <v>46</v>
      </c>
      <c r="G2515" t="str">
        <f>"2025-07-26 15:43:50.830"</f>
        <v>2025-07-26 15:43:50.830</v>
      </c>
      <c r="H2515" t="s">
        <v>47</v>
      </c>
      <c r="I2515">
        <v>10.210000000000001</v>
      </c>
      <c r="J2515" t="s">
        <v>33</v>
      </c>
    </row>
    <row r="2516" spans="1:10" x14ac:dyDescent="0.25">
      <c r="A2516" s="1">
        <v>554</v>
      </c>
      <c r="B2516" t="s">
        <v>44</v>
      </c>
      <c r="C2516">
        <v>33</v>
      </c>
      <c r="D2516">
        <v>1</v>
      </c>
      <c r="E2516" t="s">
        <v>45</v>
      </c>
      <c r="F2516" t="s">
        <v>46</v>
      </c>
      <c r="G2516" t="str">
        <f>"2025-07-26 14:52:36.478"</f>
        <v>2025-07-26 14:52:36.478</v>
      </c>
      <c r="H2516" t="s">
        <v>47</v>
      </c>
    </row>
    <row r="2517" spans="1:10" x14ac:dyDescent="0.25">
      <c r="A2517" s="1">
        <v>555</v>
      </c>
      <c r="B2517" t="s">
        <v>38</v>
      </c>
      <c r="C2517">
        <v>33</v>
      </c>
      <c r="D2517">
        <v>1</v>
      </c>
      <c r="E2517" t="s">
        <v>45</v>
      </c>
      <c r="F2517" t="s">
        <v>46</v>
      </c>
      <c r="G2517" t="str">
        <f>"2025-07-26 14:52:17.150"</f>
        <v>2025-07-26 14:52:17.150</v>
      </c>
      <c r="H2517" t="s">
        <v>47</v>
      </c>
      <c r="I2517">
        <v>9.4</v>
      </c>
      <c r="J2517" t="s">
        <v>33</v>
      </c>
    </row>
    <row r="2518" spans="1:10" x14ac:dyDescent="0.25">
      <c r="A2518" s="1">
        <v>556</v>
      </c>
      <c r="B2518" t="s">
        <v>19</v>
      </c>
      <c r="C2518">
        <v>700</v>
      </c>
      <c r="D2518">
        <v>0</v>
      </c>
      <c r="E2518" t="s">
        <v>20</v>
      </c>
      <c r="F2518" t="s">
        <v>20</v>
      </c>
      <c r="G2518" t="str">
        <f>"2025-07-26 13:07:32.726"</f>
        <v>2025-07-26 13:07:32.726</v>
      </c>
      <c r="H2518" t="s">
        <v>21</v>
      </c>
    </row>
    <row r="2519" spans="1:10" x14ac:dyDescent="0.25">
      <c r="A2519" s="1">
        <v>557</v>
      </c>
      <c r="B2519" t="s">
        <v>44</v>
      </c>
      <c r="C2519">
        <v>625</v>
      </c>
      <c r="D2519">
        <v>1</v>
      </c>
      <c r="E2519" t="s">
        <v>72</v>
      </c>
      <c r="F2519" t="s">
        <v>32</v>
      </c>
      <c r="G2519" t="str">
        <f>"2025-07-26 12:27:41.049"</f>
        <v>2025-07-26 12:27:41.049</v>
      </c>
      <c r="H2519" t="s">
        <v>21</v>
      </c>
    </row>
    <row r="2520" spans="1:10" x14ac:dyDescent="0.25">
      <c r="A2520" s="1">
        <v>558</v>
      </c>
      <c r="B2520" t="s">
        <v>38</v>
      </c>
      <c r="C2520">
        <v>625</v>
      </c>
      <c r="D2520">
        <v>1</v>
      </c>
      <c r="E2520" t="s">
        <v>72</v>
      </c>
      <c r="F2520" t="s">
        <v>32</v>
      </c>
      <c r="G2520" t="str">
        <f>"2025-07-26 12:23:13.381"</f>
        <v>2025-07-26 12:23:13.381</v>
      </c>
      <c r="H2520" t="s">
        <v>21</v>
      </c>
      <c r="I2520">
        <v>10.72</v>
      </c>
      <c r="J2520" t="s">
        <v>33</v>
      </c>
    </row>
    <row r="2521" spans="1:10" x14ac:dyDescent="0.25">
      <c r="A2521" s="1">
        <v>559</v>
      </c>
      <c r="B2521" t="s">
        <v>44</v>
      </c>
      <c r="C2521">
        <v>33</v>
      </c>
      <c r="D2521">
        <v>1</v>
      </c>
      <c r="E2521" t="s">
        <v>45</v>
      </c>
      <c r="F2521" t="s">
        <v>46</v>
      </c>
      <c r="G2521" t="str">
        <f>"2025-07-26 09:36:04.549"</f>
        <v>2025-07-26 09:36:04.549</v>
      </c>
      <c r="H2521" t="s">
        <v>47</v>
      </c>
    </row>
    <row r="2522" spans="1:10" x14ac:dyDescent="0.25">
      <c r="A2522" s="1">
        <v>560</v>
      </c>
      <c r="B2522" t="s">
        <v>38</v>
      </c>
      <c r="C2522">
        <v>33</v>
      </c>
      <c r="D2522">
        <v>1</v>
      </c>
      <c r="E2522" t="s">
        <v>45</v>
      </c>
      <c r="F2522" t="s">
        <v>46</v>
      </c>
      <c r="G2522" t="str">
        <f>"2025-07-26 09:35:53.621"</f>
        <v>2025-07-26 09:35:53.621</v>
      </c>
      <c r="H2522" t="s">
        <v>47</v>
      </c>
      <c r="I2522">
        <v>8.74</v>
      </c>
      <c r="J2522" t="s">
        <v>33</v>
      </c>
    </row>
    <row r="2523" spans="1:10" x14ac:dyDescent="0.25">
      <c r="A2523" s="1">
        <v>561</v>
      </c>
      <c r="B2523" t="s">
        <v>23</v>
      </c>
      <c r="C2523">
        <v>630</v>
      </c>
      <c r="D2523">
        <v>5</v>
      </c>
      <c r="E2523" t="s">
        <v>35</v>
      </c>
      <c r="F2523" t="s">
        <v>36</v>
      </c>
      <c r="G2523" t="str">
        <f>"2025-07-26 01:31:06.003"</f>
        <v>2025-07-26 01:31:06.003</v>
      </c>
      <c r="H2523" t="s">
        <v>37</v>
      </c>
    </row>
    <row r="2524" spans="1:10" x14ac:dyDescent="0.25">
      <c r="A2524" s="1">
        <v>562</v>
      </c>
      <c r="B2524" t="s">
        <v>19</v>
      </c>
      <c r="C2524">
        <v>706</v>
      </c>
      <c r="D2524">
        <v>4</v>
      </c>
      <c r="E2524" t="s">
        <v>28</v>
      </c>
      <c r="F2524" t="s">
        <v>29</v>
      </c>
      <c r="G2524" t="str">
        <f>"2025-07-26 01:30:35.911"</f>
        <v>2025-07-26 01:30:35.911</v>
      </c>
      <c r="H2524" t="s">
        <v>21</v>
      </c>
      <c r="I2524">
        <v>0</v>
      </c>
      <c r="J2524" t="s">
        <v>30</v>
      </c>
    </row>
    <row r="2525" spans="1:10" x14ac:dyDescent="0.25">
      <c r="A2525" s="1">
        <v>563</v>
      </c>
      <c r="B2525" t="s">
        <v>38</v>
      </c>
      <c r="C2525">
        <v>630</v>
      </c>
      <c r="D2525">
        <v>5</v>
      </c>
      <c r="E2525" t="s">
        <v>35</v>
      </c>
      <c r="F2525" t="s">
        <v>36</v>
      </c>
      <c r="G2525" t="str">
        <f>"2025-07-26 00:29:18.403"</f>
        <v>2025-07-26 00:29:18.403</v>
      </c>
      <c r="H2525" t="s">
        <v>37</v>
      </c>
      <c r="I2525">
        <v>0</v>
      </c>
      <c r="J2525" t="s">
        <v>30</v>
      </c>
    </row>
    <row r="2526" spans="1:10" x14ac:dyDescent="0.25">
      <c r="A2526" s="1">
        <v>564</v>
      </c>
      <c r="B2526" t="s">
        <v>19</v>
      </c>
      <c r="C2526">
        <v>700</v>
      </c>
      <c r="D2526">
        <v>0</v>
      </c>
      <c r="E2526" t="s">
        <v>20</v>
      </c>
      <c r="F2526" t="s">
        <v>20</v>
      </c>
      <c r="G2526" t="str">
        <f>"2025-07-26 00:24:15.621"</f>
        <v>2025-07-26 00:24:15.621</v>
      </c>
      <c r="H2526" t="s">
        <v>21</v>
      </c>
      <c r="I2526">
        <v>0</v>
      </c>
      <c r="J2526" t="s">
        <v>22</v>
      </c>
    </row>
    <row r="2527" spans="1:10" x14ac:dyDescent="0.25">
      <c r="A2527" s="1">
        <v>565</v>
      </c>
      <c r="B2527" t="s">
        <v>38</v>
      </c>
      <c r="C2527">
        <v>630</v>
      </c>
      <c r="D2527">
        <v>5</v>
      </c>
      <c r="E2527" t="s">
        <v>35</v>
      </c>
      <c r="F2527" t="s">
        <v>36</v>
      </c>
      <c r="G2527" t="str">
        <f>"2025-07-25 23:35:15.054"</f>
        <v>2025-07-25 23:35:15.054</v>
      </c>
      <c r="H2527" t="s">
        <v>37</v>
      </c>
      <c r="I2527">
        <v>0</v>
      </c>
      <c r="J2527" t="s">
        <v>30</v>
      </c>
    </row>
    <row r="2528" spans="1:10" x14ac:dyDescent="0.25">
      <c r="A2528" s="1">
        <v>566</v>
      </c>
      <c r="B2528" t="s">
        <v>19</v>
      </c>
      <c r="C2528">
        <v>706</v>
      </c>
      <c r="D2528">
        <v>2</v>
      </c>
      <c r="E2528" t="s">
        <v>28</v>
      </c>
      <c r="F2528" t="s">
        <v>39</v>
      </c>
      <c r="G2528" t="str">
        <f>"2025-07-25 23:28:25.889"</f>
        <v>2025-07-25 23:28:25.889</v>
      </c>
      <c r="H2528" t="s">
        <v>21</v>
      </c>
      <c r="I2528">
        <v>0</v>
      </c>
      <c r="J2528" t="s">
        <v>30</v>
      </c>
    </row>
    <row r="2529" spans="1:10" x14ac:dyDescent="0.25">
      <c r="A2529" s="1">
        <v>567</v>
      </c>
      <c r="B2529" t="s">
        <v>19</v>
      </c>
      <c r="C2529">
        <v>706</v>
      </c>
      <c r="D2529">
        <v>4</v>
      </c>
      <c r="E2529" t="s">
        <v>28</v>
      </c>
      <c r="F2529" t="s">
        <v>29</v>
      </c>
      <c r="G2529" t="str">
        <f>"2025-07-25 23:21:50.849"</f>
        <v>2025-07-25 23:21:50.849</v>
      </c>
      <c r="H2529" t="s">
        <v>21</v>
      </c>
      <c r="I2529">
        <v>0</v>
      </c>
      <c r="J2529" t="s">
        <v>30</v>
      </c>
    </row>
    <row r="2530" spans="1:10" x14ac:dyDescent="0.25">
      <c r="A2530" s="1">
        <v>568</v>
      </c>
      <c r="B2530" t="s">
        <v>19</v>
      </c>
      <c r="C2530">
        <v>700</v>
      </c>
      <c r="D2530">
        <v>0</v>
      </c>
      <c r="E2530" t="s">
        <v>20</v>
      </c>
      <c r="F2530" t="s">
        <v>20</v>
      </c>
      <c r="G2530" t="str">
        <f>"2025-07-25 23:21:26.629"</f>
        <v>2025-07-25 23:21:26.629</v>
      </c>
      <c r="H2530" t="s">
        <v>21</v>
      </c>
      <c r="I2530">
        <v>0</v>
      </c>
      <c r="J2530" t="s">
        <v>22</v>
      </c>
    </row>
    <row r="2531" spans="1:10" x14ac:dyDescent="0.25">
      <c r="A2531" s="1">
        <v>569</v>
      </c>
      <c r="B2531" t="s">
        <v>38</v>
      </c>
      <c r="C2531">
        <v>630</v>
      </c>
      <c r="D2531">
        <v>5</v>
      </c>
      <c r="E2531" t="s">
        <v>35</v>
      </c>
      <c r="F2531" t="s">
        <v>36</v>
      </c>
      <c r="G2531" t="str">
        <f>"2025-07-25 22:18:02.702"</f>
        <v>2025-07-25 22:18:02.702</v>
      </c>
      <c r="H2531" t="s">
        <v>37</v>
      </c>
      <c r="I2531">
        <v>0</v>
      </c>
      <c r="J2531" t="s">
        <v>30</v>
      </c>
    </row>
    <row r="2532" spans="1:10" x14ac:dyDescent="0.25">
      <c r="A2532" s="1">
        <v>570</v>
      </c>
      <c r="B2532" t="s">
        <v>19</v>
      </c>
      <c r="C2532">
        <v>700</v>
      </c>
      <c r="D2532">
        <v>0</v>
      </c>
      <c r="E2532" t="s">
        <v>20</v>
      </c>
      <c r="F2532" t="s">
        <v>20</v>
      </c>
      <c r="G2532" t="str">
        <f>"2025-07-25 22:12:59.871"</f>
        <v>2025-07-25 22:12:59.871</v>
      </c>
      <c r="H2532" t="s">
        <v>21</v>
      </c>
      <c r="I2532">
        <v>0</v>
      </c>
      <c r="J2532" t="s">
        <v>22</v>
      </c>
    </row>
    <row r="2533" spans="1:10" s="3" customFormat="1" x14ac:dyDescent="0.25">
      <c r="A2533" s="2">
        <v>571</v>
      </c>
      <c r="B2533" s="3" t="s">
        <v>23</v>
      </c>
      <c r="C2533" s="3">
        <v>647</v>
      </c>
      <c r="D2533" s="3">
        <v>1</v>
      </c>
      <c r="E2533" s="3" t="s">
        <v>24</v>
      </c>
      <c r="F2533" s="3" t="s">
        <v>25</v>
      </c>
      <c r="G2533" s="3" t="str">
        <f>"2025-07-25 18:33:54.969"</f>
        <v>2025-07-25 18:33:54.969</v>
      </c>
      <c r="H2533" s="3" t="s">
        <v>21</v>
      </c>
    </row>
    <row r="2534" spans="1:10" s="3" customFormat="1" x14ac:dyDescent="0.25">
      <c r="A2534" s="2">
        <v>572</v>
      </c>
      <c r="B2534" s="3" t="s">
        <v>26</v>
      </c>
      <c r="C2534" s="3">
        <v>647</v>
      </c>
      <c r="D2534" s="3">
        <v>1</v>
      </c>
      <c r="E2534" s="3" t="s">
        <v>24</v>
      </c>
      <c r="F2534" s="3" t="s">
        <v>25</v>
      </c>
      <c r="G2534" s="3" t="str">
        <f>"2025-07-25 18:33:46.969"</f>
        <v>2025-07-25 18:33:46.969</v>
      </c>
      <c r="H2534" s="3" t="s">
        <v>21</v>
      </c>
      <c r="I2534" s="3">
        <v>11.92</v>
      </c>
      <c r="J2534" s="3" t="s">
        <v>27</v>
      </c>
    </row>
    <row r="2535" spans="1:10" x14ac:dyDescent="0.25">
      <c r="A2535" s="1">
        <v>573</v>
      </c>
      <c r="B2535" t="s">
        <v>23</v>
      </c>
      <c r="C2535">
        <v>635</v>
      </c>
      <c r="D2535">
        <v>1</v>
      </c>
      <c r="E2535" t="s">
        <v>31</v>
      </c>
      <c r="F2535" t="s">
        <v>32</v>
      </c>
      <c r="G2535" t="str">
        <f>"2025-07-25 16:59:23.368"</f>
        <v>2025-07-25 16:59:23.368</v>
      </c>
      <c r="H2535" t="s">
        <v>21</v>
      </c>
    </row>
    <row r="2536" spans="1:10" x14ac:dyDescent="0.25">
      <c r="A2536" s="1">
        <v>574</v>
      </c>
      <c r="B2536" t="s">
        <v>26</v>
      </c>
      <c r="C2536">
        <v>635</v>
      </c>
      <c r="D2536">
        <v>1</v>
      </c>
      <c r="E2536" t="s">
        <v>31</v>
      </c>
      <c r="F2536" t="s">
        <v>32</v>
      </c>
      <c r="G2536" t="str">
        <f>"2025-07-25 16:54:14.368"</f>
        <v>2025-07-25 16:54:14.368</v>
      </c>
      <c r="H2536" t="s">
        <v>21</v>
      </c>
      <c r="I2536">
        <v>0.01</v>
      </c>
      <c r="J2536" t="s">
        <v>34</v>
      </c>
    </row>
    <row r="2537" spans="1:10" x14ac:dyDescent="0.25">
      <c r="A2537" s="1">
        <v>575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"2025-07-25 12:39:14.787"</f>
        <v>2025-07-25 12:39:14.787</v>
      </c>
      <c r="H2537" t="s">
        <v>21</v>
      </c>
      <c r="I2537">
        <v>0</v>
      </c>
      <c r="J2537" t="s">
        <v>22</v>
      </c>
    </row>
    <row r="2538" spans="1:10" x14ac:dyDescent="0.25">
      <c r="A2538" s="1">
        <v>576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"2025-07-24 21:03:10.647"</f>
        <v>2025-07-24 21:03:10.647</v>
      </c>
      <c r="H2538" t="s">
        <v>21</v>
      </c>
      <c r="I2538">
        <v>0</v>
      </c>
      <c r="J2538" t="s">
        <v>22</v>
      </c>
    </row>
    <row r="2539" spans="1:10" x14ac:dyDescent="0.25">
      <c r="A2539" s="1">
        <v>577</v>
      </c>
      <c r="B2539" t="s">
        <v>19</v>
      </c>
      <c r="C2539">
        <v>706</v>
      </c>
      <c r="D2539">
        <v>4</v>
      </c>
      <c r="E2539" t="s">
        <v>28</v>
      </c>
      <c r="F2539" t="s">
        <v>29</v>
      </c>
      <c r="G2539" t="str">
        <f>"2025-07-24 14:01:56.450"</f>
        <v>2025-07-24 14:01:56.450</v>
      </c>
      <c r="H2539" t="s">
        <v>21</v>
      </c>
      <c r="I2539">
        <v>0</v>
      </c>
      <c r="J2539" t="s">
        <v>30</v>
      </c>
    </row>
    <row r="2540" spans="1:10" x14ac:dyDescent="0.25">
      <c r="A2540" s="1">
        <v>578</v>
      </c>
      <c r="B2540" t="s">
        <v>19</v>
      </c>
      <c r="C2540">
        <v>700</v>
      </c>
      <c r="D2540">
        <v>0</v>
      </c>
      <c r="E2540" t="s">
        <v>20</v>
      </c>
      <c r="F2540" t="s">
        <v>20</v>
      </c>
      <c r="G2540" t="str">
        <f>"2025-07-24 14:01:19.640"</f>
        <v>2025-07-24 14:01:19.640</v>
      </c>
      <c r="H2540" t="s">
        <v>21</v>
      </c>
      <c r="I2540">
        <v>0</v>
      </c>
      <c r="J2540" t="s">
        <v>22</v>
      </c>
    </row>
    <row r="2541" spans="1:10" x14ac:dyDescent="0.25">
      <c r="A2541" s="1">
        <v>579</v>
      </c>
      <c r="B2541" t="s">
        <v>19</v>
      </c>
      <c r="C2541">
        <v>706</v>
      </c>
      <c r="D2541">
        <v>4</v>
      </c>
      <c r="E2541" t="s">
        <v>28</v>
      </c>
      <c r="F2541" t="s">
        <v>29</v>
      </c>
      <c r="G2541" t="str">
        <f>"2025-07-24 10:03:42.940"</f>
        <v>2025-07-24 10:03:42.940</v>
      </c>
      <c r="H2541" t="s">
        <v>21</v>
      </c>
      <c r="I2541">
        <v>0</v>
      </c>
      <c r="J2541" t="s">
        <v>30</v>
      </c>
    </row>
    <row r="2542" spans="1:10" x14ac:dyDescent="0.25">
      <c r="A2542" s="1">
        <v>580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"2025-07-23 23:37:54.760"</f>
        <v>2025-07-23 23:37:54.760</v>
      </c>
      <c r="H2542" t="s">
        <v>21</v>
      </c>
      <c r="I2542">
        <v>0</v>
      </c>
      <c r="J2542" t="s">
        <v>22</v>
      </c>
    </row>
    <row r="2543" spans="1:10" x14ac:dyDescent="0.25">
      <c r="A2543" s="1">
        <v>581</v>
      </c>
      <c r="B2543" t="s">
        <v>23</v>
      </c>
      <c r="C2543">
        <v>630</v>
      </c>
      <c r="D2543">
        <v>5</v>
      </c>
      <c r="E2543" t="s">
        <v>35</v>
      </c>
      <c r="F2543" t="s">
        <v>36</v>
      </c>
      <c r="G2543" t="str">
        <f>"2025-07-22 23:39:46.314"</f>
        <v>2025-07-22 23:39:46.314</v>
      </c>
      <c r="H2543" t="s">
        <v>37</v>
      </c>
    </row>
    <row r="2544" spans="1:10" x14ac:dyDescent="0.25">
      <c r="A2544" s="1">
        <v>582</v>
      </c>
      <c r="B2544" t="s">
        <v>19</v>
      </c>
      <c r="C2544">
        <v>706</v>
      </c>
      <c r="D2544">
        <v>4</v>
      </c>
      <c r="E2544" t="s">
        <v>28</v>
      </c>
      <c r="F2544" t="s">
        <v>29</v>
      </c>
      <c r="G2544" t="str">
        <f>"2025-07-22 23:39:16.219"</f>
        <v>2025-07-22 23:39:16.219</v>
      </c>
      <c r="H2544" t="s">
        <v>21</v>
      </c>
      <c r="I2544">
        <v>0</v>
      </c>
      <c r="J2544" t="s">
        <v>30</v>
      </c>
    </row>
    <row r="2545" spans="1:10" x14ac:dyDescent="0.25">
      <c r="A2545" s="1">
        <v>583</v>
      </c>
      <c r="B2545" t="s">
        <v>38</v>
      </c>
      <c r="C2545">
        <v>630</v>
      </c>
      <c r="D2545">
        <v>5</v>
      </c>
      <c r="E2545" t="s">
        <v>35</v>
      </c>
      <c r="F2545" t="s">
        <v>36</v>
      </c>
      <c r="G2545" t="str">
        <f>"2025-07-22 23:38:26.314"</f>
        <v>2025-07-22 23:38:26.314</v>
      </c>
      <c r="H2545" t="s">
        <v>37</v>
      </c>
      <c r="I2545">
        <v>0</v>
      </c>
      <c r="J2545" t="s">
        <v>30</v>
      </c>
    </row>
    <row r="2546" spans="1:10" x14ac:dyDescent="0.25">
      <c r="A2546" s="1">
        <v>584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"2025-07-22 23:33:23.609"</f>
        <v>2025-07-22 23:33:23.609</v>
      </c>
      <c r="H2546" t="s">
        <v>21</v>
      </c>
    </row>
    <row r="2547" spans="1:10" s="3" customFormat="1" x14ac:dyDescent="0.25">
      <c r="A2547" s="2">
        <v>585</v>
      </c>
      <c r="B2547" s="3" t="s">
        <v>23</v>
      </c>
      <c r="C2547" s="3">
        <v>647</v>
      </c>
      <c r="D2547" s="3">
        <v>1</v>
      </c>
      <c r="E2547" s="3" t="s">
        <v>24</v>
      </c>
      <c r="F2547" s="3" t="s">
        <v>25</v>
      </c>
      <c r="G2547" s="3" t="str">
        <f>"2025-07-21 22:53:49.436"</f>
        <v>2025-07-21 22:53:49.436</v>
      </c>
      <c r="H2547" s="3" t="s">
        <v>21</v>
      </c>
    </row>
    <row r="2548" spans="1:10" s="3" customFormat="1" x14ac:dyDescent="0.25">
      <c r="A2548" s="2">
        <v>586</v>
      </c>
      <c r="B2548" s="3" t="s">
        <v>26</v>
      </c>
      <c r="C2548" s="3">
        <v>647</v>
      </c>
      <c r="D2548" s="3">
        <v>1</v>
      </c>
      <c r="E2548" s="3" t="s">
        <v>24</v>
      </c>
      <c r="F2548" s="3" t="s">
        <v>25</v>
      </c>
      <c r="G2548" s="3" t="str">
        <f>"2025-07-21 22:53:44.537"</f>
        <v>2025-07-21 22:53:44.537</v>
      </c>
      <c r="H2548" s="3" t="s">
        <v>21</v>
      </c>
      <c r="I2548" s="3">
        <v>13.45</v>
      </c>
      <c r="J2548" s="3" t="s">
        <v>27</v>
      </c>
    </row>
    <row r="2549" spans="1:10" x14ac:dyDescent="0.25">
      <c r="A2549" s="1">
        <v>587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"2025-07-21 20:46:17.786"</f>
        <v>2025-07-21 20:46:17.786</v>
      </c>
      <c r="H2549" t="s">
        <v>21</v>
      </c>
      <c r="I2549">
        <v>0</v>
      </c>
      <c r="J2549" t="s">
        <v>22</v>
      </c>
    </row>
    <row r="2550" spans="1:10" x14ac:dyDescent="0.25">
      <c r="A2550" s="1">
        <v>588</v>
      </c>
      <c r="B2550" t="s">
        <v>23</v>
      </c>
      <c r="C2550">
        <v>635</v>
      </c>
      <c r="D2550">
        <v>1</v>
      </c>
      <c r="E2550" t="s">
        <v>31</v>
      </c>
      <c r="F2550" t="s">
        <v>32</v>
      </c>
      <c r="G2550" t="str">
        <f>"2025-07-21 16:46:52.018"</f>
        <v>2025-07-21 16:46:52.018</v>
      </c>
      <c r="H2550" t="s">
        <v>21</v>
      </c>
    </row>
    <row r="2551" spans="1:10" x14ac:dyDescent="0.25">
      <c r="A2551" s="1">
        <v>589</v>
      </c>
      <c r="B2551" t="s">
        <v>26</v>
      </c>
      <c r="C2551">
        <v>635</v>
      </c>
      <c r="D2551">
        <v>1</v>
      </c>
      <c r="E2551" t="s">
        <v>31</v>
      </c>
      <c r="F2551" t="s">
        <v>32</v>
      </c>
      <c r="G2551" t="str">
        <f>"2025-07-21 16:44:06.018"</f>
        <v>2025-07-21 16:44:06.018</v>
      </c>
      <c r="H2551" t="s">
        <v>21</v>
      </c>
      <c r="I2551">
        <v>2.88</v>
      </c>
      <c r="J2551" t="s">
        <v>33</v>
      </c>
    </row>
    <row r="2552" spans="1:10" x14ac:dyDescent="0.25">
      <c r="A2552" s="1">
        <v>590</v>
      </c>
      <c r="B2552" t="s">
        <v>19</v>
      </c>
      <c r="C2552">
        <v>700</v>
      </c>
      <c r="D2552">
        <v>0</v>
      </c>
      <c r="E2552" t="s">
        <v>20</v>
      </c>
      <c r="F2552" t="s">
        <v>20</v>
      </c>
      <c r="G2552" t="str">
        <f>"2025-07-21 13:22:56.625"</f>
        <v>2025-07-21 13:22:56.625</v>
      </c>
      <c r="H2552" t="s">
        <v>21</v>
      </c>
      <c r="I2552">
        <v>0</v>
      </c>
      <c r="J2552" t="s">
        <v>22</v>
      </c>
    </row>
    <row r="2553" spans="1:10" x14ac:dyDescent="0.25">
      <c r="A2553" s="1">
        <v>591</v>
      </c>
      <c r="B2553" t="s">
        <v>23</v>
      </c>
      <c r="C2553">
        <v>635</v>
      </c>
      <c r="D2553">
        <v>1</v>
      </c>
      <c r="E2553" t="s">
        <v>31</v>
      </c>
      <c r="F2553" t="s">
        <v>32</v>
      </c>
      <c r="G2553" t="str">
        <f>"2025-07-20 09:52:26.624"</f>
        <v>2025-07-20 09:52:26.624</v>
      </c>
      <c r="H2553" t="s">
        <v>21</v>
      </c>
    </row>
    <row r="2554" spans="1:10" x14ac:dyDescent="0.25">
      <c r="A2554" s="1">
        <v>592</v>
      </c>
      <c r="B2554" t="s">
        <v>26</v>
      </c>
      <c r="C2554">
        <v>635</v>
      </c>
      <c r="D2554">
        <v>1</v>
      </c>
      <c r="E2554" t="s">
        <v>31</v>
      </c>
      <c r="F2554" t="s">
        <v>32</v>
      </c>
      <c r="G2554" t="str">
        <f>"2025-07-20 09:48:22.124"</f>
        <v>2025-07-20 09:48:22.124</v>
      </c>
      <c r="H2554" t="s">
        <v>21</v>
      </c>
      <c r="I2554">
        <v>0.17</v>
      </c>
      <c r="J2554" t="s">
        <v>34</v>
      </c>
    </row>
    <row r="2555" spans="1:10" x14ac:dyDescent="0.25">
      <c r="A2555" s="1">
        <v>593</v>
      </c>
      <c r="B2555" t="s">
        <v>23</v>
      </c>
      <c r="C2555">
        <v>635</v>
      </c>
      <c r="D2555">
        <v>1</v>
      </c>
      <c r="E2555" t="s">
        <v>31</v>
      </c>
      <c r="F2555" t="s">
        <v>32</v>
      </c>
      <c r="G2555" t="str">
        <f>"2025-07-20 08:46:15.224"</f>
        <v>2025-07-20 08:46:15.224</v>
      </c>
      <c r="H2555" t="s">
        <v>21</v>
      </c>
    </row>
    <row r="2556" spans="1:10" x14ac:dyDescent="0.25">
      <c r="A2556" s="1">
        <v>594</v>
      </c>
      <c r="B2556" t="s">
        <v>26</v>
      </c>
      <c r="C2556">
        <v>635</v>
      </c>
      <c r="D2556">
        <v>1</v>
      </c>
      <c r="E2556" t="s">
        <v>31</v>
      </c>
      <c r="F2556" t="s">
        <v>32</v>
      </c>
      <c r="G2556" t="str">
        <f>"2025-07-20 08:43:02.724"</f>
        <v>2025-07-20 08:43:02.724</v>
      </c>
      <c r="H2556" t="s">
        <v>21</v>
      </c>
      <c r="I2556">
        <v>0.05</v>
      </c>
      <c r="J2556" t="s">
        <v>34</v>
      </c>
    </row>
    <row r="2557" spans="1:10" x14ac:dyDescent="0.25">
      <c r="A2557" s="1">
        <v>595</v>
      </c>
      <c r="B2557" t="s">
        <v>44</v>
      </c>
      <c r="C2557">
        <v>33</v>
      </c>
      <c r="D2557">
        <v>1</v>
      </c>
      <c r="E2557" t="s">
        <v>45</v>
      </c>
      <c r="F2557" t="s">
        <v>46</v>
      </c>
      <c r="G2557" t="str">
        <f>"2025-07-19 17:32:56.825"</f>
        <v>2025-07-19 17:32:56.825</v>
      </c>
      <c r="H2557" t="s">
        <v>47</v>
      </c>
    </row>
    <row r="2558" spans="1:10" x14ac:dyDescent="0.25">
      <c r="A2558" s="1">
        <v>596</v>
      </c>
      <c r="B2558" t="s">
        <v>38</v>
      </c>
      <c r="C2558">
        <v>33</v>
      </c>
      <c r="D2558">
        <v>1</v>
      </c>
      <c r="E2558" t="s">
        <v>45</v>
      </c>
      <c r="F2558" t="s">
        <v>46</v>
      </c>
      <c r="G2558" t="str">
        <f>"2025-07-19 17:32:49.536"</f>
        <v>2025-07-19 17:32:49.536</v>
      </c>
      <c r="H2558" t="s">
        <v>47</v>
      </c>
      <c r="I2558">
        <v>7.45</v>
      </c>
      <c r="J2558" t="s">
        <v>33</v>
      </c>
    </row>
    <row r="2559" spans="1:10" x14ac:dyDescent="0.25">
      <c r="A2559" s="1">
        <v>597</v>
      </c>
      <c r="B2559" t="s">
        <v>19</v>
      </c>
      <c r="C2559">
        <v>706</v>
      </c>
      <c r="D2559">
        <v>2</v>
      </c>
      <c r="E2559" t="s">
        <v>28</v>
      </c>
      <c r="F2559" t="s">
        <v>39</v>
      </c>
      <c r="G2559" t="str">
        <f>"2025-07-19 14:40:59.108"</f>
        <v>2025-07-19 14:40:59.108</v>
      </c>
      <c r="H2559" t="s">
        <v>21</v>
      </c>
      <c r="I2559">
        <v>0</v>
      </c>
      <c r="J2559" t="s">
        <v>30</v>
      </c>
    </row>
    <row r="2560" spans="1:10" x14ac:dyDescent="0.25">
      <c r="A2560" s="1">
        <v>598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"2025-07-19 14:40:44.638"</f>
        <v>2025-07-19 14:40:44.638</v>
      </c>
      <c r="H2560" t="s">
        <v>21</v>
      </c>
    </row>
    <row r="2561" spans="1:10" x14ac:dyDescent="0.25">
      <c r="A2561" s="1">
        <v>599</v>
      </c>
      <c r="B2561" t="s">
        <v>44</v>
      </c>
      <c r="C2561">
        <v>33</v>
      </c>
      <c r="D2561">
        <v>1</v>
      </c>
      <c r="E2561" t="s">
        <v>45</v>
      </c>
      <c r="F2561" t="s">
        <v>46</v>
      </c>
      <c r="G2561" t="str">
        <f>"2025-07-19 07:24:50.966"</f>
        <v>2025-07-19 07:24:50.966</v>
      </c>
      <c r="H2561" t="s">
        <v>47</v>
      </c>
    </row>
    <row r="2562" spans="1:10" x14ac:dyDescent="0.25">
      <c r="A2562" s="1">
        <v>600</v>
      </c>
      <c r="B2562" t="s">
        <v>38</v>
      </c>
      <c r="C2562">
        <v>33</v>
      </c>
      <c r="D2562">
        <v>1</v>
      </c>
      <c r="E2562" t="s">
        <v>45</v>
      </c>
      <c r="F2562" t="s">
        <v>46</v>
      </c>
      <c r="G2562" t="str">
        <f>"2025-07-19 07:23:52.498"</f>
        <v>2025-07-19 07:23:52.498</v>
      </c>
      <c r="H2562" t="s">
        <v>47</v>
      </c>
      <c r="I2562">
        <v>10.83</v>
      </c>
      <c r="J2562" t="s">
        <v>33</v>
      </c>
    </row>
    <row r="2563" spans="1:10" x14ac:dyDescent="0.25">
      <c r="A2563" s="1">
        <v>601</v>
      </c>
      <c r="B2563" t="s">
        <v>23</v>
      </c>
      <c r="C2563">
        <v>635</v>
      </c>
      <c r="D2563">
        <v>1</v>
      </c>
      <c r="E2563" t="s">
        <v>31</v>
      </c>
      <c r="F2563" t="s">
        <v>32</v>
      </c>
      <c r="G2563" t="str">
        <f>"2025-07-19 02:39:59.419"</f>
        <v>2025-07-19 02:39:59.419</v>
      </c>
      <c r="H2563" t="s">
        <v>21</v>
      </c>
    </row>
    <row r="2564" spans="1:10" x14ac:dyDescent="0.25">
      <c r="A2564" s="1">
        <v>602</v>
      </c>
      <c r="B2564" t="s">
        <v>26</v>
      </c>
      <c r="C2564">
        <v>635</v>
      </c>
      <c r="D2564">
        <v>1</v>
      </c>
      <c r="E2564" t="s">
        <v>31</v>
      </c>
      <c r="F2564" t="s">
        <v>32</v>
      </c>
      <c r="G2564" t="str">
        <f>"2025-07-19 02:35:56.919"</f>
        <v>2025-07-19 02:35:56.919</v>
      </c>
      <c r="H2564" t="s">
        <v>21</v>
      </c>
      <c r="I2564">
        <v>2.21</v>
      </c>
      <c r="J2564" t="s">
        <v>33</v>
      </c>
    </row>
    <row r="2565" spans="1:10" x14ac:dyDescent="0.25">
      <c r="A2565" s="1">
        <v>603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"2025-07-18 22:37:13.613"</f>
        <v>2025-07-18 22:37:13.613</v>
      </c>
      <c r="H2565" t="s">
        <v>21</v>
      </c>
      <c r="I2565">
        <v>0</v>
      </c>
      <c r="J2565" t="s">
        <v>22</v>
      </c>
    </row>
    <row r="2566" spans="1:10" x14ac:dyDescent="0.25">
      <c r="A2566" s="1">
        <v>604</v>
      </c>
      <c r="B2566" t="s">
        <v>19</v>
      </c>
      <c r="C2566">
        <v>700</v>
      </c>
      <c r="D2566">
        <v>0</v>
      </c>
      <c r="E2566" t="s">
        <v>20</v>
      </c>
      <c r="F2566" t="s">
        <v>20</v>
      </c>
      <c r="G2566" t="str">
        <f>"2025-07-18 10:12:53.642"</f>
        <v>2025-07-18 10:12:53.642</v>
      </c>
      <c r="H2566" t="s">
        <v>21</v>
      </c>
      <c r="I2566">
        <v>0</v>
      </c>
      <c r="J2566" t="s">
        <v>22</v>
      </c>
    </row>
    <row r="2567" spans="1:10" s="3" customFormat="1" x14ac:dyDescent="0.25">
      <c r="A2567" s="2">
        <v>605</v>
      </c>
      <c r="B2567" s="3" t="s">
        <v>23</v>
      </c>
      <c r="C2567" s="3">
        <v>647</v>
      </c>
      <c r="D2567" s="3">
        <v>1</v>
      </c>
      <c r="E2567" s="3" t="s">
        <v>24</v>
      </c>
      <c r="F2567" s="3" t="s">
        <v>25</v>
      </c>
      <c r="G2567" s="3" t="str">
        <f>"2025-07-18 05:58:32.589"</f>
        <v>2025-07-18 05:58:32.589</v>
      </c>
      <c r="H2567" s="3" t="s">
        <v>21</v>
      </c>
    </row>
    <row r="2568" spans="1:10" s="3" customFormat="1" x14ac:dyDescent="0.25">
      <c r="A2568" s="2">
        <v>606</v>
      </c>
      <c r="B2568" s="3" t="s">
        <v>26</v>
      </c>
      <c r="C2568" s="3">
        <v>647</v>
      </c>
      <c r="D2568" s="3">
        <v>1</v>
      </c>
      <c r="E2568" s="3" t="s">
        <v>24</v>
      </c>
      <c r="F2568" s="3" t="s">
        <v>25</v>
      </c>
      <c r="G2568" s="3" t="str">
        <f>"2025-07-18 05:58:28.190"</f>
        <v>2025-07-18 05:58:28.190</v>
      </c>
      <c r="H2568" s="3" t="s">
        <v>21</v>
      </c>
      <c r="I2568" s="3">
        <v>8.94</v>
      </c>
      <c r="J2568" s="3" t="s">
        <v>34</v>
      </c>
    </row>
    <row r="2569" spans="1:10" x14ac:dyDescent="0.25">
      <c r="A2569" s="1">
        <v>607</v>
      </c>
      <c r="B2569" t="s">
        <v>19</v>
      </c>
      <c r="C2569">
        <v>700</v>
      </c>
      <c r="D2569">
        <v>0</v>
      </c>
      <c r="E2569" t="s">
        <v>20</v>
      </c>
      <c r="F2569" t="s">
        <v>20</v>
      </c>
      <c r="G2569" t="str">
        <f>"2025-07-18 05:51:42.601"</f>
        <v>2025-07-18 05:51:42.601</v>
      </c>
      <c r="H2569" t="s">
        <v>21</v>
      </c>
      <c r="I2569">
        <v>0</v>
      </c>
      <c r="J2569" t="s">
        <v>22</v>
      </c>
    </row>
    <row r="2570" spans="1:10" x14ac:dyDescent="0.25">
      <c r="A2570" s="1">
        <v>608</v>
      </c>
      <c r="B2570" t="s">
        <v>19</v>
      </c>
      <c r="C2570">
        <v>706</v>
      </c>
      <c r="D2570">
        <v>2</v>
      </c>
      <c r="E2570" t="s">
        <v>28</v>
      </c>
      <c r="F2570" t="s">
        <v>39</v>
      </c>
      <c r="G2570" t="str">
        <f>"2025-07-18 05:40:12.191"</f>
        <v>2025-07-18 05:40:12.191</v>
      </c>
      <c r="H2570" t="s">
        <v>21</v>
      </c>
      <c r="I2570">
        <v>0</v>
      </c>
      <c r="J2570" t="s">
        <v>30</v>
      </c>
    </row>
    <row r="2571" spans="1:10" s="3" customFormat="1" x14ac:dyDescent="0.25">
      <c r="A2571" s="2">
        <v>609</v>
      </c>
      <c r="B2571" s="3" t="s">
        <v>23</v>
      </c>
      <c r="C2571" s="3">
        <v>647</v>
      </c>
      <c r="D2571" s="3">
        <v>1</v>
      </c>
      <c r="E2571" s="3" t="s">
        <v>24</v>
      </c>
      <c r="F2571" s="3" t="s">
        <v>25</v>
      </c>
      <c r="G2571" s="3" t="str">
        <f>"2025-07-18 04:56:21.823"</f>
        <v>2025-07-18 04:56:21.823</v>
      </c>
      <c r="H2571" s="3" t="s">
        <v>21</v>
      </c>
    </row>
    <row r="2572" spans="1:10" s="3" customFormat="1" x14ac:dyDescent="0.25">
      <c r="A2572" s="2">
        <v>610</v>
      </c>
      <c r="B2572" s="3" t="s">
        <v>26</v>
      </c>
      <c r="C2572" s="3">
        <v>647</v>
      </c>
      <c r="D2572" s="3">
        <v>1</v>
      </c>
      <c r="E2572" s="3" t="s">
        <v>24</v>
      </c>
      <c r="F2572" s="3" t="s">
        <v>25</v>
      </c>
      <c r="G2572" s="3" t="str">
        <f>"2025-07-18 04:56:17.323"</f>
        <v>2025-07-18 04:56:17.323</v>
      </c>
      <c r="H2572" s="3" t="s">
        <v>21</v>
      </c>
      <c r="I2572" s="3">
        <v>12.65</v>
      </c>
      <c r="J2572" s="3" t="s">
        <v>27</v>
      </c>
    </row>
    <row r="2573" spans="1:10" x14ac:dyDescent="0.25">
      <c r="A2573" s="1">
        <v>611</v>
      </c>
      <c r="B2573" t="s">
        <v>19</v>
      </c>
      <c r="C2573">
        <v>700</v>
      </c>
      <c r="D2573">
        <v>0</v>
      </c>
      <c r="E2573" t="s">
        <v>20</v>
      </c>
      <c r="F2573" t="s">
        <v>20</v>
      </c>
      <c r="G2573" t="str">
        <f>"2025-07-18 03:02:48.631"</f>
        <v>2025-07-18 03:02:48.631</v>
      </c>
      <c r="H2573" t="s">
        <v>21</v>
      </c>
      <c r="I2573">
        <v>0</v>
      </c>
      <c r="J2573" t="s">
        <v>22</v>
      </c>
    </row>
    <row r="2574" spans="1:10" s="3" customFormat="1" x14ac:dyDescent="0.25">
      <c r="A2574" s="2">
        <v>612</v>
      </c>
      <c r="B2574" s="3" t="s">
        <v>23</v>
      </c>
      <c r="C2574" s="3">
        <v>647</v>
      </c>
      <c r="D2574" s="3">
        <v>1</v>
      </c>
      <c r="E2574" s="3" t="s">
        <v>24</v>
      </c>
      <c r="F2574" s="3" t="s">
        <v>25</v>
      </c>
      <c r="G2574" s="3" t="str">
        <f>"2025-07-18 02:42:17.646"</f>
        <v>2025-07-18 02:42:17.646</v>
      </c>
      <c r="H2574" s="3" t="s">
        <v>21</v>
      </c>
    </row>
    <row r="2575" spans="1:10" s="3" customFormat="1" x14ac:dyDescent="0.25">
      <c r="A2575" s="2">
        <v>613</v>
      </c>
      <c r="B2575" s="3" t="s">
        <v>26</v>
      </c>
      <c r="C2575" s="3">
        <v>647</v>
      </c>
      <c r="D2575" s="3">
        <v>1</v>
      </c>
      <c r="E2575" s="3" t="s">
        <v>24</v>
      </c>
      <c r="F2575" s="3" t="s">
        <v>25</v>
      </c>
      <c r="G2575" s="3" t="str">
        <f>"2025-07-18 02:42:09.746"</f>
        <v>2025-07-18 02:42:09.746</v>
      </c>
      <c r="H2575" s="3" t="s">
        <v>21</v>
      </c>
      <c r="I2575" s="3">
        <v>8.5500000000000007</v>
      </c>
      <c r="J2575" s="3" t="s">
        <v>27</v>
      </c>
    </row>
    <row r="2576" spans="1:10" s="3" customFormat="1" x14ac:dyDescent="0.25">
      <c r="A2576" s="2">
        <v>614</v>
      </c>
      <c r="B2576" s="3" t="s">
        <v>23</v>
      </c>
      <c r="C2576" s="3">
        <v>647</v>
      </c>
      <c r="D2576" s="3">
        <v>1</v>
      </c>
      <c r="E2576" s="3" t="s">
        <v>24</v>
      </c>
      <c r="F2576" s="3" t="s">
        <v>25</v>
      </c>
      <c r="G2576" s="3" t="str">
        <f>"2025-07-18 01:49:56.147"</f>
        <v>2025-07-18 01:49:56.147</v>
      </c>
      <c r="H2576" s="3" t="s">
        <v>21</v>
      </c>
    </row>
    <row r="2577" spans="1:10" s="3" customFormat="1" x14ac:dyDescent="0.25">
      <c r="A2577" s="2">
        <v>615</v>
      </c>
      <c r="B2577" s="3" t="s">
        <v>26</v>
      </c>
      <c r="C2577" s="3">
        <v>647</v>
      </c>
      <c r="D2577" s="3">
        <v>1</v>
      </c>
      <c r="E2577" s="3" t="s">
        <v>24</v>
      </c>
      <c r="F2577" s="3" t="s">
        <v>25</v>
      </c>
      <c r="G2577" s="3" t="str">
        <f>"2025-07-18 01:49:55.046"</f>
        <v>2025-07-18 01:49:55.046</v>
      </c>
      <c r="H2577" s="3" t="s">
        <v>21</v>
      </c>
      <c r="I2577" s="3">
        <v>9.26</v>
      </c>
      <c r="J2577" s="3" t="s">
        <v>27</v>
      </c>
    </row>
    <row r="2578" spans="1:10" s="3" customFormat="1" x14ac:dyDescent="0.25">
      <c r="A2578" s="2">
        <v>616</v>
      </c>
      <c r="B2578" s="3" t="s">
        <v>23</v>
      </c>
      <c r="C2578" s="3">
        <v>647</v>
      </c>
      <c r="D2578" s="3">
        <v>1</v>
      </c>
      <c r="E2578" s="3" t="s">
        <v>24</v>
      </c>
      <c r="F2578" s="3" t="s">
        <v>25</v>
      </c>
      <c r="G2578" s="3" t="str">
        <f>"2025-07-18 00:10:37.746"</f>
        <v>2025-07-18 00:10:37.746</v>
      </c>
      <c r="H2578" s="3" t="s">
        <v>21</v>
      </c>
    </row>
    <row r="2579" spans="1:10" s="3" customFormat="1" x14ac:dyDescent="0.25">
      <c r="A2579" s="2">
        <v>617</v>
      </c>
      <c r="B2579" s="3" t="s">
        <v>26</v>
      </c>
      <c r="C2579" s="3">
        <v>647</v>
      </c>
      <c r="D2579" s="3">
        <v>1</v>
      </c>
      <c r="E2579" s="3" t="s">
        <v>24</v>
      </c>
      <c r="F2579" s="3" t="s">
        <v>25</v>
      </c>
      <c r="G2579" s="3" t="str">
        <f>"2025-07-18 00:10:32.047"</f>
        <v>2025-07-18 00:10:32.047</v>
      </c>
      <c r="H2579" s="3" t="s">
        <v>21</v>
      </c>
      <c r="I2579" s="3">
        <v>10.19</v>
      </c>
      <c r="J2579" s="3" t="s">
        <v>27</v>
      </c>
    </row>
    <row r="2580" spans="1:10" x14ac:dyDescent="0.25">
      <c r="A2580" s="1">
        <v>618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"2025-07-17 20:03:55.633"</f>
        <v>2025-07-17 20:03:55.633</v>
      </c>
      <c r="H2580" t="s">
        <v>21</v>
      </c>
    </row>
    <row r="2581" spans="1:10" x14ac:dyDescent="0.25">
      <c r="A2581" s="1">
        <v>619</v>
      </c>
      <c r="B2581" t="s">
        <v>19</v>
      </c>
      <c r="C2581">
        <v>700</v>
      </c>
      <c r="D2581">
        <v>0</v>
      </c>
      <c r="E2581" t="s">
        <v>20</v>
      </c>
      <c r="F2581" t="s">
        <v>20</v>
      </c>
      <c r="G2581" t="str">
        <f>"2025-07-17 19:59:58.594"</f>
        <v>2025-07-17 19:59:58.594</v>
      </c>
      <c r="H2581" t="s">
        <v>21</v>
      </c>
      <c r="I2581">
        <v>0</v>
      </c>
      <c r="J2581" t="s">
        <v>22</v>
      </c>
    </row>
    <row r="2582" spans="1:10" x14ac:dyDescent="0.25">
      <c r="A2582" s="1">
        <v>620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"2025-07-17 19:58:14.596"</f>
        <v>2025-07-17 19:58:14.596</v>
      </c>
      <c r="H2582" t="s">
        <v>21</v>
      </c>
      <c r="I2582">
        <v>0</v>
      </c>
      <c r="J2582" t="s">
        <v>22</v>
      </c>
    </row>
    <row r="2583" spans="1:10" x14ac:dyDescent="0.25">
      <c r="A2583" s="1">
        <v>621</v>
      </c>
      <c r="B2583" t="s">
        <v>44</v>
      </c>
      <c r="C2583">
        <v>33</v>
      </c>
      <c r="D2583">
        <v>1</v>
      </c>
      <c r="E2583" t="s">
        <v>45</v>
      </c>
      <c r="F2583" t="s">
        <v>46</v>
      </c>
      <c r="G2583" t="str">
        <f>"2025-07-16 23:39:48.094"</f>
        <v>2025-07-16 23:39:48.094</v>
      </c>
      <c r="H2583" t="s">
        <v>47</v>
      </c>
    </row>
    <row r="2584" spans="1:10" x14ac:dyDescent="0.25">
      <c r="A2584" s="1">
        <v>622</v>
      </c>
      <c r="B2584" t="s">
        <v>38</v>
      </c>
      <c r="C2584">
        <v>33</v>
      </c>
      <c r="D2584">
        <v>1</v>
      </c>
      <c r="E2584" t="s">
        <v>45</v>
      </c>
      <c r="F2584" t="s">
        <v>46</v>
      </c>
      <c r="G2584" t="str">
        <f>"2025-07-16 23:39:41.233"</f>
        <v>2025-07-16 23:39:41.233</v>
      </c>
      <c r="H2584" t="s">
        <v>47</v>
      </c>
      <c r="I2584">
        <v>7.14</v>
      </c>
      <c r="J2584" t="s">
        <v>33</v>
      </c>
    </row>
    <row r="2585" spans="1:10" x14ac:dyDescent="0.25">
      <c r="A2585" s="1">
        <v>623</v>
      </c>
      <c r="B2585" t="s">
        <v>19</v>
      </c>
      <c r="C2585">
        <v>700</v>
      </c>
      <c r="D2585">
        <v>0</v>
      </c>
      <c r="E2585" t="s">
        <v>20</v>
      </c>
      <c r="F2585" t="s">
        <v>20</v>
      </c>
      <c r="G2585" t="str">
        <f>"2025-07-16 08:59:56.589"</f>
        <v>2025-07-16 08:59:56.589</v>
      </c>
      <c r="H2585" t="s">
        <v>21</v>
      </c>
    </row>
    <row r="2586" spans="1:10" x14ac:dyDescent="0.25">
      <c r="A2586" s="1">
        <v>624</v>
      </c>
      <c r="B2586" t="s">
        <v>44</v>
      </c>
      <c r="C2586">
        <v>33</v>
      </c>
      <c r="D2586">
        <v>1</v>
      </c>
      <c r="E2586" t="s">
        <v>45</v>
      </c>
      <c r="F2586" t="s">
        <v>46</v>
      </c>
      <c r="G2586" t="str">
        <f>"2025-07-15 05:03:03.141"</f>
        <v>2025-07-15 05:03:03.141</v>
      </c>
      <c r="H2586" t="s">
        <v>47</v>
      </c>
    </row>
    <row r="2587" spans="1:10" x14ac:dyDescent="0.25">
      <c r="A2587" s="1">
        <v>625</v>
      </c>
      <c r="B2587" t="s">
        <v>38</v>
      </c>
      <c r="C2587">
        <v>33</v>
      </c>
      <c r="D2587">
        <v>1</v>
      </c>
      <c r="E2587" t="s">
        <v>45</v>
      </c>
      <c r="F2587" t="s">
        <v>46</v>
      </c>
      <c r="G2587" t="str">
        <f>"2025-07-15 05:01:41.712"</f>
        <v>2025-07-15 05:01:41.712</v>
      </c>
      <c r="H2587" t="s">
        <v>47</v>
      </c>
      <c r="I2587">
        <v>8.9499999999999993</v>
      </c>
      <c r="J2587" t="s">
        <v>33</v>
      </c>
    </row>
    <row r="2588" spans="1:10" x14ac:dyDescent="0.25">
      <c r="A2588" s="1">
        <v>627</v>
      </c>
      <c r="B2588" t="s">
        <v>44</v>
      </c>
      <c r="C2588">
        <v>33</v>
      </c>
      <c r="D2588">
        <v>1</v>
      </c>
      <c r="E2588" t="s">
        <v>45</v>
      </c>
      <c r="F2588" t="s">
        <v>46</v>
      </c>
      <c r="G2588" t="str">
        <f>"2025-07-14 22:43:40.194"</f>
        <v>2025-07-14 22:43:40.194</v>
      </c>
      <c r="H2588" t="s">
        <v>47</v>
      </c>
    </row>
    <row r="2589" spans="1:10" x14ac:dyDescent="0.25">
      <c r="A2589" s="1">
        <v>628</v>
      </c>
      <c r="B2589" t="s">
        <v>38</v>
      </c>
      <c r="C2589">
        <v>33</v>
      </c>
      <c r="D2589">
        <v>1</v>
      </c>
      <c r="E2589" t="s">
        <v>45</v>
      </c>
      <c r="F2589" t="s">
        <v>46</v>
      </c>
      <c r="G2589" t="str">
        <f>"2025-07-14 22:42:43.353"</f>
        <v>2025-07-14 22:42:43.353</v>
      </c>
      <c r="H2589" t="s">
        <v>47</v>
      </c>
      <c r="I2589">
        <v>7.05</v>
      </c>
      <c r="J2589" t="s">
        <v>33</v>
      </c>
    </row>
    <row r="2590" spans="1:10" x14ac:dyDescent="0.25">
      <c r="A2590" s="1">
        <v>629</v>
      </c>
      <c r="B2590" t="s">
        <v>19</v>
      </c>
      <c r="C2590">
        <v>700</v>
      </c>
      <c r="D2590">
        <v>0</v>
      </c>
      <c r="E2590" t="s">
        <v>20</v>
      </c>
      <c r="F2590" t="s">
        <v>20</v>
      </c>
      <c r="G2590" t="str">
        <f>"2025-07-14 17:55:51.589"</f>
        <v>2025-07-14 17:55:51.589</v>
      </c>
      <c r="H2590" t="s">
        <v>21</v>
      </c>
      <c r="I2590">
        <v>0</v>
      </c>
      <c r="J2590" t="s">
        <v>22</v>
      </c>
    </row>
    <row r="2591" spans="1:10" x14ac:dyDescent="0.25">
      <c r="A2591" s="1">
        <v>630</v>
      </c>
      <c r="B2591" t="s">
        <v>19</v>
      </c>
      <c r="C2591">
        <v>700</v>
      </c>
      <c r="D2591">
        <v>0</v>
      </c>
      <c r="E2591" t="s">
        <v>20</v>
      </c>
      <c r="F2591" t="s">
        <v>20</v>
      </c>
      <c r="G2591" t="str">
        <f>"2025-07-14 17:52:35.584"</f>
        <v>2025-07-14 17:52:35.584</v>
      </c>
      <c r="H2591" t="s">
        <v>21</v>
      </c>
      <c r="I2591">
        <v>0</v>
      </c>
      <c r="J2591" t="s">
        <v>22</v>
      </c>
    </row>
    <row r="2592" spans="1:10" x14ac:dyDescent="0.25">
      <c r="A2592" s="1">
        <v>631</v>
      </c>
      <c r="B2592" t="s">
        <v>19</v>
      </c>
      <c r="C2592">
        <v>700</v>
      </c>
      <c r="D2592">
        <v>0</v>
      </c>
      <c r="E2592" t="s">
        <v>20</v>
      </c>
      <c r="F2592" t="s">
        <v>20</v>
      </c>
      <c r="G2592" t="str">
        <f>"2025-07-14 13:30:27.709"</f>
        <v>2025-07-14 13:30:27.709</v>
      </c>
      <c r="H2592" t="s">
        <v>21</v>
      </c>
    </row>
    <row r="2593" spans="1:10" s="3" customFormat="1" x14ac:dyDescent="0.25">
      <c r="A2593" s="2">
        <v>632</v>
      </c>
      <c r="B2593" s="3" t="s">
        <v>23</v>
      </c>
      <c r="C2593" s="3">
        <v>647</v>
      </c>
      <c r="D2593" s="3">
        <v>1</v>
      </c>
      <c r="E2593" s="3" t="s">
        <v>24</v>
      </c>
      <c r="F2593" s="3" t="s">
        <v>25</v>
      </c>
      <c r="G2593" s="3" t="str">
        <f>"2025-07-14 09:49:31.011"</f>
        <v>2025-07-14 09:49:31.011</v>
      </c>
      <c r="H2593" s="3" t="s">
        <v>21</v>
      </c>
    </row>
    <row r="2594" spans="1:10" s="3" customFormat="1" x14ac:dyDescent="0.25">
      <c r="A2594" s="2">
        <v>633</v>
      </c>
      <c r="B2594" s="3" t="s">
        <v>26</v>
      </c>
      <c r="C2594" s="3">
        <v>647</v>
      </c>
      <c r="D2594" s="3">
        <v>1</v>
      </c>
      <c r="E2594" s="3" t="s">
        <v>24</v>
      </c>
      <c r="F2594" s="3" t="s">
        <v>25</v>
      </c>
      <c r="G2594" s="3" t="str">
        <f>"2025-07-14 09:49:29.511"</f>
        <v>2025-07-14 09:49:29.511</v>
      </c>
      <c r="H2594" s="3" t="s">
        <v>21</v>
      </c>
      <c r="I2594" s="3">
        <v>13.82</v>
      </c>
      <c r="J2594" s="3" t="s">
        <v>27</v>
      </c>
    </row>
    <row r="2595" spans="1:10" x14ac:dyDescent="0.25">
      <c r="A2595" s="1">
        <v>634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"2025-07-14 09:41:46.604"</f>
        <v>2025-07-14 09:41:46.604</v>
      </c>
      <c r="H2595" t="s">
        <v>21</v>
      </c>
      <c r="I2595">
        <v>0</v>
      </c>
      <c r="J2595" t="s">
        <v>22</v>
      </c>
    </row>
    <row r="2596" spans="1:10" x14ac:dyDescent="0.25">
      <c r="A2596" s="1">
        <v>635</v>
      </c>
      <c r="B2596" t="s">
        <v>19</v>
      </c>
      <c r="C2596">
        <v>700</v>
      </c>
      <c r="D2596">
        <v>0</v>
      </c>
      <c r="E2596" t="s">
        <v>20</v>
      </c>
      <c r="F2596" t="s">
        <v>20</v>
      </c>
      <c r="G2596" t="str">
        <f>"2025-07-14 09:31:22.591"</f>
        <v>2025-07-14 09:31:22.591</v>
      </c>
      <c r="H2596" t="s">
        <v>21</v>
      </c>
      <c r="I2596">
        <v>0</v>
      </c>
      <c r="J2596" t="s">
        <v>22</v>
      </c>
    </row>
    <row r="2597" spans="1:10" x14ac:dyDescent="0.25">
      <c r="A2597" s="1">
        <v>636</v>
      </c>
      <c r="B2597" t="s">
        <v>19</v>
      </c>
      <c r="C2597">
        <v>706</v>
      </c>
      <c r="D2597">
        <v>4</v>
      </c>
      <c r="E2597" t="s">
        <v>28</v>
      </c>
      <c r="F2597" t="s">
        <v>29</v>
      </c>
      <c r="G2597" t="str">
        <f>"2025-07-14 08:06:21.443"</f>
        <v>2025-07-14 08:06:21.443</v>
      </c>
      <c r="H2597" t="s">
        <v>21</v>
      </c>
      <c r="I2597">
        <v>0</v>
      </c>
      <c r="J2597" t="s">
        <v>30</v>
      </c>
    </row>
    <row r="2598" spans="1:10" x14ac:dyDescent="0.25">
      <c r="A2598" s="1">
        <v>637</v>
      </c>
      <c r="B2598" t="s">
        <v>19</v>
      </c>
      <c r="C2598">
        <v>700</v>
      </c>
      <c r="D2598">
        <v>0</v>
      </c>
      <c r="E2598" t="s">
        <v>20</v>
      </c>
      <c r="F2598" t="s">
        <v>20</v>
      </c>
      <c r="G2598" t="str">
        <f>"2025-07-14 08:06:02.593"</f>
        <v>2025-07-14 08:06:02.593</v>
      </c>
      <c r="H2598" t="s">
        <v>21</v>
      </c>
      <c r="I2598">
        <v>0</v>
      </c>
      <c r="J2598" t="s">
        <v>22</v>
      </c>
    </row>
    <row r="2599" spans="1:10" x14ac:dyDescent="0.25">
      <c r="A2599" s="1">
        <v>638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"2025-07-14 05:39:32.595"</f>
        <v>2025-07-14 05:39:32.595</v>
      </c>
      <c r="H2599" t="s">
        <v>21</v>
      </c>
      <c r="I2599">
        <v>0</v>
      </c>
      <c r="J2599" t="s">
        <v>22</v>
      </c>
    </row>
    <row r="2600" spans="1:10" x14ac:dyDescent="0.25">
      <c r="A2600" s="1">
        <v>639</v>
      </c>
      <c r="B2600" t="s">
        <v>23</v>
      </c>
      <c r="C2600">
        <v>630</v>
      </c>
      <c r="D2600">
        <v>5</v>
      </c>
      <c r="E2600" t="s">
        <v>35</v>
      </c>
      <c r="F2600" t="s">
        <v>36</v>
      </c>
      <c r="G2600" t="str">
        <f>"2025-07-14 05:36:09.135"</f>
        <v>2025-07-14 05:36:09.135</v>
      </c>
      <c r="H2600" t="s">
        <v>37</v>
      </c>
    </row>
    <row r="2601" spans="1:10" x14ac:dyDescent="0.25">
      <c r="A2601" s="1">
        <v>640</v>
      </c>
      <c r="B2601" t="s">
        <v>19</v>
      </c>
      <c r="C2601">
        <v>706</v>
      </c>
      <c r="D2601">
        <v>4</v>
      </c>
      <c r="E2601" t="s">
        <v>28</v>
      </c>
      <c r="F2601" t="s">
        <v>29</v>
      </c>
      <c r="G2601" t="str">
        <f>"2025-07-14 05:35:39.003"</f>
        <v>2025-07-14 05:35:39.003</v>
      </c>
      <c r="H2601" t="s">
        <v>21</v>
      </c>
      <c r="I2601">
        <v>0</v>
      </c>
      <c r="J2601" t="s">
        <v>30</v>
      </c>
    </row>
    <row r="2602" spans="1:10" x14ac:dyDescent="0.25">
      <c r="A2602" s="1">
        <v>641</v>
      </c>
      <c r="B2602" t="s">
        <v>38</v>
      </c>
      <c r="C2602">
        <v>630</v>
      </c>
      <c r="D2602">
        <v>5</v>
      </c>
      <c r="E2602" t="s">
        <v>35</v>
      </c>
      <c r="F2602" t="s">
        <v>36</v>
      </c>
      <c r="G2602" t="str">
        <f>"2025-07-14 05:19:34.436"</f>
        <v>2025-07-14 05:19:34.436</v>
      </c>
      <c r="H2602" t="s">
        <v>37</v>
      </c>
      <c r="I2602">
        <v>0</v>
      </c>
      <c r="J2602" t="s">
        <v>30</v>
      </c>
    </row>
    <row r="2603" spans="1:10" x14ac:dyDescent="0.25">
      <c r="A2603" s="1">
        <v>642</v>
      </c>
      <c r="B2603" t="s">
        <v>19</v>
      </c>
      <c r="C2603">
        <v>700</v>
      </c>
      <c r="D2603">
        <v>0</v>
      </c>
      <c r="E2603" t="s">
        <v>20</v>
      </c>
      <c r="F2603" t="s">
        <v>20</v>
      </c>
      <c r="G2603" t="str">
        <f>"2025-07-14 05:14:31.593"</f>
        <v>2025-07-14 05:14:31.593</v>
      </c>
      <c r="H2603" t="s">
        <v>21</v>
      </c>
      <c r="I2603">
        <v>0</v>
      </c>
      <c r="J2603" t="s">
        <v>22</v>
      </c>
    </row>
    <row r="2604" spans="1:10" x14ac:dyDescent="0.25">
      <c r="A2604" s="1">
        <v>643</v>
      </c>
      <c r="B2604" t="s">
        <v>19</v>
      </c>
      <c r="C2604">
        <v>700</v>
      </c>
      <c r="D2604">
        <v>0</v>
      </c>
      <c r="E2604" t="s">
        <v>20</v>
      </c>
      <c r="F2604" t="s">
        <v>20</v>
      </c>
      <c r="G2604" t="str">
        <f>"2025-07-14 04:01:55.865"</f>
        <v>2025-07-14 04:01:55.865</v>
      </c>
      <c r="H2604" t="s">
        <v>21</v>
      </c>
    </row>
    <row r="2605" spans="1:10" x14ac:dyDescent="0.25">
      <c r="A2605" s="1">
        <v>644</v>
      </c>
      <c r="B2605" t="s">
        <v>19</v>
      </c>
      <c r="C2605">
        <v>700</v>
      </c>
      <c r="D2605">
        <v>0</v>
      </c>
      <c r="E2605" t="s">
        <v>20</v>
      </c>
      <c r="F2605" t="s">
        <v>20</v>
      </c>
      <c r="G2605" t="str">
        <f>"2025-07-13 21:44:35.618"</f>
        <v>2025-07-13 21:44:35.618</v>
      </c>
      <c r="H2605" t="s">
        <v>21</v>
      </c>
      <c r="I2605">
        <v>0</v>
      </c>
      <c r="J2605" t="s">
        <v>22</v>
      </c>
    </row>
    <row r="2606" spans="1:10" s="3" customFormat="1" x14ac:dyDescent="0.25">
      <c r="A2606" s="2">
        <v>645</v>
      </c>
      <c r="B2606" s="3" t="s">
        <v>23</v>
      </c>
      <c r="C2606" s="3">
        <v>647</v>
      </c>
      <c r="D2606" s="3">
        <v>1</v>
      </c>
      <c r="E2606" s="3" t="s">
        <v>24</v>
      </c>
      <c r="F2606" s="3" t="s">
        <v>25</v>
      </c>
      <c r="G2606" s="3" t="str">
        <f>"2025-07-13 20:23:25.821"</f>
        <v>2025-07-13 20:23:25.821</v>
      </c>
      <c r="H2606" s="3" t="s">
        <v>21</v>
      </c>
    </row>
    <row r="2607" spans="1:10" s="3" customFormat="1" x14ac:dyDescent="0.25">
      <c r="A2607" s="2">
        <v>646</v>
      </c>
      <c r="B2607" s="3" t="s">
        <v>26</v>
      </c>
      <c r="C2607" s="3">
        <v>647</v>
      </c>
      <c r="D2607" s="3">
        <v>1</v>
      </c>
      <c r="E2607" s="3" t="s">
        <v>24</v>
      </c>
      <c r="F2607" s="3" t="s">
        <v>25</v>
      </c>
      <c r="G2607" s="3" t="str">
        <f>"2025-07-13 20:23:16.821"</f>
        <v>2025-07-13 20:23:16.821</v>
      </c>
      <c r="H2607" s="3" t="s">
        <v>21</v>
      </c>
      <c r="I2607" s="3">
        <v>9.4700000000000006</v>
      </c>
      <c r="J2607" s="3" t="s">
        <v>34</v>
      </c>
    </row>
    <row r="2608" spans="1:10" s="3" customFormat="1" x14ac:dyDescent="0.25">
      <c r="A2608" s="2">
        <v>647</v>
      </c>
      <c r="B2608" s="3" t="s">
        <v>23</v>
      </c>
      <c r="C2608" s="3">
        <v>647</v>
      </c>
      <c r="D2608" s="3">
        <v>1</v>
      </c>
      <c r="E2608" s="3" t="s">
        <v>24</v>
      </c>
      <c r="F2608" s="3" t="s">
        <v>25</v>
      </c>
      <c r="G2608" s="3" t="str">
        <f>"2025-07-13 17:15:48.721"</f>
        <v>2025-07-13 17:15:48.721</v>
      </c>
      <c r="H2608" s="3" t="s">
        <v>21</v>
      </c>
    </row>
    <row r="2609" spans="1:10" s="3" customFormat="1" x14ac:dyDescent="0.25">
      <c r="A2609" s="2">
        <v>648</v>
      </c>
      <c r="B2609" s="3" t="s">
        <v>26</v>
      </c>
      <c r="C2609" s="3">
        <v>647</v>
      </c>
      <c r="D2609" s="3">
        <v>1</v>
      </c>
      <c r="E2609" s="3" t="s">
        <v>24</v>
      </c>
      <c r="F2609" s="3" t="s">
        <v>25</v>
      </c>
      <c r="G2609" s="3" t="str">
        <f>"2025-07-13 17:15:42.322"</f>
        <v>2025-07-13 17:15:42.322</v>
      </c>
      <c r="H2609" s="3" t="s">
        <v>21</v>
      </c>
      <c r="I2609" s="3">
        <v>10</v>
      </c>
      <c r="J2609" s="3" t="s">
        <v>27</v>
      </c>
    </row>
    <row r="2610" spans="1:10" x14ac:dyDescent="0.25">
      <c r="A2610" s="1">
        <v>649</v>
      </c>
      <c r="B2610" t="s">
        <v>19</v>
      </c>
      <c r="C2610">
        <v>700</v>
      </c>
      <c r="D2610">
        <v>0</v>
      </c>
      <c r="E2610" t="s">
        <v>20</v>
      </c>
      <c r="F2610" t="s">
        <v>20</v>
      </c>
      <c r="G2610" t="str">
        <f>"2025-07-13 09:08:23.614"</f>
        <v>2025-07-13 09:08:23.614</v>
      </c>
      <c r="H2610" t="s">
        <v>21</v>
      </c>
      <c r="I2610">
        <v>0</v>
      </c>
      <c r="J2610" t="s">
        <v>22</v>
      </c>
    </row>
    <row r="2611" spans="1:10" x14ac:dyDescent="0.25">
      <c r="A2611" s="1">
        <v>650</v>
      </c>
      <c r="B2611" t="s">
        <v>19</v>
      </c>
      <c r="C2611">
        <v>706</v>
      </c>
      <c r="D2611">
        <v>4</v>
      </c>
      <c r="E2611" t="s">
        <v>28</v>
      </c>
      <c r="F2611" t="s">
        <v>29</v>
      </c>
      <c r="G2611" t="str">
        <f>"2025-07-12 09:38:09.856"</f>
        <v>2025-07-12 09:38:09.856</v>
      </c>
      <c r="H2611" t="s">
        <v>21</v>
      </c>
      <c r="I2611">
        <v>0</v>
      </c>
      <c r="J2611" t="s">
        <v>30</v>
      </c>
    </row>
    <row r="2612" spans="1:10" x14ac:dyDescent="0.25">
      <c r="A2612" s="1">
        <v>651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"2025-07-12 09:37:51.586"</f>
        <v>2025-07-12 09:37:51.586</v>
      </c>
      <c r="H2612" t="s">
        <v>21</v>
      </c>
    </row>
    <row r="2613" spans="1:10" x14ac:dyDescent="0.25">
      <c r="A2613" s="1">
        <v>652</v>
      </c>
      <c r="B2613" t="s">
        <v>19</v>
      </c>
      <c r="C2613">
        <v>700</v>
      </c>
      <c r="D2613">
        <v>0</v>
      </c>
      <c r="E2613" t="s">
        <v>20</v>
      </c>
      <c r="F2613" t="s">
        <v>20</v>
      </c>
      <c r="G2613" t="str">
        <f>"2025-07-11 21:33:52.590"</f>
        <v>2025-07-11 21:33:52.590</v>
      </c>
      <c r="H2613" t="s">
        <v>21</v>
      </c>
    </row>
    <row r="2614" spans="1:10" x14ac:dyDescent="0.25">
      <c r="A2614" s="1">
        <v>653</v>
      </c>
      <c r="B2614" t="s">
        <v>19</v>
      </c>
      <c r="C2614">
        <v>706</v>
      </c>
      <c r="D2614">
        <v>4</v>
      </c>
      <c r="E2614" t="s">
        <v>28</v>
      </c>
      <c r="F2614" t="s">
        <v>29</v>
      </c>
      <c r="G2614" t="str">
        <f>"2025-07-11 21:32:43.938"</f>
        <v>2025-07-11 21:32:43.938</v>
      </c>
      <c r="H2614" t="s">
        <v>21</v>
      </c>
      <c r="I2614">
        <v>0</v>
      </c>
      <c r="J2614" t="s">
        <v>30</v>
      </c>
    </row>
    <row r="2615" spans="1:10" x14ac:dyDescent="0.25">
      <c r="A2615" s="1">
        <v>654</v>
      </c>
      <c r="B2615" t="s">
        <v>19</v>
      </c>
      <c r="C2615">
        <v>706</v>
      </c>
      <c r="D2615">
        <v>3</v>
      </c>
      <c r="E2615" t="s">
        <v>28</v>
      </c>
      <c r="F2615" t="s">
        <v>43</v>
      </c>
      <c r="G2615" t="str">
        <f>"2025-07-11 21:31:57.888"</f>
        <v>2025-07-11 21:31:57.888</v>
      </c>
      <c r="H2615" t="s">
        <v>21</v>
      </c>
      <c r="I2615">
        <v>0</v>
      </c>
      <c r="J2615" t="s">
        <v>30</v>
      </c>
    </row>
    <row r="2616" spans="1:10" x14ac:dyDescent="0.25">
      <c r="A2616" s="1">
        <v>655</v>
      </c>
      <c r="B2616" t="s">
        <v>19</v>
      </c>
      <c r="C2616">
        <v>706</v>
      </c>
      <c r="D2616">
        <v>2</v>
      </c>
      <c r="E2616" t="s">
        <v>28</v>
      </c>
      <c r="F2616" t="s">
        <v>39</v>
      </c>
      <c r="G2616" t="str">
        <f>"2025-07-11 21:31:12.868"</f>
        <v>2025-07-11 21:31:12.868</v>
      </c>
      <c r="H2616" t="s">
        <v>21</v>
      </c>
      <c r="I2616">
        <v>0</v>
      </c>
      <c r="J2616" t="s">
        <v>30</v>
      </c>
    </row>
    <row r="2617" spans="1:10" x14ac:dyDescent="0.25">
      <c r="A2617" s="1">
        <v>656</v>
      </c>
      <c r="B2617" t="s">
        <v>38</v>
      </c>
      <c r="C2617">
        <v>630</v>
      </c>
      <c r="D2617">
        <v>5</v>
      </c>
      <c r="E2617" t="s">
        <v>35</v>
      </c>
      <c r="F2617" t="s">
        <v>36</v>
      </c>
      <c r="G2617" t="str">
        <f>"2025-07-11 21:30:28.509"</f>
        <v>2025-07-11 21:30:28.509</v>
      </c>
      <c r="H2617" t="s">
        <v>37</v>
      </c>
      <c r="I2617">
        <v>0</v>
      </c>
      <c r="J2617" t="s">
        <v>30</v>
      </c>
    </row>
    <row r="2618" spans="1:10" x14ac:dyDescent="0.25">
      <c r="A2618" s="1">
        <v>657</v>
      </c>
      <c r="B2618" t="s">
        <v>19</v>
      </c>
      <c r="C2618">
        <v>700</v>
      </c>
      <c r="D2618">
        <v>0</v>
      </c>
      <c r="E2618" t="s">
        <v>20</v>
      </c>
      <c r="F2618" t="s">
        <v>20</v>
      </c>
      <c r="G2618" t="str">
        <f>"2025-07-11 13:21:13.588"</f>
        <v>2025-07-11 13:21:13.588</v>
      </c>
      <c r="H2618" t="s">
        <v>21</v>
      </c>
    </row>
    <row r="2619" spans="1:10" x14ac:dyDescent="0.25">
      <c r="A2619" s="1">
        <v>658</v>
      </c>
      <c r="B2619" t="s">
        <v>19</v>
      </c>
      <c r="C2619">
        <v>700</v>
      </c>
      <c r="D2619">
        <v>0</v>
      </c>
      <c r="E2619" t="s">
        <v>20</v>
      </c>
      <c r="F2619" t="s">
        <v>20</v>
      </c>
      <c r="G2619" t="str">
        <f>"2025-07-10 13:20:51.582"</f>
        <v>2025-07-10 13:20:51.582</v>
      </c>
      <c r="H2619" t="s">
        <v>21</v>
      </c>
    </row>
    <row r="2620" spans="1:10" s="3" customFormat="1" x14ac:dyDescent="0.25">
      <c r="A2620" s="2">
        <v>659</v>
      </c>
      <c r="B2620" s="3" t="s">
        <v>23</v>
      </c>
      <c r="C2620" s="3">
        <v>647</v>
      </c>
      <c r="D2620" s="3">
        <v>1</v>
      </c>
      <c r="E2620" s="3" t="s">
        <v>24</v>
      </c>
      <c r="F2620" s="3" t="s">
        <v>25</v>
      </c>
      <c r="G2620" s="3" t="str">
        <f>"2025-07-10 07:43:43.910"</f>
        <v>2025-07-10 07:43:43.910</v>
      </c>
      <c r="H2620" s="3" t="s">
        <v>21</v>
      </c>
    </row>
    <row r="2621" spans="1:10" s="3" customFormat="1" x14ac:dyDescent="0.25">
      <c r="A2621" s="2">
        <v>660</v>
      </c>
      <c r="B2621" s="3" t="s">
        <v>26</v>
      </c>
      <c r="C2621" s="3">
        <v>647</v>
      </c>
      <c r="D2621" s="3">
        <v>1</v>
      </c>
      <c r="E2621" s="3" t="s">
        <v>24</v>
      </c>
      <c r="F2621" s="3" t="s">
        <v>25</v>
      </c>
      <c r="G2621" s="3" t="str">
        <f>"2025-07-10 07:43:42.810"</f>
        <v>2025-07-10 07:43:42.810</v>
      </c>
      <c r="H2621" s="3" t="s">
        <v>21</v>
      </c>
      <c r="I2621" s="3">
        <v>18.149999999999999</v>
      </c>
      <c r="J2621" s="3" t="s">
        <v>27</v>
      </c>
    </row>
    <row r="2622" spans="1:10" x14ac:dyDescent="0.25">
      <c r="A2622" s="1">
        <v>661</v>
      </c>
      <c r="B2622" t="s">
        <v>19</v>
      </c>
      <c r="C2622">
        <v>706</v>
      </c>
      <c r="D2622">
        <v>4</v>
      </c>
      <c r="E2622" t="s">
        <v>28</v>
      </c>
      <c r="F2622" t="s">
        <v>29</v>
      </c>
      <c r="G2622" t="str">
        <f>"2025-07-10 00:29:05.465"</f>
        <v>2025-07-10 00:29:05.465</v>
      </c>
      <c r="H2622" t="s">
        <v>21</v>
      </c>
      <c r="I2622">
        <v>0</v>
      </c>
      <c r="J2622" t="s">
        <v>30</v>
      </c>
    </row>
    <row r="2623" spans="1:10" x14ac:dyDescent="0.25">
      <c r="A2623" s="1">
        <v>662</v>
      </c>
      <c r="B2623" t="s">
        <v>19</v>
      </c>
      <c r="C2623">
        <v>700</v>
      </c>
      <c r="D2623">
        <v>0</v>
      </c>
      <c r="E2623" t="s">
        <v>20</v>
      </c>
      <c r="F2623" t="s">
        <v>20</v>
      </c>
      <c r="G2623" t="str">
        <f>"2025-07-10 00:28:42.595"</f>
        <v>2025-07-10 00:28:42.595</v>
      </c>
      <c r="H2623" t="s">
        <v>21</v>
      </c>
    </row>
    <row r="2624" spans="1:10" x14ac:dyDescent="0.25">
      <c r="A2624" s="1">
        <v>663</v>
      </c>
      <c r="B2624" t="s">
        <v>19</v>
      </c>
      <c r="C2624">
        <v>706</v>
      </c>
      <c r="D2624">
        <v>4</v>
      </c>
      <c r="E2624" t="s">
        <v>28</v>
      </c>
      <c r="F2624" t="s">
        <v>29</v>
      </c>
      <c r="G2624" t="str">
        <f>"2025-07-09 20:59:43.853"</f>
        <v>2025-07-09 20:59:43.853</v>
      </c>
      <c r="H2624" t="s">
        <v>21</v>
      </c>
      <c r="I2624">
        <v>0</v>
      </c>
      <c r="J2624" t="s">
        <v>30</v>
      </c>
    </row>
    <row r="2625" spans="1:10" x14ac:dyDescent="0.25">
      <c r="A2625" s="1">
        <v>664</v>
      </c>
      <c r="B2625" t="s">
        <v>19</v>
      </c>
      <c r="C2625">
        <v>700</v>
      </c>
      <c r="D2625">
        <v>0</v>
      </c>
      <c r="E2625" t="s">
        <v>20</v>
      </c>
      <c r="F2625" t="s">
        <v>20</v>
      </c>
      <c r="G2625" t="str">
        <f>"2025-07-09 20:59:29.573"</f>
        <v>2025-07-09 20:59:29.573</v>
      </c>
      <c r="H2625" t="s">
        <v>21</v>
      </c>
      <c r="I2625">
        <v>0</v>
      </c>
      <c r="J2625" t="s">
        <v>22</v>
      </c>
    </row>
    <row r="2626" spans="1:10" x14ac:dyDescent="0.25">
      <c r="A2626" s="1">
        <v>665</v>
      </c>
      <c r="B2626" t="s">
        <v>19</v>
      </c>
      <c r="C2626">
        <v>700</v>
      </c>
      <c r="D2626">
        <v>0</v>
      </c>
      <c r="E2626" t="s">
        <v>20</v>
      </c>
      <c r="F2626" t="s">
        <v>20</v>
      </c>
      <c r="G2626" t="str">
        <f>"2025-07-09 20:49:18.575"</f>
        <v>2025-07-09 20:49:18.575</v>
      </c>
      <c r="H2626" t="s">
        <v>21</v>
      </c>
      <c r="I2626">
        <v>0</v>
      </c>
      <c r="J2626" t="s">
        <v>22</v>
      </c>
    </row>
    <row r="2627" spans="1:10" x14ac:dyDescent="0.25">
      <c r="A2627" s="1">
        <v>666</v>
      </c>
      <c r="B2627" t="s">
        <v>23</v>
      </c>
      <c r="C2627">
        <v>635</v>
      </c>
      <c r="D2627">
        <v>1</v>
      </c>
      <c r="E2627" t="s">
        <v>31</v>
      </c>
      <c r="F2627" t="s">
        <v>32</v>
      </c>
      <c r="G2627" t="str">
        <f>"2025-07-09 20:46:50.559"</f>
        <v>2025-07-09 20:46:50.559</v>
      </c>
      <c r="H2627" t="s">
        <v>21</v>
      </c>
    </row>
    <row r="2628" spans="1:10" x14ac:dyDescent="0.25">
      <c r="A2628" s="1">
        <v>667</v>
      </c>
      <c r="B2628" t="s">
        <v>26</v>
      </c>
      <c r="C2628">
        <v>635</v>
      </c>
      <c r="D2628">
        <v>1</v>
      </c>
      <c r="E2628" t="s">
        <v>31</v>
      </c>
      <c r="F2628" t="s">
        <v>32</v>
      </c>
      <c r="G2628" t="str">
        <f>"2025-07-09 20:42:39.559"</f>
        <v>2025-07-09 20:42:39.559</v>
      </c>
      <c r="H2628" t="s">
        <v>21</v>
      </c>
      <c r="I2628">
        <v>4.4000000000000004</v>
      </c>
      <c r="J2628" t="s">
        <v>27</v>
      </c>
    </row>
    <row r="2629" spans="1:10" x14ac:dyDescent="0.25">
      <c r="A2629" s="1">
        <v>668</v>
      </c>
      <c r="B2629" t="s">
        <v>19</v>
      </c>
      <c r="C2629">
        <v>706</v>
      </c>
      <c r="D2629">
        <v>2</v>
      </c>
      <c r="E2629" t="s">
        <v>28</v>
      </c>
      <c r="F2629" t="s">
        <v>39</v>
      </c>
      <c r="G2629" t="str">
        <f>"2025-07-09 13:38:24.128"</f>
        <v>2025-07-09 13:38:24.128</v>
      </c>
      <c r="H2629" t="s">
        <v>21</v>
      </c>
      <c r="I2629">
        <v>0</v>
      </c>
      <c r="J2629" t="s">
        <v>30</v>
      </c>
    </row>
    <row r="2630" spans="1:10" x14ac:dyDescent="0.25">
      <c r="A2630" s="1">
        <v>669</v>
      </c>
      <c r="B2630" t="s">
        <v>19</v>
      </c>
      <c r="C2630">
        <v>700</v>
      </c>
      <c r="D2630">
        <v>0</v>
      </c>
      <c r="E2630" t="s">
        <v>20</v>
      </c>
      <c r="F2630" t="s">
        <v>20</v>
      </c>
      <c r="G2630" t="str">
        <f>"2025-07-09 13:38:05.598"</f>
        <v>2025-07-09 13:38:05.598</v>
      </c>
      <c r="H2630" t="s">
        <v>21</v>
      </c>
      <c r="I2630">
        <v>0</v>
      </c>
      <c r="J2630" t="s">
        <v>22</v>
      </c>
    </row>
    <row r="2631" spans="1:10" x14ac:dyDescent="0.25">
      <c r="A2631" s="1">
        <v>670</v>
      </c>
      <c r="B2631" t="s">
        <v>19</v>
      </c>
      <c r="C2631">
        <v>706</v>
      </c>
      <c r="D2631">
        <v>2</v>
      </c>
      <c r="E2631" t="s">
        <v>28</v>
      </c>
      <c r="F2631" t="s">
        <v>39</v>
      </c>
      <c r="G2631" t="str">
        <f>"2025-07-09 05:28:35.683"</f>
        <v>2025-07-09 05:28:35.683</v>
      </c>
      <c r="H2631" t="s">
        <v>21</v>
      </c>
      <c r="I2631">
        <v>0</v>
      </c>
      <c r="J2631" t="s">
        <v>30</v>
      </c>
    </row>
    <row r="2632" spans="1:10" x14ac:dyDescent="0.25">
      <c r="A2632" s="1">
        <v>671</v>
      </c>
      <c r="B2632" t="s">
        <v>19</v>
      </c>
      <c r="C2632">
        <v>700</v>
      </c>
      <c r="D2632">
        <v>0</v>
      </c>
      <c r="E2632" t="s">
        <v>20</v>
      </c>
      <c r="F2632" t="s">
        <v>20</v>
      </c>
      <c r="G2632" t="str">
        <f>"2025-07-09 05:28:06.613"</f>
        <v>2025-07-09 05:28:06.613</v>
      </c>
      <c r="H2632" t="s">
        <v>21</v>
      </c>
    </row>
    <row r="2633" spans="1:10" x14ac:dyDescent="0.25">
      <c r="A2633" s="1">
        <v>672</v>
      </c>
      <c r="B2633" t="s">
        <v>19</v>
      </c>
      <c r="C2633">
        <v>700</v>
      </c>
      <c r="D2633">
        <v>0</v>
      </c>
      <c r="E2633" t="s">
        <v>20</v>
      </c>
      <c r="F2633" t="s">
        <v>20</v>
      </c>
      <c r="G2633" t="str">
        <f>"2025-07-09 01:20:55.567"</f>
        <v>2025-07-09 01:20:55.567</v>
      </c>
      <c r="H2633" t="s">
        <v>21</v>
      </c>
    </row>
    <row r="2634" spans="1:10" x14ac:dyDescent="0.25">
      <c r="A2634" s="1">
        <v>673</v>
      </c>
      <c r="B2634" t="s">
        <v>19</v>
      </c>
      <c r="C2634">
        <v>706</v>
      </c>
      <c r="D2634">
        <v>4</v>
      </c>
      <c r="E2634" t="s">
        <v>28</v>
      </c>
      <c r="F2634" t="s">
        <v>29</v>
      </c>
      <c r="G2634" t="str">
        <f>"2025-07-08 22:10:57.043"</f>
        <v>2025-07-08 22:10:57.043</v>
      </c>
      <c r="H2634" t="s">
        <v>21</v>
      </c>
      <c r="I2634">
        <v>0</v>
      </c>
      <c r="J2634" t="s">
        <v>30</v>
      </c>
    </row>
    <row r="2635" spans="1:10" x14ac:dyDescent="0.25">
      <c r="A2635" s="1">
        <v>674</v>
      </c>
      <c r="B2635" t="s">
        <v>19</v>
      </c>
      <c r="C2635">
        <v>700</v>
      </c>
      <c r="D2635">
        <v>0</v>
      </c>
      <c r="E2635" t="s">
        <v>20</v>
      </c>
      <c r="F2635" t="s">
        <v>20</v>
      </c>
      <c r="G2635" t="str">
        <f>"2025-07-08 22:10:40.643"</f>
        <v>2025-07-08 22:10:40.643</v>
      </c>
      <c r="H2635" t="s">
        <v>21</v>
      </c>
      <c r="I2635">
        <v>0</v>
      </c>
      <c r="J2635" t="s">
        <v>22</v>
      </c>
    </row>
    <row r="2636" spans="1:10" x14ac:dyDescent="0.25">
      <c r="A2636" s="1">
        <v>675</v>
      </c>
      <c r="B2636" t="s">
        <v>19</v>
      </c>
      <c r="C2636">
        <v>706</v>
      </c>
      <c r="D2636">
        <v>2</v>
      </c>
      <c r="E2636" t="s">
        <v>28</v>
      </c>
      <c r="F2636" t="s">
        <v>39</v>
      </c>
      <c r="G2636" t="str">
        <f>"2025-07-08 12:35:37.120"</f>
        <v>2025-07-08 12:35:37.120</v>
      </c>
      <c r="H2636" t="s">
        <v>21</v>
      </c>
      <c r="I2636">
        <v>0</v>
      </c>
      <c r="J2636" t="s">
        <v>30</v>
      </c>
    </row>
    <row r="2637" spans="1:10" x14ac:dyDescent="0.25">
      <c r="A2637" s="1">
        <v>676</v>
      </c>
      <c r="B2637" t="s">
        <v>19</v>
      </c>
      <c r="C2637">
        <v>700</v>
      </c>
      <c r="D2637">
        <v>0</v>
      </c>
      <c r="E2637" t="s">
        <v>20</v>
      </c>
      <c r="F2637" t="s">
        <v>20</v>
      </c>
      <c r="G2637" t="str">
        <f>"2025-07-08 12:35:02.690"</f>
        <v>2025-07-08 12:35:02.690</v>
      </c>
      <c r="H2637" t="s">
        <v>21</v>
      </c>
      <c r="I2637">
        <v>0</v>
      </c>
      <c r="J2637" t="s">
        <v>22</v>
      </c>
    </row>
    <row r="2638" spans="1:10" s="3" customFormat="1" x14ac:dyDescent="0.25">
      <c r="A2638" s="2">
        <v>677</v>
      </c>
      <c r="B2638" s="3" t="s">
        <v>23</v>
      </c>
      <c r="C2638" s="3">
        <v>647</v>
      </c>
      <c r="D2638" s="3">
        <v>1</v>
      </c>
      <c r="E2638" s="3" t="s">
        <v>24</v>
      </c>
      <c r="F2638" s="3" t="s">
        <v>25</v>
      </c>
      <c r="G2638" s="3" t="str">
        <f>"2025-07-08 10:34:39.015"</f>
        <v>2025-07-08 10:34:39.015</v>
      </c>
      <c r="H2638" s="3" t="s">
        <v>21</v>
      </c>
    </row>
    <row r="2639" spans="1:10" s="3" customFormat="1" x14ac:dyDescent="0.25">
      <c r="A2639" s="2">
        <v>678</v>
      </c>
      <c r="B2639" s="3" t="s">
        <v>26</v>
      </c>
      <c r="C2639" s="3">
        <v>647</v>
      </c>
      <c r="D2639" s="3">
        <v>1</v>
      </c>
      <c r="E2639" s="3" t="s">
        <v>24</v>
      </c>
      <c r="F2639" s="3" t="s">
        <v>25</v>
      </c>
      <c r="G2639" s="3" t="str">
        <f>"2025-07-08 10:34:23.415"</f>
        <v>2025-07-08 10:34:23.415</v>
      </c>
      <c r="H2639" s="3" t="s">
        <v>21</v>
      </c>
      <c r="I2639" s="3">
        <v>8.86</v>
      </c>
      <c r="J2639" s="3" t="s">
        <v>34</v>
      </c>
    </row>
    <row r="2640" spans="1:10" s="3" customFormat="1" x14ac:dyDescent="0.25">
      <c r="A2640" s="2">
        <v>679</v>
      </c>
      <c r="B2640" s="3" t="s">
        <v>23</v>
      </c>
      <c r="C2640" s="3">
        <v>647</v>
      </c>
      <c r="D2640" s="3">
        <v>1</v>
      </c>
      <c r="E2640" s="3" t="s">
        <v>24</v>
      </c>
      <c r="F2640" s="3" t="s">
        <v>25</v>
      </c>
      <c r="G2640" s="3" t="str">
        <f>"2025-07-08 07:27:47.215"</f>
        <v>2025-07-08 07:27:47.215</v>
      </c>
      <c r="H2640" s="3" t="s">
        <v>21</v>
      </c>
    </row>
    <row r="2641" spans="1:10" s="3" customFormat="1" x14ac:dyDescent="0.25">
      <c r="A2641" s="2">
        <v>680</v>
      </c>
      <c r="B2641" s="3" t="s">
        <v>26</v>
      </c>
      <c r="C2641" s="3">
        <v>647</v>
      </c>
      <c r="D2641" s="3">
        <v>1</v>
      </c>
      <c r="E2641" s="3" t="s">
        <v>24</v>
      </c>
      <c r="F2641" s="3" t="s">
        <v>25</v>
      </c>
      <c r="G2641" s="3" t="str">
        <f>"2025-07-08 07:27:44.515"</f>
        <v>2025-07-08 07:27:44.515</v>
      </c>
      <c r="H2641" s="3" t="s">
        <v>21</v>
      </c>
      <c r="I2641" s="3">
        <v>19.95</v>
      </c>
      <c r="J2641" s="3" t="s">
        <v>27</v>
      </c>
    </row>
    <row r="2642" spans="1:10" x14ac:dyDescent="0.25">
      <c r="A2642" s="1">
        <v>681</v>
      </c>
      <c r="B2642" t="s">
        <v>19</v>
      </c>
      <c r="C2642">
        <v>706</v>
      </c>
      <c r="D2642">
        <v>2</v>
      </c>
      <c r="E2642" t="s">
        <v>28</v>
      </c>
      <c r="F2642" t="s">
        <v>39</v>
      </c>
      <c r="G2642" t="str">
        <f>"2025-07-08 03:45:54.272"</f>
        <v>2025-07-08 03:45:54.272</v>
      </c>
      <c r="H2642" t="s">
        <v>21</v>
      </c>
      <c r="I2642">
        <v>0</v>
      </c>
      <c r="J2642" t="s">
        <v>30</v>
      </c>
    </row>
    <row r="2643" spans="1:10" x14ac:dyDescent="0.25">
      <c r="A2643" s="1">
        <v>682</v>
      </c>
      <c r="B2643" t="s">
        <v>19</v>
      </c>
      <c r="C2643">
        <v>700</v>
      </c>
      <c r="D2643">
        <v>0</v>
      </c>
      <c r="E2643" t="s">
        <v>20</v>
      </c>
      <c r="F2643" t="s">
        <v>20</v>
      </c>
      <c r="G2643" t="str">
        <f>"2025-07-08 03:45:33.582"</f>
        <v>2025-07-08 03:45:33.582</v>
      </c>
      <c r="H2643" t="s">
        <v>21</v>
      </c>
      <c r="I2643">
        <v>0</v>
      </c>
      <c r="J2643" t="s">
        <v>22</v>
      </c>
    </row>
    <row r="2644" spans="1:10" x14ac:dyDescent="0.25">
      <c r="A2644" s="1">
        <v>683</v>
      </c>
      <c r="B2644" t="s">
        <v>38</v>
      </c>
      <c r="C2644">
        <v>630</v>
      </c>
      <c r="D2644">
        <v>5</v>
      </c>
      <c r="E2644" t="s">
        <v>35</v>
      </c>
      <c r="F2644" t="s">
        <v>36</v>
      </c>
      <c r="G2644" t="str">
        <f>"2025-07-08 02:31:47.621"</f>
        <v>2025-07-08 02:31:47.621</v>
      </c>
      <c r="H2644" t="s">
        <v>37</v>
      </c>
      <c r="I2644">
        <v>0</v>
      </c>
      <c r="J2644" t="s">
        <v>30</v>
      </c>
    </row>
    <row r="2645" spans="1:10" x14ac:dyDescent="0.25">
      <c r="A2645" s="1">
        <v>684</v>
      </c>
      <c r="B2645" t="s">
        <v>19</v>
      </c>
      <c r="C2645">
        <v>706</v>
      </c>
      <c r="D2645">
        <v>4</v>
      </c>
      <c r="E2645" t="s">
        <v>28</v>
      </c>
      <c r="F2645" t="s">
        <v>29</v>
      </c>
      <c r="G2645" t="str">
        <f>"2025-07-08 01:54:07.239"</f>
        <v>2025-07-08 01:54:07.239</v>
      </c>
      <c r="H2645" t="s">
        <v>21</v>
      </c>
      <c r="I2645">
        <v>0</v>
      </c>
      <c r="J2645" t="s">
        <v>30</v>
      </c>
    </row>
    <row r="2646" spans="1:10" x14ac:dyDescent="0.25">
      <c r="A2646" s="1">
        <v>685</v>
      </c>
      <c r="B2646" t="s">
        <v>19</v>
      </c>
      <c r="C2646">
        <v>700</v>
      </c>
      <c r="D2646">
        <v>0</v>
      </c>
      <c r="E2646" t="s">
        <v>20</v>
      </c>
      <c r="F2646" t="s">
        <v>20</v>
      </c>
      <c r="G2646" t="str">
        <f>"2025-07-08 01:53:51.699"</f>
        <v>2025-07-08 01:53:51.699</v>
      </c>
      <c r="H2646" t="s">
        <v>21</v>
      </c>
    </row>
    <row r="2647" spans="1:10" x14ac:dyDescent="0.25">
      <c r="A2647" s="1">
        <v>686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"2025-07-07 22:09:37.571"</f>
        <v>2025-07-07 22:09:37.571</v>
      </c>
      <c r="H2647" t="s">
        <v>21</v>
      </c>
      <c r="I2647">
        <v>0</v>
      </c>
      <c r="J2647" t="s">
        <v>22</v>
      </c>
    </row>
    <row r="2648" spans="1:10" s="3" customFormat="1" x14ac:dyDescent="0.25">
      <c r="A2648" s="2">
        <v>687</v>
      </c>
      <c r="B2648" s="3" t="s">
        <v>23</v>
      </c>
      <c r="C2648" s="3">
        <v>647</v>
      </c>
      <c r="D2648" s="3">
        <v>1</v>
      </c>
      <c r="E2648" s="3" t="s">
        <v>24</v>
      </c>
      <c r="F2648" s="3" t="s">
        <v>25</v>
      </c>
      <c r="G2648" s="3" t="str">
        <f>"2025-07-07 17:44:26.314"</f>
        <v>2025-07-07 17:44:26.314</v>
      </c>
      <c r="H2648" s="3" t="s">
        <v>21</v>
      </c>
    </row>
    <row r="2649" spans="1:10" s="3" customFormat="1" x14ac:dyDescent="0.25">
      <c r="A2649" s="2">
        <v>688</v>
      </c>
      <c r="B2649" s="3" t="s">
        <v>26</v>
      </c>
      <c r="C2649" s="3">
        <v>647</v>
      </c>
      <c r="D2649" s="3">
        <v>1</v>
      </c>
      <c r="E2649" s="3" t="s">
        <v>24</v>
      </c>
      <c r="F2649" s="3" t="s">
        <v>25</v>
      </c>
      <c r="G2649" s="3" t="str">
        <f>"2025-07-07 17:44:22.014"</f>
        <v>2025-07-07 17:44:22.014</v>
      </c>
      <c r="H2649" s="3" t="s">
        <v>21</v>
      </c>
      <c r="I2649" s="3">
        <v>16.71</v>
      </c>
      <c r="J2649" s="3" t="s">
        <v>27</v>
      </c>
    </row>
    <row r="2650" spans="1:10" s="3" customFormat="1" x14ac:dyDescent="0.25">
      <c r="A2650" s="2">
        <v>689</v>
      </c>
      <c r="B2650" s="3" t="s">
        <v>23</v>
      </c>
      <c r="C2650" s="3">
        <v>647</v>
      </c>
      <c r="D2650" s="3">
        <v>1</v>
      </c>
      <c r="E2650" s="3" t="s">
        <v>24</v>
      </c>
      <c r="F2650" s="3" t="s">
        <v>25</v>
      </c>
      <c r="G2650" s="3" t="str">
        <f>"2025-07-07 08:30:32.814"</f>
        <v>2025-07-07 08:30:32.814</v>
      </c>
      <c r="H2650" s="3" t="s">
        <v>21</v>
      </c>
    </row>
    <row r="2651" spans="1:10" s="3" customFormat="1" x14ac:dyDescent="0.25">
      <c r="A2651" s="2">
        <v>690</v>
      </c>
      <c r="B2651" s="3" t="s">
        <v>26</v>
      </c>
      <c r="C2651" s="3">
        <v>647</v>
      </c>
      <c r="D2651" s="3">
        <v>1</v>
      </c>
      <c r="E2651" s="3" t="s">
        <v>24</v>
      </c>
      <c r="F2651" s="3" t="s">
        <v>25</v>
      </c>
      <c r="G2651" s="3" t="str">
        <f>"2025-07-07 08:30:28.414"</f>
        <v>2025-07-07 08:30:28.414</v>
      </c>
      <c r="H2651" s="3" t="s">
        <v>21</v>
      </c>
      <c r="I2651" s="3">
        <v>8.83</v>
      </c>
      <c r="J2651" s="3" t="s">
        <v>27</v>
      </c>
    </row>
    <row r="2652" spans="1:10" s="3" customFormat="1" x14ac:dyDescent="0.25">
      <c r="A2652" s="2">
        <v>691</v>
      </c>
      <c r="B2652" s="3" t="s">
        <v>23</v>
      </c>
      <c r="C2652" s="3">
        <v>647</v>
      </c>
      <c r="D2652" s="3">
        <v>1</v>
      </c>
      <c r="E2652" s="3" t="s">
        <v>24</v>
      </c>
      <c r="F2652" s="3" t="s">
        <v>25</v>
      </c>
      <c r="G2652" s="3" t="str">
        <f>"2025-07-06 17:36:09.714"</f>
        <v>2025-07-06 17:36:09.714</v>
      </c>
      <c r="H2652" s="3" t="s">
        <v>21</v>
      </c>
    </row>
    <row r="2653" spans="1:10" s="3" customFormat="1" x14ac:dyDescent="0.25">
      <c r="A2653" s="2">
        <v>692</v>
      </c>
      <c r="B2653" s="3" t="s">
        <v>26</v>
      </c>
      <c r="C2653" s="3">
        <v>647</v>
      </c>
      <c r="D2653" s="3">
        <v>1</v>
      </c>
      <c r="E2653" s="3" t="s">
        <v>24</v>
      </c>
      <c r="F2653" s="3" t="s">
        <v>25</v>
      </c>
      <c r="G2653" s="3" t="str">
        <f>"2025-07-06 17:36:04.014"</f>
        <v>2025-07-06 17:36:04.014</v>
      </c>
      <c r="H2653" s="3" t="s">
        <v>21</v>
      </c>
      <c r="I2653" s="3">
        <v>25.33</v>
      </c>
      <c r="J2653" s="3" t="s">
        <v>27</v>
      </c>
    </row>
    <row r="2654" spans="1:10" s="3" customFormat="1" x14ac:dyDescent="0.25">
      <c r="A2654" s="2">
        <v>693</v>
      </c>
      <c r="B2654" s="3" t="s">
        <v>23</v>
      </c>
      <c r="C2654" s="3">
        <v>647</v>
      </c>
      <c r="D2654" s="3">
        <v>1</v>
      </c>
      <c r="E2654" s="3" t="s">
        <v>24</v>
      </c>
      <c r="F2654" s="3" t="s">
        <v>25</v>
      </c>
      <c r="G2654" s="3" t="str">
        <f>"2025-07-06 17:35:56.715"</f>
        <v>2025-07-06 17:35:56.715</v>
      </c>
      <c r="H2654" s="3" t="s">
        <v>21</v>
      </c>
    </row>
    <row r="2655" spans="1:10" s="3" customFormat="1" x14ac:dyDescent="0.25">
      <c r="A2655" s="2">
        <v>694</v>
      </c>
      <c r="B2655" s="3" t="s">
        <v>26</v>
      </c>
      <c r="C2655" s="3">
        <v>647</v>
      </c>
      <c r="D2655" s="3">
        <v>1</v>
      </c>
      <c r="E2655" s="3" t="s">
        <v>24</v>
      </c>
      <c r="F2655" s="3" t="s">
        <v>25</v>
      </c>
      <c r="G2655" s="3" t="str">
        <f>"2025-07-06 17:35:54.814"</f>
        <v>2025-07-06 17:35:54.814</v>
      </c>
      <c r="H2655" s="3" t="s">
        <v>21</v>
      </c>
      <c r="I2655" s="3">
        <v>23.64</v>
      </c>
      <c r="J2655" s="3" t="s">
        <v>27</v>
      </c>
    </row>
    <row r="2656" spans="1:10" s="3" customFormat="1" x14ac:dyDescent="0.25">
      <c r="A2656" s="2">
        <v>695</v>
      </c>
      <c r="B2656" s="3" t="s">
        <v>23</v>
      </c>
      <c r="C2656" s="3">
        <v>647</v>
      </c>
      <c r="D2656" s="3">
        <v>1</v>
      </c>
      <c r="E2656" s="3" t="s">
        <v>24</v>
      </c>
      <c r="F2656" s="3" t="s">
        <v>25</v>
      </c>
      <c r="G2656" s="3" t="str">
        <f>"2025-07-06 17:35:49.314"</f>
        <v>2025-07-06 17:35:49.314</v>
      </c>
      <c r="H2656" s="3" t="s">
        <v>21</v>
      </c>
    </row>
    <row r="2657" spans="1:10" s="3" customFormat="1" x14ac:dyDescent="0.25">
      <c r="A2657" s="2">
        <v>696</v>
      </c>
      <c r="B2657" s="3" t="s">
        <v>26</v>
      </c>
      <c r="C2657" s="3">
        <v>647</v>
      </c>
      <c r="D2657" s="3">
        <v>1</v>
      </c>
      <c r="E2657" s="3" t="s">
        <v>24</v>
      </c>
      <c r="F2657" s="3" t="s">
        <v>25</v>
      </c>
      <c r="G2657" s="3" t="str">
        <f>"2025-07-06 17:35:48.214"</f>
        <v>2025-07-06 17:35:48.214</v>
      </c>
      <c r="H2657" s="3" t="s">
        <v>21</v>
      </c>
      <c r="I2657" s="3">
        <v>24.07</v>
      </c>
      <c r="J2657" s="3" t="s">
        <v>27</v>
      </c>
    </row>
    <row r="2658" spans="1:10" s="3" customFormat="1" x14ac:dyDescent="0.25">
      <c r="A2658" s="2">
        <v>697</v>
      </c>
      <c r="B2658" s="3" t="s">
        <v>23</v>
      </c>
      <c r="C2658" s="3">
        <v>647</v>
      </c>
      <c r="D2658" s="3">
        <v>1</v>
      </c>
      <c r="E2658" s="3" t="s">
        <v>24</v>
      </c>
      <c r="F2658" s="3" t="s">
        <v>25</v>
      </c>
      <c r="G2658" s="3" t="str">
        <f>"2025-07-06 17:35:42.515"</f>
        <v>2025-07-06 17:35:42.515</v>
      </c>
      <c r="H2658" s="3" t="s">
        <v>21</v>
      </c>
    </row>
    <row r="2659" spans="1:10" s="3" customFormat="1" x14ac:dyDescent="0.25">
      <c r="A2659" s="2">
        <v>698</v>
      </c>
      <c r="B2659" s="3" t="s">
        <v>26</v>
      </c>
      <c r="C2659" s="3">
        <v>647</v>
      </c>
      <c r="D2659" s="3">
        <v>1</v>
      </c>
      <c r="E2659" s="3" t="s">
        <v>24</v>
      </c>
      <c r="F2659" s="3" t="s">
        <v>25</v>
      </c>
      <c r="G2659" s="3" t="str">
        <f>"2025-07-06 17:35:41.014"</f>
        <v>2025-07-06 17:35:41.014</v>
      </c>
      <c r="H2659" s="3" t="s">
        <v>21</v>
      </c>
      <c r="I2659" s="3">
        <v>25.38</v>
      </c>
      <c r="J2659" s="3" t="s">
        <v>27</v>
      </c>
    </row>
    <row r="2660" spans="1:10" x14ac:dyDescent="0.25">
      <c r="A2660" s="1">
        <v>699</v>
      </c>
      <c r="B2660" t="s">
        <v>19</v>
      </c>
      <c r="C2660">
        <v>700</v>
      </c>
      <c r="D2660">
        <v>0</v>
      </c>
      <c r="E2660" t="s">
        <v>20</v>
      </c>
      <c r="F2660" t="s">
        <v>20</v>
      </c>
      <c r="G2660" t="str">
        <f>"2025-07-06 13:25:40.572"</f>
        <v>2025-07-06 13:25:40.572</v>
      </c>
      <c r="H2660" t="s">
        <v>21</v>
      </c>
    </row>
    <row r="2661" spans="1:10" s="3" customFormat="1" x14ac:dyDescent="0.25">
      <c r="A2661" s="2">
        <v>700</v>
      </c>
      <c r="B2661" s="3" t="s">
        <v>23</v>
      </c>
      <c r="C2661" s="3">
        <v>647</v>
      </c>
      <c r="D2661" s="3">
        <v>1</v>
      </c>
      <c r="E2661" s="3" t="s">
        <v>24</v>
      </c>
      <c r="F2661" s="3" t="s">
        <v>25</v>
      </c>
      <c r="G2661" s="3" t="str">
        <f>"2025-07-06 09:44:19.988"</f>
        <v>2025-07-06 09:44:19.988</v>
      </c>
      <c r="H2661" s="3" t="s">
        <v>21</v>
      </c>
    </row>
    <row r="2662" spans="1:10" s="3" customFormat="1" x14ac:dyDescent="0.25">
      <c r="A2662" s="2">
        <v>701</v>
      </c>
      <c r="B2662" s="3" t="s">
        <v>26</v>
      </c>
      <c r="C2662" s="3">
        <v>647</v>
      </c>
      <c r="D2662" s="3">
        <v>1</v>
      </c>
      <c r="E2662" s="3" t="s">
        <v>24</v>
      </c>
      <c r="F2662" s="3" t="s">
        <v>25</v>
      </c>
      <c r="G2662" s="3" t="str">
        <f>"2025-07-06 09:44:16.688"</f>
        <v>2025-07-06 09:44:16.688</v>
      </c>
      <c r="H2662" s="3" t="s">
        <v>21</v>
      </c>
      <c r="I2662" s="3">
        <v>9.19</v>
      </c>
      <c r="J2662" s="3" t="s">
        <v>27</v>
      </c>
    </row>
    <row r="2663" spans="1:10" s="3" customFormat="1" x14ac:dyDescent="0.25">
      <c r="A2663" s="2">
        <v>702</v>
      </c>
      <c r="B2663" s="3" t="s">
        <v>23</v>
      </c>
      <c r="C2663" s="3">
        <v>647</v>
      </c>
      <c r="D2663" s="3">
        <v>1</v>
      </c>
      <c r="E2663" s="3" t="s">
        <v>24</v>
      </c>
      <c r="F2663" s="3" t="s">
        <v>25</v>
      </c>
      <c r="G2663" s="3" t="str">
        <f>"2025-07-06 09:07:11.688"</f>
        <v>2025-07-06 09:07:11.688</v>
      </c>
      <c r="H2663" s="3" t="s">
        <v>21</v>
      </c>
    </row>
    <row r="2664" spans="1:10" s="3" customFormat="1" x14ac:dyDescent="0.25">
      <c r="A2664" s="2">
        <v>703</v>
      </c>
      <c r="B2664" s="3" t="s">
        <v>26</v>
      </c>
      <c r="C2664" s="3">
        <v>647</v>
      </c>
      <c r="D2664" s="3">
        <v>1</v>
      </c>
      <c r="E2664" s="3" t="s">
        <v>24</v>
      </c>
      <c r="F2664" s="3" t="s">
        <v>25</v>
      </c>
      <c r="G2664" s="3" t="str">
        <f>"2025-07-06 09:07:08.388"</f>
        <v>2025-07-06 09:07:08.388</v>
      </c>
      <c r="H2664" s="3" t="s">
        <v>21</v>
      </c>
      <c r="I2664" s="3">
        <v>19.489999999999998</v>
      </c>
      <c r="J2664" s="3" t="s">
        <v>27</v>
      </c>
    </row>
    <row r="2665" spans="1:10" x14ac:dyDescent="0.25">
      <c r="A2665" s="1">
        <v>704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"2025-07-06 03:10:58.556"</f>
        <v>2025-07-06 03:10:58.556</v>
      </c>
      <c r="H2665" t="s">
        <v>21</v>
      </c>
      <c r="I2665">
        <v>0</v>
      </c>
      <c r="J2665" t="s">
        <v>22</v>
      </c>
    </row>
    <row r="2666" spans="1:10" x14ac:dyDescent="0.25">
      <c r="A2666" s="1">
        <v>705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"2025-07-06 00:49:23.548"</f>
        <v>2025-07-06 00:49:23.548</v>
      </c>
      <c r="H2666" t="s">
        <v>21</v>
      </c>
    </row>
    <row r="2667" spans="1:10" s="3" customFormat="1" x14ac:dyDescent="0.25">
      <c r="A2667" s="2">
        <v>706</v>
      </c>
      <c r="B2667" s="3" t="s">
        <v>23</v>
      </c>
      <c r="C2667" s="3">
        <v>647</v>
      </c>
      <c r="D2667" s="3">
        <v>1</v>
      </c>
      <c r="E2667" s="3" t="s">
        <v>24</v>
      </c>
      <c r="F2667" s="3" t="s">
        <v>25</v>
      </c>
      <c r="G2667" s="3" t="str">
        <f>"2025-07-06 00:06:03.031"</f>
        <v>2025-07-06 00:06:03.031</v>
      </c>
      <c r="H2667" s="3" t="s">
        <v>21</v>
      </c>
    </row>
    <row r="2668" spans="1:10" s="3" customFormat="1" x14ac:dyDescent="0.25">
      <c r="A2668" s="2">
        <v>707</v>
      </c>
      <c r="B2668" s="3" t="s">
        <v>26</v>
      </c>
      <c r="C2668" s="3">
        <v>647</v>
      </c>
      <c r="D2668" s="3">
        <v>1</v>
      </c>
      <c r="E2668" s="3" t="s">
        <v>24</v>
      </c>
      <c r="F2668" s="3" t="s">
        <v>25</v>
      </c>
      <c r="G2668" s="3" t="str">
        <f>"2025-07-06 00:05:58.732"</f>
        <v>2025-07-06 00:05:58.732</v>
      </c>
      <c r="H2668" s="3" t="s">
        <v>21</v>
      </c>
      <c r="I2668" s="3">
        <v>24.73</v>
      </c>
      <c r="J2668" s="3" t="s">
        <v>27</v>
      </c>
    </row>
    <row r="2669" spans="1:10" x14ac:dyDescent="0.25">
      <c r="A2669" s="1">
        <v>708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"2025-07-05 21:49:06.689"</f>
        <v>2025-07-05 21:49:06.689</v>
      </c>
      <c r="H2669" t="s">
        <v>21</v>
      </c>
    </row>
    <row r="2670" spans="1:10" s="3" customFormat="1" x14ac:dyDescent="0.25">
      <c r="A2670" s="2">
        <v>709</v>
      </c>
      <c r="B2670" s="3" t="s">
        <v>23</v>
      </c>
      <c r="C2670" s="3">
        <v>647</v>
      </c>
      <c r="D2670" s="3">
        <v>1</v>
      </c>
      <c r="E2670" s="3" t="s">
        <v>24</v>
      </c>
      <c r="F2670" s="3" t="s">
        <v>25</v>
      </c>
      <c r="G2670" s="3" t="str">
        <f>"2025-07-05 19:34:13.703"</f>
        <v>2025-07-05 19:34:13.703</v>
      </c>
      <c r="H2670" s="3" t="s">
        <v>21</v>
      </c>
    </row>
    <row r="2671" spans="1:10" s="3" customFormat="1" x14ac:dyDescent="0.25">
      <c r="A2671" s="2">
        <v>710</v>
      </c>
      <c r="B2671" s="3" t="s">
        <v>26</v>
      </c>
      <c r="C2671" s="3">
        <v>647</v>
      </c>
      <c r="D2671" s="3">
        <v>1</v>
      </c>
      <c r="E2671" s="3" t="s">
        <v>24</v>
      </c>
      <c r="F2671" s="3" t="s">
        <v>25</v>
      </c>
      <c r="G2671" s="3" t="str">
        <f>"2025-07-05 19:34:08.803"</f>
        <v>2025-07-05 19:34:08.803</v>
      </c>
      <c r="H2671" s="3" t="s">
        <v>21</v>
      </c>
      <c r="I2671" s="3">
        <v>9.52</v>
      </c>
      <c r="J2671" s="3" t="s">
        <v>27</v>
      </c>
    </row>
    <row r="2672" spans="1:10" x14ac:dyDescent="0.25">
      <c r="A2672" s="1">
        <v>711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"2025-07-05 12:59:31.558"</f>
        <v>2025-07-05 12:59:31.558</v>
      </c>
      <c r="H2672" t="s">
        <v>21</v>
      </c>
    </row>
    <row r="2673" spans="1:10" x14ac:dyDescent="0.25">
      <c r="A2673" s="1">
        <v>712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"2025-07-05 09:28:00.580"</f>
        <v>2025-07-05 09:28:00.580</v>
      </c>
      <c r="H2673" t="s">
        <v>21</v>
      </c>
    </row>
    <row r="2674" spans="1:10" s="3" customFormat="1" x14ac:dyDescent="0.25">
      <c r="A2674" s="2">
        <v>713</v>
      </c>
      <c r="B2674" s="3" t="s">
        <v>23</v>
      </c>
      <c r="C2674" s="3">
        <v>647</v>
      </c>
      <c r="D2674" s="3">
        <v>1</v>
      </c>
      <c r="E2674" s="3" t="s">
        <v>24</v>
      </c>
      <c r="F2674" s="3" t="s">
        <v>25</v>
      </c>
      <c r="G2674" s="3" t="str">
        <f>"2025-07-05 06:45:25.664"</f>
        <v>2025-07-05 06:45:25.664</v>
      </c>
      <c r="H2674" s="3" t="s">
        <v>21</v>
      </c>
    </row>
    <row r="2675" spans="1:10" s="3" customFormat="1" x14ac:dyDescent="0.25">
      <c r="A2675" s="2">
        <v>714</v>
      </c>
      <c r="B2675" s="3" t="s">
        <v>26</v>
      </c>
      <c r="C2675" s="3">
        <v>647</v>
      </c>
      <c r="D2675" s="3">
        <v>1</v>
      </c>
      <c r="E2675" s="3" t="s">
        <v>24</v>
      </c>
      <c r="F2675" s="3" t="s">
        <v>25</v>
      </c>
      <c r="G2675" s="3" t="str">
        <f>"2025-07-05 06:45:22.964"</f>
        <v>2025-07-05 06:45:22.964</v>
      </c>
      <c r="H2675" s="3" t="s">
        <v>21</v>
      </c>
      <c r="I2675" s="3">
        <v>17.71</v>
      </c>
      <c r="J2675" s="3" t="s">
        <v>27</v>
      </c>
    </row>
    <row r="2676" spans="1:10" s="3" customFormat="1" x14ac:dyDescent="0.25">
      <c r="A2676" s="2">
        <v>715</v>
      </c>
      <c r="B2676" s="3" t="s">
        <v>23</v>
      </c>
      <c r="C2676" s="3">
        <v>647</v>
      </c>
      <c r="D2676" s="3">
        <v>1</v>
      </c>
      <c r="E2676" s="3" t="s">
        <v>24</v>
      </c>
      <c r="F2676" s="3" t="s">
        <v>25</v>
      </c>
      <c r="G2676" s="3" t="str">
        <f>"2025-07-05 06:20:24.164"</f>
        <v>2025-07-05 06:20:24.164</v>
      </c>
      <c r="H2676" s="3" t="s">
        <v>21</v>
      </c>
    </row>
    <row r="2677" spans="1:10" s="3" customFormat="1" x14ac:dyDescent="0.25">
      <c r="A2677" s="2">
        <v>716</v>
      </c>
      <c r="B2677" s="3" t="s">
        <v>26</v>
      </c>
      <c r="C2677" s="3">
        <v>647</v>
      </c>
      <c r="D2677" s="3">
        <v>1</v>
      </c>
      <c r="E2677" s="3" t="s">
        <v>24</v>
      </c>
      <c r="F2677" s="3" t="s">
        <v>25</v>
      </c>
      <c r="G2677" s="3" t="str">
        <f>"2025-07-05 06:20:22.865"</f>
        <v>2025-07-05 06:20:22.865</v>
      </c>
      <c r="H2677" s="3" t="s">
        <v>21</v>
      </c>
      <c r="I2677" s="3">
        <v>12.87</v>
      </c>
      <c r="J2677" s="3" t="s">
        <v>27</v>
      </c>
    </row>
    <row r="2678" spans="1:10" x14ac:dyDescent="0.25">
      <c r="A2678" s="1">
        <v>717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"2025-07-05 00:39:35.547"</f>
        <v>2025-07-05 00:39:35.547</v>
      </c>
      <c r="H2678" t="s">
        <v>21</v>
      </c>
      <c r="I2678">
        <v>0</v>
      </c>
      <c r="J2678" t="s">
        <v>22</v>
      </c>
    </row>
    <row r="2679" spans="1:10" x14ac:dyDescent="0.25">
      <c r="A2679" s="1">
        <v>718</v>
      </c>
      <c r="B2679" t="s">
        <v>19</v>
      </c>
      <c r="C2679">
        <v>700</v>
      </c>
      <c r="D2679">
        <v>0</v>
      </c>
      <c r="E2679" t="s">
        <v>20</v>
      </c>
      <c r="F2679" t="s">
        <v>20</v>
      </c>
      <c r="G2679" t="str">
        <f>"2025-07-04 21:27:53.536"</f>
        <v>2025-07-04 21:27:53.536</v>
      </c>
      <c r="H2679" t="s">
        <v>21</v>
      </c>
    </row>
    <row r="2680" spans="1:10" s="3" customFormat="1" x14ac:dyDescent="0.25">
      <c r="A2680" s="2">
        <v>719</v>
      </c>
      <c r="B2680" s="3" t="s">
        <v>23</v>
      </c>
      <c r="C2680" s="3">
        <v>647</v>
      </c>
      <c r="D2680" s="3">
        <v>1</v>
      </c>
      <c r="E2680" s="3" t="s">
        <v>24</v>
      </c>
      <c r="F2680" s="3" t="s">
        <v>25</v>
      </c>
      <c r="G2680" s="3" t="str">
        <f>"2025-07-04 16:17:34.429"</f>
        <v>2025-07-04 16:17:34.429</v>
      </c>
      <c r="H2680" s="3" t="s">
        <v>21</v>
      </c>
    </row>
    <row r="2681" spans="1:10" s="3" customFormat="1" x14ac:dyDescent="0.25">
      <c r="A2681" s="2">
        <v>720</v>
      </c>
      <c r="B2681" s="3" t="s">
        <v>26</v>
      </c>
      <c r="C2681" s="3">
        <v>647</v>
      </c>
      <c r="D2681" s="3">
        <v>1</v>
      </c>
      <c r="E2681" s="3" t="s">
        <v>24</v>
      </c>
      <c r="F2681" s="3" t="s">
        <v>25</v>
      </c>
      <c r="G2681" s="3" t="str">
        <f>"2025-07-04 16:17:27.429"</f>
        <v>2025-07-04 16:17:27.429</v>
      </c>
      <c r="H2681" s="3" t="s">
        <v>21</v>
      </c>
      <c r="I2681" s="3">
        <v>11.59</v>
      </c>
      <c r="J2681" s="3" t="s">
        <v>34</v>
      </c>
    </row>
    <row r="2682" spans="1:10" x14ac:dyDescent="0.25">
      <c r="A2682" s="1">
        <v>721</v>
      </c>
      <c r="B2682" t="s">
        <v>19</v>
      </c>
      <c r="C2682">
        <v>706</v>
      </c>
      <c r="D2682">
        <v>4</v>
      </c>
      <c r="E2682" t="s">
        <v>28</v>
      </c>
      <c r="F2682" t="s">
        <v>29</v>
      </c>
      <c r="G2682" t="str">
        <f>"2025-07-04 13:33:39.236"</f>
        <v>2025-07-04 13:33:39.236</v>
      </c>
      <c r="H2682" t="s">
        <v>21</v>
      </c>
      <c r="I2682">
        <v>0</v>
      </c>
      <c r="J2682" t="s">
        <v>30</v>
      </c>
    </row>
    <row r="2683" spans="1:10" x14ac:dyDescent="0.25">
      <c r="A2683" s="1">
        <v>722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"2025-07-04 13:33:15.696"</f>
        <v>2025-07-04 13:33:15.696</v>
      </c>
      <c r="H2683" t="s">
        <v>21</v>
      </c>
    </row>
    <row r="2684" spans="1:10" s="3" customFormat="1" x14ac:dyDescent="0.25">
      <c r="A2684" s="2">
        <v>723</v>
      </c>
      <c r="B2684" s="3" t="s">
        <v>23</v>
      </c>
      <c r="C2684" s="3">
        <v>647</v>
      </c>
      <c r="D2684" s="3">
        <v>1</v>
      </c>
      <c r="E2684" s="3" t="s">
        <v>24</v>
      </c>
      <c r="F2684" s="3" t="s">
        <v>25</v>
      </c>
      <c r="G2684" s="3" t="str">
        <f>"2025-07-04 10:54:13.679"</f>
        <v>2025-07-04 10:54:13.679</v>
      </c>
      <c r="H2684" s="3" t="s">
        <v>21</v>
      </c>
    </row>
    <row r="2685" spans="1:10" s="3" customFormat="1" x14ac:dyDescent="0.25">
      <c r="A2685" s="2">
        <v>724</v>
      </c>
      <c r="B2685" s="3" t="s">
        <v>26</v>
      </c>
      <c r="C2685" s="3">
        <v>647</v>
      </c>
      <c r="D2685" s="3">
        <v>1</v>
      </c>
      <c r="E2685" s="3" t="s">
        <v>24</v>
      </c>
      <c r="F2685" s="3" t="s">
        <v>25</v>
      </c>
      <c r="G2685" s="3" t="str">
        <f>"2025-07-04 10:54:08.779"</f>
        <v>2025-07-04 10:54:08.779</v>
      </c>
      <c r="H2685" s="3" t="s">
        <v>21</v>
      </c>
      <c r="I2685" s="3">
        <v>10.050000000000001</v>
      </c>
      <c r="J2685" s="3" t="s">
        <v>27</v>
      </c>
    </row>
    <row r="2686" spans="1:10" x14ac:dyDescent="0.25">
      <c r="A2686" s="1">
        <v>725</v>
      </c>
      <c r="B2686" t="s">
        <v>19</v>
      </c>
      <c r="C2686">
        <v>706</v>
      </c>
      <c r="D2686">
        <v>2</v>
      </c>
      <c r="E2686" t="s">
        <v>28</v>
      </c>
      <c r="F2686" t="s">
        <v>39</v>
      </c>
      <c r="G2686" t="str">
        <f>"2025-07-04 10:40:26.927"</f>
        <v>2025-07-04 10:40:26.927</v>
      </c>
      <c r="H2686" t="s">
        <v>21</v>
      </c>
      <c r="I2686">
        <v>0</v>
      </c>
      <c r="J2686" t="s">
        <v>30</v>
      </c>
    </row>
    <row r="2687" spans="1:10" x14ac:dyDescent="0.25">
      <c r="A2687" s="1">
        <v>726</v>
      </c>
      <c r="B2687" t="s">
        <v>19</v>
      </c>
      <c r="C2687">
        <v>700</v>
      </c>
      <c r="D2687">
        <v>0</v>
      </c>
      <c r="E2687" t="s">
        <v>20</v>
      </c>
      <c r="F2687" t="s">
        <v>20</v>
      </c>
      <c r="G2687" t="str">
        <f>"2025-07-04 10:40:08.547"</f>
        <v>2025-07-04 10:40:08.547</v>
      </c>
      <c r="H2687" t="s">
        <v>21</v>
      </c>
      <c r="I2687">
        <v>0</v>
      </c>
      <c r="J2687" t="s">
        <v>22</v>
      </c>
    </row>
    <row r="2688" spans="1:10" x14ac:dyDescent="0.25">
      <c r="A2688" s="1">
        <v>727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"2025-07-04 10:08:20.545"</f>
        <v>2025-07-04 10:08:20.545</v>
      </c>
      <c r="H2688" t="s">
        <v>21</v>
      </c>
      <c r="I2688">
        <v>0</v>
      </c>
      <c r="J2688" t="s">
        <v>22</v>
      </c>
    </row>
    <row r="2689" spans="1:10" x14ac:dyDescent="0.25">
      <c r="A2689" s="1">
        <v>728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"2025-07-04 08:56:55.543"</f>
        <v>2025-07-04 08:56:55.543</v>
      </c>
      <c r="H2689" t="s">
        <v>21</v>
      </c>
      <c r="I2689">
        <v>0</v>
      </c>
      <c r="J2689" t="s">
        <v>22</v>
      </c>
    </row>
    <row r="2690" spans="1:10" x14ac:dyDescent="0.25">
      <c r="A2690" s="1">
        <v>729</v>
      </c>
      <c r="B2690" t="s">
        <v>38</v>
      </c>
      <c r="C2690">
        <v>630</v>
      </c>
      <c r="D2690">
        <v>5</v>
      </c>
      <c r="E2690" t="s">
        <v>35</v>
      </c>
      <c r="F2690" t="s">
        <v>36</v>
      </c>
      <c r="G2690" t="str">
        <f>"2025-07-04 08:47:33.313"</f>
        <v>2025-07-04 08:47:33.313</v>
      </c>
      <c r="H2690" t="s">
        <v>37</v>
      </c>
      <c r="I2690">
        <v>0</v>
      </c>
      <c r="J2690" t="s">
        <v>30</v>
      </c>
    </row>
    <row r="2691" spans="1:10" x14ac:dyDescent="0.25">
      <c r="A2691" s="1">
        <v>730</v>
      </c>
      <c r="B2691" t="s">
        <v>19</v>
      </c>
      <c r="C2691">
        <v>700</v>
      </c>
      <c r="D2691">
        <v>0</v>
      </c>
      <c r="E2691" t="s">
        <v>20</v>
      </c>
      <c r="F2691" t="s">
        <v>20</v>
      </c>
      <c r="G2691" t="str">
        <f>"2025-07-04 08:42:30.565"</f>
        <v>2025-07-04 08:42:30.565</v>
      </c>
      <c r="H2691" t="s">
        <v>21</v>
      </c>
    </row>
    <row r="2692" spans="1:10" s="3" customFormat="1" x14ac:dyDescent="0.25">
      <c r="A2692" s="2">
        <v>731</v>
      </c>
      <c r="B2692" s="3" t="s">
        <v>23</v>
      </c>
      <c r="C2692" s="3">
        <v>647</v>
      </c>
      <c r="D2692" s="3">
        <v>1</v>
      </c>
      <c r="E2692" s="3" t="s">
        <v>24</v>
      </c>
      <c r="F2692" s="3" t="s">
        <v>25</v>
      </c>
      <c r="G2692" s="3" t="str">
        <f>"2025-07-04 07:41:48.105"</f>
        <v>2025-07-04 07:41:48.105</v>
      </c>
      <c r="H2692" s="3" t="s">
        <v>21</v>
      </c>
    </row>
    <row r="2693" spans="1:10" s="3" customFormat="1" x14ac:dyDescent="0.25">
      <c r="A2693" s="2">
        <v>732</v>
      </c>
      <c r="B2693" s="3" t="s">
        <v>26</v>
      </c>
      <c r="C2693" s="3">
        <v>647</v>
      </c>
      <c r="D2693" s="3">
        <v>1</v>
      </c>
      <c r="E2693" s="3" t="s">
        <v>24</v>
      </c>
      <c r="F2693" s="3" t="s">
        <v>25</v>
      </c>
      <c r="G2693" s="3" t="str">
        <f>"2025-07-04 07:41:38.605"</f>
        <v>2025-07-04 07:41:38.605</v>
      </c>
      <c r="H2693" s="3" t="s">
        <v>21</v>
      </c>
      <c r="I2693" s="3">
        <v>13.73</v>
      </c>
      <c r="J2693" s="3" t="s">
        <v>27</v>
      </c>
    </row>
    <row r="2694" spans="1:10" x14ac:dyDescent="0.25">
      <c r="A2694" s="1">
        <v>733</v>
      </c>
      <c r="B2694" t="s">
        <v>19</v>
      </c>
      <c r="C2694">
        <v>706</v>
      </c>
      <c r="D2694">
        <v>4</v>
      </c>
      <c r="E2694" t="s">
        <v>28</v>
      </c>
      <c r="F2694" t="s">
        <v>29</v>
      </c>
      <c r="G2694" t="str">
        <f>"2025-07-04 01:41:52.654"</f>
        <v>2025-07-04 01:41:52.654</v>
      </c>
      <c r="H2694" t="s">
        <v>21</v>
      </c>
      <c r="I2694">
        <v>0</v>
      </c>
      <c r="J2694" t="s">
        <v>30</v>
      </c>
    </row>
    <row r="2695" spans="1:10" x14ac:dyDescent="0.25">
      <c r="A2695" s="1">
        <v>734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"2025-07-04 01:41:34.564"</f>
        <v>2025-07-04 01:41:34.564</v>
      </c>
      <c r="H2695" t="s">
        <v>21</v>
      </c>
      <c r="I2695">
        <v>0</v>
      </c>
      <c r="J2695" t="s">
        <v>22</v>
      </c>
    </row>
    <row r="2696" spans="1:10" x14ac:dyDescent="0.25">
      <c r="A2696" s="1">
        <v>735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"2025-07-03 21:16:30.572"</f>
        <v>2025-07-03 21:16:30.572</v>
      </c>
      <c r="H2696" t="s">
        <v>21</v>
      </c>
    </row>
    <row r="2697" spans="1:10" x14ac:dyDescent="0.25">
      <c r="A2697" s="1">
        <v>736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"2025-07-03 13:36:30.571"</f>
        <v>2025-07-03 13:36:30.571</v>
      </c>
      <c r="H2697" t="s">
        <v>21</v>
      </c>
      <c r="I2697">
        <v>0</v>
      </c>
      <c r="J2697" t="s">
        <v>22</v>
      </c>
    </row>
    <row r="2698" spans="1:10" x14ac:dyDescent="0.25">
      <c r="A2698" s="1">
        <v>737</v>
      </c>
      <c r="B2698" t="s">
        <v>19</v>
      </c>
      <c r="C2698">
        <v>700</v>
      </c>
      <c r="D2698">
        <v>0</v>
      </c>
      <c r="E2698" t="s">
        <v>20</v>
      </c>
      <c r="F2698" t="s">
        <v>20</v>
      </c>
      <c r="G2698" t="str">
        <f>"2025-07-03 01:22:09.553"</f>
        <v>2025-07-03 01:22:09.553</v>
      </c>
      <c r="H2698" t="s">
        <v>21</v>
      </c>
    </row>
    <row r="2699" spans="1:10" s="3" customFormat="1" x14ac:dyDescent="0.25">
      <c r="A2699" s="2">
        <v>738</v>
      </c>
      <c r="B2699" s="3" t="s">
        <v>23</v>
      </c>
      <c r="C2699" s="3">
        <v>647</v>
      </c>
      <c r="D2699" s="3">
        <v>1</v>
      </c>
      <c r="E2699" s="3" t="s">
        <v>24</v>
      </c>
      <c r="F2699" s="3" t="s">
        <v>25</v>
      </c>
      <c r="G2699" s="3" t="str">
        <f>"2025-07-02 18:17:01.277"</f>
        <v>2025-07-02 18:17:01.277</v>
      </c>
      <c r="H2699" s="3" t="s">
        <v>21</v>
      </c>
    </row>
    <row r="2700" spans="1:10" s="3" customFormat="1" x14ac:dyDescent="0.25">
      <c r="A2700" s="2">
        <v>739</v>
      </c>
      <c r="B2700" s="3" t="s">
        <v>26</v>
      </c>
      <c r="C2700" s="3">
        <v>647</v>
      </c>
      <c r="D2700" s="3">
        <v>1</v>
      </c>
      <c r="E2700" s="3" t="s">
        <v>24</v>
      </c>
      <c r="F2700" s="3" t="s">
        <v>25</v>
      </c>
      <c r="G2700" s="3" t="str">
        <f>"2025-07-02 18:16:58.777"</f>
        <v>2025-07-02 18:16:58.777</v>
      </c>
      <c r="H2700" s="3" t="s">
        <v>21</v>
      </c>
      <c r="I2700" s="3">
        <v>8.06</v>
      </c>
      <c r="J2700" s="3" t="s">
        <v>27</v>
      </c>
    </row>
    <row r="2701" spans="1:10" x14ac:dyDescent="0.25">
      <c r="A2701" s="1">
        <v>740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"2025-07-02 00:36:04.539"</f>
        <v>2025-07-02 00:36:04.539</v>
      </c>
      <c r="H2701" t="s">
        <v>21</v>
      </c>
      <c r="I2701">
        <v>0</v>
      </c>
      <c r="J2701" t="s">
        <v>22</v>
      </c>
    </row>
    <row r="2702" spans="1:10" x14ac:dyDescent="0.25">
      <c r="A2702" s="1">
        <v>741</v>
      </c>
      <c r="B2702" t="s">
        <v>19</v>
      </c>
      <c r="C2702">
        <v>706</v>
      </c>
      <c r="D2702">
        <v>2</v>
      </c>
      <c r="E2702" t="s">
        <v>28</v>
      </c>
      <c r="F2702" t="s">
        <v>39</v>
      </c>
      <c r="G2702" t="str">
        <f>"2025-07-01 19:43:58.562"</f>
        <v>2025-07-01 19:43:58.562</v>
      </c>
      <c r="H2702" t="s">
        <v>21</v>
      </c>
      <c r="I2702">
        <v>0</v>
      </c>
      <c r="J2702" t="s">
        <v>30</v>
      </c>
    </row>
    <row r="2703" spans="1:10" x14ac:dyDescent="0.25">
      <c r="A2703" s="1">
        <v>742</v>
      </c>
      <c r="B2703" t="s">
        <v>19</v>
      </c>
      <c r="C2703">
        <v>706</v>
      </c>
      <c r="D2703">
        <v>2</v>
      </c>
      <c r="E2703" t="s">
        <v>28</v>
      </c>
      <c r="F2703" t="s">
        <v>39</v>
      </c>
      <c r="G2703" t="str">
        <f>"2025-07-01 14:01:27.462"</f>
        <v>2025-07-01 14:01:27.462</v>
      </c>
      <c r="H2703" t="s">
        <v>21</v>
      </c>
      <c r="I2703">
        <v>0</v>
      </c>
      <c r="J2703" t="s">
        <v>30</v>
      </c>
    </row>
    <row r="2704" spans="1:10" x14ac:dyDescent="0.25">
      <c r="A2704" s="1">
        <v>743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"2025-07-01 14:01:11.532"</f>
        <v>2025-07-01 14:01:11.532</v>
      </c>
      <c r="H2704" t="s">
        <v>21</v>
      </c>
    </row>
    <row r="2705" spans="1:10" x14ac:dyDescent="0.25">
      <c r="A2705" s="1">
        <v>744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"2025-07-01 00:53:59.712"</f>
        <v>2025-07-01 00:53:59.712</v>
      </c>
      <c r="H2705" t="s">
        <v>21</v>
      </c>
      <c r="I2705">
        <v>0</v>
      </c>
      <c r="J2705" t="s">
        <v>22</v>
      </c>
    </row>
    <row r="2706" spans="1:10" x14ac:dyDescent="0.25">
      <c r="A2706" s="1">
        <v>745</v>
      </c>
      <c r="B2706" t="s">
        <v>19</v>
      </c>
      <c r="C2706">
        <v>706</v>
      </c>
      <c r="D2706">
        <v>4</v>
      </c>
      <c r="E2706" t="s">
        <v>28</v>
      </c>
      <c r="F2706" t="s">
        <v>29</v>
      </c>
      <c r="G2706" t="str">
        <f>"2025-06-30 13:44:14.147"</f>
        <v>2025-06-30 13:44:14.147</v>
      </c>
      <c r="H2706" t="s">
        <v>21</v>
      </c>
      <c r="I2706">
        <v>0</v>
      </c>
      <c r="J2706" t="s">
        <v>30</v>
      </c>
    </row>
    <row r="2707" spans="1:10" x14ac:dyDescent="0.25">
      <c r="A2707" s="1">
        <v>746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"2025-06-30 13:43:26.567"</f>
        <v>2025-06-30 13:43:26.567</v>
      </c>
      <c r="H2707" t="s">
        <v>21</v>
      </c>
    </row>
    <row r="2708" spans="1:10" x14ac:dyDescent="0.25">
      <c r="A2708" s="1">
        <v>747</v>
      </c>
      <c r="B2708" t="s">
        <v>44</v>
      </c>
      <c r="C2708">
        <v>33</v>
      </c>
      <c r="D2708">
        <v>1</v>
      </c>
      <c r="E2708" t="s">
        <v>45</v>
      </c>
      <c r="F2708" t="s">
        <v>46</v>
      </c>
      <c r="G2708" t="str">
        <f>"2025-06-30 05:29:28.328"</f>
        <v>2025-06-30 05:29:28.328</v>
      </c>
      <c r="H2708" t="s">
        <v>47</v>
      </c>
    </row>
    <row r="2709" spans="1:10" x14ac:dyDescent="0.25">
      <c r="A2709" s="1">
        <v>748</v>
      </c>
      <c r="B2709" t="s">
        <v>23</v>
      </c>
      <c r="C2709">
        <v>98</v>
      </c>
      <c r="D2709">
        <v>1</v>
      </c>
      <c r="E2709" t="s">
        <v>65</v>
      </c>
      <c r="F2709" t="s">
        <v>66</v>
      </c>
      <c r="G2709" t="str">
        <f>"2025-06-30 05:28:43.740"</f>
        <v>2025-06-30 05:28:43.740</v>
      </c>
      <c r="H2709" t="s">
        <v>21</v>
      </c>
    </row>
    <row r="2710" spans="1:10" x14ac:dyDescent="0.25">
      <c r="A2710" s="1">
        <v>749</v>
      </c>
      <c r="B2710" t="s">
        <v>26</v>
      </c>
      <c r="C2710">
        <v>98</v>
      </c>
      <c r="D2710">
        <v>1</v>
      </c>
      <c r="E2710" t="s">
        <v>65</v>
      </c>
      <c r="F2710" t="s">
        <v>66</v>
      </c>
      <c r="G2710" t="str">
        <f>"2025-06-30 05:28:41.740"</f>
        <v>2025-06-30 05:28:41.740</v>
      </c>
      <c r="H2710" t="s">
        <v>21</v>
      </c>
      <c r="I2710">
        <v>5.75</v>
      </c>
      <c r="J2710" t="s">
        <v>33</v>
      </c>
    </row>
    <row r="2711" spans="1:10" x14ac:dyDescent="0.25">
      <c r="A2711" s="1">
        <v>750</v>
      </c>
      <c r="B2711" t="s">
        <v>38</v>
      </c>
      <c r="C2711">
        <v>33</v>
      </c>
      <c r="D2711">
        <v>1</v>
      </c>
      <c r="E2711" t="s">
        <v>45</v>
      </c>
      <c r="F2711" t="s">
        <v>46</v>
      </c>
      <c r="G2711" t="str">
        <f>"2025-06-30 05:28:18.879"</f>
        <v>2025-06-30 05:28:18.879</v>
      </c>
      <c r="H2711" t="s">
        <v>47</v>
      </c>
      <c r="I2711">
        <v>8.02</v>
      </c>
      <c r="J2711" t="s">
        <v>33</v>
      </c>
    </row>
    <row r="2712" spans="1:10" x14ac:dyDescent="0.25">
      <c r="A2712" s="1">
        <v>751</v>
      </c>
      <c r="B2712" t="s">
        <v>19</v>
      </c>
      <c r="C2712">
        <v>700</v>
      </c>
      <c r="D2712">
        <v>0</v>
      </c>
      <c r="E2712" t="s">
        <v>20</v>
      </c>
      <c r="F2712" t="s">
        <v>20</v>
      </c>
      <c r="G2712" t="str">
        <f>"2025-06-30 00:49:26.599"</f>
        <v>2025-06-30 00:49:26.599</v>
      </c>
      <c r="H2712" t="s">
        <v>21</v>
      </c>
    </row>
    <row r="2713" spans="1:10" s="3" customFormat="1" x14ac:dyDescent="0.25">
      <c r="A2713" s="2">
        <v>752</v>
      </c>
      <c r="B2713" s="3" t="s">
        <v>23</v>
      </c>
      <c r="C2713" s="3">
        <v>647</v>
      </c>
      <c r="D2713" s="3">
        <v>1</v>
      </c>
      <c r="E2713" s="3" t="s">
        <v>24</v>
      </c>
      <c r="F2713" s="3" t="s">
        <v>25</v>
      </c>
      <c r="G2713" s="3" t="str">
        <f>"2025-06-29 05:41:28.465"</f>
        <v>2025-06-29 05:41:28.465</v>
      </c>
      <c r="H2713" s="3" t="s">
        <v>21</v>
      </c>
    </row>
    <row r="2714" spans="1:10" s="3" customFormat="1" x14ac:dyDescent="0.25">
      <c r="A2714" s="2">
        <v>753</v>
      </c>
      <c r="B2714" s="3" t="s">
        <v>26</v>
      </c>
      <c r="C2714" s="3">
        <v>647</v>
      </c>
      <c r="D2714" s="3">
        <v>1</v>
      </c>
      <c r="E2714" s="3" t="s">
        <v>24</v>
      </c>
      <c r="F2714" s="3" t="s">
        <v>25</v>
      </c>
      <c r="G2714" s="3" t="str">
        <f>"2025-06-29 05:41:22.566"</f>
        <v>2025-06-29 05:41:22.566</v>
      </c>
      <c r="H2714" s="3" t="s">
        <v>21</v>
      </c>
      <c r="I2714" s="3">
        <v>15.98</v>
      </c>
      <c r="J2714" s="3" t="s">
        <v>27</v>
      </c>
    </row>
    <row r="2715" spans="1:10" x14ac:dyDescent="0.25">
      <c r="A2715" s="1">
        <v>754</v>
      </c>
      <c r="B2715" t="s">
        <v>19</v>
      </c>
      <c r="C2715">
        <v>706</v>
      </c>
      <c r="D2715">
        <v>4</v>
      </c>
      <c r="E2715" t="s">
        <v>28</v>
      </c>
      <c r="F2715" t="s">
        <v>29</v>
      </c>
      <c r="G2715" t="str">
        <f>"2025-06-29 02:45:44.838"</f>
        <v>2025-06-29 02:45:44.838</v>
      </c>
      <c r="H2715" t="s">
        <v>21</v>
      </c>
      <c r="I2715">
        <v>0</v>
      </c>
      <c r="J2715" t="s">
        <v>30</v>
      </c>
    </row>
    <row r="2716" spans="1:10" x14ac:dyDescent="0.25">
      <c r="A2716" s="1">
        <v>755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"2025-06-29 02:45:29.528"</f>
        <v>2025-06-29 02:45:29.528</v>
      </c>
      <c r="H2716" t="s">
        <v>21</v>
      </c>
      <c r="I2716">
        <v>0</v>
      </c>
      <c r="J2716" t="s">
        <v>22</v>
      </c>
    </row>
    <row r="2717" spans="1:10" x14ac:dyDescent="0.25">
      <c r="A2717" s="1">
        <v>756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"2025-06-29 02:14:38.631"</f>
        <v>2025-06-29 02:14:38.631</v>
      </c>
      <c r="H2717" t="s">
        <v>21</v>
      </c>
    </row>
    <row r="2718" spans="1:10" x14ac:dyDescent="0.25">
      <c r="A2718" s="1">
        <v>757</v>
      </c>
      <c r="B2718" t="s">
        <v>19</v>
      </c>
      <c r="C2718">
        <v>700</v>
      </c>
      <c r="D2718">
        <v>0</v>
      </c>
      <c r="E2718" t="s">
        <v>20</v>
      </c>
      <c r="F2718" t="s">
        <v>20</v>
      </c>
      <c r="G2718" t="str">
        <f>"2025-06-29 01:46:16.532"</f>
        <v>2025-06-29 01:46:16.532</v>
      </c>
      <c r="H2718" t="s">
        <v>21</v>
      </c>
    </row>
    <row r="2719" spans="1:10" x14ac:dyDescent="0.25">
      <c r="A2719" s="1">
        <v>758</v>
      </c>
      <c r="B2719" t="s">
        <v>19</v>
      </c>
      <c r="C2719">
        <v>700</v>
      </c>
      <c r="D2719">
        <v>0</v>
      </c>
      <c r="E2719" t="s">
        <v>20</v>
      </c>
      <c r="F2719" t="s">
        <v>20</v>
      </c>
      <c r="G2719" t="str">
        <f>"2025-06-29 00:31:21.539"</f>
        <v>2025-06-29 00:31:21.539</v>
      </c>
      <c r="H2719" t="s">
        <v>21</v>
      </c>
    </row>
    <row r="2720" spans="1:10" x14ac:dyDescent="0.25">
      <c r="A2720" s="1">
        <v>759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"2025-06-28 05:25:38.742"</f>
        <v>2025-06-28 05:25:38.742</v>
      </c>
      <c r="H2720" t="s">
        <v>21</v>
      </c>
    </row>
    <row r="2721" spans="1:10" x14ac:dyDescent="0.25">
      <c r="A2721" s="1">
        <v>760</v>
      </c>
      <c r="B2721" t="s">
        <v>19</v>
      </c>
      <c r="C2721">
        <v>700</v>
      </c>
      <c r="D2721">
        <v>0</v>
      </c>
      <c r="E2721" t="s">
        <v>20</v>
      </c>
      <c r="F2721" t="s">
        <v>20</v>
      </c>
      <c r="G2721" t="str">
        <f>"2025-06-28 00:52:26.577"</f>
        <v>2025-06-28 00:52:26.577</v>
      </c>
      <c r="H2721" t="s">
        <v>21</v>
      </c>
      <c r="I2721">
        <v>0</v>
      </c>
      <c r="J2721" t="s">
        <v>22</v>
      </c>
    </row>
    <row r="2722" spans="1:10" x14ac:dyDescent="0.25">
      <c r="A2722" s="1">
        <v>761</v>
      </c>
      <c r="B2722" t="s">
        <v>19</v>
      </c>
      <c r="C2722">
        <v>700</v>
      </c>
      <c r="D2722">
        <v>0</v>
      </c>
      <c r="E2722" t="s">
        <v>20</v>
      </c>
      <c r="F2722" t="s">
        <v>20</v>
      </c>
      <c r="G2722" t="str">
        <f>"2025-06-27 22:12:44.561"</f>
        <v>2025-06-27 22:12:44.561</v>
      </c>
      <c r="H2722" t="s">
        <v>21</v>
      </c>
    </row>
    <row r="2723" spans="1:10" s="3" customFormat="1" x14ac:dyDescent="0.25">
      <c r="A2723" s="2">
        <v>762</v>
      </c>
      <c r="B2723" s="3" t="s">
        <v>23</v>
      </c>
      <c r="C2723" s="3">
        <v>647</v>
      </c>
      <c r="D2723" s="3">
        <v>1</v>
      </c>
      <c r="E2723" s="3" t="s">
        <v>24</v>
      </c>
      <c r="F2723" s="3" t="s">
        <v>25</v>
      </c>
      <c r="G2723" s="3" t="str">
        <f>"2025-06-27 21:10:27.384"</f>
        <v>2025-06-27 21:10:27.384</v>
      </c>
      <c r="H2723" s="3" t="s">
        <v>21</v>
      </c>
    </row>
    <row r="2724" spans="1:10" s="3" customFormat="1" x14ac:dyDescent="0.25">
      <c r="A2724" s="2">
        <v>763</v>
      </c>
      <c r="B2724" s="3" t="s">
        <v>26</v>
      </c>
      <c r="C2724" s="3">
        <v>647</v>
      </c>
      <c r="D2724" s="3">
        <v>1</v>
      </c>
      <c r="E2724" s="3" t="s">
        <v>24</v>
      </c>
      <c r="F2724" s="3" t="s">
        <v>25</v>
      </c>
      <c r="G2724" s="3" t="str">
        <f>"2025-06-27 21:10:25.284"</f>
        <v>2025-06-27 21:10:25.284</v>
      </c>
      <c r="H2724" s="3" t="s">
        <v>21</v>
      </c>
      <c r="I2724" s="3">
        <v>17.100000000000001</v>
      </c>
      <c r="J2724" s="3" t="s">
        <v>27</v>
      </c>
    </row>
    <row r="2725" spans="1:10" x14ac:dyDescent="0.25">
      <c r="A2725" s="1">
        <v>764</v>
      </c>
      <c r="B2725" t="s">
        <v>19</v>
      </c>
      <c r="C2725">
        <v>700</v>
      </c>
      <c r="D2725">
        <v>0</v>
      </c>
      <c r="E2725" t="s">
        <v>20</v>
      </c>
      <c r="F2725" t="s">
        <v>20</v>
      </c>
      <c r="G2725" t="str">
        <f>"2025-06-27 13:41:18.535"</f>
        <v>2025-06-27 13:41:18.535</v>
      </c>
      <c r="H2725" t="s">
        <v>21</v>
      </c>
    </row>
    <row r="2726" spans="1:10" x14ac:dyDescent="0.25">
      <c r="A2726" s="1">
        <v>765</v>
      </c>
      <c r="B2726" t="s">
        <v>19</v>
      </c>
      <c r="C2726">
        <v>700</v>
      </c>
      <c r="D2726">
        <v>0</v>
      </c>
      <c r="E2726" t="s">
        <v>20</v>
      </c>
      <c r="F2726" t="s">
        <v>20</v>
      </c>
      <c r="G2726" t="str">
        <f>"2025-06-27 04:02:48.544"</f>
        <v>2025-06-27 04:02:48.544</v>
      </c>
      <c r="H2726" t="s">
        <v>21</v>
      </c>
    </row>
    <row r="2727" spans="1:10" x14ac:dyDescent="0.25">
      <c r="A2727" s="1">
        <v>766</v>
      </c>
      <c r="B2727" t="s">
        <v>19</v>
      </c>
      <c r="C2727">
        <v>700</v>
      </c>
      <c r="D2727">
        <v>0</v>
      </c>
      <c r="E2727" t="s">
        <v>20</v>
      </c>
      <c r="F2727" t="s">
        <v>20</v>
      </c>
      <c r="G2727" t="str">
        <f>"2025-06-27 00:58:45.555"</f>
        <v>2025-06-27 00:58:45.555</v>
      </c>
      <c r="H2727" t="s">
        <v>21</v>
      </c>
    </row>
    <row r="2728" spans="1:10" x14ac:dyDescent="0.25">
      <c r="A2728" s="1">
        <v>767</v>
      </c>
      <c r="B2728" t="s">
        <v>19</v>
      </c>
      <c r="C2728">
        <v>706</v>
      </c>
      <c r="D2728">
        <v>4</v>
      </c>
      <c r="E2728" t="s">
        <v>28</v>
      </c>
      <c r="F2728" t="s">
        <v>29</v>
      </c>
      <c r="G2728" t="str">
        <f>"2025-06-26 11:06:01.848"</f>
        <v>2025-06-26 11:06:01.848</v>
      </c>
      <c r="H2728" t="s">
        <v>21</v>
      </c>
      <c r="I2728">
        <v>0</v>
      </c>
      <c r="J2728" t="s">
        <v>30</v>
      </c>
    </row>
    <row r="2729" spans="1:10" x14ac:dyDescent="0.25">
      <c r="A2729" s="1">
        <v>768</v>
      </c>
      <c r="B2729" t="s">
        <v>19</v>
      </c>
      <c r="C2729">
        <v>700</v>
      </c>
      <c r="D2729">
        <v>0</v>
      </c>
      <c r="E2729" t="s">
        <v>20</v>
      </c>
      <c r="F2729" t="s">
        <v>20</v>
      </c>
      <c r="G2729" t="str">
        <f>"2025-06-26 11:05:14.578"</f>
        <v>2025-06-26 11:05:14.578</v>
      </c>
      <c r="H2729" t="s">
        <v>21</v>
      </c>
      <c r="I2729">
        <v>0</v>
      </c>
      <c r="J2729" t="s">
        <v>22</v>
      </c>
    </row>
    <row r="2730" spans="1:10" x14ac:dyDescent="0.25">
      <c r="A2730" s="1">
        <v>769</v>
      </c>
      <c r="B2730" t="s">
        <v>19</v>
      </c>
      <c r="C2730">
        <v>700</v>
      </c>
      <c r="D2730">
        <v>0</v>
      </c>
      <c r="E2730" t="s">
        <v>20</v>
      </c>
      <c r="F2730" t="s">
        <v>20</v>
      </c>
      <c r="G2730" t="str">
        <f>"2025-06-26 10:13:12.531"</f>
        <v>2025-06-26 10:13:12.531</v>
      </c>
      <c r="H2730" t="s">
        <v>21</v>
      </c>
      <c r="I2730">
        <v>0</v>
      </c>
      <c r="J2730" t="s">
        <v>22</v>
      </c>
    </row>
    <row r="2731" spans="1:10" x14ac:dyDescent="0.25">
      <c r="A2731" s="1">
        <v>770</v>
      </c>
      <c r="B2731" t="s">
        <v>19</v>
      </c>
      <c r="C2731">
        <v>706</v>
      </c>
      <c r="D2731">
        <v>4</v>
      </c>
      <c r="E2731" t="s">
        <v>28</v>
      </c>
      <c r="F2731" t="s">
        <v>29</v>
      </c>
      <c r="G2731" t="str">
        <f>"2025-06-26 10:02:48.838"</f>
        <v>2025-06-26 10:02:48.838</v>
      </c>
      <c r="H2731" t="s">
        <v>21</v>
      </c>
      <c r="I2731">
        <v>0</v>
      </c>
      <c r="J2731" t="s">
        <v>30</v>
      </c>
    </row>
    <row r="2732" spans="1:10" x14ac:dyDescent="0.25">
      <c r="A2732" s="1">
        <v>771</v>
      </c>
      <c r="B2732" t="s">
        <v>19</v>
      </c>
      <c r="C2732">
        <v>700</v>
      </c>
      <c r="D2732">
        <v>0</v>
      </c>
      <c r="E2732" t="s">
        <v>20</v>
      </c>
      <c r="F2732" t="s">
        <v>20</v>
      </c>
      <c r="G2732" t="str">
        <f>"2025-06-26 10:01:36.538"</f>
        <v>2025-06-26 10:01:36.538</v>
      </c>
      <c r="H2732" t="s">
        <v>21</v>
      </c>
      <c r="I2732">
        <v>0</v>
      </c>
      <c r="J2732" t="s">
        <v>22</v>
      </c>
    </row>
    <row r="2733" spans="1:10" x14ac:dyDescent="0.25">
      <c r="A2733" s="1">
        <v>772</v>
      </c>
      <c r="B2733" t="s">
        <v>38</v>
      </c>
      <c r="C2733">
        <v>630</v>
      </c>
      <c r="D2733">
        <v>5</v>
      </c>
      <c r="E2733" t="s">
        <v>35</v>
      </c>
      <c r="F2733" t="s">
        <v>36</v>
      </c>
      <c r="G2733" t="str">
        <f>"2025-06-25 10:09:24.289"</f>
        <v>2025-06-25 10:09:24.289</v>
      </c>
      <c r="H2733" t="s">
        <v>37</v>
      </c>
      <c r="I2733">
        <v>0</v>
      </c>
      <c r="J2733" t="s">
        <v>30</v>
      </c>
    </row>
    <row r="2734" spans="1:10" x14ac:dyDescent="0.25">
      <c r="A2734" s="1">
        <v>773</v>
      </c>
      <c r="B2734" t="s">
        <v>19</v>
      </c>
      <c r="C2734">
        <v>700</v>
      </c>
      <c r="D2734">
        <v>0</v>
      </c>
      <c r="E2734" t="s">
        <v>20</v>
      </c>
      <c r="F2734" t="s">
        <v>20</v>
      </c>
      <c r="G2734" t="str">
        <f>"2025-06-25 10:04:21.537"</f>
        <v>2025-06-25 10:04:21.537</v>
      </c>
      <c r="H2734" t="s">
        <v>21</v>
      </c>
    </row>
    <row r="2735" spans="1:10" x14ac:dyDescent="0.25">
      <c r="A2735" s="1">
        <v>774</v>
      </c>
      <c r="B2735" t="s">
        <v>19</v>
      </c>
      <c r="C2735">
        <v>700</v>
      </c>
      <c r="D2735">
        <v>0</v>
      </c>
      <c r="E2735" t="s">
        <v>20</v>
      </c>
      <c r="F2735" t="s">
        <v>20</v>
      </c>
      <c r="G2735" t="str">
        <f>"2025-06-25 09:32:22.533"</f>
        <v>2025-06-25 09:32:22.533</v>
      </c>
      <c r="H2735" t="s">
        <v>21</v>
      </c>
    </row>
    <row r="2736" spans="1:10" x14ac:dyDescent="0.25">
      <c r="A2736" s="1">
        <v>775</v>
      </c>
      <c r="B2736" t="s">
        <v>19</v>
      </c>
      <c r="C2736">
        <v>700</v>
      </c>
      <c r="D2736">
        <v>0</v>
      </c>
      <c r="E2736" t="s">
        <v>20</v>
      </c>
      <c r="F2736" t="s">
        <v>20</v>
      </c>
      <c r="G2736" t="str">
        <f>"2025-06-25 09:11:16.526"</f>
        <v>2025-06-25 09:11:16.526</v>
      </c>
      <c r="H2736" t="s">
        <v>21</v>
      </c>
    </row>
    <row r="2737" spans="1:10" x14ac:dyDescent="0.25">
      <c r="A2737" s="1">
        <v>776</v>
      </c>
      <c r="B2737" t="s">
        <v>19</v>
      </c>
      <c r="C2737">
        <v>700</v>
      </c>
      <c r="D2737">
        <v>0</v>
      </c>
      <c r="E2737" t="s">
        <v>20</v>
      </c>
      <c r="F2737" t="s">
        <v>20</v>
      </c>
      <c r="G2737" t="str">
        <f>"2025-06-25 09:09:35.536"</f>
        <v>2025-06-25 09:09:35.536</v>
      </c>
      <c r="H2737" t="s">
        <v>21</v>
      </c>
      <c r="I2737">
        <v>0</v>
      </c>
      <c r="J2737" t="s">
        <v>22</v>
      </c>
    </row>
    <row r="2738" spans="1:10" x14ac:dyDescent="0.25">
      <c r="A2738" s="1">
        <v>777</v>
      </c>
      <c r="B2738" t="s">
        <v>19</v>
      </c>
      <c r="C2738">
        <v>706</v>
      </c>
      <c r="D2738">
        <v>4</v>
      </c>
      <c r="E2738" t="s">
        <v>28</v>
      </c>
      <c r="F2738" t="s">
        <v>29</v>
      </c>
      <c r="G2738" t="str">
        <f>"2025-06-25 09:07:39.450"</f>
        <v>2025-06-25 09:07:39.450</v>
      </c>
      <c r="H2738" t="s">
        <v>21</v>
      </c>
      <c r="I2738">
        <v>0</v>
      </c>
      <c r="J2738" t="s">
        <v>30</v>
      </c>
    </row>
    <row r="2739" spans="1:10" x14ac:dyDescent="0.25">
      <c r="A2739" s="1">
        <v>778</v>
      </c>
      <c r="B2739" t="s">
        <v>19</v>
      </c>
      <c r="C2739">
        <v>700</v>
      </c>
      <c r="D2739">
        <v>0</v>
      </c>
      <c r="E2739" t="s">
        <v>20</v>
      </c>
      <c r="F2739" t="s">
        <v>20</v>
      </c>
      <c r="G2739" t="str">
        <f>"2025-06-25 09:07:17.730"</f>
        <v>2025-06-25 09:07:17.730</v>
      </c>
      <c r="H2739" t="s">
        <v>21</v>
      </c>
      <c r="I2739">
        <v>0</v>
      </c>
      <c r="J2739" t="s">
        <v>22</v>
      </c>
    </row>
    <row r="2740" spans="1:10" x14ac:dyDescent="0.25">
      <c r="A2740" s="1">
        <v>779</v>
      </c>
      <c r="B2740" t="s">
        <v>23</v>
      </c>
      <c r="C2740">
        <v>635</v>
      </c>
      <c r="D2740">
        <v>1</v>
      </c>
      <c r="E2740" t="s">
        <v>31</v>
      </c>
      <c r="F2740" t="s">
        <v>32</v>
      </c>
      <c r="G2740" t="str">
        <f>"2025-06-25 05:22:31.889"</f>
        <v>2025-06-25 05:22:31.889</v>
      </c>
      <c r="H2740" t="s">
        <v>21</v>
      </c>
    </row>
    <row r="2741" spans="1:10" x14ac:dyDescent="0.25">
      <c r="A2741" s="1">
        <v>780</v>
      </c>
      <c r="B2741" t="s">
        <v>26</v>
      </c>
      <c r="C2741">
        <v>635</v>
      </c>
      <c r="D2741">
        <v>1</v>
      </c>
      <c r="E2741" t="s">
        <v>31</v>
      </c>
      <c r="F2741" t="s">
        <v>32</v>
      </c>
      <c r="G2741" t="str">
        <f>"2025-06-25 05:15:43.389"</f>
        <v>2025-06-25 05:15:43.389</v>
      </c>
      <c r="H2741" t="s">
        <v>21</v>
      </c>
      <c r="I2741">
        <v>1.28</v>
      </c>
      <c r="J2741" t="s">
        <v>27</v>
      </c>
    </row>
    <row r="2742" spans="1:10" x14ac:dyDescent="0.25">
      <c r="A2742" s="1">
        <v>781</v>
      </c>
      <c r="B2742" t="s">
        <v>19</v>
      </c>
      <c r="C2742">
        <v>700</v>
      </c>
      <c r="D2742">
        <v>0</v>
      </c>
      <c r="E2742" t="s">
        <v>20</v>
      </c>
      <c r="F2742" t="s">
        <v>20</v>
      </c>
      <c r="G2742" t="str">
        <f>"2025-06-24 21:03:12.540"</f>
        <v>2025-06-24 21:03:12.540</v>
      </c>
      <c r="H2742" t="s">
        <v>21</v>
      </c>
    </row>
    <row r="2743" spans="1:10" x14ac:dyDescent="0.25">
      <c r="A2743" s="1">
        <v>782</v>
      </c>
      <c r="B2743" t="s">
        <v>19</v>
      </c>
      <c r="C2743">
        <v>700</v>
      </c>
      <c r="D2743">
        <v>0</v>
      </c>
      <c r="E2743" t="s">
        <v>20</v>
      </c>
      <c r="F2743" t="s">
        <v>20</v>
      </c>
      <c r="G2743" t="str">
        <f>"2025-06-24 13:20:51.760"</f>
        <v>2025-06-24 13:20:51.760</v>
      </c>
      <c r="H2743" t="s">
        <v>21</v>
      </c>
    </row>
    <row r="2744" spans="1:10" x14ac:dyDescent="0.25">
      <c r="A2744" s="1">
        <v>783</v>
      </c>
      <c r="B2744" t="s">
        <v>19</v>
      </c>
      <c r="C2744">
        <v>700</v>
      </c>
      <c r="D2744">
        <v>0</v>
      </c>
      <c r="E2744" t="s">
        <v>20</v>
      </c>
      <c r="F2744" t="s">
        <v>20</v>
      </c>
      <c r="G2744" t="str">
        <f>"2025-06-24 05:24:31.681"</f>
        <v>2025-06-24 05:24:31.681</v>
      </c>
      <c r="H2744" t="s">
        <v>21</v>
      </c>
    </row>
    <row r="2745" spans="1:10" x14ac:dyDescent="0.25">
      <c r="A2745" s="1">
        <v>784</v>
      </c>
      <c r="B2745" t="s">
        <v>19</v>
      </c>
      <c r="C2745">
        <v>700</v>
      </c>
      <c r="D2745">
        <v>0</v>
      </c>
      <c r="E2745" t="s">
        <v>20</v>
      </c>
      <c r="F2745" t="s">
        <v>20</v>
      </c>
      <c r="G2745" t="str">
        <f>"2025-06-23 01:55:02.547"</f>
        <v>2025-06-23 01:55:02.547</v>
      </c>
      <c r="H2745" t="s">
        <v>21</v>
      </c>
    </row>
    <row r="2746" spans="1:10" s="3" customFormat="1" x14ac:dyDescent="0.25">
      <c r="A2746" s="2">
        <v>785</v>
      </c>
      <c r="B2746" s="3" t="s">
        <v>23</v>
      </c>
      <c r="C2746" s="3">
        <v>647</v>
      </c>
      <c r="D2746" s="3">
        <v>1</v>
      </c>
      <c r="E2746" s="3" t="s">
        <v>24</v>
      </c>
      <c r="F2746" s="3" t="s">
        <v>25</v>
      </c>
      <c r="G2746" s="3" t="str">
        <f>"2025-06-22 23:07:59.482"</f>
        <v>2025-06-22 23:07:59.482</v>
      </c>
      <c r="H2746" s="3" t="s">
        <v>21</v>
      </c>
    </row>
    <row r="2747" spans="1:10" s="3" customFormat="1" x14ac:dyDescent="0.25">
      <c r="A2747" s="2">
        <v>786</v>
      </c>
      <c r="B2747" s="3" t="s">
        <v>26</v>
      </c>
      <c r="C2747" s="3">
        <v>647</v>
      </c>
      <c r="D2747" s="3">
        <v>1</v>
      </c>
      <c r="E2747" s="3" t="s">
        <v>24</v>
      </c>
      <c r="F2747" s="3" t="s">
        <v>25</v>
      </c>
      <c r="G2747" s="3" t="str">
        <f>"2025-06-22 23:07:52.982"</f>
        <v>2025-06-22 23:07:52.982</v>
      </c>
      <c r="H2747" s="3" t="s">
        <v>21</v>
      </c>
      <c r="I2747" s="3">
        <v>8.07</v>
      </c>
      <c r="J2747" s="3" t="s">
        <v>27</v>
      </c>
    </row>
    <row r="2748" spans="1:10" x14ac:dyDescent="0.25">
      <c r="A2748" s="1">
        <v>787</v>
      </c>
      <c r="B2748" t="s">
        <v>19</v>
      </c>
      <c r="C2748">
        <v>700</v>
      </c>
      <c r="D2748">
        <v>0</v>
      </c>
      <c r="E2748" t="s">
        <v>20</v>
      </c>
      <c r="F2748" t="s">
        <v>20</v>
      </c>
      <c r="G2748" t="str">
        <f>"2025-06-22 20:08:39.531"</f>
        <v>2025-06-22 20:08:39.531</v>
      </c>
      <c r="H2748" t="s">
        <v>21</v>
      </c>
    </row>
    <row r="2749" spans="1:10" x14ac:dyDescent="0.25">
      <c r="A2749" s="1">
        <v>788</v>
      </c>
      <c r="B2749" t="s">
        <v>19</v>
      </c>
      <c r="C2749">
        <v>700</v>
      </c>
      <c r="D2749">
        <v>0</v>
      </c>
      <c r="E2749" t="s">
        <v>20</v>
      </c>
      <c r="F2749" t="s">
        <v>20</v>
      </c>
      <c r="G2749" t="str">
        <f>"2025-06-21 23:04:01.631"</f>
        <v>2025-06-21 23:04:01.631</v>
      </c>
      <c r="H2749" t="s">
        <v>21</v>
      </c>
      <c r="I2749">
        <v>0</v>
      </c>
      <c r="J2749" t="s">
        <v>22</v>
      </c>
    </row>
    <row r="2750" spans="1:10" x14ac:dyDescent="0.25">
      <c r="A2750" s="1">
        <v>789</v>
      </c>
      <c r="B2750" t="s">
        <v>19</v>
      </c>
      <c r="C2750">
        <v>700</v>
      </c>
      <c r="D2750">
        <v>0</v>
      </c>
      <c r="E2750" t="s">
        <v>20</v>
      </c>
      <c r="F2750" t="s">
        <v>20</v>
      </c>
      <c r="G2750" t="str">
        <f>"2025-06-21 23:02:31.529"</f>
        <v>2025-06-21 23:02:31.529</v>
      </c>
      <c r="H2750" t="s">
        <v>21</v>
      </c>
      <c r="I2750">
        <v>0</v>
      </c>
      <c r="J2750" t="s">
        <v>22</v>
      </c>
    </row>
    <row r="2751" spans="1:10" x14ac:dyDescent="0.25">
      <c r="A2751" s="1">
        <v>790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"2025-06-21 20:45:01.777"</f>
        <v>2025-06-21 20:45:01.777</v>
      </c>
      <c r="H2751" t="s">
        <v>21</v>
      </c>
      <c r="I2751">
        <v>0</v>
      </c>
      <c r="J2751" t="s">
        <v>22</v>
      </c>
    </row>
    <row r="2752" spans="1:10" x14ac:dyDescent="0.25">
      <c r="A2752" s="1">
        <v>791</v>
      </c>
      <c r="B2752" t="s">
        <v>19</v>
      </c>
      <c r="C2752">
        <v>700</v>
      </c>
      <c r="D2752">
        <v>0</v>
      </c>
      <c r="E2752" t="s">
        <v>20</v>
      </c>
      <c r="F2752" t="s">
        <v>20</v>
      </c>
      <c r="G2752" t="str">
        <f>"2025-06-21 20:39:59.572"</f>
        <v>2025-06-21 20:39:59.572</v>
      </c>
      <c r="H2752" t="s">
        <v>21</v>
      </c>
      <c r="I2752">
        <v>0</v>
      </c>
      <c r="J2752" t="s">
        <v>22</v>
      </c>
    </row>
    <row r="2753" spans="1:10" x14ac:dyDescent="0.25">
      <c r="A2753" s="1">
        <v>792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"2025-06-21 15:10:22.561"</f>
        <v>2025-06-21 15:10:22.561</v>
      </c>
      <c r="H2753" t="s">
        <v>21</v>
      </c>
    </row>
    <row r="2754" spans="1:10" s="3" customFormat="1" x14ac:dyDescent="0.25">
      <c r="A2754" s="2">
        <v>793</v>
      </c>
      <c r="B2754" s="3" t="s">
        <v>23</v>
      </c>
      <c r="C2754" s="3">
        <v>647</v>
      </c>
      <c r="D2754" s="3">
        <v>1</v>
      </c>
      <c r="E2754" s="3" t="s">
        <v>24</v>
      </c>
      <c r="F2754" s="3" t="s">
        <v>25</v>
      </c>
      <c r="G2754" s="3" t="str">
        <f>"2025-06-21 13:56:11.511"</f>
        <v>2025-06-21 13:56:11.511</v>
      </c>
      <c r="H2754" s="3" t="s">
        <v>21</v>
      </c>
    </row>
    <row r="2755" spans="1:10" s="3" customFormat="1" x14ac:dyDescent="0.25">
      <c r="A2755" s="2">
        <v>794</v>
      </c>
      <c r="B2755" s="3" t="s">
        <v>26</v>
      </c>
      <c r="C2755" s="3">
        <v>647</v>
      </c>
      <c r="D2755" s="3">
        <v>1</v>
      </c>
      <c r="E2755" s="3" t="s">
        <v>24</v>
      </c>
      <c r="F2755" s="3" t="s">
        <v>25</v>
      </c>
      <c r="G2755" s="3" t="str">
        <f>"2025-06-21 13:56:10.311"</f>
        <v>2025-06-21 13:56:10.311</v>
      </c>
      <c r="H2755" s="3" t="s">
        <v>21</v>
      </c>
      <c r="I2755" s="3">
        <v>16.48</v>
      </c>
      <c r="J2755" s="3" t="s">
        <v>27</v>
      </c>
    </row>
    <row r="2756" spans="1:10" s="3" customFormat="1" x14ac:dyDescent="0.25">
      <c r="A2756" s="2">
        <v>795</v>
      </c>
      <c r="B2756" s="3" t="s">
        <v>23</v>
      </c>
      <c r="C2756" s="3">
        <v>647</v>
      </c>
      <c r="D2756" s="3">
        <v>1</v>
      </c>
      <c r="E2756" s="3" t="s">
        <v>24</v>
      </c>
      <c r="F2756" s="3" t="s">
        <v>25</v>
      </c>
      <c r="G2756" s="3" t="str">
        <f>"2025-06-21 10:50:10.711"</f>
        <v>2025-06-21 10:50:10.711</v>
      </c>
      <c r="H2756" s="3" t="s">
        <v>21</v>
      </c>
    </row>
    <row r="2757" spans="1:10" s="3" customFormat="1" x14ac:dyDescent="0.25">
      <c r="A2757" s="2">
        <v>796</v>
      </c>
      <c r="B2757" s="3" t="s">
        <v>26</v>
      </c>
      <c r="C2757" s="3">
        <v>647</v>
      </c>
      <c r="D2757" s="3">
        <v>1</v>
      </c>
      <c r="E2757" s="3" t="s">
        <v>24</v>
      </c>
      <c r="F2757" s="3" t="s">
        <v>25</v>
      </c>
      <c r="G2757" s="3" t="str">
        <f>"2025-06-21 10:50:08.712"</f>
        <v>2025-06-21 10:50:08.712</v>
      </c>
      <c r="H2757" s="3" t="s">
        <v>21</v>
      </c>
      <c r="I2757" s="3">
        <v>19.32</v>
      </c>
      <c r="J2757" s="3" t="s">
        <v>27</v>
      </c>
    </row>
    <row r="2758" spans="1:10" x14ac:dyDescent="0.25">
      <c r="A2758" s="1">
        <v>797</v>
      </c>
      <c r="B2758" t="s">
        <v>19</v>
      </c>
      <c r="C2758">
        <v>700</v>
      </c>
      <c r="D2758">
        <v>0</v>
      </c>
      <c r="E2758" t="s">
        <v>20</v>
      </c>
      <c r="F2758" t="s">
        <v>20</v>
      </c>
      <c r="G2758" t="str">
        <f>"2025-06-20 21:23:04.563"</f>
        <v>2025-06-20 21:23:04.563</v>
      </c>
      <c r="H2758" t="s">
        <v>21</v>
      </c>
      <c r="I2758">
        <v>0</v>
      </c>
      <c r="J2758" t="s">
        <v>22</v>
      </c>
    </row>
    <row r="2759" spans="1:10" x14ac:dyDescent="0.25">
      <c r="A2759" s="1">
        <v>798</v>
      </c>
      <c r="B2759" t="s">
        <v>23</v>
      </c>
      <c r="C2759">
        <v>630</v>
      </c>
      <c r="D2759">
        <v>5</v>
      </c>
      <c r="E2759" t="s">
        <v>35</v>
      </c>
      <c r="F2759" t="s">
        <v>36</v>
      </c>
      <c r="G2759" t="str">
        <f>"2025-06-19 22:51:49.271"</f>
        <v>2025-06-19 22:51:49.271</v>
      </c>
      <c r="H2759" t="s">
        <v>37</v>
      </c>
    </row>
    <row r="2760" spans="1:10" x14ac:dyDescent="0.25">
      <c r="A2760" s="1">
        <v>799</v>
      </c>
      <c r="B2760" t="s">
        <v>19</v>
      </c>
      <c r="C2760">
        <v>706</v>
      </c>
      <c r="D2760">
        <v>4</v>
      </c>
      <c r="E2760" t="s">
        <v>28</v>
      </c>
      <c r="F2760" t="s">
        <v>29</v>
      </c>
      <c r="G2760" t="str">
        <f>"2025-06-19 22:51:19.233"</f>
        <v>2025-06-19 22:51:19.233</v>
      </c>
      <c r="H2760" t="s">
        <v>21</v>
      </c>
      <c r="I2760">
        <v>0</v>
      </c>
      <c r="J2760" t="s">
        <v>30</v>
      </c>
    </row>
    <row r="2761" spans="1:10" x14ac:dyDescent="0.25">
      <c r="A2761" s="1">
        <v>800</v>
      </c>
      <c r="B2761" t="s">
        <v>38</v>
      </c>
      <c r="C2761">
        <v>630</v>
      </c>
      <c r="D2761">
        <v>5</v>
      </c>
      <c r="E2761" t="s">
        <v>35</v>
      </c>
      <c r="F2761" t="s">
        <v>36</v>
      </c>
      <c r="G2761" t="str">
        <f>"2025-06-19 22:46:05.272"</f>
        <v>2025-06-19 22:46:05.272</v>
      </c>
      <c r="H2761" t="s">
        <v>37</v>
      </c>
      <c r="I2761">
        <v>0</v>
      </c>
      <c r="J2761" t="s">
        <v>30</v>
      </c>
    </row>
    <row r="2762" spans="1:10" x14ac:dyDescent="0.25">
      <c r="A2762" s="1">
        <v>801</v>
      </c>
      <c r="B2762" t="s">
        <v>19</v>
      </c>
      <c r="C2762">
        <v>700</v>
      </c>
      <c r="D2762">
        <v>0</v>
      </c>
      <c r="E2762" t="s">
        <v>20</v>
      </c>
      <c r="F2762" t="s">
        <v>20</v>
      </c>
      <c r="G2762" t="str">
        <f>"2025-06-19 22:41:02.523"</f>
        <v>2025-06-19 22:41:02.523</v>
      </c>
      <c r="H2762" t="s">
        <v>21</v>
      </c>
      <c r="I2762">
        <v>0</v>
      </c>
      <c r="J2762" t="s">
        <v>22</v>
      </c>
    </row>
    <row r="2763" spans="1:10" x14ac:dyDescent="0.25">
      <c r="A2763" s="1">
        <v>802</v>
      </c>
      <c r="B2763" t="s">
        <v>19</v>
      </c>
      <c r="C2763">
        <v>706</v>
      </c>
      <c r="D2763">
        <v>2</v>
      </c>
      <c r="E2763" t="s">
        <v>28</v>
      </c>
      <c r="F2763" t="s">
        <v>39</v>
      </c>
      <c r="G2763" t="str">
        <f>"2025-06-19 22:38:46.137"</f>
        <v>2025-06-19 22:38:46.137</v>
      </c>
      <c r="H2763" t="s">
        <v>21</v>
      </c>
      <c r="I2763">
        <v>0</v>
      </c>
      <c r="J2763" t="s">
        <v>30</v>
      </c>
    </row>
    <row r="2764" spans="1:10" x14ac:dyDescent="0.25">
      <c r="A2764" s="1">
        <v>803</v>
      </c>
      <c r="B2764" t="s">
        <v>19</v>
      </c>
      <c r="C2764">
        <v>700</v>
      </c>
      <c r="D2764">
        <v>0</v>
      </c>
      <c r="E2764" t="s">
        <v>20</v>
      </c>
      <c r="F2764" t="s">
        <v>20</v>
      </c>
      <c r="G2764" t="str">
        <f>"2025-06-19 22:38:23.537"</f>
        <v>2025-06-19 22:38:23.537</v>
      </c>
      <c r="H2764" t="s">
        <v>21</v>
      </c>
      <c r="I2764">
        <v>0</v>
      </c>
      <c r="J2764" t="s">
        <v>22</v>
      </c>
    </row>
    <row r="2765" spans="1:10" x14ac:dyDescent="0.25">
      <c r="A2765" s="1">
        <v>804</v>
      </c>
      <c r="B2765" t="s">
        <v>19</v>
      </c>
      <c r="C2765">
        <v>700</v>
      </c>
      <c r="D2765">
        <v>0</v>
      </c>
      <c r="E2765" t="s">
        <v>20</v>
      </c>
      <c r="F2765" t="s">
        <v>20</v>
      </c>
      <c r="G2765" t="str">
        <f>"2025-06-19 20:15:41.559"</f>
        <v>2025-06-19 20:15:41.559</v>
      </c>
      <c r="H2765" t="s">
        <v>21</v>
      </c>
      <c r="I2765">
        <v>0</v>
      </c>
      <c r="J2765" t="s">
        <v>22</v>
      </c>
    </row>
    <row r="2766" spans="1:10" x14ac:dyDescent="0.25">
      <c r="A2766" s="1">
        <v>805</v>
      </c>
      <c r="B2766" t="s">
        <v>23</v>
      </c>
      <c r="C2766">
        <v>635</v>
      </c>
      <c r="D2766">
        <v>1</v>
      </c>
      <c r="E2766" t="s">
        <v>31</v>
      </c>
      <c r="F2766" t="s">
        <v>32</v>
      </c>
      <c r="G2766" t="str">
        <f>"2025-06-19 15:10:36.226"</f>
        <v>2025-06-19 15:10:36.226</v>
      </c>
      <c r="H2766" t="s">
        <v>21</v>
      </c>
    </row>
    <row r="2767" spans="1:10" x14ac:dyDescent="0.25">
      <c r="A2767" s="1">
        <v>806</v>
      </c>
      <c r="B2767" t="s">
        <v>26</v>
      </c>
      <c r="C2767">
        <v>635</v>
      </c>
      <c r="D2767">
        <v>1</v>
      </c>
      <c r="E2767" t="s">
        <v>31</v>
      </c>
      <c r="F2767" t="s">
        <v>32</v>
      </c>
      <c r="G2767" t="str">
        <f>"2025-06-19 15:04:48.227"</f>
        <v>2025-06-19 15:04:48.227</v>
      </c>
      <c r="H2767" t="s">
        <v>21</v>
      </c>
      <c r="I2767">
        <v>3.95</v>
      </c>
      <c r="J2767" t="s">
        <v>33</v>
      </c>
    </row>
    <row r="2768" spans="1:10" x14ac:dyDescent="0.25">
      <c r="A2768" s="1">
        <v>807</v>
      </c>
      <c r="B2768" t="s">
        <v>19</v>
      </c>
      <c r="C2768">
        <v>700</v>
      </c>
      <c r="D2768">
        <v>0</v>
      </c>
      <c r="E2768" t="s">
        <v>20</v>
      </c>
      <c r="F2768" t="s">
        <v>20</v>
      </c>
      <c r="G2768" t="str">
        <f>"2025-06-19 13:40:17.678"</f>
        <v>2025-06-19 13:40:17.678</v>
      </c>
      <c r="H2768" t="s">
        <v>21</v>
      </c>
      <c r="I2768">
        <v>0</v>
      </c>
      <c r="J2768" t="s">
        <v>22</v>
      </c>
    </row>
    <row r="2769" spans="1:10" x14ac:dyDescent="0.25">
      <c r="A2769" s="1">
        <v>808</v>
      </c>
      <c r="B2769" t="s">
        <v>19</v>
      </c>
      <c r="C2769">
        <v>706</v>
      </c>
      <c r="D2769">
        <v>2</v>
      </c>
      <c r="E2769" t="s">
        <v>28</v>
      </c>
      <c r="F2769" t="s">
        <v>39</v>
      </c>
      <c r="G2769" t="str">
        <f>"2025-06-19 06:18:25.856"</f>
        <v>2025-06-19 06:18:25.856</v>
      </c>
      <c r="H2769" t="s">
        <v>21</v>
      </c>
      <c r="I2769">
        <v>0</v>
      </c>
      <c r="J2769" t="s">
        <v>30</v>
      </c>
    </row>
    <row r="2770" spans="1:10" s="3" customFormat="1" x14ac:dyDescent="0.25">
      <c r="A2770" s="2">
        <v>809</v>
      </c>
      <c r="B2770" s="3" t="s">
        <v>23</v>
      </c>
      <c r="C2770" s="3">
        <v>647</v>
      </c>
      <c r="D2770" s="3">
        <v>1</v>
      </c>
      <c r="E2770" s="3" t="s">
        <v>24</v>
      </c>
      <c r="F2770" s="3" t="s">
        <v>25</v>
      </c>
      <c r="G2770" s="3" t="str">
        <f>"2025-06-19 06:17:04.777"</f>
        <v>2025-06-19 06:17:04.777</v>
      </c>
      <c r="H2770" s="3" t="s">
        <v>21</v>
      </c>
    </row>
    <row r="2771" spans="1:10" x14ac:dyDescent="0.25">
      <c r="A2771" s="1">
        <v>810</v>
      </c>
      <c r="B2771" t="s">
        <v>44</v>
      </c>
      <c r="C2771">
        <v>620</v>
      </c>
      <c r="D2771">
        <v>1</v>
      </c>
      <c r="E2771" t="s">
        <v>84</v>
      </c>
      <c r="F2771" t="s">
        <v>32</v>
      </c>
      <c r="G2771" t="str">
        <f>"2025-06-19 06:17:03.276"</f>
        <v>2025-06-19 06:17:03.276</v>
      </c>
      <c r="H2771" t="s">
        <v>85</v>
      </c>
    </row>
    <row r="2772" spans="1:10" s="3" customFormat="1" x14ac:dyDescent="0.25">
      <c r="A2772" s="2">
        <v>811</v>
      </c>
      <c r="B2772" s="3" t="s">
        <v>26</v>
      </c>
      <c r="C2772" s="3">
        <v>647</v>
      </c>
      <c r="D2772" s="3">
        <v>1</v>
      </c>
      <c r="E2772" s="3" t="s">
        <v>24</v>
      </c>
      <c r="F2772" s="3" t="s">
        <v>25</v>
      </c>
      <c r="G2772" s="3" t="str">
        <f>"2025-06-19 06:16:50.277"</f>
        <v>2025-06-19 06:16:50.277</v>
      </c>
      <c r="H2772" s="3" t="s">
        <v>21</v>
      </c>
      <c r="I2772" s="3">
        <v>19.13</v>
      </c>
      <c r="J2772" s="3" t="s">
        <v>34</v>
      </c>
    </row>
    <row r="2773" spans="1:10" s="3" customFormat="1" x14ac:dyDescent="0.25">
      <c r="A2773" s="2">
        <v>812</v>
      </c>
      <c r="B2773" s="3" t="s">
        <v>23</v>
      </c>
      <c r="C2773" s="3">
        <v>647</v>
      </c>
      <c r="D2773" s="3">
        <v>1</v>
      </c>
      <c r="E2773" s="3" t="s">
        <v>24</v>
      </c>
      <c r="F2773" s="3" t="s">
        <v>25</v>
      </c>
      <c r="G2773" s="3" t="str">
        <f>"2025-06-19 06:16:48.377"</f>
        <v>2025-06-19 06:16:48.377</v>
      </c>
      <c r="H2773" s="3" t="s">
        <v>21</v>
      </c>
    </row>
    <row r="2774" spans="1:10" s="3" customFormat="1" x14ac:dyDescent="0.25">
      <c r="A2774" s="2">
        <v>813</v>
      </c>
      <c r="B2774" s="3" t="s">
        <v>26</v>
      </c>
      <c r="C2774" s="3">
        <v>647</v>
      </c>
      <c r="D2774" s="3">
        <v>1</v>
      </c>
      <c r="E2774" s="3" t="s">
        <v>24</v>
      </c>
      <c r="F2774" s="3" t="s">
        <v>25</v>
      </c>
      <c r="G2774" s="3" t="str">
        <f>"2025-06-19 06:16:37.677"</f>
        <v>2025-06-19 06:16:37.677</v>
      </c>
      <c r="H2774" s="3" t="s">
        <v>21</v>
      </c>
      <c r="I2774" s="3">
        <v>27.83</v>
      </c>
      <c r="J2774" s="3" t="s">
        <v>34</v>
      </c>
    </row>
    <row r="2775" spans="1:10" x14ac:dyDescent="0.25">
      <c r="A2775" s="1">
        <v>814</v>
      </c>
      <c r="B2775" t="s">
        <v>38</v>
      </c>
      <c r="C2775">
        <v>620</v>
      </c>
      <c r="D2775">
        <v>1</v>
      </c>
      <c r="E2775" t="s">
        <v>84</v>
      </c>
      <c r="F2775" t="s">
        <v>32</v>
      </c>
      <c r="G2775" t="str">
        <f>"2025-06-19 06:15:58.656"</f>
        <v>2025-06-19 06:15:58.656</v>
      </c>
      <c r="H2775" t="s">
        <v>85</v>
      </c>
      <c r="I2775">
        <v>23.6</v>
      </c>
      <c r="J2775" t="s">
        <v>27</v>
      </c>
    </row>
    <row r="2776" spans="1:10" x14ac:dyDescent="0.25">
      <c r="A2776" s="1">
        <v>815</v>
      </c>
      <c r="B2776" t="s">
        <v>19</v>
      </c>
      <c r="C2776">
        <v>700</v>
      </c>
      <c r="D2776">
        <v>0</v>
      </c>
      <c r="E2776" t="s">
        <v>20</v>
      </c>
      <c r="F2776" t="s">
        <v>20</v>
      </c>
      <c r="G2776" t="str">
        <f>"2025-06-18 20:11:48.516"</f>
        <v>2025-06-18 20:11:48.516</v>
      </c>
      <c r="H2776" t="s">
        <v>21</v>
      </c>
    </row>
    <row r="2777" spans="1:10" x14ac:dyDescent="0.25">
      <c r="A2777" s="1">
        <v>816</v>
      </c>
      <c r="B2777" t="s">
        <v>38</v>
      </c>
      <c r="C2777">
        <v>630</v>
      </c>
      <c r="D2777">
        <v>5</v>
      </c>
      <c r="E2777" t="s">
        <v>35</v>
      </c>
      <c r="F2777" t="s">
        <v>36</v>
      </c>
      <c r="G2777" t="str">
        <f>"2025-06-18 20:07:32.471"</f>
        <v>2025-06-18 20:07:32.471</v>
      </c>
      <c r="H2777" t="s">
        <v>37</v>
      </c>
      <c r="I2777">
        <v>0</v>
      </c>
      <c r="J2777" t="s">
        <v>30</v>
      </c>
    </row>
    <row r="2778" spans="1:10" x14ac:dyDescent="0.25">
      <c r="A2778" s="1">
        <v>817</v>
      </c>
      <c r="B2778" t="s">
        <v>19</v>
      </c>
      <c r="C2778">
        <v>706</v>
      </c>
      <c r="D2778">
        <v>2</v>
      </c>
      <c r="E2778" t="s">
        <v>28</v>
      </c>
      <c r="F2778" t="s">
        <v>39</v>
      </c>
      <c r="G2778" t="str">
        <f>"2025-06-17 08:33:08.512"</f>
        <v>2025-06-17 08:33:08.512</v>
      </c>
      <c r="H2778" t="s">
        <v>21</v>
      </c>
      <c r="I2778">
        <v>0</v>
      </c>
      <c r="J2778" t="s">
        <v>30</v>
      </c>
    </row>
    <row r="2779" spans="1:10" x14ac:dyDescent="0.25">
      <c r="A2779" s="1">
        <v>818</v>
      </c>
      <c r="B2779" t="s">
        <v>19</v>
      </c>
      <c r="C2779">
        <v>700</v>
      </c>
      <c r="D2779">
        <v>0</v>
      </c>
      <c r="E2779" t="s">
        <v>20</v>
      </c>
      <c r="F2779" t="s">
        <v>20</v>
      </c>
      <c r="G2779" t="str">
        <f>"2025-06-17 08:32:53.512"</f>
        <v>2025-06-17 08:32:53.512</v>
      </c>
      <c r="H2779" t="s">
        <v>21</v>
      </c>
    </row>
    <row r="2780" spans="1:10" x14ac:dyDescent="0.25">
      <c r="A2780" s="1">
        <v>819</v>
      </c>
      <c r="B2780" t="s">
        <v>19</v>
      </c>
      <c r="C2780">
        <v>700</v>
      </c>
      <c r="D2780">
        <v>0</v>
      </c>
      <c r="E2780" t="s">
        <v>20</v>
      </c>
      <c r="F2780" t="s">
        <v>20</v>
      </c>
      <c r="G2780" t="str">
        <f>"2025-06-16 22:08:07.509"</f>
        <v>2025-06-16 22:08:07.509</v>
      </c>
      <c r="H2780" t="s">
        <v>21</v>
      </c>
      <c r="I2780">
        <v>0</v>
      </c>
      <c r="J2780" t="s">
        <v>22</v>
      </c>
    </row>
    <row r="2781" spans="1:10" x14ac:dyDescent="0.25">
      <c r="A2781" s="1">
        <v>820</v>
      </c>
      <c r="B2781" t="s">
        <v>19</v>
      </c>
      <c r="C2781">
        <v>700</v>
      </c>
      <c r="D2781">
        <v>0</v>
      </c>
      <c r="E2781" t="s">
        <v>20</v>
      </c>
      <c r="F2781" t="s">
        <v>20</v>
      </c>
      <c r="G2781" t="str">
        <f>"2025-06-16 07:43:13.507"</f>
        <v>2025-06-16 07:43:13.507</v>
      </c>
      <c r="H2781" t="s">
        <v>21</v>
      </c>
    </row>
    <row r="2782" spans="1:10" x14ac:dyDescent="0.25">
      <c r="A2782" s="1">
        <v>821</v>
      </c>
      <c r="B2782" t="s">
        <v>23</v>
      </c>
      <c r="C2782">
        <v>630</v>
      </c>
      <c r="D2782">
        <v>5</v>
      </c>
      <c r="E2782" t="s">
        <v>35</v>
      </c>
      <c r="F2782" t="s">
        <v>36</v>
      </c>
      <c r="G2782" t="str">
        <f>"2025-06-15 09:58:14.471"</f>
        <v>2025-06-15 09:58:14.471</v>
      </c>
      <c r="H2782" t="s">
        <v>37</v>
      </c>
    </row>
    <row r="2783" spans="1:10" x14ac:dyDescent="0.25">
      <c r="A2783" s="1">
        <v>822</v>
      </c>
      <c r="B2783" t="s">
        <v>19</v>
      </c>
      <c r="C2783">
        <v>706</v>
      </c>
      <c r="D2783">
        <v>4</v>
      </c>
      <c r="E2783" t="s">
        <v>28</v>
      </c>
      <c r="F2783" t="s">
        <v>29</v>
      </c>
      <c r="G2783" t="str">
        <f>"2025-06-15 09:57:44.399"</f>
        <v>2025-06-15 09:57:44.399</v>
      </c>
      <c r="H2783" t="s">
        <v>21</v>
      </c>
      <c r="I2783">
        <v>0</v>
      </c>
      <c r="J2783" t="s">
        <v>30</v>
      </c>
    </row>
    <row r="2784" spans="1:10" x14ac:dyDescent="0.25">
      <c r="A2784" s="1">
        <v>823</v>
      </c>
      <c r="B2784" t="s">
        <v>38</v>
      </c>
      <c r="C2784">
        <v>630</v>
      </c>
      <c r="D2784">
        <v>5</v>
      </c>
      <c r="E2784" t="s">
        <v>35</v>
      </c>
      <c r="F2784" t="s">
        <v>36</v>
      </c>
      <c r="G2784" t="str">
        <f>"2025-06-15 09:54:49.271"</f>
        <v>2025-06-15 09:54:49.271</v>
      </c>
      <c r="H2784" t="s">
        <v>37</v>
      </c>
      <c r="I2784">
        <v>0</v>
      </c>
      <c r="J2784" t="s">
        <v>30</v>
      </c>
    </row>
    <row r="2785" spans="1:10" x14ac:dyDescent="0.25">
      <c r="A2785" s="1">
        <v>824</v>
      </c>
      <c r="B2785" t="s">
        <v>19</v>
      </c>
      <c r="C2785">
        <v>700</v>
      </c>
      <c r="D2785">
        <v>0</v>
      </c>
      <c r="E2785" t="s">
        <v>20</v>
      </c>
      <c r="F2785" t="s">
        <v>20</v>
      </c>
      <c r="G2785" t="str">
        <f>"2025-06-14 10:43:16.509"</f>
        <v>2025-06-14 10:43:16.509</v>
      </c>
      <c r="H2785" t="s">
        <v>21</v>
      </c>
      <c r="I2785">
        <v>0</v>
      </c>
      <c r="J2785" t="s">
        <v>22</v>
      </c>
    </row>
    <row r="2786" spans="1:10" x14ac:dyDescent="0.25">
      <c r="A2786" s="1">
        <v>825</v>
      </c>
      <c r="B2786" t="s">
        <v>23</v>
      </c>
      <c r="C2786">
        <v>635</v>
      </c>
      <c r="D2786">
        <v>1</v>
      </c>
      <c r="E2786" t="s">
        <v>31</v>
      </c>
      <c r="F2786" t="s">
        <v>32</v>
      </c>
      <c r="G2786" t="str">
        <f>"2025-06-14 10:04:19.143"</f>
        <v>2025-06-14 10:04:19.143</v>
      </c>
      <c r="H2786" t="s">
        <v>21</v>
      </c>
    </row>
    <row r="2787" spans="1:10" x14ac:dyDescent="0.25">
      <c r="A2787" s="1">
        <v>826</v>
      </c>
      <c r="B2787" t="s">
        <v>26</v>
      </c>
      <c r="C2787">
        <v>635</v>
      </c>
      <c r="D2787">
        <v>1</v>
      </c>
      <c r="E2787" t="s">
        <v>31</v>
      </c>
      <c r="F2787" t="s">
        <v>32</v>
      </c>
      <c r="G2787" t="str">
        <f>"2025-06-14 09:45:27.243"</f>
        <v>2025-06-14 09:45:27.243</v>
      </c>
      <c r="H2787" t="s">
        <v>21</v>
      </c>
      <c r="I2787">
        <v>6.61</v>
      </c>
      <c r="J2787" t="s">
        <v>33</v>
      </c>
    </row>
    <row r="2788" spans="1:10" x14ac:dyDescent="0.25">
      <c r="A2788" s="1">
        <v>827</v>
      </c>
      <c r="B2788" t="s">
        <v>23</v>
      </c>
      <c r="C2788">
        <v>635</v>
      </c>
      <c r="D2788">
        <v>1</v>
      </c>
      <c r="E2788" t="s">
        <v>31</v>
      </c>
      <c r="F2788" t="s">
        <v>32</v>
      </c>
      <c r="G2788" t="str">
        <f>"2025-06-14 06:45:50.043"</f>
        <v>2025-06-14 06:45:50.043</v>
      </c>
      <c r="H2788" t="s">
        <v>21</v>
      </c>
    </row>
    <row r="2789" spans="1:10" x14ac:dyDescent="0.25">
      <c r="A2789" s="1">
        <v>828</v>
      </c>
      <c r="B2789" t="s">
        <v>26</v>
      </c>
      <c r="C2789">
        <v>635</v>
      </c>
      <c r="D2789">
        <v>1</v>
      </c>
      <c r="E2789" t="s">
        <v>31</v>
      </c>
      <c r="F2789" t="s">
        <v>32</v>
      </c>
      <c r="G2789" t="str">
        <f>"2025-06-14 06:19:48.643"</f>
        <v>2025-06-14 06:19:48.643</v>
      </c>
      <c r="H2789" t="s">
        <v>21</v>
      </c>
      <c r="I2789">
        <v>4.6399999999999997</v>
      </c>
      <c r="J2789" t="s">
        <v>33</v>
      </c>
    </row>
    <row r="2790" spans="1:10" x14ac:dyDescent="0.25">
      <c r="A2790" s="1">
        <v>829</v>
      </c>
      <c r="B2790" t="s">
        <v>19</v>
      </c>
      <c r="C2790">
        <v>706</v>
      </c>
      <c r="D2790">
        <v>2</v>
      </c>
      <c r="E2790" t="s">
        <v>28</v>
      </c>
      <c r="F2790" t="s">
        <v>39</v>
      </c>
      <c r="G2790" t="str">
        <f>"2025-06-13 15:44:38.314"</f>
        <v>2025-06-13 15:44:38.314</v>
      </c>
      <c r="H2790" t="s">
        <v>21</v>
      </c>
      <c r="I2790">
        <v>0</v>
      </c>
      <c r="J2790" t="s">
        <v>30</v>
      </c>
    </row>
    <row r="2791" spans="1:10" x14ac:dyDescent="0.25">
      <c r="A2791" s="1">
        <v>830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"2025-06-13 15:44:15.524"</f>
        <v>2025-06-13 15:44:15.524</v>
      </c>
      <c r="H2791" t="s">
        <v>21</v>
      </c>
    </row>
    <row r="2792" spans="1:10" x14ac:dyDescent="0.25">
      <c r="A2792" s="1">
        <v>831</v>
      </c>
      <c r="B2792" t="s">
        <v>19</v>
      </c>
      <c r="C2792">
        <v>700</v>
      </c>
      <c r="D2792">
        <v>0</v>
      </c>
      <c r="E2792" t="s">
        <v>20</v>
      </c>
      <c r="F2792" t="s">
        <v>20</v>
      </c>
      <c r="G2792" t="str">
        <f>"2025-06-13 12:41:42.686"</f>
        <v>2025-06-13 12:41:42.686</v>
      </c>
      <c r="H2792" t="s">
        <v>21</v>
      </c>
      <c r="I2792">
        <v>0</v>
      </c>
      <c r="J2792" t="s">
        <v>22</v>
      </c>
    </row>
    <row r="2793" spans="1:10" x14ac:dyDescent="0.25">
      <c r="A2793" s="1">
        <v>832</v>
      </c>
      <c r="B2793" t="s">
        <v>23</v>
      </c>
      <c r="C2793">
        <v>61</v>
      </c>
      <c r="D2793">
        <v>2</v>
      </c>
      <c r="E2793" t="s">
        <v>75</v>
      </c>
      <c r="F2793" t="s">
        <v>76</v>
      </c>
      <c r="G2793" t="str">
        <f>"2025-06-12 16:28:13.690"</f>
        <v>2025-06-12 16:28:13.690</v>
      </c>
      <c r="H2793" t="s">
        <v>21</v>
      </c>
    </row>
    <row r="2794" spans="1:10" x14ac:dyDescent="0.25">
      <c r="A2794" s="1">
        <v>833</v>
      </c>
      <c r="B2794" t="s">
        <v>38</v>
      </c>
      <c r="C2794">
        <v>61</v>
      </c>
      <c r="D2794">
        <v>2</v>
      </c>
      <c r="E2794" t="s">
        <v>75</v>
      </c>
      <c r="F2794" t="s">
        <v>76</v>
      </c>
      <c r="G2794" t="str">
        <f>"2025-06-12 16:28:07.090"</f>
        <v>2025-06-12 16:28:07.090</v>
      </c>
      <c r="H2794" t="s">
        <v>21</v>
      </c>
      <c r="I2794">
        <v>35.090000000000003</v>
      </c>
      <c r="J2794" t="s">
        <v>27</v>
      </c>
    </row>
    <row r="2795" spans="1:10" x14ac:dyDescent="0.25">
      <c r="A2795" s="1">
        <v>834</v>
      </c>
      <c r="B2795" t="s">
        <v>19</v>
      </c>
      <c r="C2795">
        <v>700</v>
      </c>
      <c r="D2795">
        <v>0</v>
      </c>
      <c r="E2795" t="s">
        <v>20</v>
      </c>
      <c r="F2795" t="s">
        <v>20</v>
      </c>
      <c r="G2795" t="str">
        <f>"2025-06-12 08:04:49.508"</f>
        <v>2025-06-12 08:04:49.508</v>
      </c>
      <c r="H2795" t="s">
        <v>21</v>
      </c>
    </row>
    <row r="2796" spans="1:10" x14ac:dyDescent="0.25">
      <c r="A2796" s="1">
        <v>835</v>
      </c>
      <c r="B2796" t="s">
        <v>19</v>
      </c>
      <c r="C2796">
        <v>700</v>
      </c>
      <c r="D2796">
        <v>0</v>
      </c>
      <c r="E2796" t="s">
        <v>20</v>
      </c>
      <c r="F2796" t="s">
        <v>20</v>
      </c>
      <c r="G2796" t="str">
        <f>"2025-06-11 21:08:02.513"</f>
        <v>2025-06-11 21:08:02.513</v>
      </c>
      <c r="H2796" t="s">
        <v>21</v>
      </c>
      <c r="I2796">
        <v>0</v>
      </c>
      <c r="J2796" t="s">
        <v>22</v>
      </c>
    </row>
    <row r="2797" spans="1:10" x14ac:dyDescent="0.25">
      <c r="A2797" s="1">
        <v>836</v>
      </c>
      <c r="B2797" t="s">
        <v>19</v>
      </c>
      <c r="C2797">
        <v>700</v>
      </c>
      <c r="D2797">
        <v>0</v>
      </c>
      <c r="E2797" t="s">
        <v>20</v>
      </c>
      <c r="F2797" t="s">
        <v>20</v>
      </c>
      <c r="G2797" t="str">
        <f>"2025-06-11 13:11:06.585"</f>
        <v>2025-06-11 13:11:06.585</v>
      </c>
      <c r="H2797" t="s">
        <v>21</v>
      </c>
    </row>
    <row r="2798" spans="1:10" x14ac:dyDescent="0.25">
      <c r="A2798" s="1">
        <v>837</v>
      </c>
      <c r="B2798" t="s">
        <v>19</v>
      </c>
      <c r="C2798">
        <v>700</v>
      </c>
      <c r="D2798">
        <v>0</v>
      </c>
      <c r="E2798" t="s">
        <v>20</v>
      </c>
      <c r="F2798" t="s">
        <v>20</v>
      </c>
      <c r="G2798" t="str">
        <f>"2025-06-11 12:37:57.508"</f>
        <v>2025-06-11 12:37:57.508</v>
      </c>
      <c r="H2798" t="s">
        <v>21</v>
      </c>
      <c r="I2798">
        <v>0</v>
      </c>
      <c r="J2798" t="s">
        <v>22</v>
      </c>
    </row>
    <row r="2799" spans="1:10" x14ac:dyDescent="0.25">
      <c r="A2799" s="1">
        <v>838</v>
      </c>
      <c r="B2799" t="s">
        <v>19</v>
      </c>
      <c r="C2799">
        <v>700</v>
      </c>
      <c r="D2799">
        <v>0</v>
      </c>
      <c r="E2799" t="s">
        <v>20</v>
      </c>
      <c r="F2799" t="s">
        <v>20</v>
      </c>
      <c r="G2799" t="str">
        <f>"2025-06-11 12:28:16.510"</f>
        <v>2025-06-11 12:28:16.510</v>
      </c>
      <c r="H2799" t="s">
        <v>21</v>
      </c>
      <c r="I2799">
        <v>0</v>
      </c>
      <c r="J2799" t="s">
        <v>22</v>
      </c>
    </row>
    <row r="2800" spans="1:10" x14ac:dyDescent="0.25">
      <c r="A2800" s="1">
        <v>839</v>
      </c>
      <c r="B2800" t="s">
        <v>23</v>
      </c>
      <c r="C2800">
        <v>630</v>
      </c>
      <c r="D2800">
        <v>5</v>
      </c>
      <c r="E2800" t="s">
        <v>35</v>
      </c>
      <c r="F2800" t="s">
        <v>36</v>
      </c>
      <c r="G2800" t="str">
        <f>"2025-06-11 11:30:59.504"</f>
        <v>2025-06-11 11:30:59.504</v>
      </c>
      <c r="H2800" t="s">
        <v>37</v>
      </c>
    </row>
    <row r="2801" spans="1:10" x14ac:dyDescent="0.25">
      <c r="A2801" s="1">
        <v>840</v>
      </c>
      <c r="B2801" t="s">
        <v>19</v>
      </c>
      <c r="C2801">
        <v>706</v>
      </c>
      <c r="D2801">
        <v>4</v>
      </c>
      <c r="E2801" t="s">
        <v>28</v>
      </c>
      <c r="F2801" t="s">
        <v>29</v>
      </c>
      <c r="G2801" t="str">
        <f>"2025-06-11 11:30:29.417"</f>
        <v>2025-06-11 11:30:29.417</v>
      </c>
      <c r="H2801" t="s">
        <v>21</v>
      </c>
      <c r="I2801">
        <v>0</v>
      </c>
      <c r="J2801" t="s">
        <v>30</v>
      </c>
    </row>
    <row r="2802" spans="1:10" x14ac:dyDescent="0.25">
      <c r="A2802" s="1">
        <v>841</v>
      </c>
      <c r="B2802" t="s">
        <v>38</v>
      </c>
      <c r="C2802">
        <v>630</v>
      </c>
      <c r="D2802">
        <v>5</v>
      </c>
      <c r="E2802" t="s">
        <v>35</v>
      </c>
      <c r="F2802" t="s">
        <v>36</v>
      </c>
      <c r="G2802" t="str">
        <f>"2025-06-11 11:17:27.305"</f>
        <v>2025-06-11 11:17:27.305</v>
      </c>
      <c r="H2802" t="s">
        <v>37</v>
      </c>
      <c r="I2802">
        <v>0</v>
      </c>
      <c r="J2802" t="s">
        <v>30</v>
      </c>
    </row>
    <row r="2803" spans="1:10" x14ac:dyDescent="0.25">
      <c r="A2803" s="1">
        <v>842</v>
      </c>
      <c r="B2803" t="s">
        <v>19</v>
      </c>
      <c r="C2803">
        <v>700</v>
      </c>
      <c r="D2803">
        <v>0</v>
      </c>
      <c r="E2803" t="s">
        <v>20</v>
      </c>
      <c r="F2803" t="s">
        <v>20</v>
      </c>
      <c r="G2803" t="str">
        <f>"2025-06-11 11:12:24.527"</f>
        <v>2025-06-11 11:12:24.527</v>
      </c>
      <c r="H2803" t="s">
        <v>21</v>
      </c>
    </row>
    <row r="2804" spans="1:10" x14ac:dyDescent="0.25">
      <c r="A2804" s="1">
        <v>843</v>
      </c>
      <c r="B2804" t="s">
        <v>19</v>
      </c>
      <c r="C2804">
        <v>719</v>
      </c>
      <c r="D2804">
        <v>5</v>
      </c>
      <c r="E2804" t="s">
        <v>73</v>
      </c>
      <c r="F2804" t="s">
        <v>74</v>
      </c>
      <c r="G2804" t="str">
        <f>"2025-06-11 10:17:00.367"</f>
        <v>2025-06-11 10:17:00.367</v>
      </c>
      <c r="H2804" t="s">
        <v>21</v>
      </c>
      <c r="I2804">
        <v>0</v>
      </c>
      <c r="J2804" t="s">
        <v>30</v>
      </c>
    </row>
    <row r="2805" spans="1:10" x14ac:dyDescent="0.25">
      <c r="A2805" s="1">
        <v>844</v>
      </c>
      <c r="B2805" t="s">
        <v>38</v>
      </c>
      <c r="C2805">
        <v>630</v>
      </c>
      <c r="D2805">
        <v>5</v>
      </c>
      <c r="E2805" t="s">
        <v>35</v>
      </c>
      <c r="F2805" t="s">
        <v>36</v>
      </c>
      <c r="G2805" t="str">
        <f>"2025-06-11 10:09:32.514"</f>
        <v>2025-06-11 10:09:32.514</v>
      </c>
      <c r="H2805" t="s">
        <v>37</v>
      </c>
      <c r="I2805">
        <v>0</v>
      </c>
      <c r="J2805" t="s">
        <v>30</v>
      </c>
    </row>
    <row r="2806" spans="1:10" s="3" customFormat="1" x14ac:dyDescent="0.25">
      <c r="A2806" s="2">
        <v>845</v>
      </c>
      <c r="B2806" s="3" t="s">
        <v>23</v>
      </c>
      <c r="C2806" s="3">
        <v>647</v>
      </c>
      <c r="D2806" s="3">
        <v>1</v>
      </c>
      <c r="E2806" s="3" t="s">
        <v>24</v>
      </c>
      <c r="F2806" s="3" t="s">
        <v>25</v>
      </c>
      <c r="G2806" s="3" t="str">
        <f>"2025-06-11 09:26:16.314"</f>
        <v>2025-06-11 09:26:16.314</v>
      </c>
      <c r="H2806" s="3" t="s">
        <v>21</v>
      </c>
    </row>
    <row r="2807" spans="1:10" s="3" customFormat="1" x14ac:dyDescent="0.25">
      <c r="A2807" s="2">
        <v>846</v>
      </c>
      <c r="B2807" s="3" t="s">
        <v>26</v>
      </c>
      <c r="C2807" s="3">
        <v>647</v>
      </c>
      <c r="D2807" s="3">
        <v>1</v>
      </c>
      <c r="E2807" s="3" t="s">
        <v>24</v>
      </c>
      <c r="F2807" s="3" t="s">
        <v>25</v>
      </c>
      <c r="G2807" s="3" t="str">
        <f>"2025-06-11 09:26:12.614"</f>
        <v>2025-06-11 09:26:12.614</v>
      </c>
      <c r="H2807" s="3" t="s">
        <v>21</v>
      </c>
      <c r="I2807" s="3">
        <v>9.07</v>
      </c>
      <c r="J2807" s="3" t="s">
        <v>27</v>
      </c>
    </row>
    <row r="2808" spans="1:10" x14ac:dyDescent="0.25">
      <c r="A2808" s="1">
        <v>847</v>
      </c>
      <c r="B2808" t="s">
        <v>19</v>
      </c>
      <c r="C2808">
        <v>706</v>
      </c>
      <c r="D2808">
        <v>4</v>
      </c>
      <c r="E2808" t="s">
        <v>28</v>
      </c>
      <c r="F2808" t="s">
        <v>29</v>
      </c>
      <c r="G2808" t="str">
        <f>"2025-06-10 20:50:51.852"</f>
        <v>2025-06-10 20:50:51.852</v>
      </c>
      <c r="H2808" t="s">
        <v>21</v>
      </c>
      <c r="I2808">
        <v>0</v>
      </c>
      <c r="J2808" t="s">
        <v>30</v>
      </c>
    </row>
    <row r="2809" spans="1:10" x14ac:dyDescent="0.25">
      <c r="A2809" s="1">
        <v>848</v>
      </c>
      <c r="B2809" t="s">
        <v>19</v>
      </c>
      <c r="C2809">
        <v>700</v>
      </c>
      <c r="D2809">
        <v>0</v>
      </c>
      <c r="E2809" t="s">
        <v>20</v>
      </c>
      <c r="F2809" t="s">
        <v>20</v>
      </c>
      <c r="G2809" t="str">
        <f>"2025-06-10 20:50:24.532"</f>
        <v>2025-06-10 20:50:24.532</v>
      </c>
      <c r="H2809" t="s">
        <v>21</v>
      </c>
    </row>
    <row r="2810" spans="1:10" x14ac:dyDescent="0.25">
      <c r="A2810" s="1">
        <v>849</v>
      </c>
      <c r="B2810" t="s">
        <v>19</v>
      </c>
      <c r="C2810">
        <v>700</v>
      </c>
      <c r="D2810">
        <v>0</v>
      </c>
      <c r="E2810" t="s">
        <v>20</v>
      </c>
      <c r="F2810" t="s">
        <v>20</v>
      </c>
      <c r="G2810" t="str">
        <f>"2025-06-10 08:50:03.505"</f>
        <v>2025-06-10 08:50:03.505</v>
      </c>
      <c r="H2810" t="s">
        <v>21</v>
      </c>
    </row>
    <row r="2811" spans="1:10" s="3" customFormat="1" x14ac:dyDescent="0.25">
      <c r="A2811" s="2">
        <v>850</v>
      </c>
      <c r="B2811" s="3" t="s">
        <v>23</v>
      </c>
      <c r="C2811" s="3">
        <v>647</v>
      </c>
      <c r="D2811" s="3">
        <v>1</v>
      </c>
      <c r="E2811" s="3" t="s">
        <v>24</v>
      </c>
      <c r="F2811" s="3" t="s">
        <v>25</v>
      </c>
      <c r="G2811" s="3" t="str">
        <f>"2025-06-10 07:29:26.572"</f>
        <v>2025-06-10 07:29:26.572</v>
      </c>
      <c r="H2811" s="3" t="s">
        <v>21</v>
      </c>
    </row>
    <row r="2812" spans="1:10" s="3" customFormat="1" x14ac:dyDescent="0.25">
      <c r="A2812" s="2">
        <v>851</v>
      </c>
      <c r="B2812" s="3" t="s">
        <v>26</v>
      </c>
      <c r="C2812" s="3">
        <v>647</v>
      </c>
      <c r="D2812" s="3">
        <v>1</v>
      </c>
      <c r="E2812" s="3" t="s">
        <v>24</v>
      </c>
      <c r="F2812" s="3" t="s">
        <v>25</v>
      </c>
      <c r="G2812" s="3" t="str">
        <f>"2025-06-10 07:29:25.472"</f>
        <v>2025-06-10 07:29:25.472</v>
      </c>
      <c r="H2812" s="3" t="s">
        <v>21</v>
      </c>
      <c r="I2812" s="3">
        <v>21.3</v>
      </c>
      <c r="J2812" s="3" t="s">
        <v>27</v>
      </c>
    </row>
    <row r="2813" spans="1:10" s="3" customFormat="1" x14ac:dyDescent="0.25">
      <c r="A2813" s="2">
        <v>852</v>
      </c>
      <c r="B2813" s="3" t="s">
        <v>23</v>
      </c>
      <c r="C2813" s="3">
        <v>647</v>
      </c>
      <c r="D2813" s="3">
        <v>1</v>
      </c>
      <c r="E2813" s="3" t="s">
        <v>24</v>
      </c>
      <c r="F2813" s="3" t="s">
        <v>25</v>
      </c>
      <c r="G2813" s="3" t="str">
        <f>"2025-06-10 07:29:19.671"</f>
        <v>2025-06-10 07:29:19.671</v>
      </c>
      <c r="H2813" s="3" t="s">
        <v>21</v>
      </c>
    </row>
    <row r="2814" spans="1:10" s="3" customFormat="1" x14ac:dyDescent="0.25">
      <c r="A2814" s="2">
        <v>853</v>
      </c>
      <c r="B2814" s="3" t="s">
        <v>26</v>
      </c>
      <c r="C2814" s="3">
        <v>647</v>
      </c>
      <c r="D2814" s="3">
        <v>1</v>
      </c>
      <c r="E2814" s="3" t="s">
        <v>24</v>
      </c>
      <c r="F2814" s="3" t="s">
        <v>25</v>
      </c>
      <c r="G2814" s="3" t="str">
        <f>"2025-06-10 07:29:18.272"</f>
        <v>2025-06-10 07:29:18.272</v>
      </c>
      <c r="H2814" s="3" t="s">
        <v>21</v>
      </c>
      <c r="I2814" s="3">
        <v>20.36</v>
      </c>
      <c r="J2814" s="3" t="s">
        <v>27</v>
      </c>
    </row>
    <row r="2815" spans="1:10" s="3" customFormat="1" x14ac:dyDescent="0.25">
      <c r="A2815" s="2">
        <v>854</v>
      </c>
      <c r="B2815" s="3" t="s">
        <v>23</v>
      </c>
      <c r="C2815" s="3">
        <v>647</v>
      </c>
      <c r="D2815" s="3">
        <v>1</v>
      </c>
      <c r="E2815" s="3" t="s">
        <v>24</v>
      </c>
      <c r="F2815" s="3" t="s">
        <v>25</v>
      </c>
      <c r="G2815" s="3" t="str">
        <f>"2025-06-10 06:25:17.072"</f>
        <v>2025-06-10 06:25:17.072</v>
      </c>
      <c r="H2815" s="3" t="s">
        <v>21</v>
      </c>
    </row>
    <row r="2816" spans="1:10" s="3" customFormat="1" x14ac:dyDescent="0.25">
      <c r="A2816" s="2">
        <v>855</v>
      </c>
      <c r="B2816" s="3" t="s">
        <v>26</v>
      </c>
      <c r="C2816" s="3">
        <v>647</v>
      </c>
      <c r="D2816" s="3">
        <v>1</v>
      </c>
      <c r="E2816" s="3" t="s">
        <v>24</v>
      </c>
      <c r="F2816" s="3" t="s">
        <v>25</v>
      </c>
      <c r="G2816" s="3" t="str">
        <f>"2025-06-10 06:25:15.172"</f>
        <v>2025-06-10 06:25:15.172</v>
      </c>
      <c r="H2816" s="3" t="s">
        <v>21</v>
      </c>
      <c r="I2816" s="3">
        <v>9.26</v>
      </c>
      <c r="J2816" s="3" t="s">
        <v>27</v>
      </c>
    </row>
    <row r="2817" spans="1:10" x14ac:dyDescent="0.25">
      <c r="A2817" s="1">
        <v>856</v>
      </c>
      <c r="B2817" t="s">
        <v>23</v>
      </c>
      <c r="C2817">
        <v>635</v>
      </c>
      <c r="D2817">
        <v>1</v>
      </c>
      <c r="E2817" t="s">
        <v>31</v>
      </c>
      <c r="F2817" t="s">
        <v>32</v>
      </c>
      <c r="G2817" t="str">
        <f>"2025-06-10 03:11:28.371"</f>
        <v>2025-06-10 03:11:28.371</v>
      </c>
      <c r="H2817" t="s">
        <v>21</v>
      </c>
    </row>
    <row r="2818" spans="1:10" x14ac:dyDescent="0.25">
      <c r="A2818" s="1">
        <v>857</v>
      </c>
      <c r="B2818" t="s">
        <v>26</v>
      </c>
      <c r="C2818">
        <v>635</v>
      </c>
      <c r="D2818">
        <v>1</v>
      </c>
      <c r="E2818" t="s">
        <v>31</v>
      </c>
      <c r="F2818" t="s">
        <v>32</v>
      </c>
      <c r="G2818" t="str">
        <f>"2025-06-10 03:07:04.372"</f>
        <v>2025-06-10 03:07:04.372</v>
      </c>
      <c r="H2818" t="s">
        <v>21</v>
      </c>
      <c r="I2818">
        <v>-7.0000000000000007E-2</v>
      </c>
      <c r="J2818" t="s">
        <v>34</v>
      </c>
    </row>
    <row r="2819" spans="1:10" x14ac:dyDescent="0.25">
      <c r="A2819" s="1">
        <v>858</v>
      </c>
      <c r="B2819" t="s">
        <v>19</v>
      </c>
      <c r="C2819">
        <v>700</v>
      </c>
      <c r="D2819">
        <v>0</v>
      </c>
      <c r="E2819" t="s">
        <v>20</v>
      </c>
      <c r="F2819" t="s">
        <v>20</v>
      </c>
      <c r="G2819" t="str">
        <f>"2025-06-08 22:08:15.503"</f>
        <v>2025-06-08 22:08:15.503</v>
      </c>
      <c r="H2819" t="s">
        <v>21</v>
      </c>
      <c r="I2819">
        <v>0</v>
      </c>
      <c r="J2819" t="s">
        <v>22</v>
      </c>
    </row>
    <row r="2820" spans="1:10" x14ac:dyDescent="0.25">
      <c r="A2820" s="1">
        <v>859</v>
      </c>
      <c r="B2820" t="s">
        <v>19</v>
      </c>
      <c r="C2820">
        <v>700</v>
      </c>
      <c r="D2820">
        <v>0</v>
      </c>
      <c r="E2820" t="s">
        <v>20</v>
      </c>
      <c r="F2820" t="s">
        <v>20</v>
      </c>
      <c r="G2820" t="str">
        <f>"2025-06-08 22:06:07.501"</f>
        <v>2025-06-08 22:06:07.501</v>
      </c>
      <c r="H2820" t="s">
        <v>21</v>
      </c>
      <c r="I2820">
        <v>0</v>
      </c>
      <c r="J2820" t="s">
        <v>22</v>
      </c>
    </row>
    <row r="2821" spans="1:10" x14ac:dyDescent="0.25">
      <c r="A2821" s="1">
        <v>860</v>
      </c>
      <c r="B2821" t="s">
        <v>19</v>
      </c>
      <c r="C2821">
        <v>706</v>
      </c>
      <c r="D2821">
        <v>2</v>
      </c>
      <c r="E2821" t="s">
        <v>28</v>
      </c>
      <c r="F2821" t="s">
        <v>39</v>
      </c>
      <c r="G2821" t="str">
        <f>"2025-06-08 22:02:18.707"</f>
        <v>2025-06-08 22:02:18.707</v>
      </c>
      <c r="H2821" t="s">
        <v>21</v>
      </c>
      <c r="I2821">
        <v>0</v>
      </c>
      <c r="J2821" t="s">
        <v>30</v>
      </c>
    </row>
    <row r="2822" spans="1:10" x14ac:dyDescent="0.25">
      <c r="A2822" s="1">
        <v>861</v>
      </c>
      <c r="B2822" t="s">
        <v>19</v>
      </c>
      <c r="C2822">
        <v>700</v>
      </c>
      <c r="D2822">
        <v>0</v>
      </c>
      <c r="E2822" t="s">
        <v>20</v>
      </c>
      <c r="F2822" t="s">
        <v>20</v>
      </c>
      <c r="G2822" t="str">
        <f>"2025-06-08 22:00:40.497"</f>
        <v>2025-06-08 22:00:40.497</v>
      </c>
      <c r="H2822" t="s">
        <v>21</v>
      </c>
      <c r="I2822">
        <v>0</v>
      </c>
      <c r="J2822" t="s">
        <v>22</v>
      </c>
    </row>
    <row r="2823" spans="1:10" s="3" customFormat="1" x14ac:dyDescent="0.25">
      <c r="A2823" s="2">
        <v>862</v>
      </c>
      <c r="B2823" s="3" t="s">
        <v>23</v>
      </c>
      <c r="C2823" s="3">
        <v>647</v>
      </c>
      <c r="D2823" s="3">
        <v>1</v>
      </c>
      <c r="E2823" s="3" t="s">
        <v>24</v>
      </c>
      <c r="F2823" s="3" t="s">
        <v>25</v>
      </c>
      <c r="G2823" s="3" t="str">
        <f>"2025-06-08 13:36:18.680"</f>
        <v>2025-06-08 13:36:18.680</v>
      </c>
      <c r="H2823" s="3" t="s">
        <v>21</v>
      </c>
    </row>
    <row r="2824" spans="1:10" s="3" customFormat="1" x14ac:dyDescent="0.25">
      <c r="A2824" s="2">
        <v>863</v>
      </c>
      <c r="B2824" s="3" t="s">
        <v>26</v>
      </c>
      <c r="C2824" s="3">
        <v>647</v>
      </c>
      <c r="D2824" s="3">
        <v>1</v>
      </c>
      <c r="E2824" s="3" t="s">
        <v>24</v>
      </c>
      <c r="F2824" s="3" t="s">
        <v>25</v>
      </c>
      <c r="G2824" s="3" t="str">
        <f>"2025-06-08 13:36:15.581"</f>
        <v>2025-06-08 13:36:15.581</v>
      </c>
      <c r="H2824" s="3" t="s">
        <v>21</v>
      </c>
      <c r="I2824" s="3">
        <v>10.8</v>
      </c>
      <c r="J2824" s="3" t="s">
        <v>27</v>
      </c>
    </row>
    <row r="2825" spans="1:10" x14ac:dyDescent="0.25">
      <c r="A2825" s="1">
        <v>864</v>
      </c>
      <c r="B2825" t="s">
        <v>23</v>
      </c>
      <c r="C2825">
        <v>98</v>
      </c>
      <c r="D2825">
        <v>1</v>
      </c>
      <c r="E2825" t="s">
        <v>65</v>
      </c>
      <c r="F2825" t="s">
        <v>66</v>
      </c>
      <c r="G2825" t="str">
        <f>"2025-06-07 18:47:03.873"</f>
        <v>2025-06-07 18:47:03.873</v>
      </c>
      <c r="H2825" t="s">
        <v>21</v>
      </c>
    </row>
    <row r="2826" spans="1:10" x14ac:dyDescent="0.25">
      <c r="A2826" s="1">
        <v>865</v>
      </c>
      <c r="B2826" t="s">
        <v>26</v>
      </c>
      <c r="C2826">
        <v>98</v>
      </c>
      <c r="D2826">
        <v>1</v>
      </c>
      <c r="E2826" t="s">
        <v>65</v>
      </c>
      <c r="F2826" t="s">
        <v>66</v>
      </c>
      <c r="G2826" t="str">
        <f>"2025-06-07 18:47:02.873"</f>
        <v>2025-06-07 18:47:02.873</v>
      </c>
      <c r="H2826" t="s">
        <v>21</v>
      </c>
      <c r="I2826">
        <v>0</v>
      </c>
      <c r="J2826" t="s">
        <v>34</v>
      </c>
    </row>
    <row r="2827" spans="1:10" x14ac:dyDescent="0.25">
      <c r="A2827" s="1">
        <v>866</v>
      </c>
      <c r="B2827" t="s">
        <v>23</v>
      </c>
      <c r="C2827">
        <v>98</v>
      </c>
      <c r="D2827">
        <v>1</v>
      </c>
      <c r="E2827" t="s">
        <v>65</v>
      </c>
      <c r="F2827" t="s">
        <v>66</v>
      </c>
      <c r="G2827" t="str">
        <f>"2025-06-07 18:47:01.873"</f>
        <v>2025-06-07 18:47:01.873</v>
      </c>
      <c r="H2827" t="s">
        <v>21</v>
      </c>
    </row>
    <row r="2828" spans="1:10" x14ac:dyDescent="0.25">
      <c r="A2828" s="1">
        <v>867</v>
      </c>
      <c r="B2828" t="s">
        <v>26</v>
      </c>
      <c r="C2828">
        <v>98</v>
      </c>
      <c r="D2828">
        <v>1</v>
      </c>
      <c r="E2828" t="s">
        <v>65</v>
      </c>
      <c r="F2828" t="s">
        <v>66</v>
      </c>
      <c r="G2828" t="str">
        <f>"2025-06-07 18:47:00.473"</f>
        <v>2025-06-07 18:47:00.473</v>
      </c>
      <c r="H2828" t="s">
        <v>21</v>
      </c>
      <c r="I2828">
        <v>0</v>
      </c>
      <c r="J2828" t="s">
        <v>34</v>
      </c>
    </row>
    <row r="2829" spans="1:10" x14ac:dyDescent="0.25">
      <c r="A2829" s="1">
        <v>868</v>
      </c>
      <c r="B2829" t="s">
        <v>19</v>
      </c>
      <c r="C2829">
        <v>706</v>
      </c>
      <c r="D2829">
        <v>4</v>
      </c>
      <c r="E2829" t="s">
        <v>28</v>
      </c>
      <c r="F2829" t="s">
        <v>29</v>
      </c>
      <c r="G2829" t="str">
        <f>"2025-06-07 08:12:48.032"</f>
        <v>2025-06-07 08:12:48.032</v>
      </c>
      <c r="H2829" t="s">
        <v>21</v>
      </c>
      <c r="I2829">
        <v>0</v>
      </c>
      <c r="J2829" t="s">
        <v>30</v>
      </c>
    </row>
    <row r="2830" spans="1:10" x14ac:dyDescent="0.25">
      <c r="A2830" s="1">
        <v>869</v>
      </c>
      <c r="B2830" t="s">
        <v>19</v>
      </c>
      <c r="C2830">
        <v>700</v>
      </c>
      <c r="D2830">
        <v>0</v>
      </c>
      <c r="E2830" t="s">
        <v>20</v>
      </c>
      <c r="F2830" t="s">
        <v>20</v>
      </c>
      <c r="G2830" t="str">
        <f>"2025-06-07 08:12:28.652"</f>
        <v>2025-06-07 08:12:28.652</v>
      </c>
      <c r="H2830" t="s">
        <v>21</v>
      </c>
      <c r="I2830">
        <v>0</v>
      </c>
      <c r="J2830" t="s">
        <v>22</v>
      </c>
    </row>
    <row r="2831" spans="1:10" x14ac:dyDescent="0.25">
      <c r="A2831" s="1">
        <v>870</v>
      </c>
      <c r="B2831" t="s">
        <v>19</v>
      </c>
      <c r="C2831">
        <v>706</v>
      </c>
      <c r="D2831">
        <v>2</v>
      </c>
      <c r="E2831" t="s">
        <v>28</v>
      </c>
      <c r="F2831" t="s">
        <v>39</v>
      </c>
      <c r="G2831" t="str">
        <f>"2025-06-05 22:03:25.326"</f>
        <v>2025-06-05 22:03:25.326</v>
      </c>
      <c r="H2831" t="s">
        <v>21</v>
      </c>
      <c r="I2831">
        <v>0</v>
      </c>
      <c r="J2831" t="s">
        <v>30</v>
      </c>
    </row>
    <row r="2832" spans="1:10" x14ac:dyDescent="0.25">
      <c r="A2832" s="1">
        <v>871</v>
      </c>
      <c r="B2832" t="s">
        <v>19</v>
      </c>
      <c r="C2832">
        <v>700</v>
      </c>
      <c r="D2832">
        <v>0</v>
      </c>
      <c r="E2832" t="s">
        <v>20</v>
      </c>
      <c r="F2832" t="s">
        <v>20</v>
      </c>
      <c r="G2832" t="str">
        <f>"2025-06-05 22:03:04.516"</f>
        <v>2025-06-05 22:03:04.516</v>
      </c>
      <c r="H2832" t="s">
        <v>21</v>
      </c>
      <c r="I2832">
        <v>0</v>
      </c>
      <c r="J2832" t="s">
        <v>22</v>
      </c>
    </row>
    <row r="2833" spans="1:10" s="3" customFormat="1" x14ac:dyDescent="0.25">
      <c r="A2833" s="2">
        <v>872</v>
      </c>
      <c r="B2833" s="3" t="s">
        <v>23</v>
      </c>
      <c r="C2833" s="3">
        <v>647</v>
      </c>
      <c r="D2833" s="3">
        <v>1</v>
      </c>
      <c r="E2833" s="3" t="s">
        <v>24</v>
      </c>
      <c r="F2833" s="3" t="s">
        <v>25</v>
      </c>
      <c r="G2833" s="3" t="str">
        <f>"2025-06-04 23:51:52.360"</f>
        <v>2025-06-04 23:51:52.360</v>
      </c>
      <c r="H2833" s="3" t="s">
        <v>21</v>
      </c>
    </row>
    <row r="2834" spans="1:10" s="3" customFormat="1" x14ac:dyDescent="0.25">
      <c r="A2834" s="2">
        <v>873</v>
      </c>
      <c r="B2834" s="3" t="s">
        <v>26</v>
      </c>
      <c r="C2834" s="3">
        <v>647</v>
      </c>
      <c r="D2834" s="3">
        <v>1</v>
      </c>
      <c r="E2834" s="3" t="s">
        <v>24</v>
      </c>
      <c r="F2834" s="3" t="s">
        <v>25</v>
      </c>
      <c r="G2834" s="3" t="str">
        <f>"2025-06-04 23:51:49.260"</f>
        <v>2025-06-04 23:51:49.260</v>
      </c>
      <c r="H2834" s="3" t="s">
        <v>21</v>
      </c>
      <c r="I2834" s="3">
        <v>11.14</v>
      </c>
      <c r="J2834" s="3" t="s">
        <v>27</v>
      </c>
    </row>
    <row r="2835" spans="1:10" x14ac:dyDescent="0.25">
      <c r="A2835" s="1">
        <v>874</v>
      </c>
      <c r="B2835" t="s">
        <v>23</v>
      </c>
      <c r="C2835">
        <v>635</v>
      </c>
      <c r="D2835">
        <v>1</v>
      </c>
      <c r="E2835" t="s">
        <v>31</v>
      </c>
      <c r="F2835" t="s">
        <v>32</v>
      </c>
      <c r="G2835" t="str">
        <f>"2025-06-03 20:15:12.959"</f>
        <v>2025-06-03 20:15:12.959</v>
      </c>
      <c r="H2835" t="s">
        <v>21</v>
      </c>
    </row>
    <row r="2836" spans="1:10" x14ac:dyDescent="0.25">
      <c r="A2836" s="1">
        <v>875</v>
      </c>
      <c r="B2836" t="s">
        <v>26</v>
      </c>
      <c r="C2836">
        <v>635</v>
      </c>
      <c r="D2836">
        <v>1</v>
      </c>
      <c r="E2836" t="s">
        <v>31</v>
      </c>
      <c r="F2836" t="s">
        <v>32</v>
      </c>
      <c r="G2836" t="str">
        <f>"2025-06-03 20:12:03.959"</f>
        <v>2025-06-03 20:12:03.959</v>
      </c>
      <c r="H2836" t="s">
        <v>21</v>
      </c>
      <c r="I2836">
        <v>4.17</v>
      </c>
      <c r="J2836" t="s">
        <v>27</v>
      </c>
    </row>
    <row r="2837" spans="1:10" x14ac:dyDescent="0.25">
      <c r="A2837" s="1">
        <v>876</v>
      </c>
      <c r="B2837" t="s">
        <v>19</v>
      </c>
      <c r="C2837">
        <v>706</v>
      </c>
      <c r="D2837">
        <v>2</v>
      </c>
      <c r="E2837" t="s">
        <v>28</v>
      </c>
      <c r="F2837" t="s">
        <v>39</v>
      </c>
      <c r="G2837" t="str">
        <f>"2025-06-02 08:06:43.328"</f>
        <v>2025-06-02 08:06:43.328</v>
      </c>
      <c r="H2837" t="s">
        <v>21</v>
      </c>
      <c r="I2837">
        <v>0</v>
      </c>
      <c r="J2837" t="s">
        <v>30</v>
      </c>
    </row>
    <row r="2838" spans="1:10" x14ac:dyDescent="0.25">
      <c r="A2838" s="1">
        <v>877</v>
      </c>
      <c r="B2838" t="s">
        <v>19</v>
      </c>
      <c r="C2838">
        <v>700</v>
      </c>
      <c r="D2838">
        <v>0</v>
      </c>
      <c r="E2838" t="s">
        <v>20</v>
      </c>
      <c r="F2838" t="s">
        <v>20</v>
      </c>
      <c r="G2838" t="str">
        <f>"2025-06-02 08:06:25.478"</f>
        <v>2025-06-02 08:06:25.478</v>
      </c>
      <c r="H2838" t="s">
        <v>21</v>
      </c>
      <c r="I2838">
        <v>0</v>
      </c>
      <c r="J2838" t="s">
        <v>22</v>
      </c>
    </row>
    <row r="2839" spans="1:10" x14ac:dyDescent="0.25">
      <c r="A2839" s="1">
        <v>878</v>
      </c>
      <c r="B2839" t="s">
        <v>23</v>
      </c>
      <c r="C2839">
        <v>635</v>
      </c>
      <c r="D2839">
        <v>1</v>
      </c>
      <c r="E2839" t="s">
        <v>31</v>
      </c>
      <c r="F2839" t="s">
        <v>32</v>
      </c>
      <c r="G2839" t="str">
        <f>"2025-06-02 07:31:39.947"</f>
        <v>2025-06-02 07:31:39.947</v>
      </c>
      <c r="H2839" t="s">
        <v>21</v>
      </c>
    </row>
    <row r="2840" spans="1:10" x14ac:dyDescent="0.25">
      <c r="A2840" s="1">
        <v>879</v>
      </c>
      <c r="B2840" t="s">
        <v>26</v>
      </c>
      <c r="C2840">
        <v>635</v>
      </c>
      <c r="D2840">
        <v>1</v>
      </c>
      <c r="E2840" t="s">
        <v>31</v>
      </c>
      <c r="F2840" t="s">
        <v>32</v>
      </c>
      <c r="G2840" t="str">
        <f>"2025-06-02 07:07:05.047"</f>
        <v>2025-06-02 07:07:05.047</v>
      </c>
      <c r="H2840" t="s">
        <v>21</v>
      </c>
      <c r="I2840">
        <v>5.67</v>
      </c>
      <c r="J2840" t="s">
        <v>33</v>
      </c>
    </row>
    <row r="2841" spans="1:10" x14ac:dyDescent="0.25">
      <c r="A2841" s="1">
        <v>880</v>
      </c>
      <c r="B2841" t="s">
        <v>23</v>
      </c>
      <c r="C2841">
        <v>635</v>
      </c>
      <c r="D2841">
        <v>1</v>
      </c>
      <c r="E2841" t="s">
        <v>31</v>
      </c>
      <c r="F2841" t="s">
        <v>32</v>
      </c>
      <c r="G2841" t="str">
        <f>"2025-06-02 00:00:51.847"</f>
        <v>2025-06-02 00:00:51.847</v>
      </c>
      <c r="H2841" t="s">
        <v>21</v>
      </c>
    </row>
    <row r="2842" spans="1:10" x14ac:dyDescent="0.25">
      <c r="A2842" s="1">
        <v>881</v>
      </c>
      <c r="B2842" t="s">
        <v>26</v>
      </c>
      <c r="C2842">
        <v>635</v>
      </c>
      <c r="D2842">
        <v>1</v>
      </c>
      <c r="E2842" t="s">
        <v>31</v>
      </c>
      <c r="F2842" t="s">
        <v>32</v>
      </c>
      <c r="G2842" t="str">
        <f>"2025-06-01 23:57:08.847"</f>
        <v>2025-06-01 23:57:08.847</v>
      </c>
      <c r="H2842" t="s">
        <v>21</v>
      </c>
      <c r="I2842">
        <v>0</v>
      </c>
      <c r="J2842" t="s">
        <v>34</v>
      </c>
    </row>
    <row r="2843" spans="1:10" x14ac:dyDescent="0.25">
      <c r="A2843" s="1">
        <v>882</v>
      </c>
      <c r="B2843" t="s">
        <v>23</v>
      </c>
      <c r="C2843">
        <v>98</v>
      </c>
      <c r="D2843">
        <v>1</v>
      </c>
      <c r="E2843" t="s">
        <v>65</v>
      </c>
      <c r="F2843" t="s">
        <v>66</v>
      </c>
      <c r="G2843" t="str">
        <f>"2025-05-31 23:45:53.100"</f>
        <v>2025-05-31 23:45:53.100</v>
      </c>
      <c r="H2843" t="s">
        <v>21</v>
      </c>
    </row>
    <row r="2844" spans="1:10" x14ac:dyDescent="0.25">
      <c r="A2844" s="1">
        <v>883</v>
      </c>
      <c r="B2844" t="s">
        <v>26</v>
      </c>
      <c r="C2844">
        <v>98</v>
      </c>
      <c r="D2844">
        <v>1</v>
      </c>
      <c r="E2844" t="s">
        <v>65</v>
      </c>
      <c r="F2844" t="s">
        <v>66</v>
      </c>
      <c r="G2844" t="str">
        <f>"2025-05-31 23:45:52.101"</f>
        <v>2025-05-31 23:45:52.101</v>
      </c>
      <c r="H2844" t="s">
        <v>21</v>
      </c>
      <c r="I2844">
        <v>0</v>
      </c>
      <c r="J2844" t="s">
        <v>34</v>
      </c>
    </row>
    <row r="2845" spans="1:10" x14ac:dyDescent="0.25">
      <c r="A2845" s="1">
        <v>884</v>
      </c>
      <c r="B2845" t="s">
        <v>19</v>
      </c>
      <c r="C2845">
        <v>700</v>
      </c>
      <c r="D2845">
        <v>0</v>
      </c>
      <c r="E2845" t="s">
        <v>20</v>
      </c>
      <c r="F2845" t="s">
        <v>20</v>
      </c>
      <c r="G2845" t="str">
        <f>"2025-05-31 23:16:13.519"</f>
        <v>2025-05-31 23:16:13.519</v>
      </c>
      <c r="H2845" t="s">
        <v>21</v>
      </c>
    </row>
    <row r="2846" spans="1:10" x14ac:dyDescent="0.25">
      <c r="A2846" s="1">
        <v>885</v>
      </c>
      <c r="B2846" t="s">
        <v>23</v>
      </c>
      <c r="C2846">
        <v>630</v>
      </c>
      <c r="D2846">
        <v>5</v>
      </c>
      <c r="E2846" t="s">
        <v>35</v>
      </c>
      <c r="F2846" t="s">
        <v>36</v>
      </c>
      <c r="G2846" t="str">
        <f>"2025-05-31 22:47:14.699"</f>
        <v>2025-05-31 22:47:14.699</v>
      </c>
      <c r="H2846" t="s">
        <v>37</v>
      </c>
    </row>
    <row r="2847" spans="1:10" x14ac:dyDescent="0.25">
      <c r="A2847" s="1">
        <v>886</v>
      </c>
      <c r="B2847" t="s">
        <v>19</v>
      </c>
      <c r="C2847">
        <v>706</v>
      </c>
      <c r="D2847">
        <v>4</v>
      </c>
      <c r="E2847" t="s">
        <v>28</v>
      </c>
      <c r="F2847" t="s">
        <v>29</v>
      </c>
      <c r="G2847" t="str">
        <f>"2025-05-31 22:46:44.583"</f>
        <v>2025-05-31 22:46:44.583</v>
      </c>
      <c r="H2847" t="s">
        <v>21</v>
      </c>
      <c r="I2847">
        <v>0</v>
      </c>
      <c r="J2847" t="s">
        <v>30</v>
      </c>
    </row>
    <row r="2848" spans="1:10" x14ac:dyDescent="0.25">
      <c r="A2848" s="1">
        <v>887</v>
      </c>
      <c r="B2848" t="s">
        <v>38</v>
      </c>
      <c r="C2848">
        <v>630</v>
      </c>
      <c r="D2848">
        <v>5</v>
      </c>
      <c r="E2848" t="s">
        <v>35</v>
      </c>
      <c r="F2848" t="s">
        <v>36</v>
      </c>
      <c r="G2848" t="str">
        <f>"2025-05-31 22:25:33.299"</f>
        <v>2025-05-31 22:25:33.299</v>
      </c>
      <c r="H2848" t="s">
        <v>37</v>
      </c>
      <c r="I2848">
        <v>0</v>
      </c>
      <c r="J2848" t="s">
        <v>30</v>
      </c>
    </row>
    <row r="2849" spans="1:10" x14ac:dyDescent="0.25">
      <c r="A2849" s="1">
        <v>888</v>
      </c>
      <c r="B2849" t="s">
        <v>19</v>
      </c>
      <c r="C2849">
        <v>700</v>
      </c>
      <c r="D2849">
        <v>0</v>
      </c>
      <c r="E2849" t="s">
        <v>20</v>
      </c>
      <c r="F2849" t="s">
        <v>20</v>
      </c>
      <c r="G2849" t="str">
        <f>"2025-05-31 22:20:30.483"</f>
        <v>2025-05-31 22:20:30.483</v>
      </c>
      <c r="H2849" t="s">
        <v>21</v>
      </c>
      <c r="I2849">
        <v>0</v>
      </c>
      <c r="J2849" t="s">
        <v>22</v>
      </c>
    </row>
    <row r="2850" spans="1:10" x14ac:dyDescent="0.25">
      <c r="A2850" s="1">
        <v>889</v>
      </c>
      <c r="B2850" t="s">
        <v>19</v>
      </c>
      <c r="C2850">
        <v>719</v>
      </c>
      <c r="D2850">
        <v>5</v>
      </c>
      <c r="E2850" t="s">
        <v>73</v>
      </c>
      <c r="F2850" t="s">
        <v>74</v>
      </c>
      <c r="G2850" t="str">
        <f>"2025-05-31 21:26:00.987"</f>
        <v>2025-05-31 21:26:00.987</v>
      </c>
      <c r="H2850" t="s">
        <v>21</v>
      </c>
      <c r="I2850">
        <v>0</v>
      </c>
      <c r="J2850" t="s">
        <v>30</v>
      </c>
    </row>
    <row r="2851" spans="1:10" x14ac:dyDescent="0.25">
      <c r="A2851" s="1">
        <v>890</v>
      </c>
      <c r="B2851" t="s">
        <v>19</v>
      </c>
      <c r="C2851">
        <v>719</v>
      </c>
      <c r="D2851">
        <v>5</v>
      </c>
      <c r="E2851" t="s">
        <v>73</v>
      </c>
      <c r="F2851" t="s">
        <v>74</v>
      </c>
      <c r="G2851" t="str">
        <f>"2025-05-31 21:26:36.396"</f>
        <v>2025-05-31 21:26:36.396</v>
      </c>
      <c r="H2851" t="s">
        <v>21</v>
      </c>
      <c r="I2851">
        <v>0</v>
      </c>
      <c r="J2851" t="s">
        <v>30</v>
      </c>
    </row>
    <row r="2852" spans="1:10" x14ac:dyDescent="0.25">
      <c r="A2852" s="1">
        <v>891</v>
      </c>
      <c r="B2852" t="s">
        <v>38</v>
      </c>
      <c r="C2852">
        <v>630</v>
      </c>
      <c r="D2852">
        <v>5</v>
      </c>
      <c r="E2852" t="s">
        <v>35</v>
      </c>
      <c r="F2852" t="s">
        <v>36</v>
      </c>
      <c r="G2852" t="str">
        <f>"2025-05-31 21:23:01.429"</f>
        <v>2025-05-31 21:23:01.429</v>
      </c>
      <c r="H2852" t="s">
        <v>37</v>
      </c>
      <c r="I2852">
        <v>0</v>
      </c>
      <c r="J2852" t="s">
        <v>30</v>
      </c>
    </row>
    <row r="2853" spans="1:10" x14ac:dyDescent="0.25">
      <c r="A2853" s="1">
        <v>892</v>
      </c>
      <c r="B2853" t="s">
        <v>19</v>
      </c>
      <c r="C2853">
        <v>700</v>
      </c>
      <c r="D2853">
        <v>0</v>
      </c>
      <c r="E2853" t="s">
        <v>20</v>
      </c>
      <c r="F2853" t="s">
        <v>20</v>
      </c>
      <c r="G2853" t="str">
        <f>"2025-05-31 21:17:58.709"</f>
        <v>2025-05-31 21:17:58.709</v>
      </c>
      <c r="H2853" t="s">
        <v>21</v>
      </c>
      <c r="I2853">
        <v>0</v>
      </c>
      <c r="J2853" t="s">
        <v>22</v>
      </c>
    </row>
    <row r="2854" spans="1:10" x14ac:dyDescent="0.25">
      <c r="A2854" s="1">
        <v>893</v>
      </c>
      <c r="B2854" t="s">
        <v>23</v>
      </c>
      <c r="C2854">
        <v>630</v>
      </c>
      <c r="D2854">
        <v>5</v>
      </c>
      <c r="E2854" t="s">
        <v>35</v>
      </c>
      <c r="F2854" t="s">
        <v>36</v>
      </c>
      <c r="G2854" t="str">
        <f>"2025-05-30 15:22:31.291"</f>
        <v>2025-05-30 15:22:31.291</v>
      </c>
      <c r="H2854" t="s">
        <v>37</v>
      </c>
    </row>
    <row r="2855" spans="1:10" x14ac:dyDescent="0.25">
      <c r="A2855" s="1">
        <v>894</v>
      </c>
      <c r="B2855" t="s">
        <v>19</v>
      </c>
      <c r="C2855">
        <v>706</v>
      </c>
      <c r="D2855">
        <v>4</v>
      </c>
      <c r="E2855" t="s">
        <v>28</v>
      </c>
      <c r="F2855" t="s">
        <v>29</v>
      </c>
      <c r="G2855" t="str">
        <f>"2025-05-30 15:22:01.219"</f>
        <v>2025-05-30 15:22:01.219</v>
      </c>
      <c r="H2855" t="s">
        <v>21</v>
      </c>
      <c r="I2855">
        <v>0</v>
      </c>
      <c r="J2855" t="s">
        <v>30</v>
      </c>
    </row>
    <row r="2856" spans="1:10" x14ac:dyDescent="0.25">
      <c r="A2856" s="1">
        <v>895</v>
      </c>
      <c r="B2856" t="s">
        <v>38</v>
      </c>
      <c r="C2856">
        <v>630</v>
      </c>
      <c r="D2856">
        <v>5</v>
      </c>
      <c r="E2856" t="s">
        <v>35</v>
      </c>
      <c r="F2856" t="s">
        <v>36</v>
      </c>
      <c r="G2856" t="str">
        <f>"2025-05-30 15:20:15.291"</f>
        <v>2025-05-30 15:20:15.291</v>
      </c>
      <c r="H2856" t="s">
        <v>37</v>
      </c>
      <c r="I2856">
        <v>0</v>
      </c>
      <c r="J2856" t="s">
        <v>30</v>
      </c>
    </row>
    <row r="2857" spans="1:10" x14ac:dyDescent="0.25">
      <c r="A2857" s="1">
        <v>896</v>
      </c>
      <c r="B2857" t="s">
        <v>19</v>
      </c>
      <c r="C2857">
        <v>700</v>
      </c>
      <c r="D2857">
        <v>0</v>
      </c>
      <c r="E2857" t="s">
        <v>20</v>
      </c>
      <c r="F2857" t="s">
        <v>20</v>
      </c>
      <c r="G2857" t="str">
        <f>"2025-05-30 15:15:12.499"</f>
        <v>2025-05-30 15:15:12.499</v>
      </c>
      <c r="H2857" t="s">
        <v>21</v>
      </c>
    </row>
    <row r="2858" spans="1:10" x14ac:dyDescent="0.25">
      <c r="A2858" s="1">
        <v>897</v>
      </c>
      <c r="B2858" t="s">
        <v>19</v>
      </c>
      <c r="C2858">
        <v>700</v>
      </c>
      <c r="D2858">
        <v>0</v>
      </c>
      <c r="E2858" t="s">
        <v>20</v>
      </c>
      <c r="F2858" t="s">
        <v>20</v>
      </c>
      <c r="G2858" t="str">
        <f>"2025-05-30 08:25:35.514"</f>
        <v>2025-05-30 08:25:35.514</v>
      </c>
      <c r="H2858" t="s">
        <v>21</v>
      </c>
      <c r="I2858">
        <v>0</v>
      </c>
      <c r="J2858" t="s">
        <v>22</v>
      </c>
    </row>
    <row r="2859" spans="1:10" x14ac:dyDescent="0.25">
      <c r="A2859" s="1">
        <v>898</v>
      </c>
      <c r="B2859" t="s">
        <v>23</v>
      </c>
      <c r="C2859">
        <v>61</v>
      </c>
      <c r="D2859">
        <v>2</v>
      </c>
      <c r="E2859" t="s">
        <v>75</v>
      </c>
      <c r="F2859" t="s">
        <v>76</v>
      </c>
      <c r="G2859" t="str">
        <f>"2025-05-29 19:36:06.682"</f>
        <v>2025-05-29 19:36:06.682</v>
      </c>
      <c r="H2859" t="s">
        <v>21</v>
      </c>
    </row>
    <row r="2860" spans="1:10" x14ac:dyDescent="0.25">
      <c r="A2860" s="1">
        <v>899</v>
      </c>
      <c r="B2860" t="s">
        <v>38</v>
      </c>
      <c r="C2860">
        <v>61</v>
      </c>
      <c r="D2860">
        <v>2</v>
      </c>
      <c r="E2860" t="s">
        <v>75</v>
      </c>
      <c r="F2860" t="s">
        <v>76</v>
      </c>
      <c r="G2860" t="str">
        <f>"2025-05-29 19:35:46.882"</f>
        <v>2025-05-29 19:35:46.882</v>
      </c>
      <c r="H2860" t="s">
        <v>21</v>
      </c>
      <c r="I2860">
        <v>37.770000000000003</v>
      </c>
      <c r="J2860" t="s">
        <v>27</v>
      </c>
    </row>
    <row r="2861" spans="1:10" s="3" customFormat="1" x14ac:dyDescent="0.25">
      <c r="A2861" s="2">
        <v>900</v>
      </c>
      <c r="B2861" s="3" t="s">
        <v>23</v>
      </c>
      <c r="C2861" s="3">
        <v>647</v>
      </c>
      <c r="D2861" s="3">
        <v>1</v>
      </c>
      <c r="E2861" s="3" t="s">
        <v>24</v>
      </c>
      <c r="F2861" s="3" t="s">
        <v>25</v>
      </c>
      <c r="G2861" s="3" t="str">
        <f>"2025-05-29 07:18:51.982"</f>
        <v>2025-05-29 07:18:51.982</v>
      </c>
      <c r="H2861" s="3" t="s">
        <v>21</v>
      </c>
    </row>
    <row r="2862" spans="1:10" s="3" customFormat="1" x14ac:dyDescent="0.25">
      <c r="A2862" s="2">
        <v>901</v>
      </c>
      <c r="B2862" s="3" t="s">
        <v>26</v>
      </c>
      <c r="C2862" s="3">
        <v>647</v>
      </c>
      <c r="D2862" s="3">
        <v>1</v>
      </c>
      <c r="E2862" s="3" t="s">
        <v>24</v>
      </c>
      <c r="F2862" s="3" t="s">
        <v>25</v>
      </c>
      <c r="G2862" s="3" t="str">
        <f>"2025-05-29 07:18:50.682"</f>
        <v>2025-05-29 07:18:50.682</v>
      </c>
      <c r="H2862" s="3" t="s">
        <v>21</v>
      </c>
      <c r="I2862" s="3">
        <v>14.17</v>
      </c>
      <c r="J2862" s="3" t="s">
        <v>27</v>
      </c>
    </row>
    <row r="2863" spans="1:10" x14ac:dyDescent="0.25">
      <c r="A2863" s="1">
        <v>902</v>
      </c>
      <c r="B2863" t="s">
        <v>19</v>
      </c>
      <c r="C2863">
        <v>700</v>
      </c>
      <c r="D2863">
        <v>0</v>
      </c>
      <c r="E2863" t="s">
        <v>20</v>
      </c>
      <c r="F2863" t="s">
        <v>20</v>
      </c>
      <c r="G2863" t="str">
        <f>"2025-05-28 20:39:39.611"</f>
        <v>2025-05-28 20:39:39.611</v>
      </c>
      <c r="H2863" t="s">
        <v>21</v>
      </c>
      <c r="I2863">
        <v>0</v>
      </c>
      <c r="J2863" t="s">
        <v>22</v>
      </c>
    </row>
    <row r="2864" spans="1:10" x14ac:dyDescent="0.25">
      <c r="A2864" s="1">
        <v>903</v>
      </c>
      <c r="B2864" t="s">
        <v>23</v>
      </c>
      <c r="C2864">
        <v>635</v>
      </c>
      <c r="D2864">
        <v>1</v>
      </c>
      <c r="E2864" t="s">
        <v>31</v>
      </c>
      <c r="F2864" t="s">
        <v>32</v>
      </c>
      <c r="G2864" t="str">
        <f>"2025-05-28 06:34:19.946"</f>
        <v>2025-05-28 06:34:19.946</v>
      </c>
      <c r="H2864" t="s">
        <v>21</v>
      </c>
    </row>
    <row r="2865" spans="1:10" x14ac:dyDescent="0.25">
      <c r="A2865" s="1">
        <v>904</v>
      </c>
      <c r="B2865" t="s">
        <v>26</v>
      </c>
      <c r="C2865">
        <v>635</v>
      </c>
      <c r="D2865">
        <v>1</v>
      </c>
      <c r="E2865" t="s">
        <v>31</v>
      </c>
      <c r="F2865" t="s">
        <v>32</v>
      </c>
      <c r="G2865" t="str">
        <f>"2025-05-28 06:31:32.947"</f>
        <v>2025-05-28 06:31:32.947</v>
      </c>
      <c r="H2865" t="s">
        <v>21</v>
      </c>
      <c r="I2865">
        <v>0</v>
      </c>
      <c r="J2865" t="s">
        <v>34</v>
      </c>
    </row>
    <row r="2866" spans="1:10" x14ac:dyDescent="0.25">
      <c r="A2866" s="1">
        <v>905</v>
      </c>
      <c r="B2866" t="s">
        <v>19</v>
      </c>
      <c r="C2866">
        <v>700</v>
      </c>
      <c r="D2866">
        <v>0</v>
      </c>
      <c r="E2866" t="s">
        <v>20</v>
      </c>
      <c r="F2866" t="s">
        <v>20</v>
      </c>
      <c r="G2866" t="str">
        <f>"2025-05-27 22:57:56.514"</f>
        <v>2025-05-27 22:57:56.514</v>
      </c>
      <c r="H2866" t="s">
        <v>21</v>
      </c>
    </row>
    <row r="2867" spans="1:10" x14ac:dyDescent="0.25">
      <c r="A2867" s="1">
        <v>906</v>
      </c>
      <c r="B2867" t="s">
        <v>23</v>
      </c>
      <c r="C2867">
        <v>635</v>
      </c>
      <c r="D2867">
        <v>1</v>
      </c>
      <c r="E2867" t="s">
        <v>31</v>
      </c>
      <c r="F2867" t="s">
        <v>32</v>
      </c>
      <c r="G2867" t="str">
        <f>"2025-05-27 19:00:41.804"</f>
        <v>2025-05-27 19:00:41.804</v>
      </c>
      <c r="H2867" t="s">
        <v>21</v>
      </c>
    </row>
    <row r="2868" spans="1:10" x14ac:dyDescent="0.25">
      <c r="A2868" s="1">
        <v>907</v>
      </c>
      <c r="B2868" t="s">
        <v>26</v>
      </c>
      <c r="C2868">
        <v>635</v>
      </c>
      <c r="D2868">
        <v>1</v>
      </c>
      <c r="E2868" t="s">
        <v>31</v>
      </c>
      <c r="F2868" t="s">
        <v>32</v>
      </c>
      <c r="G2868" t="str">
        <f>"2025-05-27 18:41:01.905"</f>
        <v>2025-05-27 18:41:01.905</v>
      </c>
      <c r="H2868" t="s">
        <v>21</v>
      </c>
      <c r="I2868">
        <v>5.67</v>
      </c>
      <c r="J2868" t="s">
        <v>33</v>
      </c>
    </row>
    <row r="2869" spans="1:10" x14ac:dyDescent="0.25">
      <c r="A2869" s="1">
        <v>908</v>
      </c>
      <c r="B2869" t="s">
        <v>19</v>
      </c>
      <c r="C2869">
        <v>700</v>
      </c>
      <c r="D2869">
        <v>0</v>
      </c>
      <c r="E2869" t="s">
        <v>20</v>
      </c>
      <c r="F2869" t="s">
        <v>20</v>
      </c>
      <c r="G2869" t="str">
        <f>"2025-05-27 14:00:47.512"</f>
        <v>2025-05-27 14:00:47.512</v>
      </c>
      <c r="H2869" t="s">
        <v>21</v>
      </c>
      <c r="I2869">
        <v>0</v>
      </c>
      <c r="J2869" t="s">
        <v>22</v>
      </c>
    </row>
    <row r="2870" spans="1:10" x14ac:dyDescent="0.25">
      <c r="A2870" s="1">
        <v>909</v>
      </c>
      <c r="B2870" t="s">
        <v>19</v>
      </c>
      <c r="C2870">
        <v>700</v>
      </c>
      <c r="D2870">
        <v>0</v>
      </c>
      <c r="E2870" t="s">
        <v>20</v>
      </c>
      <c r="F2870" t="s">
        <v>20</v>
      </c>
      <c r="G2870" t="str">
        <f>"2025-05-26 18:50:58.554"</f>
        <v>2025-05-26 18:50:58.554</v>
      </c>
      <c r="H2870" t="s">
        <v>21</v>
      </c>
      <c r="I2870">
        <v>0</v>
      </c>
      <c r="J2870" t="s">
        <v>22</v>
      </c>
    </row>
    <row r="2871" spans="1:10" x14ac:dyDescent="0.25">
      <c r="A2871" s="1">
        <v>910</v>
      </c>
      <c r="B2871" t="s">
        <v>19</v>
      </c>
      <c r="C2871">
        <v>700</v>
      </c>
      <c r="D2871">
        <v>0</v>
      </c>
      <c r="E2871" t="s">
        <v>20</v>
      </c>
      <c r="F2871" t="s">
        <v>20</v>
      </c>
      <c r="G2871" t="str">
        <f>"2025-05-26 11:17:30.505"</f>
        <v>2025-05-26 11:17:30.505</v>
      </c>
      <c r="H2871" t="s">
        <v>21</v>
      </c>
      <c r="I2871">
        <v>0</v>
      </c>
      <c r="J2871" t="s">
        <v>22</v>
      </c>
    </row>
    <row r="2872" spans="1:10" x14ac:dyDescent="0.25">
      <c r="A2872" s="1">
        <v>911</v>
      </c>
      <c r="B2872" t="s">
        <v>23</v>
      </c>
      <c r="C2872">
        <v>635</v>
      </c>
      <c r="D2872">
        <v>1</v>
      </c>
      <c r="E2872" t="s">
        <v>31</v>
      </c>
      <c r="F2872" t="s">
        <v>32</v>
      </c>
      <c r="G2872" t="str">
        <f>"2025-05-25 16:18:35.376"</f>
        <v>2025-05-25 16:18:35.376</v>
      </c>
      <c r="H2872" t="s">
        <v>21</v>
      </c>
    </row>
    <row r="2873" spans="1:10" x14ac:dyDescent="0.25">
      <c r="A2873" s="1">
        <v>912</v>
      </c>
      <c r="B2873" t="s">
        <v>26</v>
      </c>
      <c r="C2873">
        <v>635</v>
      </c>
      <c r="D2873">
        <v>1</v>
      </c>
      <c r="E2873" t="s">
        <v>31</v>
      </c>
      <c r="F2873" t="s">
        <v>32</v>
      </c>
      <c r="G2873" t="str">
        <f>"2025-05-25 16:15:21.376"</f>
        <v>2025-05-25 16:15:21.376</v>
      </c>
      <c r="H2873" t="s">
        <v>21</v>
      </c>
      <c r="I2873">
        <v>0.06</v>
      </c>
      <c r="J2873" t="s">
        <v>34</v>
      </c>
    </row>
    <row r="2874" spans="1:10" x14ac:dyDescent="0.25">
      <c r="A2874" s="1">
        <v>913</v>
      </c>
      <c r="B2874" t="s">
        <v>23</v>
      </c>
      <c r="C2874">
        <v>635</v>
      </c>
      <c r="D2874">
        <v>1</v>
      </c>
      <c r="E2874" t="s">
        <v>31</v>
      </c>
      <c r="F2874" t="s">
        <v>32</v>
      </c>
      <c r="G2874" t="str">
        <f>"2025-05-25 11:41:32.476"</f>
        <v>2025-05-25 11:41:32.476</v>
      </c>
      <c r="H2874" t="s">
        <v>21</v>
      </c>
    </row>
    <row r="2875" spans="1:10" x14ac:dyDescent="0.25">
      <c r="A2875" s="1">
        <v>914</v>
      </c>
      <c r="B2875" t="s">
        <v>26</v>
      </c>
      <c r="C2875">
        <v>635</v>
      </c>
      <c r="D2875">
        <v>1</v>
      </c>
      <c r="E2875" t="s">
        <v>31</v>
      </c>
      <c r="F2875" t="s">
        <v>32</v>
      </c>
      <c r="G2875" t="str">
        <f>"2025-05-25 11:39:01.976"</f>
        <v>2025-05-25 11:39:01.976</v>
      </c>
      <c r="H2875" t="s">
        <v>21</v>
      </c>
      <c r="I2875">
        <v>-0.23</v>
      </c>
      <c r="J2875" t="s">
        <v>33</v>
      </c>
    </row>
    <row r="2876" spans="1:10" s="3" customFormat="1" x14ac:dyDescent="0.25">
      <c r="A2876" s="2">
        <v>915</v>
      </c>
      <c r="B2876" s="3" t="s">
        <v>23</v>
      </c>
      <c r="C2876" s="3">
        <v>647</v>
      </c>
      <c r="D2876" s="3">
        <v>1</v>
      </c>
      <c r="E2876" s="3" t="s">
        <v>24</v>
      </c>
      <c r="F2876" s="3" t="s">
        <v>25</v>
      </c>
      <c r="G2876" s="3" t="str">
        <f>"2025-05-24 23:58:25.830"</f>
        <v>2025-05-24 23:58:25.830</v>
      </c>
      <c r="H2876" s="3" t="s">
        <v>21</v>
      </c>
    </row>
    <row r="2877" spans="1:10" s="3" customFormat="1" x14ac:dyDescent="0.25">
      <c r="A2877" s="2">
        <v>916</v>
      </c>
      <c r="B2877" s="3" t="s">
        <v>26</v>
      </c>
      <c r="C2877" s="3">
        <v>647</v>
      </c>
      <c r="D2877" s="3">
        <v>1</v>
      </c>
      <c r="E2877" s="3" t="s">
        <v>24</v>
      </c>
      <c r="F2877" s="3" t="s">
        <v>25</v>
      </c>
      <c r="G2877" s="3" t="str">
        <f>"2025-05-24 23:58:24.730"</f>
        <v>2025-05-24 23:58:24.730</v>
      </c>
      <c r="H2877" s="3" t="s">
        <v>21</v>
      </c>
      <c r="I2877" s="3">
        <v>15.94</v>
      </c>
      <c r="J2877" s="3" t="s">
        <v>27</v>
      </c>
    </row>
    <row r="2878" spans="1:10" x14ac:dyDescent="0.25">
      <c r="A2878" s="1">
        <v>917</v>
      </c>
      <c r="B2878" t="s">
        <v>19</v>
      </c>
      <c r="C2878">
        <v>706</v>
      </c>
      <c r="D2878">
        <v>4</v>
      </c>
      <c r="E2878" t="s">
        <v>28</v>
      </c>
      <c r="F2878" t="s">
        <v>29</v>
      </c>
      <c r="G2878" t="str">
        <f>"2025-05-21 12:58:55.026"</f>
        <v>2025-05-21 12:58:55.026</v>
      </c>
      <c r="H2878" t="s">
        <v>21</v>
      </c>
      <c r="I2878">
        <v>0</v>
      </c>
      <c r="J2878" t="s">
        <v>30</v>
      </c>
    </row>
    <row r="2879" spans="1:10" x14ac:dyDescent="0.25">
      <c r="A2879" s="1">
        <v>918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"2025-05-21 12:50:25.536"</f>
        <v>2025-05-21 12:50:25.536</v>
      </c>
      <c r="H2879" t="s">
        <v>21</v>
      </c>
      <c r="I2879">
        <v>0</v>
      </c>
      <c r="J2879" t="s">
        <v>22</v>
      </c>
    </row>
    <row r="2880" spans="1:10" x14ac:dyDescent="0.25">
      <c r="A2880" s="1">
        <v>919</v>
      </c>
      <c r="B2880" t="s">
        <v>19</v>
      </c>
      <c r="C2880">
        <v>700</v>
      </c>
      <c r="D2880">
        <v>0</v>
      </c>
      <c r="E2880" t="s">
        <v>20</v>
      </c>
      <c r="F2880" t="s">
        <v>20</v>
      </c>
      <c r="G2880" t="str">
        <f>"2025-05-21 11:28:08.538"</f>
        <v>2025-05-21 11:28:08.538</v>
      </c>
      <c r="H2880" t="s">
        <v>21</v>
      </c>
      <c r="I2880">
        <v>0</v>
      </c>
      <c r="J2880" t="s">
        <v>22</v>
      </c>
    </row>
    <row r="2881" spans="1:10" x14ac:dyDescent="0.25">
      <c r="A2881" s="1">
        <v>920</v>
      </c>
      <c r="B2881" t="s">
        <v>19</v>
      </c>
      <c r="C2881">
        <v>700</v>
      </c>
      <c r="D2881">
        <v>0</v>
      </c>
      <c r="E2881" t="s">
        <v>20</v>
      </c>
      <c r="F2881" t="s">
        <v>20</v>
      </c>
      <c r="G2881" t="str">
        <f>"2025-05-21 11:22:50.473"</f>
        <v>2025-05-21 11:22:50.473</v>
      </c>
      <c r="H2881" t="s">
        <v>21</v>
      </c>
    </row>
    <row r="2882" spans="1:10" x14ac:dyDescent="0.25">
      <c r="A2882" s="1">
        <v>921</v>
      </c>
      <c r="B2882" t="s">
        <v>19</v>
      </c>
      <c r="C2882">
        <v>700</v>
      </c>
      <c r="D2882">
        <v>0</v>
      </c>
      <c r="E2882" t="s">
        <v>20</v>
      </c>
      <c r="F2882" t="s">
        <v>20</v>
      </c>
      <c r="G2882" t="str">
        <f>"2025-05-21 11:04:25.475"</f>
        <v>2025-05-21 11:04:25.475</v>
      </c>
      <c r="H2882" t="s">
        <v>21</v>
      </c>
    </row>
    <row r="2883" spans="1:10" x14ac:dyDescent="0.25">
      <c r="A2883" s="1">
        <v>922</v>
      </c>
      <c r="B2883" t="s">
        <v>19</v>
      </c>
      <c r="C2883">
        <v>706</v>
      </c>
      <c r="D2883">
        <v>2</v>
      </c>
      <c r="E2883" t="s">
        <v>28</v>
      </c>
      <c r="F2883" t="s">
        <v>39</v>
      </c>
      <c r="G2883" t="str">
        <f>"2025-05-19 10:59:15.517"</f>
        <v>2025-05-19 10:59:15.517</v>
      </c>
      <c r="H2883" t="s">
        <v>21</v>
      </c>
      <c r="I2883">
        <v>0</v>
      </c>
      <c r="J2883" t="s">
        <v>30</v>
      </c>
    </row>
    <row r="2884" spans="1:10" x14ac:dyDescent="0.25">
      <c r="A2884" s="1">
        <v>923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"2025-05-19 10:59:00.467"</f>
        <v>2025-05-19 10:59:00.467</v>
      </c>
      <c r="H2884" t="s">
        <v>21</v>
      </c>
    </row>
    <row r="2885" spans="1:10" x14ac:dyDescent="0.25">
      <c r="A2885" s="1">
        <v>926</v>
      </c>
      <c r="B2885" t="s">
        <v>23</v>
      </c>
      <c r="C2885">
        <v>635</v>
      </c>
      <c r="D2885">
        <v>1</v>
      </c>
      <c r="E2885" t="s">
        <v>31</v>
      </c>
      <c r="F2885" t="s">
        <v>32</v>
      </c>
      <c r="G2885" t="str">
        <f>"2025-05-18 14:16:38.699"</f>
        <v>2025-05-18 14:16:38.699</v>
      </c>
      <c r="H2885" t="s">
        <v>21</v>
      </c>
    </row>
    <row r="2886" spans="1:10" x14ac:dyDescent="0.25">
      <c r="A2886" s="1">
        <v>927</v>
      </c>
      <c r="B2886" t="s">
        <v>26</v>
      </c>
      <c r="C2886">
        <v>635</v>
      </c>
      <c r="D2886">
        <v>1</v>
      </c>
      <c r="E2886" t="s">
        <v>31</v>
      </c>
      <c r="F2886" t="s">
        <v>32</v>
      </c>
      <c r="G2886" t="str">
        <f>"2025-05-18 14:12:37.700"</f>
        <v>2025-05-18 14:12:37.700</v>
      </c>
      <c r="H2886" t="s">
        <v>21</v>
      </c>
      <c r="I2886">
        <v>2.87</v>
      </c>
      <c r="J2886" t="s">
        <v>33</v>
      </c>
    </row>
    <row r="2887" spans="1:10" x14ac:dyDescent="0.25">
      <c r="A2887" s="1">
        <v>928</v>
      </c>
      <c r="B2887" t="s">
        <v>19</v>
      </c>
      <c r="C2887">
        <v>700</v>
      </c>
      <c r="D2887">
        <v>0</v>
      </c>
      <c r="E2887" t="s">
        <v>20</v>
      </c>
      <c r="F2887" t="s">
        <v>20</v>
      </c>
      <c r="G2887" t="str">
        <f>"2025-05-17 20:40:19.495"</f>
        <v>2025-05-17 20:40:19.495</v>
      </c>
      <c r="H2887" t="s">
        <v>21</v>
      </c>
    </row>
    <row r="2888" spans="1:10" x14ac:dyDescent="0.25">
      <c r="A2888" s="1">
        <v>929</v>
      </c>
      <c r="B2888" t="s">
        <v>19</v>
      </c>
      <c r="C2888">
        <v>700</v>
      </c>
      <c r="D2888">
        <v>0</v>
      </c>
      <c r="E2888" t="s">
        <v>20</v>
      </c>
      <c r="F2888" t="s">
        <v>20</v>
      </c>
      <c r="G2888" t="str">
        <f>"2025-05-17 13:38:32.454"</f>
        <v>2025-05-17 13:38:32.454</v>
      </c>
      <c r="H2888" t="s">
        <v>21</v>
      </c>
      <c r="I2888">
        <v>0</v>
      </c>
      <c r="J2888" t="s">
        <v>22</v>
      </c>
    </row>
    <row r="2889" spans="1:10" x14ac:dyDescent="0.25">
      <c r="A2889" s="1">
        <v>930</v>
      </c>
      <c r="B2889" t="s">
        <v>23</v>
      </c>
      <c r="C2889">
        <v>630</v>
      </c>
      <c r="D2889">
        <v>5</v>
      </c>
      <c r="E2889" t="s">
        <v>35</v>
      </c>
      <c r="F2889" t="s">
        <v>36</v>
      </c>
      <c r="G2889" t="str">
        <f>"2025-05-15 18:43:29.353"</f>
        <v>2025-05-15 18:43:29.353</v>
      </c>
      <c r="H2889" t="s">
        <v>37</v>
      </c>
    </row>
    <row r="2890" spans="1:10" x14ac:dyDescent="0.25">
      <c r="A2890" s="1">
        <v>931</v>
      </c>
      <c r="B2890" t="s">
        <v>19</v>
      </c>
      <c r="C2890">
        <v>706</v>
      </c>
      <c r="D2890">
        <v>4</v>
      </c>
      <c r="E2890" t="s">
        <v>28</v>
      </c>
      <c r="F2890" t="s">
        <v>29</v>
      </c>
      <c r="G2890" t="str">
        <f>"2025-05-15 18:42:59.246"</f>
        <v>2025-05-15 18:42:59.246</v>
      </c>
      <c r="H2890" t="s">
        <v>21</v>
      </c>
      <c r="I2890">
        <v>0</v>
      </c>
      <c r="J2890" t="s">
        <v>30</v>
      </c>
    </row>
    <row r="2891" spans="1:10" x14ac:dyDescent="0.25">
      <c r="A2891" s="1">
        <v>932</v>
      </c>
      <c r="B2891" t="s">
        <v>38</v>
      </c>
      <c r="C2891">
        <v>630</v>
      </c>
      <c r="D2891">
        <v>5</v>
      </c>
      <c r="E2891" t="s">
        <v>35</v>
      </c>
      <c r="F2891" t="s">
        <v>36</v>
      </c>
      <c r="G2891" t="str">
        <f>"2025-05-15 17:19:05.353"</f>
        <v>2025-05-15 17:19:05.353</v>
      </c>
      <c r="H2891" t="s">
        <v>37</v>
      </c>
      <c r="I2891">
        <v>0</v>
      </c>
      <c r="J2891" t="s">
        <v>30</v>
      </c>
    </row>
    <row r="2892" spans="1:10" x14ac:dyDescent="0.25">
      <c r="A2892" s="1">
        <v>933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"2025-05-15 17:14:02.546"</f>
        <v>2025-05-15 17:14:02.546</v>
      </c>
      <c r="H2892" t="s">
        <v>21</v>
      </c>
    </row>
    <row r="2893" spans="1:10" x14ac:dyDescent="0.25">
      <c r="A2893" s="1">
        <v>934</v>
      </c>
      <c r="B2893" t="s">
        <v>38</v>
      </c>
      <c r="C2893">
        <v>630</v>
      </c>
      <c r="D2893">
        <v>5</v>
      </c>
      <c r="E2893" t="s">
        <v>35</v>
      </c>
      <c r="F2893" t="s">
        <v>36</v>
      </c>
      <c r="G2893" t="str">
        <f>"2025-05-15 16:16:37.292"</f>
        <v>2025-05-15 16:16:37.292</v>
      </c>
      <c r="H2893" t="s">
        <v>37</v>
      </c>
      <c r="I2893">
        <v>0</v>
      </c>
      <c r="J2893" t="s">
        <v>30</v>
      </c>
    </row>
    <row r="2894" spans="1:10" x14ac:dyDescent="0.25">
      <c r="A2894" s="1">
        <v>935</v>
      </c>
      <c r="B2894" t="s">
        <v>19</v>
      </c>
      <c r="C2894">
        <v>700</v>
      </c>
      <c r="D2894">
        <v>0</v>
      </c>
      <c r="E2894" t="s">
        <v>20</v>
      </c>
      <c r="F2894" t="s">
        <v>20</v>
      </c>
      <c r="G2894" t="str">
        <f>"2025-05-15 16:11:34.485"</f>
        <v>2025-05-15 16:11:34.485</v>
      </c>
      <c r="H2894" t="s">
        <v>21</v>
      </c>
      <c r="I2894">
        <v>0</v>
      </c>
      <c r="J2894" t="s">
        <v>22</v>
      </c>
    </row>
    <row r="2895" spans="1:10" x14ac:dyDescent="0.25">
      <c r="A2895" s="1">
        <v>936</v>
      </c>
      <c r="B2895" t="s">
        <v>19</v>
      </c>
      <c r="C2895">
        <v>706</v>
      </c>
      <c r="D2895">
        <v>2</v>
      </c>
      <c r="E2895" t="s">
        <v>28</v>
      </c>
      <c r="F2895" t="s">
        <v>39</v>
      </c>
      <c r="G2895" t="str">
        <f>"2025-05-14 12:38:20.318"</f>
        <v>2025-05-14 12:38:20.318</v>
      </c>
      <c r="H2895" t="s">
        <v>21</v>
      </c>
      <c r="I2895">
        <v>0</v>
      </c>
      <c r="J2895" t="s">
        <v>30</v>
      </c>
    </row>
    <row r="2896" spans="1:10" x14ac:dyDescent="0.25">
      <c r="A2896" s="1">
        <v>937</v>
      </c>
      <c r="B2896" t="s">
        <v>19</v>
      </c>
      <c r="C2896">
        <v>700</v>
      </c>
      <c r="D2896">
        <v>0</v>
      </c>
      <c r="E2896" t="s">
        <v>20</v>
      </c>
      <c r="F2896" t="s">
        <v>20</v>
      </c>
      <c r="G2896" t="str">
        <f>"2025-05-14 12:37:36.478"</f>
        <v>2025-05-14 12:37:36.478</v>
      </c>
      <c r="H2896" t="s">
        <v>21</v>
      </c>
      <c r="I2896">
        <v>0</v>
      </c>
      <c r="J2896" t="s">
        <v>22</v>
      </c>
    </row>
    <row r="2897" spans="1:10" x14ac:dyDescent="0.25">
      <c r="A2897" s="1">
        <v>938</v>
      </c>
      <c r="B2897" t="s">
        <v>19</v>
      </c>
      <c r="C2897">
        <v>700</v>
      </c>
      <c r="D2897">
        <v>0</v>
      </c>
      <c r="E2897" t="s">
        <v>20</v>
      </c>
      <c r="F2897" t="s">
        <v>20</v>
      </c>
      <c r="G2897" t="str">
        <f>"2025-05-13 11:54:08.484"</f>
        <v>2025-05-13 11:54:08.484</v>
      </c>
      <c r="H2897" t="s">
        <v>21</v>
      </c>
      <c r="I2897">
        <v>0</v>
      </c>
      <c r="J2897" t="s">
        <v>22</v>
      </c>
    </row>
    <row r="2898" spans="1:10" x14ac:dyDescent="0.25">
      <c r="A2898" s="1">
        <v>939</v>
      </c>
      <c r="B2898" t="s">
        <v>19</v>
      </c>
      <c r="C2898">
        <v>700</v>
      </c>
      <c r="D2898">
        <v>0</v>
      </c>
      <c r="E2898" t="s">
        <v>20</v>
      </c>
      <c r="F2898" t="s">
        <v>20</v>
      </c>
      <c r="G2898" t="str">
        <f>"2025-05-12 11:06:29.457"</f>
        <v>2025-05-12 11:06:29.457</v>
      </c>
      <c r="H2898" t="s">
        <v>21</v>
      </c>
    </row>
    <row r="2899" spans="1:10" x14ac:dyDescent="0.25">
      <c r="A2899" s="1">
        <v>940</v>
      </c>
      <c r="B2899" t="s">
        <v>23</v>
      </c>
      <c r="C2899">
        <v>635</v>
      </c>
      <c r="D2899">
        <v>1</v>
      </c>
      <c r="E2899" t="s">
        <v>31</v>
      </c>
      <c r="F2899" t="s">
        <v>32</v>
      </c>
      <c r="G2899" t="str">
        <f>"2025-05-11 23:14:26.154"</f>
        <v>2025-05-11 23:14:26.154</v>
      </c>
      <c r="H2899" t="s">
        <v>21</v>
      </c>
    </row>
    <row r="2900" spans="1:10" x14ac:dyDescent="0.25">
      <c r="A2900" s="1">
        <v>941</v>
      </c>
      <c r="B2900" t="s">
        <v>26</v>
      </c>
      <c r="C2900">
        <v>635</v>
      </c>
      <c r="D2900">
        <v>1</v>
      </c>
      <c r="E2900" t="s">
        <v>31</v>
      </c>
      <c r="F2900" t="s">
        <v>32</v>
      </c>
      <c r="G2900" t="str">
        <f>"2025-05-11 23:00:57.654"</f>
        <v>2025-05-11 23:00:57.654</v>
      </c>
      <c r="H2900" t="s">
        <v>21</v>
      </c>
      <c r="I2900">
        <v>5.78</v>
      </c>
      <c r="J2900" t="s">
        <v>33</v>
      </c>
    </row>
    <row r="2901" spans="1:10" x14ac:dyDescent="0.25">
      <c r="A2901" s="1">
        <v>942</v>
      </c>
      <c r="B2901" t="s">
        <v>23</v>
      </c>
      <c r="C2901">
        <v>635</v>
      </c>
      <c r="D2901">
        <v>1</v>
      </c>
      <c r="E2901" t="s">
        <v>31</v>
      </c>
      <c r="F2901" t="s">
        <v>32</v>
      </c>
      <c r="G2901" t="str">
        <f>"2025-05-11 21:12:33.354"</f>
        <v>2025-05-11 21:12:33.354</v>
      </c>
      <c r="H2901" t="s">
        <v>21</v>
      </c>
    </row>
    <row r="2902" spans="1:10" x14ac:dyDescent="0.25">
      <c r="A2902" s="1">
        <v>943</v>
      </c>
      <c r="B2902" t="s">
        <v>26</v>
      </c>
      <c r="C2902">
        <v>635</v>
      </c>
      <c r="D2902">
        <v>1</v>
      </c>
      <c r="E2902" t="s">
        <v>31</v>
      </c>
      <c r="F2902" t="s">
        <v>32</v>
      </c>
      <c r="G2902" t="str">
        <f>"2025-05-11 21:05:46.354"</f>
        <v>2025-05-11 21:05:46.354</v>
      </c>
      <c r="H2902" t="s">
        <v>21</v>
      </c>
      <c r="I2902">
        <v>7.75</v>
      </c>
      <c r="J2902" t="s">
        <v>33</v>
      </c>
    </row>
    <row r="2903" spans="1:10" x14ac:dyDescent="0.25">
      <c r="A2903" s="1">
        <v>944</v>
      </c>
      <c r="B2903" t="s">
        <v>19</v>
      </c>
      <c r="C2903">
        <v>700</v>
      </c>
      <c r="D2903">
        <v>0</v>
      </c>
      <c r="E2903" t="s">
        <v>20</v>
      </c>
      <c r="F2903" t="s">
        <v>20</v>
      </c>
      <c r="G2903" t="str">
        <f>"2025-05-11 08:33:07.512"</f>
        <v>2025-05-11 08:33:07.512</v>
      </c>
      <c r="H2903" t="s">
        <v>21</v>
      </c>
      <c r="I2903">
        <v>0</v>
      </c>
      <c r="J2903" t="s">
        <v>22</v>
      </c>
    </row>
    <row r="2904" spans="1:10" x14ac:dyDescent="0.25">
      <c r="A2904" s="1">
        <v>945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"2025-05-10 17:13:26.484"</f>
        <v>2025-05-10 17:13:26.484</v>
      </c>
      <c r="H2904" t="s">
        <v>21</v>
      </c>
      <c r="I2904">
        <v>0</v>
      </c>
      <c r="J2904" t="s">
        <v>22</v>
      </c>
    </row>
    <row r="2905" spans="1:10" x14ac:dyDescent="0.25">
      <c r="A2905" s="1">
        <v>946</v>
      </c>
      <c r="B2905" t="s">
        <v>19</v>
      </c>
      <c r="C2905">
        <v>700</v>
      </c>
      <c r="D2905">
        <v>0</v>
      </c>
      <c r="E2905" t="s">
        <v>20</v>
      </c>
      <c r="F2905" t="s">
        <v>20</v>
      </c>
      <c r="G2905" t="str">
        <f>"2025-05-10 17:02:52.469"</f>
        <v>2025-05-10 17:02:52.469</v>
      </c>
      <c r="H2905" t="s">
        <v>21</v>
      </c>
      <c r="I2905">
        <v>0</v>
      </c>
      <c r="J2905" t="s">
        <v>22</v>
      </c>
    </row>
    <row r="2906" spans="1:10" x14ac:dyDescent="0.25">
      <c r="A2906" s="1">
        <v>947</v>
      </c>
      <c r="B2906" t="s">
        <v>19</v>
      </c>
      <c r="C2906">
        <v>706</v>
      </c>
      <c r="D2906">
        <v>4</v>
      </c>
      <c r="E2906" t="s">
        <v>28</v>
      </c>
      <c r="F2906" t="s">
        <v>29</v>
      </c>
      <c r="G2906" t="str">
        <f>"2025-05-10 16:58:42.227"</f>
        <v>2025-05-10 16:58:42.227</v>
      </c>
      <c r="H2906" t="s">
        <v>21</v>
      </c>
      <c r="I2906">
        <v>0</v>
      </c>
      <c r="J2906" t="s">
        <v>30</v>
      </c>
    </row>
    <row r="2907" spans="1:10" x14ac:dyDescent="0.25">
      <c r="A2907" s="1">
        <v>948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"2025-05-10 16:52:49.487"</f>
        <v>2025-05-10 16:52:49.487</v>
      </c>
      <c r="H2907" t="s">
        <v>21</v>
      </c>
      <c r="I2907">
        <v>0</v>
      </c>
      <c r="J2907" t="s">
        <v>22</v>
      </c>
    </row>
    <row r="2908" spans="1:10" x14ac:dyDescent="0.25">
      <c r="A2908" s="1">
        <v>949</v>
      </c>
      <c r="B2908" t="s">
        <v>38</v>
      </c>
      <c r="C2908">
        <v>630</v>
      </c>
      <c r="D2908">
        <v>5</v>
      </c>
      <c r="E2908" t="s">
        <v>35</v>
      </c>
      <c r="F2908" t="s">
        <v>36</v>
      </c>
      <c r="G2908" t="str">
        <f>"2025-05-10 15:15:56.116"</f>
        <v>2025-05-10 15:15:56.116</v>
      </c>
      <c r="H2908" t="s">
        <v>37</v>
      </c>
      <c r="I2908">
        <v>0</v>
      </c>
      <c r="J2908" t="s">
        <v>30</v>
      </c>
    </row>
    <row r="2909" spans="1:10" x14ac:dyDescent="0.25">
      <c r="A2909" s="1">
        <v>950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"2025-05-10 15:02:08.472"</f>
        <v>2025-05-10 15:02:08.472</v>
      </c>
      <c r="H2909" t="s">
        <v>21</v>
      </c>
      <c r="I2909">
        <v>0</v>
      </c>
      <c r="J2909" t="s">
        <v>22</v>
      </c>
    </row>
    <row r="2910" spans="1:10" x14ac:dyDescent="0.25">
      <c r="A2910" s="1">
        <v>953</v>
      </c>
      <c r="B2910" t="s">
        <v>19</v>
      </c>
      <c r="C2910">
        <v>700</v>
      </c>
      <c r="D2910">
        <v>0</v>
      </c>
      <c r="E2910" t="s">
        <v>20</v>
      </c>
      <c r="F2910" t="s">
        <v>20</v>
      </c>
      <c r="G2910" t="str">
        <f>"2025-05-09 07:42:31.478"</f>
        <v>2025-05-09 07:42:31.478</v>
      </c>
      <c r="H2910" t="s">
        <v>21</v>
      </c>
      <c r="I2910">
        <v>0</v>
      </c>
      <c r="J2910" t="s">
        <v>22</v>
      </c>
    </row>
    <row r="2911" spans="1:10" x14ac:dyDescent="0.25">
      <c r="A2911" s="1">
        <v>954</v>
      </c>
      <c r="B2911" t="s">
        <v>23</v>
      </c>
      <c r="C2911">
        <v>635</v>
      </c>
      <c r="D2911">
        <v>1</v>
      </c>
      <c r="E2911" t="s">
        <v>31</v>
      </c>
      <c r="F2911" t="s">
        <v>32</v>
      </c>
      <c r="G2911" t="str">
        <f>"2025-05-08 18:48:36.131"</f>
        <v>2025-05-08 18:48:36.131</v>
      </c>
      <c r="H2911" t="s">
        <v>21</v>
      </c>
    </row>
    <row r="2912" spans="1:10" x14ac:dyDescent="0.25">
      <c r="A2912" s="1">
        <v>955</v>
      </c>
      <c r="B2912" t="s">
        <v>26</v>
      </c>
      <c r="C2912">
        <v>635</v>
      </c>
      <c r="D2912">
        <v>1</v>
      </c>
      <c r="E2912" t="s">
        <v>31</v>
      </c>
      <c r="F2912" t="s">
        <v>32</v>
      </c>
      <c r="G2912" t="str">
        <f>"2025-05-08 18:45:18.632"</f>
        <v>2025-05-08 18:45:18.632</v>
      </c>
      <c r="H2912" t="s">
        <v>21</v>
      </c>
      <c r="I2912">
        <v>4.38</v>
      </c>
      <c r="J2912" t="s">
        <v>27</v>
      </c>
    </row>
    <row r="2913" spans="1:10" x14ac:dyDescent="0.25">
      <c r="A2913" s="1">
        <v>956</v>
      </c>
      <c r="B2913" t="s">
        <v>19</v>
      </c>
      <c r="C2913">
        <v>700</v>
      </c>
      <c r="D2913">
        <v>0</v>
      </c>
      <c r="E2913" t="s">
        <v>20</v>
      </c>
      <c r="F2913" t="s">
        <v>20</v>
      </c>
      <c r="G2913" t="str">
        <f>"2025-05-08 08:35:34.458"</f>
        <v>2025-05-08 08:35:34.458</v>
      </c>
      <c r="H2913" t="s">
        <v>21</v>
      </c>
    </row>
    <row r="2914" spans="1:10" x14ac:dyDescent="0.25">
      <c r="A2914" s="1">
        <v>957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"2025-05-05 10:45:52.480"</f>
        <v>2025-05-05 10:45:52.480</v>
      </c>
      <c r="H2914" t="s">
        <v>21</v>
      </c>
      <c r="I2914">
        <v>0</v>
      </c>
      <c r="J2914" t="s">
        <v>22</v>
      </c>
    </row>
    <row r="2915" spans="1:10" s="3" customFormat="1" x14ac:dyDescent="0.25">
      <c r="A2915" s="2">
        <v>958</v>
      </c>
      <c r="B2915" s="3" t="s">
        <v>23</v>
      </c>
      <c r="C2915" s="3">
        <v>647</v>
      </c>
      <c r="D2915" s="3">
        <v>1</v>
      </c>
      <c r="E2915" s="3" t="s">
        <v>24</v>
      </c>
      <c r="F2915" s="3" t="s">
        <v>25</v>
      </c>
      <c r="G2915" s="3" t="str">
        <f>"2025-05-04 09:38:26.785"</f>
        <v>2025-05-04 09:38:26.785</v>
      </c>
      <c r="H2915" s="3" t="s">
        <v>21</v>
      </c>
    </row>
    <row r="2916" spans="1:10" s="3" customFormat="1" x14ac:dyDescent="0.25">
      <c r="A2916" s="2">
        <v>959</v>
      </c>
      <c r="B2916" s="3" t="s">
        <v>26</v>
      </c>
      <c r="C2916" s="3">
        <v>647</v>
      </c>
      <c r="D2916" s="3">
        <v>1</v>
      </c>
      <c r="E2916" s="3" t="s">
        <v>24</v>
      </c>
      <c r="F2916" s="3" t="s">
        <v>25</v>
      </c>
      <c r="G2916" s="3" t="str">
        <f>"2025-05-04 09:38:22.885"</f>
        <v>2025-05-04 09:38:22.885</v>
      </c>
      <c r="H2916" s="3" t="s">
        <v>21</v>
      </c>
      <c r="I2916" s="3">
        <v>8.94</v>
      </c>
      <c r="J2916" s="3" t="s">
        <v>27</v>
      </c>
    </row>
    <row r="2917" spans="1:10" x14ac:dyDescent="0.25">
      <c r="A2917" s="1">
        <v>960</v>
      </c>
      <c r="B2917" t="s">
        <v>23</v>
      </c>
      <c r="C2917">
        <v>635</v>
      </c>
      <c r="D2917">
        <v>1</v>
      </c>
      <c r="E2917" t="s">
        <v>31</v>
      </c>
      <c r="F2917" t="s">
        <v>32</v>
      </c>
      <c r="G2917" t="str">
        <f>"2025-05-04 02:03:49.831"</f>
        <v>2025-05-04 02:03:49.831</v>
      </c>
      <c r="H2917" t="s">
        <v>21</v>
      </c>
    </row>
    <row r="2918" spans="1:10" x14ac:dyDescent="0.25">
      <c r="A2918" s="1">
        <v>961</v>
      </c>
      <c r="B2918" t="s">
        <v>26</v>
      </c>
      <c r="C2918">
        <v>635</v>
      </c>
      <c r="D2918">
        <v>1</v>
      </c>
      <c r="E2918" t="s">
        <v>31</v>
      </c>
      <c r="F2918" t="s">
        <v>32</v>
      </c>
      <c r="G2918" t="str">
        <f>"2025-05-04 01:58:08.830"</f>
        <v>2025-05-04 01:58:08.830</v>
      </c>
      <c r="H2918" t="s">
        <v>21</v>
      </c>
      <c r="I2918">
        <v>8.19</v>
      </c>
      <c r="J2918" t="s">
        <v>33</v>
      </c>
    </row>
    <row r="2919" spans="1:10" x14ac:dyDescent="0.25">
      <c r="A2919" s="1">
        <v>962</v>
      </c>
      <c r="B2919" t="s">
        <v>19</v>
      </c>
      <c r="C2919">
        <v>700</v>
      </c>
      <c r="D2919">
        <v>0</v>
      </c>
      <c r="E2919" t="s">
        <v>20</v>
      </c>
      <c r="F2919" t="s">
        <v>20</v>
      </c>
      <c r="G2919" t="str">
        <f>"2025-05-03 09:34:49.478"</f>
        <v>2025-05-03 09:34:49.478</v>
      </c>
      <c r="H2919" t="s">
        <v>21</v>
      </c>
      <c r="I2919">
        <v>0</v>
      </c>
      <c r="J2919" t="s">
        <v>22</v>
      </c>
    </row>
    <row r="2920" spans="1:10" x14ac:dyDescent="0.25">
      <c r="A2920" s="1">
        <v>963</v>
      </c>
      <c r="B2920" t="s">
        <v>23</v>
      </c>
      <c r="C2920">
        <v>635</v>
      </c>
      <c r="D2920">
        <v>1</v>
      </c>
      <c r="E2920" t="s">
        <v>31</v>
      </c>
      <c r="F2920" t="s">
        <v>32</v>
      </c>
      <c r="G2920" t="str">
        <f>"2025-05-02 06:07:08.826"</f>
        <v>2025-05-02 06:07:08.826</v>
      </c>
      <c r="H2920" t="s">
        <v>21</v>
      </c>
    </row>
    <row r="2921" spans="1:10" x14ac:dyDescent="0.25">
      <c r="A2921" s="1">
        <v>964</v>
      </c>
      <c r="B2921" t="s">
        <v>26</v>
      </c>
      <c r="C2921">
        <v>635</v>
      </c>
      <c r="D2921">
        <v>1</v>
      </c>
      <c r="E2921" t="s">
        <v>31</v>
      </c>
      <c r="F2921" t="s">
        <v>32</v>
      </c>
      <c r="G2921" t="str">
        <f>"2025-05-02 05:55:40.926"</f>
        <v>2025-05-02 05:55:40.926</v>
      </c>
      <c r="H2921" t="s">
        <v>21</v>
      </c>
      <c r="I2921">
        <v>7.73</v>
      </c>
      <c r="J2921" t="s">
        <v>33</v>
      </c>
    </row>
    <row r="2922" spans="1:10" x14ac:dyDescent="0.25">
      <c r="A2922" s="1">
        <v>965</v>
      </c>
      <c r="B2922" t="s">
        <v>23</v>
      </c>
      <c r="C2922">
        <v>635</v>
      </c>
      <c r="D2922">
        <v>1</v>
      </c>
      <c r="E2922" t="s">
        <v>31</v>
      </c>
      <c r="F2922" t="s">
        <v>32</v>
      </c>
      <c r="G2922" t="str">
        <f>"2025-05-01 18:19:42.926"</f>
        <v>2025-05-01 18:19:42.926</v>
      </c>
      <c r="H2922" t="s">
        <v>21</v>
      </c>
    </row>
    <row r="2923" spans="1:10" x14ac:dyDescent="0.25">
      <c r="A2923" s="1">
        <v>966</v>
      </c>
      <c r="B2923" t="s">
        <v>26</v>
      </c>
      <c r="C2923">
        <v>635</v>
      </c>
      <c r="D2923">
        <v>1</v>
      </c>
      <c r="E2923" t="s">
        <v>31</v>
      </c>
      <c r="F2923" t="s">
        <v>32</v>
      </c>
      <c r="G2923" t="str">
        <f>"2025-05-01 18:14:56.926"</f>
        <v>2025-05-01 18:14:56.926</v>
      </c>
      <c r="H2923" t="s">
        <v>21</v>
      </c>
      <c r="I2923">
        <v>4.4400000000000004</v>
      </c>
      <c r="J2923" t="s">
        <v>27</v>
      </c>
    </row>
    <row r="2924" spans="1:10" x14ac:dyDescent="0.25">
      <c r="A2924" s="1">
        <v>967</v>
      </c>
      <c r="B2924" t="s">
        <v>19</v>
      </c>
      <c r="C2924">
        <v>700</v>
      </c>
      <c r="D2924">
        <v>0</v>
      </c>
      <c r="E2924" t="s">
        <v>20</v>
      </c>
      <c r="F2924" t="s">
        <v>20</v>
      </c>
      <c r="G2924" t="str">
        <f>"2025-05-01 10:27:47.476"</f>
        <v>2025-05-01 10:27:47.476</v>
      </c>
      <c r="H2924" t="s">
        <v>21</v>
      </c>
      <c r="I2924">
        <v>0</v>
      </c>
      <c r="J2924" t="s">
        <v>22</v>
      </c>
    </row>
    <row r="2925" spans="1:10" x14ac:dyDescent="0.25">
      <c r="A2925" s="1">
        <v>968</v>
      </c>
      <c r="B2925" t="s">
        <v>23</v>
      </c>
      <c r="C2925">
        <v>630</v>
      </c>
      <c r="D2925">
        <v>5</v>
      </c>
      <c r="E2925" t="s">
        <v>35</v>
      </c>
      <c r="F2925" t="s">
        <v>36</v>
      </c>
      <c r="G2925" t="str">
        <f>"2025-04-30 09:37:22.328"</f>
        <v>2025-04-30 09:37:22.328</v>
      </c>
      <c r="H2925" t="s">
        <v>37</v>
      </c>
    </row>
    <row r="2926" spans="1:10" x14ac:dyDescent="0.25">
      <c r="A2926" s="1">
        <v>969</v>
      </c>
      <c r="B2926" t="s">
        <v>19</v>
      </c>
      <c r="C2926">
        <v>706</v>
      </c>
      <c r="D2926">
        <v>2</v>
      </c>
      <c r="E2926" t="s">
        <v>28</v>
      </c>
      <c r="F2926" t="s">
        <v>39</v>
      </c>
      <c r="G2926" t="str">
        <f>"2025-04-30 09:36:52.219"</f>
        <v>2025-04-30 09:36:52.219</v>
      </c>
      <c r="H2926" t="s">
        <v>21</v>
      </c>
      <c r="I2926">
        <v>0</v>
      </c>
      <c r="J2926" t="s">
        <v>30</v>
      </c>
    </row>
    <row r="2927" spans="1:10" x14ac:dyDescent="0.25">
      <c r="A2927" s="1">
        <v>970</v>
      </c>
      <c r="B2927" t="s">
        <v>38</v>
      </c>
      <c r="C2927">
        <v>630</v>
      </c>
      <c r="D2927">
        <v>5</v>
      </c>
      <c r="E2927" t="s">
        <v>35</v>
      </c>
      <c r="F2927" t="s">
        <v>36</v>
      </c>
      <c r="G2927" t="str">
        <f>"2025-04-30 09:08:17.628"</f>
        <v>2025-04-30 09:08:17.628</v>
      </c>
      <c r="H2927" t="s">
        <v>37</v>
      </c>
      <c r="I2927">
        <v>0</v>
      </c>
      <c r="J2927" t="s">
        <v>30</v>
      </c>
    </row>
    <row r="2928" spans="1:10" x14ac:dyDescent="0.25">
      <c r="A2928" s="1">
        <v>971</v>
      </c>
      <c r="B2928" t="s">
        <v>23</v>
      </c>
      <c r="C2928">
        <v>630</v>
      </c>
      <c r="D2928">
        <v>5</v>
      </c>
      <c r="E2928" t="s">
        <v>35</v>
      </c>
      <c r="F2928" t="s">
        <v>36</v>
      </c>
      <c r="G2928" t="str">
        <f>"2025-04-29 14:40:53.828"</f>
        <v>2025-04-29 14:40:53.828</v>
      </c>
      <c r="H2928" t="s">
        <v>37</v>
      </c>
    </row>
    <row r="2929" spans="1:10" x14ac:dyDescent="0.25">
      <c r="A2929" s="1">
        <v>972</v>
      </c>
      <c r="B2929" t="s">
        <v>19</v>
      </c>
      <c r="C2929">
        <v>706</v>
      </c>
      <c r="D2929">
        <v>4</v>
      </c>
      <c r="E2929" t="s">
        <v>28</v>
      </c>
      <c r="F2929" t="s">
        <v>29</v>
      </c>
      <c r="G2929" t="str">
        <f>"2025-04-29 14:40:23.809"</f>
        <v>2025-04-29 14:40:23.809</v>
      </c>
      <c r="H2929" t="s">
        <v>21</v>
      </c>
      <c r="I2929">
        <v>0</v>
      </c>
      <c r="J2929" t="s">
        <v>30</v>
      </c>
    </row>
    <row r="2930" spans="1:10" x14ac:dyDescent="0.25">
      <c r="A2930" s="1">
        <v>973</v>
      </c>
      <c r="B2930" t="s">
        <v>19</v>
      </c>
      <c r="C2930">
        <v>706</v>
      </c>
      <c r="D2930">
        <v>2</v>
      </c>
      <c r="E2930" t="s">
        <v>28</v>
      </c>
      <c r="F2930" t="s">
        <v>39</v>
      </c>
      <c r="G2930" t="str">
        <f>"2025-04-29 14:40:07.919"</f>
        <v>2025-04-29 14:40:07.919</v>
      </c>
      <c r="H2930" t="s">
        <v>21</v>
      </c>
      <c r="I2930">
        <v>0</v>
      </c>
      <c r="J2930" t="s">
        <v>30</v>
      </c>
    </row>
    <row r="2931" spans="1:10" x14ac:dyDescent="0.25">
      <c r="A2931" s="1">
        <v>974</v>
      </c>
      <c r="B2931" t="s">
        <v>38</v>
      </c>
      <c r="C2931">
        <v>630</v>
      </c>
      <c r="D2931">
        <v>5</v>
      </c>
      <c r="E2931" t="s">
        <v>35</v>
      </c>
      <c r="F2931" t="s">
        <v>36</v>
      </c>
      <c r="G2931" t="str">
        <f>"2025-04-29 14:37:13.229"</f>
        <v>2025-04-29 14:37:13.229</v>
      </c>
      <c r="H2931" t="s">
        <v>37</v>
      </c>
      <c r="I2931">
        <v>0</v>
      </c>
      <c r="J2931" t="s">
        <v>30</v>
      </c>
    </row>
    <row r="2932" spans="1:10" x14ac:dyDescent="0.25">
      <c r="A2932" s="1">
        <v>975</v>
      </c>
      <c r="B2932" t="s">
        <v>19</v>
      </c>
      <c r="C2932">
        <v>700</v>
      </c>
      <c r="D2932">
        <v>0</v>
      </c>
      <c r="E2932" t="s">
        <v>20</v>
      </c>
      <c r="F2932" t="s">
        <v>20</v>
      </c>
      <c r="G2932" t="str">
        <f>"2025-04-29 14:32:10.449"</f>
        <v>2025-04-29 14:32:10.449</v>
      </c>
      <c r="H2932" t="s">
        <v>21</v>
      </c>
    </row>
    <row r="2933" spans="1:10" x14ac:dyDescent="0.25">
      <c r="A2933" s="1">
        <v>976</v>
      </c>
      <c r="B2933" t="s">
        <v>19</v>
      </c>
      <c r="C2933">
        <v>700</v>
      </c>
      <c r="D2933">
        <v>0</v>
      </c>
      <c r="E2933" t="s">
        <v>20</v>
      </c>
      <c r="F2933" t="s">
        <v>20</v>
      </c>
      <c r="G2933" t="str">
        <f>"2025-04-29 14:11:19.451"</f>
        <v>2025-04-29 14:11:19.451</v>
      </c>
      <c r="H2933" t="s">
        <v>21</v>
      </c>
      <c r="I2933">
        <v>0</v>
      </c>
      <c r="J2933" t="s">
        <v>22</v>
      </c>
    </row>
    <row r="2934" spans="1:10" x14ac:dyDescent="0.25">
      <c r="A2934" s="1">
        <v>977</v>
      </c>
      <c r="B2934" t="s">
        <v>19</v>
      </c>
      <c r="C2934">
        <v>700</v>
      </c>
      <c r="D2934">
        <v>0</v>
      </c>
      <c r="E2934" t="s">
        <v>20</v>
      </c>
      <c r="F2934" t="s">
        <v>20</v>
      </c>
      <c r="G2934" t="str">
        <f>"2025-04-29 12:37:06.453"</f>
        <v>2025-04-29 12:37:06.453</v>
      </c>
      <c r="H2934" t="s">
        <v>21</v>
      </c>
      <c r="I2934">
        <v>0</v>
      </c>
      <c r="J2934" t="s">
        <v>22</v>
      </c>
    </row>
    <row r="2935" spans="1:10" x14ac:dyDescent="0.25">
      <c r="A2935" s="1">
        <v>978</v>
      </c>
      <c r="B2935" t="s">
        <v>19</v>
      </c>
      <c r="C2935">
        <v>700</v>
      </c>
      <c r="D2935">
        <v>0</v>
      </c>
      <c r="E2935" t="s">
        <v>20</v>
      </c>
      <c r="F2935" t="s">
        <v>20</v>
      </c>
      <c r="G2935" t="str">
        <f>"2025-04-29 12:34:56.460"</f>
        <v>2025-04-29 12:34:56.460</v>
      </c>
      <c r="H2935" t="s">
        <v>21</v>
      </c>
      <c r="I2935">
        <v>0</v>
      </c>
      <c r="J2935" t="s">
        <v>22</v>
      </c>
    </row>
    <row r="2936" spans="1:10" x14ac:dyDescent="0.25">
      <c r="A2936" s="1">
        <v>979</v>
      </c>
      <c r="B2936" t="s">
        <v>38</v>
      </c>
      <c r="C2936">
        <v>630</v>
      </c>
      <c r="D2936">
        <v>5</v>
      </c>
      <c r="E2936" t="s">
        <v>35</v>
      </c>
      <c r="F2936" t="s">
        <v>36</v>
      </c>
      <c r="G2936" t="str">
        <f>"2025-04-29 12:19:37.457"</f>
        <v>2025-04-29 12:19:37.457</v>
      </c>
      <c r="H2936" t="s">
        <v>37</v>
      </c>
      <c r="I2936">
        <v>0</v>
      </c>
      <c r="J2936" t="s">
        <v>30</v>
      </c>
    </row>
    <row r="2937" spans="1:10" x14ac:dyDescent="0.25">
      <c r="A2937" s="1">
        <v>980</v>
      </c>
      <c r="B2937" t="s">
        <v>19</v>
      </c>
      <c r="C2937">
        <v>700</v>
      </c>
      <c r="D2937">
        <v>0</v>
      </c>
      <c r="E2937" t="s">
        <v>20</v>
      </c>
      <c r="F2937" t="s">
        <v>20</v>
      </c>
      <c r="G2937" t="str">
        <f>"2025-04-29 12:14:34.726"</f>
        <v>2025-04-29 12:14:34.726</v>
      </c>
      <c r="H2937" t="s">
        <v>21</v>
      </c>
    </row>
    <row r="2938" spans="1:10" x14ac:dyDescent="0.25">
      <c r="A2938" s="1">
        <v>981</v>
      </c>
      <c r="B2938" t="s">
        <v>23</v>
      </c>
      <c r="C2938">
        <v>635</v>
      </c>
      <c r="D2938">
        <v>1</v>
      </c>
      <c r="E2938" t="s">
        <v>31</v>
      </c>
      <c r="F2938" t="s">
        <v>32</v>
      </c>
      <c r="G2938" t="str">
        <f>"2025-04-28 11:46:57.430"</f>
        <v>2025-04-28 11:46:57.430</v>
      </c>
      <c r="H2938" t="s">
        <v>21</v>
      </c>
    </row>
    <row r="2939" spans="1:10" x14ac:dyDescent="0.25">
      <c r="A2939" s="1">
        <v>982</v>
      </c>
      <c r="B2939" t="s">
        <v>26</v>
      </c>
      <c r="C2939">
        <v>635</v>
      </c>
      <c r="D2939">
        <v>1</v>
      </c>
      <c r="E2939" t="s">
        <v>31</v>
      </c>
      <c r="F2939" t="s">
        <v>32</v>
      </c>
      <c r="G2939" t="str">
        <f>"2025-04-28 11:41:58.530"</f>
        <v>2025-04-28 11:41:58.530</v>
      </c>
      <c r="H2939" t="s">
        <v>21</v>
      </c>
      <c r="I2939">
        <v>2.33</v>
      </c>
      <c r="J2939" t="s">
        <v>27</v>
      </c>
    </row>
    <row r="2940" spans="1:10" x14ac:dyDescent="0.25">
      <c r="A2940" s="1">
        <v>983</v>
      </c>
      <c r="B2940" t="s">
        <v>23</v>
      </c>
      <c r="C2940">
        <v>98</v>
      </c>
      <c r="D2940">
        <v>1</v>
      </c>
      <c r="E2940" t="s">
        <v>65</v>
      </c>
      <c r="F2940" t="s">
        <v>66</v>
      </c>
      <c r="G2940" t="str">
        <f>"2025-04-28 03:45:19.783"</f>
        <v>2025-04-28 03:45:19.783</v>
      </c>
      <c r="H2940" t="s">
        <v>21</v>
      </c>
    </row>
    <row r="2941" spans="1:10" x14ac:dyDescent="0.25">
      <c r="A2941" s="1">
        <v>984</v>
      </c>
      <c r="B2941" t="s">
        <v>26</v>
      </c>
      <c r="C2941">
        <v>98</v>
      </c>
      <c r="D2941">
        <v>1</v>
      </c>
      <c r="E2941" t="s">
        <v>65</v>
      </c>
      <c r="F2941" t="s">
        <v>66</v>
      </c>
      <c r="G2941" t="str">
        <f>"2025-04-28 03:45:18.784"</f>
        <v>2025-04-28 03:45:18.784</v>
      </c>
      <c r="H2941" t="s">
        <v>21</v>
      </c>
      <c r="I2941">
        <v>0</v>
      </c>
      <c r="J2941" t="s">
        <v>34</v>
      </c>
    </row>
    <row r="2942" spans="1:10" x14ac:dyDescent="0.25">
      <c r="A2942" s="1">
        <v>985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"2025-04-28 00:43:39.572"</f>
        <v>2025-04-28 00:43:39.572</v>
      </c>
      <c r="H2942" t="s">
        <v>21</v>
      </c>
      <c r="I2942">
        <v>0</v>
      </c>
      <c r="J2942" t="s">
        <v>22</v>
      </c>
    </row>
    <row r="2943" spans="1:10" x14ac:dyDescent="0.25">
      <c r="A2943" s="1">
        <v>986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"2025-04-27 22:48:12.469"</f>
        <v>2025-04-27 22:48:12.469</v>
      </c>
      <c r="H2943" t="s">
        <v>21</v>
      </c>
      <c r="I2943">
        <v>0</v>
      </c>
      <c r="J2943" t="s">
        <v>22</v>
      </c>
    </row>
    <row r="2944" spans="1:10" x14ac:dyDescent="0.25">
      <c r="A2944" s="1">
        <v>987</v>
      </c>
      <c r="B2944" t="s">
        <v>23</v>
      </c>
      <c r="C2944">
        <v>635</v>
      </c>
      <c r="D2944">
        <v>1</v>
      </c>
      <c r="E2944" t="s">
        <v>31</v>
      </c>
      <c r="F2944" t="s">
        <v>32</v>
      </c>
      <c r="G2944" t="str">
        <f>"2025-04-27 07:07:52.895"</f>
        <v>2025-04-27 07:07:52.895</v>
      </c>
      <c r="H2944" t="s">
        <v>21</v>
      </c>
    </row>
    <row r="2945" spans="1:10" x14ac:dyDescent="0.25">
      <c r="A2945" s="1">
        <v>988</v>
      </c>
      <c r="B2945" t="s">
        <v>26</v>
      </c>
      <c r="C2945">
        <v>635</v>
      </c>
      <c r="D2945">
        <v>1</v>
      </c>
      <c r="E2945" t="s">
        <v>31</v>
      </c>
      <c r="F2945" t="s">
        <v>32</v>
      </c>
      <c r="G2945" t="str">
        <f>"2025-04-27 06:55:22.995"</f>
        <v>2025-04-27 06:55:22.995</v>
      </c>
      <c r="H2945" t="s">
        <v>21</v>
      </c>
      <c r="I2945">
        <v>4.9800000000000004</v>
      </c>
      <c r="J2945" t="s">
        <v>33</v>
      </c>
    </row>
    <row r="2946" spans="1:10" s="3" customFormat="1" x14ac:dyDescent="0.25">
      <c r="A2946" s="2">
        <v>989</v>
      </c>
      <c r="B2946" s="3" t="s">
        <v>23</v>
      </c>
      <c r="C2946" s="3">
        <v>647</v>
      </c>
      <c r="D2946" s="3">
        <v>1</v>
      </c>
      <c r="E2946" s="3" t="s">
        <v>24</v>
      </c>
      <c r="F2946" s="3" t="s">
        <v>25</v>
      </c>
      <c r="G2946" s="3" t="str">
        <f>"2025-04-26 16:43:43.543"</f>
        <v>2025-04-26 16:43:43.543</v>
      </c>
      <c r="H2946" s="3" t="s">
        <v>21</v>
      </c>
    </row>
    <row r="2947" spans="1:10" s="3" customFormat="1" x14ac:dyDescent="0.25">
      <c r="A2947" s="2">
        <v>990</v>
      </c>
      <c r="B2947" s="3" t="s">
        <v>26</v>
      </c>
      <c r="C2947" s="3">
        <v>647</v>
      </c>
      <c r="D2947" s="3">
        <v>1</v>
      </c>
      <c r="E2947" s="3" t="s">
        <v>24</v>
      </c>
      <c r="F2947" s="3" t="s">
        <v>25</v>
      </c>
      <c r="G2947" s="3" t="str">
        <f>"2025-04-26 16:43:39.544"</f>
        <v>2025-04-26 16:43:39.544</v>
      </c>
      <c r="H2947" s="3" t="s">
        <v>21</v>
      </c>
      <c r="I2947" s="3">
        <v>10.25</v>
      </c>
      <c r="J2947" s="3" t="s">
        <v>27</v>
      </c>
    </row>
    <row r="2948" spans="1:10" x14ac:dyDescent="0.25">
      <c r="A2948" s="1">
        <v>991</v>
      </c>
      <c r="B2948" t="s">
        <v>19</v>
      </c>
      <c r="C2948">
        <v>700</v>
      </c>
      <c r="D2948">
        <v>0</v>
      </c>
      <c r="E2948" t="s">
        <v>20</v>
      </c>
      <c r="F2948" t="s">
        <v>20</v>
      </c>
      <c r="G2948" t="str">
        <f>"2025-04-26 11:40:04.436"</f>
        <v>2025-04-26 11:40:04.436</v>
      </c>
      <c r="H2948" t="s">
        <v>21</v>
      </c>
      <c r="I2948">
        <v>0</v>
      </c>
      <c r="J2948" t="s">
        <v>22</v>
      </c>
    </row>
    <row r="2949" spans="1:10" x14ac:dyDescent="0.25">
      <c r="A2949" s="1">
        <v>992</v>
      </c>
      <c r="B2949" t="s">
        <v>23</v>
      </c>
      <c r="C2949">
        <v>635</v>
      </c>
      <c r="D2949">
        <v>1</v>
      </c>
      <c r="E2949" t="s">
        <v>31</v>
      </c>
      <c r="F2949" t="s">
        <v>32</v>
      </c>
      <c r="G2949" t="str">
        <f>"2025-04-26 08:02:07.608"</f>
        <v>2025-04-26 08:02:07.608</v>
      </c>
      <c r="H2949" t="s">
        <v>21</v>
      </c>
    </row>
    <row r="2950" spans="1:10" x14ac:dyDescent="0.25">
      <c r="A2950" s="1">
        <v>993</v>
      </c>
      <c r="B2950" t="s">
        <v>26</v>
      </c>
      <c r="C2950">
        <v>635</v>
      </c>
      <c r="D2950">
        <v>1</v>
      </c>
      <c r="E2950" t="s">
        <v>31</v>
      </c>
      <c r="F2950" t="s">
        <v>32</v>
      </c>
      <c r="G2950" t="str">
        <f>"2025-04-26 07:58:52.108"</f>
        <v>2025-04-26 07:58:52.108</v>
      </c>
      <c r="H2950" t="s">
        <v>21</v>
      </c>
      <c r="I2950">
        <v>0</v>
      </c>
      <c r="J2950" t="s">
        <v>34</v>
      </c>
    </row>
    <row r="2951" spans="1:10" s="3" customFormat="1" x14ac:dyDescent="0.25">
      <c r="A2951" s="2">
        <v>994</v>
      </c>
      <c r="B2951" s="3" t="s">
        <v>23</v>
      </c>
      <c r="C2951" s="3">
        <v>647</v>
      </c>
      <c r="D2951" s="3">
        <v>1</v>
      </c>
      <c r="E2951" s="3" t="s">
        <v>24</v>
      </c>
      <c r="F2951" s="3" t="s">
        <v>25</v>
      </c>
      <c r="G2951" s="3" t="str">
        <f>"2025-04-26 01:16:57.162"</f>
        <v>2025-04-26 01:16:57.162</v>
      </c>
      <c r="H2951" s="3" t="s">
        <v>21</v>
      </c>
    </row>
    <row r="2952" spans="1:10" s="3" customFormat="1" x14ac:dyDescent="0.25">
      <c r="A2952" s="2">
        <v>995</v>
      </c>
      <c r="B2952" s="3" t="s">
        <v>26</v>
      </c>
      <c r="C2952" s="3">
        <v>647</v>
      </c>
      <c r="D2952" s="3">
        <v>1</v>
      </c>
      <c r="E2952" s="3" t="s">
        <v>24</v>
      </c>
      <c r="F2952" s="3" t="s">
        <v>25</v>
      </c>
      <c r="G2952" s="3" t="str">
        <f>"2025-04-26 01:16:50.662"</f>
        <v>2025-04-26 01:16:50.662</v>
      </c>
      <c r="H2952" s="3" t="s">
        <v>21</v>
      </c>
      <c r="I2952" s="3">
        <v>9.58</v>
      </c>
      <c r="J2952" s="3" t="s">
        <v>34</v>
      </c>
    </row>
    <row r="2953" spans="1:10" x14ac:dyDescent="0.25">
      <c r="A2953" s="1">
        <v>996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"2025-04-25 10:15:12.450"</f>
        <v>2025-04-25 10:15:12.450</v>
      </c>
      <c r="H2953" t="s">
        <v>21</v>
      </c>
      <c r="I2953">
        <v>0</v>
      </c>
      <c r="J2953" t="s">
        <v>22</v>
      </c>
    </row>
    <row r="2954" spans="1:10" x14ac:dyDescent="0.25">
      <c r="A2954" s="1">
        <v>997</v>
      </c>
      <c r="B2954" t="s">
        <v>23</v>
      </c>
      <c r="C2954">
        <v>635</v>
      </c>
      <c r="D2954">
        <v>1</v>
      </c>
      <c r="E2954" t="s">
        <v>31</v>
      </c>
      <c r="F2954" t="s">
        <v>32</v>
      </c>
      <c r="G2954" t="str">
        <f>"2025-04-25 03:39:44.315"</f>
        <v>2025-04-25 03:39:44.315</v>
      </c>
      <c r="H2954" t="s">
        <v>21</v>
      </c>
    </row>
    <row r="2955" spans="1:10" x14ac:dyDescent="0.25">
      <c r="A2955" s="1">
        <v>998</v>
      </c>
      <c r="B2955" t="s">
        <v>26</v>
      </c>
      <c r="C2955">
        <v>635</v>
      </c>
      <c r="D2955">
        <v>1</v>
      </c>
      <c r="E2955" t="s">
        <v>31</v>
      </c>
      <c r="F2955" t="s">
        <v>32</v>
      </c>
      <c r="G2955" t="str">
        <f>"2025-04-25 03:28:57.315"</f>
        <v>2025-04-25 03:28:57.315</v>
      </c>
      <c r="H2955" t="s">
        <v>21</v>
      </c>
      <c r="I2955">
        <v>6.68</v>
      </c>
      <c r="J2955" t="s">
        <v>33</v>
      </c>
    </row>
    <row r="2956" spans="1:10" x14ac:dyDescent="0.25">
      <c r="A2956" s="1">
        <v>999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"2025-04-24 15:04:14.455"</f>
        <v>2025-04-24 15:04:14.455</v>
      </c>
      <c r="H2956" t="s">
        <v>21</v>
      </c>
      <c r="I2956">
        <v>0</v>
      </c>
      <c r="J2956" t="s">
        <v>22</v>
      </c>
    </row>
    <row r="2957" spans="1:10" x14ac:dyDescent="0.25">
      <c r="A2957" s="1">
        <v>0</v>
      </c>
      <c r="B2957" t="s">
        <v>23</v>
      </c>
      <c r="C2957">
        <v>630</v>
      </c>
      <c r="D2957">
        <v>5</v>
      </c>
      <c r="E2957" t="s">
        <v>35</v>
      </c>
      <c r="F2957" t="s">
        <v>36</v>
      </c>
      <c r="G2957" t="str">
        <f>"2025-04-23 13:54:35.206"</f>
        <v>2025-04-23 13:54:35.206</v>
      </c>
      <c r="H2957" t="s">
        <v>37</v>
      </c>
    </row>
    <row r="2958" spans="1:10" x14ac:dyDescent="0.25">
      <c r="A2958" s="1">
        <v>1</v>
      </c>
      <c r="B2958" t="s">
        <v>19</v>
      </c>
      <c r="C2958">
        <v>706</v>
      </c>
      <c r="D2958">
        <v>4</v>
      </c>
      <c r="E2958" t="s">
        <v>28</v>
      </c>
      <c r="F2958" t="s">
        <v>29</v>
      </c>
      <c r="G2958" t="str">
        <f>"2025-04-23 13:54:05.181"</f>
        <v>2025-04-23 13:54:05.181</v>
      </c>
      <c r="H2958" t="s">
        <v>21</v>
      </c>
      <c r="I2958">
        <v>0</v>
      </c>
      <c r="J2958" t="s">
        <v>30</v>
      </c>
    </row>
    <row r="2959" spans="1:10" x14ac:dyDescent="0.25">
      <c r="A2959" s="1">
        <v>2</v>
      </c>
      <c r="B2959" t="s">
        <v>38</v>
      </c>
      <c r="C2959">
        <v>630</v>
      </c>
      <c r="D2959">
        <v>5</v>
      </c>
      <c r="E2959" t="s">
        <v>35</v>
      </c>
      <c r="F2959" t="s">
        <v>36</v>
      </c>
      <c r="G2959" t="str">
        <f>"2025-04-23 13:53:23.606"</f>
        <v>2025-04-23 13:53:23.606</v>
      </c>
      <c r="H2959" t="s">
        <v>37</v>
      </c>
      <c r="I2959">
        <v>0</v>
      </c>
      <c r="J2959" t="s">
        <v>30</v>
      </c>
    </row>
    <row r="2960" spans="1:10" x14ac:dyDescent="0.25">
      <c r="A2960" s="1">
        <v>4</v>
      </c>
      <c r="B2960" t="s">
        <v>19</v>
      </c>
      <c r="C2960">
        <v>700</v>
      </c>
      <c r="D2960">
        <v>0</v>
      </c>
      <c r="E2960" t="s">
        <v>20</v>
      </c>
      <c r="F2960" t="s">
        <v>20</v>
      </c>
      <c r="G2960" t="str">
        <f>"2025-04-22 13:48:05.471"</f>
        <v>2025-04-22 13:48:05.471</v>
      </c>
      <c r="H2960" t="s">
        <v>21</v>
      </c>
    </row>
    <row r="2961" spans="1:10" x14ac:dyDescent="0.25">
      <c r="A2961" s="1">
        <v>5</v>
      </c>
      <c r="B2961" t="s">
        <v>19</v>
      </c>
      <c r="C2961">
        <v>700</v>
      </c>
      <c r="D2961">
        <v>0</v>
      </c>
      <c r="E2961" t="s">
        <v>20</v>
      </c>
      <c r="F2961" t="s">
        <v>20</v>
      </c>
      <c r="G2961" t="str">
        <f>"2025-04-22 08:52:58.461"</f>
        <v>2025-04-22 08:52:58.461</v>
      </c>
      <c r="H2961" t="s">
        <v>21</v>
      </c>
    </row>
    <row r="2962" spans="1:10" x14ac:dyDescent="0.25">
      <c r="A2962" s="1">
        <v>6</v>
      </c>
      <c r="B2962" t="s">
        <v>19</v>
      </c>
      <c r="C2962">
        <v>700</v>
      </c>
      <c r="D2962">
        <v>0</v>
      </c>
      <c r="E2962" t="s">
        <v>20</v>
      </c>
      <c r="F2962" t="s">
        <v>20</v>
      </c>
      <c r="G2962" t="str">
        <f>"2025-04-21 13:50:09.442"</f>
        <v>2025-04-21 13:50:09.442</v>
      </c>
      <c r="H2962" t="s">
        <v>21</v>
      </c>
      <c r="I2962">
        <v>0</v>
      </c>
      <c r="J2962" t="s">
        <v>22</v>
      </c>
    </row>
    <row r="2963" spans="1:10" x14ac:dyDescent="0.25">
      <c r="A2963" s="1">
        <v>7</v>
      </c>
      <c r="B2963" t="s">
        <v>44</v>
      </c>
      <c r="C2963">
        <v>33</v>
      </c>
      <c r="D2963">
        <v>1</v>
      </c>
      <c r="E2963" t="s">
        <v>45</v>
      </c>
      <c r="F2963" t="s">
        <v>46</v>
      </c>
      <c r="G2963" t="str">
        <f>"2025-04-21 09:45:52.744"</f>
        <v>2025-04-21 09:45:52.744</v>
      </c>
      <c r="H2963" t="s">
        <v>47</v>
      </c>
    </row>
    <row r="2964" spans="1:10" x14ac:dyDescent="0.25">
      <c r="A2964" s="1">
        <v>8</v>
      </c>
      <c r="B2964" t="s">
        <v>38</v>
      </c>
      <c r="C2964">
        <v>33</v>
      </c>
      <c r="D2964">
        <v>1</v>
      </c>
      <c r="E2964" t="s">
        <v>45</v>
      </c>
      <c r="F2964" t="s">
        <v>46</v>
      </c>
      <c r="G2964" t="str">
        <f>"2025-04-21 09:43:17.316"</f>
        <v>2025-04-21 09:43:17.316</v>
      </c>
      <c r="H2964" t="s">
        <v>47</v>
      </c>
      <c r="I2964">
        <v>8.3000000000000007</v>
      </c>
      <c r="J2964" t="s">
        <v>33</v>
      </c>
    </row>
    <row r="2965" spans="1:10" x14ac:dyDescent="0.25">
      <c r="A2965" s="1">
        <v>9</v>
      </c>
      <c r="B2965" t="s">
        <v>19</v>
      </c>
      <c r="C2965">
        <v>706</v>
      </c>
      <c r="D2965">
        <v>2</v>
      </c>
      <c r="E2965" t="s">
        <v>28</v>
      </c>
      <c r="F2965" t="s">
        <v>39</v>
      </c>
      <c r="G2965" t="str">
        <f>"2025-04-21 09:07:04.476"</f>
        <v>2025-04-21 09:07:04.476</v>
      </c>
      <c r="H2965" t="s">
        <v>21</v>
      </c>
      <c r="I2965">
        <v>0</v>
      </c>
      <c r="J2965" t="s">
        <v>30</v>
      </c>
    </row>
    <row r="2966" spans="1:10" x14ac:dyDescent="0.25">
      <c r="A2966" s="1">
        <v>10</v>
      </c>
      <c r="B2966" t="s">
        <v>19</v>
      </c>
      <c r="C2966">
        <v>700</v>
      </c>
      <c r="D2966">
        <v>0</v>
      </c>
      <c r="E2966" t="s">
        <v>20</v>
      </c>
      <c r="F2966" t="s">
        <v>20</v>
      </c>
      <c r="G2966" t="str">
        <f>"2025-04-21 09:06:41.466"</f>
        <v>2025-04-21 09:06:41.466</v>
      </c>
      <c r="H2966" t="s">
        <v>21</v>
      </c>
      <c r="I2966">
        <v>0</v>
      </c>
      <c r="J2966" t="s">
        <v>22</v>
      </c>
    </row>
    <row r="2967" spans="1:10" x14ac:dyDescent="0.25">
      <c r="A2967" s="1">
        <v>11</v>
      </c>
      <c r="B2967" t="s">
        <v>23</v>
      </c>
      <c r="C2967">
        <v>635</v>
      </c>
      <c r="D2967">
        <v>1</v>
      </c>
      <c r="E2967" t="s">
        <v>31</v>
      </c>
      <c r="F2967" t="s">
        <v>32</v>
      </c>
      <c r="G2967" t="str">
        <f>"2025-04-21 00:36:33.075"</f>
        <v>2025-04-21 00:36:33.075</v>
      </c>
      <c r="H2967" t="s">
        <v>21</v>
      </c>
    </row>
    <row r="2968" spans="1:10" x14ac:dyDescent="0.25">
      <c r="A2968" s="1">
        <v>12</v>
      </c>
      <c r="B2968" t="s">
        <v>26</v>
      </c>
      <c r="C2968">
        <v>635</v>
      </c>
      <c r="D2968">
        <v>1</v>
      </c>
      <c r="E2968" t="s">
        <v>31</v>
      </c>
      <c r="F2968" t="s">
        <v>32</v>
      </c>
      <c r="G2968" t="str">
        <f>"2025-04-21 00:32:37.175"</f>
        <v>2025-04-21 00:32:37.175</v>
      </c>
      <c r="H2968" t="s">
        <v>21</v>
      </c>
      <c r="I2968">
        <v>8.1999999999999993</v>
      </c>
      <c r="J2968" t="s">
        <v>33</v>
      </c>
    </row>
    <row r="2969" spans="1:10" s="3" customFormat="1" x14ac:dyDescent="0.25">
      <c r="A2969" s="2">
        <v>13</v>
      </c>
      <c r="B2969" s="3" t="s">
        <v>23</v>
      </c>
      <c r="C2969" s="3">
        <v>647</v>
      </c>
      <c r="D2969" s="3">
        <v>1</v>
      </c>
      <c r="E2969" s="3" t="s">
        <v>24</v>
      </c>
      <c r="F2969" s="3" t="s">
        <v>25</v>
      </c>
      <c r="G2969" s="3" t="str">
        <f>"2025-04-21 00:05:49.776"</f>
        <v>2025-04-21 00:05:49.776</v>
      </c>
      <c r="H2969" s="3" t="s">
        <v>21</v>
      </c>
    </row>
    <row r="2970" spans="1:10" s="3" customFormat="1" x14ac:dyDescent="0.25">
      <c r="A2970" s="2">
        <v>14</v>
      </c>
      <c r="B2970" s="3" t="s">
        <v>26</v>
      </c>
      <c r="C2970" s="3">
        <v>647</v>
      </c>
      <c r="D2970" s="3">
        <v>1</v>
      </c>
      <c r="E2970" s="3" t="s">
        <v>24</v>
      </c>
      <c r="F2970" s="3" t="s">
        <v>25</v>
      </c>
      <c r="G2970" s="3" t="str">
        <f>"2025-04-21 00:05:47.876"</f>
        <v>2025-04-21 00:05:47.876</v>
      </c>
      <c r="H2970" s="3" t="s">
        <v>21</v>
      </c>
      <c r="I2970" s="3">
        <v>8.39</v>
      </c>
      <c r="J2970" s="3" t="s">
        <v>27</v>
      </c>
    </row>
    <row r="2971" spans="1:10" x14ac:dyDescent="0.25">
      <c r="A2971" s="1">
        <v>15</v>
      </c>
      <c r="B2971" t="s">
        <v>19</v>
      </c>
      <c r="C2971">
        <v>700</v>
      </c>
      <c r="D2971">
        <v>0</v>
      </c>
      <c r="E2971" t="s">
        <v>20</v>
      </c>
      <c r="F2971" t="s">
        <v>20</v>
      </c>
      <c r="G2971" t="str">
        <f>"2025-04-20 22:05:08.434"</f>
        <v>2025-04-20 22:05:08.434</v>
      </c>
      <c r="H2971" t="s">
        <v>21</v>
      </c>
    </row>
    <row r="2972" spans="1:10" x14ac:dyDescent="0.25">
      <c r="A2972" s="1">
        <v>16</v>
      </c>
      <c r="B2972" t="s">
        <v>44</v>
      </c>
      <c r="C2972">
        <v>33</v>
      </c>
      <c r="D2972">
        <v>1</v>
      </c>
      <c r="E2972" t="s">
        <v>45</v>
      </c>
      <c r="F2972" t="s">
        <v>46</v>
      </c>
      <c r="G2972" t="str">
        <f>"2025-04-20 20:05:30.747"</f>
        <v>2025-04-20 20:05:30.747</v>
      </c>
      <c r="H2972" t="s">
        <v>47</v>
      </c>
    </row>
    <row r="2973" spans="1:10" x14ac:dyDescent="0.25">
      <c r="A2973" s="1">
        <v>17</v>
      </c>
      <c r="B2973" t="s">
        <v>38</v>
      </c>
      <c r="C2973">
        <v>33</v>
      </c>
      <c r="D2973">
        <v>1</v>
      </c>
      <c r="E2973" t="s">
        <v>45</v>
      </c>
      <c r="F2973" t="s">
        <v>46</v>
      </c>
      <c r="G2973" t="str">
        <f>"2025-04-20 19:54:51.379"</f>
        <v>2025-04-20 19:54:51.379</v>
      </c>
      <c r="H2973" t="s">
        <v>47</v>
      </c>
      <c r="I2973">
        <v>9.9499999999999993</v>
      </c>
      <c r="J2973" t="s">
        <v>33</v>
      </c>
    </row>
    <row r="2974" spans="1:10" s="3" customFormat="1" x14ac:dyDescent="0.25">
      <c r="A2974" s="2">
        <v>18</v>
      </c>
      <c r="B2974" s="3" t="s">
        <v>23</v>
      </c>
      <c r="C2974" s="3">
        <v>647</v>
      </c>
      <c r="D2974" s="3">
        <v>1</v>
      </c>
      <c r="E2974" s="3" t="s">
        <v>24</v>
      </c>
      <c r="F2974" s="3" t="s">
        <v>25</v>
      </c>
      <c r="G2974" s="3" t="str">
        <f>"2025-04-20 19:54:20.147"</f>
        <v>2025-04-20 19:54:20.147</v>
      </c>
      <c r="H2974" s="3" t="s">
        <v>21</v>
      </c>
    </row>
    <row r="2975" spans="1:10" s="3" customFormat="1" x14ac:dyDescent="0.25">
      <c r="A2975" s="2">
        <v>19</v>
      </c>
      <c r="B2975" s="3" t="s">
        <v>26</v>
      </c>
      <c r="C2975" s="3">
        <v>647</v>
      </c>
      <c r="D2975" s="3">
        <v>1</v>
      </c>
      <c r="E2975" s="3" t="s">
        <v>24</v>
      </c>
      <c r="F2975" s="3" t="s">
        <v>25</v>
      </c>
      <c r="G2975" s="3" t="str">
        <f>"2025-04-20 19:54:16.248"</f>
        <v>2025-04-20 19:54:16.248</v>
      </c>
      <c r="H2975" s="3" t="s">
        <v>21</v>
      </c>
      <c r="I2975" s="3">
        <v>12.91</v>
      </c>
      <c r="J2975" s="3" t="s">
        <v>27</v>
      </c>
    </row>
    <row r="2976" spans="1:10" x14ac:dyDescent="0.25">
      <c r="A2976" s="1">
        <v>20</v>
      </c>
      <c r="B2976" t="s">
        <v>19</v>
      </c>
      <c r="C2976">
        <v>706</v>
      </c>
      <c r="D2976">
        <v>4</v>
      </c>
      <c r="E2976" t="s">
        <v>28</v>
      </c>
      <c r="F2976" t="s">
        <v>29</v>
      </c>
      <c r="G2976" t="str">
        <f>"2025-04-20 16:27:15.849"</f>
        <v>2025-04-20 16:27:15.849</v>
      </c>
      <c r="H2976" t="s">
        <v>21</v>
      </c>
      <c r="I2976">
        <v>0</v>
      </c>
      <c r="J2976" t="s">
        <v>30</v>
      </c>
    </row>
    <row r="2977" spans="1:10" x14ac:dyDescent="0.25">
      <c r="A2977" s="1">
        <v>21</v>
      </c>
      <c r="B2977" t="s">
        <v>19</v>
      </c>
      <c r="C2977">
        <v>700</v>
      </c>
      <c r="D2977">
        <v>0</v>
      </c>
      <c r="E2977" t="s">
        <v>20</v>
      </c>
      <c r="F2977" t="s">
        <v>20</v>
      </c>
      <c r="G2977" t="str">
        <f>"2025-04-20 16:26:57.419"</f>
        <v>2025-04-20 16:26:57.419</v>
      </c>
      <c r="H2977" t="s">
        <v>21</v>
      </c>
    </row>
    <row r="2978" spans="1:10" x14ac:dyDescent="0.25">
      <c r="A2978" s="1">
        <v>22</v>
      </c>
      <c r="B2978" t="s">
        <v>19</v>
      </c>
      <c r="C2978">
        <v>706</v>
      </c>
      <c r="D2978">
        <v>4</v>
      </c>
      <c r="E2978" t="s">
        <v>28</v>
      </c>
      <c r="F2978" t="s">
        <v>29</v>
      </c>
      <c r="G2978" t="str">
        <f>"2025-04-20 10:48:08.444"</f>
        <v>2025-04-20 10:48:08.444</v>
      </c>
      <c r="H2978" t="s">
        <v>21</v>
      </c>
      <c r="I2978">
        <v>0</v>
      </c>
      <c r="J2978" t="s">
        <v>30</v>
      </c>
    </row>
    <row r="2979" spans="1:10" x14ac:dyDescent="0.25">
      <c r="A2979" s="1">
        <v>23</v>
      </c>
      <c r="B2979" t="s">
        <v>19</v>
      </c>
      <c r="C2979">
        <v>700</v>
      </c>
      <c r="D2979">
        <v>0</v>
      </c>
      <c r="E2979" t="s">
        <v>20</v>
      </c>
      <c r="F2979" t="s">
        <v>20</v>
      </c>
      <c r="G2979" t="str">
        <f>"2025-04-20 10:47:53.424"</f>
        <v>2025-04-20 10:47:53.424</v>
      </c>
      <c r="H2979" t="s">
        <v>21</v>
      </c>
      <c r="I2979">
        <v>0</v>
      </c>
      <c r="J2979" t="s">
        <v>22</v>
      </c>
    </row>
    <row r="2980" spans="1:10" x14ac:dyDescent="0.25">
      <c r="A2980" s="1">
        <v>24</v>
      </c>
      <c r="B2980" t="s">
        <v>44</v>
      </c>
      <c r="C2980">
        <v>89</v>
      </c>
      <c r="D2980">
        <v>3</v>
      </c>
      <c r="E2980" t="s">
        <v>63</v>
      </c>
      <c r="F2980" t="s">
        <v>64</v>
      </c>
      <c r="G2980" t="str">
        <f>"2025-04-18 20:48:02.300"</f>
        <v>2025-04-18 20:48:02.300</v>
      </c>
      <c r="H2980" t="s">
        <v>21</v>
      </c>
    </row>
    <row r="2981" spans="1:10" x14ac:dyDescent="0.25">
      <c r="A2981" s="1">
        <v>25</v>
      </c>
      <c r="B2981" t="s">
        <v>38</v>
      </c>
      <c r="C2981">
        <v>89</v>
      </c>
      <c r="D2981">
        <v>3</v>
      </c>
      <c r="E2981" t="s">
        <v>63</v>
      </c>
      <c r="F2981" t="s">
        <v>64</v>
      </c>
      <c r="G2981" t="str">
        <f>"2025-04-18 20:46:45.091"</f>
        <v>2025-04-18 20:46:45.091</v>
      </c>
      <c r="H2981" t="s">
        <v>21</v>
      </c>
      <c r="I2981">
        <v>0</v>
      </c>
      <c r="J2981" t="s">
        <v>34</v>
      </c>
    </row>
    <row r="2982" spans="1:10" x14ac:dyDescent="0.25">
      <c r="A2982" s="1">
        <v>26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"2025-04-18 20:45:51.462"</f>
        <v>2025-04-18 20:45:51.462</v>
      </c>
      <c r="H2982" t="s">
        <v>21</v>
      </c>
    </row>
    <row r="2983" spans="1:10" x14ac:dyDescent="0.25">
      <c r="A2983" s="1">
        <v>27</v>
      </c>
      <c r="B2983" t="s">
        <v>23</v>
      </c>
      <c r="C2983">
        <v>635</v>
      </c>
      <c r="D2983">
        <v>1</v>
      </c>
      <c r="E2983" t="s">
        <v>31</v>
      </c>
      <c r="F2983" t="s">
        <v>32</v>
      </c>
      <c r="G2983" t="str">
        <f>"2025-04-17 09:41:17.532"</f>
        <v>2025-04-17 09:41:17.532</v>
      </c>
      <c r="H2983" t="s">
        <v>21</v>
      </c>
    </row>
    <row r="2984" spans="1:10" x14ac:dyDescent="0.25">
      <c r="A2984" s="1">
        <v>28</v>
      </c>
      <c r="B2984" t="s">
        <v>26</v>
      </c>
      <c r="C2984">
        <v>635</v>
      </c>
      <c r="D2984">
        <v>1</v>
      </c>
      <c r="E2984" t="s">
        <v>31</v>
      </c>
      <c r="F2984" t="s">
        <v>32</v>
      </c>
      <c r="G2984" t="str">
        <f>"2025-04-17 09:36:28.532"</f>
        <v>2025-04-17 09:36:28.532</v>
      </c>
      <c r="H2984" t="s">
        <v>21</v>
      </c>
      <c r="I2984">
        <v>8.84</v>
      </c>
      <c r="J2984" t="s">
        <v>27</v>
      </c>
    </row>
    <row r="2985" spans="1:10" x14ac:dyDescent="0.25">
      <c r="A2985" s="1">
        <v>29</v>
      </c>
      <c r="B2985" t="s">
        <v>23</v>
      </c>
      <c r="C2985">
        <v>635</v>
      </c>
      <c r="D2985">
        <v>1</v>
      </c>
      <c r="E2985" t="s">
        <v>31</v>
      </c>
      <c r="F2985" t="s">
        <v>32</v>
      </c>
      <c r="G2985" t="str">
        <f>"2025-04-16 16:03:26.332"</f>
        <v>2025-04-16 16:03:26.332</v>
      </c>
      <c r="H2985" t="s">
        <v>21</v>
      </c>
    </row>
    <row r="2986" spans="1:10" x14ac:dyDescent="0.25">
      <c r="A2986" s="1">
        <v>30</v>
      </c>
      <c r="B2986" t="s">
        <v>26</v>
      </c>
      <c r="C2986">
        <v>635</v>
      </c>
      <c r="D2986">
        <v>1</v>
      </c>
      <c r="E2986" t="s">
        <v>31</v>
      </c>
      <c r="F2986" t="s">
        <v>32</v>
      </c>
      <c r="G2986" t="str">
        <f>"2025-04-16 16:01:20.331"</f>
        <v>2025-04-16 16:01:20.331</v>
      </c>
      <c r="H2986" t="s">
        <v>21</v>
      </c>
      <c r="I2986">
        <v>-0.34</v>
      </c>
      <c r="J2986" t="s">
        <v>33</v>
      </c>
    </row>
    <row r="2987" spans="1:10" x14ac:dyDescent="0.25">
      <c r="A2987" s="1">
        <v>31</v>
      </c>
      <c r="B2987" t="s">
        <v>23</v>
      </c>
      <c r="C2987">
        <v>98</v>
      </c>
      <c r="D2987">
        <v>1</v>
      </c>
      <c r="E2987" t="s">
        <v>65</v>
      </c>
      <c r="F2987" t="s">
        <v>66</v>
      </c>
      <c r="G2987" t="str">
        <f>"2025-04-16 11:31:03.992"</f>
        <v>2025-04-16 11:31:03.992</v>
      </c>
      <c r="H2987" t="s">
        <v>21</v>
      </c>
    </row>
    <row r="2988" spans="1:10" x14ac:dyDescent="0.25">
      <c r="A2988" s="1">
        <v>32</v>
      </c>
      <c r="B2988" t="s">
        <v>26</v>
      </c>
      <c r="C2988">
        <v>98</v>
      </c>
      <c r="D2988">
        <v>1</v>
      </c>
      <c r="E2988" t="s">
        <v>65</v>
      </c>
      <c r="F2988" t="s">
        <v>66</v>
      </c>
      <c r="G2988" t="str">
        <f>"2025-04-16 11:31:02.993"</f>
        <v>2025-04-16 11:31:02.993</v>
      </c>
      <c r="H2988" t="s">
        <v>21</v>
      </c>
      <c r="I2988">
        <v>0</v>
      </c>
      <c r="J2988" t="s">
        <v>34</v>
      </c>
    </row>
    <row r="2989" spans="1:10" x14ac:dyDescent="0.25">
      <c r="A2989" s="1">
        <v>33</v>
      </c>
      <c r="B2989" t="s">
        <v>19</v>
      </c>
      <c r="C2989">
        <v>700</v>
      </c>
      <c r="D2989">
        <v>0</v>
      </c>
      <c r="E2989" t="s">
        <v>20</v>
      </c>
      <c r="F2989" t="s">
        <v>20</v>
      </c>
      <c r="G2989" t="str">
        <f>"2025-04-16 11:01:24.432"</f>
        <v>2025-04-16 11:01:24.432</v>
      </c>
      <c r="H2989" t="s">
        <v>21</v>
      </c>
    </row>
    <row r="2990" spans="1:10" x14ac:dyDescent="0.25">
      <c r="A2990" s="1">
        <v>34</v>
      </c>
      <c r="B2990" t="s">
        <v>23</v>
      </c>
      <c r="C2990">
        <v>630</v>
      </c>
      <c r="D2990">
        <v>5</v>
      </c>
      <c r="E2990" t="s">
        <v>35</v>
      </c>
      <c r="F2990" t="s">
        <v>36</v>
      </c>
      <c r="G2990" t="str">
        <f>"2025-04-16 10:33:29.568"</f>
        <v>2025-04-16 10:33:29.568</v>
      </c>
      <c r="H2990" t="s">
        <v>37</v>
      </c>
    </row>
    <row r="2991" spans="1:10" x14ac:dyDescent="0.25">
      <c r="A2991" s="1">
        <v>35</v>
      </c>
      <c r="B2991" t="s">
        <v>19</v>
      </c>
      <c r="C2991">
        <v>706</v>
      </c>
      <c r="D2991">
        <v>4</v>
      </c>
      <c r="E2991" t="s">
        <v>28</v>
      </c>
      <c r="F2991" t="s">
        <v>29</v>
      </c>
      <c r="G2991" t="str">
        <f>"2025-04-16 10:32:59.506"</f>
        <v>2025-04-16 10:32:59.506</v>
      </c>
      <c r="H2991" t="s">
        <v>21</v>
      </c>
      <c r="I2991">
        <v>0</v>
      </c>
      <c r="J2991" t="s">
        <v>30</v>
      </c>
    </row>
    <row r="2992" spans="1:10" x14ac:dyDescent="0.25">
      <c r="A2992" s="1">
        <v>36</v>
      </c>
      <c r="B2992" t="s">
        <v>38</v>
      </c>
      <c r="C2992">
        <v>630</v>
      </c>
      <c r="D2992">
        <v>5</v>
      </c>
      <c r="E2992" t="s">
        <v>35</v>
      </c>
      <c r="F2992" t="s">
        <v>36</v>
      </c>
      <c r="G2992" t="str">
        <f>"2025-04-16 09:36:35.168"</f>
        <v>2025-04-16 09:36:35.168</v>
      </c>
      <c r="H2992" t="s">
        <v>37</v>
      </c>
      <c r="I2992">
        <v>0</v>
      </c>
      <c r="J2992" t="s">
        <v>30</v>
      </c>
    </row>
    <row r="2993" spans="1:10" x14ac:dyDescent="0.25">
      <c r="A2993" s="1">
        <v>37</v>
      </c>
      <c r="B2993" t="s">
        <v>19</v>
      </c>
      <c r="C2993">
        <v>700</v>
      </c>
      <c r="D2993">
        <v>0</v>
      </c>
      <c r="E2993" t="s">
        <v>20</v>
      </c>
      <c r="F2993" t="s">
        <v>20</v>
      </c>
      <c r="G2993" t="str">
        <f>"2025-04-16 09:31:32.426"</f>
        <v>2025-04-16 09:31:32.426</v>
      </c>
      <c r="H2993" t="s">
        <v>21</v>
      </c>
    </row>
    <row r="2994" spans="1:10" x14ac:dyDescent="0.25">
      <c r="A2994" s="1">
        <v>38</v>
      </c>
      <c r="B2994" t="s">
        <v>19</v>
      </c>
      <c r="C2994">
        <v>700</v>
      </c>
      <c r="D2994">
        <v>0</v>
      </c>
      <c r="E2994" t="s">
        <v>20</v>
      </c>
      <c r="F2994" t="s">
        <v>20</v>
      </c>
      <c r="G2994" t="str">
        <f>"2025-04-16 09:24:22.440"</f>
        <v>2025-04-16 09:24:22.440</v>
      </c>
      <c r="H2994" t="s">
        <v>21</v>
      </c>
      <c r="I2994">
        <v>0</v>
      </c>
      <c r="J2994" t="s">
        <v>22</v>
      </c>
    </row>
    <row r="2995" spans="1:10" x14ac:dyDescent="0.25">
      <c r="A2995" s="1">
        <v>39</v>
      </c>
      <c r="B2995" t="s">
        <v>19</v>
      </c>
      <c r="C2995">
        <v>700</v>
      </c>
      <c r="D2995">
        <v>0</v>
      </c>
      <c r="E2995" t="s">
        <v>20</v>
      </c>
      <c r="F2995" t="s">
        <v>20</v>
      </c>
      <c r="G2995" t="str">
        <f>"2025-04-16 08:23:47.429"</f>
        <v>2025-04-16 08:23:47.429</v>
      </c>
      <c r="H2995" t="s">
        <v>21</v>
      </c>
      <c r="I2995">
        <v>0</v>
      </c>
      <c r="J2995" t="s">
        <v>22</v>
      </c>
    </row>
    <row r="2996" spans="1:10" x14ac:dyDescent="0.25">
      <c r="A2996" s="1">
        <v>40</v>
      </c>
      <c r="B2996" t="s">
        <v>19</v>
      </c>
      <c r="C2996">
        <v>700</v>
      </c>
      <c r="D2996">
        <v>0</v>
      </c>
      <c r="E2996" t="s">
        <v>20</v>
      </c>
      <c r="F2996" t="s">
        <v>20</v>
      </c>
      <c r="G2996" t="str">
        <f>"2025-04-16 07:50:14.438"</f>
        <v>2025-04-16 07:50:14.438</v>
      </c>
      <c r="H2996" t="s">
        <v>21</v>
      </c>
    </row>
    <row r="2997" spans="1:10" x14ac:dyDescent="0.25">
      <c r="A2997" s="1">
        <v>41</v>
      </c>
      <c r="B2997" t="s">
        <v>19</v>
      </c>
      <c r="C2997">
        <v>700</v>
      </c>
      <c r="D2997">
        <v>0</v>
      </c>
      <c r="E2997" t="s">
        <v>20</v>
      </c>
      <c r="F2997" t="s">
        <v>20</v>
      </c>
      <c r="G2997" t="str">
        <f>"2025-04-14 19:54:58.421"</f>
        <v>2025-04-14 19:54:58.421</v>
      </c>
      <c r="H2997" t="s">
        <v>21</v>
      </c>
      <c r="I2997">
        <v>0</v>
      </c>
      <c r="J2997" t="s">
        <v>22</v>
      </c>
    </row>
    <row r="2998" spans="1:10" x14ac:dyDescent="0.25">
      <c r="A2998" s="1">
        <v>42</v>
      </c>
      <c r="B2998" t="s">
        <v>19</v>
      </c>
      <c r="C2998">
        <v>700</v>
      </c>
      <c r="D2998">
        <v>0</v>
      </c>
      <c r="E2998" t="s">
        <v>20</v>
      </c>
      <c r="F2998" t="s">
        <v>20</v>
      </c>
      <c r="G2998" t="str">
        <f>"2025-04-14 01:58:24.421"</f>
        <v>2025-04-14 01:58:24.421</v>
      </c>
      <c r="H2998" t="s">
        <v>21</v>
      </c>
      <c r="I2998">
        <v>0</v>
      </c>
      <c r="J2998" t="s">
        <v>22</v>
      </c>
    </row>
    <row r="2999" spans="1:10" x14ac:dyDescent="0.25">
      <c r="A2999" s="1">
        <v>43</v>
      </c>
      <c r="B2999" t="s">
        <v>23</v>
      </c>
      <c r="C2999">
        <v>630</v>
      </c>
      <c r="D2999">
        <v>5</v>
      </c>
      <c r="E2999" t="s">
        <v>35</v>
      </c>
      <c r="F2999" t="s">
        <v>36</v>
      </c>
      <c r="G2999" t="str">
        <f>"2025-04-13 16:11:15.900"</f>
        <v>2025-04-13 16:11:15.900</v>
      </c>
      <c r="H2999" t="s">
        <v>37</v>
      </c>
    </row>
    <row r="3000" spans="1:10" x14ac:dyDescent="0.25">
      <c r="A3000" s="1">
        <v>44</v>
      </c>
      <c r="B3000" t="s">
        <v>19</v>
      </c>
      <c r="C3000">
        <v>706</v>
      </c>
      <c r="D3000">
        <v>4</v>
      </c>
      <c r="E3000" t="s">
        <v>28</v>
      </c>
      <c r="F3000" t="s">
        <v>29</v>
      </c>
      <c r="G3000" t="str">
        <f>"2025-04-13 16:10:45.739"</f>
        <v>2025-04-13 16:10:45.739</v>
      </c>
      <c r="H3000" t="s">
        <v>21</v>
      </c>
      <c r="I3000">
        <v>0</v>
      </c>
      <c r="J3000" t="s">
        <v>30</v>
      </c>
    </row>
    <row r="3001" spans="1:10" x14ac:dyDescent="0.25">
      <c r="A3001" s="1">
        <v>45</v>
      </c>
      <c r="B3001" t="s">
        <v>38</v>
      </c>
      <c r="C3001">
        <v>630</v>
      </c>
      <c r="D3001">
        <v>5</v>
      </c>
      <c r="E3001" t="s">
        <v>35</v>
      </c>
      <c r="F3001" t="s">
        <v>36</v>
      </c>
      <c r="G3001" t="str">
        <f>"2025-04-13 16:08:01.799"</f>
        <v>2025-04-13 16:08:01.799</v>
      </c>
      <c r="H3001" t="s">
        <v>37</v>
      </c>
      <c r="I3001">
        <v>0</v>
      </c>
      <c r="J3001" t="s">
        <v>30</v>
      </c>
    </row>
    <row r="3002" spans="1:10" x14ac:dyDescent="0.25">
      <c r="A3002" s="1">
        <v>46</v>
      </c>
      <c r="B3002" t="s">
        <v>19</v>
      </c>
      <c r="C3002">
        <v>700</v>
      </c>
      <c r="D3002">
        <v>0</v>
      </c>
      <c r="E3002" t="s">
        <v>20</v>
      </c>
      <c r="F3002" t="s">
        <v>20</v>
      </c>
      <c r="G3002" t="str">
        <f>"2025-04-11 14:24:49.449"</f>
        <v>2025-04-11 14:24:49.449</v>
      </c>
      <c r="H3002" t="s">
        <v>21</v>
      </c>
    </row>
    <row r="3003" spans="1:10" x14ac:dyDescent="0.25">
      <c r="A3003" s="1">
        <v>47</v>
      </c>
      <c r="B3003" t="s">
        <v>23</v>
      </c>
      <c r="C3003">
        <v>635</v>
      </c>
      <c r="D3003">
        <v>1</v>
      </c>
      <c r="E3003" t="s">
        <v>31</v>
      </c>
      <c r="F3003" t="s">
        <v>32</v>
      </c>
      <c r="G3003" t="str">
        <f>"2025-04-11 12:20:35.159"</f>
        <v>2025-04-11 12:20:35.159</v>
      </c>
      <c r="H3003" t="s">
        <v>21</v>
      </c>
    </row>
    <row r="3004" spans="1:10" x14ac:dyDescent="0.25">
      <c r="A3004" s="1">
        <v>48</v>
      </c>
      <c r="B3004" t="s">
        <v>26</v>
      </c>
      <c r="C3004">
        <v>635</v>
      </c>
      <c r="D3004">
        <v>1</v>
      </c>
      <c r="E3004" t="s">
        <v>31</v>
      </c>
      <c r="F3004" t="s">
        <v>32</v>
      </c>
      <c r="G3004" t="str">
        <f>"2025-04-11 12:08:12.159"</f>
        <v>2025-04-11 12:08:12.159</v>
      </c>
      <c r="H3004" t="s">
        <v>21</v>
      </c>
      <c r="I3004">
        <v>4.95</v>
      </c>
      <c r="J3004" t="s">
        <v>33</v>
      </c>
    </row>
    <row r="3005" spans="1:10" x14ac:dyDescent="0.25">
      <c r="A3005" s="1">
        <v>49</v>
      </c>
      <c r="B3005" t="s">
        <v>23</v>
      </c>
      <c r="C3005">
        <v>635</v>
      </c>
      <c r="D3005">
        <v>1</v>
      </c>
      <c r="E3005" t="s">
        <v>31</v>
      </c>
      <c r="F3005" t="s">
        <v>32</v>
      </c>
      <c r="G3005" t="str">
        <f>"2025-04-10 18:13:56.459"</f>
        <v>2025-04-10 18:13:56.459</v>
      </c>
      <c r="H3005" t="s">
        <v>21</v>
      </c>
    </row>
    <row r="3006" spans="1:10" x14ac:dyDescent="0.25">
      <c r="A3006" s="1">
        <v>50</v>
      </c>
      <c r="B3006" t="s">
        <v>26</v>
      </c>
      <c r="C3006">
        <v>635</v>
      </c>
      <c r="D3006">
        <v>1</v>
      </c>
      <c r="E3006" t="s">
        <v>31</v>
      </c>
      <c r="F3006" t="s">
        <v>32</v>
      </c>
      <c r="G3006" t="str">
        <f>"2025-04-10 18:09:11.459"</f>
        <v>2025-04-10 18:09:11.459</v>
      </c>
      <c r="H3006" t="s">
        <v>21</v>
      </c>
      <c r="I3006">
        <v>7.69</v>
      </c>
      <c r="J3006" t="s">
        <v>33</v>
      </c>
    </row>
    <row r="3007" spans="1:10" x14ac:dyDescent="0.25">
      <c r="A3007" s="1">
        <v>51</v>
      </c>
      <c r="B3007" t="s">
        <v>19</v>
      </c>
      <c r="C3007">
        <v>700</v>
      </c>
      <c r="D3007">
        <v>0</v>
      </c>
      <c r="E3007" t="s">
        <v>20</v>
      </c>
      <c r="F3007" t="s">
        <v>20</v>
      </c>
      <c r="G3007" t="str">
        <f>"2025-04-10 14:37:01.431"</f>
        <v>2025-04-10 14:37:01.431</v>
      </c>
      <c r="H3007" t="s">
        <v>21</v>
      </c>
      <c r="I3007">
        <v>0</v>
      </c>
      <c r="J3007" t="s">
        <v>22</v>
      </c>
    </row>
    <row r="3008" spans="1:10" x14ac:dyDescent="0.25">
      <c r="A3008" s="1">
        <v>52</v>
      </c>
      <c r="B3008" t="s">
        <v>23</v>
      </c>
      <c r="C3008">
        <v>630</v>
      </c>
      <c r="D3008">
        <v>5</v>
      </c>
      <c r="E3008" t="s">
        <v>35</v>
      </c>
      <c r="F3008" t="s">
        <v>36</v>
      </c>
      <c r="G3008" t="str">
        <f>"2025-04-10 14:10:54.469"</f>
        <v>2025-04-10 14:10:54.469</v>
      </c>
      <c r="H3008" t="s">
        <v>37</v>
      </c>
    </row>
    <row r="3009" spans="1:10" x14ac:dyDescent="0.25">
      <c r="A3009" s="1">
        <v>53</v>
      </c>
      <c r="B3009" t="s">
        <v>19</v>
      </c>
      <c r="C3009">
        <v>706</v>
      </c>
      <c r="D3009">
        <v>4</v>
      </c>
      <c r="E3009" t="s">
        <v>28</v>
      </c>
      <c r="F3009" t="s">
        <v>29</v>
      </c>
      <c r="G3009" t="str">
        <f>"2025-04-10 14:10:24.488"</f>
        <v>2025-04-10 14:10:24.488</v>
      </c>
      <c r="H3009" t="s">
        <v>21</v>
      </c>
      <c r="I3009">
        <v>0</v>
      </c>
      <c r="J3009" t="s">
        <v>30</v>
      </c>
    </row>
    <row r="3010" spans="1:10" x14ac:dyDescent="0.25">
      <c r="A3010" s="1">
        <v>54</v>
      </c>
      <c r="B3010" t="s">
        <v>38</v>
      </c>
      <c r="C3010">
        <v>630</v>
      </c>
      <c r="D3010">
        <v>5</v>
      </c>
      <c r="E3010" t="s">
        <v>35</v>
      </c>
      <c r="F3010" t="s">
        <v>36</v>
      </c>
      <c r="G3010" t="str">
        <f>"2025-04-10 13:12:04.869"</f>
        <v>2025-04-10 13:12:04.869</v>
      </c>
      <c r="H3010" t="s">
        <v>37</v>
      </c>
      <c r="I3010">
        <v>0</v>
      </c>
      <c r="J3010" t="s">
        <v>30</v>
      </c>
    </row>
    <row r="3011" spans="1:10" x14ac:dyDescent="0.25">
      <c r="A3011" s="1">
        <v>55</v>
      </c>
      <c r="B3011" t="s">
        <v>19</v>
      </c>
      <c r="C3011">
        <v>700</v>
      </c>
      <c r="D3011">
        <v>0</v>
      </c>
      <c r="E3011" t="s">
        <v>20</v>
      </c>
      <c r="F3011" t="s">
        <v>20</v>
      </c>
      <c r="G3011" t="str">
        <f>"2025-04-10 11:22:23.418"</f>
        <v>2025-04-10 11:22:23.418</v>
      </c>
      <c r="H3011" t="s">
        <v>21</v>
      </c>
    </row>
    <row r="3012" spans="1:10" x14ac:dyDescent="0.25">
      <c r="A3012" s="1">
        <v>56</v>
      </c>
      <c r="B3012" t="s">
        <v>19</v>
      </c>
      <c r="C3012">
        <v>706</v>
      </c>
      <c r="D3012">
        <v>2</v>
      </c>
      <c r="E3012" t="s">
        <v>28</v>
      </c>
      <c r="F3012" t="s">
        <v>39</v>
      </c>
      <c r="G3012" t="str">
        <f>"2025-04-10 06:21:08.891"</f>
        <v>2025-04-10 06:21:08.891</v>
      </c>
      <c r="H3012" t="s">
        <v>21</v>
      </c>
      <c r="I3012">
        <v>0</v>
      </c>
      <c r="J3012" t="s">
        <v>30</v>
      </c>
    </row>
    <row r="3013" spans="1:10" x14ac:dyDescent="0.25">
      <c r="A3013" s="1">
        <v>57</v>
      </c>
      <c r="B3013" t="s">
        <v>19</v>
      </c>
      <c r="C3013">
        <v>700</v>
      </c>
      <c r="D3013">
        <v>0</v>
      </c>
      <c r="E3013" t="s">
        <v>20</v>
      </c>
      <c r="F3013" t="s">
        <v>20</v>
      </c>
      <c r="G3013" t="str">
        <f>"2025-04-10 06:20:50.421"</f>
        <v>2025-04-10 06:20:50.421</v>
      </c>
      <c r="H3013" t="s">
        <v>21</v>
      </c>
    </row>
    <row r="3014" spans="1:10" x14ac:dyDescent="0.25">
      <c r="A3014" s="1">
        <v>58</v>
      </c>
      <c r="B3014" t="s">
        <v>19</v>
      </c>
      <c r="C3014">
        <v>700</v>
      </c>
      <c r="D3014">
        <v>0</v>
      </c>
      <c r="E3014" t="s">
        <v>20</v>
      </c>
      <c r="F3014" t="s">
        <v>20</v>
      </c>
      <c r="G3014" t="str">
        <f>"2025-04-10 04:47:50.432"</f>
        <v>2025-04-10 04:47:50.432</v>
      </c>
      <c r="H3014" t="s">
        <v>21</v>
      </c>
    </row>
    <row r="3015" spans="1:10" x14ac:dyDescent="0.25">
      <c r="A3015" s="1">
        <v>59</v>
      </c>
      <c r="B3015" t="s">
        <v>19</v>
      </c>
      <c r="C3015">
        <v>700</v>
      </c>
      <c r="D3015">
        <v>0</v>
      </c>
      <c r="E3015" t="s">
        <v>20</v>
      </c>
      <c r="F3015" t="s">
        <v>20</v>
      </c>
      <c r="G3015" t="str">
        <f>"2025-04-09 20:03:28.434"</f>
        <v>2025-04-09 20:03:28.434</v>
      </c>
      <c r="H3015" t="s">
        <v>21</v>
      </c>
      <c r="I3015">
        <v>0</v>
      </c>
      <c r="J3015" t="s">
        <v>22</v>
      </c>
    </row>
    <row r="3016" spans="1:10" x14ac:dyDescent="0.25">
      <c r="A3016" s="1">
        <v>60</v>
      </c>
      <c r="B3016" t="s">
        <v>23</v>
      </c>
      <c r="C3016">
        <v>630</v>
      </c>
      <c r="D3016">
        <v>5</v>
      </c>
      <c r="E3016" t="s">
        <v>35</v>
      </c>
      <c r="F3016" t="s">
        <v>36</v>
      </c>
      <c r="G3016" t="str">
        <f>"2025-04-09 11:50:23.110"</f>
        <v>2025-04-09 11:50:23.110</v>
      </c>
      <c r="H3016" t="s">
        <v>37</v>
      </c>
    </row>
    <row r="3017" spans="1:10" x14ac:dyDescent="0.25">
      <c r="A3017" s="1">
        <v>61</v>
      </c>
      <c r="B3017" t="s">
        <v>19</v>
      </c>
      <c r="C3017">
        <v>706</v>
      </c>
      <c r="D3017">
        <v>4</v>
      </c>
      <c r="E3017" t="s">
        <v>28</v>
      </c>
      <c r="F3017" t="s">
        <v>29</v>
      </c>
      <c r="G3017" t="str">
        <f>"2025-04-09 11:49:52.993"</f>
        <v>2025-04-09 11:49:52.993</v>
      </c>
      <c r="H3017" t="s">
        <v>21</v>
      </c>
      <c r="I3017">
        <v>0</v>
      </c>
      <c r="J3017" t="s">
        <v>30</v>
      </c>
    </row>
    <row r="3018" spans="1:10" x14ac:dyDescent="0.25">
      <c r="A3018" s="1">
        <v>62</v>
      </c>
      <c r="B3018" t="s">
        <v>38</v>
      </c>
      <c r="C3018">
        <v>630</v>
      </c>
      <c r="D3018">
        <v>5</v>
      </c>
      <c r="E3018" t="s">
        <v>35</v>
      </c>
      <c r="F3018" t="s">
        <v>36</v>
      </c>
      <c r="G3018" t="str">
        <f>"2025-04-09 11:30:48.911"</f>
        <v>2025-04-09 11:30:48.911</v>
      </c>
      <c r="H3018" t="s">
        <v>37</v>
      </c>
      <c r="I3018">
        <v>0</v>
      </c>
      <c r="J3018" t="s">
        <v>30</v>
      </c>
    </row>
    <row r="3019" spans="1:10" x14ac:dyDescent="0.25">
      <c r="A3019" s="1">
        <v>63</v>
      </c>
      <c r="B3019" t="s">
        <v>19</v>
      </c>
      <c r="C3019">
        <v>706</v>
      </c>
      <c r="D3019">
        <v>2</v>
      </c>
      <c r="E3019" t="s">
        <v>28</v>
      </c>
      <c r="F3019" t="s">
        <v>39</v>
      </c>
      <c r="G3019" t="str">
        <f>"2025-04-09 11:19:15.733"</f>
        <v>2025-04-09 11:19:15.733</v>
      </c>
      <c r="H3019" t="s">
        <v>21</v>
      </c>
      <c r="I3019">
        <v>0</v>
      </c>
      <c r="J3019" t="s">
        <v>30</v>
      </c>
    </row>
    <row r="3020" spans="1:10" x14ac:dyDescent="0.25">
      <c r="A3020" s="1">
        <v>64</v>
      </c>
      <c r="B3020" t="s">
        <v>19</v>
      </c>
      <c r="C3020">
        <v>700</v>
      </c>
      <c r="D3020">
        <v>0</v>
      </c>
      <c r="E3020" t="s">
        <v>20</v>
      </c>
      <c r="F3020" t="s">
        <v>20</v>
      </c>
      <c r="G3020" t="str">
        <f>"2025-04-09 11:18:41.423"</f>
        <v>2025-04-09 11:18:41.423</v>
      </c>
      <c r="H3020" t="s">
        <v>21</v>
      </c>
    </row>
    <row r="3021" spans="1:10" x14ac:dyDescent="0.25">
      <c r="A3021" s="1">
        <v>65</v>
      </c>
      <c r="B3021" t="s">
        <v>19</v>
      </c>
      <c r="C3021">
        <v>700</v>
      </c>
      <c r="D3021">
        <v>0</v>
      </c>
      <c r="E3021" t="s">
        <v>20</v>
      </c>
      <c r="F3021" t="s">
        <v>20</v>
      </c>
      <c r="G3021" t="str">
        <f>"2025-04-09 08:05:09.616"</f>
        <v>2025-04-09 08:05:09.616</v>
      </c>
      <c r="H3021" t="s">
        <v>21</v>
      </c>
      <c r="I3021">
        <v>0</v>
      </c>
      <c r="J3021" t="s">
        <v>22</v>
      </c>
    </row>
    <row r="3022" spans="1:10" x14ac:dyDescent="0.25">
      <c r="A3022" s="1">
        <v>66</v>
      </c>
      <c r="B3022" t="s">
        <v>19</v>
      </c>
      <c r="C3022">
        <v>700</v>
      </c>
      <c r="D3022">
        <v>0</v>
      </c>
      <c r="E3022" t="s">
        <v>20</v>
      </c>
      <c r="F3022" t="s">
        <v>20</v>
      </c>
      <c r="G3022" t="str">
        <f>"2025-04-09 02:25:39.422"</f>
        <v>2025-04-09 02:25:39.422</v>
      </c>
      <c r="H3022" t="s">
        <v>21</v>
      </c>
      <c r="I3022">
        <v>0</v>
      </c>
      <c r="J3022" t="s">
        <v>22</v>
      </c>
    </row>
    <row r="3023" spans="1:10" x14ac:dyDescent="0.25">
      <c r="A3023" s="1">
        <v>67</v>
      </c>
      <c r="B3023" t="s">
        <v>23</v>
      </c>
      <c r="C3023">
        <v>630</v>
      </c>
      <c r="D3023">
        <v>5</v>
      </c>
      <c r="E3023" t="s">
        <v>35</v>
      </c>
      <c r="F3023" t="s">
        <v>36</v>
      </c>
      <c r="G3023" t="str">
        <f>"2025-04-08 14:48:35.064"</f>
        <v>2025-04-08 14:48:35.064</v>
      </c>
      <c r="H3023" t="s">
        <v>37</v>
      </c>
    </row>
    <row r="3024" spans="1:10" x14ac:dyDescent="0.25">
      <c r="A3024" s="1">
        <v>68</v>
      </c>
      <c r="B3024" t="s">
        <v>19</v>
      </c>
      <c r="C3024">
        <v>706</v>
      </c>
      <c r="D3024">
        <v>4</v>
      </c>
      <c r="E3024" t="s">
        <v>28</v>
      </c>
      <c r="F3024" t="s">
        <v>29</v>
      </c>
      <c r="G3024" t="str">
        <f>"2025-04-08 14:48:05.052"</f>
        <v>2025-04-08 14:48:05.052</v>
      </c>
      <c r="H3024" t="s">
        <v>21</v>
      </c>
      <c r="I3024">
        <v>0</v>
      </c>
      <c r="J3024" t="s">
        <v>30</v>
      </c>
    </row>
    <row r="3025" spans="1:10" x14ac:dyDescent="0.25">
      <c r="A3025" s="1">
        <v>69</v>
      </c>
      <c r="B3025" t="s">
        <v>38</v>
      </c>
      <c r="C3025">
        <v>630</v>
      </c>
      <c r="D3025">
        <v>5</v>
      </c>
      <c r="E3025" t="s">
        <v>35</v>
      </c>
      <c r="F3025" t="s">
        <v>36</v>
      </c>
      <c r="G3025" t="str">
        <f>"2025-04-08 12:57:21.064"</f>
        <v>2025-04-08 12:57:21.064</v>
      </c>
      <c r="H3025" t="s">
        <v>37</v>
      </c>
      <c r="I3025">
        <v>0</v>
      </c>
      <c r="J3025" t="s">
        <v>30</v>
      </c>
    </row>
    <row r="3026" spans="1:10" x14ac:dyDescent="0.25">
      <c r="A3026" s="1">
        <v>70</v>
      </c>
      <c r="B3026" t="s">
        <v>19</v>
      </c>
      <c r="C3026">
        <v>706</v>
      </c>
      <c r="D3026">
        <v>2</v>
      </c>
      <c r="E3026" t="s">
        <v>28</v>
      </c>
      <c r="F3026" t="s">
        <v>39</v>
      </c>
      <c r="G3026" t="str">
        <f>"2025-04-08 04:39:35.672"</f>
        <v>2025-04-08 04:39:35.672</v>
      </c>
      <c r="H3026" t="s">
        <v>21</v>
      </c>
      <c r="I3026">
        <v>0</v>
      </c>
      <c r="J3026" t="s">
        <v>30</v>
      </c>
    </row>
    <row r="3027" spans="1:10" x14ac:dyDescent="0.25">
      <c r="A3027" s="1">
        <v>71</v>
      </c>
      <c r="B3027" t="s">
        <v>19</v>
      </c>
      <c r="C3027">
        <v>700</v>
      </c>
      <c r="D3027">
        <v>0</v>
      </c>
      <c r="E3027" t="s">
        <v>20</v>
      </c>
      <c r="F3027" t="s">
        <v>20</v>
      </c>
      <c r="G3027" t="str">
        <f>"2025-04-08 04:38:54.422"</f>
        <v>2025-04-08 04:38:54.422</v>
      </c>
      <c r="H3027" t="s">
        <v>21</v>
      </c>
      <c r="I3027">
        <v>0</v>
      </c>
      <c r="J3027" t="s">
        <v>22</v>
      </c>
    </row>
    <row r="3028" spans="1:10" x14ac:dyDescent="0.25">
      <c r="A3028" s="1">
        <v>72</v>
      </c>
      <c r="B3028" t="s">
        <v>23</v>
      </c>
      <c r="C3028">
        <v>630</v>
      </c>
      <c r="D3028">
        <v>5</v>
      </c>
      <c r="E3028" t="s">
        <v>35</v>
      </c>
      <c r="F3028" t="s">
        <v>36</v>
      </c>
      <c r="G3028" t="str">
        <f>"2025-04-07 13:27:07.131"</f>
        <v>2025-04-07 13:27:07.131</v>
      </c>
      <c r="H3028" t="s">
        <v>37</v>
      </c>
    </row>
    <row r="3029" spans="1:10" x14ac:dyDescent="0.25">
      <c r="A3029" s="1">
        <v>73</v>
      </c>
      <c r="B3029" t="s">
        <v>19</v>
      </c>
      <c r="C3029">
        <v>706</v>
      </c>
      <c r="D3029">
        <v>4</v>
      </c>
      <c r="E3029" t="s">
        <v>28</v>
      </c>
      <c r="F3029" t="s">
        <v>29</v>
      </c>
      <c r="G3029" t="str">
        <f>"2025-04-07 13:26:37.004"</f>
        <v>2025-04-07 13:26:37.004</v>
      </c>
      <c r="H3029" t="s">
        <v>21</v>
      </c>
      <c r="I3029">
        <v>0</v>
      </c>
      <c r="J3029" t="s">
        <v>30</v>
      </c>
    </row>
    <row r="3030" spans="1:10" x14ac:dyDescent="0.25">
      <c r="A3030" s="1">
        <v>74</v>
      </c>
      <c r="B3030" t="s">
        <v>38</v>
      </c>
      <c r="C3030">
        <v>630</v>
      </c>
      <c r="D3030">
        <v>5</v>
      </c>
      <c r="E3030" t="s">
        <v>35</v>
      </c>
      <c r="F3030" t="s">
        <v>36</v>
      </c>
      <c r="G3030" t="str">
        <f>"2025-04-07 13:16:06.930"</f>
        <v>2025-04-07 13:16:06.930</v>
      </c>
      <c r="H3030" t="s">
        <v>37</v>
      </c>
      <c r="I3030">
        <v>0</v>
      </c>
      <c r="J3030" t="s">
        <v>30</v>
      </c>
    </row>
    <row r="3031" spans="1:10" x14ac:dyDescent="0.25">
      <c r="A3031" s="1">
        <v>75</v>
      </c>
      <c r="B3031" t="s">
        <v>23</v>
      </c>
      <c r="C3031">
        <v>635</v>
      </c>
      <c r="D3031">
        <v>1</v>
      </c>
      <c r="E3031" t="s">
        <v>31</v>
      </c>
      <c r="F3031" t="s">
        <v>32</v>
      </c>
      <c r="G3031" t="str">
        <f>"2025-04-06 17:42:44.731"</f>
        <v>2025-04-06 17:42:44.731</v>
      </c>
      <c r="H3031" t="s">
        <v>21</v>
      </c>
    </row>
    <row r="3032" spans="1:10" x14ac:dyDescent="0.25">
      <c r="A3032" s="1">
        <v>76</v>
      </c>
      <c r="B3032" t="s">
        <v>26</v>
      </c>
      <c r="C3032">
        <v>635</v>
      </c>
      <c r="D3032">
        <v>1</v>
      </c>
      <c r="E3032" t="s">
        <v>31</v>
      </c>
      <c r="F3032" t="s">
        <v>32</v>
      </c>
      <c r="G3032" t="str">
        <f>"2025-04-06 17:37:19.731"</f>
        <v>2025-04-06 17:37:19.731</v>
      </c>
      <c r="H3032" t="s">
        <v>21</v>
      </c>
      <c r="I3032">
        <v>-0.04</v>
      </c>
      <c r="J3032" t="s">
        <v>34</v>
      </c>
    </row>
    <row r="3033" spans="1:10" x14ac:dyDescent="0.25">
      <c r="A3033" s="1">
        <v>77</v>
      </c>
      <c r="B3033" t="s">
        <v>23</v>
      </c>
      <c r="C3033">
        <v>630</v>
      </c>
      <c r="D3033">
        <v>5</v>
      </c>
      <c r="E3033" t="s">
        <v>35</v>
      </c>
      <c r="F3033" t="s">
        <v>36</v>
      </c>
      <c r="G3033" t="str">
        <f>"2025-04-06 08:21:58.431"</f>
        <v>2025-04-06 08:21:58.431</v>
      </c>
      <c r="H3033" t="s">
        <v>37</v>
      </c>
    </row>
    <row r="3034" spans="1:10" x14ac:dyDescent="0.25">
      <c r="A3034" s="1">
        <v>78</v>
      </c>
      <c r="B3034" t="s">
        <v>19</v>
      </c>
      <c r="C3034">
        <v>706</v>
      </c>
      <c r="D3034">
        <v>2</v>
      </c>
      <c r="E3034" t="s">
        <v>28</v>
      </c>
      <c r="F3034" t="s">
        <v>39</v>
      </c>
      <c r="G3034" t="str">
        <f>"2025-04-06 08:21:28.304"</f>
        <v>2025-04-06 08:21:28.304</v>
      </c>
      <c r="H3034" t="s">
        <v>21</v>
      </c>
      <c r="I3034">
        <v>0</v>
      </c>
      <c r="J3034" t="s">
        <v>30</v>
      </c>
    </row>
    <row r="3035" spans="1:10" x14ac:dyDescent="0.25">
      <c r="A3035" s="1">
        <v>79</v>
      </c>
      <c r="B3035" t="s">
        <v>38</v>
      </c>
      <c r="C3035">
        <v>630</v>
      </c>
      <c r="D3035">
        <v>5</v>
      </c>
      <c r="E3035" t="s">
        <v>35</v>
      </c>
      <c r="F3035" t="s">
        <v>36</v>
      </c>
      <c r="G3035" t="str">
        <f>"2025-04-06 08:03:28.531"</f>
        <v>2025-04-06 08:03:28.531</v>
      </c>
      <c r="H3035" t="s">
        <v>37</v>
      </c>
      <c r="I3035">
        <v>0</v>
      </c>
      <c r="J3035" t="s">
        <v>30</v>
      </c>
    </row>
    <row r="3036" spans="1:10" x14ac:dyDescent="0.25">
      <c r="A3036" s="1">
        <v>80</v>
      </c>
      <c r="B3036" t="s">
        <v>23</v>
      </c>
      <c r="C3036">
        <v>630</v>
      </c>
      <c r="D3036">
        <v>5</v>
      </c>
      <c r="E3036" t="s">
        <v>35</v>
      </c>
      <c r="F3036" t="s">
        <v>36</v>
      </c>
      <c r="G3036" t="str">
        <f>"2025-04-05 20:35:26.531"</f>
        <v>2025-04-05 20:35:26.531</v>
      </c>
      <c r="H3036" t="s">
        <v>37</v>
      </c>
    </row>
    <row r="3037" spans="1:10" x14ac:dyDescent="0.25">
      <c r="A3037" s="1">
        <v>81</v>
      </c>
      <c r="B3037" t="s">
        <v>19</v>
      </c>
      <c r="C3037">
        <v>706</v>
      </c>
      <c r="D3037">
        <v>4</v>
      </c>
      <c r="E3037" t="s">
        <v>28</v>
      </c>
      <c r="F3037" t="s">
        <v>29</v>
      </c>
      <c r="G3037" t="str">
        <f>"2025-04-05 20:34:56.384"</f>
        <v>2025-04-05 20:34:56.384</v>
      </c>
      <c r="H3037" t="s">
        <v>21</v>
      </c>
      <c r="I3037">
        <v>0</v>
      </c>
      <c r="J3037" t="s">
        <v>30</v>
      </c>
    </row>
    <row r="3038" spans="1:10" x14ac:dyDescent="0.25">
      <c r="A3038" s="1">
        <v>82</v>
      </c>
      <c r="B3038" t="s">
        <v>38</v>
      </c>
      <c r="C3038">
        <v>630</v>
      </c>
      <c r="D3038">
        <v>5</v>
      </c>
      <c r="E3038" t="s">
        <v>35</v>
      </c>
      <c r="F3038" t="s">
        <v>36</v>
      </c>
      <c r="G3038" t="str">
        <f>"2025-04-05 20:31:25.132"</f>
        <v>2025-04-05 20:31:25.132</v>
      </c>
      <c r="H3038" t="s">
        <v>37</v>
      </c>
      <c r="I3038">
        <v>0</v>
      </c>
      <c r="J3038" t="s">
        <v>30</v>
      </c>
    </row>
    <row r="3039" spans="1:10" x14ac:dyDescent="0.25">
      <c r="A3039" s="1">
        <v>83</v>
      </c>
      <c r="B3039" t="s">
        <v>19</v>
      </c>
      <c r="C3039">
        <v>700</v>
      </c>
      <c r="D3039">
        <v>0</v>
      </c>
      <c r="E3039" t="s">
        <v>20</v>
      </c>
      <c r="F3039" t="s">
        <v>20</v>
      </c>
      <c r="G3039" t="str">
        <f>"2025-04-05 20:26:22.404"</f>
        <v>2025-04-05 20:26:22.404</v>
      </c>
      <c r="H3039" t="s">
        <v>21</v>
      </c>
    </row>
    <row r="3040" spans="1:10" x14ac:dyDescent="0.25">
      <c r="A3040" s="1">
        <v>84</v>
      </c>
      <c r="B3040" t="s">
        <v>19</v>
      </c>
      <c r="C3040">
        <v>706</v>
      </c>
      <c r="D3040">
        <v>3</v>
      </c>
      <c r="E3040" t="s">
        <v>28</v>
      </c>
      <c r="F3040" t="s">
        <v>43</v>
      </c>
      <c r="G3040" t="str">
        <f>"2025-04-05 20:23:18.926"</f>
        <v>2025-04-05 20:23:18.926</v>
      </c>
      <c r="H3040" t="s">
        <v>21</v>
      </c>
      <c r="I3040">
        <v>0</v>
      </c>
      <c r="J3040" t="s">
        <v>30</v>
      </c>
    </row>
    <row r="3041" spans="1:10" x14ac:dyDescent="0.25">
      <c r="A3041" s="1">
        <v>85</v>
      </c>
      <c r="B3041" t="s">
        <v>19</v>
      </c>
      <c r="C3041">
        <v>700</v>
      </c>
      <c r="D3041">
        <v>0</v>
      </c>
      <c r="E3041" t="s">
        <v>20</v>
      </c>
      <c r="F3041" t="s">
        <v>20</v>
      </c>
      <c r="G3041" t="str">
        <f>"2025-04-05 20:22:06.396"</f>
        <v>2025-04-05 20:22:06.396</v>
      </c>
      <c r="H3041" t="s">
        <v>21</v>
      </c>
    </row>
    <row r="3042" spans="1:10" x14ac:dyDescent="0.25">
      <c r="A3042" s="1">
        <v>86</v>
      </c>
      <c r="B3042" t="s">
        <v>23</v>
      </c>
      <c r="C3042">
        <v>630</v>
      </c>
      <c r="D3042">
        <v>5</v>
      </c>
      <c r="E3042" t="s">
        <v>35</v>
      </c>
      <c r="F3042" t="s">
        <v>36</v>
      </c>
      <c r="G3042" t="str">
        <f>"2025-04-05 18:24:54.376"</f>
        <v>2025-04-05 18:24:54.376</v>
      </c>
      <c r="H3042" t="s">
        <v>37</v>
      </c>
    </row>
    <row r="3043" spans="1:10" x14ac:dyDescent="0.25">
      <c r="A3043" s="1">
        <v>87</v>
      </c>
      <c r="B3043" t="s">
        <v>19</v>
      </c>
      <c r="C3043">
        <v>706</v>
      </c>
      <c r="D3043">
        <v>2</v>
      </c>
      <c r="E3043" t="s">
        <v>28</v>
      </c>
      <c r="F3043" t="s">
        <v>39</v>
      </c>
      <c r="G3043" t="str">
        <f>"2025-04-05 18:24:24.265"</f>
        <v>2025-04-05 18:24:24.265</v>
      </c>
      <c r="H3043" t="s">
        <v>21</v>
      </c>
      <c r="I3043">
        <v>0</v>
      </c>
      <c r="J3043" t="s">
        <v>30</v>
      </c>
    </row>
    <row r="3044" spans="1:10" x14ac:dyDescent="0.25">
      <c r="A3044" s="1">
        <v>88</v>
      </c>
      <c r="B3044" t="s">
        <v>38</v>
      </c>
      <c r="C3044">
        <v>630</v>
      </c>
      <c r="D3044">
        <v>5</v>
      </c>
      <c r="E3044" t="s">
        <v>35</v>
      </c>
      <c r="F3044" t="s">
        <v>36</v>
      </c>
      <c r="G3044" t="str">
        <f>"2025-04-05 18:21:12.176"</f>
        <v>2025-04-05 18:21:12.176</v>
      </c>
      <c r="H3044" t="s">
        <v>37</v>
      </c>
      <c r="I3044">
        <v>0</v>
      </c>
      <c r="J3044" t="s">
        <v>30</v>
      </c>
    </row>
    <row r="3045" spans="1:10" x14ac:dyDescent="0.25">
      <c r="A3045" s="1">
        <v>89</v>
      </c>
      <c r="B3045" t="s">
        <v>19</v>
      </c>
      <c r="C3045">
        <v>700</v>
      </c>
      <c r="D3045">
        <v>0</v>
      </c>
      <c r="E3045" t="s">
        <v>20</v>
      </c>
      <c r="F3045" t="s">
        <v>20</v>
      </c>
      <c r="G3045" t="str">
        <f>"2025-04-05 18:16:09.415"</f>
        <v>2025-04-05 18:16:09.415</v>
      </c>
      <c r="H3045" t="s">
        <v>21</v>
      </c>
    </row>
    <row r="3046" spans="1:10" x14ac:dyDescent="0.25">
      <c r="A3046" s="1">
        <v>90</v>
      </c>
      <c r="B3046" t="s">
        <v>38</v>
      </c>
      <c r="C3046">
        <v>630</v>
      </c>
      <c r="D3046">
        <v>5</v>
      </c>
      <c r="E3046" t="s">
        <v>35</v>
      </c>
      <c r="F3046" t="s">
        <v>36</v>
      </c>
      <c r="G3046" t="str">
        <f>"2025-04-05 12:09:14.198"</f>
        <v>2025-04-05 12:09:14.198</v>
      </c>
      <c r="H3046" t="s">
        <v>37</v>
      </c>
      <c r="I3046">
        <v>0</v>
      </c>
      <c r="J3046" t="s">
        <v>30</v>
      </c>
    </row>
    <row r="3047" spans="1:10" x14ac:dyDescent="0.25">
      <c r="A3047" s="1">
        <v>91</v>
      </c>
      <c r="B3047" t="s">
        <v>19</v>
      </c>
      <c r="C3047">
        <v>700</v>
      </c>
      <c r="D3047">
        <v>0</v>
      </c>
      <c r="E3047" t="s">
        <v>20</v>
      </c>
      <c r="F3047" t="s">
        <v>20</v>
      </c>
      <c r="G3047" t="str">
        <f>"2025-04-05 12:04:11.406"</f>
        <v>2025-04-05 12:04:11.406</v>
      </c>
      <c r="H3047" t="s">
        <v>21</v>
      </c>
    </row>
    <row r="3048" spans="1:10" x14ac:dyDescent="0.25">
      <c r="A3048" s="1">
        <v>92</v>
      </c>
      <c r="B3048" t="s">
        <v>19</v>
      </c>
      <c r="C3048">
        <v>700</v>
      </c>
      <c r="D3048">
        <v>0</v>
      </c>
      <c r="E3048" t="s">
        <v>20</v>
      </c>
      <c r="F3048" t="s">
        <v>20</v>
      </c>
      <c r="G3048" t="str">
        <f>"2025-04-05 10:23:01.636"</f>
        <v>2025-04-05 10:23:01.636</v>
      </c>
      <c r="H3048" t="s">
        <v>21</v>
      </c>
    </row>
    <row r="3049" spans="1:10" x14ac:dyDescent="0.25">
      <c r="A3049" s="1">
        <v>93</v>
      </c>
      <c r="B3049" t="s">
        <v>19</v>
      </c>
      <c r="C3049">
        <v>700</v>
      </c>
      <c r="D3049">
        <v>0</v>
      </c>
      <c r="E3049" t="s">
        <v>20</v>
      </c>
      <c r="F3049" t="s">
        <v>20</v>
      </c>
      <c r="G3049" t="str">
        <f>"2025-04-05 09:54:47.405"</f>
        <v>2025-04-05 09:54:47.405</v>
      </c>
      <c r="H3049" t="s">
        <v>21</v>
      </c>
    </row>
    <row r="3050" spans="1:10" x14ac:dyDescent="0.25">
      <c r="A3050" s="1">
        <v>94</v>
      </c>
      <c r="B3050" t="s">
        <v>19</v>
      </c>
      <c r="C3050">
        <v>700</v>
      </c>
      <c r="D3050">
        <v>0</v>
      </c>
      <c r="E3050" t="s">
        <v>20</v>
      </c>
      <c r="F3050" t="s">
        <v>20</v>
      </c>
      <c r="G3050" t="str">
        <f>"2025-04-04 08:01:50.399"</f>
        <v>2025-04-04 08:01:50.399</v>
      </c>
      <c r="H3050" t="s">
        <v>21</v>
      </c>
    </row>
    <row r="3051" spans="1:10" x14ac:dyDescent="0.25">
      <c r="A3051" s="1">
        <v>95</v>
      </c>
      <c r="B3051" t="s">
        <v>19</v>
      </c>
      <c r="C3051">
        <v>700</v>
      </c>
      <c r="D3051">
        <v>0</v>
      </c>
      <c r="E3051" t="s">
        <v>20</v>
      </c>
      <c r="F3051" t="s">
        <v>20</v>
      </c>
      <c r="G3051" t="str">
        <f>"2025-04-03 19:52:09.430"</f>
        <v>2025-04-03 19:52:09.430</v>
      </c>
      <c r="H3051" t="s">
        <v>21</v>
      </c>
    </row>
    <row r="3052" spans="1:10" x14ac:dyDescent="0.25">
      <c r="A3052" s="1">
        <v>96</v>
      </c>
      <c r="B3052" t="s">
        <v>19</v>
      </c>
      <c r="C3052">
        <v>700</v>
      </c>
      <c r="D3052">
        <v>0</v>
      </c>
      <c r="E3052" t="s">
        <v>20</v>
      </c>
      <c r="F3052" t="s">
        <v>20</v>
      </c>
      <c r="G3052" t="str">
        <f>"2025-04-02 19:49:13.419"</f>
        <v>2025-04-02 19:49:13.419</v>
      </c>
      <c r="H3052" t="s">
        <v>21</v>
      </c>
      <c r="I3052">
        <v>0</v>
      </c>
      <c r="J3052" t="s">
        <v>22</v>
      </c>
    </row>
    <row r="3053" spans="1:10" x14ac:dyDescent="0.25">
      <c r="A3053" s="1">
        <v>97</v>
      </c>
      <c r="B3053" t="s">
        <v>23</v>
      </c>
      <c r="C3053">
        <v>635</v>
      </c>
      <c r="D3053">
        <v>1</v>
      </c>
      <c r="E3053" t="s">
        <v>31</v>
      </c>
      <c r="F3053" t="s">
        <v>32</v>
      </c>
      <c r="G3053" t="str">
        <f>"2025-04-01 18:49:25.560"</f>
        <v>2025-04-01 18:49:25.560</v>
      </c>
      <c r="H3053" t="s">
        <v>21</v>
      </c>
    </row>
    <row r="3054" spans="1:10" x14ac:dyDescent="0.25">
      <c r="A3054" s="1">
        <v>98</v>
      </c>
      <c r="B3054" t="s">
        <v>26</v>
      </c>
      <c r="C3054">
        <v>635</v>
      </c>
      <c r="D3054">
        <v>1</v>
      </c>
      <c r="E3054" t="s">
        <v>31</v>
      </c>
      <c r="F3054" t="s">
        <v>32</v>
      </c>
      <c r="G3054" t="str">
        <f>"2025-04-01 18:47:06.560"</f>
        <v>2025-04-01 18:47:06.560</v>
      </c>
      <c r="H3054" t="s">
        <v>21</v>
      </c>
      <c r="I3054">
        <v>2.95</v>
      </c>
      <c r="J3054" t="s">
        <v>33</v>
      </c>
    </row>
    <row r="3055" spans="1:10" x14ac:dyDescent="0.25">
      <c r="A3055" s="1">
        <v>99</v>
      </c>
      <c r="B3055" t="s">
        <v>19</v>
      </c>
      <c r="C3055">
        <v>700</v>
      </c>
      <c r="D3055">
        <v>0</v>
      </c>
      <c r="E3055" t="s">
        <v>20</v>
      </c>
      <c r="F3055" t="s">
        <v>20</v>
      </c>
      <c r="G3055" t="str">
        <f>"2025-04-01 15:58:17.409"</f>
        <v>2025-04-01 15:58:17.409</v>
      </c>
      <c r="H3055" t="s">
        <v>21</v>
      </c>
      <c r="I3055">
        <v>0</v>
      </c>
      <c r="J3055" t="s">
        <v>22</v>
      </c>
    </row>
    <row r="3056" spans="1:10" x14ac:dyDescent="0.25">
      <c r="A3056" s="1">
        <v>100</v>
      </c>
      <c r="B3056" t="s">
        <v>23</v>
      </c>
      <c r="C3056">
        <v>635</v>
      </c>
      <c r="D3056">
        <v>1</v>
      </c>
      <c r="E3056" t="s">
        <v>31</v>
      </c>
      <c r="F3056" t="s">
        <v>32</v>
      </c>
      <c r="G3056" t="str">
        <f>"2025-04-01 09:02:34.248"</f>
        <v>2025-04-01 09:02:34.248</v>
      </c>
      <c r="H3056" t="s">
        <v>21</v>
      </c>
    </row>
    <row r="3057" spans="1:10" x14ac:dyDescent="0.25">
      <c r="A3057" s="1">
        <v>101</v>
      </c>
      <c r="B3057" t="s">
        <v>26</v>
      </c>
      <c r="C3057">
        <v>635</v>
      </c>
      <c r="D3057">
        <v>1</v>
      </c>
      <c r="E3057" t="s">
        <v>31</v>
      </c>
      <c r="F3057" t="s">
        <v>32</v>
      </c>
      <c r="G3057" t="str">
        <f>"2025-04-01 08:52:05.348"</f>
        <v>2025-04-01 08:52:05.348</v>
      </c>
      <c r="H3057" t="s">
        <v>21</v>
      </c>
      <c r="I3057">
        <v>1.1299999999999999</v>
      </c>
      <c r="J3057" t="s">
        <v>33</v>
      </c>
    </row>
    <row r="3058" spans="1:10" x14ac:dyDescent="0.25">
      <c r="A3058" s="1">
        <v>102</v>
      </c>
      <c r="B3058" t="s">
        <v>19</v>
      </c>
      <c r="C3058">
        <v>700</v>
      </c>
      <c r="D3058">
        <v>0</v>
      </c>
      <c r="E3058" t="s">
        <v>20</v>
      </c>
      <c r="F3058" t="s">
        <v>20</v>
      </c>
      <c r="G3058" t="str">
        <f>"2025-04-01 07:49:42.441"</f>
        <v>2025-04-01 07:49:42.441</v>
      </c>
      <c r="H3058" t="s">
        <v>21</v>
      </c>
      <c r="I3058">
        <v>0</v>
      </c>
      <c r="J3058" t="s">
        <v>22</v>
      </c>
    </row>
    <row r="3059" spans="1:10" x14ac:dyDescent="0.25">
      <c r="A3059" s="1">
        <v>103</v>
      </c>
      <c r="B3059" t="s">
        <v>19</v>
      </c>
      <c r="C3059">
        <v>700</v>
      </c>
      <c r="D3059">
        <v>0</v>
      </c>
      <c r="E3059" t="s">
        <v>20</v>
      </c>
      <c r="F3059" t="s">
        <v>20</v>
      </c>
      <c r="G3059" t="str">
        <f>"2025-03-31 19:38:46.409"</f>
        <v>2025-03-31 19:38:46.409</v>
      </c>
      <c r="H3059" t="s">
        <v>21</v>
      </c>
      <c r="I3059">
        <v>0</v>
      </c>
      <c r="J3059" t="s">
        <v>22</v>
      </c>
    </row>
    <row r="3060" spans="1:10" x14ac:dyDescent="0.25">
      <c r="A3060" s="1">
        <v>105</v>
      </c>
      <c r="B3060" t="s">
        <v>19</v>
      </c>
      <c r="C3060">
        <v>700</v>
      </c>
      <c r="D3060">
        <v>0</v>
      </c>
      <c r="E3060" t="s">
        <v>20</v>
      </c>
      <c r="F3060" t="s">
        <v>20</v>
      </c>
      <c r="G3060" t="str">
        <f>"2025-03-30 20:16:31.395"</f>
        <v>2025-03-30 20:16:31.395</v>
      </c>
      <c r="H3060" t="s">
        <v>21</v>
      </c>
    </row>
    <row r="3061" spans="1:10" x14ac:dyDescent="0.25">
      <c r="A3061" s="1">
        <v>106</v>
      </c>
      <c r="B3061" t="s">
        <v>38</v>
      </c>
      <c r="C3061">
        <v>630</v>
      </c>
      <c r="D3061">
        <v>5</v>
      </c>
      <c r="E3061" t="s">
        <v>35</v>
      </c>
      <c r="F3061" t="s">
        <v>36</v>
      </c>
      <c r="G3061" t="str">
        <f>"2025-03-30 18:07:46.160"</f>
        <v>2025-03-30 18:07:46.160</v>
      </c>
      <c r="H3061" t="s">
        <v>37</v>
      </c>
      <c r="I3061">
        <v>0</v>
      </c>
      <c r="J3061" t="s">
        <v>30</v>
      </c>
    </row>
    <row r="3062" spans="1:10" x14ac:dyDescent="0.25">
      <c r="A3062" s="1">
        <v>107</v>
      </c>
      <c r="B3062" t="s">
        <v>19</v>
      </c>
      <c r="C3062">
        <v>700</v>
      </c>
      <c r="D3062">
        <v>0</v>
      </c>
      <c r="E3062" t="s">
        <v>20</v>
      </c>
      <c r="F3062" t="s">
        <v>20</v>
      </c>
      <c r="G3062" t="str">
        <f>"2025-03-30 18:02:43.398"</f>
        <v>2025-03-30 18:02:43.398</v>
      </c>
      <c r="H3062" t="s">
        <v>21</v>
      </c>
      <c r="I3062">
        <v>0</v>
      </c>
      <c r="J3062" t="s">
        <v>22</v>
      </c>
    </row>
    <row r="3063" spans="1:10" x14ac:dyDescent="0.25">
      <c r="A3063" s="1">
        <v>108</v>
      </c>
      <c r="B3063" t="s">
        <v>23</v>
      </c>
      <c r="C3063">
        <v>630</v>
      </c>
      <c r="D3063">
        <v>5</v>
      </c>
      <c r="E3063" t="s">
        <v>35</v>
      </c>
      <c r="F3063" t="s">
        <v>36</v>
      </c>
      <c r="G3063" t="str">
        <f>"2025-03-30 17:49:08.037"</f>
        <v>2025-03-30 17:49:08.037</v>
      </c>
      <c r="H3063" t="s">
        <v>37</v>
      </c>
    </row>
    <row r="3064" spans="1:10" x14ac:dyDescent="0.25">
      <c r="A3064" s="1">
        <v>109</v>
      </c>
      <c r="B3064" t="s">
        <v>19</v>
      </c>
      <c r="C3064">
        <v>706</v>
      </c>
      <c r="D3064">
        <v>2</v>
      </c>
      <c r="E3064" t="s">
        <v>28</v>
      </c>
      <c r="F3064" t="s">
        <v>39</v>
      </c>
      <c r="G3064" t="str">
        <f>"2025-03-30 17:48:37.870"</f>
        <v>2025-03-30 17:48:37.870</v>
      </c>
      <c r="H3064" t="s">
        <v>21</v>
      </c>
      <c r="I3064">
        <v>0</v>
      </c>
      <c r="J3064" t="s">
        <v>30</v>
      </c>
    </row>
    <row r="3065" spans="1:10" x14ac:dyDescent="0.25">
      <c r="A3065" s="1">
        <v>110</v>
      </c>
      <c r="B3065" t="s">
        <v>38</v>
      </c>
      <c r="C3065">
        <v>630</v>
      </c>
      <c r="D3065">
        <v>5</v>
      </c>
      <c r="E3065" t="s">
        <v>35</v>
      </c>
      <c r="F3065" t="s">
        <v>36</v>
      </c>
      <c r="G3065" t="str">
        <f>"2025-03-30 17:31:56.138"</f>
        <v>2025-03-30 17:31:56.138</v>
      </c>
      <c r="H3065" t="s">
        <v>37</v>
      </c>
      <c r="I3065">
        <v>0</v>
      </c>
      <c r="J3065" t="s">
        <v>30</v>
      </c>
    </row>
    <row r="3066" spans="1:10" x14ac:dyDescent="0.25">
      <c r="A3066" s="1">
        <v>111</v>
      </c>
      <c r="B3066" t="s">
        <v>19</v>
      </c>
      <c r="C3066">
        <v>700</v>
      </c>
      <c r="D3066">
        <v>0</v>
      </c>
      <c r="E3066" t="s">
        <v>20</v>
      </c>
      <c r="F3066" t="s">
        <v>20</v>
      </c>
      <c r="G3066" t="str">
        <f>"2025-03-30 17:26:53.500"</f>
        <v>2025-03-30 17:26:53.500</v>
      </c>
      <c r="H3066" t="s">
        <v>21</v>
      </c>
    </row>
    <row r="3067" spans="1:10" x14ac:dyDescent="0.25">
      <c r="A3067" s="1">
        <v>112</v>
      </c>
      <c r="B3067" t="s">
        <v>19</v>
      </c>
      <c r="C3067">
        <v>700</v>
      </c>
      <c r="D3067">
        <v>0</v>
      </c>
      <c r="E3067" t="s">
        <v>20</v>
      </c>
      <c r="F3067" t="s">
        <v>20</v>
      </c>
      <c r="G3067" t="str">
        <f>"2025-03-30 08:57:01.389"</f>
        <v>2025-03-30 08:57:01.389</v>
      </c>
      <c r="H3067" t="s">
        <v>21</v>
      </c>
    </row>
    <row r="3068" spans="1:10" x14ac:dyDescent="0.25">
      <c r="A3068" s="1">
        <v>113</v>
      </c>
      <c r="B3068" t="s">
        <v>19</v>
      </c>
      <c r="C3068">
        <v>706</v>
      </c>
      <c r="D3068">
        <v>4</v>
      </c>
      <c r="E3068" t="s">
        <v>28</v>
      </c>
      <c r="F3068" t="s">
        <v>29</v>
      </c>
      <c r="G3068" t="str">
        <f>"2025-03-30 08:29:23.037"</f>
        <v>2025-03-30 08:29:23.037</v>
      </c>
      <c r="H3068" t="s">
        <v>21</v>
      </c>
      <c r="I3068">
        <v>0</v>
      </c>
      <c r="J3068" t="s">
        <v>30</v>
      </c>
    </row>
    <row r="3069" spans="1:10" x14ac:dyDescent="0.25">
      <c r="A3069" s="1">
        <v>114</v>
      </c>
      <c r="B3069" t="s">
        <v>19</v>
      </c>
      <c r="C3069">
        <v>700</v>
      </c>
      <c r="D3069">
        <v>0</v>
      </c>
      <c r="E3069" t="s">
        <v>20</v>
      </c>
      <c r="F3069" t="s">
        <v>20</v>
      </c>
      <c r="G3069" t="str">
        <f>"2025-03-30 08:26:32.397"</f>
        <v>2025-03-30 08:26:32.397</v>
      </c>
      <c r="H3069" t="s">
        <v>21</v>
      </c>
    </row>
    <row r="3070" spans="1:10" x14ac:dyDescent="0.25">
      <c r="A3070" s="1">
        <v>115</v>
      </c>
      <c r="B3070" t="s">
        <v>19</v>
      </c>
      <c r="C3070">
        <v>700</v>
      </c>
      <c r="D3070">
        <v>0</v>
      </c>
      <c r="E3070" t="s">
        <v>20</v>
      </c>
      <c r="F3070" t="s">
        <v>20</v>
      </c>
      <c r="G3070" t="str">
        <f>"2025-03-30 08:13:23.394"</f>
        <v>2025-03-30 08:13:23.394</v>
      </c>
      <c r="H3070" t="s">
        <v>21</v>
      </c>
    </row>
    <row r="3071" spans="1:10" x14ac:dyDescent="0.25">
      <c r="A3071" s="1">
        <v>116</v>
      </c>
      <c r="B3071" t="s">
        <v>23</v>
      </c>
      <c r="C3071">
        <v>630</v>
      </c>
      <c r="D3071">
        <v>5</v>
      </c>
      <c r="E3071" t="s">
        <v>35</v>
      </c>
      <c r="F3071" t="s">
        <v>36</v>
      </c>
      <c r="G3071" t="str">
        <f>"2025-03-30 00:52:05.093"</f>
        <v>2025-03-30 00:52:05.093</v>
      </c>
      <c r="H3071" t="s">
        <v>37</v>
      </c>
    </row>
    <row r="3072" spans="1:10" x14ac:dyDescent="0.25">
      <c r="A3072" s="1">
        <v>117</v>
      </c>
      <c r="B3072" t="s">
        <v>19</v>
      </c>
      <c r="C3072">
        <v>706</v>
      </c>
      <c r="D3072">
        <v>4</v>
      </c>
      <c r="E3072" t="s">
        <v>28</v>
      </c>
      <c r="F3072" t="s">
        <v>29</v>
      </c>
      <c r="G3072" t="str">
        <f>"2025-03-30 00:51:34.965"</f>
        <v>2025-03-30 00:51:34.965</v>
      </c>
      <c r="H3072" t="s">
        <v>21</v>
      </c>
      <c r="I3072">
        <v>0</v>
      </c>
      <c r="J3072" t="s">
        <v>30</v>
      </c>
    </row>
    <row r="3073" spans="1:10" x14ac:dyDescent="0.25">
      <c r="A3073" s="1">
        <v>118</v>
      </c>
      <c r="B3073" t="s">
        <v>38</v>
      </c>
      <c r="C3073">
        <v>630</v>
      </c>
      <c r="D3073">
        <v>5</v>
      </c>
      <c r="E3073" t="s">
        <v>35</v>
      </c>
      <c r="F3073" t="s">
        <v>36</v>
      </c>
      <c r="G3073" t="str">
        <f>"2025-03-30 00:34:30.793"</f>
        <v>2025-03-30 00:34:30.793</v>
      </c>
      <c r="H3073" t="s">
        <v>37</v>
      </c>
      <c r="I3073">
        <v>0</v>
      </c>
      <c r="J3073" t="s">
        <v>30</v>
      </c>
    </row>
    <row r="3074" spans="1:10" x14ac:dyDescent="0.25">
      <c r="A3074" s="1">
        <v>119</v>
      </c>
      <c r="B3074" t="s">
        <v>23</v>
      </c>
      <c r="C3074">
        <v>635</v>
      </c>
      <c r="D3074">
        <v>1</v>
      </c>
      <c r="E3074" t="s">
        <v>31</v>
      </c>
      <c r="F3074" t="s">
        <v>32</v>
      </c>
      <c r="G3074" t="str">
        <f>"2025-03-29 23:04:18.193"</f>
        <v>2025-03-29 23:04:18.193</v>
      </c>
      <c r="H3074" t="s">
        <v>21</v>
      </c>
    </row>
    <row r="3075" spans="1:10" x14ac:dyDescent="0.25">
      <c r="A3075" s="1">
        <v>120</v>
      </c>
      <c r="B3075" t="s">
        <v>26</v>
      </c>
      <c r="C3075">
        <v>635</v>
      </c>
      <c r="D3075">
        <v>1</v>
      </c>
      <c r="E3075" t="s">
        <v>31</v>
      </c>
      <c r="F3075" t="s">
        <v>32</v>
      </c>
      <c r="G3075" t="str">
        <f>"2025-03-29 23:00:28.193"</f>
        <v>2025-03-29 23:00:28.193</v>
      </c>
      <c r="H3075" t="s">
        <v>21</v>
      </c>
      <c r="I3075">
        <v>7.44</v>
      </c>
      <c r="J3075" t="s">
        <v>33</v>
      </c>
    </row>
    <row r="3076" spans="1:10" x14ac:dyDescent="0.25">
      <c r="A3076" s="1">
        <v>121</v>
      </c>
      <c r="B3076" t="s">
        <v>23</v>
      </c>
      <c r="C3076">
        <v>630</v>
      </c>
      <c r="D3076">
        <v>5</v>
      </c>
      <c r="E3076" t="s">
        <v>35</v>
      </c>
      <c r="F3076" t="s">
        <v>36</v>
      </c>
      <c r="G3076" t="str">
        <f>"2025-03-29 21:09:13.793"</f>
        <v>2025-03-29 21:09:13.793</v>
      </c>
      <c r="H3076" t="s">
        <v>37</v>
      </c>
    </row>
    <row r="3077" spans="1:10" x14ac:dyDescent="0.25">
      <c r="A3077" s="1">
        <v>122</v>
      </c>
      <c r="B3077" t="s">
        <v>19</v>
      </c>
      <c r="C3077">
        <v>706</v>
      </c>
      <c r="D3077">
        <v>4</v>
      </c>
      <c r="E3077" t="s">
        <v>28</v>
      </c>
      <c r="F3077" t="s">
        <v>29</v>
      </c>
      <c r="G3077" t="str">
        <f>"2025-03-29 21:08:43.755"</f>
        <v>2025-03-29 21:08:43.755</v>
      </c>
      <c r="H3077" t="s">
        <v>21</v>
      </c>
      <c r="I3077">
        <v>0</v>
      </c>
      <c r="J3077" t="s">
        <v>30</v>
      </c>
    </row>
    <row r="3078" spans="1:10" x14ac:dyDescent="0.25">
      <c r="A3078" s="1">
        <v>123</v>
      </c>
      <c r="B3078" t="s">
        <v>38</v>
      </c>
      <c r="C3078">
        <v>630</v>
      </c>
      <c r="D3078">
        <v>5</v>
      </c>
      <c r="E3078" t="s">
        <v>35</v>
      </c>
      <c r="F3078" t="s">
        <v>36</v>
      </c>
      <c r="G3078" t="str">
        <f>"2025-03-29 21:03:32.594"</f>
        <v>2025-03-29 21:03:32.594</v>
      </c>
      <c r="H3078" t="s">
        <v>37</v>
      </c>
      <c r="I3078">
        <v>0</v>
      </c>
      <c r="J3078" t="s">
        <v>30</v>
      </c>
    </row>
    <row r="3079" spans="1:10" x14ac:dyDescent="0.25">
      <c r="A3079" s="1">
        <v>124</v>
      </c>
      <c r="B3079" t="s">
        <v>19</v>
      </c>
      <c r="C3079">
        <v>706</v>
      </c>
      <c r="D3079">
        <v>2</v>
      </c>
      <c r="E3079" t="s">
        <v>28</v>
      </c>
      <c r="F3079" t="s">
        <v>39</v>
      </c>
      <c r="G3079" t="str">
        <f>"2025-03-29 17:48:56.485"</f>
        <v>2025-03-29 17:48:56.485</v>
      </c>
      <c r="H3079" t="s">
        <v>21</v>
      </c>
      <c r="I3079">
        <v>0</v>
      </c>
      <c r="J3079" t="s">
        <v>86</v>
      </c>
    </row>
    <row r="3080" spans="1:10" x14ac:dyDescent="0.25">
      <c r="A3080" s="1">
        <v>125</v>
      </c>
      <c r="B3080" t="s">
        <v>19</v>
      </c>
      <c r="C3080">
        <v>700</v>
      </c>
      <c r="D3080">
        <v>0</v>
      </c>
      <c r="E3080" t="s">
        <v>20</v>
      </c>
      <c r="F3080" t="s">
        <v>20</v>
      </c>
      <c r="G3080" t="str">
        <f>"2025-03-29 17:48:35.555"</f>
        <v>2025-03-29 17:48:35.555</v>
      </c>
      <c r="H3080" t="s">
        <v>21</v>
      </c>
      <c r="I3080">
        <v>0</v>
      </c>
      <c r="J3080" t="s">
        <v>22</v>
      </c>
    </row>
    <row r="3081" spans="1:10" x14ac:dyDescent="0.25">
      <c r="A3081" s="1">
        <v>126</v>
      </c>
      <c r="B3081" t="s">
        <v>23</v>
      </c>
      <c r="C3081">
        <v>61</v>
      </c>
      <c r="D3081">
        <v>2</v>
      </c>
      <c r="E3081" t="s">
        <v>75</v>
      </c>
      <c r="F3081" t="s">
        <v>76</v>
      </c>
      <c r="G3081" t="str">
        <f>"2025-03-29 06:13:15.476"</f>
        <v>2025-03-29 06:13:15.476</v>
      </c>
      <c r="H3081" t="s">
        <v>21</v>
      </c>
    </row>
    <row r="3082" spans="1:10" x14ac:dyDescent="0.25">
      <c r="A3082" s="1">
        <v>127</v>
      </c>
      <c r="B3082" t="s">
        <v>38</v>
      </c>
      <c r="C3082">
        <v>61</v>
      </c>
      <c r="D3082">
        <v>2</v>
      </c>
      <c r="E3082" t="s">
        <v>75</v>
      </c>
      <c r="F3082" t="s">
        <v>76</v>
      </c>
      <c r="G3082" t="str">
        <f>"2025-03-29 06:13:06.175"</f>
        <v>2025-03-29 06:13:06.175</v>
      </c>
      <c r="H3082" t="s">
        <v>21</v>
      </c>
      <c r="I3082">
        <v>35.24</v>
      </c>
      <c r="J3082" t="s">
        <v>27</v>
      </c>
    </row>
    <row r="3083" spans="1:10" x14ac:dyDescent="0.25">
      <c r="A3083" s="1">
        <v>128</v>
      </c>
      <c r="B3083" t="s">
        <v>23</v>
      </c>
      <c r="C3083">
        <v>630</v>
      </c>
      <c r="D3083">
        <v>5</v>
      </c>
      <c r="E3083" t="s">
        <v>35</v>
      </c>
      <c r="F3083" t="s">
        <v>36</v>
      </c>
      <c r="G3083" t="str">
        <f>"2025-03-27 19:41:46.463"</f>
        <v>2025-03-27 19:41:46.463</v>
      </c>
      <c r="H3083" t="s">
        <v>37</v>
      </c>
    </row>
    <row r="3084" spans="1:10" x14ac:dyDescent="0.25">
      <c r="A3084" s="1">
        <v>129</v>
      </c>
      <c r="B3084" t="s">
        <v>19</v>
      </c>
      <c r="C3084">
        <v>706</v>
      </c>
      <c r="D3084">
        <v>4</v>
      </c>
      <c r="E3084" t="s">
        <v>28</v>
      </c>
      <c r="F3084" t="s">
        <v>29</v>
      </c>
      <c r="G3084" t="str">
        <f>"2025-03-27 19:41:16.356"</f>
        <v>2025-03-27 19:41:16.356</v>
      </c>
      <c r="H3084" t="s">
        <v>21</v>
      </c>
      <c r="I3084">
        <v>0</v>
      </c>
      <c r="J3084" t="s">
        <v>30</v>
      </c>
    </row>
    <row r="3085" spans="1:10" x14ac:dyDescent="0.25">
      <c r="A3085" s="1">
        <v>130</v>
      </c>
      <c r="B3085" t="s">
        <v>38</v>
      </c>
      <c r="C3085">
        <v>630</v>
      </c>
      <c r="D3085">
        <v>5</v>
      </c>
      <c r="E3085" t="s">
        <v>35</v>
      </c>
      <c r="F3085" t="s">
        <v>36</v>
      </c>
      <c r="G3085" t="str">
        <f>"2025-03-27 19:33:35.663"</f>
        <v>2025-03-27 19:33:35.663</v>
      </c>
      <c r="H3085" t="s">
        <v>37</v>
      </c>
      <c r="I3085">
        <v>0</v>
      </c>
      <c r="J3085" t="s">
        <v>30</v>
      </c>
    </row>
    <row r="3086" spans="1:10" x14ac:dyDescent="0.25">
      <c r="A3086" s="1">
        <v>131</v>
      </c>
      <c r="B3086" t="s">
        <v>23</v>
      </c>
      <c r="C3086">
        <v>98</v>
      </c>
      <c r="D3086">
        <v>1</v>
      </c>
      <c r="E3086" t="s">
        <v>65</v>
      </c>
      <c r="F3086" t="s">
        <v>66</v>
      </c>
      <c r="G3086" t="str">
        <f>"2025-03-27 07:08:54.575"</f>
        <v>2025-03-27 07:08:54.575</v>
      </c>
      <c r="H3086" t="s">
        <v>21</v>
      </c>
    </row>
    <row r="3087" spans="1:10" x14ac:dyDescent="0.25">
      <c r="A3087" s="1">
        <v>132</v>
      </c>
      <c r="B3087" t="s">
        <v>26</v>
      </c>
      <c r="C3087">
        <v>98</v>
      </c>
      <c r="D3087">
        <v>1</v>
      </c>
      <c r="E3087" t="s">
        <v>65</v>
      </c>
      <c r="F3087" t="s">
        <v>66</v>
      </c>
      <c r="G3087" t="str">
        <f>"2025-03-27 07:08:53.576"</f>
        <v>2025-03-27 07:08:53.576</v>
      </c>
      <c r="H3087" t="s">
        <v>21</v>
      </c>
      <c r="I3087">
        <v>0</v>
      </c>
      <c r="J3087" t="s">
        <v>34</v>
      </c>
    </row>
    <row r="3088" spans="1:10" x14ac:dyDescent="0.25">
      <c r="A3088" s="1">
        <v>133</v>
      </c>
      <c r="B3088" t="s">
        <v>23</v>
      </c>
      <c r="C3088">
        <v>630</v>
      </c>
      <c r="D3088">
        <v>5</v>
      </c>
      <c r="E3088" t="s">
        <v>35</v>
      </c>
      <c r="F3088" t="s">
        <v>36</v>
      </c>
      <c r="G3088" t="str">
        <f>"2025-03-26 19:36:50.563"</f>
        <v>2025-03-26 19:36:50.563</v>
      </c>
      <c r="H3088" t="s">
        <v>37</v>
      </c>
    </row>
    <row r="3089" spans="1:10" x14ac:dyDescent="0.25">
      <c r="A3089" s="1">
        <v>134</v>
      </c>
      <c r="B3089" t="s">
        <v>19</v>
      </c>
      <c r="C3089">
        <v>706</v>
      </c>
      <c r="D3089">
        <v>4</v>
      </c>
      <c r="E3089" t="s">
        <v>28</v>
      </c>
      <c r="F3089" t="s">
        <v>29</v>
      </c>
      <c r="G3089" t="str">
        <f>"2025-03-26 19:36:20.476"</f>
        <v>2025-03-26 19:36:20.476</v>
      </c>
      <c r="H3089" t="s">
        <v>21</v>
      </c>
      <c r="I3089">
        <v>0</v>
      </c>
      <c r="J3089" t="s">
        <v>30</v>
      </c>
    </row>
    <row r="3090" spans="1:10" x14ac:dyDescent="0.25">
      <c r="A3090" s="1">
        <v>135</v>
      </c>
      <c r="B3090" t="s">
        <v>38</v>
      </c>
      <c r="C3090">
        <v>630</v>
      </c>
      <c r="D3090">
        <v>5</v>
      </c>
      <c r="E3090" t="s">
        <v>35</v>
      </c>
      <c r="F3090" t="s">
        <v>36</v>
      </c>
      <c r="G3090" t="str">
        <f>"2025-03-26 19:27:39.064"</f>
        <v>2025-03-26 19:27:39.064</v>
      </c>
      <c r="H3090" t="s">
        <v>37</v>
      </c>
      <c r="I3090">
        <v>0</v>
      </c>
      <c r="J3090" t="s">
        <v>30</v>
      </c>
    </row>
    <row r="3091" spans="1:10" x14ac:dyDescent="0.25">
      <c r="A3091" s="1">
        <v>136</v>
      </c>
      <c r="B3091" t="s">
        <v>19</v>
      </c>
      <c r="C3091">
        <v>706</v>
      </c>
      <c r="D3091">
        <v>2</v>
      </c>
      <c r="E3091" t="s">
        <v>28</v>
      </c>
      <c r="F3091" t="s">
        <v>39</v>
      </c>
      <c r="G3091" t="str">
        <f>"2025-03-25 19:37:54.876"</f>
        <v>2025-03-25 19:37:54.876</v>
      </c>
      <c r="H3091" t="s">
        <v>21</v>
      </c>
      <c r="I3091">
        <v>0</v>
      </c>
      <c r="J3091" t="s">
        <v>30</v>
      </c>
    </row>
    <row r="3092" spans="1:10" x14ac:dyDescent="0.25">
      <c r="A3092" s="1">
        <v>137</v>
      </c>
      <c r="B3092" t="s">
        <v>19</v>
      </c>
      <c r="C3092">
        <v>700</v>
      </c>
      <c r="D3092">
        <v>0</v>
      </c>
      <c r="E3092" t="s">
        <v>20</v>
      </c>
      <c r="F3092" t="s">
        <v>20</v>
      </c>
      <c r="G3092" t="str">
        <f>"2025-03-25 19:37:23.396"</f>
        <v>2025-03-25 19:37:23.396</v>
      </c>
      <c r="H3092" t="s">
        <v>21</v>
      </c>
    </row>
    <row r="3093" spans="1:10" x14ac:dyDescent="0.25">
      <c r="A3093" s="1">
        <v>138</v>
      </c>
      <c r="B3093" t="s">
        <v>19</v>
      </c>
      <c r="C3093">
        <v>700</v>
      </c>
      <c r="D3093">
        <v>0</v>
      </c>
      <c r="E3093" t="s">
        <v>20</v>
      </c>
      <c r="F3093" t="s">
        <v>20</v>
      </c>
      <c r="G3093" t="str">
        <f>"2025-03-24 21:25:04.373"</f>
        <v>2025-03-24 21:25:04.373</v>
      </c>
      <c r="H3093" t="s">
        <v>21</v>
      </c>
    </row>
    <row r="3094" spans="1:10" x14ac:dyDescent="0.25">
      <c r="A3094" s="1">
        <v>139</v>
      </c>
      <c r="B3094" t="s">
        <v>19</v>
      </c>
      <c r="C3094">
        <v>700</v>
      </c>
      <c r="D3094">
        <v>0</v>
      </c>
      <c r="E3094" t="s">
        <v>20</v>
      </c>
      <c r="F3094" t="s">
        <v>20</v>
      </c>
      <c r="G3094" t="str">
        <f>"2025-03-24 16:45:10.391"</f>
        <v>2025-03-24 16:45:10.391</v>
      </c>
      <c r="H3094" t="s">
        <v>21</v>
      </c>
      <c r="I3094">
        <v>0</v>
      </c>
      <c r="J3094" t="s">
        <v>22</v>
      </c>
    </row>
    <row r="3095" spans="1:10" x14ac:dyDescent="0.25">
      <c r="A3095" s="1">
        <v>140</v>
      </c>
      <c r="B3095" t="s">
        <v>19</v>
      </c>
      <c r="C3095">
        <v>700</v>
      </c>
      <c r="D3095">
        <v>0</v>
      </c>
      <c r="E3095" t="s">
        <v>20</v>
      </c>
      <c r="F3095" t="s">
        <v>20</v>
      </c>
      <c r="G3095" t="str">
        <f>"2025-03-24 16:40:28.384"</f>
        <v>2025-03-24 16:40:28.384</v>
      </c>
      <c r="H3095" t="s">
        <v>21</v>
      </c>
    </row>
    <row r="3096" spans="1:10" x14ac:dyDescent="0.25">
      <c r="A3096" s="1">
        <v>141</v>
      </c>
      <c r="B3096" t="s">
        <v>19</v>
      </c>
      <c r="C3096">
        <v>700</v>
      </c>
      <c r="D3096">
        <v>0</v>
      </c>
      <c r="E3096" t="s">
        <v>20</v>
      </c>
      <c r="F3096" t="s">
        <v>20</v>
      </c>
      <c r="G3096" t="str">
        <f>"2025-03-24 16:24:05.631"</f>
        <v>2025-03-24 16:24:05.631</v>
      </c>
      <c r="H3096" t="s">
        <v>21</v>
      </c>
    </row>
    <row r="3097" spans="1:10" x14ac:dyDescent="0.25">
      <c r="A3097" s="1">
        <v>142</v>
      </c>
      <c r="B3097" t="s">
        <v>19</v>
      </c>
      <c r="C3097">
        <v>700</v>
      </c>
      <c r="D3097">
        <v>0</v>
      </c>
      <c r="E3097" t="s">
        <v>20</v>
      </c>
      <c r="F3097" t="s">
        <v>20</v>
      </c>
      <c r="G3097" t="str">
        <f>"2025-03-24 14:44:44.370"</f>
        <v>2025-03-24 14:44:44.370</v>
      </c>
      <c r="H3097" t="s">
        <v>21</v>
      </c>
    </row>
    <row r="3098" spans="1:10" x14ac:dyDescent="0.25">
      <c r="A3098" s="1">
        <v>143</v>
      </c>
      <c r="B3098" t="s">
        <v>19</v>
      </c>
      <c r="C3098">
        <v>700</v>
      </c>
      <c r="D3098">
        <v>0</v>
      </c>
      <c r="E3098" t="s">
        <v>20</v>
      </c>
      <c r="F3098" t="s">
        <v>20</v>
      </c>
      <c r="G3098" t="str">
        <f>"2025-03-24 14:31:53.382"</f>
        <v>2025-03-24 14:31:53.382</v>
      </c>
      <c r="H3098" t="s">
        <v>21</v>
      </c>
    </row>
    <row r="3099" spans="1:10" x14ac:dyDescent="0.25">
      <c r="A3099" s="1">
        <v>144</v>
      </c>
      <c r="B3099" t="s">
        <v>40</v>
      </c>
      <c r="C3099">
        <v>137</v>
      </c>
      <c r="D3099">
        <v>4</v>
      </c>
      <c r="E3099" t="s">
        <v>87</v>
      </c>
      <c r="F3099" t="s">
        <v>88</v>
      </c>
      <c r="G3099" t="str">
        <f>"2025-03-23 21:34:34.562"</f>
        <v>2025-03-23 21:34:34.562</v>
      </c>
      <c r="H3099" t="s">
        <v>89</v>
      </c>
    </row>
    <row r="3100" spans="1:10" x14ac:dyDescent="0.25">
      <c r="A3100" s="1">
        <v>145</v>
      </c>
      <c r="B3100" t="s">
        <v>38</v>
      </c>
      <c r="C3100">
        <v>137</v>
      </c>
      <c r="D3100">
        <v>4</v>
      </c>
      <c r="E3100" t="s">
        <v>87</v>
      </c>
      <c r="F3100" t="s">
        <v>88</v>
      </c>
      <c r="G3100" t="str">
        <f>"2025-03-23 21:34:29.505"</f>
        <v>2025-03-23 21:34:29.505</v>
      </c>
      <c r="H3100" t="s">
        <v>89</v>
      </c>
      <c r="I3100">
        <v>11.86</v>
      </c>
      <c r="J3100" t="s">
        <v>33</v>
      </c>
    </row>
    <row r="3101" spans="1:10" x14ac:dyDescent="0.25">
      <c r="A3101" s="1">
        <v>146</v>
      </c>
      <c r="B3101" t="s">
        <v>19</v>
      </c>
      <c r="C3101">
        <v>700</v>
      </c>
      <c r="D3101">
        <v>0</v>
      </c>
      <c r="E3101" t="s">
        <v>20</v>
      </c>
      <c r="F3101" t="s">
        <v>20</v>
      </c>
      <c r="G3101" t="str">
        <f>"2025-03-23 19:40:10.411"</f>
        <v>2025-03-23 19:40:10.411</v>
      </c>
      <c r="H3101" t="s">
        <v>21</v>
      </c>
    </row>
    <row r="3102" spans="1:10" x14ac:dyDescent="0.25">
      <c r="A3102" s="1">
        <v>147</v>
      </c>
      <c r="B3102" t="s">
        <v>23</v>
      </c>
      <c r="C3102">
        <v>98</v>
      </c>
      <c r="D3102">
        <v>1</v>
      </c>
      <c r="E3102" t="s">
        <v>65</v>
      </c>
      <c r="F3102" t="s">
        <v>66</v>
      </c>
      <c r="G3102" t="str">
        <f>"2025-03-23 19:20:23.052"</f>
        <v>2025-03-23 19:20:23.052</v>
      </c>
      <c r="H3102" t="s">
        <v>21</v>
      </c>
    </row>
    <row r="3103" spans="1:10" x14ac:dyDescent="0.25">
      <c r="A3103" s="1">
        <v>148</v>
      </c>
      <c r="B3103" t="s">
        <v>26</v>
      </c>
      <c r="C3103">
        <v>98</v>
      </c>
      <c r="D3103">
        <v>1</v>
      </c>
      <c r="E3103" t="s">
        <v>65</v>
      </c>
      <c r="F3103" t="s">
        <v>66</v>
      </c>
      <c r="G3103" t="str">
        <f>"2025-03-23 19:20:21.952"</f>
        <v>2025-03-23 19:20:21.952</v>
      </c>
      <c r="H3103" t="s">
        <v>21</v>
      </c>
      <c r="I3103">
        <v>0</v>
      </c>
      <c r="J3103" t="s">
        <v>34</v>
      </c>
    </row>
    <row r="3104" spans="1:10" x14ac:dyDescent="0.25">
      <c r="A3104" s="1">
        <v>150</v>
      </c>
      <c r="B3104" t="s">
        <v>40</v>
      </c>
      <c r="C3104">
        <v>137</v>
      </c>
      <c r="D3104">
        <v>4</v>
      </c>
      <c r="E3104" t="s">
        <v>87</v>
      </c>
      <c r="F3104" t="s">
        <v>88</v>
      </c>
      <c r="G3104" t="str">
        <f>"2025-03-23 16:49:08.632"</f>
        <v>2025-03-23 16:49:08.632</v>
      </c>
      <c r="H3104" t="s">
        <v>89</v>
      </c>
    </row>
    <row r="3105" spans="1:10" x14ac:dyDescent="0.25">
      <c r="A3105" s="1">
        <v>151</v>
      </c>
      <c r="B3105" t="s">
        <v>38</v>
      </c>
      <c r="C3105">
        <v>137</v>
      </c>
      <c r="D3105">
        <v>4</v>
      </c>
      <c r="E3105" t="s">
        <v>87</v>
      </c>
      <c r="F3105" t="s">
        <v>88</v>
      </c>
      <c r="G3105" t="str">
        <f>"2025-03-23 16:49:03.615"</f>
        <v>2025-03-23 16:49:03.615</v>
      </c>
      <c r="H3105" t="s">
        <v>89</v>
      </c>
      <c r="I3105">
        <v>24.03</v>
      </c>
      <c r="J3105" t="s">
        <v>33</v>
      </c>
    </row>
    <row r="3106" spans="1:10" x14ac:dyDescent="0.25">
      <c r="A3106" s="1">
        <v>152</v>
      </c>
      <c r="B3106" t="s">
        <v>19</v>
      </c>
      <c r="C3106">
        <v>706</v>
      </c>
      <c r="D3106">
        <v>4</v>
      </c>
      <c r="E3106" t="s">
        <v>28</v>
      </c>
      <c r="F3106" t="s">
        <v>29</v>
      </c>
      <c r="G3106" t="str">
        <f>"2025-03-22 19:40:57.719"</f>
        <v>2025-03-22 19:40:57.719</v>
      </c>
      <c r="H3106" t="s">
        <v>21</v>
      </c>
      <c r="I3106">
        <v>0</v>
      </c>
      <c r="J3106" t="s">
        <v>30</v>
      </c>
    </row>
    <row r="3107" spans="1:10" x14ac:dyDescent="0.25">
      <c r="A3107" s="1">
        <v>153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"2025-03-22 19:39:01.379"</f>
        <v>2025-03-22 19:39:01.379</v>
      </c>
      <c r="H3107" t="s">
        <v>21</v>
      </c>
      <c r="I3107">
        <v>0</v>
      </c>
      <c r="J3107" t="s">
        <v>22</v>
      </c>
    </row>
    <row r="3108" spans="1:10" s="3" customFormat="1" x14ac:dyDescent="0.25">
      <c r="A3108" s="2">
        <v>154</v>
      </c>
      <c r="B3108" s="3" t="s">
        <v>23</v>
      </c>
      <c r="C3108" s="3">
        <v>647</v>
      </c>
      <c r="D3108" s="3">
        <v>1</v>
      </c>
      <c r="E3108" s="3" t="s">
        <v>24</v>
      </c>
      <c r="F3108" s="3" t="s">
        <v>25</v>
      </c>
      <c r="G3108" s="3" t="str">
        <f>"2025-03-22 14:29:32.159"</f>
        <v>2025-03-22 14:29:32.159</v>
      </c>
      <c r="H3108" s="3" t="s">
        <v>21</v>
      </c>
    </row>
    <row r="3109" spans="1:10" s="3" customFormat="1" x14ac:dyDescent="0.25">
      <c r="A3109" s="2">
        <v>155</v>
      </c>
      <c r="B3109" s="3" t="s">
        <v>26</v>
      </c>
      <c r="C3109" s="3">
        <v>647</v>
      </c>
      <c r="D3109" s="3">
        <v>1</v>
      </c>
      <c r="E3109" s="3" t="s">
        <v>24</v>
      </c>
      <c r="F3109" s="3" t="s">
        <v>25</v>
      </c>
      <c r="G3109" s="3" t="str">
        <f>"2025-03-22 14:29:27.059"</f>
        <v>2025-03-22 14:29:27.059</v>
      </c>
      <c r="H3109" s="3" t="s">
        <v>21</v>
      </c>
      <c r="I3109" s="3">
        <v>19.600000000000001</v>
      </c>
      <c r="J3109" s="3" t="s">
        <v>27</v>
      </c>
    </row>
    <row r="3110" spans="1:10" x14ac:dyDescent="0.25">
      <c r="A3110" s="1">
        <v>156</v>
      </c>
      <c r="B3110" t="s">
        <v>23</v>
      </c>
      <c r="C3110">
        <v>98</v>
      </c>
      <c r="D3110">
        <v>1</v>
      </c>
      <c r="E3110" t="s">
        <v>65</v>
      </c>
      <c r="F3110" t="s">
        <v>66</v>
      </c>
      <c r="G3110" t="str">
        <f>"2025-03-22 14:25:14.679"</f>
        <v>2025-03-22 14:25:14.679</v>
      </c>
      <c r="H3110" t="s">
        <v>21</v>
      </c>
    </row>
    <row r="3111" spans="1:10" x14ac:dyDescent="0.25">
      <c r="A3111" s="1">
        <v>157</v>
      </c>
      <c r="B3111" t="s">
        <v>26</v>
      </c>
      <c r="C3111">
        <v>98</v>
      </c>
      <c r="D3111">
        <v>1</v>
      </c>
      <c r="E3111" t="s">
        <v>65</v>
      </c>
      <c r="F3111" t="s">
        <v>66</v>
      </c>
      <c r="G3111" t="str">
        <f>"2025-03-22 14:25:13.679"</f>
        <v>2025-03-22 14:25:13.679</v>
      </c>
      <c r="H3111" t="s">
        <v>21</v>
      </c>
      <c r="I3111">
        <v>0</v>
      </c>
      <c r="J3111" t="s">
        <v>34</v>
      </c>
    </row>
    <row r="3112" spans="1:10" x14ac:dyDescent="0.25">
      <c r="A3112" s="1">
        <v>158</v>
      </c>
      <c r="B3112" t="s">
        <v>40</v>
      </c>
      <c r="C3112">
        <v>237</v>
      </c>
      <c r="D3112">
        <v>4</v>
      </c>
      <c r="E3112" t="s">
        <v>90</v>
      </c>
      <c r="F3112" t="s">
        <v>88</v>
      </c>
      <c r="G3112" t="str">
        <f>"2025-03-22 10:29:45.179"</f>
        <v>2025-03-22 10:29:45.179</v>
      </c>
      <c r="H3112" t="s">
        <v>69</v>
      </c>
    </row>
    <row r="3113" spans="1:10" x14ac:dyDescent="0.25">
      <c r="A3113" s="1">
        <v>159</v>
      </c>
      <c r="B3113" t="s">
        <v>38</v>
      </c>
      <c r="C3113">
        <v>237</v>
      </c>
      <c r="D3113">
        <v>4</v>
      </c>
      <c r="E3113" t="s">
        <v>90</v>
      </c>
      <c r="F3113" t="s">
        <v>88</v>
      </c>
      <c r="G3113" t="str">
        <f>"2025-03-22 10:29:40.082"</f>
        <v>2025-03-22 10:29:40.082</v>
      </c>
      <c r="H3113" t="s">
        <v>69</v>
      </c>
      <c r="I3113">
        <v>0.28999999999999998</v>
      </c>
      <c r="J3113" t="s">
        <v>34</v>
      </c>
    </row>
    <row r="3114" spans="1:10" x14ac:dyDescent="0.25">
      <c r="A3114" s="1">
        <v>160</v>
      </c>
      <c r="B3114" t="s">
        <v>40</v>
      </c>
      <c r="C3114">
        <v>237</v>
      </c>
      <c r="D3114">
        <v>4</v>
      </c>
      <c r="E3114" t="s">
        <v>90</v>
      </c>
      <c r="F3114" t="s">
        <v>88</v>
      </c>
      <c r="G3114" t="str">
        <f>"2025-03-22 06:58:27.880"</f>
        <v>2025-03-22 06:58:27.880</v>
      </c>
      <c r="H3114" t="s">
        <v>69</v>
      </c>
    </row>
    <row r="3115" spans="1:10" x14ac:dyDescent="0.25">
      <c r="A3115" s="1">
        <v>161</v>
      </c>
      <c r="B3115" t="s">
        <v>38</v>
      </c>
      <c r="C3115">
        <v>237</v>
      </c>
      <c r="D3115">
        <v>4</v>
      </c>
      <c r="E3115" t="s">
        <v>90</v>
      </c>
      <c r="F3115" t="s">
        <v>88</v>
      </c>
      <c r="G3115" t="str">
        <f>"2025-03-22 06:58:22.842"</f>
        <v>2025-03-22 06:58:22.842</v>
      </c>
      <c r="H3115" t="s">
        <v>69</v>
      </c>
      <c r="I3115">
        <v>13.64</v>
      </c>
      <c r="J3115" t="s">
        <v>33</v>
      </c>
    </row>
    <row r="3116" spans="1:10" x14ac:dyDescent="0.25">
      <c r="A3116" s="1">
        <v>162</v>
      </c>
      <c r="B3116" t="s">
        <v>40</v>
      </c>
      <c r="C3116">
        <v>237</v>
      </c>
      <c r="D3116">
        <v>4</v>
      </c>
      <c r="E3116" t="s">
        <v>90</v>
      </c>
      <c r="F3116" t="s">
        <v>88</v>
      </c>
      <c r="G3116" t="str">
        <f>"2025-03-22 05:39:12.780"</f>
        <v>2025-03-22 05:39:12.780</v>
      </c>
      <c r="H3116" t="s">
        <v>69</v>
      </c>
    </row>
    <row r="3117" spans="1:10" x14ac:dyDescent="0.25">
      <c r="A3117" s="1">
        <v>163</v>
      </c>
      <c r="B3117" t="s">
        <v>38</v>
      </c>
      <c r="C3117">
        <v>237</v>
      </c>
      <c r="D3117">
        <v>4</v>
      </c>
      <c r="E3117" t="s">
        <v>90</v>
      </c>
      <c r="F3117" t="s">
        <v>88</v>
      </c>
      <c r="G3117" t="str">
        <f>"2025-03-22 05:39:07.722"</f>
        <v>2025-03-22 05:39:07.722</v>
      </c>
      <c r="H3117" t="s">
        <v>69</v>
      </c>
      <c r="I3117">
        <v>23.95</v>
      </c>
      <c r="J3117" t="s">
        <v>33</v>
      </c>
    </row>
    <row r="3118" spans="1:10" s="3" customFormat="1" x14ac:dyDescent="0.25">
      <c r="A3118" s="2">
        <v>164</v>
      </c>
      <c r="B3118" s="3" t="s">
        <v>23</v>
      </c>
      <c r="C3118" s="3">
        <v>647</v>
      </c>
      <c r="D3118" s="3">
        <v>1</v>
      </c>
      <c r="E3118" s="3" t="s">
        <v>24</v>
      </c>
      <c r="F3118" s="3" t="s">
        <v>25</v>
      </c>
      <c r="G3118" s="3" t="str">
        <f>"2025-03-21 17:43:41.259"</f>
        <v>2025-03-21 17:43:41.259</v>
      </c>
      <c r="H3118" s="3" t="s">
        <v>21</v>
      </c>
    </row>
    <row r="3119" spans="1:10" s="3" customFormat="1" x14ac:dyDescent="0.25">
      <c r="A3119" s="2">
        <v>165</v>
      </c>
      <c r="B3119" s="3" t="s">
        <v>26</v>
      </c>
      <c r="C3119" s="3">
        <v>647</v>
      </c>
      <c r="D3119" s="3">
        <v>1</v>
      </c>
      <c r="E3119" s="3" t="s">
        <v>24</v>
      </c>
      <c r="F3119" s="3" t="s">
        <v>25</v>
      </c>
      <c r="G3119" s="3" t="str">
        <f>"2025-03-21 17:43:39.159"</f>
        <v>2025-03-21 17:43:39.159</v>
      </c>
      <c r="H3119" s="3" t="s">
        <v>21</v>
      </c>
      <c r="I3119" s="3">
        <v>17.579999999999998</v>
      </c>
      <c r="J3119" s="3" t="s">
        <v>27</v>
      </c>
    </row>
    <row r="3120" spans="1:10" x14ac:dyDescent="0.25">
      <c r="A3120" s="1">
        <v>166</v>
      </c>
      <c r="B3120" t="s">
        <v>23</v>
      </c>
      <c r="C3120">
        <v>635</v>
      </c>
      <c r="D3120">
        <v>1</v>
      </c>
      <c r="E3120" t="s">
        <v>31</v>
      </c>
      <c r="F3120" t="s">
        <v>32</v>
      </c>
      <c r="G3120" t="str">
        <f>"2025-03-21 17:02:54.806"</f>
        <v>2025-03-21 17:02:54.806</v>
      </c>
      <c r="H3120" t="s">
        <v>21</v>
      </c>
    </row>
    <row r="3121" spans="1:10" x14ac:dyDescent="0.25">
      <c r="A3121" s="1">
        <v>167</v>
      </c>
      <c r="B3121" t="s">
        <v>26</v>
      </c>
      <c r="C3121">
        <v>635</v>
      </c>
      <c r="D3121">
        <v>1</v>
      </c>
      <c r="E3121" t="s">
        <v>31</v>
      </c>
      <c r="F3121" t="s">
        <v>32</v>
      </c>
      <c r="G3121" t="str">
        <f>"2025-03-21 16:59:50.306"</f>
        <v>2025-03-21 16:59:50.306</v>
      </c>
      <c r="H3121" t="s">
        <v>21</v>
      </c>
      <c r="I3121">
        <v>6.75</v>
      </c>
      <c r="J3121" t="s">
        <v>33</v>
      </c>
    </row>
    <row r="3122" spans="1:10" s="3" customFormat="1" x14ac:dyDescent="0.25">
      <c r="A3122" s="2">
        <v>168</v>
      </c>
      <c r="B3122" s="3" t="s">
        <v>23</v>
      </c>
      <c r="C3122" s="3">
        <v>647</v>
      </c>
      <c r="D3122" s="3">
        <v>1</v>
      </c>
      <c r="E3122" s="3" t="s">
        <v>24</v>
      </c>
      <c r="F3122" s="3" t="s">
        <v>25</v>
      </c>
      <c r="G3122" s="3" t="str">
        <f>"2025-03-21 16:46:49.959"</f>
        <v>2025-03-21 16:46:49.959</v>
      </c>
      <c r="H3122" s="3" t="s">
        <v>21</v>
      </c>
    </row>
    <row r="3123" spans="1:10" s="3" customFormat="1" x14ac:dyDescent="0.25">
      <c r="A3123" s="2">
        <v>169</v>
      </c>
      <c r="B3123" s="3" t="s">
        <v>26</v>
      </c>
      <c r="C3123" s="3">
        <v>647</v>
      </c>
      <c r="D3123" s="3">
        <v>1</v>
      </c>
      <c r="E3123" s="3" t="s">
        <v>24</v>
      </c>
      <c r="F3123" s="3" t="s">
        <v>25</v>
      </c>
      <c r="G3123" s="3" t="str">
        <f>"2025-03-21 16:46:46.659"</f>
        <v>2025-03-21 16:46:46.659</v>
      </c>
      <c r="H3123" s="3" t="s">
        <v>21</v>
      </c>
      <c r="I3123" s="3">
        <v>19.940000000000001</v>
      </c>
      <c r="J3123" s="3" t="s">
        <v>27</v>
      </c>
    </row>
    <row r="3124" spans="1:10" x14ac:dyDescent="0.25">
      <c r="A3124" s="1">
        <v>170</v>
      </c>
      <c r="B3124" t="s">
        <v>23</v>
      </c>
      <c r="C3124">
        <v>630</v>
      </c>
      <c r="D3124">
        <v>5</v>
      </c>
      <c r="E3124" t="s">
        <v>35</v>
      </c>
      <c r="F3124" t="s">
        <v>36</v>
      </c>
      <c r="G3124" t="str">
        <f>"2025-03-20 13:39:40.459"</f>
        <v>2025-03-20 13:39:40.459</v>
      </c>
      <c r="H3124" t="s">
        <v>37</v>
      </c>
    </row>
    <row r="3125" spans="1:10" x14ac:dyDescent="0.25">
      <c r="A3125" s="1">
        <v>171</v>
      </c>
      <c r="B3125" t="s">
        <v>19</v>
      </c>
      <c r="C3125">
        <v>706</v>
      </c>
      <c r="D3125">
        <v>4</v>
      </c>
      <c r="E3125" t="s">
        <v>28</v>
      </c>
      <c r="F3125" t="s">
        <v>29</v>
      </c>
      <c r="G3125" t="str">
        <f>"2025-03-20 13:39:10.411"</f>
        <v>2025-03-20 13:39:10.411</v>
      </c>
      <c r="H3125" t="s">
        <v>21</v>
      </c>
      <c r="I3125">
        <v>0</v>
      </c>
      <c r="J3125" t="s">
        <v>30</v>
      </c>
    </row>
    <row r="3126" spans="1:10" x14ac:dyDescent="0.25">
      <c r="A3126" s="1">
        <v>172</v>
      </c>
      <c r="B3126" t="s">
        <v>38</v>
      </c>
      <c r="C3126">
        <v>630</v>
      </c>
      <c r="D3126">
        <v>5</v>
      </c>
      <c r="E3126" t="s">
        <v>35</v>
      </c>
      <c r="F3126" t="s">
        <v>36</v>
      </c>
      <c r="G3126" t="str">
        <f>"2025-03-20 13:02:15.259"</f>
        <v>2025-03-20 13:02:15.259</v>
      </c>
      <c r="H3126" t="s">
        <v>37</v>
      </c>
      <c r="I3126">
        <v>0</v>
      </c>
      <c r="J3126" t="s">
        <v>30</v>
      </c>
    </row>
    <row r="3127" spans="1:10" x14ac:dyDescent="0.25">
      <c r="A3127" s="1">
        <v>175</v>
      </c>
      <c r="B3127" t="s">
        <v>23</v>
      </c>
      <c r="C3127">
        <v>635</v>
      </c>
      <c r="D3127">
        <v>1</v>
      </c>
      <c r="E3127" t="s">
        <v>31</v>
      </c>
      <c r="F3127" t="s">
        <v>32</v>
      </c>
      <c r="G3127" t="str">
        <f>"2025-03-17 12:09:44.706"</f>
        <v>2025-03-17 12:09:44.706</v>
      </c>
      <c r="H3127" t="s">
        <v>21</v>
      </c>
    </row>
    <row r="3128" spans="1:10" x14ac:dyDescent="0.25">
      <c r="A3128" s="1">
        <v>176</v>
      </c>
      <c r="B3128" t="s">
        <v>26</v>
      </c>
      <c r="C3128">
        <v>635</v>
      </c>
      <c r="D3128">
        <v>1</v>
      </c>
      <c r="E3128" t="s">
        <v>31</v>
      </c>
      <c r="F3128" t="s">
        <v>32</v>
      </c>
      <c r="G3128" t="str">
        <f>"2025-03-17 12:06:44.706"</f>
        <v>2025-03-17 12:06:44.706</v>
      </c>
      <c r="H3128" t="s">
        <v>21</v>
      </c>
      <c r="I3128">
        <v>0.35</v>
      </c>
      <c r="J3128" t="s">
        <v>27</v>
      </c>
    </row>
    <row r="3129" spans="1:10" x14ac:dyDescent="0.25">
      <c r="A3129" s="1">
        <v>177</v>
      </c>
      <c r="B3129" t="s">
        <v>23</v>
      </c>
      <c r="C3129">
        <v>630</v>
      </c>
      <c r="D3129">
        <v>5</v>
      </c>
      <c r="E3129" t="s">
        <v>35</v>
      </c>
      <c r="F3129" t="s">
        <v>36</v>
      </c>
      <c r="G3129" t="str">
        <f>"2025-03-17 09:35:33.159"</f>
        <v>2025-03-17 09:35:33.159</v>
      </c>
      <c r="H3129" t="s">
        <v>37</v>
      </c>
    </row>
    <row r="3130" spans="1:10" x14ac:dyDescent="0.25">
      <c r="A3130" s="1">
        <v>178</v>
      </c>
      <c r="B3130" t="s">
        <v>19</v>
      </c>
      <c r="C3130">
        <v>706</v>
      </c>
      <c r="D3130">
        <v>4</v>
      </c>
      <c r="E3130" t="s">
        <v>28</v>
      </c>
      <c r="F3130" t="s">
        <v>29</v>
      </c>
      <c r="G3130" t="str">
        <f>"2025-03-17 09:35:02.991"</f>
        <v>2025-03-17 09:35:02.991</v>
      </c>
      <c r="H3130" t="s">
        <v>21</v>
      </c>
      <c r="I3130">
        <v>0</v>
      </c>
      <c r="J3130" t="s">
        <v>30</v>
      </c>
    </row>
    <row r="3131" spans="1:10" x14ac:dyDescent="0.25">
      <c r="A3131" s="1">
        <v>179</v>
      </c>
      <c r="B3131" t="s">
        <v>38</v>
      </c>
      <c r="C3131">
        <v>630</v>
      </c>
      <c r="D3131">
        <v>5</v>
      </c>
      <c r="E3131" t="s">
        <v>35</v>
      </c>
      <c r="F3131" t="s">
        <v>36</v>
      </c>
      <c r="G3131" t="str">
        <f>"2025-03-17 09:22:35.859"</f>
        <v>2025-03-17 09:22:35.859</v>
      </c>
      <c r="H3131" t="s">
        <v>37</v>
      </c>
      <c r="I3131">
        <v>0</v>
      </c>
      <c r="J3131" t="s">
        <v>30</v>
      </c>
    </row>
    <row r="3132" spans="1:10" x14ac:dyDescent="0.25">
      <c r="A3132" s="1">
        <v>180</v>
      </c>
      <c r="B3132" t="s">
        <v>40</v>
      </c>
      <c r="C3132">
        <v>137</v>
      </c>
      <c r="D3132">
        <v>4</v>
      </c>
      <c r="E3132" t="s">
        <v>87</v>
      </c>
      <c r="F3132" t="s">
        <v>88</v>
      </c>
      <c r="G3132" t="str">
        <f>"2025-03-15 08:40:15.852"</f>
        <v>2025-03-15 08:40:15.852</v>
      </c>
      <c r="H3132" t="s">
        <v>89</v>
      </c>
    </row>
    <row r="3133" spans="1:10" x14ac:dyDescent="0.25">
      <c r="A3133" s="1">
        <v>181</v>
      </c>
      <c r="B3133" t="s">
        <v>38</v>
      </c>
      <c r="C3133">
        <v>137</v>
      </c>
      <c r="D3133">
        <v>4</v>
      </c>
      <c r="E3133" t="s">
        <v>87</v>
      </c>
      <c r="F3133" t="s">
        <v>88</v>
      </c>
      <c r="G3133" t="str">
        <f>"2025-03-15 08:40:10.802"</f>
        <v>2025-03-15 08:40:10.802</v>
      </c>
      <c r="H3133" t="s">
        <v>89</v>
      </c>
      <c r="I3133">
        <v>7.58</v>
      </c>
      <c r="J3133" t="s">
        <v>33</v>
      </c>
    </row>
    <row r="3134" spans="1:10" x14ac:dyDescent="0.25">
      <c r="A3134" s="1">
        <v>182</v>
      </c>
      <c r="B3134" t="s">
        <v>44</v>
      </c>
      <c r="C3134">
        <v>137</v>
      </c>
      <c r="D3134">
        <v>7</v>
      </c>
      <c r="E3134" t="s">
        <v>87</v>
      </c>
      <c r="F3134" t="s">
        <v>91</v>
      </c>
      <c r="G3134" t="str">
        <f>"2025-03-15 00:01:00.759"</f>
        <v>2025-03-15 00:01:00.759</v>
      </c>
      <c r="H3134" t="s">
        <v>89</v>
      </c>
    </row>
    <row r="3135" spans="1:10" x14ac:dyDescent="0.25">
      <c r="A3135" s="1">
        <v>183</v>
      </c>
      <c r="B3135" t="s">
        <v>38</v>
      </c>
      <c r="C3135">
        <v>137</v>
      </c>
      <c r="D3135">
        <v>7</v>
      </c>
      <c r="E3135" t="s">
        <v>87</v>
      </c>
      <c r="F3135" t="s">
        <v>91</v>
      </c>
      <c r="G3135" t="str">
        <f>"2025-03-15 00:00:57.102"</f>
        <v>2025-03-15 00:00:57.102</v>
      </c>
      <c r="H3135" t="s">
        <v>89</v>
      </c>
      <c r="I3135">
        <v>6.52</v>
      </c>
      <c r="J3135" t="s">
        <v>33</v>
      </c>
    </row>
    <row r="3136" spans="1:10" x14ac:dyDescent="0.25">
      <c r="A3136" s="1">
        <v>184</v>
      </c>
      <c r="B3136" t="s">
        <v>23</v>
      </c>
      <c r="C3136">
        <v>630</v>
      </c>
      <c r="D3136">
        <v>5</v>
      </c>
      <c r="E3136" t="s">
        <v>35</v>
      </c>
      <c r="F3136" t="s">
        <v>36</v>
      </c>
      <c r="G3136" t="str">
        <f>"2025-03-14 12:47:13.759"</f>
        <v>2025-03-14 12:47:13.759</v>
      </c>
      <c r="H3136" t="s">
        <v>37</v>
      </c>
    </row>
    <row r="3137" spans="1:10" x14ac:dyDescent="0.25">
      <c r="A3137" s="1">
        <v>185</v>
      </c>
      <c r="B3137" t="s">
        <v>19</v>
      </c>
      <c r="C3137">
        <v>706</v>
      </c>
      <c r="D3137">
        <v>4</v>
      </c>
      <c r="E3137" t="s">
        <v>28</v>
      </c>
      <c r="F3137" t="s">
        <v>29</v>
      </c>
      <c r="G3137" t="str">
        <f>"2025-03-14 12:46:43.681"</f>
        <v>2025-03-14 12:46:43.681</v>
      </c>
      <c r="H3137" t="s">
        <v>21</v>
      </c>
      <c r="I3137">
        <v>0</v>
      </c>
      <c r="J3137" t="s">
        <v>30</v>
      </c>
    </row>
    <row r="3138" spans="1:10" x14ac:dyDescent="0.25">
      <c r="A3138" s="1">
        <v>186</v>
      </c>
      <c r="B3138" t="s">
        <v>38</v>
      </c>
      <c r="C3138">
        <v>630</v>
      </c>
      <c r="D3138">
        <v>5</v>
      </c>
      <c r="E3138" t="s">
        <v>35</v>
      </c>
      <c r="F3138" t="s">
        <v>36</v>
      </c>
      <c r="G3138" t="str">
        <f>"2025-03-14 11:35:35.059"</f>
        <v>2025-03-14 11:35:35.059</v>
      </c>
      <c r="H3138" t="s">
        <v>37</v>
      </c>
      <c r="I3138">
        <v>0</v>
      </c>
      <c r="J3138" t="s">
        <v>30</v>
      </c>
    </row>
    <row r="3139" spans="1:10" x14ac:dyDescent="0.25">
      <c r="A3139" s="1">
        <v>187</v>
      </c>
      <c r="B3139" t="s">
        <v>19</v>
      </c>
      <c r="C3139">
        <v>700</v>
      </c>
      <c r="D3139">
        <v>0</v>
      </c>
      <c r="E3139" t="s">
        <v>20</v>
      </c>
      <c r="F3139" t="s">
        <v>20</v>
      </c>
      <c r="G3139" t="str">
        <f>"2025-03-14 11:30:32.351"</f>
        <v>2025-03-14 11:30:32.351</v>
      </c>
      <c r="H3139" t="s">
        <v>21</v>
      </c>
      <c r="I3139">
        <v>0</v>
      </c>
      <c r="J3139" t="s">
        <v>22</v>
      </c>
    </row>
    <row r="3140" spans="1:10" x14ac:dyDescent="0.25">
      <c r="A3140" s="1">
        <v>188</v>
      </c>
      <c r="B3140" t="s">
        <v>38</v>
      </c>
      <c r="C3140">
        <v>630</v>
      </c>
      <c r="D3140">
        <v>5</v>
      </c>
      <c r="E3140" t="s">
        <v>35</v>
      </c>
      <c r="F3140" t="s">
        <v>36</v>
      </c>
      <c r="G3140" t="str">
        <f>"2025-03-14 11:14:16.241"</f>
        <v>2025-03-14 11:14:16.241</v>
      </c>
      <c r="H3140" t="s">
        <v>37</v>
      </c>
      <c r="I3140">
        <v>0</v>
      </c>
      <c r="J3140" t="s">
        <v>30</v>
      </c>
    </row>
    <row r="3141" spans="1:10" x14ac:dyDescent="0.25">
      <c r="A3141" s="1">
        <v>189</v>
      </c>
      <c r="B3141" t="s">
        <v>19</v>
      </c>
      <c r="C3141">
        <v>700</v>
      </c>
      <c r="D3141">
        <v>0</v>
      </c>
      <c r="E3141" t="s">
        <v>20</v>
      </c>
      <c r="F3141" t="s">
        <v>20</v>
      </c>
      <c r="G3141" t="str">
        <f>"2025-03-14 11:09:13.445"</f>
        <v>2025-03-14 11:09:13.445</v>
      </c>
      <c r="H3141" t="s">
        <v>21</v>
      </c>
      <c r="I3141">
        <v>0</v>
      </c>
      <c r="J3141" t="s">
        <v>22</v>
      </c>
    </row>
    <row r="3142" spans="1:10" x14ac:dyDescent="0.25">
      <c r="A3142" s="1">
        <v>190</v>
      </c>
      <c r="B3142" t="s">
        <v>38</v>
      </c>
      <c r="C3142">
        <v>630</v>
      </c>
      <c r="D3142">
        <v>5</v>
      </c>
      <c r="E3142" t="s">
        <v>35</v>
      </c>
      <c r="F3142" t="s">
        <v>36</v>
      </c>
      <c r="G3142" t="str">
        <f>"2025-03-14 11:05:32.879"</f>
        <v>2025-03-14 11:05:32.879</v>
      </c>
      <c r="H3142" t="s">
        <v>37</v>
      </c>
      <c r="I3142">
        <v>0</v>
      </c>
      <c r="J3142" t="s">
        <v>30</v>
      </c>
    </row>
    <row r="3143" spans="1:10" x14ac:dyDescent="0.25">
      <c r="A3143" s="1">
        <v>191</v>
      </c>
      <c r="B3143" t="s">
        <v>23</v>
      </c>
      <c r="C3143">
        <v>630</v>
      </c>
      <c r="D3143">
        <v>5</v>
      </c>
      <c r="E3143" t="s">
        <v>35</v>
      </c>
      <c r="F3143" t="s">
        <v>36</v>
      </c>
      <c r="G3143" t="str">
        <f>"2025-03-14 01:49:17.979"</f>
        <v>2025-03-14 01:49:17.979</v>
      </c>
      <c r="H3143" t="s">
        <v>37</v>
      </c>
    </row>
    <row r="3144" spans="1:10" x14ac:dyDescent="0.25">
      <c r="A3144" s="1">
        <v>192</v>
      </c>
      <c r="B3144" t="s">
        <v>19</v>
      </c>
      <c r="C3144">
        <v>706</v>
      </c>
      <c r="D3144">
        <v>2</v>
      </c>
      <c r="E3144" t="s">
        <v>28</v>
      </c>
      <c r="F3144" t="s">
        <v>39</v>
      </c>
      <c r="G3144" t="str">
        <f>"2025-03-14 01:48:47.872"</f>
        <v>2025-03-14 01:48:47.872</v>
      </c>
      <c r="H3144" t="s">
        <v>21</v>
      </c>
      <c r="I3144">
        <v>0</v>
      </c>
      <c r="J3144" t="s">
        <v>30</v>
      </c>
    </row>
    <row r="3145" spans="1:10" x14ac:dyDescent="0.25">
      <c r="A3145" s="1">
        <v>193</v>
      </c>
      <c r="B3145" t="s">
        <v>38</v>
      </c>
      <c r="C3145">
        <v>630</v>
      </c>
      <c r="D3145">
        <v>5</v>
      </c>
      <c r="E3145" t="s">
        <v>35</v>
      </c>
      <c r="F3145" t="s">
        <v>36</v>
      </c>
      <c r="G3145" t="str">
        <f>"2025-03-14 01:14:34.779"</f>
        <v>2025-03-14 01:14:34.779</v>
      </c>
      <c r="H3145" t="s">
        <v>37</v>
      </c>
      <c r="I3145">
        <v>0</v>
      </c>
      <c r="J3145" t="s">
        <v>30</v>
      </c>
    </row>
    <row r="3146" spans="1:10" x14ac:dyDescent="0.25">
      <c r="A3146" s="1">
        <v>194</v>
      </c>
      <c r="B3146" t="s">
        <v>19</v>
      </c>
      <c r="C3146">
        <v>706</v>
      </c>
      <c r="D3146">
        <v>4</v>
      </c>
      <c r="E3146" t="s">
        <v>28</v>
      </c>
      <c r="F3146" t="s">
        <v>29</v>
      </c>
      <c r="G3146" t="str">
        <f>"2025-03-14 01:08:28.472"</f>
        <v>2025-03-14 01:08:28.472</v>
      </c>
      <c r="H3146" t="s">
        <v>21</v>
      </c>
      <c r="I3146">
        <v>0</v>
      </c>
      <c r="J3146" t="s">
        <v>30</v>
      </c>
    </row>
    <row r="3147" spans="1:10" x14ac:dyDescent="0.25">
      <c r="A3147" s="1">
        <v>195</v>
      </c>
      <c r="B3147" t="s">
        <v>23</v>
      </c>
      <c r="C3147">
        <v>630</v>
      </c>
      <c r="D3147">
        <v>5</v>
      </c>
      <c r="E3147" t="s">
        <v>35</v>
      </c>
      <c r="F3147" t="s">
        <v>36</v>
      </c>
      <c r="G3147" t="str">
        <f>"2025-03-14 01:07:47.779"</f>
        <v>2025-03-14 01:07:47.779</v>
      </c>
      <c r="H3147" t="s">
        <v>37</v>
      </c>
    </row>
    <row r="3148" spans="1:10" x14ac:dyDescent="0.25">
      <c r="A3148" s="1">
        <v>196</v>
      </c>
      <c r="B3148" t="s">
        <v>19</v>
      </c>
      <c r="C3148">
        <v>706</v>
      </c>
      <c r="D3148">
        <v>4</v>
      </c>
      <c r="E3148" t="s">
        <v>28</v>
      </c>
      <c r="F3148" t="s">
        <v>29</v>
      </c>
      <c r="G3148" t="str">
        <f>"2025-03-14 01:07:17.682"</f>
        <v>2025-03-14 01:07:17.682</v>
      </c>
      <c r="H3148" t="s">
        <v>21</v>
      </c>
      <c r="I3148">
        <v>0</v>
      </c>
      <c r="J3148" t="s">
        <v>30</v>
      </c>
    </row>
    <row r="3149" spans="1:10" x14ac:dyDescent="0.25">
      <c r="A3149" s="1">
        <v>197</v>
      </c>
      <c r="B3149" t="s">
        <v>19</v>
      </c>
      <c r="C3149">
        <v>706</v>
      </c>
      <c r="D3149">
        <v>2</v>
      </c>
      <c r="E3149" t="s">
        <v>28</v>
      </c>
      <c r="F3149" t="s">
        <v>39</v>
      </c>
      <c r="G3149" t="str">
        <f>"2025-03-14 01:05:57.172"</f>
        <v>2025-03-14 01:05:57.172</v>
      </c>
      <c r="H3149" t="s">
        <v>21</v>
      </c>
      <c r="I3149">
        <v>0</v>
      </c>
      <c r="J3149" t="s">
        <v>30</v>
      </c>
    </row>
    <row r="3150" spans="1:10" x14ac:dyDescent="0.25">
      <c r="A3150" s="1">
        <v>198</v>
      </c>
      <c r="B3150" t="s">
        <v>19</v>
      </c>
      <c r="C3150">
        <v>706</v>
      </c>
      <c r="D3150">
        <v>3</v>
      </c>
      <c r="E3150" t="s">
        <v>28</v>
      </c>
      <c r="F3150" t="s">
        <v>43</v>
      </c>
      <c r="G3150" t="str">
        <f>"2025-03-14 00:57:41.582"</f>
        <v>2025-03-14 00:57:41.582</v>
      </c>
      <c r="H3150" t="s">
        <v>21</v>
      </c>
      <c r="I3150">
        <v>0</v>
      </c>
      <c r="J3150" t="s">
        <v>30</v>
      </c>
    </row>
    <row r="3151" spans="1:10" x14ac:dyDescent="0.25">
      <c r="A3151" s="1">
        <v>199</v>
      </c>
      <c r="B3151" t="s">
        <v>19</v>
      </c>
      <c r="C3151">
        <v>706</v>
      </c>
      <c r="D3151">
        <v>2</v>
      </c>
      <c r="E3151" t="s">
        <v>28</v>
      </c>
      <c r="F3151" t="s">
        <v>39</v>
      </c>
      <c r="G3151" t="str">
        <f>"2025-03-14 00:57:00.872"</f>
        <v>2025-03-14 00:57:00.872</v>
      </c>
      <c r="H3151" t="s">
        <v>21</v>
      </c>
      <c r="I3151">
        <v>0</v>
      </c>
      <c r="J3151" t="s">
        <v>30</v>
      </c>
    </row>
    <row r="3152" spans="1:10" x14ac:dyDescent="0.25">
      <c r="A3152" s="1">
        <v>200</v>
      </c>
      <c r="B3152" t="s">
        <v>19</v>
      </c>
      <c r="C3152">
        <v>706</v>
      </c>
      <c r="D3152">
        <v>4</v>
      </c>
      <c r="E3152" t="s">
        <v>28</v>
      </c>
      <c r="F3152" t="s">
        <v>29</v>
      </c>
      <c r="G3152" t="str">
        <f>"2025-03-14 00:49:07.022"</f>
        <v>2025-03-14 00:49:07.022</v>
      </c>
      <c r="H3152" t="s">
        <v>21</v>
      </c>
      <c r="I3152">
        <v>0</v>
      </c>
      <c r="J3152" t="s">
        <v>30</v>
      </c>
    </row>
    <row r="3153" spans="1:10" x14ac:dyDescent="0.25">
      <c r="A3153" s="1">
        <v>201</v>
      </c>
      <c r="B3153" t="s">
        <v>19</v>
      </c>
      <c r="C3153">
        <v>706</v>
      </c>
      <c r="D3153">
        <v>4</v>
      </c>
      <c r="E3153" t="s">
        <v>28</v>
      </c>
      <c r="F3153" t="s">
        <v>29</v>
      </c>
      <c r="G3153" t="str">
        <f>"2025-03-14 00:48:52.012"</f>
        <v>2025-03-14 00:48:52.012</v>
      </c>
      <c r="H3153" t="s">
        <v>21</v>
      </c>
      <c r="I3153">
        <v>0</v>
      </c>
      <c r="J3153" t="s">
        <v>30</v>
      </c>
    </row>
    <row r="3154" spans="1:10" x14ac:dyDescent="0.25">
      <c r="A3154" s="1">
        <v>202</v>
      </c>
      <c r="B3154" t="s">
        <v>19</v>
      </c>
      <c r="C3154">
        <v>706</v>
      </c>
      <c r="D3154">
        <v>4</v>
      </c>
      <c r="E3154" t="s">
        <v>28</v>
      </c>
      <c r="F3154" t="s">
        <v>29</v>
      </c>
      <c r="G3154" t="str">
        <f>"2025-03-14 00:43:23.222"</f>
        <v>2025-03-14 00:43:23.222</v>
      </c>
      <c r="H3154" t="s">
        <v>21</v>
      </c>
      <c r="I3154">
        <v>0</v>
      </c>
      <c r="J3154" t="s">
        <v>30</v>
      </c>
    </row>
    <row r="3155" spans="1:10" x14ac:dyDescent="0.25">
      <c r="A3155" s="1">
        <v>203</v>
      </c>
      <c r="B3155" t="s">
        <v>19</v>
      </c>
      <c r="C3155">
        <v>706</v>
      </c>
      <c r="D3155">
        <v>2</v>
      </c>
      <c r="E3155" t="s">
        <v>28</v>
      </c>
      <c r="F3155" t="s">
        <v>39</v>
      </c>
      <c r="G3155" t="str">
        <f>"2025-03-14 00:43:12.272"</f>
        <v>2025-03-14 00:43:12.272</v>
      </c>
      <c r="H3155" t="s">
        <v>21</v>
      </c>
      <c r="I3155">
        <v>0</v>
      </c>
      <c r="J3155" t="s">
        <v>30</v>
      </c>
    </row>
    <row r="3156" spans="1:10" x14ac:dyDescent="0.25">
      <c r="A3156" s="1">
        <v>204</v>
      </c>
      <c r="B3156" t="s">
        <v>38</v>
      </c>
      <c r="C3156">
        <v>630</v>
      </c>
      <c r="D3156">
        <v>5</v>
      </c>
      <c r="E3156" t="s">
        <v>35</v>
      </c>
      <c r="F3156" t="s">
        <v>36</v>
      </c>
      <c r="G3156" t="str">
        <f>"2025-03-14 00:35:20.079"</f>
        <v>2025-03-14 00:35:20.079</v>
      </c>
      <c r="H3156" t="s">
        <v>37</v>
      </c>
      <c r="I3156">
        <v>0</v>
      </c>
      <c r="J3156" t="s">
        <v>30</v>
      </c>
    </row>
    <row r="3157" spans="1:10" x14ac:dyDescent="0.25">
      <c r="A3157" s="1">
        <v>205</v>
      </c>
      <c r="B3157" t="s">
        <v>19</v>
      </c>
      <c r="C3157">
        <v>700</v>
      </c>
      <c r="D3157">
        <v>0</v>
      </c>
      <c r="E3157" t="s">
        <v>20</v>
      </c>
      <c r="F3157" t="s">
        <v>20</v>
      </c>
      <c r="G3157" t="str">
        <f>"2025-03-14 00:30:17.342"</f>
        <v>2025-03-14 00:30:17.342</v>
      </c>
      <c r="H3157" t="s">
        <v>21</v>
      </c>
    </row>
    <row r="3158" spans="1:10" x14ac:dyDescent="0.25">
      <c r="A3158" s="1">
        <v>206</v>
      </c>
      <c r="B3158" t="s">
        <v>19</v>
      </c>
      <c r="C3158">
        <v>719</v>
      </c>
      <c r="D3158">
        <v>5</v>
      </c>
      <c r="E3158" t="s">
        <v>73</v>
      </c>
      <c r="F3158" t="s">
        <v>74</v>
      </c>
      <c r="G3158" t="str">
        <f>"2025-03-13 23:14:00.562"</f>
        <v>2025-03-13 23:14:00.562</v>
      </c>
      <c r="H3158" t="s">
        <v>21</v>
      </c>
      <c r="I3158">
        <v>0</v>
      </c>
      <c r="J3158" t="s">
        <v>30</v>
      </c>
    </row>
    <row r="3159" spans="1:10" x14ac:dyDescent="0.25">
      <c r="A3159" s="1">
        <v>207</v>
      </c>
      <c r="B3159" t="s">
        <v>38</v>
      </c>
      <c r="C3159">
        <v>630</v>
      </c>
      <c r="D3159">
        <v>5</v>
      </c>
      <c r="E3159" t="s">
        <v>35</v>
      </c>
      <c r="F3159" t="s">
        <v>36</v>
      </c>
      <c r="G3159" t="str">
        <f>"2025-03-13 23:05:56.670"</f>
        <v>2025-03-13 23:05:56.670</v>
      </c>
      <c r="H3159" t="s">
        <v>37</v>
      </c>
      <c r="I3159">
        <v>0</v>
      </c>
      <c r="J3159" t="s">
        <v>30</v>
      </c>
    </row>
    <row r="3160" spans="1:10" x14ac:dyDescent="0.25">
      <c r="A3160" s="1">
        <v>208</v>
      </c>
      <c r="B3160" t="s">
        <v>40</v>
      </c>
      <c r="C3160">
        <v>237</v>
      </c>
      <c r="D3160">
        <v>4</v>
      </c>
      <c r="E3160" t="s">
        <v>90</v>
      </c>
      <c r="F3160" t="s">
        <v>88</v>
      </c>
      <c r="G3160" t="str">
        <f>"2025-03-13 06:17:52.754"</f>
        <v>2025-03-13 06:17:52.754</v>
      </c>
      <c r="H3160" t="s">
        <v>69</v>
      </c>
    </row>
    <row r="3161" spans="1:10" x14ac:dyDescent="0.25">
      <c r="A3161" s="1">
        <v>209</v>
      </c>
      <c r="B3161" t="s">
        <v>38</v>
      </c>
      <c r="C3161">
        <v>237</v>
      </c>
      <c r="D3161">
        <v>4</v>
      </c>
      <c r="E3161" t="s">
        <v>90</v>
      </c>
      <c r="F3161" t="s">
        <v>88</v>
      </c>
      <c r="G3161" t="str">
        <f>"2025-03-13 06:17:47.713"</f>
        <v>2025-03-13 06:17:47.713</v>
      </c>
      <c r="H3161" t="s">
        <v>69</v>
      </c>
      <c r="I3161">
        <v>12.21</v>
      </c>
      <c r="J3161" t="s">
        <v>33</v>
      </c>
    </row>
    <row r="3162" spans="1:10" x14ac:dyDescent="0.25">
      <c r="A3162" s="1">
        <v>210</v>
      </c>
      <c r="B3162" t="s">
        <v>40</v>
      </c>
      <c r="C3162">
        <v>219</v>
      </c>
      <c r="D3162">
        <v>4</v>
      </c>
      <c r="E3162" t="s">
        <v>92</v>
      </c>
      <c r="F3162" t="s">
        <v>93</v>
      </c>
      <c r="G3162" t="str">
        <f>"2025-03-13 04:46:13.554"</f>
        <v>2025-03-13 04:46:13.554</v>
      </c>
      <c r="H3162" t="s">
        <v>69</v>
      </c>
    </row>
    <row r="3163" spans="1:10" x14ac:dyDescent="0.25">
      <c r="A3163" s="1">
        <v>211</v>
      </c>
      <c r="B3163" t="s">
        <v>38</v>
      </c>
      <c r="C3163">
        <v>219</v>
      </c>
      <c r="D3163">
        <v>4</v>
      </c>
      <c r="E3163" t="s">
        <v>92</v>
      </c>
      <c r="F3163" t="s">
        <v>93</v>
      </c>
      <c r="G3163" t="str">
        <f>"2025-03-13 04:46:08.473"</f>
        <v>2025-03-13 04:46:08.473</v>
      </c>
      <c r="H3163" t="s">
        <v>69</v>
      </c>
      <c r="I3163">
        <v>19.86</v>
      </c>
      <c r="J3163" t="s">
        <v>27</v>
      </c>
    </row>
    <row r="3164" spans="1:10" x14ac:dyDescent="0.25">
      <c r="A3164" s="1">
        <v>212</v>
      </c>
      <c r="B3164" t="s">
        <v>40</v>
      </c>
      <c r="C3164">
        <v>137</v>
      </c>
      <c r="D3164">
        <v>7</v>
      </c>
      <c r="E3164" t="s">
        <v>87</v>
      </c>
      <c r="F3164" t="s">
        <v>91</v>
      </c>
      <c r="G3164" t="str">
        <f>"2025-03-13 00:28:19.854"</f>
        <v>2025-03-13 00:28:19.854</v>
      </c>
      <c r="H3164" t="s">
        <v>89</v>
      </c>
    </row>
    <row r="3165" spans="1:10" x14ac:dyDescent="0.25">
      <c r="A3165" s="1">
        <v>213</v>
      </c>
      <c r="B3165" t="s">
        <v>38</v>
      </c>
      <c r="C3165">
        <v>137</v>
      </c>
      <c r="D3165">
        <v>7</v>
      </c>
      <c r="E3165" t="s">
        <v>87</v>
      </c>
      <c r="F3165" t="s">
        <v>91</v>
      </c>
      <c r="G3165" t="str">
        <f>"2025-03-13 00:28:14.833"</f>
        <v>2025-03-13 00:28:14.833</v>
      </c>
      <c r="H3165" t="s">
        <v>89</v>
      </c>
      <c r="I3165">
        <v>6.1</v>
      </c>
      <c r="J3165" t="s">
        <v>33</v>
      </c>
    </row>
    <row r="3166" spans="1:10" x14ac:dyDescent="0.25">
      <c r="A3166" s="1">
        <v>214</v>
      </c>
      <c r="B3166" t="s">
        <v>40</v>
      </c>
      <c r="C3166">
        <v>237</v>
      </c>
      <c r="D3166">
        <v>4</v>
      </c>
      <c r="E3166" t="s">
        <v>90</v>
      </c>
      <c r="F3166" t="s">
        <v>88</v>
      </c>
      <c r="G3166" t="str">
        <f>"2025-03-12 08:47:52.554"</f>
        <v>2025-03-12 08:47:52.554</v>
      </c>
      <c r="H3166" t="s">
        <v>69</v>
      </c>
    </row>
    <row r="3167" spans="1:10" x14ac:dyDescent="0.25">
      <c r="A3167" s="1">
        <v>215</v>
      </c>
      <c r="B3167" t="s">
        <v>38</v>
      </c>
      <c r="C3167">
        <v>237</v>
      </c>
      <c r="D3167">
        <v>4</v>
      </c>
      <c r="E3167" t="s">
        <v>90</v>
      </c>
      <c r="F3167" t="s">
        <v>88</v>
      </c>
      <c r="G3167" t="str">
        <f>"2025-03-12 08:47:47.473"</f>
        <v>2025-03-12 08:47:47.473</v>
      </c>
      <c r="H3167" t="s">
        <v>69</v>
      </c>
      <c r="I3167">
        <v>8.2899999999999991</v>
      </c>
      <c r="J3167" t="s">
        <v>33</v>
      </c>
    </row>
    <row r="3168" spans="1:10" x14ac:dyDescent="0.25">
      <c r="A3168" s="1">
        <v>216</v>
      </c>
      <c r="B3168" t="s">
        <v>40</v>
      </c>
      <c r="C3168">
        <v>237</v>
      </c>
      <c r="D3168">
        <v>4</v>
      </c>
      <c r="E3168" t="s">
        <v>90</v>
      </c>
      <c r="F3168" t="s">
        <v>88</v>
      </c>
      <c r="G3168" t="str">
        <f>"2025-03-12 06:00:40.154"</f>
        <v>2025-03-12 06:00:40.154</v>
      </c>
      <c r="H3168" t="s">
        <v>69</v>
      </c>
    </row>
    <row r="3169" spans="1:10" x14ac:dyDescent="0.25">
      <c r="A3169" s="1">
        <v>217</v>
      </c>
      <c r="B3169" t="s">
        <v>38</v>
      </c>
      <c r="C3169">
        <v>237</v>
      </c>
      <c r="D3169">
        <v>4</v>
      </c>
      <c r="E3169" t="s">
        <v>90</v>
      </c>
      <c r="F3169" t="s">
        <v>88</v>
      </c>
      <c r="G3169" t="str">
        <f>"2025-03-12 06:00:35.093"</f>
        <v>2025-03-12 06:00:35.093</v>
      </c>
      <c r="H3169" t="s">
        <v>69</v>
      </c>
      <c r="I3169">
        <v>15</v>
      </c>
      <c r="J3169" t="s">
        <v>33</v>
      </c>
    </row>
    <row r="3170" spans="1:10" x14ac:dyDescent="0.25">
      <c r="A3170" s="1">
        <v>218</v>
      </c>
      <c r="B3170" t="s">
        <v>40</v>
      </c>
      <c r="C3170">
        <v>237</v>
      </c>
      <c r="D3170">
        <v>4</v>
      </c>
      <c r="E3170" t="s">
        <v>90</v>
      </c>
      <c r="F3170" t="s">
        <v>88</v>
      </c>
      <c r="G3170" t="str">
        <f>"2025-03-12 02:01:45.954"</f>
        <v>2025-03-12 02:01:45.954</v>
      </c>
      <c r="H3170" t="s">
        <v>69</v>
      </c>
    </row>
    <row r="3171" spans="1:10" x14ac:dyDescent="0.25">
      <c r="A3171" s="1">
        <v>219</v>
      </c>
      <c r="B3171" t="s">
        <v>38</v>
      </c>
      <c r="C3171">
        <v>237</v>
      </c>
      <c r="D3171">
        <v>4</v>
      </c>
      <c r="E3171" t="s">
        <v>90</v>
      </c>
      <c r="F3171" t="s">
        <v>88</v>
      </c>
      <c r="G3171" t="str">
        <f>"2025-03-12 02:01:40.913"</f>
        <v>2025-03-12 02:01:40.913</v>
      </c>
      <c r="H3171" t="s">
        <v>69</v>
      </c>
      <c r="I3171">
        <v>6.98</v>
      </c>
      <c r="J3171" t="s">
        <v>33</v>
      </c>
    </row>
    <row r="3172" spans="1:10" x14ac:dyDescent="0.25">
      <c r="A3172" s="1">
        <v>220</v>
      </c>
      <c r="B3172" t="s">
        <v>23</v>
      </c>
      <c r="C3172">
        <v>635</v>
      </c>
      <c r="D3172">
        <v>1</v>
      </c>
      <c r="E3172" t="s">
        <v>31</v>
      </c>
      <c r="F3172" t="s">
        <v>32</v>
      </c>
      <c r="G3172" t="str">
        <f>"2025-03-11 20:55:32.069"</f>
        <v>2025-03-11 20:55:32.069</v>
      </c>
      <c r="H3172" t="s">
        <v>21</v>
      </c>
    </row>
    <row r="3173" spans="1:10" x14ac:dyDescent="0.25">
      <c r="A3173" s="1">
        <v>221</v>
      </c>
      <c r="B3173" t="s">
        <v>26</v>
      </c>
      <c r="C3173">
        <v>635</v>
      </c>
      <c r="D3173">
        <v>1</v>
      </c>
      <c r="E3173" t="s">
        <v>31</v>
      </c>
      <c r="F3173" t="s">
        <v>32</v>
      </c>
      <c r="G3173" t="str">
        <f>"2025-03-11 20:46:51.669"</f>
        <v>2025-03-11 20:46:51.669</v>
      </c>
      <c r="H3173" t="s">
        <v>21</v>
      </c>
      <c r="I3173">
        <v>1.04</v>
      </c>
      <c r="J3173" t="s">
        <v>34</v>
      </c>
    </row>
    <row r="3174" spans="1:10" x14ac:dyDescent="0.25">
      <c r="A3174" s="1">
        <v>222</v>
      </c>
      <c r="B3174" t="s">
        <v>19</v>
      </c>
      <c r="C3174">
        <v>700</v>
      </c>
      <c r="D3174">
        <v>0</v>
      </c>
      <c r="E3174" t="s">
        <v>20</v>
      </c>
      <c r="F3174" t="s">
        <v>20</v>
      </c>
      <c r="G3174" t="str">
        <f>"2025-03-11 14:40:51.368"</f>
        <v>2025-03-11 14:40:51.368</v>
      </c>
      <c r="H3174" t="s">
        <v>21</v>
      </c>
      <c r="I3174">
        <v>0</v>
      </c>
      <c r="J3174" t="s">
        <v>22</v>
      </c>
    </row>
    <row r="3175" spans="1:10" x14ac:dyDescent="0.25">
      <c r="A3175" s="1">
        <v>223</v>
      </c>
      <c r="B3175" t="s">
        <v>23</v>
      </c>
      <c r="C3175">
        <v>635</v>
      </c>
      <c r="D3175">
        <v>1</v>
      </c>
      <c r="E3175" t="s">
        <v>31</v>
      </c>
      <c r="F3175" t="s">
        <v>32</v>
      </c>
      <c r="G3175" t="str">
        <f>"2025-03-10 20:20:12.567"</f>
        <v>2025-03-10 20:20:12.567</v>
      </c>
      <c r="H3175" t="s">
        <v>21</v>
      </c>
    </row>
    <row r="3176" spans="1:10" x14ac:dyDescent="0.25">
      <c r="A3176" s="1">
        <v>224</v>
      </c>
      <c r="B3176" t="s">
        <v>26</v>
      </c>
      <c r="C3176">
        <v>635</v>
      </c>
      <c r="D3176">
        <v>1</v>
      </c>
      <c r="E3176" t="s">
        <v>31</v>
      </c>
      <c r="F3176" t="s">
        <v>32</v>
      </c>
      <c r="G3176" t="str">
        <f>"2025-03-10 20:16:50.067"</f>
        <v>2025-03-10 20:16:50.067</v>
      </c>
      <c r="H3176" t="s">
        <v>21</v>
      </c>
      <c r="I3176">
        <v>4.0599999999999996</v>
      </c>
      <c r="J3176" t="s">
        <v>33</v>
      </c>
    </row>
    <row r="3177" spans="1:10" x14ac:dyDescent="0.25">
      <c r="A3177" s="1">
        <v>225</v>
      </c>
      <c r="B3177" t="s">
        <v>19</v>
      </c>
      <c r="C3177">
        <v>706</v>
      </c>
      <c r="D3177">
        <v>4</v>
      </c>
      <c r="E3177" t="s">
        <v>28</v>
      </c>
      <c r="F3177" t="s">
        <v>29</v>
      </c>
      <c r="G3177" t="str">
        <f>"2025-03-10 13:50:06.038"</f>
        <v>2025-03-10 13:50:06.038</v>
      </c>
      <c r="H3177" t="s">
        <v>21</v>
      </c>
      <c r="I3177">
        <v>0</v>
      </c>
      <c r="J3177" t="s">
        <v>30</v>
      </c>
    </row>
    <row r="3178" spans="1:10" x14ac:dyDescent="0.25">
      <c r="A3178" s="1">
        <v>226</v>
      </c>
      <c r="B3178" t="s">
        <v>19</v>
      </c>
      <c r="C3178">
        <v>700</v>
      </c>
      <c r="D3178">
        <v>0</v>
      </c>
      <c r="E3178" t="s">
        <v>20</v>
      </c>
      <c r="F3178" t="s">
        <v>20</v>
      </c>
      <c r="G3178" t="str">
        <f>"2025-03-10 13:49:37.358"</f>
        <v>2025-03-10 13:49:37.358</v>
      </c>
      <c r="H3178" t="s">
        <v>21</v>
      </c>
    </row>
    <row r="3179" spans="1:10" x14ac:dyDescent="0.25">
      <c r="A3179" s="1">
        <v>227</v>
      </c>
      <c r="B3179" t="s">
        <v>23</v>
      </c>
      <c r="C3179">
        <v>630</v>
      </c>
      <c r="D3179">
        <v>5</v>
      </c>
      <c r="E3179" t="s">
        <v>35</v>
      </c>
      <c r="F3179" t="s">
        <v>36</v>
      </c>
      <c r="G3179" t="str">
        <f>"2025-03-10 00:21:35.995"</f>
        <v>2025-03-10 00:21:35.995</v>
      </c>
      <c r="H3179" t="s">
        <v>37</v>
      </c>
    </row>
    <row r="3180" spans="1:10" x14ac:dyDescent="0.25">
      <c r="A3180" s="1">
        <v>228</v>
      </c>
      <c r="B3180" t="s">
        <v>19</v>
      </c>
      <c r="C3180">
        <v>706</v>
      </c>
      <c r="D3180">
        <v>4</v>
      </c>
      <c r="E3180" t="s">
        <v>28</v>
      </c>
      <c r="F3180" t="s">
        <v>29</v>
      </c>
      <c r="G3180" t="str">
        <f>"2025-03-10 00:21:05.967"</f>
        <v>2025-03-10 00:21:05.967</v>
      </c>
      <c r="H3180" t="s">
        <v>21</v>
      </c>
      <c r="I3180">
        <v>0</v>
      </c>
      <c r="J3180" t="s">
        <v>30</v>
      </c>
    </row>
    <row r="3181" spans="1:10" x14ac:dyDescent="0.25">
      <c r="A3181" s="1">
        <v>229</v>
      </c>
      <c r="B3181" t="s">
        <v>38</v>
      </c>
      <c r="C3181">
        <v>630</v>
      </c>
      <c r="D3181">
        <v>5</v>
      </c>
      <c r="E3181" t="s">
        <v>35</v>
      </c>
      <c r="F3181" t="s">
        <v>36</v>
      </c>
      <c r="G3181" t="str">
        <f>"2025-03-09 23:42:46.995"</f>
        <v>2025-03-09 23:42:46.995</v>
      </c>
      <c r="H3181" t="s">
        <v>37</v>
      </c>
      <c r="I3181">
        <v>0</v>
      </c>
      <c r="J3181" t="s">
        <v>30</v>
      </c>
    </row>
    <row r="3182" spans="1:10" x14ac:dyDescent="0.25">
      <c r="A3182" s="1">
        <v>230</v>
      </c>
      <c r="B3182" t="s">
        <v>23</v>
      </c>
      <c r="C3182">
        <v>630</v>
      </c>
      <c r="D3182">
        <v>5</v>
      </c>
      <c r="E3182" t="s">
        <v>35</v>
      </c>
      <c r="F3182" t="s">
        <v>36</v>
      </c>
      <c r="G3182" t="str">
        <f>"2025-03-09 23:20:20.195"</f>
        <v>2025-03-09 23:20:20.195</v>
      </c>
      <c r="H3182" t="s">
        <v>37</v>
      </c>
    </row>
    <row r="3183" spans="1:10" x14ac:dyDescent="0.25">
      <c r="A3183" s="1">
        <v>231</v>
      </c>
      <c r="B3183" t="s">
        <v>19</v>
      </c>
      <c r="C3183">
        <v>706</v>
      </c>
      <c r="D3183">
        <v>4</v>
      </c>
      <c r="E3183" t="s">
        <v>28</v>
      </c>
      <c r="F3183" t="s">
        <v>29</v>
      </c>
      <c r="G3183" t="str">
        <f>"2025-03-09 23:19:50.017"</f>
        <v>2025-03-09 23:19:50.017</v>
      </c>
      <c r="H3183" t="s">
        <v>21</v>
      </c>
      <c r="I3183">
        <v>0</v>
      </c>
      <c r="J3183" t="s">
        <v>30</v>
      </c>
    </row>
    <row r="3184" spans="1:10" x14ac:dyDescent="0.25">
      <c r="A3184" s="1">
        <v>232</v>
      </c>
      <c r="B3184" t="s">
        <v>38</v>
      </c>
      <c r="C3184">
        <v>630</v>
      </c>
      <c r="D3184">
        <v>5</v>
      </c>
      <c r="E3184" t="s">
        <v>35</v>
      </c>
      <c r="F3184" t="s">
        <v>36</v>
      </c>
      <c r="G3184" t="str">
        <f>"2025-03-09 23:18:55.096"</f>
        <v>2025-03-09 23:18:55.096</v>
      </c>
      <c r="H3184" t="s">
        <v>37</v>
      </c>
      <c r="I3184">
        <v>0</v>
      </c>
      <c r="J3184" t="s">
        <v>30</v>
      </c>
    </row>
    <row r="3185" spans="1:10" x14ac:dyDescent="0.25">
      <c r="A3185" s="1">
        <v>233</v>
      </c>
      <c r="B3185" t="s">
        <v>19</v>
      </c>
      <c r="C3185">
        <v>700</v>
      </c>
      <c r="D3185">
        <v>0</v>
      </c>
      <c r="E3185" t="s">
        <v>20</v>
      </c>
      <c r="F3185" t="s">
        <v>20</v>
      </c>
      <c r="G3185" t="str">
        <f>"2025-03-09 23:12:07.287"</f>
        <v>2025-03-09 23:12:07.287</v>
      </c>
      <c r="H3185" t="s">
        <v>21</v>
      </c>
    </row>
    <row r="3186" spans="1:10" x14ac:dyDescent="0.25">
      <c r="A3186" s="1">
        <v>234</v>
      </c>
      <c r="B3186" t="s">
        <v>19</v>
      </c>
      <c r="C3186">
        <v>700</v>
      </c>
      <c r="D3186">
        <v>0</v>
      </c>
      <c r="E3186" t="s">
        <v>20</v>
      </c>
      <c r="F3186" t="s">
        <v>20</v>
      </c>
      <c r="G3186" t="str">
        <f>"2025-03-09 17:36:19.299"</f>
        <v>2025-03-09 17:36:19.299</v>
      </c>
      <c r="H3186" t="s">
        <v>21</v>
      </c>
    </row>
    <row r="3187" spans="1:10" x14ac:dyDescent="0.25">
      <c r="A3187" s="1">
        <v>235</v>
      </c>
      <c r="B3187" t="s">
        <v>38</v>
      </c>
      <c r="C3187">
        <v>630</v>
      </c>
      <c r="D3187">
        <v>5</v>
      </c>
      <c r="E3187" t="s">
        <v>35</v>
      </c>
      <c r="F3187" t="s">
        <v>36</v>
      </c>
      <c r="G3187" t="str">
        <f>"2025-03-09 16:49:25.081"</f>
        <v>2025-03-09 16:49:25.081</v>
      </c>
      <c r="H3187" t="s">
        <v>37</v>
      </c>
      <c r="I3187">
        <v>0</v>
      </c>
      <c r="J3187" t="s">
        <v>30</v>
      </c>
    </row>
    <row r="3188" spans="1:10" x14ac:dyDescent="0.25">
      <c r="A3188" s="1">
        <v>236</v>
      </c>
      <c r="B3188" t="s">
        <v>19</v>
      </c>
      <c r="C3188">
        <v>700</v>
      </c>
      <c r="D3188">
        <v>0</v>
      </c>
      <c r="E3188" t="s">
        <v>20</v>
      </c>
      <c r="F3188" t="s">
        <v>20</v>
      </c>
      <c r="G3188" t="str">
        <f>"2025-03-09 16:44:22.297"</f>
        <v>2025-03-09 16:44:22.297</v>
      </c>
      <c r="H3188" t="s">
        <v>21</v>
      </c>
      <c r="I3188">
        <v>0</v>
      </c>
      <c r="J3188" t="s">
        <v>22</v>
      </c>
    </row>
    <row r="3189" spans="1:10" x14ac:dyDescent="0.25">
      <c r="A3189" s="1">
        <v>237</v>
      </c>
      <c r="B3189" t="s">
        <v>19</v>
      </c>
      <c r="C3189">
        <v>700</v>
      </c>
      <c r="D3189">
        <v>0</v>
      </c>
      <c r="E3189" t="s">
        <v>20</v>
      </c>
      <c r="F3189" t="s">
        <v>20</v>
      </c>
      <c r="G3189" t="str">
        <f>"2025-03-09 09:45:56.300"</f>
        <v>2025-03-09 09:45:56.300</v>
      </c>
      <c r="H3189" t="s">
        <v>21</v>
      </c>
      <c r="I3189">
        <v>0</v>
      </c>
      <c r="J3189" t="s">
        <v>22</v>
      </c>
    </row>
    <row r="3190" spans="1:10" x14ac:dyDescent="0.25">
      <c r="A3190" s="1">
        <v>238</v>
      </c>
      <c r="B3190" t="s">
        <v>23</v>
      </c>
      <c r="C3190">
        <v>635</v>
      </c>
      <c r="D3190">
        <v>1</v>
      </c>
      <c r="E3190" t="s">
        <v>31</v>
      </c>
      <c r="F3190" t="s">
        <v>32</v>
      </c>
      <c r="G3190" t="str">
        <f>"2025-03-07 06:43:29.615"</f>
        <v>2025-03-07 06:43:29.615</v>
      </c>
      <c r="H3190" t="s">
        <v>21</v>
      </c>
    </row>
    <row r="3191" spans="1:10" x14ac:dyDescent="0.25">
      <c r="A3191" s="1">
        <v>239</v>
      </c>
      <c r="B3191" t="s">
        <v>26</v>
      </c>
      <c r="C3191">
        <v>635</v>
      </c>
      <c r="D3191">
        <v>1</v>
      </c>
      <c r="E3191" t="s">
        <v>31</v>
      </c>
      <c r="F3191" t="s">
        <v>32</v>
      </c>
      <c r="G3191" t="str">
        <f>"2025-03-07 06:40:45.615"</f>
        <v>2025-03-07 06:40:45.615</v>
      </c>
      <c r="H3191" t="s">
        <v>21</v>
      </c>
      <c r="I3191">
        <v>0.52</v>
      </c>
      <c r="J3191" t="s">
        <v>27</v>
      </c>
    </row>
    <row r="3192" spans="1:10" x14ac:dyDescent="0.25">
      <c r="A3192" s="1">
        <v>240</v>
      </c>
      <c r="B3192" t="s">
        <v>23</v>
      </c>
      <c r="C3192">
        <v>635</v>
      </c>
      <c r="D3192">
        <v>1</v>
      </c>
      <c r="E3192" t="s">
        <v>31</v>
      </c>
      <c r="F3192" t="s">
        <v>32</v>
      </c>
      <c r="G3192" t="str">
        <f>"2025-03-06 01:00:22.715"</f>
        <v>2025-03-06 01:00:22.715</v>
      </c>
      <c r="H3192" t="s">
        <v>21</v>
      </c>
    </row>
    <row r="3193" spans="1:10" x14ac:dyDescent="0.25">
      <c r="A3193" s="1">
        <v>241</v>
      </c>
      <c r="B3193" t="s">
        <v>26</v>
      </c>
      <c r="C3193">
        <v>635</v>
      </c>
      <c r="D3193">
        <v>1</v>
      </c>
      <c r="E3193" t="s">
        <v>31</v>
      </c>
      <c r="F3193" t="s">
        <v>32</v>
      </c>
      <c r="G3193" t="str">
        <f>"2025-03-06 00:56:43.215"</f>
        <v>2025-03-06 00:56:43.215</v>
      </c>
      <c r="H3193" t="s">
        <v>21</v>
      </c>
      <c r="I3193">
        <v>2.94</v>
      </c>
      <c r="J3193" t="s">
        <v>27</v>
      </c>
    </row>
    <row r="3194" spans="1:10" x14ac:dyDescent="0.25">
      <c r="A3194" s="1">
        <v>242</v>
      </c>
      <c r="B3194" t="s">
        <v>19</v>
      </c>
      <c r="C3194">
        <v>706</v>
      </c>
      <c r="D3194">
        <v>4</v>
      </c>
      <c r="E3194" t="s">
        <v>28</v>
      </c>
      <c r="F3194" t="s">
        <v>29</v>
      </c>
      <c r="G3194" t="str">
        <f>"2025-03-05 16:29:37.037"</f>
        <v>2025-03-05 16:29:37.037</v>
      </c>
      <c r="H3194" t="s">
        <v>21</v>
      </c>
      <c r="I3194">
        <v>0</v>
      </c>
      <c r="J3194" t="s">
        <v>30</v>
      </c>
    </row>
    <row r="3195" spans="1:10" x14ac:dyDescent="0.25">
      <c r="A3195" s="1">
        <v>243</v>
      </c>
      <c r="B3195" t="s">
        <v>19</v>
      </c>
      <c r="C3195">
        <v>700</v>
      </c>
      <c r="D3195">
        <v>0</v>
      </c>
      <c r="E3195" t="s">
        <v>20</v>
      </c>
      <c r="F3195" t="s">
        <v>20</v>
      </c>
      <c r="G3195" t="str">
        <f>"2025-03-05 16:29:12.297"</f>
        <v>2025-03-05 16:29:12.297</v>
      </c>
      <c r="H3195" t="s">
        <v>21</v>
      </c>
    </row>
    <row r="3196" spans="1:10" x14ac:dyDescent="0.25">
      <c r="A3196" s="1">
        <v>244</v>
      </c>
      <c r="B3196" t="s">
        <v>23</v>
      </c>
      <c r="C3196">
        <v>635</v>
      </c>
      <c r="D3196">
        <v>1</v>
      </c>
      <c r="E3196" t="s">
        <v>31</v>
      </c>
      <c r="F3196" t="s">
        <v>32</v>
      </c>
      <c r="G3196" t="str">
        <f>"2025-03-04 11:21:46.838"</f>
        <v>2025-03-04 11:21:46.838</v>
      </c>
      <c r="H3196" t="s">
        <v>21</v>
      </c>
    </row>
    <row r="3197" spans="1:10" x14ac:dyDescent="0.25">
      <c r="A3197" s="1">
        <v>245</v>
      </c>
      <c r="B3197" t="s">
        <v>26</v>
      </c>
      <c r="C3197">
        <v>635</v>
      </c>
      <c r="D3197">
        <v>1</v>
      </c>
      <c r="E3197" t="s">
        <v>31</v>
      </c>
      <c r="F3197" t="s">
        <v>32</v>
      </c>
      <c r="G3197" t="str">
        <f>"2025-03-04 11:07:11.338"</f>
        <v>2025-03-04 11:07:11.338</v>
      </c>
      <c r="H3197" t="s">
        <v>21</v>
      </c>
      <c r="I3197">
        <v>6.79</v>
      </c>
      <c r="J3197" t="s">
        <v>27</v>
      </c>
    </row>
    <row r="3198" spans="1:10" s="3" customFormat="1" x14ac:dyDescent="0.25">
      <c r="A3198" s="2">
        <v>246</v>
      </c>
      <c r="B3198" s="3" t="s">
        <v>23</v>
      </c>
      <c r="C3198" s="3">
        <v>647</v>
      </c>
      <c r="D3198" s="3">
        <v>1</v>
      </c>
      <c r="E3198" s="3" t="s">
        <v>24</v>
      </c>
      <c r="F3198" s="3" t="s">
        <v>25</v>
      </c>
      <c r="G3198" s="3" t="str">
        <f>"2025-03-03 05:45:38.138"</f>
        <v>2025-03-03 05:45:38.138</v>
      </c>
      <c r="H3198" s="3" t="s">
        <v>21</v>
      </c>
    </row>
    <row r="3199" spans="1:10" s="3" customFormat="1" x14ac:dyDescent="0.25">
      <c r="A3199" s="2">
        <v>247</v>
      </c>
      <c r="B3199" s="3" t="s">
        <v>26</v>
      </c>
      <c r="C3199" s="3">
        <v>647</v>
      </c>
      <c r="D3199" s="3">
        <v>1</v>
      </c>
      <c r="E3199" s="3" t="s">
        <v>24</v>
      </c>
      <c r="F3199" s="3" t="s">
        <v>25</v>
      </c>
      <c r="G3199" s="3" t="str">
        <f>"2025-03-03 05:45:35.238"</f>
        <v>2025-03-03 05:45:35.238</v>
      </c>
      <c r="H3199" s="3" t="s">
        <v>21</v>
      </c>
      <c r="I3199" s="3">
        <v>12.73</v>
      </c>
      <c r="J3199" s="3" t="s">
        <v>27</v>
      </c>
    </row>
    <row r="3200" spans="1:10" x14ac:dyDescent="0.25">
      <c r="A3200" s="1">
        <v>248</v>
      </c>
      <c r="B3200" t="s">
        <v>23</v>
      </c>
      <c r="C3200">
        <v>635</v>
      </c>
      <c r="D3200">
        <v>1</v>
      </c>
      <c r="E3200" t="s">
        <v>31</v>
      </c>
      <c r="F3200" t="s">
        <v>32</v>
      </c>
      <c r="G3200" t="str">
        <f>"2025-03-03 04:02:06.138"</f>
        <v>2025-03-03 04:02:06.138</v>
      </c>
      <c r="H3200" t="s">
        <v>21</v>
      </c>
    </row>
    <row r="3201" spans="1:10" x14ac:dyDescent="0.25">
      <c r="A3201" s="1">
        <v>249</v>
      </c>
      <c r="B3201" t="s">
        <v>26</v>
      </c>
      <c r="C3201">
        <v>635</v>
      </c>
      <c r="D3201">
        <v>1</v>
      </c>
      <c r="E3201" t="s">
        <v>31</v>
      </c>
      <c r="F3201" t="s">
        <v>32</v>
      </c>
      <c r="G3201" t="str">
        <f>"2025-03-03 03:58:37.638"</f>
        <v>2025-03-03 03:58:37.638</v>
      </c>
      <c r="H3201" t="s">
        <v>21</v>
      </c>
      <c r="I3201">
        <v>0.85</v>
      </c>
      <c r="J3201" t="s">
        <v>27</v>
      </c>
    </row>
    <row r="3202" spans="1:10" x14ac:dyDescent="0.25">
      <c r="A3202" s="1">
        <v>250</v>
      </c>
      <c r="B3202" t="s">
        <v>19</v>
      </c>
      <c r="C3202">
        <v>700</v>
      </c>
      <c r="D3202">
        <v>0</v>
      </c>
      <c r="E3202" t="s">
        <v>20</v>
      </c>
      <c r="F3202" t="s">
        <v>20</v>
      </c>
      <c r="G3202" t="str">
        <f>"2025-03-03 02:02:19.319"</f>
        <v>2025-03-03 02:02:19.319</v>
      </c>
      <c r="H3202" t="s">
        <v>21</v>
      </c>
      <c r="I3202">
        <v>0</v>
      </c>
      <c r="J3202" t="s">
        <v>22</v>
      </c>
    </row>
    <row r="3203" spans="1:10" x14ac:dyDescent="0.25">
      <c r="A3203" s="1">
        <v>251</v>
      </c>
      <c r="B3203" t="s">
        <v>23</v>
      </c>
      <c r="C3203">
        <v>61</v>
      </c>
      <c r="D3203">
        <v>2</v>
      </c>
      <c r="E3203" t="s">
        <v>75</v>
      </c>
      <c r="F3203" t="s">
        <v>76</v>
      </c>
      <c r="G3203" t="str">
        <f>"2025-03-03 00:49:02.711"</f>
        <v>2025-03-03 00:49:02.711</v>
      </c>
      <c r="H3203" t="s">
        <v>21</v>
      </c>
    </row>
    <row r="3204" spans="1:10" x14ac:dyDescent="0.25">
      <c r="A3204" s="1">
        <v>252</v>
      </c>
      <c r="B3204" t="s">
        <v>38</v>
      </c>
      <c r="C3204">
        <v>61</v>
      </c>
      <c r="D3204">
        <v>2</v>
      </c>
      <c r="E3204" t="s">
        <v>75</v>
      </c>
      <c r="F3204" t="s">
        <v>76</v>
      </c>
      <c r="G3204" t="str">
        <f>"2025-03-03 00:48:57.611"</f>
        <v>2025-03-03 00:48:57.611</v>
      </c>
      <c r="H3204" t="s">
        <v>21</v>
      </c>
      <c r="I3204">
        <v>29.04</v>
      </c>
      <c r="J3204" t="s">
        <v>27</v>
      </c>
    </row>
    <row r="3205" spans="1:10" x14ac:dyDescent="0.25">
      <c r="A3205" s="1">
        <v>253</v>
      </c>
      <c r="B3205" t="s">
        <v>23</v>
      </c>
      <c r="C3205">
        <v>61</v>
      </c>
      <c r="D3205">
        <v>2</v>
      </c>
      <c r="E3205" t="s">
        <v>75</v>
      </c>
      <c r="F3205" t="s">
        <v>76</v>
      </c>
      <c r="G3205" t="str">
        <f>"2025-03-03 00:29:11.211"</f>
        <v>2025-03-03 00:29:11.211</v>
      </c>
      <c r="H3205" t="s">
        <v>21</v>
      </c>
    </row>
    <row r="3206" spans="1:10" x14ac:dyDescent="0.25">
      <c r="A3206" s="1">
        <v>254</v>
      </c>
      <c r="B3206" t="s">
        <v>38</v>
      </c>
      <c r="C3206">
        <v>61</v>
      </c>
      <c r="D3206">
        <v>2</v>
      </c>
      <c r="E3206" t="s">
        <v>75</v>
      </c>
      <c r="F3206" t="s">
        <v>76</v>
      </c>
      <c r="G3206" t="str">
        <f>"2025-03-03 00:29:06.011"</f>
        <v>2025-03-03 00:29:06.011</v>
      </c>
      <c r="H3206" t="s">
        <v>21</v>
      </c>
      <c r="I3206">
        <v>29.06</v>
      </c>
      <c r="J3206" t="s">
        <v>27</v>
      </c>
    </row>
    <row r="3207" spans="1:10" x14ac:dyDescent="0.25">
      <c r="A3207" s="1">
        <v>255</v>
      </c>
      <c r="B3207" t="s">
        <v>23</v>
      </c>
      <c r="C3207">
        <v>630</v>
      </c>
      <c r="D3207">
        <v>5</v>
      </c>
      <c r="E3207" t="s">
        <v>35</v>
      </c>
      <c r="F3207" t="s">
        <v>36</v>
      </c>
      <c r="G3207" t="str">
        <f>"2025-03-02 21:21:28.811"</f>
        <v>2025-03-02 21:21:28.811</v>
      </c>
      <c r="H3207" t="s">
        <v>37</v>
      </c>
    </row>
    <row r="3208" spans="1:10" x14ac:dyDescent="0.25">
      <c r="A3208" s="1">
        <v>256</v>
      </c>
      <c r="B3208" t="s">
        <v>19</v>
      </c>
      <c r="C3208">
        <v>706</v>
      </c>
      <c r="D3208">
        <v>2</v>
      </c>
      <c r="E3208" t="s">
        <v>28</v>
      </c>
      <c r="F3208" t="s">
        <v>39</v>
      </c>
      <c r="G3208" t="str">
        <f>"2025-03-02 21:20:58.689"</f>
        <v>2025-03-02 21:20:58.689</v>
      </c>
      <c r="H3208" t="s">
        <v>21</v>
      </c>
      <c r="I3208">
        <v>0</v>
      </c>
      <c r="J3208" t="s">
        <v>30</v>
      </c>
    </row>
    <row r="3209" spans="1:10" x14ac:dyDescent="0.25">
      <c r="A3209" s="1">
        <v>257</v>
      </c>
      <c r="B3209" t="s">
        <v>38</v>
      </c>
      <c r="C3209">
        <v>630</v>
      </c>
      <c r="D3209">
        <v>5</v>
      </c>
      <c r="E3209" t="s">
        <v>35</v>
      </c>
      <c r="F3209" t="s">
        <v>36</v>
      </c>
      <c r="G3209" t="str">
        <f>"2025-03-02 21:15:43.111"</f>
        <v>2025-03-02 21:15:43.111</v>
      </c>
      <c r="H3209" t="s">
        <v>37</v>
      </c>
      <c r="I3209">
        <v>0</v>
      </c>
      <c r="J3209" t="s">
        <v>30</v>
      </c>
    </row>
    <row r="3210" spans="1:10" x14ac:dyDescent="0.25">
      <c r="A3210" s="1">
        <v>258</v>
      </c>
      <c r="B3210" t="s">
        <v>19</v>
      </c>
      <c r="C3210">
        <v>700</v>
      </c>
      <c r="D3210">
        <v>0</v>
      </c>
      <c r="E3210" t="s">
        <v>20</v>
      </c>
      <c r="F3210" t="s">
        <v>20</v>
      </c>
      <c r="G3210" t="str">
        <f>"2025-03-02 21:10:40.289"</f>
        <v>2025-03-02 21:10:40.289</v>
      </c>
      <c r="H3210" t="s">
        <v>21</v>
      </c>
      <c r="I3210">
        <v>0</v>
      </c>
      <c r="J3210" t="s">
        <v>22</v>
      </c>
    </row>
    <row r="3211" spans="1:10" x14ac:dyDescent="0.25">
      <c r="A3211" s="1">
        <v>259</v>
      </c>
      <c r="B3211" t="s">
        <v>19</v>
      </c>
      <c r="C3211">
        <v>700</v>
      </c>
      <c r="D3211">
        <v>0</v>
      </c>
      <c r="E3211" t="s">
        <v>20</v>
      </c>
      <c r="F3211" t="s">
        <v>20</v>
      </c>
      <c r="G3211" t="str">
        <f>"2025-03-02 20:59:45.274"</f>
        <v>2025-03-02 20:59:45.274</v>
      </c>
      <c r="H3211" t="s">
        <v>21</v>
      </c>
    </row>
    <row r="3212" spans="1:10" x14ac:dyDescent="0.25">
      <c r="A3212" s="1">
        <v>260</v>
      </c>
      <c r="B3212" t="s">
        <v>38</v>
      </c>
      <c r="C3212">
        <v>630</v>
      </c>
      <c r="D3212">
        <v>5</v>
      </c>
      <c r="E3212" t="s">
        <v>35</v>
      </c>
      <c r="F3212" t="s">
        <v>36</v>
      </c>
      <c r="G3212" t="str">
        <f>"2025-03-02 20:23:31.251"</f>
        <v>2025-03-02 20:23:31.251</v>
      </c>
      <c r="H3212" t="s">
        <v>37</v>
      </c>
      <c r="I3212">
        <v>0</v>
      </c>
      <c r="J3212" t="s">
        <v>30</v>
      </c>
    </row>
    <row r="3213" spans="1:10" x14ac:dyDescent="0.25">
      <c r="A3213" s="1">
        <v>261</v>
      </c>
      <c r="B3213" t="s">
        <v>19</v>
      </c>
      <c r="C3213">
        <v>700</v>
      </c>
      <c r="D3213">
        <v>0</v>
      </c>
      <c r="E3213" t="s">
        <v>20</v>
      </c>
      <c r="F3213" t="s">
        <v>20</v>
      </c>
      <c r="G3213" t="str">
        <f>"2025-03-02 20:18:28.515"</f>
        <v>2025-03-02 20:18:28.515</v>
      </c>
      <c r="H3213" t="s">
        <v>21</v>
      </c>
    </row>
    <row r="3214" spans="1:10" x14ac:dyDescent="0.25">
      <c r="A3214" s="1">
        <v>262</v>
      </c>
      <c r="B3214" t="s">
        <v>23</v>
      </c>
      <c r="C3214">
        <v>630</v>
      </c>
      <c r="D3214">
        <v>5</v>
      </c>
      <c r="E3214" t="s">
        <v>35</v>
      </c>
      <c r="F3214" t="s">
        <v>36</v>
      </c>
      <c r="G3214" t="str">
        <f>"2025-03-02 19:12:37.726"</f>
        <v>2025-03-02 19:12:37.726</v>
      </c>
      <c r="H3214" t="s">
        <v>37</v>
      </c>
    </row>
    <row r="3215" spans="1:10" x14ac:dyDescent="0.25">
      <c r="A3215" s="1">
        <v>263</v>
      </c>
      <c r="B3215" t="s">
        <v>19</v>
      </c>
      <c r="C3215">
        <v>706</v>
      </c>
      <c r="D3215">
        <v>4</v>
      </c>
      <c r="E3215" t="s">
        <v>28</v>
      </c>
      <c r="F3215" t="s">
        <v>29</v>
      </c>
      <c r="G3215" t="str">
        <f>"2025-03-02 19:12:07.639"</f>
        <v>2025-03-02 19:12:07.639</v>
      </c>
      <c r="H3215" t="s">
        <v>21</v>
      </c>
      <c r="I3215">
        <v>0</v>
      </c>
      <c r="J3215" t="s">
        <v>30</v>
      </c>
    </row>
    <row r="3216" spans="1:10" x14ac:dyDescent="0.25">
      <c r="A3216" s="1">
        <v>264</v>
      </c>
      <c r="B3216" t="s">
        <v>38</v>
      </c>
      <c r="C3216">
        <v>630</v>
      </c>
      <c r="D3216">
        <v>5</v>
      </c>
      <c r="E3216" t="s">
        <v>35</v>
      </c>
      <c r="F3216" t="s">
        <v>36</v>
      </c>
      <c r="G3216" t="str">
        <f>"2025-03-02 19:11:57.127"</f>
        <v>2025-03-02 19:11:57.127</v>
      </c>
      <c r="H3216" t="s">
        <v>37</v>
      </c>
      <c r="I3216">
        <v>0</v>
      </c>
      <c r="J3216" t="s">
        <v>30</v>
      </c>
    </row>
    <row r="3217" spans="1:10" x14ac:dyDescent="0.25">
      <c r="A3217" s="1">
        <v>265</v>
      </c>
      <c r="B3217" t="s">
        <v>19</v>
      </c>
      <c r="C3217">
        <v>700</v>
      </c>
      <c r="D3217">
        <v>0</v>
      </c>
      <c r="E3217" t="s">
        <v>20</v>
      </c>
      <c r="F3217" t="s">
        <v>20</v>
      </c>
      <c r="G3217" t="str">
        <f>"2025-03-02 19:06:54.399"</f>
        <v>2025-03-02 19:06:54.399</v>
      </c>
      <c r="H3217" t="s">
        <v>21</v>
      </c>
      <c r="I3217">
        <v>0</v>
      </c>
      <c r="J3217" t="s">
        <v>22</v>
      </c>
    </row>
    <row r="3218" spans="1:10" x14ac:dyDescent="0.25">
      <c r="A3218" s="1">
        <v>266</v>
      </c>
      <c r="B3218" t="s">
        <v>23</v>
      </c>
      <c r="C3218">
        <v>635</v>
      </c>
      <c r="D3218">
        <v>1</v>
      </c>
      <c r="E3218" t="s">
        <v>31</v>
      </c>
      <c r="F3218" t="s">
        <v>32</v>
      </c>
      <c r="G3218" t="str">
        <f>"2025-03-02 17:27:38.135"</f>
        <v>2025-03-02 17:27:38.135</v>
      </c>
      <c r="H3218" t="s">
        <v>21</v>
      </c>
    </row>
    <row r="3219" spans="1:10" x14ac:dyDescent="0.25">
      <c r="A3219" s="1">
        <v>267</v>
      </c>
      <c r="B3219" t="s">
        <v>26</v>
      </c>
      <c r="C3219">
        <v>635</v>
      </c>
      <c r="D3219">
        <v>1</v>
      </c>
      <c r="E3219" t="s">
        <v>31</v>
      </c>
      <c r="F3219" t="s">
        <v>32</v>
      </c>
      <c r="G3219" t="str">
        <f>"2025-03-02 17:14:19.235"</f>
        <v>2025-03-02 17:14:19.235</v>
      </c>
      <c r="H3219" t="s">
        <v>21</v>
      </c>
      <c r="I3219">
        <v>10.15</v>
      </c>
      <c r="J3219" t="s">
        <v>27</v>
      </c>
    </row>
    <row r="3220" spans="1:10" x14ac:dyDescent="0.25">
      <c r="A3220" s="1">
        <v>268</v>
      </c>
      <c r="B3220" t="s">
        <v>23</v>
      </c>
      <c r="C3220">
        <v>635</v>
      </c>
      <c r="D3220">
        <v>1</v>
      </c>
      <c r="E3220" t="s">
        <v>31</v>
      </c>
      <c r="F3220" t="s">
        <v>32</v>
      </c>
      <c r="G3220" t="str">
        <f>"2025-03-02 15:27:01.435"</f>
        <v>2025-03-02 15:27:01.435</v>
      </c>
      <c r="H3220" t="s">
        <v>21</v>
      </c>
    </row>
    <row r="3221" spans="1:10" x14ac:dyDescent="0.25">
      <c r="A3221" s="1">
        <v>269</v>
      </c>
      <c r="B3221" t="s">
        <v>26</v>
      </c>
      <c r="C3221">
        <v>635</v>
      </c>
      <c r="D3221">
        <v>1</v>
      </c>
      <c r="E3221" t="s">
        <v>31</v>
      </c>
      <c r="F3221" t="s">
        <v>32</v>
      </c>
      <c r="G3221" t="str">
        <f>"2025-03-02 15:12:17.935"</f>
        <v>2025-03-02 15:12:17.935</v>
      </c>
      <c r="H3221" t="s">
        <v>21</v>
      </c>
      <c r="I3221">
        <v>3.98</v>
      </c>
      <c r="J3221" t="s">
        <v>27</v>
      </c>
    </row>
    <row r="3222" spans="1:10" x14ac:dyDescent="0.25">
      <c r="A3222" s="1">
        <v>270</v>
      </c>
      <c r="B3222" t="s">
        <v>19</v>
      </c>
      <c r="C3222">
        <v>700</v>
      </c>
      <c r="D3222">
        <v>0</v>
      </c>
      <c r="E3222" t="s">
        <v>20</v>
      </c>
      <c r="F3222" t="s">
        <v>20</v>
      </c>
      <c r="G3222" t="str">
        <f>"2025-03-02 11:27:25.305"</f>
        <v>2025-03-02 11:27:25.305</v>
      </c>
      <c r="H3222" t="s">
        <v>21</v>
      </c>
    </row>
    <row r="3223" spans="1:10" x14ac:dyDescent="0.25">
      <c r="A3223" s="1">
        <v>272</v>
      </c>
      <c r="B3223" t="s">
        <v>23</v>
      </c>
      <c r="C3223">
        <v>61</v>
      </c>
      <c r="D3223">
        <v>2</v>
      </c>
      <c r="E3223" t="s">
        <v>75</v>
      </c>
      <c r="F3223" t="s">
        <v>76</v>
      </c>
      <c r="G3223" t="str">
        <f>"2025-03-01 03:56:52.207"</f>
        <v>2025-03-01 03:56:52.207</v>
      </c>
      <c r="H3223" t="s">
        <v>21</v>
      </c>
    </row>
    <row r="3224" spans="1:10" x14ac:dyDescent="0.25">
      <c r="A3224" s="1">
        <v>273</v>
      </c>
      <c r="B3224" t="s">
        <v>38</v>
      </c>
      <c r="C3224">
        <v>61</v>
      </c>
      <c r="D3224">
        <v>2</v>
      </c>
      <c r="E3224" t="s">
        <v>75</v>
      </c>
      <c r="F3224" t="s">
        <v>76</v>
      </c>
      <c r="G3224" t="str">
        <f>"2025-03-01 03:56:46.908"</f>
        <v>2025-03-01 03:56:46.908</v>
      </c>
      <c r="H3224" t="s">
        <v>21</v>
      </c>
      <c r="I3224">
        <v>29.11</v>
      </c>
      <c r="J3224" t="s">
        <v>27</v>
      </c>
    </row>
    <row r="3225" spans="1:10" x14ac:dyDescent="0.25">
      <c r="A3225" s="1">
        <v>275</v>
      </c>
      <c r="B3225" t="s">
        <v>19</v>
      </c>
      <c r="C3225">
        <v>706</v>
      </c>
      <c r="D3225">
        <v>4</v>
      </c>
      <c r="E3225" t="s">
        <v>28</v>
      </c>
      <c r="F3225" t="s">
        <v>29</v>
      </c>
      <c r="G3225" t="str">
        <f>"2025-02-28 07:51:34.848"</f>
        <v>2025-02-28 07:51:34.848</v>
      </c>
      <c r="H3225" t="s">
        <v>21</v>
      </c>
      <c r="I3225">
        <v>0</v>
      </c>
      <c r="J3225" t="s">
        <v>30</v>
      </c>
    </row>
    <row r="3226" spans="1:10" x14ac:dyDescent="0.25">
      <c r="A3226" s="1">
        <v>276</v>
      </c>
      <c r="B3226" t="s">
        <v>19</v>
      </c>
      <c r="C3226">
        <v>700</v>
      </c>
      <c r="D3226">
        <v>0</v>
      </c>
      <c r="E3226" t="s">
        <v>20</v>
      </c>
      <c r="F3226" t="s">
        <v>20</v>
      </c>
      <c r="G3226" t="str">
        <f>"2025-02-28 07:51:19.278"</f>
        <v>2025-02-28 07:51:19.278</v>
      </c>
      <c r="H3226" t="s">
        <v>21</v>
      </c>
      <c r="I3226">
        <v>0</v>
      </c>
      <c r="J3226" t="s">
        <v>22</v>
      </c>
    </row>
    <row r="3227" spans="1:10" x14ac:dyDescent="0.25">
      <c r="A3227" s="1">
        <v>277</v>
      </c>
      <c r="B3227" t="s">
        <v>19</v>
      </c>
      <c r="C3227">
        <v>700</v>
      </c>
      <c r="D3227">
        <v>0</v>
      </c>
      <c r="E3227" t="s">
        <v>20</v>
      </c>
      <c r="F3227" t="s">
        <v>20</v>
      </c>
      <c r="G3227" t="str">
        <f>"2025-02-26 13:32:37.276"</f>
        <v>2025-02-26 13:32:37.276</v>
      </c>
      <c r="H3227" t="s">
        <v>21</v>
      </c>
      <c r="I3227">
        <v>0</v>
      </c>
      <c r="J3227" t="s">
        <v>22</v>
      </c>
    </row>
    <row r="3228" spans="1:10" x14ac:dyDescent="0.25">
      <c r="A3228" s="1">
        <v>278</v>
      </c>
      <c r="B3228" t="s">
        <v>19</v>
      </c>
      <c r="C3228">
        <v>706</v>
      </c>
      <c r="D3228">
        <v>2</v>
      </c>
      <c r="E3228" t="s">
        <v>28</v>
      </c>
      <c r="F3228" t="s">
        <v>39</v>
      </c>
      <c r="G3228" t="str">
        <f>"2025-02-25 19:45:25.320"</f>
        <v>2025-02-25 19:45:25.320</v>
      </c>
      <c r="H3228" t="s">
        <v>21</v>
      </c>
      <c r="I3228">
        <v>0</v>
      </c>
      <c r="J3228" t="s">
        <v>30</v>
      </c>
    </row>
    <row r="3229" spans="1:10" x14ac:dyDescent="0.25">
      <c r="A3229" s="1">
        <v>279</v>
      </c>
      <c r="B3229" t="s">
        <v>19</v>
      </c>
      <c r="C3229">
        <v>700</v>
      </c>
      <c r="D3229">
        <v>0</v>
      </c>
      <c r="E3229" t="s">
        <v>20</v>
      </c>
      <c r="F3229" t="s">
        <v>20</v>
      </c>
      <c r="G3229" t="str">
        <f>"2025-02-25 19:45:07.430"</f>
        <v>2025-02-25 19:45:07.430</v>
      </c>
      <c r="H3229" t="s">
        <v>21</v>
      </c>
      <c r="I3229">
        <v>0</v>
      </c>
      <c r="J3229" t="s">
        <v>22</v>
      </c>
    </row>
    <row r="3230" spans="1:10" x14ac:dyDescent="0.25">
      <c r="A3230" s="1">
        <v>280</v>
      </c>
      <c r="B3230" t="s">
        <v>23</v>
      </c>
      <c r="C3230">
        <v>61</v>
      </c>
      <c r="D3230">
        <v>2</v>
      </c>
      <c r="E3230" t="s">
        <v>75</v>
      </c>
      <c r="F3230" t="s">
        <v>76</v>
      </c>
      <c r="G3230" t="str">
        <f>"2025-02-25 09:37:39.571"</f>
        <v>2025-02-25 09:37:39.571</v>
      </c>
      <c r="H3230" t="s">
        <v>21</v>
      </c>
    </row>
    <row r="3231" spans="1:10" x14ac:dyDescent="0.25">
      <c r="A3231" s="1">
        <v>281</v>
      </c>
      <c r="B3231" t="s">
        <v>38</v>
      </c>
      <c r="C3231">
        <v>61</v>
      </c>
      <c r="D3231">
        <v>2</v>
      </c>
      <c r="E3231" t="s">
        <v>75</v>
      </c>
      <c r="F3231" t="s">
        <v>76</v>
      </c>
      <c r="G3231" t="str">
        <f>"2025-02-25 09:37:33.871"</f>
        <v>2025-02-25 09:37:33.871</v>
      </c>
      <c r="H3231" t="s">
        <v>21</v>
      </c>
      <c r="I3231">
        <v>29.29</v>
      </c>
      <c r="J3231" t="s">
        <v>27</v>
      </c>
    </row>
    <row r="3232" spans="1:10" x14ac:dyDescent="0.25">
      <c r="A3232" s="1">
        <v>282</v>
      </c>
      <c r="B3232" t="s">
        <v>23</v>
      </c>
      <c r="C3232">
        <v>635</v>
      </c>
      <c r="D3232">
        <v>1</v>
      </c>
      <c r="E3232" t="s">
        <v>31</v>
      </c>
      <c r="F3232" t="s">
        <v>32</v>
      </c>
      <c r="G3232" t="str">
        <f>"2025-02-25 09:01:22.778"</f>
        <v>2025-02-25 09:01:22.778</v>
      </c>
      <c r="H3232" t="s">
        <v>21</v>
      </c>
    </row>
    <row r="3233" spans="1:10" x14ac:dyDescent="0.25">
      <c r="A3233" s="1">
        <v>283</v>
      </c>
      <c r="B3233" t="s">
        <v>26</v>
      </c>
      <c r="C3233">
        <v>635</v>
      </c>
      <c r="D3233">
        <v>1</v>
      </c>
      <c r="E3233" t="s">
        <v>31</v>
      </c>
      <c r="F3233" t="s">
        <v>32</v>
      </c>
      <c r="G3233" t="str">
        <f>"2025-02-25 08:57:33.278"</f>
        <v>2025-02-25 08:57:33.278</v>
      </c>
      <c r="H3233" t="s">
        <v>21</v>
      </c>
      <c r="I3233">
        <v>0.38</v>
      </c>
      <c r="J3233" t="s">
        <v>27</v>
      </c>
    </row>
    <row r="3234" spans="1:10" x14ac:dyDescent="0.25">
      <c r="A3234" s="1">
        <v>284</v>
      </c>
      <c r="B3234" t="s">
        <v>19</v>
      </c>
      <c r="C3234">
        <v>700</v>
      </c>
      <c r="D3234">
        <v>0</v>
      </c>
      <c r="E3234" t="s">
        <v>20</v>
      </c>
      <c r="F3234" t="s">
        <v>20</v>
      </c>
      <c r="G3234" t="str">
        <f>"2025-02-24 17:02:50.291"</f>
        <v>2025-02-24 17:02:50.291</v>
      </c>
      <c r="H3234" t="s">
        <v>21</v>
      </c>
      <c r="I3234">
        <v>0</v>
      </c>
      <c r="J3234" t="s">
        <v>22</v>
      </c>
    </row>
    <row r="3235" spans="1:10" x14ac:dyDescent="0.25">
      <c r="A3235" s="1">
        <v>285</v>
      </c>
      <c r="B3235" t="s">
        <v>19</v>
      </c>
      <c r="C3235">
        <v>700</v>
      </c>
      <c r="D3235">
        <v>0</v>
      </c>
      <c r="E3235" t="s">
        <v>20</v>
      </c>
      <c r="F3235" t="s">
        <v>20</v>
      </c>
      <c r="G3235" t="str">
        <f>"2025-02-23 18:36:45.257"</f>
        <v>2025-02-23 18:36:45.257</v>
      </c>
      <c r="H3235" t="s">
        <v>21</v>
      </c>
    </row>
    <row r="3236" spans="1:10" x14ac:dyDescent="0.25">
      <c r="A3236" s="1">
        <v>286</v>
      </c>
      <c r="B3236" t="s">
        <v>19</v>
      </c>
      <c r="C3236">
        <v>706</v>
      </c>
      <c r="D3236">
        <v>4</v>
      </c>
      <c r="E3236" t="s">
        <v>28</v>
      </c>
      <c r="F3236" t="s">
        <v>29</v>
      </c>
      <c r="G3236" t="str">
        <f>"2025-02-23 15:55:14.849"</f>
        <v>2025-02-23 15:55:14.849</v>
      </c>
      <c r="H3236" t="s">
        <v>21</v>
      </c>
      <c r="I3236">
        <v>0</v>
      </c>
      <c r="J3236" t="s">
        <v>30</v>
      </c>
    </row>
    <row r="3237" spans="1:10" x14ac:dyDescent="0.25">
      <c r="A3237" s="1">
        <v>287</v>
      </c>
      <c r="B3237" t="s">
        <v>19</v>
      </c>
      <c r="C3237">
        <v>700</v>
      </c>
      <c r="D3237">
        <v>0</v>
      </c>
      <c r="E3237" t="s">
        <v>20</v>
      </c>
      <c r="F3237" t="s">
        <v>20</v>
      </c>
      <c r="G3237" t="str">
        <f>"2025-02-23 15:54:46.259"</f>
        <v>2025-02-23 15:54:46.259</v>
      </c>
      <c r="H3237" t="s">
        <v>21</v>
      </c>
      <c r="I3237">
        <v>0</v>
      </c>
      <c r="J3237" t="s">
        <v>22</v>
      </c>
    </row>
    <row r="3238" spans="1:10" x14ac:dyDescent="0.25">
      <c r="A3238" s="1">
        <v>288</v>
      </c>
      <c r="B3238" t="s">
        <v>19</v>
      </c>
      <c r="C3238">
        <v>706</v>
      </c>
      <c r="D3238">
        <v>2</v>
      </c>
      <c r="E3238" t="s">
        <v>28</v>
      </c>
      <c r="F3238" t="s">
        <v>39</v>
      </c>
      <c r="G3238" t="str">
        <f>"2025-02-21 14:52:34.709"</f>
        <v>2025-02-21 14:52:34.709</v>
      </c>
      <c r="H3238" t="s">
        <v>21</v>
      </c>
      <c r="I3238">
        <v>0</v>
      </c>
      <c r="J3238" t="s">
        <v>30</v>
      </c>
    </row>
    <row r="3239" spans="1:10" x14ac:dyDescent="0.25">
      <c r="A3239" s="1">
        <v>289</v>
      </c>
      <c r="B3239" t="s">
        <v>19</v>
      </c>
      <c r="C3239">
        <v>700</v>
      </c>
      <c r="D3239">
        <v>0</v>
      </c>
      <c r="E3239" t="s">
        <v>20</v>
      </c>
      <c r="F3239" t="s">
        <v>20</v>
      </c>
      <c r="G3239" t="str">
        <f>"2025-02-21 14:51:50.289"</f>
        <v>2025-02-21 14:51:50.289</v>
      </c>
      <c r="H3239" t="s">
        <v>21</v>
      </c>
    </row>
    <row r="3240" spans="1:10" x14ac:dyDescent="0.25">
      <c r="A3240" s="1">
        <v>290</v>
      </c>
      <c r="B3240" t="s">
        <v>23</v>
      </c>
      <c r="C3240">
        <v>61</v>
      </c>
      <c r="D3240">
        <v>2</v>
      </c>
      <c r="E3240" t="s">
        <v>75</v>
      </c>
      <c r="F3240" t="s">
        <v>76</v>
      </c>
      <c r="G3240" t="str">
        <f>"2025-02-21 04:26:59.321"</f>
        <v>2025-02-21 04:26:59.321</v>
      </c>
      <c r="H3240" t="s">
        <v>21</v>
      </c>
    </row>
    <row r="3241" spans="1:10" x14ac:dyDescent="0.25">
      <c r="A3241" s="1">
        <v>291</v>
      </c>
      <c r="B3241" t="s">
        <v>38</v>
      </c>
      <c r="C3241">
        <v>61</v>
      </c>
      <c r="D3241">
        <v>2</v>
      </c>
      <c r="E3241" t="s">
        <v>75</v>
      </c>
      <c r="F3241" t="s">
        <v>76</v>
      </c>
      <c r="G3241" t="str">
        <f>"2025-02-21 04:26:53.921"</f>
        <v>2025-02-21 04:26:53.921</v>
      </c>
      <c r="H3241" t="s">
        <v>21</v>
      </c>
      <c r="I3241">
        <v>29.12</v>
      </c>
      <c r="J3241" t="s">
        <v>27</v>
      </c>
    </row>
    <row r="3242" spans="1:10" x14ac:dyDescent="0.25">
      <c r="A3242" s="1">
        <v>292</v>
      </c>
      <c r="B3242" t="s">
        <v>23</v>
      </c>
      <c r="C3242">
        <v>635</v>
      </c>
      <c r="D3242">
        <v>1</v>
      </c>
      <c r="E3242" t="s">
        <v>31</v>
      </c>
      <c r="F3242" t="s">
        <v>32</v>
      </c>
      <c r="G3242" t="str">
        <f>"2025-02-21 02:39:59.920"</f>
        <v>2025-02-21 02:39:59.920</v>
      </c>
      <c r="H3242" t="s">
        <v>21</v>
      </c>
    </row>
    <row r="3243" spans="1:10" x14ac:dyDescent="0.25">
      <c r="A3243" s="1">
        <v>293</v>
      </c>
      <c r="B3243" t="s">
        <v>26</v>
      </c>
      <c r="C3243">
        <v>635</v>
      </c>
      <c r="D3243">
        <v>1</v>
      </c>
      <c r="E3243" t="s">
        <v>31</v>
      </c>
      <c r="F3243" t="s">
        <v>32</v>
      </c>
      <c r="G3243" t="str">
        <f>"2025-02-21 02:19:03.420"</f>
        <v>2025-02-21 02:19:03.420</v>
      </c>
      <c r="H3243" t="s">
        <v>21</v>
      </c>
      <c r="I3243">
        <v>5.46</v>
      </c>
      <c r="J3243" t="s">
        <v>33</v>
      </c>
    </row>
    <row r="3244" spans="1:10" x14ac:dyDescent="0.25">
      <c r="A3244" s="1">
        <v>294</v>
      </c>
      <c r="B3244" t="s">
        <v>19</v>
      </c>
      <c r="C3244">
        <v>700</v>
      </c>
      <c r="D3244">
        <v>0</v>
      </c>
      <c r="E3244" t="s">
        <v>20</v>
      </c>
      <c r="F3244" t="s">
        <v>20</v>
      </c>
      <c r="G3244" t="str">
        <f>"2025-02-20 18:55:22.269"</f>
        <v>2025-02-20 18:55:22.269</v>
      </c>
      <c r="H3244" t="s">
        <v>21</v>
      </c>
    </row>
    <row r="3245" spans="1:10" x14ac:dyDescent="0.25">
      <c r="A3245" s="1">
        <v>295</v>
      </c>
      <c r="B3245" t="s">
        <v>19</v>
      </c>
      <c r="C3245">
        <v>700</v>
      </c>
      <c r="D3245">
        <v>0</v>
      </c>
      <c r="E3245" t="s">
        <v>20</v>
      </c>
      <c r="F3245" t="s">
        <v>20</v>
      </c>
      <c r="G3245" t="str">
        <f>"2025-02-20 10:38:53.246"</f>
        <v>2025-02-20 10:38:53.246</v>
      </c>
      <c r="H3245" t="s">
        <v>21</v>
      </c>
    </row>
    <row r="3246" spans="1:10" x14ac:dyDescent="0.25">
      <c r="A3246" s="1">
        <v>296</v>
      </c>
      <c r="B3246" t="s">
        <v>19</v>
      </c>
      <c r="C3246">
        <v>706</v>
      </c>
      <c r="D3246">
        <v>4</v>
      </c>
      <c r="E3246" t="s">
        <v>28</v>
      </c>
      <c r="F3246" t="s">
        <v>29</v>
      </c>
      <c r="G3246" t="str">
        <f>"2025-02-20 04:14:28.625"</f>
        <v>2025-02-20 04:14:28.625</v>
      </c>
      <c r="H3246" t="s">
        <v>21</v>
      </c>
      <c r="I3246">
        <v>0</v>
      </c>
      <c r="J3246" t="s">
        <v>30</v>
      </c>
    </row>
    <row r="3247" spans="1:10" x14ac:dyDescent="0.25">
      <c r="A3247" s="1">
        <v>297</v>
      </c>
      <c r="B3247" t="s">
        <v>19</v>
      </c>
      <c r="C3247">
        <v>700</v>
      </c>
      <c r="D3247">
        <v>0</v>
      </c>
      <c r="E3247" t="s">
        <v>20</v>
      </c>
      <c r="F3247" t="s">
        <v>20</v>
      </c>
      <c r="G3247" t="str">
        <f>"2025-02-20 04:09:34.335"</f>
        <v>2025-02-20 04:09:34.335</v>
      </c>
      <c r="H3247" t="s">
        <v>21</v>
      </c>
      <c r="I3247">
        <v>0</v>
      </c>
      <c r="J3247" t="s">
        <v>22</v>
      </c>
    </row>
    <row r="3248" spans="1:10" s="3" customFormat="1" x14ac:dyDescent="0.25">
      <c r="A3248" s="2">
        <v>298</v>
      </c>
      <c r="B3248" s="3" t="s">
        <v>23</v>
      </c>
      <c r="C3248" s="3">
        <v>647</v>
      </c>
      <c r="D3248" s="3">
        <v>1</v>
      </c>
      <c r="E3248" s="3" t="s">
        <v>24</v>
      </c>
      <c r="F3248" s="3" t="s">
        <v>25</v>
      </c>
      <c r="G3248" s="3" t="str">
        <f>"2025-02-20 04:08:27.010"</f>
        <v>2025-02-20 04:08:27.010</v>
      </c>
      <c r="H3248" s="3" t="s">
        <v>21</v>
      </c>
    </row>
    <row r="3249" spans="1:10" s="3" customFormat="1" x14ac:dyDescent="0.25">
      <c r="A3249" s="2">
        <v>299</v>
      </c>
      <c r="B3249" s="3" t="s">
        <v>26</v>
      </c>
      <c r="C3249" s="3">
        <v>647</v>
      </c>
      <c r="D3249" s="3">
        <v>1</v>
      </c>
      <c r="E3249" s="3" t="s">
        <v>24</v>
      </c>
      <c r="F3249" s="3" t="s">
        <v>25</v>
      </c>
      <c r="G3249" s="3" t="str">
        <f>"2025-02-20 04:08:25.111"</f>
        <v>2025-02-20 04:08:25.111</v>
      </c>
      <c r="H3249" s="3" t="s">
        <v>21</v>
      </c>
      <c r="I3249" s="3">
        <v>13.19</v>
      </c>
      <c r="J3249" s="3" t="s">
        <v>34</v>
      </c>
    </row>
    <row r="3250" spans="1:10" x14ac:dyDescent="0.25">
      <c r="A3250" s="1">
        <v>300</v>
      </c>
      <c r="B3250" t="s">
        <v>19</v>
      </c>
      <c r="C3250">
        <v>700</v>
      </c>
      <c r="D3250">
        <v>0</v>
      </c>
      <c r="E3250" t="s">
        <v>20</v>
      </c>
      <c r="F3250" t="s">
        <v>20</v>
      </c>
      <c r="G3250" t="str">
        <f>"2025-02-20 03:56:40.252"</f>
        <v>2025-02-20 03:56:40.252</v>
      </c>
      <c r="H3250" t="s">
        <v>21</v>
      </c>
    </row>
    <row r="3251" spans="1:10" x14ac:dyDescent="0.25">
      <c r="A3251" s="1">
        <v>301</v>
      </c>
      <c r="B3251" t="s">
        <v>23</v>
      </c>
      <c r="C3251">
        <v>630</v>
      </c>
      <c r="D3251">
        <v>5</v>
      </c>
      <c r="E3251" t="s">
        <v>35</v>
      </c>
      <c r="F3251" t="s">
        <v>36</v>
      </c>
      <c r="G3251" t="str">
        <f>"2025-02-20 03:39:45.405"</f>
        <v>2025-02-20 03:39:45.405</v>
      </c>
      <c r="H3251" t="s">
        <v>37</v>
      </c>
    </row>
    <row r="3252" spans="1:10" x14ac:dyDescent="0.25">
      <c r="A3252" s="1">
        <v>302</v>
      </c>
      <c r="B3252" t="s">
        <v>19</v>
      </c>
      <c r="C3252">
        <v>706</v>
      </c>
      <c r="D3252">
        <v>2</v>
      </c>
      <c r="E3252" t="s">
        <v>28</v>
      </c>
      <c r="F3252" t="s">
        <v>39</v>
      </c>
      <c r="G3252" t="str">
        <f>"2025-02-20 03:39:15.233"</f>
        <v>2025-02-20 03:39:15.233</v>
      </c>
      <c r="H3252" t="s">
        <v>21</v>
      </c>
      <c r="I3252">
        <v>0</v>
      </c>
      <c r="J3252" t="s">
        <v>30</v>
      </c>
    </row>
    <row r="3253" spans="1:10" x14ac:dyDescent="0.25">
      <c r="A3253" s="1">
        <v>303</v>
      </c>
      <c r="B3253" t="s">
        <v>19</v>
      </c>
      <c r="C3253">
        <v>706</v>
      </c>
      <c r="D3253">
        <v>2</v>
      </c>
      <c r="E3253" t="s">
        <v>28</v>
      </c>
      <c r="F3253" t="s">
        <v>39</v>
      </c>
      <c r="G3253" t="str">
        <f>"2025-02-20 03:37:59.833"</f>
        <v>2025-02-20 03:37:59.833</v>
      </c>
      <c r="H3253" t="s">
        <v>21</v>
      </c>
      <c r="I3253">
        <v>0</v>
      </c>
      <c r="J3253" t="s">
        <v>30</v>
      </c>
    </row>
    <row r="3254" spans="1:10" x14ac:dyDescent="0.25">
      <c r="A3254" s="1">
        <v>304</v>
      </c>
      <c r="B3254" t="s">
        <v>19</v>
      </c>
      <c r="C3254">
        <v>706</v>
      </c>
      <c r="D3254">
        <v>4</v>
      </c>
      <c r="E3254" t="s">
        <v>28</v>
      </c>
      <c r="F3254" t="s">
        <v>29</v>
      </c>
      <c r="G3254" t="str">
        <f>"2025-02-20 03:37:31.173"</f>
        <v>2025-02-20 03:37:31.173</v>
      </c>
      <c r="H3254" t="s">
        <v>21</v>
      </c>
      <c r="I3254">
        <v>0</v>
      </c>
      <c r="J3254" t="s">
        <v>30</v>
      </c>
    </row>
    <row r="3255" spans="1:10" x14ac:dyDescent="0.25">
      <c r="A3255" s="1">
        <v>305</v>
      </c>
      <c r="B3255" t="s">
        <v>38</v>
      </c>
      <c r="C3255">
        <v>630</v>
      </c>
      <c r="D3255">
        <v>5</v>
      </c>
      <c r="E3255" t="s">
        <v>35</v>
      </c>
      <c r="F3255" t="s">
        <v>36</v>
      </c>
      <c r="G3255" t="str">
        <f>"2025-02-20 03:19:48.005"</f>
        <v>2025-02-20 03:19:48.005</v>
      </c>
      <c r="H3255" t="s">
        <v>37</v>
      </c>
      <c r="I3255">
        <v>0</v>
      </c>
      <c r="J3255" t="s">
        <v>30</v>
      </c>
    </row>
    <row r="3256" spans="1:10" x14ac:dyDescent="0.25">
      <c r="A3256" s="1">
        <v>306</v>
      </c>
      <c r="B3256" t="s">
        <v>19</v>
      </c>
      <c r="C3256">
        <v>700</v>
      </c>
      <c r="D3256">
        <v>0</v>
      </c>
      <c r="E3256" t="s">
        <v>20</v>
      </c>
      <c r="F3256" t="s">
        <v>20</v>
      </c>
      <c r="G3256" t="str">
        <f>"2025-02-20 03:14:45.243"</f>
        <v>2025-02-20 03:14:45.243</v>
      </c>
      <c r="H3256" t="s">
        <v>21</v>
      </c>
    </row>
    <row r="3257" spans="1:10" x14ac:dyDescent="0.25">
      <c r="A3257" s="1">
        <v>307</v>
      </c>
      <c r="B3257" t="s">
        <v>19</v>
      </c>
      <c r="C3257">
        <v>700</v>
      </c>
      <c r="D3257">
        <v>0</v>
      </c>
      <c r="E3257" t="s">
        <v>20</v>
      </c>
      <c r="F3257" t="s">
        <v>20</v>
      </c>
      <c r="G3257" t="str">
        <f>"2025-02-20 01:29:18.276"</f>
        <v>2025-02-20 01:29:18.276</v>
      </c>
      <c r="H3257" t="s">
        <v>21</v>
      </c>
    </row>
    <row r="3258" spans="1:10" x14ac:dyDescent="0.25">
      <c r="A3258" s="1">
        <v>308</v>
      </c>
      <c r="B3258" t="s">
        <v>19</v>
      </c>
      <c r="C3258">
        <v>706</v>
      </c>
      <c r="D3258">
        <v>2</v>
      </c>
      <c r="E3258" t="s">
        <v>28</v>
      </c>
      <c r="F3258" t="s">
        <v>39</v>
      </c>
      <c r="G3258" t="str">
        <f>"2025-02-19 14:06:58.742"</f>
        <v>2025-02-19 14:06:58.742</v>
      </c>
      <c r="H3258" t="s">
        <v>21</v>
      </c>
      <c r="I3258">
        <v>0</v>
      </c>
      <c r="J3258" t="s">
        <v>30</v>
      </c>
    </row>
    <row r="3259" spans="1:10" x14ac:dyDescent="0.25">
      <c r="A3259" s="1">
        <v>309</v>
      </c>
      <c r="B3259" t="s">
        <v>19</v>
      </c>
      <c r="C3259">
        <v>700</v>
      </c>
      <c r="D3259">
        <v>0</v>
      </c>
      <c r="E3259" t="s">
        <v>20</v>
      </c>
      <c r="F3259" t="s">
        <v>20</v>
      </c>
      <c r="G3259" t="str">
        <f>"2025-02-19 14:06:39.422"</f>
        <v>2025-02-19 14:06:39.422</v>
      </c>
      <c r="H3259" t="s">
        <v>21</v>
      </c>
    </row>
    <row r="3260" spans="1:10" x14ac:dyDescent="0.25">
      <c r="A3260" s="1">
        <v>310</v>
      </c>
      <c r="B3260" t="s">
        <v>19</v>
      </c>
      <c r="C3260">
        <v>700</v>
      </c>
      <c r="D3260">
        <v>0</v>
      </c>
      <c r="E3260" t="s">
        <v>20</v>
      </c>
      <c r="F3260" t="s">
        <v>20</v>
      </c>
      <c r="G3260" t="str">
        <f>"2025-02-18 13:01:13.349"</f>
        <v>2025-02-18 13:01:13.349</v>
      </c>
      <c r="H3260" t="s">
        <v>21</v>
      </c>
    </row>
    <row r="3261" spans="1:10" x14ac:dyDescent="0.25">
      <c r="A3261" s="1">
        <v>311</v>
      </c>
      <c r="B3261" t="s">
        <v>19</v>
      </c>
      <c r="C3261">
        <v>700</v>
      </c>
      <c r="D3261">
        <v>0</v>
      </c>
      <c r="E3261" t="s">
        <v>20</v>
      </c>
      <c r="F3261" t="s">
        <v>20</v>
      </c>
      <c r="G3261" t="str">
        <f>"2025-02-17 14:47:28.235"</f>
        <v>2025-02-17 14:47:28.235</v>
      </c>
      <c r="H3261" t="s">
        <v>21</v>
      </c>
      <c r="I3261">
        <v>0</v>
      </c>
      <c r="J3261" t="s">
        <v>22</v>
      </c>
    </row>
    <row r="3262" spans="1:10" x14ac:dyDescent="0.25">
      <c r="A3262" s="1">
        <v>312</v>
      </c>
      <c r="B3262" t="s">
        <v>19</v>
      </c>
      <c r="C3262">
        <v>700</v>
      </c>
      <c r="D3262">
        <v>0</v>
      </c>
      <c r="E3262" t="s">
        <v>20</v>
      </c>
      <c r="F3262" t="s">
        <v>20</v>
      </c>
      <c r="G3262" t="str">
        <f>"2025-02-17 14:42:51.319"</f>
        <v>2025-02-17 14:42:51.319</v>
      </c>
      <c r="H3262" t="s">
        <v>21</v>
      </c>
      <c r="I3262">
        <v>0</v>
      </c>
      <c r="J3262" t="s">
        <v>22</v>
      </c>
    </row>
    <row r="3263" spans="1:10" x14ac:dyDescent="0.25">
      <c r="A3263" s="1">
        <v>313</v>
      </c>
      <c r="B3263" t="s">
        <v>23</v>
      </c>
      <c r="C3263">
        <v>635</v>
      </c>
      <c r="D3263">
        <v>1</v>
      </c>
      <c r="E3263" t="s">
        <v>31</v>
      </c>
      <c r="F3263" t="s">
        <v>32</v>
      </c>
      <c r="G3263" t="str">
        <f>"2025-02-17 09:09:29.507"</f>
        <v>2025-02-17 09:09:29.507</v>
      </c>
      <c r="H3263" t="s">
        <v>21</v>
      </c>
    </row>
    <row r="3264" spans="1:10" x14ac:dyDescent="0.25">
      <c r="A3264" s="1">
        <v>314</v>
      </c>
      <c r="B3264" t="s">
        <v>26</v>
      </c>
      <c r="C3264">
        <v>635</v>
      </c>
      <c r="D3264">
        <v>1</v>
      </c>
      <c r="E3264" t="s">
        <v>31</v>
      </c>
      <c r="F3264" t="s">
        <v>32</v>
      </c>
      <c r="G3264" t="str">
        <f>"2025-02-17 09:04:14.507"</f>
        <v>2025-02-17 09:04:14.507</v>
      </c>
      <c r="H3264" t="s">
        <v>21</v>
      </c>
      <c r="I3264">
        <v>0.49</v>
      </c>
      <c r="J3264" t="s">
        <v>27</v>
      </c>
    </row>
    <row r="3265" spans="1:10" x14ac:dyDescent="0.25">
      <c r="A3265" s="1">
        <v>315</v>
      </c>
      <c r="B3265" t="s">
        <v>44</v>
      </c>
      <c r="C3265">
        <v>33</v>
      </c>
      <c r="D3265">
        <v>1</v>
      </c>
      <c r="E3265" t="s">
        <v>45</v>
      </c>
      <c r="F3265" t="s">
        <v>46</v>
      </c>
      <c r="G3265" t="str">
        <f>"2025-02-17 03:34:43.354"</f>
        <v>2025-02-17 03:34:43.354</v>
      </c>
      <c r="H3265" t="s">
        <v>47</v>
      </c>
    </row>
    <row r="3266" spans="1:10" x14ac:dyDescent="0.25">
      <c r="A3266" s="1">
        <v>316</v>
      </c>
      <c r="B3266" t="s">
        <v>38</v>
      </c>
      <c r="C3266">
        <v>33</v>
      </c>
      <c r="D3266">
        <v>1</v>
      </c>
      <c r="E3266" t="s">
        <v>45</v>
      </c>
      <c r="F3266" t="s">
        <v>46</v>
      </c>
      <c r="G3266" t="str">
        <f>"2025-02-17 03:34:32.066"</f>
        <v>2025-02-17 03:34:32.066</v>
      </c>
      <c r="H3266" t="s">
        <v>47</v>
      </c>
      <c r="I3266">
        <v>8.83</v>
      </c>
      <c r="J3266" t="s">
        <v>33</v>
      </c>
    </row>
    <row r="3267" spans="1:10" x14ac:dyDescent="0.25">
      <c r="A3267" s="1">
        <v>317</v>
      </c>
      <c r="B3267" t="s">
        <v>23</v>
      </c>
      <c r="C3267">
        <v>630</v>
      </c>
      <c r="D3267">
        <v>5</v>
      </c>
      <c r="E3267" t="s">
        <v>35</v>
      </c>
      <c r="F3267" t="s">
        <v>36</v>
      </c>
      <c r="G3267" t="str">
        <f>"2025-02-17 01:11:16.808"</f>
        <v>2025-02-17 01:11:16.808</v>
      </c>
      <c r="H3267" t="s">
        <v>37</v>
      </c>
    </row>
    <row r="3268" spans="1:10" x14ac:dyDescent="0.25">
      <c r="A3268" s="1">
        <v>318</v>
      </c>
      <c r="B3268" t="s">
        <v>19</v>
      </c>
      <c r="C3268">
        <v>706</v>
      </c>
      <c r="D3268">
        <v>2</v>
      </c>
      <c r="E3268" t="s">
        <v>28</v>
      </c>
      <c r="F3268" t="s">
        <v>39</v>
      </c>
      <c r="G3268" t="str">
        <f>"2025-02-17 01:10:46.676"</f>
        <v>2025-02-17 01:10:46.676</v>
      </c>
      <c r="H3268" t="s">
        <v>21</v>
      </c>
      <c r="I3268">
        <v>0</v>
      </c>
      <c r="J3268" t="s">
        <v>30</v>
      </c>
    </row>
    <row r="3269" spans="1:10" x14ac:dyDescent="0.25">
      <c r="A3269" s="1">
        <v>319</v>
      </c>
      <c r="B3269" t="s">
        <v>38</v>
      </c>
      <c r="C3269">
        <v>630</v>
      </c>
      <c r="D3269">
        <v>5</v>
      </c>
      <c r="E3269" t="s">
        <v>35</v>
      </c>
      <c r="F3269" t="s">
        <v>36</v>
      </c>
      <c r="G3269" t="str">
        <f>"2025-02-17 00:46:36.408"</f>
        <v>2025-02-17 00:46:36.408</v>
      </c>
      <c r="H3269" t="s">
        <v>37</v>
      </c>
      <c r="I3269">
        <v>0</v>
      </c>
      <c r="J3269" t="s">
        <v>30</v>
      </c>
    </row>
    <row r="3270" spans="1:10" x14ac:dyDescent="0.25">
      <c r="A3270" s="1">
        <v>320</v>
      </c>
      <c r="B3270" t="s">
        <v>23</v>
      </c>
      <c r="C3270">
        <v>630</v>
      </c>
      <c r="D3270">
        <v>5</v>
      </c>
      <c r="E3270" t="s">
        <v>35</v>
      </c>
      <c r="F3270" t="s">
        <v>36</v>
      </c>
      <c r="G3270" t="str">
        <f>"2025-02-16 23:08:50.308"</f>
        <v>2025-02-16 23:08:50.308</v>
      </c>
      <c r="H3270" t="s">
        <v>37</v>
      </c>
    </row>
    <row r="3271" spans="1:10" x14ac:dyDescent="0.25">
      <c r="A3271" s="1">
        <v>321</v>
      </c>
      <c r="B3271" t="s">
        <v>19</v>
      </c>
      <c r="C3271">
        <v>706</v>
      </c>
      <c r="D3271">
        <v>4</v>
      </c>
      <c r="E3271" t="s">
        <v>28</v>
      </c>
      <c r="F3271" t="s">
        <v>29</v>
      </c>
      <c r="G3271" t="str">
        <f>"2025-02-16 23:08:20.247"</f>
        <v>2025-02-16 23:08:20.247</v>
      </c>
      <c r="H3271" t="s">
        <v>21</v>
      </c>
      <c r="I3271">
        <v>0</v>
      </c>
      <c r="J3271" t="s">
        <v>30</v>
      </c>
    </row>
    <row r="3272" spans="1:10" x14ac:dyDescent="0.25">
      <c r="A3272" s="1">
        <v>322</v>
      </c>
      <c r="B3272" t="s">
        <v>38</v>
      </c>
      <c r="C3272">
        <v>630</v>
      </c>
      <c r="D3272">
        <v>5</v>
      </c>
      <c r="E3272" t="s">
        <v>35</v>
      </c>
      <c r="F3272" t="s">
        <v>36</v>
      </c>
      <c r="G3272" t="str">
        <f>"2025-02-16 23:02:38.008"</f>
        <v>2025-02-16 23:02:38.008</v>
      </c>
      <c r="H3272" t="s">
        <v>37</v>
      </c>
      <c r="I3272">
        <v>0</v>
      </c>
      <c r="J3272" t="s">
        <v>30</v>
      </c>
    </row>
    <row r="3273" spans="1:10" x14ac:dyDescent="0.25">
      <c r="A3273" s="1">
        <v>323</v>
      </c>
      <c r="B3273" t="s">
        <v>19</v>
      </c>
      <c r="C3273">
        <v>700</v>
      </c>
      <c r="D3273">
        <v>0</v>
      </c>
      <c r="E3273" t="s">
        <v>20</v>
      </c>
      <c r="F3273" t="s">
        <v>20</v>
      </c>
      <c r="G3273" t="str">
        <f>"2025-02-16 22:57:35.247"</f>
        <v>2025-02-16 22:57:35.247</v>
      </c>
      <c r="H3273" t="s">
        <v>21</v>
      </c>
      <c r="I3273">
        <v>0</v>
      </c>
      <c r="J3273" t="s">
        <v>22</v>
      </c>
    </row>
    <row r="3274" spans="1:10" x14ac:dyDescent="0.25">
      <c r="A3274" s="1">
        <v>324</v>
      </c>
      <c r="B3274" t="s">
        <v>23</v>
      </c>
      <c r="C3274">
        <v>635</v>
      </c>
      <c r="D3274">
        <v>1</v>
      </c>
      <c r="E3274" t="s">
        <v>31</v>
      </c>
      <c r="F3274" t="s">
        <v>32</v>
      </c>
      <c r="G3274" t="str">
        <f>"2025-02-16 22:30:27.057"</f>
        <v>2025-02-16 22:30:27.057</v>
      </c>
      <c r="H3274" t="s">
        <v>21</v>
      </c>
    </row>
    <row r="3275" spans="1:10" x14ac:dyDescent="0.25">
      <c r="A3275" s="1">
        <v>325</v>
      </c>
      <c r="B3275" t="s">
        <v>26</v>
      </c>
      <c r="C3275">
        <v>635</v>
      </c>
      <c r="D3275">
        <v>1</v>
      </c>
      <c r="E3275" t="s">
        <v>31</v>
      </c>
      <c r="F3275" t="s">
        <v>32</v>
      </c>
      <c r="G3275" t="str">
        <f>"2025-02-16 22:25:32.558"</f>
        <v>2025-02-16 22:25:32.558</v>
      </c>
      <c r="H3275" t="s">
        <v>21</v>
      </c>
      <c r="I3275">
        <v>2</v>
      </c>
      <c r="J3275" t="s">
        <v>27</v>
      </c>
    </row>
    <row r="3276" spans="1:10" x14ac:dyDescent="0.25">
      <c r="A3276" s="1">
        <v>326</v>
      </c>
      <c r="B3276" t="s">
        <v>19</v>
      </c>
      <c r="C3276">
        <v>706</v>
      </c>
      <c r="D3276">
        <v>2</v>
      </c>
      <c r="E3276" t="s">
        <v>28</v>
      </c>
      <c r="F3276" t="s">
        <v>39</v>
      </c>
      <c r="G3276" t="str">
        <f>"2025-02-16 10:51:04.135"</f>
        <v>2025-02-16 10:51:04.135</v>
      </c>
      <c r="H3276" t="s">
        <v>21</v>
      </c>
      <c r="I3276">
        <v>0</v>
      </c>
      <c r="J3276" t="s">
        <v>30</v>
      </c>
    </row>
    <row r="3277" spans="1:10" x14ac:dyDescent="0.25">
      <c r="A3277" s="1">
        <v>327</v>
      </c>
      <c r="B3277" t="s">
        <v>19</v>
      </c>
      <c r="C3277">
        <v>700</v>
      </c>
      <c r="D3277">
        <v>0</v>
      </c>
      <c r="E3277" t="s">
        <v>20</v>
      </c>
      <c r="F3277" t="s">
        <v>20</v>
      </c>
      <c r="G3277" t="str">
        <f>"2025-02-16 10:50:38.235"</f>
        <v>2025-02-16 10:50:38.235</v>
      </c>
      <c r="H3277" t="s">
        <v>21</v>
      </c>
      <c r="I3277">
        <v>0</v>
      </c>
      <c r="J3277" t="s">
        <v>22</v>
      </c>
    </row>
    <row r="3278" spans="1:10" x14ac:dyDescent="0.25">
      <c r="A3278" s="1">
        <v>328</v>
      </c>
      <c r="B3278" t="s">
        <v>23</v>
      </c>
      <c r="C3278">
        <v>635</v>
      </c>
      <c r="D3278">
        <v>1</v>
      </c>
      <c r="E3278" t="s">
        <v>31</v>
      </c>
      <c r="F3278" t="s">
        <v>32</v>
      </c>
      <c r="G3278" t="str">
        <f>"2025-02-15 17:42:16.412"</f>
        <v>2025-02-15 17:42:16.412</v>
      </c>
      <c r="H3278" t="s">
        <v>21</v>
      </c>
    </row>
    <row r="3279" spans="1:10" x14ac:dyDescent="0.25">
      <c r="A3279" s="1">
        <v>329</v>
      </c>
      <c r="B3279" t="s">
        <v>26</v>
      </c>
      <c r="C3279">
        <v>635</v>
      </c>
      <c r="D3279">
        <v>1</v>
      </c>
      <c r="E3279" t="s">
        <v>31</v>
      </c>
      <c r="F3279" t="s">
        <v>32</v>
      </c>
      <c r="G3279" t="str">
        <f>"2025-02-15 17:34:15.012"</f>
        <v>2025-02-15 17:34:15.012</v>
      </c>
      <c r="H3279" t="s">
        <v>21</v>
      </c>
      <c r="I3279">
        <v>0.1</v>
      </c>
      <c r="J3279" t="s">
        <v>33</v>
      </c>
    </row>
    <row r="3280" spans="1:10" x14ac:dyDescent="0.25">
      <c r="A3280" s="1">
        <v>330</v>
      </c>
      <c r="B3280" t="s">
        <v>19</v>
      </c>
      <c r="C3280">
        <v>700</v>
      </c>
      <c r="D3280">
        <v>0</v>
      </c>
      <c r="E3280" t="s">
        <v>20</v>
      </c>
      <c r="F3280" t="s">
        <v>20</v>
      </c>
      <c r="G3280" t="str">
        <f>"2025-02-14 18:07:07.231"</f>
        <v>2025-02-14 18:07:07.231</v>
      </c>
      <c r="H3280" t="s">
        <v>21</v>
      </c>
    </row>
    <row r="3281" spans="1:10" x14ac:dyDescent="0.25">
      <c r="A3281" s="1">
        <v>331</v>
      </c>
      <c r="B3281" t="s">
        <v>23</v>
      </c>
      <c r="C3281">
        <v>635</v>
      </c>
      <c r="D3281">
        <v>1</v>
      </c>
      <c r="E3281" t="s">
        <v>31</v>
      </c>
      <c r="F3281" t="s">
        <v>32</v>
      </c>
      <c r="G3281" t="str">
        <f>"2025-02-14 11:49:35.493"</f>
        <v>2025-02-14 11:49:35.493</v>
      </c>
      <c r="H3281" t="s">
        <v>21</v>
      </c>
    </row>
    <row r="3282" spans="1:10" x14ac:dyDescent="0.25">
      <c r="A3282" s="1">
        <v>332</v>
      </c>
      <c r="B3282" t="s">
        <v>26</v>
      </c>
      <c r="C3282">
        <v>635</v>
      </c>
      <c r="D3282">
        <v>1</v>
      </c>
      <c r="E3282" t="s">
        <v>31</v>
      </c>
      <c r="F3282" t="s">
        <v>32</v>
      </c>
      <c r="G3282" t="str">
        <f>"2025-02-14 11:41:23.493"</f>
        <v>2025-02-14 11:41:23.493</v>
      </c>
      <c r="H3282" t="s">
        <v>21</v>
      </c>
      <c r="I3282">
        <v>0</v>
      </c>
      <c r="J3282" t="s">
        <v>34</v>
      </c>
    </row>
    <row r="3283" spans="1:10" x14ac:dyDescent="0.25">
      <c r="A3283" s="1">
        <v>333</v>
      </c>
      <c r="B3283" t="s">
        <v>19</v>
      </c>
      <c r="C3283">
        <v>706</v>
      </c>
      <c r="D3283">
        <v>4</v>
      </c>
      <c r="E3283" t="s">
        <v>28</v>
      </c>
      <c r="F3283" t="s">
        <v>29</v>
      </c>
      <c r="G3283" t="str">
        <f>"2025-02-14 05:03:23.782"</f>
        <v>2025-02-14 05:03:23.782</v>
      </c>
      <c r="H3283" t="s">
        <v>21</v>
      </c>
      <c r="I3283">
        <v>0</v>
      </c>
      <c r="J3283" t="s">
        <v>30</v>
      </c>
    </row>
    <row r="3284" spans="1:10" x14ac:dyDescent="0.25">
      <c r="A3284" s="1">
        <v>334</v>
      </c>
      <c r="B3284" t="s">
        <v>19</v>
      </c>
      <c r="C3284">
        <v>700</v>
      </c>
      <c r="D3284">
        <v>0</v>
      </c>
      <c r="E3284" t="s">
        <v>20</v>
      </c>
      <c r="F3284" t="s">
        <v>20</v>
      </c>
      <c r="G3284" t="str">
        <f>"2025-02-14 04:38:20.232"</f>
        <v>2025-02-14 04:38:20.232</v>
      </c>
      <c r="H3284" t="s">
        <v>21</v>
      </c>
    </row>
    <row r="3285" spans="1:10" x14ac:dyDescent="0.25">
      <c r="A3285" s="1">
        <v>337</v>
      </c>
      <c r="B3285" t="s">
        <v>19</v>
      </c>
      <c r="C3285">
        <v>782</v>
      </c>
      <c r="D3285">
        <v>7</v>
      </c>
      <c r="E3285" t="s">
        <v>58</v>
      </c>
      <c r="F3285" t="s">
        <v>59</v>
      </c>
      <c r="G3285" t="str">
        <f>"2025-02-11 21:42:36.770"</f>
        <v>2025-02-11 21:42:36.770</v>
      </c>
      <c r="H3285" t="s">
        <v>21</v>
      </c>
      <c r="I3285">
        <v>0</v>
      </c>
      <c r="J3285" t="s">
        <v>34</v>
      </c>
    </row>
    <row r="3286" spans="1:10" x14ac:dyDescent="0.25">
      <c r="A3286" s="1">
        <v>340</v>
      </c>
      <c r="B3286" t="s">
        <v>23</v>
      </c>
      <c r="C3286">
        <v>127</v>
      </c>
      <c r="D3286">
        <v>6</v>
      </c>
      <c r="E3286" t="s">
        <v>94</v>
      </c>
      <c r="F3286" t="s">
        <v>95</v>
      </c>
      <c r="G3286" t="str">
        <f>"2025-02-11 21:42:36.766"</f>
        <v>2025-02-11 21:42:36.766</v>
      </c>
      <c r="H3286" t="s">
        <v>21</v>
      </c>
    </row>
    <row r="3287" spans="1:10" x14ac:dyDescent="0.25">
      <c r="A3287" s="1">
        <v>341</v>
      </c>
      <c r="B3287" t="s">
        <v>23</v>
      </c>
      <c r="C3287">
        <v>126</v>
      </c>
      <c r="D3287">
        <v>1</v>
      </c>
      <c r="E3287" t="s">
        <v>96</v>
      </c>
      <c r="F3287" t="s">
        <v>97</v>
      </c>
      <c r="G3287" t="str">
        <f>"2025-02-11 21:42:36.764"</f>
        <v>2025-02-11 21:42:36.764</v>
      </c>
      <c r="H3287" t="s">
        <v>89</v>
      </c>
    </row>
    <row r="3288" spans="1:10" x14ac:dyDescent="0.25">
      <c r="A3288" s="1">
        <v>342</v>
      </c>
      <c r="B3288" t="s">
        <v>19</v>
      </c>
      <c r="C3288">
        <v>782</v>
      </c>
      <c r="D3288">
        <v>7</v>
      </c>
      <c r="E3288" t="s">
        <v>58</v>
      </c>
      <c r="F3288" t="s">
        <v>59</v>
      </c>
      <c r="G3288" t="str">
        <f>"2025-02-11 21:42:36.763"</f>
        <v>2025-02-11 21:42:36.763</v>
      </c>
      <c r="H3288" t="s">
        <v>21</v>
      </c>
      <c r="I3288">
        <v>0</v>
      </c>
      <c r="J3288" t="s">
        <v>34</v>
      </c>
    </row>
    <row r="3289" spans="1:10" x14ac:dyDescent="0.25">
      <c r="A3289" s="1">
        <v>343</v>
      </c>
      <c r="B3289" t="s">
        <v>19</v>
      </c>
      <c r="C3289">
        <v>700</v>
      </c>
      <c r="D3289">
        <v>0</v>
      </c>
      <c r="E3289" t="s">
        <v>20</v>
      </c>
      <c r="F3289" t="s">
        <v>20</v>
      </c>
      <c r="G3289" t="str">
        <f>"2025-02-11 21:42:15.215"</f>
        <v>2025-02-11 21:42:15.215</v>
      </c>
      <c r="H3289" t="s">
        <v>21</v>
      </c>
    </row>
    <row r="3290" spans="1:10" x14ac:dyDescent="0.25">
      <c r="A3290" s="1">
        <v>344</v>
      </c>
      <c r="B3290" t="s">
        <v>23</v>
      </c>
      <c r="C3290">
        <v>91</v>
      </c>
      <c r="D3290">
        <v>1</v>
      </c>
      <c r="E3290" t="s">
        <v>98</v>
      </c>
      <c r="F3290" t="s">
        <v>98</v>
      </c>
      <c r="G3290" t="str">
        <f>"2025-02-11 20:44:49.616"</f>
        <v>2025-02-11 20:44:49.616</v>
      </c>
      <c r="H3290" t="s">
        <v>21</v>
      </c>
    </row>
    <row r="3291" spans="1:10" x14ac:dyDescent="0.25">
      <c r="A3291" s="1">
        <v>345</v>
      </c>
      <c r="B3291" t="s">
        <v>26</v>
      </c>
      <c r="C3291">
        <v>91</v>
      </c>
      <c r="D3291">
        <v>1</v>
      </c>
      <c r="E3291" t="s">
        <v>98</v>
      </c>
      <c r="F3291" t="s">
        <v>98</v>
      </c>
      <c r="G3291" t="str">
        <f>"2025-02-11 20:44:24.817"</f>
        <v>2025-02-11 20:44:24.817</v>
      </c>
      <c r="H3291" t="s">
        <v>21</v>
      </c>
      <c r="I3291">
        <v>0</v>
      </c>
      <c r="J3291" t="s">
        <v>34</v>
      </c>
    </row>
    <row r="3292" spans="1:10" x14ac:dyDescent="0.25">
      <c r="A3292" s="1">
        <v>346</v>
      </c>
      <c r="B3292" t="s">
        <v>19</v>
      </c>
      <c r="C3292">
        <v>700</v>
      </c>
      <c r="D3292">
        <v>0</v>
      </c>
      <c r="E3292" t="s">
        <v>20</v>
      </c>
      <c r="F3292" t="s">
        <v>20</v>
      </c>
      <c r="G3292" t="str">
        <f>"2025-02-11 19:45:08.206"</f>
        <v>2025-02-11 19:45:08.206</v>
      </c>
      <c r="H3292" t="s">
        <v>21</v>
      </c>
    </row>
    <row r="3293" spans="1:10" x14ac:dyDescent="0.25">
      <c r="A3293" s="1">
        <v>347</v>
      </c>
      <c r="B3293" t="s">
        <v>26</v>
      </c>
      <c r="C3293">
        <v>126</v>
      </c>
      <c r="D3293">
        <v>1</v>
      </c>
      <c r="E3293" t="s">
        <v>96</v>
      </c>
      <c r="F3293" t="s">
        <v>97</v>
      </c>
      <c r="G3293" t="str">
        <f>"2025-02-11 19:43:05.299"</f>
        <v>2025-02-11 19:43:05.299</v>
      </c>
      <c r="H3293" t="s">
        <v>89</v>
      </c>
      <c r="I3293">
        <v>0</v>
      </c>
      <c r="J3293" t="s">
        <v>34</v>
      </c>
    </row>
    <row r="3294" spans="1:10" x14ac:dyDescent="0.25">
      <c r="A3294" s="1">
        <v>348</v>
      </c>
      <c r="B3294" t="s">
        <v>40</v>
      </c>
      <c r="C3294">
        <v>126</v>
      </c>
      <c r="D3294">
        <v>1</v>
      </c>
      <c r="E3294" t="s">
        <v>96</v>
      </c>
      <c r="F3294" t="s">
        <v>97</v>
      </c>
      <c r="G3294" t="str">
        <f>"2025-02-11 19:43:05.135"</f>
        <v>2025-02-11 19:43:05.135</v>
      </c>
      <c r="H3294" t="s">
        <v>89</v>
      </c>
    </row>
    <row r="3295" spans="1:10" x14ac:dyDescent="0.25">
      <c r="A3295" s="1">
        <v>349</v>
      </c>
      <c r="B3295" t="s">
        <v>26</v>
      </c>
      <c r="C3295">
        <v>127</v>
      </c>
      <c r="D3295">
        <v>6</v>
      </c>
      <c r="E3295" t="s">
        <v>94</v>
      </c>
      <c r="F3295" t="s">
        <v>95</v>
      </c>
      <c r="G3295" t="str">
        <f>"2025-02-11 19:43:05.099"</f>
        <v>2025-02-11 19:43:05.099</v>
      </c>
      <c r="H3295" t="s">
        <v>21</v>
      </c>
      <c r="I3295">
        <v>0</v>
      </c>
      <c r="J3295" t="s">
        <v>34</v>
      </c>
    </row>
    <row r="3296" spans="1:10" x14ac:dyDescent="0.25">
      <c r="A3296" s="1">
        <v>350</v>
      </c>
      <c r="B3296" t="s">
        <v>40</v>
      </c>
      <c r="C3296">
        <v>127</v>
      </c>
      <c r="D3296">
        <v>6</v>
      </c>
      <c r="E3296" t="s">
        <v>94</v>
      </c>
      <c r="F3296" t="s">
        <v>95</v>
      </c>
      <c r="G3296" t="str">
        <f>"2025-02-11 19:43:04.935"</f>
        <v>2025-02-11 19:43:04.935</v>
      </c>
      <c r="H3296" t="s">
        <v>21</v>
      </c>
    </row>
    <row r="3297" spans="1:10" x14ac:dyDescent="0.25">
      <c r="A3297" s="1">
        <v>351</v>
      </c>
      <c r="B3297" t="s">
        <v>38</v>
      </c>
      <c r="C3297">
        <v>126</v>
      </c>
      <c r="D3297">
        <v>1</v>
      </c>
      <c r="E3297" t="s">
        <v>96</v>
      </c>
      <c r="F3297" t="s">
        <v>97</v>
      </c>
      <c r="G3297" t="str">
        <f>"2025-02-11 19:43:00.099"</f>
        <v>2025-02-11 19:43:00.099</v>
      </c>
      <c r="H3297" t="s">
        <v>89</v>
      </c>
      <c r="I3297">
        <v>0</v>
      </c>
      <c r="J3297" t="s">
        <v>34</v>
      </c>
    </row>
    <row r="3298" spans="1:10" x14ac:dyDescent="0.25">
      <c r="A3298" s="1">
        <v>352</v>
      </c>
      <c r="B3298" t="s">
        <v>40</v>
      </c>
      <c r="C3298">
        <v>126</v>
      </c>
      <c r="D3298">
        <v>1</v>
      </c>
      <c r="E3298" t="s">
        <v>96</v>
      </c>
      <c r="F3298" t="s">
        <v>97</v>
      </c>
      <c r="G3298" t="str">
        <f>"2025-02-11 19:42:59.935"</f>
        <v>2025-02-11 19:42:59.935</v>
      </c>
      <c r="H3298" t="s">
        <v>89</v>
      </c>
    </row>
    <row r="3299" spans="1:10" x14ac:dyDescent="0.25">
      <c r="A3299" s="1">
        <v>353</v>
      </c>
      <c r="B3299" t="s">
        <v>38</v>
      </c>
      <c r="C3299">
        <v>127</v>
      </c>
      <c r="D3299">
        <v>6</v>
      </c>
      <c r="E3299" t="s">
        <v>94</v>
      </c>
      <c r="F3299" t="s">
        <v>95</v>
      </c>
      <c r="G3299" t="str">
        <f>"2025-02-11 19:42:59.899"</f>
        <v>2025-02-11 19:42:59.899</v>
      </c>
      <c r="H3299" t="s">
        <v>21</v>
      </c>
      <c r="I3299">
        <v>0</v>
      </c>
      <c r="J3299" t="s">
        <v>34</v>
      </c>
    </row>
    <row r="3300" spans="1:10" x14ac:dyDescent="0.25">
      <c r="A3300" s="1">
        <v>354</v>
      </c>
      <c r="B3300" t="s">
        <v>40</v>
      </c>
      <c r="C3300">
        <v>127</v>
      </c>
      <c r="D3300">
        <v>6</v>
      </c>
      <c r="E3300" t="s">
        <v>94</v>
      </c>
      <c r="F3300" t="s">
        <v>95</v>
      </c>
      <c r="G3300" t="str">
        <f>"2025-02-11 19:42:59.735"</f>
        <v>2025-02-11 19:42:59.735</v>
      </c>
      <c r="H3300" t="s">
        <v>21</v>
      </c>
    </row>
    <row r="3301" spans="1:10" x14ac:dyDescent="0.25">
      <c r="A3301" s="1">
        <v>355</v>
      </c>
      <c r="B3301" t="s">
        <v>38</v>
      </c>
      <c r="C3301">
        <v>126</v>
      </c>
      <c r="D3301">
        <v>1</v>
      </c>
      <c r="E3301" t="s">
        <v>96</v>
      </c>
      <c r="F3301" t="s">
        <v>97</v>
      </c>
      <c r="G3301" t="str">
        <f>"2025-02-11 19:42:54.899"</f>
        <v>2025-02-11 19:42:54.899</v>
      </c>
      <c r="H3301" t="s">
        <v>89</v>
      </c>
      <c r="I3301">
        <v>0</v>
      </c>
      <c r="J3301" t="s">
        <v>34</v>
      </c>
    </row>
    <row r="3302" spans="1:10" x14ac:dyDescent="0.25">
      <c r="A3302" s="1">
        <v>356</v>
      </c>
      <c r="B3302" t="s">
        <v>40</v>
      </c>
      <c r="C3302">
        <v>126</v>
      </c>
      <c r="D3302">
        <v>1</v>
      </c>
      <c r="E3302" t="s">
        <v>96</v>
      </c>
      <c r="F3302" t="s">
        <v>97</v>
      </c>
      <c r="G3302" t="str">
        <f>"2025-02-11 19:42:54.735"</f>
        <v>2025-02-11 19:42:54.735</v>
      </c>
      <c r="H3302" t="s">
        <v>89</v>
      </c>
    </row>
    <row r="3303" spans="1:10" x14ac:dyDescent="0.25">
      <c r="A3303" s="1">
        <v>357</v>
      </c>
      <c r="B3303" t="s">
        <v>38</v>
      </c>
      <c r="C3303">
        <v>127</v>
      </c>
      <c r="D3303">
        <v>6</v>
      </c>
      <c r="E3303" t="s">
        <v>94</v>
      </c>
      <c r="F3303" t="s">
        <v>95</v>
      </c>
      <c r="G3303" t="str">
        <f>"2025-02-11 19:42:54.699"</f>
        <v>2025-02-11 19:42:54.699</v>
      </c>
      <c r="H3303" t="s">
        <v>21</v>
      </c>
      <c r="I3303">
        <v>0</v>
      </c>
      <c r="J3303" t="s">
        <v>34</v>
      </c>
    </row>
    <row r="3304" spans="1:10" x14ac:dyDescent="0.25">
      <c r="A3304" s="1">
        <v>358</v>
      </c>
      <c r="B3304" t="s">
        <v>40</v>
      </c>
      <c r="C3304">
        <v>127</v>
      </c>
      <c r="D3304">
        <v>6</v>
      </c>
      <c r="E3304" t="s">
        <v>94</v>
      </c>
      <c r="F3304" t="s">
        <v>95</v>
      </c>
      <c r="G3304" t="str">
        <f>"2025-02-11 19:42:54.535"</f>
        <v>2025-02-11 19:42:54.535</v>
      </c>
      <c r="H3304" t="s">
        <v>21</v>
      </c>
    </row>
    <row r="3305" spans="1:10" x14ac:dyDescent="0.25">
      <c r="A3305" s="1">
        <v>359</v>
      </c>
      <c r="B3305" t="s">
        <v>38</v>
      </c>
      <c r="C3305">
        <v>126</v>
      </c>
      <c r="D3305">
        <v>1</v>
      </c>
      <c r="E3305" t="s">
        <v>96</v>
      </c>
      <c r="F3305" t="s">
        <v>97</v>
      </c>
      <c r="G3305" t="str">
        <f>"2025-02-11 19:42:49.719"</f>
        <v>2025-02-11 19:42:49.719</v>
      </c>
      <c r="H3305" t="s">
        <v>89</v>
      </c>
      <c r="I3305">
        <v>0</v>
      </c>
      <c r="J3305" t="s">
        <v>34</v>
      </c>
    </row>
    <row r="3306" spans="1:10" x14ac:dyDescent="0.25">
      <c r="A3306" s="1">
        <v>360</v>
      </c>
      <c r="B3306" t="s">
        <v>38</v>
      </c>
      <c r="C3306">
        <v>127</v>
      </c>
      <c r="D3306">
        <v>6</v>
      </c>
      <c r="E3306" t="s">
        <v>94</v>
      </c>
      <c r="F3306" t="s">
        <v>95</v>
      </c>
      <c r="G3306" t="str">
        <f>"2025-02-11 19:42:49.519"</f>
        <v>2025-02-11 19:42:49.519</v>
      </c>
      <c r="H3306" t="s">
        <v>21</v>
      </c>
      <c r="I3306">
        <v>0</v>
      </c>
      <c r="J3306" t="s">
        <v>34</v>
      </c>
    </row>
    <row r="3307" spans="1:10" x14ac:dyDescent="0.25">
      <c r="A3307" s="1">
        <v>363</v>
      </c>
      <c r="B3307" t="s">
        <v>19</v>
      </c>
      <c r="C3307">
        <v>782</v>
      </c>
      <c r="D3307">
        <v>7</v>
      </c>
      <c r="E3307" t="s">
        <v>58</v>
      </c>
      <c r="F3307" t="s">
        <v>59</v>
      </c>
      <c r="G3307" t="str">
        <f>"2025-02-11 19:42:49.365"</f>
        <v>2025-02-11 19:42:49.365</v>
      </c>
      <c r="H3307" t="s">
        <v>21</v>
      </c>
      <c r="I3307">
        <v>0</v>
      </c>
      <c r="J3307" t="s">
        <v>34</v>
      </c>
    </row>
    <row r="3308" spans="1:10" x14ac:dyDescent="0.25">
      <c r="A3308" s="1">
        <v>366</v>
      </c>
      <c r="B3308" t="s">
        <v>23</v>
      </c>
      <c r="C3308">
        <v>127</v>
      </c>
      <c r="D3308">
        <v>6</v>
      </c>
      <c r="E3308" t="s">
        <v>94</v>
      </c>
      <c r="F3308" t="s">
        <v>95</v>
      </c>
      <c r="G3308" t="str">
        <f>"2025-02-11 19:42:49.358"</f>
        <v>2025-02-11 19:42:49.358</v>
      </c>
      <c r="H3308" t="s">
        <v>21</v>
      </c>
    </row>
    <row r="3309" spans="1:10" x14ac:dyDescent="0.25">
      <c r="A3309" s="1">
        <v>367</v>
      </c>
      <c r="B3309" t="s">
        <v>23</v>
      </c>
      <c r="C3309">
        <v>126</v>
      </c>
      <c r="D3309">
        <v>1</v>
      </c>
      <c r="E3309" t="s">
        <v>96</v>
      </c>
      <c r="F3309" t="s">
        <v>97</v>
      </c>
      <c r="G3309" t="str">
        <f>"2025-02-11 19:42:49.357"</f>
        <v>2025-02-11 19:42:49.357</v>
      </c>
      <c r="H3309" t="s">
        <v>89</v>
      </c>
    </row>
    <row r="3310" spans="1:10" x14ac:dyDescent="0.25">
      <c r="A3310" s="1">
        <v>368</v>
      </c>
      <c r="B3310" t="s">
        <v>19</v>
      </c>
      <c r="C3310">
        <v>782</v>
      </c>
      <c r="D3310">
        <v>7</v>
      </c>
      <c r="E3310" t="s">
        <v>58</v>
      </c>
      <c r="F3310" t="s">
        <v>59</v>
      </c>
      <c r="G3310" t="str">
        <f>"2025-02-11 19:42:49.356"</f>
        <v>2025-02-11 19:42:49.356</v>
      </c>
      <c r="H3310" t="s">
        <v>21</v>
      </c>
      <c r="I3310">
        <v>0</v>
      </c>
      <c r="J3310" t="s">
        <v>34</v>
      </c>
    </row>
    <row r="3311" spans="1:10" x14ac:dyDescent="0.25">
      <c r="A3311" s="1">
        <v>369</v>
      </c>
      <c r="B3311" t="s">
        <v>38</v>
      </c>
      <c r="C3311">
        <v>126</v>
      </c>
      <c r="D3311">
        <v>1</v>
      </c>
      <c r="E3311" t="s">
        <v>96</v>
      </c>
      <c r="F3311" t="s">
        <v>97</v>
      </c>
      <c r="G3311" t="str">
        <f>"2025-02-11 19:42:47.204"</f>
        <v>2025-02-11 19:42:47.204</v>
      </c>
      <c r="H3311" t="s">
        <v>89</v>
      </c>
      <c r="I3311">
        <v>0</v>
      </c>
      <c r="J3311" t="s">
        <v>34</v>
      </c>
    </row>
    <row r="3312" spans="1:10" x14ac:dyDescent="0.25">
      <c r="A3312" s="1">
        <v>370</v>
      </c>
      <c r="B3312" t="s">
        <v>38</v>
      </c>
      <c r="C3312">
        <v>127</v>
      </c>
      <c r="D3312">
        <v>6</v>
      </c>
      <c r="E3312" t="s">
        <v>94</v>
      </c>
      <c r="F3312" t="s">
        <v>95</v>
      </c>
      <c r="G3312" t="str">
        <f>"2025-02-11 19:42:47.199"</f>
        <v>2025-02-11 19:42:47.199</v>
      </c>
      <c r="H3312" t="s">
        <v>21</v>
      </c>
      <c r="I3312">
        <v>0</v>
      </c>
      <c r="J3312" t="s">
        <v>34</v>
      </c>
    </row>
    <row r="3313" spans="1:10" x14ac:dyDescent="0.25">
      <c r="A3313" s="1">
        <v>371</v>
      </c>
      <c r="B3313" t="s">
        <v>40</v>
      </c>
      <c r="C3313">
        <v>127</v>
      </c>
      <c r="D3313">
        <v>6</v>
      </c>
      <c r="E3313" t="s">
        <v>94</v>
      </c>
      <c r="F3313" t="s">
        <v>95</v>
      </c>
      <c r="G3313" t="str">
        <f>"2025-02-11 19:42:47.135"</f>
        <v>2025-02-11 19:42:47.135</v>
      </c>
      <c r="H3313" t="s">
        <v>21</v>
      </c>
    </row>
    <row r="3314" spans="1:10" x14ac:dyDescent="0.25">
      <c r="A3314" s="1">
        <v>372</v>
      </c>
      <c r="B3314" t="s">
        <v>40</v>
      </c>
      <c r="C3314">
        <v>126</v>
      </c>
      <c r="D3314">
        <v>1</v>
      </c>
      <c r="E3314" t="s">
        <v>96</v>
      </c>
      <c r="F3314" t="s">
        <v>97</v>
      </c>
      <c r="G3314" t="str">
        <f>"2025-02-11 19:42:47.036"</f>
        <v>2025-02-11 19:42:47.036</v>
      </c>
      <c r="H3314" t="s">
        <v>89</v>
      </c>
    </row>
    <row r="3315" spans="1:10" x14ac:dyDescent="0.25">
      <c r="A3315" s="1">
        <v>373</v>
      </c>
      <c r="B3315" t="s">
        <v>38</v>
      </c>
      <c r="C3315">
        <v>126</v>
      </c>
      <c r="D3315">
        <v>1</v>
      </c>
      <c r="E3315" t="s">
        <v>96</v>
      </c>
      <c r="F3315" t="s">
        <v>97</v>
      </c>
      <c r="G3315" t="str">
        <f>"2025-02-11 19:42:42.004"</f>
        <v>2025-02-11 19:42:42.004</v>
      </c>
      <c r="H3315" t="s">
        <v>89</v>
      </c>
      <c r="I3315">
        <v>0</v>
      </c>
      <c r="J3315" t="s">
        <v>34</v>
      </c>
    </row>
    <row r="3316" spans="1:10" x14ac:dyDescent="0.25">
      <c r="A3316" s="1">
        <v>374</v>
      </c>
      <c r="B3316" t="s">
        <v>38</v>
      </c>
      <c r="C3316">
        <v>127</v>
      </c>
      <c r="D3316">
        <v>6</v>
      </c>
      <c r="E3316" t="s">
        <v>94</v>
      </c>
      <c r="F3316" t="s">
        <v>95</v>
      </c>
      <c r="G3316" t="str">
        <f>"2025-02-11 19:42:41.999"</f>
        <v>2025-02-11 19:42:41.999</v>
      </c>
      <c r="H3316" t="s">
        <v>21</v>
      </c>
      <c r="I3316">
        <v>0</v>
      </c>
      <c r="J3316" t="s">
        <v>34</v>
      </c>
    </row>
    <row r="3317" spans="1:10" x14ac:dyDescent="0.25">
      <c r="A3317" s="1">
        <v>375</v>
      </c>
      <c r="B3317" t="s">
        <v>40</v>
      </c>
      <c r="C3317">
        <v>127</v>
      </c>
      <c r="D3317">
        <v>6</v>
      </c>
      <c r="E3317" t="s">
        <v>94</v>
      </c>
      <c r="F3317" t="s">
        <v>95</v>
      </c>
      <c r="G3317" t="str">
        <f>"2025-02-11 19:42:41.935"</f>
        <v>2025-02-11 19:42:41.935</v>
      </c>
      <c r="H3317" t="s">
        <v>21</v>
      </c>
    </row>
    <row r="3318" spans="1:10" x14ac:dyDescent="0.25">
      <c r="A3318" s="1">
        <v>376</v>
      </c>
      <c r="B3318" t="s">
        <v>40</v>
      </c>
      <c r="C3318">
        <v>126</v>
      </c>
      <c r="D3318">
        <v>1</v>
      </c>
      <c r="E3318" t="s">
        <v>96</v>
      </c>
      <c r="F3318" t="s">
        <v>97</v>
      </c>
      <c r="G3318" t="str">
        <f>"2025-02-11 19:42:41.835"</f>
        <v>2025-02-11 19:42:41.835</v>
      </c>
      <c r="H3318" t="s">
        <v>89</v>
      </c>
    </row>
    <row r="3319" spans="1:10" x14ac:dyDescent="0.25">
      <c r="A3319" s="1">
        <v>377</v>
      </c>
      <c r="B3319" t="s">
        <v>38</v>
      </c>
      <c r="C3319">
        <v>127</v>
      </c>
      <c r="D3319">
        <v>6</v>
      </c>
      <c r="E3319" t="s">
        <v>94</v>
      </c>
      <c r="F3319" t="s">
        <v>95</v>
      </c>
      <c r="G3319" t="str">
        <f>"2025-02-11 19:42:36.804"</f>
        <v>2025-02-11 19:42:36.804</v>
      </c>
      <c r="H3319" t="s">
        <v>21</v>
      </c>
      <c r="I3319">
        <v>0</v>
      </c>
      <c r="J3319" t="s">
        <v>34</v>
      </c>
    </row>
    <row r="3320" spans="1:10" x14ac:dyDescent="0.25">
      <c r="A3320" s="1">
        <v>378</v>
      </c>
      <c r="B3320" t="s">
        <v>38</v>
      </c>
      <c r="C3320">
        <v>126</v>
      </c>
      <c r="D3320">
        <v>1</v>
      </c>
      <c r="E3320" t="s">
        <v>96</v>
      </c>
      <c r="F3320" t="s">
        <v>97</v>
      </c>
      <c r="G3320" t="str">
        <f>"2025-02-11 19:42:36.799"</f>
        <v>2025-02-11 19:42:36.799</v>
      </c>
      <c r="H3320" t="s">
        <v>89</v>
      </c>
      <c r="I3320">
        <v>0</v>
      </c>
      <c r="J3320" t="s">
        <v>34</v>
      </c>
    </row>
    <row r="3321" spans="1:10" x14ac:dyDescent="0.25">
      <c r="A3321" s="1">
        <v>381</v>
      </c>
      <c r="B3321" t="s">
        <v>19</v>
      </c>
      <c r="C3321">
        <v>782</v>
      </c>
      <c r="D3321">
        <v>7</v>
      </c>
      <c r="E3321" t="s">
        <v>58</v>
      </c>
      <c r="F3321" t="s">
        <v>59</v>
      </c>
      <c r="G3321" t="str">
        <f>"2025-02-11 19:42:36.365"</f>
        <v>2025-02-11 19:42:36.365</v>
      </c>
      <c r="H3321" t="s">
        <v>21</v>
      </c>
      <c r="I3321">
        <v>0</v>
      </c>
      <c r="J3321" t="s">
        <v>34</v>
      </c>
    </row>
    <row r="3322" spans="1:10" x14ac:dyDescent="0.25">
      <c r="A3322" s="1">
        <v>384</v>
      </c>
      <c r="B3322" t="s">
        <v>23</v>
      </c>
      <c r="C3322">
        <v>127</v>
      </c>
      <c r="D3322">
        <v>6</v>
      </c>
      <c r="E3322" t="s">
        <v>94</v>
      </c>
      <c r="F3322" t="s">
        <v>95</v>
      </c>
      <c r="G3322" t="str">
        <f>"2025-02-11 19:42:36.360"</f>
        <v>2025-02-11 19:42:36.360</v>
      </c>
      <c r="H3322" t="s">
        <v>21</v>
      </c>
    </row>
    <row r="3323" spans="1:10" x14ac:dyDescent="0.25">
      <c r="A3323" s="1">
        <v>385</v>
      </c>
      <c r="B3323" t="s">
        <v>23</v>
      </c>
      <c r="C3323">
        <v>126</v>
      </c>
      <c r="D3323">
        <v>1</v>
      </c>
      <c r="E3323" t="s">
        <v>96</v>
      </c>
      <c r="F3323" t="s">
        <v>97</v>
      </c>
      <c r="G3323" t="str">
        <f>"2025-02-11 19:42:36.357"</f>
        <v>2025-02-11 19:42:36.357</v>
      </c>
      <c r="H3323" t="s">
        <v>89</v>
      </c>
    </row>
    <row r="3324" spans="1:10" x14ac:dyDescent="0.25">
      <c r="A3324" s="1">
        <v>386</v>
      </c>
      <c r="B3324" t="s">
        <v>19</v>
      </c>
      <c r="C3324">
        <v>782</v>
      </c>
      <c r="D3324">
        <v>7</v>
      </c>
      <c r="E3324" t="s">
        <v>58</v>
      </c>
      <c r="F3324" t="s">
        <v>59</v>
      </c>
      <c r="G3324" t="str">
        <f>"2025-02-11 19:42:36.356"</f>
        <v>2025-02-11 19:42:36.356</v>
      </c>
      <c r="H3324" t="s">
        <v>21</v>
      </c>
      <c r="I3324">
        <v>0</v>
      </c>
      <c r="J3324" t="s">
        <v>34</v>
      </c>
    </row>
    <row r="3325" spans="1:10" x14ac:dyDescent="0.25">
      <c r="A3325" s="1">
        <v>387</v>
      </c>
      <c r="B3325" t="s">
        <v>23</v>
      </c>
      <c r="C3325">
        <v>98</v>
      </c>
      <c r="D3325">
        <v>1</v>
      </c>
      <c r="E3325" t="s">
        <v>65</v>
      </c>
      <c r="F3325" t="s">
        <v>66</v>
      </c>
      <c r="G3325" t="str">
        <f>"2025-02-11 19:36:58.756"</f>
        <v>2025-02-11 19:36:58.756</v>
      </c>
      <c r="H3325" t="s">
        <v>21</v>
      </c>
    </row>
    <row r="3326" spans="1:10" x14ac:dyDescent="0.25">
      <c r="A3326" s="1">
        <v>388</v>
      </c>
      <c r="B3326" t="s">
        <v>26</v>
      </c>
      <c r="C3326">
        <v>98</v>
      </c>
      <c r="D3326">
        <v>1</v>
      </c>
      <c r="E3326" t="s">
        <v>65</v>
      </c>
      <c r="F3326" t="s">
        <v>66</v>
      </c>
      <c r="G3326" t="str">
        <f>"2025-02-11 19:36:57.757"</f>
        <v>2025-02-11 19:36:57.757</v>
      </c>
      <c r="H3326" t="s">
        <v>21</v>
      </c>
      <c r="I3326">
        <v>0</v>
      </c>
      <c r="J3326" t="s">
        <v>34</v>
      </c>
    </row>
    <row r="3327" spans="1:10" x14ac:dyDescent="0.25">
      <c r="A3327" s="1">
        <v>389</v>
      </c>
      <c r="B3327" t="s">
        <v>26</v>
      </c>
      <c r="C3327">
        <v>126</v>
      </c>
      <c r="D3327">
        <v>1</v>
      </c>
      <c r="E3327" t="s">
        <v>96</v>
      </c>
      <c r="F3327" t="s">
        <v>97</v>
      </c>
      <c r="G3327" t="str">
        <f>"2025-02-11 18:32:16.499"</f>
        <v>2025-02-11 18:32:16.499</v>
      </c>
      <c r="H3327" t="s">
        <v>89</v>
      </c>
      <c r="I3327">
        <v>0</v>
      </c>
      <c r="J3327" t="s">
        <v>34</v>
      </c>
    </row>
    <row r="3328" spans="1:10" x14ac:dyDescent="0.25">
      <c r="A3328" s="1">
        <v>390</v>
      </c>
      <c r="B3328" t="s">
        <v>40</v>
      </c>
      <c r="C3328">
        <v>126</v>
      </c>
      <c r="D3328">
        <v>1</v>
      </c>
      <c r="E3328" t="s">
        <v>96</v>
      </c>
      <c r="F3328" t="s">
        <v>97</v>
      </c>
      <c r="G3328" t="str">
        <f>"2025-02-11 18:32:16.335"</f>
        <v>2025-02-11 18:32:16.335</v>
      </c>
      <c r="H3328" t="s">
        <v>89</v>
      </c>
    </row>
    <row r="3329" spans="1:10" x14ac:dyDescent="0.25">
      <c r="A3329" s="1">
        <v>391</v>
      </c>
      <c r="B3329" t="s">
        <v>38</v>
      </c>
      <c r="C3329">
        <v>126</v>
      </c>
      <c r="D3329">
        <v>1</v>
      </c>
      <c r="E3329" t="s">
        <v>96</v>
      </c>
      <c r="F3329" t="s">
        <v>97</v>
      </c>
      <c r="G3329" t="str">
        <f>"2025-02-11 18:32:11.259"</f>
        <v>2025-02-11 18:32:11.259</v>
      </c>
      <c r="H3329" t="s">
        <v>89</v>
      </c>
      <c r="I3329">
        <v>0</v>
      </c>
      <c r="J3329" t="s">
        <v>34</v>
      </c>
    </row>
    <row r="3330" spans="1:10" x14ac:dyDescent="0.25">
      <c r="A3330" s="1">
        <v>392</v>
      </c>
      <c r="B3330" t="s">
        <v>40</v>
      </c>
      <c r="C3330">
        <v>126</v>
      </c>
      <c r="D3330">
        <v>1</v>
      </c>
      <c r="E3330" t="s">
        <v>96</v>
      </c>
      <c r="F3330" t="s">
        <v>97</v>
      </c>
      <c r="G3330" t="str">
        <f>"2025-02-11 18:32:03.535"</f>
        <v>2025-02-11 18:32:03.535</v>
      </c>
      <c r="H3330" t="s">
        <v>89</v>
      </c>
    </row>
    <row r="3331" spans="1:10" x14ac:dyDescent="0.25">
      <c r="A3331" s="1">
        <v>393</v>
      </c>
      <c r="B3331" t="s">
        <v>26</v>
      </c>
      <c r="C3331">
        <v>127</v>
      </c>
      <c r="D3331">
        <v>6</v>
      </c>
      <c r="E3331" t="s">
        <v>94</v>
      </c>
      <c r="F3331" t="s">
        <v>95</v>
      </c>
      <c r="G3331" t="str">
        <f>"2025-02-11 18:32:00.999"</f>
        <v>2025-02-11 18:32:00.999</v>
      </c>
      <c r="H3331" t="s">
        <v>21</v>
      </c>
      <c r="I3331">
        <v>0</v>
      </c>
      <c r="J3331" t="s">
        <v>34</v>
      </c>
    </row>
    <row r="3332" spans="1:10" x14ac:dyDescent="0.25">
      <c r="A3332" s="1">
        <v>394</v>
      </c>
      <c r="B3332" t="s">
        <v>40</v>
      </c>
      <c r="C3332">
        <v>127</v>
      </c>
      <c r="D3332">
        <v>6</v>
      </c>
      <c r="E3332" t="s">
        <v>94</v>
      </c>
      <c r="F3332" t="s">
        <v>95</v>
      </c>
      <c r="G3332" t="str">
        <f>"2025-02-11 18:32:00.735"</f>
        <v>2025-02-11 18:32:00.735</v>
      </c>
      <c r="H3332" t="s">
        <v>21</v>
      </c>
    </row>
    <row r="3333" spans="1:10" x14ac:dyDescent="0.25">
      <c r="A3333" s="1">
        <v>395</v>
      </c>
      <c r="B3333" t="s">
        <v>38</v>
      </c>
      <c r="C3333">
        <v>126</v>
      </c>
      <c r="D3333">
        <v>1</v>
      </c>
      <c r="E3333" t="s">
        <v>96</v>
      </c>
      <c r="F3333" t="s">
        <v>97</v>
      </c>
      <c r="G3333" t="str">
        <f>"2025-02-11 18:31:58.439"</f>
        <v>2025-02-11 18:31:58.439</v>
      </c>
      <c r="H3333" t="s">
        <v>89</v>
      </c>
      <c r="I3333">
        <v>0</v>
      </c>
      <c r="J3333" t="s">
        <v>34</v>
      </c>
    </row>
    <row r="3334" spans="1:10" x14ac:dyDescent="0.25">
      <c r="A3334" s="1">
        <v>396</v>
      </c>
      <c r="B3334" t="s">
        <v>40</v>
      </c>
      <c r="C3334">
        <v>126</v>
      </c>
      <c r="D3334">
        <v>1</v>
      </c>
      <c r="E3334" t="s">
        <v>96</v>
      </c>
      <c r="F3334" t="s">
        <v>97</v>
      </c>
      <c r="G3334" t="str">
        <f>"2025-02-11 18:31:57.935"</f>
        <v>2025-02-11 18:31:57.935</v>
      </c>
      <c r="H3334" t="s">
        <v>89</v>
      </c>
    </row>
    <row r="3335" spans="1:10" x14ac:dyDescent="0.25">
      <c r="A3335" s="1">
        <v>397</v>
      </c>
      <c r="B3335" t="s">
        <v>38</v>
      </c>
      <c r="C3335">
        <v>127</v>
      </c>
      <c r="D3335">
        <v>6</v>
      </c>
      <c r="E3335" t="s">
        <v>94</v>
      </c>
      <c r="F3335" t="s">
        <v>95</v>
      </c>
      <c r="G3335" t="str">
        <f>"2025-02-11 18:31:55.639"</f>
        <v>2025-02-11 18:31:55.639</v>
      </c>
      <c r="H3335" t="s">
        <v>21</v>
      </c>
      <c r="I3335">
        <v>0</v>
      </c>
      <c r="J3335" t="s">
        <v>34</v>
      </c>
    </row>
    <row r="3336" spans="1:10" x14ac:dyDescent="0.25">
      <c r="A3336" s="1">
        <v>398</v>
      </c>
      <c r="B3336" t="s">
        <v>40</v>
      </c>
      <c r="C3336">
        <v>127</v>
      </c>
      <c r="D3336">
        <v>6</v>
      </c>
      <c r="E3336" t="s">
        <v>94</v>
      </c>
      <c r="F3336" t="s">
        <v>95</v>
      </c>
      <c r="G3336" t="str">
        <f>"2025-02-11 18:31:55.035"</f>
        <v>2025-02-11 18:31:55.035</v>
      </c>
      <c r="H3336" t="s">
        <v>21</v>
      </c>
    </row>
    <row r="3337" spans="1:10" x14ac:dyDescent="0.25">
      <c r="A3337" s="1">
        <v>399</v>
      </c>
      <c r="B3337" t="s">
        <v>38</v>
      </c>
      <c r="C3337">
        <v>126</v>
      </c>
      <c r="D3337">
        <v>1</v>
      </c>
      <c r="E3337" t="s">
        <v>96</v>
      </c>
      <c r="F3337" t="s">
        <v>97</v>
      </c>
      <c r="G3337" t="str">
        <f>"2025-02-11 18:31:52.859"</f>
        <v>2025-02-11 18:31:52.859</v>
      </c>
      <c r="H3337" t="s">
        <v>89</v>
      </c>
      <c r="I3337">
        <v>0</v>
      </c>
      <c r="J3337" t="s">
        <v>34</v>
      </c>
    </row>
    <row r="3338" spans="1:10" x14ac:dyDescent="0.25">
      <c r="A3338" s="1">
        <v>400</v>
      </c>
      <c r="B3338" t="s">
        <v>38</v>
      </c>
      <c r="C3338">
        <v>127</v>
      </c>
      <c r="D3338">
        <v>6</v>
      </c>
      <c r="E3338" t="s">
        <v>94</v>
      </c>
      <c r="F3338" t="s">
        <v>95</v>
      </c>
      <c r="G3338" t="str">
        <f>"2025-02-11 18:31:49.999"</f>
        <v>2025-02-11 18:31:49.999</v>
      </c>
      <c r="H3338" t="s">
        <v>21</v>
      </c>
      <c r="I3338">
        <v>0</v>
      </c>
      <c r="J3338" t="s">
        <v>34</v>
      </c>
    </row>
    <row r="3339" spans="1:10" x14ac:dyDescent="0.25">
      <c r="A3339" s="1">
        <v>401</v>
      </c>
      <c r="B3339" t="s">
        <v>40</v>
      </c>
      <c r="C3339">
        <v>127</v>
      </c>
      <c r="D3339">
        <v>6</v>
      </c>
      <c r="E3339" t="s">
        <v>94</v>
      </c>
      <c r="F3339" t="s">
        <v>95</v>
      </c>
      <c r="G3339" t="str">
        <f>"2025-02-11 18:31:49.835"</f>
        <v>2025-02-11 18:31:49.835</v>
      </c>
      <c r="H3339" t="s">
        <v>21</v>
      </c>
    </row>
    <row r="3340" spans="1:10" x14ac:dyDescent="0.25">
      <c r="A3340" s="1">
        <v>402</v>
      </c>
      <c r="B3340" t="s">
        <v>44</v>
      </c>
      <c r="C3340">
        <v>125</v>
      </c>
      <c r="D3340">
        <v>5</v>
      </c>
      <c r="E3340" t="s">
        <v>99</v>
      </c>
      <c r="F3340" t="s">
        <v>100</v>
      </c>
      <c r="G3340" t="str">
        <f>"2025-02-11 18:31:45.436"</f>
        <v>2025-02-11 18:31:45.436</v>
      </c>
      <c r="H3340" t="s">
        <v>89</v>
      </c>
    </row>
    <row r="3341" spans="1:10" x14ac:dyDescent="0.25">
      <c r="A3341" s="1">
        <v>403</v>
      </c>
      <c r="B3341" t="s">
        <v>38</v>
      </c>
      <c r="C3341">
        <v>127</v>
      </c>
      <c r="D3341">
        <v>6</v>
      </c>
      <c r="E3341" t="s">
        <v>94</v>
      </c>
      <c r="F3341" t="s">
        <v>95</v>
      </c>
      <c r="G3341" t="str">
        <f>"2025-02-11 18:31:44.739"</f>
        <v>2025-02-11 18:31:44.739</v>
      </c>
      <c r="H3341" t="s">
        <v>21</v>
      </c>
      <c r="I3341">
        <v>-0.08</v>
      </c>
      <c r="J3341" t="s">
        <v>33</v>
      </c>
    </row>
    <row r="3342" spans="1:10" x14ac:dyDescent="0.25">
      <c r="A3342" s="1">
        <v>404</v>
      </c>
      <c r="B3342" t="s">
        <v>38</v>
      </c>
      <c r="C3342">
        <v>125</v>
      </c>
      <c r="D3342">
        <v>5</v>
      </c>
      <c r="E3342" t="s">
        <v>99</v>
      </c>
      <c r="F3342" t="s">
        <v>100</v>
      </c>
      <c r="G3342" t="str">
        <f>"2025-02-11 18:31:42.859"</f>
        <v>2025-02-11 18:31:42.859</v>
      </c>
      <c r="H3342" t="s">
        <v>89</v>
      </c>
      <c r="I3342">
        <v>0.85</v>
      </c>
      <c r="J3342" t="s">
        <v>33</v>
      </c>
    </row>
    <row r="3343" spans="1:10" x14ac:dyDescent="0.25">
      <c r="A3343" s="1">
        <v>405</v>
      </c>
      <c r="B3343" t="s">
        <v>44</v>
      </c>
      <c r="C3343">
        <v>125</v>
      </c>
      <c r="D3343">
        <v>5</v>
      </c>
      <c r="E3343" t="s">
        <v>99</v>
      </c>
      <c r="F3343" t="s">
        <v>100</v>
      </c>
      <c r="G3343" t="str">
        <f>"2025-02-11 18:30:51.936"</f>
        <v>2025-02-11 18:30:51.936</v>
      </c>
      <c r="H3343" t="s">
        <v>89</v>
      </c>
    </row>
    <row r="3344" spans="1:10" x14ac:dyDescent="0.25">
      <c r="A3344" s="1">
        <v>406</v>
      </c>
      <c r="B3344" t="s">
        <v>38</v>
      </c>
      <c r="C3344">
        <v>125</v>
      </c>
      <c r="D3344">
        <v>5</v>
      </c>
      <c r="E3344" t="s">
        <v>99</v>
      </c>
      <c r="F3344" t="s">
        <v>100</v>
      </c>
      <c r="G3344" t="str">
        <f>"2025-02-11 18:30:49.179"</f>
        <v>2025-02-11 18:30:49.179</v>
      </c>
      <c r="H3344" t="s">
        <v>89</v>
      </c>
      <c r="I3344">
        <v>6.03</v>
      </c>
      <c r="J3344" t="s">
        <v>33</v>
      </c>
    </row>
    <row r="3345" spans="1:10" x14ac:dyDescent="0.25">
      <c r="A3345" s="1">
        <v>407</v>
      </c>
      <c r="B3345" t="s">
        <v>19</v>
      </c>
      <c r="C3345">
        <v>700</v>
      </c>
      <c r="D3345">
        <v>0</v>
      </c>
      <c r="E3345" t="s">
        <v>20</v>
      </c>
      <c r="F3345" t="s">
        <v>20</v>
      </c>
      <c r="G3345" t="str">
        <f>"2025-02-11 17:53:20.245"</f>
        <v>2025-02-11 17:53:20.245</v>
      </c>
      <c r="H3345" t="s">
        <v>21</v>
      </c>
      <c r="I3345">
        <v>0</v>
      </c>
      <c r="J3345" t="s">
        <v>22</v>
      </c>
    </row>
    <row r="3346" spans="1:10" x14ac:dyDescent="0.25">
      <c r="A3346" s="1">
        <v>408</v>
      </c>
      <c r="B3346" t="s">
        <v>19</v>
      </c>
      <c r="C3346">
        <v>700</v>
      </c>
      <c r="D3346">
        <v>0</v>
      </c>
      <c r="E3346" t="s">
        <v>20</v>
      </c>
      <c r="F3346" t="s">
        <v>20</v>
      </c>
      <c r="G3346" t="str">
        <f>"2025-02-11 17:49:17.188"</f>
        <v>2025-02-11 17:49:17.188</v>
      </c>
      <c r="H3346" t="s">
        <v>21</v>
      </c>
      <c r="I3346">
        <v>0</v>
      </c>
      <c r="J3346" t="s">
        <v>22</v>
      </c>
    </row>
    <row r="3347" spans="1:10" x14ac:dyDescent="0.25">
      <c r="A3347" s="1">
        <v>409</v>
      </c>
      <c r="B3347" t="s">
        <v>19</v>
      </c>
      <c r="C3347">
        <v>706</v>
      </c>
      <c r="D3347">
        <v>4</v>
      </c>
      <c r="E3347" t="s">
        <v>28</v>
      </c>
      <c r="F3347" t="s">
        <v>29</v>
      </c>
      <c r="G3347" t="str">
        <f>"2025-02-11 17:09:34.032"</f>
        <v>2025-02-11 17:09:34.032</v>
      </c>
      <c r="H3347" t="s">
        <v>21</v>
      </c>
      <c r="I3347">
        <v>0</v>
      </c>
      <c r="J3347" t="s">
        <v>30</v>
      </c>
    </row>
    <row r="3348" spans="1:10" x14ac:dyDescent="0.25">
      <c r="A3348" s="1">
        <v>410</v>
      </c>
      <c r="B3348" t="s">
        <v>19</v>
      </c>
      <c r="C3348">
        <v>700</v>
      </c>
      <c r="D3348">
        <v>0</v>
      </c>
      <c r="E3348" t="s">
        <v>20</v>
      </c>
      <c r="F3348" t="s">
        <v>20</v>
      </c>
      <c r="G3348" t="str">
        <f>"2025-02-11 17:09:19.172"</f>
        <v>2025-02-11 17:09:19.172</v>
      </c>
      <c r="H3348" t="s">
        <v>21</v>
      </c>
      <c r="I3348">
        <v>0</v>
      </c>
      <c r="J3348" t="s">
        <v>22</v>
      </c>
    </row>
    <row r="3349" spans="1:10" x14ac:dyDescent="0.25">
      <c r="A3349" s="1">
        <v>411</v>
      </c>
      <c r="B3349" t="s">
        <v>19</v>
      </c>
      <c r="C3349">
        <v>700</v>
      </c>
      <c r="D3349">
        <v>0</v>
      </c>
      <c r="E3349" t="s">
        <v>20</v>
      </c>
      <c r="F3349" t="s">
        <v>20</v>
      </c>
      <c r="G3349" t="str">
        <f>"2025-02-11 17:03:28.190"</f>
        <v>2025-02-11 17:03:28.190</v>
      </c>
      <c r="H3349" t="s">
        <v>21</v>
      </c>
      <c r="I3349">
        <v>0</v>
      </c>
      <c r="J3349" t="s">
        <v>22</v>
      </c>
    </row>
    <row r="3350" spans="1:10" x14ac:dyDescent="0.25">
      <c r="A3350" s="1">
        <v>412</v>
      </c>
      <c r="B3350" t="s">
        <v>19</v>
      </c>
      <c r="C3350">
        <v>706</v>
      </c>
      <c r="D3350">
        <v>3</v>
      </c>
      <c r="E3350" t="s">
        <v>28</v>
      </c>
      <c r="F3350" t="s">
        <v>43</v>
      </c>
      <c r="G3350" t="str">
        <f>"2025-02-11 16:54:53.606"</f>
        <v>2025-02-11 16:54:53.606</v>
      </c>
      <c r="H3350" t="s">
        <v>21</v>
      </c>
      <c r="I3350">
        <v>0</v>
      </c>
      <c r="J3350" t="s">
        <v>30</v>
      </c>
    </row>
    <row r="3351" spans="1:10" x14ac:dyDescent="0.25">
      <c r="A3351" s="1">
        <v>413</v>
      </c>
      <c r="B3351" t="s">
        <v>19</v>
      </c>
      <c r="C3351">
        <v>700</v>
      </c>
      <c r="D3351">
        <v>0</v>
      </c>
      <c r="E3351" t="s">
        <v>20</v>
      </c>
      <c r="F3351" t="s">
        <v>20</v>
      </c>
      <c r="G3351" t="str">
        <f>"2025-02-11 16:46:27.166"</f>
        <v>2025-02-11 16:46:27.166</v>
      </c>
      <c r="H3351" t="s">
        <v>21</v>
      </c>
    </row>
    <row r="3352" spans="1:10" x14ac:dyDescent="0.25">
      <c r="A3352" s="1">
        <v>414</v>
      </c>
      <c r="B3352" t="s">
        <v>19</v>
      </c>
      <c r="C3352">
        <v>700</v>
      </c>
      <c r="D3352">
        <v>0</v>
      </c>
      <c r="E3352" t="s">
        <v>20</v>
      </c>
      <c r="F3352" t="s">
        <v>20</v>
      </c>
      <c r="G3352" t="str">
        <f>"2025-02-11 15:46:37.179"</f>
        <v>2025-02-11 15:46:37.179</v>
      </c>
      <c r="H3352" t="s">
        <v>21</v>
      </c>
      <c r="I3352">
        <v>0</v>
      </c>
      <c r="J3352" t="s">
        <v>22</v>
      </c>
    </row>
    <row r="3353" spans="1:10" x14ac:dyDescent="0.25">
      <c r="A3353" s="1">
        <v>415</v>
      </c>
      <c r="B3353" t="s">
        <v>19</v>
      </c>
      <c r="C3353">
        <v>700</v>
      </c>
      <c r="D3353">
        <v>0</v>
      </c>
      <c r="E3353" t="s">
        <v>20</v>
      </c>
      <c r="F3353" t="s">
        <v>20</v>
      </c>
      <c r="G3353" t="str">
        <f>"2025-02-11 15:35:47.432"</f>
        <v>2025-02-11 15:35:47.432</v>
      </c>
      <c r="H3353" t="s">
        <v>21</v>
      </c>
      <c r="I3353">
        <v>0</v>
      </c>
      <c r="J3353" t="s">
        <v>22</v>
      </c>
    </row>
    <row r="3354" spans="1:10" x14ac:dyDescent="0.25">
      <c r="A3354" s="1">
        <v>416</v>
      </c>
      <c r="B3354" t="s">
        <v>19</v>
      </c>
      <c r="C3354">
        <v>700</v>
      </c>
      <c r="D3354">
        <v>0</v>
      </c>
      <c r="E3354" t="s">
        <v>20</v>
      </c>
      <c r="F3354" t="s">
        <v>20</v>
      </c>
      <c r="G3354" t="str">
        <f>"2025-02-11 13:53:23.340"</f>
        <v>2025-02-11 13:53:23.340</v>
      </c>
      <c r="H3354" t="s">
        <v>21</v>
      </c>
      <c r="I3354">
        <v>0</v>
      </c>
      <c r="J3354" t="s">
        <v>22</v>
      </c>
    </row>
    <row r="3355" spans="1:10" x14ac:dyDescent="0.25">
      <c r="A3355" s="1">
        <v>417</v>
      </c>
      <c r="B3355" t="s">
        <v>40</v>
      </c>
      <c r="C3355">
        <v>135</v>
      </c>
      <c r="D3355">
        <v>7</v>
      </c>
      <c r="E3355" t="s">
        <v>101</v>
      </c>
      <c r="F3355" t="s">
        <v>102</v>
      </c>
      <c r="G3355" t="str">
        <f>"2025-02-11 10:49:07.399"</f>
        <v>2025-02-11 10:49:07.399</v>
      </c>
      <c r="H3355" t="s">
        <v>89</v>
      </c>
    </row>
    <row r="3356" spans="1:10" x14ac:dyDescent="0.25">
      <c r="A3356" s="1">
        <v>418</v>
      </c>
      <c r="B3356" t="s">
        <v>38</v>
      </c>
      <c r="C3356">
        <v>135</v>
      </c>
      <c r="D3356">
        <v>7</v>
      </c>
      <c r="E3356" t="s">
        <v>101</v>
      </c>
      <c r="F3356" t="s">
        <v>102</v>
      </c>
      <c r="G3356" t="str">
        <f>"2025-02-11 10:49:02.308"</f>
        <v>2025-02-11 10:49:02.308</v>
      </c>
      <c r="H3356" t="s">
        <v>89</v>
      </c>
      <c r="I3356">
        <v>10.23</v>
      </c>
      <c r="J3356" t="s">
        <v>33</v>
      </c>
    </row>
    <row r="3357" spans="1:10" x14ac:dyDescent="0.25">
      <c r="A3357" s="1">
        <v>419</v>
      </c>
      <c r="B3357" t="s">
        <v>19</v>
      </c>
      <c r="C3357">
        <v>700</v>
      </c>
      <c r="D3357">
        <v>0</v>
      </c>
      <c r="E3357" t="s">
        <v>20</v>
      </c>
      <c r="F3357" t="s">
        <v>20</v>
      </c>
      <c r="G3357" t="str">
        <f>"2025-02-09 22:02:13.125"</f>
        <v>2025-02-09 22:02:13.125</v>
      </c>
      <c r="H3357" t="s">
        <v>21</v>
      </c>
      <c r="I3357">
        <v>0</v>
      </c>
      <c r="J3357" t="s">
        <v>22</v>
      </c>
    </row>
    <row r="3358" spans="1:10" x14ac:dyDescent="0.25">
      <c r="A3358" s="1">
        <v>420</v>
      </c>
      <c r="B3358" t="s">
        <v>19</v>
      </c>
      <c r="C3358">
        <v>700</v>
      </c>
      <c r="D3358">
        <v>0</v>
      </c>
      <c r="E3358" t="s">
        <v>20</v>
      </c>
      <c r="F3358" t="s">
        <v>20</v>
      </c>
      <c r="G3358" t="str">
        <f>"2025-02-09 20:52:45.122"</f>
        <v>2025-02-09 20:52:45.122</v>
      </c>
      <c r="H3358" t="s">
        <v>21</v>
      </c>
    </row>
    <row r="3359" spans="1:10" x14ac:dyDescent="0.25">
      <c r="A3359" s="1">
        <v>421</v>
      </c>
      <c r="B3359" t="s">
        <v>19</v>
      </c>
      <c r="C3359">
        <v>700</v>
      </c>
      <c r="D3359">
        <v>0</v>
      </c>
      <c r="E3359" t="s">
        <v>20</v>
      </c>
      <c r="F3359" t="s">
        <v>20</v>
      </c>
      <c r="G3359" t="str">
        <f>"2025-02-09 15:52:13.057"</f>
        <v>2025-02-09 15:52:13.057</v>
      </c>
      <c r="H3359" t="s">
        <v>21</v>
      </c>
    </row>
    <row r="3360" spans="1:10" x14ac:dyDescent="0.25">
      <c r="A3360" s="1">
        <v>422</v>
      </c>
      <c r="B3360" t="s">
        <v>19</v>
      </c>
      <c r="C3360">
        <v>706</v>
      </c>
      <c r="D3360">
        <v>3</v>
      </c>
      <c r="E3360" t="s">
        <v>28</v>
      </c>
      <c r="F3360" t="s">
        <v>43</v>
      </c>
      <c r="G3360" t="str">
        <f>"2025-02-09 15:50:31.010"</f>
        <v>2025-02-09 15:50:31.010</v>
      </c>
      <c r="H3360" t="s">
        <v>21</v>
      </c>
      <c r="I3360">
        <v>0</v>
      </c>
      <c r="J3360" t="s">
        <v>30</v>
      </c>
    </row>
    <row r="3361" spans="1:10" x14ac:dyDescent="0.25">
      <c r="A3361" s="1">
        <v>423</v>
      </c>
      <c r="B3361" t="s">
        <v>19</v>
      </c>
      <c r="C3361">
        <v>700</v>
      </c>
      <c r="D3361">
        <v>0</v>
      </c>
      <c r="E3361" t="s">
        <v>20</v>
      </c>
      <c r="F3361" t="s">
        <v>20</v>
      </c>
      <c r="G3361" t="str">
        <f>"2025-02-09 15:48:28.070"</f>
        <v>2025-02-09 15:48:28.070</v>
      </c>
      <c r="H3361" t="s">
        <v>21</v>
      </c>
      <c r="I3361">
        <v>0</v>
      </c>
      <c r="J3361" t="s">
        <v>22</v>
      </c>
    </row>
    <row r="3362" spans="1:10" x14ac:dyDescent="0.25">
      <c r="A3362" s="1">
        <v>424</v>
      </c>
      <c r="B3362" t="s">
        <v>19</v>
      </c>
      <c r="C3362">
        <v>700</v>
      </c>
      <c r="D3362">
        <v>0</v>
      </c>
      <c r="E3362" t="s">
        <v>20</v>
      </c>
      <c r="F3362" t="s">
        <v>20</v>
      </c>
      <c r="G3362" t="str">
        <f>"2025-02-09 15:43:35.066"</f>
        <v>2025-02-09 15:43:35.066</v>
      </c>
      <c r="H3362" t="s">
        <v>21</v>
      </c>
      <c r="I3362">
        <v>0</v>
      </c>
      <c r="J3362" t="s">
        <v>22</v>
      </c>
    </row>
    <row r="3363" spans="1:10" x14ac:dyDescent="0.25">
      <c r="A3363" s="1">
        <v>425</v>
      </c>
      <c r="B3363" t="s">
        <v>19</v>
      </c>
      <c r="C3363">
        <v>706</v>
      </c>
      <c r="D3363">
        <v>2</v>
      </c>
      <c r="E3363" t="s">
        <v>28</v>
      </c>
      <c r="F3363" t="s">
        <v>39</v>
      </c>
      <c r="G3363" t="str">
        <f>"2025-02-09 15:01:11.828"</f>
        <v>2025-02-09 15:01:11.828</v>
      </c>
      <c r="H3363" t="s">
        <v>21</v>
      </c>
      <c r="I3363">
        <v>0</v>
      </c>
      <c r="J3363" t="s">
        <v>30</v>
      </c>
    </row>
    <row r="3364" spans="1:10" x14ac:dyDescent="0.25">
      <c r="A3364" s="1">
        <v>426</v>
      </c>
      <c r="B3364" t="s">
        <v>19</v>
      </c>
      <c r="C3364">
        <v>706</v>
      </c>
      <c r="D3364">
        <v>2</v>
      </c>
      <c r="E3364" t="s">
        <v>28</v>
      </c>
      <c r="F3364" t="s">
        <v>39</v>
      </c>
      <c r="G3364" t="str">
        <f>"2025-02-09 14:55:28.828"</f>
        <v>2025-02-09 14:55:28.828</v>
      </c>
      <c r="H3364" t="s">
        <v>21</v>
      </c>
      <c r="I3364">
        <v>0</v>
      </c>
      <c r="J3364" t="s">
        <v>30</v>
      </c>
    </row>
    <row r="3365" spans="1:10" x14ac:dyDescent="0.25">
      <c r="A3365" s="1">
        <v>427</v>
      </c>
      <c r="B3365" t="s">
        <v>19</v>
      </c>
      <c r="C3365">
        <v>706</v>
      </c>
      <c r="D3365">
        <v>4</v>
      </c>
      <c r="E3365" t="s">
        <v>28</v>
      </c>
      <c r="F3365" t="s">
        <v>29</v>
      </c>
      <c r="G3365" t="str">
        <f>"2025-02-09 14:48:31.808"</f>
        <v>2025-02-09 14:48:31.808</v>
      </c>
      <c r="H3365" t="s">
        <v>21</v>
      </c>
      <c r="I3365">
        <v>0</v>
      </c>
      <c r="J3365" t="s">
        <v>30</v>
      </c>
    </row>
    <row r="3366" spans="1:10" x14ac:dyDescent="0.25">
      <c r="A3366" s="1">
        <v>428</v>
      </c>
      <c r="B3366" t="s">
        <v>19</v>
      </c>
      <c r="C3366">
        <v>706</v>
      </c>
      <c r="D3366">
        <v>2</v>
      </c>
      <c r="E3366" t="s">
        <v>28</v>
      </c>
      <c r="F3366" t="s">
        <v>39</v>
      </c>
      <c r="G3366" t="str">
        <f>"2025-02-09 14:41:38.128"</f>
        <v>2025-02-09 14:41:38.128</v>
      </c>
      <c r="H3366" t="s">
        <v>21</v>
      </c>
      <c r="I3366">
        <v>0</v>
      </c>
      <c r="J3366" t="s">
        <v>30</v>
      </c>
    </row>
    <row r="3367" spans="1:10" x14ac:dyDescent="0.25">
      <c r="A3367" s="1">
        <v>429</v>
      </c>
      <c r="B3367" t="s">
        <v>19</v>
      </c>
      <c r="C3367">
        <v>700</v>
      </c>
      <c r="D3367">
        <v>0</v>
      </c>
      <c r="E3367" t="s">
        <v>20</v>
      </c>
      <c r="F3367" t="s">
        <v>20</v>
      </c>
      <c r="G3367" t="str">
        <f>"2025-02-09 14:38:08.068"</f>
        <v>2025-02-09 14:38:08.068</v>
      </c>
      <c r="H3367" t="s">
        <v>21</v>
      </c>
      <c r="I3367">
        <v>0</v>
      </c>
      <c r="J3367" t="s">
        <v>22</v>
      </c>
    </row>
    <row r="3368" spans="1:10" x14ac:dyDescent="0.25">
      <c r="A3368" s="1">
        <v>430</v>
      </c>
      <c r="B3368" t="s">
        <v>19</v>
      </c>
      <c r="C3368">
        <v>700</v>
      </c>
      <c r="D3368">
        <v>0</v>
      </c>
      <c r="E3368" t="s">
        <v>20</v>
      </c>
      <c r="F3368" t="s">
        <v>20</v>
      </c>
      <c r="G3368" t="str">
        <f>"2025-02-09 09:38:40.067"</f>
        <v>2025-02-09 09:38:40.067</v>
      </c>
      <c r="H3368" t="s">
        <v>21</v>
      </c>
      <c r="I3368">
        <v>0</v>
      </c>
      <c r="J3368" t="s">
        <v>22</v>
      </c>
    </row>
    <row r="3369" spans="1:10" x14ac:dyDescent="0.25">
      <c r="A3369" s="1">
        <v>431</v>
      </c>
      <c r="B3369" t="s">
        <v>19</v>
      </c>
      <c r="C3369">
        <v>700</v>
      </c>
      <c r="D3369">
        <v>0</v>
      </c>
      <c r="E3369" t="s">
        <v>20</v>
      </c>
      <c r="F3369" t="s">
        <v>20</v>
      </c>
      <c r="G3369" t="str">
        <f>"2025-02-08 12:09:44.065"</f>
        <v>2025-02-08 12:09:44.065</v>
      </c>
      <c r="H3369" t="s">
        <v>21</v>
      </c>
      <c r="I3369">
        <v>0</v>
      </c>
      <c r="J3369" t="s">
        <v>22</v>
      </c>
    </row>
    <row r="3370" spans="1:10" x14ac:dyDescent="0.25">
      <c r="A3370" s="1">
        <v>432</v>
      </c>
      <c r="B3370" t="s">
        <v>19</v>
      </c>
      <c r="C3370">
        <v>700</v>
      </c>
      <c r="D3370">
        <v>0</v>
      </c>
      <c r="E3370" t="s">
        <v>20</v>
      </c>
      <c r="F3370" t="s">
        <v>20</v>
      </c>
      <c r="G3370" t="str">
        <f>"2025-02-08 12:07:36.072"</f>
        <v>2025-02-08 12:07:36.072</v>
      </c>
      <c r="H3370" t="s">
        <v>21</v>
      </c>
      <c r="I3370">
        <v>0</v>
      </c>
      <c r="J3370" t="s">
        <v>22</v>
      </c>
    </row>
    <row r="3371" spans="1:10" x14ac:dyDescent="0.25">
      <c r="A3371" s="1">
        <v>433</v>
      </c>
      <c r="B3371" t="s">
        <v>19</v>
      </c>
      <c r="C3371">
        <v>700</v>
      </c>
      <c r="D3371">
        <v>0</v>
      </c>
      <c r="E3371" t="s">
        <v>20</v>
      </c>
      <c r="F3371" t="s">
        <v>20</v>
      </c>
      <c r="G3371" t="str">
        <f>"2025-02-08 12:03:48.067"</f>
        <v>2025-02-08 12:03:48.067</v>
      </c>
      <c r="H3371" t="s">
        <v>21</v>
      </c>
      <c r="I3371">
        <v>0</v>
      </c>
      <c r="J3371" t="s">
        <v>22</v>
      </c>
    </row>
    <row r="3372" spans="1:10" x14ac:dyDescent="0.25">
      <c r="A3372" s="1">
        <v>434</v>
      </c>
      <c r="B3372" t="s">
        <v>19</v>
      </c>
      <c r="C3372">
        <v>700</v>
      </c>
      <c r="D3372">
        <v>0</v>
      </c>
      <c r="E3372" t="s">
        <v>20</v>
      </c>
      <c r="F3372" t="s">
        <v>20</v>
      </c>
      <c r="G3372" t="str">
        <f>"2025-02-08 09:51:20.072"</f>
        <v>2025-02-08 09:51:20.072</v>
      </c>
      <c r="H3372" t="s">
        <v>21</v>
      </c>
      <c r="I3372">
        <v>0</v>
      </c>
      <c r="J3372" t="s">
        <v>22</v>
      </c>
    </row>
    <row r="3373" spans="1:10" x14ac:dyDescent="0.25">
      <c r="A3373" s="1">
        <v>435</v>
      </c>
      <c r="B3373" t="s">
        <v>19</v>
      </c>
      <c r="C3373">
        <v>706</v>
      </c>
      <c r="D3373">
        <v>4</v>
      </c>
      <c r="E3373" t="s">
        <v>28</v>
      </c>
      <c r="F3373" t="s">
        <v>29</v>
      </c>
      <c r="G3373" t="str">
        <f>"2025-02-08 09:08:07.020"</f>
        <v>2025-02-08 09:08:07.020</v>
      </c>
      <c r="H3373" t="s">
        <v>21</v>
      </c>
      <c r="I3373">
        <v>0</v>
      </c>
      <c r="J3373" t="s">
        <v>30</v>
      </c>
    </row>
    <row r="3374" spans="1:10" x14ac:dyDescent="0.25">
      <c r="A3374" s="1">
        <v>436</v>
      </c>
      <c r="B3374" t="s">
        <v>19</v>
      </c>
      <c r="C3374">
        <v>700</v>
      </c>
      <c r="D3374">
        <v>0</v>
      </c>
      <c r="E3374" t="s">
        <v>20</v>
      </c>
      <c r="F3374" t="s">
        <v>20</v>
      </c>
      <c r="G3374" t="str">
        <f>"2025-02-08 09:05:48.050"</f>
        <v>2025-02-08 09:05:48.050</v>
      </c>
      <c r="H3374" t="s">
        <v>21</v>
      </c>
    </row>
    <row r="3375" spans="1:10" x14ac:dyDescent="0.25">
      <c r="A3375" s="1">
        <v>437</v>
      </c>
      <c r="B3375" t="s">
        <v>19</v>
      </c>
      <c r="C3375">
        <v>706</v>
      </c>
      <c r="D3375">
        <v>2</v>
      </c>
      <c r="E3375" t="s">
        <v>28</v>
      </c>
      <c r="F3375" t="s">
        <v>39</v>
      </c>
      <c r="G3375" t="str">
        <f>"2025-02-08 08:40:47.328"</f>
        <v>2025-02-08 08:40:47.328</v>
      </c>
      <c r="H3375" t="s">
        <v>21</v>
      </c>
      <c r="I3375">
        <v>0</v>
      </c>
      <c r="J3375" t="s">
        <v>30</v>
      </c>
    </row>
    <row r="3376" spans="1:10" x14ac:dyDescent="0.25">
      <c r="A3376" s="1">
        <v>438</v>
      </c>
      <c r="B3376" t="s">
        <v>19</v>
      </c>
      <c r="C3376">
        <v>700</v>
      </c>
      <c r="D3376">
        <v>0</v>
      </c>
      <c r="E3376" t="s">
        <v>20</v>
      </c>
      <c r="F3376" t="s">
        <v>20</v>
      </c>
      <c r="G3376" t="str">
        <f>"2025-02-08 08:39:33.048"</f>
        <v>2025-02-08 08:39:33.048</v>
      </c>
      <c r="H3376" t="s">
        <v>21</v>
      </c>
    </row>
    <row r="3377" spans="1:10" x14ac:dyDescent="0.25">
      <c r="A3377" s="1">
        <v>439</v>
      </c>
      <c r="B3377" t="s">
        <v>19</v>
      </c>
      <c r="C3377">
        <v>700</v>
      </c>
      <c r="D3377">
        <v>0</v>
      </c>
      <c r="E3377" t="s">
        <v>20</v>
      </c>
      <c r="F3377" t="s">
        <v>20</v>
      </c>
      <c r="G3377" t="str">
        <f>"2025-02-07 17:53:31.068"</f>
        <v>2025-02-07 17:53:31.068</v>
      </c>
      <c r="H3377" t="s">
        <v>21</v>
      </c>
    </row>
    <row r="3378" spans="1:10" x14ac:dyDescent="0.25">
      <c r="A3378" s="1">
        <v>440</v>
      </c>
      <c r="B3378" t="s">
        <v>19</v>
      </c>
      <c r="C3378">
        <v>700</v>
      </c>
      <c r="D3378">
        <v>0</v>
      </c>
      <c r="E3378" t="s">
        <v>20</v>
      </c>
      <c r="F3378" t="s">
        <v>20</v>
      </c>
      <c r="G3378" t="str">
        <f>"2025-02-07 14:57:24.026"</f>
        <v>2025-02-07 14:57:24.026</v>
      </c>
      <c r="H3378" t="s">
        <v>21</v>
      </c>
    </row>
    <row r="3379" spans="1:10" x14ac:dyDescent="0.25">
      <c r="A3379" s="1">
        <v>441</v>
      </c>
      <c r="B3379" t="s">
        <v>19</v>
      </c>
      <c r="C3379">
        <v>700</v>
      </c>
      <c r="D3379">
        <v>0</v>
      </c>
      <c r="E3379" t="s">
        <v>20</v>
      </c>
      <c r="F3379" t="s">
        <v>20</v>
      </c>
      <c r="G3379" t="str">
        <f>"2025-02-07 12:22:43.059"</f>
        <v>2025-02-07 12:22:43.059</v>
      </c>
      <c r="H3379" t="s">
        <v>21</v>
      </c>
      <c r="I3379">
        <v>0</v>
      </c>
      <c r="J3379" t="s">
        <v>22</v>
      </c>
    </row>
    <row r="3380" spans="1:10" x14ac:dyDescent="0.25">
      <c r="A3380" s="1">
        <v>442</v>
      </c>
      <c r="B3380" t="s">
        <v>19</v>
      </c>
      <c r="C3380">
        <v>700</v>
      </c>
      <c r="D3380">
        <v>0</v>
      </c>
      <c r="E3380" t="s">
        <v>20</v>
      </c>
      <c r="F3380" t="s">
        <v>20</v>
      </c>
      <c r="G3380" t="str">
        <f>"2025-02-07 11:31:16.022"</f>
        <v>2025-02-07 11:31:16.022</v>
      </c>
      <c r="H3380" t="s">
        <v>21</v>
      </c>
    </row>
    <row r="3381" spans="1:10" x14ac:dyDescent="0.25">
      <c r="A3381" s="1">
        <v>445</v>
      </c>
      <c r="B3381" t="s">
        <v>19</v>
      </c>
      <c r="C3381">
        <v>782</v>
      </c>
      <c r="D3381">
        <v>7</v>
      </c>
      <c r="E3381" t="s">
        <v>58</v>
      </c>
      <c r="F3381" t="s">
        <v>59</v>
      </c>
      <c r="G3381" t="str">
        <f>"2025-02-07 11:27:56.663"</f>
        <v>2025-02-07 11:27:56.663</v>
      </c>
      <c r="H3381" t="s">
        <v>21</v>
      </c>
      <c r="I3381">
        <v>0</v>
      </c>
      <c r="J3381" t="s">
        <v>86</v>
      </c>
    </row>
    <row r="3382" spans="1:10" x14ac:dyDescent="0.25">
      <c r="A3382" s="1">
        <v>448</v>
      </c>
      <c r="B3382" t="s">
        <v>23</v>
      </c>
      <c r="C3382">
        <v>12</v>
      </c>
      <c r="D3382">
        <v>2</v>
      </c>
      <c r="E3382" t="s">
        <v>103</v>
      </c>
      <c r="F3382" t="s">
        <v>104</v>
      </c>
      <c r="G3382" t="str">
        <f>"2025-02-07 11:27:56.657"</f>
        <v>2025-02-07 11:27:56.657</v>
      </c>
      <c r="H3382" t="s">
        <v>21</v>
      </c>
    </row>
    <row r="3383" spans="1:10" x14ac:dyDescent="0.25">
      <c r="A3383" s="1">
        <v>449</v>
      </c>
      <c r="B3383" t="s">
        <v>23</v>
      </c>
      <c r="C3383">
        <v>12</v>
      </c>
      <c r="D3383">
        <v>1</v>
      </c>
      <c r="E3383" t="s">
        <v>103</v>
      </c>
      <c r="F3383" t="s">
        <v>105</v>
      </c>
      <c r="G3383" t="str">
        <f>"2025-02-07 11:27:56.656"</f>
        <v>2025-02-07 11:27:56.656</v>
      </c>
      <c r="H3383" t="s">
        <v>21</v>
      </c>
    </row>
    <row r="3384" spans="1:10" x14ac:dyDescent="0.25">
      <c r="A3384" s="1">
        <v>450</v>
      </c>
      <c r="B3384" t="s">
        <v>19</v>
      </c>
      <c r="C3384">
        <v>782</v>
      </c>
      <c r="D3384">
        <v>7</v>
      </c>
      <c r="E3384" t="s">
        <v>58</v>
      </c>
      <c r="F3384" t="s">
        <v>59</v>
      </c>
      <c r="G3384" t="str">
        <f>"2025-02-07 11:27:56.655"</f>
        <v>2025-02-07 11:27:56.655</v>
      </c>
      <c r="H3384" t="s">
        <v>21</v>
      </c>
      <c r="I3384">
        <v>0</v>
      </c>
      <c r="J3384" t="s">
        <v>86</v>
      </c>
    </row>
    <row r="3385" spans="1:10" x14ac:dyDescent="0.25">
      <c r="A3385" s="1">
        <v>451</v>
      </c>
      <c r="B3385" t="s">
        <v>19</v>
      </c>
      <c r="C3385">
        <v>700</v>
      </c>
      <c r="D3385">
        <v>0</v>
      </c>
      <c r="E3385" t="s">
        <v>20</v>
      </c>
      <c r="F3385" t="s">
        <v>20</v>
      </c>
      <c r="G3385" t="str">
        <f>"2025-02-07 11:16:14.004"</f>
        <v>2025-02-07 11:16:14.004</v>
      </c>
      <c r="H3385" t="s">
        <v>21</v>
      </c>
    </row>
    <row r="3386" spans="1:10" x14ac:dyDescent="0.25">
      <c r="A3386" s="1">
        <v>452</v>
      </c>
      <c r="B3386" t="s">
        <v>23</v>
      </c>
      <c r="C3386">
        <v>4</v>
      </c>
      <c r="D3386">
        <v>1</v>
      </c>
      <c r="E3386" t="s">
        <v>53</v>
      </c>
      <c r="F3386" t="s">
        <v>54</v>
      </c>
      <c r="G3386" t="str">
        <f>"2025-02-07 11:12:01.775"</f>
        <v>2025-02-07 11:12:01.775</v>
      </c>
      <c r="H3386" t="s">
        <v>55</v>
      </c>
    </row>
    <row r="3387" spans="1:10" x14ac:dyDescent="0.25">
      <c r="A3387" s="1">
        <v>453</v>
      </c>
      <c r="B3387" t="s">
        <v>19</v>
      </c>
      <c r="C3387">
        <v>700</v>
      </c>
      <c r="D3387">
        <v>0</v>
      </c>
      <c r="E3387" t="s">
        <v>20</v>
      </c>
      <c r="F3387" t="s">
        <v>20</v>
      </c>
      <c r="G3387" t="str">
        <f>"2025-02-07 11:11:54.035"</f>
        <v>2025-02-07 11:11:54.035</v>
      </c>
      <c r="H3387" t="s">
        <v>21</v>
      </c>
      <c r="I3387">
        <v>0</v>
      </c>
      <c r="J3387" t="s">
        <v>22</v>
      </c>
    </row>
    <row r="3388" spans="1:10" x14ac:dyDescent="0.25">
      <c r="A3388" s="1">
        <v>454</v>
      </c>
      <c r="B3388" t="s">
        <v>23</v>
      </c>
      <c r="C3388">
        <v>98</v>
      </c>
      <c r="D3388">
        <v>1</v>
      </c>
      <c r="E3388" t="s">
        <v>65</v>
      </c>
      <c r="F3388" t="s">
        <v>66</v>
      </c>
      <c r="G3388" t="str">
        <f>"2025-02-06 18:01:10.451"</f>
        <v>2025-02-06 18:01:10.451</v>
      </c>
      <c r="H3388" t="s">
        <v>21</v>
      </c>
    </row>
    <row r="3389" spans="1:10" x14ac:dyDescent="0.25">
      <c r="A3389" s="1">
        <v>455</v>
      </c>
      <c r="B3389" t="s">
        <v>26</v>
      </c>
      <c r="C3389">
        <v>98</v>
      </c>
      <c r="D3389">
        <v>1</v>
      </c>
      <c r="E3389" t="s">
        <v>65</v>
      </c>
      <c r="F3389" t="s">
        <v>66</v>
      </c>
      <c r="G3389" t="str">
        <f>"2025-02-06 18:01:09.451"</f>
        <v>2025-02-06 18:01:09.451</v>
      </c>
      <c r="H3389" t="s">
        <v>21</v>
      </c>
      <c r="I3389">
        <v>0</v>
      </c>
      <c r="J3389" t="s">
        <v>86</v>
      </c>
    </row>
    <row r="3390" spans="1:10" x14ac:dyDescent="0.25">
      <c r="A3390" s="1">
        <v>456</v>
      </c>
      <c r="B3390" t="s">
        <v>23</v>
      </c>
      <c r="C3390">
        <v>98</v>
      </c>
      <c r="D3390">
        <v>1</v>
      </c>
      <c r="E3390" t="s">
        <v>65</v>
      </c>
      <c r="F3390" t="s">
        <v>66</v>
      </c>
      <c r="G3390" t="str">
        <f>"2025-02-06 18:01:09.251"</f>
        <v>2025-02-06 18:01:09.251</v>
      </c>
      <c r="H3390" t="s">
        <v>21</v>
      </c>
    </row>
    <row r="3391" spans="1:10" x14ac:dyDescent="0.25">
      <c r="A3391" s="1">
        <v>457</v>
      </c>
      <c r="B3391" t="s">
        <v>26</v>
      </c>
      <c r="C3391">
        <v>98</v>
      </c>
      <c r="D3391">
        <v>1</v>
      </c>
      <c r="E3391" t="s">
        <v>65</v>
      </c>
      <c r="F3391" t="s">
        <v>66</v>
      </c>
      <c r="G3391" t="str">
        <f>"2025-02-06 18:01:08.252"</f>
        <v>2025-02-06 18:01:08.252</v>
      </c>
      <c r="H3391" t="s">
        <v>21</v>
      </c>
      <c r="I3391">
        <v>0</v>
      </c>
      <c r="J3391" t="s">
        <v>86</v>
      </c>
    </row>
    <row r="3392" spans="1:10" x14ac:dyDescent="0.25">
      <c r="A3392" s="1">
        <v>458</v>
      </c>
      <c r="B3392" t="s">
        <v>19</v>
      </c>
      <c r="C3392">
        <v>719</v>
      </c>
      <c r="D3392">
        <v>1</v>
      </c>
      <c r="E3392" t="s">
        <v>73</v>
      </c>
      <c r="F3392" t="s">
        <v>106</v>
      </c>
      <c r="G3392" t="str">
        <f>"2025-02-06 18:00:00.370"</f>
        <v>2025-02-06 18:00:00.370</v>
      </c>
      <c r="H3392" t="s">
        <v>21</v>
      </c>
      <c r="I3392">
        <v>0</v>
      </c>
      <c r="J3392" t="s">
        <v>86</v>
      </c>
    </row>
    <row r="3393" spans="1:10" x14ac:dyDescent="0.25">
      <c r="A3393" s="1">
        <v>459</v>
      </c>
      <c r="B3393" t="s">
        <v>23</v>
      </c>
      <c r="C3393">
        <v>650</v>
      </c>
      <c r="D3393">
        <v>4</v>
      </c>
      <c r="E3393" t="s">
        <v>107</v>
      </c>
      <c r="F3393" t="s">
        <v>108</v>
      </c>
      <c r="G3393" t="str">
        <f>"2025-02-06 15:00:39.752"</f>
        <v>2025-02-06 15:00:39.752</v>
      </c>
      <c r="H3393" t="s">
        <v>21</v>
      </c>
    </row>
    <row r="3394" spans="1:10" x14ac:dyDescent="0.25">
      <c r="A3394" s="1">
        <v>460</v>
      </c>
      <c r="B3394" t="s">
        <v>19</v>
      </c>
      <c r="C3394">
        <v>700</v>
      </c>
      <c r="D3394">
        <v>0</v>
      </c>
      <c r="E3394" t="s">
        <v>20</v>
      </c>
      <c r="F3394" t="s">
        <v>20</v>
      </c>
      <c r="G3394" t="str">
        <f>"2025-02-06 14:59:58.010"</f>
        <v>2025-02-06 14:59:58.010</v>
      </c>
      <c r="H3394" t="s">
        <v>21</v>
      </c>
    </row>
    <row r="3395" spans="1:10" x14ac:dyDescent="0.25">
      <c r="A3395" s="1">
        <v>463</v>
      </c>
      <c r="B3395" t="s">
        <v>38</v>
      </c>
      <c r="C3395">
        <v>641</v>
      </c>
      <c r="D3395">
        <v>1</v>
      </c>
      <c r="E3395" t="s">
        <v>109</v>
      </c>
      <c r="F3395" t="s">
        <v>104</v>
      </c>
      <c r="G3395" t="str">
        <f>"2025-02-06 14:55:51.932"</f>
        <v>2025-02-06 14:55:51.932</v>
      </c>
      <c r="H3395" t="s">
        <v>21</v>
      </c>
      <c r="I3395">
        <v>0</v>
      </c>
      <c r="J3395" t="s">
        <v>30</v>
      </c>
    </row>
    <row r="3396" spans="1:10" x14ac:dyDescent="0.25">
      <c r="A3396" s="1">
        <v>464</v>
      </c>
      <c r="B3396" t="s">
        <v>38</v>
      </c>
      <c r="C3396">
        <v>640</v>
      </c>
      <c r="D3396">
        <v>1</v>
      </c>
      <c r="E3396" t="s">
        <v>110</v>
      </c>
      <c r="F3396" t="s">
        <v>105</v>
      </c>
      <c r="G3396" t="str">
        <f>"2025-02-06 14:55:51.923"</f>
        <v>2025-02-06 14:55:51.923</v>
      </c>
      <c r="H3396" t="s">
        <v>85</v>
      </c>
      <c r="I3396">
        <v>0</v>
      </c>
      <c r="J3396" t="s">
        <v>30</v>
      </c>
    </row>
    <row r="3397" spans="1:10" x14ac:dyDescent="0.25">
      <c r="A3397" s="1">
        <v>465</v>
      </c>
      <c r="B3397" t="s">
        <v>19</v>
      </c>
      <c r="C3397">
        <v>700</v>
      </c>
      <c r="D3397">
        <v>0</v>
      </c>
      <c r="E3397" t="s">
        <v>20</v>
      </c>
      <c r="F3397" t="s">
        <v>20</v>
      </c>
      <c r="G3397" t="str">
        <f>"2025-02-06 14:55:41.856"</f>
        <v>2025-02-06 14:55:41.856</v>
      </c>
      <c r="H3397" t="s">
        <v>21</v>
      </c>
    </row>
    <row r="3398" spans="1:10" x14ac:dyDescent="0.25">
      <c r="A3398" s="1">
        <v>466</v>
      </c>
      <c r="B3398" t="s">
        <v>38</v>
      </c>
      <c r="C3398">
        <v>641</v>
      </c>
      <c r="D3398">
        <v>1</v>
      </c>
      <c r="E3398" t="s">
        <v>109</v>
      </c>
      <c r="F3398" t="s">
        <v>104</v>
      </c>
      <c r="G3398" t="str">
        <f>"2025-02-06 14:54:57.922"</f>
        <v>2025-02-06 14:54:57.922</v>
      </c>
      <c r="H3398" t="s">
        <v>21</v>
      </c>
      <c r="I3398">
        <v>0</v>
      </c>
      <c r="J3398" t="s">
        <v>111</v>
      </c>
    </row>
    <row r="3399" spans="1:10" x14ac:dyDescent="0.25">
      <c r="A3399" s="1">
        <v>467</v>
      </c>
      <c r="B3399" t="s">
        <v>38</v>
      </c>
      <c r="C3399">
        <v>640</v>
      </c>
      <c r="D3399">
        <v>1</v>
      </c>
      <c r="E3399" t="s">
        <v>110</v>
      </c>
      <c r="F3399" t="s">
        <v>105</v>
      </c>
      <c r="G3399" t="str">
        <f>"2025-02-06 14:54:57.915"</f>
        <v>2025-02-06 14:54:57.915</v>
      </c>
      <c r="H3399" t="s">
        <v>85</v>
      </c>
      <c r="I3399">
        <v>0</v>
      </c>
      <c r="J3399" t="s">
        <v>111</v>
      </c>
    </row>
    <row r="3400" spans="1:10" x14ac:dyDescent="0.25">
      <c r="A3400" s="1">
        <v>468</v>
      </c>
      <c r="B3400" t="s">
        <v>26</v>
      </c>
      <c r="C3400">
        <v>4</v>
      </c>
      <c r="D3400">
        <v>1</v>
      </c>
      <c r="E3400" t="s">
        <v>53</v>
      </c>
      <c r="F3400" t="s">
        <v>54</v>
      </c>
      <c r="G3400" t="str">
        <f>"2025-02-06 14:54:52.526"</f>
        <v>2025-02-06 14:54:52.526</v>
      </c>
      <c r="H3400" t="s">
        <v>55</v>
      </c>
      <c r="I3400">
        <v>0</v>
      </c>
      <c r="J3400" t="s">
        <v>111</v>
      </c>
    </row>
    <row r="3401" spans="1:10" x14ac:dyDescent="0.25">
      <c r="A3401" s="1">
        <v>469</v>
      </c>
      <c r="B3401" t="s">
        <v>26</v>
      </c>
      <c r="C3401">
        <v>12</v>
      </c>
      <c r="D3401">
        <v>1</v>
      </c>
      <c r="E3401" t="s">
        <v>103</v>
      </c>
      <c r="F3401" t="s">
        <v>105</v>
      </c>
      <c r="G3401" t="str">
        <f>"2025-02-06 14:54:51.608"</f>
        <v>2025-02-06 14:54:51.608</v>
      </c>
      <c r="H3401" t="s">
        <v>21</v>
      </c>
      <c r="I3401">
        <v>0</v>
      </c>
      <c r="J3401" t="s">
        <v>111</v>
      </c>
    </row>
    <row r="3402" spans="1:10" x14ac:dyDescent="0.25">
      <c r="A3402" s="1">
        <v>470</v>
      </c>
      <c r="B3402" t="s">
        <v>26</v>
      </c>
      <c r="C3402">
        <v>12</v>
      </c>
      <c r="D3402">
        <v>2</v>
      </c>
      <c r="E3402" t="s">
        <v>103</v>
      </c>
      <c r="F3402" t="s">
        <v>104</v>
      </c>
      <c r="G3402" t="str">
        <f>"2025-02-06 14:54:51.508"</f>
        <v>2025-02-06 14:54:51.508</v>
      </c>
      <c r="H3402" t="s">
        <v>21</v>
      </c>
      <c r="I3402">
        <v>0</v>
      </c>
      <c r="J3402" t="s">
        <v>111</v>
      </c>
    </row>
    <row r="3403" spans="1:10" x14ac:dyDescent="0.25">
      <c r="A3403" s="1">
        <v>471</v>
      </c>
      <c r="B3403" t="s">
        <v>26</v>
      </c>
      <c r="C3403">
        <v>650</v>
      </c>
      <c r="D3403">
        <v>4</v>
      </c>
      <c r="E3403" t="s">
        <v>107</v>
      </c>
      <c r="F3403" t="s">
        <v>108</v>
      </c>
      <c r="G3403" t="str">
        <f>"2025-02-06 14:54:50.248"</f>
        <v>2025-02-06 14:54:50.248</v>
      </c>
      <c r="H3403" t="s">
        <v>21</v>
      </c>
      <c r="I3403">
        <v>0</v>
      </c>
      <c r="J3403" t="s">
        <v>22</v>
      </c>
    </row>
    <row r="3404" spans="1:10" x14ac:dyDescent="0.25">
      <c r="A3404" s="1">
        <v>472</v>
      </c>
      <c r="B3404" t="s">
        <v>19</v>
      </c>
      <c r="C3404">
        <v>700</v>
      </c>
      <c r="D3404">
        <v>0</v>
      </c>
      <c r="E3404" t="s">
        <v>20</v>
      </c>
      <c r="F3404" t="s">
        <v>20</v>
      </c>
      <c r="G3404" t="str">
        <f>"2025-02-06 14:54:47.867"</f>
        <v>2025-02-06 14:54:47.867</v>
      </c>
      <c r="H3404" t="s">
        <v>21</v>
      </c>
      <c r="I3404">
        <v>0</v>
      </c>
      <c r="J3404" t="s">
        <v>22</v>
      </c>
    </row>
  </sheetData>
  <autoFilter ref="A9:J3404" xr:uid="{4DC31B9F-6300-4457-B859-4D1C69914047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8F1019-279D-4AAA-B680-E38411F1B7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events_ru_73_20260622-151815 96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2026-06-22T07:48:18Z</dcterms:modified>
</cp:coreProperties>
</file>
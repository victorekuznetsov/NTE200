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F74CDF9E-884A-4AB8-85CA-CFD7B57BC0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88_20260614-214505 50" sheetId="2" r:id="rId1"/>
    <sheet name="Лист1" sheetId="1" r:id="rId2"/>
  </sheets>
  <definedNames>
    <definedName name="_xlnm._FilterDatabase" localSheetId="0" hidden="1">'events_ru_88_20260614-214505 50'!$C$1:$C$920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DEFE90-232F-41F6-80E4-BBC3270891E8}" keepAlive="1" name="Запрос — events_ru_88_20260614-214505 508" description="Соединение с запросом &quot;events_ru_88_20260614-214505 508&quot; в книге." type="5" refreshedVersion="0" background="1">
    <dbPr connection="Provider=Microsoft.Mashup.OleDb.1;Data Source=$Workbook$;Location=&quot;events_ru_88_20260614-214505 508&quot;;Extended Properties=&quot;&quot;" command="SELECT * FROM [events_ru_88_20260614-214505 508]"/>
  </connection>
</connections>
</file>

<file path=xl/sharedStrings.xml><?xml version="1.0" encoding="utf-8"?>
<sst xmlns="http://schemas.openxmlformats.org/spreadsheetml/2006/main" count="4161" uniqueCount="85">
  <si>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</si>
  <si>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</si>
  <si>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</si>
  <si>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</si>
  <si>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</si>
  <si>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</si>
  <si>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</si>
  <si>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</si>
  <si>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</si>
  <si>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</si>
  <si>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</si>
  <si>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</si>
  <si>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</si>
  <si>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</si>
  <si>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</si>
  <si>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</si>
  <si>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</si>
  <si>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</si>
  <si>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</si>
  <si>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</si>
  <si>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</si>
  <si>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</si>
  <si>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SRst</t>
  </si>
  <si>
    <t>Рабочий тормоз на ходу</t>
  </si>
  <si>
    <t>Рабочие тормоза использованы на ходу</t>
  </si>
  <si>
    <t>Log+</t>
  </si>
  <si>
    <t>Retard</t>
  </si>
  <si>
    <t>Null</t>
  </si>
  <si>
    <t>Самосвал перегружен - NR</t>
  </si>
  <si>
    <t>Не доступно</t>
  </si>
  <si>
    <t>Ready</t>
  </si>
  <si>
    <t>Propel</t>
  </si>
  <si>
    <t>Система в безопасном режиме</t>
  </si>
  <si>
    <t>Вход в безопасный режим файловой системы - Запуск двигателя</t>
  </si>
  <si>
    <t>Test</t>
  </si>
  <si>
    <t>WRst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</si>
  <si>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</si>
  <si>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</si>
  <si>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</si>
  <si>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 xml:space="preserve">Log </t>
  </si>
  <si>
    <t>Введен безопасный режим файловой системы - Низкий заряд батареи</t>
  </si>
  <si>
    <t>Температура окружающего воздуха вне пределов</t>
  </si>
  <si>
    <t>Высокий</t>
  </si>
  <si>
    <t>Команда сохранения данных PTU</t>
  </si>
  <si>
    <t>Инициированное водителем сохранение данных</t>
  </si>
  <si>
    <t>Вход в безопасный режим файловой системы - Ключ или CPS</t>
  </si>
  <si>
    <t>Превышении скорости</t>
  </si>
  <si>
    <t>Управление скоростью - превышение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</si>
  <si>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</si>
  <si>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</si>
  <si>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</si>
  <si>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Останов ДВС во время движения</t>
  </si>
  <si>
    <t>Запрет тяги</t>
  </si>
  <si>
    <t>Reset All Faults</t>
  </si>
  <si>
    <t>Zero</t>
  </si>
  <si>
    <t>TMC2 Чоппер 2 ИНВ (NR)</t>
  </si>
  <si>
    <t>Прерыватель 2 не выключен при напряжении пост. тока</t>
  </si>
  <si>
    <t>TMC2 Чоппер 1 ИНВ (NR)</t>
  </si>
  <si>
    <t>Чоппер 1 не выключен при напряжении пост. тока</t>
  </si>
  <si>
    <t>TMC2 Отказ GDPS1 [FM589]</t>
  </si>
  <si>
    <t>Отключено питание гейт драйвера с разрешением</t>
  </si>
  <si>
    <t>Инв2 Выкл</t>
  </si>
  <si>
    <t>TMC1 Отказ GDPS1 [FM589]</t>
  </si>
  <si>
    <t>Инв1 Выкл</t>
  </si>
  <si>
    <t>Низкое напряжение АКБ</t>
  </si>
  <si>
    <t>Низкий заряд АКБ 24В КС - ДВС остановлен</t>
  </si>
  <si>
    <t>Сравнение CMD скорости вращения ДВС</t>
  </si>
  <si>
    <t>Активна блокировка ХХ на холодном ДВС</t>
  </si>
  <si>
    <t>ARst</t>
  </si>
  <si>
    <t>TMC1 Чоппер 1 ИНВ (NR)</t>
  </si>
  <si>
    <t>Rest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</si>
  <si>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</si>
  <si>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</si>
  <si>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</si>
  <si>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Отказ педали ретардера</t>
  </si>
  <si>
    <t>Слишком низкое напряжение</t>
  </si>
  <si>
    <t>Слишком высокое напряжение</t>
  </si>
  <si>
    <t>Установка часов реального времени</t>
  </si>
  <si>
    <t>через панель DID</t>
  </si>
  <si>
    <t>Нужна калибровка педали</t>
  </si>
  <si>
    <t>Нужна калибровка запуска</t>
  </si>
  <si>
    <t>--Обновлена версия ПО--</t>
  </si>
  <si>
    <t>Приложение</t>
  </si>
  <si>
    <t>Педаль акслератора вне пределов - низкий уровень</t>
  </si>
  <si>
    <t>Педаль акслератора вне пределов - высокий уровень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</si>
</sst>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31546-06F6-4BE9-A575-09B4BDDDDF1C}">
  <dimension ref="A1:J920"/>
  <sheetViews>
    <sheetView tabSelected="1" workbookViewId="0">
      <selection activeCell="F4" sqref="F4"/>
    </sheetView>
  </sheetViews>
  <sheetFormatPr defaultRowHeight="15" x14ac:dyDescent="0.25"/>
  <cols>
    <col min="1" max="1" width="16" bestFit="1" customWidth="1"/>
    <col min="5" max="5" width="31.42578125" customWidth="1"/>
    <col min="6" max="6" width="60.140625" customWidth="1"/>
    <col min="7" max="7" width="22" bestFit="1" customWidth="1"/>
    <col min="8" max="8" width="28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88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"2026-06-14 21:45:05.508"</f>
        <v>2026-06-14 21:45:05.508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"2026-06-14 21:35:22.663"</f>
        <v>2026-06-14 21:35:22.663</v>
      </c>
      <c r="H10" t="s">
        <v>21</v>
      </c>
    </row>
    <row r="11" spans="1:10" s="3" customFormat="1" x14ac:dyDescent="0.25">
      <c r="A11" s="2"/>
      <c r="B11" s="3" t="s">
        <v>22</v>
      </c>
      <c r="C11" s="3">
        <v>647</v>
      </c>
      <c r="D11" s="3">
        <v>1</v>
      </c>
      <c r="E11" s="3" t="s">
        <v>23</v>
      </c>
      <c r="F11" s="3" t="s">
        <v>24</v>
      </c>
      <c r="G11" s="3" t="str">
        <f>"2026-06-14 14:36:15.754"</f>
        <v>2026-06-14 14:36:15.754</v>
      </c>
      <c r="H11" s="3" t="s">
        <v>21</v>
      </c>
    </row>
    <row r="12" spans="1:10" s="3" customFormat="1" x14ac:dyDescent="0.25">
      <c r="A12" s="2"/>
      <c r="B12" s="3" t="s">
        <v>25</v>
      </c>
      <c r="C12" s="3">
        <v>647</v>
      </c>
      <c r="D12" s="3">
        <v>1</v>
      </c>
      <c r="E12" s="3" t="s">
        <v>23</v>
      </c>
      <c r="F12" s="3" t="s">
        <v>24</v>
      </c>
      <c r="G12" s="3" t="str">
        <f>"2026-06-14 14:36:13.654"</f>
        <v>2026-06-14 14:36:13.654</v>
      </c>
      <c r="H12" s="3" t="s">
        <v>21</v>
      </c>
      <c r="I12" s="3">
        <v>9.0299999999999994</v>
      </c>
      <c r="J12" s="3" t="s">
        <v>26</v>
      </c>
    </row>
    <row r="13" spans="1:10" x14ac:dyDescent="0.25">
      <c r="A13" s="1"/>
      <c r="B13" t="s">
        <v>19</v>
      </c>
      <c r="C13">
        <v>700</v>
      </c>
      <c r="D13">
        <v>0</v>
      </c>
      <c r="E13" t="s">
        <v>20</v>
      </c>
      <c r="F13" t="s">
        <v>20</v>
      </c>
      <c r="G13" t="str">
        <f>"2026-06-14 13:59:27.876"</f>
        <v>2026-06-14 13:59:27.876</v>
      </c>
      <c r="H13" t="s">
        <v>21</v>
      </c>
      <c r="I13">
        <v>0</v>
      </c>
      <c r="J13" t="s">
        <v>27</v>
      </c>
    </row>
    <row r="14" spans="1:10" x14ac:dyDescent="0.25">
      <c r="A14" s="1"/>
      <c r="B14" t="s">
        <v>22</v>
      </c>
      <c r="C14">
        <v>635</v>
      </c>
      <c r="D14">
        <v>1</v>
      </c>
      <c r="E14" t="s">
        <v>28</v>
      </c>
      <c r="F14" t="s">
        <v>29</v>
      </c>
      <c r="G14" t="str">
        <f>"2026-06-14 05:55:48.636"</f>
        <v>2026-06-14 05:55:48.636</v>
      </c>
      <c r="H14" t="s">
        <v>21</v>
      </c>
    </row>
    <row r="15" spans="1:10" x14ac:dyDescent="0.25">
      <c r="A15" s="1"/>
      <c r="B15" t="s">
        <v>25</v>
      </c>
      <c r="C15">
        <v>635</v>
      </c>
      <c r="D15">
        <v>1</v>
      </c>
      <c r="E15" t="s">
        <v>28</v>
      </c>
      <c r="F15" t="s">
        <v>29</v>
      </c>
      <c r="G15" t="str">
        <f>"2026-06-14 05:51:14.636"</f>
        <v>2026-06-14 05:51:14.636</v>
      </c>
      <c r="H15" t="s">
        <v>21</v>
      </c>
      <c r="I15">
        <v>5.49</v>
      </c>
      <c r="J15" t="s">
        <v>30</v>
      </c>
    </row>
    <row r="16" spans="1:10" x14ac:dyDescent="0.25">
      <c r="A16" s="1"/>
      <c r="B16" t="s">
        <v>22</v>
      </c>
      <c r="C16">
        <v>635</v>
      </c>
      <c r="D16">
        <v>1</v>
      </c>
      <c r="E16" t="s">
        <v>28</v>
      </c>
      <c r="F16" t="s">
        <v>29</v>
      </c>
      <c r="G16" t="str">
        <f>"2026-06-13 17:48:50.736"</f>
        <v>2026-06-13 17:48:50.736</v>
      </c>
      <c r="H16" t="s">
        <v>21</v>
      </c>
    </row>
    <row r="17" spans="1:10" x14ac:dyDescent="0.25">
      <c r="A17" s="1"/>
      <c r="B17" t="s">
        <v>25</v>
      </c>
      <c r="C17">
        <v>635</v>
      </c>
      <c r="D17">
        <v>1</v>
      </c>
      <c r="E17" t="s">
        <v>28</v>
      </c>
      <c r="F17" t="s">
        <v>29</v>
      </c>
      <c r="G17" t="str">
        <f>"2026-06-13 17:17:27.836"</f>
        <v>2026-06-13 17:17:27.836</v>
      </c>
      <c r="H17" t="s">
        <v>21</v>
      </c>
      <c r="I17">
        <v>3.93</v>
      </c>
      <c r="J17" t="s">
        <v>31</v>
      </c>
    </row>
    <row r="18" spans="1:10" s="3" customFormat="1" x14ac:dyDescent="0.25">
      <c r="A18" s="2"/>
      <c r="B18" s="3" t="s">
        <v>22</v>
      </c>
      <c r="C18" s="3">
        <v>647</v>
      </c>
      <c r="D18" s="3">
        <v>1</v>
      </c>
      <c r="E18" s="3" t="s">
        <v>23</v>
      </c>
      <c r="F18" s="3" t="s">
        <v>24</v>
      </c>
      <c r="G18" s="3" t="str">
        <f>"2026-06-13 14:09:29.336"</f>
        <v>2026-06-13 14:09:29.336</v>
      </c>
      <c r="H18" s="3" t="s">
        <v>21</v>
      </c>
    </row>
    <row r="19" spans="1:10" s="3" customFormat="1" x14ac:dyDescent="0.25">
      <c r="A19" s="2"/>
      <c r="B19" s="3" t="s">
        <v>25</v>
      </c>
      <c r="C19" s="3">
        <v>647</v>
      </c>
      <c r="D19" s="3">
        <v>1</v>
      </c>
      <c r="E19" s="3" t="s">
        <v>23</v>
      </c>
      <c r="F19" s="3" t="s">
        <v>24</v>
      </c>
      <c r="G19" s="3" t="str">
        <f>"2026-06-13 14:09:23.337"</f>
        <v>2026-06-13 14:09:23.337</v>
      </c>
      <c r="H19" s="3" t="s">
        <v>21</v>
      </c>
      <c r="I19" s="3">
        <v>12.86</v>
      </c>
      <c r="J19" s="3" t="s">
        <v>26</v>
      </c>
    </row>
    <row r="20" spans="1:10" x14ac:dyDescent="0.25">
      <c r="A20" s="1">
        <v>0</v>
      </c>
      <c r="B20" t="s">
        <v>19</v>
      </c>
      <c r="C20">
        <v>700</v>
      </c>
      <c r="D20">
        <v>0</v>
      </c>
      <c r="E20" t="s">
        <v>20</v>
      </c>
      <c r="F20" t="s">
        <v>20</v>
      </c>
      <c r="G20" t="str">
        <f>"2026-06-13 12:22:29.659"</f>
        <v>2026-06-13 12:22:29.659</v>
      </c>
      <c r="H20" t="s">
        <v>21</v>
      </c>
    </row>
    <row r="21" spans="1:10" x14ac:dyDescent="0.25">
      <c r="A21" s="1">
        <v>1</v>
      </c>
      <c r="B21" t="s">
        <v>22</v>
      </c>
      <c r="C21">
        <v>635</v>
      </c>
      <c r="D21">
        <v>1</v>
      </c>
      <c r="E21" t="s">
        <v>28</v>
      </c>
      <c r="F21" t="s">
        <v>29</v>
      </c>
      <c r="G21" t="str">
        <f>"2026-06-12 13:13:44.641"</f>
        <v>2026-06-12 13:13:44.641</v>
      </c>
      <c r="H21" t="s">
        <v>21</v>
      </c>
    </row>
    <row r="22" spans="1:10" x14ac:dyDescent="0.25">
      <c r="A22" s="1">
        <v>2</v>
      </c>
      <c r="B22" t="s">
        <v>25</v>
      </c>
      <c r="C22">
        <v>635</v>
      </c>
      <c r="D22">
        <v>1</v>
      </c>
      <c r="E22" t="s">
        <v>28</v>
      </c>
      <c r="F22" t="s">
        <v>29</v>
      </c>
      <c r="G22" t="str">
        <f>"2026-06-12 13:09:39.641"</f>
        <v>2026-06-12 13:09:39.641</v>
      </c>
      <c r="H22" t="s">
        <v>21</v>
      </c>
      <c r="I22">
        <v>2.87</v>
      </c>
      <c r="J22" t="s">
        <v>31</v>
      </c>
    </row>
    <row r="23" spans="1:10" x14ac:dyDescent="0.25">
      <c r="A23" s="1">
        <v>3</v>
      </c>
      <c r="B23" t="s">
        <v>22</v>
      </c>
      <c r="C23">
        <v>635</v>
      </c>
      <c r="D23">
        <v>1</v>
      </c>
      <c r="E23" t="s">
        <v>28</v>
      </c>
      <c r="F23" t="s">
        <v>29</v>
      </c>
      <c r="G23" t="str">
        <f>"2026-06-10 17:11:30.941"</f>
        <v>2026-06-10 17:11:30.941</v>
      </c>
      <c r="H23" t="s">
        <v>21</v>
      </c>
    </row>
    <row r="24" spans="1:10" x14ac:dyDescent="0.25">
      <c r="A24" s="1">
        <v>4</v>
      </c>
      <c r="B24" t="s">
        <v>25</v>
      </c>
      <c r="C24">
        <v>635</v>
      </c>
      <c r="D24">
        <v>1</v>
      </c>
      <c r="E24" t="s">
        <v>28</v>
      </c>
      <c r="F24" t="s">
        <v>29</v>
      </c>
      <c r="G24" t="str">
        <f>"2026-06-10 17:08:28.441"</f>
        <v>2026-06-10 17:08:28.441</v>
      </c>
      <c r="H24" t="s">
        <v>21</v>
      </c>
      <c r="I24">
        <v>9.2899999999999991</v>
      </c>
      <c r="J24" t="s">
        <v>26</v>
      </c>
    </row>
    <row r="25" spans="1:10" x14ac:dyDescent="0.25">
      <c r="A25" s="1">
        <v>5</v>
      </c>
      <c r="B25" t="s">
        <v>22</v>
      </c>
      <c r="C25">
        <v>635</v>
      </c>
      <c r="D25">
        <v>1</v>
      </c>
      <c r="E25" t="s">
        <v>28</v>
      </c>
      <c r="F25" t="s">
        <v>29</v>
      </c>
      <c r="G25" t="str">
        <f>"2026-06-09 16:31:20.141"</f>
        <v>2026-06-09 16:31:20.141</v>
      </c>
      <c r="H25" t="s">
        <v>21</v>
      </c>
    </row>
    <row r="26" spans="1:10" x14ac:dyDescent="0.25">
      <c r="A26" s="1">
        <v>6</v>
      </c>
      <c r="B26" t="s">
        <v>25</v>
      </c>
      <c r="C26">
        <v>635</v>
      </c>
      <c r="D26">
        <v>1</v>
      </c>
      <c r="E26" t="s">
        <v>28</v>
      </c>
      <c r="F26" t="s">
        <v>29</v>
      </c>
      <c r="G26" t="str">
        <f>"2026-06-09 16:28:31.141"</f>
        <v>2026-06-09 16:28:31.141</v>
      </c>
      <c r="H26" t="s">
        <v>21</v>
      </c>
      <c r="I26">
        <v>3.62</v>
      </c>
      <c r="J26" t="s">
        <v>31</v>
      </c>
    </row>
    <row r="27" spans="1:10" x14ac:dyDescent="0.25">
      <c r="A27" s="1">
        <v>7</v>
      </c>
      <c r="B27" t="s">
        <v>22</v>
      </c>
      <c r="C27">
        <v>635</v>
      </c>
      <c r="D27">
        <v>1</v>
      </c>
      <c r="E27" t="s">
        <v>28</v>
      </c>
      <c r="F27" t="s">
        <v>29</v>
      </c>
      <c r="G27" t="str">
        <f>"2026-06-09 14:57:11.341"</f>
        <v>2026-06-09 14:57:11.341</v>
      </c>
      <c r="H27" t="s">
        <v>21</v>
      </c>
    </row>
    <row r="28" spans="1:10" x14ac:dyDescent="0.25">
      <c r="A28" s="1">
        <v>8</v>
      </c>
      <c r="B28" t="s">
        <v>25</v>
      </c>
      <c r="C28">
        <v>635</v>
      </c>
      <c r="D28">
        <v>1</v>
      </c>
      <c r="E28" t="s">
        <v>28</v>
      </c>
      <c r="F28" t="s">
        <v>29</v>
      </c>
      <c r="G28" t="str">
        <f>"2026-06-09 14:53:26.341"</f>
        <v>2026-06-09 14:53:26.341</v>
      </c>
      <c r="H28" t="s">
        <v>21</v>
      </c>
      <c r="I28">
        <v>1.0900000000000001</v>
      </c>
      <c r="J28" t="s">
        <v>31</v>
      </c>
    </row>
    <row r="29" spans="1:10" x14ac:dyDescent="0.25">
      <c r="A29" s="1">
        <v>9</v>
      </c>
      <c r="B29" t="s">
        <v>19</v>
      </c>
      <c r="C29">
        <v>700</v>
      </c>
      <c r="D29">
        <v>0</v>
      </c>
      <c r="E29" t="s">
        <v>20</v>
      </c>
      <c r="F29" t="s">
        <v>20</v>
      </c>
      <c r="G29" t="str">
        <f>"2026-06-09 10:26:35.663"</f>
        <v>2026-06-09 10:26:35.663</v>
      </c>
      <c r="H29" t="s">
        <v>21</v>
      </c>
      <c r="I29">
        <v>0</v>
      </c>
      <c r="J29" t="s">
        <v>27</v>
      </c>
    </row>
    <row r="30" spans="1:10" x14ac:dyDescent="0.25">
      <c r="A30" s="1">
        <v>0</v>
      </c>
      <c r="B30" t="s">
        <v>22</v>
      </c>
      <c r="C30">
        <v>635</v>
      </c>
      <c r="D30">
        <v>1</v>
      </c>
      <c r="E30" t="s">
        <v>28</v>
      </c>
      <c r="F30" t="s">
        <v>29</v>
      </c>
      <c r="G30" t="str">
        <f>"2026-06-09 07:25:27.141"</f>
        <v>2026-06-09 07:25:27.141</v>
      </c>
      <c r="H30" t="s">
        <v>21</v>
      </c>
    </row>
    <row r="31" spans="1:10" x14ac:dyDescent="0.25">
      <c r="A31" s="1">
        <v>1</v>
      </c>
      <c r="B31" t="s">
        <v>25</v>
      </c>
      <c r="C31">
        <v>635</v>
      </c>
      <c r="D31">
        <v>1</v>
      </c>
      <c r="E31" t="s">
        <v>28</v>
      </c>
      <c r="F31" t="s">
        <v>29</v>
      </c>
      <c r="G31" t="str">
        <f>"2026-06-09 07:03:30.241"</f>
        <v>2026-06-09 07:03:30.241</v>
      </c>
      <c r="H31" t="s">
        <v>21</v>
      </c>
      <c r="I31">
        <v>6.1</v>
      </c>
      <c r="J31" t="s">
        <v>31</v>
      </c>
    </row>
    <row r="32" spans="1:10" x14ac:dyDescent="0.25">
      <c r="A32" s="1">
        <v>2</v>
      </c>
      <c r="B32" t="s">
        <v>19</v>
      </c>
      <c r="C32">
        <v>700</v>
      </c>
      <c r="D32">
        <v>0</v>
      </c>
      <c r="E32" t="s">
        <v>20</v>
      </c>
      <c r="F32" t="s">
        <v>20</v>
      </c>
      <c r="G32" t="str">
        <f>"2026-06-09 01:46:41.612"</f>
        <v>2026-06-09 01:46:41.612</v>
      </c>
      <c r="H32" t="s">
        <v>21</v>
      </c>
    </row>
    <row r="33" spans="1:10" x14ac:dyDescent="0.25">
      <c r="A33" s="1">
        <v>3</v>
      </c>
      <c r="B33" t="s">
        <v>19</v>
      </c>
      <c r="C33">
        <v>700</v>
      </c>
      <c r="D33">
        <v>0</v>
      </c>
      <c r="E33" t="s">
        <v>20</v>
      </c>
      <c r="F33" t="s">
        <v>20</v>
      </c>
      <c r="G33" t="str">
        <f>"2026-06-09 00:38:54.619"</f>
        <v>2026-06-09 00:38:54.619</v>
      </c>
      <c r="H33" t="s">
        <v>21</v>
      </c>
    </row>
    <row r="34" spans="1:10" x14ac:dyDescent="0.25">
      <c r="A34" s="1">
        <v>4</v>
      </c>
      <c r="B34" t="s">
        <v>19</v>
      </c>
      <c r="C34">
        <v>700</v>
      </c>
      <c r="D34">
        <v>0</v>
      </c>
      <c r="E34" t="s">
        <v>20</v>
      </c>
      <c r="F34" t="s">
        <v>20</v>
      </c>
      <c r="G34" t="str">
        <f>"2026-06-09 00:32:56.621"</f>
        <v>2026-06-09 00:32:56.621</v>
      </c>
      <c r="H34" t="s">
        <v>21</v>
      </c>
    </row>
    <row r="35" spans="1:10" x14ac:dyDescent="0.25">
      <c r="A35" s="1">
        <v>5</v>
      </c>
      <c r="B35" t="s">
        <v>19</v>
      </c>
      <c r="C35">
        <v>700</v>
      </c>
      <c r="D35">
        <v>0</v>
      </c>
      <c r="E35" t="s">
        <v>20</v>
      </c>
      <c r="F35" t="s">
        <v>20</v>
      </c>
      <c r="G35" t="str">
        <f>"2026-06-09 00:09:33.606"</f>
        <v>2026-06-09 00:09:33.606</v>
      </c>
      <c r="H35" t="s">
        <v>21</v>
      </c>
    </row>
    <row r="36" spans="1:10" x14ac:dyDescent="0.25">
      <c r="A36" s="1">
        <v>6</v>
      </c>
      <c r="B36" t="s">
        <v>19</v>
      </c>
      <c r="C36">
        <v>700</v>
      </c>
      <c r="D36">
        <v>0</v>
      </c>
      <c r="E36" t="s">
        <v>20</v>
      </c>
      <c r="F36" t="s">
        <v>20</v>
      </c>
      <c r="G36" t="str">
        <f>"2026-06-08 11:18:03.972"</f>
        <v>2026-06-08 11:18:03.972</v>
      </c>
      <c r="H36" t="s">
        <v>21</v>
      </c>
    </row>
    <row r="37" spans="1:10" x14ac:dyDescent="0.25">
      <c r="A37" s="1">
        <v>7</v>
      </c>
      <c r="B37" t="s">
        <v>19</v>
      </c>
      <c r="C37">
        <v>706</v>
      </c>
      <c r="D37">
        <v>2</v>
      </c>
      <c r="E37" t="s">
        <v>32</v>
      </c>
      <c r="F37" t="s">
        <v>33</v>
      </c>
      <c r="G37" t="str">
        <f>"2026-06-08 09:58:07.645"</f>
        <v>2026-06-08 09:58:07.645</v>
      </c>
      <c r="H37" t="s">
        <v>21</v>
      </c>
      <c r="I37">
        <v>0</v>
      </c>
      <c r="J37" t="s">
        <v>34</v>
      </c>
    </row>
    <row r="38" spans="1:10" x14ac:dyDescent="0.25">
      <c r="A38" s="1">
        <v>8</v>
      </c>
      <c r="B38" t="s">
        <v>19</v>
      </c>
      <c r="C38">
        <v>700</v>
      </c>
      <c r="D38">
        <v>0</v>
      </c>
      <c r="E38" t="s">
        <v>20</v>
      </c>
      <c r="F38" t="s">
        <v>20</v>
      </c>
      <c r="G38" t="str">
        <f>"2026-06-08 09:54:06.835"</f>
        <v>2026-06-08 09:54:06.835</v>
      </c>
      <c r="H38" t="s">
        <v>21</v>
      </c>
    </row>
    <row r="39" spans="1:10" x14ac:dyDescent="0.25">
      <c r="A39" s="1">
        <v>9</v>
      </c>
      <c r="B39" t="s">
        <v>22</v>
      </c>
      <c r="C39">
        <v>635</v>
      </c>
      <c r="D39">
        <v>1</v>
      </c>
      <c r="E39" t="s">
        <v>28</v>
      </c>
      <c r="F39" t="s">
        <v>29</v>
      </c>
      <c r="G39" t="str">
        <f>"2026-06-08 04:20:24.664"</f>
        <v>2026-06-08 04:20:24.664</v>
      </c>
      <c r="H39" t="s">
        <v>21</v>
      </c>
    </row>
    <row r="40" spans="1:10" x14ac:dyDescent="0.25">
      <c r="A40" s="1">
        <v>0</v>
      </c>
      <c r="B40" t="s">
        <v>25</v>
      </c>
      <c r="C40">
        <v>635</v>
      </c>
      <c r="D40">
        <v>1</v>
      </c>
      <c r="E40" t="s">
        <v>28</v>
      </c>
      <c r="F40" t="s">
        <v>29</v>
      </c>
      <c r="G40" t="str">
        <f>"2026-06-08 04:17:28.764"</f>
        <v>2026-06-08 04:17:28.764</v>
      </c>
      <c r="H40" t="s">
        <v>21</v>
      </c>
      <c r="I40">
        <v>6.52</v>
      </c>
      <c r="J40" t="s">
        <v>30</v>
      </c>
    </row>
    <row r="41" spans="1:10" x14ac:dyDescent="0.25">
      <c r="A41" s="1">
        <v>1</v>
      </c>
      <c r="B41" t="s">
        <v>35</v>
      </c>
      <c r="C41">
        <v>33</v>
      </c>
      <c r="D41">
        <v>1</v>
      </c>
      <c r="E41" t="s">
        <v>36</v>
      </c>
      <c r="F41" t="s">
        <v>37</v>
      </c>
      <c r="G41" t="str">
        <f>"2026-06-07 14:20:20.612"</f>
        <v>2026-06-07 14:20:20.612</v>
      </c>
      <c r="H41" t="s">
        <v>38</v>
      </c>
    </row>
    <row r="42" spans="1:10" x14ac:dyDescent="0.25">
      <c r="A42" s="1">
        <v>2</v>
      </c>
      <c r="B42" t="s">
        <v>39</v>
      </c>
      <c r="C42">
        <v>33</v>
      </c>
      <c r="D42">
        <v>1</v>
      </c>
      <c r="E42" t="s">
        <v>36</v>
      </c>
      <c r="F42" t="s">
        <v>37</v>
      </c>
      <c r="G42" t="str">
        <f>"2026-06-07 14:20:00.922"</f>
        <v>2026-06-07 14:20:00.922</v>
      </c>
      <c r="H42" t="s">
        <v>38</v>
      </c>
      <c r="I42">
        <v>6.91</v>
      </c>
      <c r="J42" t="s">
        <v>31</v>
      </c>
    </row>
    <row r="43" spans="1:10" x14ac:dyDescent="0.25">
      <c r="A43" s="1">
        <v>3</v>
      </c>
      <c r="B43" t="s">
        <v>19</v>
      </c>
      <c r="C43">
        <v>700</v>
      </c>
      <c r="D43">
        <v>0</v>
      </c>
      <c r="E43" t="s">
        <v>20</v>
      </c>
      <c r="F43" t="s">
        <v>20</v>
      </c>
      <c r="G43" t="str">
        <f>"2026-06-07 12:23:20.731"</f>
        <v>2026-06-07 12:23:20.731</v>
      </c>
      <c r="H43" t="s">
        <v>21</v>
      </c>
      <c r="I43">
        <v>0</v>
      </c>
      <c r="J43" t="s">
        <v>27</v>
      </c>
    </row>
    <row r="44" spans="1:10" x14ac:dyDescent="0.25">
      <c r="A44" s="1">
        <v>4</v>
      </c>
      <c r="B44" t="s">
        <v>19</v>
      </c>
      <c r="C44">
        <v>700</v>
      </c>
      <c r="D44">
        <v>0</v>
      </c>
      <c r="E44" t="s">
        <v>20</v>
      </c>
      <c r="F44" t="s">
        <v>20</v>
      </c>
      <c r="G44" t="str">
        <f>"2026-06-07 12:13:08.621"</f>
        <v>2026-06-07 12:13:08.621</v>
      </c>
      <c r="H44" t="s">
        <v>21</v>
      </c>
    </row>
    <row r="45" spans="1:10" x14ac:dyDescent="0.25">
      <c r="A45" s="1">
        <v>5</v>
      </c>
      <c r="B45" t="s">
        <v>19</v>
      </c>
      <c r="C45">
        <v>700</v>
      </c>
      <c r="D45">
        <v>0</v>
      </c>
      <c r="E45" t="s">
        <v>20</v>
      </c>
      <c r="F45" t="s">
        <v>20</v>
      </c>
      <c r="G45" t="str">
        <f>"2026-06-06 14:10:44.026"</f>
        <v>2026-06-06 14:10:44.026</v>
      </c>
      <c r="H45" t="s">
        <v>21</v>
      </c>
    </row>
    <row r="46" spans="1:10" s="3" customFormat="1" x14ac:dyDescent="0.25">
      <c r="A46" s="2">
        <v>6</v>
      </c>
      <c r="B46" s="3" t="s">
        <v>22</v>
      </c>
      <c r="C46" s="3">
        <v>647</v>
      </c>
      <c r="D46" s="3">
        <v>1</v>
      </c>
      <c r="E46" s="3" t="s">
        <v>23</v>
      </c>
      <c r="F46" s="3" t="s">
        <v>24</v>
      </c>
      <c r="G46" s="3" t="str">
        <f>"2026-06-06 08:43:00.928"</f>
        <v>2026-06-06 08:43:00.928</v>
      </c>
      <c r="H46" s="3" t="s">
        <v>21</v>
      </c>
    </row>
    <row r="47" spans="1:10" s="3" customFormat="1" x14ac:dyDescent="0.25">
      <c r="A47" s="2">
        <v>7</v>
      </c>
      <c r="B47" s="3" t="s">
        <v>25</v>
      </c>
      <c r="C47" s="3">
        <v>647</v>
      </c>
      <c r="D47" s="3">
        <v>1</v>
      </c>
      <c r="E47" s="3" t="s">
        <v>23</v>
      </c>
      <c r="F47" s="3" t="s">
        <v>24</v>
      </c>
      <c r="G47" s="3" t="str">
        <f>"2026-06-06 08:42:56.828"</f>
        <v>2026-06-06 08:42:56.828</v>
      </c>
      <c r="H47" s="3" t="s">
        <v>21</v>
      </c>
      <c r="I47" s="3">
        <v>12.57</v>
      </c>
      <c r="J47" s="3" t="s">
        <v>26</v>
      </c>
    </row>
    <row r="48" spans="1:10" s="3" customFormat="1" x14ac:dyDescent="0.25">
      <c r="A48" s="2">
        <v>8</v>
      </c>
      <c r="B48" s="3" t="s">
        <v>22</v>
      </c>
      <c r="C48" s="3">
        <v>647</v>
      </c>
      <c r="D48" s="3">
        <v>1</v>
      </c>
      <c r="E48" s="3" t="s">
        <v>23</v>
      </c>
      <c r="F48" s="3" t="s">
        <v>24</v>
      </c>
      <c r="G48" s="3" t="str">
        <f>"2026-06-05 15:31:30.928"</f>
        <v>2026-06-05 15:31:30.928</v>
      </c>
      <c r="H48" s="3" t="s">
        <v>21</v>
      </c>
    </row>
    <row r="49" spans="1:10" s="3" customFormat="1" x14ac:dyDescent="0.25">
      <c r="A49" s="2">
        <v>9</v>
      </c>
      <c r="B49" s="3" t="s">
        <v>25</v>
      </c>
      <c r="C49" s="3">
        <v>647</v>
      </c>
      <c r="D49" s="3">
        <v>1</v>
      </c>
      <c r="E49" s="3" t="s">
        <v>23</v>
      </c>
      <c r="F49" s="3" t="s">
        <v>24</v>
      </c>
      <c r="G49" s="3" t="str">
        <f>"2026-06-05 15:31:27.028"</f>
        <v>2026-06-05 15:31:27.028</v>
      </c>
      <c r="H49" s="3" t="s">
        <v>21</v>
      </c>
      <c r="I49" s="3">
        <v>20.07</v>
      </c>
      <c r="J49" s="3" t="s">
        <v>26</v>
      </c>
    </row>
    <row r="50" spans="1:10" x14ac:dyDescent="0.25">
      <c r="A50" s="1">
        <v>0</v>
      </c>
      <c r="B50" t="s">
        <v>22</v>
      </c>
      <c r="C50">
        <v>635</v>
      </c>
      <c r="D50">
        <v>1</v>
      </c>
      <c r="E50" t="s">
        <v>28</v>
      </c>
      <c r="F50" t="s">
        <v>29</v>
      </c>
      <c r="G50" t="str">
        <f>"2026-06-05 13:13:36.380"</f>
        <v>2026-06-05 13:13:36.380</v>
      </c>
      <c r="H50" t="s">
        <v>21</v>
      </c>
    </row>
    <row r="51" spans="1:10" x14ac:dyDescent="0.25">
      <c r="A51" s="1">
        <v>1</v>
      </c>
      <c r="B51" t="s">
        <v>25</v>
      </c>
      <c r="C51">
        <v>635</v>
      </c>
      <c r="D51">
        <v>1</v>
      </c>
      <c r="E51" t="s">
        <v>28</v>
      </c>
      <c r="F51" t="s">
        <v>29</v>
      </c>
      <c r="G51" t="str">
        <f>"2026-06-05 13:10:38.880"</f>
        <v>2026-06-05 13:10:38.880</v>
      </c>
      <c r="H51" t="s">
        <v>21</v>
      </c>
      <c r="I51">
        <v>3.09</v>
      </c>
      <c r="J51" t="s">
        <v>30</v>
      </c>
    </row>
    <row r="52" spans="1:10" x14ac:dyDescent="0.25">
      <c r="A52" s="1">
        <v>2</v>
      </c>
      <c r="B52" t="s">
        <v>19</v>
      </c>
      <c r="C52">
        <v>700</v>
      </c>
      <c r="D52">
        <v>0</v>
      </c>
      <c r="E52" t="s">
        <v>20</v>
      </c>
      <c r="F52" t="s">
        <v>20</v>
      </c>
      <c r="G52" t="str">
        <f>"2026-06-05 12:48:14.034"</f>
        <v>2026-06-05 12:48:14.034</v>
      </c>
      <c r="H52" t="s">
        <v>21</v>
      </c>
    </row>
    <row r="53" spans="1:10" s="3" customFormat="1" x14ac:dyDescent="0.25">
      <c r="A53" s="2">
        <v>3</v>
      </c>
      <c r="B53" s="3" t="s">
        <v>22</v>
      </c>
      <c r="C53" s="3">
        <v>647</v>
      </c>
      <c r="D53" s="3">
        <v>1</v>
      </c>
      <c r="E53" s="3" t="s">
        <v>23</v>
      </c>
      <c r="F53" s="3" t="s">
        <v>24</v>
      </c>
      <c r="G53" s="3" t="str">
        <f>"2026-06-04 16:16:13.584"</f>
        <v>2026-06-04 16:16:13.584</v>
      </c>
      <c r="H53" s="3" t="s">
        <v>21</v>
      </c>
    </row>
    <row r="54" spans="1:10" s="3" customFormat="1" x14ac:dyDescent="0.25">
      <c r="A54" s="2">
        <v>4</v>
      </c>
      <c r="B54" s="3" t="s">
        <v>25</v>
      </c>
      <c r="C54" s="3">
        <v>647</v>
      </c>
      <c r="D54" s="3">
        <v>1</v>
      </c>
      <c r="E54" s="3" t="s">
        <v>23</v>
      </c>
      <c r="F54" s="3" t="s">
        <v>24</v>
      </c>
      <c r="G54" s="3" t="str">
        <f>"2026-06-04 16:16:12.284"</f>
        <v>2026-06-04 16:16:12.284</v>
      </c>
      <c r="H54" s="3" t="s">
        <v>21</v>
      </c>
      <c r="I54" s="3">
        <v>24.43</v>
      </c>
      <c r="J54" s="3" t="s">
        <v>26</v>
      </c>
    </row>
    <row r="55" spans="1:10" x14ac:dyDescent="0.25">
      <c r="A55" s="1">
        <v>5</v>
      </c>
      <c r="B55" t="s">
        <v>22</v>
      </c>
      <c r="C55">
        <v>635</v>
      </c>
      <c r="D55">
        <v>1</v>
      </c>
      <c r="E55" t="s">
        <v>28</v>
      </c>
      <c r="F55" t="s">
        <v>29</v>
      </c>
      <c r="G55" t="str">
        <f>"2026-06-04 15:43:18.736"</f>
        <v>2026-06-04 15:43:18.736</v>
      </c>
      <c r="H55" t="s">
        <v>21</v>
      </c>
    </row>
    <row r="56" spans="1:10" x14ac:dyDescent="0.25">
      <c r="A56" s="1">
        <v>6</v>
      </c>
      <c r="B56" t="s">
        <v>25</v>
      </c>
      <c r="C56">
        <v>635</v>
      </c>
      <c r="D56">
        <v>1</v>
      </c>
      <c r="E56" t="s">
        <v>28</v>
      </c>
      <c r="F56" t="s">
        <v>29</v>
      </c>
      <c r="G56" t="str">
        <f>"2026-06-04 15:39:24.737"</f>
        <v>2026-06-04 15:39:24.737</v>
      </c>
      <c r="H56" t="s">
        <v>21</v>
      </c>
      <c r="I56">
        <v>0.54</v>
      </c>
      <c r="J56" t="s">
        <v>31</v>
      </c>
    </row>
    <row r="57" spans="1:10" x14ac:dyDescent="0.25">
      <c r="A57" s="1">
        <v>7</v>
      </c>
      <c r="B57" t="s">
        <v>19</v>
      </c>
      <c r="C57">
        <v>700</v>
      </c>
      <c r="D57">
        <v>0</v>
      </c>
      <c r="E57" t="s">
        <v>20</v>
      </c>
      <c r="F57" t="s">
        <v>20</v>
      </c>
      <c r="G57" t="str">
        <f>"2026-06-04 13:55:05.616"</f>
        <v>2026-06-04 13:55:05.616</v>
      </c>
      <c r="H57" t="s">
        <v>21</v>
      </c>
      <c r="I57">
        <v>0</v>
      </c>
      <c r="J57" t="s">
        <v>27</v>
      </c>
    </row>
    <row r="58" spans="1:10" x14ac:dyDescent="0.25">
      <c r="A58" s="1">
        <v>8</v>
      </c>
      <c r="B58" t="s">
        <v>22</v>
      </c>
      <c r="C58">
        <v>635</v>
      </c>
      <c r="D58">
        <v>1</v>
      </c>
      <c r="E58" t="s">
        <v>28</v>
      </c>
      <c r="F58" t="s">
        <v>29</v>
      </c>
      <c r="G58" t="str">
        <f>"2026-06-04 00:16:29.813"</f>
        <v>2026-06-04 00:16:29.813</v>
      </c>
      <c r="H58" t="s">
        <v>21</v>
      </c>
    </row>
    <row r="59" spans="1:10" x14ac:dyDescent="0.25">
      <c r="A59" s="1">
        <v>9</v>
      </c>
      <c r="B59" t="s">
        <v>25</v>
      </c>
      <c r="C59">
        <v>635</v>
      </c>
      <c r="D59">
        <v>1</v>
      </c>
      <c r="E59" t="s">
        <v>28</v>
      </c>
      <c r="F59" t="s">
        <v>29</v>
      </c>
      <c r="G59" t="str">
        <f>"2026-06-04 00:14:43.813"</f>
        <v>2026-06-04 00:14:43.813</v>
      </c>
      <c r="H59" t="s">
        <v>21</v>
      </c>
      <c r="I59">
        <v>7.55</v>
      </c>
      <c r="J59" t="s">
        <v>31</v>
      </c>
    </row>
    <row r="60" spans="1:10" x14ac:dyDescent="0.25">
      <c r="A60" s="1">
        <v>0</v>
      </c>
      <c r="B60" t="s">
        <v>22</v>
      </c>
      <c r="C60">
        <v>635</v>
      </c>
      <c r="D60">
        <v>1</v>
      </c>
      <c r="E60" t="s">
        <v>28</v>
      </c>
      <c r="F60" t="s">
        <v>29</v>
      </c>
      <c r="G60" t="str">
        <f>"2026-06-03 20:23:37.813"</f>
        <v>2026-06-03 20:23:37.813</v>
      </c>
      <c r="H60" t="s">
        <v>21</v>
      </c>
    </row>
    <row r="61" spans="1:10" x14ac:dyDescent="0.25">
      <c r="A61" s="1">
        <v>1</v>
      </c>
      <c r="B61" t="s">
        <v>25</v>
      </c>
      <c r="C61">
        <v>635</v>
      </c>
      <c r="D61">
        <v>1</v>
      </c>
      <c r="E61" t="s">
        <v>28</v>
      </c>
      <c r="F61" t="s">
        <v>29</v>
      </c>
      <c r="G61" t="str">
        <f>"2026-06-03 20:18:23.313"</f>
        <v>2026-06-03 20:18:23.313</v>
      </c>
      <c r="H61" t="s">
        <v>21</v>
      </c>
      <c r="I61">
        <v>5.12</v>
      </c>
      <c r="J61" t="s">
        <v>31</v>
      </c>
    </row>
    <row r="62" spans="1:10" x14ac:dyDescent="0.25">
      <c r="A62" s="1">
        <v>2</v>
      </c>
      <c r="B62" t="s">
        <v>19</v>
      </c>
      <c r="C62">
        <v>700</v>
      </c>
      <c r="D62">
        <v>0</v>
      </c>
      <c r="E62" t="s">
        <v>20</v>
      </c>
      <c r="F62" t="s">
        <v>20</v>
      </c>
      <c r="G62" t="str">
        <f>"2026-06-03 15:46:50.844"</f>
        <v>2026-06-03 15:46:50.844</v>
      </c>
      <c r="H62" t="s">
        <v>21</v>
      </c>
    </row>
    <row r="63" spans="1:10" x14ac:dyDescent="0.25">
      <c r="A63" s="1">
        <v>3</v>
      </c>
      <c r="B63" t="s">
        <v>19</v>
      </c>
      <c r="C63">
        <v>700</v>
      </c>
      <c r="D63">
        <v>0</v>
      </c>
      <c r="E63" t="s">
        <v>20</v>
      </c>
      <c r="F63" t="s">
        <v>20</v>
      </c>
      <c r="G63" t="str">
        <f>"2026-06-03 14:39:36.617"</f>
        <v>2026-06-03 14:39:36.617</v>
      </c>
      <c r="H63" t="s">
        <v>21</v>
      </c>
      <c r="I63">
        <v>0</v>
      </c>
      <c r="J63" t="s">
        <v>27</v>
      </c>
    </row>
    <row r="64" spans="1:10" x14ac:dyDescent="0.25">
      <c r="A64" s="1">
        <v>4</v>
      </c>
      <c r="B64" t="s">
        <v>19</v>
      </c>
      <c r="C64">
        <v>700</v>
      </c>
      <c r="D64">
        <v>0</v>
      </c>
      <c r="E64" t="s">
        <v>20</v>
      </c>
      <c r="F64" t="s">
        <v>20</v>
      </c>
      <c r="G64" t="str">
        <f>"2026-06-03 12:21:38.851"</f>
        <v>2026-06-03 12:21:38.851</v>
      </c>
      <c r="H64" t="s">
        <v>21</v>
      </c>
    </row>
    <row r="65" spans="1:10" x14ac:dyDescent="0.25">
      <c r="A65" s="1">
        <v>5</v>
      </c>
      <c r="B65" t="s">
        <v>19</v>
      </c>
      <c r="C65">
        <v>700</v>
      </c>
      <c r="D65">
        <v>0</v>
      </c>
      <c r="E65" t="s">
        <v>20</v>
      </c>
      <c r="F65" t="s">
        <v>20</v>
      </c>
      <c r="G65" t="str">
        <f>"2026-06-03 12:11:30.617"</f>
        <v>2026-06-03 12:11:30.617</v>
      </c>
      <c r="H65" t="s">
        <v>21</v>
      </c>
      <c r="I65">
        <v>0</v>
      </c>
      <c r="J65" t="s">
        <v>27</v>
      </c>
    </row>
    <row r="66" spans="1:10" x14ac:dyDescent="0.25">
      <c r="A66" s="1">
        <v>6</v>
      </c>
      <c r="B66" t="s">
        <v>19</v>
      </c>
      <c r="C66">
        <v>700</v>
      </c>
      <c r="D66">
        <v>0</v>
      </c>
      <c r="E66" t="s">
        <v>20</v>
      </c>
      <c r="F66" t="s">
        <v>20</v>
      </c>
      <c r="G66" t="str">
        <f>"2026-06-03 11:43:16.610"</f>
        <v>2026-06-03 11:43:16.610</v>
      </c>
      <c r="H66" t="s">
        <v>21</v>
      </c>
      <c r="I66">
        <v>0</v>
      </c>
      <c r="J66" t="s">
        <v>27</v>
      </c>
    </row>
    <row r="67" spans="1:10" x14ac:dyDescent="0.25">
      <c r="A67" s="1">
        <v>7</v>
      </c>
      <c r="B67" t="s">
        <v>19</v>
      </c>
      <c r="C67">
        <v>706</v>
      </c>
      <c r="D67">
        <v>4</v>
      </c>
      <c r="E67" t="s">
        <v>32</v>
      </c>
      <c r="F67" t="s">
        <v>40</v>
      </c>
      <c r="G67" t="str">
        <f>"2026-06-03 11:34:04.472"</f>
        <v>2026-06-03 11:34:04.472</v>
      </c>
      <c r="H67" t="s">
        <v>21</v>
      </c>
      <c r="I67">
        <v>0</v>
      </c>
      <c r="J67" t="s">
        <v>34</v>
      </c>
    </row>
    <row r="68" spans="1:10" x14ac:dyDescent="0.25">
      <c r="A68" s="1">
        <v>8</v>
      </c>
      <c r="B68" t="s">
        <v>19</v>
      </c>
      <c r="C68">
        <v>700</v>
      </c>
      <c r="D68">
        <v>0</v>
      </c>
      <c r="E68" t="s">
        <v>20</v>
      </c>
      <c r="F68" t="s">
        <v>20</v>
      </c>
      <c r="G68" t="str">
        <f>"2026-06-03 11:27:41.702"</f>
        <v>2026-06-03 11:27:41.702</v>
      </c>
      <c r="H68" t="s">
        <v>21</v>
      </c>
    </row>
    <row r="69" spans="1:10" s="3" customFormat="1" x14ac:dyDescent="0.25">
      <c r="A69" s="2">
        <v>9</v>
      </c>
      <c r="B69" s="3" t="s">
        <v>22</v>
      </c>
      <c r="C69" s="3">
        <v>647</v>
      </c>
      <c r="D69" s="3">
        <v>1</v>
      </c>
      <c r="E69" s="3" t="s">
        <v>23</v>
      </c>
      <c r="F69" s="3" t="s">
        <v>24</v>
      </c>
      <c r="G69" s="3" t="str">
        <f>"2026-06-02 16:03:32.049"</f>
        <v>2026-06-02 16:03:32.049</v>
      </c>
      <c r="H69" s="3" t="s">
        <v>21</v>
      </c>
    </row>
    <row r="70" spans="1:10" s="3" customFormat="1" x14ac:dyDescent="0.25">
      <c r="A70" s="2">
        <v>0</v>
      </c>
      <c r="B70" s="3" t="s">
        <v>25</v>
      </c>
      <c r="C70" s="3">
        <v>647</v>
      </c>
      <c r="D70" s="3">
        <v>1</v>
      </c>
      <c r="E70" s="3" t="s">
        <v>23</v>
      </c>
      <c r="F70" s="3" t="s">
        <v>24</v>
      </c>
      <c r="G70" s="3" t="str">
        <f>"2026-06-02 16:03:27.750"</f>
        <v>2026-06-02 16:03:27.750</v>
      </c>
      <c r="H70" s="3" t="s">
        <v>21</v>
      </c>
      <c r="I70" s="3">
        <v>14.35</v>
      </c>
      <c r="J70" s="3" t="s">
        <v>26</v>
      </c>
    </row>
    <row r="71" spans="1:10" x14ac:dyDescent="0.25">
      <c r="A71" s="1">
        <v>1</v>
      </c>
      <c r="B71" t="s">
        <v>19</v>
      </c>
      <c r="C71">
        <v>700</v>
      </c>
      <c r="D71">
        <v>0</v>
      </c>
      <c r="E71" t="s">
        <v>20</v>
      </c>
      <c r="F71" t="s">
        <v>20</v>
      </c>
      <c r="G71" t="str">
        <f>"2026-06-02 13:53:19.855"</f>
        <v>2026-06-02 13:53:19.855</v>
      </c>
      <c r="H71" t="s">
        <v>21</v>
      </c>
      <c r="I71">
        <v>0</v>
      </c>
      <c r="J71" t="s">
        <v>27</v>
      </c>
    </row>
    <row r="72" spans="1:10" s="3" customFormat="1" x14ac:dyDescent="0.25">
      <c r="A72" s="2">
        <v>2</v>
      </c>
      <c r="B72" s="3" t="s">
        <v>22</v>
      </c>
      <c r="C72" s="3">
        <v>647</v>
      </c>
      <c r="D72" s="3">
        <v>1</v>
      </c>
      <c r="E72" s="3" t="s">
        <v>23</v>
      </c>
      <c r="F72" s="3" t="s">
        <v>24</v>
      </c>
      <c r="G72" s="3" t="str">
        <f>"2026-06-02 02:24:09.123"</f>
        <v>2026-06-02 02:24:09.123</v>
      </c>
      <c r="H72" s="3" t="s">
        <v>21</v>
      </c>
    </row>
    <row r="73" spans="1:10" s="3" customFormat="1" x14ac:dyDescent="0.25">
      <c r="A73" s="2">
        <v>3</v>
      </c>
      <c r="B73" s="3" t="s">
        <v>25</v>
      </c>
      <c r="C73" s="3">
        <v>647</v>
      </c>
      <c r="D73" s="3">
        <v>1</v>
      </c>
      <c r="E73" s="3" t="s">
        <v>23</v>
      </c>
      <c r="F73" s="3" t="s">
        <v>24</v>
      </c>
      <c r="G73" s="3" t="str">
        <f>"2026-06-02 02:24:08.023"</f>
        <v>2026-06-02 02:24:08.023</v>
      </c>
      <c r="H73" s="3" t="s">
        <v>21</v>
      </c>
      <c r="I73" s="3">
        <v>19.190000000000001</v>
      </c>
      <c r="J73" s="3" t="s">
        <v>26</v>
      </c>
    </row>
    <row r="74" spans="1:10" s="3" customFormat="1" x14ac:dyDescent="0.25">
      <c r="A74" s="2">
        <v>4</v>
      </c>
      <c r="B74" s="3" t="s">
        <v>22</v>
      </c>
      <c r="C74" s="3">
        <v>647</v>
      </c>
      <c r="D74" s="3">
        <v>1</v>
      </c>
      <c r="E74" s="3" t="s">
        <v>23</v>
      </c>
      <c r="F74" s="3" t="s">
        <v>24</v>
      </c>
      <c r="G74" s="3" t="str">
        <f>"2026-06-01 16:28:49.623"</f>
        <v>2026-06-01 16:28:49.623</v>
      </c>
      <c r="H74" s="3" t="s">
        <v>21</v>
      </c>
    </row>
    <row r="75" spans="1:10" s="3" customFormat="1" x14ac:dyDescent="0.25">
      <c r="A75" s="2">
        <v>5</v>
      </c>
      <c r="B75" s="3" t="s">
        <v>25</v>
      </c>
      <c r="C75" s="3">
        <v>647</v>
      </c>
      <c r="D75" s="3">
        <v>1</v>
      </c>
      <c r="E75" s="3" t="s">
        <v>23</v>
      </c>
      <c r="F75" s="3" t="s">
        <v>24</v>
      </c>
      <c r="G75" s="3" t="str">
        <f>"2026-06-01 16:28:47.323"</f>
        <v>2026-06-01 16:28:47.323</v>
      </c>
      <c r="H75" s="3" t="s">
        <v>21</v>
      </c>
      <c r="I75" s="3">
        <v>21.1</v>
      </c>
      <c r="J75" s="3" t="s">
        <v>26</v>
      </c>
    </row>
    <row r="76" spans="1:10" s="3" customFormat="1" x14ac:dyDescent="0.25">
      <c r="A76" s="2">
        <v>6</v>
      </c>
      <c r="B76" s="3" t="s">
        <v>22</v>
      </c>
      <c r="C76" s="3">
        <v>647</v>
      </c>
      <c r="D76" s="3">
        <v>1</v>
      </c>
      <c r="E76" s="3" t="s">
        <v>23</v>
      </c>
      <c r="F76" s="3" t="s">
        <v>24</v>
      </c>
      <c r="G76" s="3" t="str">
        <f>"2026-06-01 15:18:31.022"</f>
        <v>2026-06-01 15:18:31.022</v>
      </c>
      <c r="H76" s="3" t="s">
        <v>21</v>
      </c>
    </row>
    <row r="77" spans="1:10" s="3" customFormat="1" x14ac:dyDescent="0.25">
      <c r="A77" s="2">
        <v>7</v>
      </c>
      <c r="B77" s="3" t="s">
        <v>25</v>
      </c>
      <c r="C77" s="3">
        <v>647</v>
      </c>
      <c r="D77" s="3">
        <v>1</v>
      </c>
      <c r="E77" s="3" t="s">
        <v>23</v>
      </c>
      <c r="F77" s="3" t="s">
        <v>24</v>
      </c>
      <c r="G77" s="3" t="str">
        <f>"2026-06-01 15:18:25.722"</f>
        <v>2026-06-01 15:18:25.722</v>
      </c>
      <c r="H77" s="3" t="s">
        <v>21</v>
      </c>
      <c r="I77" s="3">
        <v>17.07</v>
      </c>
      <c r="J77" s="3" t="s">
        <v>26</v>
      </c>
    </row>
    <row r="78" spans="1:10" x14ac:dyDescent="0.25">
      <c r="A78" s="1">
        <v>8</v>
      </c>
      <c r="B78" t="s">
        <v>19</v>
      </c>
      <c r="C78">
        <v>700</v>
      </c>
      <c r="D78">
        <v>0</v>
      </c>
      <c r="E78" t="s">
        <v>20</v>
      </c>
      <c r="F78" t="s">
        <v>20</v>
      </c>
      <c r="G78" t="str">
        <f>"2026-06-01 13:05:16.016"</f>
        <v>2026-06-01 13:05:16.016</v>
      </c>
      <c r="H78" t="s">
        <v>21</v>
      </c>
      <c r="I78">
        <v>0</v>
      </c>
      <c r="J78" t="s">
        <v>27</v>
      </c>
    </row>
    <row r="79" spans="1:10" s="3" customFormat="1" x14ac:dyDescent="0.25">
      <c r="A79" s="2">
        <v>9</v>
      </c>
      <c r="B79" s="3" t="s">
        <v>22</v>
      </c>
      <c r="C79" s="3">
        <v>647</v>
      </c>
      <c r="D79" s="3">
        <v>1</v>
      </c>
      <c r="E79" s="3" t="s">
        <v>23</v>
      </c>
      <c r="F79" s="3" t="s">
        <v>24</v>
      </c>
      <c r="G79" s="3" t="str">
        <f>"2026-06-01 11:30:12.276"</f>
        <v>2026-06-01 11:30:12.276</v>
      </c>
      <c r="H79" s="3" t="s">
        <v>21</v>
      </c>
    </row>
    <row r="80" spans="1:10" s="3" customFormat="1" x14ac:dyDescent="0.25">
      <c r="A80" s="2">
        <v>0</v>
      </c>
      <c r="B80" s="3" t="s">
        <v>25</v>
      </c>
      <c r="C80" s="3">
        <v>647</v>
      </c>
      <c r="D80" s="3">
        <v>1</v>
      </c>
      <c r="E80" s="3" t="s">
        <v>23</v>
      </c>
      <c r="F80" s="3" t="s">
        <v>24</v>
      </c>
      <c r="G80" s="3" t="str">
        <f>"2026-06-01 11:30:10.976"</f>
        <v>2026-06-01 11:30:10.976</v>
      </c>
      <c r="H80" s="3" t="s">
        <v>21</v>
      </c>
      <c r="I80" s="3">
        <v>16.649999999999999</v>
      </c>
      <c r="J80" s="3" t="s">
        <v>26</v>
      </c>
    </row>
    <row r="81" spans="1:10" x14ac:dyDescent="0.25">
      <c r="A81" s="1">
        <v>1</v>
      </c>
      <c r="B81" t="s">
        <v>22</v>
      </c>
      <c r="C81">
        <v>635</v>
      </c>
      <c r="D81">
        <v>1</v>
      </c>
      <c r="E81" t="s">
        <v>28</v>
      </c>
      <c r="F81" t="s">
        <v>29</v>
      </c>
      <c r="G81" t="str">
        <f>"2026-06-01 07:55:55.222"</f>
        <v>2026-06-01 07:55:55.222</v>
      </c>
      <c r="H81" t="s">
        <v>21</v>
      </c>
    </row>
    <row r="82" spans="1:10" x14ac:dyDescent="0.25">
      <c r="A82" s="1">
        <v>2</v>
      </c>
      <c r="B82" t="s">
        <v>25</v>
      </c>
      <c r="C82">
        <v>635</v>
      </c>
      <c r="D82">
        <v>1</v>
      </c>
      <c r="E82" t="s">
        <v>28</v>
      </c>
      <c r="F82" t="s">
        <v>29</v>
      </c>
      <c r="G82" t="str">
        <f>"2026-06-01 07:53:25.723"</f>
        <v>2026-06-01 07:53:25.723</v>
      </c>
      <c r="H82" t="s">
        <v>21</v>
      </c>
      <c r="I82">
        <v>3.28</v>
      </c>
      <c r="J82" t="s">
        <v>31</v>
      </c>
    </row>
    <row r="83" spans="1:10" x14ac:dyDescent="0.25">
      <c r="A83" s="1">
        <v>3</v>
      </c>
      <c r="B83" t="s">
        <v>19</v>
      </c>
      <c r="C83">
        <v>700</v>
      </c>
      <c r="D83">
        <v>0</v>
      </c>
      <c r="E83" t="s">
        <v>20</v>
      </c>
      <c r="F83" t="s">
        <v>20</v>
      </c>
      <c r="G83" t="str">
        <f>"2026-06-01 06:41:11.864"</f>
        <v>2026-06-01 06:41:11.864</v>
      </c>
      <c r="H83" t="s">
        <v>21</v>
      </c>
      <c r="I83">
        <v>0</v>
      </c>
      <c r="J83" t="s">
        <v>27</v>
      </c>
    </row>
    <row r="84" spans="1:10" x14ac:dyDescent="0.25">
      <c r="A84" s="1">
        <v>4</v>
      </c>
      <c r="B84" t="s">
        <v>19</v>
      </c>
      <c r="C84">
        <v>700</v>
      </c>
      <c r="D84">
        <v>0</v>
      </c>
      <c r="E84" t="s">
        <v>20</v>
      </c>
      <c r="F84" t="s">
        <v>20</v>
      </c>
      <c r="G84" t="str">
        <f>"2026-06-01 05:13:01.748"</f>
        <v>2026-06-01 05:13:01.748</v>
      </c>
      <c r="H84" t="s">
        <v>21</v>
      </c>
      <c r="I84">
        <v>0</v>
      </c>
      <c r="J84" t="s">
        <v>27</v>
      </c>
    </row>
    <row r="85" spans="1:10" x14ac:dyDescent="0.25">
      <c r="A85" s="1">
        <v>5</v>
      </c>
      <c r="B85" t="s">
        <v>22</v>
      </c>
      <c r="C85">
        <v>635</v>
      </c>
      <c r="D85">
        <v>1</v>
      </c>
      <c r="E85" t="s">
        <v>28</v>
      </c>
      <c r="F85" t="s">
        <v>29</v>
      </c>
      <c r="G85" t="str">
        <f>"2026-06-01 04:33:06.228"</f>
        <v>2026-06-01 04:33:06.228</v>
      </c>
      <c r="H85" t="s">
        <v>21</v>
      </c>
    </row>
    <row r="86" spans="1:10" x14ac:dyDescent="0.25">
      <c r="A86" s="1">
        <v>6</v>
      </c>
      <c r="B86" t="s">
        <v>25</v>
      </c>
      <c r="C86">
        <v>635</v>
      </c>
      <c r="D86">
        <v>1</v>
      </c>
      <c r="E86" t="s">
        <v>28</v>
      </c>
      <c r="F86" t="s">
        <v>29</v>
      </c>
      <c r="G86" t="str">
        <f>"2026-06-01 04:31:13.228"</f>
        <v>2026-06-01 04:31:13.228</v>
      </c>
      <c r="H86" t="s">
        <v>21</v>
      </c>
      <c r="I86">
        <v>8.02</v>
      </c>
      <c r="J86" t="s">
        <v>31</v>
      </c>
    </row>
    <row r="87" spans="1:10" x14ac:dyDescent="0.25">
      <c r="A87" s="1">
        <v>7</v>
      </c>
      <c r="B87" t="s">
        <v>19</v>
      </c>
      <c r="C87">
        <v>700</v>
      </c>
      <c r="D87">
        <v>0</v>
      </c>
      <c r="E87" t="s">
        <v>20</v>
      </c>
      <c r="F87" t="s">
        <v>20</v>
      </c>
      <c r="G87" t="str">
        <f>"2026-06-01 02:34:53.110"</f>
        <v>2026-06-01 02:34:53.110</v>
      </c>
      <c r="H87" t="s">
        <v>21</v>
      </c>
    </row>
    <row r="88" spans="1:10" x14ac:dyDescent="0.25">
      <c r="A88" s="1">
        <v>8</v>
      </c>
      <c r="B88" t="s">
        <v>22</v>
      </c>
      <c r="C88">
        <v>635</v>
      </c>
      <c r="D88">
        <v>1</v>
      </c>
      <c r="E88" t="s">
        <v>28</v>
      </c>
      <c r="F88" t="s">
        <v>29</v>
      </c>
      <c r="G88" t="str">
        <f>"2026-06-01 01:30:53.932"</f>
        <v>2026-06-01 01:30:53.932</v>
      </c>
      <c r="H88" t="s">
        <v>21</v>
      </c>
    </row>
    <row r="89" spans="1:10" x14ac:dyDescent="0.25">
      <c r="A89" s="1">
        <v>9</v>
      </c>
      <c r="B89" t="s">
        <v>25</v>
      </c>
      <c r="C89">
        <v>635</v>
      </c>
      <c r="D89">
        <v>1</v>
      </c>
      <c r="E89" t="s">
        <v>28</v>
      </c>
      <c r="F89" t="s">
        <v>29</v>
      </c>
      <c r="G89" t="str">
        <f>"2026-06-01 01:27:36.933"</f>
        <v>2026-06-01 01:27:36.933</v>
      </c>
      <c r="H89" t="s">
        <v>21</v>
      </c>
      <c r="I89">
        <v>3.53</v>
      </c>
      <c r="J89" t="s">
        <v>26</v>
      </c>
    </row>
    <row r="90" spans="1:10" x14ac:dyDescent="0.25">
      <c r="A90" s="1">
        <v>0</v>
      </c>
      <c r="B90" t="s">
        <v>19</v>
      </c>
      <c r="C90">
        <v>700</v>
      </c>
      <c r="D90">
        <v>0</v>
      </c>
      <c r="E90" t="s">
        <v>20</v>
      </c>
      <c r="F90" t="s">
        <v>20</v>
      </c>
      <c r="G90" t="str">
        <f>"2026-05-31 14:09:22.642"</f>
        <v>2026-05-31 14:09:22.642</v>
      </c>
      <c r="H90" t="s">
        <v>21</v>
      </c>
      <c r="I90">
        <v>0</v>
      </c>
      <c r="J90" t="s">
        <v>27</v>
      </c>
    </row>
    <row r="91" spans="1:10" x14ac:dyDescent="0.25">
      <c r="A91" s="1">
        <v>1</v>
      </c>
      <c r="B91" t="s">
        <v>22</v>
      </c>
      <c r="C91">
        <v>635</v>
      </c>
      <c r="D91">
        <v>1</v>
      </c>
      <c r="E91" t="s">
        <v>28</v>
      </c>
      <c r="F91" t="s">
        <v>29</v>
      </c>
      <c r="G91" t="str">
        <f>"2026-05-31 12:32:44.471"</f>
        <v>2026-05-31 12:32:44.471</v>
      </c>
      <c r="H91" t="s">
        <v>21</v>
      </c>
    </row>
    <row r="92" spans="1:10" x14ac:dyDescent="0.25">
      <c r="A92" s="1">
        <v>2</v>
      </c>
      <c r="B92" t="s">
        <v>25</v>
      </c>
      <c r="C92">
        <v>635</v>
      </c>
      <c r="D92">
        <v>1</v>
      </c>
      <c r="E92" t="s">
        <v>28</v>
      </c>
      <c r="F92" t="s">
        <v>29</v>
      </c>
      <c r="G92" t="str">
        <f>"2026-05-31 12:30:14.971"</f>
        <v>2026-05-31 12:30:14.971</v>
      </c>
      <c r="H92" t="s">
        <v>21</v>
      </c>
      <c r="I92">
        <v>5.84</v>
      </c>
      <c r="J92" t="s">
        <v>31</v>
      </c>
    </row>
    <row r="93" spans="1:10" x14ac:dyDescent="0.25">
      <c r="A93" s="1">
        <v>3</v>
      </c>
      <c r="B93" t="s">
        <v>22</v>
      </c>
      <c r="C93">
        <v>635</v>
      </c>
      <c r="D93">
        <v>1</v>
      </c>
      <c r="E93" t="s">
        <v>28</v>
      </c>
      <c r="F93" t="s">
        <v>29</v>
      </c>
      <c r="G93" t="str">
        <f>"2026-05-30 20:39:11.471"</f>
        <v>2026-05-30 20:39:11.471</v>
      </c>
      <c r="H93" t="s">
        <v>21</v>
      </c>
    </row>
    <row r="94" spans="1:10" x14ac:dyDescent="0.25">
      <c r="A94" s="1">
        <v>4</v>
      </c>
      <c r="B94" t="s">
        <v>25</v>
      </c>
      <c r="C94">
        <v>635</v>
      </c>
      <c r="D94">
        <v>1</v>
      </c>
      <c r="E94" t="s">
        <v>28</v>
      </c>
      <c r="F94" t="s">
        <v>29</v>
      </c>
      <c r="G94" t="str">
        <f>"2026-05-30 20:31:44.571"</f>
        <v>2026-05-30 20:31:44.571</v>
      </c>
      <c r="H94" t="s">
        <v>21</v>
      </c>
      <c r="I94">
        <v>0.01</v>
      </c>
      <c r="J94" t="s">
        <v>30</v>
      </c>
    </row>
    <row r="95" spans="1:10" x14ac:dyDescent="0.25">
      <c r="A95" s="1">
        <v>5</v>
      </c>
      <c r="B95" t="s">
        <v>22</v>
      </c>
      <c r="C95">
        <v>635</v>
      </c>
      <c r="D95">
        <v>1</v>
      </c>
      <c r="E95" t="s">
        <v>28</v>
      </c>
      <c r="F95" t="s">
        <v>29</v>
      </c>
      <c r="G95" t="str">
        <f>"2026-05-30 16:18:30.071"</f>
        <v>2026-05-30 16:18:30.071</v>
      </c>
      <c r="H95" t="s">
        <v>21</v>
      </c>
    </row>
    <row r="96" spans="1:10" x14ac:dyDescent="0.25">
      <c r="A96" s="1">
        <v>6</v>
      </c>
      <c r="B96" t="s">
        <v>25</v>
      </c>
      <c r="C96">
        <v>635</v>
      </c>
      <c r="D96">
        <v>1</v>
      </c>
      <c r="E96" t="s">
        <v>28</v>
      </c>
      <c r="F96" t="s">
        <v>29</v>
      </c>
      <c r="G96" t="str">
        <f>"2026-05-30 16:16:36.071"</f>
        <v>2026-05-30 16:16:36.071</v>
      </c>
      <c r="H96" t="s">
        <v>21</v>
      </c>
      <c r="I96">
        <v>7.86</v>
      </c>
      <c r="J96" t="s">
        <v>31</v>
      </c>
    </row>
    <row r="97" spans="1:10" s="3" customFormat="1" x14ac:dyDescent="0.25">
      <c r="A97" s="2">
        <v>7</v>
      </c>
      <c r="B97" s="3" t="s">
        <v>22</v>
      </c>
      <c r="C97" s="3">
        <v>647</v>
      </c>
      <c r="D97" s="3">
        <v>1</v>
      </c>
      <c r="E97" s="3" t="s">
        <v>23</v>
      </c>
      <c r="F97" s="3" t="s">
        <v>24</v>
      </c>
      <c r="G97" s="3" t="str">
        <f>"2026-05-30 12:33:42.124"</f>
        <v>2026-05-30 12:33:42.124</v>
      </c>
      <c r="H97" s="3" t="s">
        <v>21</v>
      </c>
    </row>
    <row r="98" spans="1:10" s="3" customFormat="1" x14ac:dyDescent="0.25">
      <c r="A98" s="2">
        <v>8</v>
      </c>
      <c r="B98" s="3" t="s">
        <v>25</v>
      </c>
      <c r="C98" s="3">
        <v>647</v>
      </c>
      <c r="D98" s="3">
        <v>1</v>
      </c>
      <c r="E98" s="3" t="s">
        <v>23</v>
      </c>
      <c r="F98" s="3" t="s">
        <v>24</v>
      </c>
      <c r="G98" s="3" t="str">
        <f>"2026-05-30 12:33:40.824"</f>
        <v>2026-05-30 12:33:40.824</v>
      </c>
      <c r="H98" s="3" t="s">
        <v>21</v>
      </c>
      <c r="I98" s="3">
        <v>19.690000000000001</v>
      </c>
      <c r="J98" s="3" t="s">
        <v>26</v>
      </c>
    </row>
    <row r="99" spans="1:10" x14ac:dyDescent="0.25">
      <c r="A99" s="1">
        <v>9</v>
      </c>
      <c r="B99" t="s">
        <v>22</v>
      </c>
      <c r="C99">
        <v>635</v>
      </c>
      <c r="D99">
        <v>1</v>
      </c>
      <c r="E99" t="s">
        <v>28</v>
      </c>
      <c r="F99" t="s">
        <v>29</v>
      </c>
      <c r="G99" t="str">
        <f>"2026-05-30 06:19:51.871"</f>
        <v>2026-05-30 06:19:51.871</v>
      </c>
      <c r="H99" t="s">
        <v>21</v>
      </c>
    </row>
    <row r="100" spans="1:10" x14ac:dyDescent="0.25">
      <c r="A100" s="1">
        <v>0</v>
      </c>
      <c r="B100" t="s">
        <v>25</v>
      </c>
      <c r="C100">
        <v>635</v>
      </c>
      <c r="D100">
        <v>1</v>
      </c>
      <c r="E100" t="s">
        <v>28</v>
      </c>
      <c r="F100" t="s">
        <v>29</v>
      </c>
      <c r="G100" t="str">
        <f>"2026-05-30 06:11:57.871"</f>
        <v>2026-05-30 06:11:57.871</v>
      </c>
      <c r="H100" t="s">
        <v>21</v>
      </c>
      <c r="I100">
        <v>4.6100000000000003</v>
      </c>
      <c r="J100" t="s">
        <v>31</v>
      </c>
    </row>
    <row r="101" spans="1:10" x14ac:dyDescent="0.25">
      <c r="A101" s="1">
        <v>1</v>
      </c>
      <c r="B101" t="s">
        <v>22</v>
      </c>
      <c r="C101">
        <v>635</v>
      </c>
      <c r="D101">
        <v>1</v>
      </c>
      <c r="E101" t="s">
        <v>28</v>
      </c>
      <c r="F101" t="s">
        <v>29</v>
      </c>
      <c r="G101" t="str">
        <f>"2026-05-30 04:22:25.171"</f>
        <v>2026-05-30 04:22:25.171</v>
      </c>
      <c r="H101" t="s">
        <v>21</v>
      </c>
    </row>
    <row r="102" spans="1:10" x14ac:dyDescent="0.25">
      <c r="A102" s="1">
        <v>2</v>
      </c>
      <c r="B102" t="s">
        <v>25</v>
      </c>
      <c r="C102">
        <v>635</v>
      </c>
      <c r="D102">
        <v>1</v>
      </c>
      <c r="E102" t="s">
        <v>28</v>
      </c>
      <c r="F102" t="s">
        <v>29</v>
      </c>
      <c r="G102" t="str">
        <f>"2026-05-30 04:19:35.171"</f>
        <v>2026-05-30 04:19:35.171</v>
      </c>
      <c r="H102" t="s">
        <v>21</v>
      </c>
      <c r="I102">
        <v>9.26</v>
      </c>
      <c r="J102" t="s">
        <v>26</v>
      </c>
    </row>
    <row r="103" spans="1:10" x14ac:dyDescent="0.25">
      <c r="A103" s="1">
        <v>3</v>
      </c>
      <c r="B103" t="s">
        <v>19</v>
      </c>
      <c r="C103">
        <v>706</v>
      </c>
      <c r="D103">
        <v>4</v>
      </c>
      <c r="E103" t="s">
        <v>32</v>
      </c>
      <c r="F103" t="s">
        <v>40</v>
      </c>
      <c r="G103" t="str">
        <f>"2026-05-30 02:15:46.234"</f>
        <v>2026-05-30 02:15:46.234</v>
      </c>
      <c r="H103" t="s">
        <v>21</v>
      </c>
      <c r="I103">
        <v>0</v>
      </c>
      <c r="J103" t="s">
        <v>34</v>
      </c>
    </row>
    <row r="104" spans="1:10" x14ac:dyDescent="0.25">
      <c r="A104" s="1">
        <v>4</v>
      </c>
      <c r="B104" t="s">
        <v>19</v>
      </c>
      <c r="C104">
        <v>700</v>
      </c>
      <c r="D104">
        <v>0</v>
      </c>
      <c r="E104" t="s">
        <v>20</v>
      </c>
      <c r="F104" t="s">
        <v>20</v>
      </c>
      <c r="G104" t="str">
        <f>"2026-05-30 02:15:21.004"</f>
        <v>2026-05-30 02:15:21.004</v>
      </c>
      <c r="H104" t="s">
        <v>21</v>
      </c>
    </row>
    <row r="105" spans="1:10" x14ac:dyDescent="0.25">
      <c r="A105" s="1">
        <v>6</v>
      </c>
      <c r="B105" t="s">
        <v>22</v>
      </c>
      <c r="C105">
        <v>635</v>
      </c>
      <c r="D105">
        <v>1</v>
      </c>
      <c r="E105" t="s">
        <v>28</v>
      </c>
      <c r="F105" t="s">
        <v>29</v>
      </c>
      <c r="G105" t="str">
        <f>"2026-05-29 12:20:00.758"</f>
        <v>2026-05-29 12:20:00.758</v>
      </c>
      <c r="H105" t="s">
        <v>21</v>
      </c>
    </row>
    <row r="106" spans="1:10" x14ac:dyDescent="0.25">
      <c r="A106" s="1">
        <v>7</v>
      </c>
      <c r="B106" t="s">
        <v>25</v>
      </c>
      <c r="C106">
        <v>635</v>
      </c>
      <c r="D106">
        <v>1</v>
      </c>
      <c r="E106" t="s">
        <v>28</v>
      </c>
      <c r="F106" t="s">
        <v>29</v>
      </c>
      <c r="G106" t="str">
        <f>"2026-05-29 12:14:24.858"</f>
        <v>2026-05-29 12:14:24.858</v>
      </c>
      <c r="H106" t="s">
        <v>21</v>
      </c>
      <c r="I106">
        <v>7.28</v>
      </c>
      <c r="J106" t="s">
        <v>31</v>
      </c>
    </row>
    <row r="107" spans="1:10" x14ac:dyDescent="0.25">
      <c r="A107" s="1">
        <v>8</v>
      </c>
      <c r="B107" t="s">
        <v>19</v>
      </c>
      <c r="C107">
        <v>706</v>
      </c>
      <c r="D107">
        <v>2</v>
      </c>
      <c r="E107" t="s">
        <v>32</v>
      </c>
      <c r="F107" t="s">
        <v>33</v>
      </c>
      <c r="G107" t="str">
        <f>"2026-05-29 00:02:52.757"</f>
        <v>2026-05-29 00:02:52.757</v>
      </c>
      <c r="H107" t="s">
        <v>21</v>
      </c>
      <c r="I107">
        <v>0</v>
      </c>
      <c r="J107" t="s">
        <v>34</v>
      </c>
    </row>
    <row r="108" spans="1:10" x14ac:dyDescent="0.25">
      <c r="A108" s="1">
        <v>9</v>
      </c>
      <c r="B108" t="s">
        <v>19</v>
      </c>
      <c r="C108">
        <v>700</v>
      </c>
      <c r="D108">
        <v>0</v>
      </c>
      <c r="E108" t="s">
        <v>20</v>
      </c>
      <c r="F108" t="s">
        <v>20</v>
      </c>
      <c r="G108" t="str">
        <f>"2026-05-29 00:02:30.827"</f>
        <v>2026-05-29 00:02:30.827</v>
      </c>
      <c r="H108" t="s">
        <v>21</v>
      </c>
      <c r="I108">
        <v>0</v>
      </c>
      <c r="J108" t="s">
        <v>27</v>
      </c>
    </row>
    <row r="109" spans="1:10" x14ac:dyDescent="0.25">
      <c r="A109" s="1">
        <v>0</v>
      </c>
      <c r="B109" t="s">
        <v>19</v>
      </c>
      <c r="C109">
        <v>700</v>
      </c>
      <c r="D109">
        <v>0</v>
      </c>
      <c r="E109" t="s">
        <v>20</v>
      </c>
      <c r="F109" t="s">
        <v>20</v>
      </c>
      <c r="G109" t="str">
        <f>"2026-05-28 23:51:29.848"</f>
        <v>2026-05-28 23:51:29.848</v>
      </c>
      <c r="H109" t="s">
        <v>21</v>
      </c>
      <c r="I109">
        <v>0</v>
      </c>
      <c r="J109" t="s">
        <v>27</v>
      </c>
    </row>
    <row r="110" spans="1:10" x14ac:dyDescent="0.25">
      <c r="A110" s="1">
        <v>1</v>
      </c>
      <c r="B110" t="s">
        <v>19</v>
      </c>
      <c r="C110">
        <v>700</v>
      </c>
      <c r="D110">
        <v>0</v>
      </c>
      <c r="E110" t="s">
        <v>20</v>
      </c>
      <c r="F110" t="s">
        <v>20</v>
      </c>
      <c r="G110" t="str">
        <f>"2026-05-28 23:15:02.703"</f>
        <v>2026-05-28 23:15:02.703</v>
      </c>
      <c r="H110" t="s">
        <v>21</v>
      </c>
      <c r="I110">
        <v>0</v>
      </c>
      <c r="J110" t="s">
        <v>27</v>
      </c>
    </row>
    <row r="111" spans="1:10" x14ac:dyDescent="0.25">
      <c r="A111" s="1">
        <v>2</v>
      </c>
      <c r="B111" t="s">
        <v>19</v>
      </c>
      <c r="C111">
        <v>700</v>
      </c>
      <c r="D111">
        <v>0</v>
      </c>
      <c r="E111" t="s">
        <v>20</v>
      </c>
      <c r="F111" t="s">
        <v>20</v>
      </c>
      <c r="G111" t="str">
        <f>"2026-05-28 18:14:40.607"</f>
        <v>2026-05-28 18:14:40.607</v>
      </c>
      <c r="H111" t="s">
        <v>21</v>
      </c>
    </row>
    <row r="112" spans="1:10" x14ac:dyDescent="0.25">
      <c r="A112" s="1">
        <v>3</v>
      </c>
      <c r="B112" t="s">
        <v>19</v>
      </c>
      <c r="C112">
        <v>700</v>
      </c>
      <c r="D112">
        <v>0</v>
      </c>
      <c r="E112" t="s">
        <v>20</v>
      </c>
      <c r="F112" t="s">
        <v>20</v>
      </c>
      <c r="G112" t="str">
        <f>"2026-05-28 13:41:15.637"</f>
        <v>2026-05-28 13:41:15.637</v>
      </c>
      <c r="H112" t="s">
        <v>21</v>
      </c>
    </row>
    <row r="113" spans="1:10" x14ac:dyDescent="0.25">
      <c r="A113" s="1">
        <v>4</v>
      </c>
      <c r="B113" t="s">
        <v>19</v>
      </c>
      <c r="C113">
        <v>700</v>
      </c>
      <c r="D113">
        <v>0</v>
      </c>
      <c r="E113" t="s">
        <v>20</v>
      </c>
      <c r="F113" t="s">
        <v>20</v>
      </c>
      <c r="G113" t="str">
        <f>"2026-05-27 20:45:33.683"</f>
        <v>2026-05-27 20:45:33.683</v>
      </c>
      <c r="H113" t="s">
        <v>21</v>
      </c>
    </row>
    <row r="114" spans="1:10" x14ac:dyDescent="0.25">
      <c r="A114" s="1">
        <v>5</v>
      </c>
      <c r="B114" t="s">
        <v>19</v>
      </c>
      <c r="C114">
        <v>700</v>
      </c>
      <c r="D114">
        <v>0</v>
      </c>
      <c r="E114" t="s">
        <v>20</v>
      </c>
      <c r="F114" t="s">
        <v>20</v>
      </c>
      <c r="G114" t="str">
        <f>"2026-05-27 20:30:25.662"</f>
        <v>2026-05-27 20:30:25.662</v>
      </c>
      <c r="H114" t="s">
        <v>21</v>
      </c>
      <c r="I114">
        <v>0</v>
      </c>
      <c r="J114" t="s">
        <v>27</v>
      </c>
    </row>
    <row r="115" spans="1:10" x14ac:dyDescent="0.25">
      <c r="A115" s="1">
        <v>6</v>
      </c>
      <c r="B115" t="s">
        <v>19</v>
      </c>
      <c r="C115">
        <v>706</v>
      </c>
      <c r="D115">
        <v>2</v>
      </c>
      <c r="E115" t="s">
        <v>32</v>
      </c>
      <c r="F115" t="s">
        <v>33</v>
      </c>
      <c r="G115" t="str">
        <f>"2026-05-27 20:13:45.489"</f>
        <v>2026-05-27 20:13:45.489</v>
      </c>
      <c r="H115" t="s">
        <v>21</v>
      </c>
      <c r="I115">
        <v>0</v>
      </c>
      <c r="J115" t="s">
        <v>34</v>
      </c>
    </row>
    <row r="116" spans="1:10" x14ac:dyDescent="0.25">
      <c r="A116" s="1">
        <v>7</v>
      </c>
      <c r="B116" t="s">
        <v>22</v>
      </c>
      <c r="C116">
        <v>631</v>
      </c>
      <c r="D116">
        <v>2</v>
      </c>
      <c r="E116" t="s">
        <v>41</v>
      </c>
      <c r="F116" t="s">
        <v>42</v>
      </c>
      <c r="G116" t="str">
        <f>"2026-05-27 20:12:12.017"</f>
        <v>2026-05-27 20:12:12.017</v>
      </c>
      <c r="H116" t="s">
        <v>21</v>
      </c>
    </row>
    <row r="117" spans="1:10" x14ac:dyDescent="0.25">
      <c r="A117" s="1">
        <v>8</v>
      </c>
      <c r="B117" t="s">
        <v>19</v>
      </c>
      <c r="C117">
        <v>700</v>
      </c>
      <c r="D117">
        <v>0</v>
      </c>
      <c r="E117" t="s">
        <v>20</v>
      </c>
      <c r="F117" t="s">
        <v>20</v>
      </c>
      <c r="G117" t="str">
        <f>"2026-05-27 20:11:58.609"</f>
        <v>2026-05-27 20:11:58.609</v>
      </c>
      <c r="H117" t="s">
        <v>21</v>
      </c>
      <c r="I117">
        <v>0</v>
      </c>
      <c r="J117" t="s">
        <v>27</v>
      </c>
    </row>
    <row r="118" spans="1:10" x14ac:dyDescent="0.25">
      <c r="A118" s="1">
        <v>9</v>
      </c>
      <c r="B118" t="s">
        <v>25</v>
      </c>
      <c r="C118">
        <v>631</v>
      </c>
      <c r="D118">
        <v>2</v>
      </c>
      <c r="E118" t="s">
        <v>41</v>
      </c>
      <c r="F118" t="s">
        <v>42</v>
      </c>
      <c r="G118" t="str">
        <f>"2026-05-27 16:44:29.476"</f>
        <v>2026-05-27 16:44:29.476</v>
      </c>
      <c r="H118" t="s">
        <v>21</v>
      </c>
      <c r="I118">
        <v>0</v>
      </c>
      <c r="J118" t="s">
        <v>34</v>
      </c>
    </row>
    <row r="119" spans="1:10" x14ac:dyDescent="0.25">
      <c r="A119" s="1">
        <v>10</v>
      </c>
      <c r="B119" t="s">
        <v>19</v>
      </c>
      <c r="C119">
        <v>700</v>
      </c>
      <c r="D119">
        <v>0</v>
      </c>
      <c r="E119" t="s">
        <v>20</v>
      </c>
      <c r="F119" t="s">
        <v>20</v>
      </c>
      <c r="G119" t="str">
        <f>"2026-05-27 16:43:49.612"</f>
        <v>2026-05-27 16:43:49.612</v>
      </c>
      <c r="H119" t="s">
        <v>21</v>
      </c>
      <c r="I119">
        <v>0</v>
      </c>
      <c r="J119" t="s">
        <v>27</v>
      </c>
    </row>
    <row r="120" spans="1:10" x14ac:dyDescent="0.25">
      <c r="A120" s="1">
        <v>11</v>
      </c>
      <c r="B120" t="s">
        <v>19</v>
      </c>
      <c r="C120">
        <v>700</v>
      </c>
      <c r="D120">
        <v>0</v>
      </c>
      <c r="E120" t="s">
        <v>20</v>
      </c>
      <c r="F120" t="s">
        <v>20</v>
      </c>
      <c r="G120" t="str">
        <f>"2026-05-27 10:50:50.691"</f>
        <v>2026-05-27 10:50:50.691</v>
      </c>
      <c r="H120" t="s">
        <v>21</v>
      </c>
      <c r="I120">
        <v>0</v>
      </c>
      <c r="J120" t="s">
        <v>27</v>
      </c>
    </row>
    <row r="121" spans="1:10" x14ac:dyDescent="0.25">
      <c r="A121" s="1">
        <v>12</v>
      </c>
      <c r="B121" t="s">
        <v>19</v>
      </c>
      <c r="C121">
        <v>700</v>
      </c>
      <c r="D121">
        <v>0</v>
      </c>
      <c r="E121" t="s">
        <v>20</v>
      </c>
      <c r="F121" t="s">
        <v>20</v>
      </c>
      <c r="G121" t="str">
        <f>"2026-05-27 09:46:53.604"</f>
        <v>2026-05-27 09:46:53.604</v>
      </c>
      <c r="H121" t="s">
        <v>21</v>
      </c>
      <c r="I121">
        <v>0</v>
      </c>
      <c r="J121" t="s">
        <v>27</v>
      </c>
    </row>
    <row r="122" spans="1:10" x14ac:dyDescent="0.25">
      <c r="A122" s="1">
        <v>13</v>
      </c>
      <c r="B122" t="s">
        <v>19</v>
      </c>
      <c r="C122">
        <v>706</v>
      </c>
      <c r="D122">
        <v>2</v>
      </c>
      <c r="E122" t="s">
        <v>32</v>
      </c>
      <c r="F122" t="s">
        <v>33</v>
      </c>
      <c r="G122" t="str">
        <f>"2026-05-27 09:10:00.773"</f>
        <v>2026-05-27 09:10:00.773</v>
      </c>
      <c r="H122" t="s">
        <v>21</v>
      </c>
      <c r="I122">
        <v>0</v>
      </c>
      <c r="J122" t="s">
        <v>34</v>
      </c>
    </row>
    <row r="123" spans="1:10" x14ac:dyDescent="0.25">
      <c r="A123" s="1">
        <v>14</v>
      </c>
      <c r="B123" t="s">
        <v>19</v>
      </c>
      <c r="C123">
        <v>706</v>
      </c>
      <c r="D123">
        <v>4</v>
      </c>
      <c r="E123" t="s">
        <v>32</v>
      </c>
      <c r="F123" t="s">
        <v>40</v>
      </c>
      <c r="G123" t="str">
        <f>"2026-05-27 08:17:46.963"</f>
        <v>2026-05-27 08:17:46.963</v>
      </c>
      <c r="H123" t="s">
        <v>21</v>
      </c>
      <c r="I123">
        <v>0</v>
      </c>
      <c r="J123" t="s">
        <v>34</v>
      </c>
    </row>
    <row r="124" spans="1:10" x14ac:dyDescent="0.25">
      <c r="A124" s="1">
        <v>15</v>
      </c>
      <c r="B124" t="s">
        <v>19</v>
      </c>
      <c r="C124">
        <v>700</v>
      </c>
      <c r="D124">
        <v>0</v>
      </c>
      <c r="E124" t="s">
        <v>20</v>
      </c>
      <c r="F124" t="s">
        <v>20</v>
      </c>
      <c r="G124" t="str">
        <f>"2026-05-27 08:11:30.703"</f>
        <v>2026-05-27 08:11:30.703</v>
      </c>
      <c r="H124" t="s">
        <v>21</v>
      </c>
      <c r="I124">
        <v>0</v>
      </c>
      <c r="J124" t="s">
        <v>27</v>
      </c>
    </row>
    <row r="125" spans="1:10" x14ac:dyDescent="0.25">
      <c r="A125" s="1">
        <v>16</v>
      </c>
      <c r="B125" t="s">
        <v>19</v>
      </c>
      <c r="C125">
        <v>700</v>
      </c>
      <c r="D125">
        <v>0</v>
      </c>
      <c r="E125" t="s">
        <v>20</v>
      </c>
      <c r="F125" t="s">
        <v>20</v>
      </c>
      <c r="G125" t="str">
        <f>"2026-05-27 06:59:03.614"</f>
        <v>2026-05-27 06:59:03.614</v>
      </c>
      <c r="H125" t="s">
        <v>21</v>
      </c>
      <c r="I125">
        <v>0</v>
      </c>
      <c r="J125" t="s">
        <v>27</v>
      </c>
    </row>
    <row r="126" spans="1:10" x14ac:dyDescent="0.25">
      <c r="A126" s="1">
        <v>17</v>
      </c>
      <c r="B126" t="s">
        <v>22</v>
      </c>
      <c r="C126">
        <v>98</v>
      </c>
      <c r="D126">
        <v>1</v>
      </c>
      <c r="E126" t="s">
        <v>43</v>
      </c>
      <c r="F126" t="s">
        <v>44</v>
      </c>
      <c r="G126" t="str">
        <f>"2026-05-26 22:32:30.633"</f>
        <v>2026-05-26 22:32:30.633</v>
      </c>
      <c r="H126" t="s">
        <v>21</v>
      </c>
    </row>
    <row r="127" spans="1:10" x14ac:dyDescent="0.25">
      <c r="A127" s="1">
        <v>18</v>
      </c>
      <c r="B127" t="s">
        <v>25</v>
      </c>
      <c r="C127">
        <v>98</v>
      </c>
      <c r="D127">
        <v>1</v>
      </c>
      <c r="E127" t="s">
        <v>43</v>
      </c>
      <c r="F127" t="s">
        <v>44</v>
      </c>
      <c r="G127" t="str">
        <f>"2026-05-26 22:32:29.633"</f>
        <v>2026-05-26 22:32:29.633</v>
      </c>
      <c r="H127" t="s">
        <v>21</v>
      </c>
      <c r="I127">
        <v>8.4</v>
      </c>
      <c r="J127" t="s">
        <v>31</v>
      </c>
    </row>
    <row r="128" spans="1:10" x14ac:dyDescent="0.25">
      <c r="A128" s="1">
        <v>19</v>
      </c>
      <c r="B128" t="s">
        <v>22</v>
      </c>
      <c r="C128">
        <v>98</v>
      </c>
      <c r="D128">
        <v>1</v>
      </c>
      <c r="E128" t="s">
        <v>43</v>
      </c>
      <c r="F128" t="s">
        <v>44</v>
      </c>
      <c r="G128" t="str">
        <f>"2026-05-26 22:16:09.833"</f>
        <v>2026-05-26 22:16:09.833</v>
      </c>
      <c r="H128" t="s">
        <v>21</v>
      </c>
    </row>
    <row r="129" spans="1:10" x14ac:dyDescent="0.25">
      <c r="A129" s="1">
        <v>20</v>
      </c>
      <c r="B129" t="s">
        <v>25</v>
      </c>
      <c r="C129">
        <v>98</v>
      </c>
      <c r="D129">
        <v>1</v>
      </c>
      <c r="E129" t="s">
        <v>43</v>
      </c>
      <c r="F129" t="s">
        <v>44</v>
      </c>
      <c r="G129" t="str">
        <f>"2026-05-26 22:16:08.834"</f>
        <v>2026-05-26 22:16:08.834</v>
      </c>
      <c r="H129" t="s">
        <v>21</v>
      </c>
      <c r="I129">
        <v>6.46</v>
      </c>
      <c r="J129" t="s">
        <v>31</v>
      </c>
    </row>
    <row r="130" spans="1:10" x14ac:dyDescent="0.25">
      <c r="A130" s="1">
        <v>21</v>
      </c>
      <c r="B130" t="s">
        <v>19</v>
      </c>
      <c r="C130">
        <v>700</v>
      </c>
      <c r="D130">
        <v>0</v>
      </c>
      <c r="E130" t="s">
        <v>20</v>
      </c>
      <c r="F130" t="s">
        <v>20</v>
      </c>
      <c r="G130" t="str">
        <f>"2026-05-26 16:56:28.627"</f>
        <v>2026-05-26 16:56:28.627</v>
      </c>
      <c r="H130" t="s">
        <v>21</v>
      </c>
      <c r="I130">
        <v>0</v>
      </c>
      <c r="J130" t="s">
        <v>27</v>
      </c>
    </row>
    <row r="131" spans="1:10" x14ac:dyDescent="0.25">
      <c r="A131" s="1">
        <v>22</v>
      </c>
      <c r="B131" t="s">
        <v>22</v>
      </c>
      <c r="C131">
        <v>635</v>
      </c>
      <c r="D131">
        <v>1</v>
      </c>
      <c r="E131" t="s">
        <v>28</v>
      </c>
      <c r="F131" t="s">
        <v>29</v>
      </c>
      <c r="G131" t="str">
        <f>"2026-05-26 14:48:42.769"</f>
        <v>2026-05-26 14:48:42.769</v>
      </c>
      <c r="H131" t="s">
        <v>21</v>
      </c>
    </row>
    <row r="132" spans="1:10" x14ac:dyDescent="0.25">
      <c r="A132" s="1">
        <v>23</v>
      </c>
      <c r="B132" t="s">
        <v>25</v>
      </c>
      <c r="C132">
        <v>635</v>
      </c>
      <c r="D132">
        <v>1</v>
      </c>
      <c r="E132" t="s">
        <v>28</v>
      </c>
      <c r="F132" t="s">
        <v>29</v>
      </c>
      <c r="G132" t="str">
        <f>"2026-05-26 14:46:51.769"</f>
        <v>2026-05-26 14:46:51.769</v>
      </c>
      <c r="H132" t="s">
        <v>21</v>
      </c>
      <c r="I132">
        <v>0.36</v>
      </c>
      <c r="J132" t="s">
        <v>31</v>
      </c>
    </row>
    <row r="133" spans="1:10" x14ac:dyDescent="0.25">
      <c r="A133" s="1">
        <v>24</v>
      </c>
      <c r="B133" t="s">
        <v>19</v>
      </c>
      <c r="C133">
        <v>700</v>
      </c>
      <c r="D133">
        <v>0</v>
      </c>
      <c r="E133" t="s">
        <v>20</v>
      </c>
      <c r="F133" t="s">
        <v>20</v>
      </c>
      <c r="G133" t="str">
        <f>"2026-05-26 13:37:56.607"</f>
        <v>2026-05-26 13:37:56.607</v>
      </c>
      <c r="H133" t="s">
        <v>21</v>
      </c>
    </row>
    <row r="134" spans="1:10" x14ac:dyDescent="0.25">
      <c r="A134" s="1">
        <v>25</v>
      </c>
      <c r="B134" t="s">
        <v>22</v>
      </c>
      <c r="C134">
        <v>635</v>
      </c>
      <c r="D134">
        <v>1</v>
      </c>
      <c r="E134" t="s">
        <v>28</v>
      </c>
      <c r="F134" t="s">
        <v>29</v>
      </c>
      <c r="G134" t="str">
        <f>"2026-05-26 02:48:53.974"</f>
        <v>2026-05-26 02:48:53.974</v>
      </c>
      <c r="H134" t="s">
        <v>21</v>
      </c>
    </row>
    <row r="135" spans="1:10" x14ac:dyDescent="0.25">
      <c r="A135" s="1">
        <v>26</v>
      </c>
      <c r="B135" t="s">
        <v>25</v>
      </c>
      <c r="C135">
        <v>635</v>
      </c>
      <c r="D135">
        <v>1</v>
      </c>
      <c r="E135" t="s">
        <v>28</v>
      </c>
      <c r="F135" t="s">
        <v>29</v>
      </c>
      <c r="G135" t="str">
        <f>"2026-05-26 02:45:46.474"</f>
        <v>2026-05-26 02:45:46.474</v>
      </c>
      <c r="H135" t="s">
        <v>21</v>
      </c>
      <c r="I135">
        <v>0.76</v>
      </c>
      <c r="J135" t="s">
        <v>26</v>
      </c>
    </row>
    <row r="136" spans="1:10" x14ac:dyDescent="0.25">
      <c r="A136" s="1">
        <v>27</v>
      </c>
      <c r="B136" t="s">
        <v>22</v>
      </c>
      <c r="C136">
        <v>98</v>
      </c>
      <c r="D136">
        <v>1</v>
      </c>
      <c r="E136" t="s">
        <v>43</v>
      </c>
      <c r="F136" t="s">
        <v>44</v>
      </c>
      <c r="G136" t="str">
        <f>"2026-05-26 01:14:53.187"</f>
        <v>2026-05-26 01:14:53.187</v>
      </c>
      <c r="H136" t="s">
        <v>21</v>
      </c>
    </row>
    <row r="137" spans="1:10" x14ac:dyDescent="0.25">
      <c r="A137" s="1">
        <v>28</v>
      </c>
      <c r="B137" t="s">
        <v>25</v>
      </c>
      <c r="C137">
        <v>98</v>
      </c>
      <c r="D137">
        <v>1</v>
      </c>
      <c r="E137" t="s">
        <v>43</v>
      </c>
      <c r="F137" t="s">
        <v>44</v>
      </c>
      <c r="G137" t="str">
        <f>"2026-05-26 01:14:52.087"</f>
        <v>2026-05-26 01:14:52.087</v>
      </c>
      <c r="H137" t="s">
        <v>21</v>
      </c>
      <c r="I137">
        <v>0</v>
      </c>
      <c r="J137" t="s">
        <v>30</v>
      </c>
    </row>
    <row r="138" spans="1:10" x14ac:dyDescent="0.25">
      <c r="A138" s="1">
        <v>29</v>
      </c>
      <c r="B138" t="s">
        <v>19</v>
      </c>
      <c r="C138">
        <v>700</v>
      </c>
      <c r="D138">
        <v>0</v>
      </c>
      <c r="E138" t="s">
        <v>20</v>
      </c>
      <c r="F138" t="s">
        <v>20</v>
      </c>
      <c r="G138" t="str">
        <f>"2026-05-25 12:52:15.842"</f>
        <v>2026-05-25 12:52:15.842</v>
      </c>
      <c r="H138" t="s">
        <v>21</v>
      </c>
    </row>
    <row r="139" spans="1:10" x14ac:dyDescent="0.25">
      <c r="A139" s="1">
        <v>30</v>
      </c>
      <c r="B139" t="s">
        <v>35</v>
      </c>
      <c r="C139">
        <v>33</v>
      </c>
      <c r="D139">
        <v>1</v>
      </c>
      <c r="E139" t="s">
        <v>36</v>
      </c>
      <c r="F139" t="s">
        <v>37</v>
      </c>
      <c r="G139" t="str">
        <f>"2026-05-25 06:17:15.610"</f>
        <v>2026-05-25 06:17:15.610</v>
      </c>
      <c r="H139" t="s">
        <v>38</v>
      </c>
    </row>
    <row r="140" spans="1:10" x14ac:dyDescent="0.25">
      <c r="A140" s="1">
        <v>31</v>
      </c>
      <c r="B140" t="s">
        <v>39</v>
      </c>
      <c r="C140">
        <v>33</v>
      </c>
      <c r="D140">
        <v>1</v>
      </c>
      <c r="E140" t="s">
        <v>36</v>
      </c>
      <c r="F140" t="s">
        <v>37</v>
      </c>
      <c r="G140" t="str">
        <f>"2026-05-25 06:17:01.629"</f>
        <v>2026-05-25 06:17:01.629</v>
      </c>
      <c r="H140" t="s">
        <v>38</v>
      </c>
      <c r="I140">
        <v>8.83</v>
      </c>
      <c r="J140" t="s">
        <v>31</v>
      </c>
    </row>
    <row r="141" spans="1:10" x14ac:dyDescent="0.25">
      <c r="A141" s="1">
        <v>32</v>
      </c>
      <c r="B141" t="s">
        <v>19</v>
      </c>
      <c r="C141">
        <v>700</v>
      </c>
      <c r="D141">
        <v>0</v>
      </c>
      <c r="E141" t="s">
        <v>20</v>
      </c>
      <c r="F141" t="s">
        <v>20</v>
      </c>
      <c r="G141" t="str">
        <f>"2026-05-24 13:33:19.839"</f>
        <v>2026-05-24 13:33:19.839</v>
      </c>
      <c r="H141" t="s">
        <v>21</v>
      </c>
      <c r="I141">
        <v>0</v>
      </c>
      <c r="J141" t="s">
        <v>27</v>
      </c>
    </row>
    <row r="142" spans="1:10" x14ac:dyDescent="0.25">
      <c r="A142" s="1">
        <v>33</v>
      </c>
      <c r="B142" t="s">
        <v>19</v>
      </c>
      <c r="C142">
        <v>700</v>
      </c>
      <c r="D142">
        <v>0</v>
      </c>
      <c r="E142" t="s">
        <v>20</v>
      </c>
      <c r="F142" t="s">
        <v>20</v>
      </c>
      <c r="G142" t="str">
        <f>"2026-05-24 13:10:52.591"</f>
        <v>2026-05-24 13:10:52.591</v>
      </c>
      <c r="H142" t="s">
        <v>21</v>
      </c>
    </row>
    <row r="143" spans="1:10" x14ac:dyDescent="0.25">
      <c r="A143" s="1">
        <v>34</v>
      </c>
      <c r="B143" t="s">
        <v>22</v>
      </c>
      <c r="C143">
        <v>635</v>
      </c>
      <c r="D143">
        <v>1</v>
      </c>
      <c r="E143" t="s">
        <v>28</v>
      </c>
      <c r="F143" t="s">
        <v>29</v>
      </c>
      <c r="G143" t="str">
        <f>"2026-05-23 23:16:29.698"</f>
        <v>2026-05-23 23:16:29.698</v>
      </c>
      <c r="H143" t="s">
        <v>21</v>
      </c>
    </row>
    <row r="144" spans="1:10" x14ac:dyDescent="0.25">
      <c r="A144" s="1">
        <v>35</v>
      </c>
      <c r="B144" t="s">
        <v>25</v>
      </c>
      <c r="C144">
        <v>635</v>
      </c>
      <c r="D144">
        <v>1</v>
      </c>
      <c r="E144" t="s">
        <v>28</v>
      </c>
      <c r="F144" t="s">
        <v>29</v>
      </c>
      <c r="G144" t="str">
        <f>"2026-05-23 23:12:41.198"</f>
        <v>2026-05-23 23:12:41.198</v>
      </c>
      <c r="H144" t="s">
        <v>21</v>
      </c>
      <c r="I144">
        <v>6.97</v>
      </c>
      <c r="J144" t="s">
        <v>31</v>
      </c>
    </row>
    <row r="145" spans="1:10" x14ac:dyDescent="0.25">
      <c r="A145" s="1">
        <v>36</v>
      </c>
      <c r="B145" t="s">
        <v>22</v>
      </c>
      <c r="C145">
        <v>635</v>
      </c>
      <c r="D145">
        <v>1</v>
      </c>
      <c r="E145" t="s">
        <v>28</v>
      </c>
      <c r="F145" t="s">
        <v>29</v>
      </c>
      <c r="G145" t="str">
        <f>"2026-05-23 21:48:18.898"</f>
        <v>2026-05-23 21:48:18.898</v>
      </c>
      <c r="H145" t="s">
        <v>21</v>
      </c>
    </row>
    <row r="146" spans="1:10" x14ac:dyDescent="0.25">
      <c r="A146" s="1">
        <v>37</v>
      </c>
      <c r="B146" t="s">
        <v>25</v>
      </c>
      <c r="C146">
        <v>635</v>
      </c>
      <c r="D146">
        <v>1</v>
      </c>
      <c r="E146" t="s">
        <v>28</v>
      </c>
      <c r="F146" t="s">
        <v>29</v>
      </c>
      <c r="G146" t="str">
        <f>"2026-05-23 21:46:12.398"</f>
        <v>2026-05-23 21:46:12.398</v>
      </c>
      <c r="H146" t="s">
        <v>21</v>
      </c>
      <c r="I146">
        <v>5.38</v>
      </c>
      <c r="J146" t="s">
        <v>30</v>
      </c>
    </row>
    <row r="147" spans="1:10" x14ac:dyDescent="0.25">
      <c r="A147" s="1">
        <v>38</v>
      </c>
      <c r="B147" t="s">
        <v>19</v>
      </c>
      <c r="C147">
        <v>700</v>
      </c>
      <c r="D147">
        <v>0</v>
      </c>
      <c r="E147" t="s">
        <v>20</v>
      </c>
      <c r="F147" t="s">
        <v>20</v>
      </c>
      <c r="G147" t="str">
        <f>"2026-05-23 13:42:10.596"</f>
        <v>2026-05-23 13:42:10.596</v>
      </c>
      <c r="H147" t="s">
        <v>21</v>
      </c>
    </row>
    <row r="148" spans="1:10" s="3" customFormat="1" x14ac:dyDescent="0.25">
      <c r="A148" s="2">
        <v>39</v>
      </c>
      <c r="B148" s="3" t="s">
        <v>22</v>
      </c>
      <c r="C148" s="3">
        <v>647</v>
      </c>
      <c r="D148" s="3">
        <v>1</v>
      </c>
      <c r="E148" s="3" t="s">
        <v>23</v>
      </c>
      <c r="F148" s="3" t="s">
        <v>24</v>
      </c>
      <c r="G148" s="3" t="str">
        <f>"2026-05-23 12:50:05.956"</f>
        <v>2026-05-23 12:50:05.956</v>
      </c>
      <c r="H148" s="3" t="s">
        <v>21</v>
      </c>
    </row>
    <row r="149" spans="1:10" s="3" customFormat="1" x14ac:dyDescent="0.25">
      <c r="A149" s="2">
        <v>40</v>
      </c>
      <c r="B149" s="3" t="s">
        <v>25</v>
      </c>
      <c r="C149" s="3">
        <v>647</v>
      </c>
      <c r="D149" s="3">
        <v>1</v>
      </c>
      <c r="E149" s="3" t="s">
        <v>23</v>
      </c>
      <c r="F149" s="3" t="s">
        <v>24</v>
      </c>
      <c r="G149" s="3" t="str">
        <f>"2026-05-23 12:50:04.857"</f>
        <v>2026-05-23 12:50:04.857</v>
      </c>
      <c r="H149" s="3" t="s">
        <v>21</v>
      </c>
      <c r="I149" s="3">
        <v>20.98</v>
      </c>
      <c r="J149" s="3" t="s">
        <v>26</v>
      </c>
    </row>
    <row r="150" spans="1:10" x14ac:dyDescent="0.25">
      <c r="A150" s="1">
        <v>41</v>
      </c>
      <c r="B150" t="s">
        <v>19</v>
      </c>
      <c r="C150">
        <v>700</v>
      </c>
      <c r="D150">
        <v>0</v>
      </c>
      <c r="E150" t="s">
        <v>20</v>
      </c>
      <c r="F150" t="s">
        <v>20</v>
      </c>
      <c r="G150" t="str">
        <f>"2026-05-23 12:11:55.838"</f>
        <v>2026-05-23 12:11:55.838</v>
      </c>
      <c r="H150" t="s">
        <v>21</v>
      </c>
    </row>
    <row r="151" spans="1:10" x14ac:dyDescent="0.25">
      <c r="A151" s="1">
        <v>42</v>
      </c>
      <c r="B151" t="s">
        <v>19</v>
      </c>
      <c r="C151">
        <v>700</v>
      </c>
      <c r="D151">
        <v>0</v>
      </c>
      <c r="E151" t="s">
        <v>20</v>
      </c>
      <c r="F151" t="s">
        <v>20</v>
      </c>
      <c r="G151" t="str">
        <f>"2026-05-23 11:57:12.813"</f>
        <v>2026-05-23 11:57:12.813</v>
      </c>
      <c r="H151" t="s">
        <v>21</v>
      </c>
    </row>
    <row r="152" spans="1:10" x14ac:dyDescent="0.25">
      <c r="A152" s="1">
        <v>43</v>
      </c>
      <c r="B152" t="s">
        <v>19</v>
      </c>
      <c r="C152">
        <v>700</v>
      </c>
      <c r="D152">
        <v>0</v>
      </c>
      <c r="E152" t="s">
        <v>20</v>
      </c>
      <c r="F152" t="s">
        <v>20</v>
      </c>
      <c r="G152" t="str">
        <f>"2026-05-23 11:46:13.638"</f>
        <v>2026-05-23 11:46:13.638</v>
      </c>
      <c r="H152" t="s">
        <v>21</v>
      </c>
      <c r="I152">
        <v>0</v>
      </c>
      <c r="J152" t="s">
        <v>27</v>
      </c>
    </row>
    <row r="153" spans="1:10" x14ac:dyDescent="0.25">
      <c r="A153" s="1">
        <v>44</v>
      </c>
      <c r="B153" t="s">
        <v>19</v>
      </c>
      <c r="C153">
        <v>700</v>
      </c>
      <c r="D153">
        <v>0</v>
      </c>
      <c r="E153" t="s">
        <v>20</v>
      </c>
      <c r="F153" t="s">
        <v>20</v>
      </c>
      <c r="G153" t="str">
        <f>"2026-05-23 11:19:42.600"</f>
        <v>2026-05-23 11:19:42.600</v>
      </c>
      <c r="H153" t="s">
        <v>21</v>
      </c>
      <c r="I153">
        <v>0</v>
      </c>
      <c r="J153" t="s">
        <v>27</v>
      </c>
    </row>
    <row r="154" spans="1:10" x14ac:dyDescent="0.25">
      <c r="A154" s="1">
        <v>45</v>
      </c>
      <c r="B154" t="s">
        <v>19</v>
      </c>
      <c r="C154">
        <v>706</v>
      </c>
      <c r="D154">
        <v>2</v>
      </c>
      <c r="E154" t="s">
        <v>32</v>
      </c>
      <c r="F154" t="s">
        <v>33</v>
      </c>
      <c r="G154" t="str">
        <f>"2026-05-23 10:43:35.278"</f>
        <v>2026-05-23 10:43:35.278</v>
      </c>
      <c r="H154" t="s">
        <v>21</v>
      </c>
      <c r="I154">
        <v>0</v>
      </c>
      <c r="J154" t="s">
        <v>34</v>
      </c>
    </row>
    <row r="155" spans="1:10" x14ac:dyDescent="0.25">
      <c r="A155" s="1">
        <v>46</v>
      </c>
      <c r="B155" t="s">
        <v>19</v>
      </c>
      <c r="C155">
        <v>700</v>
      </c>
      <c r="D155">
        <v>0</v>
      </c>
      <c r="E155" t="s">
        <v>20</v>
      </c>
      <c r="F155" t="s">
        <v>20</v>
      </c>
      <c r="G155" t="str">
        <f>"2026-05-23 10:29:43.818"</f>
        <v>2026-05-23 10:29:43.818</v>
      </c>
      <c r="H155" t="s">
        <v>21</v>
      </c>
      <c r="I155">
        <v>0</v>
      </c>
      <c r="J155" t="s">
        <v>27</v>
      </c>
    </row>
    <row r="156" spans="1:10" x14ac:dyDescent="0.25">
      <c r="A156" s="1">
        <v>47</v>
      </c>
      <c r="B156" t="s">
        <v>19</v>
      </c>
      <c r="C156">
        <v>700</v>
      </c>
      <c r="D156">
        <v>0</v>
      </c>
      <c r="E156" t="s">
        <v>20</v>
      </c>
      <c r="F156" t="s">
        <v>20</v>
      </c>
      <c r="G156" t="str">
        <f>"2026-05-23 09:56:55.616"</f>
        <v>2026-05-23 09:56:55.616</v>
      </c>
      <c r="H156" t="s">
        <v>21</v>
      </c>
    </row>
    <row r="157" spans="1:10" x14ac:dyDescent="0.25">
      <c r="A157" s="1">
        <v>48</v>
      </c>
      <c r="B157" t="s">
        <v>22</v>
      </c>
      <c r="C157">
        <v>631</v>
      </c>
      <c r="D157">
        <v>2</v>
      </c>
      <c r="E157" t="s">
        <v>41</v>
      </c>
      <c r="F157" t="s">
        <v>42</v>
      </c>
      <c r="G157" t="str">
        <f>"2026-05-23 08:55:36.601"</f>
        <v>2026-05-23 08:55:36.601</v>
      </c>
      <c r="H157" t="s">
        <v>21</v>
      </c>
    </row>
    <row r="158" spans="1:10" x14ac:dyDescent="0.25">
      <c r="A158" s="1">
        <v>49</v>
      </c>
      <c r="B158" t="s">
        <v>25</v>
      </c>
      <c r="C158">
        <v>631</v>
      </c>
      <c r="D158">
        <v>2</v>
      </c>
      <c r="E158" t="s">
        <v>41</v>
      </c>
      <c r="F158" t="s">
        <v>42</v>
      </c>
      <c r="G158" t="str">
        <f>"2026-05-23 08:47:14.050"</f>
        <v>2026-05-23 08:47:14.050</v>
      </c>
      <c r="H158" t="s">
        <v>21</v>
      </c>
      <c r="I158">
        <v>0</v>
      </c>
      <c r="J158" t="s">
        <v>34</v>
      </c>
    </row>
    <row r="159" spans="1:10" x14ac:dyDescent="0.25">
      <c r="A159" s="1">
        <v>50</v>
      </c>
      <c r="B159" t="s">
        <v>19</v>
      </c>
      <c r="C159">
        <v>700</v>
      </c>
      <c r="D159">
        <v>0</v>
      </c>
      <c r="E159" t="s">
        <v>20</v>
      </c>
      <c r="F159" t="s">
        <v>20</v>
      </c>
      <c r="G159" t="str">
        <f>"2026-05-23 08:47:00.637"</f>
        <v>2026-05-23 08:47:00.637</v>
      </c>
      <c r="H159" t="s">
        <v>21</v>
      </c>
      <c r="I159">
        <v>0</v>
      </c>
      <c r="J159" t="s">
        <v>27</v>
      </c>
    </row>
    <row r="160" spans="1:10" x14ac:dyDescent="0.25">
      <c r="A160" s="1">
        <v>51</v>
      </c>
      <c r="B160" t="s">
        <v>22</v>
      </c>
      <c r="C160">
        <v>635</v>
      </c>
      <c r="D160">
        <v>1</v>
      </c>
      <c r="E160" t="s">
        <v>28</v>
      </c>
      <c r="F160" t="s">
        <v>29</v>
      </c>
      <c r="G160" t="str">
        <f>"2026-05-23 00:44:29.216"</f>
        <v>2026-05-23 00:44:29.216</v>
      </c>
      <c r="H160" t="s">
        <v>21</v>
      </c>
    </row>
    <row r="161" spans="1:10" x14ac:dyDescent="0.25">
      <c r="A161" s="1">
        <v>52</v>
      </c>
      <c r="B161" t="s">
        <v>25</v>
      </c>
      <c r="C161">
        <v>635</v>
      </c>
      <c r="D161">
        <v>1</v>
      </c>
      <c r="E161" t="s">
        <v>28</v>
      </c>
      <c r="F161" t="s">
        <v>29</v>
      </c>
      <c r="G161" t="str">
        <f>"2026-05-23 00:38:17.816"</f>
        <v>2026-05-23 00:38:17.816</v>
      </c>
      <c r="H161" t="s">
        <v>21</v>
      </c>
      <c r="I161">
        <v>4.79</v>
      </c>
      <c r="J161" t="s">
        <v>31</v>
      </c>
    </row>
    <row r="162" spans="1:10" x14ac:dyDescent="0.25">
      <c r="A162" s="1">
        <v>53</v>
      </c>
      <c r="B162" t="s">
        <v>19</v>
      </c>
      <c r="C162">
        <v>700</v>
      </c>
      <c r="D162">
        <v>0</v>
      </c>
      <c r="E162" t="s">
        <v>20</v>
      </c>
      <c r="F162" t="s">
        <v>20</v>
      </c>
      <c r="G162" t="str">
        <f>"2026-05-20 10:53:34.683"</f>
        <v>2026-05-20 10:53:34.683</v>
      </c>
      <c r="H162" t="s">
        <v>21</v>
      </c>
    </row>
    <row r="163" spans="1:10" x14ac:dyDescent="0.25">
      <c r="A163" s="1">
        <v>55</v>
      </c>
      <c r="B163" t="s">
        <v>22</v>
      </c>
      <c r="C163">
        <v>635</v>
      </c>
      <c r="D163">
        <v>1</v>
      </c>
      <c r="E163" t="s">
        <v>28</v>
      </c>
      <c r="F163" t="s">
        <v>29</v>
      </c>
      <c r="G163" t="str">
        <f>"2026-05-18 23:30:05.743"</f>
        <v>2026-05-18 23:30:05.743</v>
      </c>
      <c r="H163" t="s">
        <v>21</v>
      </c>
    </row>
    <row r="164" spans="1:10" x14ac:dyDescent="0.25">
      <c r="A164" s="1">
        <v>56</v>
      </c>
      <c r="B164" t="s">
        <v>25</v>
      </c>
      <c r="C164">
        <v>635</v>
      </c>
      <c r="D164">
        <v>1</v>
      </c>
      <c r="E164" t="s">
        <v>28</v>
      </c>
      <c r="F164" t="s">
        <v>29</v>
      </c>
      <c r="G164" t="str">
        <f>"2026-05-18 23:26:12.243"</f>
        <v>2026-05-18 23:26:12.243</v>
      </c>
      <c r="H164" t="s">
        <v>21</v>
      </c>
      <c r="I164">
        <v>3.39</v>
      </c>
      <c r="J164" t="s">
        <v>31</v>
      </c>
    </row>
    <row r="165" spans="1:10" x14ac:dyDescent="0.25">
      <c r="A165" s="1">
        <v>57</v>
      </c>
      <c r="B165" t="s">
        <v>22</v>
      </c>
      <c r="C165">
        <v>635</v>
      </c>
      <c r="D165">
        <v>1</v>
      </c>
      <c r="E165" t="s">
        <v>28</v>
      </c>
      <c r="F165" t="s">
        <v>29</v>
      </c>
      <c r="G165" t="str">
        <f>"2026-05-18 20:18:43.642"</f>
        <v>2026-05-18 20:18:43.642</v>
      </c>
      <c r="H165" t="s">
        <v>21</v>
      </c>
    </row>
    <row r="166" spans="1:10" x14ac:dyDescent="0.25">
      <c r="A166" s="1">
        <v>58</v>
      </c>
      <c r="B166" t="s">
        <v>25</v>
      </c>
      <c r="C166">
        <v>635</v>
      </c>
      <c r="D166">
        <v>1</v>
      </c>
      <c r="E166" t="s">
        <v>28</v>
      </c>
      <c r="F166" t="s">
        <v>29</v>
      </c>
      <c r="G166" t="str">
        <f>"2026-05-18 20:12:39.142"</f>
        <v>2026-05-18 20:12:39.142</v>
      </c>
      <c r="H166" t="s">
        <v>21</v>
      </c>
      <c r="I166">
        <v>-0.02</v>
      </c>
      <c r="J166" t="s">
        <v>30</v>
      </c>
    </row>
    <row r="167" spans="1:10" x14ac:dyDescent="0.25">
      <c r="A167" s="1">
        <v>59</v>
      </c>
      <c r="B167" t="s">
        <v>22</v>
      </c>
      <c r="C167">
        <v>635</v>
      </c>
      <c r="D167">
        <v>1</v>
      </c>
      <c r="E167" t="s">
        <v>28</v>
      </c>
      <c r="F167" t="s">
        <v>29</v>
      </c>
      <c r="G167" t="str">
        <f>"2026-05-18 18:10:37.443"</f>
        <v>2026-05-18 18:10:37.443</v>
      </c>
      <c r="H167" t="s">
        <v>21</v>
      </c>
    </row>
    <row r="168" spans="1:10" x14ac:dyDescent="0.25">
      <c r="A168" s="1">
        <v>60</v>
      </c>
      <c r="B168" t="s">
        <v>25</v>
      </c>
      <c r="C168">
        <v>635</v>
      </c>
      <c r="D168">
        <v>1</v>
      </c>
      <c r="E168" t="s">
        <v>28</v>
      </c>
      <c r="F168" t="s">
        <v>29</v>
      </c>
      <c r="G168" t="str">
        <f>"2026-05-18 18:07:20.943"</f>
        <v>2026-05-18 18:07:20.943</v>
      </c>
      <c r="H168" t="s">
        <v>21</v>
      </c>
      <c r="I168">
        <v>6.03</v>
      </c>
      <c r="J168" t="s">
        <v>26</v>
      </c>
    </row>
    <row r="169" spans="1:10" x14ac:dyDescent="0.25">
      <c r="A169" s="1">
        <v>61</v>
      </c>
      <c r="B169" t="s">
        <v>22</v>
      </c>
      <c r="C169">
        <v>635</v>
      </c>
      <c r="D169">
        <v>1</v>
      </c>
      <c r="E169" t="s">
        <v>28</v>
      </c>
      <c r="F169" t="s">
        <v>29</v>
      </c>
      <c r="G169" t="str">
        <f>"2026-05-17 17:32:14.042"</f>
        <v>2026-05-17 17:32:14.042</v>
      </c>
      <c r="H169" t="s">
        <v>21</v>
      </c>
    </row>
    <row r="170" spans="1:10" x14ac:dyDescent="0.25">
      <c r="A170" s="1">
        <v>62</v>
      </c>
      <c r="B170" t="s">
        <v>25</v>
      </c>
      <c r="C170">
        <v>635</v>
      </c>
      <c r="D170">
        <v>1</v>
      </c>
      <c r="E170" t="s">
        <v>28</v>
      </c>
      <c r="F170" t="s">
        <v>29</v>
      </c>
      <c r="G170" t="str">
        <f>"2026-05-17 17:27:59.543"</f>
        <v>2026-05-17 17:27:59.543</v>
      </c>
      <c r="H170" t="s">
        <v>21</v>
      </c>
      <c r="I170">
        <v>7.24</v>
      </c>
      <c r="J170" t="s">
        <v>31</v>
      </c>
    </row>
    <row r="171" spans="1:10" s="3" customFormat="1" x14ac:dyDescent="0.25">
      <c r="A171" s="2">
        <v>63</v>
      </c>
      <c r="B171" s="3" t="s">
        <v>22</v>
      </c>
      <c r="C171" s="3">
        <v>647</v>
      </c>
      <c r="D171" s="3">
        <v>1</v>
      </c>
      <c r="E171" s="3" t="s">
        <v>23</v>
      </c>
      <c r="F171" s="3" t="s">
        <v>24</v>
      </c>
      <c r="G171" s="3" t="str">
        <f>"2026-05-16 23:43:34.043"</f>
        <v>2026-05-16 23:43:34.043</v>
      </c>
      <c r="H171" s="3" t="s">
        <v>21</v>
      </c>
    </row>
    <row r="172" spans="1:10" s="3" customFormat="1" x14ac:dyDescent="0.25">
      <c r="A172" s="2">
        <v>64</v>
      </c>
      <c r="B172" s="3" t="s">
        <v>25</v>
      </c>
      <c r="C172" s="3">
        <v>647</v>
      </c>
      <c r="D172" s="3">
        <v>1</v>
      </c>
      <c r="E172" s="3" t="s">
        <v>23</v>
      </c>
      <c r="F172" s="3" t="s">
        <v>24</v>
      </c>
      <c r="G172" s="3" t="str">
        <f>"2026-05-16 23:43:31.143"</f>
        <v>2026-05-16 23:43:31.143</v>
      </c>
      <c r="H172" s="3" t="s">
        <v>21</v>
      </c>
      <c r="I172" s="3">
        <v>10.65</v>
      </c>
      <c r="J172" s="3" t="s">
        <v>26</v>
      </c>
    </row>
    <row r="173" spans="1:10" s="3" customFormat="1" x14ac:dyDescent="0.25">
      <c r="A173" s="2">
        <v>65</v>
      </c>
      <c r="B173" s="3" t="s">
        <v>22</v>
      </c>
      <c r="C173" s="3">
        <v>647</v>
      </c>
      <c r="D173" s="3">
        <v>1</v>
      </c>
      <c r="E173" s="3" t="s">
        <v>23</v>
      </c>
      <c r="F173" s="3" t="s">
        <v>24</v>
      </c>
      <c r="G173" s="3" t="str">
        <f>"2026-05-16 23:43:28.243"</f>
        <v>2026-05-16 23:43:28.243</v>
      </c>
      <c r="H173" s="3" t="s">
        <v>21</v>
      </c>
    </row>
    <row r="174" spans="1:10" s="3" customFormat="1" x14ac:dyDescent="0.25">
      <c r="A174" s="2">
        <v>66</v>
      </c>
      <c r="B174" s="3" t="s">
        <v>25</v>
      </c>
      <c r="C174" s="3">
        <v>647</v>
      </c>
      <c r="D174" s="3">
        <v>1</v>
      </c>
      <c r="E174" s="3" t="s">
        <v>23</v>
      </c>
      <c r="F174" s="3" t="s">
        <v>24</v>
      </c>
      <c r="G174" s="3" t="str">
        <f>"2026-05-16 23:43:22.543"</f>
        <v>2026-05-16 23:43:22.543</v>
      </c>
      <c r="H174" s="3" t="s">
        <v>21</v>
      </c>
      <c r="I174" s="3">
        <v>13.07</v>
      </c>
      <c r="J174" s="3" t="s">
        <v>26</v>
      </c>
    </row>
    <row r="175" spans="1:10" x14ac:dyDescent="0.25">
      <c r="A175" s="1">
        <v>67</v>
      </c>
      <c r="B175" t="s">
        <v>22</v>
      </c>
      <c r="C175">
        <v>635</v>
      </c>
      <c r="D175">
        <v>1</v>
      </c>
      <c r="E175" t="s">
        <v>28</v>
      </c>
      <c r="F175" t="s">
        <v>29</v>
      </c>
      <c r="G175" t="str">
        <f>"2026-05-16 03:04:44.343"</f>
        <v>2026-05-16 03:04:44.343</v>
      </c>
      <c r="H175" t="s">
        <v>21</v>
      </c>
    </row>
    <row r="176" spans="1:10" x14ac:dyDescent="0.25">
      <c r="A176" s="1">
        <v>68</v>
      </c>
      <c r="B176" t="s">
        <v>25</v>
      </c>
      <c r="C176">
        <v>635</v>
      </c>
      <c r="D176">
        <v>1</v>
      </c>
      <c r="E176" t="s">
        <v>28</v>
      </c>
      <c r="F176" t="s">
        <v>29</v>
      </c>
      <c r="G176" t="str">
        <f>"2026-05-16 03:01:58.843"</f>
        <v>2026-05-16 03:01:58.843</v>
      </c>
      <c r="H176" t="s">
        <v>21</v>
      </c>
      <c r="I176">
        <v>2.33</v>
      </c>
      <c r="J176" t="s">
        <v>31</v>
      </c>
    </row>
    <row r="177" spans="1:10" s="3" customFormat="1" x14ac:dyDescent="0.25">
      <c r="A177" s="2">
        <v>69</v>
      </c>
      <c r="B177" s="3" t="s">
        <v>22</v>
      </c>
      <c r="C177" s="3">
        <v>647</v>
      </c>
      <c r="D177" s="3">
        <v>1</v>
      </c>
      <c r="E177" s="3" t="s">
        <v>23</v>
      </c>
      <c r="F177" s="3" t="s">
        <v>24</v>
      </c>
      <c r="G177" s="3" t="str">
        <f>"2026-05-16 02:10:58.243"</f>
        <v>2026-05-16 02:10:58.243</v>
      </c>
      <c r="H177" s="3" t="s">
        <v>21</v>
      </c>
    </row>
    <row r="178" spans="1:10" s="3" customFormat="1" x14ac:dyDescent="0.25">
      <c r="A178" s="2">
        <v>70</v>
      </c>
      <c r="B178" s="3" t="s">
        <v>25</v>
      </c>
      <c r="C178" s="3">
        <v>647</v>
      </c>
      <c r="D178" s="3">
        <v>1</v>
      </c>
      <c r="E178" s="3" t="s">
        <v>23</v>
      </c>
      <c r="F178" s="3" t="s">
        <v>24</v>
      </c>
      <c r="G178" s="3" t="str">
        <f>"2026-05-16 02:10:51.843"</f>
        <v>2026-05-16 02:10:51.843</v>
      </c>
      <c r="H178" s="3" t="s">
        <v>21</v>
      </c>
      <c r="I178" s="3">
        <v>11.43</v>
      </c>
      <c r="J178" s="3" t="s">
        <v>26</v>
      </c>
    </row>
    <row r="179" spans="1:10" s="3" customFormat="1" x14ac:dyDescent="0.25">
      <c r="A179" s="2">
        <v>71</v>
      </c>
      <c r="B179" s="3" t="s">
        <v>22</v>
      </c>
      <c r="C179" s="3">
        <v>647</v>
      </c>
      <c r="D179" s="3">
        <v>1</v>
      </c>
      <c r="E179" s="3" t="s">
        <v>23</v>
      </c>
      <c r="F179" s="3" t="s">
        <v>24</v>
      </c>
      <c r="G179" s="3" t="str">
        <f>"2026-05-16 02:10:49.543"</f>
        <v>2026-05-16 02:10:49.543</v>
      </c>
      <c r="H179" s="3" t="s">
        <v>21</v>
      </c>
    </row>
    <row r="180" spans="1:10" s="3" customFormat="1" x14ac:dyDescent="0.25">
      <c r="A180" s="2">
        <v>72</v>
      </c>
      <c r="B180" s="3" t="s">
        <v>25</v>
      </c>
      <c r="C180" s="3">
        <v>647</v>
      </c>
      <c r="D180" s="3">
        <v>1</v>
      </c>
      <c r="E180" s="3" t="s">
        <v>23</v>
      </c>
      <c r="F180" s="3" t="s">
        <v>24</v>
      </c>
      <c r="G180" s="3" t="str">
        <f>"2026-05-16 02:10:48.443"</f>
        <v>2026-05-16 02:10:48.443</v>
      </c>
      <c r="H180" s="3" t="s">
        <v>21</v>
      </c>
      <c r="I180" s="3">
        <v>13.43</v>
      </c>
      <c r="J180" s="3" t="s">
        <v>26</v>
      </c>
    </row>
    <row r="181" spans="1:10" s="3" customFormat="1" x14ac:dyDescent="0.25">
      <c r="A181" s="2">
        <v>73</v>
      </c>
      <c r="B181" s="3" t="s">
        <v>22</v>
      </c>
      <c r="C181" s="3">
        <v>647</v>
      </c>
      <c r="D181" s="3">
        <v>1</v>
      </c>
      <c r="E181" s="3" t="s">
        <v>23</v>
      </c>
      <c r="F181" s="3" t="s">
        <v>24</v>
      </c>
      <c r="G181" s="3" t="str">
        <f>"2026-05-15 05:40:08.243"</f>
        <v>2026-05-15 05:40:08.243</v>
      </c>
      <c r="H181" s="3" t="s">
        <v>21</v>
      </c>
    </row>
    <row r="182" spans="1:10" s="3" customFormat="1" x14ac:dyDescent="0.25">
      <c r="A182" s="2">
        <v>74</v>
      </c>
      <c r="B182" s="3" t="s">
        <v>25</v>
      </c>
      <c r="C182" s="3">
        <v>647</v>
      </c>
      <c r="D182" s="3">
        <v>1</v>
      </c>
      <c r="E182" s="3" t="s">
        <v>23</v>
      </c>
      <c r="F182" s="3" t="s">
        <v>24</v>
      </c>
      <c r="G182" s="3" t="str">
        <f>"2026-05-15 05:40:04.543"</f>
        <v>2026-05-15 05:40:04.543</v>
      </c>
      <c r="H182" s="3" t="s">
        <v>21</v>
      </c>
      <c r="I182" s="3">
        <v>10.93</v>
      </c>
      <c r="J182" s="3" t="s">
        <v>26</v>
      </c>
    </row>
    <row r="183" spans="1:10" s="3" customFormat="1" x14ac:dyDescent="0.25">
      <c r="A183" s="2">
        <v>75</v>
      </c>
      <c r="B183" s="3" t="s">
        <v>22</v>
      </c>
      <c r="C183" s="3">
        <v>647</v>
      </c>
      <c r="D183" s="3">
        <v>1</v>
      </c>
      <c r="E183" s="3" t="s">
        <v>23</v>
      </c>
      <c r="F183" s="3" t="s">
        <v>24</v>
      </c>
      <c r="G183" s="3" t="str">
        <f>"2026-05-14 02:30:53.143"</f>
        <v>2026-05-14 02:30:53.143</v>
      </c>
      <c r="H183" s="3" t="s">
        <v>21</v>
      </c>
    </row>
    <row r="184" spans="1:10" s="3" customFormat="1" x14ac:dyDescent="0.25">
      <c r="A184" s="2">
        <v>76</v>
      </c>
      <c r="B184" s="3" t="s">
        <v>25</v>
      </c>
      <c r="C184" s="3">
        <v>647</v>
      </c>
      <c r="D184" s="3">
        <v>1</v>
      </c>
      <c r="E184" s="3" t="s">
        <v>23</v>
      </c>
      <c r="F184" s="3" t="s">
        <v>24</v>
      </c>
      <c r="G184" s="3" t="str">
        <f>"2026-05-14 02:30:50.243"</f>
        <v>2026-05-14 02:30:50.243</v>
      </c>
      <c r="H184" s="3" t="s">
        <v>21</v>
      </c>
      <c r="I184" s="3">
        <v>22.1</v>
      </c>
      <c r="J184" s="3" t="s">
        <v>26</v>
      </c>
    </row>
    <row r="185" spans="1:10" s="3" customFormat="1" x14ac:dyDescent="0.25">
      <c r="A185" s="2">
        <v>77</v>
      </c>
      <c r="B185" s="3" t="s">
        <v>22</v>
      </c>
      <c r="C185" s="3">
        <v>647</v>
      </c>
      <c r="D185" s="3">
        <v>1</v>
      </c>
      <c r="E185" s="3" t="s">
        <v>23</v>
      </c>
      <c r="F185" s="3" t="s">
        <v>24</v>
      </c>
      <c r="G185" s="3" t="str">
        <f>"2026-05-13 20:43:14.643"</f>
        <v>2026-05-13 20:43:14.643</v>
      </c>
      <c r="H185" s="3" t="s">
        <v>21</v>
      </c>
    </row>
    <row r="186" spans="1:10" s="3" customFormat="1" x14ac:dyDescent="0.25">
      <c r="A186" s="2">
        <v>78</v>
      </c>
      <c r="B186" s="3" t="s">
        <v>25</v>
      </c>
      <c r="C186" s="3">
        <v>647</v>
      </c>
      <c r="D186" s="3">
        <v>1</v>
      </c>
      <c r="E186" s="3" t="s">
        <v>23</v>
      </c>
      <c r="F186" s="3" t="s">
        <v>24</v>
      </c>
      <c r="G186" s="3" t="str">
        <f>"2026-05-13 20:43:13.043"</f>
        <v>2026-05-13 20:43:13.043</v>
      </c>
      <c r="H186" s="3" t="s">
        <v>21</v>
      </c>
      <c r="I186" s="3">
        <v>8.7899999999999991</v>
      </c>
      <c r="J186" s="3" t="s">
        <v>26</v>
      </c>
    </row>
    <row r="187" spans="1:10" s="3" customFormat="1" x14ac:dyDescent="0.25">
      <c r="A187" s="2">
        <v>79</v>
      </c>
      <c r="B187" s="3" t="s">
        <v>22</v>
      </c>
      <c r="C187" s="3">
        <v>647</v>
      </c>
      <c r="D187" s="3">
        <v>1</v>
      </c>
      <c r="E187" s="3" t="s">
        <v>23</v>
      </c>
      <c r="F187" s="3" t="s">
        <v>24</v>
      </c>
      <c r="G187" s="3" t="str">
        <f>"2026-05-13 06:24:00.743"</f>
        <v>2026-05-13 06:24:00.743</v>
      </c>
      <c r="H187" s="3" t="s">
        <v>21</v>
      </c>
    </row>
    <row r="188" spans="1:10" s="3" customFormat="1" x14ac:dyDescent="0.25">
      <c r="A188" s="2">
        <v>80</v>
      </c>
      <c r="B188" s="3" t="s">
        <v>25</v>
      </c>
      <c r="C188" s="3">
        <v>647</v>
      </c>
      <c r="D188" s="3">
        <v>1</v>
      </c>
      <c r="E188" s="3" t="s">
        <v>23</v>
      </c>
      <c r="F188" s="3" t="s">
        <v>24</v>
      </c>
      <c r="G188" s="3" t="str">
        <f>"2026-05-13 06:23:55.143"</f>
        <v>2026-05-13 06:23:55.143</v>
      </c>
      <c r="H188" s="3" t="s">
        <v>21</v>
      </c>
      <c r="I188" s="3">
        <v>9.5500000000000007</v>
      </c>
      <c r="J188" s="3" t="s">
        <v>26</v>
      </c>
    </row>
    <row r="189" spans="1:10" x14ac:dyDescent="0.25">
      <c r="A189" s="1">
        <v>81</v>
      </c>
      <c r="B189" t="s">
        <v>22</v>
      </c>
      <c r="C189">
        <v>635</v>
      </c>
      <c r="D189">
        <v>1</v>
      </c>
      <c r="E189" t="s">
        <v>28</v>
      </c>
      <c r="F189" t="s">
        <v>29</v>
      </c>
      <c r="G189" t="str">
        <f>"2026-05-13 01:10:09.843"</f>
        <v>2026-05-13 01:10:09.843</v>
      </c>
      <c r="H189" t="s">
        <v>21</v>
      </c>
    </row>
    <row r="190" spans="1:10" x14ac:dyDescent="0.25">
      <c r="A190" s="1">
        <v>82</v>
      </c>
      <c r="B190" t="s">
        <v>25</v>
      </c>
      <c r="C190">
        <v>635</v>
      </c>
      <c r="D190">
        <v>1</v>
      </c>
      <c r="E190" t="s">
        <v>28</v>
      </c>
      <c r="F190" t="s">
        <v>29</v>
      </c>
      <c r="G190" t="str">
        <f>"2026-05-13 01:03:36.343"</f>
        <v>2026-05-13 01:03:36.343</v>
      </c>
      <c r="H190" t="s">
        <v>21</v>
      </c>
      <c r="I190">
        <v>0</v>
      </c>
      <c r="J190" t="s">
        <v>30</v>
      </c>
    </row>
    <row r="191" spans="1:10" x14ac:dyDescent="0.25">
      <c r="A191" s="1">
        <v>83</v>
      </c>
      <c r="B191" t="s">
        <v>19</v>
      </c>
      <c r="C191">
        <v>700</v>
      </c>
      <c r="D191">
        <v>0</v>
      </c>
      <c r="E191" t="s">
        <v>20</v>
      </c>
      <c r="F191" t="s">
        <v>20</v>
      </c>
      <c r="G191" t="str">
        <f>"2026-05-12 17:15:38.814"</f>
        <v>2026-05-12 17:15:38.814</v>
      </c>
      <c r="H191" t="s">
        <v>21</v>
      </c>
      <c r="I191">
        <v>0</v>
      </c>
      <c r="J191" t="s">
        <v>27</v>
      </c>
    </row>
    <row r="192" spans="1:10" x14ac:dyDescent="0.25">
      <c r="A192" s="1">
        <v>84</v>
      </c>
      <c r="B192" t="s">
        <v>19</v>
      </c>
      <c r="C192">
        <v>706</v>
      </c>
      <c r="D192">
        <v>4</v>
      </c>
      <c r="E192" t="s">
        <v>32</v>
      </c>
      <c r="F192" t="s">
        <v>40</v>
      </c>
      <c r="G192" t="str">
        <f>"2026-05-12 16:00:13.237"</f>
        <v>2026-05-12 16:00:13.237</v>
      </c>
      <c r="H192" t="s">
        <v>21</v>
      </c>
      <c r="I192">
        <v>0</v>
      </c>
      <c r="J192" t="s">
        <v>34</v>
      </c>
    </row>
    <row r="193" spans="1:10" x14ac:dyDescent="0.25">
      <c r="A193" s="1">
        <v>85</v>
      </c>
      <c r="B193" t="s">
        <v>19</v>
      </c>
      <c r="C193">
        <v>700</v>
      </c>
      <c r="D193">
        <v>0</v>
      </c>
      <c r="E193" t="s">
        <v>20</v>
      </c>
      <c r="F193" t="s">
        <v>20</v>
      </c>
      <c r="G193" t="str">
        <f>"2026-05-12 15:38:19.587"</f>
        <v>2026-05-12 15:38:19.587</v>
      </c>
      <c r="H193" t="s">
        <v>21</v>
      </c>
    </row>
    <row r="194" spans="1:10" s="3" customFormat="1" x14ac:dyDescent="0.25">
      <c r="A194" s="2">
        <v>86</v>
      </c>
      <c r="B194" s="3" t="s">
        <v>22</v>
      </c>
      <c r="C194" s="3">
        <v>647</v>
      </c>
      <c r="D194" s="3">
        <v>1</v>
      </c>
      <c r="E194" s="3" t="s">
        <v>23</v>
      </c>
      <c r="F194" s="3" t="s">
        <v>24</v>
      </c>
      <c r="G194" s="3" t="str">
        <f>"2026-05-12 06:42:15.107"</f>
        <v>2026-05-12 06:42:15.107</v>
      </c>
      <c r="H194" s="3" t="s">
        <v>21</v>
      </c>
    </row>
    <row r="195" spans="1:10" s="3" customFormat="1" x14ac:dyDescent="0.25">
      <c r="A195" s="2">
        <v>87</v>
      </c>
      <c r="B195" s="3" t="s">
        <v>25</v>
      </c>
      <c r="C195" s="3">
        <v>647</v>
      </c>
      <c r="D195" s="3">
        <v>1</v>
      </c>
      <c r="E195" s="3" t="s">
        <v>23</v>
      </c>
      <c r="F195" s="3" t="s">
        <v>24</v>
      </c>
      <c r="G195" s="3" t="str">
        <f>"2026-05-12 06:42:10.207"</f>
        <v>2026-05-12 06:42:10.207</v>
      </c>
      <c r="H195" s="3" t="s">
        <v>21</v>
      </c>
      <c r="I195" s="3">
        <v>13.79</v>
      </c>
      <c r="J195" s="3" t="s">
        <v>26</v>
      </c>
    </row>
    <row r="196" spans="1:10" s="3" customFormat="1" x14ac:dyDescent="0.25">
      <c r="A196" s="2">
        <v>88</v>
      </c>
      <c r="B196" s="3" t="s">
        <v>22</v>
      </c>
      <c r="C196" s="3">
        <v>647</v>
      </c>
      <c r="D196" s="3">
        <v>1</v>
      </c>
      <c r="E196" s="3" t="s">
        <v>23</v>
      </c>
      <c r="F196" s="3" t="s">
        <v>24</v>
      </c>
      <c r="G196" s="3" t="str">
        <f>"2026-05-09 07:29:40.807"</f>
        <v>2026-05-09 07:29:40.807</v>
      </c>
      <c r="H196" s="3" t="s">
        <v>21</v>
      </c>
    </row>
    <row r="197" spans="1:10" s="3" customFormat="1" x14ac:dyDescent="0.25">
      <c r="A197" s="2">
        <v>89</v>
      </c>
      <c r="B197" s="3" t="s">
        <v>25</v>
      </c>
      <c r="C197" s="3">
        <v>647</v>
      </c>
      <c r="D197" s="3">
        <v>1</v>
      </c>
      <c r="E197" s="3" t="s">
        <v>23</v>
      </c>
      <c r="F197" s="3" t="s">
        <v>24</v>
      </c>
      <c r="G197" s="3" t="str">
        <f>"2026-05-09 07:29:39.307"</f>
        <v>2026-05-09 07:29:39.307</v>
      </c>
      <c r="H197" s="3" t="s">
        <v>21</v>
      </c>
      <c r="I197" s="3">
        <v>8.3000000000000007</v>
      </c>
      <c r="J197" s="3" t="s">
        <v>26</v>
      </c>
    </row>
    <row r="198" spans="1:10" x14ac:dyDescent="0.25">
      <c r="A198" s="1">
        <v>90</v>
      </c>
      <c r="B198" t="s">
        <v>22</v>
      </c>
      <c r="C198">
        <v>635</v>
      </c>
      <c r="D198">
        <v>1</v>
      </c>
      <c r="E198" t="s">
        <v>28</v>
      </c>
      <c r="F198" t="s">
        <v>29</v>
      </c>
      <c r="G198" t="str">
        <f>"2026-05-08 23:28:25.907"</f>
        <v>2026-05-08 23:28:25.907</v>
      </c>
      <c r="H198" t="s">
        <v>21</v>
      </c>
    </row>
    <row r="199" spans="1:10" x14ac:dyDescent="0.25">
      <c r="A199" s="1">
        <v>91</v>
      </c>
      <c r="B199" t="s">
        <v>25</v>
      </c>
      <c r="C199">
        <v>635</v>
      </c>
      <c r="D199">
        <v>1</v>
      </c>
      <c r="E199" t="s">
        <v>28</v>
      </c>
      <c r="F199" t="s">
        <v>29</v>
      </c>
      <c r="G199" t="str">
        <f>"2026-05-08 23:23:28.907"</f>
        <v>2026-05-08 23:23:28.907</v>
      </c>
      <c r="H199" t="s">
        <v>21</v>
      </c>
      <c r="I199">
        <v>1.06</v>
      </c>
      <c r="J199" t="s">
        <v>31</v>
      </c>
    </row>
    <row r="200" spans="1:10" s="3" customFormat="1" x14ac:dyDescent="0.25">
      <c r="A200" s="2">
        <v>92</v>
      </c>
      <c r="B200" s="3" t="s">
        <v>22</v>
      </c>
      <c r="C200" s="3">
        <v>647</v>
      </c>
      <c r="D200" s="3">
        <v>1</v>
      </c>
      <c r="E200" s="3" t="s">
        <v>23</v>
      </c>
      <c r="F200" s="3" t="s">
        <v>24</v>
      </c>
      <c r="G200" s="3" t="str">
        <f>"2026-05-08 23:15:03.607"</f>
        <v>2026-05-08 23:15:03.607</v>
      </c>
      <c r="H200" s="3" t="s">
        <v>21</v>
      </c>
    </row>
    <row r="201" spans="1:10" s="3" customFormat="1" x14ac:dyDescent="0.25">
      <c r="A201" s="2">
        <v>93</v>
      </c>
      <c r="B201" s="3" t="s">
        <v>25</v>
      </c>
      <c r="C201" s="3">
        <v>647</v>
      </c>
      <c r="D201" s="3">
        <v>1</v>
      </c>
      <c r="E201" s="3" t="s">
        <v>23</v>
      </c>
      <c r="F201" s="3" t="s">
        <v>24</v>
      </c>
      <c r="G201" s="3" t="str">
        <f>"2026-05-08 23:15:01.707"</f>
        <v>2026-05-08 23:15:01.707</v>
      </c>
      <c r="H201" s="3" t="s">
        <v>21</v>
      </c>
      <c r="I201" s="3">
        <v>9.3000000000000007</v>
      </c>
      <c r="J201" s="3" t="s">
        <v>26</v>
      </c>
    </row>
    <row r="202" spans="1:10" x14ac:dyDescent="0.25">
      <c r="A202" s="1">
        <v>94</v>
      </c>
      <c r="B202" t="s">
        <v>22</v>
      </c>
      <c r="C202">
        <v>635</v>
      </c>
      <c r="D202">
        <v>1</v>
      </c>
      <c r="E202" t="s">
        <v>28</v>
      </c>
      <c r="F202" t="s">
        <v>29</v>
      </c>
      <c r="G202" t="str">
        <f>"2026-05-06 15:16:59.006"</f>
        <v>2026-05-06 15:16:59.006</v>
      </c>
      <c r="H202" t="s">
        <v>21</v>
      </c>
    </row>
    <row r="203" spans="1:10" x14ac:dyDescent="0.25">
      <c r="A203" s="1">
        <v>95</v>
      </c>
      <c r="B203" t="s">
        <v>25</v>
      </c>
      <c r="C203">
        <v>635</v>
      </c>
      <c r="D203">
        <v>1</v>
      </c>
      <c r="E203" t="s">
        <v>28</v>
      </c>
      <c r="F203" t="s">
        <v>29</v>
      </c>
      <c r="G203" t="str">
        <f>"2026-05-06 15:12:16.507"</f>
        <v>2026-05-06 15:12:16.507</v>
      </c>
      <c r="H203" t="s">
        <v>21</v>
      </c>
      <c r="I203">
        <v>5.61</v>
      </c>
      <c r="J203" t="s">
        <v>31</v>
      </c>
    </row>
    <row r="204" spans="1:10" x14ac:dyDescent="0.25">
      <c r="A204" s="1">
        <v>96</v>
      </c>
      <c r="B204" t="s">
        <v>22</v>
      </c>
      <c r="C204">
        <v>635</v>
      </c>
      <c r="D204">
        <v>1</v>
      </c>
      <c r="E204" t="s">
        <v>28</v>
      </c>
      <c r="F204" t="s">
        <v>29</v>
      </c>
      <c r="G204" t="str">
        <f>"2026-05-06 00:42:44.807"</f>
        <v>2026-05-06 00:42:44.807</v>
      </c>
      <c r="H204" t="s">
        <v>21</v>
      </c>
    </row>
    <row r="205" spans="1:10" x14ac:dyDescent="0.25">
      <c r="A205" s="1">
        <v>97</v>
      </c>
      <c r="B205" t="s">
        <v>25</v>
      </c>
      <c r="C205">
        <v>635</v>
      </c>
      <c r="D205">
        <v>1</v>
      </c>
      <c r="E205" t="s">
        <v>28</v>
      </c>
      <c r="F205" t="s">
        <v>29</v>
      </c>
      <c r="G205" t="str">
        <f>"2026-05-06 00:39:16.307"</f>
        <v>2026-05-06 00:39:16.307</v>
      </c>
      <c r="H205" t="s">
        <v>21</v>
      </c>
      <c r="I205">
        <v>7.99</v>
      </c>
      <c r="J205" t="s">
        <v>31</v>
      </c>
    </row>
    <row r="206" spans="1:10" s="3" customFormat="1" x14ac:dyDescent="0.25">
      <c r="A206" s="2">
        <v>98</v>
      </c>
      <c r="B206" s="3" t="s">
        <v>22</v>
      </c>
      <c r="C206" s="3">
        <v>647</v>
      </c>
      <c r="D206" s="3">
        <v>1</v>
      </c>
      <c r="E206" s="3" t="s">
        <v>23</v>
      </c>
      <c r="F206" s="3" t="s">
        <v>24</v>
      </c>
      <c r="G206" s="3" t="str">
        <f>"2026-05-05 22:47:16.107"</f>
        <v>2026-05-05 22:47:16.107</v>
      </c>
      <c r="H206" s="3" t="s">
        <v>21</v>
      </c>
    </row>
    <row r="207" spans="1:10" s="3" customFormat="1" x14ac:dyDescent="0.25">
      <c r="A207" s="2">
        <v>99</v>
      </c>
      <c r="B207" s="3" t="s">
        <v>25</v>
      </c>
      <c r="C207" s="3">
        <v>647</v>
      </c>
      <c r="D207" s="3">
        <v>1</v>
      </c>
      <c r="E207" s="3" t="s">
        <v>23</v>
      </c>
      <c r="F207" s="3" t="s">
        <v>24</v>
      </c>
      <c r="G207" s="3" t="str">
        <f>"2026-05-05 22:47:08.007"</f>
        <v>2026-05-05 22:47:08.007</v>
      </c>
      <c r="H207" s="3" t="s">
        <v>21</v>
      </c>
      <c r="I207" s="3">
        <v>10.77</v>
      </c>
      <c r="J207" s="3" t="s">
        <v>26</v>
      </c>
    </row>
    <row r="208" spans="1:10" x14ac:dyDescent="0.25">
      <c r="A208" s="1">
        <v>0</v>
      </c>
      <c r="B208" t="s">
        <v>22</v>
      </c>
      <c r="C208">
        <v>635</v>
      </c>
      <c r="D208">
        <v>1</v>
      </c>
      <c r="E208" t="s">
        <v>28</v>
      </c>
      <c r="F208" t="s">
        <v>29</v>
      </c>
      <c r="G208" t="str">
        <f>"2026-05-02 21:32:12.307"</f>
        <v>2026-05-02 21:32:12.307</v>
      </c>
      <c r="H208" t="s">
        <v>21</v>
      </c>
    </row>
    <row r="209" spans="1:10" x14ac:dyDescent="0.25">
      <c r="A209" s="1">
        <v>1</v>
      </c>
      <c r="B209" t="s">
        <v>25</v>
      </c>
      <c r="C209">
        <v>635</v>
      </c>
      <c r="D209">
        <v>1</v>
      </c>
      <c r="E209" t="s">
        <v>28</v>
      </c>
      <c r="F209" t="s">
        <v>29</v>
      </c>
      <c r="G209" t="str">
        <f>"2026-05-02 21:29:36.307"</f>
        <v>2026-05-02 21:29:36.307</v>
      </c>
      <c r="H209" t="s">
        <v>21</v>
      </c>
      <c r="I209">
        <v>2.42</v>
      </c>
      <c r="J209" t="s">
        <v>31</v>
      </c>
    </row>
    <row r="210" spans="1:10" x14ac:dyDescent="0.25">
      <c r="A210" s="1">
        <v>2</v>
      </c>
      <c r="B210" t="s">
        <v>22</v>
      </c>
      <c r="C210">
        <v>635</v>
      </c>
      <c r="D210">
        <v>1</v>
      </c>
      <c r="E210" t="s">
        <v>28</v>
      </c>
      <c r="F210" t="s">
        <v>29</v>
      </c>
      <c r="G210" t="str">
        <f>"2026-05-02 08:32:47.907"</f>
        <v>2026-05-02 08:32:47.907</v>
      </c>
      <c r="H210" t="s">
        <v>21</v>
      </c>
    </row>
    <row r="211" spans="1:10" x14ac:dyDescent="0.25">
      <c r="A211" s="1">
        <v>3</v>
      </c>
      <c r="B211" t="s">
        <v>25</v>
      </c>
      <c r="C211">
        <v>635</v>
      </c>
      <c r="D211">
        <v>1</v>
      </c>
      <c r="E211" t="s">
        <v>28</v>
      </c>
      <c r="F211" t="s">
        <v>29</v>
      </c>
      <c r="G211" t="str">
        <f>"2026-05-02 08:29:42.407"</f>
        <v>2026-05-02 08:29:42.407</v>
      </c>
      <c r="H211" t="s">
        <v>21</v>
      </c>
      <c r="I211">
        <v>2.2200000000000002</v>
      </c>
      <c r="J211" t="s">
        <v>26</v>
      </c>
    </row>
    <row r="212" spans="1:10" s="3" customFormat="1" x14ac:dyDescent="0.25">
      <c r="A212" s="2">
        <v>4</v>
      </c>
      <c r="B212" s="3" t="s">
        <v>22</v>
      </c>
      <c r="C212" s="3">
        <v>647</v>
      </c>
      <c r="D212" s="3">
        <v>1</v>
      </c>
      <c r="E212" s="3" t="s">
        <v>23</v>
      </c>
      <c r="F212" s="3" t="s">
        <v>24</v>
      </c>
      <c r="G212" s="3" t="str">
        <f>"2026-05-02 07:22:54.007"</f>
        <v>2026-05-02 07:22:54.007</v>
      </c>
      <c r="H212" s="3" t="s">
        <v>21</v>
      </c>
    </row>
    <row r="213" spans="1:10" s="3" customFormat="1" x14ac:dyDescent="0.25">
      <c r="A213" s="2">
        <v>5</v>
      </c>
      <c r="B213" s="3" t="s">
        <v>25</v>
      </c>
      <c r="C213" s="3">
        <v>647</v>
      </c>
      <c r="D213" s="3">
        <v>1</v>
      </c>
      <c r="E213" s="3" t="s">
        <v>23</v>
      </c>
      <c r="F213" s="3" t="s">
        <v>24</v>
      </c>
      <c r="G213" s="3" t="str">
        <f>"2026-05-02 07:22:52.308"</f>
        <v>2026-05-02 07:22:52.308</v>
      </c>
      <c r="H213" s="3" t="s">
        <v>21</v>
      </c>
      <c r="I213" s="3">
        <v>8.0500000000000007</v>
      </c>
      <c r="J213" s="3" t="s">
        <v>26</v>
      </c>
    </row>
    <row r="214" spans="1:10" x14ac:dyDescent="0.25">
      <c r="A214" s="1">
        <v>6</v>
      </c>
      <c r="B214" t="s">
        <v>19</v>
      </c>
      <c r="C214">
        <v>706</v>
      </c>
      <c r="D214">
        <v>2</v>
      </c>
      <c r="E214" t="s">
        <v>32</v>
      </c>
      <c r="F214" t="s">
        <v>33</v>
      </c>
      <c r="G214" t="str">
        <f>"2026-05-02 00:43:51.660"</f>
        <v>2026-05-02 00:43:51.660</v>
      </c>
      <c r="H214" t="s">
        <v>21</v>
      </c>
      <c r="I214">
        <v>0</v>
      </c>
      <c r="J214" t="s">
        <v>34</v>
      </c>
    </row>
    <row r="215" spans="1:10" x14ac:dyDescent="0.25">
      <c r="A215" s="1">
        <v>7</v>
      </c>
      <c r="B215" t="s">
        <v>19</v>
      </c>
      <c r="C215">
        <v>706</v>
      </c>
      <c r="D215">
        <v>4</v>
      </c>
      <c r="E215" t="s">
        <v>32</v>
      </c>
      <c r="F215" t="s">
        <v>40</v>
      </c>
      <c r="G215" t="str">
        <f>"2026-05-02 00:33:14.610"</f>
        <v>2026-05-02 00:33:14.610</v>
      </c>
      <c r="H215" t="s">
        <v>21</v>
      </c>
      <c r="I215">
        <v>0</v>
      </c>
      <c r="J215" t="s">
        <v>34</v>
      </c>
    </row>
    <row r="216" spans="1:10" x14ac:dyDescent="0.25">
      <c r="A216" s="1">
        <v>8</v>
      </c>
      <c r="B216" t="s">
        <v>19</v>
      </c>
      <c r="C216">
        <v>700</v>
      </c>
      <c r="D216">
        <v>0</v>
      </c>
      <c r="E216" t="s">
        <v>20</v>
      </c>
      <c r="F216" t="s">
        <v>20</v>
      </c>
      <c r="G216" t="str">
        <f>"2026-05-02 00:10:34.580"</f>
        <v>2026-05-02 00:10:34.580</v>
      </c>
      <c r="H216" t="s">
        <v>21</v>
      </c>
      <c r="I216">
        <v>0</v>
      </c>
      <c r="J216" t="s">
        <v>27</v>
      </c>
    </row>
    <row r="217" spans="1:10" x14ac:dyDescent="0.25">
      <c r="A217" s="1">
        <v>9</v>
      </c>
      <c r="B217" t="s">
        <v>19</v>
      </c>
      <c r="C217">
        <v>700</v>
      </c>
      <c r="D217">
        <v>0</v>
      </c>
      <c r="E217" t="s">
        <v>20</v>
      </c>
      <c r="F217" t="s">
        <v>20</v>
      </c>
      <c r="G217" t="str">
        <f>"2026-05-02 00:09:23.820"</f>
        <v>2026-05-02 00:09:23.820</v>
      </c>
      <c r="H217" t="s">
        <v>21</v>
      </c>
      <c r="I217">
        <v>0</v>
      </c>
      <c r="J217" t="s">
        <v>27</v>
      </c>
    </row>
    <row r="218" spans="1:10" x14ac:dyDescent="0.25">
      <c r="A218" s="1">
        <v>10</v>
      </c>
      <c r="B218" t="s">
        <v>19</v>
      </c>
      <c r="C218">
        <v>700</v>
      </c>
      <c r="D218">
        <v>0</v>
      </c>
      <c r="E218" t="s">
        <v>20</v>
      </c>
      <c r="F218" t="s">
        <v>20</v>
      </c>
      <c r="G218" t="str">
        <f>"2026-05-02 00:07:17.686"</f>
        <v>2026-05-02 00:07:17.686</v>
      </c>
      <c r="H218" t="s">
        <v>21</v>
      </c>
      <c r="I218">
        <v>0</v>
      </c>
      <c r="J218" t="s">
        <v>27</v>
      </c>
    </row>
    <row r="219" spans="1:10" x14ac:dyDescent="0.25">
      <c r="A219" s="1">
        <v>11</v>
      </c>
      <c r="B219" t="s">
        <v>22</v>
      </c>
      <c r="C219">
        <v>635</v>
      </c>
      <c r="D219">
        <v>1</v>
      </c>
      <c r="E219" t="s">
        <v>28</v>
      </c>
      <c r="F219" t="s">
        <v>29</v>
      </c>
      <c r="G219" t="str">
        <f>"2026-05-01 20:17:44.913"</f>
        <v>2026-05-01 20:17:44.913</v>
      </c>
      <c r="H219" t="s">
        <v>21</v>
      </c>
    </row>
    <row r="220" spans="1:10" x14ac:dyDescent="0.25">
      <c r="A220" s="1">
        <v>12</v>
      </c>
      <c r="B220" t="s">
        <v>25</v>
      </c>
      <c r="C220">
        <v>635</v>
      </c>
      <c r="D220">
        <v>1</v>
      </c>
      <c r="E220" t="s">
        <v>28</v>
      </c>
      <c r="F220" t="s">
        <v>29</v>
      </c>
      <c r="G220" t="str">
        <f>"2026-05-01 20:15:00.913"</f>
        <v>2026-05-01 20:15:00.913</v>
      </c>
      <c r="H220" t="s">
        <v>21</v>
      </c>
      <c r="I220">
        <v>4.43</v>
      </c>
      <c r="J220" t="s">
        <v>31</v>
      </c>
    </row>
    <row r="221" spans="1:10" x14ac:dyDescent="0.25">
      <c r="A221" s="1">
        <v>13</v>
      </c>
      <c r="B221" t="s">
        <v>22</v>
      </c>
      <c r="C221">
        <v>635</v>
      </c>
      <c r="D221">
        <v>1</v>
      </c>
      <c r="E221" t="s">
        <v>28</v>
      </c>
      <c r="F221" t="s">
        <v>29</v>
      </c>
      <c r="G221" t="str">
        <f>"2026-05-01 08:39:41.413"</f>
        <v>2026-05-01 08:39:41.413</v>
      </c>
      <c r="H221" t="s">
        <v>21</v>
      </c>
    </row>
    <row r="222" spans="1:10" x14ac:dyDescent="0.25">
      <c r="A222" s="1">
        <v>14</v>
      </c>
      <c r="B222" t="s">
        <v>25</v>
      </c>
      <c r="C222">
        <v>635</v>
      </c>
      <c r="D222">
        <v>1</v>
      </c>
      <c r="E222" t="s">
        <v>28</v>
      </c>
      <c r="F222" t="s">
        <v>29</v>
      </c>
      <c r="G222" t="str">
        <f>"2026-05-01 08:28:11.913"</f>
        <v>2026-05-01 08:28:11.913</v>
      </c>
      <c r="H222" t="s">
        <v>21</v>
      </c>
      <c r="I222">
        <v>9.36</v>
      </c>
      <c r="J222" t="s">
        <v>31</v>
      </c>
    </row>
    <row r="223" spans="1:10" x14ac:dyDescent="0.25">
      <c r="A223" s="1">
        <v>15</v>
      </c>
      <c r="B223" t="s">
        <v>22</v>
      </c>
      <c r="C223">
        <v>635</v>
      </c>
      <c r="D223">
        <v>1</v>
      </c>
      <c r="E223" t="s">
        <v>28</v>
      </c>
      <c r="F223" t="s">
        <v>29</v>
      </c>
      <c r="G223" t="str">
        <f>"2026-04-29 17:22:32.813"</f>
        <v>2026-04-29 17:22:32.813</v>
      </c>
      <c r="H223" t="s">
        <v>21</v>
      </c>
    </row>
    <row r="224" spans="1:10" x14ac:dyDescent="0.25">
      <c r="A224" s="1">
        <v>16</v>
      </c>
      <c r="B224" t="s">
        <v>25</v>
      </c>
      <c r="C224">
        <v>635</v>
      </c>
      <c r="D224">
        <v>1</v>
      </c>
      <c r="E224" t="s">
        <v>28</v>
      </c>
      <c r="F224" t="s">
        <v>29</v>
      </c>
      <c r="G224" t="str">
        <f>"2026-04-29 17:20:07.813"</f>
        <v>2026-04-29 17:20:07.813</v>
      </c>
      <c r="H224" t="s">
        <v>21</v>
      </c>
      <c r="I224">
        <v>5.3</v>
      </c>
      <c r="J224" t="s">
        <v>31</v>
      </c>
    </row>
    <row r="225" spans="1:10" x14ac:dyDescent="0.25">
      <c r="A225" s="1">
        <v>17</v>
      </c>
      <c r="B225" t="s">
        <v>22</v>
      </c>
      <c r="C225">
        <v>635</v>
      </c>
      <c r="D225">
        <v>1</v>
      </c>
      <c r="E225" t="s">
        <v>28</v>
      </c>
      <c r="F225" t="s">
        <v>29</v>
      </c>
      <c r="G225" t="str">
        <f>"2026-04-29 17:07:07.813"</f>
        <v>2026-04-29 17:07:07.813</v>
      </c>
      <c r="H225" t="s">
        <v>21</v>
      </c>
    </row>
    <row r="226" spans="1:10" x14ac:dyDescent="0.25">
      <c r="A226" s="1">
        <v>18</v>
      </c>
      <c r="B226" t="s">
        <v>25</v>
      </c>
      <c r="C226">
        <v>635</v>
      </c>
      <c r="D226">
        <v>1</v>
      </c>
      <c r="E226" t="s">
        <v>28</v>
      </c>
      <c r="F226" t="s">
        <v>29</v>
      </c>
      <c r="G226" t="str">
        <f>"2026-04-29 17:04:52.313"</f>
        <v>2026-04-29 17:04:52.313</v>
      </c>
      <c r="H226" t="s">
        <v>21</v>
      </c>
      <c r="I226">
        <v>7.04</v>
      </c>
      <c r="J226" t="s">
        <v>26</v>
      </c>
    </row>
    <row r="227" spans="1:10" x14ac:dyDescent="0.25">
      <c r="A227" s="1">
        <v>19</v>
      </c>
      <c r="B227" t="s">
        <v>22</v>
      </c>
      <c r="C227">
        <v>635</v>
      </c>
      <c r="D227">
        <v>1</v>
      </c>
      <c r="E227" t="s">
        <v>28</v>
      </c>
      <c r="F227" t="s">
        <v>29</v>
      </c>
      <c r="G227" t="str">
        <f>"2026-04-29 07:06:04.513"</f>
        <v>2026-04-29 07:06:04.513</v>
      </c>
      <c r="H227" t="s">
        <v>21</v>
      </c>
    </row>
    <row r="228" spans="1:10" x14ac:dyDescent="0.25">
      <c r="A228" s="1">
        <v>20</v>
      </c>
      <c r="B228" t="s">
        <v>25</v>
      </c>
      <c r="C228">
        <v>635</v>
      </c>
      <c r="D228">
        <v>1</v>
      </c>
      <c r="E228" t="s">
        <v>28</v>
      </c>
      <c r="F228" t="s">
        <v>29</v>
      </c>
      <c r="G228" t="str">
        <f>"2026-04-29 07:03:52.113"</f>
        <v>2026-04-29 07:03:52.113</v>
      </c>
      <c r="H228" t="s">
        <v>21</v>
      </c>
      <c r="I228">
        <v>3.16</v>
      </c>
      <c r="J228" t="s">
        <v>31</v>
      </c>
    </row>
    <row r="229" spans="1:10" x14ac:dyDescent="0.25">
      <c r="A229" s="1">
        <v>21</v>
      </c>
      <c r="B229" t="s">
        <v>22</v>
      </c>
      <c r="C229">
        <v>635</v>
      </c>
      <c r="D229">
        <v>1</v>
      </c>
      <c r="E229" t="s">
        <v>28</v>
      </c>
      <c r="F229" t="s">
        <v>29</v>
      </c>
      <c r="G229" t="str">
        <f>"2026-04-28 09:31:27.713"</f>
        <v>2026-04-28 09:31:27.713</v>
      </c>
      <c r="H229" t="s">
        <v>21</v>
      </c>
    </row>
    <row r="230" spans="1:10" x14ac:dyDescent="0.25">
      <c r="A230" s="1">
        <v>22</v>
      </c>
      <c r="B230" t="s">
        <v>25</v>
      </c>
      <c r="C230">
        <v>635</v>
      </c>
      <c r="D230">
        <v>1</v>
      </c>
      <c r="E230" t="s">
        <v>28</v>
      </c>
      <c r="F230" t="s">
        <v>29</v>
      </c>
      <c r="G230" t="str">
        <f>"2026-04-28 09:27:08.713"</f>
        <v>2026-04-28 09:27:08.713</v>
      </c>
      <c r="H230" t="s">
        <v>21</v>
      </c>
      <c r="I230">
        <v>6.73</v>
      </c>
      <c r="J230" t="s">
        <v>31</v>
      </c>
    </row>
    <row r="231" spans="1:10" x14ac:dyDescent="0.25">
      <c r="A231" s="1">
        <v>23</v>
      </c>
      <c r="B231" t="s">
        <v>19</v>
      </c>
      <c r="C231">
        <v>700</v>
      </c>
      <c r="D231">
        <v>0</v>
      </c>
      <c r="E231" t="s">
        <v>20</v>
      </c>
      <c r="F231" t="s">
        <v>20</v>
      </c>
      <c r="G231" t="str">
        <f>"2026-04-27 19:00:52.576"</f>
        <v>2026-04-27 19:00:52.576</v>
      </c>
      <c r="H231" t="s">
        <v>21</v>
      </c>
    </row>
    <row r="232" spans="1:10" x14ac:dyDescent="0.25">
      <c r="A232" s="1">
        <v>24</v>
      </c>
      <c r="B232" t="s">
        <v>19</v>
      </c>
      <c r="C232">
        <v>706</v>
      </c>
      <c r="D232">
        <v>2</v>
      </c>
      <c r="E232" t="s">
        <v>32</v>
      </c>
      <c r="F232" t="s">
        <v>33</v>
      </c>
      <c r="G232" t="str">
        <f>"2026-04-27 18:24:34.526"</f>
        <v>2026-04-27 18:24:34.526</v>
      </c>
      <c r="H232" t="s">
        <v>21</v>
      </c>
      <c r="I232">
        <v>0</v>
      </c>
      <c r="J232" t="s">
        <v>34</v>
      </c>
    </row>
    <row r="233" spans="1:10" x14ac:dyDescent="0.25">
      <c r="A233" s="1">
        <v>25</v>
      </c>
      <c r="B233" t="s">
        <v>19</v>
      </c>
      <c r="C233">
        <v>700</v>
      </c>
      <c r="D233">
        <v>0</v>
      </c>
      <c r="E233" t="s">
        <v>20</v>
      </c>
      <c r="F233" t="s">
        <v>20</v>
      </c>
      <c r="G233" t="str">
        <f>"2026-04-27 18:22:57.576"</f>
        <v>2026-04-27 18:22:57.576</v>
      </c>
      <c r="H233" t="s">
        <v>21</v>
      </c>
    </row>
    <row r="234" spans="1:10" x14ac:dyDescent="0.25">
      <c r="A234" s="1">
        <v>26</v>
      </c>
      <c r="B234" t="s">
        <v>19</v>
      </c>
      <c r="C234">
        <v>706</v>
      </c>
      <c r="D234">
        <v>2</v>
      </c>
      <c r="E234" t="s">
        <v>32</v>
      </c>
      <c r="F234" t="s">
        <v>33</v>
      </c>
      <c r="G234" t="str">
        <f>"2026-04-27 17:14:43.098"</f>
        <v>2026-04-27 17:14:43.098</v>
      </c>
      <c r="H234" t="s">
        <v>21</v>
      </c>
      <c r="I234">
        <v>0</v>
      </c>
      <c r="J234" t="s">
        <v>34</v>
      </c>
    </row>
    <row r="235" spans="1:10" x14ac:dyDescent="0.25">
      <c r="A235" s="1">
        <v>27</v>
      </c>
      <c r="B235" t="s">
        <v>19</v>
      </c>
      <c r="C235">
        <v>700</v>
      </c>
      <c r="D235">
        <v>0</v>
      </c>
      <c r="E235" t="s">
        <v>20</v>
      </c>
      <c r="F235" t="s">
        <v>20</v>
      </c>
      <c r="G235" t="str">
        <f>"2026-04-27 17:14:08.578"</f>
        <v>2026-04-27 17:14:08.578</v>
      </c>
      <c r="H235" t="s">
        <v>21</v>
      </c>
      <c r="I235">
        <v>0</v>
      </c>
      <c r="J235" t="s">
        <v>27</v>
      </c>
    </row>
    <row r="236" spans="1:10" x14ac:dyDescent="0.25">
      <c r="A236" s="1">
        <v>28</v>
      </c>
      <c r="B236" t="s">
        <v>22</v>
      </c>
      <c r="C236">
        <v>635</v>
      </c>
      <c r="D236">
        <v>1</v>
      </c>
      <c r="E236" t="s">
        <v>28</v>
      </c>
      <c r="F236" t="s">
        <v>29</v>
      </c>
      <c r="G236" t="str">
        <f>"2026-04-26 20:28:38.249"</f>
        <v>2026-04-26 20:28:38.249</v>
      </c>
      <c r="H236" t="s">
        <v>21</v>
      </c>
    </row>
    <row r="237" spans="1:10" x14ac:dyDescent="0.25">
      <c r="A237" s="1">
        <v>29</v>
      </c>
      <c r="B237" t="s">
        <v>25</v>
      </c>
      <c r="C237">
        <v>635</v>
      </c>
      <c r="D237">
        <v>1</v>
      </c>
      <c r="E237" t="s">
        <v>28</v>
      </c>
      <c r="F237" t="s">
        <v>29</v>
      </c>
      <c r="G237" t="str">
        <f>"2026-04-26 20:24:52.249"</f>
        <v>2026-04-26 20:24:52.249</v>
      </c>
      <c r="H237" t="s">
        <v>21</v>
      </c>
      <c r="I237">
        <v>1.0900000000000001</v>
      </c>
      <c r="J237" t="s">
        <v>30</v>
      </c>
    </row>
    <row r="238" spans="1:10" x14ac:dyDescent="0.25">
      <c r="A238" s="1">
        <v>30</v>
      </c>
      <c r="B238" t="s">
        <v>22</v>
      </c>
      <c r="C238">
        <v>635</v>
      </c>
      <c r="D238">
        <v>1</v>
      </c>
      <c r="E238" t="s">
        <v>28</v>
      </c>
      <c r="F238" t="s">
        <v>29</v>
      </c>
      <c r="G238" t="str">
        <f>"2026-04-26 03:54:29.749"</f>
        <v>2026-04-26 03:54:29.749</v>
      </c>
      <c r="H238" t="s">
        <v>21</v>
      </c>
    </row>
    <row r="239" spans="1:10" x14ac:dyDescent="0.25">
      <c r="A239" s="1">
        <v>31</v>
      </c>
      <c r="B239" t="s">
        <v>25</v>
      </c>
      <c r="C239">
        <v>635</v>
      </c>
      <c r="D239">
        <v>1</v>
      </c>
      <c r="E239" t="s">
        <v>28</v>
      </c>
      <c r="F239" t="s">
        <v>29</v>
      </c>
      <c r="G239" t="str">
        <f>"2026-04-26 03:49:34.249"</f>
        <v>2026-04-26 03:49:34.249</v>
      </c>
      <c r="H239" t="s">
        <v>21</v>
      </c>
      <c r="I239">
        <v>4.55</v>
      </c>
      <c r="J239" t="s">
        <v>31</v>
      </c>
    </row>
    <row r="240" spans="1:10" s="3" customFormat="1" x14ac:dyDescent="0.25">
      <c r="A240" s="2">
        <v>32</v>
      </c>
      <c r="B240" s="3" t="s">
        <v>22</v>
      </c>
      <c r="C240" s="3">
        <v>647</v>
      </c>
      <c r="D240" s="3">
        <v>1</v>
      </c>
      <c r="E240" s="3" t="s">
        <v>23</v>
      </c>
      <c r="F240" s="3" t="s">
        <v>24</v>
      </c>
      <c r="G240" s="3" t="str">
        <f>"2026-04-25 23:25:04.050"</f>
        <v>2026-04-25 23:25:04.050</v>
      </c>
      <c r="H240" s="3" t="s">
        <v>21</v>
      </c>
    </row>
    <row r="241" spans="1:10" s="3" customFormat="1" x14ac:dyDescent="0.25">
      <c r="A241" s="2">
        <v>33</v>
      </c>
      <c r="B241" s="3" t="s">
        <v>25</v>
      </c>
      <c r="C241" s="3">
        <v>647</v>
      </c>
      <c r="D241" s="3">
        <v>1</v>
      </c>
      <c r="E241" s="3" t="s">
        <v>23</v>
      </c>
      <c r="F241" s="3" t="s">
        <v>24</v>
      </c>
      <c r="G241" s="3" t="str">
        <f>"2026-04-25 23:25:01.750"</f>
        <v>2026-04-25 23:25:01.750</v>
      </c>
      <c r="H241" s="3" t="s">
        <v>21</v>
      </c>
      <c r="I241" s="3">
        <v>18.48</v>
      </c>
      <c r="J241" s="3" t="s">
        <v>26</v>
      </c>
    </row>
    <row r="242" spans="1:10" x14ac:dyDescent="0.25">
      <c r="A242" s="1">
        <v>34</v>
      </c>
      <c r="B242" t="s">
        <v>22</v>
      </c>
      <c r="C242">
        <v>635</v>
      </c>
      <c r="D242">
        <v>1</v>
      </c>
      <c r="E242" t="s">
        <v>28</v>
      </c>
      <c r="F242" t="s">
        <v>29</v>
      </c>
      <c r="G242" t="str">
        <f>"2026-04-25 18:27:03.949"</f>
        <v>2026-04-25 18:27:03.949</v>
      </c>
      <c r="H242" t="s">
        <v>21</v>
      </c>
    </row>
    <row r="243" spans="1:10" x14ac:dyDescent="0.25">
      <c r="A243" s="1">
        <v>35</v>
      </c>
      <c r="B243" t="s">
        <v>25</v>
      </c>
      <c r="C243">
        <v>635</v>
      </c>
      <c r="D243">
        <v>1</v>
      </c>
      <c r="E243" t="s">
        <v>28</v>
      </c>
      <c r="F243" t="s">
        <v>29</v>
      </c>
      <c r="G243" t="str">
        <f>"2026-04-25 18:23:11.449"</f>
        <v>2026-04-25 18:23:11.449</v>
      </c>
      <c r="H243" t="s">
        <v>21</v>
      </c>
      <c r="I243">
        <v>8.09</v>
      </c>
      <c r="J243" t="s">
        <v>31</v>
      </c>
    </row>
    <row r="244" spans="1:10" x14ac:dyDescent="0.25">
      <c r="A244" s="1">
        <v>36</v>
      </c>
      <c r="B244" t="s">
        <v>22</v>
      </c>
      <c r="C244">
        <v>635</v>
      </c>
      <c r="D244">
        <v>1</v>
      </c>
      <c r="E244" t="s">
        <v>28</v>
      </c>
      <c r="F244" t="s">
        <v>29</v>
      </c>
      <c r="G244" t="str">
        <f>"2026-04-25 14:44:02.949"</f>
        <v>2026-04-25 14:44:02.949</v>
      </c>
      <c r="H244" t="s">
        <v>21</v>
      </c>
    </row>
    <row r="245" spans="1:10" x14ac:dyDescent="0.25">
      <c r="A245" s="1">
        <v>37</v>
      </c>
      <c r="B245" t="s">
        <v>25</v>
      </c>
      <c r="C245">
        <v>635</v>
      </c>
      <c r="D245">
        <v>1</v>
      </c>
      <c r="E245" t="s">
        <v>28</v>
      </c>
      <c r="F245" t="s">
        <v>29</v>
      </c>
      <c r="G245" t="str">
        <f>"2026-04-25 14:42:15.449"</f>
        <v>2026-04-25 14:42:15.449</v>
      </c>
      <c r="H245" t="s">
        <v>21</v>
      </c>
      <c r="I245">
        <v>7.85</v>
      </c>
      <c r="J245" t="s">
        <v>26</v>
      </c>
    </row>
    <row r="246" spans="1:10" x14ac:dyDescent="0.25">
      <c r="A246" s="1">
        <v>38</v>
      </c>
      <c r="B246" t="s">
        <v>22</v>
      </c>
      <c r="C246">
        <v>635</v>
      </c>
      <c r="D246">
        <v>1</v>
      </c>
      <c r="E246" t="s">
        <v>28</v>
      </c>
      <c r="F246" t="s">
        <v>29</v>
      </c>
      <c r="G246" t="str">
        <f>"2026-04-25 02:20:03.949"</f>
        <v>2026-04-25 02:20:03.949</v>
      </c>
      <c r="H246" t="s">
        <v>21</v>
      </c>
    </row>
    <row r="247" spans="1:10" x14ac:dyDescent="0.25">
      <c r="A247" s="1">
        <v>39</v>
      </c>
      <c r="B247" t="s">
        <v>25</v>
      </c>
      <c r="C247">
        <v>635</v>
      </c>
      <c r="D247">
        <v>1</v>
      </c>
      <c r="E247" t="s">
        <v>28</v>
      </c>
      <c r="F247" t="s">
        <v>29</v>
      </c>
      <c r="G247" t="str">
        <f>"2026-04-25 02:18:01.449"</f>
        <v>2026-04-25 02:18:01.449</v>
      </c>
      <c r="H247" t="s">
        <v>21</v>
      </c>
      <c r="I247">
        <v>3.48</v>
      </c>
      <c r="J247" t="s">
        <v>31</v>
      </c>
    </row>
    <row r="248" spans="1:10" x14ac:dyDescent="0.25">
      <c r="A248" s="1">
        <v>40</v>
      </c>
      <c r="B248" t="s">
        <v>22</v>
      </c>
      <c r="C248">
        <v>635</v>
      </c>
      <c r="D248">
        <v>1</v>
      </c>
      <c r="E248" t="s">
        <v>28</v>
      </c>
      <c r="F248" t="s">
        <v>29</v>
      </c>
      <c r="G248" t="str">
        <f>"2026-04-24 23:38:10.249"</f>
        <v>2026-04-24 23:38:10.249</v>
      </c>
      <c r="H248" t="s">
        <v>21</v>
      </c>
    </row>
    <row r="249" spans="1:10" x14ac:dyDescent="0.25">
      <c r="A249" s="1">
        <v>41</v>
      </c>
      <c r="B249" t="s">
        <v>25</v>
      </c>
      <c r="C249">
        <v>635</v>
      </c>
      <c r="D249">
        <v>1</v>
      </c>
      <c r="E249" t="s">
        <v>28</v>
      </c>
      <c r="F249" t="s">
        <v>29</v>
      </c>
      <c r="G249" t="str">
        <f>"2026-04-24 23:33:52.249"</f>
        <v>2026-04-24 23:33:52.249</v>
      </c>
      <c r="H249" t="s">
        <v>21</v>
      </c>
      <c r="I249">
        <v>3.31</v>
      </c>
      <c r="J249" t="s">
        <v>31</v>
      </c>
    </row>
    <row r="250" spans="1:10" x14ac:dyDescent="0.25">
      <c r="A250" s="1">
        <v>42</v>
      </c>
      <c r="B250" t="s">
        <v>22</v>
      </c>
      <c r="C250">
        <v>635</v>
      </c>
      <c r="D250">
        <v>1</v>
      </c>
      <c r="E250" t="s">
        <v>28</v>
      </c>
      <c r="F250" t="s">
        <v>29</v>
      </c>
      <c r="G250" t="str">
        <f>"2026-04-24 08:20:30.149"</f>
        <v>2026-04-24 08:20:30.149</v>
      </c>
      <c r="H250" t="s">
        <v>21</v>
      </c>
    </row>
    <row r="251" spans="1:10" x14ac:dyDescent="0.25">
      <c r="A251" s="1">
        <v>43</v>
      </c>
      <c r="B251" t="s">
        <v>25</v>
      </c>
      <c r="C251">
        <v>635</v>
      </c>
      <c r="D251">
        <v>1</v>
      </c>
      <c r="E251" t="s">
        <v>28</v>
      </c>
      <c r="F251" t="s">
        <v>29</v>
      </c>
      <c r="G251" t="str">
        <f>"2026-04-24 08:15:37.749"</f>
        <v>2026-04-24 08:15:37.749</v>
      </c>
      <c r="H251" t="s">
        <v>21</v>
      </c>
      <c r="I251">
        <v>6.56</v>
      </c>
      <c r="J251" t="s">
        <v>26</v>
      </c>
    </row>
    <row r="252" spans="1:10" x14ac:dyDescent="0.25">
      <c r="A252" s="1">
        <v>44</v>
      </c>
      <c r="B252" t="s">
        <v>22</v>
      </c>
      <c r="C252">
        <v>635</v>
      </c>
      <c r="D252">
        <v>1</v>
      </c>
      <c r="E252" t="s">
        <v>28</v>
      </c>
      <c r="F252" t="s">
        <v>29</v>
      </c>
      <c r="G252" t="str">
        <f>"2026-04-24 07:06:55.849"</f>
        <v>2026-04-24 07:06:55.849</v>
      </c>
      <c r="H252" t="s">
        <v>21</v>
      </c>
    </row>
    <row r="253" spans="1:10" x14ac:dyDescent="0.25">
      <c r="A253" s="1">
        <v>45</v>
      </c>
      <c r="B253" t="s">
        <v>25</v>
      </c>
      <c r="C253">
        <v>635</v>
      </c>
      <c r="D253">
        <v>1</v>
      </c>
      <c r="E253" t="s">
        <v>28</v>
      </c>
      <c r="F253" t="s">
        <v>29</v>
      </c>
      <c r="G253" t="str">
        <f>"2026-04-24 07:05:07.849"</f>
        <v>2026-04-24 07:05:07.849</v>
      </c>
      <c r="H253" t="s">
        <v>21</v>
      </c>
      <c r="I253">
        <v>3.87</v>
      </c>
      <c r="J253" t="s">
        <v>31</v>
      </c>
    </row>
    <row r="254" spans="1:10" x14ac:dyDescent="0.25">
      <c r="A254" s="1">
        <v>46</v>
      </c>
      <c r="B254" t="s">
        <v>19</v>
      </c>
      <c r="C254">
        <v>700</v>
      </c>
      <c r="D254">
        <v>0</v>
      </c>
      <c r="E254" t="s">
        <v>20</v>
      </c>
      <c r="F254" t="s">
        <v>20</v>
      </c>
      <c r="G254" t="str">
        <f>"2026-04-23 10:17:38.609"</f>
        <v>2026-04-23 10:17:38.609</v>
      </c>
      <c r="H254" t="s">
        <v>21</v>
      </c>
      <c r="I254">
        <v>0</v>
      </c>
      <c r="J254" t="s">
        <v>27</v>
      </c>
    </row>
    <row r="255" spans="1:10" x14ac:dyDescent="0.25">
      <c r="A255" s="1">
        <v>47</v>
      </c>
      <c r="B255" t="s">
        <v>22</v>
      </c>
      <c r="C255">
        <v>635</v>
      </c>
      <c r="D255">
        <v>1</v>
      </c>
      <c r="E255" t="s">
        <v>28</v>
      </c>
      <c r="F255" t="s">
        <v>29</v>
      </c>
      <c r="G255" t="str">
        <f>"2026-04-23 08:29:26.954"</f>
        <v>2026-04-23 08:29:26.954</v>
      </c>
      <c r="H255" t="s">
        <v>21</v>
      </c>
    </row>
    <row r="256" spans="1:10" x14ac:dyDescent="0.25">
      <c r="A256" s="1">
        <v>48</v>
      </c>
      <c r="B256" t="s">
        <v>25</v>
      </c>
      <c r="C256">
        <v>635</v>
      </c>
      <c r="D256">
        <v>1</v>
      </c>
      <c r="E256" t="s">
        <v>28</v>
      </c>
      <c r="F256" t="s">
        <v>29</v>
      </c>
      <c r="G256" t="str">
        <f>"2026-04-23 08:24:32.454"</f>
        <v>2026-04-23 08:24:32.454</v>
      </c>
      <c r="H256" t="s">
        <v>21</v>
      </c>
      <c r="I256">
        <v>4.4400000000000004</v>
      </c>
      <c r="J256" t="s">
        <v>31</v>
      </c>
    </row>
    <row r="257" spans="1:10" x14ac:dyDescent="0.25">
      <c r="A257" s="1">
        <v>49</v>
      </c>
      <c r="B257" t="s">
        <v>22</v>
      </c>
      <c r="C257">
        <v>635</v>
      </c>
      <c r="D257">
        <v>1</v>
      </c>
      <c r="E257" t="s">
        <v>28</v>
      </c>
      <c r="F257" t="s">
        <v>29</v>
      </c>
      <c r="G257" t="str">
        <f>"2026-04-23 02:07:43.654"</f>
        <v>2026-04-23 02:07:43.654</v>
      </c>
      <c r="H257" t="s">
        <v>21</v>
      </c>
    </row>
    <row r="258" spans="1:10" x14ac:dyDescent="0.25">
      <c r="A258" s="1">
        <v>50</v>
      </c>
      <c r="B258" t="s">
        <v>25</v>
      </c>
      <c r="C258">
        <v>635</v>
      </c>
      <c r="D258">
        <v>1</v>
      </c>
      <c r="E258" t="s">
        <v>28</v>
      </c>
      <c r="F258" t="s">
        <v>29</v>
      </c>
      <c r="G258" t="str">
        <f>"2026-04-23 02:04:42.654"</f>
        <v>2026-04-23 02:04:42.654</v>
      </c>
      <c r="H258" t="s">
        <v>21</v>
      </c>
      <c r="I258">
        <v>0.93</v>
      </c>
      <c r="J258" t="s">
        <v>31</v>
      </c>
    </row>
    <row r="259" spans="1:10" x14ac:dyDescent="0.25">
      <c r="A259" s="1">
        <v>52</v>
      </c>
      <c r="B259" t="s">
        <v>19</v>
      </c>
      <c r="C259">
        <v>700</v>
      </c>
      <c r="D259">
        <v>0</v>
      </c>
      <c r="E259" t="s">
        <v>20</v>
      </c>
      <c r="F259" t="s">
        <v>20</v>
      </c>
      <c r="G259" t="str">
        <f>"2026-04-21 15:31:32.597"</f>
        <v>2026-04-21 15:31:32.597</v>
      </c>
      <c r="H259" t="s">
        <v>21</v>
      </c>
    </row>
    <row r="260" spans="1:10" x14ac:dyDescent="0.25">
      <c r="A260" s="1">
        <v>54</v>
      </c>
      <c r="B260" t="s">
        <v>19</v>
      </c>
      <c r="C260">
        <v>706</v>
      </c>
      <c r="D260">
        <v>2</v>
      </c>
      <c r="E260" t="s">
        <v>32</v>
      </c>
      <c r="F260" t="s">
        <v>33</v>
      </c>
      <c r="G260" t="str">
        <f>"2026-04-21 08:17:17.354"</f>
        <v>2026-04-21 08:17:17.354</v>
      </c>
      <c r="H260" t="s">
        <v>21</v>
      </c>
      <c r="I260">
        <v>0</v>
      </c>
      <c r="J260" t="s">
        <v>34</v>
      </c>
    </row>
    <row r="261" spans="1:10" x14ac:dyDescent="0.25">
      <c r="A261" s="1">
        <v>55</v>
      </c>
      <c r="B261" t="s">
        <v>19</v>
      </c>
      <c r="C261">
        <v>700</v>
      </c>
      <c r="D261">
        <v>0</v>
      </c>
      <c r="E261" t="s">
        <v>20</v>
      </c>
      <c r="F261" t="s">
        <v>20</v>
      </c>
      <c r="G261" t="str">
        <f>"2026-04-21 08:07:29.674"</f>
        <v>2026-04-21 08:07:29.674</v>
      </c>
      <c r="H261" t="s">
        <v>21</v>
      </c>
    </row>
    <row r="262" spans="1:10" x14ac:dyDescent="0.25">
      <c r="A262" s="1">
        <v>56</v>
      </c>
      <c r="B262" t="s">
        <v>19</v>
      </c>
      <c r="C262">
        <v>706</v>
      </c>
      <c r="D262">
        <v>2</v>
      </c>
      <c r="E262" t="s">
        <v>32</v>
      </c>
      <c r="F262" t="s">
        <v>33</v>
      </c>
      <c r="G262" t="str">
        <f>"2026-04-21 06:24:55.521"</f>
        <v>2026-04-21 06:24:55.521</v>
      </c>
      <c r="H262" t="s">
        <v>21</v>
      </c>
      <c r="I262">
        <v>0</v>
      </c>
      <c r="J262" t="s">
        <v>34</v>
      </c>
    </row>
    <row r="263" spans="1:10" x14ac:dyDescent="0.25">
      <c r="A263" s="1">
        <v>57</v>
      </c>
      <c r="B263" t="s">
        <v>19</v>
      </c>
      <c r="C263">
        <v>700</v>
      </c>
      <c r="D263">
        <v>0</v>
      </c>
      <c r="E263" t="s">
        <v>20</v>
      </c>
      <c r="F263" t="s">
        <v>20</v>
      </c>
      <c r="G263" t="str">
        <f>"2026-04-21 06:16:29.581"</f>
        <v>2026-04-21 06:16:29.581</v>
      </c>
      <c r="H263" t="s">
        <v>21</v>
      </c>
    </row>
    <row r="264" spans="1:10" x14ac:dyDescent="0.25">
      <c r="A264" s="1">
        <v>58</v>
      </c>
      <c r="B264" t="s">
        <v>19</v>
      </c>
      <c r="C264">
        <v>700</v>
      </c>
      <c r="D264">
        <v>0</v>
      </c>
      <c r="E264" t="s">
        <v>20</v>
      </c>
      <c r="F264" t="s">
        <v>20</v>
      </c>
      <c r="G264" t="str">
        <f>"2026-04-21 05:12:00.033"</f>
        <v>2026-04-21 05:12:00.033</v>
      </c>
      <c r="H264" t="s">
        <v>21</v>
      </c>
      <c r="I264">
        <v>0</v>
      </c>
      <c r="J264" t="s">
        <v>27</v>
      </c>
    </row>
    <row r="265" spans="1:10" x14ac:dyDescent="0.25">
      <c r="A265" s="1">
        <v>59</v>
      </c>
      <c r="B265" t="s">
        <v>19</v>
      </c>
      <c r="C265">
        <v>706</v>
      </c>
      <c r="D265">
        <v>4</v>
      </c>
      <c r="E265" t="s">
        <v>32</v>
      </c>
      <c r="F265" t="s">
        <v>40</v>
      </c>
      <c r="G265" t="str">
        <f>"2026-04-21 05:09:06.418"</f>
        <v>2026-04-21 05:09:06.418</v>
      </c>
      <c r="H265" t="s">
        <v>21</v>
      </c>
      <c r="I265">
        <v>0</v>
      </c>
      <c r="J265" t="s">
        <v>34</v>
      </c>
    </row>
    <row r="266" spans="1:10" x14ac:dyDescent="0.25">
      <c r="A266" s="1">
        <v>60</v>
      </c>
      <c r="B266" t="s">
        <v>19</v>
      </c>
      <c r="C266">
        <v>700</v>
      </c>
      <c r="D266">
        <v>0</v>
      </c>
      <c r="E266" t="s">
        <v>20</v>
      </c>
      <c r="F266" t="s">
        <v>20</v>
      </c>
      <c r="G266" t="str">
        <f>"2026-04-21 04:48:37.568"</f>
        <v>2026-04-21 04:48:37.568</v>
      </c>
      <c r="H266" t="s">
        <v>21</v>
      </c>
    </row>
    <row r="267" spans="1:10" x14ac:dyDescent="0.25">
      <c r="A267" s="1">
        <v>61</v>
      </c>
      <c r="B267" t="s">
        <v>19</v>
      </c>
      <c r="C267">
        <v>700</v>
      </c>
      <c r="D267">
        <v>0</v>
      </c>
      <c r="E267" t="s">
        <v>20</v>
      </c>
      <c r="F267" t="s">
        <v>20</v>
      </c>
      <c r="G267" t="str">
        <f>"2026-04-21 02:46:59.563"</f>
        <v>2026-04-21 02:46:59.563</v>
      </c>
      <c r="H267" t="s">
        <v>21</v>
      </c>
      <c r="I267">
        <v>0</v>
      </c>
      <c r="J267" t="s">
        <v>27</v>
      </c>
    </row>
    <row r="268" spans="1:10" x14ac:dyDescent="0.25">
      <c r="A268" s="1">
        <v>62</v>
      </c>
      <c r="B268" t="s">
        <v>19</v>
      </c>
      <c r="C268">
        <v>700</v>
      </c>
      <c r="D268">
        <v>0</v>
      </c>
      <c r="E268" t="s">
        <v>20</v>
      </c>
      <c r="F268" t="s">
        <v>20</v>
      </c>
      <c r="G268" t="str">
        <f>"2026-04-20 21:51:50.595"</f>
        <v>2026-04-20 21:51:50.595</v>
      </c>
      <c r="H268" t="s">
        <v>21</v>
      </c>
    </row>
    <row r="269" spans="1:10" x14ac:dyDescent="0.25">
      <c r="A269" s="1">
        <v>63</v>
      </c>
      <c r="B269" t="s">
        <v>19</v>
      </c>
      <c r="C269">
        <v>700</v>
      </c>
      <c r="D269">
        <v>0</v>
      </c>
      <c r="E269" t="s">
        <v>20</v>
      </c>
      <c r="F269" t="s">
        <v>20</v>
      </c>
      <c r="G269" t="str">
        <f>"2026-04-20 10:50:56.819"</f>
        <v>2026-04-20 10:50:56.819</v>
      </c>
      <c r="H269" t="s">
        <v>21</v>
      </c>
      <c r="I269">
        <v>0</v>
      </c>
      <c r="J269" t="s">
        <v>27</v>
      </c>
    </row>
    <row r="270" spans="1:10" x14ac:dyDescent="0.25">
      <c r="A270" s="1">
        <v>64</v>
      </c>
      <c r="B270" t="s">
        <v>19</v>
      </c>
      <c r="C270">
        <v>700</v>
      </c>
      <c r="D270">
        <v>0</v>
      </c>
      <c r="E270" t="s">
        <v>20</v>
      </c>
      <c r="F270" t="s">
        <v>20</v>
      </c>
      <c r="G270" t="str">
        <f>"2026-04-20 08:02:01.566"</f>
        <v>2026-04-20 08:02:01.566</v>
      </c>
      <c r="H270" t="s">
        <v>21</v>
      </c>
      <c r="I270">
        <v>0</v>
      </c>
      <c r="J270" t="s">
        <v>27</v>
      </c>
    </row>
    <row r="271" spans="1:10" x14ac:dyDescent="0.25">
      <c r="A271" s="1">
        <v>65</v>
      </c>
      <c r="B271" t="s">
        <v>22</v>
      </c>
      <c r="C271">
        <v>635</v>
      </c>
      <c r="D271">
        <v>1</v>
      </c>
      <c r="E271" t="s">
        <v>28</v>
      </c>
      <c r="F271" t="s">
        <v>29</v>
      </c>
      <c r="G271" t="str">
        <f>"2026-04-18 22:24:46.321"</f>
        <v>2026-04-18 22:24:46.321</v>
      </c>
      <c r="H271" t="s">
        <v>21</v>
      </c>
    </row>
    <row r="272" spans="1:10" x14ac:dyDescent="0.25">
      <c r="A272" s="1">
        <v>66</v>
      </c>
      <c r="B272" t="s">
        <v>25</v>
      </c>
      <c r="C272">
        <v>635</v>
      </c>
      <c r="D272">
        <v>1</v>
      </c>
      <c r="E272" t="s">
        <v>28</v>
      </c>
      <c r="F272" t="s">
        <v>29</v>
      </c>
      <c r="G272" t="str">
        <f>"2026-04-18 22:22:21.821"</f>
        <v>2026-04-18 22:22:21.821</v>
      </c>
      <c r="H272" t="s">
        <v>21</v>
      </c>
      <c r="I272">
        <v>0.64</v>
      </c>
      <c r="J272" t="s">
        <v>26</v>
      </c>
    </row>
    <row r="273" spans="1:10" x14ac:dyDescent="0.25">
      <c r="A273" s="1">
        <v>67</v>
      </c>
      <c r="B273" t="s">
        <v>19</v>
      </c>
      <c r="C273">
        <v>700</v>
      </c>
      <c r="D273">
        <v>0</v>
      </c>
      <c r="E273" t="s">
        <v>20</v>
      </c>
      <c r="F273" t="s">
        <v>20</v>
      </c>
      <c r="G273" t="str">
        <f>"2026-04-18 21:36:04.570"</f>
        <v>2026-04-18 21:36:04.570</v>
      </c>
      <c r="H273" t="s">
        <v>21</v>
      </c>
    </row>
    <row r="274" spans="1:10" x14ac:dyDescent="0.25">
      <c r="A274" s="1">
        <v>68</v>
      </c>
      <c r="B274" t="s">
        <v>19</v>
      </c>
      <c r="C274">
        <v>706</v>
      </c>
      <c r="D274">
        <v>4</v>
      </c>
      <c r="E274" t="s">
        <v>32</v>
      </c>
      <c r="F274" t="s">
        <v>40</v>
      </c>
      <c r="G274" t="str">
        <f>"2026-04-18 20:21:40.646"</f>
        <v>2026-04-18 20:21:40.646</v>
      </c>
      <c r="H274" t="s">
        <v>21</v>
      </c>
      <c r="I274">
        <v>0</v>
      </c>
      <c r="J274" t="s">
        <v>34</v>
      </c>
    </row>
    <row r="275" spans="1:10" x14ac:dyDescent="0.25">
      <c r="A275" s="1">
        <v>69</v>
      </c>
      <c r="B275" t="s">
        <v>19</v>
      </c>
      <c r="C275">
        <v>700</v>
      </c>
      <c r="D275">
        <v>0</v>
      </c>
      <c r="E275" t="s">
        <v>20</v>
      </c>
      <c r="F275" t="s">
        <v>20</v>
      </c>
      <c r="G275" t="str">
        <f>"2026-04-18 20:19:37.566"</f>
        <v>2026-04-18 20:19:37.566</v>
      </c>
      <c r="H275" t="s">
        <v>21</v>
      </c>
    </row>
    <row r="276" spans="1:10" x14ac:dyDescent="0.25">
      <c r="A276" s="1">
        <v>70</v>
      </c>
      <c r="B276" t="s">
        <v>19</v>
      </c>
      <c r="C276">
        <v>700</v>
      </c>
      <c r="D276">
        <v>0</v>
      </c>
      <c r="E276" t="s">
        <v>20</v>
      </c>
      <c r="F276" t="s">
        <v>20</v>
      </c>
      <c r="G276" t="str">
        <f>"2026-04-18 19:05:51.811"</f>
        <v>2026-04-18 19:05:51.811</v>
      </c>
      <c r="H276" t="s">
        <v>21</v>
      </c>
    </row>
    <row r="277" spans="1:10" x14ac:dyDescent="0.25">
      <c r="A277" s="1">
        <v>71</v>
      </c>
      <c r="B277" t="s">
        <v>35</v>
      </c>
      <c r="C277">
        <v>33</v>
      </c>
      <c r="D277">
        <v>1</v>
      </c>
      <c r="E277" t="s">
        <v>36</v>
      </c>
      <c r="F277" t="s">
        <v>37</v>
      </c>
      <c r="G277" t="str">
        <f>"2026-04-18 18:22:05.449"</f>
        <v>2026-04-18 18:22:05.449</v>
      </c>
      <c r="H277" t="s">
        <v>38</v>
      </c>
    </row>
    <row r="278" spans="1:10" x14ac:dyDescent="0.25">
      <c r="A278" s="1">
        <v>72</v>
      </c>
      <c r="B278" t="s">
        <v>39</v>
      </c>
      <c r="C278">
        <v>33</v>
      </c>
      <c r="D278">
        <v>1</v>
      </c>
      <c r="E278" t="s">
        <v>36</v>
      </c>
      <c r="F278" t="s">
        <v>37</v>
      </c>
      <c r="G278" t="str">
        <f>"2026-04-18 18:17:48.680"</f>
        <v>2026-04-18 18:17:48.680</v>
      </c>
      <c r="H278" t="s">
        <v>38</v>
      </c>
      <c r="I278">
        <v>-1.22</v>
      </c>
      <c r="J278" t="s">
        <v>31</v>
      </c>
    </row>
    <row r="279" spans="1:10" x14ac:dyDescent="0.25">
      <c r="A279" s="1">
        <v>73</v>
      </c>
      <c r="B279" t="s">
        <v>19</v>
      </c>
      <c r="C279">
        <v>700</v>
      </c>
      <c r="D279">
        <v>0</v>
      </c>
      <c r="E279" t="s">
        <v>20</v>
      </c>
      <c r="F279" t="s">
        <v>20</v>
      </c>
      <c r="G279" t="str">
        <f>"2026-04-18 13:57:58.590"</f>
        <v>2026-04-18 13:57:58.590</v>
      </c>
      <c r="H279" t="s">
        <v>21</v>
      </c>
    </row>
    <row r="280" spans="1:10" x14ac:dyDescent="0.25">
      <c r="A280" s="1">
        <v>74</v>
      </c>
      <c r="B280" t="s">
        <v>19</v>
      </c>
      <c r="C280">
        <v>700</v>
      </c>
      <c r="D280">
        <v>0</v>
      </c>
      <c r="E280" t="s">
        <v>20</v>
      </c>
      <c r="F280" t="s">
        <v>20</v>
      </c>
      <c r="G280" t="str">
        <f>"2026-04-17 10:37:08.565"</f>
        <v>2026-04-17 10:37:08.565</v>
      </c>
      <c r="H280" t="s">
        <v>21</v>
      </c>
    </row>
    <row r="281" spans="1:10" x14ac:dyDescent="0.25">
      <c r="A281" s="1">
        <v>75</v>
      </c>
      <c r="B281" t="s">
        <v>19</v>
      </c>
      <c r="C281">
        <v>706</v>
      </c>
      <c r="D281">
        <v>4</v>
      </c>
      <c r="E281" t="s">
        <v>32</v>
      </c>
      <c r="F281" t="s">
        <v>40</v>
      </c>
      <c r="G281" t="str">
        <f>"2026-04-16 14:00:01.256"</f>
        <v>2026-04-16 14:00:01.256</v>
      </c>
      <c r="H281" t="s">
        <v>21</v>
      </c>
      <c r="I281">
        <v>0</v>
      </c>
      <c r="J281" t="s">
        <v>34</v>
      </c>
    </row>
    <row r="282" spans="1:10" x14ac:dyDescent="0.25">
      <c r="A282" s="1">
        <v>76</v>
      </c>
      <c r="B282" t="s">
        <v>19</v>
      </c>
      <c r="C282">
        <v>706</v>
      </c>
      <c r="D282">
        <v>3</v>
      </c>
      <c r="E282" t="s">
        <v>32</v>
      </c>
      <c r="F282" t="s">
        <v>45</v>
      </c>
      <c r="G282" t="str">
        <f>"2026-04-16 13:52:11.146"</f>
        <v>2026-04-16 13:52:11.146</v>
      </c>
      <c r="H282" t="s">
        <v>21</v>
      </c>
      <c r="I282">
        <v>0</v>
      </c>
      <c r="J282" t="s">
        <v>34</v>
      </c>
    </row>
    <row r="283" spans="1:10" x14ac:dyDescent="0.25">
      <c r="A283" s="1">
        <v>77</v>
      </c>
      <c r="B283" t="s">
        <v>19</v>
      </c>
      <c r="C283">
        <v>700</v>
      </c>
      <c r="D283">
        <v>0</v>
      </c>
      <c r="E283" t="s">
        <v>20</v>
      </c>
      <c r="F283" t="s">
        <v>20</v>
      </c>
      <c r="G283" t="str">
        <f>"2026-04-16 13:51:56.586"</f>
        <v>2026-04-16 13:51:56.586</v>
      </c>
      <c r="H283" t="s">
        <v>21</v>
      </c>
      <c r="I283">
        <v>0</v>
      </c>
      <c r="J283" t="s">
        <v>27</v>
      </c>
    </row>
    <row r="284" spans="1:10" x14ac:dyDescent="0.25">
      <c r="A284" s="1">
        <v>78</v>
      </c>
      <c r="B284" t="s">
        <v>22</v>
      </c>
      <c r="C284">
        <v>635</v>
      </c>
      <c r="D284">
        <v>1</v>
      </c>
      <c r="E284" t="s">
        <v>28</v>
      </c>
      <c r="F284" t="s">
        <v>29</v>
      </c>
      <c r="G284" t="str">
        <f>"2026-04-15 23:01:32.013"</f>
        <v>2026-04-15 23:01:32.013</v>
      </c>
      <c r="H284" t="s">
        <v>21</v>
      </c>
    </row>
    <row r="285" spans="1:10" x14ac:dyDescent="0.25">
      <c r="A285" s="1">
        <v>79</v>
      </c>
      <c r="B285" t="s">
        <v>25</v>
      </c>
      <c r="C285">
        <v>635</v>
      </c>
      <c r="D285">
        <v>1</v>
      </c>
      <c r="E285" t="s">
        <v>28</v>
      </c>
      <c r="F285" t="s">
        <v>29</v>
      </c>
      <c r="G285" t="str">
        <f>"2026-04-15 22:53:36.013"</f>
        <v>2026-04-15 22:53:36.013</v>
      </c>
      <c r="H285" t="s">
        <v>21</v>
      </c>
      <c r="I285">
        <v>6.28</v>
      </c>
      <c r="J285" t="s">
        <v>31</v>
      </c>
    </row>
    <row r="286" spans="1:10" x14ac:dyDescent="0.25">
      <c r="A286" s="1">
        <v>80</v>
      </c>
      <c r="B286" t="s">
        <v>19</v>
      </c>
      <c r="C286">
        <v>700</v>
      </c>
      <c r="D286">
        <v>0</v>
      </c>
      <c r="E286" t="s">
        <v>20</v>
      </c>
      <c r="F286" t="s">
        <v>20</v>
      </c>
      <c r="G286" t="str">
        <f>"2026-04-15 15:32:23.565"</f>
        <v>2026-04-15 15:32:23.565</v>
      </c>
      <c r="H286" t="s">
        <v>21</v>
      </c>
      <c r="I286">
        <v>0</v>
      </c>
      <c r="J286" t="s">
        <v>27</v>
      </c>
    </row>
    <row r="287" spans="1:10" x14ac:dyDescent="0.25">
      <c r="A287" s="1">
        <v>81</v>
      </c>
      <c r="B287" t="s">
        <v>19</v>
      </c>
      <c r="C287">
        <v>700</v>
      </c>
      <c r="D287">
        <v>0</v>
      </c>
      <c r="E287" t="s">
        <v>20</v>
      </c>
      <c r="F287" t="s">
        <v>20</v>
      </c>
      <c r="G287" t="str">
        <f>"2026-04-15 14:55:53.808"</f>
        <v>2026-04-15 14:55:53.808</v>
      </c>
      <c r="H287" t="s">
        <v>21</v>
      </c>
      <c r="I287">
        <v>0</v>
      </c>
      <c r="J287" t="s">
        <v>27</v>
      </c>
    </row>
    <row r="288" spans="1:10" x14ac:dyDescent="0.25">
      <c r="A288" s="1">
        <v>82</v>
      </c>
      <c r="B288" t="s">
        <v>22</v>
      </c>
      <c r="C288">
        <v>635</v>
      </c>
      <c r="D288">
        <v>1</v>
      </c>
      <c r="E288" t="s">
        <v>28</v>
      </c>
      <c r="F288" t="s">
        <v>29</v>
      </c>
      <c r="G288" t="str">
        <f>"2026-04-14 20:39:42.508"</f>
        <v>2026-04-14 20:39:42.508</v>
      </c>
      <c r="H288" t="s">
        <v>21</v>
      </c>
    </row>
    <row r="289" spans="1:10" x14ac:dyDescent="0.25">
      <c r="A289" s="1">
        <v>83</v>
      </c>
      <c r="B289" t="s">
        <v>25</v>
      </c>
      <c r="C289">
        <v>635</v>
      </c>
      <c r="D289">
        <v>1</v>
      </c>
      <c r="E289" t="s">
        <v>28</v>
      </c>
      <c r="F289" t="s">
        <v>29</v>
      </c>
      <c r="G289" t="str">
        <f>"2026-04-14 20:34:42.508"</f>
        <v>2026-04-14 20:34:42.508</v>
      </c>
      <c r="H289" t="s">
        <v>21</v>
      </c>
      <c r="I289">
        <v>8.77</v>
      </c>
      <c r="J289" t="s">
        <v>26</v>
      </c>
    </row>
    <row r="290" spans="1:10" x14ac:dyDescent="0.25">
      <c r="A290" s="1">
        <v>84</v>
      </c>
      <c r="B290" t="s">
        <v>19</v>
      </c>
      <c r="C290">
        <v>700</v>
      </c>
      <c r="D290">
        <v>0</v>
      </c>
      <c r="E290" t="s">
        <v>20</v>
      </c>
      <c r="F290" t="s">
        <v>20</v>
      </c>
      <c r="G290" t="str">
        <f>"2026-04-11 14:20:58.560"</f>
        <v>2026-04-11 14:20:58.560</v>
      </c>
      <c r="H290" t="s">
        <v>21</v>
      </c>
      <c r="I290">
        <v>0</v>
      </c>
      <c r="J290" t="s">
        <v>27</v>
      </c>
    </row>
    <row r="291" spans="1:10" x14ac:dyDescent="0.25">
      <c r="A291" s="1">
        <v>85</v>
      </c>
      <c r="B291" t="s">
        <v>19</v>
      </c>
      <c r="C291">
        <v>700</v>
      </c>
      <c r="D291">
        <v>0</v>
      </c>
      <c r="E291" t="s">
        <v>20</v>
      </c>
      <c r="F291" t="s">
        <v>20</v>
      </c>
      <c r="G291" t="str">
        <f>"2026-04-11 13:49:57.554"</f>
        <v>2026-04-11 13:49:57.554</v>
      </c>
      <c r="H291" t="s">
        <v>21</v>
      </c>
    </row>
    <row r="292" spans="1:10" x14ac:dyDescent="0.25">
      <c r="A292" s="1">
        <v>86</v>
      </c>
      <c r="B292" t="s">
        <v>19</v>
      </c>
      <c r="C292">
        <v>700</v>
      </c>
      <c r="D292">
        <v>0</v>
      </c>
      <c r="E292" t="s">
        <v>20</v>
      </c>
      <c r="F292" t="s">
        <v>20</v>
      </c>
      <c r="G292" t="str">
        <f>"2026-04-11 13:01:42.578"</f>
        <v>2026-04-11 13:01:42.578</v>
      </c>
      <c r="H292" t="s">
        <v>21</v>
      </c>
    </row>
    <row r="293" spans="1:10" x14ac:dyDescent="0.25">
      <c r="A293" s="1">
        <v>87</v>
      </c>
      <c r="B293" t="s">
        <v>19</v>
      </c>
      <c r="C293">
        <v>700</v>
      </c>
      <c r="D293">
        <v>0</v>
      </c>
      <c r="E293" t="s">
        <v>20</v>
      </c>
      <c r="F293" t="s">
        <v>20</v>
      </c>
      <c r="G293" t="str">
        <f>"2026-04-10 14:26:12.545"</f>
        <v>2026-04-10 14:26:12.545</v>
      </c>
      <c r="H293" t="s">
        <v>21</v>
      </c>
    </row>
    <row r="294" spans="1:10" x14ac:dyDescent="0.25">
      <c r="A294" s="1">
        <v>88</v>
      </c>
      <c r="B294" t="s">
        <v>19</v>
      </c>
      <c r="C294">
        <v>700</v>
      </c>
      <c r="D294">
        <v>0</v>
      </c>
      <c r="E294" t="s">
        <v>20</v>
      </c>
      <c r="F294" t="s">
        <v>20</v>
      </c>
      <c r="G294" t="str">
        <f>"2026-04-10 08:39:30.551"</f>
        <v>2026-04-10 08:39:30.551</v>
      </c>
      <c r="H294" t="s">
        <v>21</v>
      </c>
      <c r="I294">
        <v>0</v>
      </c>
      <c r="J294" t="s">
        <v>27</v>
      </c>
    </row>
    <row r="295" spans="1:10" x14ac:dyDescent="0.25">
      <c r="A295" s="1">
        <v>89</v>
      </c>
      <c r="B295" t="s">
        <v>19</v>
      </c>
      <c r="C295">
        <v>700</v>
      </c>
      <c r="D295">
        <v>0</v>
      </c>
      <c r="E295" t="s">
        <v>20</v>
      </c>
      <c r="F295" t="s">
        <v>20</v>
      </c>
      <c r="G295" t="str">
        <f>"2026-04-10 07:07:19.559"</f>
        <v>2026-04-10 07:07:19.559</v>
      </c>
      <c r="H295" t="s">
        <v>21</v>
      </c>
      <c r="I295">
        <v>0</v>
      </c>
      <c r="J295" t="s">
        <v>27</v>
      </c>
    </row>
    <row r="296" spans="1:10" x14ac:dyDescent="0.25">
      <c r="A296" s="1">
        <v>90</v>
      </c>
      <c r="B296" t="s">
        <v>19</v>
      </c>
      <c r="C296">
        <v>706</v>
      </c>
      <c r="D296">
        <v>2</v>
      </c>
      <c r="E296" t="s">
        <v>32</v>
      </c>
      <c r="F296" t="s">
        <v>33</v>
      </c>
      <c r="G296" t="str">
        <f>"2026-04-10 06:33:35.432"</f>
        <v>2026-04-10 06:33:35.432</v>
      </c>
      <c r="H296" t="s">
        <v>21</v>
      </c>
      <c r="I296">
        <v>0</v>
      </c>
      <c r="J296" t="s">
        <v>34</v>
      </c>
    </row>
    <row r="297" spans="1:10" x14ac:dyDescent="0.25">
      <c r="A297" s="1">
        <v>91</v>
      </c>
      <c r="B297" t="s">
        <v>19</v>
      </c>
      <c r="C297">
        <v>700</v>
      </c>
      <c r="D297">
        <v>0</v>
      </c>
      <c r="E297" t="s">
        <v>20</v>
      </c>
      <c r="F297" t="s">
        <v>20</v>
      </c>
      <c r="G297" t="str">
        <f>"2026-04-10 06:09:23.552"</f>
        <v>2026-04-10 06:09:23.552</v>
      </c>
      <c r="H297" t="s">
        <v>21</v>
      </c>
      <c r="I297">
        <v>0</v>
      </c>
      <c r="J297" t="s">
        <v>27</v>
      </c>
    </row>
    <row r="298" spans="1:10" x14ac:dyDescent="0.25">
      <c r="A298" s="1">
        <v>92</v>
      </c>
      <c r="B298" t="s">
        <v>19</v>
      </c>
      <c r="C298">
        <v>700</v>
      </c>
      <c r="D298">
        <v>0</v>
      </c>
      <c r="E298" t="s">
        <v>20</v>
      </c>
      <c r="F298" t="s">
        <v>20</v>
      </c>
      <c r="G298" t="str">
        <f>"2026-04-10 05:05:52.837"</f>
        <v>2026-04-10 05:05:52.837</v>
      </c>
      <c r="H298" t="s">
        <v>21</v>
      </c>
    </row>
    <row r="299" spans="1:10" x14ac:dyDescent="0.25">
      <c r="A299" s="1">
        <v>93</v>
      </c>
      <c r="B299" t="s">
        <v>22</v>
      </c>
      <c r="C299">
        <v>635</v>
      </c>
      <c r="D299">
        <v>1</v>
      </c>
      <c r="E299" t="s">
        <v>28</v>
      </c>
      <c r="F299" t="s">
        <v>29</v>
      </c>
      <c r="G299" t="str">
        <f>"2026-04-09 16:51:54.764"</f>
        <v>2026-04-09 16:51:54.764</v>
      </c>
      <c r="H299" t="s">
        <v>21</v>
      </c>
    </row>
    <row r="300" spans="1:10" x14ac:dyDescent="0.25">
      <c r="A300" s="1">
        <v>94</v>
      </c>
      <c r="B300" t="s">
        <v>25</v>
      </c>
      <c r="C300">
        <v>635</v>
      </c>
      <c r="D300">
        <v>1</v>
      </c>
      <c r="E300" t="s">
        <v>28</v>
      </c>
      <c r="F300" t="s">
        <v>29</v>
      </c>
      <c r="G300" t="str">
        <f>"2026-04-09 16:47:37.764"</f>
        <v>2026-04-09 16:47:37.764</v>
      </c>
      <c r="H300" t="s">
        <v>21</v>
      </c>
      <c r="I300">
        <v>2.42</v>
      </c>
      <c r="J300" t="s">
        <v>31</v>
      </c>
    </row>
    <row r="301" spans="1:10" x14ac:dyDescent="0.25">
      <c r="A301" s="1">
        <v>95</v>
      </c>
      <c r="B301" t="s">
        <v>19</v>
      </c>
      <c r="C301">
        <v>700</v>
      </c>
      <c r="D301">
        <v>0</v>
      </c>
      <c r="E301" t="s">
        <v>20</v>
      </c>
      <c r="F301" t="s">
        <v>20</v>
      </c>
      <c r="G301" t="str">
        <f>"2026-04-09 15:20:36.543"</f>
        <v>2026-04-09 15:20:36.543</v>
      </c>
      <c r="H301" t="s">
        <v>21</v>
      </c>
      <c r="I301">
        <v>0</v>
      </c>
      <c r="J301" t="s">
        <v>27</v>
      </c>
    </row>
    <row r="302" spans="1:10" x14ac:dyDescent="0.25">
      <c r="A302" s="1">
        <v>96</v>
      </c>
      <c r="B302" t="s">
        <v>19</v>
      </c>
      <c r="C302">
        <v>700</v>
      </c>
      <c r="D302">
        <v>0</v>
      </c>
      <c r="E302" t="s">
        <v>20</v>
      </c>
      <c r="F302" t="s">
        <v>20</v>
      </c>
      <c r="G302" t="str">
        <f>"2026-04-09 13:14:10.651"</f>
        <v>2026-04-09 13:14:10.651</v>
      </c>
      <c r="H302" t="s">
        <v>21</v>
      </c>
      <c r="I302">
        <v>0</v>
      </c>
      <c r="J302" t="s">
        <v>27</v>
      </c>
    </row>
    <row r="303" spans="1:10" x14ac:dyDescent="0.25">
      <c r="A303" s="1">
        <v>97</v>
      </c>
      <c r="B303" t="s">
        <v>22</v>
      </c>
      <c r="C303">
        <v>635</v>
      </c>
      <c r="D303">
        <v>1</v>
      </c>
      <c r="E303" t="s">
        <v>28</v>
      </c>
      <c r="F303" t="s">
        <v>29</v>
      </c>
      <c r="G303" t="str">
        <f>"2026-04-09 10:49:09.517"</f>
        <v>2026-04-09 10:49:09.517</v>
      </c>
      <c r="H303" t="s">
        <v>21</v>
      </c>
    </row>
    <row r="304" spans="1:10" x14ac:dyDescent="0.25">
      <c r="A304" s="1">
        <v>98</v>
      </c>
      <c r="B304" t="s">
        <v>25</v>
      </c>
      <c r="C304">
        <v>635</v>
      </c>
      <c r="D304">
        <v>1</v>
      </c>
      <c r="E304" t="s">
        <v>28</v>
      </c>
      <c r="F304" t="s">
        <v>29</v>
      </c>
      <c r="G304" t="str">
        <f>"2026-04-09 10:45:10.017"</f>
        <v>2026-04-09 10:45:10.017</v>
      </c>
      <c r="H304" t="s">
        <v>21</v>
      </c>
      <c r="I304">
        <v>2.85</v>
      </c>
      <c r="J304" t="s">
        <v>26</v>
      </c>
    </row>
    <row r="305" spans="1:10" x14ac:dyDescent="0.25">
      <c r="A305" s="1">
        <v>99</v>
      </c>
      <c r="B305" t="s">
        <v>19</v>
      </c>
      <c r="C305">
        <v>700</v>
      </c>
      <c r="D305">
        <v>0</v>
      </c>
      <c r="E305" t="s">
        <v>20</v>
      </c>
      <c r="F305" t="s">
        <v>20</v>
      </c>
      <c r="G305" t="str">
        <f>"2026-04-08 14:08:36.559"</f>
        <v>2026-04-08 14:08:36.559</v>
      </c>
      <c r="H305" t="s">
        <v>21</v>
      </c>
      <c r="I305">
        <v>0</v>
      </c>
      <c r="J305" t="s">
        <v>27</v>
      </c>
    </row>
    <row r="306" spans="1:10" x14ac:dyDescent="0.25">
      <c r="A306" s="1">
        <v>0</v>
      </c>
      <c r="B306" t="s">
        <v>19</v>
      </c>
      <c r="C306">
        <v>700</v>
      </c>
      <c r="D306">
        <v>0</v>
      </c>
      <c r="E306" t="s">
        <v>20</v>
      </c>
      <c r="F306" t="s">
        <v>20</v>
      </c>
      <c r="G306" t="str">
        <f>"2026-04-08 13:57:12.551"</f>
        <v>2026-04-08 13:57:12.551</v>
      </c>
      <c r="H306" t="s">
        <v>21</v>
      </c>
    </row>
    <row r="307" spans="1:10" x14ac:dyDescent="0.25">
      <c r="A307" s="1">
        <v>1</v>
      </c>
      <c r="B307" t="s">
        <v>19</v>
      </c>
      <c r="C307">
        <v>700</v>
      </c>
      <c r="D307">
        <v>0</v>
      </c>
      <c r="E307" t="s">
        <v>20</v>
      </c>
      <c r="F307" t="s">
        <v>20</v>
      </c>
      <c r="G307" t="str">
        <f>"2026-04-08 13:44:27.554"</f>
        <v>2026-04-08 13:44:27.554</v>
      </c>
      <c r="H307" t="s">
        <v>21</v>
      </c>
      <c r="I307">
        <v>0</v>
      </c>
      <c r="J307" t="s">
        <v>27</v>
      </c>
    </row>
    <row r="308" spans="1:10" x14ac:dyDescent="0.25">
      <c r="A308" s="1">
        <v>2</v>
      </c>
      <c r="B308" t="s">
        <v>19</v>
      </c>
      <c r="C308">
        <v>700</v>
      </c>
      <c r="D308">
        <v>0</v>
      </c>
      <c r="E308" t="s">
        <v>20</v>
      </c>
      <c r="F308" t="s">
        <v>20</v>
      </c>
      <c r="G308" t="str">
        <f>"2026-04-08 13:20:49.596"</f>
        <v>2026-04-08 13:20:49.596</v>
      </c>
      <c r="H308" t="s">
        <v>21</v>
      </c>
      <c r="I308">
        <v>0</v>
      </c>
      <c r="J308" t="s">
        <v>27</v>
      </c>
    </row>
    <row r="309" spans="1:10" x14ac:dyDescent="0.25">
      <c r="A309" s="1">
        <v>3</v>
      </c>
      <c r="B309" t="s">
        <v>22</v>
      </c>
      <c r="C309">
        <v>635</v>
      </c>
      <c r="D309">
        <v>1</v>
      </c>
      <c r="E309" t="s">
        <v>28</v>
      </c>
      <c r="F309" t="s">
        <v>29</v>
      </c>
      <c r="G309" t="str">
        <f>"2026-04-07 03:32:09.683"</f>
        <v>2026-04-07 03:32:09.683</v>
      </c>
      <c r="H309" t="s">
        <v>21</v>
      </c>
    </row>
    <row r="310" spans="1:10" x14ac:dyDescent="0.25">
      <c r="A310" s="1">
        <v>4</v>
      </c>
      <c r="B310" t="s">
        <v>25</v>
      </c>
      <c r="C310">
        <v>635</v>
      </c>
      <c r="D310">
        <v>1</v>
      </c>
      <c r="E310" t="s">
        <v>28</v>
      </c>
      <c r="F310" t="s">
        <v>29</v>
      </c>
      <c r="G310" t="str">
        <f>"2026-04-07 03:28:28.183"</f>
        <v>2026-04-07 03:28:28.183</v>
      </c>
      <c r="H310" t="s">
        <v>21</v>
      </c>
      <c r="I310">
        <v>5.72</v>
      </c>
      <c r="J310" t="s">
        <v>30</v>
      </c>
    </row>
    <row r="311" spans="1:10" x14ac:dyDescent="0.25">
      <c r="A311" s="1">
        <v>5</v>
      </c>
      <c r="B311" t="s">
        <v>22</v>
      </c>
      <c r="C311">
        <v>635</v>
      </c>
      <c r="D311">
        <v>1</v>
      </c>
      <c r="E311" t="s">
        <v>28</v>
      </c>
      <c r="F311" t="s">
        <v>29</v>
      </c>
      <c r="G311" t="str">
        <f>"2026-04-07 00:02:39.583"</f>
        <v>2026-04-07 00:02:39.583</v>
      </c>
      <c r="H311" t="s">
        <v>21</v>
      </c>
    </row>
    <row r="312" spans="1:10" x14ac:dyDescent="0.25">
      <c r="A312" s="1">
        <v>6</v>
      </c>
      <c r="B312" t="s">
        <v>25</v>
      </c>
      <c r="C312">
        <v>635</v>
      </c>
      <c r="D312">
        <v>1</v>
      </c>
      <c r="E312" t="s">
        <v>28</v>
      </c>
      <c r="F312" t="s">
        <v>29</v>
      </c>
      <c r="G312" t="str">
        <f>"2026-04-06 23:57:32.683"</f>
        <v>2026-04-06 23:57:32.683</v>
      </c>
      <c r="H312" t="s">
        <v>21</v>
      </c>
      <c r="I312">
        <v>4</v>
      </c>
      <c r="J312" t="s">
        <v>31</v>
      </c>
    </row>
    <row r="313" spans="1:10" x14ac:dyDescent="0.25">
      <c r="A313" s="1">
        <v>8</v>
      </c>
      <c r="B313" t="s">
        <v>19</v>
      </c>
      <c r="C313">
        <v>700</v>
      </c>
      <c r="D313">
        <v>0</v>
      </c>
      <c r="E313" t="s">
        <v>20</v>
      </c>
      <c r="F313" t="s">
        <v>20</v>
      </c>
      <c r="G313" t="str">
        <f>"2026-04-06 08:47:13.575"</f>
        <v>2026-04-06 08:47:13.575</v>
      </c>
      <c r="H313" t="s">
        <v>21</v>
      </c>
      <c r="I313">
        <v>0</v>
      </c>
      <c r="J313" t="s">
        <v>27</v>
      </c>
    </row>
    <row r="314" spans="1:10" x14ac:dyDescent="0.25">
      <c r="A314" s="1">
        <v>9</v>
      </c>
      <c r="B314" t="s">
        <v>22</v>
      </c>
      <c r="C314">
        <v>635</v>
      </c>
      <c r="D314">
        <v>1</v>
      </c>
      <c r="E314" t="s">
        <v>28</v>
      </c>
      <c r="F314" t="s">
        <v>29</v>
      </c>
      <c r="G314" t="str">
        <f>"2026-04-05 17:58:16.051"</f>
        <v>2026-04-05 17:58:16.051</v>
      </c>
      <c r="H314" t="s">
        <v>21</v>
      </c>
    </row>
    <row r="315" spans="1:10" x14ac:dyDescent="0.25">
      <c r="A315" s="1">
        <v>10</v>
      </c>
      <c r="B315" t="s">
        <v>25</v>
      </c>
      <c r="C315">
        <v>635</v>
      </c>
      <c r="D315">
        <v>1</v>
      </c>
      <c r="E315" t="s">
        <v>28</v>
      </c>
      <c r="F315" t="s">
        <v>29</v>
      </c>
      <c r="G315" t="str">
        <f>"2026-04-05 17:53:54.551"</f>
        <v>2026-04-05 17:53:54.551</v>
      </c>
      <c r="H315" t="s">
        <v>21</v>
      </c>
      <c r="I315">
        <v>3.46</v>
      </c>
      <c r="J315" t="s">
        <v>31</v>
      </c>
    </row>
    <row r="316" spans="1:10" x14ac:dyDescent="0.25">
      <c r="A316" s="1">
        <v>11</v>
      </c>
      <c r="B316" t="s">
        <v>22</v>
      </c>
      <c r="C316">
        <v>635</v>
      </c>
      <c r="D316">
        <v>1</v>
      </c>
      <c r="E316" t="s">
        <v>28</v>
      </c>
      <c r="F316" t="s">
        <v>29</v>
      </c>
      <c r="G316" t="str">
        <f>"2026-04-05 13:25:25.551"</f>
        <v>2026-04-05 13:25:25.551</v>
      </c>
      <c r="H316" t="s">
        <v>21</v>
      </c>
    </row>
    <row r="317" spans="1:10" x14ac:dyDescent="0.25">
      <c r="A317" s="1">
        <v>12</v>
      </c>
      <c r="B317" t="s">
        <v>25</v>
      </c>
      <c r="C317">
        <v>635</v>
      </c>
      <c r="D317">
        <v>1</v>
      </c>
      <c r="E317" t="s">
        <v>28</v>
      </c>
      <c r="F317" t="s">
        <v>29</v>
      </c>
      <c r="G317" t="str">
        <f>"2026-04-05 13:20:20.551"</f>
        <v>2026-04-05 13:20:20.551</v>
      </c>
      <c r="H317" t="s">
        <v>21</v>
      </c>
      <c r="I317">
        <v>2.46</v>
      </c>
      <c r="J317" t="s">
        <v>31</v>
      </c>
    </row>
    <row r="318" spans="1:10" x14ac:dyDescent="0.25">
      <c r="A318" s="1">
        <v>13</v>
      </c>
      <c r="B318" t="s">
        <v>22</v>
      </c>
      <c r="C318">
        <v>635</v>
      </c>
      <c r="D318">
        <v>1</v>
      </c>
      <c r="E318" t="s">
        <v>28</v>
      </c>
      <c r="F318" t="s">
        <v>29</v>
      </c>
      <c r="G318" t="str">
        <f>"2026-04-05 13:03:07.651"</f>
        <v>2026-04-05 13:03:07.651</v>
      </c>
      <c r="H318" t="s">
        <v>21</v>
      </c>
    </row>
    <row r="319" spans="1:10" x14ac:dyDescent="0.25">
      <c r="A319" s="1">
        <v>14</v>
      </c>
      <c r="B319" t="s">
        <v>25</v>
      </c>
      <c r="C319">
        <v>635</v>
      </c>
      <c r="D319">
        <v>1</v>
      </c>
      <c r="E319" t="s">
        <v>28</v>
      </c>
      <c r="F319" t="s">
        <v>29</v>
      </c>
      <c r="G319" t="str">
        <f>"2026-04-05 12:58:34.151"</f>
        <v>2026-04-05 12:58:34.151</v>
      </c>
      <c r="H319" t="s">
        <v>21</v>
      </c>
      <c r="I319">
        <v>0.27</v>
      </c>
      <c r="J319" t="s">
        <v>30</v>
      </c>
    </row>
    <row r="320" spans="1:10" x14ac:dyDescent="0.25">
      <c r="A320" s="1">
        <v>15</v>
      </c>
      <c r="B320" t="s">
        <v>19</v>
      </c>
      <c r="C320">
        <v>700</v>
      </c>
      <c r="D320">
        <v>0</v>
      </c>
      <c r="E320" t="s">
        <v>20</v>
      </c>
      <c r="F320" t="s">
        <v>20</v>
      </c>
      <c r="G320" t="str">
        <f>"2026-04-05 10:00:17.581"</f>
        <v>2026-04-05 10:00:17.581</v>
      </c>
      <c r="H320" t="s">
        <v>21</v>
      </c>
    </row>
    <row r="321" spans="1:10" x14ac:dyDescent="0.25">
      <c r="A321" s="1">
        <v>16</v>
      </c>
      <c r="B321" t="s">
        <v>22</v>
      </c>
      <c r="C321">
        <v>635</v>
      </c>
      <c r="D321">
        <v>1</v>
      </c>
      <c r="E321" t="s">
        <v>28</v>
      </c>
      <c r="F321" t="s">
        <v>29</v>
      </c>
      <c r="G321" t="str">
        <f>"2026-04-05 05:23:48.517"</f>
        <v>2026-04-05 05:23:48.517</v>
      </c>
      <c r="H321" t="s">
        <v>21</v>
      </c>
    </row>
    <row r="322" spans="1:10" x14ac:dyDescent="0.25">
      <c r="A322" s="1">
        <v>17</v>
      </c>
      <c r="B322" t="s">
        <v>25</v>
      </c>
      <c r="C322">
        <v>635</v>
      </c>
      <c r="D322">
        <v>1</v>
      </c>
      <c r="E322" t="s">
        <v>28</v>
      </c>
      <c r="F322" t="s">
        <v>29</v>
      </c>
      <c r="G322" t="str">
        <f>"2026-04-05 05:11:01.017"</f>
        <v>2026-04-05 05:11:01.017</v>
      </c>
      <c r="H322" t="s">
        <v>21</v>
      </c>
      <c r="I322">
        <v>6.51</v>
      </c>
      <c r="J322" t="s">
        <v>31</v>
      </c>
    </row>
    <row r="323" spans="1:10" x14ac:dyDescent="0.25">
      <c r="A323" s="1">
        <v>18</v>
      </c>
      <c r="B323" t="s">
        <v>22</v>
      </c>
      <c r="C323">
        <v>635</v>
      </c>
      <c r="D323">
        <v>1</v>
      </c>
      <c r="E323" t="s">
        <v>28</v>
      </c>
      <c r="F323" t="s">
        <v>29</v>
      </c>
      <c r="G323" t="str">
        <f>"2026-04-05 03:05:09.317"</f>
        <v>2026-04-05 03:05:09.317</v>
      </c>
      <c r="H323" t="s">
        <v>21</v>
      </c>
    </row>
    <row r="324" spans="1:10" x14ac:dyDescent="0.25">
      <c r="A324" s="1">
        <v>19</v>
      </c>
      <c r="B324" t="s">
        <v>25</v>
      </c>
      <c r="C324">
        <v>635</v>
      </c>
      <c r="D324">
        <v>1</v>
      </c>
      <c r="E324" t="s">
        <v>28</v>
      </c>
      <c r="F324" t="s">
        <v>29</v>
      </c>
      <c r="G324" t="str">
        <f>"2026-04-05 02:52:22.317"</f>
        <v>2026-04-05 02:52:22.317</v>
      </c>
      <c r="H324" t="s">
        <v>21</v>
      </c>
      <c r="I324">
        <v>7.45</v>
      </c>
      <c r="J324" t="s">
        <v>31</v>
      </c>
    </row>
    <row r="325" spans="1:10" x14ac:dyDescent="0.25">
      <c r="A325" s="1">
        <v>20</v>
      </c>
      <c r="B325" t="s">
        <v>22</v>
      </c>
      <c r="C325">
        <v>635</v>
      </c>
      <c r="D325">
        <v>1</v>
      </c>
      <c r="E325" t="s">
        <v>28</v>
      </c>
      <c r="F325" t="s">
        <v>29</v>
      </c>
      <c r="G325" t="str">
        <f>"2026-04-04 15:36:49.217"</f>
        <v>2026-04-04 15:36:49.217</v>
      </c>
      <c r="H325" t="s">
        <v>21</v>
      </c>
    </row>
    <row r="326" spans="1:10" x14ac:dyDescent="0.25">
      <c r="A326" s="1">
        <v>21</v>
      </c>
      <c r="B326" t="s">
        <v>25</v>
      </c>
      <c r="C326">
        <v>635</v>
      </c>
      <c r="D326">
        <v>1</v>
      </c>
      <c r="E326" t="s">
        <v>28</v>
      </c>
      <c r="F326" t="s">
        <v>29</v>
      </c>
      <c r="G326" t="str">
        <f>"2026-04-04 15:27:18.717"</f>
        <v>2026-04-04 15:27:18.717</v>
      </c>
      <c r="H326" t="s">
        <v>21</v>
      </c>
      <c r="I326">
        <v>0.87</v>
      </c>
      <c r="J326" t="s">
        <v>26</v>
      </c>
    </row>
    <row r="327" spans="1:10" x14ac:dyDescent="0.25">
      <c r="A327" s="1">
        <v>22</v>
      </c>
      <c r="B327" t="s">
        <v>22</v>
      </c>
      <c r="C327">
        <v>635</v>
      </c>
      <c r="D327">
        <v>1</v>
      </c>
      <c r="E327" t="s">
        <v>28</v>
      </c>
      <c r="F327" t="s">
        <v>29</v>
      </c>
      <c r="G327" t="str">
        <f>"2026-04-03 11:24:23.117"</f>
        <v>2026-04-03 11:24:23.117</v>
      </c>
      <c r="H327" t="s">
        <v>21</v>
      </c>
    </row>
    <row r="328" spans="1:10" x14ac:dyDescent="0.25">
      <c r="A328" s="1">
        <v>23</v>
      </c>
      <c r="B328" t="s">
        <v>25</v>
      </c>
      <c r="C328">
        <v>635</v>
      </c>
      <c r="D328">
        <v>1</v>
      </c>
      <c r="E328" t="s">
        <v>28</v>
      </c>
      <c r="F328" t="s">
        <v>29</v>
      </c>
      <c r="G328" t="str">
        <f>"2026-04-03 11:11:38.117"</f>
        <v>2026-04-03 11:11:38.117</v>
      </c>
      <c r="H328" t="s">
        <v>21</v>
      </c>
      <c r="I328">
        <v>10.89</v>
      </c>
      <c r="J328" t="s">
        <v>26</v>
      </c>
    </row>
    <row r="329" spans="1:10" x14ac:dyDescent="0.25">
      <c r="A329" s="1">
        <v>24</v>
      </c>
      <c r="B329" t="s">
        <v>22</v>
      </c>
      <c r="C329">
        <v>635</v>
      </c>
      <c r="D329">
        <v>1</v>
      </c>
      <c r="E329" t="s">
        <v>28</v>
      </c>
      <c r="F329" t="s">
        <v>29</v>
      </c>
      <c r="G329" t="str">
        <f>"2026-04-03 09:56:17.317"</f>
        <v>2026-04-03 09:56:17.317</v>
      </c>
      <c r="H329" t="s">
        <v>21</v>
      </c>
    </row>
    <row r="330" spans="1:10" x14ac:dyDescent="0.25">
      <c r="A330" s="1">
        <v>25</v>
      </c>
      <c r="B330" t="s">
        <v>25</v>
      </c>
      <c r="C330">
        <v>635</v>
      </c>
      <c r="D330">
        <v>1</v>
      </c>
      <c r="E330" t="s">
        <v>28</v>
      </c>
      <c r="F330" t="s">
        <v>29</v>
      </c>
      <c r="G330" t="str">
        <f>"2026-04-03 09:43:13.817"</f>
        <v>2026-04-03 09:43:13.817</v>
      </c>
      <c r="H330" t="s">
        <v>21</v>
      </c>
      <c r="I330">
        <v>9.58</v>
      </c>
      <c r="J330" t="s">
        <v>26</v>
      </c>
    </row>
    <row r="331" spans="1:10" x14ac:dyDescent="0.25">
      <c r="A331" s="1">
        <v>26</v>
      </c>
      <c r="B331" t="s">
        <v>22</v>
      </c>
      <c r="C331">
        <v>635</v>
      </c>
      <c r="D331">
        <v>1</v>
      </c>
      <c r="E331" t="s">
        <v>28</v>
      </c>
      <c r="F331" t="s">
        <v>29</v>
      </c>
      <c r="G331" t="str">
        <f>"2026-04-03 07:28:32.617"</f>
        <v>2026-04-03 07:28:32.617</v>
      </c>
      <c r="H331" t="s">
        <v>21</v>
      </c>
    </row>
    <row r="332" spans="1:10" x14ac:dyDescent="0.25">
      <c r="A332" s="1">
        <v>27</v>
      </c>
      <c r="B332" t="s">
        <v>25</v>
      </c>
      <c r="C332">
        <v>635</v>
      </c>
      <c r="D332">
        <v>1</v>
      </c>
      <c r="E332" t="s">
        <v>28</v>
      </c>
      <c r="F332" t="s">
        <v>29</v>
      </c>
      <c r="G332" t="str">
        <f>"2026-04-03 07:16:35.617"</f>
        <v>2026-04-03 07:16:35.617</v>
      </c>
      <c r="H332" t="s">
        <v>21</v>
      </c>
      <c r="I332">
        <v>13.15</v>
      </c>
      <c r="J332" t="s">
        <v>26</v>
      </c>
    </row>
    <row r="333" spans="1:10" x14ac:dyDescent="0.25">
      <c r="A333" s="1">
        <v>28</v>
      </c>
      <c r="B333" t="s">
        <v>22</v>
      </c>
      <c r="C333">
        <v>635</v>
      </c>
      <c r="D333">
        <v>1</v>
      </c>
      <c r="E333" t="s">
        <v>28</v>
      </c>
      <c r="F333" t="s">
        <v>29</v>
      </c>
      <c r="G333" t="str">
        <f>"2026-04-03 02:58:37.117"</f>
        <v>2026-04-03 02:58:37.117</v>
      </c>
      <c r="H333" t="s">
        <v>21</v>
      </c>
    </row>
    <row r="334" spans="1:10" x14ac:dyDescent="0.25">
      <c r="A334" s="1">
        <v>29</v>
      </c>
      <c r="B334" t="s">
        <v>25</v>
      </c>
      <c r="C334">
        <v>635</v>
      </c>
      <c r="D334">
        <v>1</v>
      </c>
      <c r="E334" t="s">
        <v>28</v>
      </c>
      <c r="F334" t="s">
        <v>29</v>
      </c>
      <c r="G334" t="str">
        <f>"2026-04-03 02:46:18.116"</f>
        <v>2026-04-03 02:46:18.116</v>
      </c>
      <c r="H334" t="s">
        <v>21</v>
      </c>
      <c r="I334">
        <v>9.5</v>
      </c>
      <c r="J334" t="s">
        <v>30</v>
      </c>
    </row>
    <row r="335" spans="1:10" x14ac:dyDescent="0.25">
      <c r="A335" s="1">
        <v>30</v>
      </c>
      <c r="B335" t="s">
        <v>22</v>
      </c>
      <c r="C335">
        <v>635</v>
      </c>
      <c r="D335">
        <v>1</v>
      </c>
      <c r="E335" t="s">
        <v>28</v>
      </c>
      <c r="F335" t="s">
        <v>29</v>
      </c>
      <c r="G335" t="str">
        <f>"2026-04-02 23:47:39.517"</f>
        <v>2026-04-02 23:47:39.517</v>
      </c>
      <c r="H335" t="s">
        <v>21</v>
      </c>
    </row>
    <row r="336" spans="1:10" x14ac:dyDescent="0.25">
      <c r="A336" s="1">
        <v>31</v>
      </c>
      <c r="B336" t="s">
        <v>25</v>
      </c>
      <c r="C336">
        <v>635</v>
      </c>
      <c r="D336">
        <v>1</v>
      </c>
      <c r="E336" t="s">
        <v>28</v>
      </c>
      <c r="F336" t="s">
        <v>29</v>
      </c>
      <c r="G336" t="str">
        <f>"2026-04-02 23:28:19.517"</f>
        <v>2026-04-02 23:28:19.517</v>
      </c>
      <c r="H336" t="s">
        <v>21</v>
      </c>
      <c r="I336">
        <v>16.88</v>
      </c>
      <c r="J336" t="s">
        <v>26</v>
      </c>
    </row>
    <row r="337" spans="1:10" x14ac:dyDescent="0.25">
      <c r="A337" s="1">
        <v>32</v>
      </c>
      <c r="B337" t="s">
        <v>22</v>
      </c>
      <c r="C337">
        <v>635</v>
      </c>
      <c r="D337">
        <v>1</v>
      </c>
      <c r="E337" t="s">
        <v>28</v>
      </c>
      <c r="F337" t="s">
        <v>29</v>
      </c>
      <c r="G337" t="str">
        <f>"2026-04-02 21:55:55.217"</f>
        <v>2026-04-02 21:55:55.217</v>
      </c>
      <c r="H337" t="s">
        <v>21</v>
      </c>
    </row>
    <row r="338" spans="1:10" s="3" customFormat="1" x14ac:dyDescent="0.25">
      <c r="A338" s="2">
        <v>33</v>
      </c>
      <c r="B338" s="3" t="s">
        <v>22</v>
      </c>
      <c r="C338" s="3">
        <v>647</v>
      </c>
      <c r="D338" s="3">
        <v>1</v>
      </c>
      <c r="E338" s="3" t="s">
        <v>23</v>
      </c>
      <c r="F338" s="3" t="s">
        <v>24</v>
      </c>
      <c r="G338" s="3" t="str">
        <f>"2026-04-02 21:43:58.218"</f>
        <v>2026-04-02 21:43:58.218</v>
      </c>
      <c r="H338" s="3" t="s">
        <v>21</v>
      </c>
    </row>
    <row r="339" spans="1:10" x14ac:dyDescent="0.25">
      <c r="A339" s="1">
        <v>34</v>
      </c>
      <c r="B339" t="s">
        <v>22</v>
      </c>
      <c r="C339">
        <v>61</v>
      </c>
      <c r="D339">
        <v>2</v>
      </c>
      <c r="E339" t="s">
        <v>46</v>
      </c>
      <c r="F339" t="s">
        <v>47</v>
      </c>
      <c r="G339" t="str">
        <f>"2026-04-02 21:43:56.930"</f>
        <v>2026-04-02 21:43:56.930</v>
      </c>
      <c r="H339" t="s">
        <v>21</v>
      </c>
    </row>
    <row r="340" spans="1:10" s="3" customFormat="1" x14ac:dyDescent="0.25">
      <c r="A340" s="2">
        <v>35</v>
      </c>
      <c r="B340" s="3" t="s">
        <v>25</v>
      </c>
      <c r="C340" s="3">
        <v>647</v>
      </c>
      <c r="D340" s="3">
        <v>1</v>
      </c>
      <c r="E340" s="3" t="s">
        <v>23</v>
      </c>
      <c r="F340" s="3" t="s">
        <v>24</v>
      </c>
      <c r="G340" s="3" t="str">
        <f>"2026-04-02 21:43:55.618"</f>
        <v>2026-04-02 21:43:55.618</v>
      </c>
      <c r="H340" s="3" t="s">
        <v>21</v>
      </c>
      <c r="I340" s="3">
        <v>28.35</v>
      </c>
      <c r="J340" s="3" t="s">
        <v>26</v>
      </c>
    </row>
    <row r="341" spans="1:10" x14ac:dyDescent="0.25">
      <c r="A341" s="1">
        <v>36</v>
      </c>
      <c r="B341" t="s">
        <v>39</v>
      </c>
      <c r="C341">
        <v>61</v>
      </c>
      <c r="D341">
        <v>2</v>
      </c>
      <c r="E341" t="s">
        <v>46</v>
      </c>
      <c r="F341" t="s">
        <v>47</v>
      </c>
      <c r="G341" t="str">
        <f>"2026-04-02 21:43:53.930"</f>
        <v>2026-04-02 21:43:53.930</v>
      </c>
      <c r="H341" t="s">
        <v>21</v>
      </c>
      <c r="I341">
        <v>31.14</v>
      </c>
      <c r="J341" t="s">
        <v>26</v>
      </c>
    </row>
    <row r="342" spans="1:10" x14ac:dyDescent="0.25">
      <c r="A342" s="1">
        <v>37</v>
      </c>
      <c r="B342" t="s">
        <v>25</v>
      </c>
      <c r="C342">
        <v>635</v>
      </c>
      <c r="D342">
        <v>1</v>
      </c>
      <c r="E342" t="s">
        <v>28</v>
      </c>
      <c r="F342" t="s">
        <v>29</v>
      </c>
      <c r="G342" t="str">
        <f>"2026-04-02 21:43:43.717"</f>
        <v>2026-04-02 21:43:43.717</v>
      </c>
      <c r="H342" t="s">
        <v>21</v>
      </c>
      <c r="I342">
        <v>25.32</v>
      </c>
      <c r="J342" t="s">
        <v>26</v>
      </c>
    </row>
    <row r="343" spans="1:10" x14ac:dyDescent="0.25">
      <c r="A343" s="1">
        <v>38</v>
      </c>
      <c r="B343" t="s">
        <v>22</v>
      </c>
      <c r="C343">
        <v>635</v>
      </c>
      <c r="D343">
        <v>1</v>
      </c>
      <c r="E343" t="s">
        <v>28</v>
      </c>
      <c r="F343" t="s">
        <v>29</v>
      </c>
      <c r="G343" t="str">
        <f>"2026-04-02 21:28:58.817"</f>
        <v>2026-04-02 21:28:58.817</v>
      </c>
      <c r="H343" t="s">
        <v>21</v>
      </c>
    </row>
    <row r="344" spans="1:10" x14ac:dyDescent="0.25">
      <c r="A344" s="1">
        <v>39</v>
      </c>
      <c r="B344" t="s">
        <v>25</v>
      </c>
      <c r="C344">
        <v>635</v>
      </c>
      <c r="D344">
        <v>1</v>
      </c>
      <c r="E344" t="s">
        <v>28</v>
      </c>
      <c r="F344" t="s">
        <v>29</v>
      </c>
      <c r="G344" t="str">
        <f>"2026-04-02 21:16:26.817"</f>
        <v>2026-04-02 21:16:26.817</v>
      </c>
      <c r="H344" t="s">
        <v>21</v>
      </c>
      <c r="I344">
        <v>12.25</v>
      </c>
      <c r="J344" t="s">
        <v>26</v>
      </c>
    </row>
    <row r="345" spans="1:10" x14ac:dyDescent="0.25">
      <c r="A345" s="1">
        <v>40</v>
      </c>
      <c r="B345" t="s">
        <v>22</v>
      </c>
      <c r="C345">
        <v>61</v>
      </c>
      <c r="D345">
        <v>2</v>
      </c>
      <c r="E345" t="s">
        <v>46</v>
      </c>
      <c r="F345" t="s">
        <v>47</v>
      </c>
      <c r="G345" t="str">
        <f>"2026-04-02 10:55:40.630"</f>
        <v>2026-04-02 10:55:40.630</v>
      </c>
      <c r="H345" t="s">
        <v>21</v>
      </c>
    </row>
    <row r="346" spans="1:10" s="3" customFormat="1" x14ac:dyDescent="0.25">
      <c r="A346" s="2">
        <v>41</v>
      </c>
      <c r="B346" s="3" t="s">
        <v>22</v>
      </c>
      <c r="C346" s="3">
        <v>647</v>
      </c>
      <c r="D346" s="3">
        <v>1</v>
      </c>
      <c r="E346" s="3" t="s">
        <v>23</v>
      </c>
      <c r="F346" s="3" t="s">
        <v>24</v>
      </c>
      <c r="G346" s="3" t="str">
        <f>"2026-04-02 10:55:29.018"</f>
        <v>2026-04-02 10:55:29.018</v>
      </c>
      <c r="H346" s="3" t="s">
        <v>21</v>
      </c>
    </row>
    <row r="347" spans="1:10" s="3" customFormat="1" x14ac:dyDescent="0.25">
      <c r="A347" s="2">
        <v>42</v>
      </c>
      <c r="B347" s="3" t="s">
        <v>25</v>
      </c>
      <c r="C347" s="3">
        <v>647</v>
      </c>
      <c r="D347" s="3">
        <v>1</v>
      </c>
      <c r="E347" s="3" t="s">
        <v>23</v>
      </c>
      <c r="F347" s="3" t="s">
        <v>24</v>
      </c>
      <c r="G347" s="3" t="str">
        <f>"2026-04-02 10:55:27.118"</f>
        <v>2026-04-02 10:55:27.118</v>
      </c>
      <c r="H347" s="3" t="s">
        <v>21</v>
      </c>
      <c r="I347" s="3">
        <v>27.12</v>
      </c>
      <c r="J347" s="3" t="s">
        <v>26</v>
      </c>
    </row>
    <row r="348" spans="1:10" s="3" customFormat="1" x14ac:dyDescent="0.25">
      <c r="A348" s="2">
        <v>43</v>
      </c>
      <c r="B348" s="3" t="s">
        <v>22</v>
      </c>
      <c r="C348" s="3">
        <v>647</v>
      </c>
      <c r="D348" s="3">
        <v>1</v>
      </c>
      <c r="E348" s="3" t="s">
        <v>23</v>
      </c>
      <c r="F348" s="3" t="s">
        <v>24</v>
      </c>
      <c r="G348" s="3" t="str">
        <f>"2026-04-02 10:55:19.218"</f>
        <v>2026-04-02 10:55:19.218</v>
      </c>
      <c r="H348" s="3" t="s">
        <v>21</v>
      </c>
    </row>
    <row r="349" spans="1:10" s="3" customFormat="1" x14ac:dyDescent="0.25">
      <c r="A349" s="2">
        <v>44</v>
      </c>
      <c r="B349" s="3" t="s">
        <v>25</v>
      </c>
      <c r="C349" s="3">
        <v>647</v>
      </c>
      <c r="D349" s="3">
        <v>1</v>
      </c>
      <c r="E349" s="3" t="s">
        <v>23</v>
      </c>
      <c r="F349" s="3" t="s">
        <v>24</v>
      </c>
      <c r="G349" s="3" t="str">
        <f>"2026-04-02 10:55:18.118"</f>
        <v>2026-04-02 10:55:18.118</v>
      </c>
      <c r="H349" s="3" t="s">
        <v>21</v>
      </c>
      <c r="I349" s="3">
        <v>28.73</v>
      </c>
      <c r="J349" s="3" t="s">
        <v>26</v>
      </c>
    </row>
    <row r="350" spans="1:10" s="3" customFormat="1" x14ac:dyDescent="0.25">
      <c r="A350" s="2">
        <v>45</v>
      </c>
      <c r="B350" s="3" t="s">
        <v>22</v>
      </c>
      <c r="C350" s="3">
        <v>647</v>
      </c>
      <c r="D350" s="3">
        <v>1</v>
      </c>
      <c r="E350" s="3" t="s">
        <v>23</v>
      </c>
      <c r="F350" s="3" t="s">
        <v>24</v>
      </c>
      <c r="G350" s="3" t="str">
        <f>"2026-04-02 10:55:12.218"</f>
        <v>2026-04-02 10:55:12.218</v>
      </c>
      <c r="H350" s="3" t="s">
        <v>21</v>
      </c>
    </row>
    <row r="351" spans="1:10" s="3" customFormat="1" x14ac:dyDescent="0.25">
      <c r="A351" s="2">
        <v>46</v>
      </c>
      <c r="B351" s="3" t="s">
        <v>25</v>
      </c>
      <c r="C351" s="3">
        <v>647</v>
      </c>
      <c r="D351" s="3">
        <v>1</v>
      </c>
      <c r="E351" s="3" t="s">
        <v>23</v>
      </c>
      <c r="F351" s="3" t="s">
        <v>24</v>
      </c>
      <c r="G351" s="3" t="str">
        <f>"2026-04-02 10:55:11.118"</f>
        <v>2026-04-02 10:55:11.118</v>
      </c>
      <c r="H351" s="3" t="s">
        <v>21</v>
      </c>
      <c r="I351" s="3">
        <v>33.1</v>
      </c>
      <c r="J351" s="3" t="s">
        <v>26</v>
      </c>
    </row>
    <row r="352" spans="1:10" x14ac:dyDescent="0.25">
      <c r="A352" s="1">
        <v>47</v>
      </c>
      <c r="B352" t="s">
        <v>39</v>
      </c>
      <c r="C352">
        <v>61</v>
      </c>
      <c r="D352">
        <v>2</v>
      </c>
      <c r="E352" t="s">
        <v>46</v>
      </c>
      <c r="F352" t="s">
        <v>47</v>
      </c>
      <c r="G352" t="str">
        <f>"2026-04-02 10:55:02.330"</f>
        <v>2026-04-02 10:55:02.330</v>
      </c>
      <c r="H352" t="s">
        <v>21</v>
      </c>
      <c r="I352">
        <v>31.45</v>
      </c>
      <c r="J352" t="s">
        <v>26</v>
      </c>
    </row>
    <row r="353" spans="1:10" x14ac:dyDescent="0.25">
      <c r="A353" s="1">
        <v>48</v>
      </c>
      <c r="B353" t="s">
        <v>22</v>
      </c>
      <c r="C353">
        <v>61</v>
      </c>
      <c r="D353">
        <v>2</v>
      </c>
      <c r="E353" t="s">
        <v>46</v>
      </c>
      <c r="F353" t="s">
        <v>47</v>
      </c>
      <c r="G353" t="str">
        <f>"2026-04-02 10:54:47.930"</f>
        <v>2026-04-02 10:54:47.930</v>
      </c>
      <c r="H353" t="s">
        <v>21</v>
      </c>
    </row>
    <row r="354" spans="1:10" x14ac:dyDescent="0.25">
      <c r="A354" s="1">
        <v>49</v>
      </c>
      <c r="B354" t="s">
        <v>39</v>
      </c>
      <c r="C354">
        <v>61</v>
      </c>
      <c r="D354">
        <v>2</v>
      </c>
      <c r="E354" t="s">
        <v>46</v>
      </c>
      <c r="F354" t="s">
        <v>47</v>
      </c>
      <c r="G354" t="str">
        <f>"2026-04-02 10:54:41.130"</f>
        <v>2026-04-02 10:54:41.130</v>
      </c>
      <c r="H354" t="s">
        <v>21</v>
      </c>
      <c r="I354">
        <v>29.87</v>
      </c>
      <c r="J354" t="s">
        <v>26</v>
      </c>
    </row>
    <row r="355" spans="1:10" x14ac:dyDescent="0.25">
      <c r="A355" s="1">
        <v>50</v>
      </c>
      <c r="B355" t="s">
        <v>22</v>
      </c>
      <c r="C355">
        <v>635</v>
      </c>
      <c r="D355">
        <v>1</v>
      </c>
      <c r="E355" t="s">
        <v>28</v>
      </c>
      <c r="F355" t="s">
        <v>29</v>
      </c>
      <c r="G355" t="str">
        <f>"2026-04-02 06:05:12.717"</f>
        <v>2026-04-02 06:05:12.717</v>
      </c>
      <c r="H355" t="s">
        <v>21</v>
      </c>
    </row>
    <row r="356" spans="1:10" x14ac:dyDescent="0.25">
      <c r="A356" s="1">
        <v>51</v>
      </c>
      <c r="B356" t="s">
        <v>25</v>
      </c>
      <c r="C356">
        <v>635</v>
      </c>
      <c r="D356">
        <v>1</v>
      </c>
      <c r="E356" t="s">
        <v>28</v>
      </c>
      <c r="F356" t="s">
        <v>29</v>
      </c>
      <c r="G356" t="str">
        <f>"2026-04-02 05:53:00.717"</f>
        <v>2026-04-02 05:53:00.717</v>
      </c>
      <c r="H356" t="s">
        <v>21</v>
      </c>
      <c r="I356">
        <v>13.15</v>
      </c>
      <c r="J356" t="s">
        <v>26</v>
      </c>
    </row>
    <row r="357" spans="1:10" x14ac:dyDescent="0.25">
      <c r="A357" s="1">
        <v>52</v>
      </c>
      <c r="B357" t="s">
        <v>22</v>
      </c>
      <c r="C357">
        <v>635</v>
      </c>
      <c r="D357">
        <v>1</v>
      </c>
      <c r="E357" t="s">
        <v>28</v>
      </c>
      <c r="F357" t="s">
        <v>29</v>
      </c>
      <c r="G357" t="str">
        <f>"2026-04-01 22:21:30.617"</f>
        <v>2026-04-01 22:21:30.617</v>
      </c>
      <c r="H357" t="s">
        <v>21</v>
      </c>
    </row>
    <row r="358" spans="1:10" x14ac:dyDescent="0.25">
      <c r="A358" s="1">
        <v>53</v>
      </c>
      <c r="B358" t="s">
        <v>25</v>
      </c>
      <c r="C358">
        <v>635</v>
      </c>
      <c r="D358">
        <v>1</v>
      </c>
      <c r="E358" t="s">
        <v>28</v>
      </c>
      <c r="F358" t="s">
        <v>29</v>
      </c>
      <c r="G358" t="str">
        <f>"2026-04-01 22:08:32.617"</f>
        <v>2026-04-01 22:08:32.617</v>
      </c>
      <c r="H358" t="s">
        <v>21</v>
      </c>
      <c r="I358">
        <v>14.35</v>
      </c>
      <c r="J358" t="s">
        <v>26</v>
      </c>
    </row>
    <row r="359" spans="1:10" x14ac:dyDescent="0.25">
      <c r="A359" s="1">
        <v>54</v>
      </c>
      <c r="B359" t="s">
        <v>22</v>
      </c>
      <c r="C359">
        <v>61</v>
      </c>
      <c r="D359">
        <v>2</v>
      </c>
      <c r="E359" t="s">
        <v>46</v>
      </c>
      <c r="F359" t="s">
        <v>47</v>
      </c>
      <c r="G359" t="str">
        <f>"2026-04-01 00:51:28.330"</f>
        <v>2026-04-01 00:51:28.330</v>
      </c>
      <c r="H359" t="s">
        <v>21</v>
      </c>
    </row>
    <row r="360" spans="1:10" x14ac:dyDescent="0.25">
      <c r="A360" s="1">
        <v>55</v>
      </c>
      <c r="B360" t="s">
        <v>39</v>
      </c>
      <c r="C360">
        <v>61</v>
      </c>
      <c r="D360">
        <v>2</v>
      </c>
      <c r="E360" t="s">
        <v>46</v>
      </c>
      <c r="F360" t="s">
        <v>47</v>
      </c>
      <c r="G360" t="str">
        <f>"2026-04-01 00:51:23.830"</f>
        <v>2026-04-01 00:51:23.830</v>
      </c>
      <c r="H360" t="s">
        <v>21</v>
      </c>
      <c r="I360">
        <v>29.39</v>
      </c>
      <c r="J360" t="s">
        <v>26</v>
      </c>
    </row>
    <row r="361" spans="1:10" x14ac:dyDescent="0.25">
      <c r="A361" s="1">
        <v>56</v>
      </c>
      <c r="B361" t="s">
        <v>22</v>
      </c>
      <c r="C361">
        <v>635</v>
      </c>
      <c r="D361">
        <v>1</v>
      </c>
      <c r="E361" t="s">
        <v>28</v>
      </c>
      <c r="F361" t="s">
        <v>29</v>
      </c>
      <c r="G361" t="str">
        <f>"2026-03-31 23:31:22.917"</f>
        <v>2026-03-31 23:31:22.917</v>
      </c>
      <c r="H361" t="s">
        <v>21</v>
      </c>
    </row>
    <row r="362" spans="1:10" x14ac:dyDescent="0.25">
      <c r="A362" s="1">
        <v>57</v>
      </c>
      <c r="B362" t="s">
        <v>25</v>
      </c>
      <c r="C362">
        <v>635</v>
      </c>
      <c r="D362">
        <v>1</v>
      </c>
      <c r="E362" t="s">
        <v>28</v>
      </c>
      <c r="F362" t="s">
        <v>29</v>
      </c>
      <c r="G362" t="str">
        <f>"2026-03-31 23:23:13.917"</f>
        <v>2026-03-31 23:23:13.917</v>
      </c>
      <c r="H362" t="s">
        <v>21</v>
      </c>
      <c r="I362">
        <v>7.83</v>
      </c>
      <c r="J362" t="s">
        <v>26</v>
      </c>
    </row>
    <row r="363" spans="1:10" s="3" customFormat="1" x14ac:dyDescent="0.25">
      <c r="A363" s="2">
        <v>58</v>
      </c>
      <c r="B363" s="3" t="s">
        <v>22</v>
      </c>
      <c r="C363" s="3">
        <v>647</v>
      </c>
      <c r="D363" s="3">
        <v>1</v>
      </c>
      <c r="E363" s="3" t="s">
        <v>23</v>
      </c>
      <c r="F363" s="3" t="s">
        <v>24</v>
      </c>
      <c r="G363" s="3" t="str">
        <f>"2026-03-31 09:06:24.118"</f>
        <v>2026-03-31 09:06:24.118</v>
      </c>
      <c r="H363" s="3" t="s">
        <v>21</v>
      </c>
    </row>
    <row r="364" spans="1:10" x14ac:dyDescent="0.25">
      <c r="A364" s="1">
        <v>59</v>
      </c>
      <c r="B364" t="s">
        <v>22</v>
      </c>
      <c r="C364">
        <v>61</v>
      </c>
      <c r="D364">
        <v>2</v>
      </c>
      <c r="E364" t="s">
        <v>46</v>
      </c>
      <c r="F364" t="s">
        <v>47</v>
      </c>
      <c r="G364" t="str">
        <f>"2026-03-31 09:06:19.430"</f>
        <v>2026-03-31 09:06:19.430</v>
      </c>
      <c r="H364" t="s">
        <v>21</v>
      </c>
    </row>
    <row r="365" spans="1:10" s="3" customFormat="1" x14ac:dyDescent="0.25">
      <c r="A365" s="2">
        <v>60</v>
      </c>
      <c r="B365" s="3" t="s">
        <v>25</v>
      </c>
      <c r="C365" s="3">
        <v>647</v>
      </c>
      <c r="D365" s="3">
        <v>1</v>
      </c>
      <c r="E365" s="3" t="s">
        <v>23</v>
      </c>
      <c r="F365" s="3" t="s">
        <v>24</v>
      </c>
      <c r="G365" s="3" t="str">
        <f>"2026-03-31 09:06:18.818"</f>
        <v>2026-03-31 09:06:18.818</v>
      </c>
      <c r="H365" s="3" t="s">
        <v>21</v>
      </c>
      <c r="I365" s="3">
        <v>26.04</v>
      </c>
      <c r="J365" s="3" t="s">
        <v>26</v>
      </c>
    </row>
    <row r="366" spans="1:10" x14ac:dyDescent="0.25">
      <c r="A366" s="1">
        <v>61</v>
      </c>
      <c r="B366" t="s">
        <v>39</v>
      </c>
      <c r="C366">
        <v>61</v>
      </c>
      <c r="D366">
        <v>2</v>
      </c>
      <c r="E366" t="s">
        <v>46</v>
      </c>
      <c r="F366" t="s">
        <v>47</v>
      </c>
      <c r="G366" t="str">
        <f>"2026-03-31 09:05:58.130"</f>
        <v>2026-03-31 09:05:58.130</v>
      </c>
      <c r="H366" t="s">
        <v>21</v>
      </c>
      <c r="I366">
        <v>30.9</v>
      </c>
      <c r="J366" t="s">
        <v>26</v>
      </c>
    </row>
    <row r="367" spans="1:10" x14ac:dyDescent="0.25">
      <c r="A367" s="1">
        <v>62</v>
      </c>
      <c r="B367" t="s">
        <v>22</v>
      </c>
      <c r="C367">
        <v>635</v>
      </c>
      <c r="D367">
        <v>1</v>
      </c>
      <c r="E367" t="s">
        <v>28</v>
      </c>
      <c r="F367" t="s">
        <v>29</v>
      </c>
      <c r="G367" t="str">
        <f>"2026-03-31 05:16:36.117"</f>
        <v>2026-03-31 05:16:36.117</v>
      </c>
      <c r="H367" t="s">
        <v>21</v>
      </c>
    </row>
    <row r="368" spans="1:10" x14ac:dyDescent="0.25">
      <c r="A368" s="1">
        <v>63</v>
      </c>
      <c r="B368" t="s">
        <v>25</v>
      </c>
      <c r="C368">
        <v>635</v>
      </c>
      <c r="D368">
        <v>1</v>
      </c>
      <c r="E368" t="s">
        <v>28</v>
      </c>
      <c r="F368" t="s">
        <v>29</v>
      </c>
      <c r="G368" t="str">
        <f>"2026-03-31 05:09:08.617"</f>
        <v>2026-03-31 05:09:08.617</v>
      </c>
      <c r="H368" t="s">
        <v>21</v>
      </c>
      <c r="I368">
        <v>5.18</v>
      </c>
      <c r="J368" t="s">
        <v>26</v>
      </c>
    </row>
    <row r="369" spans="1:10" x14ac:dyDescent="0.25">
      <c r="A369" s="1">
        <v>64</v>
      </c>
      <c r="B369" t="s">
        <v>22</v>
      </c>
      <c r="C369">
        <v>635</v>
      </c>
      <c r="D369">
        <v>1</v>
      </c>
      <c r="E369" t="s">
        <v>28</v>
      </c>
      <c r="F369" t="s">
        <v>29</v>
      </c>
      <c r="G369" t="str">
        <f>"2026-03-30 22:55:35.917"</f>
        <v>2026-03-30 22:55:35.917</v>
      </c>
      <c r="H369" t="s">
        <v>21</v>
      </c>
    </row>
    <row r="370" spans="1:10" x14ac:dyDescent="0.25">
      <c r="A370" s="1">
        <v>65</v>
      </c>
      <c r="B370" t="s">
        <v>25</v>
      </c>
      <c r="C370">
        <v>635</v>
      </c>
      <c r="D370">
        <v>1</v>
      </c>
      <c r="E370" t="s">
        <v>28</v>
      </c>
      <c r="F370" t="s">
        <v>29</v>
      </c>
      <c r="G370" t="str">
        <f>"2026-03-30 22:53:11.918"</f>
        <v>2026-03-30 22:53:11.918</v>
      </c>
      <c r="H370" t="s">
        <v>21</v>
      </c>
      <c r="I370">
        <v>7.9</v>
      </c>
      <c r="J370" t="s">
        <v>31</v>
      </c>
    </row>
    <row r="371" spans="1:10" x14ac:dyDescent="0.25">
      <c r="A371" s="1">
        <v>66</v>
      </c>
      <c r="B371" t="s">
        <v>19</v>
      </c>
      <c r="C371">
        <v>700</v>
      </c>
      <c r="D371">
        <v>0</v>
      </c>
      <c r="E371" t="s">
        <v>20</v>
      </c>
      <c r="F371" t="s">
        <v>20</v>
      </c>
      <c r="G371" t="str">
        <f>"2026-03-30 18:13:06.537"</f>
        <v>2026-03-30 18:13:06.537</v>
      </c>
      <c r="H371" t="s">
        <v>21</v>
      </c>
      <c r="I371">
        <v>0</v>
      </c>
      <c r="J371" t="s">
        <v>27</v>
      </c>
    </row>
    <row r="372" spans="1:10" x14ac:dyDescent="0.25">
      <c r="A372" s="1">
        <v>67</v>
      </c>
      <c r="B372" t="s">
        <v>19</v>
      </c>
      <c r="C372">
        <v>706</v>
      </c>
      <c r="D372">
        <v>4</v>
      </c>
      <c r="E372" t="s">
        <v>32</v>
      </c>
      <c r="F372" t="s">
        <v>40</v>
      </c>
      <c r="G372" t="str">
        <f>"2026-03-30 16:11:11.050"</f>
        <v>2026-03-30 16:11:11.050</v>
      </c>
      <c r="H372" t="s">
        <v>21</v>
      </c>
      <c r="I372">
        <v>0</v>
      </c>
      <c r="J372" t="s">
        <v>34</v>
      </c>
    </row>
    <row r="373" spans="1:10" x14ac:dyDescent="0.25">
      <c r="A373" s="1">
        <v>68</v>
      </c>
      <c r="B373" t="s">
        <v>19</v>
      </c>
      <c r="C373">
        <v>700</v>
      </c>
      <c r="D373">
        <v>0</v>
      </c>
      <c r="E373" t="s">
        <v>20</v>
      </c>
      <c r="F373" t="s">
        <v>20</v>
      </c>
      <c r="G373" t="str">
        <f>"2026-03-30 16:00:16.540"</f>
        <v>2026-03-30 16:00:16.540</v>
      </c>
      <c r="H373" t="s">
        <v>21</v>
      </c>
      <c r="I373">
        <v>0</v>
      </c>
      <c r="J373" t="s">
        <v>27</v>
      </c>
    </row>
    <row r="374" spans="1:10" x14ac:dyDescent="0.25">
      <c r="A374" s="1">
        <v>69</v>
      </c>
      <c r="B374" t="s">
        <v>19</v>
      </c>
      <c r="C374">
        <v>700</v>
      </c>
      <c r="D374">
        <v>0</v>
      </c>
      <c r="E374" t="s">
        <v>20</v>
      </c>
      <c r="F374" t="s">
        <v>20</v>
      </c>
      <c r="G374" t="str">
        <f>"2026-03-30 15:33:09.771"</f>
        <v>2026-03-30 15:33:09.771</v>
      </c>
      <c r="H374" t="s">
        <v>21</v>
      </c>
    </row>
    <row r="375" spans="1:10" x14ac:dyDescent="0.25">
      <c r="A375" s="1">
        <v>70</v>
      </c>
      <c r="B375" t="s">
        <v>22</v>
      </c>
      <c r="C375">
        <v>635</v>
      </c>
      <c r="D375">
        <v>1</v>
      </c>
      <c r="E375" t="s">
        <v>28</v>
      </c>
      <c r="F375" t="s">
        <v>29</v>
      </c>
      <c r="G375" t="str">
        <f>"2026-03-30 11:47:55.823"</f>
        <v>2026-03-30 11:47:55.823</v>
      </c>
      <c r="H375" t="s">
        <v>21</v>
      </c>
    </row>
    <row r="376" spans="1:10" x14ac:dyDescent="0.25">
      <c r="A376" s="1">
        <v>71</v>
      </c>
      <c r="B376" t="s">
        <v>25</v>
      </c>
      <c r="C376">
        <v>635</v>
      </c>
      <c r="D376">
        <v>1</v>
      </c>
      <c r="E376" t="s">
        <v>28</v>
      </c>
      <c r="F376" t="s">
        <v>29</v>
      </c>
      <c r="G376" t="str">
        <f>"2026-03-30 11:43:34.822"</f>
        <v>2026-03-30 11:43:34.822</v>
      </c>
      <c r="H376" t="s">
        <v>21</v>
      </c>
      <c r="I376">
        <v>7.59</v>
      </c>
      <c r="J376" t="s">
        <v>31</v>
      </c>
    </row>
    <row r="377" spans="1:10" x14ac:dyDescent="0.25">
      <c r="A377" s="1">
        <v>72</v>
      </c>
      <c r="B377" t="s">
        <v>22</v>
      </c>
      <c r="C377">
        <v>635</v>
      </c>
      <c r="D377">
        <v>1</v>
      </c>
      <c r="E377" t="s">
        <v>28</v>
      </c>
      <c r="F377" t="s">
        <v>29</v>
      </c>
      <c r="G377" t="str">
        <f>"2026-03-29 16:50:25.623"</f>
        <v>2026-03-29 16:50:25.623</v>
      </c>
      <c r="H377" t="s">
        <v>21</v>
      </c>
    </row>
    <row r="378" spans="1:10" x14ac:dyDescent="0.25">
      <c r="A378" s="1">
        <v>73</v>
      </c>
      <c r="B378" t="s">
        <v>25</v>
      </c>
      <c r="C378">
        <v>635</v>
      </c>
      <c r="D378">
        <v>1</v>
      </c>
      <c r="E378" t="s">
        <v>28</v>
      </c>
      <c r="F378" t="s">
        <v>29</v>
      </c>
      <c r="G378" t="str">
        <f>"2026-03-29 16:45:54.123"</f>
        <v>2026-03-29 16:45:54.123</v>
      </c>
      <c r="H378" t="s">
        <v>21</v>
      </c>
      <c r="I378">
        <v>-0.03</v>
      </c>
      <c r="J378" t="s">
        <v>31</v>
      </c>
    </row>
    <row r="379" spans="1:10" x14ac:dyDescent="0.25">
      <c r="A379" s="1">
        <v>74</v>
      </c>
      <c r="B379" t="s">
        <v>19</v>
      </c>
      <c r="C379">
        <v>700</v>
      </c>
      <c r="D379">
        <v>0</v>
      </c>
      <c r="E379" t="s">
        <v>20</v>
      </c>
      <c r="F379" t="s">
        <v>20</v>
      </c>
      <c r="G379" t="str">
        <f>"2026-03-29 13:47:04.528"</f>
        <v>2026-03-29 13:47:04.528</v>
      </c>
      <c r="H379" t="s">
        <v>21</v>
      </c>
    </row>
    <row r="380" spans="1:10" x14ac:dyDescent="0.25">
      <c r="A380" s="1">
        <v>75</v>
      </c>
      <c r="B380" t="s">
        <v>22</v>
      </c>
      <c r="C380">
        <v>61</v>
      </c>
      <c r="D380">
        <v>2</v>
      </c>
      <c r="E380" t="s">
        <v>46</v>
      </c>
      <c r="F380" t="s">
        <v>47</v>
      </c>
      <c r="G380" t="str">
        <f>"2026-03-29 07:39:30.422"</f>
        <v>2026-03-29 07:39:30.422</v>
      </c>
      <c r="H380" t="s">
        <v>21</v>
      </c>
    </row>
    <row r="381" spans="1:10" x14ac:dyDescent="0.25">
      <c r="A381" s="1">
        <v>76</v>
      </c>
      <c r="B381" t="s">
        <v>39</v>
      </c>
      <c r="C381">
        <v>61</v>
      </c>
      <c r="D381">
        <v>2</v>
      </c>
      <c r="E381" t="s">
        <v>46</v>
      </c>
      <c r="F381" t="s">
        <v>47</v>
      </c>
      <c r="G381" t="str">
        <f>"2026-03-29 07:39:10.422"</f>
        <v>2026-03-29 07:39:10.422</v>
      </c>
      <c r="H381" t="s">
        <v>21</v>
      </c>
      <c r="I381">
        <v>30.13</v>
      </c>
      <c r="J381" t="s">
        <v>26</v>
      </c>
    </row>
    <row r="382" spans="1:10" x14ac:dyDescent="0.25">
      <c r="A382" s="1">
        <v>77</v>
      </c>
      <c r="B382" t="s">
        <v>22</v>
      </c>
      <c r="C382">
        <v>635</v>
      </c>
      <c r="D382">
        <v>1</v>
      </c>
      <c r="E382" t="s">
        <v>28</v>
      </c>
      <c r="F382" t="s">
        <v>29</v>
      </c>
      <c r="G382" t="str">
        <f>"2026-03-29 05:51:48.761"</f>
        <v>2026-03-29 05:51:48.761</v>
      </c>
      <c r="H382" t="s">
        <v>21</v>
      </c>
    </row>
    <row r="383" spans="1:10" x14ac:dyDescent="0.25">
      <c r="A383" s="1">
        <v>78</v>
      </c>
      <c r="B383" t="s">
        <v>25</v>
      </c>
      <c r="C383">
        <v>635</v>
      </c>
      <c r="D383">
        <v>1</v>
      </c>
      <c r="E383" t="s">
        <v>28</v>
      </c>
      <c r="F383" t="s">
        <v>29</v>
      </c>
      <c r="G383" t="str">
        <f>"2026-03-29 05:44:18.261"</f>
        <v>2026-03-29 05:44:18.261</v>
      </c>
      <c r="H383" t="s">
        <v>21</v>
      </c>
      <c r="I383">
        <v>5.0199999999999996</v>
      </c>
      <c r="J383" t="s">
        <v>26</v>
      </c>
    </row>
    <row r="384" spans="1:10" x14ac:dyDescent="0.25">
      <c r="A384" s="1">
        <v>79</v>
      </c>
      <c r="B384" t="s">
        <v>22</v>
      </c>
      <c r="C384">
        <v>635</v>
      </c>
      <c r="D384">
        <v>1</v>
      </c>
      <c r="E384" t="s">
        <v>28</v>
      </c>
      <c r="F384" t="s">
        <v>29</v>
      </c>
      <c r="G384" t="str">
        <f>"2026-03-29 03:14:30.061"</f>
        <v>2026-03-29 03:14:30.061</v>
      </c>
      <c r="H384" t="s">
        <v>21</v>
      </c>
    </row>
    <row r="385" spans="1:10" x14ac:dyDescent="0.25">
      <c r="A385" s="1">
        <v>80</v>
      </c>
      <c r="B385" t="s">
        <v>25</v>
      </c>
      <c r="C385">
        <v>635</v>
      </c>
      <c r="D385">
        <v>1</v>
      </c>
      <c r="E385" t="s">
        <v>28</v>
      </c>
      <c r="F385" t="s">
        <v>29</v>
      </c>
      <c r="G385" t="str">
        <f>"2026-03-29 03:04:42.661"</f>
        <v>2026-03-29 03:04:42.661</v>
      </c>
      <c r="H385" t="s">
        <v>21</v>
      </c>
      <c r="I385">
        <v>6.11</v>
      </c>
      <c r="J385" t="s">
        <v>26</v>
      </c>
    </row>
    <row r="386" spans="1:10" x14ac:dyDescent="0.25">
      <c r="A386" s="1">
        <v>81</v>
      </c>
      <c r="B386" t="s">
        <v>22</v>
      </c>
      <c r="C386">
        <v>635</v>
      </c>
      <c r="D386">
        <v>1</v>
      </c>
      <c r="E386" t="s">
        <v>28</v>
      </c>
      <c r="F386" t="s">
        <v>29</v>
      </c>
      <c r="G386" t="str">
        <f>"2026-03-28 20:35:59.461"</f>
        <v>2026-03-28 20:35:59.461</v>
      </c>
      <c r="H386" t="s">
        <v>21</v>
      </c>
    </row>
    <row r="387" spans="1:10" x14ac:dyDescent="0.25">
      <c r="A387" s="1">
        <v>82</v>
      </c>
      <c r="B387" t="s">
        <v>25</v>
      </c>
      <c r="C387">
        <v>635</v>
      </c>
      <c r="D387">
        <v>1</v>
      </c>
      <c r="E387" t="s">
        <v>28</v>
      </c>
      <c r="F387" t="s">
        <v>29</v>
      </c>
      <c r="G387" t="str">
        <f>"2026-03-28 20:32:42.461"</f>
        <v>2026-03-28 20:32:42.461</v>
      </c>
      <c r="H387" t="s">
        <v>21</v>
      </c>
      <c r="I387">
        <v>9.65</v>
      </c>
      <c r="J387" t="s">
        <v>26</v>
      </c>
    </row>
    <row r="388" spans="1:10" x14ac:dyDescent="0.25">
      <c r="A388" s="1">
        <v>83</v>
      </c>
      <c r="B388" t="s">
        <v>22</v>
      </c>
      <c r="C388">
        <v>635</v>
      </c>
      <c r="D388">
        <v>1</v>
      </c>
      <c r="E388" t="s">
        <v>28</v>
      </c>
      <c r="F388" t="s">
        <v>29</v>
      </c>
      <c r="G388" t="str">
        <f>"2026-03-28 15:36:49.061"</f>
        <v>2026-03-28 15:36:49.061</v>
      </c>
      <c r="H388" t="s">
        <v>21</v>
      </c>
    </row>
    <row r="389" spans="1:10" x14ac:dyDescent="0.25">
      <c r="A389" s="1">
        <v>84</v>
      </c>
      <c r="B389" t="s">
        <v>25</v>
      </c>
      <c r="C389">
        <v>635</v>
      </c>
      <c r="D389">
        <v>1</v>
      </c>
      <c r="E389" t="s">
        <v>28</v>
      </c>
      <c r="F389" t="s">
        <v>29</v>
      </c>
      <c r="G389" t="str">
        <f>"2026-03-28 15:30:54.062"</f>
        <v>2026-03-28 15:30:54.062</v>
      </c>
      <c r="H389" t="s">
        <v>21</v>
      </c>
      <c r="I389">
        <v>0.49</v>
      </c>
      <c r="J389" t="s">
        <v>31</v>
      </c>
    </row>
    <row r="390" spans="1:10" x14ac:dyDescent="0.25">
      <c r="A390" s="1">
        <v>85</v>
      </c>
      <c r="B390" t="s">
        <v>19</v>
      </c>
      <c r="C390">
        <v>700</v>
      </c>
      <c r="D390">
        <v>0</v>
      </c>
      <c r="E390" t="s">
        <v>20</v>
      </c>
      <c r="F390" t="s">
        <v>20</v>
      </c>
      <c r="G390" t="str">
        <f>"2026-03-28 07:58:55.528"</f>
        <v>2026-03-28 07:58:55.528</v>
      </c>
      <c r="H390" t="s">
        <v>21</v>
      </c>
      <c r="I390">
        <v>0</v>
      </c>
      <c r="J390" t="s">
        <v>27</v>
      </c>
    </row>
    <row r="391" spans="1:10" x14ac:dyDescent="0.25">
      <c r="A391" s="1">
        <v>86</v>
      </c>
      <c r="B391" t="s">
        <v>22</v>
      </c>
      <c r="C391">
        <v>61</v>
      </c>
      <c r="D391">
        <v>2</v>
      </c>
      <c r="E391" t="s">
        <v>46</v>
      </c>
      <c r="F391" t="s">
        <v>47</v>
      </c>
      <c r="G391" t="str">
        <f>"2026-03-28 06:25:50.635"</f>
        <v>2026-03-28 06:25:50.635</v>
      </c>
      <c r="H391" t="s">
        <v>21</v>
      </c>
    </row>
    <row r="392" spans="1:10" x14ac:dyDescent="0.25">
      <c r="A392" s="1">
        <v>87</v>
      </c>
      <c r="B392" t="s">
        <v>39</v>
      </c>
      <c r="C392">
        <v>61</v>
      </c>
      <c r="D392">
        <v>2</v>
      </c>
      <c r="E392" t="s">
        <v>46</v>
      </c>
      <c r="F392" t="s">
        <v>47</v>
      </c>
      <c r="G392" t="str">
        <f>"2026-03-28 06:25:44.135"</f>
        <v>2026-03-28 06:25:44.135</v>
      </c>
      <c r="H392" t="s">
        <v>21</v>
      </c>
      <c r="I392">
        <v>30.49</v>
      </c>
      <c r="J392" t="s">
        <v>26</v>
      </c>
    </row>
    <row r="393" spans="1:10" x14ac:dyDescent="0.25">
      <c r="A393" s="1">
        <v>88</v>
      </c>
      <c r="B393" t="s">
        <v>22</v>
      </c>
      <c r="C393">
        <v>61</v>
      </c>
      <c r="D393">
        <v>2</v>
      </c>
      <c r="E393" t="s">
        <v>46</v>
      </c>
      <c r="F393" t="s">
        <v>47</v>
      </c>
      <c r="G393" t="str">
        <f>"2026-03-28 06:09:35.935"</f>
        <v>2026-03-28 06:09:35.935</v>
      </c>
      <c r="H393" t="s">
        <v>21</v>
      </c>
    </row>
    <row r="394" spans="1:10" x14ac:dyDescent="0.25">
      <c r="A394" s="1">
        <v>89</v>
      </c>
      <c r="B394" t="s">
        <v>39</v>
      </c>
      <c r="C394">
        <v>61</v>
      </c>
      <c r="D394">
        <v>2</v>
      </c>
      <c r="E394" t="s">
        <v>46</v>
      </c>
      <c r="F394" t="s">
        <v>47</v>
      </c>
      <c r="G394" t="str">
        <f>"2026-03-28 06:09:28.535"</f>
        <v>2026-03-28 06:09:28.535</v>
      </c>
      <c r="H394" t="s">
        <v>21</v>
      </c>
      <c r="I394">
        <v>31.11</v>
      </c>
      <c r="J394" t="s">
        <v>26</v>
      </c>
    </row>
    <row r="395" spans="1:10" x14ac:dyDescent="0.25">
      <c r="A395" s="1">
        <v>90</v>
      </c>
      <c r="B395" t="s">
        <v>22</v>
      </c>
      <c r="C395">
        <v>635</v>
      </c>
      <c r="D395">
        <v>1</v>
      </c>
      <c r="E395" t="s">
        <v>28</v>
      </c>
      <c r="F395" t="s">
        <v>29</v>
      </c>
      <c r="G395" t="str">
        <f>"2026-03-27 23:45:12.322"</f>
        <v>2026-03-27 23:45:12.322</v>
      </c>
      <c r="H395" t="s">
        <v>21</v>
      </c>
    </row>
    <row r="396" spans="1:10" x14ac:dyDescent="0.25">
      <c r="A396" s="1">
        <v>91</v>
      </c>
      <c r="B396" t="s">
        <v>25</v>
      </c>
      <c r="C396">
        <v>635</v>
      </c>
      <c r="D396">
        <v>1</v>
      </c>
      <c r="E396" t="s">
        <v>28</v>
      </c>
      <c r="F396" t="s">
        <v>29</v>
      </c>
      <c r="G396" t="str">
        <f>"2026-03-27 23:37:43.822"</f>
        <v>2026-03-27 23:37:43.822</v>
      </c>
      <c r="H396" t="s">
        <v>21</v>
      </c>
      <c r="I396">
        <v>8.59</v>
      </c>
      <c r="J396" t="s">
        <v>31</v>
      </c>
    </row>
    <row r="397" spans="1:10" x14ac:dyDescent="0.25">
      <c r="A397" s="1">
        <v>92</v>
      </c>
      <c r="B397" t="s">
        <v>22</v>
      </c>
      <c r="C397">
        <v>635</v>
      </c>
      <c r="D397">
        <v>1</v>
      </c>
      <c r="E397" t="s">
        <v>28</v>
      </c>
      <c r="F397" t="s">
        <v>29</v>
      </c>
      <c r="G397" t="str">
        <f>"2026-03-27 20:39:38.222"</f>
        <v>2026-03-27 20:39:38.222</v>
      </c>
      <c r="H397" t="s">
        <v>21</v>
      </c>
    </row>
    <row r="398" spans="1:10" x14ac:dyDescent="0.25">
      <c r="A398" s="1">
        <v>93</v>
      </c>
      <c r="B398" t="s">
        <v>25</v>
      </c>
      <c r="C398">
        <v>635</v>
      </c>
      <c r="D398">
        <v>1</v>
      </c>
      <c r="E398" t="s">
        <v>28</v>
      </c>
      <c r="F398" t="s">
        <v>29</v>
      </c>
      <c r="G398" t="str">
        <f>"2026-03-27 20:26:30.722"</f>
        <v>2026-03-27 20:26:30.722</v>
      </c>
      <c r="H398" t="s">
        <v>21</v>
      </c>
      <c r="I398">
        <v>5.66</v>
      </c>
      <c r="J398" t="s">
        <v>31</v>
      </c>
    </row>
    <row r="399" spans="1:10" x14ac:dyDescent="0.25">
      <c r="A399" s="1">
        <v>94</v>
      </c>
      <c r="B399" t="s">
        <v>22</v>
      </c>
      <c r="C399">
        <v>635</v>
      </c>
      <c r="D399">
        <v>1</v>
      </c>
      <c r="E399" t="s">
        <v>28</v>
      </c>
      <c r="F399" t="s">
        <v>29</v>
      </c>
      <c r="G399" t="str">
        <f>"2026-03-25 22:40:21.822"</f>
        <v>2026-03-25 22:40:21.822</v>
      </c>
      <c r="H399" t="s">
        <v>21</v>
      </c>
    </row>
    <row r="400" spans="1:10" x14ac:dyDescent="0.25">
      <c r="A400" s="1">
        <v>95</v>
      </c>
      <c r="B400" t="s">
        <v>25</v>
      </c>
      <c r="C400">
        <v>635</v>
      </c>
      <c r="D400">
        <v>1</v>
      </c>
      <c r="E400" t="s">
        <v>28</v>
      </c>
      <c r="F400" t="s">
        <v>29</v>
      </c>
      <c r="G400" t="str">
        <f>"2026-03-25 22:36:24.323"</f>
        <v>2026-03-25 22:36:24.323</v>
      </c>
      <c r="H400" t="s">
        <v>21</v>
      </c>
      <c r="I400">
        <v>9.64</v>
      </c>
      <c r="J400" t="s">
        <v>31</v>
      </c>
    </row>
    <row r="401" spans="1:10" x14ac:dyDescent="0.25">
      <c r="A401" s="1">
        <v>96</v>
      </c>
      <c r="B401" t="s">
        <v>22</v>
      </c>
      <c r="C401">
        <v>61</v>
      </c>
      <c r="D401">
        <v>2</v>
      </c>
      <c r="E401" t="s">
        <v>46</v>
      </c>
      <c r="F401" t="s">
        <v>47</v>
      </c>
      <c r="G401" t="str">
        <f>"2026-03-25 10:08:17.535"</f>
        <v>2026-03-25 10:08:17.535</v>
      </c>
      <c r="H401" t="s">
        <v>21</v>
      </c>
    </row>
    <row r="402" spans="1:10" x14ac:dyDescent="0.25">
      <c r="A402" s="1">
        <v>97</v>
      </c>
      <c r="B402" t="s">
        <v>39</v>
      </c>
      <c r="C402">
        <v>61</v>
      </c>
      <c r="D402">
        <v>2</v>
      </c>
      <c r="E402" t="s">
        <v>46</v>
      </c>
      <c r="F402" t="s">
        <v>47</v>
      </c>
      <c r="G402" t="str">
        <f>"2026-03-25 10:08:05.835"</f>
        <v>2026-03-25 10:08:05.835</v>
      </c>
      <c r="H402" t="s">
        <v>21</v>
      </c>
      <c r="I402">
        <v>29.32</v>
      </c>
      <c r="J402" t="s">
        <v>26</v>
      </c>
    </row>
    <row r="403" spans="1:10" x14ac:dyDescent="0.25">
      <c r="A403" s="1">
        <v>98</v>
      </c>
      <c r="B403" t="s">
        <v>19</v>
      </c>
      <c r="C403">
        <v>706</v>
      </c>
      <c r="D403">
        <v>4</v>
      </c>
      <c r="E403" t="s">
        <v>32</v>
      </c>
      <c r="F403" t="s">
        <v>40</v>
      </c>
      <c r="G403" t="str">
        <f>"2026-03-24 10:15:12.302"</f>
        <v>2026-03-24 10:15:12.302</v>
      </c>
      <c r="H403" t="s">
        <v>21</v>
      </c>
      <c r="I403">
        <v>0</v>
      </c>
      <c r="J403" t="s">
        <v>34</v>
      </c>
    </row>
    <row r="404" spans="1:10" x14ac:dyDescent="0.25">
      <c r="A404" s="1">
        <v>99</v>
      </c>
      <c r="B404" t="s">
        <v>19</v>
      </c>
      <c r="C404">
        <v>700</v>
      </c>
      <c r="D404">
        <v>0</v>
      </c>
      <c r="E404" t="s">
        <v>20</v>
      </c>
      <c r="F404" t="s">
        <v>20</v>
      </c>
      <c r="G404" t="str">
        <f>"2026-03-24 09:00:23.532"</f>
        <v>2026-03-24 09:00:23.532</v>
      </c>
      <c r="H404" t="s">
        <v>21</v>
      </c>
      <c r="I404">
        <v>0</v>
      </c>
      <c r="J404" t="s">
        <v>27</v>
      </c>
    </row>
    <row r="405" spans="1:10" x14ac:dyDescent="0.25">
      <c r="A405" s="1">
        <v>0</v>
      </c>
      <c r="B405" t="s">
        <v>22</v>
      </c>
      <c r="C405">
        <v>635</v>
      </c>
      <c r="D405">
        <v>1</v>
      </c>
      <c r="E405" t="s">
        <v>28</v>
      </c>
      <c r="F405" t="s">
        <v>29</v>
      </c>
      <c r="G405" t="str">
        <f>"2026-03-24 06:03:18.542"</f>
        <v>2026-03-24 06:03:18.542</v>
      </c>
      <c r="H405" t="s">
        <v>21</v>
      </c>
    </row>
    <row r="406" spans="1:10" x14ac:dyDescent="0.25">
      <c r="A406" s="1">
        <v>1</v>
      </c>
      <c r="B406" t="s">
        <v>25</v>
      </c>
      <c r="C406">
        <v>635</v>
      </c>
      <c r="D406">
        <v>1</v>
      </c>
      <c r="E406" t="s">
        <v>28</v>
      </c>
      <c r="F406" t="s">
        <v>29</v>
      </c>
      <c r="G406" t="str">
        <f>"2026-03-24 06:00:51.042"</f>
        <v>2026-03-24 06:00:51.042</v>
      </c>
      <c r="H406" t="s">
        <v>21</v>
      </c>
      <c r="I406">
        <v>4.21</v>
      </c>
      <c r="J406" t="s">
        <v>31</v>
      </c>
    </row>
    <row r="407" spans="1:10" x14ac:dyDescent="0.25">
      <c r="A407" s="1">
        <v>2</v>
      </c>
      <c r="B407" t="s">
        <v>22</v>
      </c>
      <c r="C407">
        <v>61</v>
      </c>
      <c r="D407">
        <v>2</v>
      </c>
      <c r="E407" t="s">
        <v>46</v>
      </c>
      <c r="F407" t="s">
        <v>47</v>
      </c>
      <c r="G407" t="str">
        <f>"2026-03-23 19:00:17.803"</f>
        <v>2026-03-23 19:00:17.803</v>
      </c>
      <c r="H407" t="s">
        <v>21</v>
      </c>
    </row>
    <row r="408" spans="1:10" x14ac:dyDescent="0.25">
      <c r="A408" s="1">
        <v>3</v>
      </c>
      <c r="B408" t="s">
        <v>39</v>
      </c>
      <c r="C408">
        <v>61</v>
      </c>
      <c r="D408">
        <v>2</v>
      </c>
      <c r="E408" t="s">
        <v>46</v>
      </c>
      <c r="F408" t="s">
        <v>47</v>
      </c>
      <c r="G408" t="str">
        <f>"2026-03-23 19:00:11.303"</f>
        <v>2026-03-23 19:00:11.303</v>
      </c>
      <c r="H408" t="s">
        <v>21</v>
      </c>
      <c r="I408">
        <v>30.71</v>
      </c>
      <c r="J408" t="s">
        <v>26</v>
      </c>
    </row>
    <row r="409" spans="1:10" x14ac:dyDescent="0.25">
      <c r="A409" s="1">
        <v>4</v>
      </c>
      <c r="B409" t="s">
        <v>22</v>
      </c>
      <c r="C409">
        <v>61</v>
      </c>
      <c r="D409">
        <v>2</v>
      </c>
      <c r="E409" t="s">
        <v>46</v>
      </c>
      <c r="F409" t="s">
        <v>47</v>
      </c>
      <c r="G409" t="str">
        <f>"2026-03-23 18:43:49.503"</f>
        <v>2026-03-23 18:43:49.503</v>
      </c>
      <c r="H409" t="s">
        <v>21</v>
      </c>
    </row>
    <row r="410" spans="1:10" x14ac:dyDescent="0.25">
      <c r="A410" s="1">
        <v>5</v>
      </c>
      <c r="B410" t="s">
        <v>39</v>
      </c>
      <c r="C410">
        <v>61</v>
      </c>
      <c r="D410">
        <v>2</v>
      </c>
      <c r="E410" t="s">
        <v>46</v>
      </c>
      <c r="F410" t="s">
        <v>47</v>
      </c>
      <c r="G410" t="str">
        <f>"2026-03-23 18:43:43.803"</f>
        <v>2026-03-23 18:43:43.803</v>
      </c>
      <c r="H410" t="s">
        <v>21</v>
      </c>
      <c r="I410">
        <v>30.25</v>
      </c>
      <c r="J410" t="s">
        <v>26</v>
      </c>
    </row>
    <row r="411" spans="1:10" x14ac:dyDescent="0.25">
      <c r="A411" s="1">
        <v>6</v>
      </c>
      <c r="B411" t="s">
        <v>22</v>
      </c>
      <c r="C411">
        <v>61</v>
      </c>
      <c r="D411">
        <v>2</v>
      </c>
      <c r="E411" t="s">
        <v>46</v>
      </c>
      <c r="F411" t="s">
        <v>47</v>
      </c>
      <c r="G411" t="str">
        <f>"2026-03-23 11:03:02.203"</f>
        <v>2026-03-23 11:03:02.203</v>
      </c>
      <c r="H411" t="s">
        <v>21</v>
      </c>
    </row>
    <row r="412" spans="1:10" x14ac:dyDescent="0.25">
      <c r="A412" s="1">
        <v>7</v>
      </c>
      <c r="B412" t="s">
        <v>39</v>
      </c>
      <c r="C412">
        <v>61</v>
      </c>
      <c r="D412">
        <v>2</v>
      </c>
      <c r="E412" t="s">
        <v>46</v>
      </c>
      <c r="F412" t="s">
        <v>47</v>
      </c>
      <c r="G412" t="str">
        <f>"2026-03-23 11:02:55.603"</f>
        <v>2026-03-23 11:02:55.603</v>
      </c>
      <c r="H412" t="s">
        <v>21</v>
      </c>
      <c r="I412">
        <v>30.93</v>
      </c>
      <c r="J412" t="s">
        <v>26</v>
      </c>
    </row>
    <row r="413" spans="1:10" x14ac:dyDescent="0.25">
      <c r="A413" s="1">
        <v>8</v>
      </c>
      <c r="B413" t="s">
        <v>22</v>
      </c>
      <c r="C413">
        <v>61</v>
      </c>
      <c r="D413">
        <v>2</v>
      </c>
      <c r="E413" t="s">
        <v>46</v>
      </c>
      <c r="F413" t="s">
        <v>47</v>
      </c>
      <c r="G413" t="str">
        <f>"2026-03-23 09:17:31.803"</f>
        <v>2026-03-23 09:17:31.803</v>
      </c>
      <c r="H413" t="s">
        <v>21</v>
      </c>
    </row>
    <row r="414" spans="1:10" x14ac:dyDescent="0.25">
      <c r="A414" s="1">
        <v>9</v>
      </c>
      <c r="B414" t="s">
        <v>39</v>
      </c>
      <c r="C414">
        <v>61</v>
      </c>
      <c r="D414">
        <v>2</v>
      </c>
      <c r="E414" t="s">
        <v>46</v>
      </c>
      <c r="F414" t="s">
        <v>47</v>
      </c>
      <c r="G414" t="str">
        <f>"2026-03-23 09:17:19.703"</f>
        <v>2026-03-23 09:17:19.703</v>
      </c>
      <c r="H414" t="s">
        <v>21</v>
      </c>
      <c r="I414">
        <v>29.41</v>
      </c>
      <c r="J414" t="s">
        <v>26</v>
      </c>
    </row>
    <row r="415" spans="1:10" x14ac:dyDescent="0.25">
      <c r="A415" s="1">
        <v>10</v>
      </c>
      <c r="B415" t="s">
        <v>22</v>
      </c>
      <c r="C415">
        <v>635</v>
      </c>
      <c r="D415">
        <v>1</v>
      </c>
      <c r="E415" t="s">
        <v>28</v>
      </c>
      <c r="F415" t="s">
        <v>29</v>
      </c>
      <c r="G415" t="str">
        <f>"2026-03-22 16:03:35.742"</f>
        <v>2026-03-22 16:03:35.742</v>
      </c>
      <c r="H415" t="s">
        <v>21</v>
      </c>
    </row>
    <row r="416" spans="1:10" x14ac:dyDescent="0.25">
      <c r="A416" s="1">
        <v>11</v>
      </c>
      <c r="B416" t="s">
        <v>25</v>
      </c>
      <c r="C416">
        <v>635</v>
      </c>
      <c r="D416">
        <v>1</v>
      </c>
      <c r="E416" t="s">
        <v>28</v>
      </c>
      <c r="F416" t="s">
        <v>29</v>
      </c>
      <c r="G416" t="str">
        <f>"2026-03-22 16:00:33.242"</f>
        <v>2026-03-22 16:00:33.242</v>
      </c>
      <c r="H416" t="s">
        <v>21</v>
      </c>
      <c r="I416">
        <v>7.11</v>
      </c>
      <c r="J416" t="s">
        <v>31</v>
      </c>
    </row>
    <row r="417" spans="1:10" x14ac:dyDescent="0.25">
      <c r="A417" s="1">
        <v>12</v>
      </c>
      <c r="B417" t="s">
        <v>22</v>
      </c>
      <c r="C417">
        <v>635</v>
      </c>
      <c r="D417">
        <v>1</v>
      </c>
      <c r="E417" t="s">
        <v>28</v>
      </c>
      <c r="F417" t="s">
        <v>29</v>
      </c>
      <c r="G417" t="str">
        <f>"2026-03-22 08:34:13.142"</f>
        <v>2026-03-22 08:34:13.142</v>
      </c>
      <c r="H417" t="s">
        <v>21</v>
      </c>
    </row>
    <row r="418" spans="1:10" x14ac:dyDescent="0.25">
      <c r="A418" s="1">
        <v>13</v>
      </c>
      <c r="B418" t="s">
        <v>25</v>
      </c>
      <c r="C418">
        <v>635</v>
      </c>
      <c r="D418">
        <v>1</v>
      </c>
      <c r="E418" t="s">
        <v>28</v>
      </c>
      <c r="F418" t="s">
        <v>29</v>
      </c>
      <c r="G418" t="str">
        <f>"2026-03-22 08:30:38.142"</f>
        <v>2026-03-22 08:30:38.142</v>
      </c>
      <c r="H418" t="s">
        <v>21</v>
      </c>
      <c r="I418">
        <v>1.6</v>
      </c>
      <c r="J418" t="s">
        <v>26</v>
      </c>
    </row>
    <row r="419" spans="1:10" x14ac:dyDescent="0.25">
      <c r="A419" s="1">
        <v>14</v>
      </c>
      <c r="B419" t="s">
        <v>22</v>
      </c>
      <c r="C419">
        <v>635</v>
      </c>
      <c r="D419">
        <v>1</v>
      </c>
      <c r="E419" t="s">
        <v>28</v>
      </c>
      <c r="F419" t="s">
        <v>29</v>
      </c>
      <c r="G419" t="str">
        <f>"2026-03-22 06:52:59.342"</f>
        <v>2026-03-22 06:52:59.342</v>
      </c>
      <c r="H419" t="s">
        <v>21</v>
      </c>
    </row>
    <row r="420" spans="1:10" x14ac:dyDescent="0.25">
      <c r="A420" s="1">
        <v>15</v>
      </c>
      <c r="B420" t="s">
        <v>25</v>
      </c>
      <c r="C420">
        <v>635</v>
      </c>
      <c r="D420">
        <v>1</v>
      </c>
      <c r="E420" t="s">
        <v>28</v>
      </c>
      <c r="F420" t="s">
        <v>29</v>
      </c>
      <c r="G420" t="str">
        <f>"2026-03-22 06:44:43.442"</f>
        <v>2026-03-22 06:44:43.442</v>
      </c>
      <c r="H420" t="s">
        <v>21</v>
      </c>
      <c r="I420">
        <v>6.95</v>
      </c>
      <c r="J420" t="s">
        <v>31</v>
      </c>
    </row>
    <row r="421" spans="1:10" x14ac:dyDescent="0.25">
      <c r="A421" s="1">
        <v>16</v>
      </c>
      <c r="B421" t="s">
        <v>22</v>
      </c>
      <c r="C421">
        <v>635</v>
      </c>
      <c r="D421">
        <v>1</v>
      </c>
      <c r="E421" t="s">
        <v>28</v>
      </c>
      <c r="F421" t="s">
        <v>29</v>
      </c>
      <c r="G421" t="str">
        <f>"2026-03-21 10:14:50.942"</f>
        <v>2026-03-21 10:14:50.942</v>
      </c>
      <c r="H421" t="s">
        <v>21</v>
      </c>
    </row>
    <row r="422" spans="1:10" x14ac:dyDescent="0.25">
      <c r="A422" s="1">
        <v>17</v>
      </c>
      <c r="B422" t="s">
        <v>25</v>
      </c>
      <c r="C422">
        <v>635</v>
      </c>
      <c r="D422">
        <v>1</v>
      </c>
      <c r="E422" t="s">
        <v>28</v>
      </c>
      <c r="F422" t="s">
        <v>29</v>
      </c>
      <c r="G422" t="str">
        <f>"2026-03-21 10:11:54.443"</f>
        <v>2026-03-21 10:11:54.443</v>
      </c>
      <c r="H422" t="s">
        <v>21</v>
      </c>
      <c r="I422">
        <v>7.56</v>
      </c>
      <c r="J422" t="s">
        <v>26</v>
      </c>
    </row>
    <row r="423" spans="1:10" x14ac:dyDescent="0.25">
      <c r="A423" s="1">
        <v>18</v>
      </c>
      <c r="B423" t="s">
        <v>19</v>
      </c>
      <c r="C423">
        <v>700</v>
      </c>
      <c r="D423">
        <v>0</v>
      </c>
      <c r="E423" t="s">
        <v>20</v>
      </c>
      <c r="F423" t="s">
        <v>20</v>
      </c>
      <c r="G423" t="str">
        <f>"2026-03-21 09:54:10.530"</f>
        <v>2026-03-21 09:54:10.530</v>
      </c>
      <c r="H423" t="s">
        <v>21</v>
      </c>
    </row>
    <row r="424" spans="1:10" x14ac:dyDescent="0.25">
      <c r="A424" s="1">
        <v>19</v>
      </c>
      <c r="B424" t="s">
        <v>22</v>
      </c>
      <c r="C424">
        <v>635</v>
      </c>
      <c r="D424">
        <v>1</v>
      </c>
      <c r="E424" t="s">
        <v>28</v>
      </c>
      <c r="F424" t="s">
        <v>29</v>
      </c>
      <c r="G424" t="str">
        <f>"2026-03-20 23:48:34.276"</f>
        <v>2026-03-20 23:48:34.276</v>
      </c>
      <c r="H424" t="s">
        <v>21</v>
      </c>
    </row>
    <row r="425" spans="1:10" x14ac:dyDescent="0.25">
      <c r="A425" s="1">
        <v>20</v>
      </c>
      <c r="B425" t="s">
        <v>25</v>
      </c>
      <c r="C425">
        <v>635</v>
      </c>
      <c r="D425">
        <v>1</v>
      </c>
      <c r="E425" t="s">
        <v>28</v>
      </c>
      <c r="F425" t="s">
        <v>29</v>
      </c>
      <c r="G425" t="str">
        <f>"2026-03-20 23:35:58.776"</f>
        <v>2026-03-20 23:35:58.776</v>
      </c>
      <c r="H425" t="s">
        <v>21</v>
      </c>
      <c r="I425">
        <v>8.8800000000000008</v>
      </c>
      <c r="J425" t="s">
        <v>31</v>
      </c>
    </row>
    <row r="426" spans="1:10" x14ac:dyDescent="0.25">
      <c r="A426" s="1">
        <v>21</v>
      </c>
      <c r="B426" t="s">
        <v>22</v>
      </c>
      <c r="C426">
        <v>635</v>
      </c>
      <c r="D426">
        <v>1</v>
      </c>
      <c r="E426" t="s">
        <v>28</v>
      </c>
      <c r="F426" t="s">
        <v>29</v>
      </c>
      <c r="G426" t="str">
        <f>"2026-03-20 18:15:10.976"</f>
        <v>2026-03-20 18:15:10.976</v>
      </c>
      <c r="H426" t="s">
        <v>21</v>
      </c>
    </row>
    <row r="427" spans="1:10" x14ac:dyDescent="0.25">
      <c r="A427" s="1">
        <v>22</v>
      </c>
      <c r="B427" t="s">
        <v>25</v>
      </c>
      <c r="C427">
        <v>635</v>
      </c>
      <c r="D427">
        <v>1</v>
      </c>
      <c r="E427" t="s">
        <v>28</v>
      </c>
      <c r="F427" t="s">
        <v>29</v>
      </c>
      <c r="G427" t="str">
        <f>"2026-03-20 18:12:10.476"</f>
        <v>2026-03-20 18:12:10.476</v>
      </c>
      <c r="H427" t="s">
        <v>21</v>
      </c>
      <c r="I427">
        <v>5</v>
      </c>
      <c r="J427" t="s">
        <v>31</v>
      </c>
    </row>
    <row r="428" spans="1:10" x14ac:dyDescent="0.25">
      <c r="A428" s="1">
        <v>23</v>
      </c>
      <c r="B428" t="s">
        <v>22</v>
      </c>
      <c r="C428">
        <v>635</v>
      </c>
      <c r="D428">
        <v>1</v>
      </c>
      <c r="E428" t="s">
        <v>28</v>
      </c>
      <c r="F428" t="s">
        <v>29</v>
      </c>
      <c r="G428" t="str">
        <f>"2026-03-20 18:06:35.476"</f>
        <v>2026-03-20 18:06:35.476</v>
      </c>
      <c r="H428" t="s">
        <v>21</v>
      </c>
    </row>
    <row r="429" spans="1:10" x14ac:dyDescent="0.25">
      <c r="A429" s="1">
        <v>24</v>
      </c>
      <c r="B429" t="s">
        <v>25</v>
      </c>
      <c r="C429">
        <v>635</v>
      </c>
      <c r="D429">
        <v>1</v>
      </c>
      <c r="E429" t="s">
        <v>28</v>
      </c>
      <c r="F429" t="s">
        <v>29</v>
      </c>
      <c r="G429" t="str">
        <f>"2026-03-20 17:58:40.476"</f>
        <v>2026-03-20 17:58:40.476</v>
      </c>
      <c r="H429" t="s">
        <v>21</v>
      </c>
      <c r="I429">
        <v>1.68</v>
      </c>
      <c r="J429" t="s">
        <v>26</v>
      </c>
    </row>
    <row r="430" spans="1:10" x14ac:dyDescent="0.25">
      <c r="A430" s="1">
        <v>25</v>
      </c>
      <c r="B430" t="s">
        <v>22</v>
      </c>
      <c r="C430">
        <v>61</v>
      </c>
      <c r="D430">
        <v>2</v>
      </c>
      <c r="E430" t="s">
        <v>46</v>
      </c>
      <c r="F430" t="s">
        <v>47</v>
      </c>
      <c r="G430" t="str">
        <f>"2026-03-20 16:54:43.729"</f>
        <v>2026-03-20 16:54:43.729</v>
      </c>
      <c r="H430" t="s">
        <v>21</v>
      </c>
    </row>
    <row r="431" spans="1:10" x14ac:dyDescent="0.25">
      <c r="A431" s="1">
        <v>26</v>
      </c>
      <c r="B431" t="s">
        <v>39</v>
      </c>
      <c r="C431">
        <v>61</v>
      </c>
      <c r="D431">
        <v>2</v>
      </c>
      <c r="E431" t="s">
        <v>46</v>
      </c>
      <c r="F431" t="s">
        <v>47</v>
      </c>
      <c r="G431" t="str">
        <f>"2026-03-20 16:54:38.730"</f>
        <v>2026-03-20 16:54:38.730</v>
      </c>
      <c r="H431" t="s">
        <v>21</v>
      </c>
      <c r="I431">
        <v>29.86</v>
      </c>
      <c r="J431" t="s">
        <v>26</v>
      </c>
    </row>
    <row r="432" spans="1:10" x14ac:dyDescent="0.25">
      <c r="A432" s="1">
        <v>27</v>
      </c>
      <c r="B432" t="s">
        <v>19</v>
      </c>
      <c r="C432">
        <v>706</v>
      </c>
      <c r="D432">
        <v>2</v>
      </c>
      <c r="E432" t="s">
        <v>32</v>
      </c>
      <c r="F432" t="s">
        <v>33</v>
      </c>
      <c r="G432" t="str">
        <f>"2026-03-20 03:59:05.254"</f>
        <v>2026-03-20 03:59:05.254</v>
      </c>
      <c r="H432" t="s">
        <v>21</v>
      </c>
      <c r="I432">
        <v>0</v>
      </c>
      <c r="J432" t="s">
        <v>34</v>
      </c>
    </row>
    <row r="433" spans="1:10" x14ac:dyDescent="0.25">
      <c r="A433" s="1">
        <v>28</v>
      </c>
      <c r="B433" t="s">
        <v>19</v>
      </c>
      <c r="C433">
        <v>700</v>
      </c>
      <c r="D433">
        <v>0</v>
      </c>
      <c r="E433" t="s">
        <v>20</v>
      </c>
      <c r="F433" t="s">
        <v>20</v>
      </c>
      <c r="G433" t="str">
        <f>"2026-03-20 01:59:36.524"</f>
        <v>2026-03-20 01:59:36.524</v>
      </c>
      <c r="H433" t="s">
        <v>21</v>
      </c>
      <c r="I433">
        <v>0</v>
      </c>
      <c r="J433" t="s">
        <v>27</v>
      </c>
    </row>
    <row r="434" spans="1:10" x14ac:dyDescent="0.25">
      <c r="A434" s="1">
        <v>29</v>
      </c>
      <c r="B434" t="s">
        <v>19</v>
      </c>
      <c r="C434">
        <v>706</v>
      </c>
      <c r="D434">
        <v>2</v>
      </c>
      <c r="E434" t="s">
        <v>32</v>
      </c>
      <c r="F434" t="s">
        <v>33</v>
      </c>
      <c r="G434" t="str">
        <f>"2026-03-19 23:24:49.101"</f>
        <v>2026-03-19 23:24:49.101</v>
      </c>
      <c r="H434" t="s">
        <v>21</v>
      </c>
      <c r="I434">
        <v>0</v>
      </c>
      <c r="J434" t="s">
        <v>34</v>
      </c>
    </row>
    <row r="435" spans="1:10" x14ac:dyDescent="0.25">
      <c r="A435" s="1">
        <v>30</v>
      </c>
      <c r="B435" t="s">
        <v>19</v>
      </c>
      <c r="C435">
        <v>700</v>
      </c>
      <c r="D435">
        <v>0</v>
      </c>
      <c r="E435" t="s">
        <v>20</v>
      </c>
      <c r="F435" t="s">
        <v>20</v>
      </c>
      <c r="G435" t="str">
        <f>"2026-03-19 23:23:05.521"</f>
        <v>2026-03-19 23:23:05.521</v>
      </c>
      <c r="H435" t="s">
        <v>21</v>
      </c>
    </row>
    <row r="436" spans="1:10" x14ac:dyDescent="0.25">
      <c r="A436" s="1">
        <v>31</v>
      </c>
      <c r="B436" t="s">
        <v>19</v>
      </c>
      <c r="C436">
        <v>706</v>
      </c>
      <c r="D436">
        <v>4</v>
      </c>
      <c r="E436" t="s">
        <v>32</v>
      </c>
      <c r="F436" t="s">
        <v>40</v>
      </c>
      <c r="G436" t="str">
        <f>"2026-03-19 23:04:47.775"</f>
        <v>2026-03-19 23:04:47.775</v>
      </c>
      <c r="H436" t="s">
        <v>21</v>
      </c>
      <c r="I436">
        <v>0</v>
      </c>
      <c r="J436" t="s">
        <v>34</v>
      </c>
    </row>
    <row r="437" spans="1:10" x14ac:dyDescent="0.25">
      <c r="A437" s="1">
        <v>32</v>
      </c>
      <c r="B437" t="s">
        <v>19</v>
      </c>
      <c r="C437">
        <v>700</v>
      </c>
      <c r="D437">
        <v>0</v>
      </c>
      <c r="E437" t="s">
        <v>20</v>
      </c>
      <c r="F437" t="s">
        <v>20</v>
      </c>
      <c r="G437" t="str">
        <f>"2026-03-19 22:15:08.515"</f>
        <v>2026-03-19 22:15:08.515</v>
      </c>
      <c r="H437" t="s">
        <v>21</v>
      </c>
    </row>
    <row r="438" spans="1:10" x14ac:dyDescent="0.25">
      <c r="A438" s="1">
        <v>33</v>
      </c>
      <c r="B438" t="s">
        <v>19</v>
      </c>
      <c r="C438">
        <v>700</v>
      </c>
      <c r="D438">
        <v>0</v>
      </c>
      <c r="E438" t="s">
        <v>20</v>
      </c>
      <c r="F438" t="s">
        <v>20</v>
      </c>
      <c r="G438" t="str">
        <f>"2026-03-19 21:08:22.759"</f>
        <v>2026-03-19 21:08:22.759</v>
      </c>
      <c r="H438" t="s">
        <v>21</v>
      </c>
    </row>
    <row r="439" spans="1:10" x14ac:dyDescent="0.25">
      <c r="A439" s="1">
        <v>36</v>
      </c>
      <c r="B439" t="s">
        <v>22</v>
      </c>
      <c r="C439">
        <v>635</v>
      </c>
      <c r="D439">
        <v>1</v>
      </c>
      <c r="E439" t="s">
        <v>28</v>
      </c>
      <c r="F439" t="s">
        <v>29</v>
      </c>
      <c r="G439" t="str">
        <f>"2026-03-18 22:06:29.099"</f>
        <v>2026-03-18 22:06:29.099</v>
      </c>
      <c r="H439" t="s">
        <v>21</v>
      </c>
    </row>
    <row r="440" spans="1:10" x14ac:dyDescent="0.25">
      <c r="A440" s="1">
        <v>37</v>
      </c>
      <c r="B440" t="s">
        <v>25</v>
      </c>
      <c r="C440">
        <v>635</v>
      </c>
      <c r="D440">
        <v>1</v>
      </c>
      <c r="E440" t="s">
        <v>28</v>
      </c>
      <c r="F440" t="s">
        <v>29</v>
      </c>
      <c r="G440" t="str">
        <f>"2026-03-18 22:02:38.099"</f>
        <v>2026-03-18 22:02:38.099</v>
      </c>
      <c r="H440" t="s">
        <v>21</v>
      </c>
      <c r="I440">
        <v>6.77</v>
      </c>
      <c r="J440" t="s">
        <v>31</v>
      </c>
    </row>
    <row r="441" spans="1:10" x14ac:dyDescent="0.25">
      <c r="A441" s="1">
        <v>38</v>
      </c>
      <c r="B441" t="s">
        <v>22</v>
      </c>
      <c r="C441">
        <v>635</v>
      </c>
      <c r="D441">
        <v>1</v>
      </c>
      <c r="E441" t="s">
        <v>28</v>
      </c>
      <c r="F441" t="s">
        <v>29</v>
      </c>
      <c r="G441" t="str">
        <f>"2026-03-17 23:09:48.099"</f>
        <v>2026-03-17 23:09:48.099</v>
      </c>
      <c r="H441" t="s">
        <v>21</v>
      </c>
    </row>
    <row r="442" spans="1:10" x14ac:dyDescent="0.25">
      <c r="A442" s="1">
        <v>39</v>
      </c>
      <c r="B442" t="s">
        <v>25</v>
      </c>
      <c r="C442">
        <v>635</v>
      </c>
      <c r="D442">
        <v>1</v>
      </c>
      <c r="E442" t="s">
        <v>28</v>
      </c>
      <c r="F442" t="s">
        <v>29</v>
      </c>
      <c r="G442" t="str">
        <f>"2026-03-17 23:05:42.099"</f>
        <v>2026-03-17 23:05:42.099</v>
      </c>
      <c r="H442" t="s">
        <v>21</v>
      </c>
      <c r="I442">
        <v>2.33</v>
      </c>
      <c r="J442" t="s">
        <v>26</v>
      </c>
    </row>
    <row r="443" spans="1:10" s="3" customFormat="1" x14ac:dyDescent="0.25">
      <c r="A443" s="2">
        <v>41</v>
      </c>
      <c r="B443" s="3" t="s">
        <v>22</v>
      </c>
      <c r="C443" s="3">
        <v>647</v>
      </c>
      <c r="D443" s="3">
        <v>1</v>
      </c>
      <c r="E443" s="3" t="s">
        <v>23</v>
      </c>
      <c r="F443" s="3" t="s">
        <v>24</v>
      </c>
      <c r="G443" s="3" t="str">
        <f>"2026-03-17 05:58:21.047"</f>
        <v>2026-03-17 05:58:21.047</v>
      </c>
      <c r="H443" s="3" t="s">
        <v>21</v>
      </c>
    </row>
    <row r="444" spans="1:10" x14ac:dyDescent="0.25">
      <c r="A444" s="1">
        <v>42</v>
      </c>
      <c r="B444" t="s">
        <v>22</v>
      </c>
      <c r="C444">
        <v>61</v>
      </c>
      <c r="D444">
        <v>2</v>
      </c>
      <c r="E444" t="s">
        <v>46</v>
      </c>
      <c r="F444" t="s">
        <v>47</v>
      </c>
      <c r="G444" t="str">
        <f>"2026-03-17 05:58:19.360"</f>
        <v>2026-03-17 05:58:19.360</v>
      </c>
      <c r="H444" t="s">
        <v>21</v>
      </c>
    </row>
    <row r="445" spans="1:10" s="3" customFormat="1" x14ac:dyDescent="0.25">
      <c r="A445" s="2">
        <v>43</v>
      </c>
      <c r="B445" s="3" t="s">
        <v>25</v>
      </c>
      <c r="C445" s="3">
        <v>647</v>
      </c>
      <c r="D445" s="3">
        <v>1</v>
      </c>
      <c r="E445" s="3" t="s">
        <v>23</v>
      </c>
      <c r="F445" s="3" t="s">
        <v>24</v>
      </c>
      <c r="G445" s="3" t="str">
        <f>"2026-03-17 05:58:18.947"</f>
        <v>2026-03-17 05:58:18.947</v>
      </c>
      <c r="H445" s="3" t="s">
        <v>21</v>
      </c>
      <c r="I445" s="3">
        <v>25.89</v>
      </c>
      <c r="J445" s="3" t="s">
        <v>26</v>
      </c>
    </row>
    <row r="446" spans="1:10" x14ac:dyDescent="0.25">
      <c r="A446" s="1">
        <v>44</v>
      </c>
      <c r="B446" t="s">
        <v>39</v>
      </c>
      <c r="C446">
        <v>61</v>
      </c>
      <c r="D446">
        <v>2</v>
      </c>
      <c r="E446" t="s">
        <v>46</v>
      </c>
      <c r="F446" t="s">
        <v>47</v>
      </c>
      <c r="G446" t="str">
        <f>"2026-03-17 05:58:14.360"</f>
        <v>2026-03-17 05:58:14.360</v>
      </c>
      <c r="H446" t="s">
        <v>21</v>
      </c>
      <c r="I446">
        <v>29.11</v>
      </c>
      <c r="J446" t="s">
        <v>26</v>
      </c>
    </row>
    <row r="447" spans="1:10" x14ac:dyDescent="0.25">
      <c r="A447" s="1">
        <v>47</v>
      </c>
      <c r="B447" t="s">
        <v>22</v>
      </c>
      <c r="C447">
        <v>635</v>
      </c>
      <c r="D447">
        <v>1</v>
      </c>
      <c r="E447" t="s">
        <v>28</v>
      </c>
      <c r="F447" t="s">
        <v>29</v>
      </c>
      <c r="G447" t="str">
        <f>"2026-03-16 14:16:41.099"</f>
        <v>2026-03-16 14:16:41.099</v>
      </c>
      <c r="H447" t="s">
        <v>21</v>
      </c>
    </row>
    <row r="448" spans="1:10" x14ac:dyDescent="0.25">
      <c r="A448" s="1">
        <v>48</v>
      </c>
      <c r="B448" t="s">
        <v>25</v>
      </c>
      <c r="C448">
        <v>635</v>
      </c>
      <c r="D448">
        <v>1</v>
      </c>
      <c r="E448" t="s">
        <v>28</v>
      </c>
      <c r="F448" t="s">
        <v>29</v>
      </c>
      <c r="G448" t="str">
        <f>"2026-03-16 14:13:02.099"</f>
        <v>2026-03-16 14:13:02.099</v>
      </c>
      <c r="H448" t="s">
        <v>21</v>
      </c>
      <c r="I448">
        <v>7.55</v>
      </c>
      <c r="J448" t="s">
        <v>30</v>
      </c>
    </row>
    <row r="449" spans="1:10" x14ac:dyDescent="0.25">
      <c r="A449" s="1">
        <v>49</v>
      </c>
      <c r="B449" t="s">
        <v>22</v>
      </c>
      <c r="C449">
        <v>61</v>
      </c>
      <c r="D449">
        <v>2</v>
      </c>
      <c r="E449" t="s">
        <v>46</v>
      </c>
      <c r="F449" t="s">
        <v>47</v>
      </c>
      <c r="G449" t="str">
        <f>"2026-03-16 09:20:13.660"</f>
        <v>2026-03-16 09:20:13.660</v>
      </c>
      <c r="H449" t="s">
        <v>21</v>
      </c>
    </row>
    <row r="450" spans="1:10" x14ac:dyDescent="0.25">
      <c r="A450" s="1">
        <v>50</v>
      </c>
      <c r="B450" t="s">
        <v>39</v>
      </c>
      <c r="C450">
        <v>61</v>
      </c>
      <c r="D450">
        <v>2</v>
      </c>
      <c r="E450" t="s">
        <v>46</v>
      </c>
      <c r="F450" t="s">
        <v>47</v>
      </c>
      <c r="G450" t="str">
        <f>"2026-03-16 09:19:57.659"</f>
        <v>2026-03-16 09:19:57.659</v>
      </c>
      <c r="H450" t="s">
        <v>21</v>
      </c>
      <c r="I450">
        <v>30.44</v>
      </c>
      <c r="J450" t="s">
        <v>26</v>
      </c>
    </row>
    <row r="451" spans="1:10" x14ac:dyDescent="0.25">
      <c r="A451" s="1">
        <v>51</v>
      </c>
      <c r="B451" t="s">
        <v>22</v>
      </c>
      <c r="C451">
        <v>61</v>
      </c>
      <c r="D451">
        <v>2</v>
      </c>
      <c r="E451" t="s">
        <v>46</v>
      </c>
      <c r="F451" t="s">
        <v>47</v>
      </c>
      <c r="G451" t="str">
        <f>"2026-03-15 15:24:51.560"</f>
        <v>2026-03-15 15:24:51.560</v>
      </c>
      <c r="H451" t="s">
        <v>21</v>
      </c>
    </row>
    <row r="452" spans="1:10" x14ac:dyDescent="0.25">
      <c r="A452" s="1">
        <v>52</v>
      </c>
      <c r="B452" t="s">
        <v>39</v>
      </c>
      <c r="C452">
        <v>61</v>
      </c>
      <c r="D452">
        <v>2</v>
      </c>
      <c r="E452" t="s">
        <v>46</v>
      </c>
      <c r="F452" t="s">
        <v>47</v>
      </c>
      <c r="G452" t="str">
        <f>"2026-03-15 15:24:36.660"</f>
        <v>2026-03-15 15:24:36.660</v>
      </c>
      <c r="H452" t="s">
        <v>21</v>
      </c>
      <c r="I452">
        <v>30.28</v>
      </c>
      <c r="J452" t="s">
        <v>26</v>
      </c>
    </row>
    <row r="453" spans="1:10" x14ac:dyDescent="0.25">
      <c r="A453" s="1">
        <v>54</v>
      </c>
      <c r="B453" t="s">
        <v>22</v>
      </c>
      <c r="C453">
        <v>635</v>
      </c>
      <c r="D453">
        <v>1</v>
      </c>
      <c r="E453" t="s">
        <v>28</v>
      </c>
      <c r="F453" t="s">
        <v>29</v>
      </c>
      <c r="G453" t="str">
        <f>"2026-03-15 03:44:49.299"</f>
        <v>2026-03-15 03:44:49.299</v>
      </c>
      <c r="H453" t="s">
        <v>21</v>
      </c>
    </row>
    <row r="454" spans="1:10" x14ac:dyDescent="0.25">
      <c r="A454" s="1">
        <v>55</v>
      </c>
      <c r="B454" t="s">
        <v>25</v>
      </c>
      <c r="C454">
        <v>635</v>
      </c>
      <c r="D454">
        <v>1</v>
      </c>
      <c r="E454" t="s">
        <v>28</v>
      </c>
      <c r="F454" t="s">
        <v>29</v>
      </c>
      <c r="G454" t="str">
        <f>"2026-03-15 03:40:55.299"</f>
        <v>2026-03-15 03:40:55.299</v>
      </c>
      <c r="H454" t="s">
        <v>21</v>
      </c>
      <c r="I454">
        <v>5.95</v>
      </c>
      <c r="J454" t="s">
        <v>31</v>
      </c>
    </row>
    <row r="455" spans="1:10" x14ac:dyDescent="0.25">
      <c r="A455" s="1">
        <v>57</v>
      </c>
      <c r="B455" t="s">
        <v>22</v>
      </c>
      <c r="C455">
        <v>635</v>
      </c>
      <c r="D455">
        <v>1</v>
      </c>
      <c r="E455" t="s">
        <v>28</v>
      </c>
      <c r="F455" t="s">
        <v>29</v>
      </c>
      <c r="G455" t="str">
        <f>"2026-03-14 21:10:45.599"</f>
        <v>2026-03-14 21:10:45.599</v>
      </c>
      <c r="H455" t="s">
        <v>21</v>
      </c>
    </row>
    <row r="456" spans="1:10" x14ac:dyDescent="0.25">
      <c r="A456" s="1">
        <v>58</v>
      </c>
      <c r="B456" t="s">
        <v>25</v>
      </c>
      <c r="C456">
        <v>635</v>
      </c>
      <c r="D456">
        <v>1</v>
      </c>
      <c r="E456" t="s">
        <v>28</v>
      </c>
      <c r="F456" t="s">
        <v>29</v>
      </c>
      <c r="G456" t="str">
        <f>"2026-03-14 21:06:18.099"</f>
        <v>2026-03-14 21:06:18.099</v>
      </c>
      <c r="H456" t="s">
        <v>21</v>
      </c>
      <c r="I456">
        <v>4.84</v>
      </c>
      <c r="J456" t="s">
        <v>31</v>
      </c>
    </row>
    <row r="457" spans="1:10" x14ac:dyDescent="0.25">
      <c r="A457" s="1">
        <v>59</v>
      </c>
      <c r="B457" t="s">
        <v>22</v>
      </c>
      <c r="C457">
        <v>635</v>
      </c>
      <c r="D457">
        <v>1</v>
      </c>
      <c r="E457" t="s">
        <v>28</v>
      </c>
      <c r="F457" t="s">
        <v>29</v>
      </c>
      <c r="G457" t="str">
        <f>"2026-03-14 20:28:34.699"</f>
        <v>2026-03-14 20:28:34.699</v>
      </c>
      <c r="H457" t="s">
        <v>21</v>
      </c>
    </row>
    <row r="458" spans="1:10" x14ac:dyDescent="0.25">
      <c r="A458" s="1">
        <v>60</v>
      </c>
      <c r="B458" t="s">
        <v>25</v>
      </c>
      <c r="C458">
        <v>635</v>
      </c>
      <c r="D458">
        <v>1</v>
      </c>
      <c r="E458" t="s">
        <v>28</v>
      </c>
      <c r="F458" t="s">
        <v>29</v>
      </c>
      <c r="G458" t="str">
        <f>"2026-03-14 20:24:14.699"</f>
        <v>2026-03-14 20:24:14.699</v>
      </c>
      <c r="H458" t="s">
        <v>21</v>
      </c>
      <c r="I458">
        <v>5.82</v>
      </c>
      <c r="J458" t="s">
        <v>31</v>
      </c>
    </row>
    <row r="459" spans="1:10" x14ac:dyDescent="0.25">
      <c r="A459" s="1">
        <v>61</v>
      </c>
      <c r="B459" t="s">
        <v>22</v>
      </c>
      <c r="C459">
        <v>61</v>
      </c>
      <c r="D459">
        <v>2</v>
      </c>
      <c r="E459" t="s">
        <v>46</v>
      </c>
      <c r="F459" t="s">
        <v>47</v>
      </c>
      <c r="G459" t="str">
        <f>"2026-03-14 08:52:02.260"</f>
        <v>2026-03-14 08:52:02.260</v>
      </c>
      <c r="H459" t="s">
        <v>21</v>
      </c>
    </row>
    <row r="460" spans="1:10" x14ac:dyDescent="0.25">
      <c r="A460" s="1">
        <v>62</v>
      </c>
      <c r="B460" t="s">
        <v>39</v>
      </c>
      <c r="C460">
        <v>61</v>
      </c>
      <c r="D460">
        <v>2</v>
      </c>
      <c r="E460" t="s">
        <v>46</v>
      </c>
      <c r="F460" t="s">
        <v>47</v>
      </c>
      <c r="G460" t="str">
        <f>"2026-03-14 08:51:40.860"</f>
        <v>2026-03-14 08:51:40.860</v>
      </c>
      <c r="H460" t="s">
        <v>21</v>
      </c>
      <c r="I460">
        <v>30.15</v>
      </c>
      <c r="J460" t="s">
        <v>26</v>
      </c>
    </row>
    <row r="461" spans="1:10" x14ac:dyDescent="0.25">
      <c r="A461" s="1">
        <v>63</v>
      </c>
      <c r="B461" t="s">
        <v>22</v>
      </c>
      <c r="C461">
        <v>635</v>
      </c>
      <c r="D461">
        <v>1</v>
      </c>
      <c r="E461" t="s">
        <v>28</v>
      </c>
      <c r="F461" t="s">
        <v>29</v>
      </c>
      <c r="G461" t="str">
        <f>"2026-03-14 03:39:03.199"</f>
        <v>2026-03-14 03:39:03.199</v>
      </c>
      <c r="H461" t="s">
        <v>21</v>
      </c>
    </row>
    <row r="462" spans="1:10" x14ac:dyDescent="0.25">
      <c r="A462" s="1">
        <v>64</v>
      </c>
      <c r="B462" t="s">
        <v>25</v>
      </c>
      <c r="C462">
        <v>635</v>
      </c>
      <c r="D462">
        <v>1</v>
      </c>
      <c r="E462" t="s">
        <v>28</v>
      </c>
      <c r="F462" t="s">
        <v>29</v>
      </c>
      <c r="G462" t="str">
        <f>"2026-03-14 03:34:28.700"</f>
        <v>2026-03-14 03:34:28.700</v>
      </c>
      <c r="H462" t="s">
        <v>21</v>
      </c>
      <c r="I462">
        <v>1.91</v>
      </c>
      <c r="J462" t="s">
        <v>26</v>
      </c>
    </row>
    <row r="463" spans="1:10" x14ac:dyDescent="0.25">
      <c r="A463" s="1">
        <v>65</v>
      </c>
      <c r="B463" t="s">
        <v>19</v>
      </c>
      <c r="C463">
        <v>706</v>
      </c>
      <c r="D463">
        <v>4</v>
      </c>
      <c r="E463" t="s">
        <v>32</v>
      </c>
      <c r="F463" t="s">
        <v>40</v>
      </c>
      <c r="G463" t="str">
        <f>"2026-03-13 15:24:21.988"</f>
        <v>2026-03-13 15:24:21.988</v>
      </c>
      <c r="H463" t="s">
        <v>21</v>
      </c>
      <c r="I463">
        <v>0</v>
      </c>
      <c r="J463" t="s">
        <v>34</v>
      </c>
    </row>
    <row r="464" spans="1:10" x14ac:dyDescent="0.25">
      <c r="A464" s="1">
        <v>66</v>
      </c>
      <c r="B464" t="s">
        <v>19</v>
      </c>
      <c r="C464">
        <v>700</v>
      </c>
      <c r="D464">
        <v>0</v>
      </c>
      <c r="E464" t="s">
        <v>20</v>
      </c>
      <c r="F464" t="s">
        <v>20</v>
      </c>
      <c r="G464" t="str">
        <f>"2026-03-13 08:00:11.538"</f>
        <v>2026-03-13 08:00:11.538</v>
      </c>
      <c r="H464" t="s">
        <v>21</v>
      </c>
      <c r="I464">
        <v>0</v>
      </c>
      <c r="J464" t="s">
        <v>27</v>
      </c>
    </row>
    <row r="465" spans="1:10" x14ac:dyDescent="0.25">
      <c r="A465" s="1">
        <v>67</v>
      </c>
      <c r="B465" t="s">
        <v>22</v>
      </c>
      <c r="C465">
        <v>635</v>
      </c>
      <c r="D465">
        <v>1</v>
      </c>
      <c r="E465" t="s">
        <v>28</v>
      </c>
      <c r="F465" t="s">
        <v>29</v>
      </c>
      <c r="G465" t="str">
        <f>"2026-03-13 05:23:33.212"</f>
        <v>2026-03-13 05:23:33.212</v>
      </c>
      <c r="H465" t="s">
        <v>21</v>
      </c>
    </row>
    <row r="466" spans="1:10" x14ac:dyDescent="0.25">
      <c r="A466" s="1">
        <v>68</v>
      </c>
      <c r="B466" t="s">
        <v>25</v>
      </c>
      <c r="C466">
        <v>635</v>
      </c>
      <c r="D466">
        <v>1</v>
      </c>
      <c r="E466" t="s">
        <v>28</v>
      </c>
      <c r="F466" t="s">
        <v>29</v>
      </c>
      <c r="G466" t="str">
        <f>"2026-03-13 05:18:57.712"</f>
        <v>2026-03-13 05:18:57.712</v>
      </c>
      <c r="H466" t="s">
        <v>21</v>
      </c>
      <c r="I466">
        <v>5.86</v>
      </c>
      <c r="J466" t="s">
        <v>31</v>
      </c>
    </row>
    <row r="467" spans="1:10" x14ac:dyDescent="0.25">
      <c r="A467" s="1">
        <v>69</v>
      </c>
      <c r="B467" t="s">
        <v>22</v>
      </c>
      <c r="C467">
        <v>61</v>
      </c>
      <c r="D467">
        <v>2</v>
      </c>
      <c r="E467" t="s">
        <v>46</v>
      </c>
      <c r="F467" t="s">
        <v>47</v>
      </c>
      <c r="G467" t="str">
        <f>"2026-03-12 12:35:54.412"</f>
        <v>2026-03-12 12:35:54.412</v>
      </c>
      <c r="H467" t="s">
        <v>21</v>
      </c>
    </row>
    <row r="468" spans="1:10" x14ac:dyDescent="0.25">
      <c r="A468" s="1">
        <v>70</v>
      </c>
      <c r="B468" t="s">
        <v>39</v>
      </c>
      <c r="C468">
        <v>61</v>
      </c>
      <c r="D468">
        <v>2</v>
      </c>
      <c r="E468" t="s">
        <v>46</v>
      </c>
      <c r="F468" t="s">
        <v>47</v>
      </c>
      <c r="G468" t="str">
        <f>"2026-03-12 12:35:36.213"</f>
        <v>2026-03-12 12:35:36.213</v>
      </c>
      <c r="H468" t="s">
        <v>21</v>
      </c>
      <c r="I468">
        <v>29.46</v>
      </c>
      <c r="J468" t="s">
        <v>26</v>
      </c>
    </row>
    <row r="469" spans="1:10" x14ac:dyDescent="0.25">
      <c r="A469" s="1">
        <v>71</v>
      </c>
      <c r="B469" t="s">
        <v>22</v>
      </c>
      <c r="C469">
        <v>635</v>
      </c>
      <c r="D469">
        <v>1</v>
      </c>
      <c r="E469" t="s">
        <v>28</v>
      </c>
      <c r="F469" t="s">
        <v>29</v>
      </c>
      <c r="G469" t="str">
        <f>"2026-03-12 08:15:00.712"</f>
        <v>2026-03-12 08:15:00.712</v>
      </c>
      <c r="H469" t="s">
        <v>21</v>
      </c>
    </row>
    <row r="470" spans="1:10" x14ac:dyDescent="0.25">
      <c r="A470" s="1">
        <v>72</v>
      </c>
      <c r="B470" t="s">
        <v>25</v>
      </c>
      <c r="C470">
        <v>635</v>
      </c>
      <c r="D470">
        <v>1</v>
      </c>
      <c r="E470" t="s">
        <v>28</v>
      </c>
      <c r="F470" t="s">
        <v>29</v>
      </c>
      <c r="G470" t="str">
        <f>"2026-03-12 08:11:10.712"</f>
        <v>2026-03-12 08:11:10.712</v>
      </c>
      <c r="H470" t="s">
        <v>21</v>
      </c>
      <c r="I470">
        <v>7.78</v>
      </c>
      <c r="J470" t="s">
        <v>31</v>
      </c>
    </row>
    <row r="471" spans="1:10" x14ac:dyDescent="0.25">
      <c r="A471" s="1">
        <v>73</v>
      </c>
      <c r="B471" t="s">
        <v>19</v>
      </c>
      <c r="C471">
        <v>706</v>
      </c>
      <c r="D471">
        <v>2</v>
      </c>
      <c r="E471" t="s">
        <v>32</v>
      </c>
      <c r="F471" t="s">
        <v>33</v>
      </c>
      <c r="G471" t="str">
        <f>"2026-03-11 21:25:08.892"</f>
        <v>2026-03-11 21:25:08.892</v>
      </c>
      <c r="H471" t="s">
        <v>21</v>
      </c>
      <c r="I471">
        <v>0</v>
      </c>
      <c r="J471" t="s">
        <v>34</v>
      </c>
    </row>
    <row r="472" spans="1:10" x14ac:dyDescent="0.25">
      <c r="A472" s="1">
        <v>74</v>
      </c>
      <c r="B472" t="s">
        <v>19</v>
      </c>
      <c r="C472">
        <v>700</v>
      </c>
      <c r="D472">
        <v>0</v>
      </c>
      <c r="E472" t="s">
        <v>20</v>
      </c>
      <c r="F472" t="s">
        <v>20</v>
      </c>
      <c r="G472" t="str">
        <f>"2026-03-11 21:22:33.522"</f>
        <v>2026-03-11 21:22:33.522</v>
      </c>
      <c r="H472" t="s">
        <v>21</v>
      </c>
    </row>
    <row r="473" spans="1:10" s="3" customFormat="1" x14ac:dyDescent="0.25">
      <c r="A473" s="2">
        <v>77</v>
      </c>
      <c r="B473" s="3" t="s">
        <v>22</v>
      </c>
      <c r="C473" s="3">
        <v>647</v>
      </c>
      <c r="D473" s="3">
        <v>1</v>
      </c>
      <c r="E473" s="3" t="s">
        <v>23</v>
      </c>
      <c r="F473" s="3" t="s">
        <v>24</v>
      </c>
      <c r="G473" s="3" t="str">
        <f>"2026-03-10 20:41:06.847"</f>
        <v>2026-03-10 20:41:06.847</v>
      </c>
      <c r="H473" s="3" t="s">
        <v>21</v>
      </c>
    </row>
    <row r="474" spans="1:10" s="3" customFormat="1" x14ac:dyDescent="0.25">
      <c r="A474" s="2">
        <v>78</v>
      </c>
      <c r="B474" s="3" t="s">
        <v>25</v>
      </c>
      <c r="C474" s="3">
        <v>647</v>
      </c>
      <c r="D474" s="3">
        <v>1</v>
      </c>
      <c r="E474" s="3" t="s">
        <v>23</v>
      </c>
      <c r="F474" s="3" t="s">
        <v>24</v>
      </c>
      <c r="G474" s="3" t="str">
        <f>"2026-03-10 20:41:01.547"</f>
        <v>2026-03-10 20:41:01.547</v>
      </c>
      <c r="H474" s="3" t="s">
        <v>21</v>
      </c>
      <c r="I474" s="3">
        <v>15.39</v>
      </c>
      <c r="J474" s="3" t="s">
        <v>26</v>
      </c>
    </row>
    <row r="475" spans="1:10" x14ac:dyDescent="0.25">
      <c r="A475" s="1">
        <v>81</v>
      </c>
      <c r="B475" t="s">
        <v>22</v>
      </c>
      <c r="C475">
        <v>635</v>
      </c>
      <c r="D475">
        <v>1</v>
      </c>
      <c r="E475" t="s">
        <v>28</v>
      </c>
      <c r="F475" t="s">
        <v>29</v>
      </c>
      <c r="G475" t="str">
        <f>"2026-03-10 10:46:23.593"</f>
        <v>2026-03-10 10:46:23.593</v>
      </c>
      <c r="H475" t="s">
        <v>21</v>
      </c>
    </row>
    <row r="476" spans="1:10" x14ac:dyDescent="0.25">
      <c r="A476" s="1">
        <v>82</v>
      </c>
      <c r="B476" t="s">
        <v>25</v>
      </c>
      <c r="C476">
        <v>635</v>
      </c>
      <c r="D476">
        <v>1</v>
      </c>
      <c r="E476" t="s">
        <v>28</v>
      </c>
      <c r="F476" t="s">
        <v>29</v>
      </c>
      <c r="G476" t="str">
        <f>"2026-03-10 10:42:08.593"</f>
        <v>2026-03-10 10:42:08.593</v>
      </c>
      <c r="H476" t="s">
        <v>21</v>
      </c>
      <c r="I476">
        <v>11.51</v>
      </c>
      <c r="J476" t="s">
        <v>26</v>
      </c>
    </row>
    <row r="477" spans="1:10" x14ac:dyDescent="0.25">
      <c r="A477" s="1">
        <v>83</v>
      </c>
      <c r="B477" t="s">
        <v>22</v>
      </c>
      <c r="C477">
        <v>61</v>
      </c>
      <c r="D477">
        <v>2</v>
      </c>
      <c r="E477" t="s">
        <v>46</v>
      </c>
      <c r="F477" t="s">
        <v>47</v>
      </c>
      <c r="G477" t="str">
        <f>"2026-03-09 19:36:22.647"</f>
        <v>2026-03-09 19:36:22.647</v>
      </c>
      <c r="H477" t="s">
        <v>21</v>
      </c>
    </row>
    <row r="478" spans="1:10" x14ac:dyDescent="0.25">
      <c r="A478" s="1">
        <v>84</v>
      </c>
      <c r="B478" t="s">
        <v>39</v>
      </c>
      <c r="C478">
        <v>61</v>
      </c>
      <c r="D478">
        <v>2</v>
      </c>
      <c r="E478" t="s">
        <v>46</v>
      </c>
      <c r="F478" t="s">
        <v>47</v>
      </c>
      <c r="G478" t="str">
        <f>"2026-03-09 19:36:10.047"</f>
        <v>2026-03-09 19:36:10.047</v>
      </c>
      <c r="H478" t="s">
        <v>21</v>
      </c>
      <c r="I478">
        <v>30.29</v>
      </c>
      <c r="J478" t="s">
        <v>26</v>
      </c>
    </row>
    <row r="479" spans="1:10" x14ac:dyDescent="0.25">
      <c r="A479" s="1">
        <v>85</v>
      </c>
      <c r="B479" t="s">
        <v>22</v>
      </c>
      <c r="C479">
        <v>61</v>
      </c>
      <c r="D479">
        <v>2</v>
      </c>
      <c r="E479" t="s">
        <v>46</v>
      </c>
      <c r="F479" t="s">
        <v>47</v>
      </c>
      <c r="G479" t="str">
        <f>"2026-03-09 14:16:02.847"</f>
        <v>2026-03-09 14:16:02.847</v>
      </c>
      <c r="H479" t="s">
        <v>21</v>
      </c>
    </row>
    <row r="480" spans="1:10" x14ac:dyDescent="0.25">
      <c r="A480" s="1">
        <v>86</v>
      </c>
      <c r="B480" t="s">
        <v>39</v>
      </c>
      <c r="C480">
        <v>61</v>
      </c>
      <c r="D480">
        <v>2</v>
      </c>
      <c r="E480" t="s">
        <v>46</v>
      </c>
      <c r="F480" t="s">
        <v>47</v>
      </c>
      <c r="G480" t="str">
        <f>"2026-03-09 14:15:41.947"</f>
        <v>2026-03-09 14:15:41.947</v>
      </c>
      <c r="H480" t="s">
        <v>21</v>
      </c>
      <c r="I480">
        <v>30.38</v>
      </c>
      <c r="J480" t="s">
        <v>26</v>
      </c>
    </row>
    <row r="481" spans="1:10" x14ac:dyDescent="0.25">
      <c r="A481" s="1">
        <v>87</v>
      </c>
      <c r="B481" t="s">
        <v>19</v>
      </c>
      <c r="C481">
        <v>706</v>
      </c>
      <c r="D481">
        <v>2</v>
      </c>
      <c r="E481" t="s">
        <v>32</v>
      </c>
      <c r="F481" t="s">
        <v>33</v>
      </c>
      <c r="G481" t="str">
        <f>"2026-03-09 11:00:38.765"</f>
        <v>2026-03-09 11:00:38.765</v>
      </c>
      <c r="H481" t="s">
        <v>21</v>
      </c>
      <c r="I481">
        <v>0</v>
      </c>
      <c r="J481" t="s">
        <v>34</v>
      </c>
    </row>
    <row r="482" spans="1:10" x14ac:dyDescent="0.25">
      <c r="A482" s="1">
        <v>88</v>
      </c>
      <c r="B482" t="s">
        <v>19</v>
      </c>
      <c r="C482">
        <v>706</v>
      </c>
      <c r="D482">
        <v>4</v>
      </c>
      <c r="E482" t="s">
        <v>32</v>
      </c>
      <c r="F482" t="s">
        <v>40</v>
      </c>
      <c r="G482" t="str">
        <f>"2026-03-09 10:59:09.285"</f>
        <v>2026-03-09 10:59:09.285</v>
      </c>
      <c r="H482" t="s">
        <v>21</v>
      </c>
      <c r="I482">
        <v>0</v>
      </c>
      <c r="J482" t="s">
        <v>34</v>
      </c>
    </row>
    <row r="483" spans="1:10" x14ac:dyDescent="0.25">
      <c r="A483" s="1">
        <v>89</v>
      </c>
      <c r="B483" t="s">
        <v>19</v>
      </c>
      <c r="C483">
        <v>706</v>
      </c>
      <c r="D483">
        <v>2</v>
      </c>
      <c r="E483" t="s">
        <v>32</v>
      </c>
      <c r="F483" t="s">
        <v>33</v>
      </c>
      <c r="G483" t="str">
        <f>"2026-03-09 10:58:39.965"</f>
        <v>2026-03-09 10:58:39.965</v>
      </c>
      <c r="H483" t="s">
        <v>21</v>
      </c>
      <c r="I483">
        <v>0</v>
      </c>
      <c r="J483" t="s">
        <v>34</v>
      </c>
    </row>
    <row r="484" spans="1:10" x14ac:dyDescent="0.25">
      <c r="A484" s="1">
        <v>90</v>
      </c>
      <c r="B484" t="s">
        <v>19</v>
      </c>
      <c r="C484">
        <v>700</v>
      </c>
      <c r="D484">
        <v>0</v>
      </c>
      <c r="E484" t="s">
        <v>20</v>
      </c>
      <c r="F484" t="s">
        <v>20</v>
      </c>
      <c r="G484" t="str">
        <f>"2026-03-09 09:50:34.495"</f>
        <v>2026-03-09 09:50:34.495</v>
      </c>
      <c r="H484" t="s">
        <v>21</v>
      </c>
      <c r="I484">
        <v>0</v>
      </c>
      <c r="J484" t="s">
        <v>27</v>
      </c>
    </row>
    <row r="485" spans="1:10" x14ac:dyDescent="0.25">
      <c r="A485" s="1">
        <v>91</v>
      </c>
      <c r="B485" t="s">
        <v>19</v>
      </c>
      <c r="C485">
        <v>706</v>
      </c>
      <c r="D485">
        <v>2</v>
      </c>
      <c r="E485" t="s">
        <v>32</v>
      </c>
      <c r="F485" t="s">
        <v>33</v>
      </c>
      <c r="G485" t="str">
        <f>"2026-03-08 13:03:55.763"</f>
        <v>2026-03-08 13:03:55.763</v>
      </c>
      <c r="H485" t="s">
        <v>21</v>
      </c>
      <c r="I485">
        <v>0</v>
      </c>
      <c r="J485" t="s">
        <v>34</v>
      </c>
    </row>
    <row r="486" spans="1:10" x14ac:dyDescent="0.25">
      <c r="A486" s="1">
        <v>92</v>
      </c>
      <c r="B486" t="s">
        <v>22</v>
      </c>
      <c r="C486">
        <v>635</v>
      </c>
      <c r="D486">
        <v>1</v>
      </c>
      <c r="E486" t="s">
        <v>28</v>
      </c>
      <c r="F486" t="s">
        <v>29</v>
      </c>
      <c r="G486" t="str">
        <f>"2026-03-08 03:29:57.967"</f>
        <v>2026-03-08 03:29:57.967</v>
      </c>
      <c r="H486" t="s">
        <v>21</v>
      </c>
    </row>
    <row r="487" spans="1:10" x14ac:dyDescent="0.25">
      <c r="A487" s="1">
        <v>93</v>
      </c>
      <c r="B487" t="s">
        <v>25</v>
      </c>
      <c r="C487">
        <v>635</v>
      </c>
      <c r="D487">
        <v>1</v>
      </c>
      <c r="E487" t="s">
        <v>28</v>
      </c>
      <c r="F487" t="s">
        <v>29</v>
      </c>
      <c r="G487" t="str">
        <f>"2026-03-08 03:26:14.467"</f>
        <v>2026-03-08 03:26:14.467</v>
      </c>
      <c r="H487" t="s">
        <v>21</v>
      </c>
      <c r="I487">
        <v>2.37</v>
      </c>
      <c r="J487" t="s">
        <v>31</v>
      </c>
    </row>
    <row r="488" spans="1:10" x14ac:dyDescent="0.25">
      <c r="A488" s="1">
        <v>94</v>
      </c>
      <c r="B488" t="s">
        <v>22</v>
      </c>
      <c r="C488">
        <v>635</v>
      </c>
      <c r="D488">
        <v>1</v>
      </c>
      <c r="E488" t="s">
        <v>28</v>
      </c>
      <c r="F488" t="s">
        <v>29</v>
      </c>
      <c r="G488" t="str">
        <f>"2026-03-07 14:39:13.514"</f>
        <v>2026-03-07 14:39:13.514</v>
      </c>
      <c r="H488" t="s">
        <v>21</v>
      </c>
    </row>
    <row r="489" spans="1:10" x14ac:dyDescent="0.25">
      <c r="A489" s="1">
        <v>95</v>
      </c>
      <c r="B489" t="s">
        <v>25</v>
      </c>
      <c r="C489">
        <v>635</v>
      </c>
      <c r="D489">
        <v>1</v>
      </c>
      <c r="E489" t="s">
        <v>28</v>
      </c>
      <c r="F489" t="s">
        <v>29</v>
      </c>
      <c r="G489" t="str">
        <f>"2026-03-07 14:34:38.967"</f>
        <v>2026-03-07 14:34:38.967</v>
      </c>
      <c r="H489" t="s">
        <v>21</v>
      </c>
      <c r="I489">
        <v>7.2</v>
      </c>
      <c r="J489" t="s">
        <v>31</v>
      </c>
    </row>
    <row r="490" spans="1:10" s="3" customFormat="1" x14ac:dyDescent="0.25">
      <c r="A490" s="2">
        <v>96</v>
      </c>
      <c r="B490" s="3" t="s">
        <v>22</v>
      </c>
      <c r="C490" s="3">
        <v>647</v>
      </c>
      <c r="D490" s="3">
        <v>1</v>
      </c>
      <c r="E490" s="3" t="s">
        <v>23</v>
      </c>
      <c r="F490" s="3" t="s">
        <v>24</v>
      </c>
      <c r="G490" s="3" t="str">
        <f>"2026-03-07 10:02:39.768"</f>
        <v>2026-03-07 10:02:39.768</v>
      </c>
      <c r="H490" s="3" t="s">
        <v>21</v>
      </c>
    </row>
    <row r="491" spans="1:10" s="3" customFormat="1" x14ac:dyDescent="0.25">
      <c r="A491" s="2">
        <v>97</v>
      </c>
      <c r="B491" s="3" t="s">
        <v>25</v>
      </c>
      <c r="C491" s="3">
        <v>647</v>
      </c>
      <c r="D491" s="3">
        <v>1</v>
      </c>
      <c r="E491" s="3" t="s">
        <v>23</v>
      </c>
      <c r="F491" s="3" t="s">
        <v>24</v>
      </c>
      <c r="G491" s="3" t="str">
        <f>"2026-03-07 10:02:36.068"</f>
        <v>2026-03-07 10:02:36.068</v>
      </c>
      <c r="H491" s="3" t="s">
        <v>21</v>
      </c>
      <c r="I491" s="3">
        <v>9.32</v>
      </c>
      <c r="J491" s="3" t="s">
        <v>26</v>
      </c>
    </row>
    <row r="492" spans="1:10" x14ac:dyDescent="0.25">
      <c r="A492" s="1">
        <v>98</v>
      </c>
      <c r="B492" t="s">
        <v>22</v>
      </c>
      <c r="C492">
        <v>635</v>
      </c>
      <c r="D492">
        <v>1</v>
      </c>
      <c r="E492" t="s">
        <v>28</v>
      </c>
      <c r="F492" t="s">
        <v>29</v>
      </c>
      <c r="G492" t="str">
        <f>"2026-03-06 02:18:01.667"</f>
        <v>2026-03-06 02:18:01.667</v>
      </c>
      <c r="H492" t="s">
        <v>21</v>
      </c>
    </row>
    <row r="493" spans="1:10" x14ac:dyDescent="0.25">
      <c r="A493" s="1">
        <v>99</v>
      </c>
      <c r="B493" t="s">
        <v>25</v>
      </c>
      <c r="C493">
        <v>635</v>
      </c>
      <c r="D493">
        <v>1</v>
      </c>
      <c r="E493" t="s">
        <v>28</v>
      </c>
      <c r="F493" t="s">
        <v>29</v>
      </c>
      <c r="G493" t="str">
        <f>"2026-03-06 02:14:22.167"</f>
        <v>2026-03-06 02:14:22.167</v>
      </c>
      <c r="H493" t="s">
        <v>21</v>
      </c>
      <c r="I493">
        <v>6.22</v>
      </c>
      <c r="J493" t="s">
        <v>30</v>
      </c>
    </row>
    <row r="494" spans="1:10" x14ac:dyDescent="0.25">
      <c r="A494" s="1">
        <v>0</v>
      </c>
      <c r="B494" t="s">
        <v>19</v>
      </c>
      <c r="C494">
        <v>706</v>
      </c>
      <c r="D494">
        <v>4</v>
      </c>
      <c r="E494" t="s">
        <v>32</v>
      </c>
      <c r="F494" t="s">
        <v>40</v>
      </c>
      <c r="G494" t="str">
        <f>"2026-03-05 11:58:10.353"</f>
        <v>2026-03-05 11:58:10.353</v>
      </c>
      <c r="H494" t="s">
        <v>21</v>
      </c>
      <c r="I494">
        <v>0</v>
      </c>
      <c r="J494" t="s">
        <v>34</v>
      </c>
    </row>
    <row r="495" spans="1:10" x14ac:dyDescent="0.25">
      <c r="A495" s="1">
        <v>1</v>
      </c>
      <c r="B495" t="s">
        <v>22</v>
      </c>
      <c r="C495">
        <v>635</v>
      </c>
      <c r="D495">
        <v>1</v>
      </c>
      <c r="E495" t="s">
        <v>28</v>
      </c>
      <c r="F495" t="s">
        <v>29</v>
      </c>
      <c r="G495" t="str">
        <f>"2026-03-05 05:09:49.567"</f>
        <v>2026-03-05 05:09:49.567</v>
      </c>
      <c r="H495" t="s">
        <v>21</v>
      </c>
    </row>
    <row r="496" spans="1:10" x14ac:dyDescent="0.25">
      <c r="A496" s="1">
        <v>2</v>
      </c>
      <c r="B496" t="s">
        <v>25</v>
      </c>
      <c r="C496">
        <v>635</v>
      </c>
      <c r="D496">
        <v>1</v>
      </c>
      <c r="E496" t="s">
        <v>28</v>
      </c>
      <c r="F496" t="s">
        <v>29</v>
      </c>
      <c r="G496" t="str">
        <f>"2026-03-05 05:06:24.067"</f>
        <v>2026-03-05 05:06:24.067</v>
      </c>
      <c r="H496" t="s">
        <v>21</v>
      </c>
      <c r="I496">
        <v>4.28</v>
      </c>
      <c r="J496" t="s">
        <v>31</v>
      </c>
    </row>
    <row r="497" spans="1:10" x14ac:dyDescent="0.25">
      <c r="A497" s="1">
        <v>3</v>
      </c>
      <c r="B497" t="s">
        <v>22</v>
      </c>
      <c r="C497">
        <v>635</v>
      </c>
      <c r="D497">
        <v>1</v>
      </c>
      <c r="E497" t="s">
        <v>28</v>
      </c>
      <c r="F497" t="s">
        <v>29</v>
      </c>
      <c r="G497" t="str">
        <f>"2026-03-05 02:49:21.367"</f>
        <v>2026-03-05 02:49:21.367</v>
      </c>
      <c r="H497" t="s">
        <v>21</v>
      </c>
    </row>
    <row r="498" spans="1:10" x14ac:dyDescent="0.25">
      <c r="A498" s="1">
        <v>4</v>
      </c>
      <c r="B498" t="s">
        <v>25</v>
      </c>
      <c r="C498">
        <v>635</v>
      </c>
      <c r="D498">
        <v>1</v>
      </c>
      <c r="E498" t="s">
        <v>28</v>
      </c>
      <c r="F498" t="s">
        <v>29</v>
      </c>
      <c r="G498" t="str">
        <f>"2026-03-05 02:45:13.367"</f>
        <v>2026-03-05 02:45:13.367</v>
      </c>
      <c r="H498" t="s">
        <v>21</v>
      </c>
      <c r="I498">
        <v>0.9</v>
      </c>
      <c r="J498" t="s">
        <v>26</v>
      </c>
    </row>
    <row r="499" spans="1:10" x14ac:dyDescent="0.25">
      <c r="A499" s="1">
        <v>5</v>
      </c>
      <c r="B499" t="s">
        <v>22</v>
      </c>
      <c r="C499">
        <v>635</v>
      </c>
      <c r="D499">
        <v>1</v>
      </c>
      <c r="E499" t="s">
        <v>28</v>
      </c>
      <c r="F499" t="s">
        <v>29</v>
      </c>
      <c r="G499" t="str">
        <f>"2026-03-03 20:08:07.367"</f>
        <v>2026-03-03 20:08:07.367</v>
      </c>
      <c r="H499" t="s">
        <v>21</v>
      </c>
    </row>
    <row r="500" spans="1:10" x14ac:dyDescent="0.25">
      <c r="A500" s="1">
        <v>6</v>
      </c>
      <c r="B500" t="s">
        <v>25</v>
      </c>
      <c r="C500">
        <v>635</v>
      </c>
      <c r="D500">
        <v>1</v>
      </c>
      <c r="E500" t="s">
        <v>28</v>
      </c>
      <c r="F500" t="s">
        <v>29</v>
      </c>
      <c r="G500" t="str">
        <f>"2026-03-03 19:58:22.366"</f>
        <v>2026-03-03 19:58:22.366</v>
      </c>
      <c r="H500" t="s">
        <v>21</v>
      </c>
      <c r="I500">
        <v>0</v>
      </c>
      <c r="J500" t="s">
        <v>30</v>
      </c>
    </row>
    <row r="501" spans="1:10" x14ac:dyDescent="0.25">
      <c r="A501" s="1">
        <v>7</v>
      </c>
      <c r="B501" t="s">
        <v>22</v>
      </c>
      <c r="C501">
        <v>635</v>
      </c>
      <c r="D501">
        <v>1</v>
      </c>
      <c r="E501" t="s">
        <v>28</v>
      </c>
      <c r="F501" t="s">
        <v>29</v>
      </c>
      <c r="G501" t="str">
        <f>"2026-03-03 19:20:52.967"</f>
        <v>2026-03-03 19:20:52.967</v>
      </c>
      <c r="H501" t="s">
        <v>21</v>
      </c>
    </row>
    <row r="502" spans="1:10" x14ac:dyDescent="0.25">
      <c r="A502" s="1">
        <v>8</v>
      </c>
      <c r="B502" t="s">
        <v>25</v>
      </c>
      <c r="C502">
        <v>635</v>
      </c>
      <c r="D502">
        <v>1</v>
      </c>
      <c r="E502" t="s">
        <v>28</v>
      </c>
      <c r="F502" t="s">
        <v>29</v>
      </c>
      <c r="G502" t="str">
        <f>"2026-03-03 19:17:08.967"</f>
        <v>2026-03-03 19:17:08.967</v>
      </c>
      <c r="H502" t="s">
        <v>21</v>
      </c>
      <c r="I502">
        <v>5.37</v>
      </c>
      <c r="J502" t="s">
        <v>31</v>
      </c>
    </row>
    <row r="503" spans="1:10" x14ac:dyDescent="0.25">
      <c r="A503" s="1">
        <v>9</v>
      </c>
      <c r="B503" t="s">
        <v>19</v>
      </c>
      <c r="C503">
        <v>700</v>
      </c>
      <c r="D503">
        <v>0</v>
      </c>
      <c r="E503" t="s">
        <v>20</v>
      </c>
      <c r="F503" t="s">
        <v>20</v>
      </c>
      <c r="G503" t="str">
        <f>"2026-03-02 22:35:16.633"</f>
        <v>2026-03-02 22:35:16.633</v>
      </c>
      <c r="H503" t="s">
        <v>21</v>
      </c>
      <c r="I503">
        <v>0</v>
      </c>
      <c r="J503" t="s">
        <v>27</v>
      </c>
    </row>
    <row r="504" spans="1:10" x14ac:dyDescent="0.25">
      <c r="A504" s="1">
        <v>10</v>
      </c>
      <c r="B504" t="s">
        <v>22</v>
      </c>
      <c r="C504">
        <v>61</v>
      </c>
      <c r="D504">
        <v>2</v>
      </c>
      <c r="E504" t="s">
        <v>46</v>
      </c>
      <c r="F504" t="s">
        <v>47</v>
      </c>
      <c r="G504" t="str">
        <f>"2026-03-02 11:25:38.559"</f>
        <v>2026-03-02 11:25:38.559</v>
      </c>
      <c r="H504" t="s">
        <v>21</v>
      </c>
    </row>
    <row r="505" spans="1:10" x14ac:dyDescent="0.25">
      <c r="A505" s="1">
        <v>11</v>
      </c>
      <c r="B505" t="s">
        <v>39</v>
      </c>
      <c r="C505">
        <v>61</v>
      </c>
      <c r="D505">
        <v>2</v>
      </c>
      <c r="E505" t="s">
        <v>46</v>
      </c>
      <c r="F505" t="s">
        <v>47</v>
      </c>
      <c r="G505" t="str">
        <f>"2026-03-02 11:24:51.859"</f>
        <v>2026-03-02 11:24:51.859</v>
      </c>
      <c r="H505" t="s">
        <v>21</v>
      </c>
      <c r="I505">
        <v>31.3</v>
      </c>
      <c r="J505" t="s">
        <v>26</v>
      </c>
    </row>
    <row r="506" spans="1:10" x14ac:dyDescent="0.25">
      <c r="A506" s="1">
        <v>12</v>
      </c>
      <c r="B506" t="s">
        <v>22</v>
      </c>
      <c r="C506">
        <v>61</v>
      </c>
      <c r="D506">
        <v>2</v>
      </c>
      <c r="E506" t="s">
        <v>46</v>
      </c>
      <c r="F506" t="s">
        <v>47</v>
      </c>
      <c r="G506" t="str">
        <f>"2026-03-02 09:20:10.259"</f>
        <v>2026-03-02 09:20:10.259</v>
      </c>
      <c r="H506" t="s">
        <v>21</v>
      </c>
    </row>
    <row r="507" spans="1:10" x14ac:dyDescent="0.25">
      <c r="A507" s="1">
        <v>13</v>
      </c>
      <c r="B507" t="s">
        <v>39</v>
      </c>
      <c r="C507">
        <v>61</v>
      </c>
      <c r="D507">
        <v>2</v>
      </c>
      <c r="E507" t="s">
        <v>46</v>
      </c>
      <c r="F507" t="s">
        <v>47</v>
      </c>
      <c r="G507" t="str">
        <f>"2026-03-02 09:19:45.359"</f>
        <v>2026-03-02 09:19:45.359</v>
      </c>
      <c r="H507" t="s">
        <v>21</v>
      </c>
      <c r="I507">
        <v>30.56</v>
      </c>
      <c r="J507" t="s">
        <v>26</v>
      </c>
    </row>
    <row r="508" spans="1:10" x14ac:dyDescent="0.25">
      <c r="A508" s="1">
        <v>15</v>
      </c>
      <c r="B508" t="s">
        <v>19</v>
      </c>
      <c r="C508">
        <v>706</v>
      </c>
      <c r="D508">
        <v>2</v>
      </c>
      <c r="E508" t="s">
        <v>32</v>
      </c>
      <c r="F508" t="s">
        <v>33</v>
      </c>
      <c r="G508" t="str">
        <f>"2026-03-01 13:48:14.438"</f>
        <v>2026-03-01 13:48:14.438</v>
      </c>
      <c r="H508" t="s">
        <v>21</v>
      </c>
      <c r="I508">
        <v>0</v>
      </c>
      <c r="J508" t="s">
        <v>34</v>
      </c>
    </row>
    <row r="509" spans="1:10" x14ac:dyDescent="0.25">
      <c r="A509" s="1">
        <v>16</v>
      </c>
      <c r="B509" t="s">
        <v>22</v>
      </c>
      <c r="C509">
        <v>61</v>
      </c>
      <c r="D509">
        <v>2</v>
      </c>
      <c r="E509" t="s">
        <v>46</v>
      </c>
      <c r="F509" t="s">
        <v>47</v>
      </c>
      <c r="G509" t="str">
        <f>"2026-02-28 15:30:18.559"</f>
        <v>2026-02-28 15:30:18.559</v>
      </c>
      <c r="H509" t="s">
        <v>21</v>
      </c>
    </row>
    <row r="510" spans="1:10" x14ac:dyDescent="0.25">
      <c r="A510" s="1">
        <v>17</v>
      </c>
      <c r="B510" t="s">
        <v>39</v>
      </c>
      <c r="C510">
        <v>61</v>
      </c>
      <c r="D510">
        <v>2</v>
      </c>
      <c r="E510" t="s">
        <v>46</v>
      </c>
      <c r="F510" t="s">
        <v>47</v>
      </c>
      <c r="G510" t="str">
        <f>"2026-02-28 15:29:57.759"</f>
        <v>2026-02-28 15:29:57.759</v>
      </c>
      <c r="H510" t="s">
        <v>21</v>
      </c>
      <c r="I510">
        <v>30.26</v>
      </c>
      <c r="J510" t="s">
        <v>26</v>
      </c>
    </row>
    <row r="511" spans="1:10" x14ac:dyDescent="0.25">
      <c r="A511" s="1">
        <v>18</v>
      </c>
      <c r="B511" t="s">
        <v>22</v>
      </c>
      <c r="C511">
        <v>635</v>
      </c>
      <c r="D511">
        <v>1</v>
      </c>
      <c r="E511" t="s">
        <v>28</v>
      </c>
      <c r="F511" t="s">
        <v>29</v>
      </c>
      <c r="G511" t="str">
        <f>"2026-02-28 03:22:43.546"</f>
        <v>2026-02-28 03:22:43.546</v>
      </c>
      <c r="H511" t="s">
        <v>21</v>
      </c>
    </row>
    <row r="512" spans="1:10" x14ac:dyDescent="0.25">
      <c r="A512" s="1">
        <v>19</v>
      </c>
      <c r="B512" t="s">
        <v>25</v>
      </c>
      <c r="C512">
        <v>635</v>
      </c>
      <c r="D512">
        <v>1</v>
      </c>
      <c r="E512" t="s">
        <v>28</v>
      </c>
      <c r="F512" t="s">
        <v>29</v>
      </c>
      <c r="G512" t="str">
        <f>"2026-02-28 03:17:01.046"</f>
        <v>2026-02-28 03:17:01.046</v>
      </c>
      <c r="H512" t="s">
        <v>21</v>
      </c>
      <c r="I512">
        <v>0.26</v>
      </c>
      <c r="J512" t="s">
        <v>30</v>
      </c>
    </row>
    <row r="513" spans="1:10" x14ac:dyDescent="0.25">
      <c r="A513" s="1">
        <v>20</v>
      </c>
      <c r="B513" t="s">
        <v>22</v>
      </c>
      <c r="C513">
        <v>61</v>
      </c>
      <c r="D513">
        <v>2</v>
      </c>
      <c r="E513" t="s">
        <v>46</v>
      </c>
      <c r="F513" t="s">
        <v>47</v>
      </c>
      <c r="G513" t="str">
        <f>"2026-02-27 16:32:50.659"</f>
        <v>2026-02-27 16:32:50.659</v>
      </c>
      <c r="H513" t="s">
        <v>21</v>
      </c>
    </row>
    <row r="514" spans="1:10" x14ac:dyDescent="0.25">
      <c r="A514" s="1">
        <v>21</v>
      </c>
      <c r="B514" t="s">
        <v>39</v>
      </c>
      <c r="C514">
        <v>61</v>
      </c>
      <c r="D514">
        <v>2</v>
      </c>
      <c r="E514" t="s">
        <v>46</v>
      </c>
      <c r="F514" t="s">
        <v>47</v>
      </c>
      <c r="G514" t="str">
        <f>"2026-02-27 16:32:36.359"</f>
        <v>2026-02-27 16:32:36.359</v>
      </c>
      <c r="H514" t="s">
        <v>21</v>
      </c>
      <c r="I514">
        <v>30.33</v>
      </c>
      <c r="J514" t="s">
        <v>26</v>
      </c>
    </row>
    <row r="515" spans="1:10" x14ac:dyDescent="0.25">
      <c r="A515" s="1">
        <v>22</v>
      </c>
      <c r="B515" t="s">
        <v>19</v>
      </c>
      <c r="C515">
        <v>700</v>
      </c>
      <c r="D515">
        <v>0</v>
      </c>
      <c r="E515" t="s">
        <v>20</v>
      </c>
      <c r="F515" t="s">
        <v>20</v>
      </c>
      <c r="G515" t="str">
        <f>"2026-02-27 11:46:10.508"</f>
        <v>2026-02-27 11:46:10.508</v>
      </c>
      <c r="H515" t="s">
        <v>21</v>
      </c>
    </row>
    <row r="516" spans="1:10" x14ac:dyDescent="0.25">
      <c r="A516" s="1">
        <v>24</v>
      </c>
      <c r="B516" t="s">
        <v>22</v>
      </c>
      <c r="C516">
        <v>635</v>
      </c>
      <c r="D516">
        <v>1</v>
      </c>
      <c r="E516" t="s">
        <v>28</v>
      </c>
      <c r="F516" t="s">
        <v>29</v>
      </c>
      <c r="G516" t="str">
        <f>"2026-02-27 10:33:52.217"</f>
        <v>2026-02-27 10:33:52.217</v>
      </c>
      <c r="H516" t="s">
        <v>21</v>
      </c>
    </row>
    <row r="517" spans="1:10" x14ac:dyDescent="0.25">
      <c r="A517" s="1">
        <v>25</v>
      </c>
      <c r="B517" t="s">
        <v>25</v>
      </c>
      <c r="C517">
        <v>635</v>
      </c>
      <c r="D517">
        <v>1</v>
      </c>
      <c r="E517" t="s">
        <v>28</v>
      </c>
      <c r="F517" t="s">
        <v>29</v>
      </c>
      <c r="G517" t="str">
        <f>"2026-02-27 10:28:27.717"</f>
        <v>2026-02-27 10:28:27.717</v>
      </c>
      <c r="H517" t="s">
        <v>21</v>
      </c>
      <c r="I517">
        <v>7.15</v>
      </c>
      <c r="J517" t="s">
        <v>31</v>
      </c>
    </row>
    <row r="518" spans="1:10" x14ac:dyDescent="0.25">
      <c r="A518" s="1">
        <v>26</v>
      </c>
      <c r="B518" t="s">
        <v>19</v>
      </c>
      <c r="C518">
        <v>706</v>
      </c>
      <c r="D518">
        <v>4</v>
      </c>
      <c r="E518" t="s">
        <v>32</v>
      </c>
      <c r="F518" t="s">
        <v>40</v>
      </c>
      <c r="G518" t="str">
        <f>"2026-02-27 08:14:37.476"</f>
        <v>2026-02-27 08:14:37.476</v>
      </c>
      <c r="H518" t="s">
        <v>21</v>
      </c>
      <c r="I518">
        <v>0</v>
      </c>
      <c r="J518" t="s">
        <v>34</v>
      </c>
    </row>
    <row r="519" spans="1:10" x14ac:dyDescent="0.25">
      <c r="A519" s="1">
        <v>27</v>
      </c>
      <c r="B519" t="s">
        <v>19</v>
      </c>
      <c r="C519">
        <v>700</v>
      </c>
      <c r="D519">
        <v>0</v>
      </c>
      <c r="E519" t="s">
        <v>20</v>
      </c>
      <c r="F519" t="s">
        <v>20</v>
      </c>
      <c r="G519" t="str">
        <f>"2026-02-27 08:13:20.476"</f>
        <v>2026-02-27 08:13:20.476</v>
      </c>
      <c r="H519" t="s">
        <v>21</v>
      </c>
    </row>
    <row r="520" spans="1:10" x14ac:dyDescent="0.25">
      <c r="A520" s="1">
        <v>28</v>
      </c>
      <c r="B520" t="s">
        <v>22</v>
      </c>
      <c r="C520">
        <v>635</v>
      </c>
      <c r="D520">
        <v>1</v>
      </c>
      <c r="E520" t="s">
        <v>28</v>
      </c>
      <c r="F520" t="s">
        <v>29</v>
      </c>
      <c r="G520" t="str">
        <f>"2026-02-27 03:05:46.903"</f>
        <v>2026-02-27 03:05:46.903</v>
      </c>
      <c r="H520" t="s">
        <v>21</v>
      </c>
    </row>
    <row r="521" spans="1:10" x14ac:dyDescent="0.25">
      <c r="A521" s="1">
        <v>29</v>
      </c>
      <c r="B521" t="s">
        <v>25</v>
      </c>
      <c r="C521">
        <v>635</v>
      </c>
      <c r="D521">
        <v>1</v>
      </c>
      <c r="E521" t="s">
        <v>28</v>
      </c>
      <c r="F521" t="s">
        <v>29</v>
      </c>
      <c r="G521" t="str">
        <f>"2026-02-27 02:59:07.403"</f>
        <v>2026-02-27 02:59:07.403</v>
      </c>
      <c r="H521" t="s">
        <v>21</v>
      </c>
      <c r="I521">
        <v>3.09</v>
      </c>
      <c r="J521" t="s">
        <v>26</v>
      </c>
    </row>
    <row r="522" spans="1:10" x14ac:dyDescent="0.25">
      <c r="A522" s="1">
        <v>30</v>
      </c>
      <c r="B522" t="s">
        <v>19</v>
      </c>
      <c r="C522">
        <v>700</v>
      </c>
      <c r="D522">
        <v>0</v>
      </c>
      <c r="E522" t="s">
        <v>20</v>
      </c>
      <c r="F522" t="s">
        <v>20</v>
      </c>
      <c r="G522" t="str">
        <f>"2026-02-26 21:53:42.494"</f>
        <v>2026-02-26 21:53:42.494</v>
      </c>
      <c r="H522" t="s">
        <v>21</v>
      </c>
      <c r="I522">
        <v>0</v>
      </c>
      <c r="J522" t="s">
        <v>27</v>
      </c>
    </row>
    <row r="523" spans="1:10" x14ac:dyDescent="0.25">
      <c r="A523" s="1">
        <v>31</v>
      </c>
      <c r="B523" t="s">
        <v>19</v>
      </c>
      <c r="C523">
        <v>706</v>
      </c>
      <c r="D523">
        <v>2</v>
      </c>
      <c r="E523" t="s">
        <v>32</v>
      </c>
      <c r="F523" t="s">
        <v>33</v>
      </c>
      <c r="G523" t="str">
        <f>"2026-02-26 21:48:11.941"</f>
        <v>2026-02-26 21:48:11.941</v>
      </c>
      <c r="H523" t="s">
        <v>21</v>
      </c>
      <c r="I523">
        <v>0</v>
      </c>
      <c r="J523" t="s">
        <v>34</v>
      </c>
    </row>
    <row r="524" spans="1:10" x14ac:dyDescent="0.25">
      <c r="A524" s="1">
        <v>32</v>
      </c>
      <c r="B524" t="s">
        <v>19</v>
      </c>
      <c r="C524">
        <v>706</v>
      </c>
      <c r="D524">
        <v>4</v>
      </c>
      <c r="E524" t="s">
        <v>32</v>
      </c>
      <c r="F524" t="s">
        <v>40</v>
      </c>
      <c r="G524" t="str">
        <f>"2026-02-26 17:15:17.721"</f>
        <v>2026-02-26 17:15:17.721</v>
      </c>
      <c r="H524" t="s">
        <v>21</v>
      </c>
      <c r="I524">
        <v>0</v>
      </c>
      <c r="J524" t="s">
        <v>34</v>
      </c>
    </row>
    <row r="525" spans="1:10" x14ac:dyDescent="0.25">
      <c r="A525" s="1">
        <v>33</v>
      </c>
      <c r="B525" t="s">
        <v>19</v>
      </c>
      <c r="C525">
        <v>706</v>
      </c>
      <c r="D525">
        <v>4</v>
      </c>
      <c r="E525" t="s">
        <v>32</v>
      </c>
      <c r="F525" t="s">
        <v>40</v>
      </c>
      <c r="G525" t="str">
        <f>"2026-02-26 16:15:44.641"</f>
        <v>2026-02-26 16:15:44.641</v>
      </c>
      <c r="H525" t="s">
        <v>21</v>
      </c>
      <c r="I525">
        <v>0</v>
      </c>
      <c r="J525" t="s">
        <v>34</v>
      </c>
    </row>
    <row r="526" spans="1:10" x14ac:dyDescent="0.25">
      <c r="A526" s="1">
        <v>34</v>
      </c>
      <c r="B526" t="s">
        <v>19</v>
      </c>
      <c r="C526">
        <v>700</v>
      </c>
      <c r="D526">
        <v>0</v>
      </c>
      <c r="E526" t="s">
        <v>20</v>
      </c>
      <c r="F526" t="s">
        <v>20</v>
      </c>
      <c r="G526" t="str">
        <f>"2026-02-26 16:13:25.451"</f>
        <v>2026-02-26 16:13:25.451</v>
      </c>
      <c r="H526" t="s">
        <v>21</v>
      </c>
    </row>
    <row r="527" spans="1:10" x14ac:dyDescent="0.25">
      <c r="A527" s="1">
        <v>35</v>
      </c>
      <c r="B527" t="s">
        <v>19</v>
      </c>
      <c r="C527">
        <v>700</v>
      </c>
      <c r="D527">
        <v>0</v>
      </c>
      <c r="E527" t="s">
        <v>20</v>
      </c>
      <c r="F527" t="s">
        <v>20</v>
      </c>
      <c r="G527" t="str">
        <f>"2026-02-26 15:32:26.902"</f>
        <v>2026-02-26 15:32:26.902</v>
      </c>
      <c r="H527" t="s">
        <v>21</v>
      </c>
      <c r="I527">
        <v>0</v>
      </c>
      <c r="J527" t="s">
        <v>27</v>
      </c>
    </row>
    <row r="528" spans="1:10" x14ac:dyDescent="0.25">
      <c r="A528" s="1">
        <v>36</v>
      </c>
      <c r="B528" t="s">
        <v>19</v>
      </c>
      <c r="C528">
        <v>706</v>
      </c>
      <c r="D528">
        <v>3</v>
      </c>
      <c r="E528" t="s">
        <v>32</v>
      </c>
      <c r="F528" t="s">
        <v>45</v>
      </c>
      <c r="G528" t="str">
        <f>"2026-02-26 15:24:51.696"</f>
        <v>2026-02-26 15:24:51.696</v>
      </c>
      <c r="H528" t="s">
        <v>21</v>
      </c>
      <c r="I528">
        <v>0</v>
      </c>
      <c r="J528" t="s">
        <v>30</v>
      </c>
    </row>
    <row r="529" spans="1:10" x14ac:dyDescent="0.25">
      <c r="A529" s="1">
        <v>37</v>
      </c>
      <c r="B529" t="s">
        <v>19</v>
      </c>
      <c r="C529">
        <v>706</v>
      </c>
      <c r="D529">
        <v>4</v>
      </c>
      <c r="E529" t="s">
        <v>32</v>
      </c>
      <c r="F529" t="s">
        <v>40</v>
      </c>
      <c r="G529" t="str">
        <f>"2026-02-26 14:49:22.096"</f>
        <v>2026-02-26 14:49:22.096</v>
      </c>
      <c r="H529" t="s">
        <v>21</v>
      </c>
      <c r="I529">
        <v>0</v>
      </c>
      <c r="J529" t="s">
        <v>34</v>
      </c>
    </row>
    <row r="530" spans="1:10" x14ac:dyDescent="0.25">
      <c r="A530" s="1">
        <v>38</v>
      </c>
      <c r="B530" t="s">
        <v>19</v>
      </c>
      <c r="C530">
        <v>706</v>
      </c>
      <c r="D530">
        <v>4</v>
      </c>
      <c r="E530" t="s">
        <v>32</v>
      </c>
      <c r="F530" t="s">
        <v>40</v>
      </c>
      <c r="G530" t="str">
        <f>"2026-02-26 14:09:26.386"</f>
        <v>2026-02-26 14:09:26.386</v>
      </c>
      <c r="H530" t="s">
        <v>21</v>
      </c>
      <c r="I530">
        <v>0</v>
      </c>
      <c r="J530" t="s">
        <v>34</v>
      </c>
    </row>
    <row r="531" spans="1:10" x14ac:dyDescent="0.25">
      <c r="A531" s="1">
        <v>39</v>
      </c>
      <c r="B531" t="s">
        <v>22</v>
      </c>
      <c r="C531">
        <v>61</v>
      </c>
      <c r="D531">
        <v>2</v>
      </c>
      <c r="E531" t="s">
        <v>46</v>
      </c>
      <c r="F531" t="s">
        <v>47</v>
      </c>
      <c r="G531" t="str">
        <f>"2026-02-26 12:57:25.548"</f>
        <v>2026-02-26 12:57:25.548</v>
      </c>
      <c r="H531" t="s">
        <v>21</v>
      </c>
    </row>
    <row r="532" spans="1:10" x14ac:dyDescent="0.25">
      <c r="A532" s="1">
        <v>40</v>
      </c>
      <c r="B532" t="s">
        <v>39</v>
      </c>
      <c r="C532">
        <v>61</v>
      </c>
      <c r="D532">
        <v>2</v>
      </c>
      <c r="E532" t="s">
        <v>46</v>
      </c>
      <c r="F532" t="s">
        <v>47</v>
      </c>
      <c r="G532" t="str">
        <f>"2026-02-26 12:57:00.048"</f>
        <v>2026-02-26 12:57:00.048</v>
      </c>
      <c r="H532" t="s">
        <v>21</v>
      </c>
      <c r="I532">
        <v>30.64</v>
      </c>
      <c r="J532" t="s">
        <v>26</v>
      </c>
    </row>
    <row r="533" spans="1:10" x14ac:dyDescent="0.25">
      <c r="A533" s="1">
        <v>41</v>
      </c>
      <c r="B533" t="s">
        <v>19</v>
      </c>
      <c r="C533">
        <v>700</v>
      </c>
      <c r="D533">
        <v>0</v>
      </c>
      <c r="E533" t="s">
        <v>20</v>
      </c>
      <c r="F533" t="s">
        <v>20</v>
      </c>
      <c r="G533" t="str">
        <f>"2026-02-26 11:44:45.516"</f>
        <v>2026-02-26 11:44:45.516</v>
      </c>
      <c r="H533" t="s">
        <v>21</v>
      </c>
      <c r="I533">
        <v>0</v>
      </c>
      <c r="J533" t="s">
        <v>27</v>
      </c>
    </row>
    <row r="534" spans="1:10" x14ac:dyDescent="0.25">
      <c r="A534" s="1">
        <v>42</v>
      </c>
      <c r="B534" t="s">
        <v>19</v>
      </c>
      <c r="C534">
        <v>706</v>
      </c>
      <c r="D534">
        <v>4</v>
      </c>
      <c r="E534" t="s">
        <v>32</v>
      </c>
      <c r="F534" t="s">
        <v>40</v>
      </c>
      <c r="G534" t="str">
        <f>"2026-02-26 08:26:32.057"</f>
        <v>2026-02-26 08:26:32.057</v>
      </c>
      <c r="H534" t="s">
        <v>21</v>
      </c>
      <c r="I534">
        <v>0</v>
      </c>
      <c r="J534" t="s">
        <v>34</v>
      </c>
    </row>
    <row r="535" spans="1:10" x14ac:dyDescent="0.25">
      <c r="A535" s="1">
        <v>43</v>
      </c>
      <c r="B535" t="s">
        <v>19</v>
      </c>
      <c r="C535">
        <v>706</v>
      </c>
      <c r="D535">
        <v>2</v>
      </c>
      <c r="E535" t="s">
        <v>32</v>
      </c>
      <c r="F535" t="s">
        <v>33</v>
      </c>
      <c r="G535" t="str">
        <f>"2026-02-26 08:24:00.737"</f>
        <v>2026-02-26 08:24:00.737</v>
      </c>
      <c r="H535" t="s">
        <v>21</v>
      </c>
      <c r="I535">
        <v>0</v>
      </c>
      <c r="J535" t="s">
        <v>34</v>
      </c>
    </row>
    <row r="536" spans="1:10" x14ac:dyDescent="0.25">
      <c r="A536" s="1">
        <v>44</v>
      </c>
      <c r="B536" t="s">
        <v>19</v>
      </c>
      <c r="C536">
        <v>700</v>
      </c>
      <c r="D536">
        <v>0</v>
      </c>
      <c r="E536" t="s">
        <v>20</v>
      </c>
      <c r="F536" t="s">
        <v>20</v>
      </c>
      <c r="G536" t="str">
        <f>"2026-02-26 08:21:57.457"</f>
        <v>2026-02-26 08:21:57.457</v>
      </c>
      <c r="H536" t="s">
        <v>21</v>
      </c>
    </row>
    <row r="537" spans="1:10" x14ac:dyDescent="0.25">
      <c r="A537" s="1">
        <v>45</v>
      </c>
      <c r="B537" t="s">
        <v>19</v>
      </c>
      <c r="C537">
        <v>706</v>
      </c>
      <c r="D537">
        <v>2</v>
      </c>
      <c r="E537" t="s">
        <v>32</v>
      </c>
      <c r="F537" t="s">
        <v>33</v>
      </c>
      <c r="G537" t="str">
        <f>"2026-02-26 04:38:31.755"</f>
        <v>2026-02-26 04:38:31.755</v>
      </c>
      <c r="H537" t="s">
        <v>21</v>
      </c>
      <c r="I537">
        <v>0</v>
      </c>
      <c r="J537" t="s">
        <v>34</v>
      </c>
    </row>
    <row r="538" spans="1:10" x14ac:dyDescent="0.25">
      <c r="A538" s="1">
        <v>46</v>
      </c>
      <c r="B538" t="s">
        <v>19</v>
      </c>
      <c r="C538">
        <v>700</v>
      </c>
      <c r="D538">
        <v>0</v>
      </c>
      <c r="E538" t="s">
        <v>20</v>
      </c>
      <c r="F538" t="s">
        <v>20</v>
      </c>
      <c r="G538" t="str">
        <f>"2026-02-26 04:35:41.475"</f>
        <v>2026-02-26 04:35:41.475</v>
      </c>
      <c r="H538" t="s">
        <v>21</v>
      </c>
      <c r="I538">
        <v>0</v>
      </c>
      <c r="J538" t="s">
        <v>27</v>
      </c>
    </row>
    <row r="539" spans="1:10" x14ac:dyDescent="0.25">
      <c r="A539" s="1">
        <v>47</v>
      </c>
      <c r="B539" t="s">
        <v>19</v>
      </c>
      <c r="C539">
        <v>700</v>
      </c>
      <c r="D539">
        <v>0</v>
      </c>
      <c r="E539" t="s">
        <v>20</v>
      </c>
      <c r="F539" t="s">
        <v>20</v>
      </c>
      <c r="G539" t="str">
        <f>"2026-02-26 03:27:54.574"</f>
        <v>2026-02-26 03:27:54.574</v>
      </c>
      <c r="H539" t="s">
        <v>21</v>
      </c>
      <c r="I539">
        <v>0</v>
      </c>
      <c r="J539" t="s">
        <v>27</v>
      </c>
    </row>
    <row r="540" spans="1:10" x14ac:dyDescent="0.25">
      <c r="A540" s="1">
        <v>48</v>
      </c>
      <c r="B540" t="s">
        <v>22</v>
      </c>
      <c r="C540">
        <v>61</v>
      </c>
      <c r="D540">
        <v>2</v>
      </c>
      <c r="E540" t="s">
        <v>46</v>
      </c>
      <c r="F540" t="s">
        <v>47</v>
      </c>
      <c r="G540" t="str">
        <f>"2026-02-25 14:57:55.402"</f>
        <v>2026-02-25 14:57:55.402</v>
      </c>
      <c r="H540" t="s">
        <v>21</v>
      </c>
    </row>
    <row r="541" spans="1:10" x14ac:dyDescent="0.25">
      <c r="A541" s="1">
        <v>49</v>
      </c>
      <c r="B541" t="s">
        <v>39</v>
      </c>
      <c r="C541">
        <v>61</v>
      </c>
      <c r="D541">
        <v>2</v>
      </c>
      <c r="E541" t="s">
        <v>46</v>
      </c>
      <c r="F541" t="s">
        <v>47</v>
      </c>
      <c r="G541" t="str">
        <f>"2026-02-25 14:57:41.502"</f>
        <v>2026-02-25 14:57:41.502</v>
      </c>
      <c r="H541" t="s">
        <v>21</v>
      </c>
      <c r="I541">
        <v>29.98</v>
      </c>
      <c r="J541" t="s">
        <v>26</v>
      </c>
    </row>
    <row r="542" spans="1:10" x14ac:dyDescent="0.25">
      <c r="A542" s="1">
        <v>50</v>
      </c>
      <c r="B542" t="s">
        <v>19</v>
      </c>
      <c r="C542">
        <v>706</v>
      </c>
      <c r="D542">
        <v>2</v>
      </c>
      <c r="E542" t="s">
        <v>32</v>
      </c>
      <c r="F542" t="s">
        <v>33</v>
      </c>
      <c r="G542" t="str">
        <f>"2026-02-25 13:07:12.970"</f>
        <v>2026-02-25 13:07:12.970</v>
      </c>
      <c r="H542" t="s">
        <v>21</v>
      </c>
      <c r="I542">
        <v>0</v>
      </c>
      <c r="J542" t="s">
        <v>34</v>
      </c>
    </row>
    <row r="543" spans="1:10" x14ac:dyDescent="0.25">
      <c r="A543" s="1">
        <v>51</v>
      </c>
      <c r="B543" t="s">
        <v>22</v>
      </c>
      <c r="C543">
        <v>61</v>
      </c>
      <c r="D543">
        <v>2</v>
      </c>
      <c r="E543" t="s">
        <v>46</v>
      </c>
      <c r="F543" t="s">
        <v>47</v>
      </c>
      <c r="G543" t="str">
        <f>"2026-02-24 18:55:17.302"</f>
        <v>2026-02-24 18:55:17.302</v>
      </c>
      <c r="H543" t="s">
        <v>21</v>
      </c>
    </row>
    <row r="544" spans="1:10" x14ac:dyDescent="0.25">
      <c r="A544" s="1">
        <v>52</v>
      </c>
      <c r="B544" t="s">
        <v>39</v>
      </c>
      <c r="C544">
        <v>61</v>
      </c>
      <c r="D544">
        <v>2</v>
      </c>
      <c r="E544" t="s">
        <v>46</v>
      </c>
      <c r="F544" t="s">
        <v>47</v>
      </c>
      <c r="G544" t="str">
        <f>"2026-02-24 18:54:50.502"</f>
        <v>2026-02-24 18:54:50.502</v>
      </c>
      <c r="H544" t="s">
        <v>21</v>
      </c>
      <c r="I544">
        <v>31.01</v>
      </c>
      <c r="J544" t="s">
        <v>26</v>
      </c>
    </row>
    <row r="545" spans="1:10" x14ac:dyDescent="0.25">
      <c r="A545" s="1">
        <v>54</v>
      </c>
      <c r="B545" t="s">
        <v>22</v>
      </c>
      <c r="C545">
        <v>61</v>
      </c>
      <c r="D545">
        <v>2</v>
      </c>
      <c r="E545" t="s">
        <v>46</v>
      </c>
      <c r="F545" t="s">
        <v>47</v>
      </c>
      <c r="G545" t="str">
        <f>"2026-02-24 17:20:14.002"</f>
        <v>2026-02-24 17:20:14.002</v>
      </c>
      <c r="H545" t="s">
        <v>21</v>
      </c>
    </row>
    <row r="546" spans="1:10" x14ac:dyDescent="0.25">
      <c r="A546" s="1">
        <v>55</v>
      </c>
      <c r="B546" t="s">
        <v>39</v>
      </c>
      <c r="C546">
        <v>61</v>
      </c>
      <c r="D546">
        <v>2</v>
      </c>
      <c r="E546" t="s">
        <v>46</v>
      </c>
      <c r="F546" t="s">
        <v>47</v>
      </c>
      <c r="G546" t="str">
        <f>"2026-02-24 17:19:57.302"</f>
        <v>2026-02-24 17:19:57.302</v>
      </c>
      <c r="H546" t="s">
        <v>21</v>
      </c>
      <c r="I546">
        <v>30.15</v>
      </c>
      <c r="J546" t="s">
        <v>26</v>
      </c>
    </row>
    <row r="547" spans="1:10" x14ac:dyDescent="0.25">
      <c r="A547" s="1">
        <v>59</v>
      </c>
      <c r="B547" t="s">
        <v>22</v>
      </c>
      <c r="C547">
        <v>61</v>
      </c>
      <c r="D547">
        <v>2</v>
      </c>
      <c r="E547" t="s">
        <v>46</v>
      </c>
      <c r="F547" t="s">
        <v>47</v>
      </c>
      <c r="G547" t="str">
        <f>"2026-02-24 08:21:51.302"</f>
        <v>2026-02-24 08:21:51.302</v>
      </c>
      <c r="H547" t="s">
        <v>21</v>
      </c>
    </row>
    <row r="548" spans="1:10" x14ac:dyDescent="0.25">
      <c r="A548" s="1">
        <v>60</v>
      </c>
      <c r="B548" t="s">
        <v>39</v>
      </c>
      <c r="C548">
        <v>61</v>
      </c>
      <c r="D548">
        <v>2</v>
      </c>
      <c r="E548" t="s">
        <v>46</v>
      </c>
      <c r="F548" t="s">
        <v>47</v>
      </c>
      <c r="G548" t="str">
        <f>"2026-02-24 08:21:27.202"</f>
        <v>2026-02-24 08:21:27.202</v>
      </c>
      <c r="H548" t="s">
        <v>21</v>
      </c>
      <c r="I548">
        <v>30.11</v>
      </c>
      <c r="J548" t="s">
        <v>26</v>
      </c>
    </row>
    <row r="549" spans="1:10" x14ac:dyDescent="0.25">
      <c r="A549" s="1">
        <v>61</v>
      </c>
      <c r="B549" t="s">
        <v>22</v>
      </c>
      <c r="C549">
        <v>635</v>
      </c>
      <c r="D549">
        <v>1</v>
      </c>
      <c r="E549" t="s">
        <v>28</v>
      </c>
      <c r="F549" t="s">
        <v>29</v>
      </c>
      <c r="G549" t="str">
        <f>"2026-02-24 06:42:35.601"</f>
        <v>2026-02-24 06:42:35.601</v>
      </c>
      <c r="H549" t="s">
        <v>21</v>
      </c>
    </row>
    <row r="550" spans="1:10" x14ac:dyDescent="0.25">
      <c r="A550" s="1">
        <v>62</v>
      </c>
      <c r="B550" t="s">
        <v>25</v>
      </c>
      <c r="C550">
        <v>635</v>
      </c>
      <c r="D550">
        <v>1</v>
      </c>
      <c r="E550" t="s">
        <v>28</v>
      </c>
      <c r="F550" t="s">
        <v>29</v>
      </c>
      <c r="G550" t="str">
        <f>"2026-02-24 06:28:21.101"</f>
        <v>2026-02-24 06:28:21.101</v>
      </c>
      <c r="H550" t="s">
        <v>21</v>
      </c>
      <c r="I550">
        <v>13.79</v>
      </c>
      <c r="J550" t="s">
        <v>26</v>
      </c>
    </row>
    <row r="551" spans="1:10" x14ac:dyDescent="0.25">
      <c r="A551" s="1">
        <v>64</v>
      </c>
      <c r="B551" t="s">
        <v>19</v>
      </c>
      <c r="C551">
        <v>706</v>
      </c>
      <c r="D551">
        <v>4</v>
      </c>
      <c r="E551" t="s">
        <v>32</v>
      </c>
      <c r="F551" t="s">
        <v>40</v>
      </c>
      <c r="G551" t="str">
        <f>"2026-02-23 12:08:15.260"</f>
        <v>2026-02-23 12:08:15.260</v>
      </c>
      <c r="H551" t="s">
        <v>21</v>
      </c>
      <c r="I551">
        <v>0</v>
      </c>
      <c r="J551" t="s">
        <v>34</v>
      </c>
    </row>
    <row r="552" spans="1:10" s="3" customFormat="1" x14ac:dyDescent="0.25">
      <c r="A552" s="2">
        <v>65</v>
      </c>
      <c r="B552" s="3" t="s">
        <v>22</v>
      </c>
      <c r="C552" s="3">
        <v>647</v>
      </c>
      <c r="D552" s="3">
        <v>1</v>
      </c>
      <c r="E552" s="3" t="s">
        <v>23</v>
      </c>
      <c r="F552" s="3" t="s">
        <v>24</v>
      </c>
      <c r="G552" s="3" t="str">
        <f>"2026-02-23 03:51:22.402"</f>
        <v>2026-02-23 03:51:22.402</v>
      </c>
      <c r="H552" s="3" t="s">
        <v>21</v>
      </c>
    </row>
    <row r="553" spans="1:10" s="3" customFormat="1" x14ac:dyDescent="0.25">
      <c r="A553" s="2">
        <v>66</v>
      </c>
      <c r="B553" s="3" t="s">
        <v>25</v>
      </c>
      <c r="C553" s="3">
        <v>647</v>
      </c>
      <c r="D553" s="3">
        <v>1</v>
      </c>
      <c r="E553" s="3" t="s">
        <v>23</v>
      </c>
      <c r="F553" s="3" t="s">
        <v>24</v>
      </c>
      <c r="G553" s="3" t="str">
        <f>"2026-02-23 03:51:17.902"</f>
        <v>2026-02-23 03:51:17.902</v>
      </c>
      <c r="H553" s="3" t="s">
        <v>21</v>
      </c>
      <c r="I553" s="3">
        <v>10.8</v>
      </c>
      <c r="J553" s="3" t="s">
        <v>26</v>
      </c>
    </row>
    <row r="554" spans="1:10" x14ac:dyDescent="0.25">
      <c r="A554" s="1">
        <v>67</v>
      </c>
      <c r="B554" t="s">
        <v>19</v>
      </c>
      <c r="C554">
        <v>706</v>
      </c>
      <c r="D554">
        <v>4</v>
      </c>
      <c r="E554" t="s">
        <v>32</v>
      </c>
      <c r="F554" t="s">
        <v>40</v>
      </c>
      <c r="G554" t="str">
        <f>"2026-02-22 14:18:39.760"</f>
        <v>2026-02-22 14:18:39.760</v>
      </c>
      <c r="H554" t="s">
        <v>21</v>
      </c>
      <c r="I554">
        <v>0</v>
      </c>
      <c r="J554" t="s">
        <v>34</v>
      </c>
    </row>
    <row r="555" spans="1:10" x14ac:dyDescent="0.25">
      <c r="A555" s="1">
        <v>68</v>
      </c>
      <c r="B555" t="s">
        <v>19</v>
      </c>
      <c r="C555">
        <v>706</v>
      </c>
      <c r="D555">
        <v>3</v>
      </c>
      <c r="E555" t="s">
        <v>32</v>
      </c>
      <c r="F555" t="s">
        <v>45</v>
      </c>
      <c r="G555" t="str">
        <f>"2026-02-22 14:18:31.830"</f>
        <v>2026-02-22 14:18:31.830</v>
      </c>
      <c r="H555" t="s">
        <v>21</v>
      </c>
      <c r="I555">
        <v>0</v>
      </c>
      <c r="J555" t="s">
        <v>34</v>
      </c>
    </row>
    <row r="556" spans="1:10" s="3" customFormat="1" x14ac:dyDescent="0.25">
      <c r="A556" s="2">
        <v>70</v>
      </c>
      <c r="B556" s="3" t="s">
        <v>22</v>
      </c>
      <c r="C556" s="3">
        <v>647</v>
      </c>
      <c r="D556" s="3">
        <v>1</v>
      </c>
      <c r="E556" s="3" t="s">
        <v>23</v>
      </c>
      <c r="F556" s="3" t="s">
        <v>24</v>
      </c>
      <c r="G556" s="3" t="str">
        <f>"2026-02-22 00:47:04.302"</f>
        <v>2026-02-22 00:47:04.302</v>
      </c>
      <c r="H556" s="3" t="s">
        <v>21</v>
      </c>
    </row>
    <row r="557" spans="1:10" s="3" customFormat="1" x14ac:dyDescent="0.25">
      <c r="A557" s="2">
        <v>71</v>
      </c>
      <c r="B557" s="3" t="s">
        <v>25</v>
      </c>
      <c r="C557" s="3">
        <v>647</v>
      </c>
      <c r="D557" s="3">
        <v>1</v>
      </c>
      <c r="E557" s="3" t="s">
        <v>23</v>
      </c>
      <c r="F557" s="3" t="s">
        <v>24</v>
      </c>
      <c r="G557" s="3" t="str">
        <f>"2026-02-22 00:47:02.602"</f>
        <v>2026-02-22 00:47:02.602</v>
      </c>
      <c r="H557" s="3" t="s">
        <v>21</v>
      </c>
      <c r="I557" s="3">
        <v>8.19</v>
      </c>
      <c r="J557" s="3" t="s">
        <v>26</v>
      </c>
    </row>
    <row r="558" spans="1:10" x14ac:dyDescent="0.25">
      <c r="A558" s="1">
        <v>74</v>
      </c>
      <c r="B558" t="s">
        <v>22</v>
      </c>
      <c r="C558">
        <v>61</v>
      </c>
      <c r="D558">
        <v>2</v>
      </c>
      <c r="E558" t="s">
        <v>46</v>
      </c>
      <c r="F558" t="s">
        <v>47</v>
      </c>
      <c r="G558" t="str">
        <f>"2026-02-20 17:12:38.302"</f>
        <v>2026-02-20 17:12:38.302</v>
      </c>
      <c r="H558" t="s">
        <v>21</v>
      </c>
    </row>
    <row r="559" spans="1:10" x14ac:dyDescent="0.25">
      <c r="A559" s="1">
        <v>75</v>
      </c>
      <c r="B559" t="s">
        <v>39</v>
      </c>
      <c r="C559">
        <v>61</v>
      </c>
      <c r="D559">
        <v>2</v>
      </c>
      <c r="E559" t="s">
        <v>46</v>
      </c>
      <c r="F559" t="s">
        <v>47</v>
      </c>
      <c r="G559" t="str">
        <f>"2026-02-20 17:12:25.102"</f>
        <v>2026-02-20 17:12:25.102</v>
      </c>
      <c r="H559" t="s">
        <v>21</v>
      </c>
      <c r="I559">
        <v>30.63</v>
      </c>
      <c r="J559" t="s">
        <v>26</v>
      </c>
    </row>
    <row r="560" spans="1:10" x14ac:dyDescent="0.25">
      <c r="A560" s="1">
        <v>76</v>
      </c>
      <c r="B560" t="s">
        <v>22</v>
      </c>
      <c r="C560">
        <v>61</v>
      </c>
      <c r="D560">
        <v>2</v>
      </c>
      <c r="E560" t="s">
        <v>46</v>
      </c>
      <c r="F560" t="s">
        <v>47</v>
      </c>
      <c r="G560" t="str">
        <f>"2026-02-20 16:36:16.602"</f>
        <v>2026-02-20 16:36:16.602</v>
      </c>
      <c r="H560" t="s">
        <v>21</v>
      </c>
    </row>
    <row r="561" spans="1:10" x14ac:dyDescent="0.25">
      <c r="A561" s="1">
        <v>77</v>
      </c>
      <c r="B561" t="s">
        <v>39</v>
      </c>
      <c r="C561">
        <v>61</v>
      </c>
      <c r="D561">
        <v>2</v>
      </c>
      <c r="E561" t="s">
        <v>46</v>
      </c>
      <c r="F561" t="s">
        <v>47</v>
      </c>
      <c r="G561" t="str">
        <f>"2026-02-20 16:36:00.402"</f>
        <v>2026-02-20 16:36:00.402</v>
      </c>
      <c r="H561" t="s">
        <v>21</v>
      </c>
      <c r="I561">
        <v>30.54</v>
      </c>
      <c r="J561" t="s">
        <v>26</v>
      </c>
    </row>
    <row r="562" spans="1:10" x14ac:dyDescent="0.25">
      <c r="A562" s="1">
        <v>79</v>
      </c>
      <c r="B562" t="s">
        <v>22</v>
      </c>
      <c r="C562">
        <v>635</v>
      </c>
      <c r="D562">
        <v>1</v>
      </c>
      <c r="E562" t="s">
        <v>28</v>
      </c>
      <c r="F562" t="s">
        <v>29</v>
      </c>
      <c r="G562" t="str">
        <f>"2026-02-20 02:34:31.901"</f>
        <v>2026-02-20 02:34:31.901</v>
      </c>
      <c r="H562" t="s">
        <v>21</v>
      </c>
    </row>
    <row r="563" spans="1:10" x14ac:dyDescent="0.25">
      <c r="A563" s="1">
        <v>80</v>
      </c>
      <c r="B563" t="s">
        <v>25</v>
      </c>
      <c r="C563">
        <v>635</v>
      </c>
      <c r="D563">
        <v>1</v>
      </c>
      <c r="E563" t="s">
        <v>28</v>
      </c>
      <c r="F563" t="s">
        <v>29</v>
      </c>
      <c r="G563" t="str">
        <f>"2026-02-20 02:27:49.901"</f>
        <v>2026-02-20 02:27:49.901</v>
      </c>
      <c r="H563" t="s">
        <v>21</v>
      </c>
      <c r="I563">
        <v>8.4700000000000006</v>
      </c>
      <c r="J563" t="s">
        <v>31</v>
      </c>
    </row>
    <row r="564" spans="1:10" x14ac:dyDescent="0.25">
      <c r="A564" s="1">
        <v>82</v>
      </c>
      <c r="B564" t="s">
        <v>19</v>
      </c>
      <c r="C564">
        <v>700</v>
      </c>
      <c r="D564">
        <v>0</v>
      </c>
      <c r="E564" t="s">
        <v>20</v>
      </c>
      <c r="F564" t="s">
        <v>20</v>
      </c>
      <c r="G564" t="str">
        <f>"2026-02-19 12:41:02.460"</f>
        <v>2026-02-19 12:41:02.460</v>
      </c>
      <c r="H564" t="s">
        <v>21</v>
      </c>
      <c r="I564">
        <v>0</v>
      </c>
      <c r="J564" t="s">
        <v>27</v>
      </c>
    </row>
    <row r="565" spans="1:10" x14ac:dyDescent="0.25">
      <c r="A565" s="1">
        <v>83</v>
      </c>
      <c r="B565" t="s">
        <v>22</v>
      </c>
      <c r="C565">
        <v>61</v>
      </c>
      <c r="D565">
        <v>2</v>
      </c>
      <c r="E565" t="s">
        <v>46</v>
      </c>
      <c r="F565" t="s">
        <v>47</v>
      </c>
      <c r="G565" t="str">
        <f>"2026-02-18 10:37:30.280"</f>
        <v>2026-02-18 10:37:30.280</v>
      </c>
      <c r="H565" t="s">
        <v>21</v>
      </c>
    </row>
    <row r="566" spans="1:10" x14ac:dyDescent="0.25">
      <c r="A566" s="1">
        <v>84</v>
      </c>
      <c r="B566" t="s">
        <v>39</v>
      </c>
      <c r="C566">
        <v>61</v>
      </c>
      <c r="D566">
        <v>2</v>
      </c>
      <c r="E566" t="s">
        <v>46</v>
      </c>
      <c r="F566" t="s">
        <v>47</v>
      </c>
      <c r="G566" t="str">
        <f>"2026-02-18 10:37:16.880"</f>
        <v>2026-02-18 10:37:16.880</v>
      </c>
      <c r="H566" t="s">
        <v>21</v>
      </c>
      <c r="I566">
        <v>30.45</v>
      </c>
      <c r="J566" t="s">
        <v>26</v>
      </c>
    </row>
    <row r="567" spans="1:10" x14ac:dyDescent="0.25">
      <c r="A567" s="1">
        <v>85</v>
      </c>
      <c r="B567" t="s">
        <v>22</v>
      </c>
      <c r="C567">
        <v>635</v>
      </c>
      <c r="D567">
        <v>1</v>
      </c>
      <c r="E567" t="s">
        <v>28</v>
      </c>
      <c r="F567" t="s">
        <v>29</v>
      </c>
      <c r="G567" t="str">
        <f>"2026-02-16 15:04:44.467"</f>
        <v>2026-02-16 15:04:44.467</v>
      </c>
      <c r="H567" t="s">
        <v>21</v>
      </c>
    </row>
    <row r="568" spans="1:10" x14ac:dyDescent="0.25">
      <c r="A568" s="1">
        <v>86</v>
      </c>
      <c r="B568" t="s">
        <v>25</v>
      </c>
      <c r="C568">
        <v>635</v>
      </c>
      <c r="D568">
        <v>1</v>
      </c>
      <c r="E568" t="s">
        <v>28</v>
      </c>
      <c r="F568" t="s">
        <v>29</v>
      </c>
      <c r="G568" t="str">
        <f>"2026-02-16 15:01:22.967"</f>
        <v>2026-02-16 15:01:22.967</v>
      </c>
      <c r="H568" t="s">
        <v>21</v>
      </c>
      <c r="I568">
        <v>6.67</v>
      </c>
      <c r="J568" t="s">
        <v>30</v>
      </c>
    </row>
    <row r="569" spans="1:10" x14ac:dyDescent="0.25">
      <c r="A569" s="1">
        <v>87</v>
      </c>
      <c r="B569" t="s">
        <v>22</v>
      </c>
      <c r="C569">
        <v>61</v>
      </c>
      <c r="D569">
        <v>2</v>
      </c>
      <c r="E569" t="s">
        <v>46</v>
      </c>
      <c r="F569" t="s">
        <v>47</v>
      </c>
      <c r="G569" t="str">
        <f>"2026-02-15 23:40:55.780"</f>
        <v>2026-02-15 23:40:55.780</v>
      </c>
      <c r="H569" t="s">
        <v>21</v>
      </c>
    </row>
    <row r="570" spans="1:10" x14ac:dyDescent="0.25">
      <c r="A570" s="1">
        <v>88</v>
      </c>
      <c r="B570" t="s">
        <v>39</v>
      </c>
      <c r="C570">
        <v>61</v>
      </c>
      <c r="D570">
        <v>2</v>
      </c>
      <c r="E570" t="s">
        <v>46</v>
      </c>
      <c r="F570" t="s">
        <v>47</v>
      </c>
      <c r="G570" t="str">
        <f>"2026-02-15 23:40:36.980"</f>
        <v>2026-02-15 23:40:36.980</v>
      </c>
      <c r="H570" t="s">
        <v>21</v>
      </c>
      <c r="I570">
        <v>30.01</v>
      </c>
      <c r="J570" t="s">
        <v>26</v>
      </c>
    </row>
    <row r="571" spans="1:10" x14ac:dyDescent="0.25">
      <c r="A571" s="1">
        <v>89</v>
      </c>
      <c r="B571" t="s">
        <v>19</v>
      </c>
      <c r="C571">
        <v>706</v>
      </c>
      <c r="D571">
        <v>4</v>
      </c>
      <c r="E571" t="s">
        <v>32</v>
      </c>
      <c r="F571" t="s">
        <v>40</v>
      </c>
      <c r="G571" t="str">
        <f>"2026-02-15 22:20:35.650"</f>
        <v>2026-02-15 22:20:35.650</v>
      </c>
      <c r="H571" t="s">
        <v>21</v>
      </c>
      <c r="I571">
        <v>0</v>
      </c>
      <c r="J571" t="s">
        <v>34</v>
      </c>
    </row>
    <row r="572" spans="1:10" x14ac:dyDescent="0.25">
      <c r="A572" s="1">
        <v>90</v>
      </c>
      <c r="B572" t="s">
        <v>19</v>
      </c>
      <c r="C572">
        <v>700</v>
      </c>
      <c r="D572">
        <v>0</v>
      </c>
      <c r="E572" t="s">
        <v>20</v>
      </c>
      <c r="F572" t="s">
        <v>20</v>
      </c>
      <c r="G572" t="str">
        <f>"2026-02-15 22:12:55.590"</f>
        <v>2026-02-15 22:12:55.590</v>
      </c>
      <c r="H572" t="s">
        <v>21</v>
      </c>
    </row>
    <row r="573" spans="1:10" x14ac:dyDescent="0.25">
      <c r="A573" s="1">
        <v>92</v>
      </c>
      <c r="B573" t="s">
        <v>19</v>
      </c>
      <c r="C573">
        <v>700</v>
      </c>
      <c r="D573">
        <v>0</v>
      </c>
      <c r="E573" t="s">
        <v>20</v>
      </c>
      <c r="F573" t="s">
        <v>20</v>
      </c>
      <c r="G573" t="str">
        <f>"2026-02-15 13:30:55.464"</f>
        <v>2026-02-15 13:30:55.464</v>
      </c>
      <c r="H573" t="s">
        <v>21</v>
      </c>
      <c r="I573">
        <v>0</v>
      </c>
      <c r="J573" t="s">
        <v>27</v>
      </c>
    </row>
    <row r="574" spans="1:10" x14ac:dyDescent="0.25">
      <c r="A574" s="1">
        <v>93</v>
      </c>
      <c r="B574" t="s">
        <v>22</v>
      </c>
      <c r="C574">
        <v>61</v>
      </c>
      <c r="D574">
        <v>2</v>
      </c>
      <c r="E574" t="s">
        <v>46</v>
      </c>
      <c r="F574" t="s">
        <v>47</v>
      </c>
      <c r="G574" t="str">
        <f>"2026-02-14 15:58:23.392"</f>
        <v>2026-02-14 15:58:23.392</v>
      </c>
      <c r="H574" t="s">
        <v>21</v>
      </c>
    </row>
    <row r="575" spans="1:10" x14ac:dyDescent="0.25">
      <c r="A575" s="1">
        <v>94</v>
      </c>
      <c r="B575" t="s">
        <v>39</v>
      </c>
      <c r="C575">
        <v>61</v>
      </c>
      <c r="D575">
        <v>2</v>
      </c>
      <c r="E575" t="s">
        <v>46</v>
      </c>
      <c r="F575" t="s">
        <v>47</v>
      </c>
      <c r="G575" t="str">
        <f>"2026-02-14 15:58:12.592"</f>
        <v>2026-02-14 15:58:12.592</v>
      </c>
      <c r="H575" t="s">
        <v>21</v>
      </c>
      <c r="I575">
        <v>29.45</v>
      </c>
      <c r="J575" t="s">
        <v>26</v>
      </c>
    </row>
    <row r="576" spans="1:10" s="3" customFormat="1" x14ac:dyDescent="0.25">
      <c r="A576" s="2">
        <v>95</v>
      </c>
      <c r="B576" s="3" t="s">
        <v>22</v>
      </c>
      <c r="C576" s="3">
        <v>647</v>
      </c>
      <c r="D576" s="3">
        <v>1</v>
      </c>
      <c r="E576" s="3" t="s">
        <v>23</v>
      </c>
      <c r="F576" s="3" t="s">
        <v>24</v>
      </c>
      <c r="G576" s="3" t="str">
        <f>"2026-02-14 15:52:23.279"</f>
        <v>2026-02-14 15:52:23.279</v>
      </c>
      <c r="H576" s="3" t="s">
        <v>21</v>
      </c>
    </row>
    <row r="577" spans="1:10" s="3" customFormat="1" x14ac:dyDescent="0.25">
      <c r="A577" s="2">
        <v>96</v>
      </c>
      <c r="B577" s="3" t="s">
        <v>25</v>
      </c>
      <c r="C577" s="3">
        <v>647</v>
      </c>
      <c r="D577" s="3">
        <v>1</v>
      </c>
      <c r="E577" s="3" t="s">
        <v>23</v>
      </c>
      <c r="F577" s="3" t="s">
        <v>24</v>
      </c>
      <c r="G577" s="3" t="str">
        <f>"2026-02-14 15:52:22.179"</f>
        <v>2026-02-14 15:52:22.179</v>
      </c>
      <c r="H577" s="3" t="s">
        <v>21</v>
      </c>
      <c r="I577" s="3">
        <v>16.57</v>
      </c>
      <c r="J577" s="3" t="s">
        <v>26</v>
      </c>
    </row>
    <row r="578" spans="1:10" s="3" customFormat="1" x14ac:dyDescent="0.25">
      <c r="A578" s="2">
        <v>97</v>
      </c>
      <c r="B578" s="3" t="s">
        <v>22</v>
      </c>
      <c r="C578" s="3">
        <v>647</v>
      </c>
      <c r="D578" s="3">
        <v>1</v>
      </c>
      <c r="E578" s="3" t="s">
        <v>23</v>
      </c>
      <c r="F578" s="3" t="s">
        <v>24</v>
      </c>
      <c r="G578" s="3" t="str">
        <f>"2026-02-14 10:19:38.079"</f>
        <v>2026-02-14 10:19:38.079</v>
      </c>
      <c r="H578" s="3" t="s">
        <v>21</v>
      </c>
    </row>
    <row r="579" spans="1:10" s="3" customFormat="1" x14ac:dyDescent="0.25">
      <c r="A579" s="2">
        <v>98</v>
      </c>
      <c r="B579" s="3" t="s">
        <v>25</v>
      </c>
      <c r="C579" s="3">
        <v>647</v>
      </c>
      <c r="D579" s="3">
        <v>1</v>
      </c>
      <c r="E579" s="3" t="s">
        <v>23</v>
      </c>
      <c r="F579" s="3" t="s">
        <v>24</v>
      </c>
      <c r="G579" s="3" t="str">
        <f>"2026-02-14 10:19:35.779"</f>
        <v>2026-02-14 10:19:35.779</v>
      </c>
      <c r="H579" s="3" t="s">
        <v>21</v>
      </c>
      <c r="I579" s="3">
        <v>18.87</v>
      </c>
      <c r="J579" s="3" t="s">
        <v>26</v>
      </c>
    </row>
    <row r="580" spans="1:10" x14ac:dyDescent="0.25">
      <c r="A580" s="1">
        <v>99</v>
      </c>
      <c r="B580" t="s">
        <v>22</v>
      </c>
      <c r="C580">
        <v>635</v>
      </c>
      <c r="D580">
        <v>1</v>
      </c>
      <c r="E580" t="s">
        <v>28</v>
      </c>
      <c r="F580" t="s">
        <v>29</v>
      </c>
      <c r="G580" t="str">
        <f>"2026-02-13 20:37:58.531"</f>
        <v>2026-02-13 20:37:58.531</v>
      </c>
      <c r="H580" t="s">
        <v>21</v>
      </c>
    </row>
    <row r="581" spans="1:10" x14ac:dyDescent="0.25">
      <c r="A581" s="1">
        <v>0</v>
      </c>
      <c r="B581" t="s">
        <v>25</v>
      </c>
      <c r="C581">
        <v>635</v>
      </c>
      <c r="D581">
        <v>1</v>
      </c>
      <c r="E581" t="s">
        <v>28</v>
      </c>
      <c r="F581" t="s">
        <v>29</v>
      </c>
      <c r="G581" t="str">
        <f>"2026-02-13 20:33:40.531"</f>
        <v>2026-02-13 20:33:40.531</v>
      </c>
      <c r="H581" t="s">
        <v>21</v>
      </c>
      <c r="I581">
        <v>8.1</v>
      </c>
      <c r="J581" t="s">
        <v>31</v>
      </c>
    </row>
    <row r="582" spans="1:10" s="3" customFormat="1" x14ac:dyDescent="0.25">
      <c r="A582" s="2">
        <v>1</v>
      </c>
      <c r="B582" s="3" t="s">
        <v>22</v>
      </c>
      <c r="C582" s="3">
        <v>647</v>
      </c>
      <c r="D582" s="3">
        <v>1</v>
      </c>
      <c r="E582" s="3" t="s">
        <v>23</v>
      </c>
      <c r="F582" s="3" t="s">
        <v>24</v>
      </c>
      <c r="G582" s="3" t="str">
        <f>"2026-02-13 19:27:19.879"</f>
        <v>2026-02-13 19:27:19.879</v>
      </c>
      <c r="H582" s="3" t="s">
        <v>21</v>
      </c>
    </row>
    <row r="583" spans="1:10" s="3" customFormat="1" x14ac:dyDescent="0.25">
      <c r="A583" s="2">
        <v>2</v>
      </c>
      <c r="B583" s="3" t="s">
        <v>25</v>
      </c>
      <c r="C583" s="3">
        <v>647</v>
      </c>
      <c r="D583" s="3">
        <v>1</v>
      </c>
      <c r="E583" s="3" t="s">
        <v>23</v>
      </c>
      <c r="F583" s="3" t="s">
        <v>24</v>
      </c>
      <c r="G583" s="3" t="str">
        <f>"2026-02-13 19:27:03.579"</f>
        <v>2026-02-13 19:27:03.579</v>
      </c>
      <c r="H583" s="3" t="s">
        <v>21</v>
      </c>
      <c r="I583" s="3">
        <v>14.48</v>
      </c>
      <c r="J583" s="3" t="s">
        <v>26</v>
      </c>
    </row>
    <row r="584" spans="1:10" s="3" customFormat="1" x14ac:dyDescent="0.25">
      <c r="A584" s="2">
        <v>3</v>
      </c>
      <c r="B584" s="3" t="s">
        <v>22</v>
      </c>
      <c r="C584" s="3">
        <v>647</v>
      </c>
      <c r="D584" s="3">
        <v>1</v>
      </c>
      <c r="E584" s="3" t="s">
        <v>23</v>
      </c>
      <c r="F584" s="3" t="s">
        <v>24</v>
      </c>
      <c r="G584" s="3" t="str">
        <f>"2026-02-13 17:58:29.779"</f>
        <v>2026-02-13 17:58:29.779</v>
      </c>
      <c r="H584" s="3" t="s">
        <v>21</v>
      </c>
    </row>
    <row r="585" spans="1:10" s="3" customFormat="1" x14ac:dyDescent="0.25">
      <c r="A585" s="2">
        <v>4</v>
      </c>
      <c r="B585" s="3" t="s">
        <v>25</v>
      </c>
      <c r="C585" s="3">
        <v>647</v>
      </c>
      <c r="D585" s="3">
        <v>1</v>
      </c>
      <c r="E585" s="3" t="s">
        <v>23</v>
      </c>
      <c r="F585" s="3" t="s">
        <v>24</v>
      </c>
      <c r="G585" s="3" t="str">
        <f>"2026-02-13 17:58:28.079"</f>
        <v>2026-02-13 17:58:28.079</v>
      </c>
      <c r="H585" s="3" t="s">
        <v>21</v>
      </c>
      <c r="I585" s="3">
        <v>17.14</v>
      </c>
      <c r="J585" s="3" t="s">
        <v>26</v>
      </c>
    </row>
    <row r="586" spans="1:10" x14ac:dyDescent="0.25">
      <c r="A586" s="1">
        <v>5</v>
      </c>
      <c r="B586" t="s">
        <v>22</v>
      </c>
      <c r="C586">
        <v>635</v>
      </c>
      <c r="D586">
        <v>1</v>
      </c>
      <c r="E586" t="s">
        <v>28</v>
      </c>
      <c r="F586" t="s">
        <v>29</v>
      </c>
      <c r="G586" t="str">
        <f>"2026-02-13 07:09:29.631"</f>
        <v>2026-02-13 07:09:29.631</v>
      </c>
      <c r="H586" t="s">
        <v>21</v>
      </c>
    </row>
    <row r="587" spans="1:10" x14ac:dyDescent="0.25">
      <c r="A587" s="1">
        <v>6</v>
      </c>
      <c r="B587" t="s">
        <v>25</v>
      </c>
      <c r="C587">
        <v>635</v>
      </c>
      <c r="D587">
        <v>1</v>
      </c>
      <c r="E587" t="s">
        <v>28</v>
      </c>
      <c r="F587" t="s">
        <v>29</v>
      </c>
      <c r="G587" t="str">
        <f>"2026-02-13 07:05:00.131"</f>
        <v>2026-02-13 07:05:00.131</v>
      </c>
      <c r="H587" t="s">
        <v>21</v>
      </c>
      <c r="I587">
        <v>7.58</v>
      </c>
      <c r="J587" t="s">
        <v>31</v>
      </c>
    </row>
    <row r="588" spans="1:10" x14ac:dyDescent="0.25">
      <c r="A588" s="1">
        <v>7</v>
      </c>
      <c r="B588" t="s">
        <v>22</v>
      </c>
      <c r="C588">
        <v>61</v>
      </c>
      <c r="D588">
        <v>2</v>
      </c>
      <c r="E588" t="s">
        <v>46</v>
      </c>
      <c r="F588" t="s">
        <v>47</v>
      </c>
      <c r="G588" t="str">
        <f>"2026-02-12 22:52:57.692"</f>
        <v>2026-02-12 22:52:57.692</v>
      </c>
      <c r="H588" t="s">
        <v>21</v>
      </c>
    </row>
    <row r="589" spans="1:10" x14ac:dyDescent="0.25">
      <c r="A589" s="1">
        <v>8</v>
      </c>
      <c r="B589" t="s">
        <v>39</v>
      </c>
      <c r="C589">
        <v>61</v>
      </c>
      <c r="D589">
        <v>2</v>
      </c>
      <c r="E589" t="s">
        <v>46</v>
      </c>
      <c r="F589" t="s">
        <v>47</v>
      </c>
      <c r="G589" t="str">
        <f>"2026-02-12 22:52:36.992"</f>
        <v>2026-02-12 22:52:36.992</v>
      </c>
      <c r="H589" t="s">
        <v>21</v>
      </c>
      <c r="I589">
        <v>30.11</v>
      </c>
      <c r="J589" t="s">
        <v>26</v>
      </c>
    </row>
    <row r="590" spans="1:10" x14ac:dyDescent="0.25">
      <c r="A590" s="1">
        <v>9</v>
      </c>
      <c r="B590" t="s">
        <v>22</v>
      </c>
      <c r="C590">
        <v>635</v>
      </c>
      <c r="D590">
        <v>1</v>
      </c>
      <c r="E590" t="s">
        <v>28</v>
      </c>
      <c r="F590" t="s">
        <v>29</v>
      </c>
      <c r="G590" t="str">
        <f>"2026-02-12 14:49:38.931"</f>
        <v>2026-02-12 14:49:38.931</v>
      </c>
      <c r="H590" t="s">
        <v>21</v>
      </c>
    </row>
    <row r="591" spans="1:10" x14ac:dyDescent="0.25">
      <c r="A591" s="1">
        <v>10</v>
      </c>
      <c r="B591" t="s">
        <v>25</v>
      </c>
      <c r="C591">
        <v>635</v>
      </c>
      <c r="D591">
        <v>1</v>
      </c>
      <c r="E591" t="s">
        <v>28</v>
      </c>
      <c r="F591" t="s">
        <v>29</v>
      </c>
      <c r="G591" t="str">
        <f>"2026-02-12 14:45:31.431"</f>
        <v>2026-02-12 14:45:31.431</v>
      </c>
      <c r="H591" t="s">
        <v>21</v>
      </c>
      <c r="I591">
        <v>4</v>
      </c>
      <c r="J591" t="s">
        <v>31</v>
      </c>
    </row>
    <row r="592" spans="1:10" x14ac:dyDescent="0.25">
      <c r="A592" s="1">
        <v>11</v>
      </c>
      <c r="B592" t="s">
        <v>22</v>
      </c>
      <c r="C592">
        <v>635</v>
      </c>
      <c r="D592">
        <v>1</v>
      </c>
      <c r="E592" t="s">
        <v>28</v>
      </c>
      <c r="F592" t="s">
        <v>29</v>
      </c>
      <c r="G592" t="str">
        <f>"2026-02-11 11:44:12.531"</f>
        <v>2026-02-11 11:44:12.531</v>
      </c>
      <c r="H592" t="s">
        <v>21</v>
      </c>
    </row>
    <row r="593" spans="1:10" x14ac:dyDescent="0.25">
      <c r="A593" s="1">
        <v>12</v>
      </c>
      <c r="B593" t="s">
        <v>25</v>
      </c>
      <c r="C593">
        <v>635</v>
      </c>
      <c r="D593">
        <v>1</v>
      </c>
      <c r="E593" t="s">
        <v>28</v>
      </c>
      <c r="F593" t="s">
        <v>29</v>
      </c>
      <c r="G593" t="str">
        <f>"2026-02-11 11:14:50.531"</f>
        <v>2026-02-11 11:14:50.531</v>
      </c>
      <c r="H593" t="s">
        <v>21</v>
      </c>
      <c r="I593">
        <v>0</v>
      </c>
      <c r="J593" t="s">
        <v>30</v>
      </c>
    </row>
    <row r="594" spans="1:10" x14ac:dyDescent="0.25">
      <c r="A594" s="1">
        <v>14</v>
      </c>
      <c r="B594" t="s">
        <v>22</v>
      </c>
      <c r="C594">
        <v>635</v>
      </c>
      <c r="D594">
        <v>1</v>
      </c>
      <c r="E594" t="s">
        <v>28</v>
      </c>
      <c r="F594" t="s">
        <v>29</v>
      </c>
      <c r="G594" t="str">
        <f>"2026-02-10 12:26:39.631"</f>
        <v>2026-02-10 12:26:39.631</v>
      </c>
      <c r="H594" t="s">
        <v>21</v>
      </c>
    </row>
    <row r="595" spans="1:10" x14ac:dyDescent="0.25">
      <c r="A595" s="1">
        <v>15</v>
      </c>
      <c r="B595" t="s">
        <v>25</v>
      </c>
      <c r="C595">
        <v>635</v>
      </c>
      <c r="D595">
        <v>1</v>
      </c>
      <c r="E595" t="s">
        <v>28</v>
      </c>
      <c r="F595" t="s">
        <v>29</v>
      </c>
      <c r="G595" t="str">
        <f>"2026-02-10 12:24:44.131"</f>
        <v>2026-02-10 12:24:44.131</v>
      </c>
      <c r="H595" t="s">
        <v>21</v>
      </c>
      <c r="I595">
        <v>1.53</v>
      </c>
      <c r="J595" t="s">
        <v>31</v>
      </c>
    </row>
    <row r="596" spans="1:10" x14ac:dyDescent="0.25">
      <c r="A596" s="1">
        <v>16</v>
      </c>
      <c r="B596" t="s">
        <v>22</v>
      </c>
      <c r="C596">
        <v>635</v>
      </c>
      <c r="D596">
        <v>1</v>
      </c>
      <c r="E596" t="s">
        <v>28</v>
      </c>
      <c r="F596" t="s">
        <v>29</v>
      </c>
      <c r="G596" t="str">
        <f>"2026-02-10 10:59:59.331"</f>
        <v>2026-02-10 10:59:59.331</v>
      </c>
      <c r="H596" t="s">
        <v>21</v>
      </c>
    </row>
    <row r="597" spans="1:10" x14ac:dyDescent="0.25">
      <c r="A597" s="1">
        <v>17</v>
      </c>
      <c r="B597" t="s">
        <v>25</v>
      </c>
      <c r="C597">
        <v>635</v>
      </c>
      <c r="D597">
        <v>1</v>
      </c>
      <c r="E597" t="s">
        <v>28</v>
      </c>
      <c r="F597" t="s">
        <v>29</v>
      </c>
      <c r="G597" t="str">
        <f>"2026-02-10 10:54:00.831"</f>
        <v>2026-02-10 10:54:00.831</v>
      </c>
      <c r="H597" t="s">
        <v>21</v>
      </c>
      <c r="I597">
        <v>2.82</v>
      </c>
      <c r="J597" t="s">
        <v>30</v>
      </c>
    </row>
    <row r="598" spans="1:10" s="3" customFormat="1" x14ac:dyDescent="0.25">
      <c r="A598" s="2">
        <v>18</v>
      </c>
      <c r="B598" s="3" t="s">
        <v>22</v>
      </c>
      <c r="C598" s="3">
        <v>647</v>
      </c>
      <c r="D598" s="3">
        <v>1</v>
      </c>
      <c r="E598" s="3" t="s">
        <v>23</v>
      </c>
      <c r="F598" s="3" t="s">
        <v>24</v>
      </c>
      <c r="G598" s="3" t="str">
        <f>"2026-02-09 18:13:09.079"</f>
        <v>2026-02-09 18:13:09.079</v>
      </c>
      <c r="H598" s="3" t="s">
        <v>21</v>
      </c>
    </row>
    <row r="599" spans="1:10" s="3" customFormat="1" x14ac:dyDescent="0.25">
      <c r="A599" s="2">
        <v>19</v>
      </c>
      <c r="B599" s="3" t="s">
        <v>25</v>
      </c>
      <c r="C599" s="3">
        <v>647</v>
      </c>
      <c r="D599" s="3">
        <v>1</v>
      </c>
      <c r="E599" s="3" t="s">
        <v>23</v>
      </c>
      <c r="F599" s="3" t="s">
        <v>24</v>
      </c>
      <c r="G599" s="3" t="str">
        <f>"2026-02-09 18:13:02.780"</f>
        <v>2026-02-09 18:13:02.780</v>
      </c>
      <c r="H599" s="3" t="s">
        <v>21</v>
      </c>
      <c r="I599" s="3">
        <v>8.9700000000000006</v>
      </c>
      <c r="J599" s="3" t="s">
        <v>26</v>
      </c>
    </row>
    <row r="600" spans="1:10" x14ac:dyDescent="0.25">
      <c r="A600" s="1">
        <v>20</v>
      </c>
      <c r="B600" t="s">
        <v>35</v>
      </c>
      <c r="C600">
        <v>33</v>
      </c>
      <c r="D600">
        <v>1</v>
      </c>
      <c r="E600" t="s">
        <v>36</v>
      </c>
      <c r="F600" t="s">
        <v>37</v>
      </c>
      <c r="G600" t="str">
        <f>"2026-02-09 17:07:18.831"</f>
        <v>2026-02-09 17:07:18.831</v>
      </c>
      <c r="H600" t="s">
        <v>38</v>
      </c>
    </row>
    <row r="601" spans="1:10" x14ac:dyDescent="0.25">
      <c r="A601" s="1">
        <v>21</v>
      </c>
      <c r="B601" t="s">
        <v>39</v>
      </c>
      <c r="C601">
        <v>33</v>
      </c>
      <c r="D601">
        <v>1</v>
      </c>
      <c r="E601" t="s">
        <v>36</v>
      </c>
      <c r="F601" t="s">
        <v>37</v>
      </c>
      <c r="G601" t="str">
        <f>"2026-02-09 17:06:57.711"</f>
        <v>2026-02-09 17:06:57.711</v>
      </c>
      <c r="H601" t="s">
        <v>38</v>
      </c>
      <c r="I601">
        <v>10.38</v>
      </c>
      <c r="J601" t="s">
        <v>31</v>
      </c>
    </row>
    <row r="602" spans="1:10" x14ac:dyDescent="0.25">
      <c r="A602" s="1">
        <v>22</v>
      </c>
      <c r="B602" t="s">
        <v>19</v>
      </c>
      <c r="C602">
        <v>700</v>
      </c>
      <c r="D602">
        <v>0</v>
      </c>
      <c r="E602" t="s">
        <v>20</v>
      </c>
      <c r="F602" t="s">
        <v>20</v>
      </c>
      <c r="G602" t="str">
        <f>"2026-02-09 16:23:00.532"</f>
        <v>2026-02-09 16:23:00.532</v>
      </c>
      <c r="H602" t="s">
        <v>21</v>
      </c>
    </row>
    <row r="603" spans="1:10" x14ac:dyDescent="0.25">
      <c r="A603" s="1">
        <v>23</v>
      </c>
      <c r="B603" t="s">
        <v>19</v>
      </c>
      <c r="C603">
        <v>706</v>
      </c>
      <c r="D603">
        <v>4</v>
      </c>
      <c r="E603" t="s">
        <v>32</v>
      </c>
      <c r="F603" t="s">
        <v>40</v>
      </c>
      <c r="G603" t="str">
        <f>"2026-02-09 16:21:51.745"</f>
        <v>2026-02-09 16:21:51.745</v>
      </c>
      <c r="H603" t="s">
        <v>21</v>
      </c>
      <c r="I603">
        <v>0</v>
      </c>
      <c r="J603" t="s">
        <v>34</v>
      </c>
    </row>
    <row r="604" spans="1:10" x14ac:dyDescent="0.25">
      <c r="A604" s="1">
        <v>24</v>
      </c>
      <c r="B604" t="s">
        <v>19</v>
      </c>
      <c r="C604">
        <v>706</v>
      </c>
      <c r="D604">
        <v>4</v>
      </c>
      <c r="E604" t="s">
        <v>32</v>
      </c>
      <c r="F604" t="s">
        <v>40</v>
      </c>
      <c r="G604" t="str">
        <f>"2026-02-09 16:21:35.145"</f>
        <v>2026-02-09 16:21:35.145</v>
      </c>
      <c r="H604" t="s">
        <v>21</v>
      </c>
      <c r="I604">
        <v>0</v>
      </c>
      <c r="J604" t="s">
        <v>34</v>
      </c>
    </row>
    <row r="605" spans="1:10" s="3" customFormat="1" x14ac:dyDescent="0.25">
      <c r="A605" s="2">
        <v>25</v>
      </c>
      <c r="B605" s="3" t="s">
        <v>22</v>
      </c>
      <c r="C605" s="3">
        <v>647</v>
      </c>
      <c r="D605" s="3">
        <v>1</v>
      </c>
      <c r="E605" s="3" t="s">
        <v>23</v>
      </c>
      <c r="F605" s="3" t="s">
        <v>24</v>
      </c>
      <c r="G605" s="3" t="str">
        <f>"2026-02-09 14:34:29.311"</f>
        <v>2026-02-09 14:34:29.311</v>
      </c>
      <c r="H605" s="3" t="s">
        <v>21</v>
      </c>
    </row>
    <row r="606" spans="1:10" s="3" customFormat="1" x14ac:dyDescent="0.25">
      <c r="A606" s="2">
        <v>26</v>
      </c>
      <c r="B606" s="3" t="s">
        <v>25</v>
      </c>
      <c r="C606" s="3">
        <v>647</v>
      </c>
      <c r="D606" s="3">
        <v>1</v>
      </c>
      <c r="E606" s="3" t="s">
        <v>23</v>
      </c>
      <c r="F606" s="3" t="s">
        <v>24</v>
      </c>
      <c r="G606" s="3" t="str">
        <f>"2026-02-09 14:34:14.611"</f>
        <v>2026-02-09 14:34:14.611</v>
      </c>
      <c r="H606" s="3" t="s">
        <v>21</v>
      </c>
      <c r="I606" s="3">
        <v>12.51</v>
      </c>
      <c r="J606" s="3" t="s">
        <v>26</v>
      </c>
    </row>
    <row r="607" spans="1:10" s="3" customFormat="1" x14ac:dyDescent="0.25">
      <c r="A607" s="2">
        <v>27</v>
      </c>
      <c r="B607" s="3" t="s">
        <v>22</v>
      </c>
      <c r="C607" s="3">
        <v>647</v>
      </c>
      <c r="D607" s="3">
        <v>1</v>
      </c>
      <c r="E607" s="3" t="s">
        <v>23</v>
      </c>
      <c r="F607" s="3" t="s">
        <v>24</v>
      </c>
      <c r="G607" s="3" t="str">
        <f>"2026-02-09 14:13:35.111"</f>
        <v>2026-02-09 14:13:35.111</v>
      </c>
      <c r="H607" s="3" t="s">
        <v>21</v>
      </c>
    </row>
    <row r="608" spans="1:10" s="3" customFormat="1" x14ac:dyDescent="0.25">
      <c r="A608" s="2">
        <v>28</v>
      </c>
      <c r="B608" s="3" t="s">
        <v>25</v>
      </c>
      <c r="C608" s="3">
        <v>647</v>
      </c>
      <c r="D608" s="3">
        <v>1</v>
      </c>
      <c r="E608" s="3" t="s">
        <v>23</v>
      </c>
      <c r="F608" s="3" t="s">
        <v>24</v>
      </c>
      <c r="G608" s="3" t="str">
        <f>"2026-02-09 14:13:30.911"</f>
        <v>2026-02-09 14:13:30.911</v>
      </c>
      <c r="H608" s="3" t="s">
        <v>21</v>
      </c>
      <c r="I608" s="3">
        <v>8.9600000000000009</v>
      </c>
      <c r="J608" s="3" t="s">
        <v>26</v>
      </c>
    </row>
    <row r="609" spans="1:10" x14ac:dyDescent="0.25">
      <c r="A609" s="1">
        <v>30</v>
      </c>
      <c r="B609" t="s">
        <v>22</v>
      </c>
      <c r="C609">
        <v>635</v>
      </c>
      <c r="D609">
        <v>1</v>
      </c>
      <c r="E609" t="s">
        <v>28</v>
      </c>
      <c r="F609" t="s">
        <v>29</v>
      </c>
      <c r="G609" t="str">
        <f>"2026-02-09 11:34:23.110"</f>
        <v>2026-02-09 11:34:23.110</v>
      </c>
      <c r="H609" t="s">
        <v>21</v>
      </c>
    </row>
    <row r="610" spans="1:10" x14ac:dyDescent="0.25">
      <c r="A610" s="1">
        <v>31</v>
      </c>
      <c r="B610" t="s">
        <v>25</v>
      </c>
      <c r="C610">
        <v>635</v>
      </c>
      <c r="D610">
        <v>1</v>
      </c>
      <c r="E610" t="s">
        <v>28</v>
      </c>
      <c r="F610" t="s">
        <v>29</v>
      </c>
      <c r="G610" t="str">
        <f>"2026-02-09 11:31:45.110"</f>
        <v>2026-02-09 11:31:45.110</v>
      </c>
      <c r="H610" t="s">
        <v>21</v>
      </c>
      <c r="I610">
        <v>2.98</v>
      </c>
      <c r="J610" t="s">
        <v>31</v>
      </c>
    </row>
    <row r="611" spans="1:10" x14ac:dyDescent="0.25">
      <c r="A611" s="1">
        <v>32</v>
      </c>
      <c r="B611" t="s">
        <v>22</v>
      </c>
      <c r="C611">
        <v>61</v>
      </c>
      <c r="D611">
        <v>2</v>
      </c>
      <c r="E611" t="s">
        <v>46</v>
      </c>
      <c r="F611" t="s">
        <v>47</v>
      </c>
      <c r="G611" t="str">
        <f>"2026-02-09 05:45:57.723"</f>
        <v>2026-02-09 05:45:57.723</v>
      </c>
      <c r="H611" t="s">
        <v>21</v>
      </c>
    </row>
    <row r="612" spans="1:10" x14ac:dyDescent="0.25">
      <c r="A612" s="1">
        <v>33</v>
      </c>
      <c r="B612" t="s">
        <v>39</v>
      </c>
      <c r="C612">
        <v>61</v>
      </c>
      <c r="D612">
        <v>2</v>
      </c>
      <c r="E612" t="s">
        <v>46</v>
      </c>
      <c r="F612" t="s">
        <v>47</v>
      </c>
      <c r="G612" t="str">
        <f>"2026-02-09 05:45:45.023"</f>
        <v>2026-02-09 05:45:45.023</v>
      </c>
      <c r="H612" t="s">
        <v>21</v>
      </c>
      <c r="I612">
        <v>30.39</v>
      </c>
      <c r="J612" t="s">
        <v>26</v>
      </c>
    </row>
    <row r="613" spans="1:10" x14ac:dyDescent="0.25">
      <c r="A613" s="1">
        <v>34</v>
      </c>
      <c r="B613" t="s">
        <v>22</v>
      </c>
      <c r="C613">
        <v>61</v>
      </c>
      <c r="D613">
        <v>2</v>
      </c>
      <c r="E613" t="s">
        <v>46</v>
      </c>
      <c r="F613" t="s">
        <v>47</v>
      </c>
      <c r="G613" t="str">
        <f>"2026-02-09 02:37:13.023"</f>
        <v>2026-02-09 02:37:13.023</v>
      </c>
      <c r="H613" t="s">
        <v>21</v>
      </c>
    </row>
    <row r="614" spans="1:10" x14ac:dyDescent="0.25">
      <c r="A614" s="1">
        <v>35</v>
      </c>
      <c r="B614" t="s">
        <v>39</v>
      </c>
      <c r="C614">
        <v>61</v>
      </c>
      <c r="D614">
        <v>2</v>
      </c>
      <c r="E614" t="s">
        <v>46</v>
      </c>
      <c r="F614" t="s">
        <v>47</v>
      </c>
      <c r="G614" t="str">
        <f>"2026-02-09 02:36:55.523"</f>
        <v>2026-02-09 02:36:55.523</v>
      </c>
      <c r="H614" t="s">
        <v>21</v>
      </c>
      <c r="I614">
        <v>30.34</v>
      </c>
      <c r="J614" t="s">
        <v>26</v>
      </c>
    </row>
    <row r="615" spans="1:10" x14ac:dyDescent="0.25">
      <c r="A615" s="1">
        <v>36</v>
      </c>
      <c r="B615" t="s">
        <v>22</v>
      </c>
      <c r="C615">
        <v>61</v>
      </c>
      <c r="D615">
        <v>2</v>
      </c>
      <c r="E615" t="s">
        <v>46</v>
      </c>
      <c r="F615" t="s">
        <v>47</v>
      </c>
      <c r="G615" t="str">
        <f>"2026-02-08 15:00:48.923"</f>
        <v>2026-02-08 15:00:48.923</v>
      </c>
      <c r="H615" t="s">
        <v>21</v>
      </c>
    </row>
    <row r="616" spans="1:10" x14ac:dyDescent="0.25">
      <c r="A616" s="1">
        <v>37</v>
      </c>
      <c r="B616" t="s">
        <v>39</v>
      </c>
      <c r="C616">
        <v>61</v>
      </c>
      <c r="D616">
        <v>2</v>
      </c>
      <c r="E616" t="s">
        <v>46</v>
      </c>
      <c r="F616" t="s">
        <v>47</v>
      </c>
      <c r="G616" t="str">
        <f>"2026-02-08 15:00:36.223"</f>
        <v>2026-02-08 15:00:36.223</v>
      </c>
      <c r="H616" t="s">
        <v>21</v>
      </c>
      <c r="I616">
        <v>30.34</v>
      </c>
      <c r="J616" t="s">
        <v>26</v>
      </c>
    </row>
    <row r="617" spans="1:10" x14ac:dyDescent="0.25">
      <c r="A617" s="1">
        <v>38</v>
      </c>
      <c r="B617" t="s">
        <v>19</v>
      </c>
      <c r="C617">
        <v>706</v>
      </c>
      <c r="D617">
        <v>4</v>
      </c>
      <c r="E617" t="s">
        <v>32</v>
      </c>
      <c r="F617" t="s">
        <v>40</v>
      </c>
      <c r="G617" t="str">
        <f>"2026-02-08 10:32:20.565"</f>
        <v>2026-02-08 10:32:20.565</v>
      </c>
      <c r="H617" t="s">
        <v>21</v>
      </c>
      <c r="I617">
        <v>0</v>
      </c>
      <c r="J617" t="s">
        <v>34</v>
      </c>
    </row>
    <row r="618" spans="1:10" x14ac:dyDescent="0.25">
      <c r="A618" s="1">
        <v>39</v>
      </c>
      <c r="B618" t="s">
        <v>22</v>
      </c>
      <c r="C618">
        <v>61</v>
      </c>
      <c r="D618">
        <v>2</v>
      </c>
      <c r="E618" t="s">
        <v>46</v>
      </c>
      <c r="F618" t="s">
        <v>47</v>
      </c>
      <c r="G618" t="str">
        <f>"2026-02-07 21:19:35.723"</f>
        <v>2026-02-07 21:19:35.723</v>
      </c>
      <c r="H618" t="s">
        <v>21</v>
      </c>
    </row>
    <row r="619" spans="1:10" x14ac:dyDescent="0.25">
      <c r="A619" s="1">
        <v>40</v>
      </c>
      <c r="B619" t="s">
        <v>39</v>
      </c>
      <c r="C619">
        <v>61</v>
      </c>
      <c r="D619">
        <v>2</v>
      </c>
      <c r="E619" t="s">
        <v>46</v>
      </c>
      <c r="F619" t="s">
        <v>47</v>
      </c>
      <c r="G619" t="str">
        <f>"2026-02-07 21:19:24.123"</f>
        <v>2026-02-07 21:19:24.123</v>
      </c>
      <c r="H619" t="s">
        <v>21</v>
      </c>
      <c r="I619">
        <v>29.59</v>
      </c>
      <c r="J619" t="s">
        <v>26</v>
      </c>
    </row>
    <row r="620" spans="1:10" s="3" customFormat="1" x14ac:dyDescent="0.25">
      <c r="A620" s="2">
        <v>41</v>
      </c>
      <c r="B620" s="3" t="s">
        <v>22</v>
      </c>
      <c r="C620" s="3">
        <v>647</v>
      </c>
      <c r="D620" s="3">
        <v>1</v>
      </c>
      <c r="E620" s="3" t="s">
        <v>23</v>
      </c>
      <c r="F620" s="3" t="s">
        <v>24</v>
      </c>
      <c r="G620" s="3" t="str">
        <f>"2026-02-07 10:30:26.111"</f>
        <v>2026-02-07 10:30:26.111</v>
      </c>
      <c r="H620" s="3" t="s">
        <v>21</v>
      </c>
    </row>
    <row r="621" spans="1:10" s="3" customFormat="1" x14ac:dyDescent="0.25">
      <c r="A621" s="2">
        <v>42</v>
      </c>
      <c r="B621" s="3" t="s">
        <v>25</v>
      </c>
      <c r="C621" s="3">
        <v>647</v>
      </c>
      <c r="D621" s="3">
        <v>1</v>
      </c>
      <c r="E621" s="3" t="s">
        <v>23</v>
      </c>
      <c r="F621" s="3" t="s">
        <v>24</v>
      </c>
      <c r="G621" s="3" t="str">
        <f>"2026-02-07 10:30:22.211"</f>
        <v>2026-02-07 10:30:22.211</v>
      </c>
      <c r="H621" s="3" t="s">
        <v>21</v>
      </c>
      <c r="I621" s="3">
        <v>11.42</v>
      </c>
      <c r="J621" s="3" t="s">
        <v>26</v>
      </c>
    </row>
    <row r="622" spans="1:10" s="3" customFormat="1" x14ac:dyDescent="0.25">
      <c r="A622" s="2">
        <v>43</v>
      </c>
      <c r="B622" s="3" t="s">
        <v>22</v>
      </c>
      <c r="C622" s="3">
        <v>647</v>
      </c>
      <c r="D622" s="3">
        <v>1</v>
      </c>
      <c r="E622" s="3" t="s">
        <v>23</v>
      </c>
      <c r="F622" s="3" t="s">
        <v>24</v>
      </c>
      <c r="G622" s="3" t="str">
        <f>"2026-02-07 10:30:16.511"</f>
        <v>2026-02-07 10:30:16.511</v>
      </c>
      <c r="H622" s="3" t="s">
        <v>21</v>
      </c>
    </row>
    <row r="623" spans="1:10" s="3" customFormat="1" x14ac:dyDescent="0.25">
      <c r="A623" s="2">
        <v>44</v>
      </c>
      <c r="B623" s="3" t="s">
        <v>25</v>
      </c>
      <c r="C623" s="3">
        <v>647</v>
      </c>
      <c r="D623" s="3">
        <v>1</v>
      </c>
      <c r="E623" s="3" t="s">
        <v>23</v>
      </c>
      <c r="F623" s="3" t="s">
        <v>24</v>
      </c>
      <c r="G623" s="3" t="str">
        <f>"2026-02-07 10:30:08.611"</f>
        <v>2026-02-07 10:30:08.611</v>
      </c>
      <c r="H623" s="3" t="s">
        <v>21</v>
      </c>
      <c r="I623" s="3">
        <v>18.25</v>
      </c>
      <c r="J623" s="3" t="s">
        <v>26</v>
      </c>
    </row>
    <row r="624" spans="1:10" x14ac:dyDescent="0.25">
      <c r="A624" s="1">
        <v>45</v>
      </c>
      <c r="B624" t="s">
        <v>22</v>
      </c>
      <c r="C624">
        <v>635</v>
      </c>
      <c r="D624">
        <v>1</v>
      </c>
      <c r="E624" t="s">
        <v>28</v>
      </c>
      <c r="F624" t="s">
        <v>29</v>
      </c>
      <c r="G624" t="str">
        <f>"2026-02-06 14:52:38.910"</f>
        <v>2026-02-06 14:52:38.910</v>
      </c>
      <c r="H624" t="s">
        <v>21</v>
      </c>
    </row>
    <row r="625" spans="1:10" x14ac:dyDescent="0.25">
      <c r="A625" s="1">
        <v>46</v>
      </c>
      <c r="B625" t="s">
        <v>25</v>
      </c>
      <c r="C625">
        <v>635</v>
      </c>
      <c r="D625">
        <v>1</v>
      </c>
      <c r="E625" t="s">
        <v>28</v>
      </c>
      <c r="F625" t="s">
        <v>29</v>
      </c>
      <c r="G625" t="str">
        <f>"2026-02-06 14:49:35.910"</f>
        <v>2026-02-06 14:49:35.910</v>
      </c>
      <c r="H625" t="s">
        <v>21</v>
      </c>
      <c r="I625">
        <v>5.0199999999999996</v>
      </c>
      <c r="J625" t="s">
        <v>30</v>
      </c>
    </row>
    <row r="626" spans="1:10" x14ac:dyDescent="0.25">
      <c r="A626" s="1">
        <v>47</v>
      </c>
      <c r="B626" t="s">
        <v>22</v>
      </c>
      <c r="C626">
        <v>61</v>
      </c>
      <c r="D626">
        <v>2</v>
      </c>
      <c r="E626" t="s">
        <v>46</v>
      </c>
      <c r="F626" t="s">
        <v>47</v>
      </c>
      <c r="G626" t="str">
        <f>"2026-02-06 11:38:22.423"</f>
        <v>2026-02-06 11:38:22.423</v>
      </c>
      <c r="H626" t="s">
        <v>21</v>
      </c>
    </row>
    <row r="627" spans="1:10" x14ac:dyDescent="0.25">
      <c r="A627" s="1">
        <v>48</v>
      </c>
      <c r="B627" t="s">
        <v>39</v>
      </c>
      <c r="C627">
        <v>61</v>
      </c>
      <c r="D627">
        <v>2</v>
      </c>
      <c r="E627" t="s">
        <v>46</v>
      </c>
      <c r="F627" t="s">
        <v>47</v>
      </c>
      <c r="G627" t="str">
        <f>"2026-02-06 11:38:12.223"</f>
        <v>2026-02-06 11:38:12.223</v>
      </c>
      <c r="H627" t="s">
        <v>21</v>
      </c>
      <c r="I627">
        <v>29.8</v>
      </c>
      <c r="J627" t="s">
        <v>26</v>
      </c>
    </row>
    <row r="628" spans="1:10" x14ac:dyDescent="0.25">
      <c r="A628" s="1">
        <v>50</v>
      </c>
      <c r="B628" t="s">
        <v>22</v>
      </c>
      <c r="C628">
        <v>635</v>
      </c>
      <c r="D628">
        <v>1</v>
      </c>
      <c r="E628" t="s">
        <v>28</v>
      </c>
      <c r="F628" t="s">
        <v>29</v>
      </c>
      <c r="G628" t="str">
        <f>"2026-02-05 10:33:11.610"</f>
        <v>2026-02-05 10:33:11.610</v>
      </c>
      <c r="H628" t="s">
        <v>21</v>
      </c>
    </row>
    <row r="629" spans="1:10" x14ac:dyDescent="0.25">
      <c r="A629" s="1">
        <v>51</v>
      </c>
      <c r="B629" t="s">
        <v>25</v>
      </c>
      <c r="C629">
        <v>635</v>
      </c>
      <c r="D629">
        <v>1</v>
      </c>
      <c r="E629" t="s">
        <v>28</v>
      </c>
      <c r="F629" t="s">
        <v>29</v>
      </c>
      <c r="G629" t="str">
        <f>"2026-02-05 10:29:56.610"</f>
        <v>2026-02-05 10:29:56.610</v>
      </c>
      <c r="H629" t="s">
        <v>21</v>
      </c>
      <c r="I629">
        <v>8.7799999999999994</v>
      </c>
      <c r="J629" t="s">
        <v>31</v>
      </c>
    </row>
    <row r="630" spans="1:10" s="3" customFormat="1" x14ac:dyDescent="0.25">
      <c r="A630" s="2">
        <v>52</v>
      </c>
      <c r="B630" s="3" t="s">
        <v>22</v>
      </c>
      <c r="C630" s="3">
        <v>647</v>
      </c>
      <c r="D630" s="3">
        <v>1</v>
      </c>
      <c r="E630" s="3" t="s">
        <v>23</v>
      </c>
      <c r="F630" s="3" t="s">
        <v>24</v>
      </c>
      <c r="G630" s="3" t="str">
        <f>"2026-02-05 08:17:16.411"</f>
        <v>2026-02-05 08:17:16.411</v>
      </c>
      <c r="H630" s="3" t="s">
        <v>21</v>
      </c>
    </row>
    <row r="631" spans="1:10" s="3" customFormat="1" x14ac:dyDescent="0.25">
      <c r="A631" s="2">
        <v>53</v>
      </c>
      <c r="B631" s="3" t="s">
        <v>25</v>
      </c>
      <c r="C631" s="3">
        <v>647</v>
      </c>
      <c r="D631" s="3">
        <v>1</v>
      </c>
      <c r="E631" s="3" t="s">
        <v>23</v>
      </c>
      <c r="F631" s="3" t="s">
        <v>24</v>
      </c>
      <c r="G631" s="3" t="str">
        <f>"2026-02-05 08:17:15.111"</f>
        <v>2026-02-05 08:17:15.111</v>
      </c>
      <c r="H631" s="3" t="s">
        <v>21</v>
      </c>
      <c r="I631" s="3">
        <v>10.3</v>
      </c>
      <c r="J631" s="3" t="s">
        <v>30</v>
      </c>
    </row>
    <row r="632" spans="1:10" x14ac:dyDescent="0.25">
      <c r="A632" s="1">
        <v>54</v>
      </c>
      <c r="B632" t="s">
        <v>19</v>
      </c>
      <c r="C632">
        <v>706</v>
      </c>
      <c r="D632">
        <v>4</v>
      </c>
      <c r="E632" t="s">
        <v>32</v>
      </c>
      <c r="F632" t="s">
        <v>40</v>
      </c>
      <c r="G632" t="str">
        <f>"2026-02-05 08:11:19.835"</f>
        <v>2026-02-05 08:11:19.835</v>
      </c>
      <c r="H632" t="s">
        <v>21</v>
      </c>
      <c r="I632">
        <v>0</v>
      </c>
      <c r="J632" t="s">
        <v>34</v>
      </c>
    </row>
    <row r="633" spans="1:10" x14ac:dyDescent="0.25">
      <c r="A633" s="1">
        <v>55</v>
      </c>
      <c r="B633" t="s">
        <v>19</v>
      </c>
      <c r="C633">
        <v>700</v>
      </c>
      <c r="D633">
        <v>0</v>
      </c>
      <c r="E633" t="s">
        <v>20</v>
      </c>
      <c r="F633" t="s">
        <v>20</v>
      </c>
      <c r="G633" t="str">
        <f>"2026-02-05 08:10:49.645"</f>
        <v>2026-02-05 08:10:49.645</v>
      </c>
      <c r="H633" t="s">
        <v>21</v>
      </c>
    </row>
    <row r="634" spans="1:10" x14ac:dyDescent="0.25">
      <c r="A634" s="1">
        <v>56</v>
      </c>
      <c r="B634" t="s">
        <v>19</v>
      </c>
      <c r="C634">
        <v>700</v>
      </c>
      <c r="D634">
        <v>0</v>
      </c>
      <c r="E634" t="s">
        <v>20</v>
      </c>
      <c r="F634" t="s">
        <v>20</v>
      </c>
      <c r="G634" t="str">
        <f>"2026-02-05 05:02:09.406"</f>
        <v>2026-02-05 05:02:09.406</v>
      </c>
      <c r="H634" t="s">
        <v>21</v>
      </c>
    </row>
    <row r="635" spans="1:10" x14ac:dyDescent="0.25">
      <c r="A635" s="1">
        <v>57</v>
      </c>
      <c r="B635" t="s">
        <v>19</v>
      </c>
      <c r="C635">
        <v>706</v>
      </c>
      <c r="D635">
        <v>4</v>
      </c>
      <c r="E635" t="s">
        <v>32</v>
      </c>
      <c r="F635" t="s">
        <v>40</v>
      </c>
      <c r="G635" t="str">
        <f>"2026-02-05 04:55:47.289"</f>
        <v>2026-02-05 04:55:47.289</v>
      </c>
      <c r="H635" t="s">
        <v>21</v>
      </c>
      <c r="I635">
        <v>0</v>
      </c>
      <c r="J635" t="s">
        <v>34</v>
      </c>
    </row>
    <row r="636" spans="1:10" x14ac:dyDescent="0.25">
      <c r="A636" s="1">
        <v>58</v>
      </c>
      <c r="B636" t="s">
        <v>19</v>
      </c>
      <c r="C636">
        <v>700</v>
      </c>
      <c r="D636">
        <v>0</v>
      </c>
      <c r="E636" t="s">
        <v>20</v>
      </c>
      <c r="F636" t="s">
        <v>20</v>
      </c>
      <c r="G636" t="str">
        <f>"2026-02-05 04:06:21.599"</f>
        <v>2026-02-05 04:06:21.599</v>
      </c>
      <c r="H636" t="s">
        <v>21</v>
      </c>
      <c r="I636">
        <v>0</v>
      </c>
      <c r="J636" t="s">
        <v>27</v>
      </c>
    </row>
    <row r="637" spans="1:10" x14ac:dyDescent="0.25">
      <c r="A637" s="1">
        <v>59</v>
      </c>
      <c r="B637" t="s">
        <v>22</v>
      </c>
      <c r="C637">
        <v>61</v>
      </c>
      <c r="D637">
        <v>2</v>
      </c>
      <c r="E637" t="s">
        <v>46</v>
      </c>
      <c r="F637" t="s">
        <v>47</v>
      </c>
      <c r="G637" t="str">
        <f>"2026-02-04 19:52:42.428"</f>
        <v>2026-02-04 19:52:42.428</v>
      </c>
      <c r="H637" t="s">
        <v>21</v>
      </c>
    </row>
    <row r="638" spans="1:10" x14ac:dyDescent="0.25">
      <c r="A638" s="1">
        <v>60</v>
      </c>
      <c r="B638" t="s">
        <v>39</v>
      </c>
      <c r="C638">
        <v>61</v>
      </c>
      <c r="D638">
        <v>2</v>
      </c>
      <c r="E638" t="s">
        <v>46</v>
      </c>
      <c r="F638" t="s">
        <v>47</v>
      </c>
      <c r="G638" t="str">
        <f>"2026-02-04 19:52:37.428"</f>
        <v>2026-02-04 19:52:37.428</v>
      </c>
      <c r="H638" t="s">
        <v>21</v>
      </c>
      <c r="I638">
        <v>29.31</v>
      </c>
      <c r="J638" t="s">
        <v>26</v>
      </c>
    </row>
    <row r="639" spans="1:10" x14ac:dyDescent="0.25">
      <c r="A639" s="1">
        <v>61</v>
      </c>
      <c r="B639" t="s">
        <v>19</v>
      </c>
      <c r="C639">
        <v>700</v>
      </c>
      <c r="D639">
        <v>0</v>
      </c>
      <c r="E639" t="s">
        <v>20</v>
      </c>
      <c r="F639" t="s">
        <v>20</v>
      </c>
      <c r="G639" t="str">
        <f>"2026-02-04 12:43:10.411"</f>
        <v>2026-02-04 12:43:10.411</v>
      </c>
      <c r="H639" t="s">
        <v>21</v>
      </c>
      <c r="I639">
        <v>0</v>
      </c>
      <c r="J639" t="s">
        <v>27</v>
      </c>
    </row>
    <row r="640" spans="1:10" s="3" customFormat="1" x14ac:dyDescent="0.25">
      <c r="A640" s="2">
        <v>62</v>
      </c>
      <c r="B640" s="3" t="s">
        <v>22</v>
      </c>
      <c r="C640" s="3">
        <v>647</v>
      </c>
      <c r="D640" s="3">
        <v>1</v>
      </c>
      <c r="E640" s="3" t="s">
        <v>23</v>
      </c>
      <c r="F640" s="3" t="s">
        <v>24</v>
      </c>
      <c r="G640" s="3" t="str">
        <f>"2026-02-04 08:57:36.432"</f>
        <v>2026-02-04 08:57:36.432</v>
      </c>
      <c r="H640" s="3" t="s">
        <v>21</v>
      </c>
    </row>
    <row r="641" spans="1:10" s="3" customFormat="1" x14ac:dyDescent="0.25">
      <c r="A641" s="2">
        <v>63</v>
      </c>
      <c r="B641" s="3" t="s">
        <v>25</v>
      </c>
      <c r="C641" s="3">
        <v>647</v>
      </c>
      <c r="D641" s="3">
        <v>1</v>
      </c>
      <c r="E641" s="3" t="s">
        <v>23</v>
      </c>
      <c r="F641" s="3" t="s">
        <v>24</v>
      </c>
      <c r="G641" s="3" t="str">
        <f>"2026-02-04 08:57:34.932"</f>
        <v>2026-02-04 08:57:34.932</v>
      </c>
      <c r="H641" s="3" t="s">
        <v>21</v>
      </c>
      <c r="I641" s="3">
        <v>10.5</v>
      </c>
      <c r="J641" s="3" t="s">
        <v>26</v>
      </c>
    </row>
    <row r="642" spans="1:10" x14ac:dyDescent="0.25">
      <c r="A642" s="1">
        <v>64</v>
      </c>
      <c r="B642" t="s">
        <v>22</v>
      </c>
      <c r="C642">
        <v>635</v>
      </c>
      <c r="D642">
        <v>1</v>
      </c>
      <c r="E642" t="s">
        <v>28</v>
      </c>
      <c r="F642" t="s">
        <v>29</v>
      </c>
      <c r="G642" t="str">
        <f>"2026-02-04 07:29:13.683"</f>
        <v>2026-02-04 07:29:13.683</v>
      </c>
      <c r="H642" t="s">
        <v>21</v>
      </c>
    </row>
    <row r="643" spans="1:10" x14ac:dyDescent="0.25">
      <c r="A643" s="1">
        <v>65</v>
      </c>
      <c r="B643" t="s">
        <v>25</v>
      </c>
      <c r="C643">
        <v>635</v>
      </c>
      <c r="D643">
        <v>1</v>
      </c>
      <c r="E643" t="s">
        <v>28</v>
      </c>
      <c r="F643" t="s">
        <v>29</v>
      </c>
      <c r="G643" t="str">
        <f>"2026-02-04 07:25:50.183"</f>
        <v>2026-02-04 07:25:50.183</v>
      </c>
      <c r="H643" t="s">
        <v>21</v>
      </c>
      <c r="I643">
        <v>8.16</v>
      </c>
      <c r="J643" t="s">
        <v>31</v>
      </c>
    </row>
    <row r="644" spans="1:10" x14ac:dyDescent="0.25">
      <c r="A644" s="1">
        <v>66</v>
      </c>
      <c r="B644" t="s">
        <v>22</v>
      </c>
      <c r="C644">
        <v>635</v>
      </c>
      <c r="D644">
        <v>1</v>
      </c>
      <c r="E644" t="s">
        <v>28</v>
      </c>
      <c r="F644" t="s">
        <v>29</v>
      </c>
      <c r="G644" t="str">
        <f>"2026-02-04 06:20:53.783"</f>
        <v>2026-02-04 06:20:53.783</v>
      </c>
      <c r="H644" t="s">
        <v>21</v>
      </c>
    </row>
    <row r="645" spans="1:10" x14ac:dyDescent="0.25">
      <c r="A645" s="1">
        <v>67</v>
      </c>
      <c r="B645" t="s">
        <v>25</v>
      </c>
      <c r="C645">
        <v>635</v>
      </c>
      <c r="D645">
        <v>1</v>
      </c>
      <c r="E645" t="s">
        <v>28</v>
      </c>
      <c r="F645" t="s">
        <v>29</v>
      </c>
      <c r="G645" t="str">
        <f>"2026-02-04 06:15:30.783"</f>
        <v>2026-02-04 06:15:30.783</v>
      </c>
      <c r="H645" t="s">
        <v>21</v>
      </c>
      <c r="I645">
        <v>6.3</v>
      </c>
      <c r="J645" t="s">
        <v>31</v>
      </c>
    </row>
    <row r="646" spans="1:10" x14ac:dyDescent="0.25">
      <c r="A646" s="1">
        <v>71</v>
      </c>
      <c r="B646" t="s">
        <v>22</v>
      </c>
      <c r="C646">
        <v>635</v>
      </c>
      <c r="D646">
        <v>1</v>
      </c>
      <c r="E646" t="s">
        <v>28</v>
      </c>
      <c r="F646" t="s">
        <v>29</v>
      </c>
      <c r="G646" t="str">
        <f>"2026-02-03 10:10:38.083"</f>
        <v>2026-02-03 10:10:38.083</v>
      </c>
      <c r="H646" t="s">
        <v>21</v>
      </c>
    </row>
    <row r="647" spans="1:10" x14ac:dyDescent="0.25">
      <c r="A647" s="1">
        <v>72</v>
      </c>
      <c r="B647" t="s">
        <v>25</v>
      </c>
      <c r="C647">
        <v>635</v>
      </c>
      <c r="D647">
        <v>1</v>
      </c>
      <c r="E647" t="s">
        <v>28</v>
      </c>
      <c r="F647" t="s">
        <v>29</v>
      </c>
      <c r="G647" t="str">
        <f>"2026-02-03 10:06:08.083"</f>
        <v>2026-02-03 10:06:08.083</v>
      </c>
      <c r="H647" t="s">
        <v>21</v>
      </c>
      <c r="I647">
        <v>6.37</v>
      </c>
      <c r="J647" t="s">
        <v>31</v>
      </c>
    </row>
    <row r="648" spans="1:10" x14ac:dyDescent="0.25">
      <c r="A648" s="1">
        <v>74</v>
      </c>
      <c r="B648" t="s">
        <v>22</v>
      </c>
      <c r="C648">
        <v>61</v>
      </c>
      <c r="D648">
        <v>2</v>
      </c>
      <c r="E648" t="s">
        <v>46</v>
      </c>
      <c r="F648" t="s">
        <v>47</v>
      </c>
      <c r="G648" t="str">
        <f>"2026-02-03 07:34:55.644"</f>
        <v>2026-02-03 07:34:55.644</v>
      </c>
      <c r="H648" t="s">
        <v>21</v>
      </c>
    </row>
    <row r="649" spans="1:10" x14ac:dyDescent="0.25">
      <c r="A649" s="1">
        <v>75</v>
      </c>
      <c r="B649" t="s">
        <v>39</v>
      </c>
      <c r="C649">
        <v>61</v>
      </c>
      <c r="D649">
        <v>2</v>
      </c>
      <c r="E649" t="s">
        <v>46</v>
      </c>
      <c r="F649" t="s">
        <v>47</v>
      </c>
      <c r="G649" t="str">
        <f>"2026-02-03 07:34:35.144"</f>
        <v>2026-02-03 07:34:35.144</v>
      </c>
      <c r="H649" t="s">
        <v>21</v>
      </c>
      <c r="I649">
        <v>30.03</v>
      </c>
      <c r="J649" t="s">
        <v>26</v>
      </c>
    </row>
    <row r="650" spans="1:10" s="3" customFormat="1" x14ac:dyDescent="0.25">
      <c r="A650" s="2">
        <v>79</v>
      </c>
      <c r="B650" s="3" t="s">
        <v>22</v>
      </c>
      <c r="C650" s="3">
        <v>647</v>
      </c>
      <c r="D650" s="3">
        <v>1</v>
      </c>
      <c r="E650" s="3" t="s">
        <v>23</v>
      </c>
      <c r="F650" s="3" t="s">
        <v>24</v>
      </c>
      <c r="G650" s="3" t="str">
        <f>"2026-02-02 18:14:34.432"</f>
        <v>2026-02-02 18:14:34.432</v>
      </c>
      <c r="H650" s="3" t="s">
        <v>21</v>
      </c>
    </row>
    <row r="651" spans="1:10" s="3" customFormat="1" x14ac:dyDescent="0.25">
      <c r="A651" s="2">
        <v>80</v>
      </c>
      <c r="B651" s="3" t="s">
        <v>25</v>
      </c>
      <c r="C651" s="3">
        <v>647</v>
      </c>
      <c r="D651" s="3">
        <v>1</v>
      </c>
      <c r="E651" s="3" t="s">
        <v>23</v>
      </c>
      <c r="F651" s="3" t="s">
        <v>24</v>
      </c>
      <c r="G651" s="3" t="str">
        <f>"2026-02-02 18:14:32.332"</f>
        <v>2026-02-02 18:14:32.332</v>
      </c>
      <c r="H651" s="3" t="s">
        <v>21</v>
      </c>
      <c r="I651" s="3">
        <v>12.19</v>
      </c>
      <c r="J651" s="3" t="s">
        <v>26</v>
      </c>
    </row>
    <row r="652" spans="1:10" s="3" customFormat="1" x14ac:dyDescent="0.25">
      <c r="A652" s="2">
        <v>82</v>
      </c>
      <c r="B652" s="3" t="s">
        <v>22</v>
      </c>
      <c r="C652" s="3">
        <v>647</v>
      </c>
      <c r="D652" s="3">
        <v>1</v>
      </c>
      <c r="E652" s="3" t="s">
        <v>23</v>
      </c>
      <c r="F652" s="3" t="s">
        <v>24</v>
      </c>
      <c r="G652" s="3" t="str">
        <f>"2026-02-02 15:45:48.132"</f>
        <v>2026-02-02 15:45:48.132</v>
      </c>
      <c r="H652" s="3" t="s">
        <v>21</v>
      </c>
    </row>
    <row r="653" spans="1:10" s="3" customFormat="1" x14ac:dyDescent="0.25">
      <c r="A653" s="2">
        <v>83</v>
      </c>
      <c r="B653" s="3" t="s">
        <v>25</v>
      </c>
      <c r="C653" s="3">
        <v>647</v>
      </c>
      <c r="D653" s="3">
        <v>1</v>
      </c>
      <c r="E653" s="3" t="s">
        <v>23</v>
      </c>
      <c r="F653" s="3" t="s">
        <v>24</v>
      </c>
      <c r="G653" s="3" t="str">
        <f>"2026-02-02 15:45:46.432"</f>
        <v>2026-02-02 15:45:46.432</v>
      </c>
      <c r="H653" s="3" t="s">
        <v>21</v>
      </c>
      <c r="I653" s="3">
        <v>16.760000000000002</v>
      </c>
      <c r="J653" s="3" t="s">
        <v>26</v>
      </c>
    </row>
    <row r="654" spans="1:10" x14ac:dyDescent="0.25">
      <c r="A654" s="1">
        <v>84</v>
      </c>
      <c r="B654" t="s">
        <v>22</v>
      </c>
      <c r="C654">
        <v>61</v>
      </c>
      <c r="D654">
        <v>2</v>
      </c>
      <c r="E654" t="s">
        <v>46</v>
      </c>
      <c r="F654" t="s">
        <v>47</v>
      </c>
      <c r="G654" t="str">
        <f>"2026-02-02 14:11:38.644"</f>
        <v>2026-02-02 14:11:38.644</v>
      </c>
      <c r="H654" t="s">
        <v>21</v>
      </c>
    </row>
    <row r="655" spans="1:10" x14ac:dyDescent="0.25">
      <c r="A655" s="1">
        <v>85</v>
      </c>
      <c r="B655" t="s">
        <v>39</v>
      </c>
      <c r="C655">
        <v>61</v>
      </c>
      <c r="D655">
        <v>2</v>
      </c>
      <c r="E655" t="s">
        <v>46</v>
      </c>
      <c r="F655" t="s">
        <v>47</v>
      </c>
      <c r="G655" t="str">
        <f>"2026-02-02 14:11:29.644"</f>
        <v>2026-02-02 14:11:29.644</v>
      </c>
      <c r="H655" t="s">
        <v>21</v>
      </c>
      <c r="I655">
        <v>30.2</v>
      </c>
      <c r="J655" t="s">
        <v>26</v>
      </c>
    </row>
    <row r="656" spans="1:10" x14ac:dyDescent="0.25">
      <c r="A656" s="1">
        <v>86</v>
      </c>
      <c r="B656" t="s">
        <v>22</v>
      </c>
      <c r="C656">
        <v>61</v>
      </c>
      <c r="D656">
        <v>2</v>
      </c>
      <c r="E656" t="s">
        <v>46</v>
      </c>
      <c r="F656" t="s">
        <v>47</v>
      </c>
      <c r="G656" t="str">
        <f>"2026-02-02 12:35:59.044"</f>
        <v>2026-02-02 12:35:59.044</v>
      </c>
      <c r="H656" t="s">
        <v>21</v>
      </c>
    </row>
    <row r="657" spans="1:10" x14ac:dyDescent="0.25">
      <c r="A657" s="1">
        <v>87</v>
      </c>
      <c r="B657" t="s">
        <v>39</v>
      </c>
      <c r="C657">
        <v>61</v>
      </c>
      <c r="D657">
        <v>2</v>
      </c>
      <c r="E657" t="s">
        <v>46</v>
      </c>
      <c r="F657" t="s">
        <v>47</v>
      </c>
      <c r="G657" t="str">
        <f>"2026-02-02 12:35:47.744"</f>
        <v>2026-02-02 12:35:47.744</v>
      </c>
      <c r="H657" t="s">
        <v>21</v>
      </c>
      <c r="I657">
        <v>30.42</v>
      </c>
      <c r="J657" t="s">
        <v>26</v>
      </c>
    </row>
    <row r="658" spans="1:10" x14ac:dyDescent="0.25">
      <c r="A658" s="1">
        <v>88</v>
      </c>
      <c r="B658" t="s">
        <v>22</v>
      </c>
      <c r="C658">
        <v>635</v>
      </c>
      <c r="D658">
        <v>1</v>
      </c>
      <c r="E658" t="s">
        <v>28</v>
      </c>
      <c r="F658" t="s">
        <v>29</v>
      </c>
      <c r="G658" t="str">
        <f>"2026-02-02 12:00:07.083"</f>
        <v>2026-02-02 12:00:07.083</v>
      </c>
      <c r="H658" t="s">
        <v>21</v>
      </c>
    </row>
    <row r="659" spans="1:10" x14ac:dyDescent="0.25">
      <c r="A659" s="1">
        <v>89</v>
      </c>
      <c r="B659" t="s">
        <v>25</v>
      </c>
      <c r="C659">
        <v>635</v>
      </c>
      <c r="D659">
        <v>1</v>
      </c>
      <c r="E659" t="s">
        <v>28</v>
      </c>
      <c r="F659" t="s">
        <v>29</v>
      </c>
      <c r="G659" t="str">
        <f>"2026-02-02 11:56:57.083"</f>
        <v>2026-02-02 11:56:57.083</v>
      </c>
      <c r="H659" t="s">
        <v>21</v>
      </c>
      <c r="I659">
        <v>2.4900000000000002</v>
      </c>
      <c r="J659" t="s">
        <v>30</v>
      </c>
    </row>
    <row r="660" spans="1:10" x14ac:dyDescent="0.25">
      <c r="A660" s="1">
        <v>95</v>
      </c>
      <c r="B660" t="s">
        <v>19</v>
      </c>
      <c r="C660">
        <v>700</v>
      </c>
      <c r="D660">
        <v>0</v>
      </c>
      <c r="E660" t="s">
        <v>20</v>
      </c>
      <c r="F660" t="s">
        <v>20</v>
      </c>
      <c r="G660" t="str">
        <f>"2026-02-01 15:15:22.550"</f>
        <v>2026-02-01 15:15:22.550</v>
      </c>
      <c r="H660" t="s">
        <v>21</v>
      </c>
      <c r="I660">
        <v>0</v>
      </c>
      <c r="J660" t="s">
        <v>27</v>
      </c>
    </row>
    <row r="661" spans="1:10" x14ac:dyDescent="0.25">
      <c r="A661" s="1">
        <v>96</v>
      </c>
      <c r="B661" t="s">
        <v>19</v>
      </c>
      <c r="C661">
        <v>700</v>
      </c>
      <c r="D661">
        <v>0</v>
      </c>
      <c r="E661" t="s">
        <v>20</v>
      </c>
      <c r="F661" t="s">
        <v>20</v>
      </c>
      <c r="G661" t="str">
        <f>"2026-02-01 10:32:24.404"</f>
        <v>2026-02-01 10:32:24.404</v>
      </c>
      <c r="H661" t="s">
        <v>21</v>
      </c>
    </row>
    <row r="662" spans="1:10" x14ac:dyDescent="0.25">
      <c r="A662" s="1">
        <v>97</v>
      </c>
      <c r="B662" t="s">
        <v>22</v>
      </c>
      <c r="C662">
        <v>635</v>
      </c>
      <c r="D662">
        <v>1</v>
      </c>
      <c r="E662" t="s">
        <v>28</v>
      </c>
      <c r="F662" t="s">
        <v>29</v>
      </c>
      <c r="G662" t="str">
        <f>"2026-01-31 23:02:05.766"</f>
        <v>2026-01-31 23:02:05.766</v>
      </c>
      <c r="H662" t="s">
        <v>21</v>
      </c>
    </row>
    <row r="663" spans="1:10" x14ac:dyDescent="0.25">
      <c r="A663" s="1">
        <v>98</v>
      </c>
      <c r="B663" t="s">
        <v>25</v>
      </c>
      <c r="C663">
        <v>635</v>
      </c>
      <c r="D663">
        <v>1</v>
      </c>
      <c r="E663" t="s">
        <v>28</v>
      </c>
      <c r="F663" t="s">
        <v>29</v>
      </c>
      <c r="G663" t="str">
        <f>"2026-01-31 22:57:46.766"</f>
        <v>2026-01-31 22:57:46.766</v>
      </c>
      <c r="H663" t="s">
        <v>21</v>
      </c>
      <c r="I663">
        <v>10.09</v>
      </c>
      <c r="J663" t="s">
        <v>26</v>
      </c>
    </row>
    <row r="664" spans="1:10" x14ac:dyDescent="0.25">
      <c r="A664" s="1">
        <v>99</v>
      </c>
      <c r="B664" t="s">
        <v>22</v>
      </c>
      <c r="C664">
        <v>635</v>
      </c>
      <c r="D664">
        <v>1</v>
      </c>
      <c r="E664" t="s">
        <v>28</v>
      </c>
      <c r="F664" t="s">
        <v>29</v>
      </c>
      <c r="G664" t="str">
        <f>"2026-01-31 15:23:17.166"</f>
        <v>2026-01-31 15:23:17.166</v>
      </c>
      <c r="H664" t="s">
        <v>21</v>
      </c>
    </row>
    <row r="665" spans="1:10" x14ac:dyDescent="0.25">
      <c r="A665" s="1">
        <v>0</v>
      </c>
      <c r="B665" t="s">
        <v>25</v>
      </c>
      <c r="C665">
        <v>635</v>
      </c>
      <c r="D665">
        <v>1</v>
      </c>
      <c r="E665" t="s">
        <v>28</v>
      </c>
      <c r="F665" t="s">
        <v>29</v>
      </c>
      <c r="G665" t="str">
        <f>"2026-01-31 15:20:04.666"</f>
        <v>2026-01-31 15:20:04.666</v>
      </c>
      <c r="H665" t="s">
        <v>21</v>
      </c>
      <c r="I665">
        <v>3.86</v>
      </c>
      <c r="J665" t="s">
        <v>30</v>
      </c>
    </row>
    <row r="666" spans="1:10" s="3" customFormat="1" x14ac:dyDescent="0.25">
      <c r="A666" s="2">
        <v>1</v>
      </c>
      <c r="B666" s="3" t="s">
        <v>22</v>
      </c>
      <c r="C666" s="3">
        <v>647</v>
      </c>
      <c r="D666" s="3">
        <v>1</v>
      </c>
      <c r="E666" s="3" t="s">
        <v>23</v>
      </c>
      <c r="F666" s="3" t="s">
        <v>24</v>
      </c>
      <c r="G666" s="3" t="str">
        <f>"2026-01-31 13:21:30.967"</f>
        <v>2026-01-31 13:21:30.967</v>
      </c>
      <c r="H666" s="3" t="s">
        <v>21</v>
      </c>
    </row>
    <row r="667" spans="1:10" s="3" customFormat="1" x14ac:dyDescent="0.25">
      <c r="A667" s="2">
        <v>2</v>
      </c>
      <c r="B667" s="3" t="s">
        <v>25</v>
      </c>
      <c r="C667" s="3">
        <v>647</v>
      </c>
      <c r="D667" s="3">
        <v>1</v>
      </c>
      <c r="E667" s="3" t="s">
        <v>23</v>
      </c>
      <c r="F667" s="3" t="s">
        <v>24</v>
      </c>
      <c r="G667" s="3" t="str">
        <f>"2026-01-31 13:21:29.667"</f>
        <v>2026-01-31 13:21:29.667</v>
      </c>
      <c r="H667" s="3" t="s">
        <v>21</v>
      </c>
      <c r="I667" s="3">
        <v>10.8</v>
      </c>
      <c r="J667" s="3" t="s">
        <v>26</v>
      </c>
    </row>
    <row r="668" spans="1:10" x14ac:dyDescent="0.25">
      <c r="A668" s="1">
        <v>3</v>
      </c>
      <c r="B668" t="s">
        <v>19</v>
      </c>
      <c r="C668">
        <v>700</v>
      </c>
      <c r="D668">
        <v>0</v>
      </c>
      <c r="E668" t="s">
        <v>20</v>
      </c>
      <c r="F668" t="s">
        <v>20</v>
      </c>
      <c r="G668" t="str">
        <f>"2026-01-31 12:35:02.379"</f>
        <v>2026-01-31 12:35:02.379</v>
      </c>
      <c r="H668" t="s">
        <v>21</v>
      </c>
    </row>
    <row r="669" spans="1:10" s="3" customFormat="1" x14ac:dyDescent="0.25">
      <c r="A669" s="2">
        <v>4</v>
      </c>
      <c r="B669" s="3" t="s">
        <v>22</v>
      </c>
      <c r="C669" s="3">
        <v>647</v>
      </c>
      <c r="D669" s="3">
        <v>1</v>
      </c>
      <c r="E669" s="3" t="s">
        <v>23</v>
      </c>
      <c r="F669" s="3" t="s">
        <v>24</v>
      </c>
      <c r="G669" s="3" t="str">
        <f>"2026-01-30 13:43:53.168"</f>
        <v>2026-01-30 13:43:53.168</v>
      </c>
      <c r="H669" s="3" t="s">
        <v>21</v>
      </c>
    </row>
    <row r="670" spans="1:10" s="3" customFormat="1" x14ac:dyDescent="0.25">
      <c r="A670" s="2">
        <v>5</v>
      </c>
      <c r="B670" s="3" t="s">
        <v>25</v>
      </c>
      <c r="C670" s="3">
        <v>647</v>
      </c>
      <c r="D670" s="3">
        <v>1</v>
      </c>
      <c r="E670" s="3" t="s">
        <v>23</v>
      </c>
      <c r="F670" s="3" t="s">
        <v>24</v>
      </c>
      <c r="G670" s="3" t="str">
        <f>"2026-01-30 13:43:50.468"</f>
        <v>2026-01-30 13:43:50.468</v>
      </c>
      <c r="H670" s="3" t="s">
        <v>21</v>
      </c>
      <c r="I670" s="3">
        <v>11.32</v>
      </c>
      <c r="J670" s="3" t="s">
        <v>30</v>
      </c>
    </row>
    <row r="671" spans="1:10" s="3" customFormat="1" x14ac:dyDescent="0.25">
      <c r="A671" s="2">
        <v>7</v>
      </c>
      <c r="B671" s="3" t="s">
        <v>22</v>
      </c>
      <c r="C671" s="3">
        <v>647</v>
      </c>
      <c r="D671" s="3">
        <v>1</v>
      </c>
      <c r="E671" s="3" t="s">
        <v>23</v>
      </c>
      <c r="F671" s="3" t="s">
        <v>24</v>
      </c>
      <c r="G671" s="3" t="str">
        <f>"2026-01-29 14:38:36.068"</f>
        <v>2026-01-29 14:38:36.068</v>
      </c>
      <c r="H671" s="3" t="s">
        <v>21</v>
      </c>
    </row>
    <row r="672" spans="1:10" s="3" customFormat="1" x14ac:dyDescent="0.25">
      <c r="A672" s="2">
        <v>8</v>
      </c>
      <c r="B672" s="3" t="s">
        <v>25</v>
      </c>
      <c r="C672" s="3">
        <v>647</v>
      </c>
      <c r="D672" s="3">
        <v>1</v>
      </c>
      <c r="E672" s="3" t="s">
        <v>23</v>
      </c>
      <c r="F672" s="3" t="s">
        <v>24</v>
      </c>
      <c r="G672" s="3" t="str">
        <f>"2026-01-29 14:38:29.468"</f>
        <v>2026-01-29 14:38:29.468</v>
      </c>
      <c r="H672" s="3" t="s">
        <v>21</v>
      </c>
      <c r="I672" s="3">
        <v>9.9700000000000006</v>
      </c>
      <c r="J672" s="3" t="s">
        <v>26</v>
      </c>
    </row>
    <row r="673" spans="1:10" s="3" customFormat="1" x14ac:dyDescent="0.25">
      <c r="A673" s="2">
        <v>9</v>
      </c>
      <c r="B673" s="3" t="s">
        <v>22</v>
      </c>
      <c r="C673" s="3">
        <v>647</v>
      </c>
      <c r="D673" s="3">
        <v>1</v>
      </c>
      <c r="E673" s="3" t="s">
        <v>23</v>
      </c>
      <c r="F673" s="3" t="s">
        <v>24</v>
      </c>
      <c r="G673" s="3" t="str">
        <f>"2026-01-29 14:38:27.268"</f>
        <v>2026-01-29 14:38:27.268</v>
      </c>
      <c r="H673" s="3" t="s">
        <v>21</v>
      </c>
    </row>
    <row r="674" spans="1:10" s="3" customFormat="1" x14ac:dyDescent="0.25">
      <c r="A674" s="2">
        <v>10</v>
      </c>
      <c r="B674" s="3" t="s">
        <v>25</v>
      </c>
      <c r="C674" s="3">
        <v>647</v>
      </c>
      <c r="D674" s="3">
        <v>1</v>
      </c>
      <c r="E674" s="3" t="s">
        <v>23</v>
      </c>
      <c r="F674" s="3" t="s">
        <v>24</v>
      </c>
      <c r="G674" s="3" t="str">
        <f>"2026-01-29 14:38:26.168"</f>
        <v>2026-01-29 14:38:26.168</v>
      </c>
      <c r="H674" s="3" t="s">
        <v>21</v>
      </c>
      <c r="I674" s="3">
        <v>15.53</v>
      </c>
      <c r="J674" s="3" t="s">
        <v>26</v>
      </c>
    </row>
    <row r="675" spans="1:10" x14ac:dyDescent="0.25">
      <c r="A675" s="1">
        <v>11</v>
      </c>
      <c r="B675" t="s">
        <v>22</v>
      </c>
      <c r="C675">
        <v>635</v>
      </c>
      <c r="D675">
        <v>1</v>
      </c>
      <c r="E675" t="s">
        <v>28</v>
      </c>
      <c r="F675" t="s">
        <v>29</v>
      </c>
      <c r="G675" t="str">
        <f>"2026-01-29 11:22:19.020"</f>
        <v>2026-01-29 11:22:19.020</v>
      </c>
      <c r="H675" t="s">
        <v>21</v>
      </c>
    </row>
    <row r="676" spans="1:10" x14ac:dyDescent="0.25">
      <c r="A676" s="1">
        <v>12</v>
      </c>
      <c r="B676" t="s">
        <v>25</v>
      </c>
      <c r="C676">
        <v>635</v>
      </c>
      <c r="D676">
        <v>1</v>
      </c>
      <c r="E676" t="s">
        <v>28</v>
      </c>
      <c r="F676" t="s">
        <v>29</v>
      </c>
      <c r="G676" t="str">
        <f>"2026-01-29 11:08:16.520"</f>
        <v>2026-01-29 11:08:16.520</v>
      </c>
      <c r="H676" t="s">
        <v>21</v>
      </c>
      <c r="I676">
        <v>3.42</v>
      </c>
      <c r="J676" t="s">
        <v>26</v>
      </c>
    </row>
    <row r="677" spans="1:10" x14ac:dyDescent="0.25">
      <c r="A677" s="1">
        <v>13</v>
      </c>
      <c r="B677" t="s">
        <v>22</v>
      </c>
      <c r="C677">
        <v>635</v>
      </c>
      <c r="D677">
        <v>1</v>
      </c>
      <c r="E677" t="s">
        <v>28</v>
      </c>
      <c r="F677" t="s">
        <v>29</v>
      </c>
      <c r="G677" t="str">
        <f>"2026-01-29 04:03:12.420"</f>
        <v>2026-01-29 04:03:12.420</v>
      </c>
      <c r="H677" t="s">
        <v>21</v>
      </c>
    </row>
    <row r="678" spans="1:10" x14ac:dyDescent="0.25">
      <c r="A678" s="1">
        <v>14</v>
      </c>
      <c r="B678" t="s">
        <v>25</v>
      </c>
      <c r="C678">
        <v>635</v>
      </c>
      <c r="D678">
        <v>1</v>
      </c>
      <c r="E678" t="s">
        <v>28</v>
      </c>
      <c r="F678" t="s">
        <v>29</v>
      </c>
      <c r="G678" t="str">
        <f>"2026-01-29 03:55:09.420"</f>
        <v>2026-01-29 03:55:09.420</v>
      </c>
      <c r="H678" t="s">
        <v>21</v>
      </c>
      <c r="I678">
        <v>8.69</v>
      </c>
      <c r="J678" t="s">
        <v>31</v>
      </c>
    </row>
    <row r="679" spans="1:10" x14ac:dyDescent="0.25">
      <c r="A679" s="1">
        <v>15</v>
      </c>
      <c r="B679" t="s">
        <v>22</v>
      </c>
      <c r="C679">
        <v>61</v>
      </c>
      <c r="D679">
        <v>2</v>
      </c>
      <c r="E679" t="s">
        <v>46</v>
      </c>
      <c r="F679" t="s">
        <v>47</v>
      </c>
      <c r="G679" t="str">
        <f>"2026-01-28 21:07:21.980"</f>
        <v>2026-01-28 21:07:21.980</v>
      </c>
      <c r="H679" t="s">
        <v>21</v>
      </c>
    </row>
    <row r="680" spans="1:10" x14ac:dyDescent="0.25">
      <c r="A680" s="1">
        <v>16</v>
      </c>
      <c r="B680" t="s">
        <v>39</v>
      </c>
      <c r="C680">
        <v>61</v>
      </c>
      <c r="D680">
        <v>2</v>
      </c>
      <c r="E680" t="s">
        <v>46</v>
      </c>
      <c r="F680" t="s">
        <v>47</v>
      </c>
      <c r="G680" t="str">
        <f>"2026-01-28 21:07:05.681"</f>
        <v>2026-01-28 21:07:05.681</v>
      </c>
      <c r="H680" t="s">
        <v>21</v>
      </c>
      <c r="I680">
        <v>30.19</v>
      </c>
      <c r="J680" t="s">
        <v>26</v>
      </c>
    </row>
    <row r="681" spans="1:10" x14ac:dyDescent="0.25">
      <c r="A681" s="1">
        <v>17</v>
      </c>
      <c r="B681" t="s">
        <v>22</v>
      </c>
      <c r="C681">
        <v>635</v>
      </c>
      <c r="D681">
        <v>1</v>
      </c>
      <c r="E681" t="s">
        <v>28</v>
      </c>
      <c r="F681" t="s">
        <v>29</v>
      </c>
      <c r="G681" t="str">
        <f>"2026-01-28 10:15:46.068"</f>
        <v>2026-01-28 10:15:46.068</v>
      </c>
      <c r="H681" t="s">
        <v>21</v>
      </c>
    </row>
    <row r="682" spans="1:10" x14ac:dyDescent="0.25">
      <c r="A682" s="1">
        <v>18</v>
      </c>
      <c r="B682" t="s">
        <v>25</v>
      </c>
      <c r="C682">
        <v>635</v>
      </c>
      <c r="D682">
        <v>1</v>
      </c>
      <c r="E682" t="s">
        <v>28</v>
      </c>
      <c r="F682" t="s">
        <v>29</v>
      </c>
      <c r="G682" t="str">
        <f>"2026-01-28 10:12:42.520"</f>
        <v>2026-01-28 10:12:42.520</v>
      </c>
      <c r="H682" t="s">
        <v>21</v>
      </c>
      <c r="I682">
        <v>2.2200000000000002</v>
      </c>
      <c r="J682" t="s">
        <v>30</v>
      </c>
    </row>
    <row r="683" spans="1:10" x14ac:dyDescent="0.25">
      <c r="A683" s="1">
        <v>19</v>
      </c>
      <c r="B683" t="s">
        <v>19</v>
      </c>
      <c r="C683">
        <v>706</v>
      </c>
      <c r="D683">
        <v>4</v>
      </c>
      <c r="E683" t="s">
        <v>32</v>
      </c>
      <c r="F683" t="s">
        <v>40</v>
      </c>
      <c r="G683" t="str">
        <f>"2026-01-28 04:54:24.886"</f>
        <v>2026-01-28 04:54:24.886</v>
      </c>
      <c r="H683" t="s">
        <v>21</v>
      </c>
      <c r="I683">
        <v>0</v>
      </c>
      <c r="J683" t="s">
        <v>34</v>
      </c>
    </row>
    <row r="684" spans="1:10" x14ac:dyDescent="0.25">
      <c r="A684" s="1">
        <v>20</v>
      </c>
      <c r="B684" t="s">
        <v>19</v>
      </c>
      <c r="C684">
        <v>706</v>
      </c>
      <c r="D684">
        <v>4</v>
      </c>
      <c r="E684" t="s">
        <v>32</v>
      </c>
      <c r="F684" t="s">
        <v>40</v>
      </c>
      <c r="G684" t="str">
        <f>"2026-01-27 23:40:42.496"</f>
        <v>2026-01-27 23:40:42.496</v>
      </c>
      <c r="H684" t="s">
        <v>21</v>
      </c>
      <c r="I684">
        <v>0</v>
      </c>
      <c r="J684" t="s">
        <v>34</v>
      </c>
    </row>
    <row r="685" spans="1:10" x14ac:dyDescent="0.25">
      <c r="A685" s="1">
        <v>21</v>
      </c>
      <c r="B685" t="s">
        <v>19</v>
      </c>
      <c r="C685">
        <v>706</v>
      </c>
      <c r="D685">
        <v>4</v>
      </c>
      <c r="E685" t="s">
        <v>32</v>
      </c>
      <c r="F685" t="s">
        <v>40</v>
      </c>
      <c r="G685" t="str">
        <f>"2026-01-27 22:21:06.456"</f>
        <v>2026-01-27 22:21:06.456</v>
      </c>
      <c r="H685" t="s">
        <v>21</v>
      </c>
      <c r="I685">
        <v>0</v>
      </c>
      <c r="J685" t="s">
        <v>34</v>
      </c>
    </row>
    <row r="686" spans="1:10" x14ac:dyDescent="0.25">
      <c r="A686" s="1">
        <v>22</v>
      </c>
      <c r="B686" t="s">
        <v>19</v>
      </c>
      <c r="C686">
        <v>700</v>
      </c>
      <c r="D686">
        <v>0</v>
      </c>
      <c r="E686" t="s">
        <v>20</v>
      </c>
      <c r="F686" t="s">
        <v>20</v>
      </c>
      <c r="G686" t="str">
        <f>"2026-01-27 22:08:54.376"</f>
        <v>2026-01-27 22:08:54.376</v>
      </c>
      <c r="H686" t="s">
        <v>21</v>
      </c>
      <c r="I686">
        <v>0</v>
      </c>
      <c r="J686" t="s">
        <v>27</v>
      </c>
    </row>
    <row r="687" spans="1:10" x14ac:dyDescent="0.25">
      <c r="A687" s="1">
        <v>23</v>
      </c>
      <c r="B687" t="s">
        <v>22</v>
      </c>
      <c r="C687">
        <v>635</v>
      </c>
      <c r="D687">
        <v>1</v>
      </c>
      <c r="E687" t="s">
        <v>28</v>
      </c>
      <c r="F687" t="s">
        <v>29</v>
      </c>
      <c r="G687" t="str">
        <f>"2026-01-27 11:44:26.485"</f>
        <v>2026-01-27 11:44:26.485</v>
      </c>
      <c r="H687" t="s">
        <v>21</v>
      </c>
    </row>
    <row r="688" spans="1:10" x14ac:dyDescent="0.25">
      <c r="A688" s="1">
        <v>24</v>
      </c>
      <c r="B688" t="s">
        <v>25</v>
      </c>
      <c r="C688">
        <v>635</v>
      </c>
      <c r="D688">
        <v>1</v>
      </c>
      <c r="E688" t="s">
        <v>28</v>
      </c>
      <c r="F688" t="s">
        <v>29</v>
      </c>
      <c r="G688" t="str">
        <f>"2026-01-27 11:38:54.585"</f>
        <v>2026-01-27 11:38:54.585</v>
      </c>
      <c r="H688" t="s">
        <v>21</v>
      </c>
      <c r="I688">
        <v>9.1</v>
      </c>
      <c r="J688" t="s">
        <v>26</v>
      </c>
    </row>
    <row r="689" spans="1:10" s="3" customFormat="1" x14ac:dyDescent="0.25">
      <c r="A689" s="2">
        <v>25</v>
      </c>
      <c r="B689" s="3" t="s">
        <v>22</v>
      </c>
      <c r="C689" s="3">
        <v>647</v>
      </c>
      <c r="D689" s="3">
        <v>1</v>
      </c>
      <c r="E689" s="3" t="s">
        <v>23</v>
      </c>
      <c r="F689" s="3" t="s">
        <v>24</v>
      </c>
      <c r="G689" s="3" t="str">
        <f>"2026-01-27 10:27:26.134"</f>
        <v>2026-01-27 10:27:26.134</v>
      </c>
      <c r="H689" s="3" t="s">
        <v>21</v>
      </c>
    </row>
    <row r="690" spans="1:10" s="3" customFormat="1" x14ac:dyDescent="0.25">
      <c r="A690" s="2">
        <v>26</v>
      </c>
      <c r="B690" s="3" t="s">
        <v>25</v>
      </c>
      <c r="C690" s="3">
        <v>647</v>
      </c>
      <c r="D690" s="3">
        <v>1</v>
      </c>
      <c r="E690" s="3" t="s">
        <v>23</v>
      </c>
      <c r="F690" s="3" t="s">
        <v>24</v>
      </c>
      <c r="G690" s="3" t="str">
        <f>"2026-01-27 10:27:19.934"</f>
        <v>2026-01-27 10:27:19.934</v>
      </c>
      <c r="H690" s="3" t="s">
        <v>21</v>
      </c>
      <c r="I690" s="3">
        <v>8.94</v>
      </c>
      <c r="J690" s="3" t="s">
        <v>26</v>
      </c>
    </row>
    <row r="691" spans="1:10" s="3" customFormat="1" x14ac:dyDescent="0.25">
      <c r="A691" s="2">
        <v>27</v>
      </c>
      <c r="B691" s="3" t="s">
        <v>22</v>
      </c>
      <c r="C691" s="3">
        <v>647</v>
      </c>
      <c r="D691" s="3">
        <v>1</v>
      </c>
      <c r="E691" s="3" t="s">
        <v>23</v>
      </c>
      <c r="F691" s="3" t="s">
        <v>24</v>
      </c>
      <c r="G691" s="3" t="str">
        <f>"2026-01-27 06:48:07.634"</f>
        <v>2026-01-27 06:48:07.634</v>
      </c>
      <c r="H691" s="3" t="s">
        <v>21</v>
      </c>
    </row>
    <row r="692" spans="1:10" s="3" customFormat="1" x14ac:dyDescent="0.25">
      <c r="A692" s="2">
        <v>28</v>
      </c>
      <c r="B692" s="3" t="s">
        <v>25</v>
      </c>
      <c r="C692" s="3">
        <v>647</v>
      </c>
      <c r="D692" s="3">
        <v>1</v>
      </c>
      <c r="E692" s="3" t="s">
        <v>23</v>
      </c>
      <c r="F692" s="3" t="s">
        <v>24</v>
      </c>
      <c r="G692" s="3" t="str">
        <f>"2026-01-27 06:48:04.734"</f>
        <v>2026-01-27 06:48:04.734</v>
      </c>
      <c r="H692" s="3" t="s">
        <v>21</v>
      </c>
      <c r="I692" s="3">
        <v>15.59</v>
      </c>
      <c r="J692" s="3" t="s">
        <v>26</v>
      </c>
    </row>
    <row r="693" spans="1:10" s="3" customFormat="1" x14ac:dyDescent="0.25">
      <c r="A693" s="2">
        <v>29</v>
      </c>
      <c r="B693" s="3" t="s">
        <v>22</v>
      </c>
      <c r="C693" s="3">
        <v>647</v>
      </c>
      <c r="D693" s="3">
        <v>1</v>
      </c>
      <c r="E693" s="3" t="s">
        <v>23</v>
      </c>
      <c r="F693" s="3" t="s">
        <v>24</v>
      </c>
      <c r="G693" s="3" t="str">
        <f>"2026-01-26 19:17:49.334"</f>
        <v>2026-01-26 19:17:49.334</v>
      </c>
      <c r="H693" s="3" t="s">
        <v>21</v>
      </c>
    </row>
    <row r="694" spans="1:10" s="3" customFormat="1" x14ac:dyDescent="0.25">
      <c r="A694" s="2">
        <v>30</v>
      </c>
      <c r="B694" s="3" t="s">
        <v>25</v>
      </c>
      <c r="C694" s="3">
        <v>647</v>
      </c>
      <c r="D694" s="3">
        <v>1</v>
      </c>
      <c r="E694" s="3" t="s">
        <v>23</v>
      </c>
      <c r="F694" s="3" t="s">
        <v>24</v>
      </c>
      <c r="G694" s="3" t="str">
        <f>"2026-01-26 19:17:48.034"</f>
        <v>2026-01-26 19:17:48.034</v>
      </c>
      <c r="H694" s="3" t="s">
        <v>21</v>
      </c>
      <c r="I694" s="3">
        <v>14.3</v>
      </c>
      <c r="J694" s="3" t="s">
        <v>26</v>
      </c>
    </row>
    <row r="695" spans="1:10" s="3" customFormat="1" x14ac:dyDescent="0.25">
      <c r="A695" s="2">
        <v>31</v>
      </c>
      <c r="B695" s="3" t="s">
        <v>22</v>
      </c>
      <c r="C695" s="3">
        <v>647</v>
      </c>
      <c r="D695" s="3">
        <v>1</v>
      </c>
      <c r="E695" s="3" t="s">
        <v>23</v>
      </c>
      <c r="F695" s="3" t="s">
        <v>24</v>
      </c>
      <c r="G695" s="3" t="str">
        <f>"2026-01-26 13:47:53.234"</f>
        <v>2026-01-26 13:47:53.234</v>
      </c>
      <c r="H695" s="3" t="s">
        <v>21</v>
      </c>
    </row>
    <row r="696" spans="1:10" s="3" customFormat="1" x14ac:dyDescent="0.25">
      <c r="A696" s="2">
        <v>32</v>
      </c>
      <c r="B696" s="3" t="s">
        <v>25</v>
      </c>
      <c r="C696" s="3">
        <v>647</v>
      </c>
      <c r="D696" s="3">
        <v>1</v>
      </c>
      <c r="E696" s="3" t="s">
        <v>23</v>
      </c>
      <c r="F696" s="3" t="s">
        <v>24</v>
      </c>
      <c r="G696" s="3" t="str">
        <f>"2026-01-26 13:47:49.534"</f>
        <v>2026-01-26 13:47:49.534</v>
      </c>
      <c r="H696" s="3" t="s">
        <v>21</v>
      </c>
      <c r="I696" s="3">
        <v>17.149999999999999</v>
      </c>
      <c r="J696" s="3" t="s">
        <v>26</v>
      </c>
    </row>
    <row r="697" spans="1:10" x14ac:dyDescent="0.25">
      <c r="A697" s="1">
        <v>33</v>
      </c>
      <c r="B697" t="s">
        <v>19</v>
      </c>
      <c r="C697">
        <v>700</v>
      </c>
      <c r="D697">
        <v>0</v>
      </c>
      <c r="E697" t="s">
        <v>20</v>
      </c>
      <c r="F697" t="s">
        <v>20</v>
      </c>
      <c r="G697" t="str">
        <f>"2026-01-25 21:02:51.532"</f>
        <v>2026-01-25 21:02:51.532</v>
      </c>
      <c r="H697" t="s">
        <v>21</v>
      </c>
    </row>
    <row r="698" spans="1:10" x14ac:dyDescent="0.25">
      <c r="A698" s="1">
        <v>34</v>
      </c>
      <c r="B698" t="s">
        <v>22</v>
      </c>
      <c r="C698">
        <v>635</v>
      </c>
      <c r="D698">
        <v>1</v>
      </c>
      <c r="E698" t="s">
        <v>28</v>
      </c>
      <c r="F698" t="s">
        <v>29</v>
      </c>
      <c r="G698" t="str">
        <f>"2026-01-25 16:11:29.545"</f>
        <v>2026-01-25 16:11:29.545</v>
      </c>
      <c r="H698" t="s">
        <v>21</v>
      </c>
    </row>
    <row r="699" spans="1:10" x14ac:dyDescent="0.25">
      <c r="A699" s="1">
        <v>35</v>
      </c>
      <c r="B699" t="s">
        <v>25</v>
      </c>
      <c r="C699">
        <v>635</v>
      </c>
      <c r="D699">
        <v>1</v>
      </c>
      <c r="E699" t="s">
        <v>28</v>
      </c>
      <c r="F699" t="s">
        <v>29</v>
      </c>
      <c r="G699" t="str">
        <f>"2026-01-25 16:08:28.545"</f>
        <v>2026-01-25 16:08:28.545</v>
      </c>
      <c r="H699" t="s">
        <v>21</v>
      </c>
      <c r="I699">
        <v>2.08</v>
      </c>
      <c r="J699" t="s">
        <v>26</v>
      </c>
    </row>
    <row r="700" spans="1:10" s="3" customFormat="1" x14ac:dyDescent="0.25">
      <c r="A700" s="2">
        <v>36</v>
      </c>
      <c r="B700" s="3" t="s">
        <v>22</v>
      </c>
      <c r="C700" s="3">
        <v>647</v>
      </c>
      <c r="D700" s="3">
        <v>1</v>
      </c>
      <c r="E700" s="3" t="s">
        <v>23</v>
      </c>
      <c r="F700" s="3" t="s">
        <v>24</v>
      </c>
      <c r="G700" s="3" t="str">
        <f>"2026-01-25 15:52:38.245"</f>
        <v>2026-01-25 15:52:38.245</v>
      </c>
      <c r="H700" s="3" t="s">
        <v>21</v>
      </c>
    </row>
    <row r="701" spans="1:10" s="3" customFormat="1" x14ac:dyDescent="0.25">
      <c r="A701" s="2">
        <v>37</v>
      </c>
      <c r="B701" s="3" t="s">
        <v>25</v>
      </c>
      <c r="C701" s="3">
        <v>647</v>
      </c>
      <c r="D701" s="3">
        <v>1</v>
      </c>
      <c r="E701" s="3" t="s">
        <v>23</v>
      </c>
      <c r="F701" s="3" t="s">
        <v>24</v>
      </c>
      <c r="G701" s="3" t="str">
        <f>"2026-01-25 15:52:34.746"</f>
        <v>2026-01-25 15:52:34.746</v>
      </c>
      <c r="H701" s="3" t="s">
        <v>21</v>
      </c>
      <c r="I701" s="3">
        <v>12.55</v>
      </c>
      <c r="J701" s="3" t="s">
        <v>26</v>
      </c>
    </row>
    <row r="702" spans="1:10" x14ac:dyDescent="0.25">
      <c r="A702" s="1">
        <v>38</v>
      </c>
      <c r="B702" t="s">
        <v>19</v>
      </c>
      <c r="C702">
        <v>706</v>
      </c>
      <c r="D702">
        <v>2</v>
      </c>
      <c r="E702" t="s">
        <v>32</v>
      </c>
      <c r="F702" t="s">
        <v>33</v>
      </c>
      <c r="G702" t="str">
        <f>"2026-01-25 12:33:17.711"</f>
        <v>2026-01-25 12:33:17.711</v>
      </c>
      <c r="H702" t="s">
        <v>21</v>
      </c>
      <c r="I702">
        <v>0</v>
      </c>
      <c r="J702" t="s">
        <v>34</v>
      </c>
    </row>
    <row r="703" spans="1:10" x14ac:dyDescent="0.25">
      <c r="A703" s="1">
        <v>39</v>
      </c>
      <c r="B703" t="s">
        <v>19</v>
      </c>
      <c r="C703">
        <v>700</v>
      </c>
      <c r="D703">
        <v>0</v>
      </c>
      <c r="E703" t="s">
        <v>20</v>
      </c>
      <c r="F703" t="s">
        <v>20</v>
      </c>
      <c r="G703" t="str">
        <f>"2026-01-25 12:28:17.361"</f>
        <v>2026-01-25 12:28:17.361</v>
      </c>
      <c r="H703" t="s">
        <v>21</v>
      </c>
    </row>
    <row r="704" spans="1:10" x14ac:dyDescent="0.25">
      <c r="A704" s="1">
        <v>40</v>
      </c>
      <c r="B704" t="s">
        <v>19</v>
      </c>
      <c r="C704">
        <v>700</v>
      </c>
      <c r="D704">
        <v>0</v>
      </c>
      <c r="E704" t="s">
        <v>20</v>
      </c>
      <c r="F704" t="s">
        <v>20</v>
      </c>
      <c r="G704" t="str">
        <f>"2026-01-25 10:13:12.360"</f>
        <v>2026-01-25 10:13:12.360</v>
      </c>
      <c r="H704" t="s">
        <v>21</v>
      </c>
      <c r="I704">
        <v>0</v>
      </c>
      <c r="J704" t="s">
        <v>27</v>
      </c>
    </row>
    <row r="705" spans="1:10" x14ac:dyDescent="0.25">
      <c r="A705" s="1">
        <v>41</v>
      </c>
      <c r="B705" t="s">
        <v>22</v>
      </c>
      <c r="C705">
        <v>635</v>
      </c>
      <c r="D705">
        <v>1</v>
      </c>
      <c r="E705" t="s">
        <v>28</v>
      </c>
      <c r="F705" t="s">
        <v>29</v>
      </c>
      <c r="G705" t="str">
        <f>"2026-01-25 02:49:33.905"</f>
        <v>2026-01-25 02:49:33.905</v>
      </c>
      <c r="H705" t="s">
        <v>21</v>
      </c>
    </row>
    <row r="706" spans="1:10" x14ac:dyDescent="0.25">
      <c r="A706" s="1">
        <v>42</v>
      </c>
      <c r="B706" t="s">
        <v>25</v>
      </c>
      <c r="C706">
        <v>635</v>
      </c>
      <c r="D706">
        <v>1</v>
      </c>
      <c r="E706" t="s">
        <v>28</v>
      </c>
      <c r="F706" t="s">
        <v>29</v>
      </c>
      <c r="G706" t="str">
        <f>"2026-01-25 02:35:49.405"</f>
        <v>2026-01-25 02:35:49.405</v>
      </c>
      <c r="H706" t="s">
        <v>21</v>
      </c>
      <c r="I706">
        <v>6.64</v>
      </c>
      <c r="J706" t="s">
        <v>31</v>
      </c>
    </row>
    <row r="707" spans="1:10" x14ac:dyDescent="0.25">
      <c r="A707" s="1">
        <v>43</v>
      </c>
      <c r="B707" t="s">
        <v>22</v>
      </c>
      <c r="C707">
        <v>635</v>
      </c>
      <c r="D707">
        <v>1</v>
      </c>
      <c r="E707" t="s">
        <v>28</v>
      </c>
      <c r="F707" t="s">
        <v>29</v>
      </c>
      <c r="G707" t="str">
        <f>"2026-01-25 02:27:36.905"</f>
        <v>2026-01-25 02:27:36.905</v>
      </c>
      <c r="H707" t="s">
        <v>21</v>
      </c>
    </row>
    <row r="708" spans="1:10" x14ac:dyDescent="0.25">
      <c r="A708" s="1">
        <v>44</v>
      </c>
      <c r="B708" t="s">
        <v>25</v>
      </c>
      <c r="C708">
        <v>635</v>
      </c>
      <c r="D708">
        <v>1</v>
      </c>
      <c r="E708" t="s">
        <v>28</v>
      </c>
      <c r="F708" t="s">
        <v>29</v>
      </c>
      <c r="G708" t="str">
        <f>"2026-01-25 02:24:46.405"</f>
        <v>2026-01-25 02:24:46.405</v>
      </c>
      <c r="H708" t="s">
        <v>21</v>
      </c>
      <c r="I708">
        <v>-1.35</v>
      </c>
      <c r="J708" t="s">
        <v>30</v>
      </c>
    </row>
    <row r="709" spans="1:10" x14ac:dyDescent="0.25">
      <c r="A709" s="1">
        <v>45</v>
      </c>
      <c r="B709" t="s">
        <v>22</v>
      </c>
      <c r="C709">
        <v>635</v>
      </c>
      <c r="D709">
        <v>1</v>
      </c>
      <c r="E709" t="s">
        <v>28</v>
      </c>
      <c r="F709" t="s">
        <v>29</v>
      </c>
      <c r="G709" t="str">
        <f>"2026-01-24 21:59:19.405"</f>
        <v>2026-01-24 21:59:19.405</v>
      </c>
      <c r="H709" t="s">
        <v>21</v>
      </c>
    </row>
    <row r="710" spans="1:10" x14ac:dyDescent="0.25">
      <c r="A710" s="1">
        <v>46</v>
      </c>
      <c r="B710" t="s">
        <v>25</v>
      </c>
      <c r="C710">
        <v>635</v>
      </c>
      <c r="D710">
        <v>1</v>
      </c>
      <c r="E710" t="s">
        <v>28</v>
      </c>
      <c r="F710" t="s">
        <v>29</v>
      </c>
      <c r="G710" t="str">
        <f>"2026-01-24 21:55:17.905"</f>
        <v>2026-01-24 21:55:17.905</v>
      </c>
      <c r="H710" t="s">
        <v>21</v>
      </c>
      <c r="I710">
        <v>0</v>
      </c>
      <c r="J710" t="s">
        <v>30</v>
      </c>
    </row>
    <row r="711" spans="1:10" x14ac:dyDescent="0.25">
      <c r="A711" s="1">
        <v>47</v>
      </c>
      <c r="B711" t="s">
        <v>22</v>
      </c>
      <c r="C711">
        <v>635</v>
      </c>
      <c r="D711">
        <v>1</v>
      </c>
      <c r="E711" t="s">
        <v>28</v>
      </c>
      <c r="F711" t="s">
        <v>29</v>
      </c>
      <c r="G711" t="str">
        <f>"2026-01-24 21:43:28.905"</f>
        <v>2026-01-24 21:43:28.905</v>
      </c>
      <c r="H711" t="s">
        <v>21</v>
      </c>
    </row>
    <row r="712" spans="1:10" x14ac:dyDescent="0.25">
      <c r="A712" s="1">
        <v>48</v>
      </c>
      <c r="B712" t="s">
        <v>25</v>
      </c>
      <c r="C712">
        <v>635</v>
      </c>
      <c r="D712">
        <v>1</v>
      </c>
      <c r="E712" t="s">
        <v>28</v>
      </c>
      <c r="F712" t="s">
        <v>29</v>
      </c>
      <c r="G712" t="str">
        <f>"2026-01-24 21:29:25.005"</f>
        <v>2026-01-24 21:29:25.005</v>
      </c>
      <c r="H712" t="s">
        <v>21</v>
      </c>
      <c r="I712">
        <v>5.98</v>
      </c>
      <c r="J712" t="s">
        <v>31</v>
      </c>
    </row>
    <row r="713" spans="1:10" s="3" customFormat="1" x14ac:dyDescent="0.25">
      <c r="A713" s="2">
        <v>49</v>
      </c>
      <c r="B713" s="3" t="s">
        <v>22</v>
      </c>
      <c r="C713" s="3">
        <v>647</v>
      </c>
      <c r="D713" s="3">
        <v>1</v>
      </c>
      <c r="E713" s="3" t="s">
        <v>23</v>
      </c>
      <c r="F713" s="3" t="s">
        <v>24</v>
      </c>
      <c r="G713" s="3" t="str">
        <f>"2026-01-24 16:29:58.053"</f>
        <v>2026-01-24 16:29:58.053</v>
      </c>
      <c r="H713" s="3" t="s">
        <v>21</v>
      </c>
    </row>
    <row r="714" spans="1:10" s="3" customFormat="1" x14ac:dyDescent="0.25">
      <c r="A714" s="2">
        <v>50</v>
      </c>
      <c r="B714" s="3" t="s">
        <v>25</v>
      </c>
      <c r="C714" s="3">
        <v>647</v>
      </c>
      <c r="D714" s="3">
        <v>1</v>
      </c>
      <c r="E714" s="3" t="s">
        <v>23</v>
      </c>
      <c r="F714" s="3" t="s">
        <v>24</v>
      </c>
      <c r="G714" s="3" t="str">
        <f>"2026-01-24 16:29:55.154"</f>
        <v>2026-01-24 16:29:55.154</v>
      </c>
      <c r="H714" s="3" t="s">
        <v>21</v>
      </c>
      <c r="I714" s="3">
        <v>13.6</v>
      </c>
      <c r="J714" s="3" t="s">
        <v>26</v>
      </c>
    </row>
    <row r="715" spans="1:10" x14ac:dyDescent="0.25">
      <c r="A715" s="1">
        <v>51</v>
      </c>
      <c r="B715" t="s">
        <v>22</v>
      </c>
      <c r="C715">
        <v>635</v>
      </c>
      <c r="D715">
        <v>1</v>
      </c>
      <c r="E715" t="s">
        <v>28</v>
      </c>
      <c r="F715" t="s">
        <v>29</v>
      </c>
      <c r="G715" t="str">
        <f>"2026-01-24 16:04:46.605"</f>
        <v>2026-01-24 16:04:46.605</v>
      </c>
      <c r="H715" t="s">
        <v>21</v>
      </c>
    </row>
    <row r="716" spans="1:10" s="3" customFormat="1" x14ac:dyDescent="0.25">
      <c r="A716" s="2">
        <v>52</v>
      </c>
      <c r="B716" s="3" t="s">
        <v>22</v>
      </c>
      <c r="C716" s="3">
        <v>647</v>
      </c>
      <c r="D716" s="3">
        <v>1</v>
      </c>
      <c r="E716" s="3" t="s">
        <v>23</v>
      </c>
      <c r="F716" s="3" t="s">
        <v>24</v>
      </c>
      <c r="G716" s="3" t="str">
        <f>"2026-01-24 15:59:10.754"</f>
        <v>2026-01-24 15:59:10.754</v>
      </c>
      <c r="H716" s="3" t="s">
        <v>21</v>
      </c>
    </row>
    <row r="717" spans="1:10" s="3" customFormat="1" x14ac:dyDescent="0.25">
      <c r="A717" s="2">
        <v>53</v>
      </c>
      <c r="B717" s="3" t="s">
        <v>25</v>
      </c>
      <c r="C717" s="3">
        <v>647</v>
      </c>
      <c r="D717" s="3">
        <v>1</v>
      </c>
      <c r="E717" s="3" t="s">
        <v>23</v>
      </c>
      <c r="F717" s="3" t="s">
        <v>24</v>
      </c>
      <c r="G717" s="3" t="str">
        <f>"2026-01-24 15:59:09.053"</f>
        <v>2026-01-24 15:59:09.053</v>
      </c>
      <c r="H717" s="3" t="s">
        <v>21</v>
      </c>
      <c r="I717" s="3">
        <v>8.8000000000000007</v>
      </c>
      <c r="J717" s="3" t="s">
        <v>26</v>
      </c>
    </row>
    <row r="718" spans="1:10" x14ac:dyDescent="0.25">
      <c r="A718" s="1">
        <v>54</v>
      </c>
      <c r="B718" t="s">
        <v>25</v>
      </c>
      <c r="C718">
        <v>635</v>
      </c>
      <c r="D718">
        <v>1</v>
      </c>
      <c r="E718" t="s">
        <v>28</v>
      </c>
      <c r="F718" t="s">
        <v>29</v>
      </c>
      <c r="G718" t="str">
        <f>"2026-01-24 15:49:36.605"</f>
        <v>2026-01-24 15:49:36.605</v>
      </c>
      <c r="H718" t="s">
        <v>21</v>
      </c>
      <c r="I718">
        <v>6.24</v>
      </c>
      <c r="J718" t="s">
        <v>31</v>
      </c>
    </row>
    <row r="719" spans="1:10" s="3" customFormat="1" x14ac:dyDescent="0.25">
      <c r="A719" s="2">
        <v>55</v>
      </c>
      <c r="B719" s="3" t="s">
        <v>22</v>
      </c>
      <c r="C719" s="3">
        <v>647</v>
      </c>
      <c r="D719" s="3">
        <v>1</v>
      </c>
      <c r="E719" s="3" t="s">
        <v>23</v>
      </c>
      <c r="F719" s="3" t="s">
        <v>24</v>
      </c>
      <c r="G719" s="3" t="str">
        <f>"2026-01-24 14:17:39.153"</f>
        <v>2026-01-24 14:17:39.153</v>
      </c>
      <c r="H719" s="3" t="s">
        <v>21</v>
      </c>
    </row>
    <row r="720" spans="1:10" s="3" customFormat="1" x14ac:dyDescent="0.25">
      <c r="A720" s="2">
        <v>56</v>
      </c>
      <c r="B720" s="3" t="s">
        <v>25</v>
      </c>
      <c r="C720" s="3">
        <v>647</v>
      </c>
      <c r="D720" s="3">
        <v>1</v>
      </c>
      <c r="E720" s="3" t="s">
        <v>23</v>
      </c>
      <c r="F720" s="3" t="s">
        <v>24</v>
      </c>
      <c r="G720" s="3" t="str">
        <f>"2026-01-24 14:17:35.254"</f>
        <v>2026-01-24 14:17:35.254</v>
      </c>
      <c r="H720" s="3" t="s">
        <v>21</v>
      </c>
      <c r="I720" s="3">
        <v>26.3</v>
      </c>
      <c r="J720" s="3" t="s">
        <v>26</v>
      </c>
    </row>
    <row r="721" spans="1:10" x14ac:dyDescent="0.25">
      <c r="A721" s="1">
        <v>57</v>
      </c>
      <c r="B721" t="s">
        <v>19</v>
      </c>
      <c r="C721">
        <v>700</v>
      </c>
      <c r="D721">
        <v>0</v>
      </c>
      <c r="E721" t="s">
        <v>20</v>
      </c>
      <c r="F721" t="s">
        <v>20</v>
      </c>
      <c r="G721" t="str">
        <f>"2026-01-24 12:50:46.345"</f>
        <v>2026-01-24 12:50:46.345</v>
      </c>
      <c r="H721" t="s">
        <v>21</v>
      </c>
    </row>
    <row r="722" spans="1:10" s="3" customFormat="1" x14ac:dyDescent="0.25">
      <c r="A722" s="2">
        <v>58</v>
      </c>
      <c r="B722" s="3" t="s">
        <v>22</v>
      </c>
      <c r="C722" s="3">
        <v>647</v>
      </c>
      <c r="D722" s="3">
        <v>1</v>
      </c>
      <c r="E722" s="3" t="s">
        <v>23</v>
      </c>
      <c r="F722" s="3" t="s">
        <v>24</v>
      </c>
      <c r="G722" s="3" t="str">
        <f>"2026-01-24 08:23:10.266"</f>
        <v>2026-01-24 08:23:10.266</v>
      </c>
      <c r="H722" s="3" t="s">
        <v>21</v>
      </c>
    </row>
    <row r="723" spans="1:10" s="3" customFormat="1" x14ac:dyDescent="0.25">
      <c r="A723" s="2">
        <v>59</v>
      </c>
      <c r="B723" s="3" t="s">
        <v>25</v>
      </c>
      <c r="C723" s="3">
        <v>647</v>
      </c>
      <c r="D723" s="3">
        <v>1</v>
      </c>
      <c r="E723" s="3" t="s">
        <v>23</v>
      </c>
      <c r="F723" s="3" t="s">
        <v>24</v>
      </c>
      <c r="G723" s="3" t="str">
        <f>"2026-01-24 08:23:06.866"</f>
        <v>2026-01-24 08:23:06.866</v>
      </c>
      <c r="H723" s="3" t="s">
        <v>21</v>
      </c>
      <c r="I723" s="3">
        <v>15.73</v>
      </c>
      <c r="J723" s="3" t="s">
        <v>26</v>
      </c>
    </row>
    <row r="724" spans="1:10" s="3" customFormat="1" x14ac:dyDescent="0.25">
      <c r="A724" s="2">
        <v>60</v>
      </c>
      <c r="B724" s="3" t="s">
        <v>22</v>
      </c>
      <c r="C724" s="3">
        <v>647</v>
      </c>
      <c r="D724" s="3">
        <v>1</v>
      </c>
      <c r="E724" s="3" t="s">
        <v>23</v>
      </c>
      <c r="F724" s="3" t="s">
        <v>24</v>
      </c>
      <c r="G724" s="3" t="str">
        <f>"2026-01-22 09:00:31.766"</f>
        <v>2026-01-22 09:00:31.766</v>
      </c>
      <c r="H724" s="3" t="s">
        <v>21</v>
      </c>
    </row>
    <row r="725" spans="1:10" s="3" customFormat="1" x14ac:dyDescent="0.25">
      <c r="A725" s="2">
        <v>61</v>
      </c>
      <c r="B725" s="3" t="s">
        <v>25</v>
      </c>
      <c r="C725" s="3">
        <v>647</v>
      </c>
      <c r="D725" s="3">
        <v>1</v>
      </c>
      <c r="E725" s="3" t="s">
        <v>23</v>
      </c>
      <c r="F725" s="3" t="s">
        <v>24</v>
      </c>
      <c r="G725" s="3" t="str">
        <f>"2026-01-22 09:00:26.066"</f>
        <v>2026-01-22 09:00:26.066</v>
      </c>
      <c r="H725" s="3" t="s">
        <v>21</v>
      </c>
      <c r="I725" s="3">
        <v>10.69</v>
      </c>
      <c r="J725" s="3" t="s">
        <v>30</v>
      </c>
    </row>
    <row r="726" spans="1:10" x14ac:dyDescent="0.25">
      <c r="A726" s="1">
        <v>62</v>
      </c>
      <c r="B726" t="s">
        <v>22</v>
      </c>
      <c r="C726">
        <v>98</v>
      </c>
      <c r="D726">
        <v>1</v>
      </c>
      <c r="E726" t="s">
        <v>43</v>
      </c>
      <c r="F726" t="s">
        <v>44</v>
      </c>
      <c r="G726" t="str">
        <f>"2026-01-22 06:00:52.065"</f>
        <v>2026-01-22 06:00:52.065</v>
      </c>
      <c r="H726" t="s">
        <v>21</v>
      </c>
    </row>
    <row r="727" spans="1:10" x14ac:dyDescent="0.25">
      <c r="A727" s="1">
        <v>63</v>
      </c>
      <c r="B727" t="s">
        <v>25</v>
      </c>
      <c r="C727">
        <v>98</v>
      </c>
      <c r="D727">
        <v>1</v>
      </c>
      <c r="E727" t="s">
        <v>43</v>
      </c>
      <c r="F727" t="s">
        <v>44</v>
      </c>
      <c r="G727" t="str">
        <f>"2026-01-22 06:00:51.066"</f>
        <v>2026-01-22 06:00:51.066</v>
      </c>
      <c r="H727" t="s">
        <v>21</v>
      </c>
      <c r="I727">
        <v>0</v>
      </c>
      <c r="J727" t="s">
        <v>30</v>
      </c>
    </row>
    <row r="728" spans="1:10" s="3" customFormat="1" x14ac:dyDescent="0.25">
      <c r="A728" s="2">
        <v>64</v>
      </c>
      <c r="B728" s="3" t="s">
        <v>22</v>
      </c>
      <c r="C728" s="3">
        <v>647</v>
      </c>
      <c r="D728" s="3">
        <v>1</v>
      </c>
      <c r="E728" s="3" t="s">
        <v>23</v>
      </c>
      <c r="F728" s="3" t="s">
        <v>24</v>
      </c>
      <c r="G728" s="3" t="str">
        <f>"2026-01-21 18:19:27.266"</f>
        <v>2026-01-21 18:19:27.266</v>
      </c>
      <c r="H728" s="3" t="s">
        <v>21</v>
      </c>
    </row>
    <row r="729" spans="1:10" s="3" customFormat="1" x14ac:dyDescent="0.25">
      <c r="A729" s="2">
        <v>65</v>
      </c>
      <c r="B729" s="3" t="s">
        <v>25</v>
      </c>
      <c r="C729" s="3">
        <v>647</v>
      </c>
      <c r="D729" s="3">
        <v>1</v>
      </c>
      <c r="E729" s="3" t="s">
        <v>23</v>
      </c>
      <c r="F729" s="3" t="s">
        <v>24</v>
      </c>
      <c r="G729" s="3" t="str">
        <f>"2026-01-21 18:19:21.966"</f>
        <v>2026-01-21 18:19:21.966</v>
      </c>
      <c r="H729" s="3" t="s">
        <v>21</v>
      </c>
      <c r="I729" s="3">
        <v>14.3</v>
      </c>
      <c r="J729" s="3" t="s">
        <v>26</v>
      </c>
    </row>
    <row r="730" spans="1:10" x14ac:dyDescent="0.25">
      <c r="A730" s="1">
        <v>66</v>
      </c>
      <c r="B730" t="s">
        <v>22</v>
      </c>
      <c r="C730">
        <v>635</v>
      </c>
      <c r="D730">
        <v>1</v>
      </c>
      <c r="E730" t="s">
        <v>28</v>
      </c>
      <c r="F730" t="s">
        <v>29</v>
      </c>
      <c r="G730" t="str">
        <f>"2026-01-21 13:52:45.812"</f>
        <v>2026-01-21 13:52:45.812</v>
      </c>
      <c r="H730" t="s">
        <v>21</v>
      </c>
    </row>
    <row r="731" spans="1:10" x14ac:dyDescent="0.25">
      <c r="A731" s="1">
        <v>67</v>
      </c>
      <c r="B731" t="s">
        <v>25</v>
      </c>
      <c r="C731">
        <v>635</v>
      </c>
      <c r="D731">
        <v>1</v>
      </c>
      <c r="E731" t="s">
        <v>28</v>
      </c>
      <c r="F731" t="s">
        <v>29</v>
      </c>
      <c r="G731" t="str">
        <f>"2026-01-21 13:50:04.812"</f>
        <v>2026-01-21 13:50:04.812</v>
      </c>
      <c r="H731" t="s">
        <v>21</v>
      </c>
      <c r="I731">
        <v>7.35</v>
      </c>
      <c r="J731" t="s">
        <v>31</v>
      </c>
    </row>
    <row r="732" spans="1:10" x14ac:dyDescent="0.25">
      <c r="A732" s="1">
        <v>68</v>
      </c>
      <c r="B732" t="s">
        <v>19</v>
      </c>
      <c r="C732">
        <v>700</v>
      </c>
      <c r="D732">
        <v>0</v>
      </c>
      <c r="E732" t="s">
        <v>20</v>
      </c>
      <c r="F732" t="s">
        <v>20</v>
      </c>
      <c r="G732" t="str">
        <f>"2026-01-21 12:20:55.354"</f>
        <v>2026-01-21 12:20:55.354</v>
      </c>
      <c r="H732" t="s">
        <v>21</v>
      </c>
      <c r="I732">
        <v>0</v>
      </c>
      <c r="J732" t="s">
        <v>27</v>
      </c>
    </row>
    <row r="733" spans="1:10" s="3" customFormat="1" x14ac:dyDescent="0.25">
      <c r="A733" s="2">
        <v>69</v>
      </c>
      <c r="B733" s="3" t="s">
        <v>22</v>
      </c>
      <c r="C733" s="3">
        <v>647</v>
      </c>
      <c r="D733" s="3">
        <v>1</v>
      </c>
      <c r="E733" s="3" t="s">
        <v>23</v>
      </c>
      <c r="F733" s="3" t="s">
        <v>24</v>
      </c>
      <c r="G733" s="3" t="str">
        <f>"2026-01-21 11:42:32.829"</f>
        <v>2026-01-21 11:42:32.829</v>
      </c>
      <c r="H733" s="3" t="s">
        <v>21</v>
      </c>
    </row>
    <row r="734" spans="1:10" s="3" customFormat="1" x14ac:dyDescent="0.25">
      <c r="A734" s="2">
        <v>70</v>
      </c>
      <c r="B734" s="3" t="s">
        <v>25</v>
      </c>
      <c r="C734" s="3">
        <v>647</v>
      </c>
      <c r="D734" s="3">
        <v>1</v>
      </c>
      <c r="E734" s="3" t="s">
        <v>23</v>
      </c>
      <c r="F734" s="3" t="s">
        <v>24</v>
      </c>
      <c r="G734" s="3" t="str">
        <f>"2026-01-21 11:42:28.328"</f>
        <v>2026-01-21 11:42:28.328</v>
      </c>
      <c r="H734" s="3" t="s">
        <v>21</v>
      </c>
      <c r="I734" s="3">
        <v>9.01</v>
      </c>
      <c r="J734" s="3" t="s">
        <v>30</v>
      </c>
    </row>
    <row r="735" spans="1:10" s="3" customFormat="1" x14ac:dyDescent="0.25">
      <c r="A735" s="2">
        <v>71</v>
      </c>
      <c r="B735" s="3" t="s">
        <v>22</v>
      </c>
      <c r="C735" s="3">
        <v>647</v>
      </c>
      <c r="D735" s="3">
        <v>1</v>
      </c>
      <c r="E735" s="3" t="s">
        <v>23</v>
      </c>
      <c r="F735" s="3" t="s">
        <v>24</v>
      </c>
      <c r="G735" s="3" t="str">
        <f>"2026-01-21 10:26:30.429"</f>
        <v>2026-01-21 10:26:30.429</v>
      </c>
      <c r="H735" s="3" t="s">
        <v>21</v>
      </c>
    </row>
    <row r="736" spans="1:10" s="3" customFormat="1" x14ac:dyDescent="0.25">
      <c r="A736" s="2">
        <v>72</v>
      </c>
      <c r="B736" s="3" t="s">
        <v>25</v>
      </c>
      <c r="C736" s="3">
        <v>647</v>
      </c>
      <c r="D736" s="3">
        <v>1</v>
      </c>
      <c r="E736" s="3" t="s">
        <v>23</v>
      </c>
      <c r="F736" s="3" t="s">
        <v>24</v>
      </c>
      <c r="G736" s="3" t="str">
        <f>"2026-01-21 10:26:29.128"</f>
        <v>2026-01-21 10:26:29.128</v>
      </c>
      <c r="H736" s="3" t="s">
        <v>21</v>
      </c>
      <c r="I736" s="3">
        <v>14.81</v>
      </c>
      <c r="J736" s="3" t="s">
        <v>26</v>
      </c>
    </row>
    <row r="737" spans="1:10" x14ac:dyDescent="0.25">
      <c r="A737" s="1">
        <v>73</v>
      </c>
      <c r="B737" t="s">
        <v>22</v>
      </c>
      <c r="C737">
        <v>635</v>
      </c>
      <c r="D737">
        <v>1</v>
      </c>
      <c r="E737" t="s">
        <v>28</v>
      </c>
      <c r="F737" t="s">
        <v>29</v>
      </c>
      <c r="G737" t="str">
        <f>"2026-01-21 03:06:48.380"</f>
        <v>2026-01-21 03:06:48.380</v>
      </c>
      <c r="H737" t="s">
        <v>21</v>
      </c>
    </row>
    <row r="738" spans="1:10" x14ac:dyDescent="0.25">
      <c r="A738" s="1">
        <v>74</v>
      </c>
      <c r="B738" t="s">
        <v>25</v>
      </c>
      <c r="C738">
        <v>635</v>
      </c>
      <c r="D738">
        <v>1</v>
      </c>
      <c r="E738" t="s">
        <v>28</v>
      </c>
      <c r="F738" t="s">
        <v>29</v>
      </c>
      <c r="G738" t="str">
        <f>"2026-01-21 03:02:13.880"</f>
        <v>2026-01-21 03:02:13.880</v>
      </c>
      <c r="H738" t="s">
        <v>21</v>
      </c>
      <c r="I738">
        <v>5.81</v>
      </c>
      <c r="J738" t="s">
        <v>26</v>
      </c>
    </row>
    <row r="739" spans="1:10" x14ac:dyDescent="0.25">
      <c r="A739" s="1">
        <v>75</v>
      </c>
      <c r="B739" t="s">
        <v>22</v>
      </c>
      <c r="C739">
        <v>635</v>
      </c>
      <c r="D739">
        <v>1</v>
      </c>
      <c r="E739" t="s">
        <v>28</v>
      </c>
      <c r="F739" t="s">
        <v>29</v>
      </c>
      <c r="G739" t="str">
        <f>"2026-01-21 02:54:09.480"</f>
        <v>2026-01-21 02:54:09.480</v>
      </c>
      <c r="H739" t="s">
        <v>21</v>
      </c>
    </row>
    <row r="740" spans="1:10" x14ac:dyDescent="0.25">
      <c r="A740" s="1">
        <v>76</v>
      </c>
      <c r="B740" t="s">
        <v>25</v>
      </c>
      <c r="C740">
        <v>635</v>
      </c>
      <c r="D740">
        <v>1</v>
      </c>
      <c r="E740" t="s">
        <v>28</v>
      </c>
      <c r="F740" t="s">
        <v>29</v>
      </c>
      <c r="G740" t="str">
        <f>"2026-01-21 02:49:19.480"</f>
        <v>2026-01-21 02:49:19.480</v>
      </c>
      <c r="H740" t="s">
        <v>21</v>
      </c>
      <c r="I740">
        <v>7.02</v>
      </c>
      <c r="J740" t="s">
        <v>30</v>
      </c>
    </row>
    <row r="741" spans="1:10" x14ac:dyDescent="0.25">
      <c r="A741" s="1">
        <v>77</v>
      </c>
      <c r="B741" t="s">
        <v>22</v>
      </c>
      <c r="C741">
        <v>635</v>
      </c>
      <c r="D741">
        <v>1</v>
      </c>
      <c r="E741" t="s">
        <v>28</v>
      </c>
      <c r="F741" t="s">
        <v>29</v>
      </c>
      <c r="G741" t="str">
        <f>"2026-01-20 21:20:31.080"</f>
        <v>2026-01-20 21:20:31.080</v>
      </c>
      <c r="H741" t="s">
        <v>21</v>
      </c>
    </row>
    <row r="742" spans="1:10" x14ac:dyDescent="0.25">
      <c r="A742" s="1">
        <v>78</v>
      </c>
      <c r="B742" t="s">
        <v>25</v>
      </c>
      <c r="C742">
        <v>635</v>
      </c>
      <c r="D742">
        <v>1</v>
      </c>
      <c r="E742" t="s">
        <v>28</v>
      </c>
      <c r="F742" t="s">
        <v>29</v>
      </c>
      <c r="G742" t="str">
        <f>"2026-01-20 21:14:49.080"</f>
        <v>2026-01-20 21:14:49.080</v>
      </c>
      <c r="H742" t="s">
        <v>21</v>
      </c>
      <c r="I742">
        <v>5.86</v>
      </c>
      <c r="J742" t="s">
        <v>31</v>
      </c>
    </row>
    <row r="743" spans="1:10" s="3" customFormat="1" x14ac:dyDescent="0.25">
      <c r="A743" s="2">
        <v>79</v>
      </c>
      <c r="B743" s="3" t="s">
        <v>22</v>
      </c>
      <c r="C743" s="3">
        <v>647</v>
      </c>
      <c r="D743" s="3">
        <v>1</v>
      </c>
      <c r="E743" s="3" t="s">
        <v>23</v>
      </c>
      <c r="F743" s="3" t="s">
        <v>24</v>
      </c>
      <c r="G743" s="3" t="str">
        <f>"2026-01-20 16:06:46.728"</f>
        <v>2026-01-20 16:06:46.728</v>
      </c>
      <c r="H743" s="3" t="s">
        <v>21</v>
      </c>
    </row>
    <row r="744" spans="1:10" s="3" customFormat="1" x14ac:dyDescent="0.25">
      <c r="A744" s="2">
        <v>80</v>
      </c>
      <c r="B744" s="3" t="s">
        <v>25</v>
      </c>
      <c r="C744" s="3">
        <v>647</v>
      </c>
      <c r="D744" s="3">
        <v>1</v>
      </c>
      <c r="E744" s="3" t="s">
        <v>23</v>
      </c>
      <c r="F744" s="3" t="s">
        <v>24</v>
      </c>
      <c r="G744" s="3" t="str">
        <f>"2026-01-20 16:06:45.028"</f>
        <v>2026-01-20 16:06:45.028</v>
      </c>
      <c r="H744" s="3" t="s">
        <v>21</v>
      </c>
      <c r="I744" s="3">
        <v>22.38</v>
      </c>
      <c r="J744" s="3" t="s">
        <v>26</v>
      </c>
    </row>
    <row r="745" spans="1:10" s="3" customFormat="1" x14ac:dyDescent="0.25">
      <c r="A745" s="2">
        <v>81</v>
      </c>
      <c r="B745" s="3" t="s">
        <v>22</v>
      </c>
      <c r="C745" s="3">
        <v>647</v>
      </c>
      <c r="D745" s="3">
        <v>1</v>
      </c>
      <c r="E745" s="3" t="s">
        <v>23</v>
      </c>
      <c r="F745" s="3" t="s">
        <v>24</v>
      </c>
      <c r="G745" s="3" t="str">
        <f>"2026-01-20 09:22:31.828"</f>
        <v>2026-01-20 09:22:31.828</v>
      </c>
      <c r="H745" s="3" t="s">
        <v>21</v>
      </c>
    </row>
    <row r="746" spans="1:10" s="3" customFormat="1" x14ac:dyDescent="0.25">
      <c r="A746" s="2">
        <v>82</v>
      </c>
      <c r="B746" s="3" t="s">
        <v>25</v>
      </c>
      <c r="C746" s="3">
        <v>647</v>
      </c>
      <c r="D746" s="3">
        <v>1</v>
      </c>
      <c r="E746" s="3" t="s">
        <v>23</v>
      </c>
      <c r="F746" s="3" t="s">
        <v>24</v>
      </c>
      <c r="G746" s="3" t="str">
        <f>"2026-01-20 09:22:30.528"</f>
        <v>2026-01-20 09:22:30.528</v>
      </c>
      <c r="H746" s="3" t="s">
        <v>21</v>
      </c>
      <c r="I746" s="3">
        <v>19.850000000000001</v>
      </c>
      <c r="J746" s="3" t="s">
        <v>26</v>
      </c>
    </row>
    <row r="747" spans="1:10" x14ac:dyDescent="0.25">
      <c r="A747" s="1">
        <v>83</v>
      </c>
      <c r="B747" t="s">
        <v>22</v>
      </c>
      <c r="C747">
        <v>635</v>
      </c>
      <c r="D747">
        <v>1</v>
      </c>
      <c r="E747" t="s">
        <v>28</v>
      </c>
      <c r="F747" t="s">
        <v>29</v>
      </c>
      <c r="G747" t="str">
        <f>"2026-01-20 02:43:53.180"</f>
        <v>2026-01-20 02:43:53.180</v>
      </c>
      <c r="H747" t="s">
        <v>21</v>
      </c>
    </row>
    <row r="748" spans="1:10" x14ac:dyDescent="0.25">
      <c r="A748" s="1">
        <v>84</v>
      </c>
      <c r="B748" t="s">
        <v>25</v>
      </c>
      <c r="C748">
        <v>635</v>
      </c>
      <c r="D748">
        <v>1</v>
      </c>
      <c r="E748" t="s">
        <v>28</v>
      </c>
      <c r="F748" t="s">
        <v>29</v>
      </c>
      <c r="G748" t="str">
        <f>"2026-01-20 02:37:58.680"</f>
        <v>2026-01-20 02:37:58.680</v>
      </c>
      <c r="H748" t="s">
        <v>21</v>
      </c>
      <c r="I748">
        <v>6.13</v>
      </c>
      <c r="J748" t="s">
        <v>31</v>
      </c>
    </row>
    <row r="749" spans="1:10" x14ac:dyDescent="0.25">
      <c r="A749" s="1">
        <v>85</v>
      </c>
      <c r="B749" t="s">
        <v>22</v>
      </c>
      <c r="C749">
        <v>635</v>
      </c>
      <c r="D749">
        <v>1</v>
      </c>
      <c r="E749" t="s">
        <v>28</v>
      </c>
      <c r="F749" t="s">
        <v>29</v>
      </c>
      <c r="G749" t="str">
        <f>"2026-01-19 17:16:20.780"</f>
        <v>2026-01-19 17:16:20.780</v>
      </c>
      <c r="H749" t="s">
        <v>21</v>
      </c>
    </row>
    <row r="750" spans="1:10" x14ac:dyDescent="0.25">
      <c r="A750" s="1">
        <v>86</v>
      </c>
      <c r="B750" t="s">
        <v>25</v>
      </c>
      <c r="C750">
        <v>635</v>
      </c>
      <c r="D750">
        <v>1</v>
      </c>
      <c r="E750" t="s">
        <v>28</v>
      </c>
      <c r="F750" t="s">
        <v>29</v>
      </c>
      <c r="G750" t="str">
        <f>"2026-01-19 17:13:11.780"</f>
        <v>2026-01-19 17:13:11.780</v>
      </c>
      <c r="H750" t="s">
        <v>21</v>
      </c>
      <c r="I750">
        <v>6.59</v>
      </c>
      <c r="J750" t="s">
        <v>31</v>
      </c>
    </row>
    <row r="751" spans="1:10" s="3" customFormat="1" x14ac:dyDescent="0.25">
      <c r="A751" s="2">
        <v>87</v>
      </c>
      <c r="B751" s="3" t="s">
        <v>22</v>
      </c>
      <c r="C751" s="3">
        <v>647</v>
      </c>
      <c r="D751" s="3">
        <v>1</v>
      </c>
      <c r="E751" s="3" t="s">
        <v>23</v>
      </c>
      <c r="F751" s="3" t="s">
        <v>24</v>
      </c>
      <c r="G751" s="3" t="str">
        <f>"2026-01-19 14:23:44.028"</f>
        <v>2026-01-19 14:23:44.028</v>
      </c>
      <c r="H751" s="3" t="s">
        <v>21</v>
      </c>
    </row>
    <row r="752" spans="1:10" s="3" customFormat="1" x14ac:dyDescent="0.25">
      <c r="A752" s="2">
        <v>88</v>
      </c>
      <c r="B752" s="3" t="s">
        <v>25</v>
      </c>
      <c r="C752" s="3">
        <v>647</v>
      </c>
      <c r="D752" s="3">
        <v>1</v>
      </c>
      <c r="E752" s="3" t="s">
        <v>23</v>
      </c>
      <c r="F752" s="3" t="s">
        <v>24</v>
      </c>
      <c r="G752" s="3" t="str">
        <f>"2026-01-19 14:23:41.528"</f>
        <v>2026-01-19 14:23:41.528</v>
      </c>
      <c r="H752" s="3" t="s">
        <v>21</v>
      </c>
      <c r="I752" s="3">
        <v>8.59</v>
      </c>
      <c r="J752" s="3" t="s">
        <v>30</v>
      </c>
    </row>
    <row r="753" spans="1:10" x14ac:dyDescent="0.25">
      <c r="A753" s="1">
        <v>89</v>
      </c>
      <c r="B753" t="s">
        <v>22</v>
      </c>
      <c r="C753">
        <v>635</v>
      </c>
      <c r="D753">
        <v>1</v>
      </c>
      <c r="E753" t="s">
        <v>28</v>
      </c>
      <c r="F753" t="s">
        <v>29</v>
      </c>
      <c r="G753" t="str">
        <f>"2026-01-19 11:38:30.380"</f>
        <v>2026-01-19 11:38:30.380</v>
      </c>
      <c r="H753" t="s">
        <v>21</v>
      </c>
    </row>
    <row r="754" spans="1:10" x14ac:dyDescent="0.25">
      <c r="A754" s="1">
        <v>90</v>
      </c>
      <c r="B754" t="s">
        <v>25</v>
      </c>
      <c r="C754">
        <v>635</v>
      </c>
      <c r="D754">
        <v>1</v>
      </c>
      <c r="E754" t="s">
        <v>28</v>
      </c>
      <c r="F754" t="s">
        <v>29</v>
      </c>
      <c r="G754" t="str">
        <f>"2026-01-19 11:34:27.380"</f>
        <v>2026-01-19 11:34:27.380</v>
      </c>
      <c r="H754" t="s">
        <v>21</v>
      </c>
      <c r="I754">
        <v>9.25</v>
      </c>
      <c r="J754" t="s">
        <v>26</v>
      </c>
    </row>
    <row r="755" spans="1:10" s="3" customFormat="1" x14ac:dyDescent="0.25">
      <c r="A755" s="2">
        <v>91</v>
      </c>
      <c r="B755" s="3" t="s">
        <v>22</v>
      </c>
      <c r="C755" s="3">
        <v>647</v>
      </c>
      <c r="D755" s="3">
        <v>1</v>
      </c>
      <c r="E755" s="3" t="s">
        <v>23</v>
      </c>
      <c r="F755" s="3" t="s">
        <v>24</v>
      </c>
      <c r="G755" s="3" t="str">
        <f>"2026-01-19 09:05:01.028"</f>
        <v>2026-01-19 09:05:01.028</v>
      </c>
      <c r="H755" s="3" t="s">
        <v>21</v>
      </c>
    </row>
    <row r="756" spans="1:10" s="3" customFormat="1" x14ac:dyDescent="0.25">
      <c r="A756" s="2">
        <v>92</v>
      </c>
      <c r="B756" s="3" t="s">
        <v>25</v>
      </c>
      <c r="C756" s="3">
        <v>647</v>
      </c>
      <c r="D756" s="3">
        <v>1</v>
      </c>
      <c r="E756" s="3" t="s">
        <v>23</v>
      </c>
      <c r="F756" s="3" t="s">
        <v>24</v>
      </c>
      <c r="G756" s="3" t="str">
        <f>"2026-01-19 09:04:49.929"</f>
        <v>2026-01-19 09:04:49.929</v>
      </c>
      <c r="H756" s="3" t="s">
        <v>21</v>
      </c>
      <c r="I756" s="3">
        <v>9.65</v>
      </c>
      <c r="J756" s="3" t="s">
        <v>30</v>
      </c>
    </row>
    <row r="757" spans="1:10" x14ac:dyDescent="0.25">
      <c r="A757" s="1">
        <v>93</v>
      </c>
      <c r="B757" t="s">
        <v>22</v>
      </c>
      <c r="C757">
        <v>635</v>
      </c>
      <c r="D757">
        <v>1</v>
      </c>
      <c r="E757" t="s">
        <v>28</v>
      </c>
      <c r="F757" t="s">
        <v>29</v>
      </c>
      <c r="G757" t="str">
        <f>"2026-01-19 09:03:28.680"</f>
        <v>2026-01-19 09:03:28.680</v>
      </c>
      <c r="H757" t="s">
        <v>21</v>
      </c>
    </row>
    <row r="758" spans="1:10" x14ac:dyDescent="0.25">
      <c r="A758" s="1">
        <v>94</v>
      </c>
      <c r="B758" t="s">
        <v>25</v>
      </c>
      <c r="C758">
        <v>635</v>
      </c>
      <c r="D758">
        <v>1</v>
      </c>
      <c r="E758" t="s">
        <v>28</v>
      </c>
      <c r="F758" t="s">
        <v>29</v>
      </c>
      <c r="G758" t="str">
        <f>"2026-01-19 08:59:21.680"</f>
        <v>2026-01-19 08:59:21.680</v>
      </c>
      <c r="H758" t="s">
        <v>21</v>
      </c>
      <c r="I758">
        <v>2.48</v>
      </c>
      <c r="J758" t="s">
        <v>30</v>
      </c>
    </row>
    <row r="759" spans="1:10" x14ac:dyDescent="0.25">
      <c r="A759" s="1">
        <v>95</v>
      </c>
      <c r="B759" t="s">
        <v>22</v>
      </c>
      <c r="C759">
        <v>635</v>
      </c>
      <c r="D759">
        <v>1</v>
      </c>
      <c r="E759" t="s">
        <v>28</v>
      </c>
      <c r="F759" t="s">
        <v>29</v>
      </c>
      <c r="G759" t="str">
        <f>"2026-01-18 13:14:02.380"</f>
        <v>2026-01-18 13:14:02.380</v>
      </c>
      <c r="H759" t="s">
        <v>21</v>
      </c>
    </row>
    <row r="760" spans="1:10" x14ac:dyDescent="0.25">
      <c r="A760" s="1">
        <v>96</v>
      </c>
      <c r="B760" t="s">
        <v>25</v>
      </c>
      <c r="C760">
        <v>635</v>
      </c>
      <c r="D760">
        <v>1</v>
      </c>
      <c r="E760" t="s">
        <v>28</v>
      </c>
      <c r="F760" t="s">
        <v>29</v>
      </c>
      <c r="G760" t="str">
        <f>"2026-01-18 13:11:30.880"</f>
        <v>2026-01-18 13:11:30.880</v>
      </c>
      <c r="H760" t="s">
        <v>21</v>
      </c>
      <c r="I760">
        <v>10.26</v>
      </c>
      <c r="J760" t="s">
        <v>26</v>
      </c>
    </row>
    <row r="761" spans="1:10" x14ac:dyDescent="0.25">
      <c r="A761" s="1">
        <v>97</v>
      </c>
      <c r="B761" t="s">
        <v>22</v>
      </c>
      <c r="C761">
        <v>635</v>
      </c>
      <c r="D761">
        <v>1</v>
      </c>
      <c r="E761" t="s">
        <v>28</v>
      </c>
      <c r="F761" t="s">
        <v>29</v>
      </c>
      <c r="G761" t="str">
        <f>"2026-01-18 11:40:58.080"</f>
        <v>2026-01-18 11:40:58.080</v>
      </c>
      <c r="H761" t="s">
        <v>21</v>
      </c>
    </row>
    <row r="762" spans="1:10" x14ac:dyDescent="0.25">
      <c r="A762" s="1">
        <v>98</v>
      </c>
      <c r="B762" t="s">
        <v>25</v>
      </c>
      <c r="C762">
        <v>635</v>
      </c>
      <c r="D762">
        <v>1</v>
      </c>
      <c r="E762" t="s">
        <v>28</v>
      </c>
      <c r="F762" t="s">
        <v>29</v>
      </c>
      <c r="G762" t="str">
        <f>"2026-01-18 11:31:51.080"</f>
        <v>2026-01-18 11:31:51.080</v>
      </c>
      <c r="H762" t="s">
        <v>21</v>
      </c>
      <c r="I762">
        <v>9.5299999999999994</v>
      </c>
      <c r="J762" t="s">
        <v>26</v>
      </c>
    </row>
    <row r="763" spans="1:10" x14ac:dyDescent="0.25">
      <c r="A763" s="1">
        <v>99</v>
      </c>
      <c r="B763" t="s">
        <v>22</v>
      </c>
      <c r="C763">
        <v>635</v>
      </c>
      <c r="D763">
        <v>1</v>
      </c>
      <c r="E763" t="s">
        <v>28</v>
      </c>
      <c r="F763" t="s">
        <v>29</v>
      </c>
      <c r="G763" t="str">
        <f>"2026-01-18 09:51:56.280"</f>
        <v>2026-01-18 09:51:56.280</v>
      </c>
      <c r="H763" t="s">
        <v>21</v>
      </c>
    </row>
    <row r="764" spans="1:10" x14ac:dyDescent="0.25">
      <c r="A764" s="1">
        <v>0</v>
      </c>
      <c r="B764" t="s">
        <v>25</v>
      </c>
      <c r="C764">
        <v>635</v>
      </c>
      <c r="D764">
        <v>1</v>
      </c>
      <c r="E764" t="s">
        <v>28</v>
      </c>
      <c r="F764" t="s">
        <v>29</v>
      </c>
      <c r="G764" t="str">
        <f>"2026-01-18 09:43:17.280"</f>
        <v>2026-01-18 09:43:17.280</v>
      </c>
      <c r="H764" t="s">
        <v>21</v>
      </c>
      <c r="I764">
        <v>8.41</v>
      </c>
      <c r="J764" t="s">
        <v>26</v>
      </c>
    </row>
    <row r="765" spans="1:10" x14ac:dyDescent="0.25">
      <c r="A765" s="1">
        <v>3</v>
      </c>
      <c r="B765" t="s">
        <v>22</v>
      </c>
      <c r="C765">
        <v>635</v>
      </c>
      <c r="D765">
        <v>1</v>
      </c>
      <c r="E765" t="s">
        <v>28</v>
      </c>
      <c r="F765" t="s">
        <v>29</v>
      </c>
      <c r="G765" t="str">
        <f>"2026-01-17 16:27:46.780"</f>
        <v>2026-01-17 16:27:46.780</v>
      </c>
      <c r="H765" t="s">
        <v>21</v>
      </c>
    </row>
    <row r="766" spans="1:10" x14ac:dyDescent="0.25">
      <c r="A766" s="1">
        <v>4</v>
      </c>
      <c r="B766" t="s">
        <v>25</v>
      </c>
      <c r="C766">
        <v>635</v>
      </c>
      <c r="D766">
        <v>1</v>
      </c>
      <c r="E766" t="s">
        <v>28</v>
      </c>
      <c r="F766" t="s">
        <v>29</v>
      </c>
      <c r="G766" t="str">
        <f>"2026-01-17 16:24:12.280"</f>
        <v>2026-01-17 16:24:12.280</v>
      </c>
      <c r="H766" t="s">
        <v>21</v>
      </c>
      <c r="I766">
        <v>9.09</v>
      </c>
      <c r="J766" t="s">
        <v>31</v>
      </c>
    </row>
    <row r="767" spans="1:10" x14ac:dyDescent="0.25">
      <c r="A767" s="1">
        <v>6</v>
      </c>
      <c r="B767" t="s">
        <v>22</v>
      </c>
      <c r="C767">
        <v>61</v>
      </c>
      <c r="D767">
        <v>2</v>
      </c>
      <c r="E767" t="s">
        <v>46</v>
      </c>
      <c r="F767" t="s">
        <v>47</v>
      </c>
      <c r="G767" t="str">
        <f>"2026-01-16 19:35:41.361"</f>
        <v>2026-01-16 19:35:41.361</v>
      </c>
      <c r="H767" t="s">
        <v>21</v>
      </c>
    </row>
    <row r="768" spans="1:10" x14ac:dyDescent="0.25">
      <c r="A768" s="1">
        <v>7</v>
      </c>
      <c r="B768" t="s">
        <v>39</v>
      </c>
      <c r="C768">
        <v>61</v>
      </c>
      <c r="D768">
        <v>2</v>
      </c>
      <c r="E768" t="s">
        <v>46</v>
      </c>
      <c r="F768" t="s">
        <v>47</v>
      </c>
      <c r="G768" t="str">
        <f>"2026-01-16 19:35:20.861"</f>
        <v>2026-01-16 19:35:20.861</v>
      </c>
      <c r="H768" t="s">
        <v>21</v>
      </c>
      <c r="I768">
        <v>30.19</v>
      </c>
      <c r="J768" t="s">
        <v>26</v>
      </c>
    </row>
    <row r="769" spans="1:10" s="3" customFormat="1" x14ac:dyDescent="0.25">
      <c r="A769" s="2">
        <v>8</v>
      </c>
      <c r="B769" s="3" t="s">
        <v>22</v>
      </c>
      <c r="C769" s="3">
        <v>647</v>
      </c>
      <c r="D769" s="3">
        <v>1</v>
      </c>
      <c r="E769" s="3" t="s">
        <v>23</v>
      </c>
      <c r="F769" s="3" t="s">
        <v>24</v>
      </c>
      <c r="G769" s="3" t="str">
        <f>"2026-01-16 18:12:52.128"</f>
        <v>2026-01-16 18:12:52.128</v>
      </c>
      <c r="H769" s="3" t="s">
        <v>21</v>
      </c>
    </row>
    <row r="770" spans="1:10" s="3" customFormat="1" x14ac:dyDescent="0.25">
      <c r="A770" s="2">
        <v>9</v>
      </c>
      <c r="B770" s="3" t="s">
        <v>25</v>
      </c>
      <c r="C770" s="3">
        <v>647</v>
      </c>
      <c r="D770" s="3">
        <v>1</v>
      </c>
      <c r="E770" s="3" t="s">
        <v>23</v>
      </c>
      <c r="F770" s="3" t="s">
        <v>24</v>
      </c>
      <c r="G770" s="3" t="str">
        <f>"2026-01-16 18:12:47.028"</f>
        <v>2026-01-16 18:12:47.028</v>
      </c>
      <c r="H770" s="3" t="s">
        <v>21</v>
      </c>
      <c r="I770" s="3">
        <v>12.88</v>
      </c>
      <c r="J770" s="3" t="s">
        <v>26</v>
      </c>
    </row>
    <row r="771" spans="1:10" x14ac:dyDescent="0.25">
      <c r="A771" s="1">
        <v>11</v>
      </c>
      <c r="B771" t="s">
        <v>22</v>
      </c>
      <c r="C771">
        <v>635</v>
      </c>
      <c r="D771">
        <v>1</v>
      </c>
      <c r="E771" t="s">
        <v>28</v>
      </c>
      <c r="F771" t="s">
        <v>29</v>
      </c>
      <c r="G771" t="str">
        <f>"2026-01-15 05:28:29.480"</f>
        <v>2026-01-15 05:28:29.480</v>
      </c>
      <c r="H771" t="s">
        <v>21</v>
      </c>
    </row>
    <row r="772" spans="1:10" x14ac:dyDescent="0.25">
      <c r="A772" s="1">
        <v>12</v>
      </c>
      <c r="B772" t="s">
        <v>25</v>
      </c>
      <c r="C772">
        <v>635</v>
      </c>
      <c r="D772">
        <v>1</v>
      </c>
      <c r="E772" t="s">
        <v>28</v>
      </c>
      <c r="F772" t="s">
        <v>29</v>
      </c>
      <c r="G772" t="str">
        <f>"2026-01-15 05:26:08.480"</f>
        <v>2026-01-15 05:26:08.480</v>
      </c>
      <c r="H772" t="s">
        <v>21</v>
      </c>
      <c r="I772">
        <v>5.99</v>
      </c>
      <c r="J772" t="s">
        <v>31</v>
      </c>
    </row>
    <row r="773" spans="1:10" x14ac:dyDescent="0.25">
      <c r="A773" s="1">
        <v>13</v>
      </c>
      <c r="B773" t="s">
        <v>19</v>
      </c>
      <c r="C773">
        <v>706</v>
      </c>
      <c r="D773">
        <v>2</v>
      </c>
      <c r="E773" t="s">
        <v>32</v>
      </c>
      <c r="F773" t="s">
        <v>33</v>
      </c>
      <c r="G773" t="str">
        <f>"2026-01-15 00:18:06.771"</f>
        <v>2026-01-15 00:18:06.771</v>
      </c>
      <c r="H773" t="s">
        <v>21</v>
      </c>
      <c r="I773">
        <v>0</v>
      </c>
      <c r="J773" t="s">
        <v>34</v>
      </c>
    </row>
    <row r="774" spans="1:10" x14ac:dyDescent="0.25">
      <c r="A774" s="1">
        <v>14</v>
      </c>
      <c r="B774" t="s">
        <v>19</v>
      </c>
      <c r="C774">
        <v>700</v>
      </c>
      <c r="D774">
        <v>0</v>
      </c>
      <c r="E774" t="s">
        <v>20</v>
      </c>
      <c r="F774" t="s">
        <v>20</v>
      </c>
      <c r="G774" t="str">
        <f>"2026-01-14 21:41:01.291"</f>
        <v>2026-01-14 21:41:01.291</v>
      </c>
      <c r="H774" t="s">
        <v>21</v>
      </c>
      <c r="I774">
        <v>0</v>
      </c>
      <c r="J774" t="s">
        <v>27</v>
      </c>
    </row>
    <row r="775" spans="1:10" x14ac:dyDescent="0.25">
      <c r="A775" s="1">
        <v>15</v>
      </c>
      <c r="B775" t="s">
        <v>39</v>
      </c>
      <c r="C775">
        <v>630</v>
      </c>
      <c r="D775">
        <v>5</v>
      </c>
      <c r="E775" t="s">
        <v>48</v>
      </c>
      <c r="F775" t="s">
        <v>49</v>
      </c>
      <c r="G775" t="str">
        <f>"2026-01-14 20:59:14.336"</f>
        <v>2026-01-14 20:59:14.336</v>
      </c>
      <c r="H775" t="s">
        <v>50</v>
      </c>
      <c r="I775">
        <v>0</v>
      </c>
      <c r="J775" t="s">
        <v>34</v>
      </c>
    </row>
    <row r="776" spans="1:10" x14ac:dyDescent="0.25">
      <c r="A776" s="1">
        <v>16</v>
      </c>
      <c r="B776" t="s">
        <v>19</v>
      </c>
      <c r="C776">
        <v>700</v>
      </c>
      <c r="D776">
        <v>0</v>
      </c>
      <c r="E776" t="s">
        <v>20</v>
      </c>
      <c r="F776" t="s">
        <v>20</v>
      </c>
      <c r="G776" t="str">
        <f>"2026-01-14 20:54:11.549"</f>
        <v>2026-01-14 20:54:11.549</v>
      </c>
      <c r="H776" t="s">
        <v>21</v>
      </c>
    </row>
    <row r="777" spans="1:10" x14ac:dyDescent="0.25">
      <c r="A777" s="1">
        <v>17</v>
      </c>
      <c r="B777" t="s">
        <v>22</v>
      </c>
      <c r="C777">
        <v>635</v>
      </c>
      <c r="D777">
        <v>1</v>
      </c>
      <c r="E777" t="s">
        <v>28</v>
      </c>
      <c r="F777" t="s">
        <v>29</v>
      </c>
      <c r="G777" t="str">
        <f>"2026-01-14 06:09:23.850"</f>
        <v>2026-01-14 06:09:23.850</v>
      </c>
      <c r="H777" t="s">
        <v>21</v>
      </c>
    </row>
    <row r="778" spans="1:10" x14ac:dyDescent="0.25">
      <c r="A778" s="1">
        <v>18</v>
      </c>
      <c r="B778" t="s">
        <v>25</v>
      </c>
      <c r="C778">
        <v>635</v>
      </c>
      <c r="D778">
        <v>1</v>
      </c>
      <c r="E778" t="s">
        <v>28</v>
      </c>
      <c r="F778" t="s">
        <v>29</v>
      </c>
      <c r="G778" t="str">
        <f>"2026-01-14 06:05:40.350"</f>
        <v>2026-01-14 06:05:40.350</v>
      </c>
      <c r="H778" t="s">
        <v>21</v>
      </c>
      <c r="I778">
        <v>7.02</v>
      </c>
      <c r="J778" t="s">
        <v>31</v>
      </c>
    </row>
    <row r="779" spans="1:10" x14ac:dyDescent="0.25">
      <c r="A779" s="1">
        <v>19</v>
      </c>
      <c r="B779" t="s">
        <v>22</v>
      </c>
      <c r="C779">
        <v>635</v>
      </c>
      <c r="D779">
        <v>1</v>
      </c>
      <c r="E779" t="s">
        <v>28</v>
      </c>
      <c r="F779" t="s">
        <v>29</v>
      </c>
      <c r="G779" t="str">
        <f>"2026-01-13 22:26:16.250"</f>
        <v>2026-01-13 22:26:16.250</v>
      </c>
      <c r="H779" t="s">
        <v>21</v>
      </c>
    </row>
    <row r="780" spans="1:10" x14ac:dyDescent="0.25">
      <c r="A780" s="1">
        <v>20</v>
      </c>
      <c r="B780" t="s">
        <v>25</v>
      </c>
      <c r="C780">
        <v>635</v>
      </c>
      <c r="D780">
        <v>1</v>
      </c>
      <c r="E780" t="s">
        <v>28</v>
      </c>
      <c r="F780" t="s">
        <v>29</v>
      </c>
      <c r="G780" t="str">
        <f>"2026-01-13 22:22:43.250"</f>
        <v>2026-01-13 22:22:43.250</v>
      </c>
      <c r="H780" t="s">
        <v>21</v>
      </c>
      <c r="I780">
        <v>1.93</v>
      </c>
      <c r="J780" t="s">
        <v>26</v>
      </c>
    </row>
    <row r="781" spans="1:10" x14ac:dyDescent="0.25">
      <c r="A781" s="1">
        <v>21</v>
      </c>
      <c r="B781" t="s">
        <v>22</v>
      </c>
      <c r="C781">
        <v>635</v>
      </c>
      <c r="D781">
        <v>1</v>
      </c>
      <c r="E781" t="s">
        <v>28</v>
      </c>
      <c r="F781" t="s">
        <v>29</v>
      </c>
      <c r="G781" t="str">
        <f>"2026-01-13 12:09:10.450"</f>
        <v>2026-01-13 12:09:10.450</v>
      </c>
      <c r="H781" t="s">
        <v>21</v>
      </c>
    </row>
    <row r="782" spans="1:10" x14ac:dyDescent="0.25">
      <c r="A782" s="1">
        <v>22</v>
      </c>
      <c r="B782" t="s">
        <v>25</v>
      </c>
      <c r="C782">
        <v>635</v>
      </c>
      <c r="D782">
        <v>1</v>
      </c>
      <c r="E782" t="s">
        <v>28</v>
      </c>
      <c r="F782" t="s">
        <v>29</v>
      </c>
      <c r="G782" t="str">
        <f>"2026-01-13 12:07:06.450"</f>
        <v>2026-01-13 12:07:06.450</v>
      </c>
      <c r="H782" t="s">
        <v>21</v>
      </c>
      <c r="I782">
        <v>7.61</v>
      </c>
      <c r="J782" t="s">
        <v>31</v>
      </c>
    </row>
    <row r="783" spans="1:10" x14ac:dyDescent="0.25">
      <c r="A783" s="1">
        <v>23</v>
      </c>
      <c r="B783" t="s">
        <v>22</v>
      </c>
      <c r="C783">
        <v>635</v>
      </c>
      <c r="D783">
        <v>1</v>
      </c>
      <c r="E783" t="s">
        <v>28</v>
      </c>
      <c r="F783" t="s">
        <v>29</v>
      </c>
      <c r="G783" t="str">
        <f>"2026-01-12 16:24:00.150"</f>
        <v>2026-01-12 16:24:00.150</v>
      </c>
      <c r="H783" t="s">
        <v>21</v>
      </c>
    </row>
    <row r="784" spans="1:10" x14ac:dyDescent="0.25">
      <c r="A784" s="1">
        <v>24</v>
      </c>
      <c r="B784" t="s">
        <v>25</v>
      </c>
      <c r="C784">
        <v>635</v>
      </c>
      <c r="D784">
        <v>1</v>
      </c>
      <c r="E784" t="s">
        <v>28</v>
      </c>
      <c r="F784" t="s">
        <v>29</v>
      </c>
      <c r="G784" t="str">
        <f>"2026-01-12 16:20:50.650"</f>
        <v>2026-01-12 16:20:50.650</v>
      </c>
      <c r="H784" t="s">
        <v>21</v>
      </c>
      <c r="I784">
        <v>7.82</v>
      </c>
      <c r="J784" t="s">
        <v>31</v>
      </c>
    </row>
    <row r="785" spans="1:10" x14ac:dyDescent="0.25">
      <c r="A785" s="1">
        <v>25</v>
      </c>
      <c r="B785" t="s">
        <v>19</v>
      </c>
      <c r="C785">
        <v>700</v>
      </c>
      <c r="D785">
        <v>0</v>
      </c>
      <c r="E785" t="s">
        <v>20</v>
      </c>
      <c r="F785" t="s">
        <v>20</v>
      </c>
      <c r="G785" t="str">
        <f>"2026-01-12 14:16:16.281"</f>
        <v>2026-01-12 14:16:16.281</v>
      </c>
      <c r="H785" t="s">
        <v>21</v>
      </c>
      <c r="I785">
        <v>0</v>
      </c>
      <c r="J785" t="s">
        <v>27</v>
      </c>
    </row>
    <row r="786" spans="1:10" x14ac:dyDescent="0.25">
      <c r="A786" s="1">
        <v>26</v>
      </c>
      <c r="B786" t="s">
        <v>19</v>
      </c>
      <c r="C786">
        <v>700</v>
      </c>
      <c r="D786">
        <v>0</v>
      </c>
      <c r="E786" t="s">
        <v>20</v>
      </c>
      <c r="F786" t="s">
        <v>20</v>
      </c>
      <c r="G786" t="str">
        <f>"2026-01-12 12:06:59.268"</f>
        <v>2026-01-12 12:06:59.268</v>
      </c>
      <c r="H786" t="s">
        <v>21</v>
      </c>
      <c r="I786">
        <v>0</v>
      </c>
      <c r="J786" t="s">
        <v>27</v>
      </c>
    </row>
    <row r="787" spans="1:10" x14ac:dyDescent="0.25">
      <c r="A787" s="1">
        <v>27</v>
      </c>
      <c r="B787" t="s">
        <v>22</v>
      </c>
      <c r="C787">
        <v>635</v>
      </c>
      <c r="D787">
        <v>1</v>
      </c>
      <c r="E787" t="s">
        <v>28</v>
      </c>
      <c r="F787" t="s">
        <v>29</v>
      </c>
      <c r="G787" t="str">
        <f>"2026-01-12 08:07:43.453"</f>
        <v>2026-01-12 08:07:43.453</v>
      </c>
      <c r="H787" t="s">
        <v>21</v>
      </c>
    </row>
    <row r="788" spans="1:10" x14ac:dyDescent="0.25">
      <c r="A788" s="1">
        <v>28</v>
      </c>
      <c r="B788" t="s">
        <v>25</v>
      </c>
      <c r="C788">
        <v>635</v>
      </c>
      <c r="D788">
        <v>1</v>
      </c>
      <c r="E788" t="s">
        <v>28</v>
      </c>
      <c r="F788" t="s">
        <v>29</v>
      </c>
      <c r="G788" t="str">
        <f>"2026-01-12 08:04:50.953"</f>
        <v>2026-01-12 08:04:50.953</v>
      </c>
      <c r="H788" t="s">
        <v>21</v>
      </c>
      <c r="I788">
        <v>6.57</v>
      </c>
      <c r="J788" t="s">
        <v>31</v>
      </c>
    </row>
    <row r="789" spans="1:10" x14ac:dyDescent="0.25">
      <c r="A789" s="1">
        <v>29</v>
      </c>
      <c r="B789" t="s">
        <v>22</v>
      </c>
      <c r="C789">
        <v>635</v>
      </c>
      <c r="D789">
        <v>1</v>
      </c>
      <c r="E789" t="s">
        <v>28</v>
      </c>
      <c r="F789" t="s">
        <v>29</v>
      </c>
      <c r="G789" t="str">
        <f>"2026-01-12 05:31:59.253"</f>
        <v>2026-01-12 05:31:59.253</v>
      </c>
      <c r="H789" t="s">
        <v>21</v>
      </c>
    </row>
    <row r="790" spans="1:10" x14ac:dyDescent="0.25">
      <c r="A790" s="1">
        <v>30</v>
      </c>
      <c r="B790" t="s">
        <v>25</v>
      </c>
      <c r="C790">
        <v>635</v>
      </c>
      <c r="D790">
        <v>1</v>
      </c>
      <c r="E790" t="s">
        <v>28</v>
      </c>
      <c r="F790" t="s">
        <v>29</v>
      </c>
      <c r="G790" t="str">
        <f>"2026-01-12 05:29:12.753"</f>
        <v>2026-01-12 05:29:12.753</v>
      </c>
      <c r="H790" t="s">
        <v>21</v>
      </c>
      <c r="I790">
        <v>3</v>
      </c>
      <c r="J790" t="s">
        <v>30</v>
      </c>
    </row>
    <row r="791" spans="1:10" x14ac:dyDescent="0.25">
      <c r="A791" s="1">
        <v>31</v>
      </c>
      <c r="B791" t="s">
        <v>22</v>
      </c>
      <c r="C791">
        <v>635</v>
      </c>
      <c r="D791">
        <v>1</v>
      </c>
      <c r="E791" t="s">
        <v>28</v>
      </c>
      <c r="F791" t="s">
        <v>29</v>
      </c>
      <c r="G791" t="str">
        <f>"2026-01-11 18:51:53.953"</f>
        <v>2026-01-11 18:51:53.953</v>
      </c>
      <c r="H791" t="s">
        <v>21</v>
      </c>
    </row>
    <row r="792" spans="1:10" x14ac:dyDescent="0.25">
      <c r="A792" s="1">
        <v>32</v>
      </c>
      <c r="B792" t="s">
        <v>25</v>
      </c>
      <c r="C792">
        <v>635</v>
      </c>
      <c r="D792">
        <v>1</v>
      </c>
      <c r="E792" t="s">
        <v>28</v>
      </c>
      <c r="F792" t="s">
        <v>29</v>
      </c>
      <c r="G792" t="str">
        <f>"2026-01-11 18:48:27.953"</f>
        <v>2026-01-11 18:48:27.953</v>
      </c>
      <c r="H792" t="s">
        <v>21</v>
      </c>
      <c r="I792">
        <v>7.54</v>
      </c>
      <c r="J792" t="s">
        <v>31</v>
      </c>
    </row>
    <row r="793" spans="1:10" x14ac:dyDescent="0.25">
      <c r="A793" s="1">
        <v>33</v>
      </c>
      <c r="B793" t="s">
        <v>22</v>
      </c>
      <c r="C793">
        <v>635</v>
      </c>
      <c r="D793">
        <v>1</v>
      </c>
      <c r="E793" t="s">
        <v>28</v>
      </c>
      <c r="F793" t="s">
        <v>29</v>
      </c>
      <c r="G793" t="str">
        <f>"2026-01-11 10:56:04.953"</f>
        <v>2026-01-11 10:56:04.953</v>
      </c>
      <c r="H793" t="s">
        <v>21</v>
      </c>
    </row>
    <row r="794" spans="1:10" x14ac:dyDescent="0.25">
      <c r="A794" s="1">
        <v>34</v>
      </c>
      <c r="B794" t="s">
        <v>25</v>
      </c>
      <c r="C794">
        <v>635</v>
      </c>
      <c r="D794">
        <v>1</v>
      </c>
      <c r="E794" t="s">
        <v>28</v>
      </c>
      <c r="F794" t="s">
        <v>29</v>
      </c>
      <c r="G794" t="str">
        <f>"2026-01-11 10:48:58.453"</f>
        <v>2026-01-11 10:48:58.453</v>
      </c>
      <c r="H794" t="s">
        <v>21</v>
      </c>
      <c r="I794">
        <v>9.02</v>
      </c>
      <c r="J794" t="s">
        <v>26</v>
      </c>
    </row>
    <row r="795" spans="1:10" x14ac:dyDescent="0.25">
      <c r="A795" s="1">
        <v>35</v>
      </c>
      <c r="B795" t="s">
        <v>22</v>
      </c>
      <c r="C795">
        <v>61</v>
      </c>
      <c r="D795">
        <v>2</v>
      </c>
      <c r="E795" t="s">
        <v>46</v>
      </c>
      <c r="F795" t="s">
        <v>47</v>
      </c>
      <c r="G795" t="str">
        <f>"2026-01-11 10:16:56.114"</f>
        <v>2026-01-11 10:16:56.114</v>
      </c>
      <c r="H795" t="s">
        <v>21</v>
      </c>
    </row>
    <row r="796" spans="1:10" x14ac:dyDescent="0.25">
      <c r="A796" s="1">
        <v>36</v>
      </c>
      <c r="B796" t="s">
        <v>39</v>
      </c>
      <c r="C796">
        <v>61</v>
      </c>
      <c r="D796">
        <v>2</v>
      </c>
      <c r="E796" t="s">
        <v>46</v>
      </c>
      <c r="F796" t="s">
        <v>47</v>
      </c>
      <c r="G796" t="str">
        <f>"2026-01-11 10:16:47.614"</f>
        <v>2026-01-11 10:16:47.614</v>
      </c>
      <c r="H796" t="s">
        <v>21</v>
      </c>
      <c r="I796">
        <v>29.64</v>
      </c>
      <c r="J796" t="s">
        <v>26</v>
      </c>
    </row>
    <row r="797" spans="1:10" x14ac:dyDescent="0.25">
      <c r="A797" s="1">
        <v>38</v>
      </c>
      <c r="B797" t="s">
        <v>22</v>
      </c>
      <c r="C797">
        <v>635</v>
      </c>
      <c r="D797">
        <v>1</v>
      </c>
      <c r="E797" t="s">
        <v>28</v>
      </c>
      <c r="F797" t="s">
        <v>29</v>
      </c>
      <c r="G797" t="str">
        <f>"2026-01-09 11:55:03.853"</f>
        <v>2026-01-09 11:55:03.853</v>
      </c>
      <c r="H797" t="s">
        <v>21</v>
      </c>
    </row>
    <row r="798" spans="1:10" x14ac:dyDescent="0.25">
      <c r="A798" s="1">
        <v>39</v>
      </c>
      <c r="B798" t="s">
        <v>25</v>
      </c>
      <c r="C798">
        <v>635</v>
      </c>
      <c r="D798">
        <v>1</v>
      </c>
      <c r="E798" t="s">
        <v>28</v>
      </c>
      <c r="F798" t="s">
        <v>29</v>
      </c>
      <c r="G798" t="str">
        <f>"2026-01-09 11:50:23.353"</f>
        <v>2026-01-09 11:50:23.353</v>
      </c>
      <c r="H798" t="s">
        <v>21</v>
      </c>
      <c r="I798">
        <v>4.9000000000000004</v>
      </c>
      <c r="J798" t="s">
        <v>31</v>
      </c>
    </row>
    <row r="799" spans="1:10" x14ac:dyDescent="0.25">
      <c r="A799" s="1">
        <v>40</v>
      </c>
      <c r="B799" t="s">
        <v>22</v>
      </c>
      <c r="C799">
        <v>635</v>
      </c>
      <c r="D799">
        <v>1</v>
      </c>
      <c r="E799" t="s">
        <v>28</v>
      </c>
      <c r="F799" t="s">
        <v>29</v>
      </c>
      <c r="G799" t="str">
        <f>"2026-01-09 11:04:06.953"</f>
        <v>2026-01-09 11:04:06.953</v>
      </c>
      <c r="H799" t="s">
        <v>21</v>
      </c>
    </row>
    <row r="800" spans="1:10" x14ac:dyDescent="0.25">
      <c r="A800" s="1">
        <v>41</v>
      </c>
      <c r="B800" t="s">
        <v>25</v>
      </c>
      <c r="C800">
        <v>635</v>
      </c>
      <c r="D800">
        <v>1</v>
      </c>
      <c r="E800" t="s">
        <v>28</v>
      </c>
      <c r="F800" t="s">
        <v>29</v>
      </c>
      <c r="G800" t="str">
        <f>"2026-01-09 11:00:26.953"</f>
        <v>2026-01-09 11:00:26.953</v>
      </c>
      <c r="H800" t="s">
        <v>21</v>
      </c>
      <c r="I800">
        <v>6.8</v>
      </c>
      <c r="J800" t="s">
        <v>31</v>
      </c>
    </row>
    <row r="801" spans="1:10" x14ac:dyDescent="0.25">
      <c r="A801" s="1">
        <v>42</v>
      </c>
      <c r="B801" t="s">
        <v>22</v>
      </c>
      <c r="C801">
        <v>635</v>
      </c>
      <c r="D801">
        <v>1</v>
      </c>
      <c r="E801" t="s">
        <v>28</v>
      </c>
      <c r="F801" t="s">
        <v>29</v>
      </c>
      <c r="G801" t="str">
        <f>"2026-01-08 22:07:41.953"</f>
        <v>2026-01-08 22:07:41.953</v>
      </c>
      <c r="H801" t="s">
        <v>21</v>
      </c>
    </row>
    <row r="802" spans="1:10" x14ac:dyDescent="0.25">
      <c r="A802" s="1">
        <v>43</v>
      </c>
      <c r="B802" t="s">
        <v>25</v>
      </c>
      <c r="C802">
        <v>635</v>
      </c>
      <c r="D802">
        <v>1</v>
      </c>
      <c r="E802" t="s">
        <v>28</v>
      </c>
      <c r="F802" t="s">
        <v>29</v>
      </c>
      <c r="G802" t="str">
        <f>"2026-01-08 22:04:14.453"</f>
        <v>2026-01-08 22:04:14.453</v>
      </c>
      <c r="H802" t="s">
        <v>21</v>
      </c>
      <c r="I802">
        <v>1.42</v>
      </c>
      <c r="J802" t="s">
        <v>31</v>
      </c>
    </row>
    <row r="803" spans="1:10" x14ac:dyDescent="0.25">
      <c r="A803" s="1">
        <v>45</v>
      </c>
      <c r="B803" t="s">
        <v>22</v>
      </c>
      <c r="C803">
        <v>635</v>
      </c>
      <c r="D803">
        <v>1</v>
      </c>
      <c r="E803" t="s">
        <v>28</v>
      </c>
      <c r="F803" t="s">
        <v>29</v>
      </c>
      <c r="G803" t="str">
        <f>"2026-01-07 20:00:08.953"</f>
        <v>2026-01-07 20:00:08.953</v>
      </c>
      <c r="H803" t="s">
        <v>21</v>
      </c>
    </row>
    <row r="804" spans="1:10" x14ac:dyDescent="0.25">
      <c r="A804" s="1">
        <v>46</v>
      </c>
      <c r="B804" t="s">
        <v>25</v>
      </c>
      <c r="C804">
        <v>635</v>
      </c>
      <c r="D804">
        <v>1</v>
      </c>
      <c r="E804" t="s">
        <v>28</v>
      </c>
      <c r="F804" t="s">
        <v>29</v>
      </c>
      <c r="G804" t="str">
        <f>"2026-01-07 19:56:36.453"</f>
        <v>2026-01-07 19:56:36.453</v>
      </c>
      <c r="H804" t="s">
        <v>21</v>
      </c>
      <c r="I804">
        <v>0.48</v>
      </c>
      <c r="J804" t="s">
        <v>31</v>
      </c>
    </row>
    <row r="805" spans="1:10" x14ac:dyDescent="0.25">
      <c r="A805" s="1">
        <v>47</v>
      </c>
      <c r="B805" t="s">
        <v>22</v>
      </c>
      <c r="C805">
        <v>635</v>
      </c>
      <c r="D805">
        <v>1</v>
      </c>
      <c r="E805" t="s">
        <v>28</v>
      </c>
      <c r="F805" t="s">
        <v>29</v>
      </c>
      <c r="G805" t="str">
        <f>"2026-01-07 16:40:26.753"</f>
        <v>2026-01-07 16:40:26.753</v>
      </c>
      <c r="H805" t="s">
        <v>21</v>
      </c>
    </row>
    <row r="806" spans="1:10" x14ac:dyDescent="0.25">
      <c r="A806" s="1">
        <v>48</v>
      </c>
      <c r="B806" t="s">
        <v>25</v>
      </c>
      <c r="C806">
        <v>635</v>
      </c>
      <c r="D806">
        <v>1</v>
      </c>
      <c r="E806" t="s">
        <v>28</v>
      </c>
      <c r="F806" t="s">
        <v>29</v>
      </c>
      <c r="G806" t="str">
        <f>"2026-01-07 16:37:41.753"</f>
        <v>2026-01-07 16:37:41.753</v>
      </c>
      <c r="H806" t="s">
        <v>21</v>
      </c>
      <c r="I806">
        <v>6.09</v>
      </c>
      <c r="J806" t="s">
        <v>31</v>
      </c>
    </row>
    <row r="807" spans="1:10" x14ac:dyDescent="0.25">
      <c r="A807" s="1">
        <v>49</v>
      </c>
      <c r="B807" t="s">
        <v>22</v>
      </c>
      <c r="C807">
        <v>635</v>
      </c>
      <c r="D807">
        <v>1</v>
      </c>
      <c r="E807" t="s">
        <v>28</v>
      </c>
      <c r="F807" t="s">
        <v>29</v>
      </c>
      <c r="G807" t="str">
        <f>"2026-01-07 04:33:22.153"</f>
        <v>2026-01-07 04:33:22.153</v>
      </c>
      <c r="H807" t="s">
        <v>21</v>
      </c>
    </row>
    <row r="808" spans="1:10" x14ac:dyDescent="0.25">
      <c r="A808" s="1">
        <v>50</v>
      </c>
      <c r="B808" t="s">
        <v>25</v>
      </c>
      <c r="C808">
        <v>635</v>
      </c>
      <c r="D808">
        <v>1</v>
      </c>
      <c r="E808" t="s">
        <v>28</v>
      </c>
      <c r="F808" t="s">
        <v>29</v>
      </c>
      <c r="G808" t="str">
        <f>"2026-01-07 04:28:37.653"</f>
        <v>2026-01-07 04:28:37.653</v>
      </c>
      <c r="H808" t="s">
        <v>21</v>
      </c>
      <c r="I808">
        <v>1.75</v>
      </c>
      <c r="J808" t="s">
        <v>31</v>
      </c>
    </row>
    <row r="809" spans="1:10" x14ac:dyDescent="0.25">
      <c r="A809" s="1">
        <v>51</v>
      </c>
      <c r="B809" t="s">
        <v>22</v>
      </c>
      <c r="C809">
        <v>635</v>
      </c>
      <c r="D809">
        <v>1</v>
      </c>
      <c r="E809" t="s">
        <v>28</v>
      </c>
      <c r="F809" t="s">
        <v>29</v>
      </c>
      <c r="G809" t="str">
        <f>"2026-01-05 08:33:59.653"</f>
        <v>2026-01-05 08:33:59.653</v>
      </c>
      <c r="H809" t="s">
        <v>21</v>
      </c>
    </row>
    <row r="810" spans="1:10" x14ac:dyDescent="0.25">
      <c r="A810" s="1">
        <v>52</v>
      </c>
      <c r="B810" t="s">
        <v>25</v>
      </c>
      <c r="C810">
        <v>635</v>
      </c>
      <c r="D810">
        <v>1</v>
      </c>
      <c r="E810" t="s">
        <v>28</v>
      </c>
      <c r="F810" t="s">
        <v>29</v>
      </c>
      <c r="G810" t="str">
        <f>"2026-01-05 08:29:08.653"</f>
        <v>2026-01-05 08:29:08.653</v>
      </c>
      <c r="H810" t="s">
        <v>21</v>
      </c>
      <c r="I810">
        <v>9.82</v>
      </c>
      <c r="J810" t="s">
        <v>26</v>
      </c>
    </row>
    <row r="811" spans="1:10" x14ac:dyDescent="0.25">
      <c r="A811" s="1">
        <v>53</v>
      </c>
      <c r="B811" t="s">
        <v>19</v>
      </c>
      <c r="C811">
        <v>700</v>
      </c>
      <c r="D811">
        <v>0</v>
      </c>
      <c r="E811" t="s">
        <v>20</v>
      </c>
      <c r="F811" t="s">
        <v>20</v>
      </c>
      <c r="G811" t="str">
        <f>"2026-01-04 16:13:49.244"</f>
        <v>2026-01-04 16:13:49.244</v>
      </c>
      <c r="H811" t="s">
        <v>21</v>
      </c>
    </row>
    <row r="812" spans="1:10" x14ac:dyDescent="0.25">
      <c r="A812" s="1">
        <v>54</v>
      </c>
      <c r="B812" t="s">
        <v>19</v>
      </c>
      <c r="C812">
        <v>700</v>
      </c>
      <c r="D812">
        <v>0</v>
      </c>
      <c r="E812" t="s">
        <v>20</v>
      </c>
      <c r="F812" t="s">
        <v>20</v>
      </c>
      <c r="G812" t="str">
        <f>"2026-01-04 15:29:59.257"</f>
        <v>2026-01-04 15:29:59.257</v>
      </c>
      <c r="H812" t="s">
        <v>21</v>
      </c>
      <c r="I812">
        <v>0</v>
      </c>
      <c r="J812" t="s">
        <v>27</v>
      </c>
    </row>
    <row r="813" spans="1:10" x14ac:dyDescent="0.25">
      <c r="A813" s="1">
        <v>55</v>
      </c>
      <c r="B813" t="s">
        <v>19</v>
      </c>
      <c r="C813">
        <v>700</v>
      </c>
      <c r="D813">
        <v>0</v>
      </c>
      <c r="E813" t="s">
        <v>20</v>
      </c>
      <c r="F813" t="s">
        <v>20</v>
      </c>
      <c r="G813" t="str">
        <f>"2026-01-04 15:28:28.254"</f>
        <v>2026-01-04 15:28:28.254</v>
      </c>
      <c r="H813" t="s">
        <v>21</v>
      </c>
      <c r="I813">
        <v>0</v>
      </c>
      <c r="J813" t="s">
        <v>27</v>
      </c>
    </row>
    <row r="814" spans="1:10" x14ac:dyDescent="0.25">
      <c r="A814" s="1">
        <v>56</v>
      </c>
      <c r="B814" t="s">
        <v>19</v>
      </c>
      <c r="C814">
        <v>700</v>
      </c>
      <c r="D814">
        <v>0</v>
      </c>
      <c r="E814" t="s">
        <v>20</v>
      </c>
      <c r="F814" t="s">
        <v>20</v>
      </c>
      <c r="G814" t="str">
        <f>"2026-01-04 15:20:25.299"</f>
        <v>2026-01-04 15:20:25.299</v>
      </c>
      <c r="H814" t="s">
        <v>21</v>
      </c>
      <c r="I814">
        <v>0</v>
      </c>
      <c r="J814" t="s">
        <v>27</v>
      </c>
    </row>
    <row r="815" spans="1:10" x14ac:dyDescent="0.25">
      <c r="A815" s="1">
        <v>57</v>
      </c>
      <c r="B815" t="s">
        <v>22</v>
      </c>
      <c r="C815">
        <v>630</v>
      </c>
      <c r="D815">
        <v>5</v>
      </c>
      <c r="E815" t="s">
        <v>48</v>
      </c>
      <c r="F815" t="s">
        <v>49</v>
      </c>
      <c r="G815" t="str">
        <f>"2026-01-04 15:15:12.213"</f>
        <v>2026-01-04 15:15:12.213</v>
      </c>
      <c r="H815" t="s">
        <v>50</v>
      </c>
    </row>
    <row r="816" spans="1:10" x14ac:dyDescent="0.25">
      <c r="A816" s="1">
        <v>58</v>
      </c>
      <c r="B816" t="s">
        <v>19</v>
      </c>
      <c r="C816">
        <v>706</v>
      </c>
      <c r="D816">
        <v>2</v>
      </c>
      <c r="E816" t="s">
        <v>32</v>
      </c>
      <c r="F816" t="s">
        <v>33</v>
      </c>
      <c r="G816" t="str">
        <f>"2026-01-04 15:14:42.125"</f>
        <v>2026-01-04 15:14:42.125</v>
      </c>
      <c r="H816" t="s">
        <v>21</v>
      </c>
      <c r="I816">
        <v>0</v>
      </c>
      <c r="J816" t="s">
        <v>34</v>
      </c>
    </row>
    <row r="817" spans="1:10" x14ac:dyDescent="0.25">
      <c r="A817" s="1">
        <v>59</v>
      </c>
      <c r="B817" t="s">
        <v>39</v>
      </c>
      <c r="C817">
        <v>630</v>
      </c>
      <c r="D817">
        <v>5</v>
      </c>
      <c r="E817" t="s">
        <v>48</v>
      </c>
      <c r="F817" t="s">
        <v>49</v>
      </c>
      <c r="G817" t="str">
        <f>"2026-01-04 15:09:44.014"</f>
        <v>2026-01-04 15:09:44.014</v>
      </c>
      <c r="H817" t="s">
        <v>50</v>
      </c>
      <c r="I817">
        <v>0</v>
      </c>
      <c r="J817" t="s">
        <v>34</v>
      </c>
    </row>
    <row r="818" spans="1:10" x14ac:dyDescent="0.25">
      <c r="A818" s="1">
        <v>60</v>
      </c>
      <c r="B818" t="s">
        <v>19</v>
      </c>
      <c r="C818">
        <v>700</v>
      </c>
      <c r="D818">
        <v>0</v>
      </c>
      <c r="E818" t="s">
        <v>20</v>
      </c>
      <c r="F818" t="s">
        <v>20</v>
      </c>
      <c r="G818" t="str">
        <f>"2026-01-04 15:04:41.255"</f>
        <v>2026-01-04 15:04:41.255</v>
      </c>
      <c r="H818" t="s">
        <v>21</v>
      </c>
    </row>
    <row r="819" spans="1:10" x14ac:dyDescent="0.25">
      <c r="A819" s="1">
        <v>61</v>
      </c>
      <c r="B819" t="s">
        <v>19</v>
      </c>
      <c r="C819">
        <v>700</v>
      </c>
      <c r="D819">
        <v>0</v>
      </c>
      <c r="E819" t="s">
        <v>20</v>
      </c>
      <c r="F819" t="s">
        <v>20</v>
      </c>
      <c r="G819" t="str">
        <f>"2026-01-04 14:09:14.351"</f>
        <v>2026-01-04 14:09:14.351</v>
      </c>
      <c r="H819" t="s">
        <v>21</v>
      </c>
      <c r="I819">
        <v>0</v>
      </c>
      <c r="J819" t="s">
        <v>27</v>
      </c>
    </row>
    <row r="820" spans="1:10" x14ac:dyDescent="0.25">
      <c r="A820" s="1">
        <v>62</v>
      </c>
      <c r="B820" t="s">
        <v>19</v>
      </c>
      <c r="C820">
        <v>700</v>
      </c>
      <c r="D820">
        <v>0</v>
      </c>
      <c r="E820" t="s">
        <v>20</v>
      </c>
      <c r="F820" t="s">
        <v>20</v>
      </c>
      <c r="G820" t="str">
        <f>"2026-01-04 14:00:02.483"</f>
        <v>2026-01-04 14:00:02.483</v>
      </c>
      <c r="H820" t="s">
        <v>21</v>
      </c>
      <c r="I820">
        <v>0</v>
      </c>
      <c r="J820" t="s">
        <v>27</v>
      </c>
    </row>
    <row r="821" spans="1:10" x14ac:dyDescent="0.25">
      <c r="A821" s="1">
        <v>64</v>
      </c>
      <c r="B821" t="s">
        <v>22</v>
      </c>
      <c r="C821">
        <v>635</v>
      </c>
      <c r="D821">
        <v>1</v>
      </c>
      <c r="E821" t="s">
        <v>28</v>
      </c>
      <c r="F821" t="s">
        <v>29</v>
      </c>
      <c r="G821" t="str">
        <f>"2026-01-03 00:39:41.978"</f>
        <v>2026-01-03 00:39:41.978</v>
      </c>
      <c r="H821" t="s">
        <v>21</v>
      </c>
    </row>
    <row r="822" spans="1:10" x14ac:dyDescent="0.25">
      <c r="A822" s="1">
        <v>65</v>
      </c>
      <c r="B822" t="s">
        <v>25</v>
      </c>
      <c r="C822">
        <v>635</v>
      </c>
      <c r="D822">
        <v>1</v>
      </c>
      <c r="E822" t="s">
        <v>28</v>
      </c>
      <c r="F822" t="s">
        <v>29</v>
      </c>
      <c r="G822" t="str">
        <f>"2026-01-03 00:22:29.578"</f>
        <v>2026-01-03 00:22:29.578</v>
      </c>
      <c r="H822" t="s">
        <v>21</v>
      </c>
      <c r="I822">
        <v>7.36</v>
      </c>
      <c r="J822" t="s">
        <v>26</v>
      </c>
    </row>
    <row r="823" spans="1:10" x14ac:dyDescent="0.25">
      <c r="A823" s="1">
        <v>66</v>
      </c>
      <c r="B823" t="s">
        <v>22</v>
      </c>
      <c r="C823">
        <v>635</v>
      </c>
      <c r="D823">
        <v>1</v>
      </c>
      <c r="E823" t="s">
        <v>28</v>
      </c>
      <c r="F823" t="s">
        <v>29</v>
      </c>
      <c r="G823" t="str">
        <f>"2026-01-02 14:36:53.178"</f>
        <v>2026-01-02 14:36:53.178</v>
      </c>
      <c r="H823" t="s">
        <v>21</v>
      </c>
    </row>
    <row r="824" spans="1:10" x14ac:dyDescent="0.25">
      <c r="A824" s="1">
        <v>67</v>
      </c>
      <c r="B824" t="s">
        <v>25</v>
      </c>
      <c r="C824">
        <v>635</v>
      </c>
      <c r="D824">
        <v>1</v>
      </c>
      <c r="E824" t="s">
        <v>28</v>
      </c>
      <c r="F824" t="s">
        <v>29</v>
      </c>
      <c r="G824" t="str">
        <f>"2026-01-02 14:21:58.678"</f>
        <v>2026-01-02 14:21:58.678</v>
      </c>
      <c r="H824" t="s">
        <v>21</v>
      </c>
      <c r="I824">
        <v>5.74</v>
      </c>
      <c r="J824" t="s">
        <v>31</v>
      </c>
    </row>
    <row r="825" spans="1:10" x14ac:dyDescent="0.25">
      <c r="A825" s="1">
        <v>68</v>
      </c>
      <c r="B825" t="s">
        <v>19</v>
      </c>
      <c r="C825">
        <v>700</v>
      </c>
      <c r="D825">
        <v>0</v>
      </c>
      <c r="E825" t="s">
        <v>20</v>
      </c>
      <c r="F825" t="s">
        <v>20</v>
      </c>
      <c r="G825" t="str">
        <f>"2026-01-02 02:40:50.257"</f>
        <v>2026-01-02 02:40:50.257</v>
      </c>
      <c r="H825" t="s">
        <v>21</v>
      </c>
    </row>
    <row r="826" spans="1:10" x14ac:dyDescent="0.25">
      <c r="A826" s="1">
        <v>71</v>
      </c>
      <c r="B826" t="s">
        <v>22</v>
      </c>
      <c r="C826">
        <v>635</v>
      </c>
      <c r="D826">
        <v>1</v>
      </c>
      <c r="E826" t="s">
        <v>28</v>
      </c>
      <c r="F826" t="s">
        <v>29</v>
      </c>
      <c r="G826" t="str">
        <f>"2026-01-01 03:38:28.875"</f>
        <v>2026-01-01 03:38:28.875</v>
      </c>
      <c r="H826" t="s">
        <v>21</v>
      </c>
    </row>
    <row r="827" spans="1:10" x14ac:dyDescent="0.25">
      <c r="A827" s="1">
        <v>72</v>
      </c>
      <c r="B827" t="s">
        <v>25</v>
      </c>
      <c r="C827">
        <v>635</v>
      </c>
      <c r="D827">
        <v>1</v>
      </c>
      <c r="E827" t="s">
        <v>28</v>
      </c>
      <c r="F827" t="s">
        <v>29</v>
      </c>
      <c r="G827" t="str">
        <f>"2026-01-01 03:34:53.375"</f>
        <v>2026-01-01 03:34:53.375</v>
      </c>
      <c r="H827" t="s">
        <v>21</v>
      </c>
      <c r="I827">
        <v>0</v>
      </c>
      <c r="J827" t="s">
        <v>30</v>
      </c>
    </row>
    <row r="828" spans="1:10" x14ac:dyDescent="0.25">
      <c r="A828" s="1">
        <v>74</v>
      </c>
      <c r="B828" t="s">
        <v>22</v>
      </c>
      <c r="C828">
        <v>635</v>
      </c>
      <c r="D828">
        <v>1</v>
      </c>
      <c r="E828" t="s">
        <v>28</v>
      </c>
      <c r="F828" t="s">
        <v>29</v>
      </c>
      <c r="G828" t="str">
        <f>"2025-12-31 20:46:30.675"</f>
        <v>2025-12-31 20:46:30.675</v>
      </c>
      <c r="H828" t="s">
        <v>21</v>
      </c>
    </row>
    <row r="829" spans="1:10" x14ac:dyDescent="0.25">
      <c r="A829" s="1">
        <v>75</v>
      </c>
      <c r="B829" t="s">
        <v>25</v>
      </c>
      <c r="C829">
        <v>635</v>
      </c>
      <c r="D829">
        <v>1</v>
      </c>
      <c r="E829" t="s">
        <v>28</v>
      </c>
      <c r="F829" t="s">
        <v>29</v>
      </c>
      <c r="G829" t="str">
        <f>"2025-12-31 20:38:43.675"</f>
        <v>2025-12-31 20:38:43.675</v>
      </c>
      <c r="H829" t="s">
        <v>21</v>
      </c>
      <c r="I829">
        <v>6.81</v>
      </c>
      <c r="J829" t="s">
        <v>31</v>
      </c>
    </row>
    <row r="830" spans="1:10" x14ac:dyDescent="0.25">
      <c r="A830" s="1">
        <v>76</v>
      </c>
      <c r="B830" t="s">
        <v>22</v>
      </c>
      <c r="C830">
        <v>635</v>
      </c>
      <c r="D830">
        <v>1</v>
      </c>
      <c r="E830" t="s">
        <v>28</v>
      </c>
      <c r="F830" t="s">
        <v>29</v>
      </c>
      <c r="G830" t="str">
        <f>"2025-12-31 16:58:30.075"</f>
        <v>2025-12-31 16:58:30.075</v>
      </c>
      <c r="H830" t="s">
        <v>21</v>
      </c>
    </row>
    <row r="831" spans="1:10" x14ac:dyDescent="0.25">
      <c r="A831" s="1">
        <v>77</v>
      </c>
      <c r="B831" t="s">
        <v>25</v>
      </c>
      <c r="C831">
        <v>635</v>
      </c>
      <c r="D831">
        <v>1</v>
      </c>
      <c r="E831" t="s">
        <v>28</v>
      </c>
      <c r="F831" t="s">
        <v>29</v>
      </c>
      <c r="G831" t="str">
        <f>"2025-12-31 16:50:12.575"</f>
        <v>2025-12-31 16:50:12.575</v>
      </c>
      <c r="H831" t="s">
        <v>21</v>
      </c>
      <c r="I831">
        <v>5.71</v>
      </c>
      <c r="J831" t="s">
        <v>31</v>
      </c>
    </row>
    <row r="832" spans="1:10" x14ac:dyDescent="0.25">
      <c r="A832" s="1">
        <v>78</v>
      </c>
      <c r="B832" t="s">
        <v>19</v>
      </c>
      <c r="C832">
        <v>700</v>
      </c>
      <c r="D832">
        <v>0</v>
      </c>
      <c r="E832" t="s">
        <v>20</v>
      </c>
      <c r="F832" t="s">
        <v>20</v>
      </c>
      <c r="G832" t="str">
        <f>"2025-12-30 15:52:06.205"</f>
        <v>2025-12-30 15:52:06.205</v>
      </c>
      <c r="H832" t="s">
        <v>21</v>
      </c>
    </row>
    <row r="833" spans="1:10" x14ac:dyDescent="0.25">
      <c r="A833" s="1">
        <v>79</v>
      </c>
      <c r="B833" t="s">
        <v>39</v>
      </c>
      <c r="C833">
        <v>630</v>
      </c>
      <c r="D833">
        <v>5</v>
      </c>
      <c r="E833" t="s">
        <v>48</v>
      </c>
      <c r="F833" t="s">
        <v>49</v>
      </c>
      <c r="G833" t="str">
        <f>"2025-12-30 14:28:14.984"</f>
        <v>2025-12-30 14:28:14.984</v>
      </c>
      <c r="H833" t="s">
        <v>50</v>
      </c>
      <c r="I833">
        <v>0</v>
      </c>
      <c r="J833" t="s">
        <v>34</v>
      </c>
    </row>
    <row r="834" spans="1:10" x14ac:dyDescent="0.25">
      <c r="A834" s="1">
        <v>80</v>
      </c>
      <c r="B834" t="s">
        <v>19</v>
      </c>
      <c r="C834">
        <v>700</v>
      </c>
      <c r="D834">
        <v>0</v>
      </c>
      <c r="E834" t="s">
        <v>20</v>
      </c>
      <c r="F834" t="s">
        <v>20</v>
      </c>
      <c r="G834" t="str">
        <f>"2025-12-30 14:23:12.214"</f>
        <v>2025-12-30 14:23:12.214</v>
      </c>
      <c r="H834" t="s">
        <v>21</v>
      </c>
      <c r="I834">
        <v>0</v>
      </c>
      <c r="J834" t="s">
        <v>27</v>
      </c>
    </row>
    <row r="835" spans="1:10" x14ac:dyDescent="0.25">
      <c r="A835" s="1">
        <v>81</v>
      </c>
      <c r="B835" t="s">
        <v>19</v>
      </c>
      <c r="C835">
        <v>700</v>
      </c>
      <c r="D835">
        <v>0</v>
      </c>
      <c r="E835" t="s">
        <v>20</v>
      </c>
      <c r="F835" t="s">
        <v>20</v>
      </c>
      <c r="G835" t="str">
        <f>"2025-12-30 14:02:53.218"</f>
        <v>2025-12-30 14:02:53.218</v>
      </c>
      <c r="H835" t="s">
        <v>21</v>
      </c>
    </row>
    <row r="836" spans="1:10" x14ac:dyDescent="0.25">
      <c r="A836" s="1">
        <v>82</v>
      </c>
      <c r="B836" t="s">
        <v>19</v>
      </c>
      <c r="C836">
        <v>700</v>
      </c>
      <c r="D836">
        <v>0</v>
      </c>
      <c r="E836" t="s">
        <v>20</v>
      </c>
      <c r="F836" t="s">
        <v>20</v>
      </c>
      <c r="G836" t="str">
        <f>"2025-12-30 13:28:37.226"</f>
        <v>2025-12-30 13:28:37.226</v>
      </c>
      <c r="H836" t="s">
        <v>21</v>
      </c>
      <c r="I836">
        <v>0</v>
      </c>
      <c r="J836" t="s">
        <v>27</v>
      </c>
    </row>
    <row r="837" spans="1:10" x14ac:dyDescent="0.25">
      <c r="A837" s="1">
        <v>83</v>
      </c>
      <c r="B837" t="s">
        <v>19</v>
      </c>
      <c r="C837">
        <v>700</v>
      </c>
      <c r="D837">
        <v>0</v>
      </c>
      <c r="E837" t="s">
        <v>20</v>
      </c>
      <c r="F837" t="s">
        <v>20</v>
      </c>
      <c r="G837" t="str">
        <f>"2025-12-30 11:29:32.215"</f>
        <v>2025-12-30 11:29:32.215</v>
      </c>
      <c r="H837" t="s">
        <v>21</v>
      </c>
    </row>
    <row r="838" spans="1:10" x14ac:dyDescent="0.25">
      <c r="A838" s="1">
        <v>84</v>
      </c>
      <c r="B838" t="s">
        <v>22</v>
      </c>
      <c r="C838">
        <v>635</v>
      </c>
      <c r="D838">
        <v>1</v>
      </c>
      <c r="E838" t="s">
        <v>28</v>
      </c>
      <c r="F838" t="s">
        <v>29</v>
      </c>
      <c r="G838" t="str">
        <f>"2025-12-29 20:52:02.186"</f>
        <v>2025-12-29 20:52:02.186</v>
      </c>
      <c r="H838" t="s">
        <v>21</v>
      </c>
    </row>
    <row r="839" spans="1:10" x14ac:dyDescent="0.25">
      <c r="A839" s="1">
        <v>85</v>
      </c>
      <c r="B839" t="s">
        <v>25</v>
      </c>
      <c r="C839">
        <v>635</v>
      </c>
      <c r="D839">
        <v>1</v>
      </c>
      <c r="E839" t="s">
        <v>28</v>
      </c>
      <c r="F839" t="s">
        <v>29</v>
      </c>
      <c r="G839" t="str">
        <f>"2025-12-29 20:45:58.686"</f>
        <v>2025-12-29 20:45:58.686</v>
      </c>
      <c r="H839" t="s">
        <v>21</v>
      </c>
      <c r="I839">
        <v>0</v>
      </c>
      <c r="J839" t="s">
        <v>30</v>
      </c>
    </row>
    <row r="840" spans="1:10" x14ac:dyDescent="0.25">
      <c r="A840" s="1">
        <v>86</v>
      </c>
      <c r="B840" t="s">
        <v>22</v>
      </c>
      <c r="C840">
        <v>635</v>
      </c>
      <c r="D840">
        <v>1</v>
      </c>
      <c r="E840" t="s">
        <v>28</v>
      </c>
      <c r="F840" t="s">
        <v>29</v>
      </c>
      <c r="G840" t="str">
        <f>"2025-12-29 00:25:56.486"</f>
        <v>2025-12-29 00:25:56.486</v>
      </c>
      <c r="H840" t="s">
        <v>21</v>
      </c>
    </row>
    <row r="841" spans="1:10" x14ac:dyDescent="0.25">
      <c r="A841" s="1">
        <v>87</v>
      </c>
      <c r="B841" t="s">
        <v>25</v>
      </c>
      <c r="C841">
        <v>635</v>
      </c>
      <c r="D841">
        <v>1</v>
      </c>
      <c r="E841" t="s">
        <v>28</v>
      </c>
      <c r="F841" t="s">
        <v>29</v>
      </c>
      <c r="G841" t="str">
        <f>"2025-12-29 00:22:55.986"</f>
        <v>2025-12-29 00:22:55.986</v>
      </c>
      <c r="H841" t="s">
        <v>21</v>
      </c>
      <c r="I841">
        <v>0.62</v>
      </c>
      <c r="J841" t="s">
        <v>31</v>
      </c>
    </row>
    <row r="842" spans="1:10" x14ac:dyDescent="0.25">
      <c r="A842" s="1">
        <v>88</v>
      </c>
      <c r="B842" t="s">
        <v>22</v>
      </c>
      <c r="C842">
        <v>635</v>
      </c>
      <c r="D842">
        <v>1</v>
      </c>
      <c r="E842" t="s">
        <v>28</v>
      </c>
      <c r="F842" t="s">
        <v>29</v>
      </c>
      <c r="G842" t="str">
        <f>"2025-12-28 20:39:53.886"</f>
        <v>2025-12-28 20:39:53.886</v>
      </c>
      <c r="H842" t="s">
        <v>21</v>
      </c>
    </row>
    <row r="843" spans="1:10" x14ac:dyDescent="0.25">
      <c r="A843" s="1">
        <v>89</v>
      </c>
      <c r="B843" t="s">
        <v>25</v>
      </c>
      <c r="C843">
        <v>635</v>
      </c>
      <c r="D843">
        <v>1</v>
      </c>
      <c r="E843" t="s">
        <v>28</v>
      </c>
      <c r="F843" t="s">
        <v>29</v>
      </c>
      <c r="G843" t="str">
        <f>"2025-12-28 20:35:28.886"</f>
        <v>2025-12-28 20:35:28.886</v>
      </c>
      <c r="H843" t="s">
        <v>21</v>
      </c>
      <c r="I843">
        <v>-0.27</v>
      </c>
      <c r="J843" t="s">
        <v>31</v>
      </c>
    </row>
    <row r="844" spans="1:10" x14ac:dyDescent="0.25">
      <c r="A844" s="1">
        <v>90</v>
      </c>
      <c r="B844" t="s">
        <v>35</v>
      </c>
      <c r="C844">
        <v>620</v>
      </c>
      <c r="D844">
        <v>1</v>
      </c>
      <c r="E844" t="s">
        <v>51</v>
      </c>
      <c r="F844" t="s">
        <v>29</v>
      </c>
      <c r="G844" t="str">
        <f>"2025-12-27 16:51:39.639"</f>
        <v>2025-12-27 16:51:39.639</v>
      </c>
      <c r="H844" t="s">
        <v>52</v>
      </c>
    </row>
    <row r="845" spans="1:10" x14ac:dyDescent="0.25">
      <c r="A845" s="1">
        <v>91</v>
      </c>
      <c r="B845" t="s">
        <v>39</v>
      </c>
      <c r="C845">
        <v>620</v>
      </c>
      <c r="D845">
        <v>1</v>
      </c>
      <c r="E845" t="s">
        <v>51</v>
      </c>
      <c r="F845" t="s">
        <v>29</v>
      </c>
      <c r="G845" t="str">
        <f>"2025-12-27 16:51:17.846"</f>
        <v>2025-12-27 16:51:17.846</v>
      </c>
      <c r="H845" t="s">
        <v>52</v>
      </c>
      <c r="I845">
        <v>16.46</v>
      </c>
      <c r="J845" t="s">
        <v>31</v>
      </c>
    </row>
    <row r="846" spans="1:10" x14ac:dyDescent="0.25">
      <c r="A846" s="1">
        <v>93</v>
      </c>
      <c r="B846" t="s">
        <v>22</v>
      </c>
      <c r="C846">
        <v>61</v>
      </c>
      <c r="D846">
        <v>2</v>
      </c>
      <c r="E846" t="s">
        <v>46</v>
      </c>
      <c r="F846" t="s">
        <v>47</v>
      </c>
      <c r="G846" t="str">
        <f>"2025-12-27 13:35:30.799"</f>
        <v>2025-12-27 13:35:30.799</v>
      </c>
      <c r="H846" t="s">
        <v>21</v>
      </c>
    </row>
    <row r="847" spans="1:10" x14ac:dyDescent="0.25">
      <c r="A847" s="1">
        <v>94</v>
      </c>
      <c r="B847" t="s">
        <v>39</v>
      </c>
      <c r="C847">
        <v>61</v>
      </c>
      <c r="D847">
        <v>2</v>
      </c>
      <c r="E847" t="s">
        <v>46</v>
      </c>
      <c r="F847" t="s">
        <v>47</v>
      </c>
      <c r="G847" t="str">
        <f>"2025-12-27 13:35:19.299"</f>
        <v>2025-12-27 13:35:19.299</v>
      </c>
      <c r="H847" t="s">
        <v>21</v>
      </c>
      <c r="I847">
        <v>29.55</v>
      </c>
      <c r="J847" t="s">
        <v>26</v>
      </c>
    </row>
    <row r="848" spans="1:10" x14ac:dyDescent="0.25">
      <c r="A848" s="1">
        <v>95</v>
      </c>
      <c r="B848" t="s">
        <v>22</v>
      </c>
      <c r="C848">
        <v>630</v>
      </c>
      <c r="D848">
        <v>5</v>
      </c>
      <c r="E848" t="s">
        <v>48</v>
      </c>
      <c r="F848" t="s">
        <v>49</v>
      </c>
      <c r="G848" t="str">
        <f>"2025-12-26 11:49:34.986"</f>
        <v>2025-12-26 11:49:34.986</v>
      </c>
      <c r="H848" t="s">
        <v>50</v>
      </c>
    </row>
    <row r="849" spans="1:10" x14ac:dyDescent="0.25">
      <c r="A849" s="1">
        <v>96</v>
      </c>
      <c r="B849" t="s">
        <v>19</v>
      </c>
      <c r="C849">
        <v>706</v>
      </c>
      <c r="D849">
        <v>4</v>
      </c>
      <c r="E849" t="s">
        <v>32</v>
      </c>
      <c r="F849" t="s">
        <v>40</v>
      </c>
      <c r="G849" t="str">
        <f>"2025-12-26 11:49:04.896"</f>
        <v>2025-12-26 11:49:04.896</v>
      </c>
      <c r="H849" t="s">
        <v>21</v>
      </c>
      <c r="I849">
        <v>0</v>
      </c>
      <c r="J849" t="s">
        <v>34</v>
      </c>
    </row>
    <row r="850" spans="1:10" x14ac:dyDescent="0.25">
      <c r="A850" s="1">
        <v>97</v>
      </c>
      <c r="B850" t="s">
        <v>19</v>
      </c>
      <c r="C850">
        <v>706</v>
      </c>
      <c r="D850">
        <v>2</v>
      </c>
      <c r="E850" t="s">
        <v>32</v>
      </c>
      <c r="F850" t="s">
        <v>33</v>
      </c>
      <c r="G850" t="str">
        <f>"2025-12-26 11:48:44.336"</f>
        <v>2025-12-26 11:48:44.336</v>
      </c>
      <c r="H850" t="s">
        <v>21</v>
      </c>
      <c r="I850">
        <v>0</v>
      </c>
      <c r="J850" t="s">
        <v>34</v>
      </c>
    </row>
    <row r="851" spans="1:10" x14ac:dyDescent="0.25">
      <c r="A851" s="1">
        <v>98</v>
      </c>
      <c r="B851" t="s">
        <v>39</v>
      </c>
      <c r="C851">
        <v>630</v>
      </c>
      <c r="D851">
        <v>5</v>
      </c>
      <c r="E851" t="s">
        <v>48</v>
      </c>
      <c r="F851" t="s">
        <v>49</v>
      </c>
      <c r="G851" t="str">
        <f>"2025-12-26 10:38:45.987"</f>
        <v>2025-12-26 10:38:45.987</v>
      </c>
      <c r="H851" t="s">
        <v>50</v>
      </c>
      <c r="I851">
        <v>0</v>
      </c>
      <c r="J851" t="s">
        <v>34</v>
      </c>
    </row>
    <row r="852" spans="1:10" x14ac:dyDescent="0.25">
      <c r="A852" s="1">
        <v>99</v>
      </c>
      <c r="B852" t="s">
        <v>19</v>
      </c>
      <c r="C852">
        <v>700</v>
      </c>
      <c r="D852">
        <v>0</v>
      </c>
      <c r="E852" t="s">
        <v>20</v>
      </c>
      <c r="F852" t="s">
        <v>20</v>
      </c>
      <c r="G852" t="str">
        <f>"2025-12-26 10:33:43.176"</f>
        <v>2025-12-26 10:33:43.176</v>
      </c>
      <c r="H852" t="s">
        <v>21</v>
      </c>
    </row>
    <row r="853" spans="1:10" x14ac:dyDescent="0.25">
      <c r="A853" s="1">
        <v>0</v>
      </c>
      <c r="B853" t="s">
        <v>22</v>
      </c>
      <c r="C853">
        <v>630</v>
      </c>
      <c r="D853">
        <v>5</v>
      </c>
      <c r="E853" t="s">
        <v>48</v>
      </c>
      <c r="F853" t="s">
        <v>49</v>
      </c>
      <c r="G853" t="str">
        <f>"2025-12-26 10:25:57.127"</f>
        <v>2025-12-26 10:25:57.127</v>
      </c>
      <c r="H853" t="s">
        <v>50</v>
      </c>
    </row>
    <row r="854" spans="1:10" x14ac:dyDescent="0.25">
      <c r="A854" s="1">
        <v>1</v>
      </c>
      <c r="B854" t="s">
        <v>19</v>
      </c>
      <c r="C854">
        <v>706</v>
      </c>
      <c r="D854">
        <v>4</v>
      </c>
      <c r="E854" t="s">
        <v>32</v>
      </c>
      <c r="F854" t="s">
        <v>40</v>
      </c>
      <c r="G854" t="str">
        <f>"2025-12-26 10:25:27.024"</f>
        <v>2025-12-26 10:25:27.024</v>
      </c>
      <c r="H854" t="s">
        <v>21</v>
      </c>
      <c r="I854">
        <v>0</v>
      </c>
      <c r="J854" t="s">
        <v>34</v>
      </c>
    </row>
    <row r="855" spans="1:10" x14ac:dyDescent="0.25">
      <c r="A855" s="1">
        <v>2</v>
      </c>
      <c r="B855" t="s">
        <v>39</v>
      </c>
      <c r="C855">
        <v>630</v>
      </c>
      <c r="D855">
        <v>5</v>
      </c>
      <c r="E855" t="s">
        <v>48</v>
      </c>
      <c r="F855" t="s">
        <v>49</v>
      </c>
      <c r="G855" t="str">
        <f>"2025-12-26 10:04:37.927"</f>
        <v>2025-12-26 10:04:37.927</v>
      </c>
      <c r="H855" t="s">
        <v>50</v>
      </c>
      <c r="I855">
        <v>0</v>
      </c>
      <c r="J855" t="s">
        <v>34</v>
      </c>
    </row>
    <row r="856" spans="1:10" x14ac:dyDescent="0.25">
      <c r="A856" s="1">
        <v>3</v>
      </c>
      <c r="B856" t="s">
        <v>19</v>
      </c>
      <c r="C856">
        <v>700</v>
      </c>
      <c r="D856">
        <v>0</v>
      </c>
      <c r="E856" t="s">
        <v>20</v>
      </c>
      <c r="F856" t="s">
        <v>20</v>
      </c>
      <c r="G856" t="str">
        <f>"2025-12-26 09:59:35.174"</f>
        <v>2025-12-26 09:59:35.174</v>
      </c>
      <c r="H856" t="s">
        <v>21</v>
      </c>
    </row>
    <row r="857" spans="1:10" x14ac:dyDescent="0.25">
      <c r="A857" s="1">
        <v>4</v>
      </c>
      <c r="B857" t="s">
        <v>19</v>
      </c>
      <c r="C857">
        <v>700</v>
      </c>
      <c r="D857">
        <v>0</v>
      </c>
      <c r="E857" t="s">
        <v>20</v>
      </c>
      <c r="F857" t="s">
        <v>20</v>
      </c>
      <c r="G857" t="str">
        <f>"2025-12-26 08:24:28.180"</f>
        <v>2025-12-26 08:24:28.180</v>
      </c>
      <c r="H857" t="s">
        <v>21</v>
      </c>
    </row>
    <row r="858" spans="1:10" x14ac:dyDescent="0.25">
      <c r="A858" s="1">
        <v>5</v>
      </c>
      <c r="B858" t="s">
        <v>19</v>
      </c>
      <c r="C858">
        <v>706</v>
      </c>
      <c r="D858">
        <v>4</v>
      </c>
      <c r="E858" t="s">
        <v>32</v>
      </c>
      <c r="F858" t="s">
        <v>40</v>
      </c>
      <c r="G858" t="str">
        <f>"2025-12-24 21:34:55.979"</f>
        <v>2025-12-24 21:34:55.979</v>
      </c>
      <c r="H858" t="s">
        <v>21</v>
      </c>
      <c r="I858">
        <v>0</v>
      </c>
      <c r="J858" t="s">
        <v>34</v>
      </c>
    </row>
    <row r="859" spans="1:10" x14ac:dyDescent="0.25">
      <c r="A859" s="1">
        <v>6</v>
      </c>
      <c r="B859" t="s">
        <v>19</v>
      </c>
      <c r="C859">
        <v>706</v>
      </c>
      <c r="D859">
        <v>4</v>
      </c>
      <c r="E859" t="s">
        <v>32</v>
      </c>
      <c r="F859" t="s">
        <v>40</v>
      </c>
      <c r="G859" t="str">
        <f>"2025-12-24 17:17:47.269"</f>
        <v>2025-12-24 17:17:47.269</v>
      </c>
      <c r="H859" t="s">
        <v>21</v>
      </c>
      <c r="I859">
        <v>0</v>
      </c>
      <c r="J859" t="s">
        <v>34</v>
      </c>
    </row>
    <row r="860" spans="1:10" x14ac:dyDescent="0.25">
      <c r="A860" s="1">
        <v>7</v>
      </c>
      <c r="B860" t="s">
        <v>19</v>
      </c>
      <c r="C860">
        <v>700</v>
      </c>
      <c r="D860">
        <v>0</v>
      </c>
      <c r="E860" t="s">
        <v>20</v>
      </c>
      <c r="F860" t="s">
        <v>20</v>
      </c>
      <c r="G860" t="str">
        <f>"2025-12-24 17:17:15.119"</f>
        <v>2025-12-24 17:17:15.119</v>
      </c>
      <c r="H860" t="s">
        <v>21</v>
      </c>
      <c r="I860">
        <v>0</v>
      </c>
      <c r="J860" t="s">
        <v>27</v>
      </c>
    </row>
    <row r="861" spans="1:10" x14ac:dyDescent="0.25">
      <c r="A861" s="1">
        <v>8</v>
      </c>
      <c r="B861" t="s">
        <v>19</v>
      </c>
      <c r="C861">
        <v>700</v>
      </c>
      <c r="D861">
        <v>0</v>
      </c>
      <c r="E861" t="s">
        <v>20</v>
      </c>
      <c r="F861" t="s">
        <v>20</v>
      </c>
      <c r="G861" t="str">
        <f>"2025-12-24 16:54:10.356"</f>
        <v>2025-12-24 16:54:10.356</v>
      </c>
      <c r="H861" t="s">
        <v>21</v>
      </c>
    </row>
    <row r="862" spans="1:10" x14ac:dyDescent="0.25">
      <c r="A862" s="1">
        <v>9</v>
      </c>
      <c r="B862" t="s">
        <v>19</v>
      </c>
      <c r="C862">
        <v>700</v>
      </c>
      <c r="D862">
        <v>0</v>
      </c>
      <c r="E862" t="s">
        <v>20</v>
      </c>
      <c r="F862" t="s">
        <v>20</v>
      </c>
      <c r="G862" t="str">
        <f>"2025-12-24 15:09:59.104"</f>
        <v>2025-12-24 15:09:59.104</v>
      </c>
      <c r="H862" t="s">
        <v>21</v>
      </c>
    </row>
    <row r="863" spans="1:10" x14ac:dyDescent="0.25">
      <c r="A863" s="1">
        <v>10</v>
      </c>
      <c r="B863" t="s">
        <v>19</v>
      </c>
      <c r="C863">
        <v>700</v>
      </c>
      <c r="D863">
        <v>0</v>
      </c>
      <c r="E863" t="s">
        <v>20</v>
      </c>
      <c r="F863" t="s">
        <v>20</v>
      </c>
      <c r="G863" t="str">
        <f>"2025-12-24 15:08:00.107"</f>
        <v>2025-12-24 15:08:00.107</v>
      </c>
      <c r="H863" t="s">
        <v>21</v>
      </c>
      <c r="I863">
        <v>0</v>
      </c>
      <c r="J863" t="s">
        <v>27</v>
      </c>
    </row>
    <row r="864" spans="1:10" x14ac:dyDescent="0.25">
      <c r="A864" s="1">
        <v>11</v>
      </c>
      <c r="B864" t="s">
        <v>19</v>
      </c>
      <c r="C864">
        <v>700</v>
      </c>
      <c r="D864">
        <v>0</v>
      </c>
      <c r="E864" t="s">
        <v>20</v>
      </c>
      <c r="F864" t="s">
        <v>20</v>
      </c>
      <c r="G864" t="str">
        <f>"2025-12-24 14:40:56.136"</f>
        <v>2025-12-24 14:40:56.136</v>
      </c>
      <c r="H864" t="s">
        <v>21</v>
      </c>
      <c r="I864">
        <v>0</v>
      </c>
      <c r="J864" t="s">
        <v>27</v>
      </c>
    </row>
    <row r="865" spans="1:10" x14ac:dyDescent="0.25">
      <c r="A865" s="1">
        <v>14</v>
      </c>
      <c r="B865" t="s">
        <v>19</v>
      </c>
      <c r="C865">
        <v>700</v>
      </c>
      <c r="D865">
        <v>0</v>
      </c>
      <c r="E865" t="s">
        <v>20</v>
      </c>
      <c r="F865" t="s">
        <v>20</v>
      </c>
      <c r="G865" t="str">
        <f>"2025-12-24 08:36:26.076"</f>
        <v>2025-12-24 08:36:26.076</v>
      </c>
      <c r="H865" t="s">
        <v>21</v>
      </c>
      <c r="I865">
        <v>0</v>
      </c>
      <c r="J865" t="s">
        <v>27</v>
      </c>
    </row>
    <row r="866" spans="1:10" x14ac:dyDescent="0.25">
      <c r="A866" s="1">
        <v>15</v>
      </c>
      <c r="B866" t="s">
        <v>19</v>
      </c>
      <c r="C866">
        <v>782</v>
      </c>
      <c r="D866">
        <v>7</v>
      </c>
      <c r="E866" t="s">
        <v>53</v>
      </c>
      <c r="F866" t="s">
        <v>54</v>
      </c>
      <c r="G866" t="str">
        <f>"2025-12-24 08:33:19.217"</f>
        <v>2025-12-24 08:33:19.217</v>
      </c>
      <c r="H866" t="s">
        <v>21</v>
      </c>
      <c r="I866">
        <v>0</v>
      </c>
      <c r="J866" t="s">
        <v>34</v>
      </c>
    </row>
    <row r="867" spans="1:10" x14ac:dyDescent="0.25">
      <c r="A867" s="1">
        <v>18</v>
      </c>
      <c r="B867" t="s">
        <v>22</v>
      </c>
      <c r="C867">
        <v>250</v>
      </c>
      <c r="D867">
        <v>7</v>
      </c>
      <c r="E867" t="s">
        <v>55</v>
      </c>
      <c r="F867" t="s">
        <v>56</v>
      </c>
      <c r="G867" t="str">
        <f>"2025-12-24 08:33:19.213"</f>
        <v>2025-12-24 08:33:19.213</v>
      </c>
      <c r="H867" t="s">
        <v>21</v>
      </c>
    </row>
    <row r="868" spans="1:10" x14ac:dyDescent="0.25">
      <c r="A868" s="1">
        <v>19</v>
      </c>
      <c r="B868" t="s">
        <v>22</v>
      </c>
      <c r="C868">
        <v>248</v>
      </c>
      <c r="D868">
        <v>7</v>
      </c>
      <c r="E868" t="s">
        <v>57</v>
      </c>
      <c r="F868" t="s">
        <v>58</v>
      </c>
      <c r="G868" t="str">
        <f>"2025-12-24 08:33:19.210"</f>
        <v>2025-12-24 08:33:19.210</v>
      </c>
      <c r="H868" t="s">
        <v>21</v>
      </c>
    </row>
    <row r="869" spans="1:10" x14ac:dyDescent="0.25">
      <c r="A869" s="1">
        <v>20</v>
      </c>
      <c r="B869" t="s">
        <v>22</v>
      </c>
      <c r="C869">
        <v>207</v>
      </c>
      <c r="D869">
        <v>2</v>
      </c>
      <c r="E869" t="s">
        <v>59</v>
      </c>
      <c r="F869" t="s">
        <v>60</v>
      </c>
      <c r="G869" t="str">
        <f>"2025-12-24 08:33:19.208"</f>
        <v>2025-12-24 08:33:19.208</v>
      </c>
      <c r="H869" t="s">
        <v>61</v>
      </c>
    </row>
    <row r="870" spans="1:10" x14ac:dyDescent="0.25">
      <c r="A870" s="1">
        <v>21</v>
      </c>
      <c r="B870" t="s">
        <v>22</v>
      </c>
      <c r="C870">
        <v>107</v>
      </c>
      <c r="D870">
        <v>2</v>
      </c>
      <c r="E870" t="s">
        <v>62</v>
      </c>
      <c r="F870" t="s">
        <v>60</v>
      </c>
      <c r="G870" t="str">
        <f>"2025-12-24 08:33:19.207"</f>
        <v>2025-12-24 08:33:19.207</v>
      </c>
      <c r="H870" t="s">
        <v>63</v>
      </c>
    </row>
    <row r="871" spans="1:10" x14ac:dyDescent="0.25">
      <c r="A871" s="1">
        <v>22</v>
      </c>
      <c r="B871" t="s">
        <v>19</v>
      </c>
      <c r="C871">
        <v>782</v>
      </c>
      <c r="D871">
        <v>7</v>
      </c>
      <c r="E871" t="s">
        <v>53</v>
      </c>
      <c r="F871" t="s">
        <v>54</v>
      </c>
      <c r="G871" t="str">
        <f>"2025-12-24 08:33:19.205"</f>
        <v>2025-12-24 08:33:19.205</v>
      </c>
      <c r="H871" t="s">
        <v>21</v>
      </c>
      <c r="I871">
        <v>0</v>
      </c>
      <c r="J871" t="s">
        <v>34</v>
      </c>
    </row>
    <row r="872" spans="1:10" x14ac:dyDescent="0.25">
      <c r="A872" s="1">
        <v>23</v>
      </c>
      <c r="B872" t="s">
        <v>22</v>
      </c>
      <c r="C872">
        <v>43</v>
      </c>
      <c r="D872">
        <v>2</v>
      </c>
      <c r="E872" t="s">
        <v>64</v>
      </c>
      <c r="F872" t="s">
        <v>65</v>
      </c>
      <c r="G872" t="str">
        <f>"2025-12-24 08:33:03.966"</f>
        <v>2025-12-24 08:33:03.966</v>
      </c>
      <c r="H872" t="s">
        <v>50</v>
      </c>
    </row>
    <row r="873" spans="1:10" x14ac:dyDescent="0.25">
      <c r="A873" s="1">
        <v>24</v>
      </c>
      <c r="B873" t="s">
        <v>19</v>
      </c>
      <c r="C873">
        <v>700</v>
      </c>
      <c r="D873">
        <v>0</v>
      </c>
      <c r="E873" t="s">
        <v>20</v>
      </c>
      <c r="F873" t="s">
        <v>20</v>
      </c>
      <c r="G873" t="str">
        <f>"2025-12-24 08:32:51.056"</f>
        <v>2025-12-24 08:32:51.056</v>
      </c>
      <c r="H873" t="s">
        <v>21</v>
      </c>
      <c r="I873">
        <v>0</v>
      </c>
      <c r="J873" t="s">
        <v>27</v>
      </c>
    </row>
    <row r="874" spans="1:10" x14ac:dyDescent="0.25">
      <c r="A874" s="1">
        <v>26</v>
      </c>
      <c r="B874" t="s">
        <v>22</v>
      </c>
      <c r="C874">
        <v>89</v>
      </c>
      <c r="D874">
        <v>3</v>
      </c>
      <c r="E874" t="s">
        <v>66</v>
      </c>
      <c r="F874" t="s">
        <v>67</v>
      </c>
      <c r="G874" t="str">
        <f>"2025-12-24 08:23:00.964"</f>
        <v>2025-12-24 08:23:00.964</v>
      </c>
      <c r="H874" t="s">
        <v>21</v>
      </c>
    </row>
    <row r="875" spans="1:10" x14ac:dyDescent="0.25">
      <c r="A875" s="1">
        <v>27</v>
      </c>
      <c r="B875" t="s">
        <v>25</v>
      </c>
      <c r="C875">
        <v>43</v>
      </c>
      <c r="D875">
        <v>2</v>
      </c>
      <c r="E875" t="s">
        <v>64</v>
      </c>
      <c r="F875" t="s">
        <v>65</v>
      </c>
      <c r="G875" t="str">
        <f>"2025-12-24 08:22:44.863"</f>
        <v>2025-12-24 08:22:44.863</v>
      </c>
      <c r="H875" t="s">
        <v>50</v>
      </c>
      <c r="I875">
        <v>0</v>
      </c>
      <c r="J875" t="s">
        <v>34</v>
      </c>
    </row>
    <row r="876" spans="1:10" x14ac:dyDescent="0.25">
      <c r="A876" s="1">
        <v>28</v>
      </c>
      <c r="B876" t="s">
        <v>25</v>
      </c>
      <c r="C876">
        <v>248</v>
      </c>
      <c r="D876">
        <v>7</v>
      </c>
      <c r="E876" t="s">
        <v>57</v>
      </c>
      <c r="F876" t="s">
        <v>58</v>
      </c>
      <c r="G876" t="str">
        <f>"2025-12-24 08:22:37.982"</f>
        <v>2025-12-24 08:22:37.982</v>
      </c>
      <c r="H876" t="s">
        <v>21</v>
      </c>
      <c r="I876">
        <v>0</v>
      </c>
      <c r="J876" t="s">
        <v>34</v>
      </c>
    </row>
    <row r="877" spans="1:10" x14ac:dyDescent="0.25">
      <c r="A877" s="1">
        <v>29</v>
      </c>
      <c r="B877" t="s">
        <v>25</v>
      </c>
      <c r="C877">
        <v>250</v>
      </c>
      <c r="D877">
        <v>7</v>
      </c>
      <c r="E877" t="s">
        <v>55</v>
      </c>
      <c r="F877" t="s">
        <v>56</v>
      </c>
      <c r="G877" t="str">
        <f>"2025-12-24 08:22:37.977"</f>
        <v>2025-12-24 08:22:37.977</v>
      </c>
      <c r="H877" t="s">
        <v>21</v>
      </c>
      <c r="I877">
        <v>0</v>
      </c>
      <c r="J877" t="s">
        <v>34</v>
      </c>
    </row>
    <row r="878" spans="1:10" x14ac:dyDescent="0.25">
      <c r="A878" s="1">
        <v>30</v>
      </c>
      <c r="B878" t="s">
        <v>68</v>
      </c>
      <c r="C878">
        <v>250</v>
      </c>
      <c r="D878">
        <v>7</v>
      </c>
      <c r="E878" t="s">
        <v>55</v>
      </c>
      <c r="F878" t="s">
        <v>56</v>
      </c>
      <c r="G878" t="str">
        <f>"2025-12-24 08:22:37.735"</f>
        <v>2025-12-24 08:22:37.735</v>
      </c>
      <c r="H878" t="s">
        <v>21</v>
      </c>
    </row>
    <row r="879" spans="1:10" x14ac:dyDescent="0.25">
      <c r="A879" s="1">
        <v>31</v>
      </c>
      <c r="B879" t="s">
        <v>68</v>
      </c>
      <c r="C879">
        <v>248</v>
      </c>
      <c r="D879">
        <v>7</v>
      </c>
      <c r="E879" t="s">
        <v>57</v>
      </c>
      <c r="F879" t="s">
        <v>58</v>
      </c>
      <c r="G879" t="str">
        <f>"2025-12-24 08:22:37.635"</f>
        <v>2025-12-24 08:22:37.635</v>
      </c>
      <c r="H879" t="s">
        <v>21</v>
      </c>
    </row>
    <row r="880" spans="1:10" x14ac:dyDescent="0.25">
      <c r="A880" s="1">
        <v>32</v>
      </c>
      <c r="B880" t="s">
        <v>68</v>
      </c>
      <c r="C880">
        <v>148</v>
      </c>
      <c r="D880">
        <v>7</v>
      </c>
      <c r="E880" t="s">
        <v>69</v>
      </c>
      <c r="F880" t="s">
        <v>58</v>
      </c>
      <c r="G880" t="str">
        <f>"2025-12-24 08:22:36.535"</f>
        <v>2025-12-24 08:22:36.535</v>
      </c>
      <c r="H880" t="s">
        <v>21</v>
      </c>
    </row>
    <row r="881" spans="1:10" x14ac:dyDescent="0.25">
      <c r="A881" s="1">
        <v>33</v>
      </c>
      <c r="B881" t="s">
        <v>39</v>
      </c>
      <c r="C881">
        <v>89</v>
      </c>
      <c r="D881">
        <v>3</v>
      </c>
      <c r="E881" t="s">
        <v>66</v>
      </c>
      <c r="F881" t="s">
        <v>67</v>
      </c>
      <c r="G881" t="str">
        <f>"2025-12-24 08:22:35.764"</f>
        <v>2025-12-24 08:22:35.764</v>
      </c>
      <c r="H881" t="s">
        <v>21</v>
      </c>
      <c r="I881">
        <v>0</v>
      </c>
      <c r="J881" t="s">
        <v>34</v>
      </c>
    </row>
    <row r="882" spans="1:10" x14ac:dyDescent="0.25">
      <c r="A882" s="1">
        <v>34</v>
      </c>
      <c r="B882" t="s">
        <v>39</v>
      </c>
      <c r="C882">
        <v>250</v>
      </c>
      <c r="D882">
        <v>7</v>
      </c>
      <c r="E882" t="s">
        <v>55</v>
      </c>
      <c r="F882" t="s">
        <v>56</v>
      </c>
      <c r="G882" t="str">
        <f>"2025-12-24 08:22:32.618"</f>
        <v>2025-12-24 08:22:32.618</v>
      </c>
      <c r="H882" t="s">
        <v>21</v>
      </c>
      <c r="I882">
        <v>0</v>
      </c>
      <c r="J882" t="s">
        <v>34</v>
      </c>
    </row>
    <row r="883" spans="1:10" x14ac:dyDescent="0.25">
      <c r="A883" s="1">
        <v>35</v>
      </c>
      <c r="B883" t="s">
        <v>39</v>
      </c>
      <c r="C883">
        <v>248</v>
      </c>
      <c r="D883">
        <v>7</v>
      </c>
      <c r="E883" t="s">
        <v>57</v>
      </c>
      <c r="F883" t="s">
        <v>58</v>
      </c>
      <c r="G883" t="str">
        <f>"2025-12-24 08:22:32.617"</f>
        <v>2025-12-24 08:22:32.617</v>
      </c>
      <c r="H883" t="s">
        <v>21</v>
      </c>
      <c r="I883">
        <v>0</v>
      </c>
      <c r="J883" t="s">
        <v>34</v>
      </c>
    </row>
    <row r="884" spans="1:10" x14ac:dyDescent="0.25">
      <c r="A884" s="1">
        <v>36</v>
      </c>
      <c r="B884" t="s">
        <v>39</v>
      </c>
      <c r="C884">
        <v>148</v>
      </c>
      <c r="D884">
        <v>7</v>
      </c>
      <c r="E884" t="s">
        <v>69</v>
      </c>
      <c r="F884" t="s">
        <v>58</v>
      </c>
      <c r="G884" t="str">
        <f>"2025-12-24 08:22:31.437"</f>
        <v>2025-12-24 08:22:31.437</v>
      </c>
      <c r="H884" t="s">
        <v>21</v>
      </c>
      <c r="I884">
        <v>0</v>
      </c>
      <c r="J884" t="s">
        <v>34</v>
      </c>
    </row>
    <row r="885" spans="1:10" x14ac:dyDescent="0.25">
      <c r="A885" s="1">
        <v>37</v>
      </c>
      <c r="B885" t="s">
        <v>25</v>
      </c>
      <c r="C885">
        <v>107</v>
      </c>
      <c r="D885">
        <v>2</v>
      </c>
      <c r="E885" t="s">
        <v>62</v>
      </c>
      <c r="F885" t="s">
        <v>60</v>
      </c>
      <c r="G885" t="str">
        <f>"2025-12-24 08:22:31.357"</f>
        <v>2025-12-24 08:22:31.357</v>
      </c>
      <c r="H885" t="s">
        <v>63</v>
      </c>
      <c r="I885">
        <v>0</v>
      </c>
      <c r="J885" t="s">
        <v>34</v>
      </c>
    </row>
    <row r="886" spans="1:10" x14ac:dyDescent="0.25">
      <c r="A886" s="1">
        <v>38</v>
      </c>
      <c r="B886" t="s">
        <v>25</v>
      </c>
      <c r="C886">
        <v>207</v>
      </c>
      <c r="D886">
        <v>2</v>
      </c>
      <c r="E886" t="s">
        <v>59</v>
      </c>
      <c r="F886" t="s">
        <v>60</v>
      </c>
      <c r="G886" t="str">
        <f>"2025-12-24 08:22:31.217"</f>
        <v>2025-12-24 08:22:31.217</v>
      </c>
      <c r="H886" t="s">
        <v>61</v>
      </c>
      <c r="I886">
        <v>0</v>
      </c>
      <c r="J886" t="s">
        <v>34</v>
      </c>
    </row>
    <row r="887" spans="1:10" x14ac:dyDescent="0.25">
      <c r="A887" s="1">
        <v>39</v>
      </c>
      <c r="B887" t="s">
        <v>19</v>
      </c>
      <c r="C887">
        <v>700</v>
      </c>
      <c r="D887">
        <v>0</v>
      </c>
      <c r="E887" t="s">
        <v>20</v>
      </c>
      <c r="F887" t="s">
        <v>20</v>
      </c>
      <c r="G887" t="str">
        <f>"2025-12-24 08:22:27.053"</f>
        <v>2025-12-24 08:22:27.053</v>
      </c>
      <c r="H887" t="s">
        <v>21</v>
      </c>
      <c r="I887">
        <v>0</v>
      </c>
      <c r="J887" t="s">
        <v>27</v>
      </c>
    </row>
    <row r="888" spans="1:10" x14ac:dyDescent="0.25">
      <c r="A888" s="1">
        <v>40</v>
      </c>
      <c r="B888" t="s">
        <v>19</v>
      </c>
      <c r="C888">
        <v>700</v>
      </c>
      <c r="D888">
        <v>0</v>
      </c>
      <c r="E888" t="s">
        <v>20</v>
      </c>
      <c r="F888" t="s">
        <v>20</v>
      </c>
      <c r="G888" t="str">
        <f>"2025-12-23 09:48:01.060"</f>
        <v>2025-12-23 09:48:01.060</v>
      </c>
      <c r="H888" t="s">
        <v>21</v>
      </c>
      <c r="I888">
        <v>0</v>
      </c>
      <c r="J888" t="s">
        <v>27</v>
      </c>
    </row>
    <row r="889" spans="1:10" x14ac:dyDescent="0.25">
      <c r="A889" s="1">
        <v>41</v>
      </c>
      <c r="B889" t="s">
        <v>19</v>
      </c>
      <c r="C889">
        <v>700</v>
      </c>
      <c r="D889">
        <v>0</v>
      </c>
      <c r="E889" t="s">
        <v>20</v>
      </c>
      <c r="F889" t="s">
        <v>20</v>
      </c>
      <c r="G889" t="str">
        <f>"2025-12-23 02:26:28.055"</f>
        <v>2025-12-23 02:26:28.055</v>
      </c>
      <c r="H889" t="s">
        <v>21</v>
      </c>
      <c r="I889">
        <v>0</v>
      </c>
      <c r="J889" t="s">
        <v>27</v>
      </c>
    </row>
    <row r="890" spans="1:10" x14ac:dyDescent="0.25">
      <c r="A890" s="1">
        <v>42</v>
      </c>
      <c r="B890" t="s">
        <v>19</v>
      </c>
      <c r="C890">
        <v>700</v>
      </c>
      <c r="D890">
        <v>0</v>
      </c>
      <c r="E890" t="s">
        <v>20</v>
      </c>
      <c r="F890" t="s">
        <v>20</v>
      </c>
      <c r="G890" t="str">
        <f>"2025-12-23 02:22:42.042"</f>
        <v>2025-12-23 02:22:42.042</v>
      </c>
      <c r="H890" t="s">
        <v>21</v>
      </c>
      <c r="I890">
        <v>0</v>
      </c>
      <c r="J890" t="s">
        <v>27</v>
      </c>
    </row>
    <row r="891" spans="1:10" x14ac:dyDescent="0.25">
      <c r="A891" s="1">
        <v>43</v>
      </c>
      <c r="B891" t="s">
        <v>19</v>
      </c>
      <c r="C891">
        <v>700</v>
      </c>
      <c r="D891">
        <v>0</v>
      </c>
      <c r="E891" t="s">
        <v>20</v>
      </c>
      <c r="F891" t="s">
        <v>20</v>
      </c>
      <c r="G891" t="str">
        <f>"2025-12-21 14:04:08.048"</f>
        <v>2025-12-21 14:04:08.048</v>
      </c>
      <c r="H891" t="s">
        <v>21</v>
      </c>
    </row>
    <row r="892" spans="1:10" x14ac:dyDescent="0.25">
      <c r="A892" s="1">
        <v>44</v>
      </c>
      <c r="B892" t="s">
        <v>19</v>
      </c>
      <c r="C892">
        <v>700</v>
      </c>
      <c r="D892">
        <v>0</v>
      </c>
      <c r="E892" t="s">
        <v>20</v>
      </c>
      <c r="F892" t="s">
        <v>20</v>
      </c>
      <c r="G892" t="str">
        <f>"2025-12-21 12:41:44.049"</f>
        <v>2025-12-21 12:41:44.049</v>
      </c>
      <c r="H892" t="s">
        <v>21</v>
      </c>
    </row>
    <row r="893" spans="1:10" x14ac:dyDescent="0.25">
      <c r="A893" s="1">
        <v>45</v>
      </c>
      <c r="B893" t="s">
        <v>19</v>
      </c>
      <c r="C893">
        <v>700</v>
      </c>
      <c r="D893">
        <v>0</v>
      </c>
      <c r="E893" t="s">
        <v>20</v>
      </c>
      <c r="F893" t="s">
        <v>20</v>
      </c>
      <c r="G893" t="str">
        <f>"2025-12-21 11:03:13.023"</f>
        <v>2025-12-21 11:03:13.023</v>
      </c>
      <c r="H893" t="s">
        <v>21</v>
      </c>
    </row>
    <row r="894" spans="1:10" x14ac:dyDescent="0.25">
      <c r="A894" s="1">
        <v>46</v>
      </c>
      <c r="B894" t="s">
        <v>19</v>
      </c>
      <c r="C894">
        <v>700</v>
      </c>
      <c r="D894">
        <v>0</v>
      </c>
      <c r="E894" t="s">
        <v>20</v>
      </c>
      <c r="F894" t="s">
        <v>20</v>
      </c>
      <c r="G894" t="str">
        <f>"2025-12-21 10:50:17.020"</f>
        <v>2025-12-21 10:50:17.020</v>
      </c>
      <c r="H894" t="s">
        <v>21</v>
      </c>
    </row>
    <row r="895" spans="1:10" x14ac:dyDescent="0.25">
      <c r="A895" s="1">
        <v>47</v>
      </c>
      <c r="B895" t="s">
        <v>19</v>
      </c>
      <c r="C895">
        <v>706</v>
      </c>
      <c r="D895">
        <v>2</v>
      </c>
      <c r="E895" t="s">
        <v>32</v>
      </c>
      <c r="F895" t="s">
        <v>33</v>
      </c>
      <c r="G895" t="str">
        <f>"2025-12-21 10:24:42.517"</f>
        <v>2025-12-21 10:24:42.517</v>
      </c>
      <c r="H895" t="s">
        <v>21</v>
      </c>
      <c r="I895">
        <v>0</v>
      </c>
      <c r="J895" t="s">
        <v>70</v>
      </c>
    </row>
    <row r="896" spans="1:10" x14ac:dyDescent="0.25">
      <c r="A896" s="1">
        <v>48</v>
      </c>
      <c r="B896" t="s">
        <v>19</v>
      </c>
      <c r="C896">
        <v>700</v>
      </c>
      <c r="D896">
        <v>0</v>
      </c>
      <c r="E896" t="s">
        <v>20</v>
      </c>
      <c r="F896" t="s">
        <v>20</v>
      </c>
      <c r="G896" t="str">
        <f>"2025-12-21 10:05:30.037"</f>
        <v>2025-12-21 10:05:30.037</v>
      </c>
      <c r="H896" t="s">
        <v>21</v>
      </c>
      <c r="I896">
        <v>0</v>
      </c>
      <c r="J896" t="s">
        <v>27</v>
      </c>
    </row>
    <row r="897" spans="1:10" x14ac:dyDescent="0.25">
      <c r="A897" s="1">
        <v>49</v>
      </c>
      <c r="B897" t="s">
        <v>22</v>
      </c>
      <c r="C897">
        <v>4</v>
      </c>
      <c r="D897">
        <v>1</v>
      </c>
      <c r="E897" t="s">
        <v>71</v>
      </c>
      <c r="F897" t="s">
        <v>72</v>
      </c>
      <c r="G897" t="str">
        <f>"2025-12-21 09:49:39.750"</f>
        <v>2025-12-21 09:49:39.750</v>
      </c>
      <c r="H897" t="s">
        <v>73</v>
      </c>
    </row>
    <row r="898" spans="1:10" x14ac:dyDescent="0.25">
      <c r="A898" s="1">
        <v>50</v>
      </c>
      <c r="B898" t="s">
        <v>19</v>
      </c>
      <c r="C898">
        <v>700</v>
      </c>
      <c r="D898">
        <v>0</v>
      </c>
      <c r="E898" t="s">
        <v>20</v>
      </c>
      <c r="F898" t="s">
        <v>20</v>
      </c>
      <c r="G898" t="str">
        <f>"2025-12-21 09:49:32.022"</f>
        <v>2025-12-21 09:49:32.022</v>
      </c>
      <c r="H898" t="s">
        <v>21</v>
      </c>
      <c r="I898">
        <v>0</v>
      </c>
      <c r="J898" t="s">
        <v>27</v>
      </c>
    </row>
    <row r="899" spans="1:10" x14ac:dyDescent="0.25">
      <c r="A899" s="1">
        <v>53</v>
      </c>
      <c r="B899" t="s">
        <v>25</v>
      </c>
      <c r="C899">
        <v>4</v>
      </c>
      <c r="D899">
        <v>1</v>
      </c>
      <c r="E899" t="s">
        <v>71</v>
      </c>
      <c r="F899" t="s">
        <v>72</v>
      </c>
      <c r="G899" t="str">
        <f>"2025-12-21 09:41:36.465"</f>
        <v>2025-12-21 09:41:36.465</v>
      </c>
      <c r="H899" t="s">
        <v>73</v>
      </c>
      <c r="I899">
        <v>0</v>
      </c>
      <c r="J899" t="s">
        <v>34</v>
      </c>
    </row>
    <row r="900" spans="1:10" x14ac:dyDescent="0.25">
      <c r="A900" s="1">
        <v>54</v>
      </c>
      <c r="B900" t="s">
        <v>19</v>
      </c>
      <c r="C900">
        <v>782</v>
      </c>
      <c r="D900">
        <v>7</v>
      </c>
      <c r="E900" t="s">
        <v>53</v>
      </c>
      <c r="F900" t="s">
        <v>54</v>
      </c>
      <c r="G900" t="str">
        <f>"2025-12-21 09:41:36.462"</f>
        <v>2025-12-21 09:41:36.462</v>
      </c>
      <c r="H900" t="s">
        <v>21</v>
      </c>
      <c r="I900">
        <v>0</v>
      </c>
      <c r="J900" t="s">
        <v>34</v>
      </c>
    </row>
    <row r="901" spans="1:10" x14ac:dyDescent="0.25">
      <c r="A901" s="1">
        <v>57</v>
      </c>
      <c r="B901" t="s">
        <v>22</v>
      </c>
      <c r="C901">
        <v>12</v>
      </c>
      <c r="D901">
        <v>2</v>
      </c>
      <c r="E901" t="s">
        <v>74</v>
      </c>
      <c r="F901" t="s">
        <v>75</v>
      </c>
      <c r="G901" t="str">
        <f>"2025-12-21 09:41:36.456"</f>
        <v>2025-12-21 09:41:36.456</v>
      </c>
      <c r="H901" t="s">
        <v>21</v>
      </c>
    </row>
    <row r="902" spans="1:10" x14ac:dyDescent="0.25">
      <c r="A902" s="1">
        <v>58</v>
      </c>
      <c r="B902" t="s">
        <v>22</v>
      </c>
      <c r="C902">
        <v>12</v>
      </c>
      <c r="D902">
        <v>1</v>
      </c>
      <c r="E902" t="s">
        <v>74</v>
      </c>
      <c r="F902" t="s">
        <v>76</v>
      </c>
      <c r="G902" t="str">
        <f>"2025-12-21 09:41:36.455"</f>
        <v>2025-12-21 09:41:36.455</v>
      </c>
      <c r="H902" t="s">
        <v>21</v>
      </c>
    </row>
    <row r="903" spans="1:10" x14ac:dyDescent="0.25">
      <c r="A903" s="1">
        <v>59</v>
      </c>
      <c r="B903" t="s">
        <v>22</v>
      </c>
      <c r="C903">
        <v>4</v>
      </c>
      <c r="D903">
        <v>1</v>
      </c>
      <c r="E903" t="s">
        <v>71</v>
      </c>
      <c r="F903" t="s">
        <v>72</v>
      </c>
      <c r="G903" t="str">
        <f>"2025-12-21 09:41:36.453"</f>
        <v>2025-12-21 09:41:36.453</v>
      </c>
      <c r="H903" t="s">
        <v>73</v>
      </c>
    </row>
    <row r="904" spans="1:10" x14ac:dyDescent="0.25">
      <c r="A904" s="1">
        <v>60</v>
      </c>
      <c r="B904" t="s">
        <v>19</v>
      </c>
      <c r="C904">
        <v>782</v>
      </c>
      <c r="D904">
        <v>7</v>
      </c>
      <c r="E904" t="s">
        <v>53</v>
      </c>
      <c r="F904" t="s">
        <v>54</v>
      </c>
      <c r="G904" t="str">
        <f>"2025-12-21 09:41:36.452"</f>
        <v>2025-12-21 09:41:36.452</v>
      </c>
      <c r="H904" t="s">
        <v>21</v>
      </c>
      <c r="I904">
        <v>0</v>
      </c>
      <c r="J904" t="s">
        <v>34</v>
      </c>
    </row>
    <row r="905" spans="1:10" x14ac:dyDescent="0.25">
      <c r="A905" s="1">
        <v>61</v>
      </c>
      <c r="B905" t="s">
        <v>19</v>
      </c>
      <c r="C905">
        <v>719</v>
      </c>
      <c r="D905">
        <v>1</v>
      </c>
      <c r="E905" t="s">
        <v>77</v>
      </c>
      <c r="F905" t="s">
        <v>78</v>
      </c>
      <c r="G905" t="str">
        <f>"2025-12-21 09:40:00.226"</f>
        <v>2025-12-21 09:40:00.226</v>
      </c>
      <c r="H905" t="s">
        <v>21</v>
      </c>
      <c r="I905">
        <v>0</v>
      </c>
      <c r="J905" t="s">
        <v>34</v>
      </c>
    </row>
    <row r="906" spans="1:10" x14ac:dyDescent="0.25">
      <c r="A906" s="1">
        <v>62</v>
      </c>
      <c r="B906" t="s">
        <v>22</v>
      </c>
      <c r="C906">
        <v>650</v>
      </c>
      <c r="D906">
        <v>4</v>
      </c>
      <c r="E906" t="s">
        <v>79</v>
      </c>
      <c r="F906" t="s">
        <v>80</v>
      </c>
      <c r="G906" t="str">
        <f>"2025-12-21 06:38:10.253"</f>
        <v>2025-12-21 06:38:10.253</v>
      </c>
      <c r="H906" t="s">
        <v>21</v>
      </c>
    </row>
    <row r="907" spans="1:10" x14ac:dyDescent="0.25">
      <c r="A907" s="1">
        <v>63</v>
      </c>
      <c r="B907" t="s">
        <v>22</v>
      </c>
      <c r="C907">
        <v>98</v>
      </c>
      <c r="D907">
        <v>1</v>
      </c>
      <c r="E907" t="s">
        <v>43</v>
      </c>
      <c r="F907" t="s">
        <v>44</v>
      </c>
      <c r="G907" t="str">
        <f>"2025-12-21 06:34:32.265"</f>
        <v>2025-12-21 06:34:32.265</v>
      </c>
      <c r="H907" t="s">
        <v>21</v>
      </c>
    </row>
    <row r="908" spans="1:10" x14ac:dyDescent="0.25">
      <c r="A908" s="1">
        <v>64</v>
      </c>
      <c r="B908" t="s">
        <v>25</v>
      </c>
      <c r="C908">
        <v>98</v>
      </c>
      <c r="D908">
        <v>1</v>
      </c>
      <c r="E908" t="s">
        <v>43</v>
      </c>
      <c r="F908" t="s">
        <v>44</v>
      </c>
      <c r="G908" t="str">
        <f>"2025-12-21 06:34:31.265"</f>
        <v>2025-12-21 06:34:31.265</v>
      </c>
      <c r="H908" t="s">
        <v>21</v>
      </c>
      <c r="I908">
        <v>0</v>
      </c>
      <c r="J908" t="s">
        <v>34</v>
      </c>
    </row>
    <row r="909" spans="1:10" x14ac:dyDescent="0.25">
      <c r="A909" s="1">
        <v>65</v>
      </c>
      <c r="B909" t="s">
        <v>22</v>
      </c>
      <c r="C909">
        <v>98</v>
      </c>
      <c r="D909">
        <v>1</v>
      </c>
      <c r="E909" t="s">
        <v>43</v>
      </c>
      <c r="F909" t="s">
        <v>44</v>
      </c>
      <c r="G909" t="str">
        <f>"2025-12-21 06:34:30.265"</f>
        <v>2025-12-21 06:34:30.265</v>
      </c>
      <c r="H909" t="s">
        <v>21</v>
      </c>
    </row>
    <row r="910" spans="1:10" x14ac:dyDescent="0.25">
      <c r="A910" s="1">
        <v>66</v>
      </c>
      <c r="B910" t="s">
        <v>25</v>
      </c>
      <c r="C910">
        <v>98</v>
      </c>
      <c r="D910">
        <v>1</v>
      </c>
      <c r="E910" t="s">
        <v>43</v>
      </c>
      <c r="F910" t="s">
        <v>44</v>
      </c>
      <c r="G910" t="str">
        <f>"2025-12-21 06:34:29.265"</f>
        <v>2025-12-21 06:34:29.265</v>
      </c>
      <c r="H910" t="s">
        <v>21</v>
      </c>
      <c r="I910">
        <v>0</v>
      </c>
      <c r="J910" t="s">
        <v>34</v>
      </c>
    </row>
    <row r="911" spans="1:10" x14ac:dyDescent="0.25">
      <c r="A911" s="1">
        <v>67</v>
      </c>
      <c r="B911" t="s">
        <v>19</v>
      </c>
      <c r="C911">
        <v>700</v>
      </c>
      <c r="D911">
        <v>0</v>
      </c>
      <c r="E911" t="s">
        <v>20</v>
      </c>
      <c r="F911" t="s">
        <v>20</v>
      </c>
      <c r="G911" t="str">
        <f>"2025-12-21 06:28:40.014"</f>
        <v>2025-12-21 06:28:40.014</v>
      </c>
      <c r="H911" t="s">
        <v>21</v>
      </c>
    </row>
    <row r="912" spans="1:10" x14ac:dyDescent="0.25">
      <c r="A912" s="1">
        <v>68</v>
      </c>
      <c r="B912" t="s">
        <v>19</v>
      </c>
      <c r="C912">
        <v>700</v>
      </c>
      <c r="D912">
        <v>0</v>
      </c>
      <c r="E912" t="s">
        <v>20</v>
      </c>
      <c r="F912" t="s">
        <v>20</v>
      </c>
      <c r="G912" t="str">
        <f>"2025-12-21 06:21:38.034"</f>
        <v>2025-12-21 06:21:38.034</v>
      </c>
      <c r="H912" t="s">
        <v>21</v>
      </c>
      <c r="I912">
        <v>0</v>
      </c>
      <c r="J912" t="s">
        <v>27</v>
      </c>
    </row>
    <row r="913" spans="1:10" x14ac:dyDescent="0.25">
      <c r="A913" s="1">
        <v>71</v>
      </c>
      <c r="B913" t="s">
        <v>19</v>
      </c>
      <c r="C913">
        <v>753</v>
      </c>
      <c r="D913">
        <v>1</v>
      </c>
      <c r="E913" t="s">
        <v>81</v>
      </c>
      <c r="F913" t="s">
        <v>82</v>
      </c>
      <c r="G913" t="str">
        <f>"2025-12-21 06:17:14.614"</f>
        <v>2025-12-21 06:17:14.614</v>
      </c>
      <c r="H913" t="s">
        <v>21</v>
      </c>
      <c r="I913">
        <v>0</v>
      </c>
      <c r="J913" t="s">
        <v>34</v>
      </c>
    </row>
    <row r="914" spans="1:10" x14ac:dyDescent="0.25">
      <c r="A914" s="1">
        <v>72</v>
      </c>
      <c r="B914" t="s">
        <v>39</v>
      </c>
      <c r="C914">
        <v>641</v>
      </c>
      <c r="D914">
        <v>1</v>
      </c>
      <c r="E914" t="s">
        <v>83</v>
      </c>
      <c r="F914" t="s">
        <v>75</v>
      </c>
      <c r="G914" t="str">
        <f>"2025-12-21 06:17:08.940"</f>
        <v>2025-12-21 06:17:08.940</v>
      </c>
      <c r="H914" t="s">
        <v>21</v>
      </c>
      <c r="I914">
        <v>0</v>
      </c>
      <c r="J914" t="s">
        <v>34</v>
      </c>
    </row>
    <row r="915" spans="1:10" x14ac:dyDescent="0.25">
      <c r="A915" s="1">
        <v>73</v>
      </c>
      <c r="B915" t="s">
        <v>39</v>
      </c>
      <c r="C915">
        <v>640</v>
      </c>
      <c r="D915">
        <v>1</v>
      </c>
      <c r="E915" t="s">
        <v>84</v>
      </c>
      <c r="F915" t="s">
        <v>76</v>
      </c>
      <c r="G915" t="str">
        <f>"2025-12-21 06:17:08.934"</f>
        <v>2025-12-21 06:17:08.934</v>
      </c>
      <c r="H915" t="s">
        <v>52</v>
      </c>
      <c r="I915">
        <v>0</v>
      </c>
      <c r="J915" t="s">
        <v>34</v>
      </c>
    </row>
    <row r="916" spans="1:10" x14ac:dyDescent="0.25">
      <c r="A916" s="1">
        <v>74</v>
      </c>
      <c r="B916" t="s">
        <v>25</v>
      </c>
      <c r="C916">
        <v>4</v>
      </c>
      <c r="D916">
        <v>1</v>
      </c>
      <c r="E916" t="s">
        <v>71</v>
      </c>
      <c r="F916" t="s">
        <v>72</v>
      </c>
      <c r="G916" t="str">
        <f>"2025-12-21 06:17:03.653"</f>
        <v>2025-12-21 06:17:03.653</v>
      </c>
      <c r="H916" t="s">
        <v>73</v>
      </c>
      <c r="I916">
        <v>0</v>
      </c>
      <c r="J916" t="s">
        <v>34</v>
      </c>
    </row>
    <row r="917" spans="1:10" x14ac:dyDescent="0.25">
      <c r="A917" s="1">
        <v>75</v>
      </c>
      <c r="B917" t="s">
        <v>25</v>
      </c>
      <c r="C917">
        <v>12</v>
      </c>
      <c r="D917">
        <v>1</v>
      </c>
      <c r="E917" t="s">
        <v>74</v>
      </c>
      <c r="F917" t="s">
        <v>76</v>
      </c>
      <c r="G917" t="str">
        <f>"2025-12-21 06:17:02.795"</f>
        <v>2025-12-21 06:17:02.795</v>
      </c>
      <c r="H917" t="s">
        <v>21</v>
      </c>
      <c r="I917">
        <v>0</v>
      </c>
      <c r="J917" t="s">
        <v>34</v>
      </c>
    </row>
    <row r="918" spans="1:10" x14ac:dyDescent="0.25">
      <c r="A918" s="1">
        <v>76</v>
      </c>
      <c r="B918" t="s">
        <v>25</v>
      </c>
      <c r="C918">
        <v>12</v>
      </c>
      <c r="D918">
        <v>2</v>
      </c>
      <c r="E918" t="s">
        <v>74</v>
      </c>
      <c r="F918" t="s">
        <v>75</v>
      </c>
      <c r="G918" t="str">
        <f>"2025-12-21 06:17:02.696"</f>
        <v>2025-12-21 06:17:02.696</v>
      </c>
      <c r="H918" t="s">
        <v>21</v>
      </c>
      <c r="I918">
        <v>0</v>
      </c>
      <c r="J918" t="s">
        <v>34</v>
      </c>
    </row>
    <row r="919" spans="1:10" x14ac:dyDescent="0.25">
      <c r="A919" s="1">
        <v>77</v>
      </c>
      <c r="B919" t="s">
        <v>25</v>
      </c>
      <c r="C919">
        <v>650</v>
      </c>
      <c r="D919">
        <v>4</v>
      </c>
      <c r="E919" t="s">
        <v>79</v>
      </c>
      <c r="F919" t="s">
        <v>80</v>
      </c>
      <c r="G919" t="str">
        <f>"2025-12-21 06:17:01.405"</f>
        <v>2025-12-21 06:17:01.405</v>
      </c>
      <c r="H919" t="s">
        <v>21</v>
      </c>
      <c r="I919">
        <v>0</v>
      </c>
      <c r="J919" t="s">
        <v>27</v>
      </c>
    </row>
    <row r="920" spans="1:10" x14ac:dyDescent="0.25">
      <c r="A920" s="1">
        <v>78</v>
      </c>
      <c r="B920" t="s">
        <v>19</v>
      </c>
      <c r="C920">
        <v>700</v>
      </c>
      <c r="D920">
        <v>0</v>
      </c>
      <c r="E920" t="s">
        <v>20</v>
      </c>
      <c r="F920" t="s">
        <v>20</v>
      </c>
      <c r="G920" t="str">
        <f>"2025-12-21 06:16:58.754"</f>
        <v>2025-12-21 06:16:58.754</v>
      </c>
      <c r="H920" t="s">
        <v>21</v>
      </c>
    </row>
  </sheetData>
  <autoFilter ref="C1:C920" xr:uid="{84631546-06F6-4BE9-A575-09B4BDDDDF1C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T19" sqref="T19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027CC5-9189-40AE-8571-E19A6A4E8C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events_ru_88_20260614-214505 50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2026-06-14T21:42:07Z</dcterms:modified>
</cp:coreProperties>
</file>
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4BFCEB2-7EBC-460F-B18B-A0AD34680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6_20260716-220936 57" sheetId="2" r:id="rId1"/>
    <sheet name="Лист1" sheetId="1" r:id="rId2"/>
  </sheets>
  <definedNames>
    <definedName name="_xlnm._FilterDatabase" localSheetId="0" hidden="1">'events_ru_86_20260716-220936 57'!$A$9:$J$1570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E75DA-0FF4-4248-A74D-990BCC9200A0}" keepAlive="1" name="Запрос — events_ru_86_20260716-220936 578" description="Соединение с запросом &quot;events_ru_86_20260716-220936 578&quot; в книге." type="5" refreshedVersion="0" background="1">
    <dbPr connection="Provider=Microsoft.Mashup.OleDb.1;Data Source=$Workbook$;Location=&quot;events_ru_86_20260716-220936 578&quot;;Extended Properties=&quot;&quot;" command="SELECT * FROM [events_ru_86_20260716-220936 578]"/>
  </connection>
</connections>
</file>

<file path=xl/sharedStrings.xml><?xml version="1.0" encoding="utf-8"?>
<sst xmlns="http://schemas.openxmlformats.org/spreadsheetml/2006/main" count="7296" uniqueCount="111">
  <si>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</si>
  <si>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</si>
  <si>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</si>
  <si>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</si>
  <si>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</si>
  <si>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</si>
  <si>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</si>
  <si>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</si>
  <si>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</si>
  <si>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</si>
  <si>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</si>
  <si>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</si>
  <si>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</si>
  <si>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</si>
  <si>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</si>
  <si>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</si>
  <si>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</si>
  <si>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</si>
  <si>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</si>
  <si>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</si>
  <si>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</si>
  <si>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</si>
  <si>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</si>
  <si>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</si>
  <si>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</si>
  <si>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</si>
  <si>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</si>
  <si>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</si>
  <si>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 xml:space="preserve">Log </t>
  </si>
  <si>
    <t>Retard</t>
  </si>
  <si>
    <t>WRst</t>
  </si>
  <si>
    <t>Ready</t>
  </si>
  <si>
    <t>Reset All Faults</t>
  </si>
  <si>
    <t>Zero</t>
  </si>
  <si>
    <t>Ошибка сети CAN (CAN1)</t>
  </si>
  <si>
    <t>Потеря связи - сеть CAN двигателя</t>
  </si>
  <si>
    <t>Нет Самонагрузки, Предел скорости (нижний)</t>
  </si>
  <si>
    <t>--Включение питания системы--</t>
  </si>
  <si>
    <t>Log+</t>
  </si>
  <si>
    <t>Вход в безопасный режим файловой системы - Запуск двигателя</t>
  </si>
  <si>
    <t>Самосвал перегружен - NR</t>
  </si>
  <si>
    <t>Не доступно</t>
  </si>
  <si>
    <t>Propel</t>
  </si>
  <si>
    <t>Null</t>
  </si>
  <si>
    <t>Rest</t>
  </si>
  <si>
    <t>TMC2 Отказ GDPS1 [FM589]</t>
  </si>
  <si>
    <t>Отключено питание гейт драйвера с разрешением</t>
  </si>
  <si>
    <t>Инв2 Выкл</t>
  </si>
  <si>
    <t>ARst</t>
  </si>
  <si>
    <t>TMC1 Чоппер 2 ИНВ (NR)</t>
  </si>
  <si>
    <t>Прерыватель 2 не выключен при напряжении пост. тока</t>
  </si>
  <si>
    <t>TMC2 Чоппер 2 ИНВ (NR)</t>
  </si>
  <si>
    <t>TMC1 Отказ GDPS1 [FM589]</t>
  </si>
  <si>
    <t>Инв1 Выкл</t>
  </si>
  <si>
    <t>Низкое напряжение АКБ</t>
  </si>
  <si>
    <t>Низкий заряд АКБ 24В КС - ДВС остановлен</t>
  </si>
  <si>
    <t>TMC2 Чоппер 1 ИНВ (NR)</t>
  </si>
  <si>
    <t>Чоппер 1 не выключен при напряжении пост. тока</t>
  </si>
  <si>
    <t>TMC1 Чоппер 1 ИНВ (NR)</t>
  </si>
  <si>
    <t>Начальная загрузка системы не из-за включения питания</t>
  </si>
  <si>
    <t>Быстрый таймер</t>
  </si>
  <si>
    <t>TMC1 Фаза С- ИНВ (NR)</t>
  </si>
  <si>
    <t>Фаза С- не выкл. при напряжении включения/пост. тока</t>
  </si>
  <si>
    <t>TMC1 Фаза В- ИНВ (NR)</t>
  </si>
  <si>
    <t>Фаза В- не выкл. при напряжении включения/пост. тока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</si>
  <si>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</si>
  <si>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</si>
  <si>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</si>
  <si>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</si>
  <si>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</si>
  <si>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</si>
  <si>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Низкая мощность</t>
  </si>
  <si>
    <t>Регулировка мощности в отрицательной зоне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</si>
  <si>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</si>
  <si>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</si>
  <si>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</si>
  <si>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Самопроизвольный останов ДВС</t>
  </si>
  <si>
    <t>Unrequested Engine Speed Drop - While Stopped</t>
  </si>
  <si>
    <t>Нет питания</t>
  </si>
  <si>
    <t>Получено предупреждение ДВС</t>
  </si>
  <si>
    <t>Запрет тяги</t>
  </si>
  <si>
    <t>Сравнение CMD скорости вращения ДВС</t>
  </si>
  <si>
    <t>ОБ/МИН не соответствуют команде</t>
  </si>
  <si>
    <t>Высокое показание датчика при выключенном ДВС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</si>
  <si>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</si>
  <si>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</si>
  <si>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</si>
  <si>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</si>
  <si>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</si>
  <si>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Команда сохранения данных PTU</t>
  </si>
  <si>
    <t>Инициированное водителем сохранение данных</t>
  </si>
  <si>
    <t xml:space="preserve">TMC1 ИНВ Фаза A+/фаза A- </t>
  </si>
  <si>
    <t>Отказ, насыщение IGBT фаза A-</t>
  </si>
  <si>
    <t>TMC1 Фаза А- ИНВ</t>
  </si>
  <si>
    <t>Модуль фазы А- не выключился</t>
  </si>
  <si>
    <t>TMC1 Фаза А- ИНВ (NR)</t>
  </si>
  <si>
    <t>Фаза A- не выкл. при напряжении включения/пост. тока</t>
  </si>
  <si>
    <t>Модули фаз A+ и A- вкл.</t>
  </si>
  <si>
    <t>Ошибка ЗПТ</t>
  </si>
  <si>
    <t>КЗ ЗПТ или отказ цепи возбуждения от АКБ</t>
  </si>
  <si>
    <t>Отказ педали ретардера</t>
  </si>
  <si>
    <t>Слишком низкое напряжение</t>
  </si>
  <si>
    <t>Слишком высокое напряжение</t>
  </si>
  <si>
    <t>Установка часов реального времени</t>
  </si>
  <si>
    <t>через WebPTU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</si>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</sst>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0442-6C56-4132-944F-7C28FFDFB394}">
  <dimension ref="A1:J1570"/>
  <sheetViews>
    <sheetView tabSelected="1" workbookViewId="0">
      <selection activeCell="E1156" sqref="E1156"/>
    </sheetView>
  </sheetViews>
  <sheetFormatPr defaultRowHeight="15" x14ac:dyDescent="0.25"/>
  <cols>
    <col min="1" max="1" width="16" bestFit="1" customWidth="1"/>
    <col min="5" max="5" width="48.42578125" customWidth="1"/>
    <col min="6" max="6" width="72.28515625" bestFit="1" customWidth="1"/>
    <col min="7" max="7" width="22" bestFit="1" customWidth="1"/>
    <col min="8" max="8" width="44.140625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"2026-07-16 22:09:36.578"</f>
        <v>2026-07-16 22:09:36.578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1</v>
      </c>
      <c r="E10" t="s">
        <v>20</v>
      </c>
      <c r="F10" t="s">
        <v>21</v>
      </c>
      <c r="G10" t="str">
        <f>"2026-07-16 22:08:01.150"</f>
        <v>2026-07-16 22:08:01.150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4</v>
      </c>
      <c r="E11" t="s">
        <v>24</v>
      </c>
      <c r="F11" t="s">
        <v>25</v>
      </c>
      <c r="G11" t="str">
        <f>"2026-07-16 22:07:57.739"</f>
        <v>2026-07-16 22:07:57.739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1</v>
      </c>
      <c r="E12" t="s">
        <v>20</v>
      </c>
      <c r="F12" t="s">
        <v>21</v>
      </c>
      <c r="G12" t="str">
        <f>"2026-07-16 22:05:36.554"</f>
        <v>2026-07-16 22:05:36.554</v>
      </c>
      <c r="H12" t="s">
        <v>22</v>
      </c>
      <c r="I12">
        <v>0.95</v>
      </c>
      <c r="J12" t="s">
        <v>29</v>
      </c>
    </row>
    <row r="13" spans="1:10" x14ac:dyDescent="0.25">
      <c r="A13" s="1"/>
      <c r="B13" t="s">
        <v>30</v>
      </c>
      <c r="C13">
        <v>630</v>
      </c>
      <c r="D13">
        <v>1</v>
      </c>
      <c r="E13" t="s">
        <v>20</v>
      </c>
      <c r="F13" t="s">
        <v>21</v>
      </c>
      <c r="G13" t="str">
        <f>"2026-07-16 22:05:36.550"</f>
        <v>2026-07-16 22:05:36.550</v>
      </c>
      <c r="H13" t="s">
        <v>22</v>
      </c>
    </row>
    <row r="14" spans="1:10" x14ac:dyDescent="0.25">
      <c r="A14" s="1"/>
      <c r="B14" t="s">
        <v>28</v>
      </c>
      <c r="C14">
        <v>630</v>
      </c>
      <c r="D14">
        <v>1</v>
      </c>
      <c r="E14" t="s">
        <v>20</v>
      </c>
      <c r="F14" t="s">
        <v>21</v>
      </c>
      <c r="G14" t="str">
        <f>"2026-07-16 22:03:07.150"</f>
        <v>2026-07-16 22:03:07.150</v>
      </c>
      <c r="H14" t="s">
        <v>22</v>
      </c>
      <c r="I14">
        <v>-0.75</v>
      </c>
      <c r="J14" t="s">
        <v>31</v>
      </c>
    </row>
    <row r="15" spans="1:10" x14ac:dyDescent="0.25">
      <c r="A15" s="1"/>
      <c r="B15" t="s">
        <v>23</v>
      </c>
      <c r="C15">
        <v>706</v>
      </c>
      <c r="D15">
        <v>4</v>
      </c>
      <c r="E15" t="s">
        <v>24</v>
      </c>
      <c r="F15" t="s">
        <v>25</v>
      </c>
      <c r="G15" t="str">
        <f>"2026-07-16 22:01:01.349"</f>
        <v>2026-07-16 22:01:01.349</v>
      </c>
      <c r="H15" t="s">
        <v>26</v>
      </c>
      <c r="I15">
        <v>0</v>
      </c>
      <c r="J15" t="s">
        <v>27</v>
      </c>
    </row>
    <row r="16" spans="1:10" x14ac:dyDescent="0.25">
      <c r="A16" s="1"/>
      <c r="B16" t="s">
        <v>23</v>
      </c>
      <c r="C16">
        <v>782</v>
      </c>
      <c r="D16">
        <v>7</v>
      </c>
      <c r="E16" t="s">
        <v>32</v>
      </c>
      <c r="F16" t="s">
        <v>33</v>
      </c>
      <c r="G16" t="str">
        <f>"2026-07-16 22:00:57.312"</f>
        <v>2026-07-16 22:00:57.312</v>
      </c>
      <c r="H16" t="s">
        <v>26</v>
      </c>
      <c r="I16">
        <v>0</v>
      </c>
      <c r="J16" t="s">
        <v>27</v>
      </c>
    </row>
    <row r="17" spans="1:10" x14ac:dyDescent="0.25">
      <c r="A17" s="1">
        <v>1</v>
      </c>
      <c r="B17" t="s">
        <v>19</v>
      </c>
      <c r="C17">
        <v>49</v>
      </c>
      <c r="D17">
        <v>1</v>
      </c>
      <c r="E17" t="s">
        <v>34</v>
      </c>
      <c r="F17" t="s">
        <v>35</v>
      </c>
      <c r="G17" t="str">
        <f>"2026-07-16 22:00:57.304"</f>
        <v>2026-07-16 22:00:57.304</v>
      </c>
      <c r="H17" t="s">
        <v>36</v>
      </c>
    </row>
    <row r="18" spans="1:10" x14ac:dyDescent="0.25">
      <c r="A18" s="1">
        <v>2</v>
      </c>
      <c r="B18" t="s">
        <v>23</v>
      </c>
      <c r="C18">
        <v>782</v>
      </c>
      <c r="D18">
        <v>7</v>
      </c>
      <c r="E18" t="s">
        <v>32</v>
      </c>
      <c r="F18" t="s">
        <v>33</v>
      </c>
      <c r="G18" t="str">
        <f>"2026-07-16 22:00:57.302"</f>
        <v>2026-07-16 22:00:57.302</v>
      </c>
      <c r="H18" t="s">
        <v>26</v>
      </c>
      <c r="I18">
        <v>0</v>
      </c>
      <c r="J18" t="s">
        <v>27</v>
      </c>
    </row>
    <row r="19" spans="1:10" x14ac:dyDescent="0.25">
      <c r="A19" s="1">
        <v>4</v>
      </c>
      <c r="B19" t="s">
        <v>23</v>
      </c>
      <c r="C19">
        <v>700</v>
      </c>
      <c r="D19">
        <v>0</v>
      </c>
      <c r="E19" t="s">
        <v>37</v>
      </c>
      <c r="F19" t="s">
        <v>37</v>
      </c>
      <c r="G19" t="str">
        <f>"2026-07-16 22:00:33.959"</f>
        <v>2026-07-16 22:00:33.959</v>
      </c>
      <c r="H19" t="s">
        <v>26</v>
      </c>
    </row>
    <row r="20" spans="1:10" x14ac:dyDescent="0.25">
      <c r="A20" s="1">
        <v>7</v>
      </c>
      <c r="B20" t="s">
        <v>38</v>
      </c>
      <c r="C20">
        <v>49</v>
      </c>
      <c r="D20">
        <v>1</v>
      </c>
      <c r="E20" t="s">
        <v>34</v>
      </c>
      <c r="F20" t="s">
        <v>35</v>
      </c>
      <c r="G20" t="str">
        <f>"2026-07-16 18:37:16.795"</f>
        <v>2026-07-16 18:37:16.795</v>
      </c>
      <c r="H20" t="s">
        <v>36</v>
      </c>
      <c r="I20">
        <v>0</v>
      </c>
      <c r="J20" t="s">
        <v>27</v>
      </c>
    </row>
    <row r="21" spans="1:10" x14ac:dyDescent="0.25">
      <c r="A21" s="1">
        <v>9</v>
      </c>
      <c r="B21" t="s">
        <v>23</v>
      </c>
      <c r="C21">
        <v>706</v>
      </c>
      <c r="D21">
        <v>2</v>
      </c>
      <c r="E21" t="s">
        <v>24</v>
      </c>
      <c r="F21" t="s">
        <v>39</v>
      </c>
      <c r="G21" t="str">
        <f>"2026-07-16 02:10:10.423"</f>
        <v>2026-07-16 02:10:10.423</v>
      </c>
      <c r="H21" t="s">
        <v>26</v>
      </c>
      <c r="I21">
        <v>0</v>
      </c>
      <c r="J21" t="s">
        <v>27</v>
      </c>
    </row>
    <row r="22" spans="1:10" x14ac:dyDescent="0.25">
      <c r="A22" s="1">
        <v>2</v>
      </c>
      <c r="B22" t="s">
        <v>23</v>
      </c>
      <c r="C22">
        <v>706</v>
      </c>
      <c r="D22">
        <v>4</v>
      </c>
      <c r="E22" t="s">
        <v>24</v>
      </c>
      <c r="F22" t="s">
        <v>25</v>
      </c>
      <c r="G22" t="str">
        <f>"2026-07-15 02:02:44.863"</f>
        <v>2026-07-15 02:02:44.863</v>
      </c>
      <c r="H22" t="s">
        <v>26</v>
      </c>
      <c r="I22">
        <v>0</v>
      </c>
      <c r="J22" t="s">
        <v>27</v>
      </c>
    </row>
    <row r="23" spans="1:10" x14ac:dyDescent="0.25">
      <c r="A23" s="1">
        <v>3</v>
      </c>
      <c r="B23" t="s">
        <v>23</v>
      </c>
      <c r="C23">
        <v>706</v>
      </c>
      <c r="D23">
        <v>4</v>
      </c>
      <c r="E23" t="s">
        <v>24</v>
      </c>
      <c r="F23" t="s">
        <v>25</v>
      </c>
      <c r="G23" t="str">
        <f>"2026-07-14 22:41:49.073"</f>
        <v>2026-07-14 22:41:49.073</v>
      </c>
      <c r="H23" t="s">
        <v>26</v>
      </c>
      <c r="I23">
        <v>0</v>
      </c>
      <c r="J23" t="s">
        <v>27</v>
      </c>
    </row>
    <row r="24" spans="1:10" x14ac:dyDescent="0.25">
      <c r="A24" s="1">
        <v>4</v>
      </c>
      <c r="B24" t="s">
        <v>19</v>
      </c>
      <c r="C24">
        <v>635</v>
      </c>
      <c r="D24">
        <v>1</v>
      </c>
      <c r="E24" t="s">
        <v>40</v>
      </c>
      <c r="F24" t="s">
        <v>41</v>
      </c>
      <c r="G24" t="str">
        <f>"2026-07-14 17:35:54.834"</f>
        <v>2026-07-14 17:35:54.834</v>
      </c>
      <c r="H24" t="s">
        <v>26</v>
      </c>
    </row>
    <row r="25" spans="1:10" x14ac:dyDescent="0.25">
      <c r="A25" s="1">
        <v>5</v>
      </c>
      <c r="B25" t="s">
        <v>38</v>
      </c>
      <c r="C25">
        <v>635</v>
      </c>
      <c r="D25">
        <v>1</v>
      </c>
      <c r="E25" t="s">
        <v>40</v>
      </c>
      <c r="F25" t="s">
        <v>41</v>
      </c>
      <c r="G25" t="str">
        <f>"2026-07-14 17:10:50.434"</f>
        <v>2026-07-14 17:10:50.434</v>
      </c>
      <c r="H25" t="s">
        <v>26</v>
      </c>
      <c r="I25">
        <v>0</v>
      </c>
      <c r="J25" t="s">
        <v>31</v>
      </c>
    </row>
    <row r="26" spans="1:10" x14ac:dyDescent="0.25">
      <c r="A26" s="1">
        <v>6</v>
      </c>
      <c r="B26" t="s">
        <v>19</v>
      </c>
      <c r="C26">
        <v>635</v>
      </c>
      <c r="D26">
        <v>1</v>
      </c>
      <c r="E26" t="s">
        <v>40</v>
      </c>
      <c r="F26" t="s">
        <v>41</v>
      </c>
      <c r="G26" t="str">
        <f>"2026-07-14 16:48:19.934"</f>
        <v>2026-07-14 16:48:19.934</v>
      </c>
      <c r="H26" t="s">
        <v>26</v>
      </c>
    </row>
    <row r="27" spans="1:10" x14ac:dyDescent="0.25">
      <c r="A27" s="1">
        <v>7</v>
      </c>
      <c r="B27" t="s">
        <v>38</v>
      </c>
      <c r="C27">
        <v>635</v>
      </c>
      <c r="D27">
        <v>1</v>
      </c>
      <c r="E27" t="s">
        <v>40</v>
      </c>
      <c r="F27" t="s">
        <v>41</v>
      </c>
      <c r="G27" t="str">
        <f>"2026-07-14 16:23:39.534"</f>
        <v>2026-07-14 16:23:39.534</v>
      </c>
      <c r="H27" t="s">
        <v>26</v>
      </c>
      <c r="I27">
        <v>5.0599999999999996</v>
      </c>
      <c r="J27" t="s">
        <v>42</v>
      </c>
    </row>
    <row r="28" spans="1:10" x14ac:dyDescent="0.25">
      <c r="A28" s="1">
        <v>8</v>
      </c>
      <c r="B28" t="s">
        <v>19</v>
      </c>
      <c r="C28">
        <v>49</v>
      </c>
      <c r="D28">
        <v>1</v>
      </c>
      <c r="E28" t="s">
        <v>34</v>
      </c>
      <c r="F28" t="s">
        <v>35</v>
      </c>
      <c r="G28" t="str">
        <f>"2026-07-14 12:52:59.495"</f>
        <v>2026-07-14 12:52:59.495</v>
      </c>
      <c r="H28" t="s">
        <v>36</v>
      </c>
    </row>
    <row r="29" spans="1:10" x14ac:dyDescent="0.25">
      <c r="A29" s="1">
        <v>9</v>
      </c>
      <c r="B29" t="s">
        <v>23</v>
      </c>
      <c r="C29">
        <v>706</v>
      </c>
      <c r="D29">
        <v>2</v>
      </c>
      <c r="E29" t="s">
        <v>24</v>
      </c>
      <c r="F29" t="s">
        <v>39</v>
      </c>
      <c r="G29" t="str">
        <f>"2026-07-14 12:52:58.623"</f>
        <v>2026-07-14 12:52:58.623</v>
      </c>
      <c r="H29" t="s">
        <v>26</v>
      </c>
      <c r="I29">
        <v>0</v>
      </c>
      <c r="J29" t="s">
        <v>27</v>
      </c>
    </row>
    <row r="30" spans="1:10" x14ac:dyDescent="0.25">
      <c r="A30" s="1">
        <v>1</v>
      </c>
      <c r="B30" t="s">
        <v>38</v>
      </c>
      <c r="C30">
        <v>49</v>
      </c>
      <c r="D30">
        <v>1</v>
      </c>
      <c r="E30" t="s">
        <v>34</v>
      </c>
      <c r="F30" t="s">
        <v>35</v>
      </c>
      <c r="G30" t="str">
        <f>"2026-07-14 12:33:30.095"</f>
        <v>2026-07-14 12:33:30.095</v>
      </c>
      <c r="H30" t="s">
        <v>36</v>
      </c>
      <c r="I30">
        <v>0</v>
      </c>
      <c r="J30" t="s">
        <v>27</v>
      </c>
    </row>
    <row r="31" spans="1:10" x14ac:dyDescent="0.25">
      <c r="A31" s="1">
        <v>3</v>
      </c>
      <c r="B31" t="s">
        <v>19</v>
      </c>
      <c r="C31">
        <v>635</v>
      </c>
      <c r="D31">
        <v>1</v>
      </c>
      <c r="E31" t="s">
        <v>40</v>
      </c>
      <c r="F31" t="s">
        <v>41</v>
      </c>
      <c r="G31" t="str">
        <f>"2026-07-14 04:21:12.434"</f>
        <v>2026-07-14 04:21:12.434</v>
      </c>
      <c r="H31" t="s">
        <v>26</v>
      </c>
    </row>
    <row r="32" spans="1:10" x14ac:dyDescent="0.25">
      <c r="A32" s="1">
        <v>4</v>
      </c>
      <c r="B32" t="s">
        <v>38</v>
      </c>
      <c r="C32">
        <v>635</v>
      </c>
      <c r="D32">
        <v>1</v>
      </c>
      <c r="E32" t="s">
        <v>40</v>
      </c>
      <c r="F32" t="s">
        <v>41</v>
      </c>
      <c r="G32" t="str">
        <f>"2026-07-14 04:15:35.934"</f>
        <v>2026-07-14 04:15:35.934</v>
      </c>
      <c r="H32" t="s">
        <v>26</v>
      </c>
      <c r="I32">
        <v>0</v>
      </c>
      <c r="J32" t="s">
        <v>31</v>
      </c>
    </row>
    <row r="33" spans="1:10" x14ac:dyDescent="0.25">
      <c r="A33" s="1">
        <v>5</v>
      </c>
      <c r="B33" t="s">
        <v>23</v>
      </c>
      <c r="C33">
        <v>706</v>
      </c>
      <c r="D33">
        <v>4</v>
      </c>
      <c r="E33" t="s">
        <v>24</v>
      </c>
      <c r="F33" t="s">
        <v>25</v>
      </c>
      <c r="G33" t="str">
        <f>"2026-07-13 18:55:31.813"</f>
        <v>2026-07-13 18:55:31.813</v>
      </c>
      <c r="H33" t="s">
        <v>26</v>
      </c>
      <c r="I33">
        <v>19.61</v>
      </c>
      <c r="J33" t="s">
        <v>29</v>
      </c>
    </row>
    <row r="34" spans="1:10" x14ac:dyDescent="0.25">
      <c r="A34" s="1">
        <v>6</v>
      </c>
      <c r="B34" t="s">
        <v>23</v>
      </c>
      <c r="C34">
        <v>706</v>
      </c>
      <c r="D34">
        <v>4</v>
      </c>
      <c r="E34" t="s">
        <v>24</v>
      </c>
      <c r="F34" t="s">
        <v>25</v>
      </c>
      <c r="G34" t="str">
        <f>"2026-07-13 02:05:58.073"</f>
        <v>2026-07-13 02:05:58.073</v>
      </c>
      <c r="H34" t="s">
        <v>26</v>
      </c>
      <c r="I34">
        <v>0</v>
      </c>
      <c r="J34" t="s">
        <v>27</v>
      </c>
    </row>
    <row r="35" spans="1:10" x14ac:dyDescent="0.25">
      <c r="A35" s="1">
        <v>7</v>
      </c>
      <c r="B35" t="s">
        <v>19</v>
      </c>
      <c r="C35">
        <v>635</v>
      </c>
      <c r="D35">
        <v>1</v>
      </c>
      <c r="E35" t="s">
        <v>40</v>
      </c>
      <c r="F35" t="s">
        <v>41</v>
      </c>
      <c r="G35" t="str">
        <f>"2026-07-12 19:27:40.534"</f>
        <v>2026-07-12 19:27:40.534</v>
      </c>
      <c r="H35" t="s">
        <v>26</v>
      </c>
    </row>
    <row r="36" spans="1:10" x14ac:dyDescent="0.25">
      <c r="A36" s="1">
        <v>8</v>
      </c>
      <c r="B36" t="s">
        <v>38</v>
      </c>
      <c r="C36">
        <v>635</v>
      </c>
      <c r="D36">
        <v>1</v>
      </c>
      <c r="E36" t="s">
        <v>40</v>
      </c>
      <c r="F36" t="s">
        <v>41</v>
      </c>
      <c r="G36" t="str">
        <f>"2026-07-12 19:24:31.534"</f>
        <v>2026-07-12 19:24:31.534</v>
      </c>
      <c r="H36" t="s">
        <v>26</v>
      </c>
      <c r="I36">
        <v>-0.01</v>
      </c>
      <c r="J36" t="s">
        <v>31</v>
      </c>
    </row>
    <row r="37" spans="1:10" x14ac:dyDescent="0.25">
      <c r="A37" s="1">
        <v>9</v>
      </c>
      <c r="B37" t="s">
        <v>23</v>
      </c>
      <c r="C37">
        <v>706</v>
      </c>
      <c r="D37">
        <v>4</v>
      </c>
      <c r="E37" t="s">
        <v>24</v>
      </c>
      <c r="F37" t="s">
        <v>25</v>
      </c>
      <c r="G37" t="str">
        <f>"2026-07-12 13:54:18.663"</f>
        <v>2026-07-12 13:54:18.663</v>
      </c>
      <c r="H37" t="s">
        <v>26</v>
      </c>
      <c r="I37">
        <v>17.3</v>
      </c>
      <c r="J37" t="s">
        <v>42</v>
      </c>
    </row>
    <row r="38" spans="1:10" x14ac:dyDescent="0.25">
      <c r="A38" s="1">
        <v>0</v>
      </c>
      <c r="B38" t="s">
        <v>23</v>
      </c>
      <c r="C38">
        <v>706</v>
      </c>
      <c r="D38">
        <v>4</v>
      </c>
      <c r="E38" t="s">
        <v>24</v>
      </c>
      <c r="F38" t="s">
        <v>25</v>
      </c>
      <c r="G38" t="str">
        <f>"2026-07-11 18:31:47.993"</f>
        <v>2026-07-11 18:31:47.993</v>
      </c>
      <c r="H38" t="s">
        <v>26</v>
      </c>
      <c r="I38">
        <v>0</v>
      </c>
      <c r="J38" t="s">
        <v>31</v>
      </c>
    </row>
    <row r="39" spans="1:10" x14ac:dyDescent="0.25">
      <c r="A39" s="1">
        <v>1</v>
      </c>
      <c r="B39" t="s">
        <v>23</v>
      </c>
      <c r="C39">
        <v>706</v>
      </c>
      <c r="D39">
        <v>4</v>
      </c>
      <c r="E39" t="s">
        <v>24</v>
      </c>
      <c r="F39" t="s">
        <v>25</v>
      </c>
      <c r="G39" t="str">
        <f>"2026-07-11 18:31:21.323"</f>
        <v>2026-07-11 18:31:21.323</v>
      </c>
      <c r="H39" t="s">
        <v>26</v>
      </c>
      <c r="I39">
        <v>0</v>
      </c>
      <c r="J39" t="s">
        <v>31</v>
      </c>
    </row>
    <row r="40" spans="1:10" x14ac:dyDescent="0.25">
      <c r="A40" s="1">
        <v>2</v>
      </c>
      <c r="B40" t="s">
        <v>23</v>
      </c>
      <c r="C40">
        <v>706</v>
      </c>
      <c r="D40">
        <v>4</v>
      </c>
      <c r="E40" t="s">
        <v>24</v>
      </c>
      <c r="F40" t="s">
        <v>25</v>
      </c>
      <c r="G40" t="str">
        <f>"2026-07-11 18:31:14.533"</f>
        <v>2026-07-11 18:31:14.533</v>
      </c>
      <c r="H40" t="s">
        <v>26</v>
      </c>
      <c r="I40">
        <v>11.93</v>
      </c>
      <c r="J40" t="s">
        <v>29</v>
      </c>
    </row>
    <row r="41" spans="1:10" x14ac:dyDescent="0.25">
      <c r="A41" s="1">
        <v>3</v>
      </c>
      <c r="B41" t="s">
        <v>23</v>
      </c>
      <c r="C41">
        <v>706</v>
      </c>
      <c r="D41">
        <v>4</v>
      </c>
      <c r="E41" t="s">
        <v>24</v>
      </c>
      <c r="F41" t="s">
        <v>25</v>
      </c>
      <c r="G41" t="str">
        <f>"2026-07-11 18:23:12.773"</f>
        <v>2026-07-11 18:23:12.773</v>
      </c>
      <c r="H41" t="s">
        <v>26</v>
      </c>
      <c r="I41">
        <v>18.55</v>
      </c>
      <c r="J41" t="s">
        <v>29</v>
      </c>
    </row>
    <row r="42" spans="1:10" x14ac:dyDescent="0.25">
      <c r="A42" s="1">
        <v>4</v>
      </c>
      <c r="B42" t="s">
        <v>23</v>
      </c>
      <c r="C42">
        <v>706</v>
      </c>
      <c r="D42">
        <v>4</v>
      </c>
      <c r="E42" t="s">
        <v>24</v>
      </c>
      <c r="F42" t="s">
        <v>25</v>
      </c>
      <c r="G42" t="str">
        <f>"2026-07-11 13:09:27.503"</f>
        <v>2026-07-11 13:09:27.503</v>
      </c>
      <c r="H42" t="s">
        <v>26</v>
      </c>
      <c r="I42">
        <v>0.02</v>
      </c>
      <c r="J42" t="s">
        <v>31</v>
      </c>
    </row>
    <row r="43" spans="1:10" x14ac:dyDescent="0.25">
      <c r="A43" s="1">
        <v>5</v>
      </c>
      <c r="B43" t="s">
        <v>23</v>
      </c>
      <c r="C43">
        <v>706</v>
      </c>
      <c r="D43">
        <v>4</v>
      </c>
      <c r="E43" t="s">
        <v>24</v>
      </c>
      <c r="F43" t="s">
        <v>25</v>
      </c>
      <c r="G43" t="str">
        <f>"2026-07-11 13:09:09.583"</f>
        <v>2026-07-11 13:09:09.583</v>
      </c>
      <c r="H43" t="s">
        <v>26</v>
      </c>
      <c r="I43">
        <v>-3.91</v>
      </c>
      <c r="J43" t="s">
        <v>29</v>
      </c>
    </row>
    <row r="44" spans="1:10" x14ac:dyDescent="0.25">
      <c r="A44" s="1">
        <v>6</v>
      </c>
      <c r="B44" t="s">
        <v>23</v>
      </c>
      <c r="C44">
        <v>706</v>
      </c>
      <c r="D44">
        <v>4</v>
      </c>
      <c r="E44" t="s">
        <v>24</v>
      </c>
      <c r="F44" t="s">
        <v>25</v>
      </c>
      <c r="G44" t="str">
        <f>"2026-07-11 13:04:44.963"</f>
        <v>2026-07-11 13:04:44.963</v>
      </c>
      <c r="H44" t="s">
        <v>26</v>
      </c>
      <c r="I44">
        <v>18.59</v>
      </c>
      <c r="J44" t="s">
        <v>42</v>
      </c>
    </row>
    <row r="45" spans="1:10" x14ac:dyDescent="0.25">
      <c r="A45" s="1">
        <v>7</v>
      </c>
      <c r="B45" t="s">
        <v>23</v>
      </c>
      <c r="C45">
        <v>706</v>
      </c>
      <c r="D45">
        <v>4</v>
      </c>
      <c r="E45" t="s">
        <v>24</v>
      </c>
      <c r="F45" t="s">
        <v>25</v>
      </c>
      <c r="G45" t="str">
        <f>"2026-07-11 13:04:34.172"</f>
        <v>2026-07-11 13:04:34.172</v>
      </c>
      <c r="H45" t="s">
        <v>26</v>
      </c>
      <c r="I45">
        <v>15.25</v>
      </c>
      <c r="J45" t="s">
        <v>42</v>
      </c>
    </row>
    <row r="46" spans="1:10" x14ac:dyDescent="0.25">
      <c r="A46" s="1">
        <v>8</v>
      </c>
      <c r="B46" t="s">
        <v>23</v>
      </c>
      <c r="C46">
        <v>706</v>
      </c>
      <c r="D46">
        <v>4</v>
      </c>
      <c r="E46" t="s">
        <v>24</v>
      </c>
      <c r="F46" t="s">
        <v>25</v>
      </c>
      <c r="G46" t="str">
        <f>"2026-07-11 13:04:24.983"</f>
        <v>2026-07-11 13:04:24.983</v>
      </c>
      <c r="H46" t="s">
        <v>26</v>
      </c>
      <c r="I46">
        <v>9.0399999999999991</v>
      </c>
      <c r="J46" t="s">
        <v>42</v>
      </c>
    </row>
    <row r="47" spans="1:10" x14ac:dyDescent="0.25">
      <c r="A47" s="1">
        <v>9</v>
      </c>
      <c r="B47" t="s">
        <v>23</v>
      </c>
      <c r="C47">
        <v>706</v>
      </c>
      <c r="D47">
        <v>4</v>
      </c>
      <c r="E47" t="s">
        <v>24</v>
      </c>
      <c r="F47" t="s">
        <v>25</v>
      </c>
      <c r="G47" t="str">
        <f>"2026-07-11 13:04:12.913"</f>
        <v>2026-07-11 13:04:12.913</v>
      </c>
      <c r="H47" t="s">
        <v>26</v>
      </c>
      <c r="I47">
        <v>12.26</v>
      </c>
      <c r="J47" t="s">
        <v>29</v>
      </c>
    </row>
    <row r="48" spans="1:10" x14ac:dyDescent="0.25">
      <c r="A48" s="1">
        <v>0</v>
      </c>
      <c r="B48" t="s">
        <v>23</v>
      </c>
      <c r="C48">
        <v>706</v>
      </c>
      <c r="D48">
        <v>4</v>
      </c>
      <c r="E48" t="s">
        <v>24</v>
      </c>
      <c r="F48" t="s">
        <v>25</v>
      </c>
      <c r="G48" t="str">
        <f>"2026-07-11 12:03:55.763"</f>
        <v>2026-07-11 12:03:55.763</v>
      </c>
      <c r="H48" t="s">
        <v>26</v>
      </c>
      <c r="I48">
        <v>21.93</v>
      </c>
      <c r="J48" t="s">
        <v>29</v>
      </c>
    </row>
    <row r="49" spans="1:10" x14ac:dyDescent="0.25">
      <c r="A49" s="1">
        <v>1</v>
      </c>
      <c r="B49" t="s">
        <v>23</v>
      </c>
      <c r="C49">
        <v>706</v>
      </c>
      <c r="D49">
        <v>4</v>
      </c>
      <c r="E49" t="s">
        <v>24</v>
      </c>
      <c r="F49" t="s">
        <v>25</v>
      </c>
      <c r="G49" t="str">
        <f>"2026-07-11 12:03:28.113"</f>
        <v>2026-07-11 12:03:28.113</v>
      </c>
      <c r="H49" t="s">
        <v>26</v>
      </c>
      <c r="I49">
        <v>24.43</v>
      </c>
      <c r="J49" t="s">
        <v>29</v>
      </c>
    </row>
    <row r="50" spans="1:10" x14ac:dyDescent="0.25">
      <c r="A50" s="1">
        <v>2</v>
      </c>
      <c r="B50" t="s">
        <v>23</v>
      </c>
      <c r="C50">
        <v>706</v>
      </c>
      <c r="D50">
        <v>4</v>
      </c>
      <c r="E50" t="s">
        <v>24</v>
      </c>
      <c r="F50" t="s">
        <v>25</v>
      </c>
      <c r="G50" t="str">
        <f>"2026-07-11 12:03:19.773"</f>
        <v>2026-07-11 12:03:19.773</v>
      </c>
      <c r="H50" t="s">
        <v>26</v>
      </c>
      <c r="I50">
        <v>17.739999999999998</v>
      </c>
      <c r="J50" t="s">
        <v>31</v>
      </c>
    </row>
    <row r="51" spans="1:10" x14ac:dyDescent="0.25">
      <c r="A51" s="1">
        <v>3</v>
      </c>
      <c r="B51" t="s">
        <v>23</v>
      </c>
      <c r="C51">
        <v>706</v>
      </c>
      <c r="D51">
        <v>4</v>
      </c>
      <c r="E51" t="s">
        <v>24</v>
      </c>
      <c r="F51" t="s">
        <v>25</v>
      </c>
      <c r="G51" t="str">
        <f>"2026-07-11 12:01:27.153"</f>
        <v>2026-07-11 12:01:27.153</v>
      </c>
      <c r="H51" t="s">
        <v>26</v>
      </c>
      <c r="I51">
        <v>16.71</v>
      </c>
      <c r="J51" t="s">
        <v>29</v>
      </c>
    </row>
    <row r="52" spans="1:10" x14ac:dyDescent="0.25">
      <c r="A52" s="1">
        <v>4</v>
      </c>
      <c r="B52" t="s">
        <v>23</v>
      </c>
      <c r="C52">
        <v>706</v>
      </c>
      <c r="D52">
        <v>4</v>
      </c>
      <c r="E52" t="s">
        <v>24</v>
      </c>
      <c r="F52" t="s">
        <v>25</v>
      </c>
      <c r="G52" t="str">
        <f>"2026-07-11 11:25:32.893"</f>
        <v>2026-07-11 11:25:32.893</v>
      </c>
      <c r="H52" t="s">
        <v>26</v>
      </c>
      <c r="I52">
        <v>8.76</v>
      </c>
      <c r="J52" t="s">
        <v>29</v>
      </c>
    </row>
    <row r="53" spans="1:10" x14ac:dyDescent="0.25">
      <c r="A53" s="1">
        <v>5</v>
      </c>
      <c r="B53" t="s">
        <v>23</v>
      </c>
      <c r="C53">
        <v>706</v>
      </c>
      <c r="D53">
        <v>4</v>
      </c>
      <c r="E53" t="s">
        <v>24</v>
      </c>
      <c r="F53" t="s">
        <v>25</v>
      </c>
      <c r="G53" t="str">
        <f>"2026-07-11 11:16:53.593"</f>
        <v>2026-07-11 11:16:53.593</v>
      </c>
      <c r="H53" t="s">
        <v>26</v>
      </c>
      <c r="I53">
        <v>24.91</v>
      </c>
      <c r="J53" t="s">
        <v>42</v>
      </c>
    </row>
    <row r="54" spans="1:10" x14ac:dyDescent="0.25">
      <c r="A54" s="1">
        <v>6</v>
      </c>
      <c r="B54" t="s">
        <v>23</v>
      </c>
      <c r="C54">
        <v>706</v>
      </c>
      <c r="D54">
        <v>4</v>
      </c>
      <c r="E54" t="s">
        <v>24</v>
      </c>
      <c r="F54" t="s">
        <v>25</v>
      </c>
      <c r="G54" t="str">
        <f>"2026-07-11 10:59:44.213"</f>
        <v>2026-07-11 10:59:44.213</v>
      </c>
      <c r="H54" t="s">
        <v>26</v>
      </c>
      <c r="I54">
        <v>15.33</v>
      </c>
      <c r="J54" t="s">
        <v>29</v>
      </c>
    </row>
    <row r="55" spans="1:10" x14ac:dyDescent="0.25">
      <c r="A55" s="1">
        <v>7</v>
      </c>
      <c r="B55" t="s">
        <v>23</v>
      </c>
      <c r="C55">
        <v>706</v>
      </c>
      <c r="D55">
        <v>4</v>
      </c>
      <c r="E55" t="s">
        <v>24</v>
      </c>
      <c r="F55" t="s">
        <v>25</v>
      </c>
      <c r="G55" t="str">
        <f>"2026-07-11 10:37:03.833"</f>
        <v>2026-07-11 10:37:03.833</v>
      </c>
      <c r="H55" t="s">
        <v>26</v>
      </c>
      <c r="I55">
        <v>0</v>
      </c>
      <c r="J55" t="s">
        <v>27</v>
      </c>
    </row>
    <row r="56" spans="1:10" x14ac:dyDescent="0.25">
      <c r="A56" s="1">
        <v>8</v>
      </c>
      <c r="B56" t="s">
        <v>19</v>
      </c>
      <c r="C56">
        <v>49</v>
      </c>
      <c r="D56">
        <v>1</v>
      </c>
      <c r="E56" t="s">
        <v>34</v>
      </c>
      <c r="F56" t="s">
        <v>35</v>
      </c>
      <c r="G56" t="str">
        <f>"2026-07-11 10:35:16.775"</f>
        <v>2026-07-11 10:35:16.775</v>
      </c>
      <c r="H56" t="s">
        <v>36</v>
      </c>
    </row>
    <row r="57" spans="1:10" x14ac:dyDescent="0.25">
      <c r="A57" s="1">
        <v>0</v>
      </c>
      <c r="B57" t="s">
        <v>23</v>
      </c>
      <c r="C57">
        <v>700</v>
      </c>
      <c r="D57">
        <v>0</v>
      </c>
      <c r="E57" t="s">
        <v>37</v>
      </c>
      <c r="F57" t="s">
        <v>37</v>
      </c>
      <c r="G57" t="str">
        <f>"2026-07-11 10:34:46.903"</f>
        <v>2026-07-11 10:34:46.903</v>
      </c>
      <c r="H57" t="s">
        <v>26</v>
      </c>
    </row>
    <row r="58" spans="1:10" x14ac:dyDescent="0.25">
      <c r="A58" s="1">
        <v>1</v>
      </c>
      <c r="B58" t="s">
        <v>23</v>
      </c>
      <c r="C58">
        <v>700</v>
      </c>
      <c r="D58">
        <v>0</v>
      </c>
      <c r="E58" t="s">
        <v>37</v>
      </c>
      <c r="F58" t="s">
        <v>37</v>
      </c>
      <c r="G58" t="str">
        <f>"2026-07-11 08:35:37.906"</f>
        <v>2026-07-11 08:35:37.906</v>
      </c>
      <c r="H58" t="s">
        <v>26</v>
      </c>
      <c r="I58">
        <v>0</v>
      </c>
      <c r="J58" t="s">
        <v>43</v>
      </c>
    </row>
    <row r="59" spans="1:10" x14ac:dyDescent="0.25">
      <c r="A59" s="1">
        <v>2</v>
      </c>
      <c r="B59" t="s">
        <v>38</v>
      </c>
      <c r="C59">
        <v>49</v>
      </c>
      <c r="D59">
        <v>1</v>
      </c>
      <c r="E59" t="s">
        <v>34</v>
      </c>
      <c r="F59" t="s">
        <v>35</v>
      </c>
      <c r="G59" t="str">
        <f>"2026-07-11 06:30:41.521"</f>
        <v>2026-07-11 06:30:41.521</v>
      </c>
      <c r="H59" t="s">
        <v>36</v>
      </c>
      <c r="I59">
        <v>0</v>
      </c>
      <c r="J59" t="s">
        <v>27</v>
      </c>
    </row>
    <row r="60" spans="1:10" x14ac:dyDescent="0.25">
      <c r="A60" s="1">
        <v>4</v>
      </c>
      <c r="B60" t="s">
        <v>23</v>
      </c>
      <c r="C60">
        <v>700</v>
      </c>
      <c r="D60">
        <v>0</v>
      </c>
      <c r="E60" t="s">
        <v>37</v>
      </c>
      <c r="F60" t="s">
        <v>37</v>
      </c>
      <c r="G60" t="str">
        <f>"2026-07-11 06:24:33.908"</f>
        <v>2026-07-11 06:24:33.908</v>
      </c>
      <c r="H60" t="s">
        <v>26</v>
      </c>
      <c r="I60">
        <v>0</v>
      </c>
      <c r="J60" t="s">
        <v>43</v>
      </c>
    </row>
    <row r="61" spans="1:10" x14ac:dyDescent="0.25">
      <c r="A61" s="1">
        <v>5</v>
      </c>
      <c r="B61" t="s">
        <v>19</v>
      </c>
      <c r="C61">
        <v>49</v>
      </c>
      <c r="D61">
        <v>1</v>
      </c>
      <c r="E61" t="s">
        <v>34</v>
      </c>
      <c r="F61" t="s">
        <v>35</v>
      </c>
      <c r="G61" t="str">
        <f>"2026-07-11 04:41:27.952"</f>
        <v>2026-07-11 04:41:27.952</v>
      </c>
      <c r="H61" t="s">
        <v>36</v>
      </c>
    </row>
    <row r="62" spans="1:10" x14ac:dyDescent="0.25">
      <c r="A62" s="1">
        <v>7</v>
      </c>
      <c r="B62" t="s">
        <v>38</v>
      </c>
      <c r="C62">
        <v>49</v>
      </c>
      <c r="D62">
        <v>1</v>
      </c>
      <c r="E62" t="s">
        <v>34</v>
      </c>
      <c r="F62" t="s">
        <v>35</v>
      </c>
      <c r="G62" t="str">
        <f>"2026-07-11 04:32:12.852"</f>
        <v>2026-07-11 04:32:12.852</v>
      </c>
      <c r="H62" t="s">
        <v>36</v>
      </c>
      <c r="I62">
        <v>0</v>
      </c>
      <c r="J62" t="s">
        <v>44</v>
      </c>
    </row>
    <row r="63" spans="1:10" x14ac:dyDescent="0.25">
      <c r="A63" s="1">
        <v>9</v>
      </c>
      <c r="B63" t="s">
        <v>23</v>
      </c>
      <c r="C63">
        <v>700</v>
      </c>
      <c r="D63">
        <v>0</v>
      </c>
      <c r="E63" t="s">
        <v>37</v>
      </c>
      <c r="F63" t="s">
        <v>37</v>
      </c>
      <c r="G63" t="str">
        <f>"2026-07-11 04:30:53.058"</f>
        <v>2026-07-11 04:30:53.058</v>
      </c>
      <c r="H63" t="s">
        <v>26</v>
      </c>
    </row>
    <row r="64" spans="1:10" x14ac:dyDescent="0.25">
      <c r="A64" s="1">
        <v>2</v>
      </c>
      <c r="B64" t="s">
        <v>23</v>
      </c>
      <c r="C64">
        <v>700</v>
      </c>
      <c r="D64">
        <v>0</v>
      </c>
      <c r="E64" t="s">
        <v>37</v>
      </c>
      <c r="F64" t="s">
        <v>37</v>
      </c>
      <c r="G64" t="str">
        <f>"2026-07-11 04:28:17.910"</f>
        <v>2026-07-11 04:28:17.910</v>
      </c>
      <c r="H64" t="s">
        <v>26</v>
      </c>
      <c r="I64">
        <v>0</v>
      </c>
      <c r="J64" t="s">
        <v>43</v>
      </c>
    </row>
    <row r="65" spans="1:10" x14ac:dyDescent="0.25">
      <c r="A65" s="1">
        <v>3</v>
      </c>
      <c r="B65" t="s">
        <v>23</v>
      </c>
      <c r="C65">
        <v>706</v>
      </c>
      <c r="D65">
        <v>2</v>
      </c>
      <c r="E65" t="s">
        <v>24</v>
      </c>
      <c r="F65" t="s">
        <v>39</v>
      </c>
      <c r="G65" t="str">
        <f>"2026-07-10 21:16:32.682"</f>
        <v>2026-07-10 21:16:32.682</v>
      </c>
      <c r="H65" t="s">
        <v>26</v>
      </c>
      <c r="I65">
        <v>0</v>
      </c>
      <c r="J65" t="s">
        <v>27</v>
      </c>
    </row>
    <row r="66" spans="1:10" x14ac:dyDescent="0.25">
      <c r="A66" s="1">
        <v>6</v>
      </c>
      <c r="B66" t="s">
        <v>23</v>
      </c>
      <c r="C66">
        <v>700</v>
      </c>
      <c r="D66">
        <v>0</v>
      </c>
      <c r="E66" t="s">
        <v>37</v>
      </c>
      <c r="F66" t="s">
        <v>37</v>
      </c>
      <c r="G66" t="str">
        <f>"2026-07-10 21:15:32.092"</f>
        <v>2026-07-10 21:15:32.092</v>
      </c>
      <c r="H66" t="s">
        <v>26</v>
      </c>
      <c r="I66">
        <v>0</v>
      </c>
      <c r="J66" t="s">
        <v>43</v>
      </c>
    </row>
    <row r="67" spans="1:10" x14ac:dyDescent="0.25">
      <c r="A67" s="1">
        <v>9</v>
      </c>
      <c r="B67" t="s">
        <v>23</v>
      </c>
      <c r="C67">
        <v>782</v>
      </c>
      <c r="D67">
        <v>7</v>
      </c>
      <c r="E67" t="s">
        <v>32</v>
      </c>
      <c r="F67" t="s">
        <v>33</v>
      </c>
      <c r="G67" t="str">
        <f>"2026-07-10 20:31:43.985"</f>
        <v>2026-07-10 20:31:43.985</v>
      </c>
      <c r="H67" t="s">
        <v>26</v>
      </c>
      <c r="I67">
        <v>0</v>
      </c>
      <c r="J67" t="s">
        <v>31</v>
      </c>
    </row>
    <row r="68" spans="1:10" x14ac:dyDescent="0.25">
      <c r="A68" s="1">
        <v>2</v>
      </c>
      <c r="B68" t="s">
        <v>19</v>
      </c>
      <c r="C68">
        <v>207</v>
      </c>
      <c r="D68">
        <v>2</v>
      </c>
      <c r="E68" t="s">
        <v>45</v>
      </c>
      <c r="F68" t="s">
        <v>46</v>
      </c>
      <c r="G68" t="str">
        <f>"2026-07-10 20:31:43.976"</f>
        <v>2026-07-10 20:31:43.976</v>
      </c>
      <c r="H68" t="s">
        <v>47</v>
      </c>
    </row>
    <row r="69" spans="1:10" x14ac:dyDescent="0.25">
      <c r="A69" s="1">
        <v>3</v>
      </c>
      <c r="B69" t="s">
        <v>23</v>
      </c>
      <c r="C69">
        <v>782</v>
      </c>
      <c r="D69">
        <v>7</v>
      </c>
      <c r="E69" t="s">
        <v>32</v>
      </c>
      <c r="F69" t="s">
        <v>33</v>
      </c>
      <c r="G69" t="str">
        <f>"2026-07-10 20:31:43.975"</f>
        <v>2026-07-10 20:31:43.975</v>
      </c>
      <c r="H69" t="s">
        <v>26</v>
      </c>
      <c r="I69">
        <v>0</v>
      </c>
      <c r="J69" t="s">
        <v>31</v>
      </c>
    </row>
    <row r="70" spans="1:10" x14ac:dyDescent="0.25">
      <c r="A70" s="1">
        <v>4</v>
      </c>
      <c r="B70" t="s">
        <v>48</v>
      </c>
      <c r="C70">
        <v>150</v>
      </c>
      <c r="D70">
        <v>7</v>
      </c>
      <c r="E70" t="s">
        <v>49</v>
      </c>
      <c r="F70" t="s">
        <v>50</v>
      </c>
      <c r="G70" t="str">
        <f>"2026-07-10 20:30:42.315"</f>
        <v>2026-07-10 20:30:42.315</v>
      </c>
      <c r="H70" t="s">
        <v>26</v>
      </c>
    </row>
    <row r="71" spans="1:10" x14ac:dyDescent="0.25">
      <c r="A71" s="1">
        <v>5</v>
      </c>
      <c r="B71" t="s">
        <v>28</v>
      </c>
      <c r="C71">
        <v>150</v>
      </c>
      <c r="D71">
        <v>7</v>
      </c>
      <c r="E71" t="s">
        <v>49</v>
      </c>
      <c r="F71" t="s">
        <v>50</v>
      </c>
      <c r="G71" t="str">
        <f>"2026-07-10 20:30:37.199"</f>
        <v>2026-07-10 20:30:37.199</v>
      </c>
      <c r="H71" t="s">
        <v>26</v>
      </c>
      <c r="I71">
        <v>0</v>
      </c>
      <c r="J71" t="s">
        <v>27</v>
      </c>
    </row>
    <row r="72" spans="1:10" x14ac:dyDescent="0.25">
      <c r="A72" s="1">
        <v>6</v>
      </c>
      <c r="B72" t="s">
        <v>38</v>
      </c>
      <c r="C72">
        <v>207</v>
      </c>
      <c r="D72">
        <v>2</v>
      </c>
      <c r="E72" t="s">
        <v>45</v>
      </c>
      <c r="F72" t="s">
        <v>46</v>
      </c>
      <c r="G72" t="str">
        <f>"2026-07-10 20:30:37.100"</f>
        <v>2026-07-10 20:30:37.100</v>
      </c>
      <c r="H72" t="s">
        <v>47</v>
      </c>
      <c r="I72">
        <v>0</v>
      </c>
      <c r="J72" t="s">
        <v>27</v>
      </c>
    </row>
    <row r="73" spans="1:10" x14ac:dyDescent="0.25">
      <c r="A73" s="1">
        <v>7</v>
      </c>
      <c r="B73" t="s">
        <v>23</v>
      </c>
      <c r="C73">
        <v>700</v>
      </c>
      <c r="D73">
        <v>0</v>
      </c>
      <c r="E73" t="s">
        <v>37</v>
      </c>
      <c r="F73" t="s">
        <v>37</v>
      </c>
      <c r="G73" t="str">
        <f>"2026-07-10 20:30:16.009"</f>
        <v>2026-07-10 20:30:16.009</v>
      </c>
      <c r="H73" t="s">
        <v>26</v>
      </c>
      <c r="I73">
        <v>0</v>
      </c>
      <c r="J73" t="s">
        <v>43</v>
      </c>
    </row>
    <row r="74" spans="1:10" x14ac:dyDescent="0.25">
      <c r="A74" s="1">
        <v>8</v>
      </c>
      <c r="B74" t="s">
        <v>23</v>
      </c>
      <c r="C74">
        <v>700</v>
      </c>
      <c r="D74">
        <v>0</v>
      </c>
      <c r="E74" t="s">
        <v>37</v>
      </c>
      <c r="F74" t="s">
        <v>37</v>
      </c>
      <c r="G74" t="str">
        <f>"2026-07-10 20:16:09.882"</f>
        <v>2026-07-10 20:16:09.882</v>
      </c>
      <c r="H74" t="s">
        <v>26</v>
      </c>
      <c r="I74">
        <v>0</v>
      </c>
      <c r="J74" t="s">
        <v>43</v>
      </c>
    </row>
    <row r="75" spans="1:10" x14ac:dyDescent="0.25">
      <c r="A75" s="1">
        <v>9</v>
      </c>
      <c r="B75" t="s">
        <v>23</v>
      </c>
      <c r="C75">
        <v>706</v>
      </c>
      <c r="D75">
        <v>4</v>
      </c>
      <c r="E75" t="s">
        <v>24</v>
      </c>
      <c r="F75" t="s">
        <v>25</v>
      </c>
      <c r="G75" t="str">
        <f>"2026-07-10 19:29:25.494"</f>
        <v>2026-07-10 19:29:25.494</v>
      </c>
      <c r="H75" t="s">
        <v>26</v>
      </c>
      <c r="I75">
        <v>0</v>
      </c>
      <c r="J75" t="s">
        <v>27</v>
      </c>
    </row>
    <row r="76" spans="1:10" x14ac:dyDescent="0.25">
      <c r="A76" s="1">
        <v>0</v>
      </c>
      <c r="B76" t="s">
        <v>23</v>
      </c>
      <c r="C76">
        <v>700</v>
      </c>
      <c r="D76">
        <v>0</v>
      </c>
      <c r="E76" t="s">
        <v>37</v>
      </c>
      <c r="F76" t="s">
        <v>37</v>
      </c>
      <c r="G76" t="str">
        <f>"2026-07-10 19:28:34.954"</f>
        <v>2026-07-10 19:28:34.954</v>
      </c>
      <c r="H76" t="s">
        <v>26</v>
      </c>
      <c r="I76">
        <v>0</v>
      </c>
      <c r="J76" t="s">
        <v>43</v>
      </c>
    </row>
    <row r="77" spans="1:10" x14ac:dyDescent="0.25">
      <c r="A77" s="1">
        <v>1</v>
      </c>
      <c r="B77" t="s">
        <v>23</v>
      </c>
      <c r="C77">
        <v>706</v>
      </c>
      <c r="D77">
        <v>2</v>
      </c>
      <c r="E77" t="s">
        <v>24</v>
      </c>
      <c r="F77" t="s">
        <v>39</v>
      </c>
      <c r="G77" t="str">
        <f>"2026-07-10 18:51:55.049"</f>
        <v>2026-07-10 18:51:55.049</v>
      </c>
      <c r="H77" t="s">
        <v>26</v>
      </c>
      <c r="I77">
        <v>0</v>
      </c>
      <c r="J77" t="s">
        <v>27</v>
      </c>
    </row>
    <row r="78" spans="1:10" x14ac:dyDescent="0.25">
      <c r="A78" s="1">
        <v>2</v>
      </c>
      <c r="B78" t="s">
        <v>23</v>
      </c>
      <c r="C78">
        <v>700</v>
      </c>
      <c r="D78">
        <v>0</v>
      </c>
      <c r="E78" t="s">
        <v>37</v>
      </c>
      <c r="F78" t="s">
        <v>37</v>
      </c>
      <c r="G78" t="str">
        <f>"2026-07-10 18:51:36.919"</f>
        <v>2026-07-10 18:51:36.919</v>
      </c>
      <c r="H78" t="s">
        <v>26</v>
      </c>
      <c r="I78">
        <v>0</v>
      </c>
      <c r="J78" t="s">
        <v>43</v>
      </c>
    </row>
    <row r="79" spans="1:10" x14ac:dyDescent="0.25">
      <c r="A79" s="1">
        <v>3</v>
      </c>
      <c r="B79" t="s">
        <v>23</v>
      </c>
      <c r="C79">
        <v>700</v>
      </c>
      <c r="D79">
        <v>0</v>
      </c>
      <c r="E79" t="s">
        <v>37</v>
      </c>
      <c r="F79" t="s">
        <v>37</v>
      </c>
      <c r="G79" t="str">
        <f>"2026-07-10 18:21:33.218"</f>
        <v>2026-07-10 18:21:33.218</v>
      </c>
      <c r="H79" t="s">
        <v>26</v>
      </c>
      <c r="I79">
        <v>0</v>
      </c>
      <c r="J79" t="s">
        <v>43</v>
      </c>
    </row>
    <row r="80" spans="1:10" x14ac:dyDescent="0.25">
      <c r="A80" s="1">
        <v>4</v>
      </c>
      <c r="B80" t="s">
        <v>23</v>
      </c>
      <c r="C80">
        <v>700</v>
      </c>
      <c r="D80">
        <v>0</v>
      </c>
      <c r="E80" t="s">
        <v>37</v>
      </c>
      <c r="F80" t="s">
        <v>37</v>
      </c>
      <c r="G80" t="str">
        <f>"2026-07-10 18:10:13.970"</f>
        <v>2026-07-10 18:10:13.970</v>
      </c>
      <c r="H80" t="s">
        <v>26</v>
      </c>
      <c r="I80">
        <v>0</v>
      </c>
      <c r="J80" t="s">
        <v>43</v>
      </c>
    </row>
    <row r="81" spans="1:10" x14ac:dyDescent="0.25">
      <c r="A81" s="1">
        <v>5</v>
      </c>
      <c r="B81" t="s">
        <v>23</v>
      </c>
      <c r="C81">
        <v>700</v>
      </c>
      <c r="D81">
        <v>0</v>
      </c>
      <c r="E81" t="s">
        <v>37</v>
      </c>
      <c r="F81" t="s">
        <v>37</v>
      </c>
      <c r="G81" t="str">
        <f>"2026-07-10 17:35:42.035"</f>
        <v>2026-07-10 17:35:42.035</v>
      </c>
      <c r="H81" t="s">
        <v>26</v>
      </c>
    </row>
    <row r="82" spans="1:10" x14ac:dyDescent="0.25">
      <c r="A82" s="1">
        <v>6</v>
      </c>
      <c r="B82" t="s">
        <v>23</v>
      </c>
      <c r="C82">
        <v>706</v>
      </c>
      <c r="D82">
        <v>4</v>
      </c>
      <c r="E82" t="s">
        <v>24</v>
      </c>
      <c r="F82" t="s">
        <v>25</v>
      </c>
      <c r="G82" t="str">
        <f>"2026-07-10 15:15:41.271"</f>
        <v>2026-07-10 15:15:41.271</v>
      </c>
      <c r="H82" t="s">
        <v>26</v>
      </c>
      <c r="I82">
        <v>0</v>
      </c>
      <c r="J82" t="s">
        <v>27</v>
      </c>
    </row>
    <row r="83" spans="1:10" x14ac:dyDescent="0.25">
      <c r="A83" s="1">
        <v>9</v>
      </c>
      <c r="B83" t="s">
        <v>23</v>
      </c>
      <c r="C83">
        <v>782</v>
      </c>
      <c r="D83">
        <v>7</v>
      </c>
      <c r="E83" t="s">
        <v>32</v>
      </c>
      <c r="F83" t="s">
        <v>33</v>
      </c>
      <c r="G83" t="str">
        <f>"2026-07-10 15:11:29.298"</f>
        <v>2026-07-10 15:11:29.298</v>
      </c>
      <c r="H83" t="s">
        <v>26</v>
      </c>
      <c r="I83">
        <v>0</v>
      </c>
      <c r="J83" t="s">
        <v>27</v>
      </c>
    </row>
    <row r="84" spans="1:10" x14ac:dyDescent="0.25">
      <c r="A84" s="1">
        <v>2</v>
      </c>
      <c r="B84" t="s">
        <v>19</v>
      </c>
      <c r="C84">
        <v>250</v>
      </c>
      <c r="D84">
        <v>7</v>
      </c>
      <c r="E84" t="s">
        <v>51</v>
      </c>
      <c r="F84" t="s">
        <v>50</v>
      </c>
      <c r="G84" t="str">
        <f>"2026-07-10 15:11:29.288"</f>
        <v>2026-07-10 15:11:29.288</v>
      </c>
      <c r="H84" t="s">
        <v>26</v>
      </c>
    </row>
    <row r="85" spans="1:10" x14ac:dyDescent="0.25">
      <c r="A85" s="1">
        <v>3</v>
      </c>
      <c r="B85" t="s">
        <v>19</v>
      </c>
      <c r="C85">
        <v>150</v>
      </c>
      <c r="D85">
        <v>7</v>
      </c>
      <c r="E85" t="s">
        <v>49</v>
      </c>
      <c r="F85" t="s">
        <v>50</v>
      </c>
      <c r="G85" t="str">
        <f>"2026-07-10 15:11:29.286"</f>
        <v>2026-07-10 15:11:29.286</v>
      </c>
      <c r="H85" t="s">
        <v>26</v>
      </c>
    </row>
    <row r="86" spans="1:10" x14ac:dyDescent="0.25">
      <c r="A86" s="1">
        <v>4</v>
      </c>
      <c r="B86" t="s">
        <v>19</v>
      </c>
      <c r="C86">
        <v>107</v>
      </c>
      <c r="D86">
        <v>2</v>
      </c>
      <c r="E86" t="s">
        <v>52</v>
      </c>
      <c r="F86" t="s">
        <v>46</v>
      </c>
      <c r="G86" t="str">
        <f>"2026-07-10 15:11:29.284"</f>
        <v>2026-07-10 15:11:29.284</v>
      </c>
      <c r="H86" t="s">
        <v>53</v>
      </c>
    </row>
    <row r="87" spans="1:10" x14ac:dyDescent="0.25">
      <c r="A87" s="1">
        <v>5</v>
      </c>
      <c r="B87" t="s">
        <v>23</v>
      </c>
      <c r="C87">
        <v>782</v>
      </c>
      <c r="D87">
        <v>7</v>
      </c>
      <c r="E87" t="s">
        <v>32</v>
      </c>
      <c r="F87" t="s">
        <v>33</v>
      </c>
      <c r="G87" t="str">
        <f>"2026-07-10 15:11:29.282"</f>
        <v>2026-07-10 15:11:29.282</v>
      </c>
      <c r="H87" t="s">
        <v>26</v>
      </c>
      <c r="I87">
        <v>0</v>
      </c>
      <c r="J87" t="s">
        <v>27</v>
      </c>
    </row>
    <row r="88" spans="1:10" x14ac:dyDescent="0.25">
      <c r="A88" s="1">
        <v>6</v>
      </c>
      <c r="B88" t="s">
        <v>23</v>
      </c>
      <c r="C88">
        <v>700</v>
      </c>
      <c r="D88">
        <v>0</v>
      </c>
      <c r="E88" t="s">
        <v>37</v>
      </c>
      <c r="F88" t="s">
        <v>37</v>
      </c>
      <c r="G88" t="str">
        <f>"2026-07-10 15:11:08.901"</f>
        <v>2026-07-10 15:11:08.901</v>
      </c>
      <c r="H88" t="s">
        <v>26</v>
      </c>
      <c r="I88">
        <v>0</v>
      </c>
      <c r="J88" t="s">
        <v>43</v>
      </c>
    </row>
    <row r="89" spans="1:10" x14ac:dyDescent="0.25">
      <c r="A89" s="1">
        <v>7</v>
      </c>
      <c r="B89" t="s">
        <v>19</v>
      </c>
      <c r="C89">
        <v>207</v>
      </c>
      <c r="D89">
        <v>2</v>
      </c>
      <c r="E89" t="s">
        <v>45</v>
      </c>
      <c r="F89" t="s">
        <v>46</v>
      </c>
      <c r="G89" t="str">
        <f>"2026-07-10 14:44:56.286"</f>
        <v>2026-07-10 14:44:56.286</v>
      </c>
      <c r="H89" t="s">
        <v>47</v>
      </c>
    </row>
    <row r="90" spans="1:10" x14ac:dyDescent="0.25">
      <c r="A90" s="1">
        <v>8</v>
      </c>
      <c r="B90" t="s">
        <v>23</v>
      </c>
      <c r="C90">
        <v>706</v>
      </c>
      <c r="D90">
        <v>2</v>
      </c>
      <c r="E90" t="s">
        <v>24</v>
      </c>
      <c r="F90" t="s">
        <v>39</v>
      </c>
      <c r="G90" t="str">
        <f>"2026-07-10 14:42:48.514"</f>
        <v>2026-07-10 14:42:48.514</v>
      </c>
      <c r="H90" t="s">
        <v>26</v>
      </c>
      <c r="I90">
        <v>0</v>
      </c>
      <c r="J90" t="s">
        <v>27</v>
      </c>
    </row>
    <row r="91" spans="1:10" x14ac:dyDescent="0.25">
      <c r="A91" s="1">
        <v>9</v>
      </c>
      <c r="B91" t="s">
        <v>23</v>
      </c>
      <c r="C91">
        <v>700</v>
      </c>
      <c r="D91">
        <v>0</v>
      </c>
      <c r="E91" t="s">
        <v>37</v>
      </c>
      <c r="F91" t="s">
        <v>37</v>
      </c>
      <c r="G91" t="str">
        <f>"2026-07-10 14:42:22.904"</f>
        <v>2026-07-10 14:42:22.904</v>
      </c>
      <c r="H91" t="s">
        <v>26</v>
      </c>
    </row>
    <row r="92" spans="1:10" x14ac:dyDescent="0.25">
      <c r="A92" s="1">
        <v>12</v>
      </c>
      <c r="B92" t="s">
        <v>19</v>
      </c>
      <c r="C92">
        <v>43</v>
      </c>
      <c r="D92">
        <v>2</v>
      </c>
      <c r="E92" t="s">
        <v>54</v>
      </c>
      <c r="F92" t="s">
        <v>55</v>
      </c>
      <c r="G92" t="str">
        <f>"2026-07-10 14:26:13.138"</f>
        <v>2026-07-10 14:26:13.138</v>
      </c>
      <c r="H92" t="s">
        <v>22</v>
      </c>
    </row>
    <row r="93" spans="1:10" x14ac:dyDescent="0.25">
      <c r="A93" s="1">
        <v>13</v>
      </c>
      <c r="B93" t="s">
        <v>38</v>
      </c>
      <c r="C93">
        <v>250</v>
      </c>
      <c r="D93">
        <v>7</v>
      </c>
      <c r="E93" t="s">
        <v>51</v>
      </c>
      <c r="F93" t="s">
        <v>50</v>
      </c>
      <c r="G93" t="str">
        <f>"2026-07-10 14:26:04.000"</f>
        <v>2026-07-10 14:26:04.000</v>
      </c>
      <c r="H93" t="s">
        <v>26</v>
      </c>
      <c r="I93">
        <v>0</v>
      </c>
      <c r="J93" t="s">
        <v>27</v>
      </c>
    </row>
    <row r="94" spans="1:10" x14ac:dyDescent="0.25">
      <c r="A94" s="1">
        <v>14</v>
      </c>
      <c r="B94" t="s">
        <v>48</v>
      </c>
      <c r="C94">
        <v>250</v>
      </c>
      <c r="D94">
        <v>7</v>
      </c>
      <c r="E94" t="s">
        <v>51</v>
      </c>
      <c r="F94" t="s">
        <v>50</v>
      </c>
      <c r="G94" t="str">
        <f>"2026-07-10 14:26:03.921"</f>
        <v>2026-07-10 14:26:03.921</v>
      </c>
      <c r="H94" t="s">
        <v>26</v>
      </c>
    </row>
    <row r="95" spans="1:10" x14ac:dyDescent="0.25">
      <c r="A95" s="1">
        <v>15</v>
      </c>
      <c r="B95" t="s">
        <v>48</v>
      </c>
      <c r="C95">
        <v>248</v>
      </c>
      <c r="D95">
        <v>7</v>
      </c>
      <c r="E95" t="s">
        <v>56</v>
      </c>
      <c r="F95" t="s">
        <v>57</v>
      </c>
      <c r="G95" t="str">
        <f>"2026-07-10 14:26:03.821"</f>
        <v>2026-07-10 14:26:03.821</v>
      </c>
      <c r="H95" t="s">
        <v>26</v>
      </c>
    </row>
    <row r="96" spans="1:10" x14ac:dyDescent="0.25">
      <c r="A96" s="1">
        <v>16</v>
      </c>
      <c r="B96" t="s">
        <v>38</v>
      </c>
      <c r="C96">
        <v>150</v>
      </c>
      <c r="D96">
        <v>7</v>
      </c>
      <c r="E96" t="s">
        <v>49</v>
      </c>
      <c r="F96" t="s">
        <v>50</v>
      </c>
      <c r="G96" t="str">
        <f>"2026-07-10 14:26:02.900"</f>
        <v>2026-07-10 14:26:02.900</v>
      </c>
      <c r="H96" t="s">
        <v>26</v>
      </c>
      <c r="I96">
        <v>0</v>
      </c>
      <c r="J96" t="s">
        <v>27</v>
      </c>
    </row>
    <row r="97" spans="1:10" x14ac:dyDescent="0.25">
      <c r="A97" s="1">
        <v>17</v>
      </c>
      <c r="B97" t="s">
        <v>48</v>
      </c>
      <c r="C97">
        <v>150</v>
      </c>
      <c r="D97">
        <v>7</v>
      </c>
      <c r="E97" t="s">
        <v>49</v>
      </c>
      <c r="F97" t="s">
        <v>50</v>
      </c>
      <c r="G97" t="str">
        <f>"2026-07-10 14:26:02.821"</f>
        <v>2026-07-10 14:26:02.821</v>
      </c>
      <c r="H97" t="s">
        <v>26</v>
      </c>
    </row>
    <row r="98" spans="1:10" x14ac:dyDescent="0.25">
      <c r="A98" s="1">
        <v>18</v>
      </c>
      <c r="B98" t="s">
        <v>48</v>
      </c>
      <c r="C98">
        <v>148</v>
      </c>
      <c r="D98">
        <v>7</v>
      </c>
      <c r="E98" t="s">
        <v>58</v>
      </c>
      <c r="F98" t="s">
        <v>57</v>
      </c>
      <c r="G98" t="str">
        <f>"2026-07-10 14:26:02.721"</f>
        <v>2026-07-10 14:26:02.721</v>
      </c>
      <c r="H98" t="s">
        <v>26</v>
      </c>
    </row>
    <row r="99" spans="1:10" x14ac:dyDescent="0.25">
      <c r="A99" s="1">
        <v>19</v>
      </c>
      <c r="B99" t="s">
        <v>28</v>
      </c>
      <c r="C99">
        <v>248</v>
      </c>
      <c r="D99">
        <v>7</v>
      </c>
      <c r="E99" t="s">
        <v>56</v>
      </c>
      <c r="F99" t="s">
        <v>57</v>
      </c>
      <c r="G99" t="str">
        <f>"2026-07-10 14:25:58.765"</f>
        <v>2026-07-10 14:25:58.765</v>
      </c>
      <c r="H99" t="s">
        <v>26</v>
      </c>
      <c r="I99">
        <v>0</v>
      </c>
      <c r="J99" t="s">
        <v>27</v>
      </c>
    </row>
    <row r="100" spans="1:10" x14ac:dyDescent="0.25">
      <c r="A100" s="1">
        <v>20</v>
      </c>
      <c r="B100" t="s">
        <v>28</v>
      </c>
      <c r="C100">
        <v>250</v>
      </c>
      <c r="D100">
        <v>7</v>
      </c>
      <c r="E100" t="s">
        <v>51</v>
      </c>
      <c r="F100" t="s">
        <v>50</v>
      </c>
      <c r="G100" t="str">
        <f>"2026-07-10 14:25:58.760"</f>
        <v>2026-07-10 14:25:58.760</v>
      </c>
      <c r="H100" t="s">
        <v>26</v>
      </c>
      <c r="I100">
        <v>0</v>
      </c>
      <c r="J100" t="s">
        <v>27</v>
      </c>
    </row>
    <row r="101" spans="1:10" x14ac:dyDescent="0.25">
      <c r="A101" s="1">
        <v>21</v>
      </c>
      <c r="B101" t="s">
        <v>28</v>
      </c>
      <c r="C101">
        <v>150</v>
      </c>
      <c r="D101">
        <v>7</v>
      </c>
      <c r="E101" t="s">
        <v>49</v>
      </c>
      <c r="F101" t="s">
        <v>50</v>
      </c>
      <c r="G101" t="str">
        <f>"2026-07-10 14:25:57.645"</f>
        <v>2026-07-10 14:25:57.645</v>
      </c>
      <c r="H101" t="s">
        <v>26</v>
      </c>
      <c r="I101">
        <v>0</v>
      </c>
      <c r="J101" t="s">
        <v>27</v>
      </c>
    </row>
    <row r="102" spans="1:10" x14ac:dyDescent="0.25">
      <c r="A102" s="1">
        <v>22</v>
      </c>
      <c r="B102" t="s">
        <v>28</v>
      </c>
      <c r="C102">
        <v>148</v>
      </c>
      <c r="D102">
        <v>7</v>
      </c>
      <c r="E102" t="s">
        <v>58</v>
      </c>
      <c r="F102" t="s">
        <v>57</v>
      </c>
      <c r="G102" t="str">
        <f>"2026-07-10 14:25:57.640"</f>
        <v>2026-07-10 14:25:57.640</v>
      </c>
      <c r="H102" t="s">
        <v>26</v>
      </c>
      <c r="I102">
        <v>0</v>
      </c>
      <c r="J102" t="s">
        <v>27</v>
      </c>
    </row>
    <row r="103" spans="1:10" x14ac:dyDescent="0.25">
      <c r="A103" s="1">
        <v>23</v>
      </c>
      <c r="B103" t="s">
        <v>38</v>
      </c>
      <c r="C103">
        <v>207</v>
      </c>
      <c r="D103">
        <v>2</v>
      </c>
      <c r="E103" t="s">
        <v>45</v>
      </c>
      <c r="F103" t="s">
        <v>46</v>
      </c>
      <c r="G103" t="str">
        <f>"2026-07-10 14:25:57.500"</f>
        <v>2026-07-10 14:25:57.500</v>
      </c>
      <c r="H103" t="s">
        <v>47</v>
      </c>
      <c r="I103">
        <v>0</v>
      </c>
      <c r="J103" t="s">
        <v>27</v>
      </c>
    </row>
    <row r="104" spans="1:10" x14ac:dyDescent="0.25">
      <c r="A104" s="1">
        <v>24</v>
      </c>
      <c r="B104" t="s">
        <v>38</v>
      </c>
      <c r="C104">
        <v>107</v>
      </c>
      <c r="D104">
        <v>2</v>
      </c>
      <c r="E104" t="s">
        <v>52</v>
      </c>
      <c r="F104" t="s">
        <v>46</v>
      </c>
      <c r="G104" t="str">
        <f>"2026-07-10 14:25:57.460"</f>
        <v>2026-07-10 14:25:57.460</v>
      </c>
      <c r="H104" t="s">
        <v>53</v>
      </c>
      <c r="I104">
        <v>0</v>
      </c>
      <c r="J104" t="s">
        <v>27</v>
      </c>
    </row>
    <row r="105" spans="1:10" x14ac:dyDescent="0.25">
      <c r="A105" s="1">
        <v>25</v>
      </c>
      <c r="B105" t="s">
        <v>38</v>
      </c>
      <c r="C105">
        <v>43</v>
      </c>
      <c r="D105">
        <v>2</v>
      </c>
      <c r="E105" t="s">
        <v>54</v>
      </c>
      <c r="F105" t="s">
        <v>55</v>
      </c>
      <c r="G105" t="str">
        <f>"2026-07-10 14:25:56.438"</f>
        <v>2026-07-10 14:25:56.438</v>
      </c>
      <c r="H105" t="s">
        <v>22</v>
      </c>
      <c r="I105">
        <v>0</v>
      </c>
      <c r="J105" t="s">
        <v>27</v>
      </c>
    </row>
    <row r="106" spans="1:10" x14ac:dyDescent="0.25">
      <c r="A106" s="1">
        <v>26</v>
      </c>
      <c r="B106" t="s">
        <v>23</v>
      </c>
      <c r="C106">
        <v>782</v>
      </c>
      <c r="D106">
        <v>7</v>
      </c>
      <c r="E106" t="s">
        <v>32</v>
      </c>
      <c r="F106" t="s">
        <v>33</v>
      </c>
      <c r="G106" t="str">
        <f>"2026-07-10 14:25:56.404"</f>
        <v>2026-07-10 14:25:56.404</v>
      </c>
      <c r="H106" t="s">
        <v>26</v>
      </c>
      <c r="I106">
        <v>0</v>
      </c>
      <c r="J106" t="s">
        <v>27</v>
      </c>
    </row>
    <row r="107" spans="1:10" x14ac:dyDescent="0.25">
      <c r="A107" s="1">
        <v>29</v>
      </c>
      <c r="B107" t="s">
        <v>19</v>
      </c>
      <c r="C107">
        <v>250</v>
      </c>
      <c r="D107">
        <v>7</v>
      </c>
      <c r="E107" t="s">
        <v>51</v>
      </c>
      <c r="F107" t="s">
        <v>50</v>
      </c>
      <c r="G107" t="str">
        <f>"2026-07-10 14:25:56.396"</f>
        <v>2026-07-10 14:25:56.396</v>
      </c>
      <c r="H107" t="s">
        <v>26</v>
      </c>
    </row>
    <row r="108" spans="1:10" x14ac:dyDescent="0.25">
      <c r="A108" s="1">
        <v>30</v>
      </c>
      <c r="B108" t="s">
        <v>19</v>
      </c>
      <c r="C108">
        <v>248</v>
      </c>
      <c r="D108">
        <v>7</v>
      </c>
      <c r="E108" t="s">
        <v>56</v>
      </c>
      <c r="F108" t="s">
        <v>57</v>
      </c>
      <c r="G108" t="str">
        <f>"2026-07-10 14:25:56.392"</f>
        <v>2026-07-10 14:25:56.392</v>
      </c>
      <c r="H108" t="s">
        <v>26</v>
      </c>
    </row>
    <row r="109" spans="1:10" x14ac:dyDescent="0.25">
      <c r="A109" s="1">
        <v>31</v>
      </c>
      <c r="B109" t="s">
        <v>19</v>
      </c>
      <c r="C109">
        <v>207</v>
      </c>
      <c r="D109">
        <v>2</v>
      </c>
      <c r="E109" t="s">
        <v>45</v>
      </c>
      <c r="F109" t="s">
        <v>46</v>
      </c>
      <c r="G109" t="str">
        <f>"2026-07-10 14:25:56.390"</f>
        <v>2026-07-10 14:25:56.390</v>
      </c>
      <c r="H109" t="s">
        <v>47</v>
      </c>
    </row>
    <row r="110" spans="1:10" x14ac:dyDescent="0.25">
      <c r="A110" s="1">
        <v>32</v>
      </c>
      <c r="B110" t="s">
        <v>19</v>
      </c>
      <c r="C110">
        <v>107</v>
      </c>
      <c r="D110">
        <v>2</v>
      </c>
      <c r="E110" t="s">
        <v>52</v>
      </c>
      <c r="F110" t="s">
        <v>46</v>
      </c>
      <c r="G110" t="str">
        <f>"2026-07-10 14:25:56.388"</f>
        <v>2026-07-10 14:25:56.388</v>
      </c>
      <c r="H110" t="s">
        <v>53</v>
      </c>
    </row>
    <row r="111" spans="1:10" x14ac:dyDescent="0.25">
      <c r="A111" s="1">
        <v>33</v>
      </c>
      <c r="B111" t="s">
        <v>19</v>
      </c>
      <c r="C111">
        <v>43</v>
      </c>
      <c r="D111">
        <v>2</v>
      </c>
      <c r="E111" t="s">
        <v>54</v>
      </c>
      <c r="F111" t="s">
        <v>55</v>
      </c>
      <c r="G111" t="str">
        <f>"2026-07-10 14:25:56.386"</f>
        <v>2026-07-10 14:25:56.386</v>
      </c>
      <c r="H111" t="s">
        <v>22</v>
      </c>
    </row>
    <row r="112" spans="1:10" x14ac:dyDescent="0.25">
      <c r="A112" s="1">
        <v>34</v>
      </c>
      <c r="B112" t="s">
        <v>23</v>
      </c>
      <c r="C112">
        <v>782</v>
      </c>
      <c r="D112">
        <v>7</v>
      </c>
      <c r="E112" t="s">
        <v>32</v>
      </c>
      <c r="F112" t="s">
        <v>33</v>
      </c>
      <c r="G112" t="str">
        <f>"2026-07-10 14:25:56.384"</f>
        <v>2026-07-10 14:25:56.384</v>
      </c>
      <c r="H112" t="s">
        <v>26</v>
      </c>
      <c r="I112">
        <v>0</v>
      </c>
      <c r="J112" t="s">
        <v>27</v>
      </c>
    </row>
    <row r="113" spans="1:10" x14ac:dyDescent="0.25">
      <c r="A113" s="1">
        <v>35</v>
      </c>
      <c r="B113" t="s">
        <v>38</v>
      </c>
      <c r="C113">
        <v>248</v>
      </c>
      <c r="D113">
        <v>7</v>
      </c>
      <c r="E113" t="s">
        <v>56</v>
      </c>
      <c r="F113" t="s">
        <v>57</v>
      </c>
      <c r="G113" t="str">
        <f>"2026-07-10 14:25:50.720"</f>
        <v>2026-07-10 14:25:50.720</v>
      </c>
      <c r="H113" t="s">
        <v>26</v>
      </c>
      <c r="I113">
        <v>0</v>
      </c>
      <c r="J113" t="s">
        <v>27</v>
      </c>
    </row>
    <row r="114" spans="1:10" x14ac:dyDescent="0.25">
      <c r="A114" s="1">
        <v>36</v>
      </c>
      <c r="B114" t="s">
        <v>48</v>
      </c>
      <c r="C114">
        <v>248</v>
      </c>
      <c r="D114">
        <v>7</v>
      </c>
      <c r="E114" t="s">
        <v>56</v>
      </c>
      <c r="F114" t="s">
        <v>57</v>
      </c>
      <c r="G114" t="str">
        <f>"2026-07-10 14:25:50.321"</f>
        <v>2026-07-10 14:25:50.321</v>
      </c>
      <c r="H114" t="s">
        <v>26</v>
      </c>
    </row>
    <row r="115" spans="1:10" x14ac:dyDescent="0.25">
      <c r="A115" s="1">
        <v>37</v>
      </c>
      <c r="B115" t="s">
        <v>28</v>
      </c>
      <c r="C115">
        <v>248</v>
      </c>
      <c r="D115">
        <v>7</v>
      </c>
      <c r="E115" t="s">
        <v>56</v>
      </c>
      <c r="F115" t="s">
        <v>57</v>
      </c>
      <c r="G115" t="str">
        <f>"2026-07-10 14:25:45.280"</f>
        <v>2026-07-10 14:25:45.280</v>
      </c>
      <c r="H115" t="s">
        <v>26</v>
      </c>
      <c r="I115">
        <v>0</v>
      </c>
      <c r="J115" t="s">
        <v>27</v>
      </c>
    </row>
    <row r="116" spans="1:10" x14ac:dyDescent="0.25">
      <c r="A116" s="1">
        <v>38</v>
      </c>
      <c r="B116" t="s">
        <v>19</v>
      </c>
      <c r="C116">
        <v>248</v>
      </c>
      <c r="D116">
        <v>7</v>
      </c>
      <c r="E116" t="s">
        <v>56</v>
      </c>
      <c r="F116" t="s">
        <v>57</v>
      </c>
      <c r="G116" t="str">
        <f>"2026-07-10 14:25:44.985"</f>
        <v>2026-07-10 14:25:44.985</v>
      </c>
      <c r="H116" t="s">
        <v>26</v>
      </c>
    </row>
    <row r="117" spans="1:10" x14ac:dyDescent="0.25">
      <c r="A117" s="1">
        <v>39</v>
      </c>
      <c r="B117" t="s">
        <v>23</v>
      </c>
      <c r="C117">
        <v>700</v>
      </c>
      <c r="D117">
        <v>0</v>
      </c>
      <c r="E117" t="s">
        <v>37</v>
      </c>
      <c r="F117" t="s">
        <v>37</v>
      </c>
      <c r="G117" t="str">
        <f>"2026-07-10 14:25:30.883"</f>
        <v>2026-07-10 14:25:30.883</v>
      </c>
      <c r="H117" t="s">
        <v>26</v>
      </c>
    </row>
    <row r="118" spans="1:10" x14ac:dyDescent="0.25">
      <c r="A118" s="1">
        <v>41</v>
      </c>
      <c r="B118" t="s">
        <v>38</v>
      </c>
      <c r="C118">
        <v>43</v>
      </c>
      <c r="D118">
        <v>2</v>
      </c>
      <c r="E118" t="s">
        <v>54</v>
      </c>
      <c r="F118" t="s">
        <v>55</v>
      </c>
      <c r="G118" t="str">
        <f>"2026-07-10 13:26:36.827"</f>
        <v>2026-07-10 13:26:36.827</v>
      </c>
      <c r="H118" t="s">
        <v>22</v>
      </c>
      <c r="I118">
        <v>0</v>
      </c>
      <c r="J118" t="s">
        <v>27</v>
      </c>
    </row>
    <row r="119" spans="1:10" x14ac:dyDescent="0.25">
      <c r="A119" s="1">
        <v>42</v>
      </c>
      <c r="B119" t="s">
        <v>23</v>
      </c>
      <c r="C119">
        <v>700</v>
      </c>
      <c r="D119">
        <v>0</v>
      </c>
      <c r="E119" t="s">
        <v>37</v>
      </c>
      <c r="F119" t="s">
        <v>37</v>
      </c>
      <c r="G119" t="str">
        <f>"2026-07-10 13:26:18.886"</f>
        <v>2026-07-10 13:26:18.886</v>
      </c>
      <c r="H119" t="s">
        <v>26</v>
      </c>
      <c r="I119">
        <v>0</v>
      </c>
      <c r="J119" t="s">
        <v>43</v>
      </c>
    </row>
    <row r="120" spans="1:10" x14ac:dyDescent="0.25">
      <c r="A120" s="1">
        <v>43</v>
      </c>
      <c r="B120" t="s">
        <v>19</v>
      </c>
      <c r="C120">
        <v>43</v>
      </c>
      <c r="D120">
        <v>2</v>
      </c>
      <c r="E120" t="s">
        <v>54</v>
      </c>
      <c r="F120" t="s">
        <v>55</v>
      </c>
      <c r="G120" t="str">
        <f>"2026-07-10 13:16:26.945"</f>
        <v>2026-07-10 13:16:26.945</v>
      </c>
      <c r="H120" t="s">
        <v>22</v>
      </c>
    </row>
    <row r="121" spans="1:10" x14ac:dyDescent="0.25">
      <c r="A121" s="1">
        <v>44</v>
      </c>
      <c r="B121" t="s">
        <v>38</v>
      </c>
      <c r="C121">
        <v>43</v>
      </c>
      <c r="D121">
        <v>2</v>
      </c>
      <c r="E121" t="s">
        <v>54</v>
      </c>
      <c r="F121" t="s">
        <v>55</v>
      </c>
      <c r="G121" t="str">
        <f>"2026-07-10 13:14:11.845"</f>
        <v>2026-07-10 13:14:11.845</v>
      </c>
      <c r="H121" t="s">
        <v>22</v>
      </c>
      <c r="I121">
        <v>0</v>
      </c>
      <c r="J121" t="s">
        <v>27</v>
      </c>
    </row>
    <row r="122" spans="1:10" x14ac:dyDescent="0.25">
      <c r="A122" s="1">
        <v>45</v>
      </c>
      <c r="B122" t="s">
        <v>23</v>
      </c>
      <c r="C122">
        <v>700</v>
      </c>
      <c r="D122">
        <v>0</v>
      </c>
      <c r="E122" t="s">
        <v>37</v>
      </c>
      <c r="F122" t="s">
        <v>37</v>
      </c>
      <c r="G122" t="str">
        <f>"2026-07-10 13:13:53.983"</f>
        <v>2026-07-10 13:13:53.983</v>
      </c>
      <c r="H122" t="s">
        <v>26</v>
      </c>
      <c r="I122">
        <v>0</v>
      </c>
      <c r="J122" t="s">
        <v>43</v>
      </c>
    </row>
    <row r="123" spans="1:10" x14ac:dyDescent="0.25">
      <c r="A123" s="1">
        <v>46</v>
      </c>
      <c r="B123" t="s">
        <v>38</v>
      </c>
      <c r="C123">
        <v>248</v>
      </c>
      <c r="D123">
        <v>7</v>
      </c>
      <c r="E123" t="s">
        <v>56</v>
      </c>
      <c r="F123" t="s">
        <v>57</v>
      </c>
      <c r="G123" t="str">
        <f>"2026-07-10 13:06:07.979"</f>
        <v>2026-07-10 13:06:07.979</v>
      </c>
      <c r="H123" t="s">
        <v>26</v>
      </c>
      <c r="I123">
        <v>0</v>
      </c>
      <c r="J123" t="s">
        <v>27</v>
      </c>
    </row>
    <row r="124" spans="1:10" x14ac:dyDescent="0.25">
      <c r="A124" s="1">
        <v>47</v>
      </c>
      <c r="B124" t="s">
        <v>38</v>
      </c>
      <c r="C124">
        <v>250</v>
      </c>
      <c r="D124">
        <v>7</v>
      </c>
      <c r="E124" t="s">
        <v>51</v>
      </c>
      <c r="F124" t="s">
        <v>50</v>
      </c>
      <c r="G124" t="str">
        <f>"2026-07-10 13:06:07.779"</f>
        <v>2026-07-10 13:06:07.779</v>
      </c>
      <c r="H124" t="s">
        <v>26</v>
      </c>
      <c r="I124">
        <v>0</v>
      </c>
      <c r="J124" t="s">
        <v>27</v>
      </c>
    </row>
    <row r="125" spans="1:10" x14ac:dyDescent="0.25">
      <c r="A125" s="1">
        <v>48</v>
      </c>
      <c r="B125" t="s">
        <v>48</v>
      </c>
      <c r="C125">
        <v>250</v>
      </c>
      <c r="D125">
        <v>7</v>
      </c>
      <c r="E125" t="s">
        <v>51</v>
      </c>
      <c r="F125" t="s">
        <v>50</v>
      </c>
      <c r="G125" t="str">
        <f>"2026-07-10 13:06:07.715"</f>
        <v>2026-07-10 13:06:07.715</v>
      </c>
      <c r="H125" t="s">
        <v>26</v>
      </c>
    </row>
    <row r="126" spans="1:10" x14ac:dyDescent="0.25">
      <c r="A126" s="1">
        <v>49</v>
      </c>
      <c r="B126" t="s">
        <v>48</v>
      </c>
      <c r="C126">
        <v>248</v>
      </c>
      <c r="D126">
        <v>7</v>
      </c>
      <c r="E126" t="s">
        <v>56</v>
      </c>
      <c r="F126" t="s">
        <v>57</v>
      </c>
      <c r="G126" t="str">
        <f>"2026-07-10 13:06:07.615"</f>
        <v>2026-07-10 13:06:07.615</v>
      </c>
      <c r="H126" t="s">
        <v>26</v>
      </c>
    </row>
    <row r="127" spans="1:10" x14ac:dyDescent="0.25">
      <c r="A127" s="1">
        <v>50</v>
      </c>
      <c r="B127" t="s">
        <v>48</v>
      </c>
      <c r="C127">
        <v>150</v>
      </c>
      <c r="D127">
        <v>7</v>
      </c>
      <c r="E127" t="s">
        <v>49</v>
      </c>
      <c r="F127" t="s">
        <v>50</v>
      </c>
      <c r="G127" t="str">
        <f>"2026-07-10 13:06:05.315"</f>
        <v>2026-07-10 13:06:05.315</v>
      </c>
      <c r="H127" t="s">
        <v>26</v>
      </c>
    </row>
    <row r="128" spans="1:10" x14ac:dyDescent="0.25">
      <c r="A128" s="1">
        <v>51</v>
      </c>
      <c r="B128" t="s">
        <v>48</v>
      </c>
      <c r="C128">
        <v>148</v>
      </c>
      <c r="D128">
        <v>7</v>
      </c>
      <c r="E128" t="s">
        <v>58</v>
      </c>
      <c r="F128" t="s">
        <v>57</v>
      </c>
      <c r="G128" t="str">
        <f>"2026-07-10 13:06:05.216"</f>
        <v>2026-07-10 13:06:05.216</v>
      </c>
      <c r="H128" t="s">
        <v>26</v>
      </c>
    </row>
    <row r="129" spans="1:10" x14ac:dyDescent="0.25">
      <c r="A129" s="1">
        <v>52</v>
      </c>
      <c r="B129" t="s">
        <v>28</v>
      </c>
      <c r="C129">
        <v>250</v>
      </c>
      <c r="D129">
        <v>7</v>
      </c>
      <c r="E129" t="s">
        <v>51</v>
      </c>
      <c r="F129" t="s">
        <v>50</v>
      </c>
      <c r="G129" t="str">
        <f>"2026-07-10 13:06:02.581"</f>
        <v>2026-07-10 13:06:02.581</v>
      </c>
      <c r="H129" t="s">
        <v>26</v>
      </c>
      <c r="I129">
        <v>0</v>
      </c>
      <c r="J129" t="s">
        <v>27</v>
      </c>
    </row>
    <row r="130" spans="1:10" x14ac:dyDescent="0.25">
      <c r="A130" s="1">
        <v>53</v>
      </c>
      <c r="B130" t="s">
        <v>28</v>
      </c>
      <c r="C130">
        <v>248</v>
      </c>
      <c r="D130">
        <v>7</v>
      </c>
      <c r="E130" t="s">
        <v>56</v>
      </c>
      <c r="F130" t="s">
        <v>57</v>
      </c>
      <c r="G130" t="str">
        <f>"2026-07-10 13:06:02.579"</f>
        <v>2026-07-10 13:06:02.579</v>
      </c>
      <c r="H130" t="s">
        <v>26</v>
      </c>
      <c r="I130">
        <v>0</v>
      </c>
      <c r="J130" t="s">
        <v>27</v>
      </c>
    </row>
    <row r="131" spans="1:10" x14ac:dyDescent="0.25">
      <c r="A131" s="1">
        <v>54</v>
      </c>
      <c r="B131" t="s">
        <v>38</v>
      </c>
      <c r="C131">
        <v>107</v>
      </c>
      <c r="D131">
        <v>2</v>
      </c>
      <c r="E131" t="s">
        <v>52</v>
      </c>
      <c r="F131" t="s">
        <v>46</v>
      </c>
      <c r="G131" t="str">
        <f>"2026-07-10 13:06:01.299"</f>
        <v>2026-07-10 13:06:01.299</v>
      </c>
      <c r="H131" t="s">
        <v>53</v>
      </c>
      <c r="I131">
        <v>0</v>
      </c>
      <c r="J131" t="s">
        <v>27</v>
      </c>
    </row>
    <row r="132" spans="1:10" x14ac:dyDescent="0.25">
      <c r="A132" s="1">
        <v>55</v>
      </c>
      <c r="B132" t="s">
        <v>38</v>
      </c>
      <c r="C132">
        <v>207</v>
      </c>
      <c r="D132">
        <v>2</v>
      </c>
      <c r="E132" t="s">
        <v>45</v>
      </c>
      <c r="F132" t="s">
        <v>46</v>
      </c>
      <c r="G132" t="str">
        <f>"2026-07-10 13:06:01.199"</f>
        <v>2026-07-10 13:06:01.199</v>
      </c>
      <c r="H132" t="s">
        <v>47</v>
      </c>
      <c r="I132">
        <v>0</v>
      </c>
      <c r="J132" t="s">
        <v>27</v>
      </c>
    </row>
    <row r="133" spans="1:10" x14ac:dyDescent="0.25">
      <c r="A133" s="1">
        <v>56</v>
      </c>
      <c r="B133" t="s">
        <v>28</v>
      </c>
      <c r="C133">
        <v>150</v>
      </c>
      <c r="D133">
        <v>7</v>
      </c>
      <c r="E133" t="s">
        <v>49</v>
      </c>
      <c r="F133" t="s">
        <v>50</v>
      </c>
      <c r="G133" t="str">
        <f>"2026-07-10 13:06:00.181"</f>
        <v>2026-07-10 13:06:00.181</v>
      </c>
      <c r="H133" t="s">
        <v>26</v>
      </c>
      <c r="I133">
        <v>0</v>
      </c>
      <c r="J133" t="s">
        <v>27</v>
      </c>
    </row>
    <row r="134" spans="1:10" x14ac:dyDescent="0.25">
      <c r="A134" s="1">
        <v>57</v>
      </c>
      <c r="B134" t="s">
        <v>28</v>
      </c>
      <c r="C134">
        <v>148</v>
      </c>
      <c r="D134">
        <v>7</v>
      </c>
      <c r="E134" t="s">
        <v>58</v>
      </c>
      <c r="F134" t="s">
        <v>57</v>
      </c>
      <c r="G134" t="str">
        <f>"2026-07-10 13:06:00.179"</f>
        <v>2026-07-10 13:06:00.179</v>
      </c>
      <c r="H134" t="s">
        <v>26</v>
      </c>
      <c r="I134">
        <v>0</v>
      </c>
      <c r="J134" t="s">
        <v>27</v>
      </c>
    </row>
    <row r="135" spans="1:10" x14ac:dyDescent="0.25">
      <c r="A135" s="1">
        <v>58</v>
      </c>
      <c r="B135" t="s">
        <v>23</v>
      </c>
      <c r="C135">
        <v>700</v>
      </c>
      <c r="D135">
        <v>0</v>
      </c>
      <c r="E135" t="s">
        <v>37</v>
      </c>
      <c r="F135" t="s">
        <v>37</v>
      </c>
      <c r="G135" t="str">
        <f>"2026-07-10 13:05:55.885"</f>
        <v>2026-07-10 13:05:55.885</v>
      </c>
      <c r="H135" t="s">
        <v>26</v>
      </c>
    </row>
    <row r="136" spans="1:10" x14ac:dyDescent="0.25">
      <c r="A136" s="1">
        <v>59</v>
      </c>
      <c r="B136" t="s">
        <v>23</v>
      </c>
      <c r="C136">
        <v>700</v>
      </c>
      <c r="D136">
        <v>0</v>
      </c>
      <c r="E136" t="s">
        <v>37</v>
      </c>
      <c r="F136" t="s">
        <v>37</v>
      </c>
      <c r="G136" t="str">
        <f>"2026-07-10 11:43:44.093"</f>
        <v>2026-07-10 11:43:44.093</v>
      </c>
      <c r="H136" t="s">
        <v>26</v>
      </c>
      <c r="I136">
        <v>0</v>
      </c>
      <c r="J136" t="s">
        <v>43</v>
      </c>
    </row>
    <row r="137" spans="1:10" x14ac:dyDescent="0.25">
      <c r="A137" s="1">
        <v>60</v>
      </c>
      <c r="B137" t="s">
        <v>23</v>
      </c>
      <c r="C137">
        <v>706</v>
      </c>
      <c r="D137">
        <v>4</v>
      </c>
      <c r="E137" t="s">
        <v>24</v>
      </c>
      <c r="F137" t="s">
        <v>25</v>
      </c>
      <c r="G137" t="str">
        <f>"2026-07-10 09:17:48.728"</f>
        <v>2026-07-10 09:17:48.728</v>
      </c>
      <c r="H137" t="s">
        <v>26</v>
      </c>
      <c r="I137">
        <v>13.39</v>
      </c>
      <c r="J137" t="s">
        <v>42</v>
      </c>
    </row>
    <row r="138" spans="1:10" x14ac:dyDescent="0.25">
      <c r="A138" s="1">
        <v>61</v>
      </c>
      <c r="B138" t="s">
        <v>23</v>
      </c>
      <c r="C138">
        <v>706</v>
      </c>
      <c r="D138">
        <v>4</v>
      </c>
      <c r="E138" t="s">
        <v>24</v>
      </c>
      <c r="F138" t="s">
        <v>25</v>
      </c>
      <c r="G138" t="str">
        <f>"2026-07-10 09:17:42.868"</f>
        <v>2026-07-10 09:17:42.868</v>
      </c>
      <c r="H138" t="s">
        <v>26</v>
      </c>
      <c r="I138">
        <v>13.38</v>
      </c>
      <c r="J138" t="s">
        <v>42</v>
      </c>
    </row>
    <row r="139" spans="1:10" x14ac:dyDescent="0.25">
      <c r="A139" s="1">
        <v>62</v>
      </c>
      <c r="B139" t="s">
        <v>23</v>
      </c>
      <c r="C139">
        <v>706</v>
      </c>
      <c r="D139">
        <v>4</v>
      </c>
      <c r="E139" t="s">
        <v>24</v>
      </c>
      <c r="F139" t="s">
        <v>25</v>
      </c>
      <c r="G139" t="str">
        <f>"2026-07-10 09:13:39.268"</f>
        <v>2026-07-10 09:13:39.268</v>
      </c>
      <c r="H139" t="s">
        <v>26</v>
      </c>
      <c r="I139">
        <v>4.67</v>
      </c>
      <c r="J139" t="s">
        <v>42</v>
      </c>
    </row>
    <row r="140" spans="1:10" x14ac:dyDescent="0.25">
      <c r="A140" s="1">
        <v>63</v>
      </c>
      <c r="B140" t="s">
        <v>23</v>
      </c>
      <c r="C140">
        <v>706</v>
      </c>
      <c r="D140">
        <v>4</v>
      </c>
      <c r="E140" t="s">
        <v>24</v>
      </c>
      <c r="F140" t="s">
        <v>25</v>
      </c>
      <c r="G140" t="str">
        <f>"2026-07-10 09:11:34.738"</f>
        <v>2026-07-10 09:11:34.738</v>
      </c>
      <c r="H140" t="s">
        <v>26</v>
      </c>
      <c r="I140">
        <v>7.75</v>
      </c>
      <c r="J140" t="s">
        <v>42</v>
      </c>
    </row>
    <row r="141" spans="1:10" x14ac:dyDescent="0.25">
      <c r="A141" s="1">
        <v>64</v>
      </c>
      <c r="B141" t="s">
        <v>23</v>
      </c>
      <c r="C141">
        <v>706</v>
      </c>
      <c r="D141">
        <v>4</v>
      </c>
      <c r="E141" t="s">
        <v>24</v>
      </c>
      <c r="F141" t="s">
        <v>25</v>
      </c>
      <c r="G141" t="str">
        <f>"2026-07-10 08:22:45.198"</f>
        <v>2026-07-10 08:22:45.198</v>
      </c>
      <c r="H141" t="s">
        <v>26</v>
      </c>
      <c r="I141">
        <v>19.93</v>
      </c>
      <c r="J141" t="s">
        <v>29</v>
      </c>
    </row>
    <row r="142" spans="1:10" x14ac:dyDescent="0.25">
      <c r="A142" s="1">
        <v>65</v>
      </c>
      <c r="B142" t="s">
        <v>23</v>
      </c>
      <c r="C142">
        <v>706</v>
      </c>
      <c r="D142">
        <v>4</v>
      </c>
      <c r="E142" t="s">
        <v>24</v>
      </c>
      <c r="F142" t="s">
        <v>25</v>
      </c>
      <c r="G142" t="str">
        <f>"2026-07-10 05:32:41.088"</f>
        <v>2026-07-10 05:32:41.088</v>
      </c>
      <c r="H142" t="s">
        <v>26</v>
      </c>
      <c r="I142">
        <v>14.49</v>
      </c>
      <c r="J142" t="s">
        <v>29</v>
      </c>
    </row>
    <row r="143" spans="1:10" x14ac:dyDescent="0.25">
      <c r="A143" s="1">
        <v>66</v>
      </c>
      <c r="B143" t="s">
        <v>23</v>
      </c>
      <c r="C143">
        <v>706</v>
      </c>
      <c r="D143">
        <v>2</v>
      </c>
      <c r="E143" t="s">
        <v>24</v>
      </c>
      <c r="F143" t="s">
        <v>39</v>
      </c>
      <c r="G143" t="str">
        <f>"2026-07-10 01:15:08.218"</f>
        <v>2026-07-10 01:15:08.218</v>
      </c>
      <c r="H143" t="s">
        <v>26</v>
      </c>
      <c r="I143">
        <v>0</v>
      </c>
      <c r="J143" t="s">
        <v>27</v>
      </c>
    </row>
    <row r="144" spans="1:10" x14ac:dyDescent="0.25">
      <c r="A144" s="1">
        <v>67</v>
      </c>
      <c r="B144" t="s">
        <v>23</v>
      </c>
      <c r="C144">
        <v>700</v>
      </c>
      <c r="D144">
        <v>0</v>
      </c>
      <c r="E144" t="s">
        <v>37</v>
      </c>
      <c r="F144" t="s">
        <v>37</v>
      </c>
      <c r="G144" t="str">
        <f>"2026-07-10 00:46:08.038"</f>
        <v>2026-07-10 00:46:08.038</v>
      </c>
      <c r="H144" t="s">
        <v>26</v>
      </c>
      <c r="I144">
        <v>0</v>
      </c>
      <c r="J144" t="s">
        <v>43</v>
      </c>
    </row>
    <row r="145" spans="1:10" x14ac:dyDescent="0.25">
      <c r="A145" s="1">
        <v>68</v>
      </c>
      <c r="B145" t="s">
        <v>23</v>
      </c>
      <c r="C145">
        <v>706</v>
      </c>
      <c r="D145">
        <v>2</v>
      </c>
      <c r="E145" t="s">
        <v>24</v>
      </c>
      <c r="F145" t="s">
        <v>39</v>
      </c>
      <c r="G145" t="str">
        <f>"2026-07-09 22:57:11.982"</f>
        <v>2026-07-09 22:57:11.982</v>
      </c>
      <c r="H145" t="s">
        <v>26</v>
      </c>
      <c r="I145">
        <v>0</v>
      </c>
      <c r="J145" t="s">
        <v>27</v>
      </c>
    </row>
    <row r="146" spans="1:10" x14ac:dyDescent="0.25">
      <c r="A146" s="1">
        <v>69</v>
      </c>
      <c r="B146" t="s">
        <v>23</v>
      </c>
      <c r="C146">
        <v>700</v>
      </c>
      <c r="D146">
        <v>0</v>
      </c>
      <c r="E146" t="s">
        <v>37</v>
      </c>
      <c r="F146" t="s">
        <v>37</v>
      </c>
      <c r="G146" t="str">
        <f>"2026-07-09 22:56:45.872"</f>
        <v>2026-07-09 22:56:45.872</v>
      </c>
      <c r="H146" t="s">
        <v>26</v>
      </c>
    </row>
    <row r="147" spans="1:10" x14ac:dyDescent="0.25">
      <c r="A147" s="1">
        <v>70</v>
      </c>
      <c r="B147" t="s">
        <v>23</v>
      </c>
      <c r="C147">
        <v>700</v>
      </c>
      <c r="D147">
        <v>0</v>
      </c>
      <c r="E147" t="s">
        <v>37</v>
      </c>
      <c r="F147" t="s">
        <v>37</v>
      </c>
      <c r="G147" t="str">
        <f>"2026-07-09 22:48:03.924"</f>
        <v>2026-07-09 22:48:03.924</v>
      </c>
      <c r="H147" t="s">
        <v>26</v>
      </c>
    </row>
    <row r="148" spans="1:10" x14ac:dyDescent="0.25">
      <c r="A148" s="1">
        <v>71</v>
      </c>
      <c r="B148" t="s">
        <v>48</v>
      </c>
      <c r="C148">
        <v>86</v>
      </c>
      <c r="D148">
        <v>8</v>
      </c>
      <c r="E148" t="s">
        <v>59</v>
      </c>
      <c r="F148" t="s">
        <v>60</v>
      </c>
      <c r="G148" t="str">
        <f>"2026-07-09 14:57:20.535"</f>
        <v>2026-07-09 14:57:20.535</v>
      </c>
      <c r="H148" t="s">
        <v>26</v>
      </c>
    </row>
    <row r="149" spans="1:10" x14ac:dyDescent="0.25">
      <c r="A149" s="1">
        <v>72</v>
      </c>
      <c r="B149" t="s">
        <v>28</v>
      </c>
      <c r="C149">
        <v>86</v>
      </c>
      <c r="D149">
        <v>8</v>
      </c>
      <c r="E149" t="s">
        <v>59</v>
      </c>
      <c r="F149" t="s">
        <v>60</v>
      </c>
      <c r="G149" t="str">
        <f>"2026-07-09 14:56:50.457"</f>
        <v>2026-07-09 14:56:50.457</v>
      </c>
      <c r="H149" t="s">
        <v>26</v>
      </c>
      <c r="I149">
        <v>0.01</v>
      </c>
      <c r="J149" t="s">
        <v>31</v>
      </c>
    </row>
    <row r="150" spans="1:10" x14ac:dyDescent="0.25">
      <c r="A150" s="1">
        <v>73</v>
      </c>
      <c r="B150" t="s">
        <v>23</v>
      </c>
      <c r="C150">
        <v>700</v>
      </c>
      <c r="D150">
        <v>0</v>
      </c>
      <c r="E150" t="s">
        <v>37</v>
      </c>
      <c r="F150" t="s">
        <v>37</v>
      </c>
      <c r="G150" t="str">
        <f>"2026-07-09 14:56:43.106"</f>
        <v>2026-07-09 14:56:43.106</v>
      </c>
      <c r="H150" t="s">
        <v>26</v>
      </c>
    </row>
    <row r="151" spans="1:10" x14ac:dyDescent="0.25">
      <c r="A151" s="1">
        <v>74</v>
      </c>
      <c r="B151" t="s">
        <v>23</v>
      </c>
      <c r="C151">
        <v>700</v>
      </c>
      <c r="D151">
        <v>0</v>
      </c>
      <c r="E151" t="s">
        <v>37</v>
      </c>
      <c r="F151" t="s">
        <v>37</v>
      </c>
      <c r="G151" t="str">
        <f>"2026-07-09 13:34:50.063"</f>
        <v>2026-07-09 13:34:50.063</v>
      </c>
      <c r="H151" t="s">
        <v>26</v>
      </c>
      <c r="I151">
        <v>0</v>
      </c>
      <c r="J151" t="s">
        <v>43</v>
      </c>
    </row>
    <row r="152" spans="1:10" x14ac:dyDescent="0.25">
      <c r="A152" s="1">
        <v>75</v>
      </c>
      <c r="B152" t="s">
        <v>23</v>
      </c>
      <c r="C152">
        <v>706</v>
      </c>
      <c r="D152">
        <v>2</v>
      </c>
      <c r="E152" t="s">
        <v>24</v>
      </c>
      <c r="F152" t="s">
        <v>39</v>
      </c>
      <c r="G152" t="str">
        <f>"2026-07-09 02:09:56.068"</f>
        <v>2026-07-09 02:09:56.068</v>
      </c>
      <c r="H152" t="s">
        <v>26</v>
      </c>
      <c r="I152">
        <v>0</v>
      </c>
      <c r="J152" t="s">
        <v>27</v>
      </c>
    </row>
    <row r="153" spans="1:10" x14ac:dyDescent="0.25">
      <c r="A153" s="1">
        <v>76</v>
      </c>
      <c r="B153" t="s">
        <v>23</v>
      </c>
      <c r="C153">
        <v>700</v>
      </c>
      <c r="D153">
        <v>0</v>
      </c>
      <c r="E153" t="s">
        <v>37</v>
      </c>
      <c r="F153" t="s">
        <v>37</v>
      </c>
      <c r="G153" t="str">
        <f>"2026-07-09 01:38:13.098"</f>
        <v>2026-07-09 01:38:13.098</v>
      </c>
      <c r="H153" t="s">
        <v>26</v>
      </c>
    </row>
    <row r="154" spans="1:10" x14ac:dyDescent="0.25">
      <c r="A154" s="1">
        <v>79</v>
      </c>
      <c r="B154" t="s">
        <v>23</v>
      </c>
      <c r="C154">
        <v>782</v>
      </c>
      <c r="D154">
        <v>7</v>
      </c>
      <c r="E154" t="s">
        <v>32</v>
      </c>
      <c r="F154" t="s">
        <v>33</v>
      </c>
      <c r="G154" t="str">
        <f>"2026-07-08 22:25:38.388"</f>
        <v>2026-07-08 22:25:38.388</v>
      </c>
      <c r="H154" t="s">
        <v>26</v>
      </c>
      <c r="I154">
        <v>0</v>
      </c>
      <c r="J154" t="s">
        <v>31</v>
      </c>
    </row>
    <row r="155" spans="1:10" x14ac:dyDescent="0.25">
      <c r="A155" s="1">
        <v>82</v>
      </c>
      <c r="B155" t="s">
        <v>19</v>
      </c>
      <c r="C155">
        <v>150</v>
      </c>
      <c r="D155">
        <v>7</v>
      </c>
      <c r="E155" t="s">
        <v>49</v>
      </c>
      <c r="F155" t="s">
        <v>50</v>
      </c>
      <c r="G155" t="str">
        <f>"2026-07-08 22:25:38.380"</f>
        <v>2026-07-08 22:25:38.380</v>
      </c>
      <c r="H155" t="s">
        <v>26</v>
      </c>
    </row>
    <row r="156" spans="1:10" x14ac:dyDescent="0.25">
      <c r="A156" s="1">
        <v>83</v>
      </c>
      <c r="B156" t="s">
        <v>19</v>
      </c>
      <c r="C156">
        <v>148</v>
      </c>
      <c r="D156">
        <v>7</v>
      </c>
      <c r="E156" t="s">
        <v>58</v>
      </c>
      <c r="F156" t="s">
        <v>57</v>
      </c>
      <c r="G156" t="str">
        <f>"2026-07-08 22:25:38.377"</f>
        <v>2026-07-08 22:25:38.377</v>
      </c>
      <c r="H156" t="s">
        <v>26</v>
      </c>
    </row>
    <row r="157" spans="1:10" x14ac:dyDescent="0.25">
      <c r="A157" s="1">
        <v>84</v>
      </c>
      <c r="B157" t="s">
        <v>23</v>
      </c>
      <c r="C157">
        <v>782</v>
      </c>
      <c r="D157">
        <v>7</v>
      </c>
      <c r="E157" t="s">
        <v>32</v>
      </c>
      <c r="F157" t="s">
        <v>33</v>
      </c>
      <c r="G157" t="str">
        <f>"2026-07-08 22:25:38.376"</f>
        <v>2026-07-08 22:25:38.376</v>
      </c>
      <c r="H157" t="s">
        <v>26</v>
      </c>
      <c r="I157">
        <v>0</v>
      </c>
      <c r="J157" t="s">
        <v>31</v>
      </c>
    </row>
    <row r="158" spans="1:10" x14ac:dyDescent="0.25">
      <c r="A158" s="1">
        <v>85</v>
      </c>
      <c r="B158" t="s">
        <v>23</v>
      </c>
      <c r="C158">
        <v>700</v>
      </c>
      <c r="D158">
        <v>0</v>
      </c>
      <c r="E158" t="s">
        <v>37</v>
      </c>
      <c r="F158" t="s">
        <v>37</v>
      </c>
      <c r="G158" t="str">
        <f>"2026-07-08 22:24:42.889"</f>
        <v>2026-07-08 22:24:42.889</v>
      </c>
      <c r="H158" t="s">
        <v>26</v>
      </c>
      <c r="I158">
        <v>0</v>
      </c>
      <c r="J158" t="s">
        <v>43</v>
      </c>
    </row>
    <row r="159" spans="1:10" x14ac:dyDescent="0.25">
      <c r="A159" s="1">
        <v>86</v>
      </c>
      <c r="B159" t="s">
        <v>38</v>
      </c>
      <c r="C159">
        <v>150</v>
      </c>
      <c r="D159">
        <v>7</v>
      </c>
      <c r="E159" t="s">
        <v>49</v>
      </c>
      <c r="F159" t="s">
        <v>50</v>
      </c>
      <c r="G159" t="str">
        <f>"2026-07-08 22:23:19.931"</f>
        <v>2026-07-08 22:23:19.931</v>
      </c>
      <c r="H159" t="s">
        <v>26</v>
      </c>
      <c r="I159">
        <v>0</v>
      </c>
      <c r="J159" t="s">
        <v>31</v>
      </c>
    </row>
    <row r="160" spans="1:10" x14ac:dyDescent="0.25">
      <c r="A160" s="1">
        <v>87</v>
      </c>
      <c r="B160" t="s">
        <v>38</v>
      </c>
      <c r="C160">
        <v>148</v>
      </c>
      <c r="D160">
        <v>7</v>
      </c>
      <c r="E160" t="s">
        <v>58</v>
      </c>
      <c r="F160" t="s">
        <v>57</v>
      </c>
      <c r="G160" t="str">
        <f>"2026-07-08 22:21:36.671"</f>
        <v>2026-07-08 22:21:36.671</v>
      </c>
      <c r="H160" t="s">
        <v>26</v>
      </c>
      <c r="I160">
        <v>0</v>
      </c>
      <c r="J160" t="s">
        <v>31</v>
      </c>
    </row>
    <row r="161" spans="1:10" x14ac:dyDescent="0.25">
      <c r="A161" s="1">
        <v>88</v>
      </c>
      <c r="B161" t="s">
        <v>48</v>
      </c>
      <c r="C161">
        <v>150</v>
      </c>
      <c r="D161">
        <v>7</v>
      </c>
      <c r="E161" t="s">
        <v>49</v>
      </c>
      <c r="F161" t="s">
        <v>50</v>
      </c>
      <c r="G161" t="str">
        <f>"2026-07-08 22:20:06.404"</f>
        <v>2026-07-08 22:20:06.404</v>
      </c>
      <c r="H161" t="s">
        <v>26</v>
      </c>
    </row>
    <row r="162" spans="1:10" x14ac:dyDescent="0.25">
      <c r="A162" s="1">
        <v>89</v>
      </c>
      <c r="B162" t="s">
        <v>28</v>
      </c>
      <c r="C162">
        <v>150</v>
      </c>
      <c r="D162">
        <v>7</v>
      </c>
      <c r="E162" t="s">
        <v>49</v>
      </c>
      <c r="F162" t="s">
        <v>50</v>
      </c>
      <c r="G162" t="str">
        <f>"2026-07-08 22:20:01.371"</f>
        <v>2026-07-08 22:20:01.371</v>
      </c>
      <c r="H162" t="s">
        <v>26</v>
      </c>
      <c r="I162">
        <v>0</v>
      </c>
      <c r="J162" t="s">
        <v>31</v>
      </c>
    </row>
    <row r="163" spans="1:10" x14ac:dyDescent="0.25">
      <c r="A163" s="1">
        <v>90</v>
      </c>
      <c r="B163" t="s">
        <v>48</v>
      </c>
      <c r="C163">
        <v>148</v>
      </c>
      <c r="D163">
        <v>7</v>
      </c>
      <c r="E163" t="s">
        <v>58</v>
      </c>
      <c r="F163" t="s">
        <v>57</v>
      </c>
      <c r="G163" t="str">
        <f>"2026-07-08 22:19:46.204"</f>
        <v>2026-07-08 22:19:46.204</v>
      </c>
      <c r="H163" t="s">
        <v>26</v>
      </c>
    </row>
    <row r="164" spans="1:10" x14ac:dyDescent="0.25">
      <c r="A164" s="1">
        <v>91</v>
      </c>
      <c r="B164" t="s">
        <v>28</v>
      </c>
      <c r="C164">
        <v>148</v>
      </c>
      <c r="D164">
        <v>7</v>
      </c>
      <c r="E164" t="s">
        <v>58</v>
      </c>
      <c r="F164" t="s">
        <v>57</v>
      </c>
      <c r="G164" t="str">
        <f>"2026-07-08 22:19:41.191"</f>
        <v>2026-07-08 22:19:41.191</v>
      </c>
      <c r="H164" t="s">
        <v>26</v>
      </c>
      <c r="I164">
        <v>0</v>
      </c>
      <c r="J164" t="s">
        <v>31</v>
      </c>
    </row>
    <row r="165" spans="1:10" x14ac:dyDescent="0.25">
      <c r="A165" s="1">
        <v>94</v>
      </c>
      <c r="B165" t="s">
        <v>23</v>
      </c>
      <c r="C165">
        <v>782</v>
      </c>
      <c r="D165">
        <v>7</v>
      </c>
      <c r="E165" t="s">
        <v>32</v>
      </c>
      <c r="F165" t="s">
        <v>33</v>
      </c>
      <c r="G165" t="str">
        <f>"2026-07-08 22:18:26.187"</f>
        <v>2026-07-08 22:18:26.187</v>
      </c>
      <c r="H165" t="s">
        <v>26</v>
      </c>
      <c r="I165">
        <v>0</v>
      </c>
      <c r="J165" t="s">
        <v>31</v>
      </c>
    </row>
    <row r="166" spans="1:10" x14ac:dyDescent="0.25">
      <c r="A166" s="1">
        <v>97</v>
      </c>
      <c r="B166" t="s">
        <v>19</v>
      </c>
      <c r="C166">
        <v>150</v>
      </c>
      <c r="D166">
        <v>7</v>
      </c>
      <c r="E166" t="s">
        <v>49</v>
      </c>
      <c r="F166" t="s">
        <v>50</v>
      </c>
      <c r="G166" t="str">
        <f>"2026-07-08 22:18:26.180"</f>
        <v>2026-07-08 22:18:26.180</v>
      </c>
      <c r="H166" t="s">
        <v>26</v>
      </c>
    </row>
    <row r="167" spans="1:10" x14ac:dyDescent="0.25">
      <c r="A167" s="1">
        <v>98</v>
      </c>
      <c r="B167" t="s">
        <v>19</v>
      </c>
      <c r="C167">
        <v>148</v>
      </c>
      <c r="D167">
        <v>7</v>
      </c>
      <c r="E167" t="s">
        <v>58</v>
      </c>
      <c r="F167" t="s">
        <v>57</v>
      </c>
      <c r="G167" t="str">
        <f>"2026-07-08 22:18:26.177"</f>
        <v>2026-07-08 22:18:26.177</v>
      </c>
      <c r="H167" t="s">
        <v>26</v>
      </c>
    </row>
    <row r="168" spans="1:10" x14ac:dyDescent="0.25">
      <c r="A168" s="1">
        <v>99</v>
      </c>
      <c r="B168" t="s">
        <v>23</v>
      </c>
      <c r="C168">
        <v>782</v>
      </c>
      <c r="D168">
        <v>7</v>
      </c>
      <c r="E168" t="s">
        <v>32</v>
      </c>
      <c r="F168" t="s">
        <v>33</v>
      </c>
      <c r="G168" t="str">
        <f>"2026-07-08 22:18:26.176"</f>
        <v>2026-07-08 22:18:26.176</v>
      </c>
      <c r="H168" t="s">
        <v>26</v>
      </c>
      <c r="I168">
        <v>0</v>
      </c>
      <c r="J168" t="s">
        <v>31</v>
      </c>
    </row>
    <row r="169" spans="1:10" x14ac:dyDescent="0.25">
      <c r="A169" s="1">
        <v>0</v>
      </c>
      <c r="B169" t="s">
        <v>38</v>
      </c>
      <c r="C169">
        <v>150</v>
      </c>
      <c r="D169">
        <v>7</v>
      </c>
      <c r="E169" t="s">
        <v>49</v>
      </c>
      <c r="F169" t="s">
        <v>50</v>
      </c>
      <c r="G169" t="str">
        <f>"2026-07-08 22:17:48.371"</f>
        <v>2026-07-08 22:17:48.371</v>
      </c>
      <c r="H169" t="s">
        <v>26</v>
      </c>
      <c r="I169">
        <v>0</v>
      </c>
      <c r="J169" t="s">
        <v>31</v>
      </c>
    </row>
    <row r="170" spans="1:10" x14ac:dyDescent="0.25">
      <c r="A170" s="1">
        <v>1</v>
      </c>
      <c r="B170" t="s">
        <v>48</v>
      </c>
      <c r="C170">
        <v>138</v>
      </c>
      <c r="D170">
        <v>6</v>
      </c>
      <c r="E170" t="s">
        <v>61</v>
      </c>
      <c r="F170" t="s">
        <v>62</v>
      </c>
      <c r="G170" t="str">
        <f>"2026-07-08 22:15:30.004"</f>
        <v>2026-07-08 22:15:30.004</v>
      </c>
      <c r="H170" t="s">
        <v>26</v>
      </c>
    </row>
    <row r="171" spans="1:10" x14ac:dyDescent="0.25">
      <c r="A171" s="1">
        <v>2</v>
      </c>
      <c r="B171" t="s">
        <v>28</v>
      </c>
      <c r="C171">
        <v>138</v>
      </c>
      <c r="D171">
        <v>6</v>
      </c>
      <c r="E171" t="s">
        <v>61</v>
      </c>
      <c r="F171" t="s">
        <v>62</v>
      </c>
      <c r="G171" t="str">
        <f>"2026-07-08 22:15:24.991"</f>
        <v>2026-07-08 22:15:24.991</v>
      </c>
      <c r="H171" t="s">
        <v>26</v>
      </c>
      <c r="I171">
        <v>0</v>
      </c>
      <c r="J171" t="s">
        <v>31</v>
      </c>
    </row>
    <row r="172" spans="1:10" x14ac:dyDescent="0.25">
      <c r="A172" s="1">
        <v>3</v>
      </c>
      <c r="B172" t="s">
        <v>48</v>
      </c>
      <c r="C172">
        <v>150</v>
      </c>
      <c r="D172">
        <v>7</v>
      </c>
      <c r="E172" t="s">
        <v>49</v>
      </c>
      <c r="F172" t="s">
        <v>50</v>
      </c>
      <c r="G172" t="str">
        <f>"2026-07-08 22:13:14.504"</f>
        <v>2026-07-08 22:13:14.504</v>
      </c>
      <c r="H172" t="s">
        <v>26</v>
      </c>
    </row>
    <row r="173" spans="1:10" x14ac:dyDescent="0.25">
      <c r="A173" s="1">
        <v>4</v>
      </c>
      <c r="B173" t="s">
        <v>28</v>
      </c>
      <c r="C173">
        <v>150</v>
      </c>
      <c r="D173">
        <v>7</v>
      </c>
      <c r="E173" t="s">
        <v>49</v>
      </c>
      <c r="F173" t="s">
        <v>50</v>
      </c>
      <c r="G173" t="str">
        <f>"2026-07-08 22:13:09.431"</f>
        <v>2026-07-08 22:13:09.431</v>
      </c>
      <c r="H173" t="s">
        <v>26</v>
      </c>
      <c r="I173">
        <v>0</v>
      </c>
      <c r="J173" t="s">
        <v>31</v>
      </c>
    </row>
    <row r="174" spans="1:10" x14ac:dyDescent="0.25">
      <c r="A174" s="1">
        <v>5</v>
      </c>
      <c r="B174" t="s">
        <v>38</v>
      </c>
      <c r="C174">
        <v>148</v>
      </c>
      <c r="D174">
        <v>7</v>
      </c>
      <c r="E174" t="s">
        <v>58</v>
      </c>
      <c r="F174" t="s">
        <v>57</v>
      </c>
      <c r="G174" t="str">
        <f>"2026-07-08 22:12:03.651"</f>
        <v>2026-07-08 22:12:03.651</v>
      </c>
      <c r="H174" t="s">
        <v>26</v>
      </c>
      <c r="I174">
        <v>0</v>
      </c>
      <c r="J174" t="s">
        <v>31</v>
      </c>
    </row>
    <row r="175" spans="1:10" x14ac:dyDescent="0.25">
      <c r="A175" s="1">
        <v>6</v>
      </c>
      <c r="B175" t="s">
        <v>48</v>
      </c>
      <c r="C175">
        <v>129</v>
      </c>
      <c r="D175">
        <v>6</v>
      </c>
      <c r="E175" t="s">
        <v>63</v>
      </c>
      <c r="F175" t="s">
        <v>64</v>
      </c>
      <c r="G175" t="str">
        <f>"2026-07-08 22:10:51.504"</f>
        <v>2026-07-08 22:10:51.504</v>
      </c>
      <c r="H175" t="s">
        <v>26</v>
      </c>
    </row>
    <row r="176" spans="1:10" x14ac:dyDescent="0.25">
      <c r="A176" s="1">
        <v>7</v>
      </c>
      <c r="B176" t="s">
        <v>28</v>
      </c>
      <c r="C176">
        <v>129</v>
      </c>
      <c r="D176">
        <v>6</v>
      </c>
      <c r="E176" t="s">
        <v>63</v>
      </c>
      <c r="F176" t="s">
        <v>64</v>
      </c>
      <c r="G176" t="str">
        <f>"2026-07-08 22:10:46.491"</f>
        <v>2026-07-08 22:10:46.491</v>
      </c>
      <c r="H176" t="s">
        <v>26</v>
      </c>
      <c r="I176">
        <v>0</v>
      </c>
      <c r="J176" t="s">
        <v>31</v>
      </c>
    </row>
    <row r="177" spans="1:10" x14ac:dyDescent="0.25">
      <c r="A177" s="1">
        <v>8</v>
      </c>
      <c r="B177" t="s">
        <v>48</v>
      </c>
      <c r="C177">
        <v>138</v>
      </c>
      <c r="D177">
        <v>6</v>
      </c>
      <c r="E177" t="s">
        <v>61</v>
      </c>
      <c r="F177" t="s">
        <v>62</v>
      </c>
      <c r="G177" t="str">
        <f>"2026-07-08 22:10:23.704"</f>
        <v>2026-07-08 22:10:23.704</v>
      </c>
      <c r="H177" t="s">
        <v>26</v>
      </c>
    </row>
    <row r="178" spans="1:10" x14ac:dyDescent="0.25">
      <c r="A178" s="1">
        <v>9</v>
      </c>
      <c r="B178" t="s">
        <v>28</v>
      </c>
      <c r="C178">
        <v>138</v>
      </c>
      <c r="D178">
        <v>6</v>
      </c>
      <c r="E178" t="s">
        <v>61</v>
      </c>
      <c r="F178" t="s">
        <v>62</v>
      </c>
      <c r="G178" t="str">
        <f>"2026-07-08 22:10:18.611"</f>
        <v>2026-07-08 22:10:18.611</v>
      </c>
      <c r="H178" t="s">
        <v>26</v>
      </c>
      <c r="I178">
        <v>0</v>
      </c>
      <c r="J178" t="s">
        <v>31</v>
      </c>
    </row>
    <row r="179" spans="1:10" x14ac:dyDescent="0.25">
      <c r="A179" s="1">
        <v>10</v>
      </c>
      <c r="B179" t="s">
        <v>48</v>
      </c>
      <c r="C179">
        <v>148</v>
      </c>
      <c r="D179">
        <v>7</v>
      </c>
      <c r="E179" t="s">
        <v>58</v>
      </c>
      <c r="F179" t="s">
        <v>57</v>
      </c>
      <c r="G179" t="str">
        <f>"2026-07-08 22:09:44.604"</f>
        <v>2026-07-08 22:09:44.604</v>
      </c>
      <c r="H179" t="s">
        <v>26</v>
      </c>
    </row>
    <row r="180" spans="1:10" x14ac:dyDescent="0.25">
      <c r="A180" s="1">
        <v>11</v>
      </c>
      <c r="B180" t="s">
        <v>28</v>
      </c>
      <c r="C180">
        <v>148</v>
      </c>
      <c r="D180">
        <v>7</v>
      </c>
      <c r="E180" t="s">
        <v>58</v>
      </c>
      <c r="F180" t="s">
        <v>57</v>
      </c>
      <c r="G180" t="str">
        <f>"2026-07-08 22:09:39.511"</f>
        <v>2026-07-08 22:09:39.511</v>
      </c>
      <c r="H180" t="s">
        <v>26</v>
      </c>
      <c r="I180">
        <v>0</v>
      </c>
      <c r="J180" t="s">
        <v>31</v>
      </c>
    </row>
    <row r="181" spans="1:10" x14ac:dyDescent="0.25">
      <c r="A181" s="1">
        <v>12</v>
      </c>
      <c r="B181" t="s">
        <v>23</v>
      </c>
      <c r="C181">
        <v>706</v>
      </c>
      <c r="D181">
        <v>4</v>
      </c>
      <c r="E181" t="s">
        <v>24</v>
      </c>
      <c r="F181" t="s">
        <v>25</v>
      </c>
      <c r="G181" t="str">
        <f>"2026-07-08 22:09:01.724"</f>
        <v>2026-07-08 22:09:01.724</v>
      </c>
      <c r="H181" t="s">
        <v>26</v>
      </c>
      <c r="I181">
        <v>0</v>
      </c>
      <c r="J181" t="s">
        <v>27</v>
      </c>
    </row>
    <row r="182" spans="1:10" x14ac:dyDescent="0.25">
      <c r="A182" s="1">
        <v>13</v>
      </c>
      <c r="B182" t="s">
        <v>23</v>
      </c>
      <c r="C182">
        <v>700</v>
      </c>
      <c r="D182">
        <v>0</v>
      </c>
      <c r="E182" t="s">
        <v>37</v>
      </c>
      <c r="F182" t="s">
        <v>37</v>
      </c>
      <c r="G182" t="str">
        <f>"2026-07-08 21:48:52.864"</f>
        <v>2026-07-08 21:48:52.864</v>
      </c>
      <c r="H182" t="s">
        <v>26</v>
      </c>
      <c r="I182">
        <v>0</v>
      </c>
      <c r="J182" t="s">
        <v>43</v>
      </c>
    </row>
    <row r="183" spans="1:10" x14ac:dyDescent="0.25">
      <c r="A183" s="1">
        <v>14</v>
      </c>
      <c r="B183" t="s">
        <v>23</v>
      </c>
      <c r="C183">
        <v>700</v>
      </c>
      <c r="D183">
        <v>0</v>
      </c>
      <c r="E183" t="s">
        <v>37</v>
      </c>
      <c r="F183" t="s">
        <v>37</v>
      </c>
      <c r="G183" t="str">
        <f>"2026-07-08 21:46:53.906"</f>
        <v>2026-07-08 21:46:53.906</v>
      </c>
      <c r="H183" t="s">
        <v>26</v>
      </c>
      <c r="I183">
        <v>0</v>
      </c>
      <c r="J183" t="s">
        <v>43</v>
      </c>
    </row>
    <row r="184" spans="1:10" x14ac:dyDescent="0.25">
      <c r="A184" s="1">
        <v>15</v>
      </c>
      <c r="B184" t="s">
        <v>23</v>
      </c>
      <c r="C184">
        <v>700</v>
      </c>
      <c r="D184">
        <v>0</v>
      </c>
      <c r="E184" t="s">
        <v>37</v>
      </c>
      <c r="F184" t="s">
        <v>37</v>
      </c>
      <c r="G184" t="str">
        <f>"2026-07-08 21:16:58.865"</f>
        <v>2026-07-08 21:16:58.865</v>
      </c>
      <c r="H184" t="s">
        <v>26</v>
      </c>
      <c r="I184">
        <v>0</v>
      </c>
      <c r="J184" t="s">
        <v>43</v>
      </c>
    </row>
    <row r="185" spans="1:10" x14ac:dyDescent="0.25">
      <c r="A185" s="1">
        <v>16</v>
      </c>
      <c r="B185" t="s">
        <v>23</v>
      </c>
      <c r="C185">
        <v>700</v>
      </c>
      <c r="D185">
        <v>0</v>
      </c>
      <c r="E185" t="s">
        <v>37</v>
      </c>
      <c r="F185" t="s">
        <v>37</v>
      </c>
      <c r="G185" t="str">
        <f>"2026-07-08 20:03:51.928"</f>
        <v>2026-07-08 20:03:51.928</v>
      </c>
      <c r="H185" t="s">
        <v>26</v>
      </c>
      <c r="I185">
        <v>0</v>
      </c>
      <c r="J185" t="s">
        <v>43</v>
      </c>
    </row>
    <row r="186" spans="1:10" x14ac:dyDescent="0.25">
      <c r="A186" s="1">
        <v>17</v>
      </c>
      <c r="B186" t="s">
        <v>23</v>
      </c>
      <c r="C186">
        <v>700</v>
      </c>
      <c r="D186">
        <v>0</v>
      </c>
      <c r="E186" t="s">
        <v>37</v>
      </c>
      <c r="F186" t="s">
        <v>37</v>
      </c>
      <c r="G186" t="str">
        <f>"2026-07-08 20:02:49.899"</f>
        <v>2026-07-08 20:02:49.899</v>
      </c>
      <c r="H186" t="s">
        <v>26</v>
      </c>
    </row>
    <row r="187" spans="1:10" x14ac:dyDescent="0.25">
      <c r="A187" s="1">
        <v>18</v>
      </c>
      <c r="B187" t="s">
        <v>23</v>
      </c>
      <c r="C187">
        <v>700</v>
      </c>
      <c r="D187">
        <v>0</v>
      </c>
      <c r="E187" t="s">
        <v>37</v>
      </c>
      <c r="F187" t="s">
        <v>37</v>
      </c>
      <c r="G187" t="str">
        <f>"2026-07-08 14:03:07.870"</f>
        <v>2026-07-08 14:03:07.870</v>
      </c>
      <c r="H187" t="s">
        <v>26</v>
      </c>
      <c r="I187">
        <v>0</v>
      </c>
      <c r="J187" t="s">
        <v>43</v>
      </c>
    </row>
    <row r="188" spans="1:10" x14ac:dyDescent="0.25">
      <c r="A188" s="1">
        <v>19</v>
      </c>
      <c r="B188" t="s">
        <v>23</v>
      </c>
      <c r="C188">
        <v>706</v>
      </c>
      <c r="D188">
        <v>4</v>
      </c>
      <c r="E188" t="s">
        <v>24</v>
      </c>
      <c r="F188" t="s">
        <v>25</v>
      </c>
      <c r="G188" t="str">
        <f>"2026-07-08 02:03:09.062"</f>
        <v>2026-07-08 02:03:09.062</v>
      </c>
      <c r="H188" t="s">
        <v>26</v>
      </c>
      <c r="I188">
        <v>0</v>
      </c>
      <c r="J188" t="s">
        <v>27</v>
      </c>
    </row>
    <row r="189" spans="1:10" x14ac:dyDescent="0.25">
      <c r="A189" s="1">
        <v>20</v>
      </c>
      <c r="B189" t="s">
        <v>23</v>
      </c>
      <c r="C189">
        <v>700</v>
      </c>
      <c r="D189">
        <v>0</v>
      </c>
      <c r="E189" t="s">
        <v>37</v>
      </c>
      <c r="F189" t="s">
        <v>37</v>
      </c>
      <c r="G189" t="str">
        <f>"2026-07-08 01:32:24.902"</f>
        <v>2026-07-08 01:32:24.902</v>
      </c>
      <c r="H189" t="s">
        <v>26</v>
      </c>
      <c r="I189">
        <v>0</v>
      </c>
      <c r="J189" t="s">
        <v>43</v>
      </c>
    </row>
    <row r="190" spans="1:10" x14ac:dyDescent="0.25">
      <c r="A190" s="1">
        <v>21</v>
      </c>
      <c r="B190" t="s">
        <v>23</v>
      </c>
      <c r="C190">
        <v>700</v>
      </c>
      <c r="D190">
        <v>0</v>
      </c>
      <c r="E190" t="s">
        <v>37</v>
      </c>
      <c r="F190" t="s">
        <v>37</v>
      </c>
      <c r="G190" t="str">
        <f>"2026-07-07 18:27:08.892"</f>
        <v>2026-07-07 18:27:08.892</v>
      </c>
      <c r="H190" t="s">
        <v>26</v>
      </c>
      <c r="I190">
        <v>0</v>
      </c>
      <c r="J190" t="s">
        <v>43</v>
      </c>
    </row>
    <row r="191" spans="1:10" x14ac:dyDescent="0.25">
      <c r="A191" s="1">
        <v>22</v>
      </c>
      <c r="B191" t="s">
        <v>23</v>
      </c>
      <c r="C191">
        <v>700</v>
      </c>
      <c r="D191">
        <v>0</v>
      </c>
      <c r="E191" t="s">
        <v>37</v>
      </c>
      <c r="F191" t="s">
        <v>37</v>
      </c>
      <c r="G191" t="str">
        <f>"2026-07-07 13:37:10.959"</f>
        <v>2026-07-07 13:37:10.959</v>
      </c>
      <c r="H191" t="s">
        <v>26</v>
      </c>
      <c r="I191">
        <v>0</v>
      </c>
      <c r="J191" t="s">
        <v>43</v>
      </c>
    </row>
    <row r="192" spans="1:10" x14ac:dyDescent="0.25">
      <c r="A192" s="1">
        <v>23</v>
      </c>
      <c r="B192" t="s">
        <v>23</v>
      </c>
      <c r="C192">
        <v>706</v>
      </c>
      <c r="D192">
        <v>4</v>
      </c>
      <c r="E192" t="s">
        <v>24</v>
      </c>
      <c r="F192" t="s">
        <v>25</v>
      </c>
      <c r="G192" t="str">
        <f>"2026-07-07 00:54:40.390"</f>
        <v>2026-07-07 00:54:40.390</v>
      </c>
      <c r="H192" t="s">
        <v>26</v>
      </c>
      <c r="I192">
        <v>0</v>
      </c>
      <c r="J192" t="s">
        <v>27</v>
      </c>
    </row>
    <row r="193" spans="1:10" x14ac:dyDescent="0.25">
      <c r="A193" s="1">
        <v>24</v>
      </c>
      <c r="B193" t="s">
        <v>23</v>
      </c>
      <c r="C193">
        <v>700</v>
      </c>
      <c r="D193">
        <v>0</v>
      </c>
      <c r="E193" t="s">
        <v>37</v>
      </c>
      <c r="F193" t="s">
        <v>37</v>
      </c>
      <c r="G193" t="str">
        <f>"2026-07-07 00:25:30.880"</f>
        <v>2026-07-07 00:25:30.880</v>
      </c>
      <c r="H193" t="s">
        <v>26</v>
      </c>
      <c r="I193">
        <v>0</v>
      </c>
      <c r="J193" t="s">
        <v>43</v>
      </c>
    </row>
    <row r="194" spans="1:10" x14ac:dyDescent="0.25">
      <c r="A194" s="1">
        <v>25</v>
      </c>
      <c r="B194" t="s">
        <v>23</v>
      </c>
      <c r="C194">
        <v>706</v>
      </c>
      <c r="D194">
        <v>4</v>
      </c>
      <c r="E194" t="s">
        <v>24</v>
      </c>
      <c r="F194" t="s">
        <v>25</v>
      </c>
      <c r="G194" t="str">
        <f>"2026-07-06 01:37:10.188"</f>
        <v>2026-07-06 01:37:10.188</v>
      </c>
      <c r="H194" t="s">
        <v>26</v>
      </c>
      <c r="I194">
        <v>0</v>
      </c>
      <c r="J194" t="s">
        <v>27</v>
      </c>
    </row>
    <row r="195" spans="1:10" x14ac:dyDescent="0.25">
      <c r="A195" s="1">
        <v>26</v>
      </c>
      <c r="B195" t="s">
        <v>23</v>
      </c>
      <c r="C195">
        <v>700</v>
      </c>
      <c r="D195">
        <v>0</v>
      </c>
      <c r="E195" t="s">
        <v>37</v>
      </c>
      <c r="F195" t="s">
        <v>37</v>
      </c>
      <c r="G195" t="str">
        <f>"2026-07-06 01:07:17.868"</f>
        <v>2026-07-06 01:07:17.868</v>
      </c>
      <c r="H195" t="s">
        <v>26</v>
      </c>
      <c r="I195">
        <v>0</v>
      </c>
      <c r="J195" t="s">
        <v>43</v>
      </c>
    </row>
    <row r="196" spans="1:10" x14ac:dyDescent="0.25">
      <c r="A196" s="1">
        <v>27</v>
      </c>
      <c r="B196" t="s">
        <v>23</v>
      </c>
      <c r="C196">
        <v>700</v>
      </c>
      <c r="D196">
        <v>0</v>
      </c>
      <c r="E196" t="s">
        <v>37</v>
      </c>
      <c r="F196" t="s">
        <v>37</v>
      </c>
      <c r="G196" t="str">
        <f>"2026-07-05 18:16:01.861"</f>
        <v>2026-07-05 18:16:01.861</v>
      </c>
      <c r="H196" t="s">
        <v>26</v>
      </c>
      <c r="I196">
        <v>0</v>
      </c>
      <c r="J196" t="s">
        <v>43</v>
      </c>
    </row>
    <row r="197" spans="1:10" x14ac:dyDescent="0.25">
      <c r="A197" s="1">
        <v>28</v>
      </c>
      <c r="B197" t="s">
        <v>23</v>
      </c>
      <c r="C197">
        <v>700</v>
      </c>
      <c r="D197">
        <v>0</v>
      </c>
      <c r="E197" t="s">
        <v>37</v>
      </c>
      <c r="F197" t="s">
        <v>37</v>
      </c>
      <c r="G197" t="str">
        <f>"2026-07-05 17:56:11.864"</f>
        <v>2026-07-05 17:56:11.864</v>
      </c>
      <c r="H197" t="s">
        <v>26</v>
      </c>
      <c r="I197">
        <v>0</v>
      </c>
      <c r="J197" t="s">
        <v>43</v>
      </c>
    </row>
    <row r="198" spans="1:10" x14ac:dyDescent="0.25">
      <c r="A198" s="1">
        <v>29</v>
      </c>
      <c r="B198" t="s">
        <v>23</v>
      </c>
      <c r="C198">
        <v>700</v>
      </c>
      <c r="D198">
        <v>0</v>
      </c>
      <c r="E198" t="s">
        <v>37</v>
      </c>
      <c r="F198" t="s">
        <v>37</v>
      </c>
      <c r="G198" t="str">
        <f>"2026-07-05 17:23:53.970"</f>
        <v>2026-07-05 17:23:53.970</v>
      </c>
      <c r="H198" t="s">
        <v>26</v>
      </c>
      <c r="I198">
        <v>0</v>
      </c>
      <c r="J198" t="s">
        <v>43</v>
      </c>
    </row>
    <row r="199" spans="1:10" x14ac:dyDescent="0.25">
      <c r="A199" s="1">
        <v>30</v>
      </c>
      <c r="B199" t="s">
        <v>23</v>
      </c>
      <c r="C199">
        <v>706</v>
      </c>
      <c r="D199">
        <v>4</v>
      </c>
      <c r="E199" t="s">
        <v>24</v>
      </c>
      <c r="F199" t="s">
        <v>25</v>
      </c>
      <c r="G199" t="str">
        <f>"2026-07-05 17:19:34.231"</f>
        <v>2026-07-05 17:19:34.231</v>
      </c>
      <c r="H199" t="s">
        <v>26</v>
      </c>
      <c r="I199">
        <v>0</v>
      </c>
      <c r="J199" t="s">
        <v>27</v>
      </c>
    </row>
    <row r="200" spans="1:10" x14ac:dyDescent="0.25">
      <c r="A200" s="1">
        <v>31</v>
      </c>
      <c r="B200" t="s">
        <v>23</v>
      </c>
      <c r="C200">
        <v>706</v>
      </c>
      <c r="D200">
        <v>2</v>
      </c>
      <c r="E200" t="s">
        <v>24</v>
      </c>
      <c r="F200" t="s">
        <v>39</v>
      </c>
      <c r="G200" t="str">
        <f>"2026-07-05 17:13:38.871"</f>
        <v>2026-07-05 17:13:38.871</v>
      </c>
      <c r="H200" t="s">
        <v>26</v>
      </c>
      <c r="I200">
        <v>0</v>
      </c>
      <c r="J200" t="s">
        <v>27</v>
      </c>
    </row>
    <row r="201" spans="1:10" x14ac:dyDescent="0.25">
      <c r="A201" s="1">
        <v>32</v>
      </c>
      <c r="B201" t="s">
        <v>23</v>
      </c>
      <c r="C201">
        <v>706</v>
      </c>
      <c r="D201">
        <v>4</v>
      </c>
      <c r="E201" t="s">
        <v>24</v>
      </c>
      <c r="F201" t="s">
        <v>25</v>
      </c>
      <c r="G201" t="str">
        <f>"2026-07-05 17:13:14.251"</f>
        <v>2026-07-05 17:13:14.251</v>
      </c>
      <c r="H201" t="s">
        <v>26</v>
      </c>
      <c r="I201">
        <v>0</v>
      </c>
      <c r="J201" t="s">
        <v>27</v>
      </c>
    </row>
    <row r="202" spans="1:10" x14ac:dyDescent="0.25">
      <c r="A202" s="1">
        <v>33</v>
      </c>
      <c r="B202" t="s">
        <v>23</v>
      </c>
      <c r="C202">
        <v>706</v>
      </c>
      <c r="D202">
        <v>4</v>
      </c>
      <c r="E202" t="s">
        <v>24</v>
      </c>
      <c r="F202" t="s">
        <v>25</v>
      </c>
      <c r="G202" t="str">
        <f>"2026-07-05 17:13:02.041"</f>
        <v>2026-07-05 17:13:02.041</v>
      </c>
      <c r="H202" t="s">
        <v>26</v>
      </c>
      <c r="I202">
        <v>0</v>
      </c>
      <c r="J202" t="s">
        <v>27</v>
      </c>
    </row>
    <row r="203" spans="1:10" x14ac:dyDescent="0.25">
      <c r="A203" s="1">
        <v>34</v>
      </c>
      <c r="B203" t="s">
        <v>23</v>
      </c>
      <c r="C203">
        <v>700</v>
      </c>
      <c r="D203">
        <v>0</v>
      </c>
      <c r="E203" t="s">
        <v>37</v>
      </c>
      <c r="F203" t="s">
        <v>37</v>
      </c>
      <c r="G203" t="str">
        <f>"2026-07-05 17:02:12.871"</f>
        <v>2026-07-05 17:02:12.871</v>
      </c>
      <c r="H203" t="s">
        <v>26</v>
      </c>
    </row>
    <row r="204" spans="1:10" x14ac:dyDescent="0.25">
      <c r="A204" s="1">
        <v>35</v>
      </c>
      <c r="B204" t="s">
        <v>23</v>
      </c>
      <c r="C204">
        <v>700</v>
      </c>
      <c r="D204">
        <v>0</v>
      </c>
      <c r="E204" t="s">
        <v>37</v>
      </c>
      <c r="F204" t="s">
        <v>37</v>
      </c>
      <c r="G204" t="str">
        <f>"2026-07-05 13:50:05.896"</f>
        <v>2026-07-05 13:50:05.896</v>
      </c>
      <c r="H204" t="s">
        <v>26</v>
      </c>
      <c r="I204">
        <v>0</v>
      </c>
      <c r="J204" t="s">
        <v>43</v>
      </c>
    </row>
    <row r="205" spans="1:10" x14ac:dyDescent="0.25">
      <c r="A205" s="1">
        <v>36</v>
      </c>
      <c r="B205" t="s">
        <v>23</v>
      </c>
      <c r="C205">
        <v>706</v>
      </c>
      <c r="D205">
        <v>4</v>
      </c>
      <c r="E205" t="s">
        <v>24</v>
      </c>
      <c r="F205" t="s">
        <v>25</v>
      </c>
      <c r="G205" t="str">
        <f>"2026-07-05 01:05:43.097"</f>
        <v>2026-07-05 01:05:43.097</v>
      </c>
      <c r="H205" t="s">
        <v>26</v>
      </c>
      <c r="I205">
        <v>0</v>
      </c>
      <c r="J205" t="s">
        <v>27</v>
      </c>
    </row>
    <row r="206" spans="1:10" x14ac:dyDescent="0.25">
      <c r="A206" s="1">
        <v>37</v>
      </c>
      <c r="B206" t="s">
        <v>23</v>
      </c>
      <c r="C206">
        <v>700</v>
      </c>
      <c r="D206">
        <v>0</v>
      </c>
      <c r="E206" t="s">
        <v>37</v>
      </c>
      <c r="F206" t="s">
        <v>37</v>
      </c>
      <c r="G206" t="str">
        <f>"2026-07-05 00:35:58.887"</f>
        <v>2026-07-05 00:35:58.887</v>
      </c>
      <c r="H206" t="s">
        <v>26</v>
      </c>
    </row>
    <row r="207" spans="1:10" x14ac:dyDescent="0.25">
      <c r="A207" s="1">
        <v>38</v>
      </c>
      <c r="B207" t="s">
        <v>30</v>
      </c>
      <c r="C207">
        <v>33</v>
      </c>
      <c r="D207">
        <v>1</v>
      </c>
      <c r="E207" t="s">
        <v>65</v>
      </c>
      <c r="F207" t="s">
        <v>66</v>
      </c>
      <c r="G207" t="str">
        <f>"2026-07-04 19:12:40.967"</f>
        <v>2026-07-04 19:12:40.967</v>
      </c>
      <c r="H207" t="s">
        <v>67</v>
      </c>
    </row>
    <row r="208" spans="1:10" x14ac:dyDescent="0.25">
      <c r="A208" s="1">
        <v>39</v>
      </c>
      <c r="B208" t="s">
        <v>28</v>
      </c>
      <c r="C208">
        <v>33</v>
      </c>
      <c r="D208">
        <v>1</v>
      </c>
      <c r="E208" t="s">
        <v>65</v>
      </c>
      <c r="F208" t="s">
        <v>66</v>
      </c>
      <c r="G208" t="str">
        <f>"2026-07-04 19:11:47.006"</f>
        <v>2026-07-04 19:11:47.006</v>
      </c>
      <c r="H208" t="s">
        <v>67</v>
      </c>
      <c r="I208">
        <v>8.98</v>
      </c>
      <c r="J208" t="s">
        <v>42</v>
      </c>
    </row>
    <row r="209" spans="1:10" x14ac:dyDescent="0.25">
      <c r="A209" s="1">
        <v>40</v>
      </c>
      <c r="B209" t="s">
        <v>19</v>
      </c>
      <c r="C209">
        <v>635</v>
      </c>
      <c r="D209">
        <v>1</v>
      </c>
      <c r="E209" t="s">
        <v>40</v>
      </c>
      <c r="F209" t="s">
        <v>41</v>
      </c>
      <c r="G209" t="str">
        <f>"2026-07-04 09:07:28.214"</f>
        <v>2026-07-04 09:07:28.214</v>
      </c>
      <c r="H209" t="s">
        <v>26</v>
      </c>
    </row>
    <row r="210" spans="1:10" x14ac:dyDescent="0.25">
      <c r="A210" s="1">
        <v>41</v>
      </c>
      <c r="B210" t="s">
        <v>38</v>
      </c>
      <c r="C210">
        <v>635</v>
      </c>
      <c r="D210">
        <v>1</v>
      </c>
      <c r="E210" t="s">
        <v>40</v>
      </c>
      <c r="F210" t="s">
        <v>41</v>
      </c>
      <c r="G210" t="str">
        <f>"2026-07-04 09:03:33.214"</f>
        <v>2026-07-04 09:03:33.214</v>
      </c>
      <c r="H210" t="s">
        <v>26</v>
      </c>
      <c r="I210">
        <v>-0.57999999999999996</v>
      </c>
      <c r="J210" t="s">
        <v>42</v>
      </c>
    </row>
    <row r="211" spans="1:10" x14ac:dyDescent="0.25">
      <c r="A211" s="1">
        <v>42</v>
      </c>
      <c r="B211" t="s">
        <v>23</v>
      </c>
      <c r="C211">
        <v>706</v>
      </c>
      <c r="D211">
        <v>2</v>
      </c>
      <c r="E211" t="s">
        <v>24</v>
      </c>
      <c r="F211" t="s">
        <v>39</v>
      </c>
      <c r="G211" t="str">
        <f>"2026-07-04 01:15:54.617"</f>
        <v>2026-07-04 01:15:54.617</v>
      </c>
      <c r="H211" t="s">
        <v>26</v>
      </c>
      <c r="I211">
        <v>0</v>
      </c>
      <c r="J211" t="s">
        <v>27</v>
      </c>
    </row>
    <row r="212" spans="1:10" x14ac:dyDescent="0.25">
      <c r="A212" s="1">
        <v>43</v>
      </c>
      <c r="B212" t="s">
        <v>23</v>
      </c>
      <c r="C212">
        <v>700</v>
      </c>
      <c r="D212">
        <v>0</v>
      </c>
      <c r="E212" t="s">
        <v>37</v>
      </c>
      <c r="F212" t="s">
        <v>37</v>
      </c>
      <c r="G212" t="str">
        <f>"2026-07-04 00:47:25.857"</f>
        <v>2026-07-04 00:47:25.857</v>
      </c>
      <c r="H212" t="s">
        <v>26</v>
      </c>
      <c r="I212">
        <v>0</v>
      </c>
      <c r="J212" t="s">
        <v>43</v>
      </c>
    </row>
    <row r="213" spans="1:10" x14ac:dyDescent="0.25">
      <c r="A213" s="1">
        <v>44</v>
      </c>
      <c r="B213" t="s">
        <v>23</v>
      </c>
      <c r="C213">
        <v>706</v>
      </c>
      <c r="D213">
        <v>4</v>
      </c>
      <c r="E213" t="s">
        <v>24</v>
      </c>
      <c r="F213" t="s">
        <v>25</v>
      </c>
      <c r="G213" t="str">
        <f>"2026-07-03 23:39:54.024"</f>
        <v>2026-07-03 23:39:54.024</v>
      </c>
      <c r="H213" t="s">
        <v>26</v>
      </c>
      <c r="I213">
        <v>0</v>
      </c>
      <c r="J213" t="s">
        <v>27</v>
      </c>
    </row>
    <row r="214" spans="1:10" x14ac:dyDescent="0.25">
      <c r="A214" s="1">
        <v>45</v>
      </c>
      <c r="B214" t="s">
        <v>23</v>
      </c>
      <c r="C214">
        <v>700</v>
      </c>
      <c r="D214">
        <v>0</v>
      </c>
      <c r="E214" t="s">
        <v>37</v>
      </c>
      <c r="F214" t="s">
        <v>37</v>
      </c>
      <c r="G214" t="str">
        <f>"2026-07-03 23:25:49.884"</f>
        <v>2026-07-03 23:25:49.884</v>
      </c>
      <c r="H214" t="s">
        <v>26</v>
      </c>
      <c r="I214">
        <v>0</v>
      </c>
      <c r="J214" t="s">
        <v>43</v>
      </c>
    </row>
    <row r="215" spans="1:10" x14ac:dyDescent="0.25">
      <c r="A215" s="1">
        <v>46</v>
      </c>
      <c r="B215" t="s">
        <v>23</v>
      </c>
      <c r="C215">
        <v>700</v>
      </c>
      <c r="D215">
        <v>0</v>
      </c>
      <c r="E215" t="s">
        <v>37</v>
      </c>
      <c r="F215" t="s">
        <v>37</v>
      </c>
      <c r="G215" t="str">
        <f>"2026-07-03 12:44:26.031"</f>
        <v>2026-07-03 12:44:26.031</v>
      </c>
      <c r="H215" t="s">
        <v>26</v>
      </c>
      <c r="I215">
        <v>0</v>
      </c>
      <c r="J215" t="s">
        <v>43</v>
      </c>
    </row>
    <row r="216" spans="1:10" x14ac:dyDescent="0.25">
      <c r="A216" s="1">
        <v>47</v>
      </c>
      <c r="B216" t="s">
        <v>23</v>
      </c>
      <c r="C216">
        <v>706</v>
      </c>
      <c r="D216">
        <v>4</v>
      </c>
      <c r="E216" t="s">
        <v>24</v>
      </c>
      <c r="F216" t="s">
        <v>25</v>
      </c>
      <c r="G216" t="str">
        <f>"2026-07-03 01:18:07.014"</f>
        <v>2026-07-03 01:18:07.014</v>
      </c>
      <c r="H216" t="s">
        <v>26</v>
      </c>
      <c r="I216">
        <v>0</v>
      </c>
      <c r="J216" t="s">
        <v>27</v>
      </c>
    </row>
    <row r="217" spans="1:10" x14ac:dyDescent="0.25">
      <c r="A217" s="1">
        <v>48</v>
      </c>
      <c r="B217" t="s">
        <v>23</v>
      </c>
      <c r="C217">
        <v>700</v>
      </c>
      <c r="D217">
        <v>0</v>
      </c>
      <c r="E217" t="s">
        <v>37</v>
      </c>
      <c r="F217" t="s">
        <v>37</v>
      </c>
      <c r="G217" t="str">
        <f>"2026-07-03 00:57:54.874"</f>
        <v>2026-07-03 00:57:54.874</v>
      </c>
      <c r="H217" t="s">
        <v>26</v>
      </c>
    </row>
    <row r="218" spans="1:10" x14ac:dyDescent="0.25">
      <c r="A218" s="1">
        <v>49</v>
      </c>
      <c r="B218" t="s">
        <v>23</v>
      </c>
      <c r="C218">
        <v>706</v>
      </c>
      <c r="D218">
        <v>2</v>
      </c>
      <c r="E218" t="s">
        <v>24</v>
      </c>
      <c r="F218" t="s">
        <v>39</v>
      </c>
      <c r="G218" t="str">
        <f>"2026-07-02 23:49:09.727"</f>
        <v>2026-07-02 23:49:09.727</v>
      </c>
      <c r="H218" t="s">
        <v>26</v>
      </c>
      <c r="I218">
        <v>0</v>
      </c>
      <c r="J218" t="s">
        <v>27</v>
      </c>
    </row>
    <row r="219" spans="1:10" x14ac:dyDescent="0.25">
      <c r="A219" s="1">
        <v>50</v>
      </c>
      <c r="B219" t="s">
        <v>23</v>
      </c>
      <c r="C219">
        <v>706</v>
      </c>
      <c r="D219">
        <v>3</v>
      </c>
      <c r="E219" t="s">
        <v>24</v>
      </c>
      <c r="F219" t="s">
        <v>68</v>
      </c>
      <c r="G219" t="str">
        <f>"2026-07-02 23:30:20.287"</f>
        <v>2026-07-02 23:30:20.287</v>
      </c>
      <c r="H219" t="s">
        <v>26</v>
      </c>
      <c r="I219">
        <v>0</v>
      </c>
      <c r="J219" t="s">
        <v>27</v>
      </c>
    </row>
    <row r="220" spans="1:10" x14ac:dyDescent="0.25">
      <c r="A220" s="1">
        <v>51</v>
      </c>
      <c r="B220" t="s">
        <v>23</v>
      </c>
      <c r="C220">
        <v>700</v>
      </c>
      <c r="D220">
        <v>0</v>
      </c>
      <c r="E220" t="s">
        <v>37</v>
      </c>
      <c r="F220" t="s">
        <v>37</v>
      </c>
      <c r="G220" t="str">
        <f>"2026-07-02 13:29:10.897"</f>
        <v>2026-07-02 13:29:10.897</v>
      </c>
      <c r="H220" t="s">
        <v>26</v>
      </c>
    </row>
    <row r="221" spans="1:10" x14ac:dyDescent="0.25">
      <c r="A221" s="1">
        <v>52</v>
      </c>
      <c r="B221" t="s">
        <v>23</v>
      </c>
      <c r="C221">
        <v>706</v>
      </c>
      <c r="D221">
        <v>4</v>
      </c>
      <c r="E221" t="s">
        <v>24</v>
      </c>
      <c r="F221" t="s">
        <v>25</v>
      </c>
      <c r="G221" t="str">
        <f>"2026-07-02 01:40:16.596"</f>
        <v>2026-07-02 01:40:16.596</v>
      </c>
      <c r="H221" t="s">
        <v>26</v>
      </c>
      <c r="I221">
        <v>0</v>
      </c>
      <c r="J221" t="s">
        <v>27</v>
      </c>
    </row>
    <row r="222" spans="1:10" x14ac:dyDescent="0.25">
      <c r="A222" s="1">
        <v>53</v>
      </c>
      <c r="B222" t="s">
        <v>23</v>
      </c>
      <c r="C222">
        <v>700</v>
      </c>
      <c r="D222">
        <v>0</v>
      </c>
      <c r="E222" t="s">
        <v>37</v>
      </c>
      <c r="F222" t="s">
        <v>37</v>
      </c>
      <c r="G222" t="str">
        <f>"2026-07-02 01:10:54.886"</f>
        <v>2026-07-02 01:10:54.886</v>
      </c>
      <c r="H222" t="s">
        <v>26</v>
      </c>
    </row>
    <row r="223" spans="1:10" x14ac:dyDescent="0.25">
      <c r="A223" s="1">
        <v>54</v>
      </c>
      <c r="B223" t="s">
        <v>23</v>
      </c>
      <c r="C223">
        <v>700</v>
      </c>
      <c r="D223">
        <v>0</v>
      </c>
      <c r="E223" t="s">
        <v>37</v>
      </c>
      <c r="F223" t="s">
        <v>37</v>
      </c>
      <c r="G223" t="str">
        <f>"2026-07-01 13:57:08.943"</f>
        <v>2026-07-01 13:57:08.943</v>
      </c>
      <c r="H223" t="s">
        <v>26</v>
      </c>
      <c r="I223">
        <v>0</v>
      </c>
      <c r="J223" t="s">
        <v>43</v>
      </c>
    </row>
    <row r="224" spans="1:10" x14ac:dyDescent="0.25">
      <c r="A224" s="1">
        <v>55</v>
      </c>
      <c r="B224" t="s">
        <v>23</v>
      </c>
      <c r="C224">
        <v>706</v>
      </c>
      <c r="D224">
        <v>4</v>
      </c>
      <c r="E224" t="s">
        <v>24</v>
      </c>
      <c r="F224" t="s">
        <v>25</v>
      </c>
      <c r="G224" t="str">
        <f>"2026-07-01 01:31:36.781"</f>
        <v>2026-07-01 01:31:36.781</v>
      </c>
      <c r="H224" t="s">
        <v>26</v>
      </c>
      <c r="I224">
        <v>0</v>
      </c>
      <c r="J224" t="s">
        <v>27</v>
      </c>
    </row>
    <row r="225" spans="1:10" x14ac:dyDescent="0.25">
      <c r="A225" s="1">
        <v>56</v>
      </c>
      <c r="B225" t="s">
        <v>23</v>
      </c>
      <c r="C225">
        <v>700</v>
      </c>
      <c r="D225">
        <v>0</v>
      </c>
      <c r="E225" t="s">
        <v>37</v>
      </c>
      <c r="F225" t="s">
        <v>37</v>
      </c>
      <c r="G225" t="str">
        <f>"2026-07-01 00:59:06.871"</f>
        <v>2026-07-01 00:59:06.871</v>
      </c>
      <c r="H225" t="s">
        <v>26</v>
      </c>
      <c r="I225">
        <v>0</v>
      </c>
      <c r="J225" t="s">
        <v>43</v>
      </c>
    </row>
    <row r="226" spans="1:10" x14ac:dyDescent="0.25">
      <c r="A226" s="1">
        <v>57</v>
      </c>
      <c r="B226" t="s">
        <v>23</v>
      </c>
      <c r="C226">
        <v>700</v>
      </c>
      <c r="D226">
        <v>0</v>
      </c>
      <c r="E226" t="s">
        <v>37</v>
      </c>
      <c r="F226" t="s">
        <v>37</v>
      </c>
      <c r="G226" t="str">
        <f>"2026-06-30 12:49:33.858"</f>
        <v>2026-06-30 12:49:33.858</v>
      </c>
      <c r="H226" t="s">
        <v>26</v>
      </c>
      <c r="I226">
        <v>0</v>
      </c>
      <c r="J226" t="s">
        <v>43</v>
      </c>
    </row>
    <row r="227" spans="1:10" x14ac:dyDescent="0.25">
      <c r="A227" s="1">
        <v>58</v>
      </c>
      <c r="B227" t="s">
        <v>23</v>
      </c>
      <c r="C227">
        <v>706</v>
      </c>
      <c r="D227">
        <v>4</v>
      </c>
      <c r="E227" t="s">
        <v>24</v>
      </c>
      <c r="F227" t="s">
        <v>25</v>
      </c>
      <c r="G227" t="str">
        <f>"2026-06-30 01:25:30.201"</f>
        <v>2026-06-30 01:25:30.201</v>
      </c>
      <c r="H227" t="s">
        <v>26</v>
      </c>
      <c r="I227">
        <v>0</v>
      </c>
      <c r="J227" t="s">
        <v>27</v>
      </c>
    </row>
    <row r="228" spans="1:10" x14ac:dyDescent="0.25">
      <c r="A228" s="1">
        <v>59</v>
      </c>
      <c r="B228" t="s">
        <v>23</v>
      </c>
      <c r="C228">
        <v>700</v>
      </c>
      <c r="D228">
        <v>0</v>
      </c>
      <c r="E228" t="s">
        <v>37</v>
      </c>
      <c r="F228" t="s">
        <v>37</v>
      </c>
      <c r="G228" t="str">
        <f>"2026-06-30 01:00:20.861"</f>
        <v>2026-06-30 01:00:20.861</v>
      </c>
      <c r="H228" t="s">
        <v>26</v>
      </c>
    </row>
    <row r="229" spans="1:10" x14ac:dyDescent="0.25">
      <c r="A229" s="1">
        <v>60</v>
      </c>
      <c r="B229" t="s">
        <v>23</v>
      </c>
      <c r="C229">
        <v>706</v>
      </c>
      <c r="D229">
        <v>4</v>
      </c>
      <c r="E229" t="s">
        <v>24</v>
      </c>
      <c r="F229" t="s">
        <v>25</v>
      </c>
      <c r="G229" t="str">
        <f>"2026-06-29 02:41:49.266"</f>
        <v>2026-06-29 02:41:49.266</v>
      </c>
      <c r="H229" t="s">
        <v>26</v>
      </c>
      <c r="I229">
        <v>0</v>
      </c>
      <c r="J229" t="s">
        <v>27</v>
      </c>
    </row>
    <row r="230" spans="1:10" x14ac:dyDescent="0.25">
      <c r="A230" s="1">
        <v>61</v>
      </c>
      <c r="B230" t="s">
        <v>23</v>
      </c>
      <c r="C230">
        <v>700</v>
      </c>
      <c r="D230">
        <v>0</v>
      </c>
      <c r="E230" t="s">
        <v>37</v>
      </c>
      <c r="F230" t="s">
        <v>37</v>
      </c>
      <c r="G230" t="str">
        <f>"2026-06-29 01:57:26.906"</f>
        <v>2026-06-29 01:57:26.906</v>
      </c>
      <c r="H230" t="s">
        <v>26</v>
      </c>
      <c r="I230">
        <v>0</v>
      </c>
      <c r="J230" t="s">
        <v>43</v>
      </c>
    </row>
    <row r="231" spans="1:10" x14ac:dyDescent="0.25">
      <c r="A231" s="1">
        <v>62</v>
      </c>
      <c r="B231" t="s">
        <v>23</v>
      </c>
      <c r="C231">
        <v>706</v>
      </c>
      <c r="D231">
        <v>2</v>
      </c>
      <c r="E231" t="s">
        <v>24</v>
      </c>
      <c r="F231" t="s">
        <v>39</v>
      </c>
      <c r="G231" t="str">
        <f>"2026-06-28 02:06:30.027"</f>
        <v>2026-06-28 02:06:30.027</v>
      </c>
      <c r="H231" t="s">
        <v>26</v>
      </c>
      <c r="I231">
        <v>0</v>
      </c>
      <c r="J231" t="s">
        <v>27</v>
      </c>
    </row>
    <row r="232" spans="1:10" x14ac:dyDescent="0.25">
      <c r="A232" s="1">
        <v>63</v>
      </c>
      <c r="B232" t="s">
        <v>23</v>
      </c>
      <c r="C232">
        <v>700</v>
      </c>
      <c r="D232">
        <v>0</v>
      </c>
      <c r="E232" t="s">
        <v>37</v>
      </c>
      <c r="F232" t="s">
        <v>37</v>
      </c>
      <c r="G232" t="str">
        <f>"2026-06-28 01:37:44.897"</f>
        <v>2026-06-28 01:37:44.897</v>
      </c>
      <c r="H232" t="s">
        <v>26</v>
      </c>
      <c r="I232">
        <v>0</v>
      </c>
      <c r="J232" t="s">
        <v>43</v>
      </c>
    </row>
    <row r="233" spans="1:10" x14ac:dyDescent="0.25">
      <c r="A233" s="1">
        <v>64</v>
      </c>
      <c r="B233" t="s">
        <v>23</v>
      </c>
      <c r="C233">
        <v>700</v>
      </c>
      <c r="D233">
        <v>0</v>
      </c>
      <c r="E233" t="s">
        <v>37</v>
      </c>
      <c r="F233" t="s">
        <v>37</v>
      </c>
      <c r="G233" t="str">
        <f>"2026-06-27 13:19:07.024"</f>
        <v>2026-06-27 13:19:07.024</v>
      </c>
      <c r="H233" t="s">
        <v>26</v>
      </c>
      <c r="I233">
        <v>0</v>
      </c>
      <c r="J233" t="s">
        <v>43</v>
      </c>
    </row>
    <row r="234" spans="1:10" x14ac:dyDescent="0.25">
      <c r="A234" s="1">
        <v>65</v>
      </c>
      <c r="B234" t="s">
        <v>19</v>
      </c>
      <c r="C234">
        <v>43</v>
      </c>
      <c r="D234">
        <v>2</v>
      </c>
      <c r="E234" t="s">
        <v>54</v>
      </c>
      <c r="F234" t="s">
        <v>55</v>
      </c>
      <c r="G234" t="str">
        <f>"2026-06-27 01:53:27.141"</f>
        <v>2026-06-27 01:53:27.141</v>
      </c>
      <c r="H234" t="s">
        <v>22</v>
      </c>
    </row>
    <row r="235" spans="1:10" x14ac:dyDescent="0.25">
      <c r="A235" s="1">
        <v>66</v>
      </c>
      <c r="B235" t="s">
        <v>19</v>
      </c>
      <c r="C235">
        <v>43</v>
      </c>
      <c r="D235">
        <v>1</v>
      </c>
      <c r="E235" t="s">
        <v>54</v>
      </c>
      <c r="F235" t="s">
        <v>55</v>
      </c>
      <c r="G235" t="str">
        <f>"2026-06-27 01:53:27.139"</f>
        <v>2026-06-27 01:53:27.139</v>
      </c>
      <c r="H235" t="s">
        <v>22</v>
      </c>
    </row>
    <row r="236" spans="1:10" x14ac:dyDescent="0.25">
      <c r="A236" s="1">
        <v>69</v>
      </c>
      <c r="B236" t="s">
        <v>38</v>
      </c>
      <c r="C236">
        <v>43</v>
      </c>
      <c r="D236">
        <v>2</v>
      </c>
      <c r="E236" t="s">
        <v>54</v>
      </c>
      <c r="F236" t="s">
        <v>55</v>
      </c>
      <c r="G236" t="str">
        <f>"2026-06-27 01:52:58.639"</f>
        <v>2026-06-27 01:52:58.639</v>
      </c>
      <c r="H236" t="s">
        <v>22</v>
      </c>
      <c r="I236">
        <v>0</v>
      </c>
      <c r="J236" t="s">
        <v>27</v>
      </c>
    </row>
    <row r="237" spans="1:10" x14ac:dyDescent="0.25">
      <c r="A237" s="1">
        <v>72</v>
      </c>
      <c r="B237" t="s">
        <v>38</v>
      </c>
      <c r="C237">
        <v>43</v>
      </c>
      <c r="D237">
        <v>1</v>
      </c>
      <c r="E237" t="s">
        <v>54</v>
      </c>
      <c r="F237" t="s">
        <v>55</v>
      </c>
      <c r="G237" t="str">
        <f>"2026-06-27 01:23:02.739"</f>
        <v>2026-06-27 01:23:02.739</v>
      </c>
      <c r="H237" t="s">
        <v>22</v>
      </c>
      <c r="I237">
        <v>0</v>
      </c>
      <c r="J237" t="s">
        <v>27</v>
      </c>
    </row>
    <row r="238" spans="1:10" x14ac:dyDescent="0.25">
      <c r="A238" s="1">
        <v>73</v>
      </c>
      <c r="B238" t="s">
        <v>23</v>
      </c>
      <c r="C238">
        <v>700</v>
      </c>
      <c r="D238">
        <v>0</v>
      </c>
      <c r="E238" t="s">
        <v>37</v>
      </c>
      <c r="F238" t="s">
        <v>37</v>
      </c>
      <c r="G238" t="str">
        <f>"2026-06-27 01:22:44.868"</f>
        <v>2026-06-27 01:22:44.868</v>
      </c>
      <c r="H238" t="s">
        <v>26</v>
      </c>
      <c r="I238">
        <v>0</v>
      </c>
      <c r="J238" t="s">
        <v>43</v>
      </c>
    </row>
    <row r="239" spans="1:10" x14ac:dyDescent="0.25">
      <c r="A239" s="1">
        <v>74</v>
      </c>
      <c r="B239" t="s">
        <v>23</v>
      </c>
      <c r="C239">
        <v>706</v>
      </c>
      <c r="D239">
        <v>4</v>
      </c>
      <c r="E239" t="s">
        <v>24</v>
      </c>
      <c r="F239" t="s">
        <v>25</v>
      </c>
      <c r="G239" t="str">
        <f>"2026-06-26 23:36:56.972"</f>
        <v>2026-06-26 23:36:56.972</v>
      </c>
      <c r="H239" t="s">
        <v>26</v>
      </c>
      <c r="I239">
        <v>0</v>
      </c>
      <c r="J239" t="s">
        <v>27</v>
      </c>
    </row>
    <row r="240" spans="1:10" x14ac:dyDescent="0.25">
      <c r="A240" s="1">
        <v>75</v>
      </c>
      <c r="B240" t="s">
        <v>23</v>
      </c>
      <c r="C240">
        <v>700</v>
      </c>
      <c r="D240">
        <v>0</v>
      </c>
      <c r="E240" t="s">
        <v>37</v>
      </c>
      <c r="F240" t="s">
        <v>37</v>
      </c>
      <c r="G240" t="str">
        <f>"2026-06-26 23:22:53.882"</f>
        <v>2026-06-26 23:22:53.882</v>
      </c>
      <c r="H240" t="s">
        <v>26</v>
      </c>
    </row>
    <row r="241" spans="1:10" x14ac:dyDescent="0.25">
      <c r="A241" s="1">
        <v>76</v>
      </c>
      <c r="B241" t="s">
        <v>23</v>
      </c>
      <c r="C241">
        <v>706</v>
      </c>
      <c r="D241">
        <v>4</v>
      </c>
      <c r="E241" t="s">
        <v>24</v>
      </c>
      <c r="F241" t="s">
        <v>25</v>
      </c>
      <c r="G241" t="str">
        <f>"2026-06-26 22:24:00.481"</f>
        <v>2026-06-26 22:24:00.481</v>
      </c>
      <c r="H241" t="s">
        <v>26</v>
      </c>
      <c r="I241">
        <v>18.3</v>
      </c>
      <c r="J241" t="s">
        <v>42</v>
      </c>
    </row>
    <row r="242" spans="1:10" x14ac:dyDescent="0.25">
      <c r="A242" s="1">
        <v>77</v>
      </c>
      <c r="B242" t="s">
        <v>23</v>
      </c>
      <c r="C242">
        <v>706</v>
      </c>
      <c r="D242">
        <v>2</v>
      </c>
      <c r="E242" t="s">
        <v>24</v>
      </c>
      <c r="F242" t="s">
        <v>39</v>
      </c>
      <c r="G242" t="str">
        <f>"2026-06-26 01:16:00.651"</f>
        <v>2026-06-26 01:16:00.651</v>
      </c>
      <c r="H242" t="s">
        <v>26</v>
      </c>
      <c r="I242">
        <v>0</v>
      </c>
      <c r="J242" t="s">
        <v>27</v>
      </c>
    </row>
    <row r="243" spans="1:10" x14ac:dyDescent="0.25">
      <c r="A243" s="1">
        <v>78</v>
      </c>
      <c r="B243" t="s">
        <v>23</v>
      </c>
      <c r="C243">
        <v>700</v>
      </c>
      <c r="D243">
        <v>0</v>
      </c>
      <c r="E243" t="s">
        <v>37</v>
      </c>
      <c r="F243" t="s">
        <v>37</v>
      </c>
      <c r="G243" t="str">
        <f>"2026-06-26 00:46:43.021"</f>
        <v>2026-06-26 00:46:43.021</v>
      </c>
      <c r="H243" t="s">
        <v>26</v>
      </c>
      <c r="I243">
        <v>0</v>
      </c>
      <c r="J243" t="s">
        <v>43</v>
      </c>
    </row>
    <row r="244" spans="1:10" x14ac:dyDescent="0.25">
      <c r="A244" s="1">
        <v>79</v>
      </c>
      <c r="B244" t="s">
        <v>23</v>
      </c>
      <c r="C244">
        <v>700</v>
      </c>
      <c r="D244">
        <v>0</v>
      </c>
      <c r="E244" t="s">
        <v>37</v>
      </c>
      <c r="F244" t="s">
        <v>37</v>
      </c>
      <c r="G244" t="str">
        <f>"2026-06-25 02:05:47.867"</f>
        <v>2026-06-25 02:05:47.867</v>
      </c>
      <c r="H244" t="s">
        <v>26</v>
      </c>
      <c r="I244">
        <v>0</v>
      </c>
      <c r="J244" t="s">
        <v>43</v>
      </c>
    </row>
    <row r="245" spans="1:10" x14ac:dyDescent="0.25">
      <c r="A245" s="1">
        <v>80</v>
      </c>
      <c r="B245" t="s">
        <v>23</v>
      </c>
      <c r="C245">
        <v>700</v>
      </c>
      <c r="D245">
        <v>0</v>
      </c>
      <c r="E245" t="s">
        <v>37</v>
      </c>
      <c r="F245" t="s">
        <v>37</v>
      </c>
      <c r="G245" t="str">
        <f>"2026-06-25 01:34:46.911"</f>
        <v>2026-06-25 01:34:46.911</v>
      </c>
      <c r="H245" t="s">
        <v>26</v>
      </c>
      <c r="I245">
        <v>0</v>
      </c>
      <c r="J245" t="s">
        <v>43</v>
      </c>
    </row>
    <row r="246" spans="1:10" x14ac:dyDescent="0.25">
      <c r="A246" s="1">
        <v>81</v>
      </c>
      <c r="B246" t="s">
        <v>23</v>
      </c>
      <c r="C246">
        <v>700</v>
      </c>
      <c r="D246">
        <v>0</v>
      </c>
      <c r="E246" t="s">
        <v>37</v>
      </c>
      <c r="F246" t="s">
        <v>37</v>
      </c>
      <c r="G246" t="str">
        <f>"2026-06-24 19:49:45.869"</f>
        <v>2026-06-24 19:49:45.869</v>
      </c>
      <c r="H246" t="s">
        <v>26</v>
      </c>
      <c r="I246">
        <v>0</v>
      </c>
      <c r="J246" t="s">
        <v>43</v>
      </c>
    </row>
    <row r="247" spans="1:10" x14ac:dyDescent="0.25">
      <c r="A247" s="1">
        <v>82</v>
      </c>
      <c r="B247" t="s">
        <v>23</v>
      </c>
      <c r="C247">
        <v>706</v>
      </c>
      <c r="D247">
        <v>4</v>
      </c>
      <c r="E247" t="s">
        <v>24</v>
      </c>
      <c r="F247" t="s">
        <v>25</v>
      </c>
      <c r="G247" t="str">
        <f>"2026-06-24 19:32:24.934"</f>
        <v>2026-06-24 19:32:24.934</v>
      </c>
      <c r="H247" t="s">
        <v>26</v>
      </c>
      <c r="I247">
        <v>0</v>
      </c>
      <c r="J247" t="s">
        <v>27</v>
      </c>
    </row>
    <row r="248" spans="1:10" x14ac:dyDescent="0.25">
      <c r="A248" s="1">
        <v>83</v>
      </c>
      <c r="B248" t="s">
        <v>23</v>
      </c>
      <c r="C248">
        <v>700</v>
      </c>
      <c r="D248">
        <v>0</v>
      </c>
      <c r="E248" t="s">
        <v>37</v>
      </c>
      <c r="F248" t="s">
        <v>37</v>
      </c>
      <c r="G248" t="str">
        <f>"2026-06-24 19:16:40.904"</f>
        <v>2026-06-24 19:16:40.904</v>
      </c>
      <c r="H248" t="s">
        <v>26</v>
      </c>
    </row>
    <row r="249" spans="1:10" x14ac:dyDescent="0.25">
      <c r="A249" s="1">
        <v>84</v>
      </c>
      <c r="B249" t="s">
        <v>30</v>
      </c>
      <c r="C249">
        <v>33</v>
      </c>
      <c r="D249">
        <v>1</v>
      </c>
      <c r="E249" t="s">
        <v>65</v>
      </c>
      <c r="F249" t="s">
        <v>66</v>
      </c>
      <c r="G249" t="str">
        <f>"2026-06-24 16:28:44.613"</f>
        <v>2026-06-24 16:28:44.613</v>
      </c>
      <c r="H249" t="s">
        <v>67</v>
      </c>
    </row>
    <row r="250" spans="1:10" x14ac:dyDescent="0.25">
      <c r="A250" s="1">
        <v>85</v>
      </c>
      <c r="B250" t="s">
        <v>28</v>
      </c>
      <c r="C250">
        <v>33</v>
      </c>
      <c r="D250">
        <v>1</v>
      </c>
      <c r="E250" t="s">
        <v>65</v>
      </c>
      <c r="F250" t="s">
        <v>66</v>
      </c>
      <c r="G250" t="str">
        <f>"2026-06-24 16:28:10.252"</f>
        <v>2026-06-24 16:28:10.252</v>
      </c>
      <c r="H250" t="s">
        <v>67</v>
      </c>
      <c r="I250">
        <v>8.1</v>
      </c>
      <c r="J250" t="s">
        <v>42</v>
      </c>
    </row>
    <row r="251" spans="1:10" x14ac:dyDescent="0.25">
      <c r="A251" s="1">
        <v>86</v>
      </c>
      <c r="B251" t="s">
        <v>23</v>
      </c>
      <c r="C251">
        <v>706</v>
      </c>
      <c r="D251">
        <v>4</v>
      </c>
      <c r="E251" t="s">
        <v>24</v>
      </c>
      <c r="F251" t="s">
        <v>25</v>
      </c>
      <c r="G251" t="str">
        <f>"2026-06-24 00:24:14.203"</f>
        <v>2026-06-24 00:24:14.203</v>
      </c>
      <c r="H251" t="s">
        <v>26</v>
      </c>
      <c r="I251">
        <v>0</v>
      </c>
      <c r="J251" t="s">
        <v>27</v>
      </c>
    </row>
    <row r="252" spans="1:10" x14ac:dyDescent="0.25">
      <c r="A252" s="1">
        <v>87</v>
      </c>
      <c r="B252" t="s">
        <v>23</v>
      </c>
      <c r="C252">
        <v>700</v>
      </c>
      <c r="D252">
        <v>0</v>
      </c>
      <c r="E252" t="s">
        <v>37</v>
      </c>
      <c r="F252" t="s">
        <v>37</v>
      </c>
      <c r="G252" t="str">
        <f>"2026-06-23 23:57:55.033"</f>
        <v>2026-06-23 23:57:55.033</v>
      </c>
      <c r="H252" t="s">
        <v>26</v>
      </c>
      <c r="I252">
        <v>0</v>
      </c>
      <c r="J252" t="s">
        <v>43</v>
      </c>
    </row>
    <row r="253" spans="1:10" x14ac:dyDescent="0.25">
      <c r="A253" s="1">
        <v>88</v>
      </c>
      <c r="B253" t="s">
        <v>23</v>
      </c>
      <c r="C253">
        <v>700</v>
      </c>
      <c r="D253">
        <v>0</v>
      </c>
      <c r="E253" t="s">
        <v>37</v>
      </c>
      <c r="F253" t="s">
        <v>37</v>
      </c>
      <c r="G253" t="str">
        <f>"2026-06-23 14:07:16.867"</f>
        <v>2026-06-23 14:07:16.867</v>
      </c>
      <c r="H253" t="s">
        <v>26</v>
      </c>
      <c r="I253">
        <v>0</v>
      </c>
      <c r="J253" t="s">
        <v>43</v>
      </c>
    </row>
    <row r="254" spans="1:10" x14ac:dyDescent="0.25">
      <c r="A254" s="1">
        <v>89</v>
      </c>
      <c r="B254" t="s">
        <v>23</v>
      </c>
      <c r="C254">
        <v>706</v>
      </c>
      <c r="D254">
        <v>4</v>
      </c>
      <c r="E254" t="s">
        <v>24</v>
      </c>
      <c r="F254" t="s">
        <v>25</v>
      </c>
      <c r="G254" t="str">
        <f>"2026-06-23 02:46:56.715"</f>
        <v>2026-06-23 02:46:56.715</v>
      </c>
      <c r="H254" t="s">
        <v>26</v>
      </c>
      <c r="I254">
        <v>0</v>
      </c>
      <c r="J254" t="s">
        <v>27</v>
      </c>
    </row>
    <row r="255" spans="1:10" x14ac:dyDescent="0.25">
      <c r="A255" s="1">
        <v>90</v>
      </c>
      <c r="B255" t="s">
        <v>23</v>
      </c>
      <c r="C255">
        <v>700</v>
      </c>
      <c r="D255">
        <v>0</v>
      </c>
      <c r="E255" t="s">
        <v>37</v>
      </c>
      <c r="F255" t="s">
        <v>37</v>
      </c>
      <c r="G255" t="str">
        <f>"2026-06-23 01:45:24.905"</f>
        <v>2026-06-23 01:45:24.905</v>
      </c>
      <c r="H255" t="s">
        <v>26</v>
      </c>
    </row>
    <row r="256" spans="1:10" s="3" customFormat="1" x14ac:dyDescent="0.25">
      <c r="A256" s="2">
        <v>91</v>
      </c>
      <c r="B256" s="3" t="s">
        <v>19</v>
      </c>
      <c r="C256" s="3">
        <v>647</v>
      </c>
      <c r="D256" s="3">
        <v>1</v>
      </c>
      <c r="E256" s="3" t="s">
        <v>69</v>
      </c>
      <c r="F256" s="3" t="s">
        <v>70</v>
      </c>
      <c r="G256" s="3" t="str">
        <f>"2026-06-22 07:02:35.670"</f>
        <v>2026-06-22 07:02:35.670</v>
      </c>
      <c r="H256" s="3" t="s">
        <v>26</v>
      </c>
    </row>
    <row r="257" spans="1:10" s="3" customFormat="1" x14ac:dyDescent="0.25">
      <c r="A257" s="2">
        <v>92</v>
      </c>
      <c r="B257" s="3" t="s">
        <v>38</v>
      </c>
      <c r="C257" s="3">
        <v>647</v>
      </c>
      <c r="D257" s="3">
        <v>1</v>
      </c>
      <c r="E257" s="3" t="s">
        <v>69</v>
      </c>
      <c r="F257" s="3" t="s">
        <v>70</v>
      </c>
      <c r="G257" s="3" t="str">
        <f>"2026-06-22 07:02:32.971"</f>
        <v>2026-06-22 07:02:32.971</v>
      </c>
      <c r="H257" s="3" t="s">
        <v>26</v>
      </c>
      <c r="I257" s="3">
        <v>18.73</v>
      </c>
      <c r="J257" s="3" t="s">
        <v>29</v>
      </c>
    </row>
    <row r="258" spans="1:10" x14ac:dyDescent="0.25">
      <c r="A258" s="1">
        <v>93</v>
      </c>
      <c r="B258" t="s">
        <v>23</v>
      </c>
      <c r="C258">
        <v>700</v>
      </c>
      <c r="D258">
        <v>0</v>
      </c>
      <c r="E258" t="s">
        <v>37</v>
      </c>
      <c r="F258" t="s">
        <v>37</v>
      </c>
      <c r="G258" t="str">
        <f>"2026-06-21 13:20:35.093"</f>
        <v>2026-06-21 13:20:35.093</v>
      </c>
      <c r="H258" t="s">
        <v>26</v>
      </c>
      <c r="I258">
        <v>0</v>
      </c>
      <c r="J258" t="s">
        <v>43</v>
      </c>
    </row>
    <row r="259" spans="1:10" x14ac:dyDescent="0.25">
      <c r="A259" s="1">
        <v>94</v>
      </c>
      <c r="B259" t="s">
        <v>23</v>
      </c>
      <c r="C259">
        <v>700</v>
      </c>
      <c r="D259">
        <v>0</v>
      </c>
      <c r="E259" t="s">
        <v>37</v>
      </c>
      <c r="F259" t="s">
        <v>37</v>
      </c>
      <c r="G259" t="str">
        <f>"2026-06-20 17:32:15.867"</f>
        <v>2026-06-20 17:32:15.867</v>
      </c>
      <c r="H259" t="s">
        <v>26</v>
      </c>
    </row>
    <row r="260" spans="1:10" x14ac:dyDescent="0.25">
      <c r="A260" s="1">
        <v>95</v>
      </c>
      <c r="B260" t="s">
        <v>23</v>
      </c>
      <c r="C260">
        <v>700</v>
      </c>
      <c r="D260">
        <v>0</v>
      </c>
      <c r="E260" t="s">
        <v>37</v>
      </c>
      <c r="F260" t="s">
        <v>37</v>
      </c>
      <c r="G260" t="str">
        <f>"2026-06-20 16:35:30.907"</f>
        <v>2026-06-20 16:35:30.907</v>
      </c>
      <c r="H260" t="s">
        <v>26</v>
      </c>
      <c r="I260">
        <v>0</v>
      </c>
      <c r="J260" t="s">
        <v>43</v>
      </c>
    </row>
    <row r="261" spans="1:10" x14ac:dyDescent="0.25">
      <c r="A261" s="1">
        <v>96</v>
      </c>
      <c r="B261" t="s">
        <v>23</v>
      </c>
      <c r="C261">
        <v>700</v>
      </c>
      <c r="D261">
        <v>0</v>
      </c>
      <c r="E261" t="s">
        <v>37</v>
      </c>
      <c r="F261" t="s">
        <v>37</v>
      </c>
      <c r="G261" t="str">
        <f>"2026-06-20 16:08:16.893"</f>
        <v>2026-06-20 16:08:16.893</v>
      </c>
      <c r="H261" t="s">
        <v>26</v>
      </c>
      <c r="I261">
        <v>0</v>
      </c>
      <c r="J261" t="s">
        <v>43</v>
      </c>
    </row>
    <row r="262" spans="1:10" x14ac:dyDescent="0.25">
      <c r="A262" s="1">
        <v>97</v>
      </c>
      <c r="B262" t="s">
        <v>23</v>
      </c>
      <c r="C262">
        <v>706</v>
      </c>
      <c r="D262">
        <v>4</v>
      </c>
      <c r="E262" t="s">
        <v>24</v>
      </c>
      <c r="F262" t="s">
        <v>25</v>
      </c>
      <c r="G262" t="str">
        <f>"2026-06-20 15:43:26.877"</f>
        <v>2026-06-20 15:43:26.877</v>
      </c>
      <c r="H262" t="s">
        <v>26</v>
      </c>
      <c r="I262">
        <v>0</v>
      </c>
      <c r="J262" t="s">
        <v>27</v>
      </c>
    </row>
    <row r="263" spans="1:10" x14ac:dyDescent="0.25">
      <c r="A263" s="1">
        <v>98</v>
      </c>
      <c r="B263" t="s">
        <v>23</v>
      </c>
      <c r="C263">
        <v>700</v>
      </c>
      <c r="D263">
        <v>0</v>
      </c>
      <c r="E263" t="s">
        <v>37</v>
      </c>
      <c r="F263" t="s">
        <v>37</v>
      </c>
      <c r="G263" t="str">
        <f>"2026-06-20 15:42:53.987"</f>
        <v>2026-06-20 15:42:53.987</v>
      </c>
      <c r="H263" t="s">
        <v>26</v>
      </c>
      <c r="I263">
        <v>0</v>
      </c>
      <c r="J263" t="s">
        <v>43</v>
      </c>
    </row>
    <row r="264" spans="1:10" x14ac:dyDescent="0.25">
      <c r="A264" s="1">
        <v>99</v>
      </c>
      <c r="B264" t="s">
        <v>23</v>
      </c>
      <c r="C264">
        <v>700</v>
      </c>
      <c r="D264">
        <v>0</v>
      </c>
      <c r="E264" t="s">
        <v>37</v>
      </c>
      <c r="F264" t="s">
        <v>37</v>
      </c>
      <c r="G264" t="str">
        <f>"2026-06-20 13:34:19.879"</f>
        <v>2026-06-20 13:34:19.879</v>
      </c>
      <c r="H264" t="s">
        <v>26</v>
      </c>
      <c r="I264">
        <v>0</v>
      </c>
      <c r="J264" t="s">
        <v>43</v>
      </c>
    </row>
    <row r="265" spans="1:10" x14ac:dyDescent="0.25">
      <c r="A265" s="1">
        <v>0</v>
      </c>
      <c r="B265" t="s">
        <v>23</v>
      </c>
      <c r="C265">
        <v>700</v>
      </c>
      <c r="D265">
        <v>0</v>
      </c>
      <c r="E265" t="s">
        <v>37</v>
      </c>
      <c r="F265" t="s">
        <v>37</v>
      </c>
      <c r="G265" t="str">
        <f>"2026-06-20 13:14:10.908"</f>
        <v>2026-06-20 13:14:10.908</v>
      </c>
      <c r="H265" t="s">
        <v>26</v>
      </c>
      <c r="I265">
        <v>0</v>
      </c>
      <c r="J265" t="s">
        <v>43</v>
      </c>
    </row>
    <row r="266" spans="1:10" x14ac:dyDescent="0.25">
      <c r="A266" s="1">
        <v>1</v>
      </c>
      <c r="B266" t="s">
        <v>23</v>
      </c>
      <c r="C266">
        <v>700</v>
      </c>
      <c r="D266">
        <v>0</v>
      </c>
      <c r="E266" t="s">
        <v>37</v>
      </c>
      <c r="F266" t="s">
        <v>37</v>
      </c>
      <c r="G266" t="str">
        <f>"2026-06-19 22:12:08.026"</f>
        <v>2026-06-19 22:12:08.026</v>
      </c>
      <c r="H266" t="s">
        <v>26</v>
      </c>
      <c r="I266">
        <v>0</v>
      </c>
      <c r="J266" t="s">
        <v>43</v>
      </c>
    </row>
    <row r="267" spans="1:10" x14ac:dyDescent="0.25">
      <c r="A267" s="1">
        <v>2</v>
      </c>
      <c r="B267" t="s">
        <v>23</v>
      </c>
      <c r="C267">
        <v>706</v>
      </c>
      <c r="D267">
        <v>4</v>
      </c>
      <c r="E267" t="s">
        <v>24</v>
      </c>
      <c r="F267" t="s">
        <v>25</v>
      </c>
      <c r="G267" t="str">
        <f>"2026-06-19 01:46:14.383"</f>
        <v>2026-06-19 01:46:14.383</v>
      </c>
      <c r="H267" t="s">
        <v>26</v>
      </c>
      <c r="I267">
        <v>0</v>
      </c>
      <c r="J267" t="s">
        <v>27</v>
      </c>
    </row>
    <row r="268" spans="1:10" x14ac:dyDescent="0.25">
      <c r="A268" s="1">
        <v>3</v>
      </c>
      <c r="B268" t="s">
        <v>23</v>
      </c>
      <c r="C268">
        <v>700</v>
      </c>
      <c r="D268">
        <v>0</v>
      </c>
      <c r="E268" t="s">
        <v>37</v>
      </c>
      <c r="F268" t="s">
        <v>37</v>
      </c>
      <c r="G268" t="str">
        <f>"2026-06-19 01:18:58.073"</f>
        <v>2026-06-19 01:18:58.073</v>
      </c>
      <c r="H268" t="s">
        <v>26</v>
      </c>
      <c r="I268">
        <v>0</v>
      </c>
      <c r="J268" t="s">
        <v>43</v>
      </c>
    </row>
    <row r="269" spans="1:10" x14ac:dyDescent="0.25">
      <c r="A269" s="1">
        <v>4</v>
      </c>
      <c r="B269" t="s">
        <v>23</v>
      </c>
      <c r="C269">
        <v>700</v>
      </c>
      <c r="D269">
        <v>0</v>
      </c>
      <c r="E269" t="s">
        <v>37</v>
      </c>
      <c r="F269" t="s">
        <v>37</v>
      </c>
      <c r="G269" t="str">
        <f>"2026-06-17 14:12:09.075"</f>
        <v>2026-06-17 14:12:09.075</v>
      </c>
      <c r="H269" t="s">
        <v>26</v>
      </c>
    </row>
    <row r="270" spans="1:10" x14ac:dyDescent="0.25">
      <c r="A270" s="1">
        <v>5</v>
      </c>
      <c r="B270" t="s">
        <v>23</v>
      </c>
      <c r="C270">
        <v>700</v>
      </c>
      <c r="D270">
        <v>0</v>
      </c>
      <c r="E270" t="s">
        <v>37</v>
      </c>
      <c r="F270" t="s">
        <v>37</v>
      </c>
      <c r="G270" t="str">
        <f>"2026-06-16 13:47:52.906"</f>
        <v>2026-06-16 13:47:52.906</v>
      </c>
      <c r="H270" t="s">
        <v>26</v>
      </c>
      <c r="I270">
        <v>0</v>
      </c>
      <c r="J270" t="s">
        <v>43</v>
      </c>
    </row>
    <row r="271" spans="1:10" x14ac:dyDescent="0.25">
      <c r="A271" s="1">
        <v>6</v>
      </c>
      <c r="B271" t="s">
        <v>23</v>
      </c>
      <c r="C271">
        <v>706</v>
      </c>
      <c r="D271">
        <v>4</v>
      </c>
      <c r="E271" t="s">
        <v>24</v>
      </c>
      <c r="F271" t="s">
        <v>25</v>
      </c>
      <c r="G271" t="str">
        <f>"2026-06-16 05:41:57.243"</f>
        <v>2026-06-16 05:41:57.243</v>
      </c>
      <c r="H271" t="s">
        <v>26</v>
      </c>
      <c r="I271">
        <v>0</v>
      </c>
      <c r="J271" t="s">
        <v>27</v>
      </c>
    </row>
    <row r="272" spans="1:10" x14ac:dyDescent="0.25">
      <c r="A272" s="1">
        <v>7</v>
      </c>
      <c r="B272" t="s">
        <v>23</v>
      </c>
      <c r="C272">
        <v>700</v>
      </c>
      <c r="D272">
        <v>0</v>
      </c>
      <c r="E272" t="s">
        <v>37</v>
      </c>
      <c r="F272" t="s">
        <v>37</v>
      </c>
      <c r="G272" t="str">
        <f>"2026-06-16 05:34:16.993"</f>
        <v>2026-06-16 05:34:16.993</v>
      </c>
      <c r="H272" t="s">
        <v>26</v>
      </c>
    </row>
    <row r="273" spans="1:10" x14ac:dyDescent="0.25">
      <c r="A273" s="1">
        <v>8</v>
      </c>
      <c r="B273" t="s">
        <v>30</v>
      </c>
      <c r="C273">
        <v>87</v>
      </c>
      <c r="D273">
        <v>1</v>
      </c>
      <c r="E273" t="s">
        <v>71</v>
      </c>
      <c r="F273" t="s">
        <v>72</v>
      </c>
      <c r="G273" t="str">
        <f>"2026-06-16 05:10:53.274"</f>
        <v>2026-06-16 05:10:53.274</v>
      </c>
      <c r="H273" t="s">
        <v>26</v>
      </c>
    </row>
    <row r="274" spans="1:10" x14ac:dyDescent="0.25">
      <c r="A274" s="1">
        <v>9</v>
      </c>
      <c r="B274" t="s">
        <v>28</v>
      </c>
      <c r="C274">
        <v>87</v>
      </c>
      <c r="D274">
        <v>1</v>
      </c>
      <c r="E274" t="s">
        <v>71</v>
      </c>
      <c r="F274" t="s">
        <v>72</v>
      </c>
      <c r="G274" t="str">
        <f>"2026-06-16 05:06:23.593"</f>
        <v>2026-06-16 05:06:23.593</v>
      </c>
      <c r="H274" t="s">
        <v>26</v>
      </c>
      <c r="I274">
        <v>5.03</v>
      </c>
      <c r="J274" t="s">
        <v>42</v>
      </c>
    </row>
    <row r="275" spans="1:10" x14ac:dyDescent="0.25">
      <c r="A275" s="1">
        <v>10</v>
      </c>
      <c r="B275" t="s">
        <v>23</v>
      </c>
      <c r="C275">
        <v>706</v>
      </c>
      <c r="D275">
        <v>4</v>
      </c>
      <c r="E275" t="s">
        <v>24</v>
      </c>
      <c r="F275" t="s">
        <v>25</v>
      </c>
      <c r="G275" t="str">
        <f>"2026-06-16 04:06:41.444"</f>
        <v>2026-06-16 04:06:41.444</v>
      </c>
      <c r="H275" t="s">
        <v>26</v>
      </c>
      <c r="I275">
        <v>0</v>
      </c>
      <c r="J275" t="s">
        <v>27</v>
      </c>
    </row>
    <row r="276" spans="1:10" x14ac:dyDescent="0.25">
      <c r="A276" s="1">
        <v>11</v>
      </c>
      <c r="B276" t="s">
        <v>23</v>
      </c>
      <c r="C276">
        <v>700</v>
      </c>
      <c r="D276">
        <v>0</v>
      </c>
      <c r="E276" t="s">
        <v>37</v>
      </c>
      <c r="F276" t="s">
        <v>37</v>
      </c>
      <c r="G276" t="str">
        <f>"2026-06-16 03:57:18.874"</f>
        <v>2026-06-16 03:57:18.874</v>
      </c>
      <c r="H276" t="s">
        <v>26</v>
      </c>
      <c r="I276">
        <v>0</v>
      </c>
      <c r="J276" t="s">
        <v>43</v>
      </c>
    </row>
    <row r="277" spans="1:10" x14ac:dyDescent="0.25">
      <c r="A277" s="1">
        <v>12</v>
      </c>
      <c r="B277" t="s">
        <v>23</v>
      </c>
      <c r="C277">
        <v>700</v>
      </c>
      <c r="D277">
        <v>0</v>
      </c>
      <c r="E277" t="s">
        <v>37</v>
      </c>
      <c r="F277" t="s">
        <v>37</v>
      </c>
      <c r="G277" t="str">
        <f>"2026-06-16 02:55:35.877"</f>
        <v>2026-06-16 02:55:35.877</v>
      </c>
      <c r="H277" t="s">
        <v>26</v>
      </c>
      <c r="I277">
        <v>0</v>
      </c>
      <c r="J277" t="s">
        <v>43</v>
      </c>
    </row>
    <row r="278" spans="1:10" x14ac:dyDescent="0.25">
      <c r="A278" s="1">
        <v>13</v>
      </c>
      <c r="B278" t="s">
        <v>23</v>
      </c>
      <c r="C278">
        <v>700</v>
      </c>
      <c r="D278">
        <v>0</v>
      </c>
      <c r="E278" t="s">
        <v>37</v>
      </c>
      <c r="F278" t="s">
        <v>37</v>
      </c>
      <c r="G278" t="str">
        <f>"2026-06-16 02:00:23.873"</f>
        <v>2026-06-16 02:00:23.873</v>
      </c>
      <c r="H278" t="s">
        <v>26</v>
      </c>
      <c r="I278">
        <v>0</v>
      </c>
      <c r="J278" t="s">
        <v>43</v>
      </c>
    </row>
    <row r="279" spans="1:10" x14ac:dyDescent="0.25">
      <c r="A279" s="1">
        <v>14</v>
      </c>
      <c r="B279" t="s">
        <v>23</v>
      </c>
      <c r="C279">
        <v>700</v>
      </c>
      <c r="D279">
        <v>0</v>
      </c>
      <c r="E279" t="s">
        <v>37</v>
      </c>
      <c r="F279" t="s">
        <v>37</v>
      </c>
      <c r="G279" t="str">
        <f>"2026-06-15 23:53:13.883"</f>
        <v>2026-06-15 23:53:13.883</v>
      </c>
      <c r="H279" t="s">
        <v>26</v>
      </c>
      <c r="I279">
        <v>0</v>
      </c>
      <c r="J279" t="s">
        <v>43</v>
      </c>
    </row>
    <row r="280" spans="1:10" x14ac:dyDescent="0.25">
      <c r="A280" s="1">
        <v>15</v>
      </c>
      <c r="B280" t="s">
        <v>23</v>
      </c>
      <c r="C280">
        <v>700</v>
      </c>
      <c r="D280">
        <v>0</v>
      </c>
      <c r="E280" t="s">
        <v>37</v>
      </c>
      <c r="F280" t="s">
        <v>37</v>
      </c>
      <c r="G280" t="str">
        <f>"2026-06-15 22:06:41.888"</f>
        <v>2026-06-15 22:06:41.888</v>
      </c>
      <c r="H280" t="s">
        <v>26</v>
      </c>
      <c r="I280">
        <v>0</v>
      </c>
      <c r="J280" t="s">
        <v>43</v>
      </c>
    </row>
    <row r="281" spans="1:10" x14ac:dyDescent="0.25">
      <c r="A281" s="1">
        <v>16</v>
      </c>
      <c r="B281" t="s">
        <v>23</v>
      </c>
      <c r="C281">
        <v>700</v>
      </c>
      <c r="D281">
        <v>0</v>
      </c>
      <c r="E281" t="s">
        <v>37</v>
      </c>
      <c r="F281" t="s">
        <v>37</v>
      </c>
      <c r="G281" t="str">
        <f>"2026-06-15 16:53:59.894"</f>
        <v>2026-06-15 16:53:59.894</v>
      </c>
      <c r="H281" t="s">
        <v>26</v>
      </c>
      <c r="I281">
        <v>0</v>
      </c>
      <c r="J281" t="s">
        <v>43</v>
      </c>
    </row>
    <row r="282" spans="1:10" x14ac:dyDescent="0.25">
      <c r="A282" s="1">
        <v>17</v>
      </c>
      <c r="B282" t="s">
        <v>23</v>
      </c>
      <c r="C282">
        <v>700</v>
      </c>
      <c r="D282">
        <v>0</v>
      </c>
      <c r="E282" t="s">
        <v>37</v>
      </c>
      <c r="F282" t="s">
        <v>37</v>
      </c>
      <c r="G282" t="str">
        <f>"2026-06-15 15:41:35.867"</f>
        <v>2026-06-15 15:41:35.867</v>
      </c>
      <c r="H282" t="s">
        <v>26</v>
      </c>
    </row>
    <row r="283" spans="1:10" x14ac:dyDescent="0.25">
      <c r="A283" s="1">
        <v>18</v>
      </c>
      <c r="B283" t="s">
        <v>19</v>
      </c>
      <c r="C283">
        <v>43</v>
      </c>
      <c r="D283">
        <v>1</v>
      </c>
      <c r="E283" t="s">
        <v>54</v>
      </c>
      <c r="F283" t="s">
        <v>55</v>
      </c>
      <c r="G283" t="str">
        <f>"2026-06-15 15:32:43.934"</f>
        <v>2026-06-15 15:32:43.934</v>
      </c>
      <c r="H283" t="s">
        <v>22</v>
      </c>
    </row>
    <row r="284" spans="1:10" x14ac:dyDescent="0.25">
      <c r="A284" s="1">
        <v>19</v>
      </c>
      <c r="B284" t="s">
        <v>19</v>
      </c>
      <c r="C284">
        <v>4</v>
      </c>
      <c r="D284">
        <v>1</v>
      </c>
      <c r="E284" t="s">
        <v>73</v>
      </c>
      <c r="F284" t="s">
        <v>74</v>
      </c>
      <c r="G284" t="str">
        <f>"2026-06-15 15:32:39.011"</f>
        <v>2026-06-15 15:32:39.011</v>
      </c>
      <c r="H284" t="s">
        <v>75</v>
      </c>
    </row>
    <row r="285" spans="1:10" x14ac:dyDescent="0.25">
      <c r="A285" s="1">
        <v>20</v>
      </c>
      <c r="B285" t="s">
        <v>38</v>
      </c>
      <c r="C285">
        <v>4</v>
      </c>
      <c r="D285">
        <v>1</v>
      </c>
      <c r="E285" t="s">
        <v>73</v>
      </c>
      <c r="F285" t="s">
        <v>74</v>
      </c>
      <c r="G285" t="str">
        <f>"2026-06-15 15:32:33.991"</f>
        <v>2026-06-15 15:32:33.991</v>
      </c>
      <c r="H285" t="s">
        <v>75</v>
      </c>
      <c r="I285">
        <v>0</v>
      </c>
      <c r="J285" t="s">
        <v>27</v>
      </c>
    </row>
    <row r="286" spans="1:10" x14ac:dyDescent="0.25">
      <c r="A286" s="1">
        <v>21</v>
      </c>
      <c r="B286" t="s">
        <v>38</v>
      </c>
      <c r="C286">
        <v>43</v>
      </c>
      <c r="D286">
        <v>1</v>
      </c>
      <c r="E286" t="s">
        <v>54</v>
      </c>
      <c r="F286" t="s">
        <v>55</v>
      </c>
      <c r="G286" t="str">
        <f>"2026-06-15 15:27:46.734"</f>
        <v>2026-06-15 15:27:46.734</v>
      </c>
      <c r="H286" t="s">
        <v>22</v>
      </c>
      <c r="I286">
        <v>0</v>
      </c>
      <c r="J286" t="s">
        <v>27</v>
      </c>
    </row>
    <row r="287" spans="1:10" x14ac:dyDescent="0.25">
      <c r="A287" s="1">
        <v>22</v>
      </c>
      <c r="B287" t="s">
        <v>23</v>
      </c>
      <c r="C287">
        <v>700</v>
      </c>
      <c r="D287">
        <v>0</v>
      </c>
      <c r="E287" t="s">
        <v>37</v>
      </c>
      <c r="F287" t="s">
        <v>37</v>
      </c>
      <c r="G287" t="str">
        <f>"2026-06-15 15:27:28.874"</f>
        <v>2026-06-15 15:27:28.874</v>
      </c>
      <c r="H287" t="s">
        <v>26</v>
      </c>
      <c r="I287">
        <v>0</v>
      </c>
      <c r="J287" t="s">
        <v>43</v>
      </c>
    </row>
    <row r="288" spans="1:10" x14ac:dyDescent="0.25">
      <c r="A288" s="1">
        <v>23</v>
      </c>
      <c r="B288" t="s">
        <v>23</v>
      </c>
      <c r="C288">
        <v>706</v>
      </c>
      <c r="D288">
        <v>2</v>
      </c>
      <c r="E288" t="s">
        <v>24</v>
      </c>
      <c r="F288" t="s">
        <v>39</v>
      </c>
      <c r="G288" t="str">
        <f>"2026-06-15 13:40:43.854"</f>
        <v>2026-06-15 13:40:43.854</v>
      </c>
      <c r="H288" t="s">
        <v>26</v>
      </c>
      <c r="I288">
        <v>0</v>
      </c>
      <c r="J288" t="s">
        <v>27</v>
      </c>
    </row>
    <row r="289" spans="1:10" x14ac:dyDescent="0.25">
      <c r="A289" s="1">
        <v>24</v>
      </c>
      <c r="B289" t="s">
        <v>23</v>
      </c>
      <c r="C289">
        <v>700</v>
      </c>
      <c r="D289">
        <v>0</v>
      </c>
      <c r="E289" t="s">
        <v>37</v>
      </c>
      <c r="F289" t="s">
        <v>37</v>
      </c>
      <c r="G289" t="str">
        <f>"2026-06-15 13:27:57.874"</f>
        <v>2026-06-15 13:27:57.874</v>
      </c>
      <c r="H289" t="s">
        <v>26</v>
      </c>
    </row>
    <row r="290" spans="1:10" x14ac:dyDescent="0.25">
      <c r="A290" s="1">
        <v>25</v>
      </c>
      <c r="B290" t="s">
        <v>23</v>
      </c>
      <c r="C290">
        <v>700</v>
      </c>
      <c r="D290">
        <v>0</v>
      </c>
      <c r="E290" t="s">
        <v>37</v>
      </c>
      <c r="F290" t="s">
        <v>37</v>
      </c>
      <c r="G290" t="str">
        <f>"2026-06-13 12:20:43.871"</f>
        <v>2026-06-13 12:20:43.871</v>
      </c>
      <c r="H290" t="s">
        <v>26</v>
      </c>
    </row>
    <row r="291" spans="1:10" x14ac:dyDescent="0.25">
      <c r="A291" s="1">
        <v>26</v>
      </c>
      <c r="B291" t="s">
        <v>23</v>
      </c>
      <c r="C291">
        <v>700</v>
      </c>
      <c r="D291">
        <v>0</v>
      </c>
      <c r="E291" t="s">
        <v>37</v>
      </c>
      <c r="F291" t="s">
        <v>37</v>
      </c>
      <c r="G291" t="str">
        <f>"2026-06-13 11:36:54.952"</f>
        <v>2026-06-13 11:36:54.952</v>
      </c>
      <c r="H291" t="s">
        <v>26</v>
      </c>
      <c r="I291">
        <v>0</v>
      </c>
      <c r="J291" t="s">
        <v>43</v>
      </c>
    </row>
    <row r="292" spans="1:10" x14ac:dyDescent="0.25">
      <c r="A292" s="1">
        <v>27</v>
      </c>
      <c r="B292" t="s">
        <v>23</v>
      </c>
      <c r="C292">
        <v>700</v>
      </c>
      <c r="D292">
        <v>0</v>
      </c>
      <c r="E292" t="s">
        <v>37</v>
      </c>
      <c r="F292" t="s">
        <v>37</v>
      </c>
      <c r="G292" t="str">
        <f>"2026-06-13 10:55:55.872"</f>
        <v>2026-06-13 10:55:55.872</v>
      </c>
      <c r="H292" t="s">
        <v>26</v>
      </c>
      <c r="I292">
        <v>0</v>
      </c>
      <c r="J292" t="s">
        <v>43</v>
      </c>
    </row>
    <row r="293" spans="1:10" x14ac:dyDescent="0.25">
      <c r="A293" s="1">
        <v>28</v>
      </c>
      <c r="B293" t="s">
        <v>23</v>
      </c>
      <c r="C293">
        <v>700</v>
      </c>
      <c r="D293">
        <v>0</v>
      </c>
      <c r="E293" t="s">
        <v>37</v>
      </c>
      <c r="F293" t="s">
        <v>37</v>
      </c>
      <c r="G293" t="str">
        <f>"2026-06-13 10:46:13.914"</f>
        <v>2026-06-13 10:46:13.914</v>
      </c>
      <c r="H293" t="s">
        <v>26</v>
      </c>
      <c r="I293">
        <v>0</v>
      </c>
      <c r="J293" t="s">
        <v>43</v>
      </c>
    </row>
    <row r="294" spans="1:10" x14ac:dyDescent="0.25">
      <c r="A294" s="1">
        <v>29</v>
      </c>
      <c r="B294" t="s">
        <v>23</v>
      </c>
      <c r="C294">
        <v>706</v>
      </c>
      <c r="D294">
        <v>2</v>
      </c>
      <c r="E294" t="s">
        <v>24</v>
      </c>
      <c r="F294" t="s">
        <v>39</v>
      </c>
      <c r="G294" t="str">
        <f>"2026-06-13 10:40:41.150"</f>
        <v>2026-06-13 10:40:41.150</v>
      </c>
      <c r="H294" t="s">
        <v>26</v>
      </c>
      <c r="I294">
        <v>0</v>
      </c>
      <c r="J294" t="s">
        <v>27</v>
      </c>
    </row>
    <row r="295" spans="1:10" x14ac:dyDescent="0.25">
      <c r="A295" s="1">
        <v>30</v>
      </c>
      <c r="B295" t="s">
        <v>23</v>
      </c>
      <c r="C295">
        <v>700</v>
      </c>
      <c r="D295">
        <v>0</v>
      </c>
      <c r="E295" t="s">
        <v>37</v>
      </c>
      <c r="F295" t="s">
        <v>37</v>
      </c>
      <c r="G295" t="str">
        <f>"2026-06-13 10:34:36.890"</f>
        <v>2026-06-13 10:34:36.890</v>
      </c>
      <c r="H295" t="s">
        <v>26</v>
      </c>
      <c r="I295">
        <v>0</v>
      </c>
      <c r="J295" t="s">
        <v>43</v>
      </c>
    </row>
    <row r="296" spans="1:10" x14ac:dyDescent="0.25">
      <c r="A296" s="1">
        <v>31</v>
      </c>
      <c r="B296" t="s">
        <v>23</v>
      </c>
      <c r="C296">
        <v>700</v>
      </c>
      <c r="D296">
        <v>0</v>
      </c>
      <c r="E296" t="s">
        <v>37</v>
      </c>
      <c r="F296" t="s">
        <v>37</v>
      </c>
      <c r="G296" t="str">
        <f>"2026-06-12 12:16:06.883"</f>
        <v>2026-06-12 12:16:06.883</v>
      </c>
      <c r="H296" t="s">
        <v>26</v>
      </c>
    </row>
    <row r="297" spans="1:10" x14ac:dyDescent="0.25">
      <c r="A297" s="1">
        <v>32</v>
      </c>
      <c r="B297" t="s">
        <v>19</v>
      </c>
      <c r="C297">
        <v>635</v>
      </c>
      <c r="D297">
        <v>1</v>
      </c>
      <c r="E297" t="s">
        <v>40</v>
      </c>
      <c r="F297" t="s">
        <v>41</v>
      </c>
      <c r="G297" t="str">
        <f>"2026-06-12 08:04:51.677"</f>
        <v>2026-06-12 08:04:51.677</v>
      </c>
      <c r="H297" t="s">
        <v>26</v>
      </c>
    </row>
    <row r="298" spans="1:10" x14ac:dyDescent="0.25">
      <c r="A298" s="1">
        <v>33</v>
      </c>
      <c r="B298" t="s">
        <v>38</v>
      </c>
      <c r="C298">
        <v>635</v>
      </c>
      <c r="D298">
        <v>1</v>
      </c>
      <c r="E298" t="s">
        <v>40</v>
      </c>
      <c r="F298" t="s">
        <v>41</v>
      </c>
      <c r="G298" t="str">
        <f>"2026-06-12 08:02:00.177"</f>
        <v>2026-06-12 08:02:00.177</v>
      </c>
      <c r="H298" t="s">
        <v>26</v>
      </c>
      <c r="I298">
        <v>0.89</v>
      </c>
      <c r="J298" t="s">
        <v>29</v>
      </c>
    </row>
    <row r="299" spans="1:10" x14ac:dyDescent="0.25">
      <c r="A299" s="1">
        <v>34</v>
      </c>
      <c r="B299" t="s">
        <v>23</v>
      </c>
      <c r="C299">
        <v>700</v>
      </c>
      <c r="D299">
        <v>0</v>
      </c>
      <c r="E299" t="s">
        <v>37</v>
      </c>
      <c r="F299" t="s">
        <v>37</v>
      </c>
      <c r="G299" t="str">
        <f>"2026-06-11 13:30:51.886"</f>
        <v>2026-06-11 13:30:51.886</v>
      </c>
      <c r="H299" t="s">
        <v>26</v>
      </c>
      <c r="I299">
        <v>0</v>
      </c>
      <c r="J299" t="s">
        <v>43</v>
      </c>
    </row>
    <row r="300" spans="1:10" x14ac:dyDescent="0.25">
      <c r="A300" s="1">
        <v>35</v>
      </c>
      <c r="B300" t="s">
        <v>19</v>
      </c>
      <c r="C300">
        <v>635</v>
      </c>
      <c r="D300">
        <v>1</v>
      </c>
      <c r="E300" t="s">
        <v>40</v>
      </c>
      <c r="F300" t="s">
        <v>41</v>
      </c>
      <c r="G300" t="str">
        <f>"2026-06-10 18:40:51.357"</f>
        <v>2026-06-10 18:40:51.357</v>
      </c>
      <c r="H300" t="s">
        <v>26</v>
      </c>
    </row>
    <row r="301" spans="1:10" x14ac:dyDescent="0.25">
      <c r="A301" s="1">
        <v>36</v>
      </c>
      <c r="B301" t="s">
        <v>38</v>
      </c>
      <c r="C301">
        <v>635</v>
      </c>
      <c r="D301">
        <v>1</v>
      </c>
      <c r="E301" t="s">
        <v>40</v>
      </c>
      <c r="F301" t="s">
        <v>41</v>
      </c>
      <c r="G301" t="str">
        <f>"2026-06-10 18:38:33.357"</f>
        <v>2026-06-10 18:38:33.357</v>
      </c>
      <c r="H301" t="s">
        <v>26</v>
      </c>
      <c r="I301">
        <v>-0.09</v>
      </c>
      <c r="J301" t="s">
        <v>31</v>
      </c>
    </row>
    <row r="302" spans="1:10" x14ac:dyDescent="0.25">
      <c r="A302" s="1">
        <v>37</v>
      </c>
      <c r="B302" t="s">
        <v>23</v>
      </c>
      <c r="C302">
        <v>700</v>
      </c>
      <c r="D302">
        <v>0</v>
      </c>
      <c r="E302" t="s">
        <v>37</v>
      </c>
      <c r="F302" t="s">
        <v>37</v>
      </c>
      <c r="G302" t="str">
        <f>"2026-06-10 14:10:22.069"</f>
        <v>2026-06-10 14:10:22.069</v>
      </c>
      <c r="H302" t="s">
        <v>26</v>
      </c>
      <c r="I302">
        <v>0</v>
      </c>
      <c r="J302" t="s">
        <v>43</v>
      </c>
    </row>
    <row r="303" spans="1:10" x14ac:dyDescent="0.25">
      <c r="A303" s="1">
        <v>38</v>
      </c>
      <c r="B303" t="s">
        <v>19</v>
      </c>
      <c r="C303">
        <v>635</v>
      </c>
      <c r="D303">
        <v>1</v>
      </c>
      <c r="E303" t="s">
        <v>40</v>
      </c>
      <c r="F303" t="s">
        <v>41</v>
      </c>
      <c r="G303" t="str">
        <f>"2026-06-09 15:23:21.018"</f>
        <v>2026-06-09 15:23:21.018</v>
      </c>
      <c r="H303" t="s">
        <v>26</v>
      </c>
    </row>
    <row r="304" spans="1:10" x14ac:dyDescent="0.25">
      <c r="A304" s="1">
        <v>39</v>
      </c>
      <c r="B304" t="s">
        <v>38</v>
      </c>
      <c r="C304">
        <v>635</v>
      </c>
      <c r="D304">
        <v>1</v>
      </c>
      <c r="E304" t="s">
        <v>40</v>
      </c>
      <c r="F304" t="s">
        <v>41</v>
      </c>
      <c r="G304" t="str">
        <f>"2026-06-09 15:19:12.518"</f>
        <v>2026-06-09 15:19:12.518</v>
      </c>
      <c r="H304" t="s">
        <v>26</v>
      </c>
      <c r="I304">
        <v>0</v>
      </c>
      <c r="J304" t="s">
        <v>31</v>
      </c>
    </row>
    <row r="305" spans="1:10" x14ac:dyDescent="0.25">
      <c r="A305" s="1">
        <v>40</v>
      </c>
      <c r="B305" t="s">
        <v>23</v>
      </c>
      <c r="C305">
        <v>700</v>
      </c>
      <c r="D305">
        <v>0</v>
      </c>
      <c r="E305" t="s">
        <v>37</v>
      </c>
      <c r="F305" t="s">
        <v>37</v>
      </c>
      <c r="G305" t="str">
        <f>"2026-06-08 13:32:42.866"</f>
        <v>2026-06-08 13:32:42.866</v>
      </c>
      <c r="H305" t="s">
        <v>26</v>
      </c>
    </row>
    <row r="306" spans="1:10" x14ac:dyDescent="0.25">
      <c r="A306" s="1">
        <v>41</v>
      </c>
      <c r="B306" t="s">
        <v>23</v>
      </c>
      <c r="C306">
        <v>700</v>
      </c>
      <c r="D306">
        <v>0</v>
      </c>
      <c r="E306" t="s">
        <v>37</v>
      </c>
      <c r="F306" t="s">
        <v>37</v>
      </c>
      <c r="G306" t="str">
        <f>"2026-06-08 13:00:33.876"</f>
        <v>2026-06-08 13:00:33.876</v>
      </c>
      <c r="H306" t="s">
        <v>26</v>
      </c>
      <c r="I306">
        <v>0</v>
      </c>
      <c r="J306" t="s">
        <v>43</v>
      </c>
    </row>
    <row r="307" spans="1:10" x14ac:dyDescent="0.25">
      <c r="A307" s="1">
        <v>42</v>
      </c>
      <c r="B307" t="s">
        <v>23</v>
      </c>
      <c r="C307">
        <v>700</v>
      </c>
      <c r="D307">
        <v>0</v>
      </c>
      <c r="E307" t="s">
        <v>37</v>
      </c>
      <c r="F307" t="s">
        <v>37</v>
      </c>
      <c r="G307" t="str">
        <f>"2026-06-08 03:34:11.040"</f>
        <v>2026-06-08 03:34:11.040</v>
      </c>
      <c r="H307" t="s">
        <v>26</v>
      </c>
      <c r="I307">
        <v>0</v>
      </c>
      <c r="J307" t="s">
        <v>43</v>
      </c>
    </row>
    <row r="308" spans="1:10" x14ac:dyDescent="0.25">
      <c r="A308" s="1">
        <v>43</v>
      </c>
      <c r="B308" t="s">
        <v>23</v>
      </c>
      <c r="C308">
        <v>700</v>
      </c>
      <c r="D308">
        <v>0</v>
      </c>
      <c r="E308" t="s">
        <v>37</v>
      </c>
      <c r="F308" t="s">
        <v>37</v>
      </c>
      <c r="G308" t="str">
        <f>"2026-06-07 13:59:27.877"</f>
        <v>2026-06-07 13:59:27.877</v>
      </c>
      <c r="H308" t="s">
        <v>26</v>
      </c>
      <c r="I308">
        <v>0</v>
      </c>
      <c r="J308" t="s">
        <v>43</v>
      </c>
    </row>
    <row r="309" spans="1:10" x14ac:dyDescent="0.25">
      <c r="A309" s="1">
        <v>44</v>
      </c>
      <c r="B309" t="s">
        <v>23</v>
      </c>
      <c r="C309">
        <v>700</v>
      </c>
      <c r="D309">
        <v>0</v>
      </c>
      <c r="E309" t="s">
        <v>37</v>
      </c>
      <c r="F309" t="s">
        <v>37</v>
      </c>
      <c r="G309" t="str">
        <f>"2026-06-06 13:59:38.872"</f>
        <v>2026-06-06 13:59:38.872</v>
      </c>
      <c r="H309" t="s">
        <v>26</v>
      </c>
    </row>
    <row r="310" spans="1:10" x14ac:dyDescent="0.25">
      <c r="A310" s="1">
        <v>45</v>
      </c>
      <c r="B310" t="s">
        <v>23</v>
      </c>
      <c r="C310">
        <v>700</v>
      </c>
      <c r="D310">
        <v>0</v>
      </c>
      <c r="E310" t="s">
        <v>37</v>
      </c>
      <c r="F310" t="s">
        <v>37</v>
      </c>
      <c r="G310" t="str">
        <f>"2026-06-06 13:21:34.880"</f>
        <v>2026-06-06 13:21:34.880</v>
      </c>
      <c r="H310" t="s">
        <v>26</v>
      </c>
      <c r="I310">
        <v>0</v>
      </c>
      <c r="J310" t="s">
        <v>43</v>
      </c>
    </row>
    <row r="311" spans="1:10" x14ac:dyDescent="0.25">
      <c r="A311" s="1">
        <v>46</v>
      </c>
      <c r="B311" t="s">
        <v>23</v>
      </c>
      <c r="C311">
        <v>700</v>
      </c>
      <c r="D311">
        <v>0</v>
      </c>
      <c r="E311" t="s">
        <v>37</v>
      </c>
      <c r="F311" t="s">
        <v>37</v>
      </c>
      <c r="G311" t="str">
        <f>"2026-06-06 03:33:58.868"</f>
        <v>2026-06-06 03:33:58.868</v>
      </c>
      <c r="H311" t="s">
        <v>26</v>
      </c>
    </row>
    <row r="312" spans="1:10" x14ac:dyDescent="0.25">
      <c r="A312" s="1">
        <v>47</v>
      </c>
      <c r="B312" t="s">
        <v>23</v>
      </c>
      <c r="C312">
        <v>700</v>
      </c>
      <c r="D312">
        <v>0</v>
      </c>
      <c r="E312" t="s">
        <v>37</v>
      </c>
      <c r="F312" t="s">
        <v>37</v>
      </c>
      <c r="G312" t="str">
        <f>"2026-06-06 03:29:45.911"</f>
        <v>2026-06-06 03:29:45.911</v>
      </c>
      <c r="H312" t="s">
        <v>26</v>
      </c>
    </row>
    <row r="313" spans="1:10" x14ac:dyDescent="0.25">
      <c r="A313" s="1">
        <v>48</v>
      </c>
      <c r="B313" t="s">
        <v>23</v>
      </c>
      <c r="C313">
        <v>700</v>
      </c>
      <c r="D313">
        <v>0</v>
      </c>
      <c r="E313" t="s">
        <v>37</v>
      </c>
      <c r="F313" t="s">
        <v>37</v>
      </c>
      <c r="G313" t="str">
        <f>"2026-06-05 12:15:22.870"</f>
        <v>2026-06-05 12:15:22.870</v>
      </c>
      <c r="H313" t="s">
        <v>26</v>
      </c>
    </row>
    <row r="314" spans="1:10" x14ac:dyDescent="0.25">
      <c r="A314" s="1">
        <v>49</v>
      </c>
      <c r="B314" t="s">
        <v>23</v>
      </c>
      <c r="C314">
        <v>700</v>
      </c>
      <c r="D314">
        <v>0</v>
      </c>
      <c r="E314" t="s">
        <v>37</v>
      </c>
      <c r="F314" t="s">
        <v>37</v>
      </c>
      <c r="G314" t="str">
        <f>"2026-06-05 09:45:22.911"</f>
        <v>2026-06-05 09:45:22.911</v>
      </c>
      <c r="H314" t="s">
        <v>26</v>
      </c>
      <c r="I314">
        <v>0</v>
      </c>
      <c r="J314" t="s">
        <v>43</v>
      </c>
    </row>
    <row r="315" spans="1:10" x14ac:dyDescent="0.25">
      <c r="A315" s="1">
        <v>50</v>
      </c>
      <c r="B315" t="s">
        <v>23</v>
      </c>
      <c r="C315">
        <v>706</v>
      </c>
      <c r="D315">
        <v>4</v>
      </c>
      <c r="E315" t="s">
        <v>24</v>
      </c>
      <c r="F315" t="s">
        <v>25</v>
      </c>
      <c r="G315" t="str">
        <f>"2026-06-04 22:44:24.749"</f>
        <v>2026-06-04 22:44:24.749</v>
      </c>
      <c r="H315" t="s">
        <v>26</v>
      </c>
      <c r="I315">
        <v>0</v>
      </c>
      <c r="J315" t="s">
        <v>27</v>
      </c>
    </row>
    <row r="316" spans="1:10" x14ac:dyDescent="0.25">
      <c r="A316" s="1">
        <v>51</v>
      </c>
      <c r="B316" t="s">
        <v>23</v>
      </c>
      <c r="C316">
        <v>700</v>
      </c>
      <c r="D316">
        <v>0</v>
      </c>
      <c r="E316" t="s">
        <v>37</v>
      </c>
      <c r="F316" t="s">
        <v>37</v>
      </c>
      <c r="G316" t="str">
        <f>"2026-06-04 22:35:46.919"</f>
        <v>2026-06-04 22:35:46.919</v>
      </c>
      <c r="H316" t="s">
        <v>26</v>
      </c>
      <c r="I316">
        <v>0</v>
      </c>
      <c r="J316" t="s">
        <v>43</v>
      </c>
    </row>
    <row r="317" spans="1:10" x14ac:dyDescent="0.25">
      <c r="A317" s="1">
        <v>52</v>
      </c>
      <c r="B317" t="s">
        <v>19</v>
      </c>
      <c r="C317">
        <v>635</v>
      </c>
      <c r="D317">
        <v>1</v>
      </c>
      <c r="E317" t="s">
        <v>40</v>
      </c>
      <c r="F317" t="s">
        <v>41</v>
      </c>
      <c r="G317" t="str">
        <f>"2026-06-04 16:03:59.650"</f>
        <v>2026-06-04 16:03:59.650</v>
      </c>
      <c r="H317" t="s">
        <v>26</v>
      </c>
    </row>
    <row r="318" spans="1:10" x14ac:dyDescent="0.25">
      <c r="A318" s="1">
        <v>53</v>
      </c>
      <c r="B318" t="s">
        <v>38</v>
      </c>
      <c r="C318">
        <v>635</v>
      </c>
      <c r="D318">
        <v>1</v>
      </c>
      <c r="E318" t="s">
        <v>40</v>
      </c>
      <c r="F318" t="s">
        <v>41</v>
      </c>
      <c r="G318" t="str">
        <f>"2026-06-04 16:00:34.650"</f>
        <v>2026-06-04 16:00:34.650</v>
      </c>
      <c r="H318" t="s">
        <v>26</v>
      </c>
      <c r="I318">
        <v>2.89</v>
      </c>
      <c r="J318" t="s">
        <v>42</v>
      </c>
    </row>
    <row r="319" spans="1:10" x14ac:dyDescent="0.25">
      <c r="A319" s="1">
        <v>54</v>
      </c>
      <c r="B319" t="s">
        <v>23</v>
      </c>
      <c r="C319">
        <v>706</v>
      </c>
      <c r="D319">
        <v>4</v>
      </c>
      <c r="E319" t="s">
        <v>24</v>
      </c>
      <c r="F319" t="s">
        <v>25</v>
      </c>
      <c r="G319" t="str">
        <f>"2026-06-04 15:05:32.499"</f>
        <v>2026-06-04 15:05:32.499</v>
      </c>
      <c r="H319" t="s">
        <v>26</v>
      </c>
      <c r="I319">
        <v>21.9</v>
      </c>
      <c r="J319" t="s">
        <v>29</v>
      </c>
    </row>
    <row r="320" spans="1:10" x14ac:dyDescent="0.25">
      <c r="A320" s="1">
        <v>55</v>
      </c>
      <c r="B320" t="s">
        <v>19</v>
      </c>
      <c r="C320">
        <v>250</v>
      </c>
      <c r="D320">
        <v>7</v>
      </c>
      <c r="E320" t="s">
        <v>51</v>
      </c>
      <c r="F320" t="s">
        <v>50</v>
      </c>
      <c r="G320" t="str">
        <f>"2026-06-04 14:11:16.050"</f>
        <v>2026-06-04 14:11:16.050</v>
      </c>
      <c r="H320" t="s">
        <v>26</v>
      </c>
    </row>
    <row r="321" spans="1:10" x14ac:dyDescent="0.25">
      <c r="A321" s="1">
        <v>56</v>
      </c>
      <c r="B321" t="s">
        <v>19</v>
      </c>
      <c r="C321">
        <v>248</v>
      </c>
      <c r="D321">
        <v>7</v>
      </c>
      <c r="E321" t="s">
        <v>56</v>
      </c>
      <c r="F321" t="s">
        <v>57</v>
      </c>
      <c r="G321" t="str">
        <f>"2026-06-04 14:11:03.450"</f>
        <v>2026-06-04 14:11:03.450</v>
      </c>
      <c r="H321" t="s">
        <v>26</v>
      </c>
    </row>
    <row r="322" spans="1:10" x14ac:dyDescent="0.25">
      <c r="A322" s="1">
        <v>57</v>
      </c>
      <c r="B322" t="s">
        <v>19</v>
      </c>
      <c r="C322">
        <v>207</v>
      </c>
      <c r="D322">
        <v>2</v>
      </c>
      <c r="E322" t="s">
        <v>45</v>
      </c>
      <c r="F322" t="s">
        <v>46</v>
      </c>
      <c r="G322" t="str">
        <f>"2026-06-04 14:10:54.450"</f>
        <v>2026-06-04 14:10:54.450</v>
      </c>
      <c r="H322" t="s">
        <v>47</v>
      </c>
    </row>
    <row r="323" spans="1:10" x14ac:dyDescent="0.25">
      <c r="A323" s="1">
        <v>58</v>
      </c>
      <c r="B323" t="s">
        <v>19</v>
      </c>
      <c r="C323">
        <v>107</v>
      </c>
      <c r="D323">
        <v>2</v>
      </c>
      <c r="E323" t="s">
        <v>52</v>
      </c>
      <c r="F323" t="s">
        <v>46</v>
      </c>
      <c r="G323" t="str">
        <f>"2026-06-04 14:10:46.050"</f>
        <v>2026-06-04 14:10:46.050</v>
      </c>
      <c r="H323" t="s">
        <v>53</v>
      </c>
    </row>
    <row r="324" spans="1:10" x14ac:dyDescent="0.25">
      <c r="A324" s="1">
        <v>59</v>
      </c>
      <c r="B324" t="s">
        <v>19</v>
      </c>
      <c r="C324">
        <v>43</v>
      </c>
      <c r="D324">
        <v>2</v>
      </c>
      <c r="E324" t="s">
        <v>54</v>
      </c>
      <c r="F324" t="s">
        <v>55</v>
      </c>
      <c r="G324" t="str">
        <f>"2026-06-04 14:09:34.011"</f>
        <v>2026-06-04 14:09:34.011</v>
      </c>
      <c r="H324" t="s">
        <v>22</v>
      </c>
    </row>
    <row r="325" spans="1:10" x14ac:dyDescent="0.25">
      <c r="A325" s="1">
        <v>60</v>
      </c>
      <c r="B325" t="s">
        <v>19</v>
      </c>
      <c r="C325">
        <v>4</v>
      </c>
      <c r="D325">
        <v>1</v>
      </c>
      <c r="E325" t="s">
        <v>73</v>
      </c>
      <c r="F325" t="s">
        <v>74</v>
      </c>
      <c r="G325" t="str">
        <f>"2026-06-04 14:09:29.028"</f>
        <v>2026-06-04 14:09:29.028</v>
      </c>
      <c r="H325" t="s">
        <v>75</v>
      </c>
    </row>
    <row r="326" spans="1:10" x14ac:dyDescent="0.25">
      <c r="A326" s="1">
        <v>61</v>
      </c>
      <c r="B326" t="s">
        <v>38</v>
      </c>
      <c r="C326">
        <v>4</v>
      </c>
      <c r="D326">
        <v>1</v>
      </c>
      <c r="E326" t="s">
        <v>73</v>
      </c>
      <c r="F326" t="s">
        <v>74</v>
      </c>
      <c r="G326" t="str">
        <f>"2026-06-04 14:09:24.009"</f>
        <v>2026-06-04 14:09:24.009</v>
      </c>
      <c r="H326" t="s">
        <v>75</v>
      </c>
      <c r="I326">
        <v>0</v>
      </c>
      <c r="J326" t="s">
        <v>27</v>
      </c>
    </row>
    <row r="327" spans="1:10" x14ac:dyDescent="0.25">
      <c r="A327" s="1">
        <v>62</v>
      </c>
      <c r="B327" t="s">
        <v>38</v>
      </c>
      <c r="C327">
        <v>248</v>
      </c>
      <c r="D327">
        <v>7</v>
      </c>
      <c r="E327" t="s">
        <v>56</v>
      </c>
      <c r="F327" t="s">
        <v>57</v>
      </c>
      <c r="G327" t="str">
        <f>"2026-06-04 14:07:47.584"</f>
        <v>2026-06-04 14:07:47.584</v>
      </c>
      <c r="H327" t="s">
        <v>26</v>
      </c>
      <c r="I327">
        <v>0</v>
      </c>
      <c r="J327" t="s">
        <v>27</v>
      </c>
    </row>
    <row r="328" spans="1:10" x14ac:dyDescent="0.25">
      <c r="A328" s="1">
        <v>63</v>
      </c>
      <c r="B328" t="s">
        <v>48</v>
      </c>
      <c r="C328">
        <v>248</v>
      </c>
      <c r="D328">
        <v>7</v>
      </c>
      <c r="E328" t="s">
        <v>56</v>
      </c>
      <c r="F328" t="s">
        <v>57</v>
      </c>
      <c r="G328" t="str">
        <f>"2026-06-04 14:07:46.279"</f>
        <v>2026-06-04 14:07:46.279</v>
      </c>
      <c r="H328" t="s">
        <v>26</v>
      </c>
    </row>
    <row r="329" spans="1:10" x14ac:dyDescent="0.25">
      <c r="A329" s="1">
        <v>64</v>
      </c>
      <c r="B329" t="s">
        <v>38</v>
      </c>
      <c r="C329">
        <v>250</v>
      </c>
      <c r="D329">
        <v>7</v>
      </c>
      <c r="E329" t="s">
        <v>51</v>
      </c>
      <c r="F329" t="s">
        <v>50</v>
      </c>
      <c r="G329" t="str">
        <f>"2026-06-04 14:07:45.904"</f>
        <v>2026-06-04 14:07:45.904</v>
      </c>
      <c r="H329" t="s">
        <v>26</v>
      </c>
      <c r="I329">
        <v>0</v>
      </c>
      <c r="J329" t="s">
        <v>27</v>
      </c>
    </row>
    <row r="330" spans="1:10" x14ac:dyDescent="0.25">
      <c r="A330" s="1">
        <v>65</v>
      </c>
      <c r="B330" t="s">
        <v>48</v>
      </c>
      <c r="C330">
        <v>250</v>
      </c>
      <c r="D330">
        <v>7</v>
      </c>
      <c r="E330" t="s">
        <v>51</v>
      </c>
      <c r="F330" t="s">
        <v>50</v>
      </c>
      <c r="G330" t="str">
        <f>"2026-06-04 14:07:45.479"</f>
        <v>2026-06-04 14:07:45.479</v>
      </c>
      <c r="H330" t="s">
        <v>26</v>
      </c>
    </row>
    <row r="331" spans="1:10" x14ac:dyDescent="0.25">
      <c r="A331" s="1">
        <v>66</v>
      </c>
      <c r="B331" t="s">
        <v>28</v>
      </c>
      <c r="C331">
        <v>248</v>
      </c>
      <c r="D331">
        <v>7</v>
      </c>
      <c r="E331" t="s">
        <v>56</v>
      </c>
      <c r="F331" t="s">
        <v>57</v>
      </c>
      <c r="G331" t="str">
        <f>"2026-06-04 14:07:41.224"</f>
        <v>2026-06-04 14:07:41.224</v>
      </c>
      <c r="H331" t="s">
        <v>26</v>
      </c>
      <c r="I331">
        <v>0</v>
      </c>
      <c r="J331" t="s">
        <v>27</v>
      </c>
    </row>
    <row r="332" spans="1:10" x14ac:dyDescent="0.25">
      <c r="A332" s="1">
        <v>67</v>
      </c>
      <c r="B332" t="s">
        <v>28</v>
      </c>
      <c r="C332">
        <v>250</v>
      </c>
      <c r="D332">
        <v>7</v>
      </c>
      <c r="E332" t="s">
        <v>51</v>
      </c>
      <c r="F332" t="s">
        <v>50</v>
      </c>
      <c r="G332" t="str">
        <f>"2026-06-04 14:07:40.464"</f>
        <v>2026-06-04 14:07:40.464</v>
      </c>
      <c r="H332" t="s">
        <v>26</v>
      </c>
      <c r="I332">
        <v>0</v>
      </c>
      <c r="J332" t="s">
        <v>27</v>
      </c>
    </row>
    <row r="333" spans="1:10" x14ac:dyDescent="0.25">
      <c r="A333" s="1">
        <v>68</v>
      </c>
      <c r="B333" t="s">
        <v>38</v>
      </c>
      <c r="C333">
        <v>207</v>
      </c>
      <c r="D333">
        <v>2</v>
      </c>
      <c r="E333" t="s">
        <v>45</v>
      </c>
      <c r="F333" t="s">
        <v>46</v>
      </c>
      <c r="G333" t="str">
        <f>"2026-06-04 14:07:39.824"</f>
        <v>2026-06-04 14:07:39.824</v>
      </c>
      <c r="H333" t="s">
        <v>47</v>
      </c>
      <c r="I333">
        <v>0</v>
      </c>
      <c r="J333" t="s">
        <v>27</v>
      </c>
    </row>
    <row r="334" spans="1:10" x14ac:dyDescent="0.25">
      <c r="A334" s="1">
        <v>69</v>
      </c>
      <c r="B334" t="s">
        <v>38</v>
      </c>
      <c r="C334">
        <v>107</v>
      </c>
      <c r="D334">
        <v>2</v>
      </c>
      <c r="E334" t="s">
        <v>52</v>
      </c>
      <c r="F334" t="s">
        <v>46</v>
      </c>
      <c r="G334" t="str">
        <f>"2026-06-04 14:07:39.224"</f>
        <v>2026-06-04 14:07:39.224</v>
      </c>
      <c r="H334" t="s">
        <v>53</v>
      </c>
      <c r="I334">
        <v>0</v>
      </c>
      <c r="J334" t="s">
        <v>27</v>
      </c>
    </row>
    <row r="335" spans="1:10" x14ac:dyDescent="0.25">
      <c r="A335" s="1">
        <v>72</v>
      </c>
      <c r="B335" t="s">
        <v>38</v>
      </c>
      <c r="C335">
        <v>43</v>
      </c>
      <c r="D335">
        <v>2</v>
      </c>
      <c r="E335" t="s">
        <v>54</v>
      </c>
      <c r="F335" t="s">
        <v>55</v>
      </c>
      <c r="G335" t="str">
        <f>"2026-06-04 14:07:39.110"</f>
        <v>2026-06-04 14:07:39.110</v>
      </c>
      <c r="H335" t="s">
        <v>22</v>
      </c>
      <c r="I335">
        <v>0</v>
      </c>
      <c r="J335" t="s">
        <v>27</v>
      </c>
    </row>
    <row r="336" spans="1:10" x14ac:dyDescent="0.25">
      <c r="A336" s="1">
        <v>73</v>
      </c>
      <c r="B336" t="s">
        <v>23</v>
      </c>
      <c r="C336">
        <v>782</v>
      </c>
      <c r="D336">
        <v>7</v>
      </c>
      <c r="E336" t="s">
        <v>32</v>
      </c>
      <c r="F336" t="s">
        <v>33</v>
      </c>
      <c r="G336" t="str">
        <f>"2026-06-04 14:07:39.070"</f>
        <v>2026-06-04 14:07:39.070</v>
      </c>
      <c r="H336" t="s">
        <v>26</v>
      </c>
      <c r="I336">
        <v>0</v>
      </c>
      <c r="J336" t="s">
        <v>27</v>
      </c>
    </row>
    <row r="337" spans="1:10" x14ac:dyDescent="0.25">
      <c r="A337" s="1">
        <v>76</v>
      </c>
      <c r="B337" t="s">
        <v>19</v>
      </c>
      <c r="C337">
        <v>250</v>
      </c>
      <c r="D337">
        <v>7</v>
      </c>
      <c r="E337" t="s">
        <v>51</v>
      </c>
      <c r="F337" t="s">
        <v>50</v>
      </c>
      <c r="G337" t="str">
        <f>"2026-06-04 14:07:39.061"</f>
        <v>2026-06-04 14:07:39.061</v>
      </c>
      <c r="H337" t="s">
        <v>26</v>
      </c>
    </row>
    <row r="338" spans="1:10" x14ac:dyDescent="0.25">
      <c r="A338" s="1">
        <v>77</v>
      </c>
      <c r="B338" t="s">
        <v>19</v>
      </c>
      <c r="C338">
        <v>248</v>
      </c>
      <c r="D338">
        <v>7</v>
      </c>
      <c r="E338" t="s">
        <v>56</v>
      </c>
      <c r="F338" t="s">
        <v>57</v>
      </c>
      <c r="G338" t="str">
        <f>"2026-06-04 14:07:39.059"</f>
        <v>2026-06-04 14:07:39.059</v>
      </c>
      <c r="H338" t="s">
        <v>26</v>
      </c>
    </row>
    <row r="339" spans="1:10" x14ac:dyDescent="0.25">
      <c r="A339" s="1">
        <v>78</v>
      </c>
      <c r="B339" t="s">
        <v>19</v>
      </c>
      <c r="C339">
        <v>207</v>
      </c>
      <c r="D339">
        <v>2</v>
      </c>
      <c r="E339" t="s">
        <v>45</v>
      </c>
      <c r="F339" t="s">
        <v>46</v>
      </c>
      <c r="G339" t="str">
        <f>"2026-06-04 14:07:39.056"</f>
        <v>2026-06-04 14:07:39.056</v>
      </c>
      <c r="H339" t="s">
        <v>47</v>
      </c>
    </row>
    <row r="340" spans="1:10" x14ac:dyDescent="0.25">
      <c r="A340" s="1">
        <v>79</v>
      </c>
      <c r="B340" t="s">
        <v>19</v>
      </c>
      <c r="C340">
        <v>107</v>
      </c>
      <c r="D340">
        <v>2</v>
      </c>
      <c r="E340" t="s">
        <v>52</v>
      </c>
      <c r="F340" t="s">
        <v>46</v>
      </c>
      <c r="G340" t="str">
        <f>"2026-06-04 14:07:39.053"</f>
        <v>2026-06-04 14:07:39.053</v>
      </c>
      <c r="H340" t="s">
        <v>53</v>
      </c>
    </row>
    <row r="341" spans="1:10" x14ac:dyDescent="0.25">
      <c r="A341" s="1">
        <v>80</v>
      </c>
      <c r="B341" t="s">
        <v>19</v>
      </c>
      <c r="C341">
        <v>43</v>
      </c>
      <c r="D341">
        <v>2</v>
      </c>
      <c r="E341" t="s">
        <v>54</v>
      </c>
      <c r="F341" t="s">
        <v>55</v>
      </c>
      <c r="G341" t="str">
        <f>"2026-06-04 14:07:39.051"</f>
        <v>2026-06-04 14:07:39.051</v>
      </c>
      <c r="H341" t="s">
        <v>22</v>
      </c>
    </row>
    <row r="342" spans="1:10" x14ac:dyDescent="0.25">
      <c r="A342" s="1">
        <v>81</v>
      </c>
      <c r="B342" t="s">
        <v>23</v>
      </c>
      <c r="C342">
        <v>782</v>
      </c>
      <c r="D342">
        <v>7</v>
      </c>
      <c r="E342" t="s">
        <v>32</v>
      </c>
      <c r="F342" t="s">
        <v>33</v>
      </c>
      <c r="G342" t="str">
        <f>"2026-06-04 14:07:39.050"</f>
        <v>2026-06-04 14:07:39.050</v>
      </c>
      <c r="H342" t="s">
        <v>26</v>
      </c>
      <c r="I342">
        <v>0</v>
      </c>
      <c r="J342" t="s">
        <v>27</v>
      </c>
    </row>
    <row r="343" spans="1:10" x14ac:dyDescent="0.25">
      <c r="A343" s="1">
        <v>82</v>
      </c>
      <c r="B343" t="s">
        <v>38</v>
      </c>
      <c r="C343">
        <v>248</v>
      </c>
      <c r="D343">
        <v>7</v>
      </c>
      <c r="E343" t="s">
        <v>56</v>
      </c>
      <c r="F343" t="s">
        <v>57</v>
      </c>
      <c r="G343" t="str">
        <f>"2026-06-04 14:07:34.604"</f>
        <v>2026-06-04 14:07:34.604</v>
      </c>
      <c r="H343" t="s">
        <v>26</v>
      </c>
      <c r="I343">
        <v>0</v>
      </c>
      <c r="J343" t="s">
        <v>27</v>
      </c>
    </row>
    <row r="344" spans="1:10" x14ac:dyDescent="0.25">
      <c r="A344" s="1">
        <v>83</v>
      </c>
      <c r="B344" t="s">
        <v>48</v>
      </c>
      <c r="C344">
        <v>248</v>
      </c>
      <c r="D344">
        <v>7</v>
      </c>
      <c r="E344" t="s">
        <v>56</v>
      </c>
      <c r="F344" t="s">
        <v>57</v>
      </c>
      <c r="G344" t="str">
        <f>"2026-06-04 14:07:34.279"</f>
        <v>2026-06-04 14:07:34.279</v>
      </c>
      <c r="H344" t="s">
        <v>26</v>
      </c>
    </row>
    <row r="345" spans="1:10" x14ac:dyDescent="0.25">
      <c r="A345" s="1">
        <v>84</v>
      </c>
      <c r="B345" t="s">
        <v>28</v>
      </c>
      <c r="C345">
        <v>248</v>
      </c>
      <c r="D345">
        <v>7</v>
      </c>
      <c r="E345" t="s">
        <v>56</v>
      </c>
      <c r="F345" t="s">
        <v>57</v>
      </c>
      <c r="G345" t="str">
        <f>"2026-06-04 14:07:29.224"</f>
        <v>2026-06-04 14:07:29.224</v>
      </c>
      <c r="H345" t="s">
        <v>26</v>
      </c>
      <c r="I345">
        <v>0</v>
      </c>
      <c r="J345" t="s">
        <v>27</v>
      </c>
    </row>
    <row r="346" spans="1:10" x14ac:dyDescent="0.25">
      <c r="A346" s="1">
        <v>85</v>
      </c>
      <c r="B346" t="s">
        <v>19</v>
      </c>
      <c r="C346">
        <v>248</v>
      </c>
      <c r="D346">
        <v>7</v>
      </c>
      <c r="E346" t="s">
        <v>56</v>
      </c>
      <c r="F346" t="s">
        <v>57</v>
      </c>
      <c r="G346" t="str">
        <f>"2026-06-04 14:07:28.050"</f>
        <v>2026-06-04 14:07:28.050</v>
      </c>
      <c r="H346" t="s">
        <v>26</v>
      </c>
    </row>
    <row r="347" spans="1:10" x14ac:dyDescent="0.25">
      <c r="A347" s="1">
        <v>86</v>
      </c>
      <c r="B347" t="s">
        <v>38</v>
      </c>
      <c r="C347">
        <v>248</v>
      </c>
      <c r="D347">
        <v>7</v>
      </c>
      <c r="E347" t="s">
        <v>56</v>
      </c>
      <c r="F347" t="s">
        <v>57</v>
      </c>
      <c r="G347" t="str">
        <f>"2026-06-04 14:07:24.904"</f>
        <v>2026-06-04 14:07:24.904</v>
      </c>
      <c r="H347" t="s">
        <v>26</v>
      </c>
      <c r="I347">
        <v>0</v>
      </c>
      <c r="J347" t="s">
        <v>27</v>
      </c>
    </row>
    <row r="348" spans="1:10" x14ac:dyDescent="0.25">
      <c r="A348" s="1">
        <v>89</v>
      </c>
      <c r="B348" t="s">
        <v>48</v>
      </c>
      <c r="C348">
        <v>248</v>
      </c>
      <c r="D348">
        <v>7</v>
      </c>
      <c r="E348" t="s">
        <v>56</v>
      </c>
      <c r="F348" t="s">
        <v>57</v>
      </c>
      <c r="G348" t="str">
        <f>"2026-06-04 14:07:24.479"</f>
        <v>2026-06-04 14:07:24.479</v>
      </c>
      <c r="H348" t="s">
        <v>26</v>
      </c>
    </row>
    <row r="349" spans="1:10" x14ac:dyDescent="0.25">
      <c r="A349" s="1">
        <v>90</v>
      </c>
      <c r="B349" t="s">
        <v>28</v>
      </c>
      <c r="C349">
        <v>248</v>
      </c>
      <c r="D349">
        <v>7</v>
      </c>
      <c r="E349" t="s">
        <v>56</v>
      </c>
      <c r="F349" t="s">
        <v>57</v>
      </c>
      <c r="G349" t="str">
        <f>"2026-06-04 14:07:19.424"</f>
        <v>2026-06-04 14:07:19.424</v>
      </c>
      <c r="H349" t="s">
        <v>26</v>
      </c>
      <c r="I349">
        <v>0</v>
      </c>
      <c r="J349" t="s">
        <v>27</v>
      </c>
    </row>
    <row r="350" spans="1:10" x14ac:dyDescent="0.25">
      <c r="A350" s="1">
        <v>91</v>
      </c>
      <c r="B350" t="s">
        <v>19</v>
      </c>
      <c r="C350">
        <v>248</v>
      </c>
      <c r="D350">
        <v>7</v>
      </c>
      <c r="E350" t="s">
        <v>56</v>
      </c>
      <c r="F350" t="s">
        <v>57</v>
      </c>
      <c r="G350" t="str">
        <f>"2026-06-04 14:07:18.450"</f>
        <v>2026-06-04 14:07:18.450</v>
      </c>
      <c r="H350" t="s">
        <v>26</v>
      </c>
    </row>
    <row r="351" spans="1:10" x14ac:dyDescent="0.25">
      <c r="A351" s="1">
        <v>92</v>
      </c>
      <c r="B351" t="s">
        <v>38</v>
      </c>
      <c r="C351">
        <v>248</v>
      </c>
      <c r="D351">
        <v>7</v>
      </c>
      <c r="E351" t="s">
        <v>56</v>
      </c>
      <c r="F351" t="s">
        <v>57</v>
      </c>
      <c r="G351" t="str">
        <f>"2026-06-04 14:07:17.304"</f>
        <v>2026-06-04 14:07:17.304</v>
      </c>
      <c r="H351" t="s">
        <v>26</v>
      </c>
      <c r="I351">
        <v>0</v>
      </c>
      <c r="J351" t="s">
        <v>27</v>
      </c>
    </row>
    <row r="352" spans="1:10" x14ac:dyDescent="0.25">
      <c r="A352" s="1">
        <v>93</v>
      </c>
      <c r="B352" t="s">
        <v>38</v>
      </c>
      <c r="C352">
        <v>250</v>
      </c>
      <c r="D352">
        <v>7</v>
      </c>
      <c r="E352" t="s">
        <v>51</v>
      </c>
      <c r="F352" t="s">
        <v>50</v>
      </c>
      <c r="G352" t="str">
        <f>"2026-06-04 14:07:16.844"</f>
        <v>2026-06-04 14:07:16.844</v>
      </c>
      <c r="H352" t="s">
        <v>26</v>
      </c>
      <c r="I352">
        <v>0</v>
      </c>
      <c r="J352" t="s">
        <v>27</v>
      </c>
    </row>
    <row r="353" spans="1:10" x14ac:dyDescent="0.25">
      <c r="A353" s="1">
        <v>94</v>
      </c>
      <c r="B353" t="s">
        <v>48</v>
      </c>
      <c r="C353">
        <v>250</v>
      </c>
      <c r="D353">
        <v>7</v>
      </c>
      <c r="E353" t="s">
        <v>51</v>
      </c>
      <c r="F353" t="s">
        <v>50</v>
      </c>
      <c r="G353" t="str">
        <f>"2026-06-04 14:07:16.779"</f>
        <v>2026-06-04 14:07:16.779</v>
      </c>
      <c r="H353" t="s">
        <v>26</v>
      </c>
    </row>
    <row r="354" spans="1:10" x14ac:dyDescent="0.25">
      <c r="A354" s="1">
        <v>95</v>
      </c>
      <c r="B354" t="s">
        <v>48</v>
      </c>
      <c r="C354">
        <v>248</v>
      </c>
      <c r="D354">
        <v>7</v>
      </c>
      <c r="E354" t="s">
        <v>56</v>
      </c>
      <c r="F354" t="s">
        <v>57</v>
      </c>
      <c r="G354" t="str">
        <f>"2026-06-04 14:07:16.679"</f>
        <v>2026-06-04 14:07:16.679</v>
      </c>
      <c r="H354" t="s">
        <v>26</v>
      </c>
    </row>
    <row r="355" spans="1:10" x14ac:dyDescent="0.25">
      <c r="A355" s="1">
        <v>96</v>
      </c>
      <c r="B355" t="s">
        <v>38</v>
      </c>
      <c r="C355">
        <v>207</v>
      </c>
      <c r="D355">
        <v>2</v>
      </c>
      <c r="E355" t="s">
        <v>45</v>
      </c>
      <c r="F355" t="s">
        <v>46</v>
      </c>
      <c r="G355" t="str">
        <f>"2026-06-04 14:07:12.704"</f>
        <v>2026-06-04 14:07:12.704</v>
      </c>
      <c r="H355" t="s">
        <v>47</v>
      </c>
      <c r="I355">
        <v>0</v>
      </c>
      <c r="J355" t="s">
        <v>27</v>
      </c>
    </row>
    <row r="356" spans="1:10" x14ac:dyDescent="0.25">
      <c r="A356" s="1">
        <v>97</v>
      </c>
      <c r="B356" t="s">
        <v>38</v>
      </c>
      <c r="C356">
        <v>107</v>
      </c>
      <c r="D356">
        <v>2</v>
      </c>
      <c r="E356" t="s">
        <v>52</v>
      </c>
      <c r="F356" t="s">
        <v>46</v>
      </c>
      <c r="G356" t="str">
        <f>"2026-06-04 14:07:11.824"</f>
        <v>2026-06-04 14:07:11.824</v>
      </c>
      <c r="H356" t="s">
        <v>53</v>
      </c>
      <c r="I356">
        <v>0</v>
      </c>
      <c r="J356" t="s">
        <v>27</v>
      </c>
    </row>
    <row r="357" spans="1:10" x14ac:dyDescent="0.25">
      <c r="A357" s="1">
        <v>98</v>
      </c>
      <c r="B357" t="s">
        <v>28</v>
      </c>
      <c r="C357">
        <v>248</v>
      </c>
      <c r="D357">
        <v>7</v>
      </c>
      <c r="E357" t="s">
        <v>56</v>
      </c>
      <c r="F357" t="s">
        <v>57</v>
      </c>
      <c r="G357" t="str">
        <f>"2026-06-04 14:07:11.629"</f>
        <v>2026-06-04 14:07:11.629</v>
      </c>
      <c r="H357" t="s">
        <v>26</v>
      </c>
      <c r="I357">
        <v>0</v>
      </c>
      <c r="J357" t="s">
        <v>27</v>
      </c>
    </row>
    <row r="358" spans="1:10" x14ac:dyDescent="0.25">
      <c r="A358" s="1">
        <v>99</v>
      </c>
      <c r="B358" t="s">
        <v>28</v>
      </c>
      <c r="C358">
        <v>250</v>
      </c>
      <c r="D358">
        <v>7</v>
      </c>
      <c r="E358" t="s">
        <v>51</v>
      </c>
      <c r="F358" t="s">
        <v>50</v>
      </c>
      <c r="G358" t="str">
        <f>"2026-06-04 14:07:11.624"</f>
        <v>2026-06-04 14:07:11.624</v>
      </c>
      <c r="H358" t="s">
        <v>26</v>
      </c>
      <c r="I358">
        <v>0</v>
      </c>
      <c r="J358" t="s">
        <v>27</v>
      </c>
    </row>
    <row r="359" spans="1:10" x14ac:dyDescent="0.25">
      <c r="A359" s="1">
        <v>0</v>
      </c>
      <c r="B359" t="s">
        <v>38</v>
      </c>
      <c r="C359">
        <v>43</v>
      </c>
      <c r="D359">
        <v>2</v>
      </c>
      <c r="E359" t="s">
        <v>54</v>
      </c>
      <c r="F359" t="s">
        <v>55</v>
      </c>
      <c r="G359" t="str">
        <f>"2026-06-04 14:07:11.510"</f>
        <v>2026-06-04 14:07:11.510</v>
      </c>
      <c r="H359" t="s">
        <v>22</v>
      </c>
      <c r="I359">
        <v>0</v>
      </c>
      <c r="J359" t="s">
        <v>27</v>
      </c>
    </row>
    <row r="360" spans="1:10" x14ac:dyDescent="0.25">
      <c r="A360" s="1">
        <v>1</v>
      </c>
      <c r="B360" t="s">
        <v>23</v>
      </c>
      <c r="C360">
        <v>782</v>
      </c>
      <c r="D360">
        <v>7</v>
      </c>
      <c r="E360" t="s">
        <v>32</v>
      </c>
      <c r="F360" t="s">
        <v>33</v>
      </c>
      <c r="G360" t="str">
        <f>"2026-06-04 14:07:11.473"</f>
        <v>2026-06-04 14:07:11.473</v>
      </c>
      <c r="H360" t="s">
        <v>26</v>
      </c>
      <c r="I360">
        <v>0</v>
      </c>
      <c r="J360" t="s">
        <v>27</v>
      </c>
    </row>
    <row r="361" spans="1:10" x14ac:dyDescent="0.25">
      <c r="A361" s="1">
        <v>4</v>
      </c>
      <c r="B361" t="s">
        <v>19</v>
      </c>
      <c r="C361">
        <v>250</v>
      </c>
      <c r="D361">
        <v>7</v>
      </c>
      <c r="E361" t="s">
        <v>51</v>
      </c>
      <c r="F361" t="s">
        <v>50</v>
      </c>
      <c r="G361" t="str">
        <f>"2026-06-04 14:07:11.465"</f>
        <v>2026-06-04 14:07:11.465</v>
      </c>
      <c r="H361" t="s">
        <v>26</v>
      </c>
    </row>
    <row r="362" spans="1:10" x14ac:dyDescent="0.25">
      <c r="A362" s="1">
        <v>5</v>
      </c>
      <c r="B362" t="s">
        <v>19</v>
      </c>
      <c r="C362">
        <v>248</v>
      </c>
      <c r="D362">
        <v>7</v>
      </c>
      <c r="E362" t="s">
        <v>56</v>
      </c>
      <c r="F362" t="s">
        <v>57</v>
      </c>
      <c r="G362" t="str">
        <f>"2026-06-04 14:07:11.462"</f>
        <v>2026-06-04 14:07:11.462</v>
      </c>
      <c r="H362" t="s">
        <v>26</v>
      </c>
    </row>
    <row r="363" spans="1:10" x14ac:dyDescent="0.25">
      <c r="A363" s="1">
        <v>6</v>
      </c>
      <c r="B363" t="s">
        <v>19</v>
      </c>
      <c r="C363">
        <v>207</v>
      </c>
      <c r="D363">
        <v>2</v>
      </c>
      <c r="E363" t="s">
        <v>45</v>
      </c>
      <c r="F363" t="s">
        <v>46</v>
      </c>
      <c r="G363" t="str">
        <f>"2026-06-04 14:07:11.459"</f>
        <v>2026-06-04 14:07:11.459</v>
      </c>
      <c r="H363" t="s">
        <v>47</v>
      </c>
    </row>
    <row r="364" spans="1:10" x14ac:dyDescent="0.25">
      <c r="A364" s="1">
        <v>7</v>
      </c>
      <c r="B364" t="s">
        <v>19</v>
      </c>
      <c r="C364">
        <v>150</v>
      </c>
      <c r="D364">
        <v>7</v>
      </c>
      <c r="E364" t="s">
        <v>49</v>
      </c>
      <c r="F364" t="s">
        <v>50</v>
      </c>
      <c r="G364" t="str">
        <f>"2026-06-04 14:07:11.456"</f>
        <v>2026-06-04 14:07:11.456</v>
      </c>
      <c r="H364" t="s">
        <v>26</v>
      </c>
    </row>
    <row r="365" spans="1:10" x14ac:dyDescent="0.25">
      <c r="A365" s="1">
        <v>8</v>
      </c>
      <c r="B365" t="s">
        <v>19</v>
      </c>
      <c r="C365">
        <v>107</v>
      </c>
      <c r="D365">
        <v>2</v>
      </c>
      <c r="E365" t="s">
        <v>52</v>
      </c>
      <c r="F365" t="s">
        <v>46</v>
      </c>
      <c r="G365" t="str">
        <f>"2026-06-04 14:07:11.454"</f>
        <v>2026-06-04 14:07:11.454</v>
      </c>
      <c r="H365" t="s">
        <v>53</v>
      </c>
    </row>
    <row r="366" spans="1:10" x14ac:dyDescent="0.25">
      <c r="A366" s="1">
        <v>9</v>
      </c>
      <c r="B366" t="s">
        <v>19</v>
      </c>
      <c r="C366">
        <v>43</v>
      </c>
      <c r="D366">
        <v>2</v>
      </c>
      <c r="E366" t="s">
        <v>54</v>
      </c>
      <c r="F366" t="s">
        <v>55</v>
      </c>
      <c r="G366" t="str">
        <f>"2026-06-04 14:07:11.452"</f>
        <v>2026-06-04 14:07:11.452</v>
      </c>
      <c r="H366" t="s">
        <v>22</v>
      </c>
    </row>
    <row r="367" spans="1:10" x14ac:dyDescent="0.25">
      <c r="A367" s="1">
        <v>10</v>
      </c>
      <c r="B367" t="s">
        <v>23</v>
      </c>
      <c r="C367">
        <v>782</v>
      </c>
      <c r="D367">
        <v>7</v>
      </c>
      <c r="E367" t="s">
        <v>32</v>
      </c>
      <c r="F367" t="s">
        <v>33</v>
      </c>
      <c r="G367" t="str">
        <f>"2026-06-04 14:07:11.450"</f>
        <v>2026-06-04 14:07:11.450</v>
      </c>
      <c r="H367" t="s">
        <v>26</v>
      </c>
      <c r="I367">
        <v>0</v>
      </c>
      <c r="J367" t="s">
        <v>27</v>
      </c>
    </row>
    <row r="368" spans="1:10" x14ac:dyDescent="0.25">
      <c r="A368" s="1">
        <v>11</v>
      </c>
      <c r="B368" t="s">
        <v>38</v>
      </c>
      <c r="C368">
        <v>43</v>
      </c>
      <c r="D368">
        <v>2</v>
      </c>
      <c r="E368" t="s">
        <v>54</v>
      </c>
      <c r="F368" t="s">
        <v>55</v>
      </c>
      <c r="G368" t="str">
        <f>"2026-06-04 14:06:44.711"</f>
        <v>2026-06-04 14:06:44.711</v>
      </c>
      <c r="H368" t="s">
        <v>22</v>
      </c>
      <c r="I368">
        <v>0</v>
      </c>
      <c r="J368" t="s">
        <v>27</v>
      </c>
    </row>
    <row r="369" spans="1:10" x14ac:dyDescent="0.25">
      <c r="A369" s="1">
        <v>12</v>
      </c>
      <c r="B369" t="s">
        <v>38</v>
      </c>
      <c r="C369">
        <v>248</v>
      </c>
      <c r="D369">
        <v>7</v>
      </c>
      <c r="E369" t="s">
        <v>56</v>
      </c>
      <c r="F369" t="s">
        <v>57</v>
      </c>
      <c r="G369" t="str">
        <f>"2026-06-04 14:06:39.184"</f>
        <v>2026-06-04 14:06:39.184</v>
      </c>
      <c r="H369" t="s">
        <v>26</v>
      </c>
      <c r="I369">
        <v>0</v>
      </c>
      <c r="J369" t="s">
        <v>27</v>
      </c>
    </row>
    <row r="370" spans="1:10" x14ac:dyDescent="0.25">
      <c r="A370" s="1">
        <v>13</v>
      </c>
      <c r="B370" t="s">
        <v>38</v>
      </c>
      <c r="C370">
        <v>250</v>
      </c>
      <c r="D370">
        <v>7</v>
      </c>
      <c r="E370" t="s">
        <v>51</v>
      </c>
      <c r="F370" t="s">
        <v>50</v>
      </c>
      <c r="G370" t="str">
        <f>"2026-06-04 14:06:38.964"</f>
        <v>2026-06-04 14:06:38.964</v>
      </c>
      <c r="H370" t="s">
        <v>26</v>
      </c>
      <c r="I370">
        <v>0</v>
      </c>
      <c r="J370" t="s">
        <v>27</v>
      </c>
    </row>
    <row r="371" spans="1:10" x14ac:dyDescent="0.25">
      <c r="A371" s="1">
        <v>14</v>
      </c>
      <c r="B371" t="s">
        <v>48</v>
      </c>
      <c r="C371">
        <v>250</v>
      </c>
      <c r="D371">
        <v>7</v>
      </c>
      <c r="E371" t="s">
        <v>51</v>
      </c>
      <c r="F371" t="s">
        <v>50</v>
      </c>
      <c r="G371" t="str">
        <f>"2026-06-04 14:06:38.879"</f>
        <v>2026-06-04 14:06:38.879</v>
      </c>
      <c r="H371" t="s">
        <v>26</v>
      </c>
    </row>
    <row r="372" spans="1:10" x14ac:dyDescent="0.25">
      <c r="A372" s="1">
        <v>15</v>
      </c>
      <c r="B372" t="s">
        <v>48</v>
      </c>
      <c r="C372">
        <v>248</v>
      </c>
      <c r="D372">
        <v>7</v>
      </c>
      <c r="E372" t="s">
        <v>56</v>
      </c>
      <c r="F372" t="s">
        <v>57</v>
      </c>
      <c r="G372" t="str">
        <f>"2026-06-04 14:06:38.779"</f>
        <v>2026-06-04 14:06:38.779</v>
      </c>
      <c r="H372" t="s">
        <v>26</v>
      </c>
    </row>
    <row r="373" spans="1:10" x14ac:dyDescent="0.25">
      <c r="A373" s="1">
        <v>16</v>
      </c>
      <c r="B373" t="s">
        <v>38</v>
      </c>
      <c r="C373">
        <v>150</v>
      </c>
      <c r="D373">
        <v>7</v>
      </c>
      <c r="E373" t="s">
        <v>49</v>
      </c>
      <c r="F373" t="s">
        <v>50</v>
      </c>
      <c r="G373" t="str">
        <f>"2026-06-04 14:06:36.444"</f>
        <v>2026-06-04 14:06:36.444</v>
      </c>
      <c r="H373" t="s">
        <v>26</v>
      </c>
      <c r="I373">
        <v>0</v>
      </c>
      <c r="J373" t="s">
        <v>27</v>
      </c>
    </row>
    <row r="374" spans="1:10" x14ac:dyDescent="0.25">
      <c r="A374" s="1">
        <v>17</v>
      </c>
      <c r="B374" t="s">
        <v>48</v>
      </c>
      <c r="C374">
        <v>150</v>
      </c>
      <c r="D374">
        <v>7</v>
      </c>
      <c r="E374" t="s">
        <v>49</v>
      </c>
      <c r="F374" t="s">
        <v>50</v>
      </c>
      <c r="G374" t="str">
        <f>"2026-06-04 14:06:36.379"</f>
        <v>2026-06-04 14:06:36.379</v>
      </c>
      <c r="H374" t="s">
        <v>26</v>
      </c>
    </row>
    <row r="375" spans="1:10" x14ac:dyDescent="0.25">
      <c r="A375" s="1">
        <v>18</v>
      </c>
      <c r="B375" t="s">
        <v>48</v>
      </c>
      <c r="C375">
        <v>148</v>
      </c>
      <c r="D375">
        <v>7</v>
      </c>
      <c r="E375" t="s">
        <v>58</v>
      </c>
      <c r="F375" t="s">
        <v>57</v>
      </c>
      <c r="G375" t="str">
        <f>"2026-06-04 14:06:36.279"</f>
        <v>2026-06-04 14:06:36.279</v>
      </c>
      <c r="H375" t="s">
        <v>26</v>
      </c>
    </row>
    <row r="376" spans="1:10" x14ac:dyDescent="0.25">
      <c r="A376" s="1">
        <v>19</v>
      </c>
      <c r="B376" t="s">
        <v>28</v>
      </c>
      <c r="C376">
        <v>250</v>
      </c>
      <c r="D376">
        <v>7</v>
      </c>
      <c r="E376" t="s">
        <v>51</v>
      </c>
      <c r="F376" t="s">
        <v>50</v>
      </c>
      <c r="G376" t="str">
        <f>"2026-06-04 14:06:33.766"</f>
        <v>2026-06-04 14:06:33.766</v>
      </c>
      <c r="H376" t="s">
        <v>26</v>
      </c>
      <c r="I376">
        <v>0</v>
      </c>
      <c r="J376" t="s">
        <v>27</v>
      </c>
    </row>
    <row r="377" spans="1:10" x14ac:dyDescent="0.25">
      <c r="A377" s="1">
        <v>20</v>
      </c>
      <c r="B377" t="s">
        <v>28</v>
      </c>
      <c r="C377">
        <v>248</v>
      </c>
      <c r="D377">
        <v>7</v>
      </c>
      <c r="E377" t="s">
        <v>56</v>
      </c>
      <c r="F377" t="s">
        <v>57</v>
      </c>
      <c r="G377" t="str">
        <f>"2026-06-04 14:06:33.764"</f>
        <v>2026-06-04 14:06:33.764</v>
      </c>
      <c r="H377" t="s">
        <v>26</v>
      </c>
      <c r="I377">
        <v>0</v>
      </c>
      <c r="J377" t="s">
        <v>27</v>
      </c>
    </row>
    <row r="378" spans="1:10" x14ac:dyDescent="0.25">
      <c r="A378" s="1">
        <v>21</v>
      </c>
      <c r="B378" t="s">
        <v>38</v>
      </c>
      <c r="C378">
        <v>107</v>
      </c>
      <c r="D378">
        <v>2</v>
      </c>
      <c r="E378" t="s">
        <v>52</v>
      </c>
      <c r="F378" t="s">
        <v>46</v>
      </c>
      <c r="G378" t="str">
        <f>"2026-06-04 14:06:32.464"</f>
        <v>2026-06-04 14:06:32.464</v>
      </c>
      <c r="H378" t="s">
        <v>53</v>
      </c>
      <c r="I378">
        <v>0</v>
      </c>
      <c r="J378" t="s">
        <v>27</v>
      </c>
    </row>
    <row r="379" spans="1:10" x14ac:dyDescent="0.25">
      <c r="A379" s="1">
        <v>22</v>
      </c>
      <c r="B379" t="s">
        <v>38</v>
      </c>
      <c r="C379">
        <v>207</v>
      </c>
      <c r="D379">
        <v>2</v>
      </c>
      <c r="E379" t="s">
        <v>45</v>
      </c>
      <c r="F379" t="s">
        <v>46</v>
      </c>
      <c r="G379" t="str">
        <f>"2026-06-04 14:06:32.184"</f>
        <v>2026-06-04 14:06:32.184</v>
      </c>
      <c r="H379" t="s">
        <v>47</v>
      </c>
      <c r="I379">
        <v>0</v>
      </c>
      <c r="J379" t="s">
        <v>27</v>
      </c>
    </row>
    <row r="380" spans="1:10" x14ac:dyDescent="0.25">
      <c r="A380" s="1">
        <v>23</v>
      </c>
      <c r="B380" t="s">
        <v>28</v>
      </c>
      <c r="C380">
        <v>150</v>
      </c>
      <c r="D380">
        <v>7</v>
      </c>
      <c r="E380" t="s">
        <v>49</v>
      </c>
      <c r="F380" t="s">
        <v>50</v>
      </c>
      <c r="G380" t="str">
        <f>"2026-06-04 14:06:31.265"</f>
        <v>2026-06-04 14:06:31.265</v>
      </c>
      <c r="H380" t="s">
        <v>26</v>
      </c>
      <c r="I380">
        <v>0</v>
      </c>
      <c r="J380" t="s">
        <v>27</v>
      </c>
    </row>
    <row r="381" spans="1:10" x14ac:dyDescent="0.25">
      <c r="A381" s="1">
        <v>24</v>
      </c>
      <c r="B381" t="s">
        <v>28</v>
      </c>
      <c r="C381">
        <v>148</v>
      </c>
      <c r="D381">
        <v>7</v>
      </c>
      <c r="E381" t="s">
        <v>58</v>
      </c>
      <c r="F381" t="s">
        <v>57</v>
      </c>
      <c r="G381" t="str">
        <f>"2026-06-04 14:06:31.264"</f>
        <v>2026-06-04 14:06:31.264</v>
      </c>
      <c r="H381" t="s">
        <v>26</v>
      </c>
      <c r="I381">
        <v>0</v>
      </c>
      <c r="J381" t="s">
        <v>27</v>
      </c>
    </row>
    <row r="382" spans="1:10" x14ac:dyDescent="0.25">
      <c r="A382" s="1">
        <v>25</v>
      </c>
      <c r="B382" t="s">
        <v>23</v>
      </c>
      <c r="C382">
        <v>700</v>
      </c>
      <c r="D382">
        <v>0</v>
      </c>
      <c r="E382" t="s">
        <v>37</v>
      </c>
      <c r="F382" t="s">
        <v>37</v>
      </c>
      <c r="G382" t="str">
        <f>"2026-06-04 14:06:26.879"</f>
        <v>2026-06-04 14:06:26.879</v>
      </c>
      <c r="H382" t="s">
        <v>26</v>
      </c>
      <c r="I382">
        <v>0</v>
      </c>
      <c r="J382" t="s">
        <v>43</v>
      </c>
    </row>
    <row r="383" spans="1:10" x14ac:dyDescent="0.25">
      <c r="A383" s="1">
        <v>26</v>
      </c>
      <c r="B383" t="s">
        <v>23</v>
      </c>
      <c r="C383">
        <v>700</v>
      </c>
      <c r="D383">
        <v>0</v>
      </c>
      <c r="E383" t="s">
        <v>37</v>
      </c>
      <c r="F383" t="s">
        <v>37</v>
      </c>
      <c r="G383" t="str">
        <f>"2026-06-03 22:54:43.844"</f>
        <v>2026-06-03 22:54:43.844</v>
      </c>
      <c r="H383" t="s">
        <v>26</v>
      </c>
    </row>
    <row r="384" spans="1:10" x14ac:dyDescent="0.25">
      <c r="A384" s="1">
        <v>27</v>
      </c>
      <c r="B384" t="s">
        <v>23</v>
      </c>
      <c r="C384">
        <v>700</v>
      </c>
      <c r="D384">
        <v>0</v>
      </c>
      <c r="E384" t="s">
        <v>37</v>
      </c>
      <c r="F384" t="s">
        <v>37</v>
      </c>
      <c r="G384" t="str">
        <f>"2026-06-03 21:01:19.845"</f>
        <v>2026-06-03 21:01:19.845</v>
      </c>
      <c r="H384" t="s">
        <v>26</v>
      </c>
    </row>
    <row r="385" spans="1:10" x14ac:dyDescent="0.25">
      <c r="A385" s="1">
        <v>28</v>
      </c>
      <c r="B385" t="s">
        <v>23</v>
      </c>
      <c r="C385">
        <v>700</v>
      </c>
      <c r="D385">
        <v>0</v>
      </c>
      <c r="E385" t="s">
        <v>37</v>
      </c>
      <c r="F385" t="s">
        <v>37</v>
      </c>
      <c r="G385" t="str">
        <f>"2026-06-03 15:31:57.861"</f>
        <v>2026-06-03 15:31:57.861</v>
      </c>
      <c r="H385" t="s">
        <v>26</v>
      </c>
      <c r="I385">
        <v>0</v>
      </c>
      <c r="J385" t="s">
        <v>43</v>
      </c>
    </row>
    <row r="386" spans="1:10" x14ac:dyDescent="0.25">
      <c r="A386" s="1">
        <v>29</v>
      </c>
      <c r="B386" t="s">
        <v>23</v>
      </c>
      <c r="C386">
        <v>700</v>
      </c>
      <c r="D386">
        <v>0</v>
      </c>
      <c r="E386" t="s">
        <v>37</v>
      </c>
      <c r="F386" t="s">
        <v>37</v>
      </c>
      <c r="G386" t="str">
        <f>"2026-06-03 15:16:55.851"</f>
        <v>2026-06-03 15:16:55.851</v>
      </c>
      <c r="H386" t="s">
        <v>26</v>
      </c>
    </row>
    <row r="387" spans="1:10" x14ac:dyDescent="0.25">
      <c r="A387" s="1">
        <v>30</v>
      </c>
      <c r="B387" t="s">
        <v>23</v>
      </c>
      <c r="C387">
        <v>700</v>
      </c>
      <c r="D387">
        <v>0</v>
      </c>
      <c r="E387" t="s">
        <v>37</v>
      </c>
      <c r="F387" t="s">
        <v>37</v>
      </c>
      <c r="G387" t="str">
        <f>"2026-06-03 15:07:04.838"</f>
        <v>2026-06-03 15:07:04.838</v>
      </c>
      <c r="H387" t="s">
        <v>26</v>
      </c>
    </row>
    <row r="388" spans="1:10" x14ac:dyDescent="0.25">
      <c r="A388" s="1">
        <v>31</v>
      </c>
      <c r="B388" t="s">
        <v>23</v>
      </c>
      <c r="C388">
        <v>700</v>
      </c>
      <c r="D388">
        <v>0</v>
      </c>
      <c r="E388" t="s">
        <v>37</v>
      </c>
      <c r="F388" t="s">
        <v>37</v>
      </c>
      <c r="G388" t="str">
        <f>"2026-06-03 13:57:48.885"</f>
        <v>2026-06-03 13:57:48.885</v>
      </c>
      <c r="H388" t="s">
        <v>26</v>
      </c>
    </row>
    <row r="389" spans="1:10" x14ac:dyDescent="0.25">
      <c r="A389" s="1">
        <v>33</v>
      </c>
      <c r="B389" t="s">
        <v>23</v>
      </c>
      <c r="C389">
        <v>700</v>
      </c>
      <c r="D389">
        <v>0</v>
      </c>
      <c r="E389" t="s">
        <v>37</v>
      </c>
      <c r="F389" t="s">
        <v>37</v>
      </c>
      <c r="G389" t="str">
        <f>"2026-06-02 13:51:42.871"</f>
        <v>2026-06-02 13:51:42.871</v>
      </c>
      <c r="H389" t="s">
        <v>26</v>
      </c>
    </row>
    <row r="390" spans="1:10" x14ac:dyDescent="0.25">
      <c r="A390" s="1">
        <v>34</v>
      </c>
      <c r="B390" t="s">
        <v>23</v>
      </c>
      <c r="C390">
        <v>706</v>
      </c>
      <c r="D390">
        <v>4</v>
      </c>
      <c r="E390" t="s">
        <v>24</v>
      </c>
      <c r="F390" t="s">
        <v>25</v>
      </c>
      <c r="G390" t="str">
        <f>"2026-06-01 20:17:36.259"</f>
        <v>2026-06-01 20:17:36.259</v>
      </c>
      <c r="H390" t="s">
        <v>26</v>
      </c>
      <c r="I390">
        <v>0</v>
      </c>
      <c r="J390" t="s">
        <v>27</v>
      </c>
    </row>
    <row r="391" spans="1:10" x14ac:dyDescent="0.25">
      <c r="A391" s="1">
        <v>35</v>
      </c>
      <c r="B391" t="s">
        <v>23</v>
      </c>
      <c r="C391">
        <v>700</v>
      </c>
      <c r="D391">
        <v>0</v>
      </c>
      <c r="E391" t="s">
        <v>37</v>
      </c>
      <c r="F391" t="s">
        <v>37</v>
      </c>
      <c r="G391" t="str">
        <f>"2026-06-01 20:17:16.839"</f>
        <v>2026-06-01 20:17:16.839</v>
      </c>
      <c r="H391" t="s">
        <v>26</v>
      </c>
    </row>
    <row r="392" spans="1:10" x14ac:dyDescent="0.25">
      <c r="A392" s="1">
        <v>36</v>
      </c>
      <c r="B392" t="s">
        <v>23</v>
      </c>
      <c r="C392">
        <v>700</v>
      </c>
      <c r="D392">
        <v>0</v>
      </c>
      <c r="E392" t="s">
        <v>37</v>
      </c>
      <c r="F392" t="s">
        <v>37</v>
      </c>
      <c r="G392" t="str">
        <f>"2026-06-01 18:21:53.849"</f>
        <v>2026-06-01 18:21:53.849</v>
      </c>
      <c r="H392" t="s">
        <v>26</v>
      </c>
    </row>
    <row r="393" spans="1:10" x14ac:dyDescent="0.25">
      <c r="A393" s="1">
        <v>37</v>
      </c>
      <c r="B393" t="s">
        <v>23</v>
      </c>
      <c r="C393">
        <v>706</v>
      </c>
      <c r="D393">
        <v>4</v>
      </c>
      <c r="E393" t="s">
        <v>24</v>
      </c>
      <c r="F393" t="s">
        <v>25</v>
      </c>
      <c r="G393" t="str">
        <f>"2026-06-01 18:15:02.873"</f>
        <v>2026-06-01 18:15:02.873</v>
      </c>
      <c r="H393" t="s">
        <v>26</v>
      </c>
      <c r="I393">
        <v>0</v>
      </c>
      <c r="J393" t="s">
        <v>27</v>
      </c>
    </row>
    <row r="394" spans="1:10" x14ac:dyDescent="0.25">
      <c r="A394" s="1">
        <v>38</v>
      </c>
      <c r="B394" t="s">
        <v>23</v>
      </c>
      <c r="C394">
        <v>706</v>
      </c>
      <c r="D394">
        <v>3</v>
      </c>
      <c r="E394" t="s">
        <v>24</v>
      </c>
      <c r="F394" t="s">
        <v>68</v>
      </c>
      <c r="G394" t="str">
        <f>"2026-06-01 18:14:33.223"</f>
        <v>2026-06-01 18:14:33.223</v>
      </c>
      <c r="H394" t="s">
        <v>26</v>
      </c>
      <c r="I394">
        <v>0</v>
      </c>
      <c r="J394" t="s">
        <v>27</v>
      </c>
    </row>
    <row r="395" spans="1:10" x14ac:dyDescent="0.25">
      <c r="A395" s="1">
        <v>39</v>
      </c>
      <c r="B395" t="s">
        <v>23</v>
      </c>
      <c r="C395">
        <v>706</v>
      </c>
      <c r="D395">
        <v>3</v>
      </c>
      <c r="E395" t="s">
        <v>24</v>
      </c>
      <c r="F395" t="s">
        <v>68</v>
      </c>
      <c r="G395" t="str">
        <f>"2026-06-01 18:13:47.633"</f>
        <v>2026-06-01 18:13:47.633</v>
      </c>
      <c r="H395" t="s">
        <v>26</v>
      </c>
      <c r="I395">
        <v>0</v>
      </c>
      <c r="J395" t="s">
        <v>31</v>
      </c>
    </row>
    <row r="396" spans="1:10" x14ac:dyDescent="0.25">
      <c r="A396" s="1">
        <v>40</v>
      </c>
      <c r="B396" t="s">
        <v>30</v>
      </c>
      <c r="C396">
        <v>47</v>
      </c>
      <c r="D396">
        <v>2</v>
      </c>
      <c r="E396" t="s">
        <v>76</v>
      </c>
      <c r="F396" t="s">
        <v>77</v>
      </c>
      <c r="G396" t="str">
        <f>"2026-06-01 18:09:19.223"</f>
        <v>2026-06-01 18:09:19.223</v>
      </c>
      <c r="H396" t="s">
        <v>78</v>
      </c>
    </row>
    <row r="397" spans="1:10" x14ac:dyDescent="0.25">
      <c r="A397" s="1">
        <v>41</v>
      </c>
      <c r="B397" t="s">
        <v>23</v>
      </c>
      <c r="C397">
        <v>706</v>
      </c>
      <c r="D397">
        <v>2</v>
      </c>
      <c r="E397" t="s">
        <v>24</v>
      </c>
      <c r="F397" t="s">
        <v>39</v>
      </c>
      <c r="G397" t="str">
        <f>"2026-06-01 18:09:17.173"</f>
        <v>2026-06-01 18:09:17.173</v>
      </c>
      <c r="H397" t="s">
        <v>26</v>
      </c>
      <c r="I397">
        <v>0</v>
      </c>
      <c r="J397" t="s">
        <v>27</v>
      </c>
    </row>
    <row r="398" spans="1:10" x14ac:dyDescent="0.25">
      <c r="A398" s="1">
        <v>42</v>
      </c>
      <c r="B398" t="s">
        <v>28</v>
      </c>
      <c r="C398">
        <v>47</v>
      </c>
      <c r="D398">
        <v>2</v>
      </c>
      <c r="E398" t="s">
        <v>76</v>
      </c>
      <c r="F398" t="s">
        <v>77</v>
      </c>
      <c r="G398" t="str">
        <f>"2026-06-01 18:08:23.323"</f>
        <v>2026-06-01 18:08:23.323</v>
      </c>
      <c r="H398" t="s">
        <v>78</v>
      </c>
      <c r="I398">
        <v>0</v>
      </c>
      <c r="J398" t="s">
        <v>31</v>
      </c>
    </row>
    <row r="399" spans="1:10" x14ac:dyDescent="0.25">
      <c r="A399" s="1">
        <v>43</v>
      </c>
      <c r="B399" t="s">
        <v>30</v>
      </c>
      <c r="C399">
        <v>47</v>
      </c>
      <c r="D399">
        <v>2</v>
      </c>
      <c r="E399" t="s">
        <v>76</v>
      </c>
      <c r="F399" t="s">
        <v>77</v>
      </c>
      <c r="G399" t="str">
        <f>"2026-06-01 18:00:07.523"</f>
        <v>2026-06-01 18:00:07.523</v>
      </c>
      <c r="H399" t="s">
        <v>78</v>
      </c>
    </row>
    <row r="400" spans="1:10" x14ac:dyDescent="0.25">
      <c r="A400" s="1">
        <v>44</v>
      </c>
      <c r="B400" t="s">
        <v>23</v>
      </c>
      <c r="C400">
        <v>706</v>
      </c>
      <c r="D400">
        <v>4</v>
      </c>
      <c r="E400" t="s">
        <v>24</v>
      </c>
      <c r="F400" t="s">
        <v>25</v>
      </c>
      <c r="G400" t="str">
        <f>"2026-06-01 18:00:05.633"</f>
        <v>2026-06-01 18:00:05.633</v>
      </c>
      <c r="H400" t="s">
        <v>26</v>
      </c>
      <c r="I400">
        <v>0</v>
      </c>
      <c r="J400" t="s">
        <v>27</v>
      </c>
    </row>
    <row r="401" spans="1:10" x14ac:dyDescent="0.25">
      <c r="A401" s="1">
        <v>45</v>
      </c>
      <c r="B401" t="s">
        <v>28</v>
      </c>
      <c r="C401">
        <v>47</v>
      </c>
      <c r="D401">
        <v>2</v>
      </c>
      <c r="E401" t="s">
        <v>76</v>
      </c>
      <c r="F401" t="s">
        <v>77</v>
      </c>
      <c r="G401" t="str">
        <f>"2026-06-01 17:40:40.023"</f>
        <v>2026-06-01 17:40:40.023</v>
      </c>
      <c r="H401" t="s">
        <v>78</v>
      </c>
      <c r="I401">
        <v>0</v>
      </c>
      <c r="J401" t="s">
        <v>31</v>
      </c>
    </row>
    <row r="402" spans="1:10" x14ac:dyDescent="0.25">
      <c r="A402" s="1">
        <v>46</v>
      </c>
      <c r="B402" t="s">
        <v>30</v>
      </c>
      <c r="C402">
        <v>47</v>
      </c>
      <c r="D402">
        <v>2</v>
      </c>
      <c r="E402" t="s">
        <v>76</v>
      </c>
      <c r="F402" t="s">
        <v>77</v>
      </c>
      <c r="G402" t="str">
        <f>"2026-06-01 17:30:18.623"</f>
        <v>2026-06-01 17:30:18.623</v>
      </c>
      <c r="H402" t="s">
        <v>78</v>
      </c>
    </row>
    <row r="403" spans="1:10" x14ac:dyDescent="0.25">
      <c r="A403" s="1">
        <v>47</v>
      </c>
      <c r="B403" t="s">
        <v>23</v>
      </c>
      <c r="C403">
        <v>706</v>
      </c>
      <c r="D403">
        <v>4</v>
      </c>
      <c r="E403" t="s">
        <v>24</v>
      </c>
      <c r="F403" t="s">
        <v>25</v>
      </c>
      <c r="G403" t="str">
        <f>"2026-06-01 17:30:14.703"</f>
        <v>2026-06-01 17:30:14.703</v>
      </c>
      <c r="H403" t="s">
        <v>26</v>
      </c>
      <c r="I403">
        <v>0</v>
      </c>
      <c r="J403" t="s">
        <v>27</v>
      </c>
    </row>
    <row r="404" spans="1:10" x14ac:dyDescent="0.25">
      <c r="A404" s="1">
        <v>48</v>
      </c>
      <c r="B404" t="s">
        <v>28</v>
      </c>
      <c r="C404">
        <v>47</v>
      </c>
      <c r="D404">
        <v>2</v>
      </c>
      <c r="E404" t="s">
        <v>76</v>
      </c>
      <c r="F404" t="s">
        <v>77</v>
      </c>
      <c r="G404" t="str">
        <f>"2026-06-01 17:18:44.223"</f>
        <v>2026-06-01 17:18:44.223</v>
      </c>
      <c r="H404" t="s">
        <v>78</v>
      </c>
      <c r="I404">
        <v>0</v>
      </c>
      <c r="J404" t="s">
        <v>31</v>
      </c>
    </row>
    <row r="405" spans="1:10" x14ac:dyDescent="0.25">
      <c r="A405" s="1">
        <v>49</v>
      </c>
      <c r="B405" t="s">
        <v>23</v>
      </c>
      <c r="C405">
        <v>706</v>
      </c>
      <c r="D405">
        <v>2</v>
      </c>
      <c r="E405" t="s">
        <v>24</v>
      </c>
      <c r="F405" t="s">
        <v>39</v>
      </c>
      <c r="G405" t="str">
        <f>"2026-06-01 17:16:53.673"</f>
        <v>2026-06-01 17:16:53.673</v>
      </c>
      <c r="H405" t="s">
        <v>26</v>
      </c>
      <c r="I405">
        <v>0</v>
      </c>
      <c r="J405" t="s">
        <v>27</v>
      </c>
    </row>
    <row r="406" spans="1:10" x14ac:dyDescent="0.25">
      <c r="A406" s="1">
        <v>51</v>
      </c>
      <c r="B406" t="s">
        <v>23</v>
      </c>
      <c r="C406">
        <v>700</v>
      </c>
      <c r="D406">
        <v>0</v>
      </c>
      <c r="E406" t="s">
        <v>37</v>
      </c>
      <c r="F406" t="s">
        <v>37</v>
      </c>
      <c r="G406" t="str">
        <f>"2026-06-01 17:05:36.863"</f>
        <v>2026-06-01 17:05:36.863</v>
      </c>
      <c r="H406" t="s">
        <v>26</v>
      </c>
      <c r="I406">
        <v>0</v>
      </c>
      <c r="J406" t="s">
        <v>43</v>
      </c>
    </row>
    <row r="407" spans="1:10" x14ac:dyDescent="0.25">
      <c r="A407" s="1">
        <v>53</v>
      </c>
      <c r="B407" t="s">
        <v>28</v>
      </c>
      <c r="C407">
        <v>47</v>
      </c>
      <c r="D407">
        <v>2</v>
      </c>
      <c r="E407" t="s">
        <v>76</v>
      </c>
      <c r="F407" t="s">
        <v>77</v>
      </c>
      <c r="G407" t="str">
        <f>"2026-06-01 15:58:04.007"</f>
        <v>2026-06-01 15:58:04.007</v>
      </c>
      <c r="H407" t="s">
        <v>78</v>
      </c>
      <c r="I407">
        <v>0</v>
      </c>
      <c r="J407" t="s">
        <v>31</v>
      </c>
    </row>
    <row r="408" spans="1:10" x14ac:dyDescent="0.25">
      <c r="A408" s="1">
        <v>54</v>
      </c>
      <c r="B408" t="s">
        <v>19</v>
      </c>
      <c r="C408">
        <v>635</v>
      </c>
      <c r="D408">
        <v>1</v>
      </c>
      <c r="E408" t="s">
        <v>40</v>
      </c>
      <c r="F408" t="s">
        <v>41</v>
      </c>
      <c r="G408" t="str">
        <f>"2026-06-01 14:50:35.854"</f>
        <v>2026-06-01 14:50:35.854</v>
      </c>
      <c r="H408" t="s">
        <v>26</v>
      </c>
    </row>
    <row r="409" spans="1:10" x14ac:dyDescent="0.25">
      <c r="A409" s="1">
        <v>55</v>
      </c>
      <c r="B409" t="s">
        <v>38</v>
      </c>
      <c r="C409">
        <v>635</v>
      </c>
      <c r="D409">
        <v>1</v>
      </c>
      <c r="E409" t="s">
        <v>40</v>
      </c>
      <c r="F409" t="s">
        <v>41</v>
      </c>
      <c r="G409" t="str">
        <f>"2026-06-01 14:47:34.854"</f>
        <v>2026-06-01 14:47:34.854</v>
      </c>
      <c r="H409" t="s">
        <v>26</v>
      </c>
      <c r="I409">
        <v>1.26</v>
      </c>
      <c r="J409" t="s">
        <v>42</v>
      </c>
    </row>
    <row r="410" spans="1:10" x14ac:dyDescent="0.25">
      <c r="A410" s="1">
        <v>57</v>
      </c>
      <c r="B410" t="s">
        <v>23</v>
      </c>
      <c r="C410">
        <v>700</v>
      </c>
      <c r="D410">
        <v>0</v>
      </c>
      <c r="E410" t="s">
        <v>37</v>
      </c>
      <c r="F410" t="s">
        <v>37</v>
      </c>
      <c r="G410" t="str">
        <f>"2026-06-01 13:50:45.867"</f>
        <v>2026-06-01 13:50:45.867</v>
      </c>
      <c r="H410" t="s">
        <v>26</v>
      </c>
    </row>
    <row r="411" spans="1:10" x14ac:dyDescent="0.25">
      <c r="A411" s="1">
        <v>60</v>
      </c>
      <c r="B411" t="s">
        <v>23</v>
      </c>
      <c r="C411">
        <v>700</v>
      </c>
      <c r="D411">
        <v>0</v>
      </c>
      <c r="E411" t="s">
        <v>37</v>
      </c>
      <c r="F411" t="s">
        <v>37</v>
      </c>
      <c r="G411" t="str">
        <f>"2026-05-31 13:38:20.884"</f>
        <v>2026-05-31 13:38:20.884</v>
      </c>
      <c r="H411" t="s">
        <v>26</v>
      </c>
      <c r="I411">
        <v>0</v>
      </c>
      <c r="J411" t="s">
        <v>43</v>
      </c>
    </row>
    <row r="412" spans="1:10" x14ac:dyDescent="0.25">
      <c r="A412" s="1">
        <v>62</v>
      </c>
      <c r="B412" t="s">
        <v>28</v>
      </c>
      <c r="C412">
        <v>47</v>
      </c>
      <c r="D412">
        <v>2</v>
      </c>
      <c r="E412" t="s">
        <v>76</v>
      </c>
      <c r="F412" t="s">
        <v>77</v>
      </c>
      <c r="G412" t="str">
        <f>"2026-05-31 12:40:45.990"</f>
        <v>2026-05-31 12:40:45.990</v>
      </c>
      <c r="H412" t="s">
        <v>78</v>
      </c>
      <c r="I412">
        <v>0</v>
      </c>
      <c r="J412" t="s">
        <v>31</v>
      </c>
    </row>
    <row r="413" spans="1:10" x14ac:dyDescent="0.25">
      <c r="A413" s="1">
        <v>63</v>
      </c>
      <c r="B413" t="s">
        <v>19</v>
      </c>
      <c r="C413">
        <v>635</v>
      </c>
      <c r="D413">
        <v>1</v>
      </c>
      <c r="E413" t="s">
        <v>40</v>
      </c>
      <c r="F413" t="s">
        <v>41</v>
      </c>
      <c r="G413" t="str">
        <f>"2026-05-31 02:57:27.377"</f>
        <v>2026-05-31 02:57:27.377</v>
      </c>
      <c r="H413" t="s">
        <v>26</v>
      </c>
    </row>
    <row r="414" spans="1:10" x14ac:dyDescent="0.25">
      <c r="A414" s="1">
        <v>64</v>
      </c>
      <c r="B414" t="s">
        <v>38</v>
      </c>
      <c r="C414">
        <v>635</v>
      </c>
      <c r="D414">
        <v>1</v>
      </c>
      <c r="E414" t="s">
        <v>40</v>
      </c>
      <c r="F414" t="s">
        <v>41</v>
      </c>
      <c r="G414" t="str">
        <f>"2026-05-31 02:53:12.877"</f>
        <v>2026-05-31 02:53:12.877</v>
      </c>
      <c r="H414" t="s">
        <v>26</v>
      </c>
      <c r="I414">
        <v>0.68</v>
      </c>
      <c r="J414" t="s">
        <v>42</v>
      </c>
    </row>
    <row r="415" spans="1:10" x14ac:dyDescent="0.25">
      <c r="A415" s="1">
        <v>65</v>
      </c>
      <c r="B415" t="s">
        <v>23</v>
      </c>
      <c r="C415">
        <v>706</v>
      </c>
      <c r="D415">
        <v>2</v>
      </c>
      <c r="E415" t="s">
        <v>24</v>
      </c>
      <c r="F415" t="s">
        <v>39</v>
      </c>
      <c r="G415" t="str">
        <f>"2026-05-30 13:44:51.166"</f>
        <v>2026-05-30 13:44:51.166</v>
      </c>
      <c r="H415" t="s">
        <v>26</v>
      </c>
      <c r="I415">
        <v>0</v>
      </c>
      <c r="J415" t="s">
        <v>27</v>
      </c>
    </row>
    <row r="416" spans="1:10" x14ac:dyDescent="0.25">
      <c r="A416" s="1">
        <v>66</v>
      </c>
      <c r="B416" t="s">
        <v>19</v>
      </c>
      <c r="C416">
        <v>635</v>
      </c>
      <c r="D416">
        <v>1</v>
      </c>
      <c r="E416" t="s">
        <v>40</v>
      </c>
      <c r="F416" t="s">
        <v>41</v>
      </c>
      <c r="G416" t="str">
        <f>"2026-05-29 18:53:11.077"</f>
        <v>2026-05-29 18:53:11.077</v>
      </c>
      <c r="H416" t="s">
        <v>26</v>
      </c>
    </row>
    <row r="417" spans="1:10" x14ac:dyDescent="0.25">
      <c r="A417" s="1">
        <v>67</v>
      </c>
      <c r="B417" t="s">
        <v>38</v>
      </c>
      <c r="C417">
        <v>635</v>
      </c>
      <c r="D417">
        <v>1</v>
      </c>
      <c r="E417" t="s">
        <v>40</v>
      </c>
      <c r="F417" t="s">
        <v>41</v>
      </c>
      <c r="G417" t="str">
        <f>"2026-05-29 18:48:24.178"</f>
        <v>2026-05-29 18:48:24.178</v>
      </c>
      <c r="H417" t="s">
        <v>26</v>
      </c>
      <c r="I417">
        <v>-0.14000000000000001</v>
      </c>
      <c r="J417" t="s">
        <v>42</v>
      </c>
    </row>
    <row r="418" spans="1:10" x14ac:dyDescent="0.25">
      <c r="A418" s="1">
        <v>69</v>
      </c>
      <c r="B418" t="s">
        <v>23</v>
      </c>
      <c r="C418">
        <v>700</v>
      </c>
      <c r="D418">
        <v>0</v>
      </c>
      <c r="E418" t="s">
        <v>37</v>
      </c>
      <c r="F418" t="s">
        <v>37</v>
      </c>
      <c r="G418" t="str">
        <f>"2026-05-29 12:34:39.846"</f>
        <v>2026-05-29 12:34:39.846</v>
      </c>
      <c r="H418" t="s">
        <v>26</v>
      </c>
      <c r="I418">
        <v>0</v>
      </c>
      <c r="J418" t="s">
        <v>43</v>
      </c>
    </row>
    <row r="419" spans="1:10" x14ac:dyDescent="0.25">
      <c r="A419" s="1">
        <v>72</v>
      </c>
      <c r="B419" t="s">
        <v>23</v>
      </c>
      <c r="C419">
        <v>700</v>
      </c>
      <c r="D419">
        <v>0</v>
      </c>
      <c r="E419" t="s">
        <v>37</v>
      </c>
      <c r="F419" t="s">
        <v>37</v>
      </c>
      <c r="G419" t="str">
        <f>"2026-05-29 07:48:08.869"</f>
        <v>2026-05-29 07:48:08.869</v>
      </c>
      <c r="H419" t="s">
        <v>26</v>
      </c>
    </row>
    <row r="420" spans="1:10" x14ac:dyDescent="0.25">
      <c r="A420" s="1">
        <v>74</v>
      </c>
      <c r="B420" t="s">
        <v>28</v>
      </c>
      <c r="C420">
        <v>47</v>
      </c>
      <c r="D420">
        <v>2</v>
      </c>
      <c r="E420" t="s">
        <v>76</v>
      </c>
      <c r="F420" t="s">
        <v>77</v>
      </c>
      <c r="G420" t="str">
        <f>"2026-05-29 07:39:19.686"</f>
        <v>2026-05-29 07:39:19.686</v>
      </c>
      <c r="H420" t="s">
        <v>78</v>
      </c>
      <c r="I420">
        <v>0</v>
      </c>
      <c r="J420" t="s">
        <v>31</v>
      </c>
    </row>
    <row r="421" spans="1:10" x14ac:dyDescent="0.25">
      <c r="A421" s="1">
        <v>75</v>
      </c>
      <c r="B421" t="s">
        <v>23</v>
      </c>
      <c r="C421">
        <v>706</v>
      </c>
      <c r="D421">
        <v>2</v>
      </c>
      <c r="E421" t="s">
        <v>24</v>
      </c>
      <c r="F421" t="s">
        <v>39</v>
      </c>
      <c r="G421" t="str">
        <f>"2026-05-29 01:39:34.485"</f>
        <v>2026-05-29 01:39:34.485</v>
      </c>
      <c r="H421" t="s">
        <v>26</v>
      </c>
      <c r="I421">
        <v>0</v>
      </c>
      <c r="J421" t="s">
        <v>27</v>
      </c>
    </row>
    <row r="422" spans="1:10" x14ac:dyDescent="0.25">
      <c r="A422" s="1">
        <v>77</v>
      </c>
      <c r="B422" t="s">
        <v>23</v>
      </c>
      <c r="C422">
        <v>700</v>
      </c>
      <c r="D422">
        <v>0</v>
      </c>
      <c r="E422" t="s">
        <v>37</v>
      </c>
      <c r="F422" t="s">
        <v>37</v>
      </c>
      <c r="G422" t="str">
        <f>"2026-05-29 01:38:58.035"</f>
        <v>2026-05-29 01:38:58.035</v>
      </c>
      <c r="H422" t="s">
        <v>26</v>
      </c>
    </row>
    <row r="423" spans="1:10" x14ac:dyDescent="0.25">
      <c r="A423" s="1">
        <v>80</v>
      </c>
      <c r="B423" t="s">
        <v>23</v>
      </c>
      <c r="C423">
        <v>700</v>
      </c>
      <c r="D423">
        <v>0</v>
      </c>
      <c r="E423" t="s">
        <v>37</v>
      </c>
      <c r="F423" t="s">
        <v>37</v>
      </c>
      <c r="G423" t="str">
        <f>"2026-05-28 13:24:04.839"</f>
        <v>2026-05-28 13:24:04.839</v>
      </c>
      <c r="H423" t="s">
        <v>26</v>
      </c>
    </row>
    <row r="424" spans="1:10" x14ac:dyDescent="0.25">
      <c r="A424" s="1">
        <v>82</v>
      </c>
      <c r="B424" t="s">
        <v>23</v>
      </c>
      <c r="C424">
        <v>706</v>
      </c>
      <c r="D424">
        <v>2</v>
      </c>
      <c r="E424" t="s">
        <v>24</v>
      </c>
      <c r="F424" t="s">
        <v>39</v>
      </c>
      <c r="G424" t="str">
        <f>"2026-05-28 13:04:59.305"</f>
        <v>2026-05-28 13:04:59.305</v>
      </c>
      <c r="H424" t="s">
        <v>26</v>
      </c>
      <c r="I424">
        <v>0</v>
      </c>
      <c r="J424" t="s">
        <v>27</v>
      </c>
    </row>
    <row r="425" spans="1:10" x14ac:dyDescent="0.25">
      <c r="A425" s="1">
        <v>84</v>
      </c>
      <c r="B425" t="s">
        <v>23</v>
      </c>
      <c r="C425">
        <v>700</v>
      </c>
      <c r="D425">
        <v>0</v>
      </c>
      <c r="E425" t="s">
        <v>37</v>
      </c>
      <c r="F425" t="s">
        <v>37</v>
      </c>
      <c r="G425" t="str">
        <f>"2026-05-27 12:42:51.845"</f>
        <v>2026-05-27 12:42:51.845</v>
      </c>
      <c r="H425" t="s">
        <v>26</v>
      </c>
      <c r="I425">
        <v>0</v>
      </c>
      <c r="J425" t="s">
        <v>43</v>
      </c>
    </row>
    <row r="426" spans="1:10" x14ac:dyDescent="0.25">
      <c r="A426" s="1">
        <v>87</v>
      </c>
      <c r="B426" t="s">
        <v>23</v>
      </c>
      <c r="C426">
        <v>700</v>
      </c>
      <c r="D426">
        <v>0</v>
      </c>
      <c r="E426" t="s">
        <v>37</v>
      </c>
      <c r="F426" t="s">
        <v>37</v>
      </c>
      <c r="G426" t="str">
        <f>"2026-05-26 13:50:23.833"</f>
        <v>2026-05-26 13:50:23.833</v>
      </c>
      <c r="H426" t="s">
        <v>26</v>
      </c>
      <c r="I426">
        <v>0</v>
      </c>
      <c r="J426" t="s">
        <v>43</v>
      </c>
    </row>
    <row r="427" spans="1:10" x14ac:dyDescent="0.25">
      <c r="A427" s="1">
        <v>89</v>
      </c>
      <c r="B427" t="s">
        <v>28</v>
      </c>
      <c r="C427">
        <v>47</v>
      </c>
      <c r="D427">
        <v>2</v>
      </c>
      <c r="E427" t="s">
        <v>76</v>
      </c>
      <c r="F427" t="s">
        <v>77</v>
      </c>
      <c r="G427" t="str">
        <f>"2026-05-26 12:54:49.868"</f>
        <v>2026-05-26 12:54:49.868</v>
      </c>
      <c r="H427" t="s">
        <v>78</v>
      </c>
      <c r="I427">
        <v>0</v>
      </c>
      <c r="J427" t="s">
        <v>31</v>
      </c>
    </row>
    <row r="428" spans="1:10" x14ac:dyDescent="0.25">
      <c r="A428" s="1">
        <v>91</v>
      </c>
      <c r="B428" t="s">
        <v>23</v>
      </c>
      <c r="C428">
        <v>700</v>
      </c>
      <c r="D428">
        <v>0</v>
      </c>
      <c r="E428" t="s">
        <v>37</v>
      </c>
      <c r="F428" t="s">
        <v>37</v>
      </c>
      <c r="G428" t="str">
        <f>"2026-05-24 13:32:22.815"</f>
        <v>2026-05-24 13:32:22.815</v>
      </c>
      <c r="H428" t="s">
        <v>26</v>
      </c>
    </row>
    <row r="429" spans="1:10" x14ac:dyDescent="0.25">
      <c r="A429" s="1">
        <v>93</v>
      </c>
      <c r="B429" t="s">
        <v>28</v>
      </c>
      <c r="C429">
        <v>47</v>
      </c>
      <c r="D429">
        <v>2</v>
      </c>
      <c r="E429" t="s">
        <v>76</v>
      </c>
      <c r="F429" t="s">
        <v>77</v>
      </c>
      <c r="G429" t="str">
        <f>"2026-05-24 12:54:35.769"</f>
        <v>2026-05-24 12:54:35.769</v>
      </c>
      <c r="H429" t="s">
        <v>78</v>
      </c>
      <c r="I429">
        <v>0</v>
      </c>
      <c r="J429" t="s">
        <v>31</v>
      </c>
    </row>
    <row r="430" spans="1:10" x14ac:dyDescent="0.25">
      <c r="A430" s="1">
        <v>95</v>
      </c>
      <c r="B430" t="s">
        <v>23</v>
      </c>
      <c r="C430">
        <v>700</v>
      </c>
      <c r="D430">
        <v>0</v>
      </c>
      <c r="E430" t="s">
        <v>37</v>
      </c>
      <c r="F430" t="s">
        <v>37</v>
      </c>
      <c r="G430" t="str">
        <f>"2026-05-24 12:51:00.827"</f>
        <v>2026-05-24 12:51:00.827</v>
      </c>
      <c r="H430" t="s">
        <v>26</v>
      </c>
      <c r="I430">
        <v>0</v>
      </c>
      <c r="J430" t="s">
        <v>43</v>
      </c>
    </row>
    <row r="431" spans="1:10" x14ac:dyDescent="0.25">
      <c r="A431" s="1">
        <v>97</v>
      </c>
      <c r="B431" t="s">
        <v>28</v>
      </c>
      <c r="C431">
        <v>47</v>
      </c>
      <c r="D431">
        <v>2</v>
      </c>
      <c r="E431" t="s">
        <v>76</v>
      </c>
      <c r="F431" t="s">
        <v>77</v>
      </c>
      <c r="G431" t="str">
        <f>"2026-05-24 12:16:40.762"</f>
        <v>2026-05-24 12:16:40.762</v>
      </c>
      <c r="H431" t="s">
        <v>78</v>
      </c>
      <c r="I431">
        <v>-0.08</v>
      </c>
      <c r="J431" t="s">
        <v>31</v>
      </c>
    </row>
    <row r="432" spans="1:10" x14ac:dyDescent="0.25">
      <c r="A432" s="1">
        <v>99</v>
      </c>
      <c r="B432" t="s">
        <v>23</v>
      </c>
      <c r="C432">
        <v>700</v>
      </c>
      <c r="D432">
        <v>0</v>
      </c>
      <c r="E432" t="s">
        <v>37</v>
      </c>
      <c r="F432" t="s">
        <v>37</v>
      </c>
      <c r="G432" t="str">
        <f>"2026-05-23 13:40:51.821"</f>
        <v>2026-05-23 13:40:51.821</v>
      </c>
      <c r="H432" t="s">
        <v>26</v>
      </c>
      <c r="I432">
        <v>0</v>
      </c>
      <c r="J432" t="s">
        <v>43</v>
      </c>
    </row>
    <row r="433" spans="1:10" x14ac:dyDescent="0.25">
      <c r="A433" s="1">
        <v>2</v>
      </c>
      <c r="B433" t="s">
        <v>23</v>
      </c>
      <c r="C433">
        <v>700</v>
      </c>
      <c r="D433">
        <v>0</v>
      </c>
      <c r="E433" t="s">
        <v>37</v>
      </c>
      <c r="F433" t="s">
        <v>37</v>
      </c>
      <c r="G433" t="str">
        <f>"2026-05-21 22:54:29.820"</f>
        <v>2026-05-21 22:54:29.820</v>
      </c>
      <c r="H433" t="s">
        <v>26</v>
      </c>
    </row>
    <row r="434" spans="1:10" x14ac:dyDescent="0.25">
      <c r="A434" s="1">
        <v>4</v>
      </c>
      <c r="B434" t="s">
        <v>28</v>
      </c>
      <c r="C434">
        <v>47</v>
      </c>
      <c r="D434">
        <v>2</v>
      </c>
      <c r="E434" t="s">
        <v>76</v>
      </c>
      <c r="F434" t="s">
        <v>77</v>
      </c>
      <c r="G434" t="str">
        <f>"2026-05-21 22:42:33.282"</f>
        <v>2026-05-21 22:42:33.282</v>
      </c>
      <c r="H434" t="s">
        <v>78</v>
      </c>
      <c r="I434">
        <v>0</v>
      </c>
      <c r="J434" t="s">
        <v>31</v>
      </c>
    </row>
    <row r="435" spans="1:10" x14ac:dyDescent="0.25">
      <c r="A435" s="1">
        <v>6</v>
      </c>
      <c r="B435" t="s">
        <v>23</v>
      </c>
      <c r="C435">
        <v>700</v>
      </c>
      <c r="D435">
        <v>0</v>
      </c>
      <c r="E435" t="s">
        <v>37</v>
      </c>
      <c r="F435" t="s">
        <v>37</v>
      </c>
      <c r="G435" t="str">
        <f>"2026-05-21 22:41:46.922"</f>
        <v>2026-05-21 22:41:46.922</v>
      </c>
      <c r="H435" t="s">
        <v>26</v>
      </c>
    </row>
    <row r="436" spans="1:10" x14ac:dyDescent="0.25">
      <c r="A436" s="1">
        <v>8</v>
      </c>
      <c r="B436" t="s">
        <v>23</v>
      </c>
      <c r="C436">
        <v>706</v>
      </c>
      <c r="D436">
        <v>4</v>
      </c>
      <c r="E436" t="s">
        <v>24</v>
      </c>
      <c r="F436" t="s">
        <v>25</v>
      </c>
      <c r="G436" t="str">
        <f>"2026-05-21 22:28:34.498"</f>
        <v>2026-05-21 22:28:34.498</v>
      </c>
      <c r="H436" t="s">
        <v>26</v>
      </c>
      <c r="I436">
        <v>0</v>
      </c>
      <c r="J436" t="s">
        <v>27</v>
      </c>
    </row>
    <row r="437" spans="1:10" x14ac:dyDescent="0.25">
      <c r="A437" s="1">
        <v>9</v>
      </c>
      <c r="B437" t="s">
        <v>23</v>
      </c>
      <c r="C437">
        <v>700</v>
      </c>
      <c r="D437">
        <v>0</v>
      </c>
      <c r="E437" t="s">
        <v>37</v>
      </c>
      <c r="F437" t="s">
        <v>37</v>
      </c>
      <c r="G437" t="str">
        <f>"2026-05-21 21:57:18.828"</f>
        <v>2026-05-21 21:57:18.828</v>
      </c>
      <c r="H437" t="s">
        <v>26</v>
      </c>
    </row>
    <row r="438" spans="1:10" x14ac:dyDescent="0.25">
      <c r="A438" s="1">
        <v>11</v>
      </c>
      <c r="B438" t="s">
        <v>23</v>
      </c>
      <c r="C438">
        <v>700</v>
      </c>
      <c r="D438">
        <v>0</v>
      </c>
      <c r="E438" t="s">
        <v>37</v>
      </c>
      <c r="F438" t="s">
        <v>37</v>
      </c>
      <c r="G438" t="str">
        <f>"2026-05-21 21:30:53.053"</f>
        <v>2026-05-21 21:30:53.053</v>
      </c>
      <c r="H438" t="s">
        <v>26</v>
      </c>
    </row>
    <row r="439" spans="1:10" x14ac:dyDescent="0.25">
      <c r="A439" s="1">
        <v>14</v>
      </c>
      <c r="B439" t="s">
        <v>23</v>
      </c>
      <c r="C439">
        <v>700</v>
      </c>
      <c r="D439">
        <v>0</v>
      </c>
      <c r="E439" t="s">
        <v>37</v>
      </c>
      <c r="F439" t="s">
        <v>37</v>
      </c>
      <c r="G439" t="str">
        <f>"2026-05-21 20:48:57.812"</f>
        <v>2026-05-21 20:48:57.812</v>
      </c>
      <c r="H439" t="s">
        <v>26</v>
      </c>
    </row>
    <row r="440" spans="1:10" x14ac:dyDescent="0.25">
      <c r="A440" s="1">
        <v>16</v>
      </c>
      <c r="B440" t="s">
        <v>28</v>
      </c>
      <c r="C440">
        <v>47</v>
      </c>
      <c r="D440">
        <v>2</v>
      </c>
      <c r="E440" t="s">
        <v>76</v>
      </c>
      <c r="F440" t="s">
        <v>77</v>
      </c>
      <c r="G440" t="str">
        <f>"2026-05-21 16:58:30.056"</f>
        <v>2026-05-21 16:58:30.056</v>
      </c>
      <c r="H440" t="s">
        <v>78</v>
      </c>
      <c r="I440">
        <v>0</v>
      </c>
      <c r="J440" t="s">
        <v>31</v>
      </c>
    </row>
    <row r="441" spans="1:10" x14ac:dyDescent="0.25">
      <c r="A441" s="1">
        <v>17</v>
      </c>
      <c r="B441" t="s">
        <v>23</v>
      </c>
      <c r="C441">
        <v>706</v>
      </c>
      <c r="D441">
        <v>4</v>
      </c>
      <c r="E441" t="s">
        <v>24</v>
      </c>
      <c r="F441" t="s">
        <v>25</v>
      </c>
      <c r="G441" t="str">
        <f>"2026-05-21 16:56:30.176"</f>
        <v>2026-05-21 16:56:30.176</v>
      </c>
      <c r="H441" t="s">
        <v>26</v>
      </c>
      <c r="I441">
        <v>0</v>
      </c>
      <c r="J441" t="s">
        <v>27</v>
      </c>
    </row>
    <row r="442" spans="1:10" x14ac:dyDescent="0.25">
      <c r="A442" s="1">
        <v>19</v>
      </c>
      <c r="B442" t="s">
        <v>23</v>
      </c>
      <c r="C442">
        <v>700</v>
      </c>
      <c r="D442">
        <v>0</v>
      </c>
      <c r="E442" t="s">
        <v>37</v>
      </c>
      <c r="F442" t="s">
        <v>37</v>
      </c>
      <c r="G442" t="str">
        <f>"2026-05-21 16:56:06.806"</f>
        <v>2026-05-21 16:56:06.806</v>
      </c>
      <c r="H442" t="s">
        <v>26</v>
      </c>
      <c r="I442">
        <v>0</v>
      </c>
      <c r="J442" t="s">
        <v>43</v>
      </c>
    </row>
    <row r="443" spans="1:10" x14ac:dyDescent="0.25">
      <c r="A443" s="1">
        <v>22</v>
      </c>
      <c r="B443" t="s">
        <v>23</v>
      </c>
      <c r="C443">
        <v>700</v>
      </c>
      <c r="D443">
        <v>0</v>
      </c>
      <c r="E443" t="s">
        <v>37</v>
      </c>
      <c r="F443" t="s">
        <v>37</v>
      </c>
      <c r="G443" t="str">
        <f>"2026-05-21 15:53:19.827"</f>
        <v>2026-05-21 15:53:19.827</v>
      </c>
      <c r="H443" t="s">
        <v>26</v>
      </c>
      <c r="I443">
        <v>0</v>
      </c>
      <c r="J443" t="s">
        <v>43</v>
      </c>
    </row>
    <row r="444" spans="1:10" x14ac:dyDescent="0.25">
      <c r="A444" s="1">
        <v>25</v>
      </c>
      <c r="B444" t="s">
        <v>23</v>
      </c>
      <c r="C444">
        <v>700</v>
      </c>
      <c r="D444">
        <v>0</v>
      </c>
      <c r="E444" t="s">
        <v>37</v>
      </c>
      <c r="F444" t="s">
        <v>37</v>
      </c>
      <c r="G444" t="str">
        <f>"2026-05-21 15:35:28.813"</f>
        <v>2026-05-21 15:35:28.813</v>
      </c>
      <c r="H444" t="s">
        <v>26</v>
      </c>
    </row>
    <row r="445" spans="1:10" x14ac:dyDescent="0.25">
      <c r="A445" s="1">
        <v>27</v>
      </c>
      <c r="B445" t="s">
        <v>28</v>
      </c>
      <c r="C445">
        <v>47</v>
      </c>
      <c r="D445">
        <v>2</v>
      </c>
      <c r="E445" t="s">
        <v>76</v>
      </c>
      <c r="F445" t="s">
        <v>77</v>
      </c>
      <c r="G445" t="str">
        <f>"2026-05-21 15:26:55.363"</f>
        <v>2026-05-21 15:26:55.363</v>
      </c>
      <c r="H445" t="s">
        <v>78</v>
      </c>
      <c r="I445">
        <v>0</v>
      </c>
      <c r="J445" t="s">
        <v>31</v>
      </c>
    </row>
    <row r="446" spans="1:10" x14ac:dyDescent="0.25">
      <c r="A446" s="1">
        <v>29</v>
      </c>
      <c r="B446" t="s">
        <v>23</v>
      </c>
      <c r="C446">
        <v>700</v>
      </c>
      <c r="D446">
        <v>0</v>
      </c>
      <c r="E446" t="s">
        <v>37</v>
      </c>
      <c r="F446" t="s">
        <v>37</v>
      </c>
      <c r="G446" t="str">
        <f>"2026-05-21 15:05:30.823"</f>
        <v>2026-05-21 15:05:30.823</v>
      </c>
      <c r="H446" t="s">
        <v>26</v>
      </c>
      <c r="I446">
        <v>0</v>
      </c>
      <c r="J446" t="s">
        <v>43</v>
      </c>
    </row>
    <row r="447" spans="1:10" x14ac:dyDescent="0.25">
      <c r="A447" s="1">
        <v>31</v>
      </c>
      <c r="B447" t="s">
        <v>28</v>
      </c>
      <c r="C447">
        <v>47</v>
      </c>
      <c r="D447">
        <v>2</v>
      </c>
      <c r="E447" t="s">
        <v>76</v>
      </c>
      <c r="F447" t="s">
        <v>77</v>
      </c>
      <c r="G447" t="str">
        <f>"2026-05-21 14:58:20.262"</f>
        <v>2026-05-21 14:58:20.262</v>
      </c>
      <c r="H447" t="s">
        <v>78</v>
      </c>
      <c r="I447">
        <v>0</v>
      </c>
      <c r="J447" t="s">
        <v>27</v>
      </c>
    </row>
    <row r="448" spans="1:10" x14ac:dyDescent="0.25">
      <c r="A448" s="1">
        <v>32</v>
      </c>
      <c r="B448" t="s">
        <v>30</v>
      </c>
      <c r="C448">
        <v>47</v>
      </c>
      <c r="D448">
        <v>2</v>
      </c>
      <c r="E448" t="s">
        <v>76</v>
      </c>
      <c r="F448" t="s">
        <v>77</v>
      </c>
      <c r="G448" t="str">
        <f>"2026-05-21 13:50:16.362"</f>
        <v>2026-05-21 13:50:16.362</v>
      </c>
      <c r="H448" t="s">
        <v>78</v>
      </c>
    </row>
    <row r="449" spans="1:10" x14ac:dyDescent="0.25">
      <c r="A449" s="1">
        <v>33</v>
      </c>
      <c r="B449" t="s">
        <v>23</v>
      </c>
      <c r="C449">
        <v>706</v>
      </c>
      <c r="D449">
        <v>4</v>
      </c>
      <c r="E449" t="s">
        <v>24</v>
      </c>
      <c r="F449" t="s">
        <v>25</v>
      </c>
      <c r="G449" t="str">
        <f>"2026-05-21 13:50:12.891"</f>
        <v>2026-05-21 13:50:12.891</v>
      </c>
      <c r="H449" t="s">
        <v>26</v>
      </c>
      <c r="I449">
        <v>0</v>
      </c>
      <c r="J449" t="s">
        <v>27</v>
      </c>
    </row>
    <row r="450" spans="1:10" x14ac:dyDescent="0.25">
      <c r="A450" s="1">
        <v>34</v>
      </c>
      <c r="B450" t="s">
        <v>28</v>
      </c>
      <c r="C450">
        <v>47</v>
      </c>
      <c r="D450">
        <v>2</v>
      </c>
      <c r="E450" t="s">
        <v>76</v>
      </c>
      <c r="F450" t="s">
        <v>77</v>
      </c>
      <c r="G450" t="str">
        <f>"2026-05-21 12:57:52.662"</f>
        <v>2026-05-21 12:57:52.662</v>
      </c>
      <c r="H450" t="s">
        <v>78</v>
      </c>
      <c r="I450">
        <v>0</v>
      </c>
      <c r="J450" t="s">
        <v>31</v>
      </c>
    </row>
    <row r="451" spans="1:10" x14ac:dyDescent="0.25">
      <c r="A451" s="1">
        <v>36</v>
      </c>
      <c r="B451" t="s">
        <v>23</v>
      </c>
      <c r="C451">
        <v>700</v>
      </c>
      <c r="D451">
        <v>0</v>
      </c>
      <c r="E451" t="s">
        <v>37</v>
      </c>
      <c r="F451" t="s">
        <v>37</v>
      </c>
      <c r="G451" t="str">
        <f>"2026-05-20 08:27:12.801"</f>
        <v>2026-05-20 08:27:12.801</v>
      </c>
      <c r="H451" t="s">
        <v>26</v>
      </c>
    </row>
    <row r="452" spans="1:10" x14ac:dyDescent="0.25">
      <c r="A452" s="1">
        <v>38</v>
      </c>
      <c r="B452" t="s">
        <v>28</v>
      </c>
      <c r="C452">
        <v>47</v>
      </c>
      <c r="D452">
        <v>2</v>
      </c>
      <c r="E452" t="s">
        <v>76</v>
      </c>
      <c r="F452" t="s">
        <v>77</v>
      </c>
      <c r="G452" t="str">
        <f>"2026-05-20 08:22:04.098"</f>
        <v>2026-05-20 08:22:04.098</v>
      </c>
      <c r="H452" t="s">
        <v>78</v>
      </c>
      <c r="I452">
        <v>0</v>
      </c>
      <c r="J452" t="s">
        <v>31</v>
      </c>
    </row>
    <row r="453" spans="1:10" x14ac:dyDescent="0.25">
      <c r="A453" s="1">
        <v>39</v>
      </c>
      <c r="B453" t="s">
        <v>19</v>
      </c>
      <c r="C453">
        <v>635</v>
      </c>
      <c r="D453">
        <v>1</v>
      </c>
      <c r="E453" t="s">
        <v>40</v>
      </c>
      <c r="F453" t="s">
        <v>41</v>
      </c>
      <c r="G453" t="str">
        <f>"2026-05-20 07:22:44.898"</f>
        <v>2026-05-20 07:22:44.898</v>
      </c>
      <c r="H453" t="s">
        <v>26</v>
      </c>
    </row>
    <row r="454" spans="1:10" x14ac:dyDescent="0.25">
      <c r="A454" s="1">
        <v>40</v>
      </c>
      <c r="B454" t="s">
        <v>38</v>
      </c>
      <c r="C454">
        <v>635</v>
      </c>
      <c r="D454">
        <v>1</v>
      </c>
      <c r="E454" t="s">
        <v>40</v>
      </c>
      <c r="F454" t="s">
        <v>41</v>
      </c>
      <c r="G454" t="str">
        <f>"2026-05-20 07:16:41.898"</f>
        <v>2026-05-20 07:16:41.898</v>
      </c>
      <c r="H454" t="s">
        <v>26</v>
      </c>
      <c r="I454">
        <v>0.06</v>
      </c>
      <c r="J454" t="s">
        <v>31</v>
      </c>
    </row>
    <row r="455" spans="1:10" x14ac:dyDescent="0.25">
      <c r="A455" s="1">
        <v>41</v>
      </c>
      <c r="B455" t="s">
        <v>30</v>
      </c>
      <c r="C455">
        <v>47</v>
      </c>
      <c r="D455">
        <v>2</v>
      </c>
      <c r="E455" t="s">
        <v>76</v>
      </c>
      <c r="F455" t="s">
        <v>77</v>
      </c>
      <c r="G455" t="str">
        <f>"2026-05-19 14:02:27.298"</f>
        <v>2026-05-19 14:02:27.298</v>
      </c>
      <c r="H455" t="s">
        <v>78</v>
      </c>
    </row>
    <row r="456" spans="1:10" x14ac:dyDescent="0.25">
      <c r="A456" s="1">
        <v>42</v>
      </c>
      <c r="B456" t="s">
        <v>23</v>
      </c>
      <c r="C456">
        <v>706</v>
      </c>
      <c r="D456">
        <v>4</v>
      </c>
      <c r="E456" t="s">
        <v>24</v>
      </c>
      <c r="F456" t="s">
        <v>25</v>
      </c>
      <c r="G456" t="str">
        <f>"2026-05-19 14:02:23.518"</f>
        <v>2026-05-19 14:02:23.518</v>
      </c>
      <c r="H456" t="s">
        <v>26</v>
      </c>
      <c r="I456">
        <v>0</v>
      </c>
      <c r="J456" t="s">
        <v>27</v>
      </c>
    </row>
    <row r="457" spans="1:10" x14ac:dyDescent="0.25">
      <c r="A457" s="1">
        <v>43</v>
      </c>
      <c r="B457" t="s">
        <v>28</v>
      </c>
      <c r="C457">
        <v>47</v>
      </c>
      <c r="D457">
        <v>2</v>
      </c>
      <c r="E457" t="s">
        <v>76</v>
      </c>
      <c r="F457" t="s">
        <v>77</v>
      </c>
      <c r="G457" t="str">
        <f>"2026-05-19 13:06:21.998"</f>
        <v>2026-05-19 13:06:21.998</v>
      </c>
      <c r="H457" t="s">
        <v>78</v>
      </c>
      <c r="I457">
        <v>0</v>
      </c>
      <c r="J457" t="s">
        <v>31</v>
      </c>
    </row>
    <row r="458" spans="1:10" s="3" customFormat="1" x14ac:dyDescent="0.25">
      <c r="A458" s="2">
        <v>44</v>
      </c>
      <c r="B458" s="3" t="s">
        <v>19</v>
      </c>
      <c r="C458" s="3">
        <v>647</v>
      </c>
      <c r="D458" s="3">
        <v>1</v>
      </c>
      <c r="E458" s="3" t="s">
        <v>69</v>
      </c>
      <c r="F458" s="3" t="s">
        <v>70</v>
      </c>
      <c r="G458" s="3" t="str">
        <f>"2026-05-19 09:54:02.499"</f>
        <v>2026-05-19 09:54:02.499</v>
      </c>
      <c r="H458" s="3" t="s">
        <v>26</v>
      </c>
    </row>
    <row r="459" spans="1:10" s="3" customFormat="1" x14ac:dyDescent="0.25">
      <c r="A459" s="2">
        <v>45</v>
      </c>
      <c r="B459" s="3" t="s">
        <v>38</v>
      </c>
      <c r="C459" s="3">
        <v>647</v>
      </c>
      <c r="D459" s="3">
        <v>1</v>
      </c>
      <c r="E459" s="3" t="s">
        <v>69</v>
      </c>
      <c r="F459" s="3" t="s">
        <v>70</v>
      </c>
      <c r="G459" s="3" t="str">
        <f>"2026-05-19 09:53:59.199"</f>
        <v>2026-05-19 09:53:59.199</v>
      </c>
      <c r="H459" s="3" t="s">
        <v>26</v>
      </c>
      <c r="I459" s="3">
        <v>8.6</v>
      </c>
      <c r="J459" s="3" t="s">
        <v>31</v>
      </c>
    </row>
    <row r="460" spans="1:10" x14ac:dyDescent="0.25">
      <c r="A460" s="1">
        <v>47</v>
      </c>
      <c r="B460" t="s">
        <v>23</v>
      </c>
      <c r="C460">
        <v>700</v>
      </c>
      <c r="D460">
        <v>0</v>
      </c>
      <c r="E460" t="s">
        <v>37</v>
      </c>
      <c r="F460" t="s">
        <v>37</v>
      </c>
      <c r="G460" t="str">
        <f>"2026-05-19 06:07:16.838"</f>
        <v>2026-05-19 06:07:16.838</v>
      </c>
      <c r="H460" t="s">
        <v>26</v>
      </c>
      <c r="I460">
        <v>0</v>
      </c>
      <c r="J460" t="s">
        <v>43</v>
      </c>
    </row>
    <row r="461" spans="1:10" x14ac:dyDescent="0.25">
      <c r="A461" s="1">
        <v>49</v>
      </c>
      <c r="B461" t="s">
        <v>19</v>
      </c>
      <c r="C461">
        <v>49</v>
      </c>
      <c r="D461">
        <v>1</v>
      </c>
      <c r="E461" t="s">
        <v>34</v>
      </c>
      <c r="F461" t="s">
        <v>35</v>
      </c>
      <c r="G461" t="str">
        <f>"2026-05-18 13:55:16.642"</f>
        <v>2026-05-18 13:55:16.642</v>
      </c>
      <c r="H461" t="s">
        <v>36</v>
      </c>
    </row>
    <row r="462" spans="1:10" x14ac:dyDescent="0.25">
      <c r="A462" s="1">
        <v>51</v>
      </c>
      <c r="B462" t="s">
        <v>23</v>
      </c>
      <c r="C462">
        <v>700</v>
      </c>
      <c r="D462">
        <v>0</v>
      </c>
      <c r="E462" t="s">
        <v>37</v>
      </c>
      <c r="F462" t="s">
        <v>37</v>
      </c>
      <c r="G462" t="str">
        <f>"2026-05-18 13:54:46.881"</f>
        <v>2026-05-18 13:54:46.881</v>
      </c>
      <c r="H462" t="s">
        <v>26</v>
      </c>
    </row>
    <row r="463" spans="1:10" x14ac:dyDescent="0.25">
      <c r="A463" s="1">
        <v>52</v>
      </c>
      <c r="B463" t="s">
        <v>38</v>
      </c>
      <c r="C463">
        <v>49</v>
      </c>
      <c r="D463">
        <v>1</v>
      </c>
      <c r="E463" t="s">
        <v>34</v>
      </c>
      <c r="F463" t="s">
        <v>35</v>
      </c>
      <c r="G463" t="str">
        <f>"2026-05-18 13:30:44.007"</f>
        <v>2026-05-18 13:30:44.007</v>
      </c>
      <c r="H463" t="s">
        <v>36</v>
      </c>
      <c r="I463">
        <v>0</v>
      </c>
      <c r="J463" t="s">
        <v>27</v>
      </c>
    </row>
    <row r="464" spans="1:10" x14ac:dyDescent="0.25">
      <c r="A464" s="1">
        <v>54</v>
      </c>
      <c r="B464" t="s">
        <v>28</v>
      </c>
      <c r="C464">
        <v>47</v>
      </c>
      <c r="D464">
        <v>2</v>
      </c>
      <c r="E464" t="s">
        <v>76</v>
      </c>
      <c r="F464" t="s">
        <v>77</v>
      </c>
      <c r="G464" t="str">
        <f>"2026-05-18 13:29:35.106"</f>
        <v>2026-05-18 13:29:35.106</v>
      </c>
      <c r="H464" t="s">
        <v>78</v>
      </c>
      <c r="I464">
        <v>0</v>
      </c>
      <c r="J464" t="s">
        <v>31</v>
      </c>
    </row>
    <row r="465" spans="1:10" x14ac:dyDescent="0.25">
      <c r="A465" s="1">
        <v>56</v>
      </c>
      <c r="B465" t="s">
        <v>23</v>
      </c>
      <c r="C465">
        <v>700</v>
      </c>
      <c r="D465">
        <v>0</v>
      </c>
      <c r="E465" t="s">
        <v>37</v>
      </c>
      <c r="F465" t="s">
        <v>37</v>
      </c>
      <c r="G465" t="str">
        <f>"2026-05-17 12:49:19.937"</f>
        <v>2026-05-17 12:49:19.937</v>
      </c>
      <c r="H465" t="s">
        <v>26</v>
      </c>
      <c r="I465">
        <v>0</v>
      </c>
      <c r="J465" t="s">
        <v>43</v>
      </c>
    </row>
    <row r="466" spans="1:10" x14ac:dyDescent="0.25">
      <c r="A466" s="1">
        <v>59</v>
      </c>
      <c r="B466" t="s">
        <v>23</v>
      </c>
      <c r="C466">
        <v>700</v>
      </c>
      <c r="D466">
        <v>0</v>
      </c>
      <c r="E466" t="s">
        <v>37</v>
      </c>
      <c r="F466" t="s">
        <v>37</v>
      </c>
      <c r="G466" t="str">
        <f>"2026-05-17 08:05:51.797"</f>
        <v>2026-05-17 08:05:51.797</v>
      </c>
      <c r="H466" t="s">
        <v>26</v>
      </c>
      <c r="I466">
        <v>0</v>
      </c>
      <c r="J466" t="s">
        <v>43</v>
      </c>
    </row>
    <row r="467" spans="1:10" x14ac:dyDescent="0.25">
      <c r="A467" s="1">
        <v>62</v>
      </c>
      <c r="B467" t="s">
        <v>23</v>
      </c>
      <c r="C467">
        <v>700</v>
      </c>
      <c r="D467">
        <v>0</v>
      </c>
      <c r="E467" t="s">
        <v>37</v>
      </c>
      <c r="F467" t="s">
        <v>37</v>
      </c>
      <c r="G467" t="str">
        <f>"2026-05-17 07:58:18.933"</f>
        <v>2026-05-17 07:58:18.933</v>
      </c>
      <c r="H467" t="s">
        <v>26</v>
      </c>
    </row>
    <row r="468" spans="1:10" x14ac:dyDescent="0.25">
      <c r="A468" s="1">
        <v>64</v>
      </c>
      <c r="B468" t="s">
        <v>28</v>
      </c>
      <c r="C468">
        <v>47</v>
      </c>
      <c r="D468">
        <v>2</v>
      </c>
      <c r="E468" t="s">
        <v>76</v>
      </c>
      <c r="F468" t="s">
        <v>77</v>
      </c>
      <c r="G468" t="str">
        <f>"2026-05-17 07:47:39.392"</f>
        <v>2026-05-17 07:47:39.392</v>
      </c>
      <c r="H468" t="s">
        <v>78</v>
      </c>
      <c r="I468">
        <v>0</v>
      </c>
      <c r="J468" t="s">
        <v>31</v>
      </c>
    </row>
    <row r="469" spans="1:10" x14ac:dyDescent="0.25">
      <c r="A469" s="1">
        <v>65</v>
      </c>
      <c r="B469" t="s">
        <v>23</v>
      </c>
      <c r="C469">
        <v>706</v>
      </c>
      <c r="D469">
        <v>4</v>
      </c>
      <c r="E469" t="s">
        <v>24</v>
      </c>
      <c r="F469" t="s">
        <v>25</v>
      </c>
      <c r="G469" t="str">
        <f>"2026-05-16 14:05:07.646"</f>
        <v>2026-05-16 14:05:07.646</v>
      </c>
      <c r="H469" t="s">
        <v>26</v>
      </c>
      <c r="I469">
        <v>0</v>
      </c>
      <c r="J469" t="s">
        <v>27</v>
      </c>
    </row>
    <row r="470" spans="1:10" x14ac:dyDescent="0.25">
      <c r="A470" s="1">
        <v>67</v>
      </c>
      <c r="B470" t="s">
        <v>23</v>
      </c>
      <c r="C470">
        <v>700</v>
      </c>
      <c r="D470">
        <v>0</v>
      </c>
      <c r="E470" t="s">
        <v>37</v>
      </c>
      <c r="F470" t="s">
        <v>37</v>
      </c>
      <c r="G470" t="str">
        <f>"2026-05-16 13:52:53.796"</f>
        <v>2026-05-16 13:52:53.796</v>
      </c>
      <c r="H470" t="s">
        <v>26</v>
      </c>
      <c r="I470">
        <v>0</v>
      </c>
      <c r="J470" t="s">
        <v>43</v>
      </c>
    </row>
    <row r="471" spans="1:10" x14ac:dyDescent="0.25">
      <c r="A471" s="1">
        <v>69</v>
      </c>
      <c r="B471" t="s">
        <v>19</v>
      </c>
      <c r="C471">
        <v>49</v>
      </c>
      <c r="D471">
        <v>1</v>
      </c>
      <c r="E471" t="s">
        <v>34</v>
      </c>
      <c r="F471" t="s">
        <v>35</v>
      </c>
      <c r="G471" t="str">
        <f>"2026-05-16 13:39:57.975"</f>
        <v>2026-05-16 13:39:57.975</v>
      </c>
      <c r="H471" t="s">
        <v>36</v>
      </c>
    </row>
    <row r="472" spans="1:10" x14ac:dyDescent="0.25">
      <c r="A472" s="1">
        <v>71</v>
      </c>
      <c r="B472" t="s">
        <v>38</v>
      </c>
      <c r="C472">
        <v>49</v>
      </c>
      <c r="D472">
        <v>1</v>
      </c>
      <c r="E472" t="s">
        <v>34</v>
      </c>
      <c r="F472" t="s">
        <v>35</v>
      </c>
      <c r="G472" t="str">
        <f>"2026-05-16 12:59:35.975"</f>
        <v>2026-05-16 12:59:35.975</v>
      </c>
      <c r="H472" t="s">
        <v>36</v>
      </c>
      <c r="I472">
        <v>0</v>
      </c>
      <c r="J472" t="s">
        <v>27</v>
      </c>
    </row>
    <row r="473" spans="1:10" x14ac:dyDescent="0.25">
      <c r="A473" s="1">
        <v>73</v>
      </c>
      <c r="B473" t="s">
        <v>30</v>
      </c>
      <c r="C473">
        <v>47</v>
      </c>
      <c r="D473">
        <v>2</v>
      </c>
      <c r="E473" t="s">
        <v>76</v>
      </c>
      <c r="F473" t="s">
        <v>77</v>
      </c>
      <c r="G473" t="str">
        <f>"2026-05-15 14:33:33.574"</f>
        <v>2026-05-15 14:33:33.574</v>
      </c>
      <c r="H473" t="s">
        <v>78</v>
      </c>
    </row>
    <row r="474" spans="1:10" x14ac:dyDescent="0.25">
      <c r="A474" s="1">
        <v>74</v>
      </c>
      <c r="B474" t="s">
        <v>23</v>
      </c>
      <c r="C474">
        <v>706</v>
      </c>
      <c r="D474">
        <v>4</v>
      </c>
      <c r="E474" t="s">
        <v>24</v>
      </c>
      <c r="F474" t="s">
        <v>25</v>
      </c>
      <c r="G474" t="str">
        <f>"2026-05-15 14:33:29.792"</f>
        <v>2026-05-15 14:33:29.792</v>
      </c>
      <c r="H474" t="s">
        <v>26</v>
      </c>
      <c r="I474">
        <v>0</v>
      </c>
      <c r="J474" t="s">
        <v>27</v>
      </c>
    </row>
    <row r="475" spans="1:10" x14ac:dyDescent="0.25">
      <c r="A475" s="1">
        <v>75</v>
      </c>
      <c r="B475" t="s">
        <v>28</v>
      </c>
      <c r="C475">
        <v>47</v>
      </c>
      <c r="D475">
        <v>2</v>
      </c>
      <c r="E475" t="s">
        <v>76</v>
      </c>
      <c r="F475" t="s">
        <v>77</v>
      </c>
      <c r="G475" t="str">
        <f>"2026-05-15 14:23:08.374"</f>
        <v>2026-05-15 14:23:08.374</v>
      </c>
      <c r="H475" t="s">
        <v>78</v>
      </c>
      <c r="I475">
        <v>0</v>
      </c>
      <c r="J475" t="s">
        <v>31</v>
      </c>
    </row>
    <row r="476" spans="1:10" x14ac:dyDescent="0.25">
      <c r="A476" s="1">
        <v>77</v>
      </c>
      <c r="B476" t="s">
        <v>23</v>
      </c>
      <c r="C476">
        <v>700</v>
      </c>
      <c r="D476">
        <v>0</v>
      </c>
      <c r="E476" t="s">
        <v>37</v>
      </c>
      <c r="F476" t="s">
        <v>37</v>
      </c>
      <c r="G476" t="str">
        <f>"2026-05-13 17:13:25.802"</f>
        <v>2026-05-13 17:13:25.802</v>
      </c>
      <c r="H476" t="s">
        <v>26</v>
      </c>
    </row>
    <row r="477" spans="1:10" x14ac:dyDescent="0.25">
      <c r="A477" s="1">
        <v>79</v>
      </c>
      <c r="B477" t="s">
        <v>28</v>
      </c>
      <c r="C477">
        <v>47</v>
      </c>
      <c r="D477">
        <v>2</v>
      </c>
      <c r="E477" t="s">
        <v>76</v>
      </c>
      <c r="F477" t="s">
        <v>77</v>
      </c>
      <c r="G477" t="str">
        <f>"2026-05-13 15:38:51.865"</f>
        <v>2026-05-13 15:38:51.865</v>
      </c>
      <c r="H477" t="s">
        <v>78</v>
      </c>
      <c r="I477">
        <v>0</v>
      </c>
      <c r="J477" t="s">
        <v>31</v>
      </c>
    </row>
    <row r="478" spans="1:10" x14ac:dyDescent="0.25">
      <c r="A478" s="1">
        <v>80</v>
      </c>
      <c r="B478" t="s">
        <v>30</v>
      </c>
      <c r="C478">
        <v>47</v>
      </c>
      <c r="D478">
        <v>2</v>
      </c>
      <c r="E478" t="s">
        <v>76</v>
      </c>
      <c r="F478" t="s">
        <v>77</v>
      </c>
      <c r="G478" t="str">
        <f>"2026-05-13 13:32:07.565"</f>
        <v>2026-05-13 13:32:07.565</v>
      </c>
      <c r="H478" t="s">
        <v>78</v>
      </c>
    </row>
    <row r="479" spans="1:10" x14ac:dyDescent="0.25">
      <c r="A479" s="1">
        <v>81</v>
      </c>
      <c r="B479" t="s">
        <v>23</v>
      </c>
      <c r="C479">
        <v>706</v>
      </c>
      <c r="D479">
        <v>2</v>
      </c>
      <c r="E479" t="s">
        <v>24</v>
      </c>
      <c r="F479" t="s">
        <v>39</v>
      </c>
      <c r="G479" t="str">
        <f>"2026-05-13 13:32:04.005"</f>
        <v>2026-05-13 13:32:04.005</v>
      </c>
      <c r="H479" t="s">
        <v>26</v>
      </c>
      <c r="I479">
        <v>0</v>
      </c>
      <c r="J479" t="s">
        <v>27</v>
      </c>
    </row>
    <row r="480" spans="1:10" x14ac:dyDescent="0.25">
      <c r="A480" s="1">
        <v>82</v>
      </c>
      <c r="B480" t="s">
        <v>19</v>
      </c>
      <c r="C480">
        <v>49</v>
      </c>
      <c r="D480">
        <v>1</v>
      </c>
      <c r="E480" t="s">
        <v>34</v>
      </c>
      <c r="F480" t="s">
        <v>35</v>
      </c>
      <c r="G480" t="str">
        <f>"2026-05-13 13:08:48.166"</f>
        <v>2026-05-13 13:08:48.166</v>
      </c>
      <c r="H480" t="s">
        <v>36</v>
      </c>
    </row>
    <row r="481" spans="1:10" x14ac:dyDescent="0.25">
      <c r="A481" s="1">
        <v>84</v>
      </c>
      <c r="B481" t="s">
        <v>38</v>
      </c>
      <c r="C481">
        <v>49</v>
      </c>
      <c r="D481">
        <v>1</v>
      </c>
      <c r="E481" t="s">
        <v>34</v>
      </c>
      <c r="F481" t="s">
        <v>35</v>
      </c>
      <c r="G481" t="str">
        <f>"2026-05-13 12:42:37.766"</f>
        <v>2026-05-13 12:42:37.766</v>
      </c>
      <c r="H481" t="s">
        <v>36</v>
      </c>
      <c r="I481">
        <v>0</v>
      </c>
      <c r="J481" t="s">
        <v>27</v>
      </c>
    </row>
    <row r="482" spans="1:10" x14ac:dyDescent="0.25">
      <c r="A482" s="1">
        <v>86</v>
      </c>
      <c r="B482" t="s">
        <v>28</v>
      </c>
      <c r="C482">
        <v>47</v>
      </c>
      <c r="D482">
        <v>2</v>
      </c>
      <c r="E482" t="s">
        <v>76</v>
      </c>
      <c r="F482" t="s">
        <v>77</v>
      </c>
      <c r="G482" t="str">
        <f>"2026-05-13 12:41:28.965"</f>
        <v>2026-05-13 12:41:28.965</v>
      </c>
      <c r="H482" t="s">
        <v>78</v>
      </c>
      <c r="I482">
        <v>0</v>
      </c>
      <c r="J482" t="s">
        <v>31</v>
      </c>
    </row>
    <row r="483" spans="1:10" x14ac:dyDescent="0.25">
      <c r="A483" s="1">
        <v>87</v>
      </c>
      <c r="B483" t="s">
        <v>23</v>
      </c>
      <c r="C483">
        <v>706</v>
      </c>
      <c r="D483">
        <v>4</v>
      </c>
      <c r="E483" t="s">
        <v>24</v>
      </c>
      <c r="F483" t="s">
        <v>25</v>
      </c>
      <c r="G483" t="str">
        <f>"2026-05-12 13:49:48.855"</f>
        <v>2026-05-12 13:49:48.855</v>
      </c>
      <c r="H483" t="s">
        <v>26</v>
      </c>
      <c r="I483">
        <v>0</v>
      </c>
      <c r="J483" t="s">
        <v>27</v>
      </c>
    </row>
    <row r="484" spans="1:10" x14ac:dyDescent="0.25">
      <c r="A484" s="1">
        <v>88</v>
      </c>
      <c r="B484" t="s">
        <v>19</v>
      </c>
      <c r="C484">
        <v>49</v>
      </c>
      <c r="D484">
        <v>1</v>
      </c>
      <c r="E484" t="s">
        <v>34</v>
      </c>
      <c r="F484" t="s">
        <v>35</v>
      </c>
      <c r="G484" t="str">
        <f>"2026-05-12 13:27:55.066"</f>
        <v>2026-05-12 13:27:55.066</v>
      </c>
      <c r="H484" t="s">
        <v>36</v>
      </c>
    </row>
    <row r="485" spans="1:10" x14ac:dyDescent="0.25">
      <c r="A485" s="1">
        <v>90</v>
      </c>
      <c r="B485" t="s">
        <v>38</v>
      </c>
      <c r="C485">
        <v>49</v>
      </c>
      <c r="D485">
        <v>1</v>
      </c>
      <c r="E485" t="s">
        <v>34</v>
      </c>
      <c r="F485" t="s">
        <v>35</v>
      </c>
      <c r="G485" t="str">
        <f>"2026-05-12 13:22:15.966"</f>
        <v>2026-05-12 13:22:15.966</v>
      </c>
      <c r="H485" t="s">
        <v>36</v>
      </c>
      <c r="I485">
        <v>0</v>
      </c>
      <c r="J485" t="s">
        <v>27</v>
      </c>
    </row>
    <row r="486" spans="1:10" x14ac:dyDescent="0.25">
      <c r="A486" s="1">
        <v>92</v>
      </c>
      <c r="B486" t="s">
        <v>30</v>
      </c>
      <c r="C486">
        <v>47</v>
      </c>
      <c r="D486">
        <v>2</v>
      </c>
      <c r="E486" t="s">
        <v>76</v>
      </c>
      <c r="F486" t="s">
        <v>77</v>
      </c>
      <c r="G486" t="str">
        <f>"2026-05-11 08:20:46.665"</f>
        <v>2026-05-11 08:20:46.665</v>
      </c>
      <c r="H486" t="s">
        <v>78</v>
      </c>
    </row>
    <row r="487" spans="1:10" x14ac:dyDescent="0.25">
      <c r="A487" s="1">
        <v>93</v>
      </c>
      <c r="B487" t="s">
        <v>23</v>
      </c>
      <c r="C487">
        <v>706</v>
      </c>
      <c r="D487">
        <v>4</v>
      </c>
      <c r="E487" t="s">
        <v>24</v>
      </c>
      <c r="F487" t="s">
        <v>25</v>
      </c>
      <c r="G487" t="str">
        <f>"2026-05-11 08:20:44.495"</f>
        <v>2026-05-11 08:20:44.495</v>
      </c>
      <c r="H487" t="s">
        <v>26</v>
      </c>
      <c r="I487">
        <v>0</v>
      </c>
      <c r="J487" t="s">
        <v>27</v>
      </c>
    </row>
    <row r="488" spans="1:10" x14ac:dyDescent="0.25">
      <c r="A488" s="1">
        <v>94</v>
      </c>
      <c r="B488" t="s">
        <v>19</v>
      </c>
      <c r="C488">
        <v>49</v>
      </c>
      <c r="D488">
        <v>1</v>
      </c>
      <c r="E488" t="s">
        <v>34</v>
      </c>
      <c r="F488" t="s">
        <v>35</v>
      </c>
      <c r="G488" t="str">
        <f>"2026-05-11 08:19:01.465"</f>
        <v>2026-05-11 08:19:01.465</v>
      </c>
      <c r="H488" t="s">
        <v>36</v>
      </c>
    </row>
    <row r="489" spans="1:10" x14ac:dyDescent="0.25">
      <c r="A489" s="1">
        <v>96</v>
      </c>
      <c r="B489" t="s">
        <v>38</v>
      </c>
      <c r="C489">
        <v>49</v>
      </c>
      <c r="D489">
        <v>1</v>
      </c>
      <c r="E489" t="s">
        <v>34</v>
      </c>
      <c r="F489" t="s">
        <v>35</v>
      </c>
      <c r="G489" t="str">
        <f>"2026-05-11 08:02:50.566"</f>
        <v>2026-05-11 08:02:50.566</v>
      </c>
      <c r="H489" t="s">
        <v>36</v>
      </c>
      <c r="I489">
        <v>0</v>
      </c>
      <c r="J489" t="s">
        <v>27</v>
      </c>
    </row>
    <row r="490" spans="1:10" x14ac:dyDescent="0.25">
      <c r="A490" s="1">
        <v>98</v>
      </c>
      <c r="B490" t="s">
        <v>28</v>
      </c>
      <c r="C490">
        <v>47</v>
      </c>
      <c r="D490">
        <v>2</v>
      </c>
      <c r="E490" t="s">
        <v>76</v>
      </c>
      <c r="F490" t="s">
        <v>77</v>
      </c>
      <c r="G490" t="str">
        <f>"2026-05-11 08:01:41.765"</f>
        <v>2026-05-11 08:01:41.765</v>
      </c>
      <c r="H490" t="s">
        <v>78</v>
      </c>
      <c r="I490">
        <v>0</v>
      </c>
      <c r="J490" t="s">
        <v>31</v>
      </c>
    </row>
    <row r="491" spans="1:10" x14ac:dyDescent="0.25">
      <c r="A491" s="1">
        <v>0</v>
      </c>
      <c r="B491" t="s">
        <v>23</v>
      </c>
      <c r="C491">
        <v>700</v>
      </c>
      <c r="D491">
        <v>0</v>
      </c>
      <c r="E491" t="s">
        <v>37</v>
      </c>
      <c r="F491" t="s">
        <v>37</v>
      </c>
      <c r="G491" t="str">
        <f>"2026-05-11 05:49:11.785"</f>
        <v>2026-05-11 05:49:11.785</v>
      </c>
      <c r="H491" t="s">
        <v>26</v>
      </c>
    </row>
    <row r="492" spans="1:10" x14ac:dyDescent="0.25">
      <c r="A492" s="1">
        <v>2</v>
      </c>
      <c r="B492" t="s">
        <v>28</v>
      </c>
      <c r="C492">
        <v>47</v>
      </c>
      <c r="D492">
        <v>2</v>
      </c>
      <c r="E492" t="s">
        <v>76</v>
      </c>
      <c r="F492" t="s">
        <v>77</v>
      </c>
      <c r="G492" t="str">
        <f>"2026-05-11 02:24:20.372"</f>
        <v>2026-05-11 02:24:20.372</v>
      </c>
      <c r="H492" t="s">
        <v>78</v>
      </c>
      <c r="I492">
        <v>0</v>
      </c>
      <c r="J492" t="s">
        <v>31</v>
      </c>
    </row>
    <row r="493" spans="1:10" x14ac:dyDescent="0.25">
      <c r="A493" s="1">
        <v>4</v>
      </c>
      <c r="B493" t="s">
        <v>23</v>
      </c>
      <c r="C493">
        <v>700</v>
      </c>
      <c r="D493">
        <v>0</v>
      </c>
      <c r="E493" t="s">
        <v>37</v>
      </c>
      <c r="F493" t="s">
        <v>37</v>
      </c>
      <c r="G493" t="str">
        <f>"2026-05-11 02:19:59.792"</f>
        <v>2026-05-11 02:19:59.792</v>
      </c>
      <c r="H493" t="s">
        <v>26</v>
      </c>
      <c r="I493">
        <v>0</v>
      </c>
      <c r="J493" t="s">
        <v>43</v>
      </c>
    </row>
    <row r="494" spans="1:10" x14ac:dyDescent="0.25">
      <c r="A494" s="1">
        <v>6</v>
      </c>
      <c r="B494" t="s">
        <v>28</v>
      </c>
      <c r="C494">
        <v>47</v>
      </c>
      <c r="D494">
        <v>2</v>
      </c>
      <c r="E494" t="s">
        <v>76</v>
      </c>
      <c r="F494" t="s">
        <v>77</v>
      </c>
      <c r="G494" t="str">
        <f>"2026-05-11 00:32:50.100"</f>
        <v>2026-05-11 00:32:50.100</v>
      </c>
      <c r="H494" t="s">
        <v>78</v>
      </c>
      <c r="I494">
        <v>0</v>
      </c>
      <c r="J494" t="s">
        <v>31</v>
      </c>
    </row>
    <row r="495" spans="1:10" x14ac:dyDescent="0.25">
      <c r="A495" s="1">
        <v>8</v>
      </c>
      <c r="B495" t="s">
        <v>23</v>
      </c>
      <c r="C495">
        <v>700</v>
      </c>
      <c r="D495">
        <v>0</v>
      </c>
      <c r="E495" t="s">
        <v>37</v>
      </c>
      <c r="F495" t="s">
        <v>37</v>
      </c>
      <c r="G495" t="str">
        <f>"2026-05-10 23:28:48.800"</f>
        <v>2026-05-10 23:28:48.800</v>
      </c>
      <c r="H495" t="s">
        <v>26</v>
      </c>
      <c r="I495">
        <v>0</v>
      </c>
      <c r="J495" t="s">
        <v>43</v>
      </c>
    </row>
    <row r="496" spans="1:10" x14ac:dyDescent="0.25">
      <c r="A496" s="1">
        <v>10</v>
      </c>
      <c r="B496" t="s">
        <v>23</v>
      </c>
      <c r="C496">
        <v>706</v>
      </c>
      <c r="D496">
        <v>2</v>
      </c>
      <c r="E496" t="s">
        <v>24</v>
      </c>
      <c r="F496" t="s">
        <v>39</v>
      </c>
      <c r="G496" t="str">
        <f>"2026-05-10 23:08:56.410"</f>
        <v>2026-05-10 23:08:56.410</v>
      </c>
      <c r="H496" t="s">
        <v>26</v>
      </c>
      <c r="I496">
        <v>0</v>
      </c>
      <c r="J496" t="s">
        <v>27</v>
      </c>
    </row>
    <row r="497" spans="1:10" x14ac:dyDescent="0.25">
      <c r="A497" s="1">
        <v>12</v>
      </c>
      <c r="B497" t="s">
        <v>23</v>
      </c>
      <c r="C497">
        <v>700</v>
      </c>
      <c r="D497">
        <v>0</v>
      </c>
      <c r="E497" t="s">
        <v>37</v>
      </c>
      <c r="F497" t="s">
        <v>37</v>
      </c>
      <c r="G497" t="str">
        <f>"2026-05-10 23:01:55.790"</f>
        <v>2026-05-10 23:01:55.790</v>
      </c>
      <c r="H497" t="s">
        <v>26</v>
      </c>
      <c r="I497">
        <v>0</v>
      </c>
      <c r="J497" t="s">
        <v>43</v>
      </c>
    </row>
    <row r="498" spans="1:10" x14ac:dyDescent="0.25">
      <c r="A498" s="1">
        <v>14</v>
      </c>
      <c r="B498" t="s">
        <v>30</v>
      </c>
      <c r="C498">
        <v>47</v>
      </c>
      <c r="D498">
        <v>2</v>
      </c>
      <c r="E498" t="s">
        <v>76</v>
      </c>
      <c r="F498" t="s">
        <v>77</v>
      </c>
      <c r="G498" t="str">
        <f>"2026-05-10 16:17:03.172"</f>
        <v>2026-05-10 16:17:03.172</v>
      </c>
      <c r="H498" t="s">
        <v>78</v>
      </c>
    </row>
    <row r="499" spans="1:10" x14ac:dyDescent="0.25">
      <c r="A499" s="1">
        <v>15</v>
      </c>
      <c r="B499" t="s">
        <v>23</v>
      </c>
      <c r="C499">
        <v>706</v>
      </c>
      <c r="D499">
        <v>4</v>
      </c>
      <c r="E499" t="s">
        <v>24</v>
      </c>
      <c r="F499" t="s">
        <v>25</v>
      </c>
      <c r="G499" t="str">
        <f>"2026-05-10 16:17:00.208"</f>
        <v>2026-05-10 16:17:00.208</v>
      </c>
      <c r="H499" t="s">
        <v>26</v>
      </c>
      <c r="I499">
        <v>0</v>
      </c>
      <c r="J499" t="s">
        <v>27</v>
      </c>
    </row>
    <row r="500" spans="1:10" x14ac:dyDescent="0.25">
      <c r="A500" s="1">
        <v>16</v>
      </c>
      <c r="B500" t="s">
        <v>19</v>
      </c>
      <c r="C500">
        <v>49</v>
      </c>
      <c r="D500">
        <v>1</v>
      </c>
      <c r="E500" t="s">
        <v>34</v>
      </c>
      <c r="F500" t="s">
        <v>35</v>
      </c>
      <c r="G500" t="str">
        <f>"2026-05-10 16:16:51.472"</f>
        <v>2026-05-10 16:16:51.472</v>
      </c>
      <c r="H500" t="s">
        <v>36</v>
      </c>
    </row>
    <row r="501" spans="1:10" x14ac:dyDescent="0.25">
      <c r="A501" s="1">
        <v>18</v>
      </c>
      <c r="B501" t="s">
        <v>38</v>
      </c>
      <c r="C501">
        <v>49</v>
      </c>
      <c r="D501">
        <v>1</v>
      </c>
      <c r="E501" t="s">
        <v>34</v>
      </c>
      <c r="F501" t="s">
        <v>35</v>
      </c>
      <c r="G501" t="str">
        <f>"2026-05-10 15:46:43.172"</f>
        <v>2026-05-10 15:46:43.172</v>
      </c>
      <c r="H501" t="s">
        <v>36</v>
      </c>
      <c r="I501">
        <v>0</v>
      </c>
      <c r="J501" t="s">
        <v>27</v>
      </c>
    </row>
    <row r="502" spans="1:10" x14ac:dyDescent="0.25">
      <c r="A502" s="1">
        <v>20</v>
      </c>
      <c r="B502" t="s">
        <v>28</v>
      </c>
      <c r="C502">
        <v>47</v>
      </c>
      <c r="D502">
        <v>2</v>
      </c>
      <c r="E502" t="s">
        <v>76</v>
      </c>
      <c r="F502" t="s">
        <v>77</v>
      </c>
      <c r="G502" t="str">
        <f>"2026-05-10 15:45:34.472"</f>
        <v>2026-05-10 15:45:34.472</v>
      </c>
      <c r="H502" t="s">
        <v>78</v>
      </c>
      <c r="I502">
        <v>0</v>
      </c>
      <c r="J502" t="s">
        <v>31</v>
      </c>
    </row>
    <row r="503" spans="1:10" x14ac:dyDescent="0.25">
      <c r="A503" s="1">
        <v>21</v>
      </c>
      <c r="B503" t="s">
        <v>19</v>
      </c>
      <c r="C503">
        <v>49</v>
      </c>
      <c r="D503">
        <v>1</v>
      </c>
      <c r="E503" t="s">
        <v>34</v>
      </c>
      <c r="F503" t="s">
        <v>35</v>
      </c>
      <c r="G503" t="str">
        <f>"2026-05-10 08:13:54.572"</f>
        <v>2026-05-10 08:13:54.572</v>
      </c>
      <c r="H503" t="s">
        <v>36</v>
      </c>
    </row>
    <row r="504" spans="1:10" x14ac:dyDescent="0.25">
      <c r="A504" s="1">
        <v>22</v>
      </c>
      <c r="B504" t="s">
        <v>23</v>
      </c>
      <c r="C504">
        <v>706</v>
      </c>
      <c r="D504">
        <v>2</v>
      </c>
      <c r="E504" t="s">
        <v>24</v>
      </c>
      <c r="F504" t="s">
        <v>39</v>
      </c>
      <c r="G504" t="str">
        <f>"2026-05-10 08:13:49.078"</f>
        <v>2026-05-10 08:13:49.078</v>
      </c>
      <c r="H504" t="s">
        <v>26</v>
      </c>
      <c r="I504">
        <v>0</v>
      </c>
      <c r="J504" t="s">
        <v>27</v>
      </c>
    </row>
    <row r="505" spans="1:10" x14ac:dyDescent="0.25">
      <c r="A505" s="1">
        <v>24</v>
      </c>
      <c r="B505" t="s">
        <v>38</v>
      </c>
      <c r="C505">
        <v>49</v>
      </c>
      <c r="D505">
        <v>1</v>
      </c>
      <c r="E505" t="s">
        <v>34</v>
      </c>
      <c r="F505" t="s">
        <v>35</v>
      </c>
      <c r="G505" t="str">
        <f>"2026-05-10 07:45:55.672"</f>
        <v>2026-05-10 07:45:55.672</v>
      </c>
      <c r="H505" t="s">
        <v>36</v>
      </c>
      <c r="I505">
        <v>0</v>
      </c>
      <c r="J505" t="s">
        <v>27</v>
      </c>
    </row>
    <row r="506" spans="1:10" x14ac:dyDescent="0.25">
      <c r="A506" s="1">
        <v>26</v>
      </c>
      <c r="B506" t="s">
        <v>19</v>
      </c>
      <c r="C506">
        <v>49</v>
      </c>
      <c r="D506">
        <v>1</v>
      </c>
      <c r="E506" t="s">
        <v>34</v>
      </c>
      <c r="F506" t="s">
        <v>35</v>
      </c>
      <c r="G506" t="str">
        <f>"2026-05-09 13:42:03.672"</f>
        <v>2026-05-09 13:42:03.672</v>
      </c>
      <c r="H506" t="s">
        <v>36</v>
      </c>
    </row>
    <row r="507" spans="1:10" x14ac:dyDescent="0.25">
      <c r="A507" s="1">
        <v>27</v>
      </c>
      <c r="B507" t="s">
        <v>30</v>
      </c>
      <c r="C507">
        <v>47</v>
      </c>
      <c r="D507">
        <v>2</v>
      </c>
      <c r="E507" t="s">
        <v>76</v>
      </c>
      <c r="F507" t="s">
        <v>77</v>
      </c>
      <c r="G507" t="str">
        <f>"2026-05-09 13:42:00.572"</f>
        <v>2026-05-09 13:42:00.572</v>
      </c>
      <c r="H507" t="s">
        <v>78</v>
      </c>
    </row>
    <row r="508" spans="1:10" x14ac:dyDescent="0.25">
      <c r="A508" s="1">
        <v>28</v>
      </c>
      <c r="B508" t="s">
        <v>23</v>
      </c>
      <c r="C508">
        <v>706</v>
      </c>
      <c r="D508">
        <v>4</v>
      </c>
      <c r="E508" t="s">
        <v>24</v>
      </c>
      <c r="F508" t="s">
        <v>25</v>
      </c>
      <c r="G508" t="str">
        <f>"2026-05-09 13:41:57.388"</f>
        <v>2026-05-09 13:41:57.388</v>
      </c>
      <c r="H508" t="s">
        <v>26</v>
      </c>
      <c r="I508">
        <v>0</v>
      </c>
      <c r="J508" t="s">
        <v>27</v>
      </c>
    </row>
    <row r="509" spans="1:10" x14ac:dyDescent="0.25">
      <c r="A509" s="1">
        <v>30</v>
      </c>
      <c r="B509" t="s">
        <v>38</v>
      </c>
      <c r="C509">
        <v>49</v>
      </c>
      <c r="D509">
        <v>1</v>
      </c>
      <c r="E509" t="s">
        <v>34</v>
      </c>
      <c r="F509" t="s">
        <v>35</v>
      </c>
      <c r="G509" t="str">
        <f>"2026-05-09 13:16:10.972"</f>
        <v>2026-05-09 13:16:10.972</v>
      </c>
      <c r="H509" t="s">
        <v>36</v>
      </c>
      <c r="I509">
        <v>0</v>
      </c>
      <c r="J509" t="s">
        <v>27</v>
      </c>
    </row>
    <row r="510" spans="1:10" x14ac:dyDescent="0.25">
      <c r="A510" s="1">
        <v>32</v>
      </c>
      <c r="B510" t="s">
        <v>28</v>
      </c>
      <c r="C510">
        <v>47</v>
      </c>
      <c r="D510">
        <v>2</v>
      </c>
      <c r="E510" t="s">
        <v>76</v>
      </c>
      <c r="F510" t="s">
        <v>77</v>
      </c>
      <c r="G510" t="str">
        <f>"2026-05-09 13:15:02.372"</f>
        <v>2026-05-09 13:15:02.372</v>
      </c>
      <c r="H510" t="s">
        <v>78</v>
      </c>
      <c r="I510">
        <v>0</v>
      </c>
      <c r="J510" t="s">
        <v>31</v>
      </c>
    </row>
    <row r="511" spans="1:10" x14ac:dyDescent="0.25">
      <c r="A511" s="1">
        <v>33</v>
      </c>
      <c r="B511" t="s">
        <v>19</v>
      </c>
      <c r="C511">
        <v>49</v>
      </c>
      <c r="D511">
        <v>1</v>
      </c>
      <c r="E511" t="s">
        <v>34</v>
      </c>
      <c r="F511" t="s">
        <v>35</v>
      </c>
      <c r="G511" t="str">
        <f>"2026-05-08 15:39:31.072"</f>
        <v>2026-05-08 15:39:31.072</v>
      </c>
      <c r="H511" t="s">
        <v>36</v>
      </c>
    </row>
    <row r="512" spans="1:10" x14ac:dyDescent="0.25">
      <c r="A512" s="1">
        <v>34</v>
      </c>
      <c r="B512" t="s">
        <v>30</v>
      </c>
      <c r="C512">
        <v>47</v>
      </c>
      <c r="D512">
        <v>2</v>
      </c>
      <c r="E512" t="s">
        <v>76</v>
      </c>
      <c r="F512" t="s">
        <v>77</v>
      </c>
      <c r="G512" t="str">
        <f>"2026-05-08 15:39:26.272"</f>
        <v>2026-05-08 15:39:26.272</v>
      </c>
      <c r="H512" t="s">
        <v>78</v>
      </c>
    </row>
    <row r="513" spans="1:10" x14ac:dyDescent="0.25">
      <c r="A513" s="1">
        <v>35</v>
      </c>
      <c r="B513" t="s">
        <v>23</v>
      </c>
      <c r="C513">
        <v>706</v>
      </c>
      <c r="D513">
        <v>2</v>
      </c>
      <c r="E513" t="s">
        <v>24</v>
      </c>
      <c r="F513" t="s">
        <v>39</v>
      </c>
      <c r="G513" t="str">
        <f>"2026-05-08 15:39:24.178"</f>
        <v>2026-05-08 15:39:24.178</v>
      </c>
      <c r="H513" t="s">
        <v>26</v>
      </c>
      <c r="I513">
        <v>0</v>
      </c>
      <c r="J513" t="s">
        <v>27</v>
      </c>
    </row>
    <row r="514" spans="1:10" x14ac:dyDescent="0.25">
      <c r="A514" s="1">
        <v>37</v>
      </c>
      <c r="B514" t="s">
        <v>38</v>
      </c>
      <c r="C514">
        <v>49</v>
      </c>
      <c r="D514">
        <v>1</v>
      </c>
      <c r="E514" t="s">
        <v>34</v>
      </c>
      <c r="F514" t="s">
        <v>35</v>
      </c>
      <c r="G514" t="str">
        <f>"2026-05-08 15:24:55.572"</f>
        <v>2026-05-08 15:24:55.572</v>
      </c>
      <c r="H514" t="s">
        <v>36</v>
      </c>
      <c r="I514">
        <v>0</v>
      </c>
      <c r="J514" t="s">
        <v>27</v>
      </c>
    </row>
    <row r="515" spans="1:10" x14ac:dyDescent="0.25">
      <c r="A515" s="1">
        <v>39</v>
      </c>
      <c r="B515" t="s">
        <v>28</v>
      </c>
      <c r="C515">
        <v>47</v>
      </c>
      <c r="D515">
        <v>2</v>
      </c>
      <c r="E515" t="s">
        <v>76</v>
      </c>
      <c r="F515" t="s">
        <v>77</v>
      </c>
      <c r="G515" t="str">
        <f>"2026-05-08 15:23:46.372"</f>
        <v>2026-05-08 15:23:46.372</v>
      </c>
      <c r="H515" t="s">
        <v>78</v>
      </c>
      <c r="I515">
        <v>0</v>
      </c>
      <c r="J515" t="s">
        <v>31</v>
      </c>
    </row>
    <row r="516" spans="1:10" x14ac:dyDescent="0.25">
      <c r="A516" s="1">
        <v>40</v>
      </c>
      <c r="B516" t="s">
        <v>19</v>
      </c>
      <c r="C516">
        <v>49</v>
      </c>
      <c r="D516">
        <v>1</v>
      </c>
      <c r="E516" t="s">
        <v>34</v>
      </c>
      <c r="F516" t="s">
        <v>35</v>
      </c>
      <c r="G516" t="str">
        <f>"2026-05-08 13:30:39.172"</f>
        <v>2026-05-08 13:30:39.172</v>
      </c>
      <c r="H516" t="s">
        <v>36</v>
      </c>
    </row>
    <row r="517" spans="1:10" x14ac:dyDescent="0.25">
      <c r="A517" s="1">
        <v>41</v>
      </c>
      <c r="B517" t="s">
        <v>23</v>
      </c>
      <c r="C517">
        <v>706</v>
      </c>
      <c r="D517">
        <v>2</v>
      </c>
      <c r="E517" t="s">
        <v>24</v>
      </c>
      <c r="F517" t="s">
        <v>39</v>
      </c>
      <c r="G517" t="str">
        <f>"2026-05-08 13:30:31.878"</f>
        <v>2026-05-08 13:30:31.878</v>
      </c>
      <c r="H517" t="s">
        <v>26</v>
      </c>
      <c r="I517">
        <v>0</v>
      </c>
      <c r="J517" t="s">
        <v>27</v>
      </c>
    </row>
    <row r="518" spans="1:10" x14ac:dyDescent="0.25">
      <c r="A518" s="1">
        <v>43</v>
      </c>
      <c r="B518" t="s">
        <v>38</v>
      </c>
      <c r="C518">
        <v>49</v>
      </c>
      <c r="D518">
        <v>1</v>
      </c>
      <c r="E518" t="s">
        <v>34</v>
      </c>
      <c r="F518" t="s">
        <v>35</v>
      </c>
      <c r="G518" t="str">
        <f>"2026-05-08 13:18:19.572"</f>
        <v>2026-05-08 13:18:19.572</v>
      </c>
      <c r="H518" t="s">
        <v>36</v>
      </c>
      <c r="I518">
        <v>0</v>
      </c>
      <c r="J518" t="s">
        <v>27</v>
      </c>
    </row>
    <row r="519" spans="1:10" x14ac:dyDescent="0.25">
      <c r="A519" s="1">
        <v>45</v>
      </c>
      <c r="B519" t="s">
        <v>19</v>
      </c>
      <c r="C519">
        <v>49</v>
      </c>
      <c r="D519">
        <v>1</v>
      </c>
      <c r="E519" t="s">
        <v>34</v>
      </c>
      <c r="F519" t="s">
        <v>35</v>
      </c>
      <c r="G519" t="str">
        <f>"2026-05-07 13:56:36.672"</f>
        <v>2026-05-07 13:56:36.672</v>
      </c>
      <c r="H519" t="s">
        <v>36</v>
      </c>
    </row>
    <row r="520" spans="1:10" x14ac:dyDescent="0.25">
      <c r="A520" s="1">
        <v>46</v>
      </c>
      <c r="B520" t="s">
        <v>30</v>
      </c>
      <c r="C520">
        <v>47</v>
      </c>
      <c r="D520">
        <v>2</v>
      </c>
      <c r="E520" t="s">
        <v>76</v>
      </c>
      <c r="F520" t="s">
        <v>77</v>
      </c>
      <c r="G520" t="str">
        <f>"2026-05-07 13:56:36.272"</f>
        <v>2026-05-07 13:56:36.272</v>
      </c>
      <c r="H520" t="s">
        <v>78</v>
      </c>
    </row>
    <row r="521" spans="1:10" x14ac:dyDescent="0.25">
      <c r="A521" s="1">
        <v>47</v>
      </c>
      <c r="B521" t="s">
        <v>23</v>
      </c>
      <c r="C521">
        <v>706</v>
      </c>
      <c r="D521">
        <v>4</v>
      </c>
      <c r="E521" t="s">
        <v>24</v>
      </c>
      <c r="F521" t="s">
        <v>25</v>
      </c>
      <c r="G521" t="str">
        <f>"2026-05-07 13:56:32.578"</f>
        <v>2026-05-07 13:56:32.578</v>
      </c>
      <c r="H521" t="s">
        <v>26</v>
      </c>
      <c r="I521">
        <v>0</v>
      </c>
      <c r="J521" t="s">
        <v>27</v>
      </c>
    </row>
    <row r="522" spans="1:10" x14ac:dyDescent="0.25">
      <c r="A522" s="1">
        <v>49</v>
      </c>
      <c r="B522" t="s">
        <v>38</v>
      </c>
      <c r="C522">
        <v>49</v>
      </c>
      <c r="D522">
        <v>1</v>
      </c>
      <c r="E522" t="s">
        <v>34</v>
      </c>
      <c r="F522" t="s">
        <v>35</v>
      </c>
      <c r="G522" t="str">
        <f>"2026-05-07 13:32:12.872"</f>
        <v>2026-05-07 13:32:12.872</v>
      </c>
      <c r="H522" t="s">
        <v>36</v>
      </c>
      <c r="I522">
        <v>0</v>
      </c>
      <c r="J522" t="s">
        <v>27</v>
      </c>
    </row>
    <row r="523" spans="1:10" x14ac:dyDescent="0.25">
      <c r="A523" s="1">
        <v>51</v>
      </c>
      <c r="B523" t="s">
        <v>28</v>
      </c>
      <c r="C523">
        <v>47</v>
      </c>
      <c r="D523">
        <v>2</v>
      </c>
      <c r="E523" t="s">
        <v>76</v>
      </c>
      <c r="F523" t="s">
        <v>77</v>
      </c>
      <c r="G523" t="str">
        <f>"2026-05-07 13:31:04.072"</f>
        <v>2026-05-07 13:31:04.072</v>
      </c>
      <c r="H523" t="s">
        <v>78</v>
      </c>
      <c r="I523">
        <v>0</v>
      </c>
      <c r="J523" t="s">
        <v>31</v>
      </c>
    </row>
    <row r="524" spans="1:10" x14ac:dyDescent="0.25">
      <c r="A524" s="1">
        <v>52</v>
      </c>
      <c r="B524" t="s">
        <v>19</v>
      </c>
      <c r="C524">
        <v>49</v>
      </c>
      <c r="D524">
        <v>1</v>
      </c>
      <c r="E524" t="s">
        <v>34</v>
      </c>
      <c r="F524" t="s">
        <v>35</v>
      </c>
      <c r="G524" t="str">
        <f>"2026-05-07 08:26:09.172"</f>
        <v>2026-05-07 08:26:09.172</v>
      </c>
      <c r="H524" t="s">
        <v>36</v>
      </c>
    </row>
    <row r="525" spans="1:10" x14ac:dyDescent="0.25">
      <c r="A525" s="1">
        <v>53</v>
      </c>
      <c r="B525" t="s">
        <v>30</v>
      </c>
      <c r="C525">
        <v>47</v>
      </c>
      <c r="D525">
        <v>2</v>
      </c>
      <c r="E525" t="s">
        <v>76</v>
      </c>
      <c r="F525" t="s">
        <v>77</v>
      </c>
      <c r="G525" t="str">
        <f>"2026-05-07 08:26:04.272"</f>
        <v>2026-05-07 08:26:04.272</v>
      </c>
      <c r="H525" t="s">
        <v>78</v>
      </c>
    </row>
    <row r="526" spans="1:10" x14ac:dyDescent="0.25">
      <c r="A526" s="1">
        <v>54</v>
      </c>
      <c r="B526" t="s">
        <v>23</v>
      </c>
      <c r="C526">
        <v>706</v>
      </c>
      <c r="D526">
        <v>4</v>
      </c>
      <c r="E526" t="s">
        <v>24</v>
      </c>
      <c r="F526" t="s">
        <v>25</v>
      </c>
      <c r="G526" t="str">
        <f>"2026-05-07 08:26:02.268"</f>
        <v>2026-05-07 08:26:02.268</v>
      </c>
      <c r="H526" t="s">
        <v>26</v>
      </c>
      <c r="I526">
        <v>0</v>
      </c>
      <c r="J526" t="s">
        <v>27</v>
      </c>
    </row>
    <row r="527" spans="1:10" x14ac:dyDescent="0.25">
      <c r="A527" s="1">
        <v>56</v>
      </c>
      <c r="B527" t="s">
        <v>38</v>
      </c>
      <c r="C527">
        <v>49</v>
      </c>
      <c r="D527">
        <v>1</v>
      </c>
      <c r="E527" t="s">
        <v>34</v>
      </c>
      <c r="F527" t="s">
        <v>35</v>
      </c>
      <c r="G527" t="str">
        <f>"2026-05-07 08:16:40.272"</f>
        <v>2026-05-07 08:16:40.272</v>
      </c>
      <c r="H527" t="s">
        <v>36</v>
      </c>
      <c r="I527">
        <v>0</v>
      </c>
      <c r="J527" t="s">
        <v>27</v>
      </c>
    </row>
    <row r="528" spans="1:10" x14ac:dyDescent="0.25">
      <c r="A528" s="1">
        <v>58</v>
      </c>
      <c r="B528" t="s">
        <v>28</v>
      </c>
      <c r="C528">
        <v>47</v>
      </c>
      <c r="D528">
        <v>2</v>
      </c>
      <c r="E528" t="s">
        <v>76</v>
      </c>
      <c r="F528" t="s">
        <v>77</v>
      </c>
      <c r="G528" t="str">
        <f>"2026-05-07 08:15:31.072"</f>
        <v>2026-05-07 08:15:31.072</v>
      </c>
      <c r="H528" t="s">
        <v>78</v>
      </c>
      <c r="I528">
        <v>0</v>
      </c>
      <c r="J528" t="s">
        <v>31</v>
      </c>
    </row>
    <row r="529" spans="1:10" x14ac:dyDescent="0.25">
      <c r="A529" s="1">
        <v>59</v>
      </c>
      <c r="B529" t="s">
        <v>30</v>
      </c>
      <c r="C529">
        <v>47</v>
      </c>
      <c r="D529">
        <v>2</v>
      </c>
      <c r="E529" t="s">
        <v>76</v>
      </c>
      <c r="F529" t="s">
        <v>77</v>
      </c>
      <c r="G529" t="str">
        <f>"2026-05-06 13:04:21.472"</f>
        <v>2026-05-06 13:04:21.472</v>
      </c>
      <c r="H529" t="s">
        <v>78</v>
      </c>
    </row>
    <row r="530" spans="1:10" x14ac:dyDescent="0.25">
      <c r="A530" s="1">
        <v>60</v>
      </c>
      <c r="B530" t="s">
        <v>19</v>
      </c>
      <c r="C530">
        <v>49</v>
      </c>
      <c r="D530">
        <v>1</v>
      </c>
      <c r="E530" t="s">
        <v>34</v>
      </c>
      <c r="F530" t="s">
        <v>35</v>
      </c>
      <c r="G530" t="str">
        <f>"2026-05-06 13:04:18.372"</f>
        <v>2026-05-06 13:04:18.372</v>
      </c>
      <c r="H530" t="s">
        <v>36</v>
      </c>
    </row>
    <row r="531" spans="1:10" x14ac:dyDescent="0.25">
      <c r="A531" s="1">
        <v>61</v>
      </c>
      <c r="B531" t="s">
        <v>23</v>
      </c>
      <c r="C531">
        <v>706</v>
      </c>
      <c r="D531">
        <v>2</v>
      </c>
      <c r="E531" t="s">
        <v>24</v>
      </c>
      <c r="F531" t="s">
        <v>39</v>
      </c>
      <c r="G531" t="str">
        <f>"2026-05-06 13:04:17.878"</f>
        <v>2026-05-06 13:04:17.878</v>
      </c>
      <c r="H531" t="s">
        <v>26</v>
      </c>
      <c r="I531">
        <v>0</v>
      </c>
      <c r="J531" t="s">
        <v>27</v>
      </c>
    </row>
    <row r="532" spans="1:10" x14ac:dyDescent="0.25">
      <c r="A532" s="1">
        <v>63</v>
      </c>
      <c r="B532" t="s">
        <v>38</v>
      </c>
      <c r="C532">
        <v>49</v>
      </c>
      <c r="D532">
        <v>1</v>
      </c>
      <c r="E532" t="s">
        <v>34</v>
      </c>
      <c r="F532" t="s">
        <v>35</v>
      </c>
      <c r="G532" t="str">
        <f>"2026-05-06 12:29:51.772"</f>
        <v>2026-05-06 12:29:51.772</v>
      </c>
      <c r="H532" t="s">
        <v>36</v>
      </c>
      <c r="I532">
        <v>0</v>
      </c>
      <c r="J532" t="s">
        <v>27</v>
      </c>
    </row>
    <row r="533" spans="1:10" x14ac:dyDescent="0.25">
      <c r="A533" s="1">
        <v>65</v>
      </c>
      <c r="B533" t="s">
        <v>28</v>
      </c>
      <c r="C533">
        <v>47</v>
      </c>
      <c r="D533">
        <v>2</v>
      </c>
      <c r="E533" t="s">
        <v>76</v>
      </c>
      <c r="F533" t="s">
        <v>77</v>
      </c>
      <c r="G533" t="str">
        <f>"2026-05-06 12:28:42.972"</f>
        <v>2026-05-06 12:28:42.972</v>
      </c>
      <c r="H533" t="s">
        <v>78</v>
      </c>
      <c r="I533">
        <v>0</v>
      </c>
      <c r="J533" t="s">
        <v>31</v>
      </c>
    </row>
    <row r="534" spans="1:10" x14ac:dyDescent="0.25">
      <c r="A534" s="1">
        <v>66</v>
      </c>
      <c r="B534" t="s">
        <v>23</v>
      </c>
      <c r="C534">
        <v>706</v>
      </c>
      <c r="D534">
        <v>4</v>
      </c>
      <c r="E534" t="s">
        <v>24</v>
      </c>
      <c r="F534" t="s">
        <v>25</v>
      </c>
      <c r="G534" t="str">
        <f>"2026-05-06 10:04:55.468"</f>
        <v>2026-05-06 10:04:55.468</v>
      </c>
      <c r="H534" t="s">
        <v>26</v>
      </c>
      <c r="I534">
        <v>0</v>
      </c>
      <c r="J534" t="s">
        <v>27</v>
      </c>
    </row>
    <row r="535" spans="1:10" x14ac:dyDescent="0.25">
      <c r="A535" s="1">
        <v>67</v>
      </c>
      <c r="B535" t="s">
        <v>19</v>
      </c>
      <c r="C535">
        <v>49</v>
      </c>
      <c r="D535">
        <v>1</v>
      </c>
      <c r="E535" t="s">
        <v>34</v>
      </c>
      <c r="F535" t="s">
        <v>35</v>
      </c>
      <c r="G535" t="str">
        <f>"2026-05-06 10:04:51.272"</f>
        <v>2026-05-06 10:04:51.272</v>
      </c>
      <c r="H535" t="s">
        <v>36</v>
      </c>
    </row>
    <row r="536" spans="1:10" x14ac:dyDescent="0.25">
      <c r="A536" s="1">
        <v>69</v>
      </c>
      <c r="B536" t="s">
        <v>38</v>
      </c>
      <c r="C536">
        <v>49</v>
      </c>
      <c r="D536">
        <v>1</v>
      </c>
      <c r="E536" t="s">
        <v>34</v>
      </c>
      <c r="F536" t="s">
        <v>35</v>
      </c>
      <c r="G536" t="str">
        <f>"2026-05-06 09:54:43.272"</f>
        <v>2026-05-06 09:54:43.272</v>
      </c>
      <c r="H536" t="s">
        <v>36</v>
      </c>
      <c r="I536">
        <v>0</v>
      </c>
      <c r="J536" t="s">
        <v>27</v>
      </c>
    </row>
    <row r="537" spans="1:10" x14ac:dyDescent="0.25">
      <c r="A537" s="1">
        <v>71</v>
      </c>
      <c r="B537" t="s">
        <v>19</v>
      </c>
      <c r="C537">
        <v>49</v>
      </c>
      <c r="D537">
        <v>1</v>
      </c>
      <c r="E537" t="s">
        <v>34</v>
      </c>
      <c r="F537" t="s">
        <v>35</v>
      </c>
      <c r="G537" t="str">
        <f>"2026-05-05 13:16:28.672"</f>
        <v>2026-05-05 13:16:28.672</v>
      </c>
      <c r="H537" t="s">
        <v>36</v>
      </c>
    </row>
    <row r="538" spans="1:10" x14ac:dyDescent="0.25">
      <c r="A538" s="1">
        <v>72</v>
      </c>
      <c r="B538" t="s">
        <v>30</v>
      </c>
      <c r="C538">
        <v>47</v>
      </c>
      <c r="D538">
        <v>2</v>
      </c>
      <c r="E538" t="s">
        <v>76</v>
      </c>
      <c r="F538" t="s">
        <v>77</v>
      </c>
      <c r="G538" t="str">
        <f>"2026-05-05 13:16:25.772"</f>
        <v>2026-05-05 13:16:25.772</v>
      </c>
      <c r="H538" t="s">
        <v>78</v>
      </c>
    </row>
    <row r="539" spans="1:10" x14ac:dyDescent="0.25">
      <c r="A539" s="1">
        <v>73</v>
      </c>
      <c r="B539" t="s">
        <v>23</v>
      </c>
      <c r="C539">
        <v>706</v>
      </c>
      <c r="D539">
        <v>4</v>
      </c>
      <c r="E539" t="s">
        <v>24</v>
      </c>
      <c r="F539" t="s">
        <v>25</v>
      </c>
      <c r="G539" t="str">
        <f>"2026-05-05 13:16:23.628"</f>
        <v>2026-05-05 13:16:23.628</v>
      </c>
      <c r="H539" t="s">
        <v>26</v>
      </c>
      <c r="I539">
        <v>0</v>
      </c>
      <c r="J539" t="s">
        <v>27</v>
      </c>
    </row>
    <row r="540" spans="1:10" x14ac:dyDescent="0.25">
      <c r="A540" s="1">
        <v>75</v>
      </c>
      <c r="B540" t="s">
        <v>38</v>
      </c>
      <c r="C540">
        <v>49</v>
      </c>
      <c r="D540">
        <v>1</v>
      </c>
      <c r="E540" t="s">
        <v>34</v>
      </c>
      <c r="F540" t="s">
        <v>35</v>
      </c>
      <c r="G540" t="str">
        <f>"2026-05-05 13:05:41.772"</f>
        <v>2026-05-05 13:05:41.772</v>
      </c>
      <c r="H540" t="s">
        <v>36</v>
      </c>
      <c r="I540">
        <v>0</v>
      </c>
      <c r="J540" t="s">
        <v>27</v>
      </c>
    </row>
    <row r="541" spans="1:10" x14ac:dyDescent="0.25">
      <c r="A541" s="1">
        <v>77</v>
      </c>
      <c r="B541" t="s">
        <v>28</v>
      </c>
      <c r="C541">
        <v>47</v>
      </c>
      <c r="D541">
        <v>2</v>
      </c>
      <c r="E541" t="s">
        <v>76</v>
      </c>
      <c r="F541" t="s">
        <v>77</v>
      </c>
      <c r="G541" t="str">
        <f>"2026-05-05 13:04:32.372"</f>
        <v>2026-05-05 13:04:32.372</v>
      </c>
      <c r="H541" t="s">
        <v>78</v>
      </c>
      <c r="I541">
        <v>0</v>
      </c>
      <c r="J541" t="s">
        <v>31</v>
      </c>
    </row>
    <row r="542" spans="1:10" s="3" customFormat="1" x14ac:dyDescent="0.25">
      <c r="A542" s="2">
        <v>78</v>
      </c>
      <c r="B542" s="3" t="s">
        <v>19</v>
      </c>
      <c r="C542" s="3">
        <v>647</v>
      </c>
      <c r="D542" s="3">
        <v>1</v>
      </c>
      <c r="E542" s="3" t="s">
        <v>69</v>
      </c>
      <c r="F542" s="3" t="s">
        <v>70</v>
      </c>
      <c r="G542" s="3" t="str">
        <f>"2026-05-05 06:10:20.852"</f>
        <v>2026-05-05 06:10:20.852</v>
      </c>
      <c r="H542" s="3" t="s">
        <v>26</v>
      </c>
    </row>
    <row r="543" spans="1:10" s="3" customFormat="1" x14ac:dyDescent="0.25">
      <c r="A543" s="2">
        <v>79</v>
      </c>
      <c r="B543" s="3" t="s">
        <v>38</v>
      </c>
      <c r="C543" s="3">
        <v>647</v>
      </c>
      <c r="D543" s="3">
        <v>1</v>
      </c>
      <c r="E543" s="3" t="s">
        <v>69</v>
      </c>
      <c r="F543" s="3" t="s">
        <v>70</v>
      </c>
      <c r="G543" s="3" t="str">
        <f>"2026-05-05 06:10:17.752"</f>
        <v>2026-05-05 06:10:17.752</v>
      </c>
      <c r="H543" s="3" t="s">
        <v>26</v>
      </c>
      <c r="I543" s="3">
        <v>15.89</v>
      </c>
      <c r="J543" s="3" t="s">
        <v>29</v>
      </c>
    </row>
    <row r="544" spans="1:10" x14ac:dyDescent="0.25">
      <c r="A544" s="1">
        <v>81</v>
      </c>
      <c r="B544" t="s">
        <v>23</v>
      </c>
      <c r="C544">
        <v>700</v>
      </c>
      <c r="D544">
        <v>0</v>
      </c>
      <c r="E544" t="s">
        <v>37</v>
      </c>
      <c r="F544" t="s">
        <v>37</v>
      </c>
      <c r="G544" t="str">
        <f>"2026-05-05 03:15:32.748"</f>
        <v>2026-05-05 03:15:32.748</v>
      </c>
      <c r="H544" t="s">
        <v>26</v>
      </c>
    </row>
    <row r="545" spans="1:10" x14ac:dyDescent="0.25">
      <c r="A545" s="1">
        <v>83</v>
      </c>
      <c r="B545" t="s">
        <v>23</v>
      </c>
      <c r="C545">
        <v>706</v>
      </c>
      <c r="D545">
        <v>4</v>
      </c>
      <c r="E545" t="s">
        <v>24</v>
      </c>
      <c r="F545" t="s">
        <v>25</v>
      </c>
      <c r="G545" t="str">
        <f>"2026-05-04 11:56:50.984"</f>
        <v>2026-05-04 11:56:50.984</v>
      </c>
      <c r="H545" t="s">
        <v>26</v>
      </c>
      <c r="I545">
        <v>0</v>
      </c>
      <c r="J545" t="s">
        <v>27</v>
      </c>
    </row>
    <row r="546" spans="1:10" x14ac:dyDescent="0.25">
      <c r="A546" s="1">
        <v>84</v>
      </c>
      <c r="B546" t="s">
        <v>19</v>
      </c>
      <c r="C546">
        <v>49</v>
      </c>
      <c r="D546">
        <v>1</v>
      </c>
      <c r="E546" t="s">
        <v>34</v>
      </c>
      <c r="F546" t="s">
        <v>35</v>
      </c>
      <c r="G546" t="str">
        <f>"2026-05-04 11:55:43.557"</f>
        <v>2026-05-04 11:55:43.557</v>
      </c>
      <c r="H546" t="s">
        <v>36</v>
      </c>
    </row>
    <row r="547" spans="1:10" x14ac:dyDescent="0.25">
      <c r="A547" s="1">
        <v>86</v>
      </c>
      <c r="B547" t="s">
        <v>38</v>
      </c>
      <c r="C547">
        <v>49</v>
      </c>
      <c r="D547">
        <v>1</v>
      </c>
      <c r="E547" t="s">
        <v>34</v>
      </c>
      <c r="F547" t="s">
        <v>35</v>
      </c>
      <c r="G547" t="str">
        <f>"2026-05-04 11:48:22.357"</f>
        <v>2026-05-04 11:48:22.357</v>
      </c>
      <c r="H547" t="s">
        <v>36</v>
      </c>
      <c r="I547">
        <v>0</v>
      </c>
      <c r="J547" t="s">
        <v>27</v>
      </c>
    </row>
    <row r="548" spans="1:10" x14ac:dyDescent="0.25">
      <c r="A548" s="1">
        <v>88</v>
      </c>
      <c r="B548" t="s">
        <v>19</v>
      </c>
      <c r="C548">
        <v>49</v>
      </c>
      <c r="D548">
        <v>1</v>
      </c>
      <c r="E548" t="s">
        <v>34</v>
      </c>
      <c r="F548" t="s">
        <v>35</v>
      </c>
      <c r="G548" t="str">
        <f>"2026-05-03 14:04:05.957"</f>
        <v>2026-05-03 14:04:05.957</v>
      </c>
      <c r="H548" t="s">
        <v>36</v>
      </c>
    </row>
    <row r="549" spans="1:10" x14ac:dyDescent="0.25">
      <c r="A549" s="1">
        <v>89</v>
      </c>
      <c r="B549" t="s">
        <v>30</v>
      </c>
      <c r="C549">
        <v>47</v>
      </c>
      <c r="D549">
        <v>2</v>
      </c>
      <c r="E549" t="s">
        <v>76</v>
      </c>
      <c r="F549" t="s">
        <v>77</v>
      </c>
      <c r="G549" t="str">
        <f>"2026-05-03 14:04:01.856"</f>
        <v>2026-05-03 14:04:01.856</v>
      </c>
      <c r="H549" t="s">
        <v>78</v>
      </c>
    </row>
    <row r="550" spans="1:10" x14ac:dyDescent="0.25">
      <c r="A550" s="1">
        <v>90</v>
      </c>
      <c r="B550" t="s">
        <v>23</v>
      </c>
      <c r="C550">
        <v>706</v>
      </c>
      <c r="D550">
        <v>2</v>
      </c>
      <c r="E550" t="s">
        <v>24</v>
      </c>
      <c r="F550" t="s">
        <v>39</v>
      </c>
      <c r="G550" t="str">
        <f>"2026-05-03 14:03:59.714"</f>
        <v>2026-05-03 14:03:59.714</v>
      </c>
      <c r="H550" t="s">
        <v>26</v>
      </c>
      <c r="I550">
        <v>0</v>
      </c>
      <c r="J550" t="s">
        <v>27</v>
      </c>
    </row>
    <row r="551" spans="1:10" x14ac:dyDescent="0.25">
      <c r="A551" s="1">
        <v>92</v>
      </c>
      <c r="B551" t="s">
        <v>38</v>
      </c>
      <c r="C551">
        <v>49</v>
      </c>
      <c r="D551">
        <v>1</v>
      </c>
      <c r="E551" t="s">
        <v>34</v>
      </c>
      <c r="F551" t="s">
        <v>35</v>
      </c>
      <c r="G551" t="str">
        <f>"2026-05-03 13:40:58.657"</f>
        <v>2026-05-03 13:40:58.657</v>
      </c>
      <c r="H551" t="s">
        <v>36</v>
      </c>
      <c r="I551">
        <v>0</v>
      </c>
      <c r="J551" t="s">
        <v>27</v>
      </c>
    </row>
    <row r="552" spans="1:10" x14ac:dyDescent="0.25">
      <c r="A552" s="1">
        <v>94</v>
      </c>
      <c r="B552" t="s">
        <v>28</v>
      </c>
      <c r="C552">
        <v>47</v>
      </c>
      <c r="D552">
        <v>2</v>
      </c>
      <c r="E552" t="s">
        <v>76</v>
      </c>
      <c r="F552" t="s">
        <v>77</v>
      </c>
      <c r="G552" t="str">
        <f>"2026-05-03 13:39:49.156"</f>
        <v>2026-05-03 13:39:49.156</v>
      </c>
      <c r="H552" t="s">
        <v>78</v>
      </c>
      <c r="I552">
        <v>0</v>
      </c>
      <c r="J552" t="s">
        <v>31</v>
      </c>
    </row>
    <row r="553" spans="1:10" s="3" customFormat="1" x14ac:dyDescent="0.25">
      <c r="A553" s="2">
        <v>95</v>
      </c>
      <c r="B553" s="3" t="s">
        <v>19</v>
      </c>
      <c r="C553" s="3">
        <v>647</v>
      </c>
      <c r="D553" s="3">
        <v>1</v>
      </c>
      <c r="E553" s="3" t="s">
        <v>69</v>
      </c>
      <c r="F553" s="3" t="s">
        <v>70</v>
      </c>
      <c r="G553" s="3" t="str">
        <f>"2026-05-02 10:53:53.357"</f>
        <v>2026-05-02 10:53:53.357</v>
      </c>
      <c r="H553" s="3" t="s">
        <v>26</v>
      </c>
    </row>
    <row r="554" spans="1:10" s="3" customFormat="1" x14ac:dyDescent="0.25">
      <c r="A554" s="2">
        <v>96</v>
      </c>
      <c r="B554" s="3" t="s">
        <v>38</v>
      </c>
      <c r="C554" s="3">
        <v>647</v>
      </c>
      <c r="D554" s="3">
        <v>1</v>
      </c>
      <c r="E554" s="3" t="s">
        <v>69</v>
      </c>
      <c r="F554" s="3" t="s">
        <v>70</v>
      </c>
      <c r="G554" s="3" t="str">
        <f>"2026-05-02 10:53:51.257"</f>
        <v>2026-05-02 10:53:51.257</v>
      </c>
      <c r="H554" s="3" t="s">
        <v>26</v>
      </c>
      <c r="I554" s="3">
        <v>12.28</v>
      </c>
      <c r="J554" s="3" t="s">
        <v>29</v>
      </c>
    </row>
    <row r="555" spans="1:10" x14ac:dyDescent="0.25">
      <c r="A555" s="1">
        <v>97</v>
      </c>
      <c r="B555" t="s">
        <v>19</v>
      </c>
      <c r="C555">
        <v>635</v>
      </c>
      <c r="D555">
        <v>1</v>
      </c>
      <c r="E555" t="s">
        <v>40</v>
      </c>
      <c r="F555" t="s">
        <v>41</v>
      </c>
      <c r="G555" t="str">
        <f>"2026-05-02 09:35:36.256"</f>
        <v>2026-05-02 09:35:36.256</v>
      </c>
      <c r="H555" t="s">
        <v>26</v>
      </c>
    </row>
    <row r="556" spans="1:10" x14ac:dyDescent="0.25">
      <c r="A556" s="1">
        <v>98</v>
      </c>
      <c r="B556" t="s">
        <v>38</v>
      </c>
      <c r="C556">
        <v>635</v>
      </c>
      <c r="D556">
        <v>1</v>
      </c>
      <c r="E556" t="s">
        <v>40</v>
      </c>
      <c r="F556" t="s">
        <v>41</v>
      </c>
      <c r="G556" t="str">
        <f>"2026-05-02 09:32:37.356"</f>
        <v>2026-05-02 09:32:37.356</v>
      </c>
      <c r="H556" t="s">
        <v>26</v>
      </c>
      <c r="I556">
        <v>4.7699999999999996</v>
      </c>
      <c r="J556" t="s">
        <v>42</v>
      </c>
    </row>
    <row r="557" spans="1:10" x14ac:dyDescent="0.25">
      <c r="A557" s="1">
        <v>99</v>
      </c>
      <c r="B557" t="s">
        <v>23</v>
      </c>
      <c r="C557">
        <v>706</v>
      </c>
      <c r="D557">
        <v>4</v>
      </c>
      <c r="E557" t="s">
        <v>24</v>
      </c>
      <c r="F557" t="s">
        <v>25</v>
      </c>
      <c r="G557" t="str">
        <f>"2026-05-01 13:44:24.514"</f>
        <v>2026-05-01 13:44:24.514</v>
      </c>
      <c r="H557" t="s">
        <v>26</v>
      </c>
      <c r="I557">
        <v>0</v>
      </c>
      <c r="J557" t="s">
        <v>27</v>
      </c>
    </row>
    <row r="558" spans="1:10" x14ac:dyDescent="0.25">
      <c r="A558" s="1">
        <v>0</v>
      </c>
      <c r="B558" t="s">
        <v>19</v>
      </c>
      <c r="C558">
        <v>49</v>
      </c>
      <c r="D558">
        <v>1</v>
      </c>
      <c r="E558" t="s">
        <v>34</v>
      </c>
      <c r="F558" t="s">
        <v>35</v>
      </c>
      <c r="G558" t="str">
        <f>"2026-05-01 13:38:58.057"</f>
        <v>2026-05-01 13:38:58.057</v>
      </c>
      <c r="H558" t="s">
        <v>36</v>
      </c>
    </row>
    <row r="559" spans="1:10" x14ac:dyDescent="0.25">
      <c r="A559" s="1">
        <v>2</v>
      </c>
      <c r="B559" t="s">
        <v>38</v>
      </c>
      <c r="C559">
        <v>49</v>
      </c>
      <c r="D559">
        <v>1</v>
      </c>
      <c r="E559" t="s">
        <v>34</v>
      </c>
      <c r="F559" t="s">
        <v>35</v>
      </c>
      <c r="G559" t="str">
        <f>"2026-05-01 13:15:23.457"</f>
        <v>2026-05-01 13:15:23.457</v>
      </c>
      <c r="H559" t="s">
        <v>36</v>
      </c>
      <c r="I559">
        <v>0</v>
      </c>
      <c r="J559" t="s">
        <v>27</v>
      </c>
    </row>
    <row r="560" spans="1:10" x14ac:dyDescent="0.25">
      <c r="A560" s="1">
        <v>5</v>
      </c>
      <c r="B560" t="s">
        <v>23</v>
      </c>
      <c r="C560">
        <v>700</v>
      </c>
      <c r="D560">
        <v>0</v>
      </c>
      <c r="E560" t="s">
        <v>37</v>
      </c>
      <c r="F560" t="s">
        <v>37</v>
      </c>
      <c r="G560" t="str">
        <f>"2026-05-01 02:48:55.754"</f>
        <v>2026-05-01 02:48:55.754</v>
      </c>
      <c r="H560" t="s">
        <v>26</v>
      </c>
      <c r="I560">
        <v>0</v>
      </c>
      <c r="J560" t="s">
        <v>43</v>
      </c>
    </row>
    <row r="561" spans="1:10" x14ac:dyDescent="0.25">
      <c r="A561" s="1">
        <v>7</v>
      </c>
      <c r="B561" t="s">
        <v>19</v>
      </c>
      <c r="C561">
        <v>619</v>
      </c>
      <c r="D561">
        <v>1</v>
      </c>
      <c r="E561" t="s">
        <v>79</v>
      </c>
      <c r="F561" t="s">
        <v>41</v>
      </c>
      <c r="G561" t="str">
        <f>"2026-05-01 01:02:09.671"</f>
        <v>2026-05-01 01:02:09.671</v>
      </c>
      <c r="H561" t="s">
        <v>80</v>
      </c>
    </row>
    <row r="562" spans="1:10" x14ac:dyDescent="0.25">
      <c r="A562" s="1">
        <v>8</v>
      </c>
      <c r="B562" t="s">
        <v>38</v>
      </c>
      <c r="C562">
        <v>619</v>
      </c>
      <c r="D562">
        <v>1</v>
      </c>
      <c r="E562" t="s">
        <v>79</v>
      </c>
      <c r="F562" t="s">
        <v>41</v>
      </c>
      <c r="G562" t="str">
        <f>"2026-05-01 01:01:51.571"</f>
        <v>2026-05-01 01:01:51.571</v>
      </c>
      <c r="H562" t="s">
        <v>80</v>
      </c>
      <c r="I562">
        <v>6.67</v>
      </c>
      <c r="J562" t="s">
        <v>31</v>
      </c>
    </row>
    <row r="563" spans="1:10" x14ac:dyDescent="0.25">
      <c r="A563" s="1">
        <v>10</v>
      </c>
      <c r="B563" t="s">
        <v>23</v>
      </c>
      <c r="C563">
        <v>700</v>
      </c>
      <c r="D563">
        <v>0</v>
      </c>
      <c r="E563" t="s">
        <v>37</v>
      </c>
      <c r="F563" t="s">
        <v>37</v>
      </c>
      <c r="G563" t="str">
        <f>"2026-04-30 23:58:47.776"</f>
        <v>2026-04-30 23:58:47.776</v>
      </c>
      <c r="H563" t="s">
        <v>26</v>
      </c>
      <c r="I563">
        <v>0</v>
      </c>
      <c r="J563" t="s">
        <v>43</v>
      </c>
    </row>
    <row r="564" spans="1:10" x14ac:dyDescent="0.25">
      <c r="A564" s="1">
        <v>12</v>
      </c>
      <c r="B564" t="s">
        <v>28</v>
      </c>
      <c r="C564">
        <v>47</v>
      </c>
      <c r="D564">
        <v>2</v>
      </c>
      <c r="E564" t="s">
        <v>76</v>
      </c>
      <c r="F564" t="s">
        <v>77</v>
      </c>
      <c r="G564" t="str">
        <f>"2026-04-30 23:54:59.906"</f>
        <v>2026-04-30 23:54:59.906</v>
      </c>
      <c r="H564" t="s">
        <v>78</v>
      </c>
      <c r="I564">
        <v>0</v>
      </c>
      <c r="J564" t="s">
        <v>31</v>
      </c>
    </row>
    <row r="565" spans="1:10" x14ac:dyDescent="0.25">
      <c r="A565" s="1">
        <v>13</v>
      </c>
      <c r="B565" t="s">
        <v>30</v>
      </c>
      <c r="C565">
        <v>87</v>
      </c>
      <c r="D565">
        <v>1</v>
      </c>
      <c r="E565" t="s">
        <v>71</v>
      </c>
      <c r="F565" t="s">
        <v>72</v>
      </c>
      <c r="G565" t="str">
        <f>"2026-04-30 23:07:06.495"</f>
        <v>2026-04-30 23:07:06.495</v>
      </c>
      <c r="H565" t="s">
        <v>26</v>
      </c>
    </row>
    <row r="566" spans="1:10" x14ac:dyDescent="0.25">
      <c r="A566" s="1">
        <v>14</v>
      </c>
      <c r="B566" t="s">
        <v>19</v>
      </c>
      <c r="C566">
        <v>89</v>
      </c>
      <c r="D566">
        <v>2</v>
      </c>
      <c r="E566" t="s">
        <v>81</v>
      </c>
      <c r="F566" t="s">
        <v>82</v>
      </c>
      <c r="G566" t="str">
        <f>"2026-04-30 23:06:51.206"</f>
        <v>2026-04-30 23:06:51.206</v>
      </c>
      <c r="H566" t="s">
        <v>26</v>
      </c>
    </row>
    <row r="567" spans="1:10" x14ac:dyDescent="0.25">
      <c r="A567" s="1">
        <v>15</v>
      </c>
      <c r="B567" t="s">
        <v>28</v>
      </c>
      <c r="C567">
        <v>87</v>
      </c>
      <c r="D567">
        <v>1</v>
      </c>
      <c r="E567" t="s">
        <v>71</v>
      </c>
      <c r="F567" t="s">
        <v>72</v>
      </c>
      <c r="G567" t="str">
        <f>"2026-04-30 23:06:28.165"</f>
        <v>2026-04-30 23:06:28.165</v>
      </c>
      <c r="H567" t="s">
        <v>26</v>
      </c>
      <c r="I567">
        <v>3.57</v>
      </c>
      <c r="J567" t="s">
        <v>42</v>
      </c>
    </row>
    <row r="568" spans="1:10" x14ac:dyDescent="0.25">
      <c r="A568" s="1">
        <v>16</v>
      </c>
      <c r="B568" t="s">
        <v>28</v>
      </c>
      <c r="C568">
        <v>89</v>
      </c>
      <c r="D568">
        <v>2</v>
      </c>
      <c r="E568" t="s">
        <v>81</v>
      </c>
      <c r="F568" t="s">
        <v>82</v>
      </c>
      <c r="G568" t="str">
        <f>"2026-04-30 23:06:23.506"</f>
        <v>2026-04-30 23:06:23.506</v>
      </c>
      <c r="H568" t="s">
        <v>26</v>
      </c>
      <c r="I568">
        <v>2.97</v>
      </c>
      <c r="J568" t="s">
        <v>42</v>
      </c>
    </row>
    <row r="569" spans="1:10" x14ac:dyDescent="0.25">
      <c r="A569" s="1">
        <v>18</v>
      </c>
      <c r="B569" t="s">
        <v>23</v>
      </c>
      <c r="C569">
        <v>700</v>
      </c>
      <c r="D569">
        <v>0</v>
      </c>
      <c r="E569" t="s">
        <v>37</v>
      </c>
      <c r="F569" t="s">
        <v>37</v>
      </c>
      <c r="G569" t="str">
        <f>"2026-04-30 19:57:41.743"</f>
        <v>2026-04-30 19:57:41.743</v>
      </c>
      <c r="H569" t="s">
        <v>26</v>
      </c>
    </row>
    <row r="570" spans="1:10" x14ac:dyDescent="0.25">
      <c r="A570" s="1">
        <v>20</v>
      </c>
      <c r="B570" t="s">
        <v>30</v>
      </c>
      <c r="C570">
        <v>89</v>
      </c>
      <c r="D570">
        <v>2</v>
      </c>
      <c r="E570" t="s">
        <v>81</v>
      </c>
      <c r="F570" t="s">
        <v>82</v>
      </c>
      <c r="G570" t="str">
        <f>"2026-04-30 19:48:36.307"</f>
        <v>2026-04-30 19:48:36.307</v>
      </c>
      <c r="H570" t="s">
        <v>26</v>
      </c>
    </row>
    <row r="571" spans="1:10" x14ac:dyDescent="0.25">
      <c r="A571" s="1">
        <v>21</v>
      </c>
      <c r="B571" t="s">
        <v>28</v>
      </c>
      <c r="C571">
        <v>89</v>
      </c>
      <c r="D571">
        <v>2</v>
      </c>
      <c r="E571" t="s">
        <v>81</v>
      </c>
      <c r="F571" t="s">
        <v>82</v>
      </c>
      <c r="G571" t="str">
        <f>"2026-04-30 19:47:12.067"</f>
        <v>2026-04-30 19:47:12.067</v>
      </c>
      <c r="H571" t="s">
        <v>26</v>
      </c>
      <c r="I571">
        <v>1.66</v>
      </c>
      <c r="J571" t="s">
        <v>42</v>
      </c>
    </row>
    <row r="572" spans="1:10" x14ac:dyDescent="0.25">
      <c r="A572" s="1">
        <v>22</v>
      </c>
      <c r="B572" t="s">
        <v>30</v>
      </c>
      <c r="C572">
        <v>89</v>
      </c>
      <c r="D572">
        <v>2</v>
      </c>
      <c r="E572" t="s">
        <v>81</v>
      </c>
      <c r="F572" t="s">
        <v>82</v>
      </c>
      <c r="G572" t="str">
        <f>"2026-04-30 19:46:25.256"</f>
        <v>2026-04-30 19:46:25.256</v>
      </c>
      <c r="H572" t="s">
        <v>26</v>
      </c>
    </row>
    <row r="573" spans="1:10" x14ac:dyDescent="0.25">
      <c r="A573" s="1">
        <v>23</v>
      </c>
      <c r="B573" t="s">
        <v>28</v>
      </c>
      <c r="C573">
        <v>89</v>
      </c>
      <c r="D573">
        <v>2</v>
      </c>
      <c r="E573" t="s">
        <v>81</v>
      </c>
      <c r="F573" t="s">
        <v>82</v>
      </c>
      <c r="G573" t="str">
        <f>"2026-04-30 19:46:05.068"</f>
        <v>2026-04-30 19:46:05.068</v>
      </c>
      <c r="H573" t="s">
        <v>26</v>
      </c>
      <c r="I573">
        <v>1.9</v>
      </c>
      <c r="J573" t="s">
        <v>42</v>
      </c>
    </row>
    <row r="574" spans="1:10" x14ac:dyDescent="0.25">
      <c r="A574" s="1">
        <v>24</v>
      </c>
      <c r="B574" t="s">
        <v>19</v>
      </c>
      <c r="C574">
        <v>49</v>
      </c>
      <c r="D574">
        <v>1</v>
      </c>
      <c r="E574" t="s">
        <v>34</v>
      </c>
      <c r="F574" t="s">
        <v>35</v>
      </c>
      <c r="G574" t="str">
        <f>"2026-04-30 14:00:57.468"</f>
        <v>2026-04-30 14:00:57.468</v>
      </c>
      <c r="H574" t="s">
        <v>36</v>
      </c>
    </row>
    <row r="575" spans="1:10" x14ac:dyDescent="0.25">
      <c r="A575" s="1">
        <v>25</v>
      </c>
      <c r="B575" t="s">
        <v>30</v>
      </c>
      <c r="C575">
        <v>47</v>
      </c>
      <c r="D575">
        <v>2</v>
      </c>
      <c r="E575" t="s">
        <v>76</v>
      </c>
      <c r="F575" t="s">
        <v>77</v>
      </c>
      <c r="G575" t="str">
        <f>"2026-04-30 14:00:55.567"</f>
        <v>2026-04-30 14:00:55.567</v>
      </c>
      <c r="H575" t="s">
        <v>78</v>
      </c>
    </row>
    <row r="576" spans="1:10" x14ac:dyDescent="0.25">
      <c r="A576" s="1">
        <v>26</v>
      </c>
      <c r="B576" t="s">
        <v>23</v>
      </c>
      <c r="C576">
        <v>706</v>
      </c>
      <c r="D576">
        <v>2</v>
      </c>
      <c r="E576" t="s">
        <v>24</v>
      </c>
      <c r="F576" t="s">
        <v>39</v>
      </c>
      <c r="G576" t="str">
        <f>"2026-04-30 14:00:51.986"</f>
        <v>2026-04-30 14:00:51.986</v>
      </c>
      <c r="H576" t="s">
        <v>26</v>
      </c>
      <c r="I576">
        <v>0</v>
      </c>
      <c r="J576" t="s">
        <v>27</v>
      </c>
    </row>
    <row r="577" spans="1:10" x14ac:dyDescent="0.25">
      <c r="A577" s="1">
        <v>28</v>
      </c>
      <c r="B577" t="s">
        <v>38</v>
      </c>
      <c r="C577">
        <v>49</v>
      </c>
      <c r="D577">
        <v>1</v>
      </c>
      <c r="E577" t="s">
        <v>34</v>
      </c>
      <c r="F577" t="s">
        <v>35</v>
      </c>
      <c r="G577" t="str">
        <f>"2026-04-30 13:07:16.067"</f>
        <v>2026-04-30 13:07:16.067</v>
      </c>
      <c r="H577" t="s">
        <v>36</v>
      </c>
      <c r="I577">
        <v>0</v>
      </c>
      <c r="J577" t="s">
        <v>27</v>
      </c>
    </row>
    <row r="578" spans="1:10" x14ac:dyDescent="0.25">
      <c r="A578" s="1">
        <v>30</v>
      </c>
      <c r="B578" t="s">
        <v>28</v>
      </c>
      <c r="C578">
        <v>47</v>
      </c>
      <c r="D578">
        <v>2</v>
      </c>
      <c r="E578" t="s">
        <v>76</v>
      </c>
      <c r="F578" t="s">
        <v>77</v>
      </c>
      <c r="G578" t="str">
        <f>"2026-04-30 13:06:07.168"</f>
        <v>2026-04-30 13:06:07.168</v>
      </c>
      <c r="H578" t="s">
        <v>78</v>
      </c>
      <c r="I578">
        <v>0</v>
      </c>
      <c r="J578" t="s">
        <v>31</v>
      </c>
    </row>
    <row r="579" spans="1:10" x14ac:dyDescent="0.25">
      <c r="A579" s="1">
        <v>32</v>
      </c>
      <c r="B579" t="s">
        <v>23</v>
      </c>
      <c r="C579">
        <v>700</v>
      </c>
      <c r="D579">
        <v>0</v>
      </c>
      <c r="E579" t="s">
        <v>37</v>
      </c>
      <c r="F579" t="s">
        <v>37</v>
      </c>
      <c r="G579" t="str">
        <f>"2026-04-30 05:03:59.736"</f>
        <v>2026-04-30 05:03:59.736</v>
      </c>
      <c r="H579" t="s">
        <v>26</v>
      </c>
    </row>
    <row r="580" spans="1:10" x14ac:dyDescent="0.25">
      <c r="A580" s="1">
        <v>34</v>
      </c>
      <c r="B580" t="s">
        <v>28</v>
      </c>
      <c r="C580">
        <v>47</v>
      </c>
      <c r="D580">
        <v>2</v>
      </c>
      <c r="E580" t="s">
        <v>76</v>
      </c>
      <c r="F580" t="s">
        <v>77</v>
      </c>
      <c r="G580" t="str">
        <f>"2026-04-30 04:17:20.175"</f>
        <v>2026-04-30 04:17:20.175</v>
      </c>
      <c r="H580" t="s">
        <v>78</v>
      </c>
      <c r="I580">
        <v>0</v>
      </c>
      <c r="J580" t="s">
        <v>31</v>
      </c>
    </row>
    <row r="581" spans="1:10" x14ac:dyDescent="0.25">
      <c r="A581" s="1">
        <v>35</v>
      </c>
      <c r="B581" t="s">
        <v>23</v>
      </c>
      <c r="C581">
        <v>706</v>
      </c>
      <c r="D581">
        <v>4</v>
      </c>
      <c r="E581" t="s">
        <v>24</v>
      </c>
      <c r="F581" t="s">
        <v>25</v>
      </c>
      <c r="G581" t="str">
        <f>"2026-04-30 04:16:32.503"</f>
        <v>2026-04-30 04:16:32.503</v>
      </c>
      <c r="H581" t="s">
        <v>26</v>
      </c>
      <c r="I581">
        <v>0</v>
      </c>
      <c r="J581" t="s">
        <v>27</v>
      </c>
    </row>
    <row r="582" spans="1:10" x14ac:dyDescent="0.25">
      <c r="A582" s="1">
        <v>36</v>
      </c>
      <c r="B582" t="s">
        <v>23</v>
      </c>
      <c r="C582">
        <v>700</v>
      </c>
      <c r="D582">
        <v>0</v>
      </c>
      <c r="E582" t="s">
        <v>37</v>
      </c>
      <c r="F582" t="s">
        <v>37</v>
      </c>
      <c r="G582" t="str">
        <f>"2026-04-30 03:54:48.923"</f>
        <v>2026-04-30 03:54:48.923</v>
      </c>
      <c r="H582" t="s">
        <v>26</v>
      </c>
      <c r="I582">
        <v>0</v>
      </c>
      <c r="J582" t="s">
        <v>43</v>
      </c>
    </row>
    <row r="583" spans="1:10" x14ac:dyDescent="0.25">
      <c r="A583" s="1">
        <v>39</v>
      </c>
      <c r="B583" t="s">
        <v>28</v>
      </c>
      <c r="C583">
        <v>47</v>
      </c>
      <c r="D583">
        <v>2</v>
      </c>
      <c r="E583" t="s">
        <v>76</v>
      </c>
      <c r="F583" t="s">
        <v>77</v>
      </c>
      <c r="G583" t="str">
        <f>"2026-04-30 02:48:42.828"</f>
        <v>2026-04-30 02:48:42.828</v>
      </c>
      <c r="H583" t="s">
        <v>78</v>
      </c>
      <c r="I583">
        <v>0</v>
      </c>
      <c r="J583" t="s">
        <v>31</v>
      </c>
    </row>
    <row r="584" spans="1:10" x14ac:dyDescent="0.25">
      <c r="A584" s="1">
        <v>40</v>
      </c>
      <c r="B584" t="s">
        <v>23</v>
      </c>
      <c r="C584">
        <v>706</v>
      </c>
      <c r="D584">
        <v>4</v>
      </c>
      <c r="E584" t="s">
        <v>24</v>
      </c>
      <c r="F584" t="s">
        <v>25</v>
      </c>
      <c r="G584" t="str">
        <f>"2026-04-29 13:05:08.357"</f>
        <v>2026-04-29 13:05:08.357</v>
      </c>
      <c r="H584" t="s">
        <v>26</v>
      </c>
      <c r="I584">
        <v>0</v>
      </c>
      <c r="J584" t="s">
        <v>27</v>
      </c>
    </row>
    <row r="585" spans="1:10" x14ac:dyDescent="0.25">
      <c r="A585" s="1">
        <v>41</v>
      </c>
      <c r="B585" t="s">
        <v>19</v>
      </c>
      <c r="C585">
        <v>49</v>
      </c>
      <c r="D585">
        <v>1</v>
      </c>
      <c r="E585" t="s">
        <v>34</v>
      </c>
      <c r="F585" t="s">
        <v>35</v>
      </c>
      <c r="G585" t="str">
        <f>"2026-04-29 13:04:43.127"</f>
        <v>2026-04-29 13:04:43.127</v>
      </c>
      <c r="H585" t="s">
        <v>36</v>
      </c>
    </row>
    <row r="586" spans="1:10" x14ac:dyDescent="0.25">
      <c r="A586" s="1">
        <v>43</v>
      </c>
      <c r="B586" t="s">
        <v>38</v>
      </c>
      <c r="C586">
        <v>49</v>
      </c>
      <c r="D586">
        <v>1</v>
      </c>
      <c r="E586" t="s">
        <v>34</v>
      </c>
      <c r="F586" t="s">
        <v>35</v>
      </c>
      <c r="G586" t="str">
        <f>"2026-04-29 12:56:20.628"</f>
        <v>2026-04-29 12:56:20.628</v>
      </c>
      <c r="H586" t="s">
        <v>36</v>
      </c>
      <c r="I586">
        <v>0</v>
      </c>
      <c r="J586" t="s">
        <v>27</v>
      </c>
    </row>
    <row r="587" spans="1:10" x14ac:dyDescent="0.25">
      <c r="A587" s="1">
        <v>45</v>
      </c>
      <c r="B587" t="s">
        <v>19</v>
      </c>
      <c r="C587">
        <v>49</v>
      </c>
      <c r="D587">
        <v>1</v>
      </c>
      <c r="E587" t="s">
        <v>34</v>
      </c>
      <c r="F587" t="s">
        <v>35</v>
      </c>
      <c r="G587" t="str">
        <f>"2026-04-28 17:18:55.228"</f>
        <v>2026-04-28 17:18:55.228</v>
      </c>
      <c r="H587" t="s">
        <v>36</v>
      </c>
    </row>
    <row r="588" spans="1:10" x14ac:dyDescent="0.25">
      <c r="A588" s="1">
        <v>46</v>
      </c>
      <c r="B588" t="s">
        <v>30</v>
      </c>
      <c r="C588">
        <v>47</v>
      </c>
      <c r="D588">
        <v>2</v>
      </c>
      <c r="E588" t="s">
        <v>76</v>
      </c>
      <c r="F588" t="s">
        <v>77</v>
      </c>
      <c r="G588" t="str">
        <f>"2026-04-28 17:18:51.828"</f>
        <v>2026-04-28 17:18:51.828</v>
      </c>
      <c r="H588" t="s">
        <v>78</v>
      </c>
    </row>
    <row r="589" spans="1:10" x14ac:dyDescent="0.25">
      <c r="A589" s="1">
        <v>47</v>
      </c>
      <c r="B589" t="s">
        <v>23</v>
      </c>
      <c r="C589">
        <v>706</v>
      </c>
      <c r="D589">
        <v>2</v>
      </c>
      <c r="E589" t="s">
        <v>24</v>
      </c>
      <c r="F589" t="s">
        <v>39</v>
      </c>
      <c r="G589" t="str">
        <f>"2026-04-28 17:18:48.397"</f>
        <v>2026-04-28 17:18:48.397</v>
      </c>
      <c r="H589" t="s">
        <v>26</v>
      </c>
      <c r="I589">
        <v>0</v>
      </c>
      <c r="J589" t="s">
        <v>27</v>
      </c>
    </row>
    <row r="590" spans="1:10" x14ac:dyDescent="0.25">
      <c r="A590" s="1">
        <v>49</v>
      </c>
      <c r="B590" t="s">
        <v>19</v>
      </c>
      <c r="C590">
        <v>630</v>
      </c>
      <c r="D590">
        <v>5</v>
      </c>
      <c r="E590" t="s">
        <v>20</v>
      </c>
      <c r="F590" t="s">
        <v>83</v>
      </c>
      <c r="G590" t="str">
        <f>"2026-04-28 17:14:17.215"</f>
        <v>2026-04-28 17:14:17.215</v>
      </c>
      <c r="H590" t="s">
        <v>22</v>
      </c>
    </row>
    <row r="591" spans="1:10" x14ac:dyDescent="0.25">
      <c r="A591" s="1">
        <v>50</v>
      </c>
      <c r="B591" t="s">
        <v>28</v>
      </c>
      <c r="C591">
        <v>630</v>
      </c>
      <c r="D591">
        <v>5</v>
      </c>
      <c r="E591" t="s">
        <v>20</v>
      </c>
      <c r="F591" t="s">
        <v>83</v>
      </c>
      <c r="G591" t="str">
        <f>"2026-04-28 17:10:07.415"</f>
        <v>2026-04-28 17:10:07.415</v>
      </c>
      <c r="H591" t="s">
        <v>22</v>
      </c>
      <c r="I591">
        <v>0</v>
      </c>
      <c r="J591" t="s">
        <v>27</v>
      </c>
    </row>
    <row r="592" spans="1:10" x14ac:dyDescent="0.25">
      <c r="A592" s="1">
        <v>51</v>
      </c>
      <c r="B592" t="s">
        <v>38</v>
      </c>
      <c r="C592">
        <v>49</v>
      </c>
      <c r="D592">
        <v>1</v>
      </c>
      <c r="E592" t="s">
        <v>34</v>
      </c>
      <c r="F592" t="s">
        <v>35</v>
      </c>
      <c r="G592" t="str">
        <f>"2026-04-28 17:06:13.528"</f>
        <v>2026-04-28 17:06:13.528</v>
      </c>
      <c r="H592" t="s">
        <v>36</v>
      </c>
      <c r="I592">
        <v>0</v>
      </c>
      <c r="J592" t="s">
        <v>27</v>
      </c>
    </row>
    <row r="593" spans="1:10" x14ac:dyDescent="0.25">
      <c r="A593" s="1">
        <v>53</v>
      </c>
      <c r="B593" t="s">
        <v>28</v>
      </c>
      <c r="C593">
        <v>47</v>
      </c>
      <c r="D593">
        <v>2</v>
      </c>
      <c r="E593" t="s">
        <v>76</v>
      </c>
      <c r="F593" t="s">
        <v>77</v>
      </c>
      <c r="G593" t="str">
        <f>"2026-04-28 17:05:04.328"</f>
        <v>2026-04-28 17:05:04.328</v>
      </c>
      <c r="H593" t="s">
        <v>78</v>
      </c>
      <c r="I593">
        <v>0</v>
      </c>
      <c r="J593" t="s">
        <v>31</v>
      </c>
    </row>
    <row r="594" spans="1:10" x14ac:dyDescent="0.25">
      <c r="A594" s="1">
        <v>54</v>
      </c>
      <c r="B594" t="s">
        <v>19</v>
      </c>
      <c r="C594">
        <v>630</v>
      </c>
      <c r="D594">
        <v>5</v>
      </c>
      <c r="E594" t="s">
        <v>20</v>
      </c>
      <c r="F594" t="s">
        <v>83</v>
      </c>
      <c r="G594" t="str">
        <f>"2026-04-28 10:33:01.015"</f>
        <v>2026-04-28 10:33:01.015</v>
      </c>
      <c r="H594" t="s">
        <v>22</v>
      </c>
    </row>
    <row r="595" spans="1:10" x14ac:dyDescent="0.25">
      <c r="A595" s="1">
        <v>55</v>
      </c>
      <c r="B595" t="s">
        <v>23</v>
      </c>
      <c r="C595">
        <v>706</v>
      </c>
      <c r="D595">
        <v>4</v>
      </c>
      <c r="E595" t="s">
        <v>24</v>
      </c>
      <c r="F595" t="s">
        <v>25</v>
      </c>
      <c r="G595" t="str">
        <f>"2026-04-28 10:32:30.877"</f>
        <v>2026-04-28 10:32:30.877</v>
      </c>
      <c r="H595" t="s">
        <v>26</v>
      </c>
      <c r="I595">
        <v>0</v>
      </c>
      <c r="J595" t="s">
        <v>27</v>
      </c>
    </row>
    <row r="596" spans="1:10" x14ac:dyDescent="0.25">
      <c r="A596" s="1">
        <v>56</v>
      </c>
      <c r="B596" t="s">
        <v>19</v>
      </c>
      <c r="C596">
        <v>49</v>
      </c>
      <c r="D596">
        <v>1</v>
      </c>
      <c r="E596" t="s">
        <v>34</v>
      </c>
      <c r="F596" t="s">
        <v>35</v>
      </c>
      <c r="G596" t="str">
        <f>"2026-04-28 10:32:12.728"</f>
        <v>2026-04-28 10:32:12.728</v>
      </c>
      <c r="H596" t="s">
        <v>36</v>
      </c>
    </row>
    <row r="597" spans="1:10" x14ac:dyDescent="0.25">
      <c r="A597" s="1">
        <v>58</v>
      </c>
      <c r="B597" t="s">
        <v>28</v>
      </c>
      <c r="C597">
        <v>630</v>
      </c>
      <c r="D597">
        <v>5</v>
      </c>
      <c r="E597" t="s">
        <v>20</v>
      </c>
      <c r="F597" t="s">
        <v>83</v>
      </c>
      <c r="G597" t="str">
        <f>"2026-04-28 10:29:20.415"</f>
        <v>2026-04-28 10:29:20.415</v>
      </c>
      <c r="H597" t="s">
        <v>22</v>
      </c>
      <c r="I597">
        <v>0</v>
      </c>
      <c r="J597" t="s">
        <v>27</v>
      </c>
    </row>
    <row r="598" spans="1:10" x14ac:dyDescent="0.25">
      <c r="A598" s="1">
        <v>59</v>
      </c>
      <c r="B598" t="s">
        <v>38</v>
      </c>
      <c r="C598">
        <v>49</v>
      </c>
      <c r="D598">
        <v>1</v>
      </c>
      <c r="E598" t="s">
        <v>34</v>
      </c>
      <c r="F598" t="s">
        <v>35</v>
      </c>
      <c r="G598" t="str">
        <f>"2026-04-28 10:25:26.628"</f>
        <v>2026-04-28 10:25:26.628</v>
      </c>
      <c r="H598" t="s">
        <v>36</v>
      </c>
      <c r="I598">
        <v>0</v>
      </c>
      <c r="J598" t="s">
        <v>27</v>
      </c>
    </row>
    <row r="599" spans="1:10" x14ac:dyDescent="0.25">
      <c r="A599" s="1">
        <v>61</v>
      </c>
      <c r="B599" t="s">
        <v>19</v>
      </c>
      <c r="C599">
        <v>630</v>
      </c>
      <c r="D599">
        <v>5</v>
      </c>
      <c r="E599" t="s">
        <v>20</v>
      </c>
      <c r="F599" t="s">
        <v>83</v>
      </c>
      <c r="G599" t="str">
        <f>"2026-04-27 14:02:30.715"</f>
        <v>2026-04-27 14:02:30.715</v>
      </c>
      <c r="H599" t="s">
        <v>22</v>
      </c>
    </row>
    <row r="600" spans="1:10" x14ac:dyDescent="0.25">
      <c r="A600" s="1">
        <v>62</v>
      </c>
      <c r="B600" t="s">
        <v>19</v>
      </c>
      <c r="C600">
        <v>49</v>
      </c>
      <c r="D600">
        <v>1</v>
      </c>
      <c r="E600" t="s">
        <v>34</v>
      </c>
      <c r="F600" t="s">
        <v>35</v>
      </c>
      <c r="G600" t="str">
        <f>"2026-04-27 14:02:07.628"</f>
        <v>2026-04-27 14:02:07.628</v>
      </c>
      <c r="H600" t="s">
        <v>36</v>
      </c>
    </row>
    <row r="601" spans="1:10" x14ac:dyDescent="0.25">
      <c r="A601" s="1">
        <v>63</v>
      </c>
      <c r="B601" t="s">
        <v>30</v>
      </c>
      <c r="C601">
        <v>47</v>
      </c>
      <c r="D601">
        <v>2</v>
      </c>
      <c r="E601" t="s">
        <v>76</v>
      </c>
      <c r="F601" t="s">
        <v>77</v>
      </c>
      <c r="G601" t="str">
        <f>"2026-04-27 14:02:02.528"</f>
        <v>2026-04-27 14:02:02.528</v>
      </c>
      <c r="H601" t="s">
        <v>78</v>
      </c>
    </row>
    <row r="602" spans="1:10" x14ac:dyDescent="0.25">
      <c r="A602" s="1">
        <v>64</v>
      </c>
      <c r="B602" t="s">
        <v>23</v>
      </c>
      <c r="C602">
        <v>706</v>
      </c>
      <c r="D602">
        <v>2</v>
      </c>
      <c r="E602" t="s">
        <v>24</v>
      </c>
      <c r="F602" t="s">
        <v>39</v>
      </c>
      <c r="G602" t="str">
        <f>"2026-04-27 14:02:00.497"</f>
        <v>2026-04-27 14:02:00.497</v>
      </c>
      <c r="H602" t="s">
        <v>26</v>
      </c>
      <c r="I602">
        <v>0</v>
      </c>
      <c r="J602" t="s">
        <v>27</v>
      </c>
    </row>
    <row r="603" spans="1:10" x14ac:dyDescent="0.25">
      <c r="A603" s="1">
        <v>66</v>
      </c>
      <c r="B603" t="s">
        <v>28</v>
      </c>
      <c r="C603">
        <v>630</v>
      </c>
      <c r="D603">
        <v>5</v>
      </c>
      <c r="E603" t="s">
        <v>20</v>
      </c>
      <c r="F603" t="s">
        <v>83</v>
      </c>
      <c r="G603" t="str">
        <f>"2026-04-27 13:58:18.416"</f>
        <v>2026-04-27 13:58:18.416</v>
      </c>
      <c r="H603" t="s">
        <v>22</v>
      </c>
      <c r="I603">
        <v>0</v>
      </c>
      <c r="J603" t="s">
        <v>27</v>
      </c>
    </row>
    <row r="604" spans="1:10" x14ac:dyDescent="0.25">
      <c r="A604" s="1">
        <v>67</v>
      </c>
      <c r="B604" t="s">
        <v>38</v>
      </c>
      <c r="C604">
        <v>49</v>
      </c>
      <c r="D604">
        <v>1</v>
      </c>
      <c r="E604" t="s">
        <v>34</v>
      </c>
      <c r="F604" t="s">
        <v>35</v>
      </c>
      <c r="G604" t="str">
        <f>"2026-04-27 13:54:24.228"</f>
        <v>2026-04-27 13:54:24.228</v>
      </c>
      <c r="H604" t="s">
        <v>36</v>
      </c>
      <c r="I604">
        <v>0</v>
      </c>
      <c r="J604" t="s">
        <v>27</v>
      </c>
    </row>
    <row r="605" spans="1:10" x14ac:dyDescent="0.25">
      <c r="A605" s="1">
        <v>69</v>
      </c>
      <c r="B605" t="s">
        <v>28</v>
      </c>
      <c r="C605">
        <v>47</v>
      </c>
      <c r="D605">
        <v>2</v>
      </c>
      <c r="E605" t="s">
        <v>76</v>
      </c>
      <c r="F605" t="s">
        <v>77</v>
      </c>
      <c r="G605" t="str">
        <f>"2026-04-27 13:53:15.428"</f>
        <v>2026-04-27 13:53:15.428</v>
      </c>
      <c r="H605" t="s">
        <v>78</v>
      </c>
      <c r="I605">
        <v>0</v>
      </c>
      <c r="J605" t="s">
        <v>31</v>
      </c>
    </row>
    <row r="606" spans="1:10" x14ac:dyDescent="0.25">
      <c r="A606" s="1">
        <v>70</v>
      </c>
      <c r="B606" t="s">
        <v>23</v>
      </c>
      <c r="C606">
        <v>700</v>
      </c>
      <c r="D606">
        <v>0</v>
      </c>
      <c r="E606" t="s">
        <v>37</v>
      </c>
      <c r="F606" t="s">
        <v>37</v>
      </c>
      <c r="G606" t="str">
        <f>"2026-04-27 11:04:44.707"</f>
        <v>2026-04-27 11:04:44.707</v>
      </c>
      <c r="H606" t="s">
        <v>26</v>
      </c>
    </row>
    <row r="607" spans="1:10" x14ac:dyDescent="0.25">
      <c r="A607" s="1">
        <v>71</v>
      </c>
      <c r="B607" t="s">
        <v>30</v>
      </c>
      <c r="C607">
        <v>47</v>
      </c>
      <c r="D607">
        <v>2</v>
      </c>
      <c r="E607" t="s">
        <v>76</v>
      </c>
      <c r="F607" t="s">
        <v>77</v>
      </c>
      <c r="G607" t="str">
        <f>"2026-04-26 14:27:48.650"</f>
        <v>2026-04-26 14:27:48.650</v>
      </c>
      <c r="H607" t="s">
        <v>78</v>
      </c>
    </row>
    <row r="608" spans="1:10" x14ac:dyDescent="0.25">
      <c r="A608" s="1">
        <v>72</v>
      </c>
      <c r="B608" t="s">
        <v>23</v>
      </c>
      <c r="C608">
        <v>706</v>
      </c>
      <c r="D608">
        <v>2</v>
      </c>
      <c r="E608" t="s">
        <v>24</v>
      </c>
      <c r="F608" t="s">
        <v>39</v>
      </c>
      <c r="G608" t="str">
        <f>"2026-04-26 14:27:46.280"</f>
        <v>2026-04-26 14:27:46.280</v>
      </c>
      <c r="H608" t="s">
        <v>26</v>
      </c>
      <c r="I608">
        <v>0</v>
      </c>
      <c r="J608" t="s">
        <v>27</v>
      </c>
    </row>
    <row r="609" spans="1:10" x14ac:dyDescent="0.25">
      <c r="A609" s="1">
        <v>73</v>
      </c>
      <c r="B609" t="s">
        <v>19</v>
      </c>
      <c r="C609">
        <v>630</v>
      </c>
      <c r="D609">
        <v>5</v>
      </c>
      <c r="E609" t="s">
        <v>20</v>
      </c>
      <c r="F609" t="s">
        <v>83</v>
      </c>
      <c r="G609" t="str">
        <f>"2026-04-26 14:26:17.438"</f>
        <v>2026-04-26 14:26:17.438</v>
      </c>
      <c r="H609" t="s">
        <v>22</v>
      </c>
    </row>
    <row r="610" spans="1:10" x14ac:dyDescent="0.25">
      <c r="A610" s="1">
        <v>74</v>
      </c>
      <c r="B610" t="s">
        <v>28</v>
      </c>
      <c r="C610">
        <v>630</v>
      </c>
      <c r="D610">
        <v>5</v>
      </c>
      <c r="E610" t="s">
        <v>20</v>
      </c>
      <c r="F610" t="s">
        <v>83</v>
      </c>
      <c r="G610" t="str">
        <f>"2026-04-26 14:18:40.638"</f>
        <v>2026-04-26 14:18:40.638</v>
      </c>
      <c r="H610" t="s">
        <v>22</v>
      </c>
      <c r="I610">
        <v>0</v>
      </c>
      <c r="J610" t="s">
        <v>27</v>
      </c>
    </row>
    <row r="611" spans="1:10" x14ac:dyDescent="0.25">
      <c r="A611" s="1">
        <v>75</v>
      </c>
      <c r="B611" t="s">
        <v>28</v>
      </c>
      <c r="C611">
        <v>47</v>
      </c>
      <c r="D611">
        <v>2</v>
      </c>
      <c r="E611" t="s">
        <v>76</v>
      </c>
      <c r="F611" t="s">
        <v>77</v>
      </c>
      <c r="G611" t="str">
        <f>"2026-04-26 14:13:37.650"</f>
        <v>2026-04-26 14:13:37.650</v>
      </c>
      <c r="H611" t="s">
        <v>78</v>
      </c>
      <c r="I611">
        <v>0</v>
      </c>
      <c r="J611" t="s">
        <v>31</v>
      </c>
    </row>
    <row r="612" spans="1:10" x14ac:dyDescent="0.25">
      <c r="A612" s="1">
        <v>76</v>
      </c>
      <c r="B612" t="s">
        <v>23</v>
      </c>
      <c r="C612">
        <v>706</v>
      </c>
      <c r="D612">
        <v>4</v>
      </c>
      <c r="E612" t="s">
        <v>24</v>
      </c>
      <c r="F612" t="s">
        <v>25</v>
      </c>
      <c r="G612" t="str">
        <f>"2026-04-25 12:57:19.310"</f>
        <v>2026-04-25 12:57:19.310</v>
      </c>
      <c r="H612" t="s">
        <v>26</v>
      </c>
      <c r="I612">
        <v>0</v>
      </c>
      <c r="J612" t="s">
        <v>27</v>
      </c>
    </row>
    <row r="613" spans="1:10" x14ac:dyDescent="0.25">
      <c r="A613" s="1">
        <v>77</v>
      </c>
      <c r="B613" t="s">
        <v>19</v>
      </c>
      <c r="C613">
        <v>49</v>
      </c>
      <c r="D613">
        <v>1</v>
      </c>
      <c r="E613" t="s">
        <v>34</v>
      </c>
      <c r="F613" t="s">
        <v>35</v>
      </c>
      <c r="G613" t="str">
        <f>"2026-04-25 12:56:11.851"</f>
        <v>2026-04-25 12:56:11.851</v>
      </c>
      <c r="H613" t="s">
        <v>36</v>
      </c>
    </row>
    <row r="614" spans="1:10" x14ac:dyDescent="0.25">
      <c r="A614" s="1">
        <v>79</v>
      </c>
      <c r="B614" t="s">
        <v>38</v>
      </c>
      <c r="C614">
        <v>49</v>
      </c>
      <c r="D614">
        <v>1</v>
      </c>
      <c r="E614" t="s">
        <v>34</v>
      </c>
      <c r="F614" t="s">
        <v>35</v>
      </c>
      <c r="G614" t="str">
        <f>"2026-04-25 12:35:30.951"</f>
        <v>2026-04-25 12:35:30.951</v>
      </c>
      <c r="H614" t="s">
        <v>36</v>
      </c>
      <c r="I614">
        <v>0</v>
      </c>
      <c r="J614" t="s">
        <v>27</v>
      </c>
    </row>
    <row r="615" spans="1:10" x14ac:dyDescent="0.25">
      <c r="A615" s="1">
        <v>81</v>
      </c>
      <c r="B615" t="s">
        <v>30</v>
      </c>
      <c r="C615">
        <v>47</v>
      </c>
      <c r="D615">
        <v>2</v>
      </c>
      <c r="E615" t="s">
        <v>76</v>
      </c>
      <c r="F615" t="s">
        <v>77</v>
      </c>
      <c r="G615" t="str">
        <f>"2026-04-24 13:36:32.050"</f>
        <v>2026-04-24 13:36:32.050</v>
      </c>
      <c r="H615" t="s">
        <v>78</v>
      </c>
    </row>
    <row r="616" spans="1:10" x14ac:dyDescent="0.25">
      <c r="A616" s="1">
        <v>82</v>
      </c>
      <c r="B616" t="s">
        <v>23</v>
      </c>
      <c r="C616">
        <v>706</v>
      </c>
      <c r="D616">
        <v>4</v>
      </c>
      <c r="E616" t="s">
        <v>24</v>
      </c>
      <c r="F616" t="s">
        <v>25</v>
      </c>
      <c r="G616" t="str">
        <f>"2026-04-24 13:36:29.830"</f>
        <v>2026-04-24 13:36:29.830</v>
      </c>
      <c r="H616" t="s">
        <v>26</v>
      </c>
      <c r="I616">
        <v>0</v>
      </c>
      <c r="J616" t="s">
        <v>27</v>
      </c>
    </row>
    <row r="617" spans="1:10" x14ac:dyDescent="0.25">
      <c r="A617" s="1">
        <v>83</v>
      </c>
      <c r="B617" t="s">
        <v>19</v>
      </c>
      <c r="C617">
        <v>49</v>
      </c>
      <c r="D617">
        <v>1</v>
      </c>
      <c r="E617" t="s">
        <v>34</v>
      </c>
      <c r="F617" t="s">
        <v>35</v>
      </c>
      <c r="G617" t="str">
        <f>"2026-04-24 13:31:39.851"</f>
        <v>2026-04-24 13:31:39.851</v>
      </c>
      <c r="H617" t="s">
        <v>36</v>
      </c>
    </row>
    <row r="618" spans="1:10" x14ac:dyDescent="0.25">
      <c r="A618" s="1">
        <v>85</v>
      </c>
      <c r="B618" t="s">
        <v>38</v>
      </c>
      <c r="C618">
        <v>49</v>
      </c>
      <c r="D618">
        <v>1</v>
      </c>
      <c r="E618" t="s">
        <v>34</v>
      </c>
      <c r="F618" t="s">
        <v>35</v>
      </c>
      <c r="G618" t="str">
        <f>"2026-04-24 13:01:49.351"</f>
        <v>2026-04-24 13:01:49.351</v>
      </c>
      <c r="H618" t="s">
        <v>36</v>
      </c>
      <c r="I618">
        <v>0</v>
      </c>
      <c r="J618" t="s">
        <v>27</v>
      </c>
    </row>
    <row r="619" spans="1:10" x14ac:dyDescent="0.25">
      <c r="A619" s="1">
        <v>87</v>
      </c>
      <c r="B619" t="s">
        <v>28</v>
      </c>
      <c r="C619">
        <v>47</v>
      </c>
      <c r="D619">
        <v>2</v>
      </c>
      <c r="E619" t="s">
        <v>76</v>
      </c>
      <c r="F619" t="s">
        <v>77</v>
      </c>
      <c r="G619" t="str">
        <f>"2026-04-24 13:00:40.651"</f>
        <v>2026-04-24 13:00:40.651</v>
      </c>
      <c r="H619" t="s">
        <v>78</v>
      </c>
      <c r="I619">
        <v>0</v>
      </c>
      <c r="J619" t="s">
        <v>31</v>
      </c>
    </row>
    <row r="620" spans="1:10" x14ac:dyDescent="0.25">
      <c r="A620" s="1">
        <v>88</v>
      </c>
      <c r="B620" t="s">
        <v>23</v>
      </c>
      <c r="C620">
        <v>706</v>
      </c>
      <c r="D620">
        <v>2</v>
      </c>
      <c r="E620" t="s">
        <v>24</v>
      </c>
      <c r="F620" t="s">
        <v>39</v>
      </c>
      <c r="G620" t="str">
        <f>"2026-04-23 23:45:02.980"</f>
        <v>2026-04-23 23:45:02.980</v>
      </c>
      <c r="H620" t="s">
        <v>26</v>
      </c>
      <c r="I620">
        <v>0</v>
      </c>
      <c r="J620" t="s">
        <v>27</v>
      </c>
    </row>
    <row r="621" spans="1:10" x14ac:dyDescent="0.25">
      <c r="A621" s="1">
        <v>89</v>
      </c>
      <c r="B621" t="s">
        <v>19</v>
      </c>
      <c r="C621">
        <v>49</v>
      </c>
      <c r="D621">
        <v>1</v>
      </c>
      <c r="E621" t="s">
        <v>34</v>
      </c>
      <c r="F621" t="s">
        <v>35</v>
      </c>
      <c r="G621" t="str">
        <f>"2026-04-23 23:44:37.951"</f>
        <v>2026-04-23 23:44:37.951</v>
      </c>
      <c r="H621" t="s">
        <v>36</v>
      </c>
    </row>
    <row r="622" spans="1:10" x14ac:dyDescent="0.25">
      <c r="A622" s="1">
        <v>91</v>
      </c>
      <c r="B622" t="s">
        <v>38</v>
      </c>
      <c r="C622">
        <v>49</v>
      </c>
      <c r="D622">
        <v>1</v>
      </c>
      <c r="E622" t="s">
        <v>34</v>
      </c>
      <c r="F622" t="s">
        <v>35</v>
      </c>
      <c r="G622" t="str">
        <f>"2026-04-23 23:38:08.351"</f>
        <v>2026-04-23 23:38:08.351</v>
      </c>
      <c r="H622" t="s">
        <v>36</v>
      </c>
      <c r="I622">
        <v>0</v>
      </c>
      <c r="J622" t="s">
        <v>27</v>
      </c>
    </row>
    <row r="623" spans="1:10" s="3" customFormat="1" x14ac:dyDescent="0.25">
      <c r="A623" s="2">
        <v>93</v>
      </c>
      <c r="B623" s="3" t="s">
        <v>19</v>
      </c>
      <c r="C623" s="3">
        <v>647</v>
      </c>
      <c r="D623" s="3">
        <v>1</v>
      </c>
      <c r="E623" s="3" t="s">
        <v>69</v>
      </c>
      <c r="F623" s="3" t="s">
        <v>70</v>
      </c>
      <c r="G623" s="3" t="str">
        <f>"2026-04-23 23:05:50.738"</f>
        <v>2026-04-23 23:05:50.738</v>
      </c>
      <c r="H623" s="3" t="s">
        <v>26</v>
      </c>
    </row>
    <row r="624" spans="1:10" s="3" customFormat="1" x14ac:dyDescent="0.25">
      <c r="A624" s="2">
        <v>94</v>
      </c>
      <c r="B624" s="3" t="s">
        <v>38</v>
      </c>
      <c r="C624" s="3">
        <v>647</v>
      </c>
      <c r="D624" s="3">
        <v>1</v>
      </c>
      <c r="E624" s="3" t="s">
        <v>69</v>
      </c>
      <c r="F624" s="3" t="s">
        <v>70</v>
      </c>
      <c r="G624" s="3" t="str">
        <f>"2026-04-23 23:05:46.638"</f>
        <v>2026-04-23 23:05:46.638</v>
      </c>
      <c r="H624" s="3" t="s">
        <v>26</v>
      </c>
      <c r="I624" s="3">
        <v>17.61</v>
      </c>
      <c r="J624" s="3" t="s">
        <v>29</v>
      </c>
    </row>
    <row r="625" spans="1:10" x14ac:dyDescent="0.25">
      <c r="A625" s="1">
        <v>95</v>
      </c>
      <c r="B625" t="s">
        <v>19</v>
      </c>
      <c r="C625">
        <v>635</v>
      </c>
      <c r="D625">
        <v>1</v>
      </c>
      <c r="E625" t="s">
        <v>40</v>
      </c>
      <c r="F625" t="s">
        <v>41</v>
      </c>
      <c r="G625" t="str">
        <f>"2026-04-23 17:17:24.190"</f>
        <v>2026-04-23 17:17:24.190</v>
      </c>
      <c r="H625" t="s">
        <v>26</v>
      </c>
    </row>
    <row r="626" spans="1:10" x14ac:dyDescent="0.25">
      <c r="A626" s="1">
        <v>96</v>
      </c>
      <c r="B626" t="s">
        <v>38</v>
      </c>
      <c r="C626">
        <v>635</v>
      </c>
      <c r="D626">
        <v>1</v>
      </c>
      <c r="E626" t="s">
        <v>40</v>
      </c>
      <c r="F626" t="s">
        <v>41</v>
      </c>
      <c r="G626" t="str">
        <f>"2026-04-23 17:05:51.690"</f>
        <v>2026-04-23 17:05:51.690</v>
      </c>
      <c r="H626" t="s">
        <v>26</v>
      </c>
      <c r="I626">
        <v>7</v>
      </c>
      <c r="J626" t="s">
        <v>31</v>
      </c>
    </row>
    <row r="627" spans="1:10" x14ac:dyDescent="0.25">
      <c r="A627" s="1">
        <v>98</v>
      </c>
      <c r="B627" t="s">
        <v>23</v>
      </c>
      <c r="C627">
        <v>700</v>
      </c>
      <c r="D627">
        <v>0</v>
      </c>
      <c r="E627" t="s">
        <v>37</v>
      </c>
      <c r="F627" t="s">
        <v>37</v>
      </c>
      <c r="G627" t="str">
        <f>"2026-04-23 06:27:01.710"</f>
        <v>2026-04-23 06:27:01.710</v>
      </c>
      <c r="H627" t="s">
        <v>26</v>
      </c>
    </row>
    <row r="628" spans="1:10" x14ac:dyDescent="0.25">
      <c r="A628" s="1">
        <v>0</v>
      </c>
      <c r="B628" t="s">
        <v>28</v>
      </c>
      <c r="C628">
        <v>47</v>
      </c>
      <c r="D628">
        <v>2</v>
      </c>
      <c r="E628" t="s">
        <v>76</v>
      </c>
      <c r="F628" t="s">
        <v>77</v>
      </c>
      <c r="G628" t="str">
        <f>"2026-04-23 06:14:38.533"</f>
        <v>2026-04-23 06:14:38.533</v>
      </c>
      <c r="H628" t="s">
        <v>78</v>
      </c>
      <c r="I628">
        <v>0</v>
      </c>
      <c r="J628" t="s">
        <v>31</v>
      </c>
    </row>
    <row r="629" spans="1:10" x14ac:dyDescent="0.25">
      <c r="A629" s="1">
        <v>2</v>
      </c>
      <c r="B629" t="s">
        <v>23</v>
      </c>
      <c r="C629">
        <v>700</v>
      </c>
      <c r="D629">
        <v>0</v>
      </c>
      <c r="E629" t="s">
        <v>37</v>
      </c>
      <c r="F629" t="s">
        <v>37</v>
      </c>
      <c r="G629" t="str">
        <f>"2026-04-22 13:31:47.713"</f>
        <v>2026-04-22 13:31:47.713</v>
      </c>
      <c r="H629" t="s">
        <v>26</v>
      </c>
      <c r="I629">
        <v>0</v>
      </c>
      <c r="J629" t="s">
        <v>43</v>
      </c>
    </row>
    <row r="630" spans="1:10" x14ac:dyDescent="0.25">
      <c r="A630" s="1">
        <v>4</v>
      </c>
      <c r="B630" t="s">
        <v>30</v>
      </c>
      <c r="C630">
        <v>33</v>
      </c>
      <c r="D630">
        <v>1</v>
      </c>
      <c r="E630" t="s">
        <v>65</v>
      </c>
      <c r="F630" t="s">
        <v>66</v>
      </c>
      <c r="G630" t="str">
        <f>"2026-04-22 02:41:25.819"</f>
        <v>2026-04-22 02:41:25.819</v>
      </c>
      <c r="H630" t="s">
        <v>67</v>
      </c>
    </row>
    <row r="631" spans="1:10" x14ac:dyDescent="0.25">
      <c r="A631" s="1">
        <v>5</v>
      </c>
      <c r="B631" t="s">
        <v>28</v>
      </c>
      <c r="C631">
        <v>33</v>
      </c>
      <c r="D631">
        <v>1</v>
      </c>
      <c r="E631" t="s">
        <v>65</v>
      </c>
      <c r="F631" t="s">
        <v>66</v>
      </c>
      <c r="G631" t="str">
        <f>"2026-04-22 02:41:16.577"</f>
        <v>2026-04-22 02:41:16.577</v>
      </c>
      <c r="H631" t="s">
        <v>67</v>
      </c>
      <c r="I631">
        <v>8.17</v>
      </c>
      <c r="J631" t="s">
        <v>42</v>
      </c>
    </row>
    <row r="632" spans="1:10" x14ac:dyDescent="0.25">
      <c r="A632" s="1">
        <v>6</v>
      </c>
      <c r="B632" t="s">
        <v>19</v>
      </c>
      <c r="C632">
        <v>250</v>
      </c>
      <c r="D632">
        <v>7</v>
      </c>
      <c r="E632" t="s">
        <v>51</v>
      </c>
      <c r="F632" t="s">
        <v>50</v>
      </c>
      <c r="G632" t="str">
        <f>"2026-04-22 01:10:26.419"</f>
        <v>2026-04-22 01:10:26.419</v>
      </c>
      <c r="H632" t="s">
        <v>26</v>
      </c>
    </row>
    <row r="633" spans="1:10" x14ac:dyDescent="0.25">
      <c r="A633" s="1">
        <v>7</v>
      </c>
      <c r="B633" t="s">
        <v>19</v>
      </c>
      <c r="C633">
        <v>107</v>
      </c>
      <c r="D633">
        <v>2</v>
      </c>
      <c r="E633" t="s">
        <v>52</v>
      </c>
      <c r="F633" t="s">
        <v>46</v>
      </c>
      <c r="G633" t="str">
        <f>"2026-04-22 01:10:18.219"</f>
        <v>2026-04-22 01:10:18.219</v>
      </c>
      <c r="H633" t="s">
        <v>53</v>
      </c>
    </row>
    <row r="634" spans="1:10" x14ac:dyDescent="0.25">
      <c r="A634" s="1">
        <v>8</v>
      </c>
      <c r="B634" t="s">
        <v>19</v>
      </c>
      <c r="C634">
        <v>207</v>
      </c>
      <c r="D634">
        <v>2</v>
      </c>
      <c r="E634" t="s">
        <v>45</v>
      </c>
      <c r="F634" t="s">
        <v>46</v>
      </c>
      <c r="G634" t="str">
        <f>"2026-04-22 01:10:12.019"</f>
        <v>2026-04-22 01:10:12.019</v>
      </c>
      <c r="H634" t="s">
        <v>47</v>
      </c>
    </row>
    <row r="635" spans="1:10" x14ac:dyDescent="0.25">
      <c r="A635" s="1">
        <v>9</v>
      </c>
      <c r="B635" t="s">
        <v>19</v>
      </c>
      <c r="C635">
        <v>248</v>
      </c>
      <c r="D635">
        <v>7</v>
      </c>
      <c r="E635" t="s">
        <v>56</v>
      </c>
      <c r="F635" t="s">
        <v>57</v>
      </c>
      <c r="G635" t="str">
        <f>"2026-04-22 01:10:00.420"</f>
        <v>2026-04-22 01:10:00.420</v>
      </c>
      <c r="H635" t="s">
        <v>26</v>
      </c>
    </row>
    <row r="636" spans="1:10" x14ac:dyDescent="0.25">
      <c r="A636" s="1">
        <v>11</v>
      </c>
      <c r="B636" t="s">
        <v>23</v>
      </c>
      <c r="C636">
        <v>700</v>
      </c>
      <c r="D636">
        <v>0</v>
      </c>
      <c r="E636" t="s">
        <v>37</v>
      </c>
      <c r="F636" t="s">
        <v>37</v>
      </c>
      <c r="G636" t="str">
        <f>"2026-04-22 01:08:24.689"</f>
        <v>2026-04-22 01:08:24.689</v>
      </c>
      <c r="H636" t="s">
        <v>26</v>
      </c>
      <c r="I636">
        <v>0</v>
      </c>
      <c r="J636" t="s">
        <v>43</v>
      </c>
    </row>
    <row r="637" spans="1:10" x14ac:dyDescent="0.25">
      <c r="A637" s="1">
        <v>13</v>
      </c>
      <c r="B637" t="s">
        <v>19</v>
      </c>
      <c r="C637">
        <v>43</v>
      </c>
      <c r="D637">
        <v>2</v>
      </c>
      <c r="E637" t="s">
        <v>54</v>
      </c>
      <c r="F637" t="s">
        <v>55</v>
      </c>
      <c r="G637" t="str">
        <f>"2026-04-22 01:05:25.017"</f>
        <v>2026-04-22 01:05:25.017</v>
      </c>
      <c r="H637" t="s">
        <v>22</v>
      </c>
    </row>
    <row r="638" spans="1:10" x14ac:dyDescent="0.25">
      <c r="A638" s="1">
        <v>14</v>
      </c>
      <c r="B638" t="s">
        <v>19</v>
      </c>
      <c r="C638">
        <v>43</v>
      </c>
      <c r="D638">
        <v>1</v>
      </c>
      <c r="E638" t="s">
        <v>54</v>
      </c>
      <c r="F638" t="s">
        <v>55</v>
      </c>
      <c r="G638" t="str">
        <f>"2026-04-22 01:05:25.015"</f>
        <v>2026-04-22 01:05:25.015</v>
      </c>
      <c r="H638" t="s">
        <v>22</v>
      </c>
    </row>
    <row r="639" spans="1:10" x14ac:dyDescent="0.25">
      <c r="A639" s="1">
        <v>15</v>
      </c>
      <c r="B639" t="s">
        <v>19</v>
      </c>
      <c r="C639">
        <v>4</v>
      </c>
      <c r="D639">
        <v>1</v>
      </c>
      <c r="E639" t="s">
        <v>73</v>
      </c>
      <c r="F639" t="s">
        <v>74</v>
      </c>
      <c r="G639" t="str">
        <f>"2026-04-22 01:05:20.054"</f>
        <v>2026-04-22 01:05:20.054</v>
      </c>
      <c r="H639" t="s">
        <v>75</v>
      </c>
    </row>
    <row r="640" spans="1:10" x14ac:dyDescent="0.25">
      <c r="A640" s="1">
        <v>18</v>
      </c>
      <c r="B640" t="s">
        <v>38</v>
      </c>
      <c r="C640">
        <v>4</v>
      </c>
      <c r="D640">
        <v>1</v>
      </c>
      <c r="E640" t="s">
        <v>73</v>
      </c>
      <c r="F640" t="s">
        <v>74</v>
      </c>
      <c r="G640" t="str">
        <f>"2026-04-22 01:05:15.034"</f>
        <v>2026-04-22 01:05:15.034</v>
      </c>
      <c r="H640" t="s">
        <v>75</v>
      </c>
      <c r="I640">
        <v>0</v>
      </c>
      <c r="J640" t="s">
        <v>27</v>
      </c>
    </row>
    <row r="641" spans="1:10" x14ac:dyDescent="0.25">
      <c r="A641" s="1">
        <v>21</v>
      </c>
      <c r="B641" t="s">
        <v>38</v>
      </c>
      <c r="C641">
        <v>43</v>
      </c>
      <c r="D641">
        <v>1</v>
      </c>
      <c r="E641" t="s">
        <v>54</v>
      </c>
      <c r="F641" t="s">
        <v>55</v>
      </c>
      <c r="G641" t="str">
        <f>"2026-04-22 01:04:44.315"</f>
        <v>2026-04-22 01:04:44.315</v>
      </c>
      <c r="H641" t="s">
        <v>22</v>
      </c>
      <c r="I641">
        <v>0</v>
      </c>
      <c r="J641" t="s">
        <v>27</v>
      </c>
    </row>
    <row r="642" spans="1:10" x14ac:dyDescent="0.25">
      <c r="A642" s="1">
        <v>24</v>
      </c>
      <c r="B642" t="s">
        <v>38</v>
      </c>
      <c r="C642">
        <v>248</v>
      </c>
      <c r="D642">
        <v>7</v>
      </c>
      <c r="E642" t="s">
        <v>56</v>
      </c>
      <c r="F642" t="s">
        <v>57</v>
      </c>
      <c r="G642" t="str">
        <f>"2026-04-22 01:03:59.379"</f>
        <v>2026-04-22 01:03:59.379</v>
      </c>
      <c r="H642" t="s">
        <v>26</v>
      </c>
      <c r="I642">
        <v>0</v>
      </c>
      <c r="J642" t="s">
        <v>27</v>
      </c>
    </row>
    <row r="643" spans="1:10" x14ac:dyDescent="0.25">
      <c r="A643" s="1">
        <v>25</v>
      </c>
      <c r="B643" t="s">
        <v>48</v>
      </c>
      <c r="C643">
        <v>248</v>
      </c>
      <c r="D643">
        <v>7</v>
      </c>
      <c r="E643" t="s">
        <v>56</v>
      </c>
      <c r="F643" t="s">
        <v>57</v>
      </c>
      <c r="G643" t="str">
        <f>"2026-04-22 01:03:59.095"</f>
        <v>2026-04-22 01:03:59.095</v>
      </c>
      <c r="H643" t="s">
        <v>26</v>
      </c>
    </row>
    <row r="644" spans="1:10" x14ac:dyDescent="0.25">
      <c r="A644" s="1">
        <v>26</v>
      </c>
      <c r="B644" t="s">
        <v>38</v>
      </c>
      <c r="C644">
        <v>250</v>
      </c>
      <c r="D644">
        <v>7</v>
      </c>
      <c r="E644" t="s">
        <v>51</v>
      </c>
      <c r="F644" t="s">
        <v>50</v>
      </c>
      <c r="G644" t="str">
        <f>"2026-04-22 01:03:58.739"</f>
        <v>2026-04-22 01:03:58.739</v>
      </c>
      <c r="H644" t="s">
        <v>26</v>
      </c>
      <c r="I644">
        <v>0</v>
      </c>
      <c r="J644" t="s">
        <v>27</v>
      </c>
    </row>
    <row r="645" spans="1:10" x14ac:dyDescent="0.25">
      <c r="A645" s="1">
        <v>27</v>
      </c>
      <c r="B645" t="s">
        <v>48</v>
      </c>
      <c r="C645">
        <v>250</v>
      </c>
      <c r="D645">
        <v>7</v>
      </c>
      <c r="E645" t="s">
        <v>51</v>
      </c>
      <c r="F645" t="s">
        <v>50</v>
      </c>
      <c r="G645" t="str">
        <f>"2026-04-22 01:03:58.395"</f>
        <v>2026-04-22 01:03:58.395</v>
      </c>
      <c r="H645" t="s">
        <v>26</v>
      </c>
    </row>
    <row r="646" spans="1:10" x14ac:dyDescent="0.25">
      <c r="A646" s="1">
        <v>28</v>
      </c>
      <c r="B646" t="s">
        <v>28</v>
      </c>
      <c r="C646">
        <v>248</v>
      </c>
      <c r="D646">
        <v>7</v>
      </c>
      <c r="E646" t="s">
        <v>56</v>
      </c>
      <c r="F646" t="s">
        <v>57</v>
      </c>
      <c r="G646" t="str">
        <f>"2026-04-22 01:03:54.019"</f>
        <v>2026-04-22 01:03:54.019</v>
      </c>
      <c r="H646" t="s">
        <v>26</v>
      </c>
      <c r="I646">
        <v>0</v>
      </c>
      <c r="J646" t="s">
        <v>27</v>
      </c>
    </row>
    <row r="647" spans="1:10" x14ac:dyDescent="0.25">
      <c r="A647" s="1">
        <v>29</v>
      </c>
      <c r="B647" t="s">
        <v>28</v>
      </c>
      <c r="C647">
        <v>250</v>
      </c>
      <c r="D647">
        <v>7</v>
      </c>
      <c r="E647" t="s">
        <v>51</v>
      </c>
      <c r="F647" t="s">
        <v>50</v>
      </c>
      <c r="G647" t="str">
        <f>"2026-04-22 01:03:53.339"</f>
        <v>2026-04-22 01:03:53.339</v>
      </c>
      <c r="H647" t="s">
        <v>26</v>
      </c>
      <c r="I647">
        <v>0</v>
      </c>
      <c r="J647" t="s">
        <v>27</v>
      </c>
    </row>
    <row r="648" spans="1:10" x14ac:dyDescent="0.25">
      <c r="A648" s="1">
        <v>30</v>
      </c>
      <c r="B648" t="s">
        <v>38</v>
      </c>
      <c r="C648">
        <v>207</v>
      </c>
      <c r="D648">
        <v>2</v>
      </c>
      <c r="E648" t="s">
        <v>45</v>
      </c>
      <c r="F648" t="s">
        <v>46</v>
      </c>
      <c r="G648" t="str">
        <f>"2026-04-22 01:03:52.719"</f>
        <v>2026-04-22 01:03:52.719</v>
      </c>
      <c r="H648" t="s">
        <v>47</v>
      </c>
      <c r="I648">
        <v>0</v>
      </c>
      <c r="J648" t="s">
        <v>27</v>
      </c>
    </row>
    <row r="649" spans="1:10" x14ac:dyDescent="0.25">
      <c r="A649" s="1">
        <v>31</v>
      </c>
      <c r="B649" t="s">
        <v>38</v>
      </c>
      <c r="C649">
        <v>107</v>
      </c>
      <c r="D649">
        <v>2</v>
      </c>
      <c r="E649" t="s">
        <v>52</v>
      </c>
      <c r="F649" t="s">
        <v>46</v>
      </c>
      <c r="G649" t="str">
        <f>"2026-04-22 01:03:52.099"</f>
        <v>2026-04-22 01:03:52.099</v>
      </c>
      <c r="H649" t="s">
        <v>53</v>
      </c>
      <c r="I649">
        <v>0</v>
      </c>
      <c r="J649" t="s">
        <v>27</v>
      </c>
    </row>
    <row r="650" spans="1:10" x14ac:dyDescent="0.25">
      <c r="A650" s="1">
        <v>32</v>
      </c>
      <c r="B650" t="s">
        <v>38</v>
      </c>
      <c r="C650">
        <v>43</v>
      </c>
      <c r="D650">
        <v>2</v>
      </c>
      <c r="E650" t="s">
        <v>54</v>
      </c>
      <c r="F650" t="s">
        <v>55</v>
      </c>
      <c r="G650" t="str">
        <f>"2026-04-22 01:03:51.815"</f>
        <v>2026-04-22 01:03:51.815</v>
      </c>
      <c r="H650" t="s">
        <v>22</v>
      </c>
      <c r="I650">
        <v>0</v>
      </c>
      <c r="J650" t="s">
        <v>27</v>
      </c>
    </row>
    <row r="651" spans="1:10" x14ac:dyDescent="0.25">
      <c r="A651" s="1">
        <v>35</v>
      </c>
      <c r="B651" t="s">
        <v>23</v>
      </c>
      <c r="C651">
        <v>782</v>
      </c>
      <c r="D651">
        <v>7</v>
      </c>
      <c r="E651" t="s">
        <v>32</v>
      </c>
      <c r="F651" t="s">
        <v>33</v>
      </c>
      <c r="G651" t="str">
        <f>"2026-04-22 01:03:51.776"</f>
        <v>2026-04-22 01:03:51.776</v>
      </c>
      <c r="H651" t="s">
        <v>26</v>
      </c>
      <c r="I651">
        <v>0</v>
      </c>
      <c r="J651" t="s">
        <v>27</v>
      </c>
    </row>
    <row r="652" spans="1:10" x14ac:dyDescent="0.25">
      <c r="A652" s="1">
        <v>38</v>
      </c>
      <c r="B652" t="s">
        <v>19</v>
      </c>
      <c r="C652">
        <v>250</v>
      </c>
      <c r="D652">
        <v>7</v>
      </c>
      <c r="E652" t="s">
        <v>51</v>
      </c>
      <c r="F652" t="s">
        <v>50</v>
      </c>
      <c r="G652" t="str">
        <f>"2026-04-22 01:03:51.770"</f>
        <v>2026-04-22 01:03:51.770</v>
      </c>
      <c r="H652" t="s">
        <v>26</v>
      </c>
    </row>
    <row r="653" spans="1:10" x14ac:dyDescent="0.25">
      <c r="A653" s="1">
        <v>39</v>
      </c>
      <c r="B653" t="s">
        <v>19</v>
      </c>
      <c r="C653">
        <v>248</v>
      </c>
      <c r="D653">
        <v>7</v>
      </c>
      <c r="E653" t="s">
        <v>56</v>
      </c>
      <c r="F653" t="s">
        <v>57</v>
      </c>
      <c r="G653" t="str">
        <f>"2026-04-22 01:03:51.768"</f>
        <v>2026-04-22 01:03:51.768</v>
      </c>
      <c r="H653" t="s">
        <v>26</v>
      </c>
    </row>
    <row r="654" spans="1:10" x14ac:dyDescent="0.25">
      <c r="A654" s="1">
        <v>40</v>
      </c>
      <c r="B654" t="s">
        <v>19</v>
      </c>
      <c r="C654">
        <v>207</v>
      </c>
      <c r="D654">
        <v>2</v>
      </c>
      <c r="E654" t="s">
        <v>45</v>
      </c>
      <c r="F654" t="s">
        <v>46</v>
      </c>
      <c r="G654" t="str">
        <f>"2026-04-22 01:03:51.765"</f>
        <v>2026-04-22 01:03:51.765</v>
      </c>
      <c r="H654" t="s">
        <v>47</v>
      </c>
    </row>
    <row r="655" spans="1:10" x14ac:dyDescent="0.25">
      <c r="A655" s="1">
        <v>41</v>
      </c>
      <c r="B655" t="s">
        <v>19</v>
      </c>
      <c r="C655">
        <v>150</v>
      </c>
      <c r="D655">
        <v>7</v>
      </c>
      <c r="E655" t="s">
        <v>49</v>
      </c>
      <c r="F655" t="s">
        <v>50</v>
      </c>
      <c r="G655" t="str">
        <f>"2026-04-22 01:03:51.763"</f>
        <v>2026-04-22 01:03:51.763</v>
      </c>
      <c r="H655" t="s">
        <v>26</v>
      </c>
    </row>
    <row r="656" spans="1:10" x14ac:dyDescent="0.25">
      <c r="A656" s="1">
        <v>42</v>
      </c>
      <c r="B656" t="s">
        <v>19</v>
      </c>
      <c r="C656">
        <v>107</v>
      </c>
      <c r="D656">
        <v>2</v>
      </c>
      <c r="E656" t="s">
        <v>52</v>
      </c>
      <c r="F656" t="s">
        <v>46</v>
      </c>
      <c r="G656" t="str">
        <f>"2026-04-22 01:03:51.760"</f>
        <v>2026-04-22 01:03:51.760</v>
      </c>
      <c r="H656" t="s">
        <v>53</v>
      </c>
    </row>
    <row r="657" spans="1:10" x14ac:dyDescent="0.25">
      <c r="A657" s="1">
        <v>43</v>
      </c>
      <c r="B657" t="s">
        <v>19</v>
      </c>
      <c r="C657">
        <v>43</v>
      </c>
      <c r="D657">
        <v>2</v>
      </c>
      <c r="E657" t="s">
        <v>54</v>
      </c>
      <c r="F657" t="s">
        <v>55</v>
      </c>
      <c r="G657" t="str">
        <f>"2026-04-22 01:03:51.757"</f>
        <v>2026-04-22 01:03:51.757</v>
      </c>
      <c r="H657" t="s">
        <v>22</v>
      </c>
    </row>
    <row r="658" spans="1:10" x14ac:dyDescent="0.25">
      <c r="A658" s="1">
        <v>44</v>
      </c>
      <c r="B658" t="s">
        <v>23</v>
      </c>
      <c r="C658">
        <v>782</v>
      </c>
      <c r="D658">
        <v>7</v>
      </c>
      <c r="E658" t="s">
        <v>32</v>
      </c>
      <c r="F658" t="s">
        <v>33</v>
      </c>
      <c r="G658" t="str">
        <f>"2026-04-22 01:03:51.755"</f>
        <v>2026-04-22 01:03:51.755</v>
      </c>
      <c r="H658" t="s">
        <v>26</v>
      </c>
      <c r="I658">
        <v>0</v>
      </c>
      <c r="J658" t="s">
        <v>27</v>
      </c>
    </row>
    <row r="659" spans="1:10" x14ac:dyDescent="0.25">
      <c r="A659" s="1">
        <v>46</v>
      </c>
      <c r="B659" t="s">
        <v>38</v>
      </c>
      <c r="C659">
        <v>43</v>
      </c>
      <c r="D659">
        <v>2</v>
      </c>
      <c r="E659" t="s">
        <v>54</v>
      </c>
      <c r="F659" t="s">
        <v>55</v>
      </c>
      <c r="G659" t="str">
        <f>"2026-04-22 00:59:48.516"</f>
        <v>2026-04-22 00:59:48.516</v>
      </c>
      <c r="H659" t="s">
        <v>22</v>
      </c>
      <c r="I659">
        <v>0</v>
      </c>
      <c r="J659" t="s">
        <v>27</v>
      </c>
    </row>
    <row r="660" spans="1:10" x14ac:dyDescent="0.25">
      <c r="A660" s="1">
        <v>47</v>
      </c>
      <c r="B660" t="s">
        <v>38</v>
      </c>
      <c r="C660">
        <v>248</v>
      </c>
      <c r="D660">
        <v>7</v>
      </c>
      <c r="E660" t="s">
        <v>56</v>
      </c>
      <c r="F660" t="s">
        <v>57</v>
      </c>
      <c r="G660" t="str">
        <f>"2026-04-22 00:59:42.619"</f>
        <v>2026-04-22 00:59:42.619</v>
      </c>
      <c r="H660" t="s">
        <v>26</v>
      </c>
      <c r="I660">
        <v>0</v>
      </c>
      <c r="J660" t="s">
        <v>27</v>
      </c>
    </row>
    <row r="661" spans="1:10" x14ac:dyDescent="0.25">
      <c r="A661" s="1">
        <v>48</v>
      </c>
      <c r="B661" t="s">
        <v>38</v>
      </c>
      <c r="C661">
        <v>250</v>
      </c>
      <c r="D661">
        <v>7</v>
      </c>
      <c r="E661" t="s">
        <v>51</v>
      </c>
      <c r="F661" t="s">
        <v>50</v>
      </c>
      <c r="G661" t="str">
        <f>"2026-04-22 00:59:42.459"</f>
        <v>2026-04-22 00:59:42.459</v>
      </c>
      <c r="H661" t="s">
        <v>26</v>
      </c>
      <c r="I661">
        <v>0</v>
      </c>
      <c r="J661" t="s">
        <v>27</v>
      </c>
    </row>
    <row r="662" spans="1:10" x14ac:dyDescent="0.25">
      <c r="A662" s="1">
        <v>49</v>
      </c>
      <c r="B662" t="s">
        <v>48</v>
      </c>
      <c r="C662">
        <v>250</v>
      </c>
      <c r="D662">
        <v>7</v>
      </c>
      <c r="E662" t="s">
        <v>51</v>
      </c>
      <c r="F662" t="s">
        <v>50</v>
      </c>
      <c r="G662" t="str">
        <f>"2026-04-22 00:59:42.395"</f>
        <v>2026-04-22 00:59:42.395</v>
      </c>
      <c r="H662" t="s">
        <v>26</v>
      </c>
    </row>
    <row r="663" spans="1:10" x14ac:dyDescent="0.25">
      <c r="A663" s="1">
        <v>50</v>
      </c>
      <c r="B663" t="s">
        <v>48</v>
      </c>
      <c r="C663">
        <v>248</v>
      </c>
      <c r="D663">
        <v>7</v>
      </c>
      <c r="E663" t="s">
        <v>56</v>
      </c>
      <c r="F663" t="s">
        <v>57</v>
      </c>
      <c r="G663" t="str">
        <f>"2026-04-22 00:59:42.295"</f>
        <v>2026-04-22 00:59:42.295</v>
      </c>
      <c r="H663" t="s">
        <v>26</v>
      </c>
    </row>
    <row r="664" spans="1:10" x14ac:dyDescent="0.25">
      <c r="A664" s="1">
        <v>51</v>
      </c>
      <c r="B664" t="s">
        <v>38</v>
      </c>
      <c r="C664">
        <v>150</v>
      </c>
      <c r="D664">
        <v>7</v>
      </c>
      <c r="E664" t="s">
        <v>49</v>
      </c>
      <c r="F664" t="s">
        <v>50</v>
      </c>
      <c r="G664" t="str">
        <f>"2026-04-22 00:59:41.179"</f>
        <v>2026-04-22 00:59:41.179</v>
      </c>
      <c r="H664" t="s">
        <v>26</v>
      </c>
      <c r="I664">
        <v>0</v>
      </c>
      <c r="J664" t="s">
        <v>27</v>
      </c>
    </row>
    <row r="665" spans="1:10" x14ac:dyDescent="0.25">
      <c r="A665" s="1">
        <v>52</v>
      </c>
      <c r="B665" t="s">
        <v>48</v>
      </c>
      <c r="C665">
        <v>150</v>
      </c>
      <c r="D665">
        <v>7</v>
      </c>
      <c r="E665" t="s">
        <v>49</v>
      </c>
      <c r="F665" t="s">
        <v>50</v>
      </c>
      <c r="G665" t="str">
        <f>"2026-04-22 00:59:41.096"</f>
        <v>2026-04-22 00:59:41.096</v>
      </c>
      <c r="H665" t="s">
        <v>26</v>
      </c>
    </row>
    <row r="666" spans="1:10" x14ac:dyDescent="0.25">
      <c r="A666" s="1">
        <v>53</v>
      </c>
      <c r="B666" t="s">
        <v>48</v>
      </c>
      <c r="C666">
        <v>148</v>
      </c>
      <c r="D666">
        <v>7</v>
      </c>
      <c r="E666" t="s">
        <v>58</v>
      </c>
      <c r="F666" t="s">
        <v>57</v>
      </c>
      <c r="G666" t="str">
        <f>"2026-04-22 00:59:40.997"</f>
        <v>2026-04-22 00:59:40.997</v>
      </c>
      <c r="H666" t="s">
        <v>26</v>
      </c>
    </row>
    <row r="667" spans="1:10" x14ac:dyDescent="0.25">
      <c r="A667" s="1">
        <v>54</v>
      </c>
      <c r="B667" t="s">
        <v>28</v>
      </c>
      <c r="C667">
        <v>250</v>
      </c>
      <c r="D667">
        <v>7</v>
      </c>
      <c r="E667" t="s">
        <v>51</v>
      </c>
      <c r="F667" t="s">
        <v>50</v>
      </c>
      <c r="G667" t="str">
        <f>"2026-04-22 00:59:37.281"</f>
        <v>2026-04-22 00:59:37.281</v>
      </c>
      <c r="H667" t="s">
        <v>26</v>
      </c>
      <c r="I667">
        <v>0</v>
      </c>
      <c r="J667" t="s">
        <v>27</v>
      </c>
    </row>
    <row r="668" spans="1:10" x14ac:dyDescent="0.25">
      <c r="A668" s="1">
        <v>55</v>
      </c>
      <c r="B668" t="s">
        <v>28</v>
      </c>
      <c r="C668">
        <v>248</v>
      </c>
      <c r="D668">
        <v>7</v>
      </c>
      <c r="E668" t="s">
        <v>56</v>
      </c>
      <c r="F668" t="s">
        <v>57</v>
      </c>
      <c r="G668" t="str">
        <f>"2026-04-22 00:59:37.279"</f>
        <v>2026-04-22 00:59:37.279</v>
      </c>
      <c r="H668" t="s">
        <v>26</v>
      </c>
      <c r="I668">
        <v>0</v>
      </c>
      <c r="J668" t="s">
        <v>27</v>
      </c>
    </row>
    <row r="669" spans="1:10" x14ac:dyDescent="0.25">
      <c r="A669" s="1">
        <v>56</v>
      </c>
      <c r="B669" t="s">
        <v>38</v>
      </c>
      <c r="C669">
        <v>207</v>
      </c>
      <c r="D669">
        <v>2</v>
      </c>
      <c r="E669" t="s">
        <v>45</v>
      </c>
      <c r="F669" t="s">
        <v>46</v>
      </c>
      <c r="G669" t="str">
        <f>"2026-04-22 00:59:35.984"</f>
        <v>2026-04-22 00:59:35.984</v>
      </c>
      <c r="H669" t="s">
        <v>47</v>
      </c>
      <c r="I669">
        <v>0</v>
      </c>
      <c r="J669" t="s">
        <v>27</v>
      </c>
    </row>
    <row r="670" spans="1:10" x14ac:dyDescent="0.25">
      <c r="A670" s="1">
        <v>57</v>
      </c>
      <c r="B670" t="s">
        <v>28</v>
      </c>
      <c r="C670">
        <v>150</v>
      </c>
      <c r="D670">
        <v>7</v>
      </c>
      <c r="E670" t="s">
        <v>49</v>
      </c>
      <c r="F670" t="s">
        <v>50</v>
      </c>
      <c r="G670" t="str">
        <f>"2026-04-22 00:59:35.982"</f>
        <v>2026-04-22 00:59:35.982</v>
      </c>
      <c r="H670" t="s">
        <v>26</v>
      </c>
      <c r="I670">
        <v>0</v>
      </c>
      <c r="J670" t="s">
        <v>27</v>
      </c>
    </row>
    <row r="671" spans="1:10" x14ac:dyDescent="0.25">
      <c r="A671" s="1">
        <v>58</v>
      </c>
      <c r="B671" t="s">
        <v>28</v>
      </c>
      <c r="C671">
        <v>148</v>
      </c>
      <c r="D671">
        <v>7</v>
      </c>
      <c r="E671" t="s">
        <v>58</v>
      </c>
      <c r="F671" t="s">
        <v>57</v>
      </c>
      <c r="G671" t="str">
        <f>"2026-04-22 00:59:35.981"</f>
        <v>2026-04-22 00:59:35.981</v>
      </c>
      <c r="H671" t="s">
        <v>26</v>
      </c>
      <c r="I671">
        <v>0</v>
      </c>
      <c r="J671" t="s">
        <v>27</v>
      </c>
    </row>
    <row r="672" spans="1:10" x14ac:dyDescent="0.25">
      <c r="A672" s="1">
        <v>59</v>
      </c>
      <c r="B672" t="s">
        <v>38</v>
      </c>
      <c r="C672">
        <v>107</v>
      </c>
      <c r="D672">
        <v>2</v>
      </c>
      <c r="E672" t="s">
        <v>52</v>
      </c>
      <c r="F672" t="s">
        <v>46</v>
      </c>
      <c r="G672" t="str">
        <f>"2026-04-22 00:59:35.979"</f>
        <v>2026-04-22 00:59:35.979</v>
      </c>
      <c r="H672" t="s">
        <v>53</v>
      </c>
      <c r="I672">
        <v>0</v>
      </c>
      <c r="J672" t="s">
        <v>27</v>
      </c>
    </row>
    <row r="673" spans="1:10" x14ac:dyDescent="0.25">
      <c r="A673" s="1">
        <v>60</v>
      </c>
      <c r="B673" t="s">
        <v>23</v>
      </c>
      <c r="C673">
        <v>700</v>
      </c>
      <c r="D673">
        <v>0</v>
      </c>
      <c r="E673" t="s">
        <v>37</v>
      </c>
      <c r="F673" t="s">
        <v>37</v>
      </c>
      <c r="G673" t="str">
        <f>"2026-04-22 00:59:30.666"</f>
        <v>2026-04-22 00:59:30.666</v>
      </c>
      <c r="H673" t="s">
        <v>26</v>
      </c>
      <c r="I673">
        <v>0</v>
      </c>
      <c r="J673" t="s">
        <v>43</v>
      </c>
    </row>
    <row r="674" spans="1:10" x14ac:dyDescent="0.25">
      <c r="A674" s="1">
        <v>62</v>
      </c>
      <c r="B674" t="s">
        <v>28</v>
      </c>
      <c r="C674">
        <v>47</v>
      </c>
      <c r="D674">
        <v>2</v>
      </c>
      <c r="E674" t="s">
        <v>76</v>
      </c>
      <c r="F674" t="s">
        <v>77</v>
      </c>
      <c r="G674" t="str">
        <f>"2026-04-22 00:32:30.016"</f>
        <v>2026-04-22 00:32:30.016</v>
      </c>
      <c r="H674" t="s">
        <v>78</v>
      </c>
      <c r="I674">
        <v>0</v>
      </c>
      <c r="J674" t="s">
        <v>31</v>
      </c>
    </row>
    <row r="675" spans="1:10" x14ac:dyDescent="0.25">
      <c r="A675" s="1">
        <v>63</v>
      </c>
      <c r="B675" t="s">
        <v>23</v>
      </c>
      <c r="C675">
        <v>706</v>
      </c>
      <c r="D675">
        <v>2</v>
      </c>
      <c r="E675" t="s">
        <v>24</v>
      </c>
      <c r="F675" t="s">
        <v>39</v>
      </c>
      <c r="G675" t="str">
        <f>"2026-04-21 13:27:49.514"</f>
        <v>2026-04-21 13:27:49.514</v>
      </c>
      <c r="H675" t="s">
        <v>26</v>
      </c>
      <c r="I675">
        <v>0</v>
      </c>
      <c r="J675" t="s">
        <v>27</v>
      </c>
    </row>
    <row r="676" spans="1:10" x14ac:dyDescent="0.25">
      <c r="A676" s="1">
        <v>64</v>
      </c>
      <c r="B676" t="s">
        <v>30</v>
      </c>
      <c r="C676">
        <v>47</v>
      </c>
      <c r="D676">
        <v>2</v>
      </c>
      <c r="E676" t="s">
        <v>76</v>
      </c>
      <c r="F676" t="s">
        <v>77</v>
      </c>
      <c r="G676" t="str">
        <f>"2026-04-20 12:44:58.516"</f>
        <v>2026-04-20 12:44:58.516</v>
      </c>
      <c r="H676" t="s">
        <v>78</v>
      </c>
    </row>
    <row r="677" spans="1:10" x14ac:dyDescent="0.25">
      <c r="A677" s="1">
        <v>65</v>
      </c>
      <c r="B677" t="s">
        <v>23</v>
      </c>
      <c r="C677">
        <v>706</v>
      </c>
      <c r="D677">
        <v>2</v>
      </c>
      <c r="E677" t="s">
        <v>24</v>
      </c>
      <c r="F677" t="s">
        <v>39</v>
      </c>
      <c r="G677" t="str">
        <f>"2026-04-20 12:44:55.024"</f>
        <v>2026-04-20 12:44:55.024</v>
      </c>
      <c r="H677" t="s">
        <v>26</v>
      </c>
      <c r="I677">
        <v>0</v>
      </c>
      <c r="J677" t="s">
        <v>27</v>
      </c>
    </row>
    <row r="678" spans="1:10" x14ac:dyDescent="0.25">
      <c r="A678" s="1">
        <v>66</v>
      </c>
      <c r="B678" t="s">
        <v>19</v>
      </c>
      <c r="C678">
        <v>49</v>
      </c>
      <c r="D678">
        <v>1</v>
      </c>
      <c r="E678" t="s">
        <v>34</v>
      </c>
      <c r="F678" t="s">
        <v>35</v>
      </c>
      <c r="G678" t="str">
        <f>"2026-04-20 12:44:37.716"</f>
        <v>2026-04-20 12:44:37.716</v>
      </c>
      <c r="H678" t="s">
        <v>36</v>
      </c>
    </row>
    <row r="679" spans="1:10" x14ac:dyDescent="0.25">
      <c r="A679" s="1">
        <v>68</v>
      </c>
      <c r="B679" t="s">
        <v>19</v>
      </c>
      <c r="C679">
        <v>630</v>
      </c>
      <c r="D679">
        <v>5</v>
      </c>
      <c r="E679" t="s">
        <v>20</v>
      </c>
      <c r="F679" t="s">
        <v>83</v>
      </c>
      <c r="G679" t="str">
        <f>"2026-04-20 12:27:32.603"</f>
        <v>2026-04-20 12:27:32.603</v>
      </c>
      <c r="H679" t="s">
        <v>22</v>
      </c>
    </row>
    <row r="680" spans="1:10" x14ac:dyDescent="0.25">
      <c r="A680" s="1">
        <v>69</v>
      </c>
      <c r="B680" t="s">
        <v>28</v>
      </c>
      <c r="C680">
        <v>630</v>
      </c>
      <c r="D680">
        <v>5</v>
      </c>
      <c r="E680" t="s">
        <v>20</v>
      </c>
      <c r="F680" t="s">
        <v>83</v>
      </c>
      <c r="G680" t="str">
        <f>"2026-04-20 12:26:36.704"</f>
        <v>2026-04-20 12:26:36.704</v>
      </c>
      <c r="H680" t="s">
        <v>22</v>
      </c>
      <c r="I680">
        <v>0</v>
      </c>
      <c r="J680" t="s">
        <v>27</v>
      </c>
    </row>
    <row r="681" spans="1:10" x14ac:dyDescent="0.25">
      <c r="A681" s="1">
        <v>70</v>
      </c>
      <c r="B681" t="s">
        <v>38</v>
      </c>
      <c r="C681">
        <v>49</v>
      </c>
      <c r="D681">
        <v>1</v>
      </c>
      <c r="E681" t="s">
        <v>34</v>
      </c>
      <c r="F681" t="s">
        <v>35</v>
      </c>
      <c r="G681" t="str">
        <f>"2026-04-20 12:22:42.416"</f>
        <v>2026-04-20 12:22:42.416</v>
      </c>
      <c r="H681" t="s">
        <v>36</v>
      </c>
      <c r="I681">
        <v>0</v>
      </c>
      <c r="J681" t="s">
        <v>27</v>
      </c>
    </row>
    <row r="682" spans="1:10" x14ac:dyDescent="0.25">
      <c r="A682" s="1">
        <v>72</v>
      </c>
      <c r="B682" t="s">
        <v>28</v>
      </c>
      <c r="C682">
        <v>47</v>
      </c>
      <c r="D682">
        <v>2</v>
      </c>
      <c r="E682" t="s">
        <v>76</v>
      </c>
      <c r="F682" t="s">
        <v>77</v>
      </c>
      <c r="G682" t="str">
        <f>"2026-04-20 12:21:33.716"</f>
        <v>2026-04-20 12:21:33.716</v>
      </c>
      <c r="H682" t="s">
        <v>78</v>
      </c>
      <c r="I682">
        <v>0</v>
      </c>
      <c r="J682" t="s">
        <v>31</v>
      </c>
    </row>
    <row r="683" spans="1:10" x14ac:dyDescent="0.25">
      <c r="A683" s="1">
        <v>74</v>
      </c>
      <c r="B683" t="s">
        <v>23</v>
      </c>
      <c r="C683">
        <v>700</v>
      </c>
      <c r="D683">
        <v>0</v>
      </c>
      <c r="E683" t="s">
        <v>37</v>
      </c>
      <c r="F683" t="s">
        <v>37</v>
      </c>
      <c r="G683" t="str">
        <f>"2026-04-19 11:54:29.664"</f>
        <v>2026-04-19 11:54:29.664</v>
      </c>
      <c r="H683" t="s">
        <v>26</v>
      </c>
      <c r="I683">
        <v>0</v>
      </c>
      <c r="J683" t="s">
        <v>43</v>
      </c>
    </row>
    <row r="684" spans="1:10" x14ac:dyDescent="0.25">
      <c r="A684" s="1">
        <v>77</v>
      </c>
      <c r="B684" t="s">
        <v>23</v>
      </c>
      <c r="C684">
        <v>700</v>
      </c>
      <c r="D684">
        <v>0</v>
      </c>
      <c r="E684" t="s">
        <v>37</v>
      </c>
      <c r="F684" t="s">
        <v>37</v>
      </c>
      <c r="G684" t="str">
        <f>"2026-04-19 11:28:37.678"</f>
        <v>2026-04-19 11:28:37.678</v>
      </c>
      <c r="H684" t="s">
        <v>26</v>
      </c>
      <c r="I684">
        <v>0</v>
      </c>
      <c r="J684" t="s">
        <v>43</v>
      </c>
    </row>
    <row r="685" spans="1:10" x14ac:dyDescent="0.25">
      <c r="A685" s="1">
        <v>80</v>
      </c>
      <c r="B685" t="s">
        <v>23</v>
      </c>
      <c r="C685">
        <v>700</v>
      </c>
      <c r="D685">
        <v>0</v>
      </c>
      <c r="E685" t="s">
        <v>37</v>
      </c>
      <c r="F685" t="s">
        <v>37</v>
      </c>
      <c r="G685" t="str">
        <f>"2026-04-19 10:54:30.665"</f>
        <v>2026-04-19 10:54:30.665</v>
      </c>
      <c r="H685" t="s">
        <v>26</v>
      </c>
      <c r="I685">
        <v>0</v>
      </c>
      <c r="J685" t="s">
        <v>43</v>
      </c>
    </row>
    <row r="686" spans="1:10" x14ac:dyDescent="0.25">
      <c r="A686" s="1">
        <v>83</v>
      </c>
      <c r="B686" t="s">
        <v>23</v>
      </c>
      <c r="C686">
        <v>700</v>
      </c>
      <c r="D686">
        <v>0</v>
      </c>
      <c r="E686" t="s">
        <v>37</v>
      </c>
      <c r="F686" t="s">
        <v>37</v>
      </c>
      <c r="G686" t="str">
        <f>"2026-04-19 10:11:46.660"</f>
        <v>2026-04-19 10:11:46.660</v>
      </c>
      <c r="H686" t="s">
        <v>26</v>
      </c>
    </row>
    <row r="687" spans="1:10" x14ac:dyDescent="0.25">
      <c r="A687" s="1">
        <v>87</v>
      </c>
      <c r="B687" t="s">
        <v>23</v>
      </c>
      <c r="C687">
        <v>782</v>
      </c>
      <c r="D687">
        <v>7</v>
      </c>
      <c r="E687" t="s">
        <v>32</v>
      </c>
      <c r="F687" t="s">
        <v>33</v>
      </c>
      <c r="G687" t="str">
        <f>"2026-04-19 10:09:19.880"</f>
        <v>2026-04-19 10:09:19.880</v>
      </c>
      <c r="H687" t="s">
        <v>26</v>
      </c>
      <c r="I687">
        <v>0</v>
      </c>
      <c r="J687" t="s">
        <v>27</v>
      </c>
    </row>
    <row r="688" spans="1:10" x14ac:dyDescent="0.25">
      <c r="A688" s="1">
        <v>90</v>
      </c>
      <c r="B688" t="s">
        <v>19</v>
      </c>
      <c r="C688">
        <v>47</v>
      </c>
      <c r="D688">
        <v>2</v>
      </c>
      <c r="E688" t="s">
        <v>76</v>
      </c>
      <c r="F688" t="s">
        <v>77</v>
      </c>
      <c r="G688" t="str">
        <f>"2026-04-19 10:09:19.873"</f>
        <v>2026-04-19 10:09:19.873</v>
      </c>
      <c r="H688" t="s">
        <v>78</v>
      </c>
    </row>
    <row r="689" spans="1:10" x14ac:dyDescent="0.25">
      <c r="A689" s="1">
        <v>91</v>
      </c>
      <c r="B689" t="s">
        <v>23</v>
      </c>
      <c r="C689">
        <v>782</v>
      </c>
      <c r="D689">
        <v>7</v>
      </c>
      <c r="E689" t="s">
        <v>32</v>
      </c>
      <c r="F689" t="s">
        <v>33</v>
      </c>
      <c r="G689" t="str">
        <f>"2026-04-19 10:09:19.871"</f>
        <v>2026-04-19 10:09:19.871</v>
      </c>
      <c r="H689" t="s">
        <v>26</v>
      </c>
      <c r="I689">
        <v>0</v>
      </c>
      <c r="J689" t="s">
        <v>27</v>
      </c>
    </row>
    <row r="690" spans="1:10" x14ac:dyDescent="0.25">
      <c r="A690" s="1">
        <v>92</v>
      </c>
      <c r="B690" t="s">
        <v>28</v>
      </c>
      <c r="C690">
        <v>47</v>
      </c>
      <c r="D690">
        <v>2</v>
      </c>
      <c r="E690" t="s">
        <v>76</v>
      </c>
      <c r="F690" t="s">
        <v>77</v>
      </c>
      <c r="G690" t="str">
        <f>"2026-04-19 10:05:40.231"</f>
        <v>2026-04-19 10:05:40.231</v>
      </c>
      <c r="H690" t="s">
        <v>78</v>
      </c>
      <c r="I690">
        <v>0</v>
      </c>
      <c r="J690" t="s">
        <v>31</v>
      </c>
    </row>
    <row r="691" spans="1:10" x14ac:dyDescent="0.25">
      <c r="A691" s="1">
        <v>93</v>
      </c>
      <c r="B691" t="s">
        <v>23</v>
      </c>
      <c r="C691">
        <v>706</v>
      </c>
      <c r="D691">
        <v>4</v>
      </c>
      <c r="E691" t="s">
        <v>24</v>
      </c>
      <c r="F691" t="s">
        <v>25</v>
      </c>
      <c r="G691" t="str">
        <f>"2026-04-19 09:47:51.542"</f>
        <v>2026-04-19 09:47:51.542</v>
      </c>
      <c r="H691" t="s">
        <v>26</v>
      </c>
      <c r="I691">
        <v>0</v>
      </c>
      <c r="J691" t="s">
        <v>27</v>
      </c>
    </row>
    <row r="692" spans="1:10" x14ac:dyDescent="0.25">
      <c r="A692" s="1">
        <v>95</v>
      </c>
      <c r="B692" t="s">
        <v>23</v>
      </c>
      <c r="C692">
        <v>700</v>
      </c>
      <c r="D692">
        <v>0</v>
      </c>
      <c r="E692" t="s">
        <v>37</v>
      </c>
      <c r="F692" t="s">
        <v>37</v>
      </c>
      <c r="G692" t="str">
        <f>"2026-04-19 09:40:41.672"</f>
        <v>2026-04-19 09:40:41.672</v>
      </c>
      <c r="H692" t="s">
        <v>26</v>
      </c>
    </row>
    <row r="693" spans="1:10" x14ac:dyDescent="0.25">
      <c r="A693" s="1">
        <v>97</v>
      </c>
      <c r="B693" t="s">
        <v>30</v>
      </c>
      <c r="C693">
        <v>47</v>
      </c>
      <c r="D693">
        <v>2</v>
      </c>
      <c r="E693" t="s">
        <v>76</v>
      </c>
      <c r="F693" t="s">
        <v>77</v>
      </c>
      <c r="G693" t="str">
        <f>"2026-04-19 06:06:00.931"</f>
        <v>2026-04-19 06:06:00.931</v>
      </c>
      <c r="H693" t="s">
        <v>78</v>
      </c>
    </row>
    <row r="694" spans="1:10" x14ac:dyDescent="0.25">
      <c r="A694" s="1">
        <v>98</v>
      </c>
      <c r="B694" t="s">
        <v>23</v>
      </c>
      <c r="C694">
        <v>706</v>
      </c>
      <c r="D694">
        <v>4</v>
      </c>
      <c r="E694" t="s">
        <v>24</v>
      </c>
      <c r="F694" t="s">
        <v>25</v>
      </c>
      <c r="G694" t="str">
        <f>"2026-04-19 06:05:57.223"</f>
        <v>2026-04-19 06:05:57.223</v>
      </c>
      <c r="H694" t="s">
        <v>26</v>
      </c>
      <c r="I694">
        <v>0</v>
      </c>
      <c r="J694" t="s">
        <v>27</v>
      </c>
    </row>
    <row r="695" spans="1:10" x14ac:dyDescent="0.25">
      <c r="A695" s="1">
        <v>1</v>
      </c>
      <c r="B695" t="s">
        <v>28</v>
      </c>
      <c r="C695">
        <v>47</v>
      </c>
      <c r="D695">
        <v>2</v>
      </c>
      <c r="E695" t="s">
        <v>76</v>
      </c>
      <c r="F695" t="s">
        <v>77</v>
      </c>
      <c r="G695" t="str">
        <f>"2026-04-19 06:04:56.631"</f>
        <v>2026-04-19 06:04:56.631</v>
      </c>
      <c r="H695" t="s">
        <v>78</v>
      </c>
      <c r="I695">
        <v>0</v>
      </c>
      <c r="J695" t="s">
        <v>31</v>
      </c>
    </row>
    <row r="696" spans="1:10" x14ac:dyDescent="0.25">
      <c r="A696" s="1">
        <v>2</v>
      </c>
      <c r="B696" t="s">
        <v>19</v>
      </c>
      <c r="C696">
        <v>635</v>
      </c>
      <c r="D696">
        <v>1</v>
      </c>
      <c r="E696" t="s">
        <v>40</v>
      </c>
      <c r="F696" t="s">
        <v>41</v>
      </c>
      <c r="G696" t="str">
        <f>"2026-04-18 19:13:07.119"</f>
        <v>2026-04-18 19:13:07.119</v>
      </c>
      <c r="H696" t="s">
        <v>26</v>
      </c>
    </row>
    <row r="697" spans="1:10" x14ac:dyDescent="0.25">
      <c r="A697" s="1">
        <v>3</v>
      </c>
      <c r="B697" t="s">
        <v>38</v>
      </c>
      <c r="C697">
        <v>635</v>
      </c>
      <c r="D697">
        <v>1</v>
      </c>
      <c r="E697" t="s">
        <v>40</v>
      </c>
      <c r="F697" t="s">
        <v>41</v>
      </c>
      <c r="G697" t="str">
        <f>"2026-04-18 19:06:09.119"</f>
        <v>2026-04-18 19:06:09.119</v>
      </c>
      <c r="H697" t="s">
        <v>26</v>
      </c>
      <c r="I697">
        <v>0</v>
      </c>
      <c r="J697" t="s">
        <v>31</v>
      </c>
    </row>
    <row r="698" spans="1:10" x14ac:dyDescent="0.25">
      <c r="A698" s="1">
        <v>5</v>
      </c>
      <c r="B698" t="s">
        <v>23</v>
      </c>
      <c r="C698">
        <v>700</v>
      </c>
      <c r="D698">
        <v>0</v>
      </c>
      <c r="E698" t="s">
        <v>37</v>
      </c>
      <c r="F698" t="s">
        <v>37</v>
      </c>
      <c r="G698" t="str">
        <f>"2026-04-18 02:13:28.663"</f>
        <v>2026-04-18 02:13:28.663</v>
      </c>
      <c r="H698" t="s">
        <v>26</v>
      </c>
    </row>
    <row r="699" spans="1:10" x14ac:dyDescent="0.25">
      <c r="A699" s="1">
        <v>8</v>
      </c>
      <c r="B699" t="s">
        <v>23</v>
      </c>
      <c r="C699">
        <v>700</v>
      </c>
      <c r="D699">
        <v>0</v>
      </c>
      <c r="E699" t="s">
        <v>37</v>
      </c>
      <c r="F699" t="s">
        <v>37</v>
      </c>
      <c r="G699" t="str">
        <f>"2026-04-16 12:55:23.691"</f>
        <v>2026-04-16 12:55:23.691</v>
      </c>
      <c r="H699" t="s">
        <v>26</v>
      </c>
      <c r="I699">
        <v>0</v>
      </c>
      <c r="J699" t="s">
        <v>43</v>
      </c>
    </row>
    <row r="700" spans="1:10" x14ac:dyDescent="0.25">
      <c r="A700" s="1">
        <v>10</v>
      </c>
      <c r="B700" t="s">
        <v>23</v>
      </c>
      <c r="C700">
        <v>706</v>
      </c>
      <c r="D700">
        <v>2</v>
      </c>
      <c r="E700" t="s">
        <v>24</v>
      </c>
      <c r="F700" t="s">
        <v>39</v>
      </c>
      <c r="G700" t="str">
        <f>"2026-04-16 02:23:16.243"</f>
        <v>2026-04-16 02:23:16.243</v>
      </c>
      <c r="H700" t="s">
        <v>26</v>
      </c>
      <c r="I700">
        <v>0</v>
      </c>
      <c r="J700" t="s">
        <v>27</v>
      </c>
    </row>
    <row r="701" spans="1:10" x14ac:dyDescent="0.25">
      <c r="A701" s="1">
        <v>13</v>
      </c>
      <c r="B701" t="s">
        <v>23</v>
      </c>
      <c r="C701">
        <v>706</v>
      </c>
      <c r="D701">
        <v>2</v>
      </c>
      <c r="E701" t="s">
        <v>24</v>
      </c>
      <c r="F701" t="s">
        <v>39</v>
      </c>
      <c r="G701" t="str">
        <f>"2026-04-15 15:47:19.743"</f>
        <v>2026-04-15 15:47:19.743</v>
      </c>
      <c r="H701" t="s">
        <v>26</v>
      </c>
      <c r="I701">
        <v>0</v>
      </c>
      <c r="J701" t="s">
        <v>27</v>
      </c>
    </row>
    <row r="702" spans="1:10" x14ac:dyDescent="0.25">
      <c r="A702" s="1">
        <v>15</v>
      </c>
      <c r="B702" t="s">
        <v>23</v>
      </c>
      <c r="C702">
        <v>700</v>
      </c>
      <c r="D702">
        <v>0</v>
      </c>
      <c r="E702" t="s">
        <v>37</v>
      </c>
      <c r="F702" t="s">
        <v>37</v>
      </c>
      <c r="G702" t="str">
        <f>"2026-04-15 15:26:57.653"</f>
        <v>2026-04-15 15:26:57.653</v>
      </c>
      <c r="H702" t="s">
        <v>26</v>
      </c>
      <c r="I702">
        <v>0</v>
      </c>
      <c r="J702" t="s">
        <v>43</v>
      </c>
    </row>
    <row r="703" spans="1:10" x14ac:dyDescent="0.25">
      <c r="A703" s="1">
        <v>17</v>
      </c>
      <c r="B703" t="s">
        <v>28</v>
      </c>
      <c r="C703">
        <v>47</v>
      </c>
      <c r="D703">
        <v>2</v>
      </c>
      <c r="E703" t="s">
        <v>76</v>
      </c>
      <c r="F703" t="s">
        <v>77</v>
      </c>
      <c r="G703" t="str">
        <f>"2026-04-15 15:22:35.828"</f>
        <v>2026-04-15 15:22:35.828</v>
      </c>
      <c r="H703" t="s">
        <v>78</v>
      </c>
      <c r="I703">
        <v>0</v>
      </c>
      <c r="J703" t="s">
        <v>31</v>
      </c>
    </row>
    <row r="704" spans="1:10" x14ac:dyDescent="0.25">
      <c r="A704" s="1">
        <v>19</v>
      </c>
      <c r="B704" t="s">
        <v>23</v>
      </c>
      <c r="C704">
        <v>700</v>
      </c>
      <c r="D704">
        <v>0</v>
      </c>
      <c r="E704" t="s">
        <v>37</v>
      </c>
      <c r="F704" t="s">
        <v>37</v>
      </c>
      <c r="G704" t="str">
        <f>"2026-04-15 14:17:35.657"</f>
        <v>2026-04-15 14:17:35.657</v>
      </c>
      <c r="H704" t="s">
        <v>26</v>
      </c>
      <c r="I704">
        <v>0</v>
      </c>
      <c r="J704" t="s">
        <v>43</v>
      </c>
    </row>
    <row r="705" spans="1:10" x14ac:dyDescent="0.25">
      <c r="A705" s="1">
        <v>22</v>
      </c>
      <c r="B705" t="s">
        <v>23</v>
      </c>
      <c r="C705">
        <v>700</v>
      </c>
      <c r="D705">
        <v>0</v>
      </c>
      <c r="E705" t="s">
        <v>37</v>
      </c>
      <c r="F705" t="s">
        <v>37</v>
      </c>
      <c r="G705" t="str">
        <f>"2026-04-15 02:01:21.640"</f>
        <v>2026-04-15 02:01:21.640</v>
      </c>
      <c r="H705" t="s">
        <v>26</v>
      </c>
    </row>
    <row r="706" spans="1:10" x14ac:dyDescent="0.25">
      <c r="A706" s="1">
        <v>25</v>
      </c>
      <c r="B706" t="s">
        <v>23</v>
      </c>
      <c r="C706">
        <v>700</v>
      </c>
      <c r="D706">
        <v>0</v>
      </c>
      <c r="E706" t="s">
        <v>37</v>
      </c>
      <c r="F706" t="s">
        <v>37</v>
      </c>
      <c r="G706" t="str">
        <f>"2026-04-14 23:53:34.647"</f>
        <v>2026-04-14 23:53:34.647</v>
      </c>
      <c r="H706" t="s">
        <v>26</v>
      </c>
      <c r="I706">
        <v>0</v>
      </c>
      <c r="J706" t="s">
        <v>43</v>
      </c>
    </row>
    <row r="707" spans="1:10" x14ac:dyDescent="0.25">
      <c r="A707" s="1">
        <v>28</v>
      </c>
      <c r="B707" t="s">
        <v>23</v>
      </c>
      <c r="C707">
        <v>700</v>
      </c>
      <c r="D707">
        <v>0</v>
      </c>
      <c r="E707" t="s">
        <v>37</v>
      </c>
      <c r="F707" t="s">
        <v>37</v>
      </c>
      <c r="G707" t="str">
        <f>"2026-04-14 05:00:43.637"</f>
        <v>2026-04-14 05:00:43.637</v>
      </c>
      <c r="H707" t="s">
        <v>26</v>
      </c>
      <c r="I707">
        <v>0</v>
      </c>
      <c r="J707" t="s">
        <v>43</v>
      </c>
    </row>
    <row r="708" spans="1:10" x14ac:dyDescent="0.25">
      <c r="A708" s="1">
        <v>30</v>
      </c>
      <c r="B708" t="s">
        <v>28</v>
      </c>
      <c r="C708">
        <v>47</v>
      </c>
      <c r="D708">
        <v>2</v>
      </c>
      <c r="E708" t="s">
        <v>76</v>
      </c>
      <c r="F708" t="s">
        <v>77</v>
      </c>
      <c r="G708" t="str">
        <f>"2026-04-14 04:59:48.909"</f>
        <v>2026-04-14 04:59:48.909</v>
      </c>
      <c r="H708" t="s">
        <v>78</v>
      </c>
      <c r="I708">
        <v>0</v>
      </c>
      <c r="J708" t="s">
        <v>31</v>
      </c>
    </row>
    <row r="709" spans="1:10" x14ac:dyDescent="0.25">
      <c r="A709" s="1">
        <v>32</v>
      </c>
      <c r="B709" t="s">
        <v>23</v>
      </c>
      <c r="C709">
        <v>706</v>
      </c>
      <c r="D709">
        <v>4</v>
      </c>
      <c r="E709" t="s">
        <v>24</v>
      </c>
      <c r="F709" t="s">
        <v>25</v>
      </c>
      <c r="G709" t="str">
        <f>"2026-04-14 03:37:13.310"</f>
        <v>2026-04-14 03:37:13.310</v>
      </c>
      <c r="H709" t="s">
        <v>26</v>
      </c>
      <c r="I709">
        <v>0</v>
      </c>
      <c r="J709" t="s">
        <v>27</v>
      </c>
    </row>
    <row r="710" spans="1:10" x14ac:dyDescent="0.25">
      <c r="A710" s="1">
        <v>34</v>
      </c>
      <c r="B710" t="s">
        <v>23</v>
      </c>
      <c r="C710">
        <v>700</v>
      </c>
      <c r="D710">
        <v>0</v>
      </c>
      <c r="E710" t="s">
        <v>37</v>
      </c>
      <c r="F710" t="s">
        <v>37</v>
      </c>
      <c r="G710" t="str">
        <f>"2026-04-14 03:16:19.630"</f>
        <v>2026-04-14 03:16:19.630</v>
      </c>
      <c r="H710" t="s">
        <v>26</v>
      </c>
      <c r="I710">
        <v>0</v>
      </c>
      <c r="J710" t="s">
        <v>43</v>
      </c>
    </row>
    <row r="711" spans="1:10" x14ac:dyDescent="0.25">
      <c r="A711" s="1">
        <v>37</v>
      </c>
      <c r="B711" t="s">
        <v>23</v>
      </c>
      <c r="C711">
        <v>700</v>
      </c>
      <c r="D711">
        <v>0</v>
      </c>
      <c r="E711" t="s">
        <v>37</v>
      </c>
      <c r="F711" t="s">
        <v>37</v>
      </c>
      <c r="G711" t="str">
        <f>"2026-04-14 02:03:14.667"</f>
        <v>2026-04-14 02:03:14.667</v>
      </c>
      <c r="H711" t="s">
        <v>26</v>
      </c>
      <c r="I711">
        <v>0</v>
      </c>
      <c r="J711" t="s">
        <v>43</v>
      </c>
    </row>
    <row r="712" spans="1:10" x14ac:dyDescent="0.25">
      <c r="A712" s="1">
        <v>39</v>
      </c>
      <c r="B712" t="s">
        <v>28</v>
      </c>
      <c r="C712">
        <v>47</v>
      </c>
      <c r="D712">
        <v>2</v>
      </c>
      <c r="E712" t="s">
        <v>76</v>
      </c>
      <c r="F712" t="s">
        <v>77</v>
      </c>
      <c r="G712" t="str">
        <f>"2026-04-13 20:39:49.105"</f>
        <v>2026-04-13 20:39:49.105</v>
      </c>
      <c r="H712" t="s">
        <v>78</v>
      </c>
      <c r="I712">
        <v>0</v>
      </c>
      <c r="J712" t="s">
        <v>31</v>
      </c>
    </row>
    <row r="713" spans="1:10" x14ac:dyDescent="0.25">
      <c r="A713" s="1">
        <v>40</v>
      </c>
      <c r="B713" t="s">
        <v>23</v>
      </c>
      <c r="C713">
        <v>706</v>
      </c>
      <c r="D713">
        <v>4</v>
      </c>
      <c r="E713" t="s">
        <v>24</v>
      </c>
      <c r="F713" t="s">
        <v>25</v>
      </c>
      <c r="G713" t="str">
        <f>"2026-04-13 20:36:14.535"</f>
        <v>2026-04-13 20:36:14.535</v>
      </c>
      <c r="H713" t="s">
        <v>26</v>
      </c>
      <c r="I713">
        <v>0</v>
      </c>
      <c r="J713" t="s">
        <v>27</v>
      </c>
    </row>
    <row r="714" spans="1:10" x14ac:dyDescent="0.25">
      <c r="A714" s="1">
        <v>43</v>
      </c>
      <c r="B714" t="s">
        <v>30</v>
      </c>
      <c r="C714">
        <v>47</v>
      </c>
      <c r="D714">
        <v>2</v>
      </c>
      <c r="E714" t="s">
        <v>76</v>
      </c>
      <c r="F714" t="s">
        <v>77</v>
      </c>
      <c r="G714" t="str">
        <f>"2026-04-13 20:18:29.005"</f>
        <v>2026-04-13 20:18:29.005</v>
      </c>
      <c r="H714" t="s">
        <v>78</v>
      </c>
    </row>
    <row r="715" spans="1:10" x14ac:dyDescent="0.25">
      <c r="A715" s="1">
        <v>44</v>
      </c>
      <c r="B715" t="s">
        <v>23</v>
      </c>
      <c r="C715">
        <v>706</v>
      </c>
      <c r="D715">
        <v>2</v>
      </c>
      <c r="E715" t="s">
        <v>24</v>
      </c>
      <c r="F715" t="s">
        <v>39</v>
      </c>
      <c r="G715" t="str">
        <f>"2026-04-13 20:18:25.175"</f>
        <v>2026-04-13 20:18:25.175</v>
      </c>
      <c r="H715" t="s">
        <v>26</v>
      </c>
      <c r="I715">
        <v>0</v>
      </c>
      <c r="J715" t="s">
        <v>27</v>
      </c>
    </row>
    <row r="716" spans="1:10" x14ac:dyDescent="0.25">
      <c r="A716" s="1">
        <v>45</v>
      </c>
      <c r="B716" t="s">
        <v>28</v>
      </c>
      <c r="C716">
        <v>47</v>
      </c>
      <c r="D716">
        <v>2</v>
      </c>
      <c r="E716" t="s">
        <v>76</v>
      </c>
      <c r="F716" t="s">
        <v>77</v>
      </c>
      <c r="G716" t="str">
        <f>"2026-04-13 20:15:17.305"</f>
        <v>2026-04-13 20:15:17.305</v>
      </c>
      <c r="H716" t="s">
        <v>78</v>
      </c>
      <c r="I716">
        <v>0</v>
      </c>
      <c r="J716" t="s">
        <v>31</v>
      </c>
    </row>
    <row r="717" spans="1:10" x14ac:dyDescent="0.25">
      <c r="A717" s="1">
        <v>46</v>
      </c>
      <c r="B717" t="s">
        <v>23</v>
      </c>
      <c r="C717">
        <v>706</v>
      </c>
      <c r="D717">
        <v>4</v>
      </c>
      <c r="E717" t="s">
        <v>24</v>
      </c>
      <c r="F717" t="s">
        <v>25</v>
      </c>
      <c r="G717" t="str">
        <f>"2026-04-13 19:59:10.635"</f>
        <v>2026-04-13 19:59:10.635</v>
      </c>
      <c r="H717" t="s">
        <v>26</v>
      </c>
      <c r="I717">
        <v>0</v>
      </c>
      <c r="J717" t="s">
        <v>27</v>
      </c>
    </row>
    <row r="718" spans="1:10" x14ac:dyDescent="0.25">
      <c r="A718" s="1">
        <v>47</v>
      </c>
      <c r="B718" t="s">
        <v>23</v>
      </c>
      <c r="C718">
        <v>706</v>
      </c>
      <c r="D718">
        <v>2</v>
      </c>
      <c r="E718" t="s">
        <v>24</v>
      </c>
      <c r="F718" t="s">
        <v>39</v>
      </c>
      <c r="G718" t="str">
        <f>"2026-04-13 16:52:21.175"</f>
        <v>2026-04-13 16:52:21.175</v>
      </c>
      <c r="H718" t="s">
        <v>26</v>
      </c>
      <c r="I718">
        <v>0</v>
      </c>
      <c r="J718" t="s">
        <v>27</v>
      </c>
    </row>
    <row r="719" spans="1:10" x14ac:dyDescent="0.25">
      <c r="A719" s="1">
        <v>49</v>
      </c>
      <c r="B719" t="s">
        <v>23</v>
      </c>
      <c r="C719">
        <v>700</v>
      </c>
      <c r="D719">
        <v>0</v>
      </c>
      <c r="E719" t="s">
        <v>37</v>
      </c>
      <c r="F719" t="s">
        <v>37</v>
      </c>
      <c r="G719" t="str">
        <f>"2026-04-13 16:51:55.635"</f>
        <v>2026-04-13 16:51:55.635</v>
      </c>
      <c r="H719" t="s">
        <v>26</v>
      </c>
      <c r="I719">
        <v>0</v>
      </c>
      <c r="J719" t="s">
        <v>43</v>
      </c>
    </row>
    <row r="720" spans="1:10" x14ac:dyDescent="0.25">
      <c r="A720" s="1">
        <v>51</v>
      </c>
      <c r="B720" t="s">
        <v>28</v>
      </c>
      <c r="C720">
        <v>47</v>
      </c>
      <c r="D720">
        <v>2</v>
      </c>
      <c r="E720" t="s">
        <v>76</v>
      </c>
      <c r="F720" t="s">
        <v>77</v>
      </c>
      <c r="G720" t="str">
        <f>"2026-04-13 16:37:49.537"</f>
        <v>2026-04-13 16:37:49.537</v>
      </c>
      <c r="H720" t="s">
        <v>78</v>
      </c>
      <c r="I720">
        <v>0</v>
      </c>
      <c r="J720" t="s">
        <v>31</v>
      </c>
    </row>
    <row r="721" spans="1:10" x14ac:dyDescent="0.25">
      <c r="A721" s="1">
        <v>52</v>
      </c>
      <c r="B721" t="s">
        <v>23</v>
      </c>
      <c r="C721">
        <v>706</v>
      </c>
      <c r="D721">
        <v>2</v>
      </c>
      <c r="E721" t="s">
        <v>24</v>
      </c>
      <c r="F721" t="s">
        <v>39</v>
      </c>
      <c r="G721" t="str">
        <f>"2026-04-13 13:56:02.048"</f>
        <v>2026-04-13 13:56:02.048</v>
      </c>
      <c r="H721" t="s">
        <v>26</v>
      </c>
      <c r="I721">
        <v>0</v>
      </c>
      <c r="J721" t="s">
        <v>27</v>
      </c>
    </row>
    <row r="722" spans="1:10" x14ac:dyDescent="0.25">
      <c r="A722" s="1">
        <v>54</v>
      </c>
      <c r="B722" t="s">
        <v>23</v>
      </c>
      <c r="C722">
        <v>700</v>
      </c>
      <c r="D722">
        <v>0</v>
      </c>
      <c r="E722" t="s">
        <v>37</v>
      </c>
      <c r="F722" t="s">
        <v>37</v>
      </c>
      <c r="G722" t="str">
        <f>"2026-04-13 13:54:13.648"</f>
        <v>2026-04-13 13:54:13.648</v>
      </c>
      <c r="H722" t="s">
        <v>26</v>
      </c>
    </row>
    <row r="723" spans="1:10" x14ac:dyDescent="0.25">
      <c r="A723" s="1">
        <v>56</v>
      </c>
      <c r="B723" t="s">
        <v>28</v>
      </c>
      <c r="C723">
        <v>47</v>
      </c>
      <c r="D723">
        <v>2</v>
      </c>
      <c r="E723" t="s">
        <v>76</v>
      </c>
      <c r="F723" t="s">
        <v>77</v>
      </c>
      <c r="G723" t="str">
        <f>"2026-04-13 13:22:20.110"</f>
        <v>2026-04-13 13:22:20.110</v>
      </c>
      <c r="H723" t="s">
        <v>78</v>
      </c>
      <c r="I723">
        <v>0</v>
      </c>
      <c r="J723" t="s">
        <v>31</v>
      </c>
    </row>
    <row r="724" spans="1:10" x14ac:dyDescent="0.25">
      <c r="A724" s="1">
        <v>57</v>
      </c>
      <c r="B724" t="s">
        <v>30</v>
      </c>
      <c r="C724">
        <v>47</v>
      </c>
      <c r="D724">
        <v>2</v>
      </c>
      <c r="E724" t="s">
        <v>76</v>
      </c>
      <c r="F724" t="s">
        <v>77</v>
      </c>
      <c r="G724" t="str">
        <f>"2026-04-11 21:52:26.710"</f>
        <v>2026-04-11 21:52:26.710</v>
      </c>
      <c r="H724" t="s">
        <v>78</v>
      </c>
    </row>
    <row r="725" spans="1:10" x14ac:dyDescent="0.25">
      <c r="A725" s="1">
        <v>58</v>
      </c>
      <c r="B725" t="s">
        <v>23</v>
      </c>
      <c r="C725">
        <v>706</v>
      </c>
      <c r="D725">
        <v>4</v>
      </c>
      <c r="E725" t="s">
        <v>24</v>
      </c>
      <c r="F725" t="s">
        <v>25</v>
      </c>
      <c r="G725" t="str">
        <f>"2026-04-11 21:52:24.341"</f>
        <v>2026-04-11 21:52:24.341</v>
      </c>
      <c r="H725" t="s">
        <v>26</v>
      </c>
      <c r="I725">
        <v>0</v>
      </c>
      <c r="J725" t="s">
        <v>27</v>
      </c>
    </row>
    <row r="726" spans="1:10" x14ac:dyDescent="0.25">
      <c r="A726" s="1">
        <v>59</v>
      </c>
      <c r="B726" t="s">
        <v>19</v>
      </c>
      <c r="C726">
        <v>630</v>
      </c>
      <c r="D726">
        <v>5</v>
      </c>
      <c r="E726" t="s">
        <v>20</v>
      </c>
      <c r="F726" t="s">
        <v>83</v>
      </c>
      <c r="G726" t="str">
        <f>"2026-04-11 21:51:09.298"</f>
        <v>2026-04-11 21:51:09.298</v>
      </c>
      <c r="H726" t="s">
        <v>22</v>
      </c>
    </row>
    <row r="727" spans="1:10" x14ac:dyDescent="0.25">
      <c r="A727" s="1">
        <v>60</v>
      </c>
      <c r="B727" t="s">
        <v>28</v>
      </c>
      <c r="C727">
        <v>630</v>
      </c>
      <c r="D727">
        <v>5</v>
      </c>
      <c r="E727" t="s">
        <v>20</v>
      </c>
      <c r="F727" t="s">
        <v>83</v>
      </c>
      <c r="G727" t="str">
        <f>"2026-04-11 21:44:33.499"</f>
        <v>2026-04-11 21:44:33.499</v>
      </c>
      <c r="H727" t="s">
        <v>22</v>
      </c>
      <c r="I727">
        <v>0</v>
      </c>
      <c r="J727" t="s">
        <v>27</v>
      </c>
    </row>
    <row r="728" spans="1:10" x14ac:dyDescent="0.25">
      <c r="A728" s="1">
        <v>61</v>
      </c>
      <c r="B728" t="s">
        <v>28</v>
      </c>
      <c r="C728">
        <v>47</v>
      </c>
      <c r="D728">
        <v>2</v>
      </c>
      <c r="E728" t="s">
        <v>76</v>
      </c>
      <c r="F728" t="s">
        <v>77</v>
      </c>
      <c r="G728" t="str">
        <f>"2026-04-11 21:39:30.510"</f>
        <v>2026-04-11 21:39:30.510</v>
      </c>
      <c r="H728" t="s">
        <v>78</v>
      </c>
      <c r="I728">
        <v>0</v>
      </c>
      <c r="J728" t="s">
        <v>31</v>
      </c>
    </row>
    <row r="729" spans="1:10" x14ac:dyDescent="0.25">
      <c r="A729" s="1">
        <v>63</v>
      </c>
      <c r="B729" t="s">
        <v>23</v>
      </c>
      <c r="C729">
        <v>700</v>
      </c>
      <c r="D729">
        <v>0</v>
      </c>
      <c r="E729" t="s">
        <v>37</v>
      </c>
      <c r="F729" t="s">
        <v>37</v>
      </c>
      <c r="G729" t="str">
        <f>"2026-04-11 19:38:57.631"</f>
        <v>2026-04-11 19:38:57.631</v>
      </c>
      <c r="H729" t="s">
        <v>26</v>
      </c>
    </row>
    <row r="730" spans="1:10" x14ac:dyDescent="0.25">
      <c r="A730" s="1">
        <v>66</v>
      </c>
      <c r="B730" t="s">
        <v>23</v>
      </c>
      <c r="C730">
        <v>700</v>
      </c>
      <c r="D730">
        <v>0</v>
      </c>
      <c r="E730" t="s">
        <v>37</v>
      </c>
      <c r="F730" t="s">
        <v>37</v>
      </c>
      <c r="G730" t="str">
        <f>"2026-04-08 20:04:30.622"</f>
        <v>2026-04-08 20:04:30.622</v>
      </c>
      <c r="H730" t="s">
        <v>26</v>
      </c>
    </row>
    <row r="731" spans="1:10" x14ac:dyDescent="0.25">
      <c r="A731" s="1">
        <v>69</v>
      </c>
      <c r="B731" t="s">
        <v>23</v>
      </c>
      <c r="C731">
        <v>700</v>
      </c>
      <c r="D731">
        <v>0</v>
      </c>
      <c r="E731" t="s">
        <v>37</v>
      </c>
      <c r="F731" t="s">
        <v>37</v>
      </c>
      <c r="G731" t="str">
        <f>"2026-04-08 11:57:27.613"</f>
        <v>2026-04-08 11:57:27.613</v>
      </c>
      <c r="H731" t="s">
        <v>26</v>
      </c>
      <c r="I731">
        <v>0</v>
      </c>
      <c r="J731" t="s">
        <v>43</v>
      </c>
    </row>
    <row r="732" spans="1:10" x14ac:dyDescent="0.25">
      <c r="A732" s="1">
        <v>71</v>
      </c>
      <c r="B732" t="s">
        <v>23</v>
      </c>
      <c r="C732">
        <v>706</v>
      </c>
      <c r="D732">
        <v>4</v>
      </c>
      <c r="E732" t="s">
        <v>24</v>
      </c>
      <c r="F732" t="s">
        <v>25</v>
      </c>
      <c r="G732" t="str">
        <f>"2026-04-08 10:01:39.460"</f>
        <v>2026-04-08 10:01:39.460</v>
      </c>
      <c r="H732" t="s">
        <v>26</v>
      </c>
      <c r="I732">
        <v>0</v>
      </c>
      <c r="J732" t="s">
        <v>27</v>
      </c>
    </row>
    <row r="733" spans="1:10" x14ac:dyDescent="0.25">
      <c r="A733" s="1">
        <v>73</v>
      </c>
      <c r="B733" t="s">
        <v>23</v>
      </c>
      <c r="C733">
        <v>700</v>
      </c>
      <c r="D733">
        <v>0</v>
      </c>
      <c r="E733" t="s">
        <v>37</v>
      </c>
      <c r="F733" t="s">
        <v>37</v>
      </c>
      <c r="G733" t="str">
        <f>"2026-04-08 10:00:53.610"</f>
        <v>2026-04-08 10:00:53.610</v>
      </c>
      <c r="H733" t="s">
        <v>26</v>
      </c>
      <c r="I733">
        <v>0</v>
      </c>
      <c r="J733" t="s">
        <v>43</v>
      </c>
    </row>
    <row r="734" spans="1:10" x14ac:dyDescent="0.25">
      <c r="A734" s="1">
        <v>77</v>
      </c>
      <c r="B734" t="s">
        <v>23</v>
      </c>
      <c r="C734">
        <v>700</v>
      </c>
      <c r="D734">
        <v>0</v>
      </c>
      <c r="E734" t="s">
        <v>37</v>
      </c>
      <c r="F734" t="s">
        <v>37</v>
      </c>
      <c r="G734" t="str">
        <f>"2026-04-08 09:42:53.617"</f>
        <v>2026-04-08 09:42:53.617</v>
      </c>
      <c r="H734" t="s">
        <v>26</v>
      </c>
      <c r="I734">
        <v>0</v>
      </c>
      <c r="J734" t="s">
        <v>43</v>
      </c>
    </row>
    <row r="735" spans="1:10" x14ac:dyDescent="0.25">
      <c r="A735" s="1">
        <v>79</v>
      </c>
      <c r="B735" t="s">
        <v>23</v>
      </c>
      <c r="C735">
        <v>700</v>
      </c>
      <c r="D735">
        <v>0</v>
      </c>
      <c r="E735" t="s">
        <v>37</v>
      </c>
      <c r="F735" t="s">
        <v>37</v>
      </c>
      <c r="G735" t="str">
        <f>"2026-04-08 08:57:48.003"</f>
        <v>2026-04-08 08:57:48.003</v>
      </c>
      <c r="H735" t="s">
        <v>26</v>
      </c>
      <c r="I735">
        <v>0</v>
      </c>
      <c r="J735" t="s">
        <v>43</v>
      </c>
    </row>
    <row r="736" spans="1:10" x14ac:dyDescent="0.25">
      <c r="A736" s="1">
        <v>81</v>
      </c>
      <c r="B736" t="s">
        <v>28</v>
      </c>
      <c r="C736">
        <v>47</v>
      </c>
      <c r="D736">
        <v>2</v>
      </c>
      <c r="E736" t="s">
        <v>76</v>
      </c>
      <c r="F736" t="s">
        <v>77</v>
      </c>
      <c r="G736" t="str">
        <f>"2026-04-08 08:56:29.405"</f>
        <v>2026-04-08 08:56:29.405</v>
      </c>
      <c r="H736" t="s">
        <v>78</v>
      </c>
      <c r="I736">
        <v>0</v>
      </c>
      <c r="J736" t="s">
        <v>31</v>
      </c>
    </row>
    <row r="737" spans="1:10" x14ac:dyDescent="0.25">
      <c r="A737" s="1">
        <v>82</v>
      </c>
      <c r="B737" t="s">
        <v>19</v>
      </c>
      <c r="C737">
        <v>635</v>
      </c>
      <c r="D737">
        <v>1</v>
      </c>
      <c r="E737" t="s">
        <v>40</v>
      </c>
      <c r="F737" t="s">
        <v>41</v>
      </c>
      <c r="G737" t="str">
        <f>"2026-04-08 05:00:07.985"</f>
        <v>2026-04-08 05:00:07.985</v>
      </c>
      <c r="H737" t="s">
        <v>26</v>
      </c>
    </row>
    <row r="738" spans="1:10" x14ac:dyDescent="0.25">
      <c r="A738" s="1">
        <v>83</v>
      </c>
      <c r="B738" t="s">
        <v>38</v>
      </c>
      <c r="C738">
        <v>635</v>
      </c>
      <c r="D738">
        <v>1</v>
      </c>
      <c r="E738" t="s">
        <v>40</v>
      </c>
      <c r="F738" t="s">
        <v>41</v>
      </c>
      <c r="G738" t="str">
        <f>"2026-04-08 04:49:52.985"</f>
        <v>2026-04-08 04:49:52.985</v>
      </c>
      <c r="H738" t="s">
        <v>26</v>
      </c>
      <c r="I738">
        <v>3.28</v>
      </c>
      <c r="J738" t="s">
        <v>42</v>
      </c>
    </row>
    <row r="739" spans="1:10" x14ac:dyDescent="0.25">
      <c r="A739" s="1">
        <v>84</v>
      </c>
      <c r="B739" t="s">
        <v>23</v>
      </c>
      <c r="C739">
        <v>706</v>
      </c>
      <c r="D739">
        <v>4</v>
      </c>
      <c r="E739" t="s">
        <v>24</v>
      </c>
      <c r="F739" t="s">
        <v>25</v>
      </c>
      <c r="G739" t="str">
        <f>"2026-04-07 14:55:11.117"</f>
        <v>2026-04-07 14:55:11.117</v>
      </c>
      <c r="H739" t="s">
        <v>26</v>
      </c>
      <c r="I739">
        <v>0</v>
      </c>
      <c r="J739" t="s">
        <v>27</v>
      </c>
    </row>
    <row r="740" spans="1:10" x14ac:dyDescent="0.25">
      <c r="A740" s="1">
        <v>86</v>
      </c>
      <c r="B740" t="s">
        <v>23</v>
      </c>
      <c r="C740">
        <v>700</v>
      </c>
      <c r="D740">
        <v>0</v>
      </c>
      <c r="E740" t="s">
        <v>37</v>
      </c>
      <c r="F740" t="s">
        <v>37</v>
      </c>
      <c r="G740" t="str">
        <f>"2026-04-07 14:40:01.597"</f>
        <v>2026-04-07 14:40:01.597</v>
      </c>
      <c r="H740" t="s">
        <v>26</v>
      </c>
    </row>
    <row r="741" spans="1:10" x14ac:dyDescent="0.25">
      <c r="A741" s="1">
        <v>88</v>
      </c>
      <c r="B741" t="s">
        <v>28</v>
      </c>
      <c r="C741">
        <v>47</v>
      </c>
      <c r="D741">
        <v>2</v>
      </c>
      <c r="E741" t="s">
        <v>76</v>
      </c>
      <c r="F741" t="s">
        <v>77</v>
      </c>
      <c r="G741" t="str">
        <f>"2026-04-07 14:38:08.611"</f>
        <v>2026-04-07 14:38:08.611</v>
      </c>
      <c r="H741" t="s">
        <v>78</v>
      </c>
      <c r="I741">
        <v>0</v>
      </c>
      <c r="J741" t="s">
        <v>31</v>
      </c>
    </row>
    <row r="742" spans="1:10" x14ac:dyDescent="0.25">
      <c r="A742" s="1">
        <v>90</v>
      </c>
      <c r="B742" t="s">
        <v>23</v>
      </c>
      <c r="C742">
        <v>700</v>
      </c>
      <c r="D742">
        <v>0</v>
      </c>
      <c r="E742" t="s">
        <v>37</v>
      </c>
      <c r="F742" t="s">
        <v>37</v>
      </c>
      <c r="G742" t="str">
        <f>"2026-04-07 13:54:52.717"</f>
        <v>2026-04-07 13:54:52.717</v>
      </c>
      <c r="H742" t="s">
        <v>26</v>
      </c>
    </row>
    <row r="743" spans="1:10" x14ac:dyDescent="0.25">
      <c r="A743" s="1">
        <v>92</v>
      </c>
      <c r="B743" t="s">
        <v>23</v>
      </c>
      <c r="C743">
        <v>706</v>
      </c>
      <c r="D743">
        <v>4</v>
      </c>
      <c r="E743" t="s">
        <v>24</v>
      </c>
      <c r="F743" t="s">
        <v>25</v>
      </c>
      <c r="G743" t="str">
        <f>"2026-04-06 21:21:38.678"</f>
        <v>2026-04-06 21:21:38.678</v>
      </c>
      <c r="H743" t="s">
        <v>26</v>
      </c>
      <c r="I743">
        <v>0</v>
      </c>
      <c r="J743" t="s">
        <v>27</v>
      </c>
    </row>
    <row r="744" spans="1:10" x14ac:dyDescent="0.25">
      <c r="A744" s="1">
        <v>95</v>
      </c>
      <c r="B744" t="s">
        <v>19</v>
      </c>
      <c r="C744">
        <v>635</v>
      </c>
      <c r="D744">
        <v>1</v>
      </c>
      <c r="E744" t="s">
        <v>40</v>
      </c>
      <c r="F744" t="s">
        <v>41</v>
      </c>
      <c r="G744" t="str">
        <f>"2026-04-05 22:58:10.828"</f>
        <v>2026-04-05 22:58:10.828</v>
      </c>
      <c r="H744" t="s">
        <v>26</v>
      </c>
    </row>
    <row r="745" spans="1:10" x14ac:dyDescent="0.25">
      <c r="A745" s="1">
        <v>96</v>
      </c>
      <c r="B745" t="s">
        <v>38</v>
      </c>
      <c r="C745">
        <v>635</v>
      </c>
      <c r="D745">
        <v>1</v>
      </c>
      <c r="E745" t="s">
        <v>40</v>
      </c>
      <c r="F745" t="s">
        <v>41</v>
      </c>
      <c r="G745" t="str">
        <f>"2026-04-05 22:54:22.328"</f>
        <v>2026-04-05 22:54:22.328</v>
      </c>
      <c r="H745" t="s">
        <v>26</v>
      </c>
      <c r="I745">
        <v>4.07</v>
      </c>
      <c r="J745" t="s">
        <v>31</v>
      </c>
    </row>
    <row r="746" spans="1:10" x14ac:dyDescent="0.25">
      <c r="A746" s="1">
        <v>98</v>
      </c>
      <c r="B746" t="s">
        <v>23</v>
      </c>
      <c r="C746">
        <v>706</v>
      </c>
      <c r="D746">
        <v>4</v>
      </c>
      <c r="E746" t="s">
        <v>24</v>
      </c>
      <c r="F746" t="s">
        <v>25</v>
      </c>
      <c r="G746" t="str">
        <f>"2026-04-05 18:21:17.268"</f>
        <v>2026-04-05 18:21:17.268</v>
      </c>
      <c r="H746" t="s">
        <v>26</v>
      </c>
      <c r="I746">
        <v>0</v>
      </c>
      <c r="J746" t="s">
        <v>27</v>
      </c>
    </row>
    <row r="747" spans="1:10" x14ac:dyDescent="0.25">
      <c r="A747" s="1">
        <v>99</v>
      </c>
      <c r="B747" t="s">
        <v>23</v>
      </c>
      <c r="C747">
        <v>700</v>
      </c>
      <c r="D747">
        <v>0</v>
      </c>
      <c r="E747" t="s">
        <v>37</v>
      </c>
      <c r="F747" t="s">
        <v>37</v>
      </c>
      <c r="G747" t="str">
        <f>"2026-04-05 18:20:57.588"</f>
        <v>2026-04-05 18:20:57.588</v>
      </c>
      <c r="H747" t="s">
        <v>26</v>
      </c>
    </row>
    <row r="748" spans="1:10" x14ac:dyDescent="0.25">
      <c r="A748" s="1">
        <v>2</v>
      </c>
      <c r="B748" t="s">
        <v>23</v>
      </c>
      <c r="C748">
        <v>700</v>
      </c>
      <c r="D748">
        <v>0</v>
      </c>
      <c r="E748" t="s">
        <v>37</v>
      </c>
      <c r="F748" t="s">
        <v>37</v>
      </c>
      <c r="G748" t="str">
        <f>"2026-04-05 17:25:41.602"</f>
        <v>2026-04-05 17:25:41.602</v>
      </c>
      <c r="H748" t="s">
        <v>26</v>
      </c>
      <c r="I748">
        <v>0</v>
      </c>
      <c r="J748" t="s">
        <v>43</v>
      </c>
    </row>
    <row r="749" spans="1:10" x14ac:dyDescent="0.25">
      <c r="A749" s="1">
        <v>5</v>
      </c>
      <c r="B749" t="s">
        <v>23</v>
      </c>
      <c r="C749">
        <v>706</v>
      </c>
      <c r="D749">
        <v>2</v>
      </c>
      <c r="E749" t="s">
        <v>24</v>
      </c>
      <c r="F749" t="s">
        <v>39</v>
      </c>
      <c r="G749" t="str">
        <f>"2026-04-05 16:21:40.012"</f>
        <v>2026-04-05 16:21:40.012</v>
      </c>
      <c r="H749" t="s">
        <v>26</v>
      </c>
      <c r="I749">
        <v>0</v>
      </c>
      <c r="J749" t="s">
        <v>27</v>
      </c>
    </row>
    <row r="750" spans="1:10" x14ac:dyDescent="0.25">
      <c r="A750" s="1">
        <v>6</v>
      </c>
      <c r="B750" t="s">
        <v>23</v>
      </c>
      <c r="C750">
        <v>700</v>
      </c>
      <c r="D750">
        <v>0</v>
      </c>
      <c r="E750" t="s">
        <v>37</v>
      </c>
      <c r="F750" t="s">
        <v>37</v>
      </c>
      <c r="G750" t="str">
        <f>"2026-04-05 16:21:25.602"</f>
        <v>2026-04-05 16:21:25.602</v>
      </c>
      <c r="H750" t="s">
        <v>26</v>
      </c>
      <c r="I750">
        <v>0</v>
      </c>
      <c r="J750" t="s">
        <v>43</v>
      </c>
    </row>
    <row r="751" spans="1:10" x14ac:dyDescent="0.25">
      <c r="A751" s="1">
        <v>9</v>
      </c>
      <c r="B751" t="s">
        <v>23</v>
      </c>
      <c r="C751">
        <v>700</v>
      </c>
      <c r="D751">
        <v>0</v>
      </c>
      <c r="E751" t="s">
        <v>37</v>
      </c>
      <c r="F751" t="s">
        <v>37</v>
      </c>
      <c r="G751" t="str">
        <f>"2026-04-05 16:06:14.585"</f>
        <v>2026-04-05 16:06:14.585</v>
      </c>
      <c r="H751" t="s">
        <v>26</v>
      </c>
      <c r="I751">
        <v>0</v>
      </c>
      <c r="J751" t="s">
        <v>43</v>
      </c>
    </row>
    <row r="752" spans="1:10" x14ac:dyDescent="0.25">
      <c r="A752" s="1">
        <v>12</v>
      </c>
      <c r="B752" t="s">
        <v>23</v>
      </c>
      <c r="C752">
        <v>700</v>
      </c>
      <c r="D752">
        <v>0</v>
      </c>
      <c r="E752" t="s">
        <v>37</v>
      </c>
      <c r="F752" t="s">
        <v>37</v>
      </c>
      <c r="G752" t="str">
        <f>"2026-04-05 15:44:25.628"</f>
        <v>2026-04-05 15:44:25.628</v>
      </c>
      <c r="H752" t="s">
        <v>26</v>
      </c>
      <c r="I752">
        <v>0</v>
      </c>
      <c r="J752" t="s">
        <v>43</v>
      </c>
    </row>
    <row r="753" spans="1:10" x14ac:dyDescent="0.25">
      <c r="A753" s="1">
        <v>15</v>
      </c>
      <c r="B753" t="s">
        <v>23</v>
      </c>
      <c r="C753">
        <v>700</v>
      </c>
      <c r="D753">
        <v>0</v>
      </c>
      <c r="E753" t="s">
        <v>37</v>
      </c>
      <c r="F753" t="s">
        <v>37</v>
      </c>
      <c r="G753" t="str">
        <f>"2026-04-05 08:01:50.744"</f>
        <v>2026-04-05 08:01:50.744</v>
      </c>
      <c r="H753" t="s">
        <v>26</v>
      </c>
      <c r="I753">
        <v>0</v>
      </c>
      <c r="J753" t="s">
        <v>43</v>
      </c>
    </row>
    <row r="754" spans="1:10" x14ac:dyDescent="0.25">
      <c r="A754" s="1">
        <v>17</v>
      </c>
      <c r="B754" t="s">
        <v>28</v>
      </c>
      <c r="C754">
        <v>47</v>
      </c>
      <c r="D754">
        <v>2</v>
      </c>
      <c r="E754" t="s">
        <v>76</v>
      </c>
      <c r="F754" t="s">
        <v>77</v>
      </c>
      <c r="G754" t="str">
        <f>"2026-04-05 07:43:12.607"</f>
        <v>2026-04-05 07:43:12.607</v>
      </c>
      <c r="H754" t="s">
        <v>78</v>
      </c>
      <c r="I754">
        <v>0</v>
      </c>
      <c r="J754" t="s">
        <v>31</v>
      </c>
    </row>
    <row r="755" spans="1:10" x14ac:dyDescent="0.25">
      <c r="A755" s="1">
        <v>18</v>
      </c>
      <c r="B755" t="s">
        <v>30</v>
      </c>
      <c r="C755">
        <v>47</v>
      </c>
      <c r="D755">
        <v>2</v>
      </c>
      <c r="E755" t="s">
        <v>76</v>
      </c>
      <c r="F755" t="s">
        <v>77</v>
      </c>
      <c r="G755" t="str">
        <f>"2026-04-04 19:59:15.706"</f>
        <v>2026-04-04 19:59:15.706</v>
      </c>
      <c r="H755" t="s">
        <v>78</v>
      </c>
    </row>
    <row r="756" spans="1:10" x14ac:dyDescent="0.25">
      <c r="A756" s="1">
        <v>19</v>
      </c>
      <c r="B756" t="s">
        <v>23</v>
      </c>
      <c r="C756">
        <v>706</v>
      </c>
      <c r="D756">
        <v>2</v>
      </c>
      <c r="E756" t="s">
        <v>24</v>
      </c>
      <c r="F756" t="s">
        <v>39</v>
      </c>
      <c r="G756" t="str">
        <f>"2026-04-04 19:59:13.564"</f>
        <v>2026-04-04 19:59:13.564</v>
      </c>
      <c r="H756" t="s">
        <v>26</v>
      </c>
      <c r="I756">
        <v>0</v>
      </c>
      <c r="J756" t="s">
        <v>27</v>
      </c>
    </row>
    <row r="757" spans="1:10" x14ac:dyDescent="0.25">
      <c r="A757" s="1">
        <v>20</v>
      </c>
      <c r="B757" t="s">
        <v>19</v>
      </c>
      <c r="C757">
        <v>49</v>
      </c>
      <c r="D757">
        <v>1</v>
      </c>
      <c r="E757" t="s">
        <v>34</v>
      </c>
      <c r="F757" t="s">
        <v>35</v>
      </c>
      <c r="G757" t="str">
        <f>"2026-04-04 19:45:09.607"</f>
        <v>2026-04-04 19:45:09.607</v>
      </c>
      <c r="H757" t="s">
        <v>36</v>
      </c>
    </row>
    <row r="758" spans="1:10" x14ac:dyDescent="0.25">
      <c r="A758" s="1">
        <v>22</v>
      </c>
      <c r="B758" t="s">
        <v>38</v>
      </c>
      <c r="C758">
        <v>49</v>
      </c>
      <c r="D758">
        <v>1</v>
      </c>
      <c r="E758" t="s">
        <v>34</v>
      </c>
      <c r="F758" t="s">
        <v>35</v>
      </c>
      <c r="G758" t="str">
        <f>"2026-04-04 19:44:17.107"</f>
        <v>2026-04-04 19:44:17.107</v>
      </c>
      <c r="H758" t="s">
        <v>36</v>
      </c>
      <c r="I758">
        <v>0</v>
      </c>
      <c r="J758" t="s">
        <v>27</v>
      </c>
    </row>
    <row r="759" spans="1:10" x14ac:dyDescent="0.25">
      <c r="A759" s="1">
        <v>24</v>
      </c>
      <c r="B759" t="s">
        <v>28</v>
      </c>
      <c r="C759">
        <v>47</v>
      </c>
      <c r="D759">
        <v>2</v>
      </c>
      <c r="E759" t="s">
        <v>76</v>
      </c>
      <c r="F759" t="s">
        <v>77</v>
      </c>
      <c r="G759" t="str">
        <f>"2026-04-04 19:43:08.006"</f>
        <v>2026-04-04 19:43:08.006</v>
      </c>
      <c r="H759" t="s">
        <v>78</v>
      </c>
      <c r="I759">
        <v>0</v>
      </c>
      <c r="J759" t="s">
        <v>31</v>
      </c>
    </row>
    <row r="760" spans="1:10" x14ac:dyDescent="0.25">
      <c r="A760" s="1">
        <v>26</v>
      </c>
      <c r="B760" t="s">
        <v>23</v>
      </c>
      <c r="C760">
        <v>700</v>
      </c>
      <c r="D760">
        <v>0</v>
      </c>
      <c r="E760" t="s">
        <v>37</v>
      </c>
      <c r="F760" t="s">
        <v>37</v>
      </c>
      <c r="G760" t="str">
        <f>"2026-04-03 13:02:01.594"</f>
        <v>2026-04-03 13:02:01.594</v>
      </c>
      <c r="H760" t="s">
        <v>26</v>
      </c>
      <c r="I760">
        <v>0</v>
      </c>
      <c r="J760" t="s">
        <v>43</v>
      </c>
    </row>
    <row r="761" spans="1:10" x14ac:dyDescent="0.25">
      <c r="A761" s="1">
        <v>28</v>
      </c>
      <c r="B761" t="s">
        <v>28</v>
      </c>
      <c r="C761">
        <v>47</v>
      </c>
      <c r="D761">
        <v>2</v>
      </c>
      <c r="E761" t="s">
        <v>76</v>
      </c>
      <c r="F761" t="s">
        <v>77</v>
      </c>
      <c r="G761" t="str">
        <f>"2026-04-03 12:39:57.292"</f>
        <v>2026-04-03 12:39:57.292</v>
      </c>
      <c r="H761" t="s">
        <v>78</v>
      </c>
      <c r="I761">
        <v>0</v>
      </c>
      <c r="J761" t="s">
        <v>31</v>
      </c>
    </row>
    <row r="762" spans="1:10" x14ac:dyDescent="0.25">
      <c r="A762" s="1">
        <v>29</v>
      </c>
      <c r="B762" t="s">
        <v>23</v>
      </c>
      <c r="C762">
        <v>706</v>
      </c>
      <c r="D762">
        <v>4</v>
      </c>
      <c r="E762" t="s">
        <v>24</v>
      </c>
      <c r="F762" t="s">
        <v>25</v>
      </c>
      <c r="G762" t="str">
        <f>"2026-04-03 05:09:07.758"</f>
        <v>2026-04-03 05:09:07.758</v>
      </c>
      <c r="H762" t="s">
        <v>26</v>
      </c>
      <c r="I762">
        <v>0</v>
      </c>
      <c r="J762" t="s">
        <v>27</v>
      </c>
    </row>
    <row r="763" spans="1:10" x14ac:dyDescent="0.25">
      <c r="A763" s="1">
        <v>31</v>
      </c>
      <c r="B763" t="s">
        <v>23</v>
      </c>
      <c r="C763">
        <v>700</v>
      </c>
      <c r="D763">
        <v>0</v>
      </c>
      <c r="E763" t="s">
        <v>37</v>
      </c>
      <c r="F763" t="s">
        <v>37</v>
      </c>
      <c r="G763" t="str">
        <f>"2026-04-03 05:08:41.578"</f>
        <v>2026-04-03 05:08:41.578</v>
      </c>
      <c r="H763" t="s">
        <v>26</v>
      </c>
      <c r="I763">
        <v>0</v>
      </c>
      <c r="J763" t="s">
        <v>43</v>
      </c>
    </row>
    <row r="764" spans="1:10" x14ac:dyDescent="0.25">
      <c r="A764" s="1">
        <v>34</v>
      </c>
      <c r="B764" t="s">
        <v>23</v>
      </c>
      <c r="C764">
        <v>700</v>
      </c>
      <c r="D764">
        <v>0</v>
      </c>
      <c r="E764" t="s">
        <v>37</v>
      </c>
      <c r="F764" t="s">
        <v>37</v>
      </c>
      <c r="G764" t="str">
        <f>"2026-04-03 04:25:01.592"</f>
        <v>2026-04-03 04:25:01.592</v>
      </c>
      <c r="H764" t="s">
        <v>26</v>
      </c>
      <c r="I764">
        <v>0</v>
      </c>
      <c r="J764" t="s">
        <v>43</v>
      </c>
    </row>
    <row r="765" spans="1:10" x14ac:dyDescent="0.25">
      <c r="A765" s="1">
        <v>36</v>
      </c>
      <c r="B765" t="s">
        <v>23</v>
      </c>
      <c r="C765">
        <v>706</v>
      </c>
      <c r="D765">
        <v>2</v>
      </c>
      <c r="E765" t="s">
        <v>24</v>
      </c>
      <c r="F765" t="s">
        <v>39</v>
      </c>
      <c r="G765" t="str">
        <f>"2026-04-02 15:47:53.815"</f>
        <v>2026-04-02 15:47:53.815</v>
      </c>
      <c r="H765" t="s">
        <v>26</v>
      </c>
      <c r="I765">
        <v>0</v>
      </c>
      <c r="J765" t="s">
        <v>27</v>
      </c>
    </row>
    <row r="766" spans="1:10" x14ac:dyDescent="0.25">
      <c r="A766" s="1">
        <v>38</v>
      </c>
      <c r="B766" t="s">
        <v>23</v>
      </c>
      <c r="C766">
        <v>700</v>
      </c>
      <c r="D766">
        <v>0</v>
      </c>
      <c r="E766" t="s">
        <v>37</v>
      </c>
      <c r="F766" t="s">
        <v>37</v>
      </c>
      <c r="G766" t="str">
        <f>"2026-04-02 15:47:04.575"</f>
        <v>2026-04-02 15:47:04.575</v>
      </c>
      <c r="H766" t="s">
        <v>26</v>
      </c>
    </row>
    <row r="767" spans="1:10" x14ac:dyDescent="0.25">
      <c r="A767" s="1">
        <v>41</v>
      </c>
      <c r="B767" t="s">
        <v>23</v>
      </c>
      <c r="C767">
        <v>700</v>
      </c>
      <c r="D767">
        <v>0</v>
      </c>
      <c r="E767" t="s">
        <v>37</v>
      </c>
      <c r="F767" t="s">
        <v>37</v>
      </c>
      <c r="G767" t="str">
        <f>"2026-04-02 15:12:08.750"</f>
        <v>2026-04-02 15:12:08.750</v>
      </c>
      <c r="H767" t="s">
        <v>26</v>
      </c>
      <c r="I767">
        <v>0</v>
      </c>
      <c r="J767" t="s">
        <v>43</v>
      </c>
    </row>
    <row r="768" spans="1:10" x14ac:dyDescent="0.25">
      <c r="A768" s="1">
        <v>43</v>
      </c>
      <c r="B768" t="s">
        <v>28</v>
      </c>
      <c r="C768">
        <v>47</v>
      </c>
      <c r="D768">
        <v>2</v>
      </c>
      <c r="E768" t="s">
        <v>76</v>
      </c>
      <c r="F768" t="s">
        <v>77</v>
      </c>
      <c r="G768" t="str">
        <f>"2026-04-02 14:48:01.403"</f>
        <v>2026-04-02 14:48:01.403</v>
      </c>
      <c r="H768" t="s">
        <v>78</v>
      </c>
      <c r="I768">
        <v>0</v>
      </c>
      <c r="J768" t="s">
        <v>31</v>
      </c>
    </row>
    <row r="769" spans="1:10" x14ac:dyDescent="0.25">
      <c r="A769" s="1">
        <v>45</v>
      </c>
      <c r="B769" t="s">
        <v>23</v>
      </c>
      <c r="C769">
        <v>700</v>
      </c>
      <c r="D769">
        <v>0</v>
      </c>
      <c r="E769" t="s">
        <v>37</v>
      </c>
      <c r="F769" t="s">
        <v>37</v>
      </c>
      <c r="G769" t="str">
        <f>"2026-04-01 21:36:30.588"</f>
        <v>2026-04-01 21:36:30.588</v>
      </c>
      <c r="H769" t="s">
        <v>26</v>
      </c>
    </row>
    <row r="770" spans="1:10" x14ac:dyDescent="0.25">
      <c r="A770" s="1">
        <v>47</v>
      </c>
      <c r="B770" t="s">
        <v>28</v>
      </c>
      <c r="C770">
        <v>47</v>
      </c>
      <c r="D770">
        <v>2</v>
      </c>
      <c r="E770" t="s">
        <v>76</v>
      </c>
      <c r="F770" t="s">
        <v>77</v>
      </c>
      <c r="G770" t="str">
        <f>"2026-04-01 21:25:20.716"</f>
        <v>2026-04-01 21:25:20.716</v>
      </c>
      <c r="H770" t="s">
        <v>78</v>
      </c>
      <c r="I770">
        <v>0</v>
      </c>
      <c r="J770" t="s">
        <v>31</v>
      </c>
    </row>
    <row r="771" spans="1:10" x14ac:dyDescent="0.25">
      <c r="A771" s="1">
        <v>49</v>
      </c>
      <c r="B771" t="s">
        <v>23</v>
      </c>
      <c r="C771">
        <v>700</v>
      </c>
      <c r="D771">
        <v>0</v>
      </c>
      <c r="E771" t="s">
        <v>37</v>
      </c>
      <c r="F771" t="s">
        <v>37</v>
      </c>
      <c r="G771" t="str">
        <f>"2026-04-01 16:10:07.576"</f>
        <v>2026-04-01 16:10:07.576</v>
      </c>
      <c r="H771" t="s">
        <v>26</v>
      </c>
    </row>
    <row r="772" spans="1:10" x14ac:dyDescent="0.25">
      <c r="A772" s="1">
        <v>51</v>
      </c>
      <c r="B772" t="s">
        <v>28</v>
      </c>
      <c r="C772">
        <v>47</v>
      </c>
      <c r="D772">
        <v>2</v>
      </c>
      <c r="E772" t="s">
        <v>76</v>
      </c>
      <c r="F772" t="s">
        <v>77</v>
      </c>
      <c r="G772" t="str">
        <f>"2026-04-01 15:28:22.574"</f>
        <v>2026-04-01 15:28:22.574</v>
      </c>
      <c r="H772" t="s">
        <v>78</v>
      </c>
      <c r="I772">
        <v>0</v>
      </c>
      <c r="J772" t="s">
        <v>31</v>
      </c>
    </row>
    <row r="773" spans="1:10" x14ac:dyDescent="0.25">
      <c r="A773" s="1">
        <v>53</v>
      </c>
      <c r="B773" t="s">
        <v>23</v>
      </c>
      <c r="C773">
        <v>700</v>
      </c>
      <c r="D773">
        <v>0</v>
      </c>
      <c r="E773" t="s">
        <v>37</v>
      </c>
      <c r="F773" t="s">
        <v>37</v>
      </c>
      <c r="G773" t="str">
        <f>"2026-04-01 14:24:06.558"</f>
        <v>2026-04-01 14:24:06.558</v>
      </c>
      <c r="H773" t="s">
        <v>26</v>
      </c>
    </row>
    <row r="774" spans="1:10" x14ac:dyDescent="0.25">
      <c r="A774" s="1">
        <v>55</v>
      </c>
      <c r="B774" t="s">
        <v>28</v>
      </c>
      <c r="C774">
        <v>47</v>
      </c>
      <c r="D774">
        <v>2</v>
      </c>
      <c r="E774" t="s">
        <v>76</v>
      </c>
      <c r="F774" t="s">
        <v>77</v>
      </c>
      <c r="G774" t="str">
        <f>"2026-04-01 14:21:09.210"</f>
        <v>2026-04-01 14:21:09.210</v>
      </c>
      <c r="H774" t="s">
        <v>78</v>
      </c>
      <c r="I774">
        <v>0</v>
      </c>
      <c r="J774" t="s">
        <v>31</v>
      </c>
    </row>
    <row r="775" spans="1:10" x14ac:dyDescent="0.25">
      <c r="A775" s="1">
        <v>56</v>
      </c>
      <c r="B775" t="s">
        <v>23</v>
      </c>
      <c r="C775">
        <v>706</v>
      </c>
      <c r="D775">
        <v>2</v>
      </c>
      <c r="E775" t="s">
        <v>24</v>
      </c>
      <c r="F775" t="s">
        <v>39</v>
      </c>
      <c r="G775" t="str">
        <f>"2026-04-01 04:31:41.510"</f>
        <v>2026-04-01 04:31:41.510</v>
      </c>
      <c r="H775" t="s">
        <v>26</v>
      </c>
      <c r="I775">
        <v>0</v>
      </c>
      <c r="J775" t="s">
        <v>27</v>
      </c>
    </row>
    <row r="776" spans="1:10" x14ac:dyDescent="0.25">
      <c r="A776" s="1">
        <v>58</v>
      </c>
      <c r="B776" t="s">
        <v>23</v>
      </c>
      <c r="C776">
        <v>700</v>
      </c>
      <c r="D776">
        <v>0</v>
      </c>
      <c r="E776" t="s">
        <v>37</v>
      </c>
      <c r="F776" t="s">
        <v>37</v>
      </c>
      <c r="G776" t="str">
        <f>"2026-04-01 04:25:31.580"</f>
        <v>2026-04-01 04:25:31.580</v>
      </c>
      <c r="H776" t="s">
        <v>26</v>
      </c>
    </row>
    <row r="777" spans="1:10" x14ac:dyDescent="0.25">
      <c r="A777" s="1">
        <v>60</v>
      </c>
      <c r="B777" t="s">
        <v>28</v>
      </c>
      <c r="C777">
        <v>47</v>
      </c>
      <c r="D777">
        <v>2</v>
      </c>
      <c r="E777" t="s">
        <v>76</v>
      </c>
      <c r="F777" t="s">
        <v>77</v>
      </c>
      <c r="G777" t="str">
        <f>"2026-04-01 04:22:38.298"</f>
        <v>2026-04-01 04:22:38.298</v>
      </c>
      <c r="H777" t="s">
        <v>78</v>
      </c>
      <c r="I777">
        <v>0</v>
      </c>
      <c r="J777" t="s">
        <v>31</v>
      </c>
    </row>
    <row r="778" spans="1:10" x14ac:dyDescent="0.25">
      <c r="A778" s="1">
        <v>61</v>
      </c>
      <c r="B778" t="s">
        <v>30</v>
      </c>
      <c r="C778">
        <v>47</v>
      </c>
      <c r="D778">
        <v>2</v>
      </c>
      <c r="E778" t="s">
        <v>76</v>
      </c>
      <c r="F778" t="s">
        <v>77</v>
      </c>
      <c r="G778" t="str">
        <f>"2026-04-01 04:04:29.698"</f>
        <v>2026-04-01 04:04:29.698</v>
      </c>
      <c r="H778" t="s">
        <v>78</v>
      </c>
    </row>
    <row r="779" spans="1:10" x14ac:dyDescent="0.25">
      <c r="A779" s="1">
        <v>62</v>
      </c>
      <c r="B779" t="s">
        <v>23</v>
      </c>
      <c r="C779">
        <v>706</v>
      </c>
      <c r="D779">
        <v>2</v>
      </c>
      <c r="E779" t="s">
        <v>24</v>
      </c>
      <c r="F779" t="s">
        <v>39</v>
      </c>
      <c r="G779" t="str">
        <f>"2026-04-01 04:04:26.116"</f>
        <v>2026-04-01 04:04:26.116</v>
      </c>
      <c r="H779" t="s">
        <v>26</v>
      </c>
      <c r="I779">
        <v>0</v>
      </c>
      <c r="J779" t="s">
        <v>27</v>
      </c>
    </row>
    <row r="780" spans="1:10" x14ac:dyDescent="0.25">
      <c r="A780" s="1">
        <v>65</v>
      </c>
      <c r="B780" t="s">
        <v>28</v>
      </c>
      <c r="C780">
        <v>47</v>
      </c>
      <c r="D780">
        <v>2</v>
      </c>
      <c r="E780" t="s">
        <v>76</v>
      </c>
      <c r="F780" t="s">
        <v>77</v>
      </c>
      <c r="G780" t="str">
        <f>"2026-04-01 04:03:01.198"</f>
        <v>2026-04-01 04:03:01.198</v>
      </c>
      <c r="H780" t="s">
        <v>78</v>
      </c>
      <c r="I780">
        <v>0</v>
      </c>
      <c r="J780" t="s">
        <v>31</v>
      </c>
    </row>
    <row r="781" spans="1:10" x14ac:dyDescent="0.25">
      <c r="A781" s="1">
        <v>66</v>
      </c>
      <c r="B781" t="s">
        <v>23</v>
      </c>
      <c r="C781">
        <v>706</v>
      </c>
      <c r="D781">
        <v>4</v>
      </c>
      <c r="E781" t="s">
        <v>24</v>
      </c>
      <c r="F781" t="s">
        <v>25</v>
      </c>
      <c r="G781" t="str">
        <f>"2026-03-31 12:06:11.266"</f>
        <v>2026-03-31 12:06:11.266</v>
      </c>
      <c r="H781" t="s">
        <v>26</v>
      </c>
      <c r="I781">
        <v>0</v>
      </c>
      <c r="J781" t="s">
        <v>27</v>
      </c>
    </row>
    <row r="782" spans="1:10" x14ac:dyDescent="0.25">
      <c r="A782" s="1">
        <v>68</v>
      </c>
      <c r="B782" t="s">
        <v>23</v>
      </c>
      <c r="C782">
        <v>700</v>
      </c>
      <c r="D782">
        <v>0</v>
      </c>
      <c r="E782" t="s">
        <v>37</v>
      </c>
      <c r="F782" t="s">
        <v>37</v>
      </c>
      <c r="G782" t="str">
        <f>"2026-03-31 11:25:35.586"</f>
        <v>2026-03-31 11:25:35.586</v>
      </c>
      <c r="H782" t="s">
        <v>26</v>
      </c>
    </row>
    <row r="783" spans="1:10" x14ac:dyDescent="0.25">
      <c r="A783" s="1">
        <v>70</v>
      </c>
      <c r="B783" t="s">
        <v>28</v>
      </c>
      <c r="C783">
        <v>47</v>
      </c>
      <c r="D783">
        <v>2</v>
      </c>
      <c r="E783" t="s">
        <v>76</v>
      </c>
      <c r="F783" t="s">
        <v>77</v>
      </c>
      <c r="G783" t="str">
        <f>"2026-03-31 11:16:40.143"</f>
        <v>2026-03-31 11:16:40.143</v>
      </c>
      <c r="H783" t="s">
        <v>78</v>
      </c>
      <c r="I783">
        <v>0</v>
      </c>
      <c r="J783" t="s">
        <v>31</v>
      </c>
    </row>
    <row r="784" spans="1:10" x14ac:dyDescent="0.25">
      <c r="A784" s="1">
        <v>71</v>
      </c>
      <c r="B784" t="s">
        <v>23</v>
      </c>
      <c r="C784">
        <v>706</v>
      </c>
      <c r="D784">
        <v>2</v>
      </c>
      <c r="E784" t="s">
        <v>24</v>
      </c>
      <c r="F784" t="s">
        <v>39</v>
      </c>
      <c r="G784" t="str">
        <f>"2026-03-31 11:06:56.449"</f>
        <v>2026-03-31 11:06:56.449</v>
      </c>
      <c r="H784" t="s">
        <v>26</v>
      </c>
      <c r="I784">
        <v>0</v>
      </c>
      <c r="J784" t="s">
        <v>27</v>
      </c>
    </row>
    <row r="785" spans="1:10" x14ac:dyDescent="0.25">
      <c r="A785" s="1">
        <v>72</v>
      </c>
      <c r="B785" t="s">
        <v>30</v>
      </c>
      <c r="C785">
        <v>47</v>
      </c>
      <c r="D785">
        <v>2</v>
      </c>
      <c r="E785" t="s">
        <v>76</v>
      </c>
      <c r="F785" t="s">
        <v>77</v>
      </c>
      <c r="G785" t="str">
        <f>"2026-03-30 22:00:04.143"</f>
        <v>2026-03-30 22:00:04.143</v>
      </c>
      <c r="H785" t="s">
        <v>78</v>
      </c>
    </row>
    <row r="786" spans="1:10" x14ac:dyDescent="0.25">
      <c r="A786" s="1">
        <v>73</v>
      </c>
      <c r="B786" t="s">
        <v>23</v>
      </c>
      <c r="C786">
        <v>706</v>
      </c>
      <c r="D786">
        <v>4</v>
      </c>
      <c r="E786" t="s">
        <v>24</v>
      </c>
      <c r="F786" t="s">
        <v>25</v>
      </c>
      <c r="G786" t="str">
        <f>"2026-03-30 22:00:01.799"</f>
        <v>2026-03-30 22:00:01.799</v>
      </c>
      <c r="H786" t="s">
        <v>26</v>
      </c>
      <c r="I786">
        <v>0</v>
      </c>
      <c r="J786" t="s">
        <v>27</v>
      </c>
    </row>
    <row r="787" spans="1:10" x14ac:dyDescent="0.25">
      <c r="A787" s="1">
        <v>74</v>
      </c>
      <c r="B787" t="s">
        <v>28</v>
      </c>
      <c r="C787">
        <v>47</v>
      </c>
      <c r="D787">
        <v>2</v>
      </c>
      <c r="E787" t="s">
        <v>76</v>
      </c>
      <c r="F787" t="s">
        <v>77</v>
      </c>
      <c r="G787" t="str">
        <f>"2026-03-30 21:48:50.943"</f>
        <v>2026-03-30 21:48:50.943</v>
      </c>
      <c r="H787" t="s">
        <v>78</v>
      </c>
      <c r="I787">
        <v>0</v>
      </c>
      <c r="J787" t="s">
        <v>31</v>
      </c>
    </row>
    <row r="788" spans="1:10" x14ac:dyDescent="0.25">
      <c r="A788" s="1">
        <v>76</v>
      </c>
      <c r="B788" t="s">
        <v>23</v>
      </c>
      <c r="C788">
        <v>700</v>
      </c>
      <c r="D788">
        <v>0</v>
      </c>
      <c r="E788" t="s">
        <v>37</v>
      </c>
      <c r="F788" t="s">
        <v>37</v>
      </c>
      <c r="G788" t="str">
        <f>"2026-03-30 15:53:55.719"</f>
        <v>2026-03-30 15:53:55.719</v>
      </c>
      <c r="H788" t="s">
        <v>26</v>
      </c>
    </row>
    <row r="789" spans="1:10" x14ac:dyDescent="0.25">
      <c r="A789" s="1">
        <v>78</v>
      </c>
      <c r="B789" t="s">
        <v>23</v>
      </c>
      <c r="C789">
        <v>706</v>
      </c>
      <c r="D789">
        <v>4</v>
      </c>
      <c r="E789" t="s">
        <v>24</v>
      </c>
      <c r="F789" t="s">
        <v>25</v>
      </c>
      <c r="G789" t="str">
        <f>"2026-03-30 06:07:54.355"</f>
        <v>2026-03-30 06:07:54.355</v>
      </c>
      <c r="H789" t="s">
        <v>26</v>
      </c>
      <c r="I789">
        <v>9.18</v>
      </c>
      <c r="J789" t="s">
        <v>42</v>
      </c>
    </row>
    <row r="790" spans="1:10" x14ac:dyDescent="0.25">
      <c r="A790" s="1">
        <v>79</v>
      </c>
      <c r="B790" t="s">
        <v>23</v>
      </c>
      <c r="C790">
        <v>706</v>
      </c>
      <c r="D790">
        <v>4</v>
      </c>
      <c r="E790" t="s">
        <v>24</v>
      </c>
      <c r="F790" t="s">
        <v>25</v>
      </c>
      <c r="G790" t="str">
        <f>"2026-03-30 06:07:16.925"</f>
        <v>2026-03-30 06:07:16.925</v>
      </c>
      <c r="H790" t="s">
        <v>26</v>
      </c>
      <c r="I790">
        <v>9.8699999999999992</v>
      </c>
      <c r="J790" t="s">
        <v>42</v>
      </c>
    </row>
    <row r="791" spans="1:10" x14ac:dyDescent="0.25">
      <c r="A791" s="1">
        <v>80</v>
      </c>
      <c r="B791" t="s">
        <v>23</v>
      </c>
      <c r="C791">
        <v>706</v>
      </c>
      <c r="D791">
        <v>4</v>
      </c>
      <c r="E791" t="s">
        <v>24</v>
      </c>
      <c r="F791" t="s">
        <v>25</v>
      </c>
      <c r="G791" t="str">
        <f>"2026-03-30 06:04:20.815"</f>
        <v>2026-03-30 06:04:20.815</v>
      </c>
      <c r="H791" t="s">
        <v>26</v>
      </c>
      <c r="I791">
        <v>16.86</v>
      </c>
      <c r="J791" t="s">
        <v>42</v>
      </c>
    </row>
    <row r="792" spans="1:10" x14ac:dyDescent="0.25">
      <c r="A792" s="1">
        <v>81</v>
      </c>
      <c r="B792" t="s">
        <v>23</v>
      </c>
      <c r="C792">
        <v>706</v>
      </c>
      <c r="D792">
        <v>4</v>
      </c>
      <c r="E792" t="s">
        <v>24</v>
      </c>
      <c r="F792" t="s">
        <v>25</v>
      </c>
      <c r="G792" t="str">
        <f>"2026-03-30 05:46:22.935"</f>
        <v>2026-03-30 05:46:22.935</v>
      </c>
      <c r="H792" t="s">
        <v>26</v>
      </c>
      <c r="I792">
        <v>19.12</v>
      </c>
      <c r="J792" t="s">
        <v>29</v>
      </c>
    </row>
    <row r="793" spans="1:10" x14ac:dyDescent="0.25">
      <c r="A793" s="1">
        <v>82</v>
      </c>
      <c r="B793" t="s">
        <v>23</v>
      </c>
      <c r="C793">
        <v>706</v>
      </c>
      <c r="D793">
        <v>4</v>
      </c>
      <c r="E793" t="s">
        <v>24</v>
      </c>
      <c r="F793" t="s">
        <v>25</v>
      </c>
      <c r="G793" t="str">
        <f>"2026-03-30 05:46:14.685"</f>
        <v>2026-03-30 05:46:14.685</v>
      </c>
      <c r="H793" t="s">
        <v>26</v>
      </c>
      <c r="I793">
        <v>19.43</v>
      </c>
      <c r="J793" t="s">
        <v>29</v>
      </c>
    </row>
    <row r="794" spans="1:10" x14ac:dyDescent="0.25">
      <c r="A794" s="1">
        <v>83</v>
      </c>
      <c r="B794" t="s">
        <v>23</v>
      </c>
      <c r="C794">
        <v>706</v>
      </c>
      <c r="D794">
        <v>4</v>
      </c>
      <c r="E794" t="s">
        <v>24</v>
      </c>
      <c r="F794" t="s">
        <v>25</v>
      </c>
      <c r="G794" t="str">
        <f>"2026-03-30 04:05:29.555"</f>
        <v>2026-03-30 04:05:29.555</v>
      </c>
      <c r="H794" t="s">
        <v>26</v>
      </c>
      <c r="I794">
        <v>16.47</v>
      </c>
      <c r="J794" t="s">
        <v>29</v>
      </c>
    </row>
    <row r="795" spans="1:10" x14ac:dyDescent="0.25">
      <c r="A795" s="1">
        <v>85</v>
      </c>
      <c r="B795" t="s">
        <v>23</v>
      </c>
      <c r="C795">
        <v>700</v>
      </c>
      <c r="D795">
        <v>0</v>
      </c>
      <c r="E795" t="s">
        <v>37</v>
      </c>
      <c r="F795" t="s">
        <v>37</v>
      </c>
      <c r="G795" t="str">
        <f>"2026-03-30 03:12:33.575"</f>
        <v>2026-03-30 03:12:33.575</v>
      </c>
      <c r="H795" t="s">
        <v>26</v>
      </c>
      <c r="I795">
        <v>0</v>
      </c>
      <c r="J795" t="s">
        <v>43</v>
      </c>
    </row>
    <row r="796" spans="1:10" x14ac:dyDescent="0.25">
      <c r="A796" s="1">
        <v>87</v>
      </c>
      <c r="B796" t="s">
        <v>28</v>
      </c>
      <c r="C796">
        <v>47</v>
      </c>
      <c r="D796">
        <v>2</v>
      </c>
      <c r="E796" t="s">
        <v>76</v>
      </c>
      <c r="F796" t="s">
        <v>77</v>
      </c>
      <c r="G796" t="str">
        <f>"2026-03-30 03:05:10.504"</f>
        <v>2026-03-30 03:05:10.504</v>
      </c>
      <c r="H796" t="s">
        <v>78</v>
      </c>
      <c r="I796">
        <v>0</v>
      </c>
      <c r="J796" t="s">
        <v>31</v>
      </c>
    </row>
    <row r="797" spans="1:10" x14ac:dyDescent="0.25">
      <c r="A797" s="1">
        <v>89</v>
      </c>
      <c r="B797" t="s">
        <v>23</v>
      </c>
      <c r="C797">
        <v>700</v>
      </c>
      <c r="D797">
        <v>0</v>
      </c>
      <c r="E797" t="s">
        <v>37</v>
      </c>
      <c r="F797" t="s">
        <v>37</v>
      </c>
      <c r="G797" t="str">
        <f>"2026-03-29 19:43:07.583"</f>
        <v>2026-03-29 19:43:07.583</v>
      </c>
      <c r="H797" t="s">
        <v>26</v>
      </c>
    </row>
    <row r="798" spans="1:10" x14ac:dyDescent="0.25">
      <c r="A798" s="1">
        <v>91</v>
      </c>
      <c r="B798" t="s">
        <v>19</v>
      </c>
      <c r="C798">
        <v>635</v>
      </c>
      <c r="D798">
        <v>1</v>
      </c>
      <c r="E798" t="s">
        <v>40</v>
      </c>
      <c r="F798" t="s">
        <v>41</v>
      </c>
      <c r="G798" t="str">
        <f>"2026-03-29 03:20:19.922"</f>
        <v>2026-03-29 03:20:19.922</v>
      </c>
      <c r="H798" t="s">
        <v>26</v>
      </c>
    </row>
    <row r="799" spans="1:10" x14ac:dyDescent="0.25">
      <c r="A799" s="1">
        <v>92</v>
      </c>
      <c r="B799" t="s">
        <v>38</v>
      </c>
      <c r="C799">
        <v>635</v>
      </c>
      <c r="D799">
        <v>1</v>
      </c>
      <c r="E799" t="s">
        <v>40</v>
      </c>
      <c r="F799" t="s">
        <v>41</v>
      </c>
      <c r="G799" t="str">
        <f>"2026-03-29 03:15:57.422"</f>
        <v>2026-03-29 03:15:57.422</v>
      </c>
      <c r="H799" t="s">
        <v>26</v>
      </c>
      <c r="I799">
        <v>3.54</v>
      </c>
      <c r="J799" t="s">
        <v>42</v>
      </c>
    </row>
    <row r="800" spans="1:10" x14ac:dyDescent="0.25">
      <c r="A800" s="1">
        <v>93</v>
      </c>
      <c r="B800" t="s">
        <v>23</v>
      </c>
      <c r="C800">
        <v>700</v>
      </c>
      <c r="D800">
        <v>0</v>
      </c>
      <c r="E800" t="s">
        <v>37</v>
      </c>
      <c r="F800" t="s">
        <v>37</v>
      </c>
      <c r="G800" t="str">
        <f>"2026-03-28 12:59:02.553"</f>
        <v>2026-03-28 12:59:02.553</v>
      </c>
      <c r="H800" t="s">
        <v>26</v>
      </c>
    </row>
    <row r="801" spans="1:10" x14ac:dyDescent="0.25">
      <c r="A801" s="1">
        <v>94</v>
      </c>
      <c r="B801" t="s">
        <v>23</v>
      </c>
      <c r="C801">
        <v>706</v>
      </c>
      <c r="D801">
        <v>4</v>
      </c>
      <c r="E801" t="s">
        <v>24</v>
      </c>
      <c r="F801" t="s">
        <v>25</v>
      </c>
      <c r="G801" t="str">
        <f>"2026-03-28 10:33:00.149"</f>
        <v>2026-03-28 10:33:00.149</v>
      </c>
      <c r="H801" t="s">
        <v>26</v>
      </c>
      <c r="I801">
        <v>0</v>
      </c>
      <c r="J801" t="s">
        <v>27</v>
      </c>
    </row>
    <row r="802" spans="1:10" x14ac:dyDescent="0.25">
      <c r="A802" s="1">
        <v>95</v>
      </c>
      <c r="B802" t="s">
        <v>23</v>
      </c>
      <c r="C802">
        <v>706</v>
      </c>
      <c r="D802">
        <v>4</v>
      </c>
      <c r="E802" t="s">
        <v>24</v>
      </c>
      <c r="F802" t="s">
        <v>25</v>
      </c>
      <c r="G802" t="str">
        <f>"2026-03-28 08:43:16.569"</f>
        <v>2026-03-28 08:43:16.569</v>
      </c>
      <c r="H802" t="s">
        <v>26</v>
      </c>
      <c r="I802">
        <v>14.07</v>
      </c>
      <c r="J802" t="s">
        <v>29</v>
      </c>
    </row>
    <row r="803" spans="1:10" x14ac:dyDescent="0.25">
      <c r="A803" s="1">
        <v>96</v>
      </c>
      <c r="B803" t="s">
        <v>23</v>
      </c>
      <c r="C803">
        <v>706</v>
      </c>
      <c r="D803">
        <v>2</v>
      </c>
      <c r="E803" t="s">
        <v>24</v>
      </c>
      <c r="F803" t="s">
        <v>39</v>
      </c>
      <c r="G803" t="str">
        <f>"2026-03-28 05:34:21.119"</f>
        <v>2026-03-28 05:34:21.119</v>
      </c>
      <c r="H803" t="s">
        <v>26</v>
      </c>
      <c r="I803">
        <v>0</v>
      </c>
      <c r="J803" t="s">
        <v>27</v>
      </c>
    </row>
    <row r="804" spans="1:10" x14ac:dyDescent="0.25">
      <c r="A804" s="1">
        <v>97</v>
      </c>
      <c r="B804" t="s">
        <v>23</v>
      </c>
      <c r="C804">
        <v>700</v>
      </c>
      <c r="D804">
        <v>0</v>
      </c>
      <c r="E804" t="s">
        <v>37</v>
      </c>
      <c r="F804" t="s">
        <v>37</v>
      </c>
      <c r="G804" t="str">
        <f>"2026-03-28 05:34:00.559"</f>
        <v>2026-03-28 05:34:00.559</v>
      </c>
      <c r="H804" t="s">
        <v>26</v>
      </c>
      <c r="I804">
        <v>0</v>
      </c>
      <c r="J804" t="s">
        <v>43</v>
      </c>
    </row>
    <row r="805" spans="1:10" x14ac:dyDescent="0.25">
      <c r="A805" s="1">
        <v>98</v>
      </c>
      <c r="B805" t="s">
        <v>23</v>
      </c>
      <c r="C805">
        <v>706</v>
      </c>
      <c r="D805">
        <v>2</v>
      </c>
      <c r="E805" t="s">
        <v>24</v>
      </c>
      <c r="F805" t="s">
        <v>39</v>
      </c>
      <c r="G805" t="str">
        <f>"2026-03-28 05:16:02.161"</f>
        <v>2026-03-28 05:16:02.161</v>
      </c>
      <c r="H805" t="s">
        <v>26</v>
      </c>
      <c r="I805">
        <v>0</v>
      </c>
      <c r="J805" t="s">
        <v>27</v>
      </c>
    </row>
    <row r="806" spans="1:10" x14ac:dyDescent="0.25">
      <c r="A806" s="1">
        <v>99</v>
      </c>
      <c r="B806" t="s">
        <v>23</v>
      </c>
      <c r="C806">
        <v>700</v>
      </c>
      <c r="D806">
        <v>0</v>
      </c>
      <c r="E806" t="s">
        <v>37</v>
      </c>
      <c r="F806" t="s">
        <v>37</v>
      </c>
      <c r="G806" t="str">
        <f>"2026-03-28 02:46:10.552"</f>
        <v>2026-03-28 02:46:10.552</v>
      </c>
      <c r="H806" t="s">
        <v>26</v>
      </c>
      <c r="I806">
        <v>0</v>
      </c>
      <c r="J806" t="s">
        <v>43</v>
      </c>
    </row>
    <row r="807" spans="1:10" x14ac:dyDescent="0.25">
      <c r="A807" s="1">
        <v>100</v>
      </c>
      <c r="B807" t="s">
        <v>23</v>
      </c>
      <c r="C807">
        <v>700</v>
      </c>
      <c r="D807">
        <v>0</v>
      </c>
      <c r="E807" t="s">
        <v>37</v>
      </c>
      <c r="F807" t="s">
        <v>37</v>
      </c>
      <c r="G807" t="str">
        <f>"2026-03-28 01:49:33.907"</f>
        <v>2026-03-28 01:49:33.907</v>
      </c>
      <c r="H807" t="s">
        <v>26</v>
      </c>
    </row>
    <row r="808" spans="1:10" x14ac:dyDescent="0.25">
      <c r="A808" s="1">
        <v>101</v>
      </c>
      <c r="B808" t="s">
        <v>23</v>
      </c>
      <c r="C808">
        <v>706</v>
      </c>
      <c r="D808">
        <v>4</v>
      </c>
      <c r="E808" t="s">
        <v>24</v>
      </c>
      <c r="F808" t="s">
        <v>25</v>
      </c>
      <c r="G808" t="str">
        <f>"2026-03-27 22:29:10.349"</f>
        <v>2026-03-27 22:29:10.349</v>
      </c>
      <c r="H808" t="s">
        <v>26</v>
      </c>
      <c r="I808">
        <v>0</v>
      </c>
      <c r="J808" t="s">
        <v>27</v>
      </c>
    </row>
    <row r="809" spans="1:10" x14ac:dyDescent="0.25">
      <c r="A809" s="1">
        <v>102</v>
      </c>
      <c r="B809" t="s">
        <v>23</v>
      </c>
      <c r="C809">
        <v>706</v>
      </c>
      <c r="D809">
        <v>4</v>
      </c>
      <c r="E809" t="s">
        <v>24</v>
      </c>
      <c r="F809" t="s">
        <v>25</v>
      </c>
      <c r="G809" t="str">
        <f>"2026-03-27 17:49:47.739"</f>
        <v>2026-03-27 17:49:47.739</v>
      </c>
      <c r="H809" t="s">
        <v>26</v>
      </c>
      <c r="I809">
        <v>0</v>
      </c>
      <c r="J809" t="s">
        <v>27</v>
      </c>
    </row>
    <row r="810" spans="1:10" x14ac:dyDescent="0.25">
      <c r="A810" s="1">
        <v>103</v>
      </c>
      <c r="B810" t="s">
        <v>23</v>
      </c>
      <c r="C810">
        <v>700</v>
      </c>
      <c r="D810">
        <v>0</v>
      </c>
      <c r="E810" t="s">
        <v>37</v>
      </c>
      <c r="F810" t="s">
        <v>37</v>
      </c>
      <c r="G810" t="str">
        <f>"2026-03-27 15:38:17.549"</f>
        <v>2026-03-27 15:38:17.549</v>
      </c>
      <c r="H810" t="s">
        <v>26</v>
      </c>
    </row>
    <row r="811" spans="1:10" x14ac:dyDescent="0.25">
      <c r="A811" s="1">
        <v>104</v>
      </c>
      <c r="B811" t="s">
        <v>23</v>
      </c>
      <c r="C811">
        <v>700</v>
      </c>
      <c r="D811">
        <v>0</v>
      </c>
      <c r="E811" t="s">
        <v>37</v>
      </c>
      <c r="F811" t="s">
        <v>37</v>
      </c>
      <c r="G811" t="str">
        <f>"2026-03-27 13:26:39.557"</f>
        <v>2026-03-27 13:26:39.557</v>
      </c>
      <c r="H811" t="s">
        <v>26</v>
      </c>
      <c r="I811">
        <v>0</v>
      </c>
      <c r="J811" t="s">
        <v>43</v>
      </c>
    </row>
    <row r="812" spans="1:10" x14ac:dyDescent="0.25">
      <c r="A812" s="1">
        <v>105</v>
      </c>
      <c r="B812" t="s">
        <v>23</v>
      </c>
      <c r="C812">
        <v>706</v>
      </c>
      <c r="D812">
        <v>2</v>
      </c>
      <c r="E812" t="s">
        <v>24</v>
      </c>
      <c r="F812" t="s">
        <v>39</v>
      </c>
      <c r="G812" t="str">
        <f>"2026-03-27 01:01:06.712"</f>
        <v>2026-03-27 01:01:06.712</v>
      </c>
      <c r="H812" t="s">
        <v>26</v>
      </c>
      <c r="I812">
        <v>0</v>
      </c>
      <c r="J812" t="s">
        <v>27</v>
      </c>
    </row>
    <row r="813" spans="1:10" x14ac:dyDescent="0.25">
      <c r="A813" s="1">
        <v>106</v>
      </c>
      <c r="B813" t="s">
        <v>23</v>
      </c>
      <c r="C813">
        <v>706</v>
      </c>
      <c r="D813">
        <v>2</v>
      </c>
      <c r="E813" t="s">
        <v>24</v>
      </c>
      <c r="F813" t="s">
        <v>39</v>
      </c>
      <c r="G813" t="str">
        <f>"2026-03-24 23:02:28.012"</f>
        <v>2026-03-24 23:02:28.012</v>
      </c>
      <c r="H813" t="s">
        <v>26</v>
      </c>
      <c r="I813">
        <v>0</v>
      </c>
      <c r="J813" t="s">
        <v>27</v>
      </c>
    </row>
    <row r="814" spans="1:10" x14ac:dyDescent="0.25">
      <c r="A814" s="1">
        <v>107</v>
      </c>
      <c r="B814" t="s">
        <v>23</v>
      </c>
      <c r="C814">
        <v>706</v>
      </c>
      <c r="D814">
        <v>4</v>
      </c>
      <c r="E814" t="s">
        <v>24</v>
      </c>
      <c r="F814" t="s">
        <v>25</v>
      </c>
      <c r="G814" t="str">
        <f>"2026-03-23 16:58:40.812"</f>
        <v>2026-03-23 16:58:40.812</v>
      </c>
      <c r="H814" t="s">
        <v>26</v>
      </c>
      <c r="I814">
        <v>0</v>
      </c>
      <c r="J814" t="s">
        <v>27</v>
      </c>
    </row>
    <row r="815" spans="1:10" x14ac:dyDescent="0.25">
      <c r="A815" s="1">
        <v>108</v>
      </c>
      <c r="B815" t="s">
        <v>23</v>
      </c>
      <c r="C815">
        <v>700</v>
      </c>
      <c r="D815">
        <v>0</v>
      </c>
      <c r="E815" t="s">
        <v>37</v>
      </c>
      <c r="F815" t="s">
        <v>37</v>
      </c>
      <c r="G815" t="str">
        <f>"2026-03-23 13:47:43.582"</f>
        <v>2026-03-23 13:47:43.582</v>
      </c>
      <c r="H815" t="s">
        <v>26</v>
      </c>
      <c r="I815">
        <v>0</v>
      </c>
      <c r="J815" t="s">
        <v>43</v>
      </c>
    </row>
    <row r="816" spans="1:10" x14ac:dyDescent="0.25">
      <c r="A816" s="1">
        <v>109</v>
      </c>
      <c r="B816" t="s">
        <v>23</v>
      </c>
      <c r="C816">
        <v>700</v>
      </c>
      <c r="D816">
        <v>0</v>
      </c>
      <c r="E816" t="s">
        <v>37</v>
      </c>
      <c r="F816" t="s">
        <v>37</v>
      </c>
      <c r="G816" t="str">
        <f>"2026-03-23 03:27:00.556"</f>
        <v>2026-03-23 03:27:00.556</v>
      </c>
      <c r="H816" t="s">
        <v>26</v>
      </c>
    </row>
    <row r="817" spans="1:10" x14ac:dyDescent="0.25">
      <c r="A817" s="1">
        <v>110</v>
      </c>
      <c r="B817" t="s">
        <v>23</v>
      </c>
      <c r="C817">
        <v>706</v>
      </c>
      <c r="D817">
        <v>4</v>
      </c>
      <c r="E817" t="s">
        <v>24</v>
      </c>
      <c r="F817" t="s">
        <v>25</v>
      </c>
      <c r="G817" t="str">
        <f>"2026-03-22 12:01:29.459"</f>
        <v>2026-03-22 12:01:29.459</v>
      </c>
      <c r="H817" t="s">
        <v>26</v>
      </c>
      <c r="I817">
        <v>0</v>
      </c>
      <c r="J817" t="s">
        <v>27</v>
      </c>
    </row>
    <row r="818" spans="1:10" x14ac:dyDescent="0.25">
      <c r="A818" s="1">
        <v>111</v>
      </c>
      <c r="B818" t="s">
        <v>23</v>
      </c>
      <c r="C818">
        <v>700</v>
      </c>
      <c r="D818">
        <v>0</v>
      </c>
      <c r="E818" t="s">
        <v>37</v>
      </c>
      <c r="F818" t="s">
        <v>37</v>
      </c>
      <c r="G818" t="str">
        <f>"2026-03-22 11:59:46.559"</f>
        <v>2026-03-22 11:59:46.559</v>
      </c>
      <c r="H818" t="s">
        <v>26</v>
      </c>
    </row>
    <row r="819" spans="1:10" x14ac:dyDescent="0.25">
      <c r="A819" s="1">
        <v>112</v>
      </c>
      <c r="B819" t="s">
        <v>23</v>
      </c>
      <c r="C819">
        <v>706</v>
      </c>
      <c r="D819">
        <v>2</v>
      </c>
      <c r="E819" t="s">
        <v>24</v>
      </c>
      <c r="F819" t="s">
        <v>39</v>
      </c>
      <c r="G819" t="str">
        <f>"2026-03-22 01:43:24.738"</f>
        <v>2026-03-22 01:43:24.738</v>
      </c>
      <c r="H819" t="s">
        <v>26</v>
      </c>
      <c r="I819">
        <v>0</v>
      </c>
      <c r="J819" t="s">
        <v>27</v>
      </c>
    </row>
    <row r="820" spans="1:10" x14ac:dyDescent="0.25">
      <c r="A820" s="1">
        <v>113</v>
      </c>
      <c r="B820" t="s">
        <v>19</v>
      </c>
      <c r="C820">
        <v>61</v>
      </c>
      <c r="D820">
        <v>2</v>
      </c>
      <c r="E820" t="s">
        <v>84</v>
      </c>
      <c r="F820" t="s">
        <v>85</v>
      </c>
      <c r="G820" t="str">
        <f>"2026-03-21 19:06:54.010"</f>
        <v>2026-03-21 19:06:54.010</v>
      </c>
      <c r="H820" t="s">
        <v>26</v>
      </c>
    </row>
    <row r="821" spans="1:10" x14ac:dyDescent="0.25">
      <c r="A821" s="1">
        <v>114</v>
      </c>
      <c r="B821" t="s">
        <v>28</v>
      </c>
      <c r="C821">
        <v>61</v>
      </c>
      <c r="D821">
        <v>2</v>
      </c>
      <c r="E821" t="s">
        <v>84</v>
      </c>
      <c r="F821" t="s">
        <v>85</v>
      </c>
      <c r="G821" t="str">
        <f>"2026-03-21 19:06:27.410"</f>
        <v>2026-03-21 19:06:27.410</v>
      </c>
      <c r="H821" t="s">
        <v>26</v>
      </c>
      <c r="I821">
        <v>29.03</v>
      </c>
      <c r="J821" t="s">
        <v>29</v>
      </c>
    </row>
    <row r="822" spans="1:10" x14ac:dyDescent="0.25">
      <c r="A822" s="1">
        <v>115</v>
      </c>
      <c r="B822" t="s">
        <v>19</v>
      </c>
      <c r="C822">
        <v>61</v>
      </c>
      <c r="D822">
        <v>2</v>
      </c>
      <c r="E822" t="s">
        <v>84</v>
      </c>
      <c r="F822" t="s">
        <v>85</v>
      </c>
      <c r="G822" t="str">
        <f>"2026-03-21 04:21:31.510"</f>
        <v>2026-03-21 04:21:31.510</v>
      </c>
      <c r="H822" t="s">
        <v>26</v>
      </c>
    </row>
    <row r="823" spans="1:10" x14ac:dyDescent="0.25">
      <c r="A823" s="1">
        <v>116</v>
      </c>
      <c r="B823" t="s">
        <v>28</v>
      </c>
      <c r="C823">
        <v>61</v>
      </c>
      <c r="D823">
        <v>2</v>
      </c>
      <c r="E823" t="s">
        <v>84</v>
      </c>
      <c r="F823" t="s">
        <v>85</v>
      </c>
      <c r="G823" t="str">
        <f>"2026-03-21 04:21:13.910"</f>
        <v>2026-03-21 04:21:13.910</v>
      </c>
      <c r="H823" t="s">
        <v>26</v>
      </c>
      <c r="I823">
        <v>29.3</v>
      </c>
      <c r="J823" t="s">
        <v>29</v>
      </c>
    </row>
    <row r="824" spans="1:10" x14ac:dyDescent="0.25">
      <c r="A824" s="1">
        <v>117</v>
      </c>
      <c r="B824" t="s">
        <v>23</v>
      </c>
      <c r="C824">
        <v>700</v>
      </c>
      <c r="D824">
        <v>0</v>
      </c>
      <c r="E824" t="s">
        <v>37</v>
      </c>
      <c r="F824" t="s">
        <v>37</v>
      </c>
      <c r="G824" t="str">
        <f>"2026-03-20 14:27:33.578"</f>
        <v>2026-03-20 14:27:33.578</v>
      </c>
      <c r="H824" t="s">
        <v>26</v>
      </c>
    </row>
    <row r="825" spans="1:10" x14ac:dyDescent="0.25">
      <c r="A825" s="1">
        <v>119</v>
      </c>
      <c r="B825" t="s">
        <v>23</v>
      </c>
      <c r="C825">
        <v>706</v>
      </c>
      <c r="D825">
        <v>4</v>
      </c>
      <c r="E825" t="s">
        <v>24</v>
      </c>
      <c r="F825" t="s">
        <v>25</v>
      </c>
      <c r="G825" t="str">
        <f>"2026-03-20 02:14:27.042"</f>
        <v>2026-03-20 02:14:27.042</v>
      </c>
      <c r="H825" t="s">
        <v>26</v>
      </c>
      <c r="I825">
        <v>0</v>
      </c>
      <c r="J825" t="s">
        <v>27</v>
      </c>
    </row>
    <row r="826" spans="1:10" x14ac:dyDescent="0.25">
      <c r="A826" s="1">
        <v>120</v>
      </c>
      <c r="B826" t="s">
        <v>23</v>
      </c>
      <c r="C826">
        <v>700</v>
      </c>
      <c r="D826">
        <v>0</v>
      </c>
      <c r="E826" t="s">
        <v>37</v>
      </c>
      <c r="F826" t="s">
        <v>37</v>
      </c>
      <c r="G826" t="str">
        <f>"2026-03-19 17:35:34.552"</f>
        <v>2026-03-19 17:35:34.552</v>
      </c>
      <c r="H826" t="s">
        <v>26</v>
      </c>
      <c r="I826">
        <v>0</v>
      </c>
      <c r="J826" t="s">
        <v>43</v>
      </c>
    </row>
    <row r="827" spans="1:10" x14ac:dyDescent="0.25">
      <c r="A827" s="1">
        <v>121</v>
      </c>
      <c r="B827" t="s">
        <v>23</v>
      </c>
      <c r="C827">
        <v>700</v>
      </c>
      <c r="D827">
        <v>0</v>
      </c>
      <c r="E827" t="s">
        <v>37</v>
      </c>
      <c r="F827" t="s">
        <v>37</v>
      </c>
      <c r="G827" t="str">
        <f>"2026-03-19 17:29:41.580"</f>
        <v>2026-03-19 17:29:41.580</v>
      </c>
      <c r="H827" t="s">
        <v>26</v>
      </c>
      <c r="I827">
        <v>0</v>
      </c>
      <c r="J827" t="s">
        <v>43</v>
      </c>
    </row>
    <row r="828" spans="1:10" x14ac:dyDescent="0.25">
      <c r="A828" s="1">
        <v>123</v>
      </c>
      <c r="B828" t="s">
        <v>23</v>
      </c>
      <c r="C828">
        <v>706</v>
      </c>
      <c r="D828">
        <v>2</v>
      </c>
      <c r="E828" t="s">
        <v>24</v>
      </c>
      <c r="F828" t="s">
        <v>39</v>
      </c>
      <c r="G828" t="str">
        <f>"2026-03-17 20:37:14.091"</f>
        <v>2026-03-17 20:37:14.091</v>
      </c>
      <c r="H828" t="s">
        <v>26</v>
      </c>
      <c r="I828">
        <v>0</v>
      </c>
      <c r="J828" t="s">
        <v>27</v>
      </c>
    </row>
    <row r="829" spans="1:10" x14ac:dyDescent="0.25">
      <c r="A829" s="1">
        <v>124</v>
      </c>
      <c r="B829" t="s">
        <v>23</v>
      </c>
      <c r="C829">
        <v>706</v>
      </c>
      <c r="D829">
        <v>4</v>
      </c>
      <c r="E829" t="s">
        <v>24</v>
      </c>
      <c r="F829" t="s">
        <v>25</v>
      </c>
      <c r="G829" t="str">
        <f>"2026-03-17 20:36:54.431"</f>
        <v>2026-03-17 20:36:54.431</v>
      </c>
      <c r="H829" t="s">
        <v>26</v>
      </c>
      <c r="I829">
        <v>0</v>
      </c>
      <c r="J829" t="s">
        <v>27</v>
      </c>
    </row>
    <row r="830" spans="1:10" x14ac:dyDescent="0.25">
      <c r="A830" s="1">
        <v>125</v>
      </c>
      <c r="B830" t="s">
        <v>19</v>
      </c>
      <c r="C830">
        <v>43</v>
      </c>
      <c r="D830">
        <v>1</v>
      </c>
      <c r="E830" t="s">
        <v>54</v>
      </c>
      <c r="F830" t="s">
        <v>55</v>
      </c>
      <c r="G830" t="str">
        <f>"2026-03-17 20:24:44.684"</f>
        <v>2026-03-17 20:24:44.684</v>
      </c>
      <c r="H830" t="s">
        <v>22</v>
      </c>
    </row>
    <row r="831" spans="1:10" x14ac:dyDescent="0.25">
      <c r="A831" s="1">
        <v>126</v>
      </c>
      <c r="B831" t="s">
        <v>38</v>
      </c>
      <c r="C831">
        <v>43</v>
      </c>
      <c r="D831">
        <v>1</v>
      </c>
      <c r="E831" t="s">
        <v>54</v>
      </c>
      <c r="F831" t="s">
        <v>55</v>
      </c>
      <c r="G831" t="str">
        <f>"2026-03-17 20:23:56.485"</f>
        <v>2026-03-17 20:23:56.485</v>
      </c>
      <c r="H831" t="s">
        <v>22</v>
      </c>
      <c r="I831">
        <v>0</v>
      </c>
      <c r="J831" t="s">
        <v>27</v>
      </c>
    </row>
    <row r="832" spans="1:10" x14ac:dyDescent="0.25">
      <c r="A832" s="1">
        <v>127</v>
      </c>
      <c r="B832" t="s">
        <v>23</v>
      </c>
      <c r="C832">
        <v>700</v>
      </c>
      <c r="D832">
        <v>0</v>
      </c>
      <c r="E832" t="s">
        <v>37</v>
      </c>
      <c r="F832" t="s">
        <v>37</v>
      </c>
      <c r="G832" t="str">
        <f>"2026-03-17 20:23:38.551"</f>
        <v>2026-03-17 20:23:38.551</v>
      </c>
      <c r="H832" t="s">
        <v>26</v>
      </c>
      <c r="I832">
        <v>0</v>
      </c>
      <c r="J832" t="s">
        <v>43</v>
      </c>
    </row>
    <row r="833" spans="1:10" x14ac:dyDescent="0.25">
      <c r="A833" s="1">
        <v>128</v>
      </c>
      <c r="B833" t="s">
        <v>23</v>
      </c>
      <c r="C833">
        <v>700</v>
      </c>
      <c r="D833">
        <v>0</v>
      </c>
      <c r="E833" t="s">
        <v>37</v>
      </c>
      <c r="F833" t="s">
        <v>37</v>
      </c>
      <c r="G833" t="str">
        <f>"2026-03-17 10:06:59.651"</f>
        <v>2026-03-17 10:06:59.651</v>
      </c>
      <c r="H833" t="s">
        <v>26</v>
      </c>
      <c r="I833">
        <v>0</v>
      </c>
      <c r="J833" t="s">
        <v>43</v>
      </c>
    </row>
    <row r="834" spans="1:10" x14ac:dyDescent="0.25">
      <c r="A834" s="1">
        <v>129</v>
      </c>
      <c r="B834" t="s">
        <v>23</v>
      </c>
      <c r="C834">
        <v>700</v>
      </c>
      <c r="D834">
        <v>0</v>
      </c>
      <c r="E834" t="s">
        <v>37</v>
      </c>
      <c r="F834" t="s">
        <v>37</v>
      </c>
      <c r="G834" t="str">
        <f>"2026-03-17 10:05:21.558"</f>
        <v>2026-03-17 10:05:21.558</v>
      </c>
      <c r="H834" t="s">
        <v>26</v>
      </c>
    </row>
    <row r="835" spans="1:10" x14ac:dyDescent="0.25">
      <c r="A835" s="1">
        <v>130</v>
      </c>
      <c r="B835" t="s">
        <v>23</v>
      </c>
      <c r="C835">
        <v>706</v>
      </c>
      <c r="D835">
        <v>4</v>
      </c>
      <c r="E835" t="s">
        <v>24</v>
      </c>
      <c r="F835" t="s">
        <v>25</v>
      </c>
      <c r="G835" t="str">
        <f>"2026-03-17 09:58:31.855"</f>
        <v>2026-03-17 09:58:31.855</v>
      </c>
      <c r="H835" t="s">
        <v>26</v>
      </c>
      <c r="I835">
        <v>0</v>
      </c>
      <c r="J835" t="s">
        <v>27</v>
      </c>
    </row>
    <row r="836" spans="1:10" x14ac:dyDescent="0.25">
      <c r="A836" s="1">
        <v>131</v>
      </c>
      <c r="B836" t="s">
        <v>23</v>
      </c>
      <c r="C836">
        <v>700</v>
      </c>
      <c r="D836">
        <v>0</v>
      </c>
      <c r="E836" t="s">
        <v>37</v>
      </c>
      <c r="F836" t="s">
        <v>37</v>
      </c>
      <c r="G836" t="str">
        <f>"2026-03-17 09:58:11.565"</f>
        <v>2026-03-17 09:58:11.565</v>
      </c>
      <c r="H836" t="s">
        <v>26</v>
      </c>
      <c r="I836">
        <v>0</v>
      </c>
      <c r="J836" t="s">
        <v>43</v>
      </c>
    </row>
    <row r="837" spans="1:10" x14ac:dyDescent="0.25">
      <c r="A837" s="1">
        <v>132</v>
      </c>
      <c r="B837" t="s">
        <v>23</v>
      </c>
      <c r="C837">
        <v>706</v>
      </c>
      <c r="D837">
        <v>2</v>
      </c>
      <c r="E837" t="s">
        <v>24</v>
      </c>
      <c r="F837" t="s">
        <v>39</v>
      </c>
      <c r="G837" t="str">
        <f>"2026-03-17 09:52:32.204"</f>
        <v>2026-03-17 09:52:32.204</v>
      </c>
      <c r="H837" t="s">
        <v>26</v>
      </c>
      <c r="I837">
        <v>0</v>
      </c>
      <c r="J837" t="s">
        <v>27</v>
      </c>
    </row>
    <row r="838" spans="1:10" x14ac:dyDescent="0.25">
      <c r="A838" s="1">
        <v>133</v>
      </c>
      <c r="B838" t="s">
        <v>23</v>
      </c>
      <c r="C838">
        <v>700</v>
      </c>
      <c r="D838">
        <v>0</v>
      </c>
      <c r="E838" t="s">
        <v>37</v>
      </c>
      <c r="F838" t="s">
        <v>37</v>
      </c>
      <c r="G838" t="str">
        <f>"2026-03-17 08:54:24.664"</f>
        <v>2026-03-17 08:54:24.664</v>
      </c>
      <c r="H838" t="s">
        <v>26</v>
      </c>
      <c r="I838">
        <v>0</v>
      </c>
      <c r="J838" t="s">
        <v>43</v>
      </c>
    </row>
    <row r="839" spans="1:10" x14ac:dyDescent="0.25">
      <c r="A839" s="1">
        <v>134</v>
      </c>
      <c r="B839" t="s">
        <v>23</v>
      </c>
      <c r="C839">
        <v>700</v>
      </c>
      <c r="D839">
        <v>0</v>
      </c>
      <c r="E839" t="s">
        <v>37</v>
      </c>
      <c r="F839" t="s">
        <v>37</v>
      </c>
      <c r="G839" t="str">
        <f>"2026-03-17 08:30:21.804"</f>
        <v>2026-03-17 08:30:21.804</v>
      </c>
      <c r="H839" t="s">
        <v>26</v>
      </c>
      <c r="I839">
        <v>0</v>
      </c>
      <c r="J839" t="s">
        <v>43</v>
      </c>
    </row>
    <row r="840" spans="1:10" x14ac:dyDescent="0.25">
      <c r="A840" s="1">
        <v>135</v>
      </c>
      <c r="B840" t="s">
        <v>23</v>
      </c>
      <c r="C840">
        <v>706</v>
      </c>
      <c r="D840">
        <v>4</v>
      </c>
      <c r="E840" t="s">
        <v>24</v>
      </c>
      <c r="F840" t="s">
        <v>25</v>
      </c>
      <c r="G840" t="str">
        <f>"2026-03-16 10:01:37.647"</f>
        <v>2026-03-16 10:01:37.647</v>
      </c>
      <c r="H840" t="s">
        <v>26</v>
      </c>
      <c r="I840">
        <v>26.26</v>
      </c>
      <c r="J840" t="s">
        <v>29</v>
      </c>
    </row>
    <row r="841" spans="1:10" x14ac:dyDescent="0.25">
      <c r="A841" s="1">
        <v>136</v>
      </c>
      <c r="B841" t="s">
        <v>23</v>
      </c>
      <c r="C841">
        <v>706</v>
      </c>
      <c r="D841">
        <v>4</v>
      </c>
      <c r="E841" t="s">
        <v>24</v>
      </c>
      <c r="F841" t="s">
        <v>25</v>
      </c>
      <c r="G841" t="str">
        <f>"2026-03-16 10:01:24.987"</f>
        <v>2026-03-16 10:01:24.987</v>
      </c>
      <c r="H841" t="s">
        <v>26</v>
      </c>
      <c r="I841">
        <v>26.91</v>
      </c>
      <c r="J841" t="s">
        <v>29</v>
      </c>
    </row>
    <row r="842" spans="1:10" x14ac:dyDescent="0.25">
      <c r="A842" s="1">
        <v>137</v>
      </c>
      <c r="B842" t="s">
        <v>23</v>
      </c>
      <c r="C842">
        <v>706</v>
      </c>
      <c r="D842">
        <v>4</v>
      </c>
      <c r="E842" t="s">
        <v>24</v>
      </c>
      <c r="F842" t="s">
        <v>25</v>
      </c>
      <c r="G842" t="str">
        <f>"2026-03-16 07:13:13.027"</f>
        <v>2026-03-16 07:13:13.027</v>
      </c>
      <c r="H842" t="s">
        <v>26</v>
      </c>
      <c r="I842">
        <v>-0.1</v>
      </c>
      <c r="J842" t="s">
        <v>42</v>
      </c>
    </row>
    <row r="843" spans="1:10" x14ac:dyDescent="0.25">
      <c r="A843" s="1">
        <v>138</v>
      </c>
      <c r="B843" t="s">
        <v>23</v>
      </c>
      <c r="C843">
        <v>706</v>
      </c>
      <c r="D843">
        <v>4</v>
      </c>
      <c r="E843" t="s">
        <v>24</v>
      </c>
      <c r="F843" t="s">
        <v>25</v>
      </c>
      <c r="G843" t="str">
        <f>"2026-03-16 03:33:37.147"</f>
        <v>2026-03-16 03:33:37.147</v>
      </c>
      <c r="H843" t="s">
        <v>26</v>
      </c>
      <c r="I843">
        <v>18.03</v>
      </c>
      <c r="J843" t="s">
        <v>29</v>
      </c>
    </row>
    <row r="844" spans="1:10" x14ac:dyDescent="0.25">
      <c r="A844" s="1">
        <v>139</v>
      </c>
      <c r="B844" t="s">
        <v>23</v>
      </c>
      <c r="C844">
        <v>706</v>
      </c>
      <c r="D844">
        <v>4</v>
      </c>
      <c r="E844" t="s">
        <v>24</v>
      </c>
      <c r="F844" t="s">
        <v>25</v>
      </c>
      <c r="G844" t="str">
        <f>"2026-03-15 22:40:57.337"</f>
        <v>2026-03-15 22:40:57.337</v>
      </c>
      <c r="H844" t="s">
        <v>26</v>
      </c>
      <c r="I844">
        <v>22.56</v>
      </c>
      <c r="J844" t="s">
        <v>42</v>
      </c>
    </row>
    <row r="845" spans="1:10" x14ac:dyDescent="0.25">
      <c r="A845" s="1">
        <v>140</v>
      </c>
      <c r="B845" t="s">
        <v>23</v>
      </c>
      <c r="C845">
        <v>706</v>
      </c>
      <c r="D845">
        <v>4</v>
      </c>
      <c r="E845" t="s">
        <v>24</v>
      </c>
      <c r="F845" t="s">
        <v>25</v>
      </c>
      <c r="G845" t="str">
        <f>"2026-03-15 22:11:54.387"</f>
        <v>2026-03-15 22:11:54.387</v>
      </c>
      <c r="H845" t="s">
        <v>26</v>
      </c>
      <c r="I845">
        <v>22.4</v>
      </c>
      <c r="J845" t="s">
        <v>42</v>
      </c>
    </row>
    <row r="846" spans="1:10" x14ac:dyDescent="0.25">
      <c r="A846" s="1">
        <v>141</v>
      </c>
      <c r="B846" t="s">
        <v>23</v>
      </c>
      <c r="C846">
        <v>700</v>
      </c>
      <c r="D846">
        <v>0</v>
      </c>
      <c r="E846" t="s">
        <v>37</v>
      </c>
      <c r="F846" t="s">
        <v>37</v>
      </c>
      <c r="G846" t="str">
        <f>"2026-03-15 21:33:48.557"</f>
        <v>2026-03-15 21:33:48.557</v>
      </c>
      <c r="H846" t="s">
        <v>26</v>
      </c>
      <c r="I846">
        <v>0</v>
      </c>
      <c r="J846" t="s">
        <v>43</v>
      </c>
    </row>
    <row r="847" spans="1:10" x14ac:dyDescent="0.25">
      <c r="A847" s="1">
        <v>144</v>
      </c>
      <c r="B847" t="s">
        <v>23</v>
      </c>
      <c r="C847">
        <v>782</v>
      </c>
      <c r="D847">
        <v>7</v>
      </c>
      <c r="E847" t="s">
        <v>32</v>
      </c>
      <c r="F847" t="s">
        <v>33</v>
      </c>
      <c r="G847" t="str">
        <f>"2026-03-15 21:31:34.590"</f>
        <v>2026-03-15 21:31:34.590</v>
      </c>
      <c r="H847" t="s">
        <v>26</v>
      </c>
      <c r="I847">
        <v>0</v>
      </c>
      <c r="J847" t="s">
        <v>31</v>
      </c>
    </row>
    <row r="848" spans="1:10" x14ac:dyDescent="0.25">
      <c r="A848" s="1">
        <v>147</v>
      </c>
      <c r="B848" t="s">
        <v>19</v>
      </c>
      <c r="C848">
        <v>107</v>
      </c>
      <c r="D848">
        <v>2</v>
      </c>
      <c r="E848" t="s">
        <v>52</v>
      </c>
      <c r="F848" t="s">
        <v>46</v>
      </c>
      <c r="G848" t="str">
        <f>"2026-03-15 21:31:34.583"</f>
        <v>2026-03-15 21:31:34.583</v>
      </c>
      <c r="H848" t="s">
        <v>53</v>
      </c>
    </row>
    <row r="849" spans="1:10" x14ac:dyDescent="0.25">
      <c r="A849" s="1">
        <v>148</v>
      </c>
      <c r="B849" t="s">
        <v>23</v>
      </c>
      <c r="C849">
        <v>782</v>
      </c>
      <c r="D849">
        <v>7</v>
      </c>
      <c r="E849" t="s">
        <v>32</v>
      </c>
      <c r="F849" t="s">
        <v>33</v>
      </c>
      <c r="G849" t="str">
        <f>"2026-03-15 21:31:34.582"</f>
        <v>2026-03-15 21:31:34.582</v>
      </c>
      <c r="H849" t="s">
        <v>26</v>
      </c>
      <c r="I849">
        <v>0</v>
      </c>
      <c r="J849" t="s">
        <v>31</v>
      </c>
    </row>
    <row r="850" spans="1:10" x14ac:dyDescent="0.25">
      <c r="A850" s="1">
        <v>149</v>
      </c>
      <c r="B850" t="s">
        <v>23</v>
      </c>
      <c r="C850">
        <v>706</v>
      </c>
      <c r="D850">
        <v>4</v>
      </c>
      <c r="E850" t="s">
        <v>24</v>
      </c>
      <c r="F850" t="s">
        <v>25</v>
      </c>
      <c r="G850" t="str">
        <f>"2026-03-15 21:31:21.591"</f>
        <v>2026-03-15 21:31:21.591</v>
      </c>
      <c r="H850" t="s">
        <v>26</v>
      </c>
      <c r="I850">
        <v>0</v>
      </c>
      <c r="J850" t="s">
        <v>31</v>
      </c>
    </row>
    <row r="851" spans="1:10" x14ac:dyDescent="0.25">
      <c r="A851" s="1">
        <v>152</v>
      </c>
      <c r="B851" t="s">
        <v>38</v>
      </c>
      <c r="C851">
        <v>107</v>
      </c>
      <c r="D851">
        <v>2</v>
      </c>
      <c r="E851" t="s">
        <v>52</v>
      </c>
      <c r="F851" t="s">
        <v>46</v>
      </c>
      <c r="G851" t="str">
        <f>"2026-03-15 21:31:06.165"</f>
        <v>2026-03-15 21:31:06.165</v>
      </c>
      <c r="H851" t="s">
        <v>53</v>
      </c>
      <c r="I851">
        <v>0</v>
      </c>
      <c r="J851" t="s">
        <v>31</v>
      </c>
    </row>
    <row r="852" spans="1:10" x14ac:dyDescent="0.25">
      <c r="A852" s="1">
        <v>153</v>
      </c>
      <c r="B852" t="s">
        <v>23</v>
      </c>
      <c r="C852">
        <v>782</v>
      </c>
      <c r="D852">
        <v>7</v>
      </c>
      <c r="E852" t="s">
        <v>32</v>
      </c>
      <c r="F852" t="s">
        <v>33</v>
      </c>
      <c r="G852" t="str">
        <f>"2026-03-15 21:31:05.193"</f>
        <v>2026-03-15 21:31:05.193</v>
      </c>
      <c r="H852" t="s">
        <v>26</v>
      </c>
      <c r="I852">
        <v>0</v>
      </c>
      <c r="J852" t="s">
        <v>31</v>
      </c>
    </row>
    <row r="853" spans="1:10" x14ac:dyDescent="0.25">
      <c r="A853" s="1">
        <v>154</v>
      </c>
      <c r="B853" t="s">
        <v>19</v>
      </c>
      <c r="C853">
        <v>250</v>
      </c>
      <c r="D853">
        <v>7</v>
      </c>
      <c r="E853" t="s">
        <v>51</v>
      </c>
      <c r="F853" t="s">
        <v>50</v>
      </c>
      <c r="G853" t="str">
        <f>"2026-03-15 21:31:05.191"</f>
        <v>2026-03-15 21:31:05.191</v>
      </c>
      <c r="H853" t="s">
        <v>26</v>
      </c>
    </row>
    <row r="854" spans="1:10" x14ac:dyDescent="0.25">
      <c r="A854" s="1">
        <v>155</v>
      </c>
      <c r="B854" t="s">
        <v>19</v>
      </c>
      <c r="C854">
        <v>248</v>
      </c>
      <c r="D854">
        <v>7</v>
      </c>
      <c r="E854" t="s">
        <v>56</v>
      </c>
      <c r="F854" t="s">
        <v>57</v>
      </c>
      <c r="G854" t="str">
        <f>"2026-03-15 21:31:05.189"</f>
        <v>2026-03-15 21:31:05.189</v>
      </c>
      <c r="H854" t="s">
        <v>26</v>
      </c>
    </row>
    <row r="855" spans="1:10" x14ac:dyDescent="0.25">
      <c r="A855" s="1">
        <v>156</v>
      </c>
      <c r="B855" t="s">
        <v>19</v>
      </c>
      <c r="C855">
        <v>207</v>
      </c>
      <c r="D855">
        <v>2</v>
      </c>
      <c r="E855" t="s">
        <v>45</v>
      </c>
      <c r="F855" t="s">
        <v>46</v>
      </c>
      <c r="G855" t="str">
        <f>"2026-03-15 21:31:05.186"</f>
        <v>2026-03-15 21:31:05.186</v>
      </c>
      <c r="H855" t="s">
        <v>47</v>
      </c>
    </row>
    <row r="856" spans="1:10" x14ac:dyDescent="0.25">
      <c r="A856" s="1">
        <v>157</v>
      </c>
      <c r="B856" t="s">
        <v>19</v>
      </c>
      <c r="C856">
        <v>107</v>
      </c>
      <c r="D856">
        <v>2</v>
      </c>
      <c r="E856" t="s">
        <v>52</v>
      </c>
      <c r="F856" t="s">
        <v>46</v>
      </c>
      <c r="G856" t="str">
        <f>"2026-03-15 21:31:05.183"</f>
        <v>2026-03-15 21:31:05.183</v>
      </c>
      <c r="H856" t="s">
        <v>53</v>
      </c>
    </row>
    <row r="857" spans="1:10" x14ac:dyDescent="0.25">
      <c r="A857" s="1">
        <v>158</v>
      </c>
      <c r="B857" t="s">
        <v>23</v>
      </c>
      <c r="C857">
        <v>782</v>
      </c>
      <c r="D857">
        <v>7</v>
      </c>
      <c r="E857" t="s">
        <v>32</v>
      </c>
      <c r="F857" t="s">
        <v>33</v>
      </c>
      <c r="G857" t="str">
        <f>"2026-03-15 21:31:05.182"</f>
        <v>2026-03-15 21:31:05.182</v>
      </c>
      <c r="H857" t="s">
        <v>26</v>
      </c>
      <c r="I857">
        <v>0</v>
      </c>
      <c r="J857" t="s">
        <v>31</v>
      </c>
    </row>
    <row r="858" spans="1:10" x14ac:dyDescent="0.25">
      <c r="A858" s="1">
        <v>159</v>
      </c>
      <c r="B858" t="s">
        <v>23</v>
      </c>
      <c r="C858">
        <v>706</v>
      </c>
      <c r="D858">
        <v>4</v>
      </c>
      <c r="E858" t="s">
        <v>24</v>
      </c>
      <c r="F858" t="s">
        <v>25</v>
      </c>
      <c r="G858" t="str">
        <f>"2026-03-15 21:30:52.351"</f>
        <v>2026-03-15 21:30:52.351</v>
      </c>
      <c r="H858" t="s">
        <v>26</v>
      </c>
      <c r="I858">
        <v>0</v>
      </c>
      <c r="J858" t="s">
        <v>31</v>
      </c>
    </row>
    <row r="859" spans="1:10" x14ac:dyDescent="0.25">
      <c r="A859" s="1">
        <v>160</v>
      </c>
      <c r="B859" t="s">
        <v>38</v>
      </c>
      <c r="C859">
        <v>250</v>
      </c>
      <c r="D859">
        <v>7</v>
      </c>
      <c r="E859" t="s">
        <v>51</v>
      </c>
      <c r="F859" t="s">
        <v>50</v>
      </c>
      <c r="G859" t="str">
        <f>"2026-03-15 21:30:48.010"</f>
        <v>2026-03-15 21:30:48.010</v>
      </c>
      <c r="H859" t="s">
        <v>26</v>
      </c>
      <c r="I859">
        <v>0</v>
      </c>
      <c r="J859" t="s">
        <v>31</v>
      </c>
    </row>
    <row r="860" spans="1:10" x14ac:dyDescent="0.25">
      <c r="A860" s="1">
        <v>161</v>
      </c>
      <c r="B860" t="s">
        <v>38</v>
      </c>
      <c r="C860">
        <v>248</v>
      </c>
      <c r="D860">
        <v>7</v>
      </c>
      <c r="E860" t="s">
        <v>56</v>
      </c>
      <c r="F860" t="s">
        <v>57</v>
      </c>
      <c r="G860" t="str">
        <f>"2026-03-15 21:30:48.005"</f>
        <v>2026-03-15 21:30:48.005</v>
      </c>
      <c r="H860" t="s">
        <v>26</v>
      </c>
      <c r="I860">
        <v>0</v>
      </c>
      <c r="J860" t="s">
        <v>31</v>
      </c>
    </row>
    <row r="861" spans="1:10" x14ac:dyDescent="0.25">
      <c r="A861" s="1">
        <v>162</v>
      </c>
      <c r="B861" t="s">
        <v>48</v>
      </c>
      <c r="C861">
        <v>248</v>
      </c>
      <c r="D861">
        <v>7</v>
      </c>
      <c r="E861" t="s">
        <v>56</v>
      </c>
      <c r="F861" t="s">
        <v>57</v>
      </c>
      <c r="G861" t="str">
        <f>"2026-03-15 21:30:48.001"</f>
        <v>2026-03-15 21:30:48.001</v>
      </c>
      <c r="H861" t="s">
        <v>26</v>
      </c>
    </row>
    <row r="862" spans="1:10" x14ac:dyDescent="0.25">
      <c r="A862" s="1">
        <v>163</v>
      </c>
      <c r="B862" t="s">
        <v>48</v>
      </c>
      <c r="C862">
        <v>250</v>
      </c>
      <c r="D862">
        <v>7</v>
      </c>
      <c r="E862" t="s">
        <v>51</v>
      </c>
      <c r="F862" t="s">
        <v>50</v>
      </c>
      <c r="G862" t="str">
        <f>"2026-03-15 21:30:47.701"</f>
        <v>2026-03-15 21:30:47.701</v>
      </c>
      <c r="H862" t="s">
        <v>26</v>
      </c>
    </row>
    <row r="863" spans="1:10" x14ac:dyDescent="0.25">
      <c r="A863" s="1">
        <v>164</v>
      </c>
      <c r="B863" t="s">
        <v>28</v>
      </c>
      <c r="C863">
        <v>248</v>
      </c>
      <c r="D863">
        <v>7</v>
      </c>
      <c r="E863" t="s">
        <v>56</v>
      </c>
      <c r="F863" t="s">
        <v>57</v>
      </c>
      <c r="G863" t="str">
        <f>"2026-03-15 21:30:42.985"</f>
        <v>2026-03-15 21:30:42.985</v>
      </c>
      <c r="H863" t="s">
        <v>26</v>
      </c>
      <c r="I863">
        <v>0</v>
      </c>
      <c r="J863" t="s">
        <v>31</v>
      </c>
    </row>
    <row r="864" spans="1:10" x14ac:dyDescent="0.25">
      <c r="A864" s="1">
        <v>165</v>
      </c>
      <c r="B864" t="s">
        <v>28</v>
      </c>
      <c r="C864">
        <v>250</v>
      </c>
      <c r="D864">
        <v>7</v>
      </c>
      <c r="E864" t="s">
        <v>51</v>
      </c>
      <c r="F864" t="s">
        <v>50</v>
      </c>
      <c r="G864" t="str">
        <f>"2026-03-15 21:30:42.625"</f>
        <v>2026-03-15 21:30:42.625</v>
      </c>
      <c r="H864" t="s">
        <v>26</v>
      </c>
      <c r="I864">
        <v>0</v>
      </c>
      <c r="J864" t="s">
        <v>31</v>
      </c>
    </row>
    <row r="865" spans="1:10" x14ac:dyDescent="0.25">
      <c r="A865" s="1">
        <v>166</v>
      </c>
      <c r="B865" t="s">
        <v>38</v>
      </c>
      <c r="C865">
        <v>207</v>
      </c>
      <c r="D865">
        <v>2</v>
      </c>
      <c r="E865" t="s">
        <v>45</v>
      </c>
      <c r="F865" t="s">
        <v>46</v>
      </c>
      <c r="G865" t="str">
        <f>"2026-03-15 21:30:41.645"</f>
        <v>2026-03-15 21:30:41.645</v>
      </c>
      <c r="H865" t="s">
        <v>47</v>
      </c>
      <c r="I865">
        <v>0</v>
      </c>
      <c r="J865" t="s">
        <v>31</v>
      </c>
    </row>
    <row r="866" spans="1:10" x14ac:dyDescent="0.25">
      <c r="A866" s="1">
        <v>167</v>
      </c>
      <c r="B866" t="s">
        <v>38</v>
      </c>
      <c r="C866">
        <v>107</v>
      </c>
      <c r="D866">
        <v>2</v>
      </c>
      <c r="E866" t="s">
        <v>52</v>
      </c>
      <c r="F866" t="s">
        <v>46</v>
      </c>
      <c r="G866" t="str">
        <f>"2026-03-15 21:30:41.385"</f>
        <v>2026-03-15 21:30:41.385</v>
      </c>
      <c r="H866" t="s">
        <v>53</v>
      </c>
      <c r="I866">
        <v>0</v>
      </c>
      <c r="J866" t="s">
        <v>31</v>
      </c>
    </row>
    <row r="867" spans="1:10" x14ac:dyDescent="0.25">
      <c r="A867" s="1">
        <v>168</v>
      </c>
      <c r="B867" t="s">
        <v>23</v>
      </c>
      <c r="C867">
        <v>782</v>
      </c>
      <c r="D867">
        <v>7</v>
      </c>
      <c r="E867" t="s">
        <v>32</v>
      </c>
      <c r="F867" t="s">
        <v>33</v>
      </c>
      <c r="G867" t="str">
        <f>"2026-03-15 21:30:41.197"</f>
        <v>2026-03-15 21:30:41.197</v>
      </c>
      <c r="H867" t="s">
        <v>26</v>
      </c>
      <c r="I867">
        <v>0</v>
      </c>
      <c r="J867" t="s">
        <v>27</v>
      </c>
    </row>
    <row r="868" spans="1:10" x14ac:dyDescent="0.25">
      <c r="A868" s="1">
        <v>171</v>
      </c>
      <c r="B868" t="s">
        <v>19</v>
      </c>
      <c r="C868">
        <v>250</v>
      </c>
      <c r="D868">
        <v>7</v>
      </c>
      <c r="E868" t="s">
        <v>51</v>
      </c>
      <c r="F868" t="s">
        <v>50</v>
      </c>
      <c r="G868" t="str">
        <f>"2026-03-15 21:30:41.192"</f>
        <v>2026-03-15 21:30:41.192</v>
      </c>
      <c r="H868" t="s">
        <v>26</v>
      </c>
    </row>
    <row r="869" spans="1:10" x14ac:dyDescent="0.25">
      <c r="A869" s="1">
        <v>172</v>
      </c>
      <c r="B869" t="s">
        <v>19</v>
      </c>
      <c r="C869">
        <v>248</v>
      </c>
      <c r="D869">
        <v>7</v>
      </c>
      <c r="E869" t="s">
        <v>56</v>
      </c>
      <c r="F869" t="s">
        <v>57</v>
      </c>
      <c r="G869" t="str">
        <f>"2026-03-15 21:30:41.190"</f>
        <v>2026-03-15 21:30:41.190</v>
      </c>
      <c r="H869" t="s">
        <v>26</v>
      </c>
    </row>
    <row r="870" spans="1:10" x14ac:dyDescent="0.25">
      <c r="A870" s="1">
        <v>173</v>
      </c>
      <c r="B870" t="s">
        <v>19</v>
      </c>
      <c r="C870">
        <v>207</v>
      </c>
      <c r="D870">
        <v>2</v>
      </c>
      <c r="E870" t="s">
        <v>45</v>
      </c>
      <c r="F870" t="s">
        <v>46</v>
      </c>
      <c r="G870" t="str">
        <f>"2026-03-15 21:30:41.187"</f>
        <v>2026-03-15 21:30:41.187</v>
      </c>
      <c r="H870" t="s">
        <v>47</v>
      </c>
    </row>
    <row r="871" spans="1:10" x14ac:dyDescent="0.25">
      <c r="A871" s="1">
        <v>174</v>
      </c>
      <c r="B871" t="s">
        <v>19</v>
      </c>
      <c r="C871">
        <v>107</v>
      </c>
      <c r="D871">
        <v>2</v>
      </c>
      <c r="E871" t="s">
        <v>52</v>
      </c>
      <c r="F871" t="s">
        <v>46</v>
      </c>
      <c r="G871" t="str">
        <f>"2026-03-15 21:30:41.183"</f>
        <v>2026-03-15 21:30:41.183</v>
      </c>
      <c r="H871" t="s">
        <v>53</v>
      </c>
    </row>
    <row r="872" spans="1:10" x14ac:dyDescent="0.25">
      <c r="A872" s="1">
        <v>175</v>
      </c>
      <c r="B872" t="s">
        <v>23</v>
      </c>
      <c r="C872">
        <v>782</v>
      </c>
      <c r="D872">
        <v>7</v>
      </c>
      <c r="E872" t="s">
        <v>32</v>
      </c>
      <c r="F872" t="s">
        <v>33</v>
      </c>
      <c r="G872" t="str">
        <f>"2026-03-15 21:30:41.182"</f>
        <v>2026-03-15 21:30:41.182</v>
      </c>
      <c r="H872" t="s">
        <v>26</v>
      </c>
      <c r="I872">
        <v>0</v>
      </c>
      <c r="J872" t="s">
        <v>27</v>
      </c>
    </row>
    <row r="873" spans="1:10" x14ac:dyDescent="0.25">
      <c r="A873" s="1">
        <v>176</v>
      </c>
      <c r="B873" t="s">
        <v>19</v>
      </c>
      <c r="C873">
        <v>43</v>
      </c>
      <c r="D873">
        <v>2</v>
      </c>
      <c r="E873" t="s">
        <v>54</v>
      </c>
      <c r="F873" t="s">
        <v>55</v>
      </c>
      <c r="G873" t="str">
        <f>"2026-03-15 21:30:30.383"</f>
        <v>2026-03-15 21:30:30.383</v>
      </c>
      <c r="H873" t="s">
        <v>22</v>
      </c>
    </row>
    <row r="874" spans="1:10" x14ac:dyDescent="0.25">
      <c r="A874" s="1">
        <v>177</v>
      </c>
      <c r="B874" t="s">
        <v>23</v>
      </c>
      <c r="C874">
        <v>700</v>
      </c>
      <c r="D874">
        <v>0</v>
      </c>
      <c r="E874" t="s">
        <v>37</v>
      </c>
      <c r="F874" t="s">
        <v>37</v>
      </c>
      <c r="G874" t="str">
        <f>"2026-03-15 21:30:17.571"</f>
        <v>2026-03-15 21:30:17.571</v>
      </c>
      <c r="H874" t="s">
        <v>26</v>
      </c>
    </row>
    <row r="875" spans="1:10" x14ac:dyDescent="0.25">
      <c r="A875" s="1">
        <v>178</v>
      </c>
      <c r="B875" t="s">
        <v>38</v>
      </c>
      <c r="C875">
        <v>248</v>
      </c>
      <c r="D875">
        <v>7</v>
      </c>
      <c r="E875" t="s">
        <v>56</v>
      </c>
      <c r="F875" t="s">
        <v>57</v>
      </c>
      <c r="G875" t="str">
        <f>"2026-03-15 21:20:38.502"</f>
        <v>2026-03-15 21:20:38.502</v>
      </c>
      <c r="H875" t="s">
        <v>26</v>
      </c>
      <c r="I875">
        <v>0</v>
      </c>
      <c r="J875" t="s">
        <v>27</v>
      </c>
    </row>
    <row r="876" spans="1:10" x14ac:dyDescent="0.25">
      <c r="A876" s="1">
        <v>179</v>
      </c>
      <c r="B876" t="s">
        <v>38</v>
      </c>
      <c r="C876">
        <v>250</v>
      </c>
      <c r="D876">
        <v>7</v>
      </c>
      <c r="E876" t="s">
        <v>51</v>
      </c>
      <c r="F876" t="s">
        <v>50</v>
      </c>
      <c r="G876" t="str">
        <f>"2026-03-15 21:20:38.500"</f>
        <v>2026-03-15 21:20:38.500</v>
      </c>
      <c r="H876" t="s">
        <v>26</v>
      </c>
      <c r="I876">
        <v>0</v>
      </c>
      <c r="J876" t="s">
        <v>27</v>
      </c>
    </row>
    <row r="877" spans="1:10" x14ac:dyDescent="0.25">
      <c r="A877" s="1">
        <v>180</v>
      </c>
      <c r="B877" t="s">
        <v>48</v>
      </c>
      <c r="C877">
        <v>250</v>
      </c>
      <c r="D877">
        <v>7</v>
      </c>
      <c r="E877" t="s">
        <v>51</v>
      </c>
      <c r="F877" t="s">
        <v>50</v>
      </c>
      <c r="G877" t="str">
        <f>"2026-03-15 21:20:38.394"</f>
        <v>2026-03-15 21:20:38.394</v>
      </c>
      <c r="H877" t="s">
        <v>26</v>
      </c>
    </row>
    <row r="878" spans="1:10" x14ac:dyDescent="0.25">
      <c r="A878" s="1">
        <v>181</v>
      </c>
      <c r="B878" t="s">
        <v>48</v>
      </c>
      <c r="C878">
        <v>248</v>
      </c>
      <c r="D878">
        <v>7</v>
      </c>
      <c r="E878" t="s">
        <v>56</v>
      </c>
      <c r="F878" t="s">
        <v>57</v>
      </c>
      <c r="G878" t="str">
        <f>"2026-03-15 21:20:38.295"</f>
        <v>2026-03-15 21:20:38.295</v>
      </c>
      <c r="H878" t="s">
        <v>26</v>
      </c>
    </row>
    <row r="879" spans="1:10" x14ac:dyDescent="0.25">
      <c r="A879" s="1">
        <v>182</v>
      </c>
      <c r="B879" t="s">
        <v>28</v>
      </c>
      <c r="C879">
        <v>250</v>
      </c>
      <c r="D879">
        <v>7</v>
      </c>
      <c r="E879" t="s">
        <v>51</v>
      </c>
      <c r="F879" t="s">
        <v>50</v>
      </c>
      <c r="G879" t="str">
        <f>"2026-03-15 21:20:33.242"</f>
        <v>2026-03-15 21:20:33.242</v>
      </c>
      <c r="H879" t="s">
        <v>26</v>
      </c>
      <c r="I879">
        <v>0</v>
      </c>
      <c r="J879" t="s">
        <v>27</v>
      </c>
    </row>
    <row r="880" spans="1:10" x14ac:dyDescent="0.25">
      <c r="A880" s="1">
        <v>183</v>
      </c>
      <c r="B880" t="s">
        <v>28</v>
      </c>
      <c r="C880">
        <v>248</v>
      </c>
      <c r="D880">
        <v>7</v>
      </c>
      <c r="E880" t="s">
        <v>56</v>
      </c>
      <c r="F880" t="s">
        <v>57</v>
      </c>
      <c r="G880" t="str">
        <f>"2026-03-15 21:20:33.240"</f>
        <v>2026-03-15 21:20:33.240</v>
      </c>
      <c r="H880" t="s">
        <v>26</v>
      </c>
      <c r="I880">
        <v>0</v>
      </c>
      <c r="J880" t="s">
        <v>27</v>
      </c>
    </row>
    <row r="881" spans="1:10" x14ac:dyDescent="0.25">
      <c r="A881" s="1">
        <v>184</v>
      </c>
      <c r="B881" t="s">
        <v>38</v>
      </c>
      <c r="C881">
        <v>207</v>
      </c>
      <c r="D881">
        <v>2</v>
      </c>
      <c r="E881" t="s">
        <v>45</v>
      </c>
      <c r="F881" t="s">
        <v>46</v>
      </c>
      <c r="G881" t="str">
        <f>"2026-03-15 21:20:31.765"</f>
        <v>2026-03-15 21:20:31.765</v>
      </c>
      <c r="H881" t="s">
        <v>47</v>
      </c>
      <c r="I881">
        <v>0</v>
      </c>
      <c r="J881" t="s">
        <v>27</v>
      </c>
    </row>
    <row r="882" spans="1:10" x14ac:dyDescent="0.25">
      <c r="A882" s="1">
        <v>185</v>
      </c>
      <c r="B882" t="s">
        <v>38</v>
      </c>
      <c r="C882">
        <v>107</v>
      </c>
      <c r="D882">
        <v>2</v>
      </c>
      <c r="E882" t="s">
        <v>52</v>
      </c>
      <c r="F882" t="s">
        <v>46</v>
      </c>
      <c r="G882" t="str">
        <f>"2026-03-15 21:20:31.760"</f>
        <v>2026-03-15 21:20:31.760</v>
      </c>
      <c r="H882" t="s">
        <v>53</v>
      </c>
      <c r="I882">
        <v>0</v>
      </c>
      <c r="J882" t="s">
        <v>27</v>
      </c>
    </row>
    <row r="883" spans="1:10" x14ac:dyDescent="0.25">
      <c r="A883" s="1">
        <v>188</v>
      </c>
      <c r="B883" t="s">
        <v>38</v>
      </c>
      <c r="C883">
        <v>43</v>
      </c>
      <c r="D883">
        <v>2</v>
      </c>
      <c r="E883" t="s">
        <v>54</v>
      </c>
      <c r="F883" t="s">
        <v>55</v>
      </c>
      <c r="G883" t="str">
        <f>"2026-03-15 21:20:31.326"</f>
        <v>2026-03-15 21:20:31.326</v>
      </c>
      <c r="H883" t="s">
        <v>22</v>
      </c>
      <c r="I883">
        <v>0</v>
      </c>
      <c r="J883" t="s">
        <v>27</v>
      </c>
    </row>
    <row r="884" spans="1:10" x14ac:dyDescent="0.25">
      <c r="A884" s="1">
        <v>189</v>
      </c>
      <c r="B884" t="s">
        <v>23</v>
      </c>
      <c r="C884">
        <v>782</v>
      </c>
      <c r="D884">
        <v>7</v>
      </c>
      <c r="E884" t="s">
        <v>32</v>
      </c>
      <c r="F884" t="s">
        <v>33</v>
      </c>
      <c r="G884" t="str">
        <f>"2026-03-15 21:20:31.283"</f>
        <v>2026-03-15 21:20:31.283</v>
      </c>
      <c r="H884" t="s">
        <v>26</v>
      </c>
      <c r="I884">
        <v>0</v>
      </c>
      <c r="J884" t="s">
        <v>27</v>
      </c>
    </row>
    <row r="885" spans="1:10" x14ac:dyDescent="0.25">
      <c r="A885" s="1">
        <v>192</v>
      </c>
      <c r="B885" t="s">
        <v>19</v>
      </c>
      <c r="C885">
        <v>250</v>
      </c>
      <c r="D885">
        <v>7</v>
      </c>
      <c r="E885" t="s">
        <v>51</v>
      </c>
      <c r="F885" t="s">
        <v>50</v>
      </c>
      <c r="G885" t="str">
        <f>"2026-03-15 21:20:31.276"</f>
        <v>2026-03-15 21:20:31.276</v>
      </c>
      <c r="H885" t="s">
        <v>26</v>
      </c>
    </row>
    <row r="886" spans="1:10" x14ac:dyDescent="0.25">
      <c r="A886" s="1">
        <v>193</v>
      </c>
      <c r="B886" t="s">
        <v>19</v>
      </c>
      <c r="C886">
        <v>248</v>
      </c>
      <c r="D886">
        <v>7</v>
      </c>
      <c r="E886" t="s">
        <v>56</v>
      </c>
      <c r="F886" t="s">
        <v>57</v>
      </c>
      <c r="G886" t="str">
        <f>"2026-03-15 21:20:31.274"</f>
        <v>2026-03-15 21:20:31.274</v>
      </c>
      <c r="H886" t="s">
        <v>26</v>
      </c>
    </row>
    <row r="887" spans="1:10" x14ac:dyDescent="0.25">
      <c r="A887" s="1">
        <v>194</v>
      </c>
      <c r="B887" t="s">
        <v>19</v>
      </c>
      <c r="C887">
        <v>207</v>
      </c>
      <c r="D887">
        <v>2</v>
      </c>
      <c r="E887" t="s">
        <v>45</v>
      </c>
      <c r="F887" t="s">
        <v>46</v>
      </c>
      <c r="G887" t="str">
        <f>"2026-03-15 21:20:31.271"</f>
        <v>2026-03-15 21:20:31.271</v>
      </c>
      <c r="H887" t="s">
        <v>47</v>
      </c>
    </row>
    <row r="888" spans="1:10" x14ac:dyDescent="0.25">
      <c r="A888" s="1">
        <v>195</v>
      </c>
      <c r="B888" t="s">
        <v>19</v>
      </c>
      <c r="C888">
        <v>107</v>
      </c>
      <c r="D888">
        <v>2</v>
      </c>
      <c r="E888" t="s">
        <v>52</v>
      </c>
      <c r="F888" t="s">
        <v>46</v>
      </c>
      <c r="G888" t="str">
        <f>"2026-03-15 21:20:31.269"</f>
        <v>2026-03-15 21:20:31.269</v>
      </c>
      <c r="H888" t="s">
        <v>53</v>
      </c>
    </row>
    <row r="889" spans="1:10" x14ac:dyDescent="0.25">
      <c r="A889" s="1">
        <v>196</v>
      </c>
      <c r="B889" t="s">
        <v>19</v>
      </c>
      <c r="C889">
        <v>43</v>
      </c>
      <c r="D889">
        <v>2</v>
      </c>
      <c r="E889" t="s">
        <v>54</v>
      </c>
      <c r="F889" t="s">
        <v>55</v>
      </c>
      <c r="G889" t="str">
        <f>"2026-03-15 21:20:31.267"</f>
        <v>2026-03-15 21:20:31.267</v>
      </c>
      <c r="H889" t="s">
        <v>22</v>
      </c>
    </row>
    <row r="890" spans="1:10" x14ac:dyDescent="0.25">
      <c r="A890" s="1">
        <v>197</v>
      </c>
      <c r="B890" t="s">
        <v>23</v>
      </c>
      <c r="C890">
        <v>782</v>
      </c>
      <c r="D890">
        <v>7</v>
      </c>
      <c r="E890" t="s">
        <v>32</v>
      </c>
      <c r="F890" t="s">
        <v>33</v>
      </c>
      <c r="G890" t="str">
        <f>"2026-03-15 21:20:31.266"</f>
        <v>2026-03-15 21:20:31.266</v>
      </c>
      <c r="H890" t="s">
        <v>26</v>
      </c>
      <c r="I890">
        <v>0</v>
      </c>
      <c r="J890" t="s">
        <v>27</v>
      </c>
    </row>
    <row r="891" spans="1:10" x14ac:dyDescent="0.25">
      <c r="A891" s="1">
        <v>198</v>
      </c>
      <c r="B891" t="s">
        <v>38</v>
      </c>
      <c r="C891">
        <v>248</v>
      </c>
      <c r="D891">
        <v>7</v>
      </c>
      <c r="E891" t="s">
        <v>56</v>
      </c>
      <c r="F891" t="s">
        <v>57</v>
      </c>
      <c r="G891" t="str">
        <f>"2026-03-15 21:20:27.500"</f>
        <v>2026-03-15 21:20:27.500</v>
      </c>
      <c r="H891" t="s">
        <v>26</v>
      </c>
      <c r="I891">
        <v>0</v>
      </c>
      <c r="J891" t="s">
        <v>27</v>
      </c>
    </row>
    <row r="892" spans="1:10" x14ac:dyDescent="0.25">
      <c r="A892" s="1">
        <v>199</v>
      </c>
      <c r="B892" t="s">
        <v>48</v>
      </c>
      <c r="C892">
        <v>248</v>
      </c>
      <c r="D892">
        <v>7</v>
      </c>
      <c r="E892" t="s">
        <v>56</v>
      </c>
      <c r="F892" t="s">
        <v>57</v>
      </c>
      <c r="G892" t="str">
        <f>"2026-03-15 21:20:27.294"</f>
        <v>2026-03-15 21:20:27.294</v>
      </c>
      <c r="H892" t="s">
        <v>26</v>
      </c>
    </row>
    <row r="893" spans="1:10" x14ac:dyDescent="0.25">
      <c r="A893" s="1">
        <v>200</v>
      </c>
      <c r="B893" t="s">
        <v>38</v>
      </c>
      <c r="C893">
        <v>250</v>
      </c>
      <c r="D893">
        <v>7</v>
      </c>
      <c r="E893" t="s">
        <v>51</v>
      </c>
      <c r="F893" t="s">
        <v>50</v>
      </c>
      <c r="G893" t="str">
        <f>"2026-03-15 21:20:26.500"</f>
        <v>2026-03-15 21:20:26.500</v>
      </c>
      <c r="H893" t="s">
        <v>26</v>
      </c>
      <c r="I893">
        <v>0</v>
      </c>
      <c r="J893" t="s">
        <v>27</v>
      </c>
    </row>
    <row r="894" spans="1:10" x14ac:dyDescent="0.25">
      <c r="A894" s="1">
        <v>201</v>
      </c>
      <c r="B894" t="s">
        <v>48</v>
      </c>
      <c r="C894">
        <v>250</v>
      </c>
      <c r="D894">
        <v>7</v>
      </c>
      <c r="E894" t="s">
        <v>51</v>
      </c>
      <c r="F894" t="s">
        <v>50</v>
      </c>
      <c r="G894" t="str">
        <f>"2026-03-15 21:20:25.595"</f>
        <v>2026-03-15 21:20:25.595</v>
      </c>
      <c r="H894" t="s">
        <v>26</v>
      </c>
    </row>
    <row r="895" spans="1:10" x14ac:dyDescent="0.25">
      <c r="A895" s="1">
        <v>202</v>
      </c>
      <c r="B895" t="s">
        <v>28</v>
      </c>
      <c r="C895">
        <v>248</v>
      </c>
      <c r="D895">
        <v>7</v>
      </c>
      <c r="E895" t="s">
        <v>56</v>
      </c>
      <c r="F895" t="s">
        <v>57</v>
      </c>
      <c r="G895" t="str">
        <f>"2026-03-15 21:20:22.220"</f>
        <v>2026-03-15 21:20:22.220</v>
      </c>
      <c r="H895" t="s">
        <v>26</v>
      </c>
      <c r="I895">
        <v>0</v>
      </c>
      <c r="J895" t="s">
        <v>27</v>
      </c>
    </row>
    <row r="896" spans="1:10" x14ac:dyDescent="0.25">
      <c r="A896" s="1">
        <v>203</v>
      </c>
      <c r="B896" t="s">
        <v>38</v>
      </c>
      <c r="C896">
        <v>107</v>
      </c>
      <c r="D896">
        <v>2</v>
      </c>
      <c r="E896" t="s">
        <v>52</v>
      </c>
      <c r="F896" t="s">
        <v>46</v>
      </c>
      <c r="G896" t="str">
        <f>"2026-03-15 21:20:20.820"</f>
        <v>2026-03-15 21:20:20.820</v>
      </c>
      <c r="H896" t="s">
        <v>53</v>
      </c>
      <c r="I896">
        <v>0</v>
      </c>
      <c r="J896" t="s">
        <v>27</v>
      </c>
    </row>
    <row r="897" spans="1:10" x14ac:dyDescent="0.25">
      <c r="A897" s="1">
        <v>204</v>
      </c>
      <c r="B897" t="s">
        <v>38</v>
      </c>
      <c r="C897">
        <v>207</v>
      </c>
      <c r="D897">
        <v>2</v>
      </c>
      <c r="E897" t="s">
        <v>45</v>
      </c>
      <c r="F897" t="s">
        <v>46</v>
      </c>
      <c r="G897" t="str">
        <f>"2026-03-15 21:20:20.800"</f>
        <v>2026-03-15 21:20:20.800</v>
      </c>
      <c r="H897" t="s">
        <v>47</v>
      </c>
      <c r="I897">
        <v>0</v>
      </c>
      <c r="J897" t="s">
        <v>27</v>
      </c>
    </row>
    <row r="898" spans="1:10" x14ac:dyDescent="0.25">
      <c r="A898" s="1">
        <v>207</v>
      </c>
      <c r="B898" t="s">
        <v>28</v>
      </c>
      <c r="C898">
        <v>250</v>
      </c>
      <c r="D898">
        <v>7</v>
      </c>
      <c r="E898" t="s">
        <v>51</v>
      </c>
      <c r="F898" t="s">
        <v>50</v>
      </c>
      <c r="G898" t="str">
        <f>"2026-03-15 21:20:20.520"</f>
        <v>2026-03-15 21:20:20.520</v>
      </c>
      <c r="H898" t="s">
        <v>26</v>
      </c>
      <c r="I898">
        <v>0</v>
      </c>
      <c r="J898" t="s">
        <v>27</v>
      </c>
    </row>
    <row r="899" spans="1:10" x14ac:dyDescent="0.25">
      <c r="A899" s="1">
        <v>208</v>
      </c>
      <c r="B899" t="s">
        <v>38</v>
      </c>
      <c r="C899">
        <v>43</v>
      </c>
      <c r="D899">
        <v>2</v>
      </c>
      <c r="E899" t="s">
        <v>54</v>
      </c>
      <c r="F899" t="s">
        <v>55</v>
      </c>
      <c r="G899" t="str">
        <f>"2026-03-15 21:20:20.326"</f>
        <v>2026-03-15 21:20:20.326</v>
      </c>
      <c r="H899" t="s">
        <v>22</v>
      </c>
      <c r="I899">
        <v>0</v>
      </c>
      <c r="J899" t="s">
        <v>27</v>
      </c>
    </row>
    <row r="900" spans="1:10" x14ac:dyDescent="0.25">
      <c r="A900" s="1">
        <v>209</v>
      </c>
      <c r="B900" t="s">
        <v>23</v>
      </c>
      <c r="C900">
        <v>782</v>
      </c>
      <c r="D900">
        <v>7</v>
      </c>
      <c r="E900" t="s">
        <v>32</v>
      </c>
      <c r="F900" t="s">
        <v>33</v>
      </c>
      <c r="G900" t="str">
        <f>"2026-03-15 21:20:20.286"</f>
        <v>2026-03-15 21:20:20.286</v>
      </c>
      <c r="H900" t="s">
        <v>26</v>
      </c>
      <c r="I900">
        <v>0</v>
      </c>
      <c r="J900" t="s">
        <v>27</v>
      </c>
    </row>
    <row r="901" spans="1:10" x14ac:dyDescent="0.25">
      <c r="A901" s="1">
        <v>212</v>
      </c>
      <c r="B901" t="s">
        <v>19</v>
      </c>
      <c r="C901">
        <v>250</v>
      </c>
      <c r="D901">
        <v>7</v>
      </c>
      <c r="E901" t="s">
        <v>51</v>
      </c>
      <c r="F901" t="s">
        <v>50</v>
      </c>
      <c r="G901" t="str">
        <f>"2026-03-15 21:20:20.278"</f>
        <v>2026-03-15 21:20:20.278</v>
      </c>
      <c r="H901" t="s">
        <v>26</v>
      </c>
    </row>
    <row r="902" spans="1:10" x14ac:dyDescent="0.25">
      <c r="A902" s="1">
        <v>213</v>
      </c>
      <c r="B902" t="s">
        <v>19</v>
      </c>
      <c r="C902">
        <v>248</v>
      </c>
      <c r="D902">
        <v>7</v>
      </c>
      <c r="E902" t="s">
        <v>56</v>
      </c>
      <c r="F902" t="s">
        <v>57</v>
      </c>
      <c r="G902" t="str">
        <f>"2026-03-15 21:20:20.276"</f>
        <v>2026-03-15 21:20:20.276</v>
      </c>
      <c r="H902" t="s">
        <v>26</v>
      </c>
    </row>
    <row r="903" spans="1:10" x14ac:dyDescent="0.25">
      <c r="A903" s="1">
        <v>214</v>
      </c>
      <c r="B903" t="s">
        <v>19</v>
      </c>
      <c r="C903">
        <v>207</v>
      </c>
      <c r="D903">
        <v>2</v>
      </c>
      <c r="E903" t="s">
        <v>45</v>
      </c>
      <c r="F903" t="s">
        <v>46</v>
      </c>
      <c r="G903" t="str">
        <f>"2026-03-15 21:20:20.274"</f>
        <v>2026-03-15 21:20:20.274</v>
      </c>
      <c r="H903" t="s">
        <v>47</v>
      </c>
    </row>
    <row r="904" spans="1:10" x14ac:dyDescent="0.25">
      <c r="A904" s="1">
        <v>215</v>
      </c>
      <c r="B904" t="s">
        <v>19</v>
      </c>
      <c r="C904">
        <v>150</v>
      </c>
      <c r="D904">
        <v>7</v>
      </c>
      <c r="E904" t="s">
        <v>49</v>
      </c>
      <c r="F904" t="s">
        <v>50</v>
      </c>
      <c r="G904" t="str">
        <f>"2026-03-15 21:20:20.271"</f>
        <v>2026-03-15 21:20:20.271</v>
      </c>
      <c r="H904" t="s">
        <v>26</v>
      </c>
    </row>
    <row r="905" spans="1:10" x14ac:dyDescent="0.25">
      <c r="A905" s="1">
        <v>216</v>
      </c>
      <c r="B905" t="s">
        <v>19</v>
      </c>
      <c r="C905">
        <v>107</v>
      </c>
      <c r="D905">
        <v>2</v>
      </c>
      <c r="E905" t="s">
        <v>52</v>
      </c>
      <c r="F905" t="s">
        <v>46</v>
      </c>
      <c r="G905" t="str">
        <f>"2026-03-15 21:20:20.269"</f>
        <v>2026-03-15 21:20:20.269</v>
      </c>
      <c r="H905" t="s">
        <v>53</v>
      </c>
    </row>
    <row r="906" spans="1:10" x14ac:dyDescent="0.25">
      <c r="A906" s="1">
        <v>217</v>
      </c>
      <c r="B906" t="s">
        <v>19</v>
      </c>
      <c r="C906">
        <v>43</v>
      </c>
      <c r="D906">
        <v>2</v>
      </c>
      <c r="E906" t="s">
        <v>54</v>
      </c>
      <c r="F906" t="s">
        <v>55</v>
      </c>
      <c r="G906" t="str">
        <f>"2026-03-15 21:20:20.268"</f>
        <v>2026-03-15 21:20:20.268</v>
      </c>
      <c r="H906" t="s">
        <v>22</v>
      </c>
    </row>
    <row r="907" spans="1:10" x14ac:dyDescent="0.25">
      <c r="A907" s="1">
        <v>218</v>
      </c>
      <c r="B907" t="s">
        <v>23</v>
      </c>
      <c r="C907">
        <v>782</v>
      </c>
      <c r="D907">
        <v>7</v>
      </c>
      <c r="E907" t="s">
        <v>32</v>
      </c>
      <c r="F907" t="s">
        <v>33</v>
      </c>
      <c r="G907" t="str">
        <f>"2026-03-15 21:20:20.266"</f>
        <v>2026-03-15 21:20:20.266</v>
      </c>
      <c r="H907" t="s">
        <v>26</v>
      </c>
      <c r="I907">
        <v>0</v>
      </c>
      <c r="J907" t="s">
        <v>27</v>
      </c>
    </row>
    <row r="908" spans="1:10" x14ac:dyDescent="0.25">
      <c r="A908" s="1">
        <v>219</v>
      </c>
      <c r="B908" t="s">
        <v>38</v>
      </c>
      <c r="C908">
        <v>43</v>
      </c>
      <c r="D908">
        <v>2</v>
      </c>
      <c r="E908" t="s">
        <v>54</v>
      </c>
      <c r="F908" t="s">
        <v>55</v>
      </c>
      <c r="G908" t="str">
        <f>"2026-03-15 21:19:19.427"</f>
        <v>2026-03-15 21:19:19.427</v>
      </c>
      <c r="H908" t="s">
        <v>22</v>
      </c>
      <c r="I908">
        <v>0</v>
      </c>
      <c r="J908" t="s">
        <v>27</v>
      </c>
    </row>
    <row r="909" spans="1:10" x14ac:dyDescent="0.25">
      <c r="A909" s="1">
        <v>220</v>
      </c>
      <c r="B909" t="s">
        <v>38</v>
      </c>
      <c r="C909">
        <v>248</v>
      </c>
      <c r="D909">
        <v>7</v>
      </c>
      <c r="E909" t="s">
        <v>56</v>
      </c>
      <c r="F909" t="s">
        <v>57</v>
      </c>
      <c r="G909" t="str">
        <f>"2026-03-15 21:19:12.160"</f>
        <v>2026-03-15 21:19:12.160</v>
      </c>
      <c r="H909" t="s">
        <v>26</v>
      </c>
      <c r="I909">
        <v>0</v>
      </c>
      <c r="J909" t="s">
        <v>27</v>
      </c>
    </row>
    <row r="910" spans="1:10" x14ac:dyDescent="0.25">
      <c r="A910" s="1">
        <v>221</v>
      </c>
      <c r="B910" t="s">
        <v>38</v>
      </c>
      <c r="C910">
        <v>250</v>
      </c>
      <c r="D910">
        <v>7</v>
      </c>
      <c r="E910" t="s">
        <v>51</v>
      </c>
      <c r="F910" t="s">
        <v>50</v>
      </c>
      <c r="G910" t="str">
        <f>"2026-03-15 21:19:11.960"</f>
        <v>2026-03-15 21:19:11.960</v>
      </c>
      <c r="H910" t="s">
        <v>26</v>
      </c>
      <c r="I910">
        <v>0</v>
      </c>
      <c r="J910" t="s">
        <v>27</v>
      </c>
    </row>
    <row r="911" spans="1:10" x14ac:dyDescent="0.25">
      <c r="A911" s="1">
        <v>222</v>
      </c>
      <c r="B911" t="s">
        <v>48</v>
      </c>
      <c r="C911">
        <v>250</v>
      </c>
      <c r="D911">
        <v>7</v>
      </c>
      <c r="E911" t="s">
        <v>51</v>
      </c>
      <c r="F911" t="s">
        <v>50</v>
      </c>
      <c r="G911" t="str">
        <f>"2026-03-15 21:19:11.946"</f>
        <v>2026-03-15 21:19:11.946</v>
      </c>
      <c r="H911" t="s">
        <v>26</v>
      </c>
    </row>
    <row r="912" spans="1:10" x14ac:dyDescent="0.25">
      <c r="A912" s="1">
        <v>223</v>
      </c>
      <c r="B912" t="s">
        <v>48</v>
      </c>
      <c r="C912">
        <v>248</v>
      </c>
      <c r="D912">
        <v>7</v>
      </c>
      <c r="E912" t="s">
        <v>56</v>
      </c>
      <c r="F912" t="s">
        <v>57</v>
      </c>
      <c r="G912" t="str">
        <f>"2026-03-15 21:19:11.794"</f>
        <v>2026-03-15 21:19:11.794</v>
      </c>
      <c r="H912" t="s">
        <v>26</v>
      </c>
    </row>
    <row r="913" spans="1:10" x14ac:dyDescent="0.25">
      <c r="A913" s="1">
        <v>224</v>
      </c>
      <c r="B913" t="s">
        <v>38</v>
      </c>
      <c r="C913">
        <v>150</v>
      </c>
      <c r="D913">
        <v>7</v>
      </c>
      <c r="E913" t="s">
        <v>49</v>
      </c>
      <c r="F913" t="s">
        <v>50</v>
      </c>
      <c r="G913" t="str">
        <f>"2026-03-15 21:19:10.560"</f>
        <v>2026-03-15 21:19:10.560</v>
      </c>
      <c r="H913" t="s">
        <v>26</v>
      </c>
      <c r="I913">
        <v>0</v>
      </c>
      <c r="J913" t="s">
        <v>27</v>
      </c>
    </row>
    <row r="914" spans="1:10" x14ac:dyDescent="0.25">
      <c r="A914" s="1">
        <v>225</v>
      </c>
      <c r="B914" t="s">
        <v>48</v>
      </c>
      <c r="C914">
        <v>150</v>
      </c>
      <c r="D914">
        <v>7</v>
      </c>
      <c r="E914" t="s">
        <v>49</v>
      </c>
      <c r="F914" t="s">
        <v>50</v>
      </c>
      <c r="G914" t="str">
        <f>"2026-03-15 21:19:10.495"</f>
        <v>2026-03-15 21:19:10.495</v>
      </c>
      <c r="H914" t="s">
        <v>26</v>
      </c>
    </row>
    <row r="915" spans="1:10" x14ac:dyDescent="0.25">
      <c r="A915" s="1">
        <v>226</v>
      </c>
      <c r="B915" t="s">
        <v>48</v>
      </c>
      <c r="C915">
        <v>148</v>
      </c>
      <c r="D915">
        <v>7</v>
      </c>
      <c r="E915" t="s">
        <v>58</v>
      </c>
      <c r="F915" t="s">
        <v>57</v>
      </c>
      <c r="G915" t="str">
        <f>"2026-03-15 21:19:10.395"</f>
        <v>2026-03-15 21:19:10.395</v>
      </c>
      <c r="H915" t="s">
        <v>26</v>
      </c>
    </row>
    <row r="916" spans="1:10" x14ac:dyDescent="0.25">
      <c r="A916" s="1">
        <v>227</v>
      </c>
      <c r="B916" t="s">
        <v>28</v>
      </c>
      <c r="C916">
        <v>250</v>
      </c>
      <c r="D916">
        <v>7</v>
      </c>
      <c r="E916" t="s">
        <v>51</v>
      </c>
      <c r="F916" t="s">
        <v>50</v>
      </c>
      <c r="G916" t="str">
        <f>"2026-03-15 21:19:06.705"</f>
        <v>2026-03-15 21:19:06.705</v>
      </c>
      <c r="H916" t="s">
        <v>26</v>
      </c>
      <c r="I916">
        <v>0</v>
      </c>
      <c r="J916" t="s">
        <v>27</v>
      </c>
    </row>
    <row r="917" spans="1:10" x14ac:dyDescent="0.25">
      <c r="A917" s="1">
        <v>228</v>
      </c>
      <c r="B917" t="s">
        <v>28</v>
      </c>
      <c r="C917">
        <v>248</v>
      </c>
      <c r="D917">
        <v>7</v>
      </c>
      <c r="E917" t="s">
        <v>56</v>
      </c>
      <c r="F917" t="s">
        <v>57</v>
      </c>
      <c r="G917" t="str">
        <f>"2026-03-15 21:19:06.700"</f>
        <v>2026-03-15 21:19:06.700</v>
      </c>
      <c r="H917" t="s">
        <v>26</v>
      </c>
      <c r="I917">
        <v>0</v>
      </c>
      <c r="J917" t="s">
        <v>27</v>
      </c>
    </row>
    <row r="918" spans="1:10" x14ac:dyDescent="0.25">
      <c r="A918" s="1">
        <v>229</v>
      </c>
      <c r="B918" t="s">
        <v>28</v>
      </c>
      <c r="C918">
        <v>150</v>
      </c>
      <c r="D918">
        <v>7</v>
      </c>
      <c r="E918" t="s">
        <v>49</v>
      </c>
      <c r="F918" t="s">
        <v>50</v>
      </c>
      <c r="G918" t="str">
        <f>"2026-03-15 21:19:05.389"</f>
        <v>2026-03-15 21:19:05.389</v>
      </c>
      <c r="H918" t="s">
        <v>26</v>
      </c>
      <c r="I918">
        <v>0</v>
      </c>
      <c r="J918" t="s">
        <v>27</v>
      </c>
    </row>
    <row r="919" spans="1:10" x14ac:dyDescent="0.25">
      <c r="A919" s="1">
        <v>230</v>
      </c>
      <c r="B919" t="s">
        <v>28</v>
      </c>
      <c r="C919">
        <v>148</v>
      </c>
      <c r="D919">
        <v>7</v>
      </c>
      <c r="E919" t="s">
        <v>58</v>
      </c>
      <c r="F919" t="s">
        <v>57</v>
      </c>
      <c r="G919" t="str">
        <f>"2026-03-15 21:19:05.385"</f>
        <v>2026-03-15 21:19:05.385</v>
      </c>
      <c r="H919" t="s">
        <v>26</v>
      </c>
      <c r="I919">
        <v>0</v>
      </c>
      <c r="J919" t="s">
        <v>27</v>
      </c>
    </row>
    <row r="920" spans="1:10" x14ac:dyDescent="0.25">
      <c r="A920" s="1">
        <v>231</v>
      </c>
      <c r="B920" t="s">
        <v>38</v>
      </c>
      <c r="C920">
        <v>107</v>
      </c>
      <c r="D920">
        <v>2</v>
      </c>
      <c r="E920" t="s">
        <v>52</v>
      </c>
      <c r="F920" t="s">
        <v>46</v>
      </c>
      <c r="G920" t="str">
        <f>"2026-03-15 21:19:05.380"</f>
        <v>2026-03-15 21:19:05.380</v>
      </c>
      <c r="H920" t="s">
        <v>53</v>
      </c>
      <c r="I920">
        <v>0</v>
      </c>
      <c r="J920" t="s">
        <v>27</v>
      </c>
    </row>
    <row r="921" spans="1:10" x14ac:dyDescent="0.25">
      <c r="A921" s="1">
        <v>232</v>
      </c>
      <c r="B921" t="s">
        <v>38</v>
      </c>
      <c r="C921">
        <v>207</v>
      </c>
      <c r="D921">
        <v>2</v>
      </c>
      <c r="E921" t="s">
        <v>45</v>
      </c>
      <c r="F921" t="s">
        <v>46</v>
      </c>
      <c r="G921" t="str">
        <f>"2026-03-15 21:19:05.300"</f>
        <v>2026-03-15 21:19:05.300</v>
      </c>
      <c r="H921" t="s">
        <v>47</v>
      </c>
      <c r="I921">
        <v>0</v>
      </c>
      <c r="J921" t="s">
        <v>27</v>
      </c>
    </row>
    <row r="922" spans="1:10" x14ac:dyDescent="0.25">
      <c r="A922" s="1">
        <v>233</v>
      </c>
      <c r="B922" t="s">
        <v>23</v>
      </c>
      <c r="C922">
        <v>700</v>
      </c>
      <c r="D922">
        <v>0</v>
      </c>
      <c r="E922" t="s">
        <v>37</v>
      </c>
      <c r="F922" t="s">
        <v>37</v>
      </c>
      <c r="G922" t="str">
        <f>"2026-03-15 21:18:52.526"</f>
        <v>2026-03-15 21:18:52.526</v>
      </c>
      <c r="H922" t="s">
        <v>26</v>
      </c>
    </row>
    <row r="923" spans="1:10" x14ac:dyDescent="0.25">
      <c r="A923" s="1">
        <v>236</v>
      </c>
      <c r="B923" t="s">
        <v>23</v>
      </c>
      <c r="C923">
        <v>782</v>
      </c>
      <c r="D923">
        <v>7</v>
      </c>
      <c r="E923" t="s">
        <v>32</v>
      </c>
      <c r="F923" t="s">
        <v>33</v>
      </c>
      <c r="G923" t="str">
        <f>"2026-03-15 21:14:02.025"</f>
        <v>2026-03-15 21:14:02.025</v>
      </c>
      <c r="H923" t="s">
        <v>26</v>
      </c>
      <c r="I923">
        <v>0</v>
      </c>
      <c r="J923" t="s">
        <v>27</v>
      </c>
    </row>
    <row r="924" spans="1:10" x14ac:dyDescent="0.25">
      <c r="A924" s="1">
        <v>239</v>
      </c>
      <c r="B924" t="s">
        <v>19</v>
      </c>
      <c r="C924">
        <v>250</v>
      </c>
      <c r="D924">
        <v>7</v>
      </c>
      <c r="E924" t="s">
        <v>51</v>
      </c>
      <c r="F924" t="s">
        <v>50</v>
      </c>
      <c r="G924" t="str">
        <f>"2026-03-15 21:14:02.020"</f>
        <v>2026-03-15 21:14:02.020</v>
      </c>
      <c r="H924" t="s">
        <v>26</v>
      </c>
    </row>
    <row r="925" spans="1:10" x14ac:dyDescent="0.25">
      <c r="A925" s="1">
        <v>240</v>
      </c>
      <c r="B925" t="s">
        <v>19</v>
      </c>
      <c r="C925">
        <v>248</v>
      </c>
      <c r="D925">
        <v>7</v>
      </c>
      <c r="E925" t="s">
        <v>56</v>
      </c>
      <c r="F925" t="s">
        <v>57</v>
      </c>
      <c r="G925" t="str">
        <f>"2026-03-15 21:14:02.018"</f>
        <v>2026-03-15 21:14:02.018</v>
      </c>
      <c r="H925" t="s">
        <v>26</v>
      </c>
    </row>
    <row r="926" spans="1:10" x14ac:dyDescent="0.25">
      <c r="A926" s="1">
        <v>241</v>
      </c>
      <c r="B926" t="s">
        <v>19</v>
      </c>
      <c r="C926">
        <v>207</v>
      </c>
      <c r="D926">
        <v>2</v>
      </c>
      <c r="E926" t="s">
        <v>45</v>
      </c>
      <c r="F926" t="s">
        <v>46</v>
      </c>
      <c r="G926" t="str">
        <f>"2026-03-15 21:14:02.015"</f>
        <v>2026-03-15 21:14:02.015</v>
      </c>
      <c r="H926" t="s">
        <v>47</v>
      </c>
    </row>
    <row r="927" spans="1:10" x14ac:dyDescent="0.25">
      <c r="A927" s="1">
        <v>242</v>
      </c>
      <c r="B927" t="s">
        <v>19</v>
      </c>
      <c r="C927">
        <v>107</v>
      </c>
      <c r="D927">
        <v>2</v>
      </c>
      <c r="E927" t="s">
        <v>52</v>
      </c>
      <c r="F927" t="s">
        <v>46</v>
      </c>
      <c r="G927" t="str">
        <f>"2026-03-15 21:14:02.011"</f>
        <v>2026-03-15 21:14:02.011</v>
      </c>
      <c r="H927" t="s">
        <v>53</v>
      </c>
    </row>
    <row r="928" spans="1:10" x14ac:dyDescent="0.25">
      <c r="A928" s="1">
        <v>243</v>
      </c>
      <c r="B928" t="s">
        <v>23</v>
      </c>
      <c r="C928">
        <v>782</v>
      </c>
      <c r="D928">
        <v>7</v>
      </c>
      <c r="E928" t="s">
        <v>32</v>
      </c>
      <c r="F928" t="s">
        <v>33</v>
      </c>
      <c r="G928" t="str">
        <f>"2026-03-15 21:14:02.010"</f>
        <v>2026-03-15 21:14:02.010</v>
      </c>
      <c r="H928" t="s">
        <v>26</v>
      </c>
      <c r="I928">
        <v>0</v>
      </c>
      <c r="J928" t="s">
        <v>27</v>
      </c>
    </row>
    <row r="929" spans="1:10" x14ac:dyDescent="0.25">
      <c r="A929" s="1">
        <v>244</v>
      </c>
      <c r="B929" t="s">
        <v>19</v>
      </c>
      <c r="C929">
        <v>43</v>
      </c>
      <c r="D929">
        <v>2</v>
      </c>
      <c r="E929" t="s">
        <v>54</v>
      </c>
      <c r="F929" t="s">
        <v>55</v>
      </c>
      <c r="G929" t="str">
        <f>"2026-03-15 21:07:33.791"</f>
        <v>2026-03-15 21:07:33.791</v>
      </c>
      <c r="H929" t="s">
        <v>22</v>
      </c>
    </row>
    <row r="930" spans="1:10" x14ac:dyDescent="0.25">
      <c r="A930" s="1">
        <v>246</v>
      </c>
      <c r="B930" t="s">
        <v>38</v>
      </c>
      <c r="C930">
        <v>248</v>
      </c>
      <c r="D930">
        <v>7</v>
      </c>
      <c r="E930" t="s">
        <v>56</v>
      </c>
      <c r="F930" t="s">
        <v>57</v>
      </c>
      <c r="G930" t="str">
        <f>"2026-03-15 20:19:50.674"</f>
        <v>2026-03-15 20:19:50.674</v>
      </c>
      <c r="H930" t="s">
        <v>26</v>
      </c>
      <c r="I930">
        <v>0</v>
      </c>
      <c r="J930" t="s">
        <v>27</v>
      </c>
    </row>
    <row r="931" spans="1:10" x14ac:dyDescent="0.25">
      <c r="A931" s="1">
        <v>247</v>
      </c>
      <c r="B931" t="s">
        <v>48</v>
      </c>
      <c r="C931">
        <v>248</v>
      </c>
      <c r="D931">
        <v>7</v>
      </c>
      <c r="E931" t="s">
        <v>56</v>
      </c>
      <c r="F931" t="s">
        <v>57</v>
      </c>
      <c r="G931" t="str">
        <f>"2026-03-15 20:19:49.355"</f>
        <v>2026-03-15 20:19:49.355</v>
      </c>
      <c r="H931" t="s">
        <v>26</v>
      </c>
    </row>
    <row r="932" spans="1:10" x14ac:dyDescent="0.25">
      <c r="A932" s="1">
        <v>248</v>
      </c>
      <c r="B932" t="s">
        <v>48</v>
      </c>
      <c r="C932">
        <v>150</v>
      </c>
      <c r="D932">
        <v>7</v>
      </c>
      <c r="E932" t="s">
        <v>49</v>
      </c>
      <c r="F932" t="s">
        <v>50</v>
      </c>
      <c r="G932" t="str">
        <f>"2026-03-15 20:19:48.255"</f>
        <v>2026-03-15 20:19:48.255</v>
      </c>
      <c r="H932" t="s">
        <v>26</v>
      </c>
    </row>
    <row r="933" spans="1:10" x14ac:dyDescent="0.25">
      <c r="A933" s="1">
        <v>249</v>
      </c>
      <c r="B933" t="s">
        <v>48</v>
      </c>
      <c r="C933">
        <v>148</v>
      </c>
      <c r="D933">
        <v>7</v>
      </c>
      <c r="E933" t="s">
        <v>58</v>
      </c>
      <c r="F933" t="s">
        <v>57</v>
      </c>
      <c r="G933" t="str">
        <f>"2026-03-15 20:19:47.956"</f>
        <v>2026-03-15 20:19:47.956</v>
      </c>
      <c r="H933" t="s">
        <v>26</v>
      </c>
    </row>
    <row r="934" spans="1:10" x14ac:dyDescent="0.25">
      <c r="A934" s="1">
        <v>250</v>
      </c>
      <c r="B934" t="s">
        <v>28</v>
      </c>
      <c r="C934">
        <v>248</v>
      </c>
      <c r="D934">
        <v>7</v>
      </c>
      <c r="E934" t="s">
        <v>56</v>
      </c>
      <c r="F934" t="s">
        <v>57</v>
      </c>
      <c r="G934" t="str">
        <f>"2026-03-15 20:19:44.339"</f>
        <v>2026-03-15 20:19:44.339</v>
      </c>
      <c r="H934" t="s">
        <v>26</v>
      </c>
      <c r="I934">
        <v>0</v>
      </c>
      <c r="J934" t="s">
        <v>27</v>
      </c>
    </row>
    <row r="935" spans="1:10" x14ac:dyDescent="0.25">
      <c r="A935" s="1">
        <v>251</v>
      </c>
      <c r="B935" t="s">
        <v>38</v>
      </c>
      <c r="C935">
        <v>250</v>
      </c>
      <c r="D935">
        <v>7</v>
      </c>
      <c r="E935" t="s">
        <v>51</v>
      </c>
      <c r="F935" t="s">
        <v>50</v>
      </c>
      <c r="G935" t="str">
        <f>"2026-03-15 20:19:44.334"</f>
        <v>2026-03-15 20:19:44.334</v>
      </c>
      <c r="H935" t="s">
        <v>26</v>
      </c>
      <c r="I935">
        <v>0</v>
      </c>
      <c r="J935" t="s">
        <v>27</v>
      </c>
    </row>
    <row r="936" spans="1:10" x14ac:dyDescent="0.25">
      <c r="A936" s="1">
        <v>252</v>
      </c>
      <c r="B936" t="s">
        <v>38</v>
      </c>
      <c r="C936">
        <v>207</v>
      </c>
      <c r="D936">
        <v>2</v>
      </c>
      <c r="E936" t="s">
        <v>45</v>
      </c>
      <c r="F936" t="s">
        <v>46</v>
      </c>
      <c r="G936" t="str">
        <f>"2026-03-15 20:19:42.874"</f>
        <v>2026-03-15 20:19:42.874</v>
      </c>
      <c r="H936" t="s">
        <v>47</v>
      </c>
      <c r="I936">
        <v>0</v>
      </c>
      <c r="J936" t="s">
        <v>27</v>
      </c>
    </row>
    <row r="937" spans="1:10" x14ac:dyDescent="0.25">
      <c r="A937" s="1">
        <v>253</v>
      </c>
      <c r="B937" t="s">
        <v>28</v>
      </c>
      <c r="C937">
        <v>150</v>
      </c>
      <c r="D937">
        <v>7</v>
      </c>
      <c r="E937" t="s">
        <v>49</v>
      </c>
      <c r="F937" t="s">
        <v>50</v>
      </c>
      <c r="G937" t="str">
        <f>"2026-03-15 20:19:42.861"</f>
        <v>2026-03-15 20:19:42.861</v>
      </c>
      <c r="H937" t="s">
        <v>26</v>
      </c>
      <c r="I937">
        <v>0</v>
      </c>
      <c r="J937" t="s">
        <v>27</v>
      </c>
    </row>
    <row r="938" spans="1:10" x14ac:dyDescent="0.25">
      <c r="A938" s="1">
        <v>254</v>
      </c>
      <c r="B938" t="s">
        <v>28</v>
      </c>
      <c r="C938">
        <v>148</v>
      </c>
      <c r="D938">
        <v>7</v>
      </c>
      <c r="E938" t="s">
        <v>58</v>
      </c>
      <c r="F938" t="s">
        <v>57</v>
      </c>
      <c r="G938" t="str">
        <f>"2026-03-15 20:19:42.856"</f>
        <v>2026-03-15 20:19:42.856</v>
      </c>
      <c r="H938" t="s">
        <v>26</v>
      </c>
      <c r="I938">
        <v>0</v>
      </c>
      <c r="J938" t="s">
        <v>27</v>
      </c>
    </row>
    <row r="939" spans="1:10" x14ac:dyDescent="0.25">
      <c r="A939" s="1">
        <v>255</v>
      </c>
      <c r="B939" t="s">
        <v>38</v>
      </c>
      <c r="C939">
        <v>107</v>
      </c>
      <c r="D939">
        <v>2</v>
      </c>
      <c r="E939" t="s">
        <v>52</v>
      </c>
      <c r="F939" t="s">
        <v>46</v>
      </c>
      <c r="G939" t="str">
        <f>"2026-03-15 20:19:42.854"</f>
        <v>2026-03-15 20:19:42.854</v>
      </c>
      <c r="H939" t="s">
        <v>53</v>
      </c>
      <c r="I939">
        <v>0</v>
      </c>
      <c r="J939" t="s">
        <v>27</v>
      </c>
    </row>
    <row r="940" spans="1:10" x14ac:dyDescent="0.25">
      <c r="A940" s="1">
        <v>256</v>
      </c>
      <c r="B940" t="s">
        <v>48</v>
      </c>
      <c r="C940">
        <v>250</v>
      </c>
      <c r="D940">
        <v>7</v>
      </c>
      <c r="E940" t="s">
        <v>51</v>
      </c>
      <c r="F940" t="s">
        <v>50</v>
      </c>
      <c r="G940" t="str">
        <f>"2026-03-15 20:19:11.755"</f>
        <v>2026-03-15 20:19:11.755</v>
      </c>
      <c r="H940" t="s">
        <v>26</v>
      </c>
    </row>
    <row r="941" spans="1:10" x14ac:dyDescent="0.25">
      <c r="A941" s="1">
        <v>257</v>
      </c>
      <c r="B941" t="s">
        <v>28</v>
      </c>
      <c r="C941">
        <v>250</v>
      </c>
      <c r="D941">
        <v>7</v>
      </c>
      <c r="E941" t="s">
        <v>51</v>
      </c>
      <c r="F941" t="s">
        <v>50</v>
      </c>
      <c r="G941" t="str">
        <f>"2026-03-15 20:19:06.734"</f>
        <v>2026-03-15 20:19:06.734</v>
      </c>
      <c r="H941" t="s">
        <v>26</v>
      </c>
      <c r="I941">
        <v>0</v>
      </c>
      <c r="J941" t="s">
        <v>27</v>
      </c>
    </row>
    <row r="942" spans="1:10" x14ac:dyDescent="0.25">
      <c r="A942" s="1">
        <v>260</v>
      </c>
      <c r="B942" t="s">
        <v>38</v>
      </c>
      <c r="C942">
        <v>43</v>
      </c>
      <c r="D942">
        <v>2</v>
      </c>
      <c r="E942" t="s">
        <v>54</v>
      </c>
      <c r="F942" t="s">
        <v>55</v>
      </c>
      <c r="G942" t="str">
        <f>"2026-03-15 20:19:06.280"</f>
        <v>2026-03-15 20:19:06.280</v>
      </c>
      <c r="H942" t="s">
        <v>22</v>
      </c>
      <c r="I942">
        <v>0</v>
      </c>
      <c r="J942" t="s">
        <v>27</v>
      </c>
    </row>
    <row r="943" spans="1:10" x14ac:dyDescent="0.25">
      <c r="A943" s="1">
        <v>264</v>
      </c>
      <c r="B943" t="s">
        <v>23</v>
      </c>
      <c r="C943">
        <v>782</v>
      </c>
      <c r="D943">
        <v>7</v>
      </c>
      <c r="E943" t="s">
        <v>32</v>
      </c>
      <c r="F943" t="s">
        <v>33</v>
      </c>
      <c r="G943" t="str">
        <f>"2026-03-15 20:19:06.221"</f>
        <v>2026-03-15 20:19:06.221</v>
      </c>
      <c r="H943" t="s">
        <v>26</v>
      </c>
      <c r="I943">
        <v>0</v>
      </c>
      <c r="J943" t="s">
        <v>27</v>
      </c>
    </row>
    <row r="944" spans="1:10" x14ac:dyDescent="0.25">
      <c r="A944" s="1">
        <v>268</v>
      </c>
      <c r="B944" t="s">
        <v>19</v>
      </c>
      <c r="C944">
        <v>250</v>
      </c>
      <c r="D944">
        <v>7</v>
      </c>
      <c r="E944" t="s">
        <v>51</v>
      </c>
      <c r="F944" t="s">
        <v>50</v>
      </c>
      <c r="G944" t="str">
        <f>"2026-03-15 20:19:06.213"</f>
        <v>2026-03-15 20:19:06.213</v>
      </c>
      <c r="H944" t="s">
        <v>26</v>
      </c>
    </row>
    <row r="945" spans="1:10" x14ac:dyDescent="0.25">
      <c r="A945" s="1">
        <v>269</v>
      </c>
      <c r="B945" t="s">
        <v>19</v>
      </c>
      <c r="C945">
        <v>248</v>
      </c>
      <c r="D945">
        <v>7</v>
      </c>
      <c r="E945" t="s">
        <v>56</v>
      </c>
      <c r="F945" t="s">
        <v>57</v>
      </c>
      <c r="G945" t="str">
        <f>"2026-03-15 20:19:06.210"</f>
        <v>2026-03-15 20:19:06.210</v>
      </c>
      <c r="H945" t="s">
        <v>26</v>
      </c>
    </row>
    <row r="946" spans="1:10" x14ac:dyDescent="0.25">
      <c r="A946" s="1">
        <v>270</v>
      </c>
      <c r="B946" t="s">
        <v>19</v>
      </c>
      <c r="C946">
        <v>207</v>
      </c>
      <c r="D946">
        <v>2</v>
      </c>
      <c r="E946" t="s">
        <v>45</v>
      </c>
      <c r="F946" t="s">
        <v>46</v>
      </c>
      <c r="G946" t="str">
        <f>"2026-03-15 20:19:06.208"</f>
        <v>2026-03-15 20:19:06.208</v>
      </c>
      <c r="H946" t="s">
        <v>47</v>
      </c>
    </row>
    <row r="947" spans="1:10" x14ac:dyDescent="0.25">
      <c r="A947" s="1">
        <v>271</v>
      </c>
      <c r="B947" t="s">
        <v>19</v>
      </c>
      <c r="C947">
        <v>107</v>
      </c>
      <c r="D947">
        <v>2</v>
      </c>
      <c r="E947" t="s">
        <v>52</v>
      </c>
      <c r="F947" t="s">
        <v>46</v>
      </c>
      <c r="G947" t="str">
        <f>"2026-03-15 20:19:06.205"</f>
        <v>2026-03-15 20:19:06.205</v>
      </c>
      <c r="H947" t="s">
        <v>53</v>
      </c>
    </row>
    <row r="948" spans="1:10" x14ac:dyDescent="0.25">
      <c r="A948" s="1">
        <v>272</v>
      </c>
      <c r="B948" t="s">
        <v>19</v>
      </c>
      <c r="C948">
        <v>43</v>
      </c>
      <c r="D948">
        <v>2</v>
      </c>
      <c r="E948" t="s">
        <v>54</v>
      </c>
      <c r="F948" t="s">
        <v>55</v>
      </c>
      <c r="G948" t="str">
        <f>"2026-03-15 20:19:06.203"</f>
        <v>2026-03-15 20:19:06.203</v>
      </c>
      <c r="H948" t="s">
        <v>22</v>
      </c>
    </row>
    <row r="949" spans="1:10" x14ac:dyDescent="0.25">
      <c r="A949" s="1">
        <v>273</v>
      </c>
      <c r="B949" t="s">
        <v>19</v>
      </c>
      <c r="C949">
        <v>43</v>
      </c>
      <c r="D949">
        <v>1</v>
      </c>
      <c r="E949" t="s">
        <v>54</v>
      </c>
      <c r="F949" t="s">
        <v>55</v>
      </c>
      <c r="G949" t="str">
        <f>"2026-03-15 20:19:06.202"</f>
        <v>2026-03-15 20:19:06.202</v>
      </c>
      <c r="H949" t="s">
        <v>22</v>
      </c>
    </row>
    <row r="950" spans="1:10" x14ac:dyDescent="0.25">
      <c r="A950" s="1">
        <v>274</v>
      </c>
      <c r="B950" t="s">
        <v>23</v>
      </c>
      <c r="C950">
        <v>782</v>
      </c>
      <c r="D950">
        <v>7</v>
      </c>
      <c r="E950" t="s">
        <v>32</v>
      </c>
      <c r="F950" t="s">
        <v>33</v>
      </c>
      <c r="G950" t="str">
        <f>"2026-03-15 20:19:06.200"</f>
        <v>2026-03-15 20:19:06.200</v>
      </c>
      <c r="H950" t="s">
        <v>26</v>
      </c>
      <c r="I950">
        <v>0</v>
      </c>
      <c r="J950" t="s">
        <v>27</v>
      </c>
    </row>
    <row r="951" spans="1:10" x14ac:dyDescent="0.25">
      <c r="A951" s="1">
        <v>276</v>
      </c>
      <c r="B951" t="s">
        <v>38</v>
      </c>
      <c r="C951">
        <v>43</v>
      </c>
      <c r="D951">
        <v>2</v>
      </c>
      <c r="E951" t="s">
        <v>54</v>
      </c>
      <c r="F951" t="s">
        <v>55</v>
      </c>
      <c r="G951" t="str">
        <f>"2026-03-15 20:13:07.280"</f>
        <v>2026-03-15 20:13:07.280</v>
      </c>
      <c r="H951" t="s">
        <v>22</v>
      </c>
      <c r="I951">
        <v>0</v>
      </c>
      <c r="J951" t="s">
        <v>27</v>
      </c>
    </row>
    <row r="952" spans="1:10" x14ac:dyDescent="0.25">
      <c r="A952" s="1">
        <v>277</v>
      </c>
      <c r="B952" t="s">
        <v>38</v>
      </c>
      <c r="C952">
        <v>43</v>
      </c>
      <c r="D952">
        <v>1</v>
      </c>
      <c r="E952" t="s">
        <v>54</v>
      </c>
      <c r="F952" t="s">
        <v>55</v>
      </c>
      <c r="G952" t="str">
        <f>"2026-03-15 20:12:30.381"</f>
        <v>2026-03-15 20:12:30.381</v>
      </c>
      <c r="H952" t="s">
        <v>22</v>
      </c>
      <c r="I952">
        <v>0</v>
      </c>
      <c r="J952" t="s">
        <v>27</v>
      </c>
    </row>
    <row r="953" spans="1:10" x14ac:dyDescent="0.25">
      <c r="A953" s="1">
        <v>278</v>
      </c>
      <c r="B953" t="s">
        <v>23</v>
      </c>
      <c r="C953">
        <v>700</v>
      </c>
      <c r="D953">
        <v>0</v>
      </c>
      <c r="E953" t="s">
        <v>37</v>
      </c>
      <c r="F953" t="s">
        <v>37</v>
      </c>
      <c r="G953" t="str">
        <f>"2026-03-15 20:12:12.502"</f>
        <v>2026-03-15 20:12:12.502</v>
      </c>
      <c r="H953" t="s">
        <v>26</v>
      </c>
      <c r="I953">
        <v>0</v>
      </c>
      <c r="J953" t="s">
        <v>43</v>
      </c>
    </row>
    <row r="954" spans="1:10" x14ac:dyDescent="0.25">
      <c r="A954" s="1">
        <v>279</v>
      </c>
      <c r="B954" t="s">
        <v>19</v>
      </c>
      <c r="C954">
        <v>43</v>
      </c>
      <c r="D954">
        <v>2</v>
      </c>
      <c r="E954" t="s">
        <v>54</v>
      </c>
      <c r="F954" t="s">
        <v>55</v>
      </c>
      <c r="G954" t="str">
        <f>"2026-03-15 20:06:47.090"</f>
        <v>2026-03-15 20:06:47.090</v>
      </c>
      <c r="H954" t="s">
        <v>22</v>
      </c>
    </row>
    <row r="955" spans="1:10" x14ac:dyDescent="0.25">
      <c r="A955" s="1">
        <v>280</v>
      </c>
      <c r="B955" t="s">
        <v>19</v>
      </c>
      <c r="C955">
        <v>43</v>
      </c>
      <c r="D955">
        <v>1</v>
      </c>
      <c r="E955" t="s">
        <v>54</v>
      </c>
      <c r="F955" t="s">
        <v>55</v>
      </c>
      <c r="G955" t="str">
        <f>"2026-03-15 20:06:47.089"</f>
        <v>2026-03-15 20:06:47.089</v>
      </c>
      <c r="H955" t="s">
        <v>22</v>
      </c>
    </row>
    <row r="956" spans="1:10" x14ac:dyDescent="0.25">
      <c r="A956" s="1">
        <v>281</v>
      </c>
      <c r="B956" t="s">
        <v>38</v>
      </c>
      <c r="C956">
        <v>248</v>
      </c>
      <c r="D956">
        <v>7</v>
      </c>
      <c r="E956" t="s">
        <v>56</v>
      </c>
      <c r="F956" t="s">
        <v>57</v>
      </c>
      <c r="G956" t="str">
        <f>"2026-03-15 20:04:27.122"</f>
        <v>2026-03-15 20:04:27.122</v>
      </c>
      <c r="H956" t="s">
        <v>26</v>
      </c>
      <c r="I956">
        <v>0</v>
      </c>
      <c r="J956" t="s">
        <v>27</v>
      </c>
    </row>
    <row r="957" spans="1:10" x14ac:dyDescent="0.25">
      <c r="A957" s="1">
        <v>282</v>
      </c>
      <c r="B957" t="s">
        <v>38</v>
      </c>
      <c r="C957">
        <v>250</v>
      </c>
      <c r="D957">
        <v>7</v>
      </c>
      <c r="E957" t="s">
        <v>51</v>
      </c>
      <c r="F957" t="s">
        <v>50</v>
      </c>
      <c r="G957" t="str">
        <f>"2026-03-15 20:04:26.922"</f>
        <v>2026-03-15 20:04:26.922</v>
      </c>
      <c r="H957" t="s">
        <v>26</v>
      </c>
      <c r="I957">
        <v>0</v>
      </c>
      <c r="J957" t="s">
        <v>27</v>
      </c>
    </row>
    <row r="958" spans="1:10" x14ac:dyDescent="0.25">
      <c r="A958" s="1">
        <v>283</v>
      </c>
      <c r="B958" t="s">
        <v>48</v>
      </c>
      <c r="C958">
        <v>250</v>
      </c>
      <c r="D958">
        <v>7</v>
      </c>
      <c r="E958" t="s">
        <v>51</v>
      </c>
      <c r="F958" t="s">
        <v>50</v>
      </c>
      <c r="G958" t="str">
        <f>"2026-03-15 20:04:26.857"</f>
        <v>2026-03-15 20:04:26.857</v>
      </c>
      <c r="H958" t="s">
        <v>26</v>
      </c>
    </row>
    <row r="959" spans="1:10" x14ac:dyDescent="0.25">
      <c r="A959" s="1">
        <v>284</v>
      </c>
      <c r="B959" t="s">
        <v>48</v>
      </c>
      <c r="C959">
        <v>248</v>
      </c>
      <c r="D959">
        <v>7</v>
      </c>
      <c r="E959" t="s">
        <v>56</v>
      </c>
      <c r="F959" t="s">
        <v>57</v>
      </c>
      <c r="G959" t="str">
        <f>"2026-03-15 20:04:26.757"</f>
        <v>2026-03-15 20:04:26.757</v>
      </c>
      <c r="H959" t="s">
        <v>26</v>
      </c>
    </row>
    <row r="960" spans="1:10" x14ac:dyDescent="0.25">
      <c r="A960" s="1">
        <v>285</v>
      </c>
      <c r="B960" t="s">
        <v>48</v>
      </c>
      <c r="C960">
        <v>150</v>
      </c>
      <c r="D960">
        <v>7</v>
      </c>
      <c r="E960" t="s">
        <v>49</v>
      </c>
      <c r="F960" t="s">
        <v>50</v>
      </c>
      <c r="G960" t="str">
        <f>"2026-03-15 20:04:25.557"</f>
        <v>2026-03-15 20:04:25.557</v>
      </c>
      <c r="H960" t="s">
        <v>26</v>
      </c>
    </row>
    <row r="961" spans="1:10" x14ac:dyDescent="0.25">
      <c r="A961" s="1">
        <v>286</v>
      </c>
      <c r="B961" t="s">
        <v>48</v>
      </c>
      <c r="C961">
        <v>148</v>
      </c>
      <c r="D961">
        <v>7</v>
      </c>
      <c r="E961" t="s">
        <v>58</v>
      </c>
      <c r="F961" t="s">
        <v>57</v>
      </c>
      <c r="G961" t="str">
        <f>"2026-03-15 20:04:25.457"</f>
        <v>2026-03-15 20:04:25.457</v>
      </c>
      <c r="H961" t="s">
        <v>26</v>
      </c>
    </row>
    <row r="962" spans="1:10" x14ac:dyDescent="0.25">
      <c r="A962" s="1">
        <v>287</v>
      </c>
      <c r="B962" t="s">
        <v>28</v>
      </c>
      <c r="C962">
        <v>250</v>
      </c>
      <c r="D962">
        <v>7</v>
      </c>
      <c r="E962" t="s">
        <v>51</v>
      </c>
      <c r="F962" t="s">
        <v>50</v>
      </c>
      <c r="G962" t="str">
        <f>"2026-03-15 20:04:21.704"</f>
        <v>2026-03-15 20:04:21.704</v>
      </c>
      <c r="H962" t="s">
        <v>26</v>
      </c>
      <c r="I962">
        <v>0</v>
      </c>
      <c r="J962" t="s">
        <v>44</v>
      </c>
    </row>
    <row r="963" spans="1:10" x14ac:dyDescent="0.25">
      <c r="A963" s="1">
        <v>288</v>
      </c>
      <c r="B963" t="s">
        <v>28</v>
      </c>
      <c r="C963">
        <v>248</v>
      </c>
      <c r="D963">
        <v>7</v>
      </c>
      <c r="E963" t="s">
        <v>56</v>
      </c>
      <c r="F963" t="s">
        <v>57</v>
      </c>
      <c r="G963" t="str">
        <f>"2026-03-15 20:04:21.702"</f>
        <v>2026-03-15 20:04:21.702</v>
      </c>
      <c r="H963" t="s">
        <v>26</v>
      </c>
      <c r="I963">
        <v>0</v>
      </c>
      <c r="J963" t="s">
        <v>44</v>
      </c>
    </row>
    <row r="964" spans="1:10" x14ac:dyDescent="0.25">
      <c r="A964" s="1">
        <v>289</v>
      </c>
      <c r="B964" t="s">
        <v>28</v>
      </c>
      <c r="C964">
        <v>150</v>
      </c>
      <c r="D964">
        <v>7</v>
      </c>
      <c r="E964" t="s">
        <v>49</v>
      </c>
      <c r="F964" t="s">
        <v>50</v>
      </c>
      <c r="G964" t="str">
        <f>"2026-03-15 20:04:20.385"</f>
        <v>2026-03-15 20:04:20.385</v>
      </c>
      <c r="H964" t="s">
        <v>26</v>
      </c>
      <c r="I964">
        <v>0</v>
      </c>
      <c r="J964" t="s">
        <v>27</v>
      </c>
    </row>
    <row r="965" spans="1:10" x14ac:dyDescent="0.25">
      <c r="A965" s="1">
        <v>290</v>
      </c>
      <c r="B965" t="s">
        <v>28</v>
      </c>
      <c r="C965">
        <v>148</v>
      </c>
      <c r="D965">
        <v>7</v>
      </c>
      <c r="E965" t="s">
        <v>58</v>
      </c>
      <c r="F965" t="s">
        <v>57</v>
      </c>
      <c r="G965" t="str">
        <f>"2026-03-15 20:04:20.383"</f>
        <v>2026-03-15 20:04:20.383</v>
      </c>
      <c r="H965" t="s">
        <v>26</v>
      </c>
      <c r="I965">
        <v>0</v>
      </c>
      <c r="J965" t="s">
        <v>27</v>
      </c>
    </row>
    <row r="966" spans="1:10" x14ac:dyDescent="0.25">
      <c r="A966" s="1">
        <v>291</v>
      </c>
      <c r="B966" t="s">
        <v>38</v>
      </c>
      <c r="C966">
        <v>107</v>
      </c>
      <c r="D966">
        <v>2</v>
      </c>
      <c r="E966" t="s">
        <v>52</v>
      </c>
      <c r="F966" t="s">
        <v>46</v>
      </c>
      <c r="G966" t="str">
        <f>"2026-03-15 20:04:20.382"</f>
        <v>2026-03-15 20:04:20.382</v>
      </c>
      <c r="H966" t="s">
        <v>53</v>
      </c>
      <c r="I966">
        <v>0</v>
      </c>
      <c r="J966" t="s">
        <v>27</v>
      </c>
    </row>
    <row r="967" spans="1:10" x14ac:dyDescent="0.25">
      <c r="A967" s="1">
        <v>292</v>
      </c>
      <c r="B967" t="s">
        <v>38</v>
      </c>
      <c r="C967">
        <v>207</v>
      </c>
      <c r="D967">
        <v>2</v>
      </c>
      <c r="E967" t="s">
        <v>45</v>
      </c>
      <c r="F967" t="s">
        <v>46</v>
      </c>
      <c r="G967" t="str">
        <f>"2026-03-15 20:04:20.302"</f>
        <v>2026-03-15 20:04:20.302</v>
      </c>
      <c r="H967" t="s">
        <v>47</v>
      </c>
      <c r="I967">
        <v>0</v>
      </c>
      <c r="J967" t="s">
        <v>27</v>
      </c>
    </row>
    <row r="968" spans="1:10" x14ac:dyDescent="0.25">
      <c r="A968" s="1">
        <v>293</v>
      </c>
      <c r="B968" t="s">
        <v>23</v>
      </c>
      <c r="C968">
        <v>700</v>
      </c>
      <c r="D968">
        <v>0</v>
      </c>
      <c r="E968" t="s">
        <v>37</v>
      </c>
      <c r="F968" t="s">
        <v>37</v>
      </c>
      <c r="G968" t="str">
        <f>"2026-03-15 20:04:15.499"</f>
        <v>2026-03-15 20:04:15.499</v>
      </c>
      <c r="H968" t="s">
        <v>26</v>
      </c>
      <c r="I968">
        <v>0</v>
      </c>
      <c r="J968" t="s">
        <v>43</v>
      </c>
    </row>
    <row r="969" spans="1:10" x14ac:dyDescent="0.25">
      <c r="A969" s="1">
        <v>294</v>
      </c>
      <c r="B969" t="s">
        <v>38</v>
      </c>
      <c r="C969">
        <v>43</v>
      </c>
      <c r="D969">
        <v>2</v>
      </c>
      <c r="E969" t="s">
        <v>54</v>
      </c>
      <c r="F969" t="s">
        <v>55</v>
      </c>
      <c r="G969" t="str">
        <f>"2026-03-15 20:02:01.004"</f>
        <v>2026-03-15 20:02:01.004</v>
      </c>
      <c r="H969" t="s">
        <v>22</v>
      </c>
      <c r="I969">
        <v>0</v>
      </c>
      <c r="J969" t="s">
        <v>27</v>
      </c>
    </row>
    <row r="970" spans="1:10" x14ac:dyDescent="0.25">
      <c r="A970" s="1">
        <v>297</v>
      </c>
      <c r="B970" t="s">
        <v>38</v>
      </c>
      <c r="C970">
        <v>43</v>
      </c>
      <c r="D970">
        <v>1</v>
      </c>
      <c r="E970" t="s">
        <v>54</v>
      </c>
      <c r="F970" t="s">
        <v>55</v>
      </c>
      <c r="G970" t="str">
        <f>"2026-03-15 19:46:11.404"</f>
        <v>2026-03-15 19:46:11.404</v>
      </c>
      <c r="H970" t="s">
        <v>22</v>
      </c>
      <c r="I970">
        <v>0</v>
      </c>
      <c r="J970" t="s">
        <v>27</v>
      </c>
    </row>
    <row r="971" spans="1:10" x14ac:dyDescent="0.25">
      <c r="A971" s="1">
        <v>298</v>
      </c>
      <c r="B971" t="s">
        <v>23</v>
      </c>
      <c r="C971">
        <v>700</v>
      </c>
      <c r="D971">
        <v>0</v>
      </c>
      <c r="E971" t="s">
        <v>37</v>
      </c>
      <c r="F971" t="s">
        <v>37</v>
      </c>
      <c r="G971" t="str">
        <f>"2026-03-15 19:45:53.512"</f>
        <v>2026-03-15 19:45:53.512</v>
      </c>
      <c r="H971" t="s">
        <v>26</v>
      </c>
      <c r="I971">
        <v>0</v>
      </c>
      <c r="J971" t="s">
        <v>43</v>
      </c>
    </row>
    <row r="972" spans="1:10" x14ac:dyDescent="0.25">
      <c r="A972" s="1">
        <v>299</v>
      </c>
      <c r="B972" t="s">
        <v>23</v>
      </c>
      <c r="C972">
        <v>706</v>
      </c>
      <c r="D972">
        <v>4</v>
      </c>
      <c r="E972" t="s">
        <v>24</v>
      </c>
      <c r="F972" t="s">
        <v>25</v>
      </c>
      <c r="G972" t="str">
        <f>"2026-03-15 15:50:06.351"</f>
        <v>2026-03-15 15:50:06.351</v>
      </c>
      <c r="H972" t="s">
        <v>26</v>
      </c>
      <c r="I972">
        <v>27.01</v>
      </c>
      <c r="J972" t="s">
        <v>29</v>
      </c>
    </row>
    <row r="973" spans="1:10" x14ac:dyDescent="0.25">
      <c r="A973" s="1">
        <v>300</v>
      </c>
      <c r="B973" t="s">
        <v>23</v>
      </c>
      <c r="C973">
        <v>706</v>
      </c>
      <c r="D973">
        <v>4</v>
      </c>
      <c r="E973" t="s">
        <v>24</v>
      </c>
      <c r="F973" t="s">
        <v>25</v>
      </c>
      <c r="G973" t="str">
        <f>"2026-03-15 15:04:45.531"</f>
        <v>2026-03-15 15:04:45.531</v>
      </c>
      <c r="H973" t="s">
        <v>26</v>
      </c>
      <c r="I973">
        <v>14.3</v>
      </c>
      <c r="J973" t="s">
        <v>29</v>
      </c>
    </row>
    <row r="974" spans="1:10" x14ac:dyDescent="0.25">
      <c r="A974" s="1">
        <v>301</v>
      </c>
      <c r="B974" t="s">
        <v>23</v>
      </c>
      <c r="C974">
        <v>700</v>
      </c>
      <c r="D974">
        <v>0</v>
      </c>
      <c r="E974" t="s">
        <v>37</v>
      </c>
      <c r="F974" t="s">
        <v>37</v>
      </c>
      <c r="G974" t="str">
        <f>"2026-03-15 14:22:56.551"</f>
        <v>2026-03-15 14:22:56.551</v>
      </c>
      <c r="H974" t="s">
        <v>26</v>
      </c>
    </row>
    <row r="975" spans="1:10" x14ac:dyDescent="0.25">
      <c r="A975" s="1">
        <v>302</v>
      </c>
      <c r="B975" t="s">
        <v>23</v>
      </c>
      <c r="C975">
        <v>700</v>
      </c>
      <c r="D975">
        <v>0</v>
      </c>
      <c r="E975" t="s">
        <v>37</v>
      </c>
      <c r="F975" t="s">
        <v>37</v>
      </c>
      <c r="G975" t="str">
        <f>"2026-03-15 14:20:57.502"</f>
        <v>2026-03-15 14:20:57.502</v>
      </c>
      <c r="H975" t="s">
        <v>26</v>
      </c>
      <c r="I975">
        <v>0</v>
      </c>
      <c r="J975" t="s">
        <v>43</v>
      </c>
    </row>
    <row r="976" spans="1:10" x14ac:dyDescent="0.25">
      <c r="A976" s="1">
        <v>303</v>
      </c>
      <c r="B976" t="s">
        <v>23</v>
      </c>
      <c r="C976">
        <v>706</v>
      </c>
      <c r="D976">
        <v>4</v>
      </c>
      <c r="E976" t="s">
        <v>24</v>
      </c>
      <c r="F976" t="s">
        <v>25</v>
      </c>
      <c r="G976" t="str">
        <f>"2026-03-14 03:32:39.242"</f>
        <v>2026-03-14 03:32:39.242</v>
      </c>
      <c r="H976" t="s">
        <v>26</v>
      </c>
      <c r="I976">
        <v>0</v>
      </c>
      <c r="J976" t="s">
        <v>27</v>
      </c>
    </row>
    <row r="977" spans="1:10" x14ac:dyDescent="0.25">
      <c r="A977" s="1">
        <v>304</v>
      </c>
      <c r="B977" t="s">
        <v>23</v>
      </c>
      <c r="C977">
        <v>700</v>
      </c>
      <c r="D977">
        <v>0</v>
      </c>
      <c r="E977" t="s">
        <v>37</v>
      </c>
      <c r="F977" t="s">
        <v>37</v>
      </c>
      <c r="G977" t="str">
        <f>"2026-03-14 03:26:39.602"</f>
        <v>2026-03-14 03:26:39.602</v>
      </c>
      <c r="H977" t="s">
        <v>26</v>
      </c>
      <c r="I977">
        <v>0</v>
      </c>
      <c r="J977" t="s">
        <v>43</v>
      </c>
    </row>
    <row r="978" spans="1:10" x14ac:dyDescent="0.25">
      <c r="A978" s="1">
        <v>305</v>
      </c>
      <c r="B978" t="s">
        <v>23</v>
      </c>
      <c r="C978">
        <v>700</v>
      </c>
      <c r="D978">
        <v>0</v>
      </c>
      <c r="E978" t="s">
        <v>37</v>
      </c>
      <c r="F978" t="s">
        <v>37</v>
      </c>
      <c r="G978" t="str">
        <f>"2026-03-14 03:10:18.489"</f>
        <v>2026-03-14 03:10:18.489</v>
      </c>
      <c r="H978" t="s">
        <v>26</v>
      </c>
    </row>
    <row r="979" spans="1:10" x14ac:dyDescent="0.25">
      <c r="A979" s="1">
        <v>306</v>
      </c>
      <c r="B979" t="s">
        <v>23</v>
      </c>
      <c r="C979">
        <v>700</v>
      </c>
      <c r="D979">
        <v>0</v>
      </c>
      <c r="E979" t="s">
        <v>37</v>
      </c>
      <c r="F979" t="s">
        <v>37</v>
      </c>
      <c r="G979" t="str">
        <f>"2026-03-12 09:47:47.521"</f>
        <v>2026-03-12 09:47:47.521</v>
      </c>
      <c r="H979" t="s">
        <v>26</v>
      </c>
    </row>
    <row r="980" spans="1:10" x14ac:dyDescent="0.25">
      <c r="A980" s="1">
        <v>307</v>
      </c>
      <c r="B980" t="s">
        <v>23</v>
      </c>
      <c r="C980">
        <v>706</v>
      </c>
      <c r="D980">
        <v>4</v>
      </c>
      <c r="E980" t="s">
        <v>24</v>
      </c>
      <c r="F980" t="s">
        <v>25</v>
      </c>
      <c r="G980" t="str">
        <f>"2026-03-11 20:06:44.404"</f>
        <v>2026-03-11 20:06:44.404</v>
      </c>
      <c r="H980" t="s">
        <v>26</v>
      </c>
      <c r="I980">
        <v>0</v>
      </c>
      <c r="J980" t="s">
        <v>27</v>
      </c>
    </row>
    <row r="981" spans="1:10" x14ac:dyDescent="0.25">
      <c r="A981" s="1">
        <v>308</v>
      </c>
      <c r="B981" t="s">
        <v>23</v>
      </c>
      <c r="C981">
        <v>700</v>
      </c>
      <c r="D981">
        <v>0</v>
      </c>
      <c r="E981" t="s">
        <v>37</v>
      </c>
      <c r="F981" t="s">
        <v>37</v>
      </c>
      <c r="G981" t="str">
        <f>"2026-03-11 19:49:28.484"</f>
        <v>2026-03-11 19:49:28.484</v>
      </c>
      <c r="H981" t="s">
        <v>26</v>
      </c>
    </row>
    <row r="982" spans="1:10" x14ac:dyDescent="0.25">
      <c r="A982" s="1">
        <v>309</v>
      </c>
      <c r="B982" t="s">
        <v>19</v>
      </c>
      <c r="C982">
        <v>635</v>
      </c>
      <c r="D982">
        <v>1</v>
      </c>
      <c r="E982" t="s">
        <v>40</v>
      </c>
      <c r="F982" t="s">
        <v>41</v>
      </c>
      <c r="G982" t="str">
        <f>"2026-03-10 11:40:46.921"</f>
        <v>2026-03-10 11:40:46.921</v>
      </c>
      <c r="H982" t="s">
        <v>26</v>
      </c>
    </row>
    <row r="983" spans="1:10" x14ac:dyDescent="0.25">
      <c r="A983" s="1">
        <v>310</v>
      </c>
      <c r="B983" t="s">
        <v>38</v>
      </c>
      <c r="C983">
        <v>635</v>
      </c>
      <c r="D983">
        <v>1</v>
      </c>
      <c r="E983" t="s">
        <v>40</v>
      </c>
      <c r="F983" t="s">
        <v>41</v>
      </c>
      <c r="G983" t="str">
        <f>"2026-03-10 11:36:24.421"</f>
        <v>2026-03-10 11:36:24.421</v>
      </c>
      <c r="H983" t="s">
        <v>26</v>
      </c>
      <c r="I983">
        <v>6.16</v>
      </c>
      <c r="J983" t="s">
        <v>42</v>
      </c>
    </row>
    <row r="984" spans="1:10" x14ac:dyDescent="0.25">
      <c r="A984" s="1">
        <v>311</v>
      </c>
      <c r="B984" t="s">
        <v>19</v>
      </c>
      <c r="C984">
        <v>635</v>
      </c>
      <c r="D984">
        <v>1</v>
      </c>
      <c r="E984" t="s">
        <v>40</v>
      </c>
      <c r="F984" t="s">
        <v>41</v>
      </c>
      <c r="G984" t="str">
        <f>"2026-03-10 07:21:03.521"</f>
        <v>2026-03-10 07:21:03.521</v>
      </c>
      <c r="H984" t="s">
        <v>26</v>
      </c>
    </row>
    <row r="985" spans="1:10" x14ac:dyDescent="0.25">
      <c r="A985" s="1">
        <v>312</v>
      </c>
      <c r="B985" t="s">
        <v>38</v>
      </c>
      <c r="C985">
        <v>635</v>
      </c>
      <c r="D985">
        <v>1</v>
      </c>
      <c r="E985" t="s">
        <v>40</v>
      </c>
      <c r="F985" t="s">
        <v>41</v>
      </c>
      <c r="G985" t="str">
        <f>"2026-03-10 07:17:44.521"</f>
        <v>2026-03-10 07:17:44.521</v>
      </c>
      <c r="H985" t="s">
        <v>26</v>
      </c>
      <c r="I985">
        <v>6.27</v>
      </c>
      <c r="J985" t="s">
        <v>29</v>
      </c>
    </row>
    <row r="986" spans="1:10" s="3" customFormat="1" x14ac:dyDescent="0.25">
      <c r="A986" s="2">
        <v>313</v>
      </c>
      <c r="B986" s="3" t="s">
        <v>19</v>
      </c>
      <c r="C986" s="3">
        <v>647</v>
      </c>
      <c r="D986" s="3">
        <v>1</v>
      </c>
      <c r="E986" s="3" t="s">
        <v>69</v>
      </c>
      <c r="F986" s="3" t="s">
        <v>70</v>
      </c>
      <c r="G986" s="3" t="str">
        <f>"2026-03-10 07:10:20.275"</f>
        <v>2026-03-10 07:10:20.275</v>
      </c>
      <c r="H986" s="3" t="s">
        <v>26</v>
      </c>
    </row>
    <row r="987" spans="1:10" s="3" customFormat="1" x14ac:dyDescent="0.25">
      <c r="A987" s="2">
        <v>314</v>
      </c>
      <c r="B987" s="3" t="s">
        <v>38</v>
      </c>
      <c r="C987" s="3">
        <v>647</v>
      </c>
      <c r="D987" s="3">
        <v>1</v>
      </c>
      <c r="E987" s="3" t="s">
        <v>69</v>
      </c>
      <c r="F987" s="3" t="s">
        <v>70</v>
      </c>
      <c r="G987" s="3" t="str">
        <f>"2026-03-10 07:10:16.075"</f>
        <v>2026-03-10 07:10:16.075</v>
      </c>
      <c r="H987" s="3" t="s">
        <v>26</v>
      </c>
      <c r="I987" s="3">
        <v>8.94</v>
      </c>
      <c r="J987" s="3" t="s">
        <v>29</v>
      </c>
    </row>
    <row r="988" spans="1:10" x14ac:dyDescent="0.25">
      <c r="A988" s="1">
        <v>315</v>
      </c>
      <c r="B988" t="s">
        <v>19</v>
      </c>
      <c r="C988">
        <v>635</v>
      </c>
      <c r="D988">
        <v>1</v>
      </c>
      <c r="E988" t="s">
        <v>40</v>
      </c>
      <c r="F988" t="s">
        <v>41</v>
      </c>
      <c r="G988" t="str">
        <f>"2026-03-10 04:38:46.321"</f>
        <v>2026-03-10 04:38:46.321</v>
      </c>
      <c r="H988" t="s">
        <v>26</v>
      </c>
    </row>
    <row r="989" spans="1:10" x14ac:dyDescent="0.25">
      <c r="A989" s="1">
        <v>316</v>
      </c>
      <c r="B989" t="s">
        <v>38</v>
      </c>
      <c r="C989">
        <v>635</v>
      </c>
      <c r="D989">
        <v>1</v>
      </c>
      <c r="E989" t="s">
        <v>40</v>
      </c>
      <c r="F989" t="s">
        <v>41</v>
      </c>
      <c r="G989" t="str">
        <f>"2026-03-10 04:34:08.821"</f>
        <v>2026-03-10 04:34:08.821</v>
      </c>
      <c r="H989" t="s">
        <v>26</v>
      </c>
      <c r="I989">
        <v>8.5500000000000007</v>
      </c>
      <c r="J989" t="s">
        <v>29</v>
      </c>
    </row>
    <row r="990" spans="1:10" x14ac:dyDescent="0.25">
      <c r="A990" s="1">
        <v>317</v>
      </c>
      <c r="B990" t="s">
        <v>19</v>
      </c>
      <c r="C990">
        <v>635</v>
      </c>
      <c r="D990">
        <v>1</v>
      </c>
      <c r="E990" t="s">
        <v>40</v>
      </c>
      <c r="F990" t="s">
        <v>41</v>
      </c>
      <c r="G990" t="str">
        <f>"2026-03-09 22:09:13.221"</f>
        <v>2026-03-09 22:09:13.221</v>
      </c>
      <c r="H990" t="s">
        <v>26</v>
      </c>
    </row>
    <row r="991" spans="1:10" x14ac:dyDescent="0.25">
      <c r="A991" s="1">
        <v>318</v>
      </c>
      <c r="B991" t="s">
        <v>38</v>
      </c>
      <c r="C991">
        <v>635</v>
      </c>
      <c r="D991">
        <v>1</v>
      </c>
      <c r="E991" t="s">
        <v>40</v>
      </c>
      <c r="F991" t="s">
        <v>41</v>
      </c>
      <c r="G991" t="str">
        <f>"2026-03-09 22:03:10.221"</f>
        <v>2026-03-09 22:03:10.221</v>
      </c>
      <c r="H991" t="s">
        <v>26</v>
      </c>
      <c r="I991">
        <v>3.75</v>
      </c>
      <c r="J991" t="s">
        <v>42</v>
      </c>
    </row>
    <row r="992" spans="1:10" x14ac:dyDescent="0.25">
      <c r="A992" s="1">
        <v>319</v>
      </c>
      <c r="B992" t="s">
        <v>23</v>
      </c>
      <c r="C992">
        <v>700</v>
      </c>
      <c r="D992">
        <v>0</v>
      </c>
      <c r="E992" t="s">
        <v>37</v>
      </c>
      <c r="F992" t="s">
        <v>37</v>
      </c>
      <c r="G992" t="str">
        <f>"2026-03-07 13:57:45.483"</f>
        <v>2026-03-07 13:57:45.483</v>
      </c>
      <c r="H992" t="s">
        <v>26</v>
      </c>
    </row>
    <row r="993" spans="1:10" s="3" customFormat="1" x14ac:dyDescent="0.25">
      <c r="A993" s="2">
        <v>320</v>
      </c>
      <c r="B993" s="3" t="s">
        <v>19</v>
      </c>
      <c r="C993" s="3">
        <v>647</v>
      </c>
      <c r="D993" s="3">
        <v>1</v>
      </c>
      <c r="E993" s="3" t="s">
        <v>69</v>
      </c>
      <c r="F993" s="3" t="s">
        <v>70</v>
      </c>
      <c r="G993" s="3" t="str">
        <f>"2026-03-06 22:02:48.974"</f>
        <v>2026-03-06 22:02:48.974</v>
      </c>
      <c r="H993" s="3" t="s">
        <v>26</v>
      </c>
    </row>
    <row r="994" spans="1:10" s="3" customFormat="1" x14ac:dyDescent="0.25">
      <c r="A994" s="2">
        <v>321</v>
      </c>
      <c r="B994" s="3" t="s">
        <v>38</v>
      </c>
      <c r="C994" s="3">
        <v>647</v>
      </c>
      <c r="D994" s="3">
        <v>1</v>
      </c>
      <c r="E994" s="3" t="s">
        <v>69</v>
      </c>
      <c r="F994" s="3" t="s">
        <v>70</v>
      </c>
      <c r="G994" s="3" t="str">
        <f>"2026-03-06 22:02:47.074"</f>
        <v>2026-03-06 22:02:47.074</v>
      </c>
      <c r="H994" s="3" t="s">
        <v>26</v>
      </c>
      <c r="I994" s="3">
        <v>13.88</v>
      </c>
      <c r="J994" s="3" t="s">
        <v>29</v>
      </c>
    </row>
    <row r="995" spans="1:10" x14ac:dyDescent="0.25">
      <c r="A995" s="1">
        <v>322</v>
      </c>
      <c r="B995" t="s">
        <v>23</v>
      </c>
      <c r="C995">
        <v>706</v>
      </c>
      <c r="D995">
        <v>2</v>
      </c>
      <c r="E995" t="s">
        <v>24</v>
      </c>
      <c r="F995" t="s">
        <v>39</v>
      </c>
      <c r="G995" t="str">
        <f>"2026-03-06 17:00:26.281"</f>
        <v>2026-03-06 17:00:26.281</v>
      </c>
      <c r="H995" t="s">
        <v>26</v>
      </c>
      <c r="I995">
        <v>0</v>
      </c>
      <c r="J995" t="s">
        <v>27</v>
      </c>
    </row>
    <row r="996" spans="1:10" x14ac:dyDescent="0.25">
      <c r="A996" s="1">
        <v>323</v>
      </c>
      <c r="B996" t="s">
        <v>23</v>
      </c>
      <c r="C996">
        <v>700</v>
      </c>
      <c r="D996">
        <v>0</v>
      </c>
      <c r="E996" t="s">
        <v>37</v>
      </c>
      <c r="F996" t="s">
        <v>37</v>
      </c>
      <c r="G996" t="str">
        <f>"2026-03-06 16:44:16.481"</f>
        <v>2026-03-06 16:44:16.481</v>
      </c>
      <c r="H996" t="s">
        <v>26</v>
      </c>
      <c r="I996">
        <v>0</v>
      </c>
      <c r="J996" t="s">
        <v>43</v>
      </c>
    </row>
    <row r="997" spans="1:10" x14ac:dyDescent="0.25">
      <c r="A997" s="1">
        <v>324</v>
      </c>
      <c r="B997" t="s">
        <v>23</v>
      </c>
      <c r="C997">
        <v>706</v>
      </c>
      <c r="D997">
        <v>4</v>
      </c>
      <c r="E997" t="s">
        <v>24</v>
      </c>
      <c r="F997" t="s">
        <v>25</v>
      </c>
      <c r="G997" t="str">
        <f>"2026-03-06 15:57:15.937"</f>
        <v>2026-03-06 15:57:15.937</v>
      </c>
      <c r="H997" t="s">
        <v>26</v>
      </c>
      <c r="I997">
        <v>0</v>
      </c>
      <c r="J997" t="s">
        <v>27</v>
      </c>
    </row>
    <row r="998" spans="1:10" x14ac:dyDescent="0.25">
      <c r="A998" s="1">
        <v>325</v>
      </c>
      <c r="B998" t="s">
        <v>23</v>
      </c>
      <c r="C998">
        <v>706</v>
      </c>
      <c r="D998">
        <v>2</v>
      </c>
      <c r="E998" t="s">
        <v>24</v>
      </c>
      <c r="F998" t="s">
        <v>39</v>
      </c>
      <c r="G998" t="str">
        <f>"2026-03-06 15:57:04.947"</f>
        <v>2026-03-06 15:57:04.947</v>
      </c>
      <c r="H998" t="s">
        <v>26</v>
      </c>
      <c r="I998">
        <v>0</v>
      </c>
      <c r="J998" t="s">
        <v>27</v>
      </c>
    </row>
    <row r="999" spans="1:10" x14ac:dyDescent="0.25">
      <c r="A999" s="1">
        <v>326</v>
      </c>
      <c r="B999" t="s">
        <v>23</v>
      </c>
      <c r="C999">
        <v>700</v>
      </c>
      <c r="D999">
        <v>0</v>
      </c>
      <c r="E999" t="s">
        <v>37</v>
      </c>
      <c r="F999" t="s">
        <v>37</v>
      </c>
      <c r="G999" t="str">
        <f>"2026-03-06 15:43:03.537"</f>
        <v>2026-03-06 15:43:03.537</v>
      </c>
      <c r="H999" t="s">
        <v>26</v>
      </c>
      <c r="I999">
        <v>0</v>
      </c>
      <c r="J999" t="s">
        <v>43</v>
      </c>
    </row>
    <row r="1000" spans="1:10" x14ac:dyDescent="0.25">
      <c r="A1000" s="1">
        <v>327</v>
      </c>
      <c r="B1000" t="s">
        <v>23</v>
      </c>
      <c r="C1000">
        <v>700</v>
      </c>
      <c r="D1000">
        <v>0</v>
      </c>
      <c r="E1000" t="s">
        <v>37</v>
      </c>
      <c r="F1000" t="s">
        <v>37</v>
      </c>
      <c r="G1000" t="str">
        <f>"2026-03-06 14:33:36.553"</f>
        <v>2026-03-06 14:33:36.553</v>
      </c>
      <c r="H1000" t="s">
        <v>26</v>
      </c>
      <c r="I1000">
        <v>0</v>
      </c>
      <c r="J1000" t="s">
        <v>43</v>
      </c>
    </row>
    <row r="1001" spans="1:10" x14ac:dyDescent="0.25">
      <c r="A1001" s="1">
        <v>328</v>
      </c>
      <c r="B1001" t="s">
        <v>23</v>
      </c>
      <c r="C1001">
        <v>700</v>
      </c>
      <c r="D1001">
        <v>0</v>
      </c>
      <c r="E1001" t="s">
        <v>37</v>
      </c>
      <c r="F1001" t="s">
        <v>37</v>
      </c>
      <c r="G1001" t="str">
        <f>"2026-03-06 14:08:38.488"</f>
        <v>2026-03-06 14:08:38.488</v>
      </c>
      <c r="H1001" t="s">
        <v>26</v>
      </c>
      <c r="I1001">
        <v>0</v>
      </c>
      <c r="J1001" t="s">
        <v>43</v>
      </c>
    </row>
    <row r="1002" spans="1:10" x14ac:dyDescent="0.25">
      <c r="A1002" s="1">
        <v>329</v>
      </c>
      <c r="B1002" t="s">
        <v>23</v>
      </c>
      <c r="C1002">
        <v>700</v>
      </c>
      <c r="D1002">
        <v>0</v>
      </c>
      <c r="E1002" t="s">
        <v>37</v>
      </c>
      <c r="F1002" t="s">
        <v>37</v>
      </c>
      <c r="G1002" t="str">
        <f>"2026-03-06 11:59:57.492"</f>
        <v>2026-03-06 11:59:57.492</v>
      </c>
      <c r="H1002" t="s">
        <v>26</v>
      </c>
      <c r="I1002">
        <v>0</v>
      </c>
      <c r="J1002" t="s">
        <v>43</v>
      </c>
    </row>
    <row r="1003" spans="1:10" x14ac:dyDescent="0.25">
      <c r="A1003" s="1">
        <v>330</v>
      </c>
      <c r="B1003" t="s">
        <v>19</v>
      </c>
      <c r="C1003">
        <v>61</v>
      </c>
      <c r="D1003">
        <v>2</v>
      </c>
      <c r="E1003" t="s">
        <v>84</v>
      </c>
      <c r="F1003" t="s">
        <v>85</v>
      </c>
      <c r="G1003" t="str">
        <f>"2026-03-04 07:31:26.306"</f>
        <v>2026-03-04 07:31:26.306</v>
      </c>
      <c r="H1003" t="s">
        <v>26</v>
      </c>
    </row>
    <row r="1004" spans="1:10" x14ac:dyDescent="0.25">
      <c r="A1004" s="1">
        <v>331</v>
      </c>
      <c r="B1004" t="s">
        <v>28</v>
      </c>
      <c r="C1004">
        <v>61</v>
      </c>
      <c r="D1004">
        <v>2</v>
      </c>
      <c r="E1004" t="s">
        <v>84</v>
      </c>
      <c r="F1004" t="s">
        <v>85</v>
      </c>
      <c r="G1004" t="str">
        <f>"2026-03-04 07:31:12.406"</f>
        <v>2026-03-04 07:31:12.406</v>
      </c>
      <c r="H1004" t="s">
        <v>26</v>
      </c>
      <c r="I1004">
        <v>30.86</v>
      </c>
      <c r="J1004" t="s">
        <v>29</v>
      </c>
    </row>
    <row r="1005" spans="1:10" x14ac:dyDescent="0.25">
      <c r="A1005" s="1">
        <v>332</v>
      </c>
      <c r="B1005" t="s">
        <v>23</v>
      </c>
      <c r="C1005">
        <v>700</v>
      </c>
      <c r="D1005">
        <v>0</v>
      </c>
      <c r="E1005" t="s">
        <v>37</v>
      </c>
      <c r="F1005" t="s">
        <v>37</v>
      </c>
      <c r="G1005" t="str">
        <f>"2026-03-04 02:32:56.590"</f>
        <v>2026-03-04 02:32:56.590</v>
      </c>
      <c r="H1005" t="s">
        <v>26</v>
      </c>
    </row>
    <row r="1006" spans="1:10" x14ac:dyDescent="0.25">
      <c r="A1006" s="1">
        <v>333</v>
      </c>
      <c r="B1006" t="s">
        <v>23</v>
      </c>
      <c r="C1006">
        <v>700</v>
      </c>
      <c r="D1006">
        <v>0</v>
      </c>
      <c r="E1006" t="s">
        <v>37</v>
      </c>
      <c r="F1006" t="s">
        <v>37</v>
      </c>
      <c r="G1006" t="str">
        <f>"2026-03-03 16:32:56.482"</f>
        <v>2026-03-03 16:32:56.482</v>
      </c>
      <c r="H1006" t="s">
        <v>26</v>
      </c>
    </row>
    <row r="1007" spans="1:10" x14ac:dyDescent="0.25">
      <c r="A1007" s="1">
        <v>334</v>
      </c>
      <c r="B1007" t="s">
        <v>23</v>
      </c>
      <c r="C1007">
        <v>700</v>
      </c>
      <c r="D1007">
        <v>0</v>
      </c>
      <c r="E1007" t="s">
        <v>37</v>
      </c>
      <c r="F1007" t="s">
        <v>37</v>
      </c>
      <c r="G1007" t="str">
        <f>"2026-03-02 20:50:07.487"</f>
        <v>2026-03-02 20:50:07.487</v>
      </c>
      <c r="H1007" t="s">
        <v>26</v>
      </c>
      <c r="I1007">
        <v>0</v>
      </c>
      <c r="J1007" t="s">
        <v>43</v>
      </c>
    </row>
    <row r="1008" spans="1:10" x14ac:dyDescent="0.25">
      <c r="A1008" s="1">
        <v>335</v>
      </c>
      <c r="B1008" t="s">
        <v>23</v>
      </c>
      <c r="C1008">
        <v>700</v>
      </c>
      <c r="D1008">
        <v>0</v>
      </c>
      <c r="E1008" t="s">
        <v>37</v>
      </c>
      <c r="F1008" t="s">
        <v>37</v>
      </c>
      <c r="G1008" t="str">
        <f>"2026-03-02 03:39:50.483"</f>
        <v>2026-03-02 03:39:50.483</v>
      </c>
      <c r="H1008" t="s">
        <v>26</v>
      </c>
    </row>
    <row r="1009" spans="1:10" x14ac:dyDescent="0.25">
      <c r="A1009" s="1">
        <v>336</v>
      </c>
      <c r="B1009" t="s">
        <v>23</v>
      </c>
      <c r="C1009">
        <v>706</v>
      </c>
      <c r="D1009">
        <v>4</v>
      </c>
      <c r="E1009" t="s">
        <v>24</v>
      </c>
      <c r="F1009" t="s">
        <v>25</v>
      </c>
      <c r="G1009" t="str">
        <f>"2026-03-01 15:41:46.492"</f>
        <v>2026-03-01 15:41:46.492</v>
      </c>
      <c r="H1009" t="s">
        <v>26</v>
      </c>
      <c r="I1009">
        <v>0</v>
      </c>
      <c r="J1009" t="s">
        <v>27</v>
      </c>
    </row>
    <row r="1010" spans="1:10" x14ac:dyDescent="0.25">
      <c r="A1010" s="1">
        <v>337</v>
      </c>
      <c r="B1010" t="s">
        <v>23</v>
      </c>
      <c r="C1010">
        <v>700</v>
      </c>
      <c r="D1010">
        <v>0</v>
      </c>
      <c r="E1010" t="s">
        <v>37</v>
      </c>
      <c r="F1010" t="s">
        <v>37</v>
      </c>
      <c r="G1010" t="str">
        <f>"2026-03-01 02:52:38.482"</f>
        <v>2026-03-01 02:52:38.482</v>
      </c>
      <c r="H1010" t="s">
        <v>26</v>
      </c>
      <c r="I1010">
        <v>0</v>
      </c>
      <c r="J1010" t="s">
        <v>43</v>
      </c>
    </row>
    <row r="1011" spans="1:10" x14ac:dyDescent="0.25">
      <c r="A1011" s="1">
        <v>338</v>
      </c>
      <c r="B1011" t="s">
        <v>23</v>
      </c>
      <c r="C1011">
        <v>700</v>
      </c>
      <c r="D1011">
        <v>0</v>
      </c>
      <c r="E1011" t="s">
        <v>37</v>
      </c>
      <c r="F1011" t="s">
        <v>37</v>
      </c>
      <c r="G1011" t="str">
        <f>"2026-02-28 13:07:43.641"</f>
        <v>2026-02-28 13:07:43.641</v>
      </c>
      <c r="H1011" t="s">
        <v>26</v>
      </c>
      <c r="I1011">
        <v>0</v>
      </c>
      <c r="J1011" t="s">
        <v>43</v>
      </c>
    </row>
    <row r="1012" spans="1:10" x14ac:dyDescent="0.25">
      <c r="A1012" s="1">
        <v>339</v>
      </c>
      <c r="B1012" t="s">
        <v>23</v>
      </c>
      <c r="C1012">
        <v>706</v>
      </c>
      <c r="D1012">
        <v>4</v>
      </c>
      <c r="E1012" t="s">
        <v>24</v>
      </c>
      <c r="F1012" t="s">
        <v>25</v>
      </c>
      <c r="G1012" t="str">
        <f>"2026-02-28 03:16:52.063"</f>
        <v>2026-02-28 03:16:52.063</v>
      </c>
      <c r="H1012" t="s">
        <v>26</v>
      </c>
      <c r="I1012">
        <v>0</v>
      </c>
      <c r="J1012" t="s">
        <v>27</v>
      </c>
    </row>
    <row r="1013" spans="1:10" x14ac:dyDescent="0.25">
      <c r="A1013" s="1">
        <v>340</v>
      </c>
      <c r="B1013" t="s">
        <v>23</v>
      </c>
      <c r="C1013">
        <v>700</v>
      </c>
      <c r="D1013">
        <v>0</v>
      </c>
      <c r="E1013" t="s">
        <v>37</v>
      </c>
      <c r="F1013" t="s">
        <v>37</v>
      </c>
      <c r="G1013" t="str">
        <f>"2026-02-28 03:16:09.483"</f>
        <v>2026-02-28 03:16:09.483</v>
      </c>
      <c r="H1013" t="s">
        <v>26</v>
      </c>
    </row>
    <row r="1014" spans="1:10" s="3" customFormat="1" x14ac:dyDescent="0.25">
      <c r="A1014" s="2">
        <v>341</v>
      </c>
      <c r="B1014" s="3" t="s">
        <v>19</v>
      </c>
      <c r="C1014" s="3">
        <v>647</v>
      </c>
      <c r="D1014" s="3">
        <v>1</v>
      </c>
      <c r="E1014" s="3" t="s">
        <v>69</v>
      </c>
      <c r="F1014" s="3" t="s">
        <v>70</v>
      </c>
      <c r="G1014" s="3" t="str">
        <f>"2026-02-28 00:56:49.638"</f>
        <v>2026-02-28 00:56:49.638</v>
      </c>
      <c r="H1014" s="3" t="s">
        <v>26</v>
      </c>
    </row>
    <row r="1015" spans="1:10" s="3" customFormat="1" x14ac:dyDescent="0.25">
      <c r="A1015" s="2">
        <v>342</v>
      </c>
      <c r="B1015" s="3" t="s">
        <v>38</v>
      </c>
      <c r="C1015" s="3">
        <v>647</v>
      </c>
      <c r="D1015" s="3">
        <v>1</v>
      </c>
      <c r="E1015" s="3" t="s">
        <v>69</v>
      </c>
      <c r="F1015" s="3" t="s">
        <v>70</v>
      </c>
      <c r="G1015" s="3" t="str">
        <f>"2026-02-28 00:56:48.338"</f>
        <v>2026-02-28 00:56:48.338</v>
      </c>
      <c r="H1015" s="3" t="s">
        <v>26</v>
      </c>
      <c r="I1015" s="3">
        <v>8.4600000000000009</v>
      </c>
      <c r="J1015" s="3" t="s">
        <v>29</v>
      </c>
    </row>
    <row r="1016" spans="1:10" x14ac:dyDescent="0.25">
      <c r="A1016" s="1">
        <v>343</v>
      </c>
      <c r="B1016" t="s">
        <v>19</v>
      </c>
      <c r="C1016">
        <v>635</v>
      </c>
      <c r="D1016">
        <v>1</v>
      </c>
      <c r="E1016" t="s">
        <v>40</v>
      </c>
      <c r="F1016" t="s">
        <v>41</v>
      </c>
      <c r="G1016" t="str">
        <f>"2026-02-27 17:42:43.238"</f>
        <v>2026-02-27 17:42:43.238</v>
      </c>
      <c r="H1016" t="s">
        <v>26</v>
      </c>
    </row>
    <row r="1017" spans="1:10" x14ac:dyDescent="0.25">
      <c r="A1017" s="1">
        <v>344</v>
      </c>
      <c r="B1017" t="s">
        <v>38</v>
      </c>
      <c r="C1017">
        <v>635</v>
      </c>
      <c r="D1017">
        <v>1</v>
      </c>
      <c r="E1017" t="s">
        <v>40</v>
      </c>
      <c r="F1017" t="s">
        <v>41</v>
      </c>
      <c r="G1017" t="str">
        <f>"2026-02-27 17:38:49.738"</f>
        <v>2026-02-27 17:38:49.738</v>
      </c>
      <c r="H1017" t="s">
        <v>26</v>
      </c>
      <c r="I1017">
        <v>2.2999999999999998</v>
      </c>
      <c r="J1017" t="s">
        <v>29</v>
      </c>
    </row>
    <row r="1018" spans="1:10" x14ac:dyDescent="0.25">
      <c r="A1018" s="1">
        <v>345</v>
      </c>
      <c r="B1018" t="s">
        <v>23</v>
      </c>
      <c r="C1018">
        <v>700</v>
      </c>
      <c r="D1018">
        <v>0</v>
      </c>
      <c r="E1018" t="s">
        <v>37</v>
      </c>
      <c r="F1018" t="s">
        <v>37</v>
      </c>
      <c r="G1018" t="str">
        <f>"2026-02-27 15:56:53.482"</f>
        <v>2026-02-27 15:56:53.482</v>
      </c>
      <c r="H1018" t="s">
        <v>26</v>
      </c>
      <c r="I1018">
        <v>0</v>
      </c>
      <c r="J1018" t="s">
        <v>43</v>
      </c>
    </row>
    <row r="1019" spans="1:10" x14ac:dyDescent="0.25">
      <c r="A1019" s="1">
        <v>346</v>
      </c>
      <c r="B1019" t="s">
        <v>23</v>
      </c>
      <c r="C1019">
        <v>700</v>
      </c>
      <c r="D1019">
        <v>0</v>
      </c>
      <c r="E1019" t="s">
        <v>37</v>
      </c>
      <c r="F1019" t="s">
        <v>37</v>
      </c>
      <c r="G1019" t="str">
        <f>"2026-02-27 15:13:12.481"</f>
        <v>2026-02-27 15:13:12.481</v>
      </c>
      <c r="H1019" t="s">
        <v>26</v>
      </c>
      <c r="I1019">
        <v>0</v>
      </c>
      <c r="J1019" t="s">
        <v>43</v>
      </c>
    </row>
    <row r="1020" spans="1:10" x14ac:dyDescent="0.25">
      <c r="A1020" s="1">
        <v>347</v>
      </c>
      <c r="B1020" t="s">
        <v>19</v>
      </c>
      <c r="C1020">
        <v>635</v>
      </c>
      <c r="D1020">
        <v>1</v>
      </c>
      <c r="E1020" t="s">
        <v>40</v>
      </c>
      <c r="F1020" t="s">
        <v>41</v>
      </c>
      <c r="G1020" t="str">
        <f>"2026-02-27 12:12:53.273"</f>
        <v>2026-02-27 12:12:53.273</v>
      </c>
      <c r="H1020" t="s">
        <v>26</v>
      </c>
    </row>
    <row r="1021" spans="1:10" x14ac:dyDescent="0.25">
      <c r="A1021" s="1">
        <v>348</v>
      </c>
      <c r="B1021" t="s">
        <v>38</v>
      </c>
      <c r="C1021">
        <v>635</v>
      </c>
      <c r="D1021">
        <v>1</v>
      </c>
      <c r="E1021" t="s">
        <v>40</v>
      </c>
      <c r="F1021" t="s">
        <v>41</v>
      </c>
      <c r="G1021" t="str">
        <f>"2026-02-27 12:10:29.273"</f>
        <v>2026-02-27 12:10:29.273</v>
      </c>
      <c r="H1021" t="s">
        <v>26</v>
      </c>
      <c r="I1021">
        <v>0.36</v>
      </c>
      <c r="J1021" t="s">
        <v>29</v>
      </c>
    </row>
    <row r="1022" spans="1:10" x14ac:dyDescent="0.25">
      <c r="A1022" s="1">
        <v>349</v>
      </c>
      <c r="B1022" t="s">
        <v>23</v>
      </c>
      <c r="C1022">
        <v>706</v>
      </c>
      <c r="D1022">
        <v>4</v>
      </c>
      <c r="E1022" t="s">
        <v>24</v>
      </c>
      <c r="F1022" t="s">
        <v>25</v>
      </c>
      <c r="G1022" t="str">
        <f>"2026-02-26 03:14:51.649"</f>
        <v>2026-02-26 03:14:51.649</v>
      </c>
      <c r="H1022" t="s">
        <v>26</v>
      </c>
      <c r="I1022">
        <v>0</v>
      </c>
      <c r="J1022" t="s">
        <v>27</v>
      </c>
    </row>
    <row r="1023" spans="1:10" x14ac:dyDescent="0.25">
      <c r="A1023" s="1">
        <v>350</v>
      </c>
      <c r="B1023" t="s">
        <v>23</v>
      </c>
      <c r="C1023">
        <v>706</v>
      </c>
      <c r="D1023">
        <v>2</v>
      </c>
      <c r="E1023" t="s">
        <v>24</v>
      </c>
      <c r="F1023" t="s">
        <v>39</v>
      </c>
      <c r="G1023" t="str">
        <f>"2026-02-26 02:37:15.669"</f>
        <v>2026-02-26 02:37:15.669</v>
      </c>
      <c r="H1023" t="s">
        <v>26</v>
      </c>
      <c r="I1023">
        <v>0</v>
      </c>
      <c r="J1023" t="s">
        <v>27</v>
      </c>
    </row>
    <row r="1024" spans="1:10" x14ac:dyDescent="0.25">
      <c r="A1024" s="1">
        <v>351</v>
      </c>
      <c r="B1024" t="s">
        <v>23</v>
      </c>
      <c r="C1024">
        <v>700</v>
      </c>
      <c r="D1024">
        <v>0</v>
      </c>
      <c r="E1024" t="s">
        <v>37</v>
      </c>
      <c r="F1024" t="s">
        <v>37</v>
      </c>
      <c r="G1024" t="str">
        <f>"2026-02-26 02:30:06.479"</f>
        <v>2026-02-26 02:30:06.479</v>
      </c>
      <c r="H1024" t="s">
        <v>26</v>
      </c>
      <c r="I1024">
        <v>0</v>
      </c>
      <c r="J1024" t="s">
        <v>43</v>
      </c>
    </row>
    <row r="1025" spans="1:10" x14ac:dyDescent="0.25">
      <c r="A1025" s="1">
        <v>352</v>
      </c>
      <c r="B1025" t="s">
        <v>23</v>
      </c>
      <c r="C1025">
        <v>700</v>
      </c>
      <c r="D1025">
        <v>0</v>
      </c>
      <c r="E1025" t="s">
        <v>37</v>
      </c>
      <c r="F1025" t="s">
        <v>37</v>
      </c>
      <c r="G1025" t="str">
        <f>"2026-02-25 06:29:38.508"</f>
        <v>2026-02-25 06:29:38.508</v>
      </c>
      <c r="H1025" t="s">
        <v>26</v>
      </c>
    </row>
    <row r="1026" spans="1:10" x14ac:dyDescent="0.25">
      <c r="A1026" s="1">
        <v>353</v>
      </c>
      <c r="B1026" t="s">
        <v>19</v>
      </c>
      <c r="C1026">
        <v>61</v>
      </c>
      <c r="D1026">
        <v>2</v>
      </c>
      <c r="E1026" t="s">
        <v>84</v>
      </c>
      <c r="F1026" t="s">
        <v>85</v>
      </c>
      <c r="G1026" t="str">
        <f>"2026-02-24 17:26:46.474"</f>
        <v>2026-02-24 17:26:46.474</v>
      </c>
      <c r="H1026" t="s">
        <v>26</v>
      </c>
    </row>
    <row r="1027" spans="1:10" x14ac:dyDescent="0.25">
      <c r="A1027" s="1">
        <v>354</v>
      </c>
      <c r="B1027" t="s">
        <v>28</v>
      </c>
      <c r="C1027">
        <v>61</v>
      </c>
      <c r="D1027">
        <v>2</v>
      </c>
      <c r="E1027" t="s">
        <v>84</v>
      </c>
      <c r="F1027" t="s">
        <v>85</v>
      </c>
      <c r="G1027" t="str">
        <f>"2026-02-24 17:26:33.574"</f>
        <v>2026-02-24 17:26:33.574</v>
      </c>
      <c r="H1027" t="s">
        <v>26</v>
      </c>
      <c r="I1027">
        <v>30.58</v>
      </c>
      <c r="J1027" t="s">
        <v>29</v>
      </c>
    </row>
    <row r="1028" spans="1:10" x14ac:dyDescent="0.25">
      <c r="A1028" s="1">
        <v>355</v>
      </c>
      <c r="B1028" t="s">
        <v>23</v>
      </c>
      <c r="C1028">
        <v>700</v>
      </c>
      <c r="D1028">
        <v>0</v>
      </c>
      <c r="E1028" t="s">
        <v>37</v>
      </c>
      <c r="F1028" t="s">
        <v>37</v>
      </c>
      <c r="G1028" t="str">
        <f>"2026-02-23 23:54:43.467"</f>
        <v>2026-02-23 23:54:43.467</v>
      </c>
      <c r="H1028" t="s">
        <v>26</v>
      </c>
      <c r="I1028">
        <v>0</v>
      </c>
      <c r="J1028" t="s">
        <v>43</v>
      </c>
    </row>
    <row r="1029" spans="1:10" x14ac:dyDescent="0.25">
      <c r="A1029" s="1">
        <v>356</v>
      </c>
      <c r="B1029" t="s">
        <v>23</v>
      </c>
      <c r="C1029">
        <v>706</v>
      </c>
      <c r="D1029">
        <v>4</v>
      </c>
      <c r="E1029" t="s">
        <v>24</v>
      </c>
      <c r="F1029" t="s">
        <v>25</v>
      </c>
      <c r="G1029" t="str">
        <f>"2026-02-23 23:11:47.863"</f>
        <v>2026-02-23 23:11:47.863</v>
      </c>
      <c r="H1029" t="s">
        <v>26</v>
      </c>
      <c r="I1029">
        <v>0</v>
      </c>
      <c r="J1029" t="s">
        <v>27</v>
      </c>
    </row>
    <row r="1030" spans="1:10" x14ac:dyDescent="0.25">
      <c r="A1030" s="1">
        <v>357</v>
      </c>
      <c r="B1030" t="s">
        <v>23</v>
      </c>
      <c r="C1030">
        <v>700</v>
      </c>
      <c r="D1030">
        <v>0</v>
      </c>
      <c r="E1030" t="s">
        <v>37</v>
      </c>
      <c r="F1030" t="s">
        <v>37</v>
      </c>
      <c r="G1030" t="str">
        <f>"2026-02-23 23:05:08.483"</f>
        <v>2026-02-23 23:05:08.483</v>
      </c>
      <c r="H1030" t="s">
        <v>26</v>
      </c>
      <c r="I1030">
        <v>0</v>
      </c>
      <c r="J1030" t="s">
        <v>43</v>
      </c>
    </row>
    <row r="1031" spans="1:10" x14ac:dyDescent="0.25">
      <c r="A1031" s="1">
        <v>358</v>
      </c>
      <c r="B1031" t="s">
        <v>23</v>
      </c>
      <c r="C1031">
        <v>700</v>
      </c>
      <c r="D1031">
        <v>0</v>
      </c>
      <c r="E1031" t="s">
        <v>37</v>
      </c>
      <c r="F1031" t="s">
        <v>37</v>
      </c>
      <c r="G1031" t="str">
        <f>"2026-02-23 21:50:28.470"</f>
        <v>2026-02-23 21:50:28.470</v>
      </c>
      <c r="H1031" t="s">
        <v>26</v>
      </c>
    </row>
    <row r="1032" spans="1:10" x14ac:dyDescent="0.25">
      <c r="A1032" s="1">
        <v>359</v>
      </c>
      <c r="B1032" t="s">
        <v>23</v>
      </c>
      <c r="C1032">
        <v>700</v>
      </c>
      <c r="D1032">
        <v>0</v>
      </c>
      <c r="E1032" t="s">
        <v>37</v>
      </c>
      <c r="F1032" t="s">
        <v>37</v>
      </c>
      <c r="G1032" t="str">
        <f>"2026-02-23 21:09:50.682"</f>
        <v>2026-02-23 21:09:50.682</v>
      </c>
      <c r="H1032" t="s">
        <v>26</v>
      </c>
      <c r="I1032">
        <v>0</v>
      </c>
      <c r="J1032" t="s">
        <v>43</v>
      </c>
    </row>
    <row r="1033" spans="1:10" x14ac:dyDescent="0.25">
      <c r="A1033" s="1">
        <v>360</v>
      </c>
      <c r="B1033" t="s">
        <v>23</v>
      </c>
      <c r="C1033">
        <v>706</v>
      </c>
      <c r="D1033">
        <v>4</v>
      </c>
      <c r="E1033" t="s">
        <v>24</v>
      </c>
      <c r="F1033" t="s">
        <v>25</v>
      </c>
      <c r="G1033" t="str">
        <f>"2026-02-23 14:38:19.261"</f>
        <v>2026-02-23 14:38:19.261</v>
      </c>
      <c r="H1033" t="s">
        <v>26</v>
      </c>
      <c r="I1033">
        <v>0</v>
      </c>
      <c r="J1033" t="s">
        <v>27</v>
      </c>
    </row>
    <row r="1034" spans="1:10" x14ac:dyDescent="0.25">
      <c r="A1034" s="1">
        <v>361</v>
      </c>
      <c r="B1034" t="s">
        <v>23</v>
      </c>
      <c r="C1034">
        <v>700</v>
      </c>
      <c r="D1034">
        <v>0</v>
      </c>
      <c r="E1034" t="s">
        <v>37</v>
      </c>
      <c r="F1034" t="s">
        <v>37</v>
      </c>
      <c r="G1034" t="str">
        <f>"2026-02-23 14:37:54.471"</f>
        <v>2026-02-23 14:37:54.471</v>
      </c>
      <c r="H1034" t="s">
        <v>26</v>
      </c>
      <c r="I1034">
        <v>0</v>
      </c>
      <c r="J1034" t="s">
        <v>43</v>
      </c>
    </row>
    <row r="1035" spans="1:10" x14ac:dyDescent="0.25">
      <c r="A1035" s="1">
        <v>362</v>
      </c>
      <c r="B1035" t="s">
        <v>23</v>
      </c>
      <c r="C1035">
        <v>700</v>
      </c>
      <c r="D1035">
        <v>0</v>
      </c>
      <c r="E1035" t="s">
        <v>37</v>
      </c>
      <c r="F1035" t="s">
        <v>37</v>
      </c>
      <c r="G1035" t="str">
        <f>"2026-02-23 11:45:36.491"</f>
        <v>2026-02-23 11:45:36.491</v>
      </c>
      <c r="H1035" t="s">
        <v>26</v>
      </c>
      <c r="I1035">
        <v>0</v>
      </c>
      <c r="J1035" t="s">
        <v>43</v>
      </c>
    </row>
    <row r="1036" spans="1:10" x14ac:dyDescent="0.25">
      <c r="A1036" s="1">
        <v>363</v>
      </c>
      <c r="B1036" t="s">
        <v>23</v>
      </c>
      <c r="C1036">
        <v>700</v>
      </c>
      <c r="D1036">
        <v>0</v>
      </c>
      <c r="E1036" t="s">
        <v>37</v>
      </c>
      <c r="F1036" t="s">
        <v>37</v>
      </c>
      <c r="G1036" t="str">
        <f>"2026-02-23 05:28:36.668"</f>
        <v>2026-02-23 05:28:36.668</v>
      </c>
      <c r="H1036" t="s">
        <v>26</v>
      </c>
      <c r="I1036">
        <v>0</v>
      </c>
      <c r="J1036" t="s">
        <v>43</v>
      </c>
    </row>
    <row r="1037" spans="1:10" x14ac:dyDescent="0.25">
      <c r="A1037" s="1">
        <v>364</v>
      </c>
      <c r="B1037" t="s">
        <v>23</v>
      </c>
      <c r="C1037">
        <v>700</v>
      </c>
      <c r="D1037">
        <v>0</v>
      </c>
      <c r="E1037" t="s">
        <v>37</v>
      </c>
      <c r="F1037" t="s">
        <v>37</v>
      </c>
      <c r="G1037" t="str">
        <f>"2026-02-21 23:07:38.469"</f>
        <v>2026-02-21 23:07:38.469</v>
      </c>
      <c r="H1037" t="s">
        <v>26</v>
      </c>
    </row>
    <row r="1038" spans="1:10" x14ac:dyDescent="0.25">
      <c r="A1038" s="1">
        <v>365</v>
      </c>
      <c r="B1038" t="s">
        <v>23</v>
      </c>
      <c r="C1038">
        <v>700</v>
      </c>
      <c r="D1038">
        <v>0</v>
      </c>
      <c r="E1038" t="s">
        <v>37</v>
      </c>
      <c r="F1038" t="s">
        <v>37</v>
      </c>
      <c r="G1038" t="str">
        <f>"2026-02-19 13:20:30.485"</f>
        <v>2026-02-19 13:20:30.485</v>
      </c>
      <c r="H1038" t="s">
        <v>26</v>
      </c>
    </row>
    <row r="1039" spans="1:10" x14ac:dyDescent="0.25">
      <c r="A1039" s="1">
        <v>366</v>
      </c>
      <c r="B1039" t="s">
        <v>23</v>
      </c>
      <c r="C1039">
        <v>700</v>
      </c>
      <c r="D1039">
        <v>0</v>
      </c>
      <c r="E1039" t="s">
        <v>37</v>
      </c>
      <c r="F1039" t="s">
        <v>37</v>
      </c>
      <c r="G1039" t="str">
        <f>"2026-02-19 05:02:48.513"</f>
        <v>2026-02-19 05:02:48.513</v>
      </c>
      <c r="H1039" t="s">
        <v>26</v>
      </c>
      <c r="I1039">
        <v>0</v>
      </c>
      <c r="J1039" t="s">
        <v>43</v>
      </c>
    </row>
    <row r="1040" spans="1:10" x14ac:dyDescent="0.25">
      <c r="A1040" s="1">
        <v>367</v>
      </c>
      <c r="B1040" t="s">
        <v>23</v>
      </c>
      <c r="C1040">
        <v>700</v>
      </c>
      <c r="D1040">
        <v>0</v>
      </c>
      <c r="E1040" t="s">
        <v>37</v>
      </c>
      <c r="F1040" t="s">
        <v>37</v>
      </c>
      <c r="G1040" t="str">
        <f>"2026-02-18 22:56:59.484"</f>
        <v>2026-02-18 22:56:59.484</v>
      </c>
      <c r="H1040" t="s">
        <v>26</v>
      </c>
      <c r="I1040">
        <v>0</v>
      </c>
      <c r="J1040" t="s">
        <v>43</v>
      </c>
    </row>
    <row r="1041" spans="1:10" x14ac:dyDescent="0.25">
      <c r="A1041" s="1">
        <v>368</v>
      </c>
      <c r="B1041" t="s">
        <v>23</v>
      </c>
      <c r="C1041">
        <v>700</v>
      </c>
      <c r="D1041">
        <v>0</v>
      </c>
      <c r="E1041" t="s">
        <v>37</v>
      </c>
      <c r="F1041" t="s">
        <v>37</v>
      </c>
      <c r="G1041" t="str">
        <f>"2026-02-18 22:52:39.486"</f>
        <v>2026-02-18 22:52:39.486</v>
      </c>
      <c r="H1041" t="s">
        <v>26</v>
      </c>
      <c r="I1041">
        <v>0</v>
      </c>
      <c r="J1041" t="s">
        <v>43</v>
      </c>
    </row>
    <row r="1042" spans="1:10" s="3" customFormat="1" x14ac:dyDescent="0.25">
      <c r="A1042" s="2">
        <v>369</v>
      </c>
      <c r="B1042" s="3" t="s">
        <v>19</v>
      </c>
      <c r="C1042" s="3">
        <v>647</v>
      </c>
      <c r="D1042" s="3">
        <v>1</v>
      </c>
      <c r="E1042" s="3" t="s">
        <v>69</v>
      </c>
      <c r="F1042" s="3" t="s">
        <v>70</v>
      </c>
      <c r="G1042" s="3" t="str">
        <f>"2026-02-17 14:41:00.793"</f>
        <v>2026-02-17 14:41:00.793</v>
      </c>
      <c r="H1042" s="3" t="s">
        <v>26</v>
      </c>
    </row>
    <row r="1043" spans="1:10" s="3" customFormat="1" x14ac:dyDescent="0.25">
      <c r="A1043" s="2">
        <v>370</v>
      </c>
      <c r="B1043" s="3" t="s">
        <v>38</v>
      </c>
      <c r="C1043" s="3">
        <v>647</v>
      </c>
      <c r="D1043" s="3">
        <v>1</v>
      </c>
      <c r="E1043" s="3" t="s">
        <v>69</v>
      </c>
      <c r="F1043" s="3" t="s">
        <v>70</v>
      </c>
      <c r="G1043" s="3" t="str">
        <f>"2026-02-17 14:40:58.893"</f>
        <v>2026-02-17 14:40:58.893</v>
      </c>
      <c r="H1043" s="3" t="s">
        <v>26</v>
      </c>
      <c r="I1043" s="3">
        <v>14.32</v>
      </c>
      <c r="J1043" s="3" t="s">
        <v>29</v>
      </c>
    </row>
    <row r="1044" spans="1:10" s="3" customFormat="1" x14ac:dyDescent="0.25">
      <c r="A1044" s="2">
        <v>371</v>
      </c>
      <c r="B1044" s="3" t="s">
        <v>19</v>
      </c>
      <c r="C1044" s="3">
        <v>647</v>
      </c>
      <c r="D1044" s="3">
        <v>1</v>
      </c>
      <c r="E1044" s="3" t="s">
        <v>69</v>
      </c>
      <c r="F1044" s="3" t="s">
        <v>70</v>
      </c>
      <c r="G1044" s="3" t="str">
        <f>"2026-02-17 08:35:51.393"</f>
        <v>2026-02-17 08:35:51.393</v>
      </c>
      <c r="H1044" s="3" t="s">
        <v>26</v>
      </c>
    </row>
    <row r="1045" spans="1:10" s="3" customFormat="1" x14ac:dyDescent="0.25">
      <c r="A1045" s="2">
        <v>372</v>
      </c>
      <c r="B1045" s="3" t="s">
        <v>38</v>
      </c>
      <c r="C1045" s="3">
        <v>647</v>
      </c>
      <c r="D1045" s="3">
        <v>1</v>
      </c>
      <c r="E1045" s="3" t="s">
        <v>69</v>
      </c>
      <c r="F1045" s="3" t="s">
        <v>70</v>
      </c>
      <c r="G1045" s="3" t="str">
        <f>"2026-02-17 08:35:43.894"</f>
        <v>2026-02-17 08:35:43.894</v>
      </c>
      <c r="H1045" s="3" t="s">
        <v>26</v>
      </c>
      <c r="I1045" s="3">
        <v>24.48</v>
      </c>
      <c r="J1045" s="3" t="s">
        <v>29</v>
      </c>
    </row>
    <row r="1046" spans="1:10" x14ac:dyDescent="0.25">
      <c r="A1046" s="1">
        <v>373</v>
      </c>
      <c r="B1046" t="s">
        <v>19</v>
      </c>
      <c r="C1046">
        <v>61</v>
      </c>
      <c r="D1046">
        <v>2</v>
      </c>
      <c r="E1046" t="s">
        <v>84</v>
      </c>
      <c r="F1046" t="s">
        <v>85</v>
      </c>
      <c r="G1046" t="str">
        <f>"2026-02-15 19:25:56.306"</f>
        <v>2026-02-15 19:25:56.306</v>
      </c>
      <c r="H1046" t="s">
        <v>26</v>
      </c>
    </row>
    <row r="1047" spans="1:10" x14ac:dyDescent="0.25">
      <c r="A1047" s="1">
        <v>374</v>
      </c>
      <c r="B1047" t="s">
        <v>28</v>
      </c>
      <c r="C1047">
        <v>61</v>
      </c>
      <c r="D1047">
        <v>2</v>
      </c>
      <c r="E1047" t="s">
        <v>84</v>
      </c>
      <c r="F1047" t="s">
        <v>85</v>
      </c>
      <c r="G1047" t="str">
        <f>"2026-02-15 19:25:40.906"</f>
        <v>2026-02-15 19:25:40.906</v>
      </c>
      <c r="H1047" t="s">
        <v>26</v>
      </c>
      <c r="I1047">
        <v>30.49</v>
      </c>
      <c r="J1047" t="s">
        <v>29</v>
      </c>
    </row>
    <row r="1048" spans="1:10" x14ac:dyDescent="0.25">
      <c r="A1048" s="1">
        <v>375</v>
      </c>
      <c r="B1048" t="s">
        <v>19</v>
      </c>
      <c r="C1048">
        <v>61</v>
      </c>
      <c r="D1048">
        <v>2</v>
      </c>
      <c r="E1048" t="s">
        <v>84</v>
      </c>
      <c r="F1048" t="s">
        <v>85</v>
      </c>
      <c r="G1048" t="str">
        <f>"2026-02-15 07:38:13.606"</f>
        <v>2026-02-15 07:38:13.606</v>
      </c>
      <c r="H1048" t="s">
        <v>26</v>
      </c>
    </row>
    <row r="1049" spans="1:10" x14ac:dyDescent="0.25">
      <c r="A1049" s="1">
        <v>376</v>
      </c>
      <c r="B1049" t="s">
        <v>28</v>
      </c>
      <c r="C1049">
        <v>61</v>
      </c>
      <c r="D1049">
        <v>2</v>
      </c>
      <c r="E1049" t="s">
        <v>84</v>
      </c>
      <c r="F1049" t="s">
        <v>85</v>
      </c>
      <c r="G1049" t="str">
        <f>"2026-02-15 07:38:01.706"</f>
        <v>2026-02-15 07:38:01.706</v>
      </c>
      <c r="H1049" t="s">
        <v>26</v>
      </c>
      <c r="I1049">
        <v>29.77</v>
      </c>
      <c r="J1049" t="s">
        <v>29</v>
      </c>
    </row>
    <row r="1050" spans="1:10" x14ac:dyDescent="0.25">
      <c r="A1050" s="1">
        <v>377</v>
      </c>
      <c r="B1050" t="s">
        <v>23</v>
      </c>
      <c r="C1050">
        <v>700</v>
      </c>
      <c r="D1050">
        <v>0</v>
      </c>
      <c r="E1050" t="s">
        <v>37</v>
      </c>
      <c r="F1050" t="s">
        <v>37</v>
      </c>
      <c r="G1050" t="str">
        <f>"2026-02-14 14:02:34.513"</f>
        <v>2026-02-14 14:02:34.513</v>
      </c>
      <c r="H1050" t="s">
        <v>26</v>
      </c>
      <c r="I1050">
        <v>0</v>
      </c>
      <c r="J1050" t="s">
        <v>43</v>
      </c>
    </row>
    <row r="1051" spans="1:10" x14ac:dyDescent="0.25">
      <c r="A1051" s="1">
        <v>378</v>
      </c>
      <c r="B1051" t="s">
        <v>23</v>
      </c>
      <c r="C1051">
        <v>700</v>
      </c>
      <c r="D1051">
        <v>0</v>
      </c>
      <c r="E1051" t="s">
        <v>37</v>
      </c>
      <c r="F1051" t="s">
        <v>37</v>
      </c>
      <c r="G1051" t="str">
        <f>"2026-02-13 04:59:09.461"</f>
        <v>2026-02-13 04:59:09.461</v>
      </c>
      <c r="H1051" t="s">
        <v>26</v>
      </c>
      <c r="I1051">
        <v>0</v>
      </c>
      <c r="J1051" t="s">
        <v>43</v>
      </c>
    </row>
    <row r="1052" spans="1:10" x14ac:dyDescent="0.25">
      <c r="A1052" s="1">
        <v>379</v>
      </c>
      <c r="B1052" t="s">
        <v>23</v>
      </c>
      <c r="C1052">
        <v>700</v>
      </c>
      <c r="D1052">
        <v>0</v>
      </c>
      <c r="E1052" t="s">
        <v>37</v>
      </c>
      <c r="F1052" t="s">
        <v>37</v>
      </c>
      <c r="G1052" t="str">
        <f>"2026-02-13 04:46:13.476"</f>
        <v>2026-02-13 04:46:13.476</v>
      </c>
      <c r="H1052" t="s">
        <v>26</v>
      </c>
      <c r="I1052">
        <v>0</v>
      </c>
      <c r="J1052" t="s">
        <v>43</v>
      </c>
    </row>
    <row r="1053" spans="1:10" x14ac:dyDescent="0.25">
      <c r="A1053" s="1">
        <v>380</v>
      </c>
      <c r="B1053" t="s">
        <v>23</v>
      </c>
      <c r="C1053">
        <v>700</v>
      </c>
      <c r="D1053">
        <v>0</v>
      </c>
      <c r="E1053" t="s">
        <v>37</v>
      </c>
      <c r="F1053" t="s">
        <v>37</v>
      </c>
      <c r="G1053" t="str">
        <f>"2026-02-13 04:43:53.534"</f>
        <v>2026-02-13 04:43:53.534</v>
      </c>
      <c r="H1053" t="s">
        <v>26</v>
      </c>
    </row>
    <row r="1054" spans="1:10" x14ac:dyDescent="0.25">
      <c r="A1054" s="1">
        <v>381</v>
      </c>
      <c r="B1054" t="s">
        <v>23</v>
      </c>
      <c r="C1054">
        <v>706</v>
      </c>
      <c r="D1054">
        <v>4</v>
      </c>
      <c r="E1054" t="s">
        <v>24</v>
      </c>
      <c r="F1054" t="s">
        <v>25</v>
      </c>
      <c r="G1054" t="str">
        <f>"2026-02-13 04:35:29.644"</f>
        <v>2026-02-13 04:35:29.644</v>
      </c>
      <c r="H1054" t="s">
        <v>26</v>
      </c>
      <c r="I1054">
        <v>0</v>
      </c>
      <c r="J1054" t="s">
        <v>27</v>
      </c>
    </row>
    <row r="1055" spans="1:10" x14ac:dyDescent="0.25">
      <c r="A1055" s="1">
        <v>382</v>
      </c>
      <c r="B1055" t="s">
        <v>23</v>
      </c>
      <c r="C1055">
        <v>706</v>
      </c>
      <c r="D1055">
        <v>4</v>
      </c>
      <c r="E1055" t="s">
        <v>24</v>
      </c>
      <c r="F1055" t="s">
        <v>25</v>
      </c>
      <c r="G1055" t="str">
        <f>"2026-02-13 04:33:35.044"</f>
        <v>2026-02-13 04:33:35.044</v>
      </c>
      <c r="H1055" t="s">
        <v>26</v>
      </c>
      <c r="I1055">
        <v>0</v>
      </c>
      <c r="J1055" t="s">
        <v>27</v>
      </c>
    </row>
    <row r="1056" spans="1:10" x14ac:dyDescent="0.25">
      <c r="A1056" s="1">
        <v>383</v>
      </c>
      <c r="B1056" t="s">
        <v>23</v>
      </c>
      <c r="C1056">
        <v>700</v>
      </c>
      <c r="D1056">
        <v>0</v>
      </c>
      <c r="E1056" t="s">
        <v>37</v>
      </c>
      <c r="F1056" t="s">
        <v>37</v>
      </c>
      <c r="G1056" t="str">
        <f>"2026-02-13 04:23:47.564"</f>
        <v>2026-02-13 04:23:47.564</v>
      </c>
      <c r="H1056" t="s">
        <v>26</v>
      </c>
      <c r="I1056">
        <v>0</v>
      </c>
      <c r="J1056" t="s">
        <v>43</v>
      </c>
    </row>
    <row r="1057" spans="1:10" x14ac:dyDescent="0.25">
      <c r="A1057" s="1">
        <v>384</v>
      </c>
      <c r="B1057" t="s">
        <v>23</v>
      </c>
      <c r="C1057">
        <v>700</v>
      </c>
      <c r="D1057">
        <v>0</v>
      </c>
      <c r="E1057" t="s">
        <v>37</v>
      </c>
      <c r="F1057" t="s">
        <v>37</v>
      </c>
      <c r="G1057" t="str">
        <f>"2026-02-13 02:35:15.735"</f>
        <v>2026-02-13 02:35:15.735</v>
      </c>
      <c r="H1057" t="s">
        <v>26</v>
      </c>
      <c r="I1057">
        <v>0</v>
      </c>
      <c r="J1057" t="s">
        <v>43</v>
      </c>
    </row>
    <row r="1058" spans="1:10" x14ac:dyDescent="0.25">
      <c r="A1058" s="1">
        <v>385</v>
      </c>
      <c r="B1058" t="s">
        <v>23</v>
      </c>
      <c r="C1058">
        <v>700</v>
      </c>
      <c r="D1058">
        <v>0</v>
      </c>
      <c r="E1058" t="s">
        <v>37</v>
      </c>
      <c r="F1058" t="s">
        <v>37</v>
      </c>
      <c r="G1058" t="str">
        <f>"2026-02-10 22:33:41.473"</f>
        <v>2026-02-10 22:33:41.473</v>
      </c>
      <c r="H1058" t="s">
        <v>26</v>
      </c>
      <c r="I1058">
        <v>0</v>
      </c>
      <c r="J1058" t="s">
        <v>43</v>
      </c>
    </row>
    <row r="1059" spans="1:10" x14ac:dyDescent="0.25">
      <c r="A1059" s="1">
        <v>386</v>
      </c>
      <c r="B1059" t="s">
        <v>23</v>
      </c>
      <c r="C1059">
        <v>706</v>
      </c>
      <c r="D1059">
        <v>4</v>
      </c>
      <c r="E1059" t="s">
        <v>24</v>
      </c>
      <c r="F1059" t="s">
        <v>25</v>
      </c>
      <c r="G1059" t="str">
        <f>"2026-02-10 22:19:30.451"</f>
        <v>2026-02-10 22:19:30.451</v>
      </c>
      <c r="H1059" t="s">
        <v>26</v>
      </c>
      <c r="I1059">
        <v>0</v>
      </c>
      <c r="J1059" t="s">
        <v>27</v>
      </c>
    </row>
    <row r="1060" spans="1:10" x14ac:dyDescent="0.25">
      <c r="A1060" s="1">
        <v>387</v>
      </c>
      <c r="B1060" t="s">
        <v>23</v>
      </c>
      <c r="C1060">
        <v>700</v>
      </c>
      <c r="D1060">
        <v>0</v>
      </c>
      <c r="E1060" t="s">
        <v>37</v>
      </c>
      <c r="F1060" t="s">
        <v>37</v>
      </c>
      <c r="G1060" t="str">
        <f>"2026-02-10 22:18:34.661"</f>
        <v>2026-02-10 22:18:34.661</v>
      </c>
      <c r="H1060" t="s">
        <v>26</v>
      </c>
      <c r="I1060">
        <v>0</v>
      </c>
      <c r="J1060" t="s">
        <v>43</v>
      </c>
    </row>
    <row r="1061" spans="1:10" x14ac:dyDescent="0.25">
      <c r="A1061" s="1">
        <v>388</v>
      </c>
      <c r="B1061" t="s">
        <v>19</v>
      </c>
      <c r="C1061">
        <v>61</v>
      </c>
      <c r="D1061">
        <v>2</v>
      </c>
      <c r="E1061" t="s">
        <v>84</v>
      </c>
      <c r="F1061" t="s">
        <v>85</v>
      </c>
      <c r="G1061" t="str">
        <f>"2026-02-10 19:10:10.579"</f>
        <v>2026-02-10 19:10:10.579</v>
      </c>
      <c r="H1061" t="s">
        <v>26</v>
      </c>
    </row>
    <row r="1062" spans="1:10" x14ac:dyDescent="0.25">
      <c r="A1062" s="1">
        <v>389</v>
      </c>
      <c r="B1062" t="s">
        <v>28</v>
      </c>
      <c r="C1062">
        <v>61</v>
      </c>
      <c r="D1062">
        <v>2</v>
      </c>
      <c r="E1062" t="s">
        <v>84</v>
      </c>
      <c r="F1062" t="s">
        <v>85</v>
      </c>
      <c r="G1062" t="str">
        <f>"2026-02-10 19:10:04.179"</f>
        <v>2026-02-10 19:10:04.179</v>
      </c>
      <c r="H1062" t="s">
        <v>26</v>
      </c>
      <c r="I1062">
        <v>31.22</v>
      </c>
      <c r="J1062" t="s">
        <v>29</v>
      </c>
    </row>
    <row r="1063" spans="1:10" x14ac:dyDescent="0.25">
      <c r="A1063" s="1">
        <v>390</v>
      </c>
      <c r="B1063" t="s">
        <v>19</v>
      </c>
      <c r="C1063">
        <v>61</v>
      </c>
      <c r="D1063">
        <v>2</v>
      </c>
      <c r="E1063" t="s">
        <v>84</v>
      </c>
      <c r="F1063" t="s">
        <v>85</v>
      </c>
      <c r="G1063" t="str">
        <f>"2026-02-10 13:05:50.879"</f>
        <v>2026-02-10 13:05:50.879</v>
      </c>
      <c r="H1063" t="s">
        <v>26</v>
      </c>
    </row>
    <row r="1064" spans="1:10" x14ac:dyDescent="0.25">
      <c r="A1064" s="1">
        <v>391</v>
      </c>
      <c r="B1064" t="s">
        <v>28</v>
      </c>
      <c r="C1064">
        <v>61</v>
      </c>
      <c r="D1064">
        <v>2</v>
      </c>
      <c r="E1064" t="s">
        <v>84</v>
      </c>
      <c r="F1064" t="s">
        <v>85</v>
      </c>
      <c r="G1064" t="str">
        <f>"2026-02-10 13:05:33.379"</f>
        <v>2026-02-10 13:05:33.379</v>
      </c>
      <c r="H1064" t="s">
        <v>26</v>
      </c>
      <c r="I1064">
        <v>30.43</v>
      </c>
      <c r="J1064" t="s">
        <v>29</v>
      </c>
    </row>
    <row r="1065" spans="1:10" x14ac:dyDescent="0.25">
      <c r="A1065" s="1">
        <v>392</v>
      </c>
      <c r="B1065" t="s">
        <v>19</v>
      </c>
      <c r="C1065">
        <v>61</v>
      </c>
      <c r="D1065">
        <v>2</v>
      </c>
      <c r="E1065" t="s">
        <v>84</v>
      </c>
      <c r="F1065" t="s">
        <v>85</v>
      </c>
      <c r="G1065" t="str">
        <f>"2026-02-09 19:31:59.479"</f>
        <v>2026-02-09 19:31:59.479</v>
      </c>
      <c r="H1065" t="s">
        <v>26</v>
      </c>
    </row>
    <row r="1066" spans="1:10" x14ac:dyDescent="0.25">
      <c r="A1066" s="1">
        <v>393</v>
      </c>
      <c r="B1066" t="s">
        <v>28</v>
      </c>
      <c r="C1066">
        <v>61</v>
      </c>
      <c r="D1066">
        <v>2</v>
      </c>
      <c r="E1066" t="s">
        <v>84</v>
      </c>
      <c r="F1066" t="s">
        <v>85</v>
      </c>
      <c r="G1066" t="str">
        <f>"2026-02-09 19:31:48.179"</f>
        <v>2026-02-09 19:31:48.179</v>
      </c>
      <c r="H1066" t="s">
        <v>26</v>
      </c>
      <c r="I1066">
        <v>29.2</v>
      </c>
      <c r="J1066" t="s">
        <v>29</v>
      </c>
    </row>
    <row r="1067" spans="1:10" x14ac:dyDescent="0.25">
      <c r="A1067" s="1">
        <v>394</v>
      </c>
      <c r="B1067" t="s">
        <v>19</v>
      </c>
      <c r="C1067">
        <v>61</v>
      </c>
      <c r="D1067">
        <v>2</v>
      </c>
      <c r="E1067" t="s">
        <v>84</v>
      </c>
      <c r="F1067" t="s">
        <v>85</v>
      </c>
      <c r="G1067" t="str">
        <f>"2026-02-09 15:48:31.478"</f>
        <v>2026-02-09 15:48:31.478</v>
      </c>
      <c r="H1067" t="s">
        <v>26</v>
      </c>
    </row>
    <row r="1068" spans="1:10" x14ac:dyDescent="0.25">
      <c r="A1068" s="1">
        <v>395</v>
      </c>
      <c r="B1068" t="s">
        <v>28</v>
      </c>
      <c r="C1068">
        <v>61</v>
      </c>
      <c r="D1068">
        <v>2</v>
      </c>
      <c r="E1068" t="s">
        <v>84</v>
      </c>
      <c r="F1068" t="s">
        <v>85</v>
      </c>
      <c r="G1068" t="str">
        <f>"2026-02-09 15:48:19.979"</f>
        <v>2026-02-09 15:48:19.979</v>
      </c>
      <c r="H1068" t="s">
        <v>26</v>
      </c>
      <c r="I1068">
        <v>29.95</v>
      </c>
      <c r="J1068" t="s">
        <v>29</v>
      </c>
    </row>
    <row r="1069" spans="1:10" x14ac:dyDescent="0.25">
      <c r="A1069" s="1">
        <v>396</v>
      </c>
      <c r="B1069" t="s">
        <v>23</v>
      </c>
      <c r="C1069">
        <v>706</v>
      </c>
      <c r="D1069">
        <v>4</v>
      </c>
      <c r="E1069" t="s">
        <v>24</v>
      </c>
      <c r="F1069" t="s">
        <v>25</v>
      </c>
      <c r="G1069" t="str">
        <f>"2026-02-09 15:18:51.495"</f>
        <v>2026-02-09 15:18:51.495</v>
      </c>
      <c r="H1069" t="s">
        <v>26</v>
      </c>
      <c r="I1069">
        <v>0</v>
      </c>
      <c r="J1069" t="s">
        <v>27</v>
      </c>
    </row>
    <row r="1070" spans="1:10" x14ac:dyDescent="0.25">
      <c r="A1070" s="1">
        <v>397</v>
      </c>
      <c r="B1070" t="s">
        <v>19</v>
      </c>
      <c r="C1070">
        <v>635</v>
      </c>
      <c r="D1070">
        <v>1</v>
      </c>
      <c r="E1070" t="s">
        <v>40</v>
      </c>
      <c r="F1070" t="s">
        <v>41</v>
      </c>
      <c r="G1070" t="str">
        <f>"2026-02-06 01:24:28.978"</f>
        <v>2026-02-06 01:24:28.978</v>
      </c>
      <c r="H1070" t="s">
        <v>26</v>
      </c>
    </row>
    <row r="1071" spans="1:10" x14ac:dyDescent="0.25">
      <c r="A1071" s="1">
        <v>398</v>
      </c>
      <c r="B1071" t="s">
        <v>38</v>
      </c>
      <c r="C1071">
        <v>635</v>
      </c>
      <c r="D1071">
        <v>1</v>
      </c>
      <c r="E1071" t="s">
        <v>40</v>
      </c>
      <c r="F1071" t="s">
        <v>41</v>
      </c>
      <c r="G1071" t="str">
        <f>"2026-02-06 01:20:40.478"</f>
        <v>2026-02-06 01:20:40.478</v>
      </c>
      <c r="H1071" t="s">
        <v>26</v>
      </c>
      <c r="I1071">
        <v>0.28999999999999998</v>
      </c>
      <c r="J1071" t="s">
        <v>31</v>
      </c>
    </row>
    <row r="1072" spans="1:10" x14ac:dyDescent="0.25">
      <c r="A1072" s="1">
        <v>399</v>
      </c>
      <c r="B1072" t="s">
        <v>23</v>
      </c>
      <c r="C1072">
        <v>700</v>
      </c>
      <c r="D1072">
        <v>0</v>
      </c>
      <c r="E1072" t="s">
        <v>37</v>
      </c>
      <c r="F1072" t="s">
        <v>37</v>
      </c>
      <c r="G1072" t="str">
        <f>"2026-02-05 21:43:23.455"</f>
        <v>2026-02-05 21:43:23.455</v>
      </c>
      <c r="H1072" t="s">
        <v>26</v>
      </c>
      <c r="I1072">
        <v>0</v>
      </c>
      <c r="J1072" t="s">
        <v>43</v>
      </c>
    </row>
    <row r="1073" spans="1:10" x14ac:dyDescent="0.25">
      <c r="A1073" s="1">
        <v>401</v>
      </c>
      <c r="B1073" t="s">
        <v>23</v>
      </c>
      <c r="C1073">
        <v>700</v>
      </c>
      <c r="D1073">
        <v>0</v>
      </c>
      <c r="E1073" t="s">
        <v>37</v>
      </c>
      <c r="F1073" t="s">
        <v>37</v>
      </c>
      <c r="G1073" t="str">
        <f>"2026-02-04 08:48:44.456"</f>
        <v>2026-02-04 08:48:44.456</v>
      </c>
      <c r="H1073" t="s">
        <v>26</v>
      </c>
    </row>
    <row r="1074" spans="1:10" x14ac:dyDescent="0.25">
      <c r="A1074" s="1">
        <v>402</v>
      </c>
      <c r="B1074" t="s">
        <v>19</v>
      </c>
      <c r="C1074">
        <v>635</v>
      </c>
      <c r="D1074">
        <v>1</v>
      </c>
      <c r="E1074" t="s">
        <v>40</v>
      </c>
      <c r="F1074" t="s">
        <v>41</v>
      </c>
      <c r="G1074" t="str">
        <f>"2026-02-04 05:48:17.920"</f>
        <v>2026-02-04 05:48:17.920</v>
      </c>
      <c r="H1074" t="s">
        <v>26</v>
      </c>
    </row>
    <row r="1075" spans="1:10" x14ac:dyDescent="0.25">
      <c r="A1075" s="1">
        <v>403</v>
      </c>
      <c r="B1075" t="s">
        <v>38</v>
      </c>
      <c r="C1075">
        <v>635</v>
      </c>
      <c r="D1075">
        <v>1</v>
      </c>
      <c r="E1075" t="s">
        <v>40</v>
      </c>
      <c r="F1075" t="s">
        <v>41</v>
      </c>
      <c r="G1075" t="str">
        <f>"2026-02-04 05:43:18.920"</f>
        <v>2026-02-04 05:43:18.920</v>
      </c>
      <c r="H1075" t="s">
        <v>26</v>
      </c>
      <c r="I1075">
        <v>7.38</v>
      </c>
      <c r="J1075" t="s">
        <v>42</v>
      </c>
    </row>
    <row r="1076" spans="1:10" x14ac:dyDescent="0.25">
      <c r="A1076" s="1">
        <v>404</v>
      </c>
      <c r="B1076" t="s">
        <v>23</v>
      </c>
      <c r="C1076">
        <v>700</v>
      </c>
      <c r="D1076">
        <v>0</v>
      </c>
      <c r="E1076" t="s">
        <v>37</v>
      </c>
      <c r="F1076" t="s">
        <v>37</v>
      </c>
      <c r="G1076" t="str">
        <f>"2026-02-02 17:00:16.459"</f>
        <v>2026-02-02 17:00:16.459</v>
      </c>
      <c r="H1076" t="s">
        <v>26</v>
      </c>
      <c r="I1076">
        <v>0</v>
      </c>
      <c r="J1076" t="s">
        <v>43</v>
      </c>
    </row>
    <row r="1077" spans="1:10" x14ac:dyDescent="0.25">
      <c r="A1077" s="1">
        <v>405</v>
      </c>
      <c r="B1077" t="s">
        <v>23</v>
      </c>
      <c r="C1077">
        <v>706</v>
      </c>
      <c r="D1077">
        <v>4</v>
      </c>
      <c r="E1077" t="s">
        <v>24</v>
      </c>
      <c r="F1077" t="s">
        <v>25</v>
      </c>
      <c r="G1077" t="str">
        <f>"2026-02-02 16:19:06.240"</f>
        <v>2026-02-02 16:19:06.240</v>
      </c>
      <c r="H1077" t="s">
        <v>26</v>
      </c>
      <c r="I1077">
        <v>0</v>
      </c>
      <c r="J1077" t="s">
        <v>27</v>
      </c>
    </row>
    <row r="1078" spans="1:10" x14ac:dyDescent="0.25">
      <c r="A1078" s="1">
        <v>406</v>
      </c>
      <c r="B1078" t="s">
        <v>23</v>
      </c>
      <c r="C1078">
        <v>700</v>
      </c>
      <c r="D1078">
        <v>0</v>
      </c>
      <c r="E1078" t="s">
        <v>37</v>
      </c>
      <c r="F1078" t="s">
        <v>37</v>
      </c>
      <c r="G1078" t="str">
        <f>"2026-02-02 15:50:59.460"</f>
        <v>2026-02-02 15:50:59.460</v>
      </c>
      <c r="H1078" t="s">
        <v>26</v>
      </c>
      <c r="I1078">
        <v>0</v>
      </c>
      <c r="J1078" t="s">
        <v>43</v>
      </c>
    </row>
    <row r="1079" spans="1:10" x14ac:dyDescent="0.25">
      <c r="A1079" s="1">
        <v>407</v>
      </c>
      <c r="B1079" t="s">
        <v>23</v>
      </c>
      <c r="C1079">
        <v>700</v>
      </c>
      <c r="D1079">
        <v>0</v>
      </c>
      <c r="E1079" t="s">
        <v>37</v>
      </c>
      <c r="F1079" t="s">
        <v>37</v>
      </c>
      <c r="G1079" t="str">
        <f>"2026-02-02 15:22:38.696"</f>
        <v>2026-02-02 15:22:38.696</v>
      </c>
      <c r="H1079" t="s">
        <v>26</v>
      </c>
    </row>
    <row r="1080" spans="1:10" x14ac:dyDescent="0.25">
      <c r="A1080" s="1">
        <v>408</v>
      </c>
      <c r="B1080" t="s">
        <v>23</v>
      </c>
      <c r="C1080">
        <v>700</v>
      </c>
      <c r="D1080">
        <v>0</v>
      </c>
      <c r="E1080" t="s">
        <v>37</v>
      </c>
      <c r="F1080" t="s">
        <v>37</v>
      </c>
      <c r="G1080" t="str">
        <f>"2026-02-02 15:15:24.605"</f>
        <v>2026-02-02 15:15:24.605</v>
      </c>
      <c r="H1080" t="s">
        <v>26</v>
      </c>
      <c r="I1080">
        <v>0</v>
      </c>
      <c r="J1080" t="s">
        <v>43</v>
      </c>
    </row>
    <row r="1081" spans="1:10" x14ac:dyDescent="0.25">
      <c r="A1081" s="1">
        <v>409</v>
      </c>
      <c r="B1081" t="s">
        <v>19</v>
      </c>
      <c r="C1081">
        <v>635</v>
      </c>
      <c r="D1081">
        <v>1</v>
      </c>
      <c r="E1081" t="s">
        <v>40</v>
      </c>
      <c r="F1081" t="s">
        <v>41</v>
      </c>
      <c r="G1081" t="str">
        <f>"2026-02-02 08:11:45.586"</f>
        <v>2026-02-02 08:11:45.586</v>
      </c>
      <c r="H1081" t="s">
        <v>26</v>
      </c>
    </row>
    <row r="1082" spans="1:10" x14ac:dyDescent="0.25">
      <c r="A1082" s="1">
        <v>410</v>
      </c>
      <c r="B1082" t="s">
        <v>38</v>
      </c>
      <c r="C1082">
        <v>635</v>
      </c>
      <c r="D1082">
        <v>1</v>
      </c>
      <c r="E1082" t="s">
        <v>40</v>
      </c>
      <c r="F1082" t="s">
        <v>41</v>
      </c>
      <c r="G1082" t="str">
        <f>"2026-02-02 08:03:45.086"</f>
        <v>2026-02-02 08:03:45.086</v>
      </c>
      <c r="H1082" t="s">
        <v>26</v>
      </c>
      <c r="I1082">
        <v>5.78</v>
      </c>
      <c r="J1082" t="s">
        <v>42</v>
      </c>
    </row>
    <row r="1083" spans="1:10" x14ac:dyDescent="0.25">
      <c r="A1083" s="1">
        <v>413</v>
      </c>
      <c r="B1083" t="s">
        <v>19</v>
      </c>
      <c r="C1083">
        <v>635</v>
      </c>
      <c r="D1083">
        <v>1</v>
      </c>
      <c r="E1083" t="s">
        <v>40</v>
      </c>
      <c r="F1083" t="s">
        <v>41</v>
      </c>
      <c r="G1083" t="str">
        <f>"2026-02-01 16:43:35.286"</f>
        <v>2026-02-01 16:43:35.286</v>
      </c>
      <c r="H1083" t="s">
        <v>26</v>
      </c>
    </row>
    <row r="1084" spans="1:10" x14ac:dyDescent="0.25">
      <c r="A1084" s="1">
        <v>415</v>
      </c>
      <c r="B1084" t="s">
        <v>38</v>
      </c>
      <c r="C1084">
        <v>635</v>
      </c>
      <c r="D1084">
        <v>1</v>
      </c>
      <c r="E1084" t="s">
        <v>40</v>
      </c>
      <c r="F1084" t="s">
        <v>41</v>
      </c>
      <c r="G1084" t="str">
        <f>"2026-02-01 16:39:31.786"</f>
        <v>2026-02-01 16:39:31.786</v>
      </c>
      <c r="H1084" t="s">
        <v>26</v>
      </c>
      <c r="I1084">
        <v>6.95</v>
      </c>
      <c r="J1084" t="s">
        <v>42</v>
      </c>
    </row>
    <row r="1085" spans="1:10" x14ac:dyDescent="0.25">
      <c r="A1085" s="1">
        <v>418</v>
      </c>
      <c r="B1085" t="s">
        <v>19</v>
      </c>
      <c r="C1085">
        <v>61</v>
      </c>
      <c r="D1085">
        <v>2</v>
      </c>
      <c r="E1085" t="s">
        <v>84</v>
      </c>
      <c r="F1085" t="s">
        <v>85</v>
      </c>
      <c r="G1085" t="str">
        <f>"2026-01-30 19:23:45.779"</f>
        <v>2026-01-30 19:23:45.779</v>
      </c>
      <c r="H1085" t="s">
        <v>26</v>
      </c>
    </row>
    <row r="1086" spans="1:10" x14ac:dyDescent="0.25">
      <c r="A1086" s="1">
        <v>419</v>
      </c>
      <c r="B1086" t="s">
        <v>28</v>
      </c>
      <c r="C1086">
        <v>61</v>
      </c>
      <c r="D1086">
        <v>2</v>
      </c>
      <c r="E1086" t="s">
        <v>84</v>
      </c>
      <c r="F1086" t="s">
        <v>85</v>
      </c>
      <c r="G1086" t="str">
        <f>"2026-01-30 19:23:22.879"</f>
        <v>2026-01-30 19:23:22.879</v>
      </c>
      <c r="H1086" t="s">
        <v>26</v>
      </c>
      <c r="I1086">
        <v>30.11</v>
      </c>
      <c r="J1086" t="s">
        <v>29</v>
      </c>
    </row>
    <row r="1087" spans="1:10" x14ac:dyDescent="0.25">
      <c r="A1087" s="1">
        <v>420</v>
      </c>
      <c r="B1087" t="s">
        <v>23</v>
      </c>
      <c r="C1087">
        <v>700</v>
      </c>
      <c r="D1087">
        <v>0</v>
      </c>
      <c r="E1087" t="s">
        <v>37</v>
      </c>
      <c r="F1087" t="s">
        <v>37</v>
      </c>
      <c r="G1087" t="str">
        <f>"2026-01-30 16:39:14.478"</f>
        <v>2026-01-30 16:39:14.478</v>
      </c>
      <c r="H1087" t="s">
        <v>26</v>
      </c>
      <c r="I1087">
        <v>0</v>
      </c>
      <c r="J1087" t="s">
        <v>43</v>
      </c>
    </row>
    <row r="1088" spans="1:10" x14ac:dyDescent="0.25">
      <c r="A1088" s="1">
        <v>421</v>
      </c>
      <c r="B1088" t="s">
        <v>19</v>
      </c>
      <c r="C1088">
        <v>61</v>
      </c>
      <c r="D1088">
        <v>2</v>
      </c>
      <c r="E1088" t="s">
        <v>84</v>
      </c>
      <c r="F1088" t="s">
        <v>85</v>
      </c>
      <c r="G1088" t="str">
        <f>"2026-01-28 19:13:51.373"</f>
        <v>2026-01-28 19:13:51.373</v>
      </c>
      <c r="H1088" t="s">
        <v>26</v>
      </c>
    </row>
    <row r="1089" spans="1:10" x14ac:dyDescent="0.25">
      <c r="A1089" s="1">
        <v>422</v>
      </c>
      <c r="B1089" t="s">
        <v>28</v>
      </c>
      <c r="C1089">
        <v>61</v>
      </c>
      <c r="D1089">
        <v>2</v>
      </c>
      <c r="E1089" t="s">
        <v>84</v>
      </c>
      <c r="F1089" t="s">
        <v>85</v>
      </c>
      <c r="G1089" t="str">
        <f>"2026-01-28 19:13:26.373"</f>
        <v>2026-01-28 19:13:26.373</v>
      </c>
      <c r="H1089" t="s">
        <v>26</v>
      </c>
      <c r="I1089">
        <v>30.59</v>
      </c>
      <c r="J1089" t="s">
        <v>29</v>
      </c>
    </row>
    <row r="1090" spans="1:10" x14ac:dyDescent="0.25">
      <c r="A1090" s="1">
        <v>423</v>
      </c>
      <c r="B1090" t="s">
        <v>23</v>
      </c>
      <c r="C1090">
        <v>700</v>
      </c>
      <c r="D1090">
        <v>0</v>
      </c>
      <c r="E1090" t="s">
        <v>37</v>
      </c>
      <c r="F1090" t="s">
        <v>37</v>
      </c>
      <c r="G1090" t="str">
        <f>"2026-01-28 13:37:59.452"</f>
        <v>2026-01-28 13:37:59.452</v>
      </c>
      <c r="H1090" t="s">
        <v>26</v>
      </c>
    </row>
    <row r="1091" spans="1:10" x14ac:dyDescent="0.25">
      <c r="A1091" s="1">
        <v>424</v>
      </c>
      <c r="B1091" t="s">
        <v>19</v>
      </c>
      <c r="C1091">
        <v>61</v>
      </c>
      <c r="D1091">
        <v>2</v>
      </c>
      <c r="E1091" t="s">
        <v>84</v>
      </c>
      <c r="F1091" t="s">
        <v>85</v>
      </c>
      <c r="G1091" t="str">
        <f>"2026-01-26 19:39:29.254"</f>
        <v>2026-01-26 19:39:29.254</v>
      </c>
      <c r="H1091" t="s">
        <v>26</v>
      </c>
    </row>
    <row r="1092" spans="1:10" x14ac:dyDescent="0.25">
      <c r="A1092" s="1">
        <v>425</v>
      </c>
      <c r="B1092" t="s">
        <v>28</v>
      </c>
      <c r="C1092">
        <v>61</v>
      </c>
      <c r="D1092">
        <v>2</v>
      </c>
      <c r="E1092" t="s">
        <v>84</v>
      </c>
      <c r="F1092" t="s">
        <v>85</v>
      </c>
      <c r="G1092" t="str">
        <f>"2026-01-26 19:39:14.554"</f>
        <v>2026-01-26 19:39:14.554</v>
      </c>
      <c r="H1092" t="s">
        <v>26</v>
      </c>
      <c r="I1092">
        <v>30.23</v>
      </c>
      <c r="J1092" t="s">
        <v>29</v>
      </c>
    </row>
    <row r="1093" spans="1:10" x14ac:dyDescent="0.25">
      <c r="A1093" s="1">
        <v>426</v>
      </c>
      <c r="B1093" t="s">
        <v>23</v>
      </c>
      <c r="C1093">
        <v>700</v>
      </c>
      <c r="D1093">
        <v>0</v>
      </c>
      <c r="E1093" t="s">
        <v>37</v>
      </c>
      <c r="F1093" t="s">
        <v>37</v>
      </c>
      <c r="G1093" t="str">
        <f>"2026-01-26 14:13:52.443"</f>
        <v>2026-01-26 14:13:52.443</v>
      </c>
      <c r="H1093" t="s">
        <v>26</v>
      </c>
      <c r="I1093">
        <v>0</v>
      </c>
      <c r="J1093" t="s">
        <v>43</v>
      </c>
    </row>
    <row r="1094" spans="1:10" x14ac:dyDescent="0.25">
      <c r="A1094" s="1">
        <v>427</v>
      </c>
      <c r="B1094" t="s">
        <v>23</v>
      </c>
      <c r="C1094">
        <v>700</v>
      </c>
      <c r="D1094">
        <v>0</v>
      </c>
      <c r="E1094" t="s">
        <v>37</v>
      </c>
      <c r="F1094" t="s">
        <v>37</v>
      </c>
      <c r="G1094" t="str">
        <f>"2026-01-26 13:18:36.456"</f>
        <v>2026-01-26 13:18:36.456</v>
      </c>
      <c r="H1094" t="s">
        <v>26</v>
      </c>
      <c r="I1094">
        <v>0</v>
      </c>
      <c r="J1094" t="s">
        <v>43</v>
      </c>
    </row>
    <row r="1095" spans="1:10" x14ac:dyDescent="0.25">
      <c r="A1095" s="1">
        <v>428</v>
      </c>
      <c r="B1095" t="s">
        <v>23</v>
      </c>
      <c r="C1095">
        <v>700</v>
      </c>
      <c r="D1095">
        <v>0</v>
      </c>
      <c r="E1095" t="s">
        <v>37</v>
      </c>
      <c r="F1095" t="s">
        <v>37</v>
      </c>
      <c r="G1095" t="str">
        <f>"2026-01-26 08:13:33.446"</f>
        <v>2026-01-26 08:13:33.446</v>
      </c>
      <c r="H1095" t="s">
        <v>26</v>
      </c>
    </row>
    <row r="1096" spans="1:10" x14ac:dyDescent="0.25">
      <c r="A1096" s="1">
        <v>429</v>
      </c>
      <c r="B1096" t="s">
        <v>23</v>
      </c>
      <c r="C1096">
        <v>706</v>
      </c>
      <c r="D1096">
        <v>4</v>
      </c>
      <c r="E1096" t="s">
        <v>24</v>
      </c>
      <c r="F1096" t="s">
        <v>25</v>
      </c>
      <c r="G1096" t="str">
        <f>"2026-01-26 03:17:55.977"</f>
        <v>2026-01-26 03:17:55.977</v>
      </c>
      <c r="H1096" t="s">
        <v>26</v>
      </c>
      <c r="I1096">
        <v>17.71</v>
      </c>
      <c r="J1096" t="s">
        <v>29</v>
      </c>
    </row>
    <row r="1097" spans="1:10" x14ac:dyDescent="0.25">
      <c r="A1097" s="1">
        <v>430</v>
      </c>
      <c r="B1097" t="s">
        <v>23</v>
      </c>
      <c r="C1097">
        <v>706</v>
      </c>
      <c r="D1097">
        <v>4</v>
      </c>
      <c r="E1097" t="s">
        <v>24</v>
      </c>
      <c r="F1097" t="s">
        <v>25</v>
      </c>
      <c r="G1097" t="str">
        <f>"2026-01-26 03:16:54.647"</f>
        <v>2026-01-26 03:16:54.647</v>
      </c>
      <c r="H1097" t="s">
        <v>26</v>
      </c>
      <c r="I1097">
        <v>20.14</v>
      </c>
      <c r="J1097" t="s">
        <v>29</v>
      </c>
    </row>
    <row r="1098" spans="1:10" x14ac:dyDescent="0.25">
      <c r="A1098" s="1">
        <v>431</v>
      </c>
      <c r="B1098" t="s">
        <v>23</v>
      </c>
      <c r="C1098">
        <v>706</v>
      </c>
      <c r="D1098">
        <v>4</v>
      </c>
      <c r="E1098" t="s">
        <v>24</v>
      </c>
      <c r="F1098" t="s">
        <v>25</v>
      </c>
      <c r="G1098" t="str">
        <f>"2026-01-26 01:30:58.637"</f>
        <v>2026-01-26 01:30:58.637</v>
      </c>
      <c r="H1098" t="s">
        <v>26</v>
      </c>
      <c r="I1098">
        <v>16.66</v>
      </c>
      <c r="J1098" t="s">
        <v>29</v>
      </c>
    </row>
    <row r="1099" spans="1:10" x14ac:dyDescent="0.25">
      <c r="A1099" s="1">
        <v>432</v>
      </c>
      <c r="B1099" t="s">
        <v>23</v>
      </c>
      <c r="C1099">
        <v>706</v>
      </c>
      <c r="D1099">
        <v>4</v>
      </c>
      <c r="E1099" t="s">
        <v>24</v>
      </c>
      <c r="F1099" t="s">
        <v>25</v>
      </c>
      <c r="G1099" t="str">
        <f>"2026-01-25 18:16:04.477"</f>
        <v>2026-01-25 18:16:04.477</v>
      </c>
      <c r="H1099" t="s">
        <v>26</v>
      </c>
      <c r="I1099">
        <v>-1.1599999999999999</v>
      </c>
      <c r="J1099" t="s">
        <v>29</v>
      </c>
    </row>
    <row r="1100" spans="1:10" s="3" customFormat="1" x14ac:dyDescent="0.25">
      <c r="A1100" s="2">
        <v>433</v>
      </c>
      <c r="B1100" s="3" t="s">
        <v>19</v>
      </c>
      <c r="C1100" s="3">
        <v>647</v>
      </c>
      <c r="D1100" s="3">
        <v>1</v>
      </c>
      <c r="E1100" s="3" t="s">
        <v>69</v>
      </c>
      <c r="F1100" s="3" t="s">
        <v>70</v>
      </c>
      <c r="G1100" s="3" t="str">
        <f>"2026-01-25 12:05:02.954"</f>
        <v>2026-01-25 12:05:02.954</v>
      </c>
      <c r="H1100" s="3" t="s">
        <v>26</v>
      </c>
    </row>
    <row r="1101" spans="1:10" s="3" customFormat="1" x14ac:dyDescent="0.25">
      <c r="A1101" s="2">
        <v>434</v>
      </c>
      <c r="B1101" s="3" t="s">
        <v>38</v>
      </c>
      <c r="C1101" s="3">
        <v>647</v>
      </c>
      <c r="D1101" s="3">
        <v>1</v>
      </c>
      <c r="E1101" s="3" t="s">
        <v>69</v>
      </c>
      <c r="F1101" s="3" t="s">
        <v>70</v>
      </c>
      <c r="G1101" s="3" t="str">
        <f>"2026-01-25 12:04:59.454"</f>
        <v>2026-01-25 12:04:59.454</v>
      </c>
      <c r="H1101" s="3" t="s">
        <v>26</v>
      </c>
      <c r="I1101" s="3">
        <v>22.21</v>
      </c>
      <c r="J1101" s="3" t="s">
        <v>29</v>
      </c>
    </row>
    <row r="1102" spans="1:10" x14ac:dyDescent="0.25">
      <c r="A1102" s="1">
        <v>435</v>
      </c>
      <c r="B1102" t="s">
        <v>23</v>
      </c>
      <c r="C1102">
        <v>706</v>
      </c>
      <c r="D1102">
        <v>4</v>
      </c>
      <c r="E1102" t="s">
        <v>24</v>
      </c>
      <c r="F1102" t="s">
        <v>25</v>
      </c>
      <c r="G1102" t="str">
        <f>"2026-01-25 11:48:11.257"</f>
        <v>2026-01-25 11:48:11.257</v>
      </c>
      <c r="H1102" t="s">
        <v>26</v>
      </c>
      <c r="I1102">
        <v>15.12</v>
      </c>
      <c r="J1102" t="s">
        <v>42</v>
      </c>
    </row>
    <row r="1103" spans="1:10" x14ac:dyDescent="0.25">
      <c r="A1103" s="1">
        <v>436</v>
      </c>
      <c r="B1103" t="s">
        <v>23</v>
      </c>
      <c r="C1103">
        <v>706</v>
      </c>
      <c r="D1103">
        <v>4</v>
      </c>
      <c r="E1103" t="s">
        <v>24</v>
      </c>
      <c r="F1103" t="s">
        <v>25</v>
      </c>
      <c r="G1103" t="str">
        <f>"2026-01-25 11:38:58.136"</f>
        <v>2026-01-25 11:38:58.136</v>
      </c>
      <c r="H1103" t="s">
        <v>26</v>
      </c>
      <c r="I1103">
        <v>6.38</v>
      </c>
      <c r="J1103" t="s">
        <v>29</v>
      </c>
    </row>
    <row r="1104" spans="1:10" x14ac:dyDescent="0.25">
      <c r="A1104" s="1">
        <v>437</v>
      </c>
      <c r="B1104" t="s">
        <v>23</v>
      </c>
      <c r="C1104">
        <v>706</v>
      </c>
      <c r="D1104">
        <v>4</v>
      </c>
      <c r="E1104" t="s">
        <v>24</v>
      </c>
      <c r="F1104" t="s">
        <v>25</v>
      </c>
      <c r="G1104" t="str">
        <f>"2026-01-25 11:36:38.707"</f>
        <v>2026-01-25 11:36:38.707</v>
      </c>
      <c r="H1104" t="s">
        <v>26</v>
      </c>
      <c r="I1104">
        <v>0</v>
      </c>
      <c r="J1104" t="s">
        <v>31</v>
      </c>
    </row>
    <row r="1105" spans="1:10" x14ac:dyDescent="0.25">
      <c r="A1105" s="1">
        <v>438</v>
      </c>
      <c r="B1105" t="s">
        <v>23</v>
      </c>
      <c r="C1105">
        <v>706</v>
      </c>
      <c r="D1105">
        <v>4</v>
      </c>
      <c r="E1105" t="s">
        <v>24</v>
      </c>
      <c r="F1105" t="s">
        <v>25</v>
      </c>
      <c r="G1105" t="str">
        <f>"2026-01-25 11:34:18.437"</f>
        <v>2026-01-25 11:34:18.437</v>
      </c>
      <c r="H1105" t="s">
        <v>26</v>
      </c>
      <c r="I1105">
        <v>13.45</v>
      </c>
      <c r="J1105" t="s">
        <v>29</v>
      </c>
    </row>
    <row r="1106" spans="1:10" x14ac:dyDescent="0.25">
      <c r="A1106" s="1">
        <v>439</v>
      </c>
      <c r="B1106" t="s">
        <v>23</v>
      </c>
      <c r="C1106">
        <v>706</v>
      </c>
      <c r="D1106">
        <v>4</v>
      </c>
      <c r="E1106" t="s">
        <v>24</v>
      </c>
      <c r="F1106" t="s">
        <v>25</v>
      </c>
      <c r="G1106" t="str">
        <f>"2026-01-25 10:27:41.037"</f>
        <v>2026-01-25 10:27:41.037</v>
      </c>
      <c r="H1106" t="s">
        <v>26</v>
      </c>
      <c r="I1106">
        <v>19.670000000000002</v>
      </c>
      <c r="J1106" t="s">
        <v>42</v>
      </c>
    </row>
    <row r="1107" spans="1:10" x14ac:dyDescent="0.25">
      <c r="A1107" s="1">
        <v>440</v>
      </c>
      <c r="B1107" t="s">
        <v>23</v>
      </c>
      <c r="C1107">
        <v>706</v>
      </c>
      <c r="D1107">
        <v>4</v>
      </c>
      <c r="E1107" t="s">
        <v>24</v>
      </c>
      <c r="F1107" t="s">
        <v>25</v>
      </c>
      <c r="G1107" t="str">
        <f>"2026-01-25 10:27:32.687"</f>
        <v>2026-01-25 10:27:32.687</v>
      </c>
      <c r="H1107" t="s">
        <v>26</v>
      </c>
      <c r="I1107">
        <v>18.88</v>
      </c>
      <c r="J1107" t="s">
        <v>42</v>
      </c>
    </row>
    <row r="1108" spans="1:10" x14ac:dyDescent="0.25">
      <c r="A1108" s="1">
        <v>441</v>
      </c>
      <c r="B1108" t="s">
        <v>23</v>
      </c>
      <c r="C1108">
        <v>706</v>
      </c>
      <c r="D1108">
        <v>4</v>
      </c>
      <c r="E1108" t="s">
        <v>24</v>
      </c>
      <c r="F1108" t="s">
        <v>25</v>
      </c>
      <c r="G1108" t="str">
        <f>"2026-01-25 10:22:53.847"</f>
        <v>2026-01-25 10:22:53.847</v>
      </c>
      <c r="H1108" t="s">
        <v>26</v>
      </c>
      <c r="I1108">
        <v>20.39</v>
      </c>
      <c r="J1108" t="s">
        <v>42</v>
      </c>
    </row>
    <row r="1109" spans="1:10" x14ac:dyDescent="0.25">
      <c r="A1109" s="1">
        <v>442</v>
      </c>
      <c r="B1109" t="s">
        <v>23</v>
      </c>
      <c r="C1109">
        <v>706</v>
      </c>
      <c r="D1109">
        <v>4</v>
      </c>
      <c r="E1109" t="s">
        <v>24</v>
      </c>
      <c r="F1109" t="s">
        <v>25</v>
      </c>
      <c r="G1109" t="str">
        <f>"2026-01-25 10:22:13.887"</f>
        <v>2026-01-25 10:22:13.887</v>
      </c>
      <c r="H1109" t="s">
        <v>26</v>
      </c>
      <c r="I1109">
        <v>18.93</v>
      </c>
      <c r="J1109" t="s">
        <v>42</v>
      </c>
    </row>
    <row r="1110" spans="1:10" x14ac:dyDescent="0.25">
      <c r="A1110" s="1">
        <v>443</v>
      </c>
      <c r="B1110" t="s">
        <v>23</v>
      </c>
      <c r="C1110">
        <v>706</v>
      </c>
      <c r="D1110">
        <v>4</v>
      </c>
      <c r="E1110" t="s">
        <v>24</v>
      </c>
      <c r="F1110" t="s">
        <v>25</v>
      </c>
      <c r="G1110" t="str">
        <f>"2026-01-25 10:19:35.887"</f>
        <v>2026-01-25 10:19:35.887</v>
      </c>
      <c r="H1110" t="s">
        <v>26</v>
      </c>
      <c r="I1110">
        <v>7.94</v>
      </c>
      <c r="J1110" t="s">
        <v>42</v>
      </c>
    </row>
    <row r="1111" spans="1:10" x14ac:dyDescent="0.25">
      <c r="A1111" s="1">
        <v>444</v>
      </c>
      <c r="B1111" t="s">
        <v>23</v>
      </c>
      <c r="C1111">
        <v>706</v>
      </c>
      <c r="D1111">
        <v>4</v>
      </c>
      <c r="E1111" t="s">
        <v>24</v>
      </c>
      <c r="F1111" t="s">
        <v>25</v>
      </c>
      <c r="G1111" t="str">
        <f>"2026-01-25 08:14:36.307"</f>
        <v>2026-01-25 08:14:36.307</v>
      </c>
      <c r="H1111" t="s">
        <v>26</v>
      </c>
      <c r="I1111">
        <v>11.2</v>
      </c>
      <c r="J1111" t="s">
        <v>42</v>
      </c>
    </row>
    <row r="1112" spans="1:10" x14ac:dyDescent="0.25">
      <c r="A1112" s="1">
        <v>445</v>
      </c>
      <c r="B1112" t="s">
        <v>23</v>
      </c>
      <c r="C1112">
        <v>706</v>
      </c>
      <c r="D1112">
        <v>4</v>
      </c>
      <c r="E1112" t="s">
        <v>24</v>
      </c>
      <c r="F1112" t="s">
        <v>25</v>
      </c>
      <c r="G1112" t="str">
        <f>"2026-01-25 08:12:50.247"</f>
        <v>2026-01-25 08:12:50.247</v>
      </c>
      <c r="H1112" t="s">
        <v>26</v>
      </c>
      <c r="I1112">
        <v>18.559999999999999</v>
      </c>
      <c r="J1112" t="s">
        <v>29</v>
      </c>
    </row>
    <row r="1113" spans="1:10" x14ac:dyDescent="0.25">
      <c r="A1113" s="1">
        <v>446</v>
      </c>
      <c r="B1113" t="s">
        <v>23</v>
      </c>
      <c r="C1113">
        <v>706</v>
      </c>
      <c r="D1113">
        <v>4</v>
      </c>
      <c r="E1113" t="s">
        <v>24</v>
      </c>
      <c r="F1113" t="s">
        <v>25</v>
      </c>
      <c r="G1113" t="str">
        <f>"2026-01-25 08:07:13.977"</f>
        <v>2026-01-25 08:07:13.977</v>
      </c>
      <c r="H1113" t="s">
        <v>26</v>
      </c>
      <c r="I1113">
        <v>19.11</v>
      </c>
      <c r="J1113" t="s">
        <v>42</v>
      </c>
    </row>
    <row r="1114" spans="1:10" x14ac:dyDescent="0.25">
      <c r="A1114" s="1">
        <v>448</v>
      </c>
      <c r="B1114" t="s">
        <v>23</v>
      </c>
      <c r="C1114">
        <v>706</v>
      </c>
      <c r="D1114">
        <v>4</v>
      </c>
      <c r="E1114" t="s">
        <v>24</v>
      </c>
      <c r="F1114" t="s">
        <v>25</v>
      </c>
      <c r="G1114" t="str">
        <f>"2026-01-25 06:54:06.857"</f>
        <v>2026-01-25 06:54:06.857</v>
      </c>
      <c r="H1114" t="s">
        <v>26</v>
      </c>
      <c r="I1114">
        <v>19.5</v>
      </c>
      <c r="J1114" t="s">
        <v>42</v>
      </c>
    </row>
    <row r="1115" spans="1:10" x14ac:dyDescent="0.25">
      <c r="A1115" s="1">
        <v>449</v>
      </c>
      <c r="B1115" t="s">
        <v>23</v>
      </c>
      <c r="C1115">
        <v>706</v>
      </c>
      <c r="D1115">
        <v>4</v>
      </c>
      <c r="E1115" t="s">
        <v>24</v>
      </c>
      <c r="F1115" t="s">
        <v>25</v>
      </c>
      <c r="G1115" t="str">
        <f>"2026-01-25 06:53:52.667"</f>
        <v>2026-01-25 06:53:52.667</v>
      </c>
      <c r="H1115" t="s">
        <v>26</v>
      </c>
      <c r="I1115">
        <v>26.29</v>
      </c>
      <c r="J1115" t="s">
        <v>29</v>
      </c>
    </row>
    <row r="1116" spans="1:10" x14ac:dyDescent="0.25">
      <c r="A1116" s="1">
        <v>451</v>
      </c>
      <c r="B1116" t="s">
        <v>23</v>
      </c>
      <c r="C1116">
        <v>706</v>
      </c>
      <c r="D1116">
        <v>4</v>
      </c>
      <c r="E1116" t="s">
        <v>24</v>
      </c>
      <c r="F1116" t="s">
        <v>25</v>
      </c>
      <c r="G1116" t="str">
        <f>"2026-01-24 11:35:04.167"</f>
        <v>2026-01-24 11:35:04.167</v>
      </c>
      <c r="H1116" t="s">
        <v>26</v>
      </c>
      <c r="I1116">
        <v>14.08</v>
      </c>
      <c r="J1116" t="s">
        <v>42</v>
      </c>
    </row>
    <row r="1117" spans="1:10" x14ac:dyDescent="0.25">
      <c r="A1117" s="1">
        <v>453</v>
      </c>
      <c r="B1117" t="s">
        <v>23</v>
      </c>
      <c r="C1117">
        <v>706</v>
      </c>
      <c r="D1117">
        <v>4</v>
      </c>
      <c r="E1117" t="s">
        <v>24</v>
      </c>
      <c r="F1117" t="s">
        <v>25</v>
      </c>
      <c r="G1117" t="str">
        <f>"2026-01-23 16:50:42.287"</f>
        <v>2026-01-23 16:50:42.287</v>
      </c>
      <c r="H1117" t="s">
        <v>26</v>
      </c>
      <c r="I1117">
        <v>18.739999999999998</v>
      </c>
      <c r="J1117" t="s">
        <v>29</v>
      </c>
    </row>
    <row r="1118" spans="1:10" x14ac:dyDescent="0.25">
      <c r="A1118" s="1">
        <v>454</v>
      </c>
      <c r="B1118" t="s">
        <v>19</v>
      </c>
      <c r="C1118">
        <v>635</v>
      </c>
      <c r="D1118">
        <v>1</v>
      </c>
      <c r="E1118" t="s">
        <v>40</v>
      </c>
      <c r="F1118" t="s">
        <v>41</v>
      </c>
      <c r="G1118" t="str">
        <f>"2026-01-23 16:40:30.606"</f>
        <v>2026-01-23 16:40:30.606</v>
      </c>
      <c r="H1118" t="s">
        <v>26</v>
      </c>
    </row>
    <row r="1119" spans="1:10" x14ac:dyDescent="0.25">
      <c r="A1119" s="1">
        <v>455</v>
      </c>
      <c r="B1119" t="s">
        <v>38</v>
      </c>
      <c r="C1119">
        <v>635</v>
      </c>
      <c r="D1119">
        <v>1</v>
      </c>
      <c r="E1119" t="s">
        <v>40</v>
      </c>
      <c r="F1119" t="s">
        <v>41</v>
      </c>
      <c r="G1119" t="str">
        <f>"2026-01-23 16:37:49.606"</f>
        <v>2026-01-23 16:37:49.606</v>
      </c>
      <c r="H1119" t="s">
        <v>26</v>
      </c>
      <c r="I1119">
        <v>0</v>
      </c>
      <c r="J1119" t="s">
        <v>31</v>
      </c>
    </row>
    <row r="1120" spans="1:10" x14ac:dyDescent="0.25">
      <c r="A1120" s="1">
        <v>457</v>
      </c>
      <c r="B1120" t="s">
        <v>23</v>
      </c>
      <c r="C1120">
        <v>706</v>
      </c>
      <c r="D1120">
        <v>4</v>
      </c>
      <c r="E1120" t="s">
        <v>24</v>
      </c>
      <c r="F1120" t="s">
        <v>25</v>
      </c>
      <c r="G1120" t="str">
        <f>"2026-01-23 03:01:02.747"</f>
        <v>2026-01-23 03:01:02.747</v>
      </c>
      <c r="H1120" t="s">
        <v>26</v>
      </c>
      <c r="I1120">
        <v>26.12</v>
      </c>
      <c r="J1120" t="s">
        <v>29</v>
      </c>
    </row>
    <row r="1121" spans="1:10" x14ac:dyDescent="0.25">
      <c r="A1121" s="1">
        <v>458</v>
      </c>
      <c r="B1121" t="s">
        <v>23</v>
      </c>
      <c r="C1121">
        <v>706</v>
      </c>
      <c r="D1121">
        <v>4</v>
      </c>
      <c r="E1121" t="s">
        <v>24</v>
      </c>
      <c r="F1121" t="s">
        <v>25</v>
      </c>
      <c r="G1121" t="str">
        <f>"2026-01-22 22:26:59.797"</f>
        <v>2026-01-22 22:26:59.797</v>
      </c>
      <c r="H1121" t="s">
        <v>26</v>
      </c>
      <c r="I1121">
        <v>19.579999999999998</v>
      </c>
      <c r="J1121" t="s">
        <v>42</v>
      </c>
    </row>
    <row r="1122" spans="1:10" x14ac:dyDescent="0.25">
      <c r="A1122" s="1">
        <v>459</v>
      </c>
      <c r="B1122" t="s">
        <v>23</v>
      </c>
      <c r="C1122">
        <v>706</v>
      </c>
      <c r="D1122">
        <v>4</v>
      </c>
      <c r="E1122" t="s">
        <v>24</v>
      </c>
      <c r="F1122" t="s">
        <v>25</v>
      </c>
      <c r="G1122" t="str">
        <f>"2026-01-22 22:15:54.227"</f>
        <v>2026-01-22 22:15:54.227</v>
      </c>
      <c r="H1122" t="s">
        <v>26</v>
      </c>
      <c r="I1122">
        <v>14.24</v>
      </c>
      <c r="J1122" t="s">
        <v>42</v>
      </c>
    </row>
    <row r="1123" spans="1:10" x14ac:dyDescent="0.25">
      <c r="A1123" s="1">
        <v>460</v>
      </c>
      <c r="B1123" t="s">
        <v>23</v>
      </c>
      <c r="C1123">
        <v>706</v>
      </c>
      <c r="D1123">
        <v>4</v>
      </c>
      <c r="E1123" t="s">
        <v>24</v>
      </c>
      <c r="F1123" t="s">
        <v>25</v>
      </c>
      <c r="G1123" t="str">
        <f>"2026-01-22 22:15:13.017"</f>
        <v>2026-01-22 22:15:13.017</v>
      </c>
      <c r="H1123" t="s">
        <v>26</v>
      </c>
      <c r="I1123">
        <v>18.72</v>
      </c>
      <c r="J1123" t="s">
        <v>42</v>
      </c>
    </row>
    <row r="1124" spans="1:10" x14ac:dyDescent="0.25">
      <c r="A1124" s="1">
        <v>461</v>
      </c>
      <c r="B1124" t="s">
        <v>23</v>
      </c>
      <c r="C1124">
        <v>706</v>
      </c>
      <c r="D1124">
        <v>4</v>
      </c>
      <c r="E1124" t="s">
        <v>24</v>
      </c>
      <c r="F1124" t="s">
        <v>25</v>
      </c>
      <c r="G1124" t="str">
        <f>"2026-01-22 22:14:37.597"</f>
        <v>2026-01-22 22:14:37.597</v>
      </c>
      <c r="H1124" t="s">
        <v>26</v>
      </c>
      <c r="I1124">
        <v>16.690000000000001</v>
      </c>
      <c r="J1124" t="s">
        <v>42</v>
      </c>
    </row>
    <row r="1125" spans="1:10" x14ac:dyDescent="0.25">
      <c r="A1125" s="1">
        <v>462</v>
      </c>
      <c r="B1125" t="s">
        <v>23</v>
      </c>
      <c r="C1125">
        <v>706</v>
      </c>
      <c r="D1125">
        <v>4</v>
      </c>
      <c r="E1125" t="s">
        <v>24</v>
      </c>
      <c r="F1125" t="s">
        <v>25</v>
      </c>
      <c r="G1125" t="str">
        <f>"2026-01-22 22:14:31.727"</f>
        <v>2026-01-22 22:14:31.727</v>
      </c>
      <c r="H1125" t="s">
        <v>26</v>
      </c>
      <c r="I1125">
        <v>18.809999999999999</v>
      </c>
      <c r="J1125" t="s">
        <v>42</v>
      </c>
    </row>
    <row r="1126" spans="1:10" x14ac:dyDescent="0.25">
      <c r="A1126" s="1">
        <v>463</v>
      </c>
      <c r="B1126" t="s">
        <v>23</v>
      </c>
      <c r="C1126">
        <v>706</v>
      </c>
      <c r="D1126">
        <v>4</v>
      </c>
      <c r="E1126" t="s">
        <v>24</v>
      </c>
      <c r="F1126" t="s">
        <v>25</v>
      </c>
      <c r="G1126" t="str">
        <f>"2026-01-22 21:52:24.177"</f>
        <v>2026-01-22 21:52:24.177</v>
      </c>
      <c r="H1126" t="s">
        <v>26</v>
      </c>
      <c r="I1126">
        <v>19.87</v>
      </c>
      <c r="J1126" t="s">
        <v>29</v>
      </c>
    </row>
    <row r="1127" spans="1:10" x14ac:dyDescent="0.25">
      <c r="A1127" s="1">
        <v>464</v>
      </c>
      <c r="B1127" t="s">
        <v>23</v>
      </c>
      <c r="C1127">
        <v>706</v>
      </c>
      <c r="D1127">
        <v>4</v>
      </c>
      <c r="E1127" t="s">
        <v>24</v>
      </c>
      <c r="F1127" t="s">
        <v>25</v>
      </c>
      <c r="G1127" t="str">
        <f>"2026-01-22 21:47:13.017"</f>
        <v>2026-01-22 21:47:13.017</v>
      </c>
      <c r="H1127" t="s">
        <v>26</v>
      </c>
      <c r="I1127">
        <v>-2.02</v>
      </c>
      <c r="J1127" t="s">
        <v>29</v>
      </c>
    </row>
    <row r="1128" spans="1:10" x14ac:dyDescent="0.25">
      <c r="A1128" s="1">
        <v>465</v>
      </c>
      <c r="B1128" t="s">
        <v>23</v>
      </c>
      <c r="C1128">
        <v>706</v>
      </c>
      <c r="D1128">
        <v>4</v>
      </c>
      <c r="E1128" t="s">
        <v>24</v>
      </c>
      <c r="F1128" t="s">
        <v>25</v>
      </c>
      <c r="G1128" t="str">
        <f>"2026-01-22 21:45:23.287"</f>
        <v>2026-01-22 21:45:23.287</v>
      </c>
      <c r="H1128" t="s">
        <v>26</v>
      </c>
      <c r="I1128">
        <v>19.04</v>
      </c>
      <c r="J1128" t="s">
        <v>42</v>
      </c>
    </row>
    <row r="1129" spans="1:10" x14ac:dyDescent="0.25">
      <c r="A1129" s="1">
        <v>466</v>
      </c>
      <c r="B1129" t="s">
        <v>23</v>
      </c>
      <c r="C1129">
        <v>706</v>
      </c>
      <c r="D1129">
        <v>4</v>
      </c>
      <c r="E1129" t="s">
        <v>24</v>
      </c>
      <c r="F1129" t="s">
        <v>25</v>
      </c>
      <c r="G1129" t="str">
        <f>"2026-01-22 21:39:33.897"</f>
        <v>2026-01-22 21:39:33.897</v>
      </c>
      <c r="H1129" t="s">
        <v>26</v>
      </c>
      <c r="I1129">
        <v>15.03</v>
      </c>
      <c r="J1129" t="s">
        <v>42</v>
      </c>
    </row>
    <row r="1130" spans="1:10" x14ac:dyDescent="0.25">
      <c r="A1130" s="1">
        <v>467</v>
      </c>
      <c r="B1130" t="s">
        <v>23</v>
      </c>
      <c r="C1130">
        <v>706</v>
      </c>
      <c r="D1130">
        <v>4</v>
      </c>
      <c r="E1130" t="s">
        <v>24</v>
      </c>
      <c r="F1130" t="s">
        <v>25</v>
      </c>
      <c r="G1130" t="str">
        <f>"2026-01-22 21:39:13.237"</f>
        <v>2026-01-22 21:39:13.237</v>
      </c>
      <c r="H1130" t="s">
        <v>26</v>
      </c>
      <c r="I1130">
        <v>9.09</v>
      </c>
      <c r="J1130" t="s">
        <v>42</v>
      </c>
    </row>
    <row r="1131" spans="1:10" x14ac:dyDescent="0.25">
      <c r="A1131" s="1">
        <v>468</v>
      </c>
      <c r="B1131" t="s">
        <v>23</v>
      </c>
      <c r="C1131">
        <v>706</v>
      </c>
      <c r="D1131">
        <v>4</v>
      </c>
      <c r="E1131" t="s">
        <v>24</v>
      </c>
      <c r="F1131" t="s">
        <v>25</v>
      </c>
      <c r="G1131" t="str">
        <f>"2026-01-22 21:26:44.117"</f>
        <v>2026-01-22 21:26:44.117</v>
      </c>
      <c r="H1131" t="s">
        <v>26</v>
      </c>
      <c r="I1131">
        <v>13.25</v>
      </c>
      <c r="J1131" t="s">
        <v>42</v>
      </c>
    </row>
    <row r="1132" spans="1:10" x14ac:dyDescent="0.25">
      <c r="A1132" s="1">
        <v>469</v>
      </c>
      <c r="B1132" t="s">
        <v>23</v>
      </c>
      <c r="C1132">
        <v>706</v>
      </c>
      <c r="D1132">
        <v>4</v>
      </c>
      <c r="E1132" t="s">
        <v>24</v>
      </c>
      <c r="F1132" t="s">
        <v>25</v>
      </c>
      <c r="G1132" t="str">
        <f>"2026-01-22 21:18:54.537"</f>
        <v>2026-01-22 21:18:54.537</v>
      </c>
      <c r="H1132" t="s">
        <v>26</v>
      </c>
      <c r="I1132">
        <v>17.73</v>
      </c>
      <c r="J1132" t="s">
        <v>42</v>
      </c>
    </row>
    <row r="1133" spans="1:10" x14ac:dyDescent="0.25">
      <c r="A1133" s="1">
        <v>470</v>
      </c>
      <c r="B1133" t="s">
        <v>23</v>
      </c>
      <c r="C1133">
        <v>706</v>
      </c>
      <c r="D1133">
        <v>4</v>
      </c>
      <c r="E1133" t="s">
        <v>24</v>
      </c>
      <c r="F1133" t="s">
        <v>25</v>
      </c>
      <c r="G1133" t="str">
        <f>"2026-01-22 21:16:20.747"</f>
        <v>2026-01-22 21:16:20.747</v>
      </c>
      <c r="H1133" t="s">
        <v>26</v>
      </c>
      <c r="I1133">
        <v>10.29</v>
      </c>
      <c r="J1133" t="s">
        <v>42</v>
      </c>
    </row>
    <row r="1134" spans="1:10" x14ac:dyDescent="0.25">
      <c r="A1134" s="1">
        <v>471</v>
      </c>
      <c r="B1134" t="s">
        <v>23</v>
      </c>
      <c r="C1134">
        <v>706</v>
      </c>
      <c r="D1134">
        <v>4</v>
      </c>
      <c r="E1134" t="s">
        <v>24</v>
      </c>
      <c r="F1134" t="s">
        <v>25</v>
      </c>
      <c r="G1134" t="str">
        <f>"2026-01-22 21:15:59.397"</f>
        <v>2026-01-22 21:15:59.397</v>
      </c>
      <c r="H1134" t="s">
        <v>26</v>
      </c>
      <c r="I1134">
        <v>15.58</v>
      </c>
      <c r="J1134" t="s">
        <v>42</v>
      </c>
    </row>
    <row r="1135" spans="1:10" x14ac:dyDescent="0.25">
      <c r="A1135" s="1">
        <v>472</v>
      </c>
      <c r="B1135" t="s">
        <v>23</v>
      </c>
      <c r="C1135">
        <v>706</v>
      </c>
      <c r="D1135">
        <v>4</v>
      </c>
      <c r="E1135" t="s">
        <v>24</v>
      </c>
      <c r="F1135" t="s">
        <v>25</v>
      </c>
      <c r="G1135" t="str">
        <f>"2026-01-22 21:15:23.637"</f>
        <v>2026-01-22 21:15:23.637</v>
      </c>
      <c r="H1135" t="s">
        <v>26</v>
      </c>
      <c r="I1135">
        <v>20.399999999999999</v>
      </c>
      <c r="J1135" t="s">
        <v>42</v>
      </c>
    </row>
    <row r="1136" spans="1:10" x14ac:dyDescent="0.25">
      <c r="A1136" s="1">
        <v>473</v>
      </c>
      <c r="B1136" t="s">
        <v>23</v>
      </c>
      <c r="C1136">
        <v>706</v>
      </c>
      <c r="D1136">
        <v>4</v>
      </c>
      <c r="E1136" t="s">
        <v>24</v>
      </c>
      <c r="F1136" t="s">
        <v>25</v>
      </c>
      <c r="G1136" t="str">
        <f>"2026-01-22 21:15:13.387"</f>
        <v>2026-01-22 21:15:13.387</v>
      </c>
      <c r="H1136" t="s">
        <v>26</v>
      </c>
      <c r="I1136">
        <v>20.03</v>
      </c>
      <c r="J1136" t="s">
        <v>42</v>
      </c>
    </row>
    <row r="1137" spans="1:10" x14ac:dyDescent="0.25">
      <c r="A1137" s="1">
        <v>474</v>
      </c>
      <c r="B1137" t="s">
        <v>23</v>
      </c>
      <c r="C1137">
        <v>706</v>
      </c>
      <c r="D1137">
        <v>4</v>
      </c>
      <c r="E1137" t="s">
        <v>24</v>
      </c>
      <c r="F1137" t="s">
        <v>25</v>
      </c>
      <c r="G1137" t="str">
        <f>"2026-01-22 21:10:05.447"</f>
        <v>2026-01-22 21:10:05.447</v>
      </c>
      <c r="H1137" t="s">
        <v>26</v>
      </c>
      <c r="I1137">
        <v>18.88</v>
      </c>
      <c r="J1137" t="s">
        <v>42</v>
      </c>
    </row>
    <row r="1138" spans="1:10" x14ac:dyDescent="0.25">
      <c r="A1138" s="1">
        <v>475</v>
      </c>
      <c r="B1138" t="s">
        <v>23</v>
      </c>
      <c r="C1138">
        <v>706</v>
      </c>
      <c r="D1138">
        <v>4</v>
      </c>
      <c r="E1138" t="s">
        <v>24</v>
      </c>
      <c r="F1138" t="s">
        <v>25</v>
      </c>
      <c r="G1138" t="str">
        <f>"2026-01-22 21:01:30.277"</f>
        <v>2026-01-22 21:01:30.277</v>
      </c>
      <c r="H1138" t="s">
        <v>26</v>
      </c>
      <c r="I1138">
        <v>9.44</v>
      </c>
      <c r="J1138" t="s">
        <v>42</v>
      </c>
    </row>
    <row r="1139" spans="1:10" x14ac:dyDescent="0.25">
      <c r="A1139" s="1">
        <v>476</v>
      </c>
      <c r="B1139" t="s">
        <v>23</v>
      </c>
      <c r="C1139">
        <v>706</v>
      </c>
      <c r="D1139">
        <v>4</v>
      </c>
      <c r="E1139" t="s">
        <v>24</v>
      </c>
      <c r="F1139" t="s">
        <v>25</v>
      </c>
      <c r="G1139" t="str">
        <f>"2026-01-22 20:57:38.947"</f>
        <v>2026-01-22 20:57:38.947</v>
      </c>
      <c r="H1139" t="s">
        <v>26</v>
      </c>
      <c r="I1139">
        <v>0.02</v>
      </c>
      <c r="J1139" t="s">
        <v>31</v>
      </c>
    </row>
    <row r="1140" spans="1:10" x14ac:dyDescent="0.25">
      <c r="A1140" s="1">
        <v>477</v>
      </c>
      <c r="B1140" t="s">
        <v>23</v>
      </c>
      <c r="C1140">
        <v>706</v>
      </c>
      <c r="D1140">
        <v>4</v>
      </c>
      <c r="E1140" t="s">
        <v>24</v>
      </c>
      <c r="F1140" t="s">
        <v>25</v>
      </c>
      <c r="G1140" t="str">
        <f>"2026-01-22 20:55:32.527"</f>
        <v>2026-01-22 20:55:32.527</v>
      </c>
      <c r="H1140" t="s">
        <v>26</v>
      </c>
      <c r="I1140">
        <v>19.559999999999999</v>
      </c>
      <c r="J1140" t="s">
        <v>29</v>
      </c>
    </row>
    <row r="1141" spans="1:10" x14ac:dyDescent="0.25">
      <c r="A1141" s="1">
        <v>478</v>
      </c>
      <c r="B1141" t="s">
        <v>23</v>
      </c>
      <c r="C1141">
        <v>706</v>
      </c>
      <c r="D1141">
        <v>4</v>
      </c>
      <c r="E1141" t="s">
        <v>24</v>
      </c>
      <c r="F1141" t="s">
        <v>25</v>
      </c>
      <c r="G1141" t="str">
        <f>"2026-01-22 15:59:56.457"</f>
        <v>2026-01-22 15:59:56.457</v>
      </c>
      <c r="H1141" t="s">
        <v>26</v>
      </c>
      <c r="I1141">
        <v>0</v>
      </c>
      <c r="J1141" t="s">
        <v>27</v>
      </c>
    </row>
    <row r="1142" spans="1:10" x14ac:dyDescent="0.25">
      <c r="A1142" s="1">
        <v>479</v>
      </c>
      <c r="B1142" t="s">
        <v>23</v>
      </c>
      <c r="C1142">
        <v>706</v>
      </c>
      <c r="D1142">
        <v>2</v>
      </c>
      <c r="E1142" t="s">
        <v>24</v>
      </c>
      <c r="F1142" t="s">
        <v>39</v>
      </c>
      <c r="G1142" t="str">
        <f>"2026-01-22 15:59:41.477"</f>
        <v>2026-01-22 15:59:41.477</v>
      </c>
      <c r="H1142" t="s">
        <v>26</v>
      </c>
      <c r="I1142">
        <v>0</v>
      </c>
      <c r="J1142" t="s">
        <v>27</v>
      </c>
    </row>
    <row r="1143" spans="1:10" x14ac:dyDescent="0.25">
      <c r="A1143" s="1">
        <v>480</v>
      </c>
      <c r="B1143" t="s">
        <v>23</v>
      </c>
      <c r="C1143">
        <v>700</v>
      </c>
      <c r="D1143">
        <v>0</v>
      </c>
      <c r="E1143" t="s">
        <v>37</v>
      </c>
      <c r="F1143" t="s">
        <v>37</v>
      </c>
      <c r="G1143" t="str">
        <f>"2026-01-22 15:52:32.507"</f>
        <v>2026-01-22 15:52:32.507</v>
      </c>
      <c r="H1143" t="s">
        <v>26</v>
      </c>
    </row>
    <row r="1144" spans="1:10" x14ac:dyDescent="0.25">
      <c r="A1144" s="1">
        <v>481</v>
      </c>
      <c r="B1144" t="s">
        <v>23</v>
      </c>
      <c r="C1144">
        <v>700</v>
      </c>
      <c r="D1144">
        <v>0</v>
      </c>
      <c r="E1144" t="s">
        <v>37</v>
      </c>
      <c r="F1144" t="s">
        <v>37</v>
      </c>
      <c r="G1144" t="str">
        <f>"2026-01-22 14:41:24.459"</f>
        <v>2026-01-22 14:41:24.459</v>
      </c>
      <c r="H1144" t="s">
        <v>26</v>
      </c>
    </row>
    <row r="1145" spans="1:10" x14ac:dyDescent="0.25">
      <c r="A1145" s="1">
        <v>482</v>
      </c>
      <c r="B1145" t="s">
        <v>23</v>
      </c>
      <c r="C1145">
        <v>700</v>
      </c>
      <c r="D1145">
        <v>0</v>
      </c>
      <c r="E1145" t="s">
        <v>37</v>
      </c>
      <c r="F1145" t="s">
        <v>37</v>
      </c>
      <c r="G1145" t="str">
        <f>"2026-01-22 10:54:44.894"</f>
        <v>2026-01-22 10:54:44.894</v>
      </c>
      <c r="H1145" t="s">
        <v>26</v>
      </c>
      <c r="I1145">
        <v>0</v>
      </c>
      <c r="J1145" t="s">
        <v>43</v>
      </c>
    </row>
    <row r="1146" spans="1:10" x14ac:dyDescent="0.25">
      <c r="A1146" s="1">
        <v>484</v>
      </c>
      <c r="B1146" t="s">
        <v>19</v>
      </c>
      <c r="C1146">
        <v>61</v>
      </c>
      <c r="D1146">
        <v>2</v>
      </c>
      <c r="E1146" t="s">
        <v>84</v>
      </c>
      <c r="F1146" t="s">
        <v>85</v>
      </c>
      <c r="G1146" t="str">
        <f>"2026-01-21 17:48:14.247"</f>
        <v>2026-01-21 17:48:14.247</v>
      </c>
      <c r="H1146" t="s">
        <v>26</v>
      </c>
    </row>
    <row r="1147" spans="1:10" x14ac:dyDescent="0.25">
      <c r="A1147" s="1">
        <v>485</v>
      </c>
      <c r="B1147" t="s">
        <v>28</v>
      </c>
      <c r="C1147">
        <v>61</v>
      </c>
      <c r="D1147">
        <v>2</v>
      </c>
      <c r="E1147" t="s">
        <v>84</v>
      </c>
      <c r="F1147" t="s">
        <v>85</v>
      </c>
      <c r="G1147" t="str">
        <f>"2026-01-21 17:48:01.747"</f>
        <v>2026-01-21 17:48:01.747</v>
      </c>
      <c r="H1147" t="s">
        <v>26</v>
      </c>
      <c r="I1147">
        <v>30.48</v>
      </c>
      <c r="J1147" t="s">
        <v>29</v>
      </c>
    </row>
    <row r="1148" spans="1:10" x14ac:dyDescent="0.25">
      <c r="A1148" s="1">
        <v>486</v>
      </c>
      <c r="B1148" t="s">
        <v>19</v>
      </c>
      <c r="C1148">
        <v>61</v>
      </c>
      <c r="D1148">
        <v>2</v>
      </c>
      <c r="E1148" t="s">
        <v>84</v>
      </c>
      <c r="F1148" t="s">
        <v>85</v>
      </c>
      <c r="G1148" t="str">
        <f>"2026-01-21 15:40:36.247"</f>
        <v>2026-01-21 15:40:36.247</v>
      </c>
      <c r="H1148" t="s">
        <v>26</v>
      </c>
    </row>
    <row r="1149" spans="1:10" x14ac:dyDescent="0.25">
      <c r="A1149" s="1">
        <v>487</v>
      </c>
      <c r="B1149" t="s">
        <v>28</v>
      </c>
      <c r="C1149">
        <v>61</v>
      </c>
      <c r="D1149">
        <v>2</v>
      </c>
      <c r="E1149" t="s">
        <v>84</v>
      </c>
      <c r="F1149" t="s">
        <v>85</v>
      </c>
      <c r="G1149" t="str">
        <f>"2026-01-21 15:40:20.247"</f>
        <v>2026-01-21 15:40:20.247</v>
      </c>
      <c r="H1149" t="s">
        <v>26</v>
      </c>
      <c r="I1149">
        <v>30.41</v>
      </c>
      <c r="J1149" t="s">
        <v>29</v>
      </c>
    </row>
    <row r="1150" spans="1:10" x14ac:dyDescent="0.25">
      <c r="A1150" s="1">
        <v>488</v>
      </c>
      <c r="B1150" t="s">
        <v>19</v>
      </c>
      <c r="C1150">
        <v>61</v>
      </c>
      <c r="D1150">
        <v>2</v>
      </c>
      <c r="E1150" t="s">
        <v>84</v>
      </c>
      <c r="F1150" t="s">
        <v>85</v>
      </c>
      <c r="G1150" t="str">
        <f>"2026-01-21 15:13:09.147"</f>
        <v>2026-01-21 15:13:09.147</v>
      </c>
      <c r="H1150" t="s">
        <v>26</v>
      </c>
    </row>
    <row r="1151" spans="1:10" x14ac:dyDescent="0.25">
      <c r="A1151" s="1">
        <v>489</v>
      </c>
      <c r="B1151" t="s">
        <v>28</v>
      </c>
      <c r="C1151">
        <v>61</v>
      </c>
      <c r="D1151">
        <v>2</v>
      </c>
      <c r="E1151" t="s">
        <v>84</v>
      </c>
      <c r="F1151" t="s">
        <v>85</v>
      </c>
      <c r="G1151" t="str">
        <f>"2026-01-21 15:12:57.647"</f>
        <v>2026-01-21 15:12:57.647</v>
      </c>
      <c r="H1151" t="s">
        <v>26</v>
      </c>
      <c r="I1151">
        <v>29.44</v>
      </c>
      <c r="J1151" t="s">
        <v>29</v>
      </c>
    </row>
    <row r="1152" spans="1:10" x14ac:dyDescent="0.25">
      <c r="A1152" s="1">
        <v>490</v>
      </c>
      <c r="B1152" t="s">
        <v>23</v>
      </c>
      <c r="C1152">
        <v>700</v>
      </c>
      <c r="D1152">
        <v>0</v>
      </c>
      <c r="E1152" t="s">
        <v>37</v>
      </c>
      <c r="F1152" t="s">
        <v>37</v>
      </c>
      <c r="G1152" t="str">
        <f>"2026-01-21 10:55:07.506"</f>
        <v>2026-01-21 10:55:07.506</v>
      </c>
      <c r="H1152" t="s">
        <v>26</v>
      </c>
      <c r="I1152">
        <v>0</v>
      </c>
      <c r="J1152" t="s">
        <v>43</v>
      </c>
    </row>
    <row r="1153" spans="1:10" x14ac:dyDescent="0.25">
      <c r="A1153" s="1">
        <v>491</v>
      </c>
      <c r="B1153" t="s">
        <v>19</v>
      </c>
      <c r="C1153">
        <v>635</v>
      </c>
      <c r="D1153">
        <v>1</v>
      </c>
      <c r="E1153" t="s">
        <v>40</v>
      </c>
      <c r="F1153" t="s">
        <v>41</v>
      </c>
      <c r="G1153" t="str">
        <f>"2026-01-20 18:10:48.378"</f>
        <v>2026-01-20 18:10:48.378</v>
      </c>
      <c r="H1153" t="s">
        <v>26</v>
      </c>
    </row>
    <row r="1154" spans="1:10" x14ac:dyDescent="0.25">
      <c r="A1154" s="1">
        <v>492</v>
      </c>
      <c r="B1154" t="s">
        <v>38</v>
      </c>
      <c r="C1154">
        <v>635</v>
      </c>
      <c r="D1154">
        <v>1</v>
      </c>
      <c r="E1154" t="s">
        <v>40</v>
      </c>
      <c r="F1154" t="s">
        <v>41</v>
      </c>
      <c r="G1154" t="str">
        <f>"2026-01-20 18:05:35.378"</f>
        <v>2026-01-20 18:05:35.378</v>
      </c>
      <c r="H1154" t="s">
        <v>26</v>
      </c>
      <c r="I1154">
        <v>0.28999999999999998</v>
      </c>
      <c r="J1154" t="s">
        <v>42</v>
      </c>
    </row>
    <row r="1155" spans="1:10" s="3" customFormat="1" x14ac:dyDescent="0.25">
      <c r="A1155" s="2">
        <v>493</v>
      </c>
      <c r="B1155" s="3" t="s">
        <v>19</v>
      </c>
      <c r="C1155" s="3">
        <v>647</v>
      </c>
      <c r="D1155" s="3">
        <v>1</v>
      </c>
      <c r="E1155" s="3" t="s">
        <v>69</v>
      </c>
      <c r="F1155" s="3" t="s">
        <v>70</v>
      </c>
      <c r="G1155" s="3" t="str">
        <f>"2026-01-20 17:03:06.279"</f>
        <v>2026-01-20 17:03:06.279</v>
      </c>
      <c r="H1155" s="3" t="s">
        <v>26</v>
      </c>
    </row>
    <row r="1156" spans="1:10" s="3" customFormat="1" x14ac:dyDescent="0.25">
      <c r="A1156" s="2">
        <v>494</v>
      </c>
      <c r="B1156" s="3" t="s">
        <v>38</v>
      </c>
      <c r="C1156" s="3">
        <v>647</v>
      </c>
      <c r="D1156" s="3">
        <v>1</v>
      </c>
      <c r="E1156" s="3" t="s">
        <v>69</v>
      </c>
      <c r="F1156" s="3" t="s">
        <v>70</v>
      </c>
      <c r="G1156" s="3" t="str">
        <f>"2026-01-20 17:03:02.179"</f>
        <v>2026-01-20 17:03:02.179</v>
      </c>
      <c r="H1156" s="3" t="s">
        <v>26</v>
      </c>
      <c r="I1156" s="3">
        <v>8.34</v>
      </c>
      <c r="J1156" s="3" t="s">
        <v>29</v>
      </c>
    </row>
    <row r="1157" spans="1:10" x14ac:dyDescent="0.25">
      <c r="A1157" s="1">
        <v>495</v>
      </c>
      <c r="B1157" t="s">
        <v>19</v>
      </c>
      <c r="C1157">
        <v>635</v>
      </c>
      <c r="D1157">
        <v>1</v>
      </c>
      <c r="E1157" t="s">
        <v>40</v>
      </c>
      <c r="F1157" t="s">
        <v>41</v>
      </c>
      <c r="G1157" t="str">
        <f>"2026-01-20 15:48:30.278"</f>
        <v>2026-01-20 15:48:30.278</v>
      </c>
      <c r="H1157" t="s">
        <v>26</v>
      </c>
    </row>
    <row r="1158" spans="1:10" x14ac:dyDescent="0.25">
      <c r="A1158" s="1">
        <v>496</v>
      </c>
      <c r="B1158" t="s">
        <v>38</v>
      </c>
      <c r="C1158">
        <v>635</v>
      </c>
      <c r="D1158">
        <v>1</v>
      </c>
      <c r="E1158" t="s">
        <v>40</v>
      </c>
      <c r="F1158" t="s">
        <v>41</v>
      </c>
      <c r="G1158" t="str">
        <f>"2026-01-20 15:45:20.778"</f>
        <v>2026-01-20 15:45:20.778</v>
      </c>
      <c r="H1158" t="s">
        <v>26</v>
      </c>
      <c r="I1158">
        <v>3.44</v>
      </c>
      <c r="J1158" t="s">
        <v>42</v>
      </c>
    </row>
    <row r="1159" spans="1:10" x14ac:dyDescent="0.25">
      <c r="A1159" s="1">
        <v>497</v>
      </c>
      <c r="B1159" t="s">
        <v>23</v>
      </c>
      <c r="C1159">
        <v>706</v>
      </c>
      <c r="D1159">
        <v>4</v>
      </c>
      <c r="E1159" t="s">
        <v>24</v>
      </c>
      <c r="F1159" t="s">
        <v>25</v>
      </c>
      <c r="G1159" t="str">
        <f>"2026-01-20 08:24:44.428"</f>
        <v>2026-01-20 08:24:44.428</v>
      </c>
      <c r="H1159" t="s">
        <v>26</v>
      </c>
      <c r="I1159">
        <v>12.72</v>
      </c>
      <c r="J1159" t="s">
        <v>42</v>
      </c>
    </row>
    <row r="1160" spans="1:10" s="3" customFormat="1" x14ac:dyDescent="0.25">
      <c r="A1160" s="2">
        <v>498</v>
      </c>
      <c r="B1160" s="3" t="s">
        <v>19</v>
      </c>
      <c r="C1160" s="3">
        <v>647</v>
      </c>
      <c r="D1160" s="3">
        <v>1</v>
      </c>
      <c r="E1160" s="3" t="s">
        <v>69</v>
      </c>
      <c r="F1160" s="3" t="s">
        <v>70</v>
      </c>
      <c r="G1160" s="3" t="str">
        <f>"2026-01-20 08:24:42.079"</f>
        <v>2026-01-20 08:24:42.079</v>
      </c>
      <c r="H1160" s="3" t="s">
        <v>26</v>
      </c>
    </row>
    <row r="1161" spans="1:10" s="3" customFormat="1" x14ac:dyDescent="0.25">
      <c r="A1161" s="2">
        <v>499</v>
      </c>
      <c r="B1161" s="3" t="s">
        <v>38</v>
      </c>
      <c r="C1161" s="3">
        <v>647</v>
      </c>
      <c r="D1161" s="3">
        <v>1</v>
      </c>
      <c r="E1161" s="3" t="s">
        <v>69</v>
      </c>
      <c r="F1161" s="3" t="s">
        <v>70</v>
      </c>
      <c r="G1161" s="3" t="str">
        <f>"2026-01-20 08:24:36.179"</f>
        <v>2026-01-20 08:24:36.179</v>
      </c>
      <c r="H1161" s="3" t="s">
        <v>26</v>
      </c>
      <c r="I1161" s="3">
        <v>21.85</v>
      </c>
      <c r="J1161" s="3" t="s">
        <v>29</v>
      </c>
    </row>
    <row r="1162" spans="1:10" x14ac:dyDescent="0.25">
      <c r="A1162" s="1">
        <v>500</v>
      </c>
      <c r="B1162" t="s">
        <v>23</v>
      </c>
      <c r="C1162">
        <v>706</v>
      </c>
      <c r="D1162">
        <v>4</v>
      </c>
      <c r="E1162" t="s">
        <v>24</v>
      </c>
      <c r="F1162" t="s">
        <v>25</v>
      </c>
      <c r="G1162" t="str">
        <f>"2026-01-20 08:24:17.438"</f>
        <v>2026-01-20 08:24:17.438</v>
      </c>
      <c r="H1162" t="s">
        <v>26</v>
      </c>
      <c r="I1162">
        <v>19.71</v>
      </c>
      <c r="J1162" t="s">
        <v>29</v>
      </c>
    </row>
    <row r="1163" spans="1:10" x14ac:dyDescent="0.25">
      <c r="A1163" s="1">
        <v>501</v>
      </c>
      <c r="B1163" t="s">
        <v>23</v>
      </c>
      <c r="C1163">
        <v>706</v>
      </c>
      <c r="D1163">
        <v>4</v>
      </c>
      <c r="E1163" t="s">
        <v>24</v>
      </c>
      <c r="F1163" t="s">
        <v>25</v>
      </c>
      <c r="G1163" t="str">
        <f>"2026-01-20 08:16:23.998"</f>
        <v>2026-01-20 08:16:23.998</v>
      </c>
      <c r="H1163" t="s">
        <v>26</v>
      </c>
      <c r="I1163">
        <v>15.25</v>
      </c>
      <c r="J1163" t="s">
        <v>42</v>
      </c>
    </row>
    <row r="1164" spans="1:10" x14ac:dyDescent="0.25">
      <c r="A1164" s="1">
        <v>502</v>
      </c>
      <c r="B1164" t="s">
        <v>23</v>
      </c>
      <c r="C1164">
        <v>706</v>
      </c>
      <c r="D1164">
        <v>4</v>
      </c>
      <c r="E1164" t="s">
        <v>24</v>
      </c>
      <c r="F1164" t="s">
        <v>25</v>
      </c>
      <c r="G1164" t="str">
        <f>"2026-01-20 08:16:00.888"</f>
        <v>2026-01-20 08:16:00.888</v>
      </c>
      <c r="H1164" t="s">
        <v>26</v>
      </c>
      <c r="I1164">
        <v>13.58</v>
      </c>
      <c r="J1164" t="s">
        <v>42</v>
      </c>
    </row>
    <row r="1165" spans="1:10" x14ac:dyDescent="0.25">
      <c r="A1165" s="1">
        <v>503</v>
      </c>
      <c r="B1165" t="s">
        <v>23</v>
      </c>
      <c r="C1165">
        <v>706</v>
      </c>
      <c r="D1165">
        <v>4</v>
      </c>
      <c r="E1165" t="s">
        <v>24</v>
      </c>
      <c r="F1165" t="s">
        <v>25</v>
      </c>
      <c r="G1165" t="str">
        <f>"2026-01-20 08:15:47.678"</f>
        <v>2026-01-20 08:15:47.678</v>
      </c>
      <c r="H1165" t="s">
        <v>26</v>
      </c>
      <c r="I1165">
        <v>8.76</v>
      </c>
      <c r="J1165" t="s">
        <v>42</v>
      </c>
    </row>
    <row r="1166" spans="1:10" x14ac:dyDescent="0.25">
      <c r="A1166" s="1">
        <v>504</v>
      </c>
      <c r="B1166" t="s">
        <v>23</v>
      </c>
      <c r="C1166">
        <v>706</v>
      </c>
      <c r="D1166">
        <v>4</v>
      </c>
      <c r="E1166" t="s">
        <v>24</v>
      </c>
      <c r="F1166" t="s">
        <v>25</v>
      </c>
      <c r="G1166" t="str">
        <f>"2026-01-20 08:15:32.568"</f>
        <v>2026-01-20 08:15:32.568</v>
      </c>
      <c r="H1166" t="s">
        <v>26</v>
      </c>
      <c r="I1166">
        <v>8.2799999999999994</v>
      </c>
      <c r="J1166" t="s">
        <v>42</v>
      </c>
    </row>
    <row r="1167" spans="1:10" x14ac:dyDescent="0.25">
      <c r="A1167" s="1">
        <v>505</v>
      </c>
      <c r="B1167" t="s">
        <v>23</v>
      </c>
      <c r="C1167">
        <v>706</v>
      </c>
      <c r="D1167">
        <v>4</v>
      </c>
      <c r="E1167" t="s">
        <v>24</v>
      </c>
      <c r="F1167" t="s">
        <v>25</v>
      </c>
      <c r="G1167" t="str">
        <f>"2026-01-20 08:15:13.708"</f>
        <v>2026-01-20 08:15:13.708</v>
      </c>
      <c r="H1167" t="s">
        <v>26</v>
      </c>
      <c r="I1167">
        <v>19.32</v>
      </c>
      <c r="J1167" t="s">
        <v>42</v>
      </c>
    </row>
    <row r="1168" spans="1:10" x14ac:dyDescent="0.25">
      <c r="A1168" s="1">
        <v>506</v>
      </c>
      <c r="B1168" t="s">
        <v>23</v>
      </c>
      <c r="C1168">
        <v>706</v>
      </c>
      <c r="D1168">
        <v>4</v>
      </c>
      <c r="E1168" t="s">
        <v>24</v>
      </c>
      <c r="F1168" t="s">
        <v>25</v>
      </c>
      <c r="G1168" t="str">
        <f>"2026-01-20 05:32:10.638"</f>
        <v>2026-01-20 05:32:10.638</v>
      </c>
      <c r="H1168" t="s">
        <v>26</v>
      </c>
      <c r="I1168">
        <v>18.010000000000002</v>
      </c>
      <c r="J1168" t="s">
        <v>42</v>
      </c>
    </row>
    <row r="1169" spans="1:10" x14ac:dyDescent="0.25">
      <c r="A1169" s="1">
        <v>507</v>
      </c>
      <c r="B1169" t="s">
        <v>23</v>
      </c>
      <c r="C1169">
        <v>706</v>
      </c>
      <c r="D1169">
        <v>4</v>
      </c>
      <c r="E1169" t="s">
        <v>24</v>
      </c>
      <c r="F1169" t="s">
        <v>25</v>
      </c>
      <c r="G1169" t="str">
        <f>"2026-01-20 04:41:30.838"</f>
        <v>2026-01-20 04:41:30.838</v>
      </c>
      <c r="H1169" t="s">
        <v>26</v>
      </c>
      <c r="I1169">
        <v>0.5</v>
      </c>
      <c r="J1169" t="s">
        <v>29</v>
      </c>
    </row>
    <row r="1170" spans="1:10" x14ac:dyDescent="0.25">
      <c r="A1170" s="1">
        <v>508</v>
      </c>
      <c r="B1170" t="s">
        <v>23</v>
      </c>
      <c r="C1170">
        <v>706</v>
      </c>
      <c r="D1170">
        <v>4</v>
      </c>
      <c r="E1170" t="s">
        <v>24</v>
      </c>
      <c r="F1170" t="s">
        <v>25</v>
      </c>
      <c r="G1170" t="str">
        <f>"2026-01-20 04:38:07.838"</f>
        <v>2026-01-20 04:38:07.838</v>
      </c>
      <c r="H1170" t="s">
        <v>26</v>
      </c>
      <c r="I1170">
        <v>18.38</v>
      </c>
      <c r="J1170" t="s">
        <v>42</v>
      </c>
    </row>
    <row r="1171" spans="1:10" x14ac:dyDescent="0.25">
      <c r="A1171" s="1">
        <v>509</v>
      </c>
      <c r="B1171" t="s">
        <v>23</v>
      </c>
      <c r="C1171">
        <v>706</v>
      </c>
      <c r="D1171">
        <v>4</v>
      </c>
      <c r="E1171" t="s">
        <v>24</v>
      </c>
      <c r="F1171" t="s">
        <v>25</v>
      </c>
      <c r="G1171" t="str">
        <f>"2026-01-20 04:37:23.058"</f>
        <v>2026-01-20 04:37:23.058</v>
      </c>
      <c r="H1171" t="s">
        <v>26</v>
      </c>
      <c r="I1171">
        <v>18.47</v>
      </c>
      <c r="J1171" t="s">
        <v>42</v>
      </c>
    </row>
    <row r="1172" spans="1:10" x14ac:dyDescent="0.25">
      <c r="A1172" s="1">
        <v>510</v>
      </c>
      <c r="B1172" t="s">
        <v>23</v>
      </c>
      <c r="C1172">
        <v>706</v>
      </c>
      <c r="D1172">
        <v>4</v>
      </c>
      <c r="E1172" t="s">
        <v>24</v>
      </c>
      <c r="F1172" t="s">
        <v>25</v>
      </c>
      <c r="G1172" t="str">
        <f>"2026-01-20 04:34:56.638"</f>
        <v>2026-01-20 04:34:56.638</v>
      </c>
      <c r="H1172" t="s">
        <v>26</v>
      </c>
      <c r="I1172">
        <v>19.97</v>
      </c>
      <c r="J1172" t="s">
        <v>42</v>
      </c>
    </row>
    <row r="1173" spans="1:10" x14ac:dyDescent="0.25">
      <c r="A1173" s="1">
        <v>511</v>
      </c>
      <c r="B1173" t="s">
        <v>23</v>
      </c>
      <c r="C1173">
        <v>706</v>
      </c>
      <c r="D1173">
        <v>4</v>
      </c>
      <c r="E1173" t="s">
        <v>24</v>
      </c>
      <c r="F1173" t="s">
        <v>25</v>
      </c>
      <c r="G1173" t="str">
        <f>"2026-01-20 03:29:47.738"</f>
        <v>2026-01-20 03:29:47.738</v>
      </c>
      <c r="H1173" t="s">
        <v>26</v>
      </c>
      <c r="I1173">
        <v>16.09</v>
      </c>
      <c r="J1173" t="s">
        <v>42</v>
      </c>
    </row>
    <row r="1174" spans="1:10" x14ac:dyDescent="0.25">
      <c r="A1174" s="1">
        <v>512</v>
      </c>
      <c r="B1174" t="s">
        <v>23</v>
      </c>
      <c r="C1174">
        <v>706</v>
      </c>
      <c r="D1174">
        <v>4</v>
      </c>
      <c r="E1174" t="s">
        <v>24</v>
      </c>
      <c r="F1174" t="s">
        <v>25</v>
      </c>
      <c r="G1174" t="str">
        <f>"2026-01-20 03:29:08.208"</f>
        <v>2026-01-20 03:29:08.208</v>
      </c>
      <c r="H1174" t="s">
        <v>26</v>
      </c>
      <c r="I1174">
        <v>19.559999999999999</v>
      </c>
      <c r="J1174" t="s">
        <v>42</v>
      </c>
    </row>
    <row r="1175" spans="1:10" x14ac:dyDescent="0.25">
      <c r="A1175" s="1">
        <v>513</v>
      </c>
      <c r="B1175" t="s">
        <v>23</v>
      </c>
      <c r="C1175">
        <v>706</v>
      </c>
      <c r="D1175">
        <v>4</v>
      </c>
      <c r="E1175" t="s">
        <v>24</v>
      </c>
      <c r="F1175" t="s">
        <v>25</v>
      </c>
      <c r="G1175" t="str">
        <f>"2026-01-20 03:28:15.128"</f>
        <v>2026-01-20 03:28:15.128</v>
      </c>
      <c r="H1175" t="s">
        <v>26</v>
      </c>
      <c r="I1175">
        <v>15.55</v>
      </c>
      <c r="J1175" t="s">
        <v>42</v>
      </c>
    </row>
    <row r="1176" spans="1:10" x14ac:dyDescent="0.25">
      <c r="A1176" s="1">
        <v>517</v>
      </c>
      <c r="B1176" t="s">
        <v>23</v>
      </c>
      <c r="C1176">
        <v>700</v>
      </c>
      <c r="D1176">
        <v>0</v>
      </c>
      <c r="E1176" t="s">
        <v>37</v>
      </c>
      <c r="F1176" t="s">
        <v>37</v>
      </c>
      <c r="G1176" t="str">
        <f>"2026-01-19 04:04:07.428"</f>
        <v>2026-01-19 04:04:07.428</v>
      </c>
      <c r="H1176" t="s">
        <v>26</v>
      </c>
      <c r="I1176">
        <v>0</v>
      </c>
      <c r="J1176" t="s">
        <v>43</v>
      </c>
    </row>
    <row r="1177" spans="1:10" x14ac:dyDescent="0.25">
      <c r="A1177" s="1">
        <v>519</v>
      </c>
      <c r="B1177" t="s">
        <v>23</v>
      </c>
      <c r="C1177">
        <v>700</v>
      </c>
      <c r="D1177">
        <v>0</v>
      </c>
      <c r="E1177" t="s">
        <v>37</v>
      </c>
      <c r="F1177" t="s">
        <v>37</v>
      </c>
      <c r="G1177" t="str">
        <f>"2026-01-18 13:26:45.412"</f>
        <v>2026-01-18 13:26:45.412</v>
      </c>
      <c r="H1177" t="s">
        <v>26</v>
      </c>
    </row>
    <row r="1178" spans="1:10" x14ac:dyDescent="0.25">
      <c r="A1178" s="1">
        <v>521</v>
      </c>
      <c r="B1178" t="s">
        <v>19</v>
      </c>
      <c r="C1178">
        <v>61</v>
      </c>
      <c r="D1178">
        <v>2</v>
      </c>
      <c r="E1178" t="s">
        <v>84</v>
      </c>
      <c r="F1178" t="s">
        <v>85</v>
      </c>
      <c r="G1178" t="str">
        <f>"2026-01-18 10:35:52.947"</f>
        <v>2026-01-18 10:35:52.947</v>
      </c>
      <c r="H1178" t="s">
        <v>26</v>
      </c>
    </row>
    <row r="1179" spans="1:10" x14ac:dyDescent="0.25">
      <c r="A1179" s="1">
        <v>522</v>
      </c>
      <c r="B1179" t="s">
        <v>28</v>
      </c>
      <c r="C1179">
        <v>61</v>
      </c>
      <c r="D1179">
        <v>2</v>
      </c>
      <c r="E1179" t="s">
        <v>84</v>
      </c>
      <c r="F1179" t="s">
        <v>85</v>
      </c>
      <c r="G1179" t="str">
        <f>"2026-01-18 10:35:39.547"</f>
        <v>2026-01-18 10:35:39.547</v>
      </c>
      <c r="H1179" t="s">
        <v>26</v>
      </c>
      <c r="I1179">
        <v>30.62</v>
      </c>
      <c r="J1179" t="s">
        <v>29</v>
      </c>
    </row>
    <row r="1180" spans="1:10" x14ac:dyDescent="0.25">
      <c r="A1180" s="1">
        <v>523</v>
      </c>
      <c r="B1180" t="s">
        <v>19</v>
      </c>
      <c r="C1180">
        <v>61</v>
      </c>
      <c r="D1180">
        <v>2</v>
      </c>
      <c r="E1180" t="s">
        <v>84</v>
      </c>
      <c r="F1180" t="s">
        <v>85</v>
      </c>
      <c r="G1180" t="str">
        <f>"2026-01-18 07:37:20.547"</f>
        <v>2026-01-18 07:37:20.547</v>
      </c>
      <c r="H1180" t="s">
        <v>26</v>
      </c>
    </row>
    <row r="1181" spans="1:10" x14ac:dyDescent="0.25">
      <c r="A1181" s="1">
        <v>524</v>
      </c>
      <c r="B1181" t="s">
        <v>28</v>
      </c>
      <c r="C1181">
        <v>61</v>
      </c>
      <c r="D1181">
        <v>2</v>
      </c>
      <c r="E1181" t="s">
        <v>84</v>
      </c>
      <c r="F1181" t="s">
        <v>85</v>
      </c>
      <c r="G1181" t="str">
        <f>"2026-01-18 07:37:02.447"</f>
        <v>2026-01-18 07:37:02.447</v>
      </c>
      <c r="H1181" t="s">
        <v>26</v>
      </c>
      <c r="I1181">
        <v>30.32</v>
      </c>
      <c r="J1181" t="s">
        <v>29</v>
      </c>
    </row>
    <row r="1182" spans="1:10" x14ac:dyDescent="0.25">
      <c r="A1182" s="1">
        <v>525</v>
      </c>
      <c r="B1182" t="s">
        <v>23</v>
      </c>
      <c r="C1182">
        <v>700</v>
      </c>
      <c r="D1182">
        <v>0</v>
      </c>
      <c r="E1182" t="s">
        <v>37</v>
      </c>
      <c r="F1182" t="s">
        <v>37</v>
      </c>
      <c r="G1182" t="str">
        <f>"2026-01-17 13:01:52.595"</f>
        <v>2026-01-17 13:01:52.595</v>
      </c>
      <c r="H1182" t="s">
        <v>26</v>
      </c>
      <c r="I1182">
        <v>0</v>
      </c>
      <c r="J1182" t="s">
        <v>43</v>
      </c>
    </row>
    <row r="1183" spans="1:10" x14ac:dyDescent="0.25">
      <c r="A1183" s="1">
        <v>526</v>
      </c>
      <c r="B1183" t="s">
        <v>23</v>
      </c>
      <c r="C1183">
        <v>706</v>
      </c>
      <c r="D1183">
        <v>4</v>
      </c>
      <c r="E1183" t="s">
        <v>24</v>
      </c>
      <c r="F1183" t="s">
        <v>25</v>
      </c>
      <c r="G1183" t="str">
        <f>"2026-01-17 09:44:56.384"</f>
        <v>2026-01-17 09:44:56.384</v>
      </c>
      <c r="H1183" t="s">
        <v>26</v>
      </c>
      <c r="I1183">
        <v>0</v>
      </c>
      <c r="J1183" t="s">
        <v>27</v>
      </c>
    </row>
    <row r="1184" spans="1:10" x14ac:dyDescent="0.25">
      <c r="A1184" s="1">
        <v>527</v>
      </c>
      <c r="B1184" t="s">
        <v>19</v>
      </c>
      <c r="C1184">
        <v>61</v>
      </c>
      <c r="D1184">
        <v>2</v>
      </c>
      <c r="E1184" t="s">
        <v>84</v>
      </c>
      <c r="F1184" t="s">
        <v>85</v>
      </c>
      <c r="G1184" t="str">
        <f>"2026-01-17 07:38:44.096"</f>
        <v>2026-01-17 07:38:44.096</v>
      </c>
      <c r="H1184" t="s">
        <v>26</v>
      </c>
    </row>
    <row r="1185" spans="1:10" x14ac:dyDescent="0.25">
      <c r="A1185" s="1">
        <v>528</v>
      </c>
      <c r="B1185" t="s">
        <v>28</v>
      </c>
      <c r="C1185">
        <v>61</v>
      </c>
      <c r="D1185">
        <v>2</v>
      </c>
      <c r="E1185" t="s">
        <v>84</v>
      </c>
      <c r="F1185" t="s">
        <v>85</v>
      </c>
      <c r="G1185" t="str">
        <f>"2026-01-17 07:38:31.796"</f>
        <v>2026-01-17 07:38:31.796</v>
      </c>
      <c r="H1185" t="s">
        <v>26</v>
      </c>
      <c r="I1185">
        <v>30.6</v>
      </c>
      <c r="J1185" t="s">
        <v>29</v>
      </c>
    </row>
    <row r="1186" spans="1:10" x14ac:dyDescent="0.25">
      <c r="A1186" s="1">
        <v>529</v>
      </c>
      <c r="B1186" t="s">
        <v>23</v>
      </c>
      <c r="C1186">
        <v>700</v>
      </c>
      <c r="D1186">
        <v>0</v>
      </c>
      <c r="E1186" t="s">
        <v>37</v>
      </c>
      <c r="F1186" t="s">
        <v>37</v>
      </c>
      <c r="G1186" t="str">
        <f>"2026-01-17 06:16:26.444"</f>
        <v>2026-01-17 06:16:26.444</v>
      </c>
      <c r="H1186" t="s">
        <v>26</v>
      </c>
    </row>
    <row r="1187" spans="1:10" x14ac:dyDescent="0.25">
      <c r="A1187" s="1">
        <v>530</v>
      </c>
      <c r="B1187" t="s">
        <v>23</v>
      </c>
      <c r="C1187">
        <v>700</v>
      </c>
      <c r="D1187">
        <v>0</v>
      </c>
      <c r="E1187" t="s">
        <v>37</v>
      </c>
      <c r="F1187" t="s">
        <v>37</v>
      </c>
      <c r="G1187" t="str">
        <f>"2026-01-16 16:58:05.405"</f>
        <v>2026-01-16 16:58:05.405</v>
      </c>
      <c r="H1187" t="s">
        <v>26</v>
      </c>
      <c r="I1187">
        <v>0</v>
      </c>
      <c r="J1187" t="s">
        <v>43</v>
      </c>
    </row>
    <row r="1188" spans="1:10" x14ac:dyDescent="0.25">
      <c r="A1188" s="1">
        <v>532</v>
      </c>
      <c r="B1188" t="s">
        <v>23</v>
      </c>
      <c r="C1188">
        <v>700</v>
      </c>
      <c r="D1188">
        <v>0</v>
      </c>
      <c r="E1188" t="s">
        <v>37</v>
      </c>
      <c r="F1188" t="s">
        <v>37</v>
      </c>
      <c r="G1188" t="str">
        <f>"2026-01-16 14:00:00.414"</f>
        <v>2026-01-16 14:00:00.414</v>
      </c>
      <c r="H1188" t="s">
        <v>26</v>
      </c>
    </row>
    <row r="1189" spans="1:10" s="3" customFormat="1" x14ac:dyDescent="0.25">
      <c r="A1189" s="2">
        <v>534</v>
      </c>
      <c r="B1189" s="3" t="s">
        <v>19</v>
      </c>
      <c r="C1189" s="3">
        <v>647</v>
      </c>
      <c r="D1189" s="3">
        <v>1</v>
      </c>
      <c r="E1189" s="3" t="s">
        <v>69</v>
      </c>
      <c r="F1189" s="3" t="s">
        <v>70</v>
      </c>
      <c r="G1189" s="3" t="str">
        <f>"2026-01-16 06:10:32.478"</f>
        <v>2026-01-16 06:10:32.478</v>
      </c>
      <c r="H1189" s="3" t="s">
        <v>26</v>
      </c>
    </row>
    <row r="1190" spans="1:10" s="3" customFormat="1" x14ac:dyDescent="0.25">
      <c r="A1190" s="2">
        <v>535</v>
      </c>
      <c r="B1190" s="3" t="s">
        <v>38</v>
      </c>
      <c r="C1190" s="3">
        <v>647</v>
      </c>
      <c r="D1190" s="3">
        <v>1</v>
      </c>
      <c r="E1190" s="3" t="s">
        <v>69</v>
      </c>
      <c r="F1190" s="3" t="s">
        <v>70</v>
      </c>
      <c r="G1190" s="3" t="str">
        <f>"2026-01-16 06:10:25.478"</f>
        <v>2026-01-16 06:10:25.478</v>
      </c>
      <c r="H1190" s="3" t="s">
        <v>26</v>
      </c>
      <c r="I1190" s="3">
        <v>12.74</v>
      </c>
      <c r="J1190" s="3" t="s">
        <v>29</v>
      </c>
    </row>
    <row r="1191" spans="1:10" x14ac:dyDescent="0.25">
      <c r="A1191" s="1">
        <v>536</v>
      </c>
      <c r="B1191" t="s">
        <v>23</v>
      </c>
      <c r="C1191">
        <v>706</v>
      </c>
      <c r="D1191">
        <v>2</v>
      </c>
      <c r="E1191" t="s">
        <v>24</v>
      </c>
      <c r="F1191" t="s">
        <v>39</v>
      </c>
      <c r="G1191" t="str">
        <f>"2026-01-15 13:35:26.107"</f>
        <v>2026-01-15 13:35:26.107</v>
      </c>
      <c r="H1191" t="s">
        <v>26</v>
      </c>
      <c r="I1191">
        <v>0</v>
      </c>
      <c r="J1191" t="s">
        <v>27</v>
      </c>
    </row>
    <row r="1192" spans="1:10" x14ac:dyDescent="0.25">
      <c r="A1192" s="1">
        <v>537</v>
      </c>
      <c r="B1192" t="s">
        <v>23</v>
      </c>
      <c r="C1192">
        <v>700</v>
      </c>
      <c r="D1192">
        <v>0</v>
      </c>
      <c r="E1192" t="s">
        <v>37</v>
      </c>
      <c r="F1192" t="s">
        <v>37</v>
      </c>
      <c r="G1192" t="str">
        <f>"2026-01-15 13:33:00.427"</f>
        <v>2026-01-15 13:33:00.427</v>
      </c>
      <c r="H1192" t="s">
        <v>26</v>
      </c>
      <c r="I1192">
        <v>0</v>
      </c>
      <c r="J1192" t="s">
        <v>43</v>
      </c>
    </row>
    <row r="1193" spans="1:10" x14ac:dyDescent="0.25">
      <c r="A1193" s="1">
        <v>538</v>
      </c>
      <c r="B1193" t="s">
        <v>19</v>
      </c>
      <c r="C1193">
        <v>61</v>
      </c>
      <c r="D1193">
        <v>2</v>
      </c>
      <c r="E1193" t="s">
        <v>84</v>
      </c>
      <c r="F1193" t="s">
        <v>85</v>
      </c>
      <c r="G1193" t="str">
        <f>"2026-01-15 11:53:18.343"</f>
        <v>2026-01-15 11:53:18.343</v>
      </c>
      <c r="H1193" t="s">
        <v>26</v>
      </c>
    </row>
    <row r="1194" spans="1:10" x14ac:dyDescent="0.25">
      <c r="A1194" s="1">
        <v>539</v>
      </c>
      <c r="B1194" t="s">
        <v>28</v>
      </c>
      <c r="C1194">
        <v>61</v>
      </c>
      <c r="D1194">
        <v>2</v>
      </c>
      <c r="E1194" t="s">
        <v>84</v>
      </c>
      <c r="F1194" t="s">
        <v>85</v>
      </c>
      <c r="G1194" t="str">
        <f>"2026-01-15 11:53:13.143"</f>
        <v>2026-01-15 11:53:13.143</v>
      </c>
      <c r="H1194" t="s">
        <v>26</v>
      </c>
      <c r="I1194">
        <v>30</v>
      </c>
      <c r="J1194" t="s">
        <v>29</v>
      </c>
    </row>
    <row r="1195" spans="1:10" x14ac:dyDescent="0.25">
      <c r="A1195" s="1">
        <v>540</v>
      </c>
      <c r="B1195" t="s">
        <v>19</v>
      </c>
      <c r="C1195">
        <v>61</v>
      </c>
      <c r="D1195">
        <v>2</v>
      </c>
      <c r="E1195" t="s">
        <v>84</v>
      </c>
      <c r="F1195" t="s">
        <v>85</v>
      </c>
      <c r="G1195" t="str">
        <f>"2026-01-15 11:03:33.043"</f>
        <v>2026-01-15 11:03:33.043</v>
      </c>
      <c r="H1195" t="s">
        <v>26</v>
      </c>
    </row>
    <row r="1196" spans="1:10" x14ac:dyDescent="0.25">
      <c r="A1196" s="1">
        <v>541</v>
      </c>
      <c r="B1196" t="s">
        <v>28</v>
      </c>
      <c r="C1196">
        <v>61</v>
      </c>
      <c r="D1196">
        <v>2</v>
      </c>
      <c r="E1196" t="s">
        <v>84</v>
      </c>
      <c r="F1196" t="s">
        <v>85</v>
      </c>
      <c r="G1196" t="str">
        <f>"2026-01-15 11:03:27.743"</f>
        <v>2026-01-15 11:03:27.743</v>
      </c>
      <c r="H1196" t="s">
        <v>26</v>
      </c>
      <c r="I1196">
        <v>30.05</v>
      </c>
      <c r="J1196" t="s">
        <v>29</v>
      </c>
    </row>
    <row r="1197" spans="1:10" x14ac:dyDescent="0.25">
      <c r="A1197" s="1">
        <v>542</v>
      </c>
      <c r="B1197" t="s">
        <v>19</v>
      </c>
      <c r="C1197">
        <v>61</v>
      </c>
      <c r="D1197">
        <v>2</v>
      </c>
      <c r="E1197" t="s">
        <v>84</v>
      </c>
      <c r="F1197" t="s">
        <v>85</v>
      </c>
      <c r="G1197" t="str">
        <f>"2026-01-15 10:28:03.342"</f>
        <v>2026-01-15 10:28:03.342</v>
      </c>
      <c r="H1197" t="s">
        <v>26</v>
      </c>
    </row>
    <row r="1198" spans="1:10" x14ac:dyDescent="0.25">
      <c r="A1198" s="1">
        <v>543</v>
      </c>
      <c r="B1198" t="s">
        <v>28</v>
      </c>
      <c r="C1198">
        <v>61</v>
      </c>
      <c r="D1198">
        <v>2</v>
      </c>
      <c r="E1198" t="s">
        <v>84</v>
      </c>
      <c r="F1198" t="s">
        <v>85</v>
      </c>
      <c r="G1198" t="str">
        <f>"2026-01-15 10:27:56.843"</f>
        <v>2026-01-15 10:27:56.843</v>
      </c>
      <c r="H1198" t="s">
        <v>26</v>
      </c>
      <c r="I1198">
        <v>30.75</v>
      </c>
      <c r="J1198" t="s">
        <v>29</v>
      </c>
    </row>
    <row r="1199" spans="1:10" x14ac:dyDescent="0.25">
      <c r="A1199" s="1">
        <v>544</v>
      </c>
      <c r="B1199" t="s">
        <v>19</v>
      </c>
      <c r="C1199">
        <v>61</v>
      </c>
      <c r="D1199">
        <v>2</v>
      </c>
      <c r="E1199" t="s">
        <v>84</v>
      </c>
      <c r="F1199" t="s">
        <v>85</v>
      </c>
      <c r="G1199" t="str">
        <f>"2026-01-15 09:02:26.343"</f>
        <v>2026-01-15 09:02:26.343</v>
      </c>
      <c r="H1199" t="s">
        <v>26</v>
      </c>
    </row>
    <row r="1200" spans="1:10" x14ac:dyDescent="0.25">
      <c r="A1200" s="1">
        <v>545</v>
      </c>
      <c r="B1200" t="s">
        <v>28</v>
      </c>
      <c r="C1200">
        <v>61</v>
      </c>
      <c r="D1200">
        <v>2</v>
      </c>
      <c r="E1200" t="s">
        <v>84</v>
      </c>
      <c r="F1200" t="s">
        <v>85</v>
      </c>
      <c r="G1200" t="str">
        <f>"2026-01-15 09:02:19.243"</f>
        <v>2026-01-15 09:02:19.243</v>
      </c>
      <c r="H1200" t="s">
        <v>26</v>
      </c>
      <c r="I1200">
        <v>30.95</v>
      </c>
      <c r="J1200" t="s">
        <v>29</v>
      </c>
    </row>
    <row r="1201" spans="1:10" x14ac:dyDescent="0.25">
      <c r="A1201" s="1">
        <v>546</v>
      </c>
      <c r="B1201" t="s">
        <v>19</v>
      </c>
      <c r="C1201">
        <v>61</v>
      </c>
      <c r="D1201">
        <v>2</v>
      </c>
      <c r="E1201" t="s">
        <v>84</v>
      </c>
      <c r="F1201" t="s">
        <v>85</v>
      </c>
      <c r="G1201" t="str">
        <f>"2026-01-15 08:43:15.943"</f>
        <v>2026-01-15 08:43:15.943</v>
      </c>
      <c r="H1201" t="s">
        <v>26</v>
      </c>
    </row>
    <row r="1202" spans="1:10" x14ac:dyDescent="0.25">
      <c r="A1202" s="1">
        <v>547</v>
      </c>
      <c r="B1202" t="s">
        <v>28</v>
      </c>
      <c r="C1202">
        <v>61</v>
      </c>
      <c r="D1202">
        <v>2</v>
      </c>
      <c r="E1202" t="s">
        <v>84</v>
      </c>
      <c r="F1202" t="s">
        <v>85</v>
      </c>
      <c r="G1202" t="str">
        <f>"2026-01-15 08:43:09.043"</f>
        <v>2026-01-15 08:43:09.043</v>
      </c>
      <c r="H1202" t="s">
        <v>26</v>
      </c>
      <c r="I1202">
        <v>30.57</v>
      </c>
      <c r="J1202" t="s">
        <v>29</v>
      </c>
    </row>
    <row r="1203" spans="1:10" x14ac:dyDescent="0.25">
      <c r="A1203" s="1">
        <v>548</v>
      </c>
      <c r="B1203" t="s">
        <v>19</v>
      </c>
      <c r="C1203">
        <v>61</v>
      </c>
      <c r="D1203">
        <v>2</v>
      </c>
      <c r="E1203" t="s">
        <v>84</v>
      </c>
      <c r="F1203" t="s">
        <v>85</v>
      </c>
      <c r="G1203" t="str">
        <f>"2026-01-15 08:24:40.143"</f>
        <v>2026-01-15 08:24:40.143</v>
      </c>
      <c r="H1203" t="s">
        <v>26</v>
      </c>
    </row>
    <row r="1204" spans="1:10" x14ac:dyDescent="0.25">
      <c r="A1204" s="1">
        <v>549</v>
      </c>
      <c r="B1204" t="s">
        <v>28</v>
      </c>
      <c r="C1204">
        <v>61</v>
      </c>
      <c r="D1204">
        <v>2</v>
      </c>
      <c r="E1204" t="s">
        <v>84</v>
      </c>
      <c r="F1204" t="s">
        <v>85</v>
      </c>
      <c r="G1204" t="str">
        <f>"2026-01-15 08:24:33.444"</f>
        <v>2026-01-15 08:24:33.444</v>
      </c>
      <c r="H1204" t="s">
        <v>26</v>
      </c>
      <c r="I1204">
        <v>30.55</v>
      </c>
      <c r="J1204" t="s">
        <v>29</v>
      </c>
    </row>
    <row r="1205" spans="1:10" x14ac:dyDescent="0.25">
      <c r="A1205" s="1">
        <v>550</v>
      </c>
      <c r="B1205" t="s">
        <v>23</v>
      </c>
      <c r="C1205">
        <v>706</v>
      </c>
      <c r="D1205">
        <v>2</v>
      </c>
      <c r="E1205" t="s">
        <v>24</v>
      </c>
      <c r="F1205" t="s">
        <v>39</v>
      </c>
      <c r="G1205" t="str">
        <f>"2026-01-15 07:47:05.212"</f>
        <v>2026-01-15 07:47:05.212</v>
      </c>
      <c r="H1205" t="s">
        <v>26</v>
      </c>
      <c r="I1205">
        <v>0</v>
      </c>
      <c r="J1205" t="s">
        <v>27</v>
      </c>
    </row>
    <row r="1206" spans="1:10" x14ac:dyDescent="0.25">
      <c r="A1206" s="1">
        <v>551</v>
      </c>
      <c r="B1206" t="s">
        <v>23</v>
      </c>
      <c r="C1206">
        <v>706</v>
      </c>
      <c r="D1206">
        <v>4</v>
      </c>
      <c r="E1206" t="s">
        <v>24</v>
      </c>
      <c r="F1206" t="s">
        <v>25</v>
      </c>
      <c r="G1206" t="str">
        <f>"2026-01-14 09:24:07.422"</f>
        <v>2026-01-14 09:24:07.422</v>
      </c>
      <c r="H1206" t="s">
        <v>26</v>
      </c>
      <c r="I1206">
        <v>0</v>
      </c>
      <c r="J1206" t="s">
        <v>27</v>
      </c>
    </row>
    <row r="1207" spans="1:10" x14ac:dyDescent="0.25">
      <c r="A1207" s="1">
        <v>552</v>
      </c>
      <c r="B1207" t="s">
        <v>23</v>
      </c>
      <c r="C1207">
        <v>700</v>
      </c>
      <c r="D1207">
        <v>0</v>
      </c>
      <c r="E1207" t="s">
        <v>37</v>
      </c>
      <c r="F1207" t="s">
        <v>37</v>
      </c>
      <c r="G1207" t="str">
        <f>"2026-01-14 09:11:37.422"</f>
        <v>2026-01-14 09:11:37.422</v>
      </c>
      <c r="H1207" t="s">
        <v>26</v>
      </c>
      <c r="I1207">
        <v>0</v>
      </c>
      <c r="J1207" t="s">
        <v>43</v>
      </c>
    </row>
    <row r="1208" spans="1:10" x14ac:dyDescent="0.25">
      <c r="A1208" s="1">
        <v>554</v>
      </c>
      <c r="B1208" t="s">
        <v>19</v>
      </c>
      <c r="C1208">
        <v>61</v>
      </c>
      <c r="D1208">
        <v>2</v>
      </c>
      <c r="E1208" t="s">
        <v>84</v>
      </c>
      <c r="F1208" t="s">
        <v>85</v>
      </c>
      <c r="G1208" t="str">
        <f>"2026-01-13 23:25:33.349"</f>
        <v>2026-01-13 23:25:33.349</v>
      </c>
      <c r="H1208" t="s">
        <v>26</v>
      </c>
    </row>
    <row r="1209" spans="1:10" x14ac:dyDescent="0.25">
      <c r="A1209" s="1">
        <v>555</v>
      </c>
      <c r="B1209" t="s">
        <v>28</v>
      </c>
      <c r="C1209">
        <v>61</v>
      </c>
      <c r="D1209">
        <v>2</v>
      </c>
      <c r="E1209" t="s">
        <v>84</v>
      </c>
      <c r="F1209" t="s">
        <v>85</v>
      </c>
      <c r="G1209" t="str">
        <f>"2026-01-13 23:25:26.249"</f>
        <v>2026-01-13 23:25:26.249</v>
      </c>
      <c r="H1209" t="s">
        <v>26</v>
      </c>
      <c r="I1209">
        <v>29.49</v>
      </c>
      <c r="J1209" t="s">
        <v>29</v>
      </c>
    </row>
    <row r="1210" spans="1:10" x14ac:dyDescent="0.25">
      <c r="A1210" s="1">
        <v>557</v>
      </c>
      <c r="B1210" t="s">
        <v>19</v>
      </c>
      <c r="C1210">
        <v>61</v>
      </c>
      <c r="D1210">
        <v>2</v>
      </c>
      <c r="E1210" t="s">
        <v>84</v>
      </c>
      <c r="F1210" t="s">
        <v>85</v>
      </c>
      <c r="G1210" t="str">
        <f>"2026-01-13 18:42:03.849"</f>
        <v>2026-01-13 18:42:03.849</v>
      </c>
      <c r="H1210" t="s">
        <v>26</v>
      </c>
    </row>
    <row r="1211" spans="1:10" x14ac:dyDescent="0.25">
      <c r="A1211" s="1">
        <v>558</v>
      </c>
      <c r="B1211" t="s">
        <v>28</v>
      </c>
      <c r="C1211">
        <v>61</v>
      </c>
      <c r="D1211">
        <v>2</v>
      </c>
      <c r="E1211" t="s">
        <v>84</v>
      </c>
      <c r="F1211" t="s">
        <v>85</v>
      </c>
      <c r="G1211" t="str">
        <f>"2026-01-13 18:41:48.949"</f>
        <v>2026-01-13 18:41:48.949</v>
      </c>
      <c r="H1211" t="s">
        <v>26</v>
      </c>
      <c r="I1211">
        <v>30.21</v>
      </c>
      <c r="J1211" t="s">
        <v>29</v>
      </c>
    </row>
    <row r="1212" spans="1:10" x14ac:dyDescent="0.25">
      <c r="A1212" s="1">
        <v>559</v>
      </c>
      <c r="B1212" t="s">
        <v>19</v>
      </c>
      <c r="C1212">
        <v>61</v>
      </c>
      <c r="D1212">
        <v>2</v>
      </c>
      <c r="E1212" t="s">
        <v>84</v>
      </c>
      <c r="F1212" t="s">
        <v>85</v>
      </c>
      <c r="G1212" t="str">
        <f>"2026-01-13 17:02:14.549"</f>
        <v>2026-01-13 17:02:14.549</v>
      </c>
      <c r="H1212" t="s">
        <v>26</v>
      </c>
    </row>
    <row r="1213" spans="1:10" x14ac:dyDescent="0.25">
      <c r="A1213" s="1">
        <v>560</v>
      </c>
      <c r="B1213" t="s">
        <v>28</v>
      </c>
      <c r="C1213">
        <v>61</v>
      </c>
      <c r="D1213">
        <v>2</v>
      </c>
      <c r="E1213" t="s">
        <v>84</v>
      </c>
      <c r="F1213" t="s">
        <v>85</v>
      </c>
      <c r="G1213" t="str">
        <f>"2026-01-13 17:02:05.949"</f>
        <v>2026-01-13 17:02:05.949</v>
      </c>
      <c r="H1213" t="s">
        <v>26</v>
      </c>
      <c r="I1213">
        <v>29.55</v>
      </c>
      <c r="J1213" t="s">
        <v>29</v>
      </c>
    </row>
    <row r="1214" spans="1:10" x14ac:dyDescent="0.25">
      <c r="A1214" s="1">
        <v>561</v>
      </c>
      <c r="B1214" t="s">
        <v>19</v>
      </c>
      <c r="C1214">
        <v>61</v>
      </c>
      <c r="D1214">
        <v>2</v>
      </c>
      <c r="E1214" t="s">
        <v>84</v>
      </c>
      <c r="F1214" t="s">
        <v>85</v>
      </c>
      <c r="G1214" t="str">
        <f>"2026-01-13 15:48:24.949"</f>
        <v>2026-01-13 15:48:24.949</v>
      </c>
      <c r="H1214" t="s">
        <v>26</v>
      </c>
    </row>
    <row r="1215" spans="1:10" x14ac:dyDescent="0.25">
      <c r="A1215" s="1">
        <v>562</v>
      </c>
      <c r="B1215" t="s">
        <v>28</v>
      </c>
      <c r="C1215">
        <v>61</v>
      </c>
      <c r="D1215">
        <v>2</v>
      </c>
      <c r="E1215" t="s">
        <v>84</v>
      </c>
      <c r="F1215" t="s">
        <v>85</v>
      </c>
      <c r="G1215" t="str">
        <f>"2026-01-13 15:48:12.949"</f>
        <v>2026-01-13 15:48:12.949</v>
      </c>
      <c r="H1215" t="s">
        <v>26</v>
      </c>
      <c r="I1215">
        <v>30.06</v>
      </c>
      <c r="J1215" t="s">
        <v>29</v>
      </c>
    </row>
    <row r="1216" spans="1:10" x14ac:dyDescent="0.25">
      <c r="A1216" s="1">
        <v>563</v>
      </c>
      <c r="B1216" t="s">
        <v>23</v>
      </c>
      <c r="C1216">
        <v>706</v>
      </c>
      <c r="D1216">
        <v>2</v>
      </c>
      <c r="E1216" t="s">
        <v>24</v>
      </c>
      <c r="F1216" t="s">
        <v>39</v>
      </c>
      <c r="G1216" t="str">
        <f>"2026-01-13 14:59:47.829"</f>
        <v>2026-01-13 14:59:47.829</v>
      </c>
      <c r="H1216" t="s">
        <v>26</v>
      </c>
      <c r="I1216">
        <v>0</v>
      </c>
      <c r="J1216" t="s">
        <v>27</v>
      </c>
    </row>
    <row r="1217" spans="1:10" x14ac:dyDescent="0.25">
      <c r="A1217" s="1">
        <v>564</v>
      </c>
      <c r="B1217" t="s">
        <v>23</v>
      </c>
      <c r="C1217">
        <v>700</v>
      </c>
      <c r="D1217">
        <v>0</v>
      </c>
      <c r="E1217" t="s">
        <v>37</v>
      </c>
      <c r="F1217" t="s">
        <v>37</v>
      </c>
      <c r="G1217" t="str">
        <f>"2026-01-13 14:31:23.389"</f>
        <v>2026-01-13 14:31:23.389</v>
      </c>
      <c r="H1217" t="s">
        <v>26</v>
      </c>
      <c r="I1217">
        <v>0</v>
      </c>
      <c r="J1217" t="s">
        <v>43</v>
      </c>
    </row>
    <row r="1218" spans="1:10" x14ac:dyDescent="0.25">
      <c r="A1218" s="1">
        <v>565</v>
      </c>
      <c r="B1218" t="s">
        <v>23</v>
      </c>
      <c r="C1218">
        <v>700</v>
      </c>
      <c r="D1218">
        <v>0</v>
      </c>
      <c r="E1218" t="s">
        <v>37</v>
      </c>
      <c r="F1218" t="s">
        <v>37</v>
      </c>
      <c r="G1218" t="str">
        <f>"2026-01-13 10:28:00.386"</f>
        <v>2026-01-13 10:28:00.386</v>
      </c>
      <c r="H1218" t="s">
        <v>26</v>
      </c>
      <c r="I1218">
        <v>0</v>
      </c>
      <c r="J1218" t="s">
        <v>43</v>
      </c>
    </row>
    <row r="1219" spans="1:10" x14ac:dyDescent="0.25">
      <c r="A1219" s="1">
        <v>566</v>
      </c>
      <c r="B1219" t="s">
        <v>23</v>
      </c>
      <c r="C1219">
        <v>706</v>
      </c>
      <c r="D1219">
        <v>2</v>
      </c>
      <c r="E1219" t="s">
        <v>24</v>
      </c>
      <c r="F1219" t="s">
        <v>39</v>
      </c>
      <c r="G1219" t="str">
        <f>"2026-01-13 10:20:59.645"</f>
        <v>2026-01-13 10:20:59.645</v>
      </c>
      <c r="H1219" t="s">
        <v>26</v>
      </c>
      <c r="I1219">
        <v>0</v>
      </c>
      <c r="J1219" t="s">
        <v>27</v>
      </c>
    </row>
    <row r="1220" spans="1:10" x14ac:dyDescent="0.25">
      <c r="A1220" s="1">
        <v>567</v>
      </c>
      <c r="B1220" t="s">
        <v>23</v>
      </c>
      <c r="C1220">
        <v>700</v>
      </c>
      <c r="D1220">
        <v>0</v>
      </c>
      <c r="E1220" t="s">
        <v>37</v>
      </c>
      <c r="F1220" t="s">
        <v>37</v>
      </c>
      <c r="G1220" t="str">
        <f>"2026-01-13 09:37:29.395"</f>
        <v>2026-01-13 09:37:29.395</v>
      </c>
      <c r="H1220" t="s">
        <v>26</v>
      </c>
      <c r="I1220">
        <v>0</v>
      </c>
      <c r="J1220" t="s">
        <v>43</v>
      </c>
    </row>
    <row r="1221" spans="1:10" x14ac:dyDescent="0.25">
      <c r="A1221" s="1">
        <v>568</v>
      </c>
      <c r="B1221" t="s">
        <v>23</v>
      </c>
      <c r="C1221">
        <v>700</v>
      </c>
      <c r="D1221">
        <v>0</v>
      </c>
      <c r="E1221" t="s">
        <v>37</v>
      </c>
      <c r="F1221" t="s">
        <v>37</v>
      </c>
      <c r="G1221" t="str">
        <f>"2026-01-13 09:20:08.386"</f>
        <v>2026-01-13 09:20:08.386</v>
      </c>
      <c r="H1221" t="s">
        <v>26</v>
      </c>
      <c r="I1221">
        <v>0</v>
      </c>
      <c r="J1221" t="s">
        <v>43</v>
      </c>
    </row>
    <row r="1222" spans="1:10" x14ac:dyDescent="0.25">
      <c r="A1222" s="1">
        <v>569</v>
      </c>
      <c r="B1222" t="s">
        <v>23</v>
      </c>
      <c r="C1222">
        <v>700</v>
      </c>
      <c r="D1222">
        <v>0</v>
      </c>
      <c r="E1222" t="s">
        <v>37</v>
      </c>
      <c r="F1222" t="s">
        <v>37</v>
      </c>
      <c r="G1222" t="str">
        <f>"2026-01-13 09:06:25.387"</f>
        <v>2026-01-13 09:06:25.387</v>
      </c>
      <c r="H1222" t="s">
        <v>26</v>
      </c>
      <c r="I1222">
        <v>0</v>
      </c>
      <c r="J1222" t="s">
        <v>43</v>
      </c>
    </row>
    <row r="1223" spans="1:10" x14ac:dyDescent="0.25">
      <c r="A1223" s="1">
        <v>571</v>
      </c>
      <c r="B1223" t="s">
        <v>23</v>
      </c>
      <c r="C1223">
        <v>700</v>
      </c>
      <c r="D1223">
        <v>0</v>
      </c>
      <c r="E1223" t="s">
        <v>37</v>
      </c>
      <c r="F1223" t="s">
        <v>37</v>
      </c>
      <c r="G1223" t="str">
        <f>"2026-01-12 16:18:36.402"</f>
        <v>2026-01-12 16:18:36.402</v>
      </c>
      <c r="H1223" t="s">
        <v>26</v>
      </c>
    </row>
    <row r="1224" spans="1:10" x14ac:dyDescent="0.25">
      <c r="A1224" s="1">
        <v>572</v>
      </c>
      <c r="B1224" t="s">
        <v>23</v>
      </c>
      <c r="C1224">
        <v>706</v>
      </c>
      <c r="D1224">
        <v>2</v>
      </c>
      <c r="E1224" t="s">
        <v>24</v>
      </c>
      <c r="F1224" t="s">
        <v>39</v>
      </c>
      <c r="G1224" t="str">
        <f>"2026-01-12 10:48:27.620"</f>
        <v>2026-01-12 10:48:27.620</v>
      </c>
      <c r="H1224" t="s">
        <v>26</v>
      </c>
      <c r="I1224">
        <v>0</v>
      </c>
      <c r="J1224" t="s">
        <v>27</v>
      </c>
    </row>
    <row r="1225" spans="1:10" x14ac:dyDescent="0.25">
      <c r="A1225" s="1">
        <v>573</v>
      </c>
      <c r="B1225" t="s">
        <v>19</v>
      </c>
      <c r="C1225">
        <v>61</v>
      </c>
      <c r="D1225">
        <v>2</v>
      </c>
      <c r="E1225" t="s">
        <v>84</v>
      </c>
      <c r="F1225" t="s">
        <v>85</v>
      </c>
      <c r="G1225" t="str">
        <f>"2026-01-12 06:30:52.951"</f>
        <v>2026-01-12 06:30:52.951</v>
      </c>
      <c r="H1225" t="s">
        <v>26</v>
      </c>
    </row>
    <row r="1226" spans="1:10" x14ac:dyDescent="0.25">
      <c r="A1226" s="1">
        <v>574</v>
      </c>
      <c r="B1226" t="s">
        <v>28</v>
      </c>
      <c r="C1226">
        <v>61</v>
      </c>
      <c r="D1226">
        <v>2</v>
      </c>
      <c r="E1226" t="s">
        <v>84</v>
      </c>
      <c r="F1226" t="s">
        <v>85</v>
      </c>
      <c r="G1226" t="str">
        <f>"2026-01-12 06:30:37.851"</f>
        <v>2026-01-12 06:30:37.851</v>
      </c>
      <c r="H1226" t="s">
        <v>26</v>
      </c>
      <c r="I1226">
        <v>30.24</v>
      </c>
      <c r="J1226" t="s">
        <v>29</v>
      </c>
    </row>
    <row r="1227" spans="1:10" x14ac:dyDescent="0.25">
      <c r="A1227" s="1">
        <v>575</v>
      </c>
      <c r="B1227" t="s">
        <v>19</v>
      </c>
      <c r="C1227">
        <v>635</v>
      </c>
      <c r="D1227">
        <v>1</v>
      </c>
      <c r="E1227" t="s">
        <v>40</v>
      </c>
      <c r="F1227" t="s">
        <v>41</v>
      </c>
      <c r="G1227" t="str">
        <f>"2026-01-12 03:34:20.250"</f>
        <v>2026-01-12 03:34:20.250</v>
      </c>
      <c r="H1227" t="s">
        <v>26</v>
      </c>
    </row>
    <row r="1228" spans="1:10" x14ac:dyDescent="0.25">
      <c r="A1228" s="1">
        <v>576</v>
      </c>
      <c r="B1228" t="s">
        <v>38</v>
      </c>
      <c r="C1228">
        <v>635</v>
      </c>
      <c r="D1228">
        <v>1</v>
      </c>
      <c r="E1228" t="s">
        <v>40</v>
      </c>
      <c r="F1228" t="s">
        <v>41</v>
      </c>
      <c r="G1228" t="str">
        <f>"2026-01-12 03:29:29.750"</f>
        <v>2026-01-12 03:29:29.750</v>
      </c>
      <c r="H1228" t="s">
        <v>26</v>
      </c>
      <c r="I1228">
        <v>0</v>
      </c>
      <c r="J1228" t="s">
        <v>31</v>
      </c>
    </row>
    <row r="1229" spans="1:10" x14ac:dyDescent="0.25">
      <c r="A1229" s="1">
        <v>577</v>
      </c>
      <c r="B1229" t="s">
        <v>19</v>
      </c>
      <c r="C1229">
        <v>61</v>
      </c>
      <c r="D1229">
        <v>2</v>
      </c>
      <c r="E1229" t="s">
        <v>84</v>
      </c>
      <c r="F1229" t="s">
        <v>85</v>
      </c>
      <c r="G1229" t="str">
        <f>"2026-01-12 02:22:25.651"</f>
        <v>2026-01-12 02:22:25.651</v>
      </c>
      <c r="H1229" t="s">
        <v>26</v>
      </c>
    </row>
    <row r="1230" spans="1:10" x14ac:dyDescent="0.25">
      <c r="A1230" s="1">
        <v>578</v>
      </c>
      <c r="B1230" t="s">
        <v>28</v>
      </c>
      <c r="C1230">
        <v>61</v>
      </c>
      <c r="D1230">
        <v>2</v>
      </c>
      <c r="E1230" t="s">
        <v>84</v>
      </c>
      <c r="F1230" t="s">
        <v>85</v>
      </c>
      <c r="G1230" t="str">
        <f>"2026-01-12 02:22:12.351"</f>
        <v>2026-01-12 02:22:12.351</v>
      </c>
      <c r="H1230" t="s">
        <v>26</v>
      </c>
      <c r="I1230">
        <v>30.17</v>
      </c>
      <c r="J1230" t="s">
        <v>29</v>
      </c>
    </row>
    <row r="1231" spans="1:10" x14ac:dyDescent="0.25">
      <c r="A1231" s="1">
        <v>579</v>
      </c>
      <c r="B1231" t="s">
        <v>23</v>
      </c>
      <c r="C1231">
        <v>706</v>
      </c>
      <c r="D1231">
        <v>4</v>
      </c>
      <c r="E1231" t="s">
        <v>24</v>
      </c>
      <c r="F1231" t="s">
        <v>25</v>
      </c>
      <c r="G1231" t="str">
        <f>"2026-01-11 23:52:34.890"</f>
        <v>2026-01-11 23:52:34.890</v>
      </c>
      <c r="H1231" t="s">
        <v>26</v>
      </c>
      <c r="I1231">
        <v>0</v>
      </c>
      <c r="J1231" t="s">
        <v>27</v>
      </c>
    </row>
    <row r="1232" spans="1:10" x14ac:dyDescent="0.25">
      <c r="A1232" s="1">
        <v>580</v>
      </c>
      <c r="B1232" t="s">
        <v>23</v>
      </c>
      <c r="C1232">
        <v>700</v>
      </c>
      <c r="D1232">
        <v>0</v>
      </c>
      <c r="E1232" t="s">
        <v>37</v>
      </c>
      <c r="F1232" t="s">
        <v>37</v>
      </c>
      <c r="G1232" t="str">
        <f>"2026-01-11 22:42:35.380"</f>
        <v>2026-01-11 22:42:35.380</v>
      </c>
      <c r="H1232" t="s">
        <v>26</v>
      </c>
      <c r="I1232">
        <v>0</v>
      </c>
      <c r="J1232" t="s">
        <v>43</v>
      </c>
    </row>
    <row r="1233" spans="1:10" x14ac:dyDescent="0.25">
      <c r="A1233" s="1">
        <v>581</v>
      </c>
      <c r="B1233" t="s">
        <v>23</v>
      </c>
      <c r="C1233">
        <v>700</v>
      </c>
      <c r="D1233">
        <v>0</v>
      </c>
      <c r="E1233" t="s">
        <v>37</v>
      </c>
      <c r="F1233" t="s">
        <v>37</v>
      </c>
      <c r="G1233" t="str">
        <f>"2026-01-11 22:14:47.381"</f>
        <v>2026-01-11 22:14:47.381</v>
      </c>
      <c r="H1233" t="s">
        <v>26</v>
      </c>
      <c r="I1233">
        <v>0</v>
      </c>
      <c r="J1233" t="s">
        <v>43</v>
      </c>
    </row>
    <row r="1234" spans="1:10" x14ac:dyDescent="0.25">
      <c r="A1234" s="1">
        <v>582</v>
      </c>
      <c r="B1234" t="s">
        <v>23</v>
      </c>
      <c r="C1234">
        <v>700</v>
      </c>
      <c r="D1234">
        <v>0</v>
      </c>
      <c r="E1234" t="s">
        <v>37</v>
      </c>
      <c r="F1234" t="s">
        <v>37</v>
      </c>
      <c r="G1234" t="str">
        <f>"2026-01-11 22:09:48.384"</f>
        <v>2026-01-11 22:09:48.384</v>
      </c>
      <c r="H1234" t="s">
        <v>26</v>
      </c>
    </row>
    <row r="1235" spans="1:10" x14ac:dyDescent="0.25">
      <c r="A1235" s="1">
        <v>583</v>
      </c>
      <c r="B1235" t="s">
        <v>23</v>
      </c>
      <c r="C1235">
        <v>700</v>
      </c>
      <c r="D1235">
        <v>0</v>
      </c>
      <c r="E1235" t="s">
        <v>37</v>
      </c>
      <c r="F1235" t="s">
        <v>37</v>
      </c>
      <c r="G1235" t="str">
        <f>"2026-01-11 21:46:43.519"</f>
        <v>2026-01-11 21:46:43.519</v>
      </c>
      <c r="H1235" t="s">
        <v>26</v>
      </c>
      <c r="I1235">
        <v>0</v>
      </c>
      <c r="J1235" t="s">
        <v>43</v>
      </c>
    </row>
    <row r="1236" spans="1:10" x14ac:dyDescent="0.25">
      <c r="A1236" s="1">
        <v>584</v>
      </c>
      <c r="B1236" t="s">
        <v>23</v>
      </c>
      <c r="C1236">
        <v>706</v>
      </c>
      <c r="D1236">
        <v>2</v>
      </c>
      <c r="E1236" t="s">
        <v>24</v>
      </c>
      <c r="F1236" t="s">
        <v>39</v>
      </c>
      <c r="G1236" t="str">
        <f>"2026-01-11 09:13:43.320"</f>
        <v>2026-01-11 09:13:43.320</v>
      </c>
      <c r="H1236" t="s">
        <v>26</v>
      </c>
      <c r="I1236">
        <v>0</v>
      </c>
      <c r="J1236" t="s">
        <v>27</v>
      </c>
    </row>
    <row r="1237" spans="1:10" x14ac:dyDescent="0.25">
      <c r="A1237" s="1">
        <v>585</v>
      </c>
      <c r="B1237" t="s">
        <v>23</v>
      </c>
      <c r="C1237">
        <v>706</v>
      </c>
      <c r="D1237">
        <v>4</v>
      </c>
      <c r="E1237" t="s">
        <v>24</v>
      </c>
      <c r="F1237" t="s">
        <v>25</v>
      </c>
      <c r="G1237" t="str">
        <f>"2026-01-10 13:24:41.970"</f>
        <v>2026-01-10 13:24:41.970</v>
      </c>
      <c r="H1237" t="s">
        <v>26</v>
      </c>
      <c r="I1237">
        <v>0</v>
      </c>
      <c r="J1237" t="s">
        <v>27</v>
      </c>
    </row>
    <row r="1238" spans="1:10" x14ac:dyDescent="0.25">
      <c r="A1238" s="1">
        <v>586</v>
      </c>
      <c r="B1238" t="s">
        <v>19</v>
      </c>
      <c r="C1238">
        <v>635</v>
      </c>
      <c r="D1238">
        <v>1</v>
      </c>
      <c r="E1238" t="s">
        <v>40</v>
      </c>
      <c r="F1238" t="s">
        <v>41</v>
      </c>
      <c r="G1238" t="str">
        <f>"2026-01-10 08:26:47.532"</f>
        <v>2026-01-10 08:26:47.532</v>
      </c>
      <c r="H1238" t="s">
        <v>26</v>
      </c>
    </row>
    <row r="1239" spans="1:10" x14ac:dyDescent="0.25">
      <c r="A1239" s="1">
        <v>587</v>
      </c>
      <c r="B1239" t="s">
        <v>38</v>
      </c>
      <c r="C1239">
        <v>635</v>
      </c>
      <c r="D1239">
        <v>1</v>
      </c>
      <c r="E1239" t="s">
        <v>40</v>
      </c>
      <c r="F1239" t="s">
        <v>41</v>
      </c>
      <c r="G1239" t="str">
        <f>"2026-01-10 08:23:35.032"</f>
        <v>2026-01-10 08:23:35.032</v>
      </c>
      <c r="H1239" t="s">
        <v>26</v>
      </c>
      <c r="I1239">
        <v>5.32</v>
      </c>
      <c r="J1239" t="s">
        <v>42</v>
      </c>
    </row>
    <row r="1240" spans="1:10" x14ac:dyDescent="0.25">
      <c r="A1240" s="1">
        <v>588</v>
      </c>
      <c r="B1240" t="s">
        <v>19</v>
      </c>
      <c r="C1240">
        <v>61</v>
      </c>
      <c r="D1240">
        <v>2</v>
      </c>
      <c r="E1240" t="s">
        <v>84</v>
      </c>
      <c r="F1240" t="s">
        <v>85</v>
      </c>
      <c r="G1240" t="str">
        <f>"2026-01-10 06:46:53.445"</f>
        <v>2026-01-10 06:46:53.445</v>
      </c>
      <c r="H1240" t="s">
        <v>26</v>
      </c>
    </row>
    <row r="1241" spans="1:10" x14ac:dyDescent="0.25">
      <c r="A1241" s="1">
        <v>589</v>
      </c>
      <c r="B1241" t="s">
        <v>28</v>
      </c>
      <c r="C1241">
        <v>61</v>
      </c>
      <c r="D1241">
        <v>2</v>
      </c>
      <c r="E1241" t="s">
        <v>84</v>
      </c>
      <c r="F1241" t="s">
        <v>85</v>
      </c>
      <c r="G1241" t="str">
        <f>"2026-01-10 06:46:28.544"</f>
        <v>2026-01-10 06:46:28.544</v>
      </c>
      <c r="H1241" t="s">
        <v>26</v>
      </c>
      <c r="I1241">
        <v>30.66</v>
      </c>
      <c r="J1241" t="s">
        <v>29</v>
      </c>
    </row>
    <row r="1242" spans="1:10" x14ac:dyDescent="0.25">
      <c r="A1242" s="1">
        <v>590</v>
      </c>
      <c r="B1242" t="s">
        <v>19</v>
      </c>
      <c r="C1242">
        <v>61</v>
      </c>
      <c r="D1242">
        <v>2</v>
      </c>
      <c r="E1242" t="s">
        <v>84</v>
      </c>
      <c r="F1242" t="s">
        <v>85</v>
      </c>
      <c r="G1242" t="str">
        <f>"2026-01-10 01:45:24.144"</f>
        <v>2026-01-10 01:45:24.144</v>
      </c>
      <c r="H1242" t="s">
        <v>26</v>
      </c>
    </row>
    <row r="1243" spans="1:10" x14ac:dyDescent="0.25">
      <c r="A1243" s="1">
        <v>591</v>
      </c>
      <c r="B1243" t="s">
        <v>28</v>
      </c>
      <c r="C1243">
        <v>61</v>
      </c>
      <c r="D1243">
        <v>2</v>
      </c>
      <c r="E1243" t="s">
        <v>84</v>
      </c>
      <c r="F1243" t="s">
        <v>85</v>
      </c>
      <c r="G1243" t="str">
        <f>"2026-01-10 01:45:11.645"</f>
        <v>2026-01-10 01:45:11.645</v>
      </c>
      <c r="H1243" t="s">
        <v>26</v>
      </c>
      <c r="I1243">
        <v>30.24</v>
      </c>
      <c r="J1243" t="s">
        <v>29</v>
      </c>
    </row>
    <row r="1244" spans="1:10" x14ac:dyDescent="0.25">
      <c r="A1244" s="1">
        <v>592</v>
      </c>
      <c r="B1244" t="s">
        <v>19</v>
      </c>
      <c r="C1244">
        <v>61</v>
      </c>
      <c r="D1244">
        <v>2</v>
      </c>
      <c r="E1244" t="s">
        <v>84</v>
      </c>
      <c r="F1244" t="s">
        <v>85</v>
      </c>
      <c r="G1244" t="str">
        <f>"2026-01-09 21:19:16.544"</f>
        <v>2026-01-09 21:19:16.544</v>
      </c>
      <c r="H1244" t="s">
        <v>26</v>
      </c>
    </row>
    <row r="1245" spans="1:10" x14ac:dyDescent="0.25">
      <c r="A1245" s="1">
        <v>593</v>
      </c>
      <c r="B1245" t="s">
        <v>28</v>
      </c>
      <c r="C1245">
        <v>61</v>
      </c>
      <c r="D1245">
        <v>2</v>
      </c>
      <c r="E1245" t="s">
        <v>84</v>
      </c>
      <c r="F1245" t="s">
        <v>85</v>
      </c>
      <c r="G1245" t="str">
        <f>"2026-01-09 21:19:06.344"</f>
        <v>2026-01-09 21:19:06.344</v>
      </c>
      <c r="H1245" t="s">
        <v>26</v>
      </c>
      <c r="I1245">
        <v>29.82</v>
      </c>
      <c r="J1245" t="s">
        <v>29</v>
      </c>
    </row>
    <row r="1246" spans="1:10" x14ac:dyDescent="0.25">
      <c r="A1246" s="1">
        <v>595</v>
      </c>
      <c r="B1246" t="s">
        <v>19</v>
      </c>
      <c r="C1246">
        <v>635</v>
      </c>
      <c r="D1246">
        <v>1</v>
      </c>
      <c r="E1246" t="s">
        <v>40</v>
      </c>
      <c r="F1246" t="s">
        <v>41</v>
      </c>
      <c r="G1246" t="str">
        <f>"2026-01-09 09:47:42.132"</f>
        <v>2026-01-09 09:47:42.132</v>
      </c>
      <c r="H1246" t="s">
        <v>26</v>
      </c>
    </row>
    <row r="1247" spans="1:10" x14ac:dyDescent="0.25">
      <c r="A1247" s="1">
        <v>596</v>
      </c>
      <c r="B1247" t="s">
        <v>38</v>
      </c>
      <c r="C1247">
        <v>635</v>
      </c>
      <c r="D1247">
        <v>1</v>
      </c>
      <c r="E1247" t="s">
        <v>40</v>
      </c>
      <c r="F1247" t="s">
        <v>41</v>
      </c>
      <c r="G1247" t="str">
        <f>"2026-01-09 09:38:40.132"</f>
        <v>2026-01-09 09:38:40.132</v>
      </c>
      <c r="H1247" t="s">
        <v>26</v>
      </c>
      <c r="I1247">
        <v>9.93</v>
      </c>
      <c r="J1247" t="s">
        <v>29</v>
      </c>
    </row>
    <row r="1248" spans="1:10" x14ac:dyDescent="0.25">
      <c r="A1248" s="1">
        <v>597</v>
      </c>
      <c r="B1248" t="s">
        <v>23</v>
      </c>
      <c r="C1248">
        <v>706</v>
      </c>
      <c r="D1248">
        <v>4</v>
      </c>
      <c r="E1248" t="s">
        <v>24</v>
      </c>
      <c r="F1248" t="s">
        <v>25</v>
      </c>
      <c r="G1248" t="str">
        <f>"2026-01-09 08:51:37.490"</f>
        <v>2026-01-09 08:51:37.490</v>
      </c>
      <c r="H1248" t="s">
        <v>26</v>
      </c>
      <c r="I1248">
        <v>0</v>
      </c>
      <c r="J1248" t="s">
        <v>27</v>
      </c>
    </row>
    <row r="1249" spans="1:10" x14ac:dyDescent="0.25">
      <c r="A1249" s="1">
        <v>598</v>
      </c>
      <c r="B1249" t="s">
        <v>19</v>
      </c>
      <c r="C1249">
        <v>61</v>
      </c>
      <c r="D1249">
        <v>2</v>
      </c>
      <c r="E1249" t="s">
        <v>84</v>
      </c>
      <c r="F1249" t="s">
        <v>85</v>
      </c>
      <c r="G1249" t="str">
        <f>"2026-01-09 05:54:06.445"</f>
        <v>2026-01-09 05:54:06.445</v>
      </c>
      <c r="H1249" t="s">
        <v>26</v>
      </c>
    </row>
    <row r="1250" spans="1:10" x14ac:dyDescent="0.25">
      <c r="A1250" s="1">
        <v>599</v>
      </c>
      <c r="B1250" t="s">
        <v>28</v>
      </c>
      <c r="C1250">
        <v>61</v>
      </c>
      <c r="D1250">
        <v>2</v>
      </c>
      <c r="E1250" t="s">
        <v>84</v>
      </c>
      <c r="F1250" t="s">
        <v>85</v>
      </c>
      <c r="G1250" t="str">
        <f>"2026-01-09 05:53:44.544"</f>
        <v>2026-01-09 05:53:44.544</v>
      </c>
      <c r="H1250" t="s">
        <v>26</v>
      </c>
      <c r="I1250">
        <v>30.91</v>
      </c>
      <c r="J1250" t="s">
        <v>29</v>
      </c>
    </row>
    <row r="1251" spans="1:10" x14ac:dyDescent="0.25">
      <c r="A1251" s="1">
        <v>600</v>
      </c>
      <c r="B1251" t="s">
        <v>19</v>
      </c>
      <c r="C1251">
        <v>61</v>
      </c>
      <c r="D1251">
        <v>2</v>
      </c>
      <c r="E1251" t="s">
        <v>84</v>
      </c>
      <c r="F1251" t="s">
        <v>85</v>
      </c>
      <c r="G1251" t="str">
        <f>"2026-01-09 05:12:45.845"</f>
        <v>2026-01-09 05:12:45.845</v>
      </c>
      <c r="H1251" t="s">
        <v>26</v>
      </c>
    </row>
    <row r="1252" spans="1:10" x14ac:dyDescent="0.25">
      <c r="A1252" s="1">
        <v>601</v>
      </c>
      <c r="B1252" t="s">
        <v>28</v>
      </c>
      <c r="C1252">
        <v>61</v>
      </c>
      <c r="D1252">
        <v>2</v>
      </c>
      <c r="E1252" t="s">
        <v>84</v>
      </c>
      <c r="F1252" t="s">
        <v>85</v>
      </c>
      <c r="G1252" t="str">
        <f>"2026-01-09 05:12:31.845"</f>
        <v>2026-01-09 05:12:31.845</v>
      </c>
      <c r="H1252" t="s">
        <v>26</v>
      </c>
      <c r="I1252">
        <v>30.18</v>
      </c>
      <c r="J1252" t="s">
        <v>29</v>
      </c>
    </row>
    <row r="1253" spans="1:10" x14ac:dyDescent="0.25">
      <c r="A1253" s="1">
        <v>602</v>
      </c>
      <c r="B1253" t="s">
        <v>23</v>
      </c>
      <c r="C1253">
        <v>706</v>
      </c>
      <c r="D1253">
        <v>2</v>
      </c>
      <c r="E1253" t="s">
        <v>24</v>
      </c>
      <c r="F1253" t="s">
        <v>39</v>
      </c>
      <c r="G1253" t="str">
        <f>"2026-01-08 13:00:37.320"</f>
        <v>2026-01-08 13:00:37.320</v>
      </c>
      <c r="H1253" t="s">
        <v>26</v>
      </c>
      <c r="I1253">
        <v>0</v>
      </c>
      <c r="J1253" t="s">
        <v>27</v>
      </c>
    </row>
    <row r="1254" spans="1:10" x14ac:dyDescent="0.25">
      <c r="A1254" s="1">
        <v>603</v>
      </c>
      <c r="B1254" t="s">
        <v>19</v>
      </c>
      <c r="C1254">
        <v>61</v>
      </c>
      <c r="D1254">
        <v>2</v>
      </c>
      <c r="E1254" t="s">
        <v>84</v>
      </c>
      <c r="F1254" t="s">
        <v>85</v>
      </c>
      <c r="G1254" t="str">
        <f>"2026-01-08 04:02:33.445"</f>
        <v>2026-01-08 04:02:33.445</v>
      </c>
      <c r="H1254" t="s">
        <v>26</v>
      </c>
    </row>
    <row r="1255" spans="1:10" x14ac:dyDescent="0.25">
      <c r="A1255" s="1">
        <v>604</v>
      </c>
      <c r="B1255" t="s">
        <v>28</v>
      </c>
      <c r="C1255">
        <v>61</v>
      </c>
      <c r="D1255">
        <v>2</v>
      </c>
      <c r="E1255" t="s">
        <v>84</v>
      </c>
      <c r="F1255" t="s">
        <v>85</v>
      </c>
      <c r="G1255" t="str">
        <f>"2026-01-08 04:02:21.645"</f>
        <v>2026-01-08 04:02:21.645</v>
      </c>
      <c r="H1255" t="s">
        <v>26</v>
      </c>
      <c r="I1255">
        <v>30.15</v>
      </c>
      <c r="J1255" t="s">
        <v>29</v>
      </c>
    </row>
    <row r="1256" spans="1:10" x14ac:dyDescent="0.25">
      <c r="A1256" s="1">
        <v>605</v>
      </c>
      <c r="B1256" t="s">
        <v>19</v>
      </c>
      <c r="C1256">
        <v>61</v>
      </c>
      <c r="D1256">
        <v>2</v>
      </c>
      <c r="E1256" t="s">
        <v>84</v>
      </c>
      <c r="F1256" t="s">
        <v>85</v>
      </c>
      <c r="G1256" t="str">
        <f>"2026-01-08 02:59:43.645"</f>
        <v>2026-01-08 02:59:43.645</v>
      </c>
      <c r="H1256" t="s">
        <v>26</v>
      </c>
    </row>
    <row r="1257" spans="1:10" x14ac:dyDescent="0.25">
      <c r="A1257" s="1">
        <v>606</v>
      </c>
      <c r="B1257" t="s">
        <v>28</v>
      </c>
      <c r="C1257">
        <v>61</v>
      </c>
      <c r="D1257">
        <v>2</v>
      </c>
      <c r="E1257" t="s">
        <v>84</v>
      </c>
      <c r="F1257" t="s">
        <v>85</v>
      </c>
      <c r="G1257" t="str">
        <f>"2026-01-08 02:59:27.544"</f>
        <v>2026-01-08 02:59:27.544</v>
      </c>
      <c r="H1257" t="s">
        <v>26</v>
      </c>
      <c r="I1257">
        <v>30.14</v>
      </c>
      <c r="J1257" t="s">
        <v>29</v>
      </c>
    </row>
    <row r="1258" spans="1:10" x14ac:dyDescent="0.25">
      <c r="A1258" s="1">
        <v>607</v>
      </c>
      <c r="B1258" t="s">
        <v>19</v>
      </c>
      <c r="C1258">
        <v>61</v>
      </c>
      <c r="D1258">
        <v>2</v>
      </c>
      <c r="E1258" t="s">
        <v>84</v>
      </c>
      <c r="F1258" t="s">
        <v>85</v>
      </c>
      <c r="G1258" t="str">
        <f>"2026-01-08 02:12:43.944"</f>
        <v>2026-01-08 02:12:43.944</v>
      </c>
      <c r="H1258" t="s">
        <v>26</v>
      </c>
    </row>
    <row r="1259" spans="1:10" x14ac:dyDescent="0.25">
      <c r="A1259" s="1">
        <v>608</v>
      </c>
      <c r="B1259" t="s">
        <v>28</v>
      </c>
      <c r="C1259">
        <v>61</v>
      </c>
      <c r="D1259">
        <v>2</v>
      </c>
      <c r="E1259" t="s">
        <v>84</v>
      </c>
      <c r="F1259" t="s">
        <v>85</v>
      </c>
      <c r="G1259" t="str">
        <f>"2026-01-08 02:12:23.645"</f>
        <v>2026-01-08 02:12:23.645</v>
      </c>
      <c r="H1259" t="s">
        <v>26</v>
      </c>
      <c r="I1259">
        <v>30.1</v>
      </c>
      <c r="J1259" t="s">
        <v>29</v>
      </c>
    </row>
    <row r="1260" spans="1:10" x14ac:dyDescent="0.25">
      <c r="A1260" s="1">
        <v>609</v>
      </c>
      <c r="B1260" t="s">
        <v>19</v>
      </c>
      <c r="C1260">
        <v>61</v>
      </c>
      <c r="D1260">
        <v>2</v>
      </c>
      <c r="E1260" t="s">
        <v>84</v>
      </c>
      <c r="F1260" t="s">
        <v>85</v>
      </c>
      <c r="G1260" t="str">
        <f>"2026-01-08 00:43:08.144"</f>
        <v>2026-01-08 00:43:08.144</v>
      </c>
      <c r="H1260" t="s">
        <v>26</v>
      </c>
    </row>
    <row r="1261" spans="1:10" x14ac:dyDescent="0.25">
      <c r="A1261" s="1">
        <v>610</v>
      </c>
      <c r="B1261" t="s">
        <v>28</v>
      </c>
      <c r="C1261">
        <v>61</v>
      </c>
      <c r="D1261">
        <v>2</v>
      </c>
      <c r="E1261" t="s">
        <v>84</v>
      </c>
      <c r="F1261" t="s">
        <v>85</v>
      </c>
      <c r="G1261" t="str">
        <f>"2026-01-08 00:42:45.144"</f>
        <v>2026-01-08 00:42:45.144</v>
      </c>
      <c r="H1261" t="s">
        <v>26</v>
      </c>
      <c r="I1261">
        <v>30.33</v>
      </c>
      <c r="J1261" t="s">
        <v>29</v>
      </c>
    </row>
    <row r="1262" spans="1:10" x14ac:dyDescent="0.25">
      <c r="A1262" s="1">
        <v>611</v>
      </c>
      <c r="B1262" t="s">
        <v>19</v>
      </c>
      <c r="C1262">
        <v>61</v>
      </c>
      <c r="D1262">
        <v>2</v>
      </c>
      <c r="E1262" t="s">
        <v>84</v>
      </c>
      <c r="F1262" t="s">
        <v>85</v>
      </c>
      <c r="G1262" t="str">
        <f>"2026-01-07 22:24:56.344"</f>
        <v>2026-01-07 22:24:56.344</v>
      </c>
      <c r="H1262" t="s">
        <v>26</v>
      </c>
    </row>
    <row r="1263" spans="1:10" x14ac:dyDescent="0.25">
      <c r="A1263" s="1">
        <v>612</v>
      </c>
      <c r="B1263" t="s">
        <v>28</v>
      </c>
      <c r="C1263">
        <v>61</v>
      </c>
      <c r="D1263">
        <v>2</v>
      </c>
      <c r="E1263" t="s">
        <v>84</v>
      </c>
      <c r="F1263" t="s">
        <v>85</v>
      </c>
      <c r="G1263" t="str">
        <f>"2026-01-07 22:24:48.645"</f>
        <v>2026-01-07 22:24:48.645</v>
      </c>
      <c r="H1263" t="s">
        <v>26</v>
      </c>
      <c r="I1263">
        <v>29.34</v>
      </c>
      <c r="J1263" t="s">
        <v>29</v>
      </c>
    </row>
    <row r="1264" spans="1:10" x14ac:dyDescent="0.25">
      <c r="A1264" s="1">
        <v>613</v>
      </c>
      <c r="B1264" t="s">
        <v>23</v>
      </c>
      <c r="C1264">
        <v>706</v>
      </c>
      <c r="D1264">
        <v>2</v>
      </c>
      <c r="E1264" t="s">
        <v>24</v>
      </c>
      <c r="F1264" t="s">
        <v>39</v>
      </c>
      <c r="G1264" t="str">
        <f>"2026-01-07 13:32:41.320"</f>
        <v>2026-01-07 13:32:41.320</v>
      </c>
      <c r="H1264" t="s">
        <v>26</v>
      </c>
      <c r="I1264">
        <v>0</v>
      </c>
      <c r="J1264" t="s">
        <v>27</v>
      </c>
    </row>
    <row r="1265" spans="1:10" x14ac:dyDescent="0.25">
      <c r="A1265" s="1">
        <v>615</v>
      </c>
      <c r="B1265" t="s">
        <v>19</v>
      </c>
      <c r="C1265">
        <v>42</v>
      </c>
      <c r="D1265">
        <v>1</v>
      </c>
      <c r="E1265" t="s">
        <v>86</v>
      </c>
      <c r="F1265" t="s">
        <v>87</v>
      </c>
      <c r="G1265" t="str">
        <f>"2026-01-06 14:18:08.102"</f>
        <v>2026-01-06 14:18:08.102</v>
      </c>
      <c r="H1265" t="s">
        <v>88</v>
      </c>
    </row>
    <row r="1266" spans="1:10" x14ac:dyDescent="0.25">
      <c r="A1266" s="1">
        <v>616</v>
      </c>
      <c r="B1266" t="s">
        <v>38</v>
      </c>
      <c r="C1266">
        <v>42</v>
      </c>
      <c r="D1266">
        <v>1</v>
      </c>
      <c r="E1266" t="s">
        <v>86</v>
      </c>
      <c r="F1266" t="s">
        <v>87</v>
      </c>
      <c r="G1266" t="str">
        <f>"2026-01-06 14:17:55.503"</f>
        <v>2026-01-06 14:17:55.503</v>
      </c>
      <c r="H1266" t="s">
        <v>88</v>
      </c>
      <c r="I1266">
        <v>0</v>
      </c>
      <c r="J1266" t="s">
        <v>27</v>
      </c>
    </row>
    <row r="1267" spans="1:10" x14ac:dyDescent="0.25">
      <c r="A1267" s="1">
        <v>617</v>
      </c>
      <c r="B1267" t="s">
        <v>23</v>
      </c>
      <c r="C1267">
        <v>700</v>
      </c>
      <c r="D1267">
        <v>0</v>
      </c>
      <c r="E1267" t="s">
        <v>37</v>
      </c>
      <c r="F1267" t="s">
        <v>37</v>
      </c>
      <c r="G1267" t="str">
        <f>"2026-01-06 14:02:39.340"</f>
        <v>2026-01-06 14:02:39.340</v>
      </c>
      <c r="H1267" t="s">
        <v>26</v>
      </c>
    </row>
    <row r="1268" spans="1:10" x14ac:dyDescent="0.25">
      <c r="A1268" s="1">
        <v>618</v>
      </c>
      <c r="B1268" t="s">
        <v>23</v>
      </c>
      <c r="C1268">
        <v>700</v>
      </c>
      <c r="D1268">
        <v>0</v>
      </c>
      <c r="E1268" t="s">
        <v>37</v>
      </c>
      <c r="F1268" t="s">
        <v>37</v>
      </c>
      <c r="G1268" t="str">
        <f>"2026-01-06 13:14:57.353"</f>
        <v>2026-01-06 13:14:57.353</v>
      </c>
      <c r="H1268" t="s">
        <v>26</v>
      </c>
      <c r="I1268">
        <v>0</v>
      </c>
      <c r="J1268" t="s">
        <v>43</v>
      </c>
    </row>
    <row r="1269" spans="1:10" x14ac:dyDescent="0.25">
      <c r="A1269" s="1">
        <v>619</v>
      </c>
      <c r="B1269" t="s">
        <v>23</v>
      </c>
      <c r="C1269">
        <v>706</v>
      </c>
      <c r="D1269">
        <v>4</v>
      </c>
      <c r="E1269" t="s">
        <v>24</v>
      </c>
      <c r="F1269" t="s">
        <v>25</v>
      </c>
      <c r="G1269" t="str">
        <f>"2026-01-04 11:25:00.612"</f>
        <v>2026-01-04 11:25:00.612</v>
      </c>
      <c r="H1269" t="s">
        <v>26</v>
      </c>
      <c r="I1269">
        <v>0</v>
      </c>
      <c r="J1269" t="s">
        <v>27</v>
      </c>
    </row>
    <row r="1270" spans="1:10" x14ac:dyDescent="0.25">
      <c r="A1270" s="1">
        <v>623</v>
      </c>
      <c r="B1270" t="s">
        <v>23</v>
      </c>
      <c r="C1270">
        <v>706</v>
      </c>
      <c r="D1270">
        <v>2</v>
      </c>
      <c r="E1270" t="s">
        <v>24</v>
      </c>
      <c r="F1270" t="s">
        <v>39</v>
      </c>
      <c r="G1270" t="str">
        <f>"2026-01-02 09:33:56.522"</f>
        <v>2026-01-02 09:33:56.522</v>
      </c>
      <c r="H1270" t="s">
        <v>26</v>
      </c>
      <c r="I1270">
        <v>0</v>
      </c>
      <c r="J1270" t="s">
        <v>27</v>
      </c>
    </row>
    <row r="1271" spans="1:10" x14ac:dyDescent="0.25">
      <c r="A1271" s="1">
        <v>624</v>
      </c>
      <c r="B1271" t="s">
        <v>23</v>
      </c>
      <c r="C1271">
        <v>700</v>
      </c>
      <c r="D1271">
        <v>0</v>
      </c>
      <c r="E1271" t="s">
        <v>37</v>
      </c>
      <c r="F1271" t="s">
        <v>37</v>
      </c>
      <c r="G1271" t="str">
        <f>"2026-01-01 20:21:14.332"</f>
        <v>2026-01-01 20:21:14.332</v>
      </c>
      <c r="H1271" t="s">
        <v>26</v>
      </c>
      <c r="I1271">
        <v>0</v>
      </c>
      <c r="J1271" t="s">
        <v>43</v>
      </c>
    </row>
    <row r="1272" spans="1:10" x14ac:dyDescent="0.25">
      <c r="A1272" s="1">
        <v>625</v>
      </c>
      <c r="B1272" t="s">
        <v>23</v>
      </c>
      <c r="C1272">
        <v>700</v>
      </c>
      <c r="D1272">
        <v>0</v>
      </c>
      <c r="E1272" t="s">
        <v>37</v>
      </c>
      <c r="F1272" t="s">
        <v>37</v>
      </c>
      <c r="G1272" t="str">
        <f>"2026-01-01 18:49:17.336"</f>
        <v>2026-01-01 18:49:17.336</v>
      </c>
      <c r="H1272" t="s">
        <v>26</v>
      </c>
    </row>
    <row r="1273" spans="1:10" x14ac:dyDescent="0.25">
      <c r="A1273" s="1">
        <v>626</v>
      </c>
      <c r="B1273" t="s">
        <v>23</v>
      </c>
      <c r="C1273">
        <v>700</v>
      </c>
      <c r="D1273">
        <v>0</v>
      </c>
      <c r="E1273" t="s">
        <v>37</v>
      </c>
      <c r="F1273" t="s">
        <v>37</v>
      </c>
      <c r="G1273" t="str">
        <f>"2026-01-01 18:43:23.415"</f>
        <v>2026-01-01 18:43:23.415</v>
      </c>
      <c r="H1273" t="s">
        <v>26</v>
      </c>
    </row>
    <row r="1274" spans="1:10" x14ac:dyDescent="0.25">
      <c r="A1274" s="1">
        <v>627</v>
      </c>
      <c r="B1274" t="s">
        <v>23</v>
      </c>
      <c r="C1274">
        <v>700</v>
      </c>
      <c r="D1274">
        <v>0</v>
      </c>
      <c r="E1274" t="s">
        <v>37</v>
      </c>
      <c r="F1274" t="s">
        <v>37</v>
      </c>
      <c r="G1274" t="str">
        <f>"2026-01-01 18:37:02.415"</f>
        <v>2026-01-01 18:37:02.415</v>
      </c>
      <c r="H1274" t="s">
        <v>26</v>
      </c>
      <c r="I1274">
        <v>0</v>
      </c>
      <c r="J1274" t="s">
        <v>43</v>
      </c>
    </row>
    <row r="1275" spans="1:10" x14ac:dyDescent="0.25">
      <c r="A1275" s="1">
        <v>628</v>
      </c>
      <c r="B1275" t="s">
        <v>23</v>
      </c>
      <c r="C1275">
        <v>706</v>
      </c>
      <c r="D1275">
        <v>4</v>
      </c>
      <c r="E1275" t="s">
        <v>24</v>
      </c>
      <c r="F1275" t="s">
        <v>25</v>
      </c>
      <c r="G1275" t="str">
        <f>"2026-01-01 18:35:49.274"</f>
        <v>2026-01-01 18:35:49.274</v>
      </c>
      <c r="H1275" t="s">
        <v>26</v>
      </c>
      <c r="I1275">
        <v>0</v>
      </c>
      <c r="J1275" t="s">
        <v>27</v>
      </c>
    </row>
    <row r="1276" spans="1:10" x14ac:dyDescent="0.25">
      <c r="A1276" s="1">
        <v>629</v>
      </c>
      <c r="B1276" t="s">
        <v>23</v>
      </c>
      <c r="C1276">
        <v>700</v>
      </c>
      <c r="D1276">
        <v>0</v>
      </c>
      <c r="E1276" t="s">
        <v>37</v>
      </c>
      <c r="F1276" t="s">
        <v>37</v>
      </c>
      <c r="G1276" t="str">
        <f>"2026-01-01 18:23:38.334"</f>
        <v>2026-01-01 18:23:38.334</v>
      </c>
      <c r="H1276" t="s">
        <v>26</v>
      </c>
      <c r="I1276">
        <v>0</v>
      </c>
      <c r="J1276" t="s">
        <v>43</v>
      </c>
    </row>
    <row r="1277" spans="1:10" x14ac:dyDescent="0.25">
      <c r="A1277" s="1">
        <v>630</v>
      </c>
      <c r="B1277" t="s">
        <v>23</v>
      </c>
      <c r="C1277">
        <v>700</v>
      </c>
      <c r="D1277">
        <v>0</v>
      </c>
      <c r="E1277" t="s">
        <v>37</v>
      </c>
      <c r="F1277" t="s">
        <v>37</v>
      </c>
      <c r="G1277" t="str">
        <f>"2026-01-01 17:59:10.336"</f>
        <v>2026-01-01 17:59:10.336</v>
      </c>
      <c r="H1277" t="s">
        <v>26</v>
      </c>
    </row>
    <row r="1278" spans="1:10" x14ac:dyDescent="0.25">
      <c r="A1278" s="1">
        <v>631</v>
      </c>
      <c r="B1278" t="s">
        <v>23</v>
      </c>
      <c r="C1278">
        <v>700</v>
      </c>
      <c r="D1278">
        <v>0</v>
      </c>
      <c r="E1278" t="s">
        <v>37</v>
      </c>
      <c r="F1278" t="s">
        <v>37</v>
      </c>
      <c r="G1278" t="str">
        <f>"2026-01-01 17:50:47.336"</f>
        <v>2026-01-01 17:50:47.336</v>
      </c>
      <c r="H1278" t="s">
        <v>26</v>
      </c>
      <c r="I1278">
        <v>0</v>
      </c>
      <c r="J1278" t="s">
        <v>43</v>
      </c>
    </row>
    <row r="1279" spans="1:10" x14ac:dyDescent="0.25">
      <c r="A1279" s="1">
        <v>632</v>
      </c>
      <c r="B1279" t="s">
        <v>23</v>
      </c>
      <c r="C1279">
        <v>700</v>
      </c>
      <c r="D1279">
        <v>0</v>
      </c>
      <c r="E1279" t="s">
        <v>37</v>
      </c>
      <c r="F1279" t="s">
        <v>37</v>
      </c>
      <c r="G1279" t="str">
        <f>"2026-01-01 16:18:00.579"</f>
        <v>2026-01-01 16:18:00.579</v>
      </c>
      <c r="H1279" t="s">
        <v>26</v>
      </c>
      <c r="I1279">
        <v>0</v>
      </c>
      <c r="J1279" t="s">
        <v>43</v>
      </c>
    </row>
    <row r="1280" spans="1:10" x14ac:dyDescent="0.25">
      <c r="A1280" s="1">
        <v>633</v>
      </c>
      <c r="B1280" t="s">
        <v>19</v>
      </c>
      <c r="C1280">
        <v>61</v>
      </c>
      <c r="D1280">
        <v>2</v>
      </c>
      <c r="E1280" t="s">
        <v>84</v>
      </c>
      <c r="F1280" t="s">
        <v>85</v>
      </c>
      <c r="G1280" t="str">
        <f>"2026-01-01 12:13:59.417"</f>
        <v>2026-01-01 12:13:59.417</v>
      </c>
      <c r="H1280" t="s">
        <v>26</v>
      </c>
    </row>
    <row r="1281" spans="1:10" x14ac:dyDescent="0.25">
      <c r="A1281" s="1">
        <v>634</v>
      </c>
      <c r="B1281" t="s">
        <v>28</v>
      </c>
      <c r="C1281">
        <v>61</v>
      </c>
      <c r="D1281">
        <v>2</v>
      </c>
      <c r="E1281" t="s">
        <v>84</v>
      </c>
      <c r="F1281" t="s">
        <v>85</v>
      </c>
      <c r="G1281" t="str">
        <f>"2026-01-01 12:13:46.817"</f>
        <v>2026-01-01 12:13:46.817</v>
      </c>
      <c r="H1281" t="s">
        <v>26</v>
      </c>
      <c r="I1281">
        <v>30.48</v>
      </c>
      <c r="J1281" t="s">
        <v>29</v>
      </c>
    </row>
    <row r="1282" spans="1:10" x14ac:dyDescent="0.25">
      <c r="A1282" s="1">
        <v>635</v>
      </c>
      <c r="B1282" t="s">
        <v>23</v>
      </c>
      <c r="C1282">
        <v>706</v>
      </c>
      <c r="D1282">
        <v>4</v>
      </c>
      <c r="E1282" t="s">
        <v>24</v>
      </c>
      <c r="F1282" t="s">
        <v>25</v>
      </c>
      <c r="G1282" t="str">
        <f>"2026-01-01 08:57:05.384"</f>
        <v>2026-01-01 08:57:05.384</v>
      </c>
      <c r="H1282" t="s">
        <v>26</v>
      </c>
      <c r="I1282">
        <v>0</v>
      </c>
      <c r="J1282" t="s">
        <v>27</v>
      </c>
    </row>
    <row r="1283" spans="1:10" x14ac:dyDescent="0.25">
      <c r="A1283" s="1">
        <v>636</v>
      </c>
      <c r="B1283" t="s">
        <v>23</v>
      </c>
      <c r="C1283">
        <v>706</v>
      </c>
      <c r="D1283">
        <v>4</v>
      </c>
      <c r="E1283" t="s">
        <v>24</v>
      </c>
      <c r="F1283" t="s">
        <v>25</v>
      </c>
      <c r="G1283" t="str">
        <f>"2025-12-31 14:50:50.074"</f>
        <v>2025-12-31 14:50:50.074</v>
      </c>
      <c r="H1283" t="s">
        <v>26</v>
      </c>
      <c r="I1283">
        <v>0</v>
      </c>
      <c r="J1283" t="s">
        <v>27</v>
      </c>
    </row>
    <row r="1284" spans="1:10" x14ac:dyDescent="0.25">
      <c r="A1284" s="1">
        <v>637</v>
      </c>
      <c r="B1284" t="s">
        <v>19</v>
      </c>
      <c r="C1284">
        <v>630</v>
      </c>
      <c r="D1284">
        <v>5</v>
      </c>
      <c r="E1284" t="s">
        <v>20</v>
      </c>
      <c r="F1284" t="s">
        <v>83</v>
      </c>
      <c r="G1284" t="str">
        <f>"2025-12-31 13:40:56.204"</f>
        <v>2025-12-31 13:40:56.204</v>
      </c>
      <c r="H1284" t="s">
        <v>22</v>
      </c>
    </row>
    <row r="1285" spans="1:10" x14ac:dyDescent="0.25">
      <c r="A1285" s="1">
        <v>638</v>
      </c>
      <c r="B1285" t="s">
        <v>23</v>
      </c>
      <c r="C1285">
        <v>706</v>
      </c>
      <c r="D1285">
        <v>4</v>
      </c>
      <c r="E1285" t="s">
        <v>24</v>
      </c>
      <c r="F1285" t="s">
        <v>25</v>
      </c>
      <c r="G1285" t="str">
        <f>"2025-12-31 13:40:26.054"</f>
        <v>2025-12-31 13:40:26.054</v>
      </c>
      <c r="H1285" t="s">
        <v>26</v>
      </c>
      <c r="I1285">
        <v>0</v>
      </c>
      <c r="J1285" t="s">
        <v>27</v>
      </c>
    </row>
    <row r="1286" spans="1:10" x14ac:dyDescent="0.25">
      <c r="A1286" s="1">
        <v>639</v>
      </c>
      <c r="B1286" t="s">
        <v>28</v>
      </c>
      <c r="C1286">
        <v>630</v>
      </c>
      <c r="D1286">
        <v>5</v>
      </c>
      <c r="E1286" t="s">
        <v>20</v>
      </c>
      <c r="F1286" t="s">
        <v>83</v>
      </c>
      <c r="G1286" t="str">
        <f>"2025-12-31 13:26:38.804"</f>
        <v>2025-12-31 13:26:38.804</v>
      </c>
      <c r="H1286" t="s">
        <v>22</v>
      </c>
      <c r="I1286">
        <v>0</v>
      </c>
      <c r="J1286" t="s">
        <v>27</v>
      </c>
    </row>
    <row r="1287" spans="1:10" x14ac:dyDescent="0.25">
      <c r="A1287" s="1">
        <v>641</v>
      </c>
      <c r="B1287" t="s">
        <v>23</v>
      </c>
      <c r="C1287">
        <v>706</v>
      </c>
      <c r="D1287">
        <v>4</v>
      </c>
      <c r="E1287" t="s">
        <v>24</v>
      </c>
      <c r="F1287" t="s">
        <v>25</v>
      </c>
      <c r="G1287" t="str">
        <f>"2025-12-30 09:14:49.344"</f>
        <v>2025-12-30 09:14:49.344</v>
      </c>
      <c r="H1287" t="s">
        <v>26</v>
      </c>
      <c r="I1287">
        <v>0</v>
      </c>
      <c r="J1287" t="s">
        <v>27</v>
      </c>
    </row>
    <row r="1288" spans="1:10" x14ac:dyDescent="0.25">
      <c r="A1288" s="1">
        <v>642</v>
      </c>
      <c r="B1288" t="s">
        <v>19</v>
      </c>
      <c r="C1288">
        <v>98</v>
      </c>
      <c r="D1288">
        <v>1</v>
      </c>
      <c r="E1288" t="s">
        <v>89</v>
      </c>
      <c r="F1288" t="s">
        <v>90</v>
      </c>
      <c r="G1288" t="str">
        <f>"2025-12-30 09:04:58.717"</f>
        <v>2025-12-30 09:04:58.717</v>
      </c>
      <c r="H1288" t="s">
        <v>26</v>
      </c>
    </row>
    <row r="1289" spans="1:10" x14ac:dyDescent="0.25">
      <c r="A1289" s="1">
        <v>643</v>
      </c>
      <c r="B1289" t="s">
        <v>38</v>
      </c>
      <c r="C1289">
        <v>98</v>
      </c>
      <c r="D1289">
        <v>1</v>
      </c>
      <c r="E1289" t="s">
        <v>89</v>
      </c>
      <c r="F1289" t="s">
        <v>90</v>
      </c>
      <c r="G1289" t="str">
        <f>"2025-12-30 09:04:57.617"</f>
        <v>2025-12-30 09:04:57.617</v>
      </c>
      <c r="H1289" t="s">
        <v>26</v>
      </c>
      <c r="I1289">
        <v>0</v>
      </c>
      <c r="J1289" t="s">
        <v>27</v>
      </c>
    </row>
    <row r="1290" spans="1:10" x14ac:dyDescent="0.25">
      <c r="A1290" s="1">
        <v>644</v>
      </c>
      <c r="B1290" t="s">
        <v>19</v>
      </c>
      <c r="C1290">
        <v>98</v>
      </c>
      <c r="D1290">
        <v>1</v>
      </c>
      <c r="E1290" t="s">
        <v>89</v>
      </c>
      <c r="F1290" t="s">
        <v>90</v>
      </c>
      <c r="G1290" t="str">
        <f>"2025-12-30 09:04:57.017"</f>
        <v>2025-12-30 09:04:57.017</v>
      </c>
      <c r="H1290" t="s">
        <v>26</v>
      </c>
    </row>
    <row r="1291" spans="1:10" x14ac:dyDescent="0.25">
      <c r="A1291" s="1">
        <v>645</v>
      </c>
      <c r="B1291" t="s">
        <v>38</v>
      </c>
      <c r="C1291">
        <v>98</v>
      </c>
      <c r="D1291">
        <v>1</v>
      </c>
      <c r="E1291" t="s">
        <v>89</v>
      </c>
      <c r="F1291" t="s">
        <v>90</v>
      </c>
      <c r="G1291" t="str">
        <f>"2025-12-30 09:04:55.817"</f>
        <v>2025-12-30 09:04:55.817</v>
      </c>
      <c r="H1291" t="s">
        <v>26</v>
      </c>
      <c r="I1291">
        <v>0</v>
      </c>
      <c r="J1291" t="s">
        <v>27</v>
      </c>
    </row>
    <row r="1292" spans="1:10" x14ac:dyDescent="0.25">
      <c r="A1292" s="1">
        <v>646</v>
      </c>
      <c r="B1292" t="s">
        <v>19</v>
      </c>
      <c r="C1292">
        <v>98</v>
      </c>
      <c r="D1292">
        <v>1</v>
      </c>
      <c r="E1292" t="s">
        <v>89</v>
      </c>
      <c r="F1292" t="s">
        <v>90</v>
      </c>
      <c r="G1292" t="str">
        <f>"2025-12-30 09:04:55.717"</f>
        <v>2025-12-30 09:04:55.717</v>
      </c>
      <c r="H1292" t="s">
        <v>26</v>
      </c>
    </row>
    <row r="1293" spans="1:10" x14ac:dyDescent="0.25">
      <c r="A1293" s="1">
        <v>647</v>
      </c>
      <c r="B1293" t="s">
        <v>38</v>
      </c>
      <c r="C1293">
        <v>98</v>
      </c>
      <c r="D1293">
        <v>1</v>
      </c>
      <c r="E1293" t="s">
        <v>89</v>
      </c>
      <c r="F1293" t="s">
        <v>90</v>
      </c>
      <c r="G1293" t="str">
        <f>"2025-12-30 09:04:54.617"</f>
        <v>2025-12-30 09:04:54.617</v>
      </c>
      <c r="H1293" t="s">
        <v>26</v>
      </c>
      <c r="I1293">
        <v>0</v>
      </c>
      <c r="J1293" t="s">
        <v>27</v>
      </c>
    </row>
    <row r="1294" spans="1:10" x14ac:dyDescent="0.25">
      <c r="A1294" s="1">
        <v>648</v>
      </c>
      <c r="B1294" t="s">
        <v>23</v>
      </c>
      <c r="C1294">
        <v>706</v>
      </c>
      <c r="D1294">
        <v>3</v>
      </c>
      <c r="E1294" t="s">
        <v>24</v>
      </c>
      <c r="F1294" t="s">
        <v>68</v>
      </c>
      <c r="G1294" t="str">
        <f>"2025-12-30 09:02:41.504"</f>
        <v>2025-12-30 09:02:41.504</v>
      </c>
      <c r="H1294" t="s">
        <v>26</v>
      </c>
      <c r="I1294">
        <v>0</v>
      </c>
      <c r="J1294" t="s">
        <v>27</v>
      </c>
    </row>
    <row r="1295" spans="1:10" x14ac:dyDescent="0.25">
      <c r="A1295" s="1">
        <v>650</v>
      </c>
      <c r="B1295" t="s">
        <v>19</v>
      </c>
      <c r="C1295">
        <v>630</v>
      </c>
      <c r="D1295">
        <v>5</v>
      </c>
      <c r="E1295" t="s">
        <v>20</v>
      </c>
      <c r="F1295" t="s">
        <v>83</v>
      </c>
      <c r="G1295" t="str">
        <f>"2025-12-29 11:31:52.604"</f>
        <v>2025-12-29 11:31:52.604</v>
      </c>
      <c r="H1295" t="s">
        <v>22</v>
      </c>
    </row>
    <row r="1296" spans="1:10" x14ac:dyDescent="0.25">
      <c r="A1296" s="1">
        <v>651</v>
      </c>
      <c r="B1296" t="s">
        <v>23</v>
      </c>
      <c r="C1296">
        <v>706</v>
      </c>
      <c r="D1296">
        <v>4</v>
      </c>
      <c r="E1296" t="s">
        <v>24</v>
      </c>
      <c r="F1296" t="s">
        <v>25</v>
      </c>
      <c r="G1296" t="str">
        <f>"2025-12-29 11:31:22.494"</f>
        <v>2025-12-29 11:31:22.494</v>
      </c>
      <c r="H1296" t="s">
        <v>26</v>
      </c>
      <c r="I1296">
        <v>0</v>
      </c>
      <c r="J1296" t="s">
        <v>27</v>
      </c>
    </row>
    <row r="1297" spans="1:10" x14ac:dyDescent="0.25">
      <c r="A1297" s="1">
        <v>652</v>
      </c>
      <c r="B1297" t="s">
        <v>28</v>
      </c>
      <c r="C1297">
        <v>630</v>
      </c>
      <c r="D1297">
        <v>5</v>
      </c>
      <c r="E1297" t="s">
        <v>20</v>
      </c>
      <c r="F1297" t="s">
        <v>83</v>
      </c>
      <c r="G1297" t="str">
        <f>"2025-12-29 11:23:29.704"</f>
        <v>2025-12-29 11:23:29.704</v>
      </c>
      <c r="H1297" t="s">
        <v>22</v>
      </c>
      <c r="I1297">
        <v>0</v>
      </c>
      <c r="J1297" t="s">
        <v>27</v>
      </c>
    </row>
    <row r="1298" spans="1:10" x14ac:dyDescent="0.25">
      <c r="A1298" s="1">
        <v>653</v>
      </c>
      <c r="B1298" t="s">
        <v>23</v>
      </c>
      <c r="C1298">
        <v>706</v>
      </c>
      <c r="D1298">
        <v>4</v>
      </c>
      <c r="E1298" t="s">
        <v>24</v>
      </c>
      <c r="F1298" t="s">
        <v>25</v>
      </c>
      <c r="G1298" t="str">
        <f>"2025-12-29 01:09:03.023"</f>
        <v>2025-12-29 01:09:03.023</v>
      </c>
      <c r="H1298" t="s">
        <v>26</v>
      </c>
      <c r="I1298">
        <v>20.21</v>
      </c>
      <c r="J1298" t="s">
        <v>42</v>
      </c>
    </row>
    <row r="1299" spans="1:10" x14ac:dyDescent="0.25">
      <c r="A1299" s="1">
        <v>654</v>
      </c>
      <c r="B1299" t="s">
        <v>23</v>
      </c>
      <c r="C1299">
        <v>706</v>
      </c>
      <c r="D1299">
        <v>4</v>
      </c>
      <c r="E1299" t="s">
        <v>24</v>
      </c>
      <c r="F1299" t="s">
        <v>25</v>
      </c>
      <c r="G1299" t="str">
        <f>"2025-12-28 21:01:08.334"</f>
        <v>2025-12-28 21:01:08.334</v>
      </c>
      <c r="H1299" t="s">
        <v>26</v>
      </c>
      <c r="I1299">
        <v>16</v>
      </c>
      <c r="J1299" t="s">
        <v>42</v>
      </c>
    </row>
    <row r="1300" spans="1:10" x14ac:dyDescent="0.25">
      <c r="A1300" s="1">
        <v>655</v>
      </c>
      <c r="B1300" t="s">
        <v>23</v>
      </c>
      <c r="C1300">
        <v>706</v>
      </c>
      <c r="D1300">
        <v>4</v>
      </c>
      <c r="E1300" t="s">
        <v>24</v>
      </c>
      <c r="F1300" t="s">
        <v>25</v>
      </c>
      <c r="G1300" t="str">
        <f>"2025-12-28 21:00:48.504"</f>
        <v>2025-12-28 21:00:48.504</v>
      </c>
      <c r="H1300" t="s">
        <v>26</v>
      </c>
      <c r="I1300">
        <v>15.19</v>
      </c>
      <c r="J1300" t="s">
        <v>29</v>
      </c>
    </row>
    <row r="1301" spans="1:10" x14ac:dyDescent="0.25">
      <c r="A1301" s="1">
        <v>656</v>
      </c>
      <c r="B1301" t="s">
        <v>23</v>
      </c>
      <c r="C1301">
        <v>706</v>
      </c>
      <c r="D1301">
        <v>4</v>
      </c>
      <c r="E1301" t="s">
        <v>24</v>
      </c>
      <c r="F1301" t="s">
        <v>25</v>
      </c>
      <c r="G1301" t="str">
        <f>"2025-12-28 21:00:39.444"</f>
        <v>2025-12-28 21:00:39.444</v>
      </c>
      <c r="H1301" t="s">
        <v>26</v>
      </c>
      <c r="I1301">
        <v>16.47</v>
      </c>
      <c r="J1301" t="s">
        <v>29</v>
      </c>
    </row>
    <row r="1302" spans="1:10" x14ac:dyDescent="0.25">
      <c r="A1302" s="1">
        <v>657</v>
      </c>
      <c r="B1302" t="s">
        <v>23</v>
      </c>
      <c r="C1302">
        <v>706</v>
      </c>
      <c r="D1302">
        <v>4</v>
      </c>
      <c r="E1302" t="s">
        <v>24</v>
      </c>
      <c r="F1302" t="s">
        <v>25</v>
      </c>
      <c r="G1302" t="str">
        <f>"2025-12-28 21:00:27.884"</f>
        <v>2025-12-28 21:00:27.884</v>
      </c>
      <c r="H1302" t="s">
        <v>26</v>
      </c>
      <c r="I1302">
        <v>19.77</v>
      </c>
      <c r="J1302" t="s">
        <v>29</v>
      </c>
    </row>
    <row r="1303" spans="1:10" x14ac:dyDescent="0.25">
      <c r="A1303" s="1">
        <v>658</v>
      </c>
      <c r="B1303" t="s">
        <v>23</v>
      </c>
      <c r="C1303">
        <v>706</v>
      </c>
      <c r="D1303">
        <v>4</v>
      </c>
      <c r="E1303" t="s">
        <v>24</v>
      </c>
      <c r="F1303" t="s">
        <v>25</v>
      </c>
      <c r="G1303" t="str">
        <f>"2025-12-28 21:00:21.884"</f>
        <v>2025-12-28 21:00:21.884</v>
      </c>
      <c r="H1303" t="s">
        <v>26</v>
      </c>
      <c r="I1303">
        <v>23.21</v>
      </c>
      <c r="J1303" t="s">
        <v>29</v>
      </c>
    </row>
    <row r="1304" spans="1:10" x14ac:dyDescent="0.25">
      <c r="A1304" s="1">
        <v>659</v>
      </c>
      <c r="B1304" t="s">
        <v>23</v>
      </c>
      <c r="C1304">
        <v>706</v>
      </c>
      <c r="D1304">
        <v>4</v>
      </c>
      <c r="E1304" t="s">
        <v>24</v>
      </c>
      <c r="F1304" t="s">
        <v>25</v>
      </c>
      <c r="G1304" t="str">
        <f>"2025-12-28 21:00:06.314"</f>
        <v>2025-12-28 21:00:06.314</v>
      </c>
      <c r="H1304" t="s">
        <v>26</v>
      </c>
      <c r="I1304">
        <v>24.35</v>
      </c>
      <c r="J1304" t="s">
        <v>42</v>
      </c>
    </row>
    <row r="1305" spans="1:10" x14ac:dyDescent="0.25">
      <c r="A1305" s="1">
        <v>660</v>
      </c>
      <c r="B1305" t="s">
        <v>19</v>
      </c>
      <c r="C1305">
        <v>61</v>
      </c>
      <c r="D1305">
        <v>2</v>
      </c>
      <c r="E1305" t="s">
        <v>84</v>
      </c>
      <c r="F1305" t="s">
        <v>85</v>
      </c>
      <c r="G1305" t="str">
        <f>"2025-12-28 20:50:42.417"</f>
        <v>2025-12-28 20:50:42.417</v>
      </c>
      <c r="H1305" t="s">
        <v>26</v>
      </c>
    </row>
    <row r="1306" spans="1:10" x14ac:dyDescent="0.25">
      <c r="A1306" s="1">
        <v>661</v>
      </c>
      <c r="B1306" t="s">
        <v>28</v>
      </c>
      <c r="C1306">
        <v>61</v>
      </c>
      <c r="D1306">
        <v>2</v>
      </c>
      <c r="E1306" t="s">
        <v>84</v>
      </c>
      <c r="F1306" t="s">
        <v>85</v>
      </c>
      <c r="G1306" t="str">
        <f>"2025-12-28 20:50:36.717"</f>
        <v>2025-12-28 20:50:36.717</v>
      </c>
      <c r="H1306" t="s">
        <v>26</v>
      </c>
      <c r="I1306">
        <v>29.17</v>
      </c>
      <c r="J1306" t="s">
        <v>29</v>
      </c>
    </row>
    <row r="1307" spans="1:10" x14ac:dyDescent="0.25">
      <c r="A1307" s="1">
        <v>662</v>
      </c>
      <c r="B1307" t="s">
        <v>23</v>
      </c>
      <c r="C1307">
        <v>706</v>
      </c>
      <c r="D1307">
        <v>4</v>
      </c>
      <c r="E1307" t="s">
        <v>24</v>
      </c>
      <c r="F1307" t="s">
        <v>25</v>
      </c>
      <c r="G1307" t="str">
        <f>"2025-12-28 20:50:02.774"</f>
        <v>2025-12-28 20:50:02.774</v>
      </c>
      <c r="H1307" t="s">
        <v>26</v>
      </c>
      <c r="I1307">
        <v>23.13</v>
      </c>
      <c r="J1307" t="s">
        <v>29</v>
      </c>
    </row>
    <row r="1308" spans="1:10" x14ac:dyDescent="0.25">
      <c r="A1308" s="1">
        <v>663</v>
      </c>
      <c r="B1308" t="s">
        <v>19</v>
      </c>
      <c r="C1308">
        <v>630</v>
      </c>
      <c r="D1308">
        <v>5</v>
      </c>
      <c r="E1308" t="s">
        <v>20</v>
      </c>
      <c r="F1308" t="s">
        <v>83</v>
      </c>
      <c r="G1308" t="str">
        <f>"2025-12-28 14:01:16.804"</f>
        <v>2025-12-28 14:01:16.804</v>
      </c>
      <c r="H1308" t="s">
        <v>22</v>
      </c>
    </row>
    <row r="1309" spans="1:10" x14ac:dyDescent="0.25">
      <c r="A1309" s="1">
        <v>664</v>
      </c>
      <c r="B1309" t="s">
        <v>23</v>
      </c>
      <c r="C1309">
        <v>706</v>
      </c>
      <c r="D1309">
        <v>2</v>
      </c>
      <c r="E1309" t="s">
        <v>24</v>
      </c>
      <c r="F1309" t="s">
        <v>39</v>
      </c>
      <c r="G1309" t="str">
        <f>"2025-12-28 14:00:46.604"</f>
        <v>2025-12-28 14:00:46.604</v>
      </c>
      <c r="H1309" t="s">
        <v>26</v>
      </c>
      <c r="I1309">
        <v>0</v>
      </c>
      <c r="J1309" t="s">
        <v>27</v>
      </c>
    </row>
    <row r="1310" spans="1:10" x14ac:dyDescent="0.25">
      <c r="A1310" s="1">
        <v>665</v>
      </c>
      <c r="B1310" t="s">
        <v>28</v>
      </c>
      <c r="C1310">
        <v>630</v>
      </c>
      <c r="D1310">
        <v>5</v>
      </c>
      <c r="E1310" t="s">
        <v>20</v>
      </c>
      <c r="F1310" t="s">
        <v>83</v>
      </c>
      <c r="G1310" t="str">
        <f>"2025-12-28 13:48:38.605"</f>
        <v>2025-12-28 13:48:38.605</v>
      </c>
      <c r="H1310" t="s">
        <v>22</v>
      </c>
      <c r="I1310">
        <v>0</v>
      </c>
      <c r="J1310" t="s">
        <v>27</v>
      </c>
    </row>
    <row r="1311" spans="1:10" x14ac:dyDescent="0.25">
      <c r="A1311" s="1">
        <v>666</v>
      </c>
      <c r="B1311" t="s">
        <v>23</v>
      </c>
      <c r="C1311">
        <v>706</v>
      </c>
      <c r="D1311">
        <v>4</v>
      </c>
      <c r="E1311" t="s">
        <v>24</v>
      </c>
      <c r="F1311" t="s">
        <v>25</v>
      </c>
      <c r="G1311" t="str">
        <f>"2025-12-27 22:55:02.824"</f>
        <v>2025-12-27 22:55:02.824</v>
      </c>
      <c r="H1311" t="s">
        <v>26</v>
      </c>
      <c r="I1311">
        <v>27.29</v>
      </c>
      <c r="J1311" t="s">
        <v>29</v>
      </c>
    </row>
    <row r="1312" spans="1:10" x14ac:dyDescent="0.25">
      <c r="A1312" s="1">
        <v>667</v>
      </c>
      <c r="B1312" t="s">
        <v>23</v>
      </c>
      <c r="C1312">
        <v>706</v>
      </c>
      <c r="D1312">
        <v>4</v>
      </c>
      <c r="E1312" t="s">
        <v>24</v>
      </c>
      <c r="F1312" t="s">
        <v>25</v>
      </c>
      <c r="G1312" t="str">
        <f>"2025-12-27 20:41:38.564"</f>
        <v>2025-12-27 20:41:38.564</v>
      </c>
      <c r="H1312" t="s">
        <v>26</v>
      </c>
      <c r="I1312">
        <v>6.49</v>
      </c>
      <c r="J1312" t="s">
        <v>29</v>
      </c>
    </row>
    <row r="1313" spans="1:10" x14ac:dyDescent="0.25">
      <c r="A1313" s="1">
        <v>668</v>
      </c>
      <c r="B1313" t="s">
        <v>23</v>
      </c>
      <c r="C1313">
        <v>706</v>
      </c>
      <c r="D1313">
        <v>4</v>
      </c>
      <c r="E1313" t="s">
        <v>24</v>
      </c>
      <c r="F1313" t="s">
        <v>25</v>
      </c>
      <c r="G1313" t="str">
        <f>"2025-12-27 20:39:06.814"</f>
        <v>2025-12-27 20:39:06.814</v>
      </c>
      <c r="H1313" t="s">
        <v>26</v>
      </c>
      <c r="I1313">
        <v>17.260000000000002</v>
      </c>
      <c r="J1313" t="s">
        <v>42</v>
      </c>
    </row>
    <row r="1314" spans="1:10" x14ac:dyDescent="0.25">
      <c r="A1314" s="1">
        <v>669</v>
      </c>
      <c r="B1314" t="s">
        <v>23</v>
      </c>
      <c r="C1314">
        <v>706</v>
      </c>
      <c r="D1314">
        <v>4</v>
      </c>
      <c r="E1314" t="s">
        <v>24</v>
      </c>
      <c r="F1314" t="s">
        <v>25</v>
      </c>
      <c r="G1314" t="str">
        <f>"2025-12-27 20:36:55.184"</f>
        <v>2025-12-27 20:36:55.184</v>
      </c>
      <c r="H1314" t="s">
        <v>26</v>
      </c>
      <c r="I1314">
        <v>26.65</v>
      </c>
      <c r="J1314" t="s">
        <v>29</v>
      </c>
    </row>
    <row r="1315" spans="1:10" x14ac:dyDescent="0.25">
      <c r="A1315" s="1">
        <v>670</v>
      </c>
      <c r="B1315" t="s">
        <v>23</v>
      </c>
      <c r="C1315">
        <v>706</v>
      </c>
      <c r="D1315">
        <v>4</v>
      </c>
      <c r="E1315" t="s">
        <v>24</v>
      </c>
      <c r="F1315" t="s">
        <v>25</v>
      </c>
      <c r="G1315" t="str">
        <f>"2025-12-27 18:13:24.754"</f>
        <v>2025-12-27 18:13:24.754</v>
      </c>
      <c r="H1315" t="s">
        <v>26</v>
      </c>
      <c r="I1315">
        <v>20.73</v>
      </c>
      <c r="J1315" t="s">
        <v>29</v>
      </c>
    </row>
    <row r="1316" spans="1:10" x14ac:dyDescent="0.25">
      <c r="A1316" s="1">
        <v>671</v>
      </c>
      <c r="B1316" t="s">
        <v>23</v>
      </c>
      <c r="C1316">
        <v>706</v>
      </c>
      <c r="D1316">
        <v>4</v>
      </c>
      <c r="E1316" t="s">
        <v>24</v>
      </c>
      <c r="F1316" t="s">
        <v>25</v>
      </c>
      <c r="G1316" t="str">
        <f>"2025-12-27 18:12:41.744"</f>
        <v>2025-12-27 18:12:41.744</v>
      </c>
      <c r="H1316" t="s">
        <v>26</v>
      </c>
      <c r="I1316">
        <v>13.98</v>
      </c>
      <c r="J1316" t="s">
        <v>31</v>
      </c>
    </row>
    <row r="1317" spans="1:10" x14ac:dyDescent="0.25">
      <c r="A1317" s="1">
        <v>672</v>
      </c>
      <c r="B1317" t="s">
        <v>23</v>
      </c>
      <c r="C1317">
        <v>706</v>
      </c>
      <c r="D1317">
        <v>4</v>
      </c>
      <c r="E1317" t="s">
        <v>24</v>
      </c>
      <c r="F1317" t="s">
        <v>25</v>
      </c>
      <c r="G1317" t="str">
        <f>"2025-12-27 17:34:33.524"</f>
        <v>2025-12-27 17:34:33.524</v>
      </c>
      <c r="H1317" t="s">
        <v>26</v>
      </c>
      <c r="I1317">
        <v>16.63</v>
      </c>
      <c r="J1317" t="s">
        <v>29</v>
      </c>
    </row>
    <row r="1318" spans="1:10" x14ac:dyDescent="0.25">
      <c r="A1318" s="1">
        <v>673</v>
      </c>
      <c r="B1318" t="s">
        <v>23</v>
      </c>
      <c r="C1318">
        <v>706</v>
      </c>
      <c r="D1318">
        <v>4</v>
      </c>
      <c r="E1318" t="s">
        <v>24</v>
      </c>
      <c r="F1318" t="s">
        <v>25</v>
      </c>
      <c r="G1318" t="str">
        <f>"2025-12-27 17:33:24.814"</f>
        <v>2025-12-27 17:33:24.814</v>
      </c>
      <c r="H1318" t="s">
        <v>26</v>
      </c>
      <c r="I1318">
        <v>14.3</v>
      </c>
      <c r="J1318" t="s">
        <v>29</v>
      </c>
    </row>
    <row r="1319" spans="1:10" x14ac:dyDescent="0.25">
      <c r="A1319" s="1">
        <v>674</v>
      </c>
      <c r="B1319" t="s">
        <v>23</v>
      </c>
      <c r="C1319">
        <v>706</v>
      </c>
      <c r="D1319">
        <v>4</v>
      </c>
      <c r="E1319" t="s">
        <v>24</v>
      </c>
      <c r="F1319" t="s">
        <v>25</v>
      </c>
      <c r="G1319" t="str">
        <f>"2025-12-27 17:31:50.864"</f>
        <v>2025-12-27 17:31:50.864</v>
      </c>
      <c r="H1319" t="s">
        <v>26</v>
      </c>
      <c r="I1319">
        <v>17.079999999999998</v>
      </c>
      <c r="J1319" t="s">
        <v>29</v>
      </c>
    </row>
    <row r="1320" spans="1:10" x14ac:dyDescent="0.25">
      <c r="A1320" s="1">
        <v>675</v>
      </c>
      <c r="B1320" t="s">
        <v>23</v>
      </c>
      <c r="C1320">
        <v>706</v>
      </c>
      <c r="D1320">
        <v>4</v>
      </c>
      <c r="E1320" t="s">
        <v>24</v>
      </c>
      <c r="F1320" t="s">
        <v>25</v>
      </c>
      <c r="G1320" t="str">
        <f>"2025-12-27 17:27:20.454"</f>
        <v>2025-12-27 17:27:20.454</v>
      </c>
      <c r="H1320" t="s">
        <v>26</v>
      </c>
      <c r="I1320">
        <v>21.43</v>
      </c>
      <c r="J1320" t="s">
        <v>29</v>
      </c>
    </row>
    <row r="1321" spans="1:10" x14ac:dyDescent="0.25">
      <c r="A1321" s="1">
        <v>676</v>
      </c>
      <c r="B1321" t="s">
        <v>23</v>
      </c>
      <c r="C1321">
        <v>706</v>
      </c>
      <c r="D1321">
        <v>4</v>
      </c>
      <c r="E1321" t="s">
        <v>24</v>
      </c>
      <c r="F1321" t="s">
        <v>25</v>
      </c>
      <c r="G1321" t="str">
        <f>"2025-12-27 17:27:08.674"</f>
        <v>2025-12-27 17:27:08.674</v>
      </c>
      <c r="H1321" t="s">
        <v>26</v>
      </c>
      <c r="I1321">
        <v>20.87</v>
      </c>
      <c r="J1321" t="s">
        <v>29</v>
      </c>
    </row>
    <row r="1322" spans="1:10" x14ac:dyDescent="0.25">
      <c r="A1322" s="1">
        <v>677</v>
      </c>
      <c r="B1322" t="s">
        <v>23</v>
      </c>
      <c r="C1322">
        <v>706</v>
      </c>
      <c r="D1322">
        <v>4</v>
      </c>
      <c r="E1322" t="s">
        <v>24</v>
      </c>
      <c r="F1322" t="s">
        <v>25</v>
      </c>
      <c r="G1322" t="str">
        <f>"2025-12-27 17:24:20.994"</f>
        <v>2025-12-27 17:24:20.994</v>
      </c>
      <c r="H1322" t="s">
        <v>26</v>
      </c>
      <c r="I1322">
        <v>19.61</v>
      </c>
      <c r="J1322" t="s">
        <v>29</v>
      </c>
    </row>
    <row r="1323" spans="1:10" x14ac:dyDescent="0.25">
      <c r="A1323" s="1">
        <v>678</v>
      </c>
      <c r="B1323" t="s">
        <v>23</v>
      </c>
      <c r="C1323">
        <v>706</v>
      </c>
      <c r="D1323">
        <v>4</v>
      </c>
      <c r="E1323" t="s">
        <v>24</v>
      </c>
      <c r="F1323" t="s">
        <v>25</v>
      </c>
      <c r="G1323" t="str">
        <f>"2025-12-27 17:20:49.694"</f>
        <v>2025-12-27 17:20:49.694</v>
      </c>
      <c r="H1323" t="s">
        <v>26</v>
      </c>
      <c r="I1323">
        <v>18.489999999999998</v>
      </c>
      <c r="J1323" t="s">
        <v>29</v>
      </c>
    </row>
    <row r="1324" spans="1:10" x14ac:dyDescent="0.25">
      <c r="A1324" s="1">
        <v>679</v>
      </c>
      <c r="B1324" t="s">
        <v>23</v>
      </c>
      <c r="C1324">
        <v>706</v>
      </c>
      <c r="D1324">
        <v>4</v>
      </c>
      <c r="E1324" t="s">
        <v>24</v>
      </c>
      <c r="F1324" t="s">
        <v>25</v>
      </c>
      <c r="G1324" t="str">
        <f>"2025-12-27 15:59:41.034"</f>
        <v>2025-12-27 15:59:41.034</v>
      </c>
      <c r="H1324" t="s">
        <v>26</v>
      </c>
      <c r="I1324">
        <v>15.96</v>
      </c>
      <c r="J1324" t="s">
        <v>29</v>
      </c>
    </row>
    <row r="1325" spans="1:10" x14ac:dyDescent="0.25">
      <c r="A1325" s="1">
        <v>680</v>
      </c>
      <c r="B1325" t="s">
        <v>23</v>
      </c>
      <c r="C1325">
        <v>706</v>
      </c>
      <c r="D1325">
        <v>2</v>
      </c>
      <c r="E1325" t="s">
        <v>24</v>
      </c>
      <c r="F1325" t="s">
        <v>39</v>
      </c>
      <c r="G1325" t="str">
        <f>"2025-12-27 14:45:12.604"</f>
        <v>2025-12-27 14:45:12.604</v>
      </c>
      <c r="H1325" t="s">
        <v>26</v>
      </c>
      <c r="I1325">
        <v>0</v>
      </c>
      <c r="J1325" t="s">
        <v>27</v>
      </c>
    </row>
    <row r="1326" spans="1:10" x14ac:dyDescent="0.25">
      <c r="A1326" s="1">
        <v>681</v>
      </c>
      <c r="B1326" t="s">
        <v>23</v>
      </c>
      <c r="C1326">
        <v>700</v>
      </c>
      <c r="D1326">
        <v>0</v>
      </c>
      <c r="E1326" t="s">
        <v>37</v>
      </c>
      <c r="F1326" t="s">
        <v>37</v>
      </c>
      <c r="G1326" t="str">
        <f>"2025-12-27 14:42:38.294"</f>
        <v>2025-12-27 14:42:38.294</v>
      </c>
      <c r="H1326" t="s">
        <v>26</v>
      </c>
    </row>
    <row r="1327" spans="1:10" x14ac:dyDescent="0.25">
      <c r="A1327" s="1">
        <v>682</v>
      </c>
      <c r="B1327" t="s">
        <v>19</v>
      </c>
      <c r="C1327">
        <v>630</v>
      </c>
      <c r="D1327">
        <v>5</v>
      </c>
      <c r="E1327" t="s">
        <v>20</v>
      </c>
      <c r="F1327" t="s">
        <v>83</v>
      </c>
      <c r="G1327" t="str">
        <f>"2025-12-27 09:17:23.972"</f>
        <v>2025-12-27 09:17:23.972</v>
      </c>
      <c r="H1327" t="s">
        <v>22</v>
      </c>
    </row>
    <row r="1328" spans="1:10" x14ac:dyDescent="0.25">
      <c r="A1328" s="1">
        <v>683</v>
      </c>
      <c r="B1328" t="s">
        <v>23</v>
      </c>
      <c r="C1328">
        <v>706</v>
      </c>
      <c r="D1328">
        <v>2</v>
      </c>
      <c r="E1328" t="s">
        <v>24</v>
      </c>
      <c r="F1328" t="s">
        <v>39</v>
      </c>
      <c r="G1328" t="str">
        <f>"2025-12-27 09:16:53.794"</f>
        <v>2025-12-27 09:16:53.794</v>
      </c>
      <c r="H1328" t="s">
        <v>26</v>
      </c>
      <c r="I1328">
        <v>0</v>
      </c>
      <c r="J1328" t="s">
        <v>27</v>
      </c>
    </row>
    <row r="1329" spans="1:10" x14ac:dyDescent="0.25">
      <c r="A1329" s="1">
        <v>684</v>
      </c>
      <c r="B1329" t="s">
        <v>28</v>
      </c>
      <c r="C1329">
        <v>630</v>
      </c>
      <c r="D1329">
        <v>5</v>
      </c>
      <c r="E1329" t="s">
        <v>20</v>
      </c>
      <c r="F1329" t="s">
        <v>83</v>
      </c>
      <c r="G1329" t="str">
        <f>"2025-12-27 09:06:58.172"</f>
        <v>2025-12-27 09:06:58.172</v>
      </c>
      <c r="H1329" t="s">
        <v>22</v>
      </c>
      <c r="I1329">
        <v>0</v>
      </c>
      <c r="J1329" t="s">
        <v>27</v>
      </c>
    </row>
    <row r="1330" spans="1:10" x14ac:dyDescent="0.25">
      <c r="A1330" s="1">
        <v>685</v>
      </c>
      <c r="B1330" t="s">
        <v>23</v>
      </c>
      <c r="C1330">
        <v>706</v>
      </c>
      <c r="D1330">
        <v>4</v>
      </c>
      <c r="E1330" t="s">
        <v>24</v>
      </c>
      <c r="F1330" t="s">
        <v>25</v>
      </c>
      <c r="G1330" t="str">
        <f>"2025-12-27 06:13:25.664"</f>
        <v>2025-12-27 06:13:25.664</v>
      </c>
      <c r="H1330" t="s">
        <v>26</v>
      </c>
      <c r="I1330">
        <v>14.86</v>
      </c>
      <c r="J1330" t="s">
        <v>29</v>
      </c>
    </row>
    <row r="1331" spans="1:10" x14ac:dyDescent="0.25">
      <c r="A1331" s="1">
        <v>686</v>
      </c>
      <c r="B1331" t="s">
        <v>19</v>
      </c>
      <c r="C1331">
        <v>61</v>
      </c>
      <c r="D1331">
        <v>2</v>
      </c>
      <c r="E1331" t="s">
        <v>84</v>
      </c>
      <c r="F1331" t="s">
        <v>85</v>
      </c>
      <c r="G1331" t="str">
        <f>"2025-12-26 16:34:16.685"</f>
        <v>2025-12-26 16:34:16.685</v>
      </c>
      <c r="H1331" t="s">
        <v>26</v>
      </c>
    </row>
    <row r="1332" spans="1:10" x14ac:dyDescent="0.25">
      <c r="A1332" s="1">
        <v>687</v>
      </c>
      <c r="B1332" t="s">
        <v>28</v>
      </c>
      <c r="C1332">
        <v>61</v>
      </c>
      <c r="D1332">
        <v>2</v>
      </c>
      <c r="E1332" t="s">
        <v>84</v>
      </c>
      <c r="F1332" t="s">
        <v>85</v>
      </c>
      <c r="G1332" t="str">
        <f>"2025-12-26 16:34:04.985"</f>
        <v>2025-12-26 16:34:04.985</v>
      </c>
      <c r="H1332" t="s">
        <v>26</v>
      </c>
      <c r="I1332">
        <v>29.71</v>
      </c>
      <c r="J1332" t="s">
        <v>29</v>
      </c>
    </row>
    <row r="1333" spans="1:10" x14ac:dyDescent="0.25">
      <c r="A1333" s="1">
        <v>688</v>
      </c>
      <c r="B1333" t="s">
        <v>23</v>
      </c>
      <c r="C1333">
        <v>706</v>
      </c>
      <c r="D1333">
        <v>4</v>
      </c>
      <c r="E1333" t="s">
        <v>24</v>
      </c>
      <c r="F1333" t="s">
        <v>25</v>
      </c>
      <c r="G1333" t="str">
        <f>"2025-12-26 12:00:58.894"</f>
        <v>2025-12-26 12:00:58.894</v>
      </c>
      <c r="H1333" t="s">
        <v>26</v>
      </c>
      <c r="I1333">
        <v>15.93</v>
      </c>
      <c r="J1333" t="s">
        <v>42</v>
      </c>
    </row>
    <row r="1334" spans="1:10" x14ac:dyDescent="0.25">
      <c r="A1334" s="1">
        <v>689</v>
      </c>
      <c r="B1334" t="s">
        <v>19</v>
      </c>
      <c r="C1334">
        <v>635</v>
      </c>
      <c r="D1334">
        <v>1</v>
      </c>
      <c r="E1334" t="s">
        <v>40</v>
      </c>
      <c r="F1334" t="s">
        <v>41</v>
      </c>
      <c r="G1334" t="str">
        <f>"2025-12-26 05:56:08.524"</f>
        <v>2025-12-26 05:56:08.524</v>
      </c>
      <c r="H1334" t="s">
        <v>26</v>
      </c>
    </row>
    <row r="1335" spans="1:10" x14ac:dyDescent="0.25">
      <c r="A1335" s="1">
        <v>690</v>
      </c>
      <c r="B1335" t="s">
        <v>38</v>
      </c>
      <c r="C1335">
        <v>635</v>
      </c>
      <c r="D1335">
        <v>1</v>
      </c>
      <c r="E1335" t="s">
        <v>40</v>
      </c>
      <c r="F1335" t="s">
        <v>41</v>
      </c>
      <c r="G1335" t="str">
        <f>"2025-12-26 05:52:44.025"</f>
        <v>2025-12-26 05:52:44.025</v>
      </c>
      <c r="H1335" t="s">
        <v>26</v>
      </c>
      <c r="I1335">
        <v>0</v>
      </c>
      <c r="J1335" t="s">
        <v>31</v>
      </c>
    </row>
    <row r="1336" spans="1:10" x14ac:dyDescent="0.25">
      <c r="A1336" s="1">
        <v>692</v>
      </c>
      <c r="B1336" t="s">
        <v>23</v>
      </c>
      <c r="C1336">
        <v>706</v>
      </c>
      <c r="D1336">
        <v>4</v>
      </c>
      <c r="E1336" t="s">
        <v>24</v>
      </c>
      <c r="F1336" t="s">
        <v>25</v>
      </c>
      <c r="G1336" t="str">
        <f>"2025-12-25 20:59:34.134"</f>
        <v>2025-12-25 20:59:34.134</v>
      </c>
      <c r="H1336" t="s">
        <v>26</v>
      </c>
      <c r="I1336">
        <v>19.12</v>
      </c>
      <c r="J1336" t="s">
        <v>42</v>
      </c>
    </row>
    <row r="1337" spans="1:10" x14ac:dyDescent="0.25">
      <c r="A1337" s="1">
        <v>694</v>
      </c>
      <c r="B1337" t="s">
        <v>23</v>
      </c>
      <c r="C1337">
        <v>706</v>
      </c>
      <c r="D1337">
        <v>4</v>
      </c>
      <c r="E1337" t="s">
        <v>24</v>
      </c>
      <c r="F1337" t="s">
        <v>25</v>
      </c>
      <c r="G1337" t="str">
        <f>"2025-12-25 14:12:20.144"</f>
        <v>2025-12-25 14:12:20.144</v>
      </c>
      <c r="H1337" t="s">
        <v>26</v>
      </c>
      <c r="I1337">
        <v>22.81</v>
      </c>
      <c r="J1337" t="s">
        <v>29</v>
      </c>
    </row>
    <row r="1338" spans="1:10" x14ac:dyDescent="0.25">
      <c r="A1338" s="1">
        <v>695</v>
      </c>
      <c r="B1338" t="s">
        <v>23</v>
      </c>
      <c r="C1338">
        <v>706</v>
      </c>
      <c r="D1338">
        <v>4</v>
      </c>
      <c r="E1338" t="s">
        <v>24</v>
      </c>
      <c r="F1338" t="s">
        <v>25</v>
      </c>
      <c r="G1338" t="str">
        <f>"2025-12-25 11:59:53.364"</f>
        <v>2025-12-25 11:59:53.364</v>
      </c>
      <c r="H1338" t="s">
        <v>26</v>
      </c>
      <c r="I1338">
        <v>27.5</v>
      </c>
      <c r="J1338" t="s">
        <v>29</v>
      </c>
    </row>
    <row r="1339" spans="1:10" x14ac:dyDescent="0.25">
      <c r="A1339" s="1">
        <v>696</v>
      </c>
      <c r="B1339" t="s">
        <v>23</v>
      </c>
      <c r="C1339">
        <v>706</v>
      </c>
      <c r="D1339">
        <v>4</v>
      </c>
      <c r="E1339" t="s">
        <v>24</v>
      </c>
      <c r="F1339" t="s">
        <v>25</v>
      </c>
      <c r="G1339" t="str">
        <f>"2025-12-25 11:12:34.264"</f>
        <v>2025-12-25 11:12:34.264</v>
      </c>
      <c r="H1339" t="s">
        <v>26</v>
      </c>
      <c r="I1339">
        <v>0</v>
      </c>
      <c r="J1339" t="s">
        <v>27</v>
      </c>
    </row>
    <row r="1340" spans="1:10" x14ac:dyDescent="0.25">
      <c r="A1340" s="1">
        <v>699</v>
      </c>
      <c r="B1340" t="s">
        <v>30</v>
      </c>
      <c r="C1340">
        <v>89</v>
      </c>
      <c r="D1340">
        <v>2</v>
      </c>
      <c r="E1340" t="s">
        <v>81</v>
      </c>
      <c r="F1340" t="s">
        <v>82</v>
      </c>
      <c r="G1340" t="str">
        <f>"2025-12-24 15:48:07.072"</f>
        <v>2025-12-24 15:48:07.072</v>
      </c>
      <c r="H1340" t="s">
        <v>26</v>
      </c>
    </row>
    <row r="1341" spans="1:10" x14ac:dyDescent="0.25">
      <c r="A1341" s="1">
        <v>700</v>
      </c>
      <c r="B1341" t="s">
        <v>28</v>
      </c>
      <c r="C1341">
        <v>89</v>
      </c>
      <c r="D1341">
        <v>2</v>
      </c>
      <c r="E1341" t="s">
        <v>81</v>
      </c>
      <c r="F1341" t="s">
        <v>82</v>
      </c>
      <c r="G1341" t="str">
        <f>"2025-12-24 15:47:37.283"</f>
        <v>2025-12-24 15:47:37.283</v>
      </c>
      <c r="H1341" t="s">
        <v>26</v>
      </c>
      <c r="I1341">
        <v>2.54</v>
      </c>
      <c r="J1341" t="s">
        <v>42</v>
      </c>
    </row>
    <row r="1342" spans="1:10" x14ac:dyDescent="0.25">
      <c r="A1342" s="1">
        <v>701</v>
      </c>
      <c r="B1342" t="s">
        <v>30</v>
      </c>
      <c r="C1342">
        <v>89</v>
      </c>
      <c r="D1342">
        <v>2</v>
      </c>
      <c r="E1342" t="s">
        <v>81</v>
      </c>
      <c r="F1342" t="s">
        <v>82</v>
      </c>
      <c r="G1342" t="str">
        <f>"2025-12-24 15:38:37.725"</f>
        <v>2025-12-24 15:38:37.725</v>
      </c>
      <c r="H1342" t="s">
        <v>26</v>
      </c>
    </row>
    <row r="1343" spans="1:10" x14ac:dyDescent="0.25">
      <c r="A1343" s="1">
        <v>702</v>
      </c>
      <c r="B1343" t="s">
        <v>28</v>
      </c>
      <c r="C1343">
        <v>89</v>
      </c>
      <c r="D1343">
        <v>2</v>
      </c>
      <c r="E1343" t="s">
        <v>81</v>
      </c>
      <c r="F1343" t="s">
        <v>82</v>
      </c>
      <c r="G1343" t="str">
        <f>"2025-12-24 15:37:27.584"</f>
        <v>2025-12-24 15:37:27.584</v>
      </c>
      <c r="H1343" t="s">
        <v>26</v>
      </c>
      <c r="I1343">
        <v>4.1100000000000003</v>
      </c>
      <c r="J1343" t="s">
        <v>42</v>
      </c>
    </row>
    <row r="1344" spans="1:10" x14ac:dyDescent="0.25">
      <c r="A1344" s="1">
        <v>703</v>
      </c>
      <c r="B1344" t="s">
        <v>19</v>
      </c>
      <c r="C1344">
        <v>89</v>
      </c>
      <c r="D1344">
        <v>2</v>
      </c>
      <c r="E1344" t="s">
        <v>81</v>
      </c>
      <c r="F1344" t="s">
        <v>82</v>
      </c>
      <c r="G1344" t="str">
        <f>"2025-12-24 15:34:59.685"</f>
        <v>2025-12-24 15:34:59.685</v>
      </c>
      <c r="H1344" t="s">
        <v>26</v>
      </c>
    </row>
    <row r="1345" spans="1:10" x14ac:dyDescent="0.25">
      <c r="A1345" s="1">
        <v>704</v>
      </c>
      <c r="B1345" t="s">
        <v>28</v>
      </c>
      <c r="C1345">
        <v>89</v>
      </c>
      <c r="D1345">
        <v>2</v>
      </c>
      <c r="E1345" t="s">
        <v>81</v>
      </c>
      <c r="F1345" t="s">
        <v>82</v>
      </c>
      <c r="G1345" t="str">
        <f>"2025-12-24 15:34:03.385"</f>
        <v>2025-12-24 15:34:03.385</v>
      </c>
      <c r="H1345" t="s">
        <v>26</v>
      </c>
      <c r="I1345">
        <v>1.84</v>
      </c>
      <c r="J1345" t="s">
        <v>42</v>
      </c>
    </row>
    <row r="1346" spans="1:10" x14ac:dyDescent="0.25">
      <c r="A1346" s="1">
        <v>705</v>
      </c>
      <c r="B1346" t="s">
        <v>19</v>
      </c>
      <c r="C1346">
        <v>89</v>
      </c>
      <c r="D1346">
        <v>2</v>
      </c>
      <c r="E1346" t="s">
        <v>81</v>
      </c>
      <c r="F1346" t="s">
        <v>82</v>
      </c>
      <c r="G1346" t="str">
        <f>"2025-12-24 15:33:00.385"</f>
        <v>2025-12-24 15:33:00.385</v>
      </c>
      <c r="H1346" t="s">
        <v>26</v>
      </c>
    </row>
    <row r="1347" spans="1:10" x14ac:dyDescent="0.25">
      <c r="A1347" s="1">
        <v>706</v>
      </c>
      <c r="B1347" t="s">
        <v>28</v>
      </c>
      <c r="C1347">
        <v>89</v>
      </c>
      <c r="D1347">
        <v>2</v>
      </c>
      <c r="E1347" t="s">
        <v>81</v>
      </c>
      <c r="F1347" t="s">
        <v>82</v>
      </c>
      <c r="G1347" t="str">
        <f>"2025-12-24 15:31:54.285"</f>
        <v>2025-12-24 15:31:54.285</v>
      </c>
      <c r="H1347" t="s">
        <v>26</v>
      </c>
      <c r="I1347">
        <v>10.11</v>
      </c>
      <c r="J1347" t="s">
        <v>42</v>
      </c>
    </row>
    <row r="1348" spans="1:10" x14ac:dyDescent="0.25">
      <c r="A1348" s="1">
        <v>707</v>
      </c>
      <c r="B1348" t="s">
        <v>23</v>
      </c>
      <c r="C1348">
        <v>700</v>
      </c>
      <c r="D1348">
        <v>0</v>
      </c>
      <c r="E1348" t="s">
        <v>37</v>
      </c>
      <c r="F1348" t="s">
        <v>37</v>
      </c>
      <c r="G1348" t="str">
        <f>"2025-12-24 15:30:57.454"</f>
        <v>2025-12-24 15:30:57.454</v>
      </c>
      <c r="H1348" t="s">
        <v>26</v>
      </c>
      <c r="I1348">
        <v>0</v>
      </c>
      <c r="J1348" t="s">
        <v>43</v>
      </c>
    </row>
    <row r="1349" spans="1:10" x14ac:dyDescent="0.25">
      <c r="A1349" s="1">
        <v>708</v>
      </c>
      <c r="B1349" t="s">
        <v>23</v>
      </c>
      <c r="C1349">
        <v>706</v>
      </c>
      <c r="D1349">
        <v>4</v>
      </c>
      <c r="E1349" t="s">
        <v>24</v>
      </c>
      <c r="F1349" t="s">
        <v>25</v>
      </c>
      <c r="G1349" t="str">
        <f>"2025-12-24 08:40:56.180"</f>
        <v>2025-12-24 08:40:56.180</v>
      </c>
      <c r="H1349" t="s">
        <v>26</v>
      </c>
      <c r="I1349">
        <v>0</v>
      </c>
      <c r="J1349" t="s">
        <v>27</v>
      </c>
    </row>
    <row r="1350" spans="1:10" x14ac:dyDescent="0.25">
      <c r="A1350" s="1">
        <v>709</v>
      </c>
      <c r="B1350" t="s">
        <v>23</v>
      </c>
      <c r="C1350">
        <v>706</v>
      </c>
      <c r="D1350">
        <v>4</v>
      </c>
      <c r="E1350" t="s">
        <v>24</v>
      </c>
      <c r="F1350" t="s">
        <v>25</v>
      </c>
      <c r="G1350" t="str">
        <f>"2025-12-23 17:55:38.591"</f>
        <v>2025-12-23 17:55:38.591</v>
      </c>
      <c r="H1350" t="s">
        <v>26</v>
      </c>
      <c r="I1350">
        <v>15.5</v>
      </c>
      <c r="J1350" t="s">
        <v>42</v>
      </c>
    </row>
    <row r="1351" spans="1:10" x14ac:dyDescent="0.25">
      <c r="A1351" s="1">
        <v>710</v>
      </c>
      <c r="B1351" t="s">
        <v>23</v>
      </c>
      <c r="C1351">
        <v>706</v>
      </c>
      <c r="D1351">
        <v>4</v>
      </c>
      <c r="E1351" t="s">
        <v>24</v>
      </c>
      <c r="F1351" t="s">
        <v>25</v>
      </c>
      <c r="G1351" t="str">
        <f>"2025-12-23 11:28:24.271"</f>
        <v>2025-12-23 11:28:24.271</v>
      </c>
      <c r="H1351" t="s">
        <v>26</v>
      </c>
      <c r="I1351">
        <v>15.63</v>
      </c>
      <c r="J1351" t="s">
        <v>29</v>
      </c>
    </row>
    <row r="1352" spans="1:10" x14ac:dyDescent="0.25">
      <c r="A1352" s="1">
        <v>711</v>
      </c>
      <c r="B1352" t="s">
        <v>23</v>
      </c>
      <c r="C1352">
        <v>706</v>
      </c>
      <c r="D1352">
        <v>4</v>
      </c>
      <c r="E1352" t="s">
        <v>24</v>
      </c>
      <c r="F1352" t="s">
        <v>25</v>
      </c>
      <c r="G1352" t="str">
        <f>"2025-12-23 11:26:18.661"</f>
        <v>2025-12-23 11:26:18.661</v>
      </c>
      <c r="H1352" t="s">
        <v>26</v>
      </c>
      <c r="I1352">
        <v>16.72</v>
      </c>
      <c r="J1352" t="s">
        <v>29</v>
      </c>
    </row>
    <row r="1353" spans="1:10" x14ac:dyDescent="0.25">
      <c r="A1353" s="1">
        <v>712</v>
      </c>
      <c r="B1353" t="s">
        <v>23</v>
      </c>
      <c r="C1353">
        <v>706</v>
      </c>
      <c r="D1353">
        <v>4</v>
      </c>
      <c r="E1353" t="s">
        <v>24</v>
      </c>
      <c r="F1353" t="s">
        <v>25</v>
      </c>
      <c r="G1353" t="str">
        <f>"2025-12-23 10:15:24.391"</f>
        <v>2025-12-23 10:15:24.391</v>
      </c>
      <c r="H1353" t="s">
        <v>26</v>
      </c>
      <c r="I1353">
        <v>-0.01</v>
      </c>
      <c r="J1353" t="s">
        <v>31</v>
      </c>
    </row>
    <row r="1354" spans="1:10" x14ac:dyDescent="0.25">
      <c r="A1354" s="1">
        <v>713</v>
      </c>
      <c r="B1354" t="s">
        <v>23</v>
      </c>
      <c r="C1354">
        <v>706</v>
      </c>
      <c r="D1354">
        <v>4</v>
      </c>
      <c r="E1354" t="s">
        <v>24</v>
      </c>
      <c r="F1354" t="s">
        <v>25</v>
      </c>
      <c r="G1354" t="str">
        <f>"2025-12-23 09:24:10.401"</f>
        <v>2025-12-23 09:24:10.401</v>
      </c>
      <c r="H1354" t="s">
        <v>26</v>
      </c>
      <c r="I1354">
        <v>-0.02</v>
      </c>
      <c r="J1354" t="s">
        <v>31</v>
      </c>
    </row>
    <row r="1355" spans="1:10" x14ac:dyDescent="0.25">
      <c r="A1355" s="1">
        <v>714</v>
      </c>
      <c r="B1355" t="s">
        <v>23</v>
      </c>
      <c r="C1355">
        <v>706</v>
      </c>
      <c r="D1355">
        <v>4</v>
      </c>
      <c r="E1355" t="s">
        <v>24</v>
      </c>
      <c r="F1355" t="s">
        <v>25</v>
      </c>
      <c r="G1355" t="str">
        <f>"2025-12-23 05:47:12.571"</f>
        <v>2025-12-23 05:47:12.571</v>
      </c>
      <c r="H1355" t="s">
        <v>26</v>
      </c>
      <c r="I1355">
        <v>20.95</v>
      </c>
      <c r="J1355" t="s">
        <v>29</v>
      </c>
    </row>
    <row r="1356" spans="1:10" x14ac:dyDescent="0.25">
      <c r="A1356" s="1">
        <v>715</v>
      </c>
      <c r="B1356" t="s">
        <v>23</v>
      </c>
      <c r="C1356">
        <v>706</v>
      </c>
      <c r="D1356">
        <v>4</v>
      </c>
      <c r="E1356" t="s">
        <v>24</v>
      </c>
      <c r="F1356" t="s">
        <v>25</v>
      </c>
      <c r="G1356" t="str">
        <f>"2025-12-23 04:17:46.871"</f>
        <v>2025-12-23 04:17:46.871</v>
      </c>
      <c r="H1356" t="s">
        <v>26</v>
      </c>
      <c r="I1356">
        <v>18.11</v>
      </c>
      <c r="J1356" t="s">
        <v>42</v>
      </c>
    </row>
    <row r="1357" spans="1:10" x14ac:dyDescent="0.25">
      <c r="A1357" s="1">
        <v>716</v>
      </c>
      <c r="B1357" t="s">
        <v>19</v>
      </c>
      <c r="C1357">
        <v>635</v>
      </c>
      <c r="D1357">
        <v>1</v>
      </c>
      <c r="E1357" t="s">
        <v>40</v>
      </c>
      <c r="F1357" t="s">
        <v>41</v>
      </c>
      <c r="G1357" t="str">
        <f>"2025-12-23 02:59:14.914"</f>
        <v>2025-12-23 02:59:14.914</v>
      </c>
      <c r="H1357" t="s">
        <v>26</v>
      </c>
    </row>
    <row r="1358" spans="1:10" x14ac:dyDescent="0.25">
      <c r="A1358" s="1">
        <v>717</v>
      </c>
      <c r="B1358" t="s">
        <v>38</v>
      </c>
      <c r="C1358">
        <v>635</v>
      </c>
      <c r="D1358">
        <v>1</v>
      </c>
      <c r="E1358" t="s">
        <v>40</v>
      </c>
      <c r="F1358" t="s">
        <v>41</v>
      </c>
      <c r="G1358" t="str">
        <f>"2025-12-23 02:46:58.414"</f>
        <v>2025-12-23 02:46:58.414</v>
      </c>
      <c r="H1358" t="s">
        <v>26</v>
      </c>
      <c r="I1358">
        <v>4.08</v>
      </c>
      <c r="J1358" t="s">
        <v>29</v>
      </c>
    </row>
    <row r="1359" spans="1:10" x14ac:dyDescent="0.25">
      <c r="A1359" s="1">
        <v>718</v>
      </c>
      <c r="B1359" t="s">
        <v>23</v>
      </c>
      <c r="C1359">
        <v>706</v>
      </c>
      <c r="D1359">
        <v>4</v>
      </c>
      <c r="E1359" t="s">
        <v>24</v>
      </c>
      <c r="F1359" t="s">
        <v>25</v>
      </c>
      <c r="G1359" t="str">
        <f>"2025-12-23 00:11:12.651"</f>
        <v>2025-12-23 00:11:12.651</v>
      </c>
      <c r="H1359" t="s">
        <v>26</v>
      </c>
      <c r="I1359">
        <v>0</v>
      </c>
      <c r="J1359" t="s">
        <v>31</v>
      </c>
    </row>
    <row r="1360" spans="1:10" x14ac:dyDescent="0.25">
      <c r="A1360" s="1">
        <v>719</v>
      </c>
      <c r="B1360" t="s">
        <v>23</v>
      </c>
      <c r="C1360">
        <v>706</v>
      </c>
      <c r="D1360">
        <v>4</v>
      </c>
      <c r="E1360" t="s">
        <v>24</v>
      </c>
      <c r="F1360" t="s">
        <v>25</v>
      </c>
      <c r="G1360" t="str">
        <f>"2025-12-22 22:56:14.011"</f>
        <v>2025-12-22 22:56:14.011</v>
      </c>
      <c r="H1360" t="s">
        <v>26</v>
      </c>
      <c r="I1360">
        <v>12.92</v>
      </c>
      <c r="J1360" t="s">
        <v>42</v>
      </c>
    </row>
    <row r="1361" spans="1:10" x14ac:dyDescent="0.25">
      <c r="A1361" s="1">
        <v>720</v>
      </c>
      <c r="B1361" t="s">
        <v>23</v>
      </c>
      <c r="C1361">
        <v>706</v>
      </c>
      <c r="D1361">
        <v>4</v>
      </c>
      <c r="E1361" t="s">
        <v>24</v>
      </c>
      <c r="F1361" t="s">
        <v>25</v>
      </c>
      <c r="G1361" t="str">
        <f>"2025-12-22 22:45:49.281"</f>
        <v>2025-12-22 22:45:49.281</v>
      </c>
      <c r="H1361" t="s">
        <v>26</v>
      </c>
      <c r="I1361">
        <v>12.37</v>
      </c>
      <c r="J1361" t="s">
        <v>42</v>
      </c>
    </row>
    <row r="1362" spans="1:10" x14ac:dyDescent="0.25">
      <c r="A1362" s="1">
        <v>721</v>
      </c>
      <c r="B1362" t="s">
        <v>23</v>
      </c>
      <c r="C1362">
        <v>706</v>
      </c>
      <c r="D1362">
        <v>4</v>
      </c>
      <c r="E1362" t="s">
        <v>24</v>
      </c>
      <c r="F1362" t="s">
        <v>25</v>
      </c>
      <c r="G1362" t="str">
        <f>"2025-12-22 22:42:16.491"</f>
        <v>2025-12-22 22:42:16.491</v>
      </c>
      <c r="H1362" t="s">
        <v>26</v>
      </c>
      <c r="I1362">
        <v>11.34</v>
      </c>
      <c r="J1362" t="s">
        <v>42</v>
      </c>
    </row>
    <row r="1363" spans="1:10" x14ac:dyDescent="0.25">
      <c r="A1363" s="1">
        <v>722</v>
      </c>
      <c r="B1363" t="s">
        <v>19</v>
      </c>
      <c r="C1363">
        <v>61</v>
      </c>
      <c r="D1363">
        <v>2</v>
      </c>
      <c r="E1363" t="s">
        <v>84</v>
      </c>
      <c r="F1363" t="s">
        <v>85</v>
      </c>
      <c r="G1363" t="str">
        <f>"2025-12-22 22:41:54.215"</f>
        <v>2025-12-22 22:41:54.215</v>
      </c>
      <c r="H1363" t="s">
        <v>26</v>
      </c>
    </row>
    <row r="1364" spans="1:10" x14ac:dyDescent="0.25">
      <c r="A1364" s="1">
        <v>723</v>
      </c>
      <c r="B1364" t="s">
        <v>28</v>
      </c>
      <c r="C1364">
        <v>61</v>
      </c>
      <c r="D1364">
        <v>2</v>
      </c>
      <c r="E1364" t="s">
        <v>84</v>
      </c>
      <c r="F1364" t="s">
        <v>85</v>
      </c>
      <c r="G1364" t="str">
        <f>"2025-12-22 22:41:42.615"</f>
        <v>2025-12-22 22:41:42.615</v>
      </c>
      <c r="H1364" t="s">
        <v>26</v>
      </c>
      <c r="I1364">
        <v>30.04</v>
      </c>
      <c r="J1364" t="s">
        <v>29</v>
      </c>
    </row>
    <row r="1365" spans="1:10" x14ac:dyDescent="0.25">
      <c r="A1365" s="1">
        <v>724</v>
      </c>
      <c r="B1365" t="s">
        <v>23</v>
      </c>
      <c r="C1365">
        <v>706</v>
      </c>
      <c r="D1365">
        <v>4</v>
      </c>
      <c r="E1365" t="s">
        <v>24</v>
      </c>
      <c r="F1365" t="s">
        <v>25</v>
      </c>
      <c r="G1365" t="str">
        <f>"2025-12-22 22:31:51.561"</f>
        <v>2025-12-22 22:31:51.561</v>
      </c>
      <c r="H1365" t="s">
        <v>26</v>
      </c>
      <c r="I1365">
        <v>12.02</v>
      </c>
      <c r="J1365" t="s">
        <v>42</v>
      </c>
    </row>
    <row r="1366" spans="1:10" x14ac:dyDescent="0.25">
      <c r="A1366" s="1">
        <v>726</v>
      </c>
      <c r="B1366" t="s">
        <v>23</v>
      </c>
      <c r="C1366">
        <v>706</v>
      </c>
      <c r="D1366">
        <v>4</v>
      </c>
      <c r="E1366" t="s">
        <v>24</v>
      </c>
      <c r="F1366" t="s">
        <v>25</v>
      </c>
      <c r="G1366" t="str">
        <f>"2025-12-22 12:20:19.611"</f>
        <v>2025-12-22 12:20:19.611</v>
      </c>
      <c r="H1366" t="s">
        <v>26</v>
      </c>
      <c r="I1366">
        <v>11.48</v>
      </c>
      <c r="J1366" t="s">
        <v>42</v>
      </c>
    </row>
    <row r="1367" spans="1:10" x14ac:dyDescent="0.25">
      <c r="A1367" s="1">
        <v>727</v>
      </c>
      <c r="B1367" t="s">
        <v>23</v>
      </c>
      <c r="C1367">
        <v>700</v>
      </c>
      <c r="D1367">
        <v>0</v>
      </c>
      <c r="E1367" t="s">
        <v>37</v>
      </c>
      <c r="F1367" t="s">
        <v>37</v>
      </c>
      <c r="G1367" t="str">
        <f>"2025-12-22 11:41:07.271"</f>
        <v>2025-12-22 11:41:07.271</v>
      </c>
      <c r="H1367" t="s">
        <v>26</v>
      </c>
      <c r="I1367">
        <v>0</v>
      </c>
      <c r="J1367" t="s">
        <v>43</v>
      </c>
    </row>
    <row r="1368" spans="1:10" x14ac:dyDescent="0.25">
      <c r="A1368" s="1">
        <v>728</v>
      </c>
      <c r="B1368" t="s">
        <v>23</v>
      </c>
      <c r="C1368">
        <v>706</v>
      </c>
      <c r="D1368">
        <v>4</v>
      </c>
      <c r="E1368" t="s">
        <v>24</v>
      </c>
      <c r="F1368" t="s">
        <v>25</v>
      </c>
      <c r="G1368" t="str">
        <f>"2025-12-21 23:57:31.207"</f>
        <v>2025-12-21 23:57:31.207</v>
      </c>
      <c r="H1368" t="s">
        <v>26</v>
      </c>
      <c r="I1368">
        <v>0</v>
      </c>
      <c r="J1368" t="s">
        <v>27</v>
      </c>
    </row>
    <row r="1369" spans="1:10" x14ac:dyDescent="0.25">
      <c r="A1369" s="1">
        <v>729</v>
      </c>
      <c r="B1369" t="s">
        <v>23</v>
      </c>
      <c r="C1369">
        <v>700</v>
      </c>
      <c r="D1369">
        <v>0</v>
      </c>
      <c r="E1369" t="s">
        <v>37</v>
      </c>
      <c r="F1369" t="s">
        <v>37</v>
      </c>
      <c r="G1369" t="str">
        <f>"2025-12-21 23:28:29.267"</f>
        <v>2025-12-21 23:28:29.267</v>
      </c>
      <c r="H1369" t="s">
        <v>26</v>
      </c>
      <c r="I1369">
        <v>0</v>
      </c>
      <c r="J1369" t="s">
        <v>43</v>
      </c>
    </row>
    <row r="1370" spans="1:10" x14ac:dyDescent="0.25">
      <c r="A1370" s="1">
        <v>730</v>
      </c>
      <c r="B1370" t="s">
        <v>23</v>
      </c>
      <c r="C1370">
        <v>700</v>
      </c>
      <c r="D1370">
        <v>0</v>
      </c>
      <c r="E1370" t="s">
        <v>37</v>
      </c>
      <c r="F1370" t="s">
        <v>37</v>
      </c>
      <c r="G1370" t="str">
        <f>"2025-12-21 21:55:38.276"</f>
        <v>2025-12-21 21:55:38.276</v>
      </c>
      <c r="H1370" t="s">
        <v>26</v>
      </c>
      <c r="I1370">
        <v>0</v>
      </c>
      <c r="J1370" t="s">
        <v>43</v>
      </c>
    </row>
    <row r="1371" spans="1:10" x14ac:dyDescent="0.25">
      <c r="A1371" s="1">
        <v>731</v>
      </c>
      <c r="B1371" t="s">
        <v>23</v>
      </c>
      <c r="C1371">
        <v>700</v>
      </c>
      <c r="D1371">
        <v>0</v>
      </c>
      <c r="E1371" t="s">
        <v>37</v>
      </c>
      <c r="F1371" t="s">
        <v>37</v>
      </c>
      <c r="G1371" t="str">
        <f>"2025-12-21 21:40:00.263"</f>
        <v>2025-12-21 21:40:00.263</v>
      </c>
      <c r="H1371" t="s">
        <v>26</v>
      </c>
    </row>
    <row r="1372" spans="1:10" x14ac:dyDescent="0.25">
      <c r="A1372" s="1">
        <v>732</v>
      </c>
      <c r="B1372" t="s">
        <v>23</v>
      </c>
      <c r="C1372">
        <v>700</v>
      </c>
      <c r="D1372">
        <v>0</v>
      </c>
      <c r="E1372" t="s">
        <v>37</v>
      </c>
      <c r="F1372" t="s">
        <v>37</v>
      </c>
      <c r="G1372" t="str">
        <f>"2025-12-21 21:34:04.257"</f>
        <v>2025-12-21 21:34:04.257</v>
      </c>
      <c r="H1372" t="s">
        <v>26</v>
      </c>
    </row>
    <row r="1373" spans="1:10" x14ac:dyDescent="0.25">
      <c r="A1373" s="1">
        <v>733</v>
      </c>
      <c r="B1373" t="s">
        <v>23</v>
      </c>
      <c r="C1373">
        <v>706</v>
      </c>
      <c r="D1373">
        <v>4</v>
      </c>
      <c r="E1373" t="s">
        <v>24</v>
      </c>
      <c r="F1373" t="s">
        <v>25</v>
      </c>
      <c r="G1373" t="str">
        <f>"2025-12-21 21:22:07.864"</f>
        <v>2025-12-21 21:22:07.864</v>
      </c>
      <c r="H1373" t="s">
        <v>26</v>
      </c>
      <c r="I1373">
        <v>0</v>
      </c>
      <c r="J1373" t="s">
        <v>27</v>
      </c>
    </row>
    <row r="1374" spans="1:10" x14ac:dyDescent="0.25">
      <c r="A1374" s="1">
        <v>734</v>
      </c>
      <c r="B1374" t="s">
        <v>23</v>
      </c>
      <c r="C1374">
        <v>700</v>
      </c>
      <c r="D1374">
        <v>0</v>
      </c>
      <c r="E1374" t="s">
        <v>37</v>
      </c>
      <c r="F1374" t="s">
        <v>37</v>
      </c>
      <c r="G1374" t="str">
        <f>"2025-12-21 21:17:49.254"</f>
        <v>2025-12-21 21:17:49.254</v>
      </c>
      <c r="H1374" t="s">
        <v>26</v>
      </c>
    </row>
    <row r="1375" spans="1:10" x14ac:dyDescent="0.25">
      <c r="A1375" s="1">
        <v>735</v>
      </c>
      <c r="B1375" t="s">
        <v>23</v>
      </c>
      <c r="C1375">
        <v>700</v>
      </c>
      <c r="D1375">
        <v>0</v>
      </c>
      <c r="E1375" t="s">
        <v>37</v>
      </c>
      <c r="F1375" t="s">
        <v>37</v>
      </c>
      <c r="G1375" t="str">
        <f>"2025-12-21 20:27:49.294"</f>
        <v>2025-12-21 20:27:49.294</v>
      </c>
      <c r="H1375" t="s">
        <v>26</v>
      </c>
      <c r="I1375">
        <v>0</v>
      </c>
      <c r="J1375" t="s">
        <v>43</v>
      </c>
    </row>
    <row r="1376" spans="1:10" x14ac:dyDescent="0.25">
      <c r="A1376" s="1">
        <v>736</v>
      </c>
      <c r="B1376" t="s">
        <v>19</v>
      </c>
      <c r="C1376">
        <v>630</v>
      </c>
      <c r="D1376">
        <v>5</v>
      </c>
      <c r="E1376" t="s">
        <v>20</v>
      </c>
      <c r="F1376" t="s">
        <v>83</v>
      </c>
      <c r="G1376" t="str">
        <f>"2025-12-21 08:40:18.395"</f>
        <v>2025-12-21 08:40:18.395</v>
      </c>
      <c r="H1376" t="s">
        <v>22</v>
      </c>
    </row>
    <row r="1377" spans="1:10" x14ac:dyDescent="0.25">
      <c r="A1377" s="1">
        <v>737</v>
      </c>
      <c r="B1377" t="s">
        <v>23</v>
      </c>
      <c r="C1377">
        <v>706</v>
      </c>
      <c r="D1377">
        <v>2</v>
      </c>
      <c r="E1377" t="s">
        <v>24</v>
      </c>
      <c r="F1377" t="s">
        <v>39</v>
      </c>
      <c r="G1377" t="str">
        <f>"2025-12-21 08:39:48.235"</f>
        <v>2025-12-21 08:39:48.235</v>
      </c>
      <c r="H1377" t="s">
        <v>26</v>
      </c>
      <c r="I1377">
        <v>0</v>
      </c>
      <c r="J1377" t="s">
        <v>27</v>
      </c>
    </row>
    <row r="1378" spans="1:10" x14ac:dyDescent="0.25">
      <c r="A1378" s="1">
        <v>738</v>
      </c>
      <c r="B1378" t="s">
        <v>28</v>
      </c>
      <c r="C1378">
        <v>630</v>
      </c>
      <c r="D1378">
        <v>5</v>
      </c>
      <c r="E1378" t="s">
        <v>20</v>
      </c>
      <c r="F1378" t="s">
        <v>83</v>
      </c>
      <c r="G1378" t="str">
        <f>"2025-12-21 08:32:37.195"</f>
        <v>2025-12-21 08:32:37.195</v>
      </c>
      <c r="H1378" t="s">
        <v>22</v>
      </c>
      <c r="I1378">
        <v>0</v>
      </c>
      <c r="J1378" t="s">
        <v>27</v>
      </c>
    </row>
    <row r="1379" spans="1:10" x14ac:dyDescent="0.25">
      <c r="A1379" s="1">
        <v>739</v>
      </c>
      <c r="B1379" t="s">
        <v>19</v>
      </c>
      <c r="C1379">
        <v>61</v>
      </c>
      <c r="D1379">
        <v>2</v>
      </c>
      <c r="E1379" t="s">
        <v>84</v>
      </c>
      <c r="F1379" t="s">
        <v>85</v>
      </c>
      <c r="G1379" t="str">
        <f>"2025-12-21 07:16:46.708"</f>
        <v>2025-12-21 07:16:46.708</v>
      </c>
      <c r="H1379" t="s">
        <v>26</v>
      </c>
    </row>
    <row r="1380" spans="1:10" x14ac:dyDescent="0.25">
      <c r="A1380" s="1">
        <v>740</v>
      </c>
      <c r="B1380" t="s">
        <v>28</v>
      </c>
      <c r="C1380">
        <v>61</v>
      </c>
      <c r="D1380">
        <v>2</v>
      </c>
      <c r="E1380" t="s">
        <v>84</v>
      </c>
      <c r="F1380" t="s">
        <v>85</v>
      </c>
      <c r="G1380" t="str">
        <f>"2025-12-21 07:16:26.108"</f>
        <v>2025-12-21 07:16:26.108</v>
      </c>
      <c r="H1380" t="s">
        <v>26</v>
      </c>
      <c r="I1380">
        <v>30.27</v>
      </c>
      <c r="J1380" t="s">
        <v>29</v>
      </c>
    </row>
    <row r="1381" spans="1:10" x14ac:dyDescent="0.25">
      <c r="A1381" s="1">
        <v>741</v>
      </c>
      <c r="B1381" t="s">
        <v>19</v>
      </c>
      <c r="C1381">
        <v>61</v>
      </c>
      <c r="D1381">
        <v>2</v>
      </c>
      <c r="E1381" t="s">
        <v>84</v>
      </c>
      <c r="F1381" t="s">
        <v>85</v>
      </c>
      <c r="G1381" t="str">
        <f>"2025-12-21 04:12:24.308"</f>
        <v>2025-12-21 04:12:24.308</v>
      </c>
      <c r="H1381" t="s">
        <v>26</v>
      </c>
    </row>
    <row r="1382" spans="1:10" x14ac:dyDescent="0.25">
      <c r="A1382" s="1">
        <v>742</v>
      </c>
      <c r="B1382" t="s">
        <v>28</v>
      </c>
      <c r="C1382">
        <v>61</v>
      </c>
      <c r="D1382">
        <v>2</v>
      </c>
      <c r="E1382" t="s">
        <v>84</v>
      </c>
      <c r="F1382" t="s">
        <v>85</v>
      </c>
      <c r="G1382" t="str">
        <f>"2025-12-21 04:12:07.808"</f>
        <v>2025-12-21 04:12:07.808</v>
      </c>
      <c r="H1382" t="s">
        <v>26</v>
      </c>
      <c r="I1382">
        <v>30.31</v>
      </c>
      <c r="J1382" t="s">
        <v>29</v>
      </c>
    </row>
    <row r="1383" spans="1:10" x14ac:dyDescent="0.25">
      <c r="A1383" s="1">
        <v>743</v>
      </c>
      <c r="B1383" t="s">
        <v>19</v>
      </c>
      <c r="C1383">
        <v>61</v>
      </c>
      <c r="D1383">
        <v>2</v>
      </c>
      <c r="E1383" t="s">
        <v>84</v>
      </c>
      <c r="F1383" t="s">
        <v>85</v>
      </c>
      <c r="G1383" t="str">
        <f>"2025-12-21 00:43:29.108"</f>
        <v>2025-12-21 00:43:29.108</v>
      </c>
      <c r="H1383" t="s">
        <v>26</v>
      </c>
    </row>
    <row r="1384" spans="1:10" x14ac:dyDescent="0.25">
      <c r="A1384" s="1">
        <v>744</v>
      </c>
      <c r="B1384" t="s">
        <v>28</v>
      </c>
      <c r="C1384">
        <v>61</v>
      </c>
      <c r="D1384">
        <v>2</v>
      </c>
      <c r="E1384" t="s">
        <v>84</v>
      </c>
      <c r="F1384" t="s">
        <v>85</v>
      </c>
      <c r="G1384" t="str">
        <f>"2025-12-21 00:43:17.608"</f>
        <v>2025-12-21 00:43:17.608</v>
      </c>
      <c r="H1384" t="s">
        <v>26</v>
      </c>
      <c r="I1384">
        <v>29.4</v>
      </c>
      <c r="J1384" t="s">
        <v>29</v>
      </c>
    </row>
    <row r="1385" spans="1:10" x14ac:dyDescent="0.25">
      <c r="A1385" s="1">
        <v>745</v>
      </c>
      <c r="B1385" t="s">
        <v>19</v>
      </c>
      <c r="C1385">
        <v>61</v>
      </c>
      <c r="D1385">
        <v>2</v>
      </c>
      <c r="E1385" t="s">
        <v>84</v>
      </c>
      <c r="F1385" t="s">
        <v>85</v>
      </c>
      <c r="G1385" t="str">
        <f>"2025-12-20 22:37:29.208"</f>
        <v>2025-12-20 22:37:29.208</v>
      </c>
      <c r="H1385" t="s">
        <v>26</v>
      </c>
    </row>
    <row r="1386" spans="1:10" x14ac:dyDescent="0.25">
      <c r="A1386" s="1">
        <v>746</v>
      </c>
      <c r="B1386" t="s">
        <v>28</v>
      </c>
      <c r="C1386">
        <v>61</v>
      </c>
      <c r="D1386">
        <v>2</v>
      </c>
      <c r="E1386" t="s">
        <v>84</v>
      </c>
      <c r="F1386" t="s">
        <v>85</v>
      </c>
      <c r="G1386" t="str">
        <f>"2025-12-20 22:37:17.208"</f>
        <v>2025-12-20 22:37:17.208</v>
      </c>
      <c r="H1386" t="s">
        <v>26</v>
      </c>
      <c r="I1386">
        <v>30.27</v>
      </c>
      <c r="J1386" t="s">
        <v>29</v>
      </c>
    </row>
    <row r="1387" spans="1:10" x14ac:dyDescent="0.25">
      <c r="A1387" s="1">
        <v>747</v>
      </c>
      <c r="B1387" t="s">
        <v>19</v>
      </c>
      <c r="C1387">
        <v>630</v>
      </c>
      <c r="D1387">
        <v>5</v>
      </c>
      <c r="E1387" t="s">
        <v>20</v>
      </c>
      <c r="F1387" t="s">
        <v>83</v>
      </c>
      <c r="G1387" t="str">
        <f>"2025-12-20 12:59:56.596"</f>
        <v>2025-12-20 12:59:56.596</v>
      </c>
      <c r="H1387" t="s">
        <v>22</v>
      </c>
    </row>
    <row r="1388" spans="1:10" x14ac:dyDescent="0.25">
      <c r="A1388" s="1">
        <v>748</v>
      </c>
      <c r="B1388" t="s">
        <v>23</v>
      </c>
      <c r="C1388">
        <v>706</v>
      </c>
      <c r="D1388">
        <v>4</v>
      </c>
      <c r="E1388" t="s">
        <v>24</v>
      </c>
      <c r="F1388" t="s">
        <v>25</v>
      </c>
      <c r="G1388" t="str">
        <f>"2025-12-20 12:59:26.425"</f>
        <v>2025-12-20 12:59:26.425</v>
      </c>
      <c r="H1388" t="s">
        <v>26</v>
      </c>
      <c r="I1388">
        <v>0</v>
      </c>
      <c r="J1388" t="s">
        <v>27</v>
      </c>
    </row>
    <row r="1389" spans="1:10" x14ac:dyDescent="0.25">
      <c r="A1389" s="1">
        <v>749</v>
      </c>
      <c r="B1389" t="s">
        <v>28</v>
      </c>
      <c r="C1389">
        <v>630</v>
      </c>
      <c r="D1389">
        <v>5</v>
      </c>
      <c r="E1389" t="s">
        <v>20</v>
      </c>
      <c r="F1389" t="s">
        <v>83</v>
      </c>
      <c r="G1389" t="str">
        <f>"2025-12-20 12:18:11.095"</f>
        <v>2025-12-20 12:18:11.095</v>
      </c>
      <c r="H1389" t="s">
        <v>22</v>
      </c>
      <c r="I1389">
        <v>0</v>
      </c>
      <c r="J1389" t="s">
        <v>27</v>
      </c>
    </row>
    <row r="1390" spans="1:10" x14ac:dyDescent="0.25">
      <c r="A1390" s="1">
        <v>750</v>
      </c>
      <c r="B1390" t="s">
        <v>19</v>
      </c>
      <c r="C1390">
        <v>630</v>
      </c>
      <c r="D1390">
        <v>5</v>
      </c>
      <c r="E1390" t="s">
        <v>20</v>
      </c>
      <c r="F1390" t="s">
        <v>83</v>
      </c>
      <c r="G1390" t="str">
        <f>"2025-12-19 18:39:12.395"</f>
        <v>2025-12-19 18:39:12.395</v>
      </c>
      <c r="H1390" t="s">
        <v>22</v>
      </c>
    </row>
    <row r="1391" spans="1:10" x14ac:dyDescent="0.25">
      <c r="A1391" s="1">
        <v>751</v>
      </c>
      <c r="B1391" t="s">
        <v>23</v>
      </c>
      <c r="C1391">
        <v>706</v>
      </c>
      <c r="D1391">
        <v>4</v>
      </c>
      <c r="E1391" t="s">
        <v>24</v>
      </c>
      <c r="F1391" t="s">
        <v>25</v>
      </c>
      <c r="G1391" t="str">
        <f>"2025-12-19 18:38:42.235"</f>
        <v>2025-12-19 18:38:42.235</v>
      </c>
      <c r="H1391" t="s">
        <v>26</v>
      </c>
      <c r="I1391">
        <v>0</v>
      </c>
      <c r="J1391" t="s">
        <v>27</v>
      </c>
    </row>
    <row r="1392" spans="1:10" x14ac:dyDescent="0.25">
      <c r="A1392" s="1">
        <v>752</v>
      </c>
      <c r="B1392" t="s">
        <v>28</v>
      </c>
      <c r="C1392">
        <v>630</v>
      </c>
      <c r="D1392">
        <v>5</v>
      </c>
      <c r="E1392" t="s">
        <v>20</v>
      </c>
      <c r="F1392" t="s">
        <v>83</v>
      </c>
      <c r="G1392" t="str">
        <f>"2025-12-19 18:33:04.896"</f>
        <v>2025-12-19 18:33:04.896</v>
      </c>
      <c r="H1392" t="s">
        <v>22</v>
      </c>
      <c r="I1392">
        <v>0</v>
      </c>
      <c r="J1392" t="s">
        <v>27</v>
      </c>
    </row>
    <row r="1393" spans="1:10" x14ac:dyDescent="0.25">
      <c r="A1393" s="1">
        <v>753</v>
      </c>
      <c r="B1393" t="s">
        <v>19</v>
      </c>
      <c r="C1393">
        <v>61</v>
      </c>
      <c r="D1393">
        <v>2</v>
      </c>
      <c r="E1393" t="s">
        <v>84</v>
      </c>
      <c r="F1393" t="s">
        <v>85</v>
      </c>
      <c r="G1393" t="str">
        <f>"2025-12-19 10:24:57.408"</f>
        <v>2025-12-19 10:24:57.408</v>
      </c>
      <c r="H1393" t="s">
        <v>26</v>
      </c>
    </row>
    <row r="1394" spans="1:10" x14ac:dyDescent="0.25">
      <c r="A1394" s="1">
        <v>754</v>
      </c>
      <c r="B1394" t="s">
        <v>28</v>
      </c>
      <c r="C1394">
        <v>61</v>
      </c>
      <c r="D1394">
        <v>2</v>
      </c>
      <c r="E1394" t="s">
        <v>84</v>
      </c>
      <c r="F1394" t="s">
        <v>85</v>
      </c>
      <c r="G1394" t="str">
        <f>"2025-12-19 10:24:45.708"</f>
        <v>2025-12-19 10:24:45.708</v>
      </c>
      <c r="H1394" t="s">
        <v>26</v>
      </c>
      <c r="I1394">
        <v>29.1</v>
      </c>
      <c r="J1394" t="s">
        <v>29</v>
      </c>
    </row>
    <row r="1395" spans="1:10" x14ac:dyDescent="0.25">
      <c r="A1395" s="1">
        <v>755</v>
      </c>
      <c r="B1395" t="s">
        <v>19</v>
      </c>
      <c r="C1395">
        <v>61</v>
      </c>
      <c r="D1395">
        <v>2</v>
      </c>
      <c r="E1395" t="s">
        <v>84</v>
      </c>
      <c r="F1395" t="s">
        <v>85</v>
      </c>
      <c r="G1395" t="str">
        <f>"2025-12-19 09:51:00.008"</f>
        <v>2025-12-19 09:51:00.008</v>
      </c>
      <c r="H1395" t="s">
        <v>26</v>
      </c>
    </row>
    <row r="1396" spans="1:10" x14ac:dyDescent="0.25">
      <c r="A1396" s="1">
        <v>756</v>
      </c>
      <c r="B1396" t="s">
        <v>28</v>
      </c>
      <c r="C1396">
        <v>61</v>
      </c>
      <c r="D1396">
        <v>2</v>
      </c>
      <c r="E1396" t="s">
        <v>84</v>
      </c>
      <c r="F1396" t="s">
        <v>85</v>
      </c>
      <c r="G1396" t="str">
        <f>"2025-12-19 09:50:48.308"</f>
        <v>2025-12-19 09:50:48.308</v>
      </c>
      <c r="H1396" t="s">
        <v>26</v>
      </c>
      <c r="I1396">
        <v>30.05</v>
      </c>
      <c r="J1396" t="s">
        <v>29</v>
      </c>
    </row>
    <row r="1397" spans="1:10" x14ac:dyDescent="0.25">
      <c r="A1397" s="1">
        <v>757</v>
      </c>
      <c r="B1397" t="s">
        <v>19</v>
      </c>
      <c r="C1397">
        <v>61</v>
      </c>
      <c r="D1397">
        <v>2</v>
      </c>
      <c r="E1397" t="s">
        <v>84</v>
      </c>
      <c r="F1397" t="s">
        <v>85</v>
      </c>
      <c r="G1397" t="str">
        <f>"2025-12-19 09:08:57.108"</f>
        <v>2025-12-19 09:08:57.108</v>
      </c>
      <c r="H1397" t="s">
        <v>26</v>
      </c>
    </row>
    <row r="1398" spans="1:10" x14ac:dyDescent="0.25">
      <c r="A1398" s="1">
        <v>758</v>
      </c>
      <c r="B1398" t="s">
        <v>28</v>
      </c>
      <c r="C1398">
        <v>61</v>
      </c>
      <c r="D1398">
        <v>2</v>
      </c>
      <c r="E1398" t="s">
        <v>84</v>
      </c>
      <c r="F1398" t="s">
        <v>85</v>
      </c>
      <c r="G1398" t="str">
        <f>"2025-12-19 09:08:45.208"</f>
        <v>2025-12-19 09:08:45.208</v>
      </c>
      <c r="H1398" t="s">
        <v>26</v>
      </c>
      <c r="I1398">
        <v>29.94</v>
      </c>
      <c r="J1398" t="s">
        <v>29</v>
      </c>
    </row>
    <row r="1399" spans="1:10" x14ac:dyDescent="0.25">
      <c r="A1399" s="1">
        <v>759</v>
      </c>
      <c r="B1399" t="s">
        <v>23</v>
      </c>
      <c r="C1399">
        <v>706</v>
      </c>
      <c r="D1399">
        <v>4</v>
      </c>
      <c r="E1399" t="s">
        <v>24</v>
      </c>
      <c r="F1399" t="s">
        <v>25</v>
      </c>
      <c r="G1399" t="str">
        <f>"2025-12-18 23:00:35.055"</f>
        <v>2025-12-18 23:00:35.055</v>
      </c>
      <c r="H1399" t="s">
        <v>26</v>
      </c>
      <c r="I1399">
        <v>8.9499999999999993</v>
      </c>
      <c r="J1399" t="s">
        <v>42</v>
      </c>
    </row>
    <row r="1400" spans="1:10" x14ac:dyDescent="0.25">
      <c r="A1400" s="1">
        <v>760</v>
      </c>
      <c r="B1400" t="s">
        <v>23</v>
      </c>
      <c r="C1400">
        <v>706</v>
      </c>
      <c r="D1400">
        <v>4</v>
      </c>
      <c r="E1400" t="s">
        <v>24</v>
      </c>
      <c r="F1400" t="s">
        <v>25</v>
      </c>
      <c r="G1400" t="str">
        <f>"2025-12-18 22:56:55.425"</f>
        <v>2025-12-18 22:56:55.425</v>
      </c>
      <c r="H1400" t="s">
        <v>26</v>
      </c>
      <c r="I1400">
        <v>0</v>
      </c>
      <c r="J1400" t="s">
        <v>31</v>
      </c>
    </row>
    <row r="1401" spans="1:10" x14ac:dyDescent="0.25">
      <c r="A1401" s="1">
        <v>761</v>
      </c>
      <c r="B1401" t="s">
        <v>23</v>
      </c>
      <c r="C1401">
        <v>700</v>
      </c>
      <c r="D1401">
        <v>0</v>
      </c>
      <c r="E1401" t="s">
        <v>37</v>
      </c>
      <c r="F1401" t="s">
        <v>37</v>
      </c>
      <c r="G1401" t="str">
        <f>"2025-12-18 22:48:04.235"</f>
        <v>2025-12-18 22:48:04.235</v>
      </c>
      <c r="H1401" t="s">
        <v>26</v>
      </c>
    </row>
    <row r="1402" spans="1:10" x14ac:dyDescent="0.25">
      <c r="A1402" s="1">
        <v>762</v>
      </c>
      <c r="B1402" t="s">
        <v>30</v>
      </c>
      <c r="C1402">
        <v>116</v>
      </c>
      <c r="D1402">
        <v>5</v>
      </c>
      <c r="E1402" t="s">
        <v>91</v>
      </c>
      <c r="F1402" t="s">
        <v>92</v>
      </c>
      <c r="G1402" t="str">
        <f>"2025-12-18 22:29:15.078"</f>
        <v>2025-12-18 22:29:15.078</v>
      </c>
      <c r="H1402" t="s">
        <v>53</v>
      </c>
    </row>
    <row r="1403" spans="1:10" x14ac:dyDescent="0.25">
      <c r="A1403" s="1">
        <v>763</v>
      </c>
      <c r="B1403" t="s">
        <v>28</v>
      </c>
      <c r="C1403">
        <v>116</v>
      </c>
      <c r="D1403">
        <v>5</v>
      </c>
      <c r="E1403" t="s">
        <v>91</v>
      </c>
      <c r="F1403" t="s">
        <v>92</v>
      </c>
      <c r="G1403" t="str">
        <f>"2025-12-18 22:29:12.301"</f>
        <v>2025-12-18 22:29:12.301</v>
      </c>
      <c r="H1403" t="s">
        <v>53</v>
      </c>
      <c r="I1403">
        <v>0</v>
      </c>
      <c r="J1403" t="s">
        <v>31</v>
      </c>
    </row>
    <row r="1404" spans="1:10" x14ac:dyDescent="0.25">
      <c r="A1404" s="1">
        <v>764</v>
      </c>
      <c r="B1404" t="s">
        <v>30</v>
      </c>
      <c r="C1404">
        <v>116</v>
      </c>
      <c r="D1404">
        <v>5</v>
      </c>
      <c r="E1404" t="s">
        <v>91</v>
      </c>
      <c r="F1404" t="s">
        <v>92</v>
      </c>
      <c r="G1404" t="str">
        <f>"2025-12-18 22:29:02.578"</f>
        <v>2025-12-18 22:29:02.578</v>
      </c>
      <c r="H1404" t="s">
        <v>53</v>
      </c>
    </row>
    <row r="1405" spans="1:10" x14ac:dyDescent="0.25">
      <c r="A1405" s="1">
        <v>765</v>
      </c>
      <c r="B1405" t="s">
        <v>28</v>
      </c>
      <c r="C1405">
        <v>116</v>
      </c>
      <c r="D1405">
        <v>5</v>
      </c>
      <c r="E1405" t="s">
        <v>91</v>
      </c>
      <c r="F1405" t="s">
        <v>92</v>
      </c>
      <c r="G1405" t="str">
        <f>"2025-12-18 22:29:00.061"</f>
        <v>2025-12-18 22:29:00.061</v>
      </c>
      <c r="H1405" t="s">
        <v>53</v>
      </c>
      <c r="I1405">
        <v>0</v>
      </c>
      <c r="J1405" t="s">
        <v>31</v>
      </c>
    </row>
    <row r="1406" spans="1:10" x14ac:dyDescent="0.25">
      <c r="A1406" s="1">
        <v>766</v>
      </c>
      <c r="B1406" t="s">
        <v>30</v>
      </c>
      <c r="C1406">
        <v>116</v>
      </c>
      <c r="D1406">
        <v>5</v>
      </c>
      <c r="E1406" t="s">
        <v>91</v>
      </c>
      <c r="F1406" t="s">
        <v>92</v>
      </c>
      <c r="G1406" t="str">
        <f>"2025-12-18 22:25:51.577"</f>
        <v>2025-12-18 22:25:51.577</v>
      </c>
      <c r="H1406" t="s">
        <v>53</v>
      </c>
    </row>
    <row r="1407" spans="1:10" x14ac:dyDescent="0.25">
      <c r="A1407" s="1">
        <v>767</v>
      </c>
      <c r="B1407" t="s">
        <v>28</v>
      </c>
      <c r="C1407">
        <v>116</v>
      </c>
      <c r="D1407">
        <v>5</v>
      </c>
      <c r="E1407" t="s">
        <v>91</v>
      </c>
      <c r="F1407" t="s">
        <v>92</v>
      </c>
      <c r="G1407" t="str">
        <f>"2025-12-18 22:25:48.980"</f>
        <v>2025-12-18 22:25:48.980</v>
      </c>
      <c r="H1407" t="s">
        <v>53</v>
      </c>
      <c r="I1407">
        <v>0</v>
      </c>
      <c r="J1407" t="s">
        <v>31</v>
      </c>
    </row>
    <row r="1408" spans="1:10" x14ac:dyDescent="0.25">
      <c r="A1408" s="1">
        <v>768</v>
      </c>
      <c r="B1408" t="s">
        <v>30</v>
      </c>
      <c r="C1408">
        <v>116</v>
      </c>
      <c r="D1408">
        <v>5</v>
      </c>
      <c r="E1408" t="s">
        <v>91</v>
      </c>
      <c r="F1408" t="s">
        <v>92</v>
      </c>
      <c r="G1408" t="str">
        <f>"2025-12-18 22:20:32.078"</f>
        <v>2025-12-18 22:20:32.078</v>
      </c>
      <c r="H1408" t="s">
        <v>53</v>
      </c>
    </row>
    <row r="1409" spans="1:10" x14ac:dyDescent="0.25">
      <c r="A1409" s="1">
        <v>769</v>
      </c>
      <c r="B1409" t="s">
        <v>28</v>
      </c>
      <c r="C1409">
        <v>116</v>
      </c>
      <c r="D1409">
        <v>5</v>
      </c>
      <c r="E1409" t="s">
        <v>91</v>
      </c>
      <c r="F1409" t="s">
        <v>92</v>
      </c>
      <c r="G1409" t="str">
        <f>"2025-12-18 22:20:29.161"</f>
        <v>2025-12-18 22:20:29.161</v>
      </c>
      <c r="H1409" t="s">
        <v>53</v>
      </c>
      <c r="I1409">
        <v>0</v>
      </c>
      <c r="J1409" t="s">
        <v>31</v>
      </c>
    </row>
    <row r="1410" spans="1:10" x14ac:dyDescent="0.25">
      <c r="A1410" s="1">
        <v>770</v>
      </c>
      <c r="B1410" t="s">
        <v>30</v>
      </c>
      <c r="C1410">
        <v>116</v>
      </c>
      <c r="D1410">
        <v>5</v>
      </c>
      <c r="E1410" t="s">
        <v>91</v>
      </c>
      <c r="F1410" t="s">
        <v>92</v>
      </c>
      <c r="G1410" t="str">
        <f>"2025-12-18 22:20:22.078"</f>
        <v>2025-12-18 22:20:22.078</v>
      </c>
      <c r="H1410" t="s">
        <v>53</v>
      </c>
    </row>
    <row r="1411" spans="1:10" x14ac:dyDescent="0.25">
      <c r="A1411" s="1">
        <v>771</v>
      </c>
      <c r="B1411" t="s">
        <v>28</v>
      </c>
      <c r="C1411">
        <v>116</v>
      </c>
      <c r="D1411">
        <v>5</v>
      </c>
      <c r="E1411" t="s">
        <v>91</v>
      </c>
      <c r="F1411" t="s">
        <v>92</v>
      </c>
      <c r="G1411" t="str">
        <f>"2025-12-18 22:20:19.161"</f>
        <v>2025-12-18 22:20:19.161</v>
      </c>
      <c r="H1411" t="s">
        <v>53</v>
      </c>
      <c r="I1411">
        <v>0</v>
      </c>
      <c r="J1411" t="s">
        <v>31</v>
      </c>
    </row>
    <row r="1412" spans="1:10" x14ac:dyDescent="0.25">
      <c r="A1412" s="1">
        <v>772</v>
      </c>
      <c r="B1412" t="s">
        <v>30</v>
      </c>
      <c r="C1412">
        <v>116</v>
      </c>
      <c r="D1412">
        <v>5</v>
      </c>
      <c r="E1412" t="s">
        <v>91</v>
      </c>
      <c r="F1412" t="s">
        <v>92</v>
      </c>
      <c r="G1412" t="str">
        <f>"2025-12-18 22:20:12.078"</f>
        <v>2025-12-18 22:20:12.078</v>
      </c>
      <c r="H1412" t="s">
        <v>53</v>
      </c>
    </row>
    <row r="1413" spans="1:10" x14ac:dyDescent="0.25">
      <c r="A1413" s="1">
        <v>773</v>
      </c>
      <c r="B1413" t="s">
        <v>28</v>
      </c>
      <c r="C1413">
        <v>116</v>
      </c>
      <c r="D1413">
        <v>5</v>
      </c>
      <c r="E1413" t="s">
        <v>91</v>
      </c>
      <c r="F1413" t="s">
        <v>92</v>
      </c>
      <c r="G1413" t="str">
        <f>"2025-12-18 22:20:09.141"</f>
        <v>2025-12-18 22:20:09.141</v>
      </c>
      <c r="H1413" t="s">
        <v>53</v>
      </c>
      <c r="I1413">
        <v>0</v>
      </c>
      <c r="J1413" t="s">
        <v>31</v>
      </c>
    </row>
    <row r="1414" spans="1:10" x14ac:dyDescent="0.25">
      <c r="A1414" s="1">
        <v>774</v>
      </c>
      <c r="B1414" t="s">
        <v>30</v>
      </c>
      <c r="C1414">
        <v>116</v>
      </c>
      <c r="D1414">
        <v>5</v>
      </c>
      <c r="E1414" t="s">
        <v>91</v>
      </c>
      <c r="F1414" t="s">
        <v>92</v>
      </c>
      <c r="G1414" t="str">
        <f>"2025-12-18 22:20:02.078"</f>
        <v>2025-12-18 22:20:02.078</v>
      </c>
      <c r="H1414" t="s">
        <v>53</v>
      </c>
    </row>
    <row r="1415" spans="1:10" x14ac:dyDescent="0.25">
      <c r="A1415" s="1">
        <v>775</v>
      </c>
      <c r="B1415" t="s">
        <v>28</v>
      </c>
      <c r="C1415">
        <v>116</v>
      </c>
      <c r="D1415">
        <v>5</v>
      </c>
      <c r="E1415" t="s">
        <v>91</v>
      </c>
      <c r="F1415" t="s">
        <v>92</v>
      </c>
      <c r="G1415" t="str">
        <f>"2025-12-18 22:19:59.141"</f>
        <v>2025-12-18 22:19:59.141</v>
      </c>
      <c r="H1415" t="s">
        <v>53</v>
      </c>
      <c r="I1415">
        <v>0</v>
      </c>
      <c r="J1415" t="s">
        <v>31</v>
      </c>
    </row>
    <row r="1416" spans="1:10" x14ac:dyDescent="0.25">
      <c r="A1416" s="1">
        <v>776</v>
      </c>
      <c r="B1416" t="s">
        <v>30</v>
      </c>
      <c r="C1416">
        <v>116</v>
      </c>
      <c r="D1416">
        <v>5</v>
      </c>
      <c r="E1416" t="s">
        <v>91</v>
      </c>
      <c r="F1416" t="s">
        <v>92</v>
      </c>
      <c r="G1416" t="str">
        <f>"2025-12-18 22:19:52.078"</f>
        <v>2025-12-18 22:19:52.078</v>
      </c>
      <c r="H1416" t="s">
        <v>53</v>
      </c>
    </row>
    <row r="1417" spans="1:10" x14ac:dyDescent="0.25">
      <c r="A1417" s="1">
        <v>777</v>
      </c>
      <c r="B1417" t="s">
        <v>28</v>
      </c>
      <c r="C1417">
        <v>116</v>
      </c>
      <c r="D1417">
        <v>5</v>
      </c>
      <c r="E1417" t="s">
        <v>91</v>
      </c>
      <c r="F1417" t="s">
        <v>92</v>
      </c>
      <c r="G1417" t="str">
        <f>"2025-12-18 22:19:49.121"</f>
        <v>2025-12-18 22:19:49.121</v>
      </c>
      <c r="H1417" t="s">
        <v>53</v>
      </c>
      <c r="I1417">
        <v>0</v>
      </c>
      <c r="J1417" t="s">
        <v>42</v>
      </c>
    </row>
    <row r="1418" spans="1:10" x14ac:dyDescent="0.25">
      <c r="A1418" s="1">
        <v>778</v>
      </c>
      <c r="B1418" t="s">
        <v>30</v>
      </c>
      <c r="C1418">
        <v>116</v>
      </c>
      <c r="D1418">
        <v>5</v>
      </c>
      <c r="E1418" t="s">
        <v>91</v>
      </c>
      <c r="F1418" t="s">
        <v>92</v>
      </c>
      <c r="G1418" t="str">
        <f>"2025-12-18 22:19:20.578"</f>
        <v>2025-12-18 22:19:20.578</v>
      </c>
      <c r="H1418" t="s">
        <v>53</v>
      </c>
    </row>
    <row r="1419" spans="1:10" x14ac:dyDescent="0.25">
      <c r="A1419" s="1">
        <v>779</v>
      </c>
      <c r="B1419" t="s">
        <v>28</v>
      </c>
      <c r="C1419">
        <v>116</v>
      </c>
      <c r="D1419">
        <v>5</v>
      </c>
      <c r="E1419" t="s">
        <v>91</v>
      </c>
      <c r="F1419" t="s">
        <v>92</v>
      </c>
      <c r="G1419" t="str">
        <f>"2025-12-18 22:19:17.801"</f>
        <v>2025-12-18 22:19:17.801</v>
      </c>
      <c r="H1419" t="s">
        <v>53</v>
      </c>
      <c r="I1419">
        <v>-0.04</v>
      </c>
      <c r="J1419" t="s">
        <v>42</v>
      </c>
    </row>
    <row r="1420" spans="1:10" x14ac:dyDescent="0.25">
      <c r="A1420" s="1">
        <v>780</v>
      </c>
      <c r="B1420" t="s">
        <v>30</v>
      </c>
      <c r="C1420">
        <v>116</v>
      </c>
      <c r="D1420">
        <v>5</v>
      </c>
      <c r="E1420" t="s">
        <v>91</v>
      </c>
      <c r="F1420" t="s">
        <v>92</v>
      </c>
      <c r="G1420" t="str">
        <f>"2025-12-18 22:19:10.578"</f>
        <v>2025-12-18 22:19:10.578</v>
      </c>
      <c r="H1420" t="s">
        <v>53</v>
      </c>
    </row>
    <row r="1421" spans="1:10" x14ac:dyDescent="0.25">
      <c r="A1421" s="1">
        <v>781</v>
      </c>
      <c r="B1421" t="s">
        <v>28</v>
      </c>
      <c r="C1421">
        <v>116</v>
      </c>
      <c r="D1421">
        <v>5</v>
      </c>
      <c r="E1421" t="s">
        <v>91</v>
      </c>
      <c r="F1421" t="s">
        <v>92</v>
      </c>
      <c r="G1421" t="str">
        <f>"2025-12-18 22:19:07.801"</f>
        <v>2025-12-18 22:19:07.801</v>
      </c>
      <c r="H1421" t="s">
        <v>53</v>
      </c>
      <c r="I1421">
        <v>-0.02</v>
      </c>
      <c r="J1421" t="s">
        <v>42</v>
      </c>
    </row>
    <row r="1422" spans="1:10" x14ac:dyDescent="0.25">
      <c r="A1422" s="1">
        <v>782</v>
      </c>
      <c r="B1422" t="s">
        <v>30</v>
      </c>
      <c r="C1422">
        <v>116</v>
      </c>
      <c r="D1422">
        <v>5</v>
      </c>
      <c r="E1422" t="s">
        <v>91</v>
      </c>
      <c r="F1422" t="s">
        <v>92</v>
      </c>
      <c r="G1422" t="str">
        <f>"2025-12-18 22:19:00.078"</f>
        <v>2025-12-18 22:19:00.078</v>
      </c>
      <c r="H1422" t="s">
        <v>53</v>
      </c>
    </row>
    <row r="1423" spans="1:10" x14ac:dyDescent="0.25">
      <c r="A1423" s="1">
        <v>783</v>
      </c>
      <c r="B1423" t="s">
        <v>28</v>
      </c>
      <c r="C1423">
        <v>116</v>
      </c>
      <c r="D1423">
        <v>5</v>
      </c>
      <c r="E1423" t="s">
        <v>91</v>
      </c>
      <c r="F1423" t="s">
        <v>92</v>
      </c>
      <c r="G1423" t="str">
        <f>"2025-12-18 22:18:57.561"</f>
        <v>2025-12-18 22:18:57.561</v>
      </c>
      <c r="H1423" t="s">
        <v>53</v>
      </c>
      <c r="I1423">
        <v>2.11</v>
      </c>
      <c r="J1423" t="s">
        <v>42</v>
      </c>
    </row>
    <row r="1424" spans="1:10" x14ac:dyDescent="0.25">
      <c r="A1424" s="1">
        <v>784</v>
      </c>
      <c r="B1424" t="s">
        <v>30</v>
      </c>
      <c r="C1424">
        <v>116</v>
      </c>
      <c r="D1424">
        <v>5</v>
      </c>
      <c r="E1424" t="s">
        <v>91</v>
      </c>
      <c r="F1424" t="s">
        <v>92</v>
      </c>
      <c r="G1424" t="str">
        <f>"2025-12-18 22:18:50.578"</f>
        <v>2025-12-18 22:18:50.578</v>
      </c>
      <c r="H1424" t="s">
        <v>53</v>
      </c>
    </row>
    <row r="1425" spans="1:10" x14ac:dyDescent="0.25">
      <c r="A1425" s="1">
        <v>785</v>
      </c>
      <c r="B1425" t="s">
        <v>28</v>
      </c>
      <c r="C1425">
        <v>116</v>
      </c>
      <c r="D1425">
        <v>5</v>
      </c>
      <c r="E1425" t="s">
        <v>91</v>
      </c>
      <c r="F1425" t="s">
        <v>92</v>
      </c>
      <c r="G1425" t="str">
        <f>"2025-12-18 22:18:47.421"</f>
        <v>2025-12-18 22:18:47.421</v>
      </c>
      <c r="H1425" t="s">
        <v>53</v>
      </c>
      <c r="I1425">
        <v>6.13</v>
      </c>
      <c r="J1425" t="s">
        <v>42</v>
      </c>
    </row>
    <row r="1426" spans="1:10" x14ac:dyDescent="0.25">
      <c r="A1426" s="1">
        <v>786</v>
      </c>
      <c r="B1426" t="s">
        <v>30</v>
      </c>
      <c r="C1426">
        <v>116</v>
      </c>
      <c r="D1426">
        <v>5</v>
      </c>
      <c r="E1426" t="s">
        <v>91</v>
      </c>
      <c r="F1426" t="s">
        <v>92</v>
      </c>
      <c r="G1426" t="str">
        <f>"2025-12-18 22:18:40.378"</f>
        <v>2025-12-18 22:18:40.378</v>
      </c>
      <c r="H1426" t="s">
        <v>53</v>
      </c>
    </row>
    <row r="1427" spans="1:10" x14ac:dyDescent="0.25">
      <c r="A1427" s="1">
        <v>787</v>
      </c>
      <c r="B1427" t="s">
        <v>28</v>
      </c>
      <c r="C1427">
        <v>116</v>
      </c>
      <c r="D1427">
        <v>5</v>
      </c>
      <c r="E1427" t="s">
        <v>91</v>
      </c>
      <c r="F1427" t="s">
        <v>92</v>
      </c>
      <c r="G1427" t="str">
        <f>"2025-12-18 22:18:37.381"</f>
        <v>2025-12-18 22:18:37.381</v>
      </c>
      <c r="H1427" t="s">
        <v>53</v>
      </c>
      <c r="I1427">
        <v>8.5500000000000007</v>
      </c>
      <c r="J1427" t="s">
        <v>42</v>
      </c>
    </row>
    <row r="1428" spans="1:10" x14ac:dyDescent="0.25">
      <c r="A1428" s="1">
        <v>788</v>
      </c>
      <c r="B1428" t="s">
        <v>30</v>
      </c>
      <c r="C1428">
        <v>116</v>
      </c>
      <c r="D1428">
        <v>5</v>
      </c>
      <c r="E1428" t="s">
        <v>91</v>
      </c>
      <c r="F1428" t="s">
        <v>92</v>
      </c>
      <c r="G1428" t="str">
        <f>"2025-12-18 22:18:30.178"</f>
        <v>2025-12-18 22:18:30.178</v>
      </c>
      <c r="H1428" t="s">
        <v>53</v>
      </c>
    </row>
    <row r="1429" spans="1:10" x14ac:dyDescent="0.25">
      <c r="A1429" s="1">
        <v>789</v>
      </c>
      <c r="B1429" t="s">
        <v>28</v>
      </c>
      <c r="C1429">
        <v>116</v>
      </c>
      <c r="D1429">
        <v>5</v>
      </c>
      <c r="E1429" t="s">
        <v>91</v>
      </c>
      <c r="F1429" t="s">
        <v>92</v>
      </c>
      <c r="G1429" t="str">
        <f>"2025-12-18 22:18:27.261"</f>
        <v>2025-12-18 22:18:27.261</v>
      </c>
      <c r="H1429" t="s">
        <v>53</v>
      </c>
      <c r="I1429">
        <v>10.81</v>
      </c>
      <c r="J1429" t="s">
        <v>42</v>
      </c>
    </row>
    <row r="1430" spans="1:10" x14ac:dyDescent="0.25">
      <c r="A1430" s="1">
        <v>790</v>
      </c>
      <c r="B1430" t="s">
        <v>48</v>
      </c>
      <c r="C1430">
        <v>119</v>
      </c>
      <c r="D1430">
        <v>1</v>
      </c>
      <c r="E1430" t="s">
        <v>93</v>
      </c>
      <c r="F1430" t="s">
        <v>94</v>
      </c>
      <c r="G1430" t="str">
        <f>"2025-12-18 21:54:23.077"</f>
        <v>2025-12-18 21:54:23.077</v>
      </c>
      <c r="H1430" t="s">
        <v>53</v>
      </c>
    </row>
    <row r="1431" spans="1:10" x14ac:dyDescent="0.25">
      <c r="A1431" s="1">
        <v>791</v>
      </c>
      <c r="B1431" t="s">
        <v>48</v>
      </c>
      <c r="C1431">
        <v>120</v>
      </c>
      <c r="D1431">
        <v>6</v>
      </c>
      <c r="E1431" t="s">
        <v>95</v>
      </c>
      <c r="F1431" t="s">
        <v>96</v>
      </c>
      <c r="G1431" t="str">
        <f>"2025-12-18 21:54:18.877"</f>
        <v>2025-12-18 21:54:18.877</v>
      </c>
      <c r="H1431" t="s">
        <v>26</v>
      </c>
    </row>
    <row r="1432" spans="1:10" x14ac:dyDescent="0.25">
      <c r="A1432" s="1">
        <v>792</v>
      </c>
      <c r="B1432" t="s">
        <v>28</v>
      </c>
      <c r="C1432">
        <v>119</v>
      </c>
      <c r="D1432">
        <v>1</v>
      </c>
      <c r="E1432" t="s">
        <v>93</v>
      </c>
      <c r="F1432" t="s">
        <v>94</v>
      </c>
      <c r="G1432" t="str">
        <f>"2025-12-18 21:54:18.021"</f>
        <v>2025-12-18 21:54:18.021</v>
      </c>
      <c r="H1432" t="s">
        <v>53</v>
      </c>
      <c r="I1432">
        <v>18.440000000000001</v>
      </c>
      <c r="J1432" t="s">
        <v>29</v>
      </c>
    </row>
    <row r="1433" spans="1:10" x14ac:dyDescent="0.25">
      <c r="A1433" s="1">
        <v>793</v>
      </c>
      <c r="B1433" t="s">
        <v>48</v>
      </c>
      <c r="C1433">
        <v>119</v>
      </c>
      <c r="D1433">
        <v>4</v>
      </c>
      <c r="E1433" t="s">
        <v>93</v>
      </c>
      <c r="F1433" t="s">
        <v>97</v>
      </c>
      <c r="G1433" t="str">
        <f>"2025-12-18 21:54:17.778"</f>
        <v>2025-12-18 21:54:17.778</v>
      </c>
      <c r="H1433" t="s">
        <v>53</v>
      </c>
    </row>
    <row r="1434" spans="1:10" x14ac:dyDescent="0.25">
      <c r="A1434" s="1">
        <v>794</v>
      </c>
      <c r="B1434" t="s">
        <v>28</v>
      </c>
      <c r="C1434">
        <v>120</v>
      </c>
      <c r="D1434">
        <v>6</v>
      </c>
      <c r="E1434" t="s">
        <v>95</v>
      </c>
      <c r="F1434" t="s">
        <v>96</v>
      </c>
      <c r="G1434" t="str">
        <f>"2025-12-18 21:54:13.861"</f>
        <v>2025-12-18 21:54:13.861</v>
      </c>
      <c r="H1434" t="s">
        <v>26</v>
      </c>
      <c r="I1434">
        <v>16.72</v>
      </c>
      <c r="J1434" t="s">
        <v>29</v>
      </c>
    </row>
    <row r="1435" spans="1:10" x14ac:dyDescent="0.25">
      <c r="A1435" s="1">
        <v>795</v>
      </c>
      <c r="B1435" t="s">
        <v>28</v>
      </c>
      <c r="C1435">
        <v>119</v>
      </c>
      <c r="D1435">
        <v>4</v>
      </c>
      <c r="E1435" t="s">
        <v>93</v>
      </c>
      <c r="F1435" t="s">
        <v>97</v>
      </c>
      <c r="G1435" t="str">
        <f>"2025-12-18 21:54:12.701"</f>
        <v>2025-12-18 21:54:12.701</v>
      </c>
      <c r="H1435" t="s">
        <v>53</v>
      </c>
      <c r="I1435">
        <v>16.62</v>
      </c>
      <c r="J1435" t="s">
        <v>29</v>
      </c>
    </row>
    <row r="1436" spans="1:10" x14ac:dyDescent="0.25">
      <c r="A1436" s="1">
        <v>796</v>
      </c>
      <c r="B1436" t="s">
        <v>23</v>
      </c>
      <c r="C1436">
        <v>706</v>
      </c>
      <c r="D1436">
        <v>2</v>
      </c>
      <c r="E1436" t="s">
        <v>24</v>
      </c>
      <c r="F1436" t="s">
        <v>39</v>
      </c>
      <c r="G1436" t="str">
        <f>"2025-12-18 21:37:22.174"</f>
        <v>2025-12-18 21:37:22.174</v>
      </c>
      <c r="H1436" t="s">
        <v>26</v>
      </c>
      <c r="I1436">
        <v>0</v>
      </c>
      <c r="J1436" t="s">
        <v>27</v>
      </c>
    </row>
    <row r="1437" spans="1:10" x14ac:dyDescent="0.25">
      <c r="A1437" s="1">
        <v>797</v>
      </c>
      <c r="B1437" t="s">
        <v>19</v>
      </c>
      <c r="C1437">
        <v>49</v>
      </c>
      <c r="D1437">
        <v>1</v>
      </c>
      <c r="E1437" t="s">
        <v>34</v>
      </c>
      <c r="F1437" t="s">
        <v>35</v>
      </c>
      <c r="G1437" t="str">
        <f>"2025-12-18 21:36:31.999"</f>
        <v>2025-12-18 21:36:31.999</v>
      </c>
      <c r="H1437" t="s">
        <v>36</v>
      </c>
    </row>
    <row r="1438" spans="1:10" x14ac:dyDescent="0.25">
      <c r="A1438" s="1">
        <v>798</v>
      </c>
      <c r="B1438" t="s">
        <v>23</v>
      </c>
      <c r="C1438">
        <v>700</v>
      </c>
      <c r="D1438">
        <v>0</v>
      </c>
      <c r="E1438" t="s">
        <v>37</v>
      </c>
      <c r="F1438" t="s">
        <v>37</v>
      </c>
      <c r="G1438" t="str">
        <f>"2025-12-18 21:36:02.214"</f>
        <v>2025-12-18 21:36:02.214</v>
      </c>
      <c r="H1438" t="s">
        <v>26</v>
      </c>
      <c r="I1438">
        <v>0</v>
      </c>
      <c r="J1438" t="s">
        <v>43</v>
      </c>
    </row>
    <row r="1439" spans="1:10" x14ac:dyDescent="0.25">
      <c r="A1439" s="1">
        <v>799</v>
      </c>
      <c r="B1439" t="s">
        <v>23</v>
      </c>
      <c r="C1439">
        <v>700</v>
      </c>
      <c r="D1439">
        <v>0</v>
      </c>
      <c r="E1439" t="s">
        <v>37</v>
      </c>
      <c r="F1439" t="s">
        <v>37</v>
      </c>
      <c r="G1439" t="str">
        <f>"2025-12-18 21:34:20.215"</f>
        <v>2025-12-18 21:34:20.215</v>
      </c>
      <c r="H1439" t="s">
        <v>26</v>
      </c>
    </row>
    <row r="1440" spans="1:10" x14ac:dyDescent="0.25">
      <c r="A1440" s="1">
        <v>800</v>
      </c>
      <c r="B1440" t="s">
        <v>23</v>
      </c>
      <c r="C1440">
        <v>700</v>
      </c>
      <c r="D1440">
        <v>0</v>
      </c>
      <c r="E1440" t="s">
        <v>37</v>
      </c>
      <c r="F1440" t="s">
        <v>37</v>
      </c>
      <c r="G1440" t="str">
        <f>"2025-12-18 21:27:04.221"</f>
        <v>2025-12-18 21:27:04.221</v>
      </c>
      <c r="H1440" t="s">
        <v>26</v>
      </c>
      <c r="I1440">
        <v>0</v>
      </c>
      <c r="J1440" t="s">
        <v>43</v>
      </c>
    </row>
    <row r="1441" spans="1:10" x14ac:dyDescent="0.25">
      <c r="A1441" s="1">
        <v>801</v>
      </c>
      <c r="B1441" t="s">
        <v>23</v>
      </c>
      <c r="C1441">
        <v>706</v>
      </c>
      <c r="D1441">
        <v>3</v>
      </c>
      <c r="E1441" t="s">
        <v>24</v>
      </c>
      <c r="F1441" t="s">
        <v>68</v>
      </c>
      <c r="G1441" t="str">
        <f>"2025-12-18 21:22:13.850"</f>
        <v>2025-12-18 21:22:13.850</v>
      </c>
      <c r="H1441" t="s">
        <v>26</v>
      </c>
      <c r="I1441">
        <v>0</v>
      </c>
      <c r="J1441" t="s">
        <v>27</v>
      </c>
    </row>
    <row r="1442" spans="1:10" x14ac:dyDescent="0.25">
      <c r="A1442" s="1">
        <v>802</v>
      </c>
      <c r="B1442" t="s">
        <v>23</v>
      </c>
      <c r="C1442">
        <v>700</v>
      </c>
      <c r="D1442">
        <v>0</v>
      </c>
      <c r="E1442" t="s">
        <v>37</v>
      </c>
      <c r="F1442" t="s">
        <v>37</v>
      </c>
      <c r="G1442" t="str">
        <f>"2025-12-18 21:20:36.210"</f>
        <v>2025-12-18 21:20:36.210</v>
      </c>
      <c r="H1442" t="s">
        <v>26</v>
      </c>
    </row>
    <row r="1443" spans="1:10" x14ac:dyDescent="0.25">
      <c r="A1443" s="1">
        <v>803</v>
      </c>
      <c r="B1443" t="s">
        <v>23</v>
      </c>
      <c r="C1443">
        <v>706</v>
      </c>
      <c r="D1443">
        <v>3</v>
      </c>
      <c r="E1443" t="s">
        <v>24</v>
      </c>
      <c r="F1443" t="s">
        <v>68</v>
      </c>
      <c r="G1443" t="str">
        <f>"2025-12-18 21:17:44.966"</f>
        <v>2025-12-18 21:17:44.966</v>
      </c>
      <c r="H1443" t="s">
        <v>26</v>
      </c>
      <c r="I1443">
        <v>0</v>
      </c>
      <c r="J1443" t="s">
        <v>27</v>
      </c>
    </row>
    <row r="1444" spans="1:10" x14ac:dyDescent="0.25">
      <c r="A1444" s="1">
        <v>804</v>
      </c>
      <c r="B1444" t="s">
        <v>23</v>
      </c>
      <c r="C1444">
        <v>700</v>
      </c>
      <c r="D1444">
        <v>0</v>
      </c>
      <c r="E1444" t="s">
        <v>37</v>
      </c>
      <c r="F1444" t="s">
        <v>37</v>
      </c>
      <c r="G1444" t="str">
        <f>"2025-12-18 21:16:46.216"</f>
        <v>2025-12-18 21:16:46.216</v>
      </c>
      <c r="H1444" t="s">
        <v>26</v>
      </c>
    </row>
    <row r="1445" spans="1:10" x14ac:dyDescent="0.25">
      <c r="A1445" s="1">
        <v>805</v>
      </c>
      <c r="B1445" t="s">
        <v>38</v>
      </c>
      <c r="C1445">
        <v>49</v>
      </c>
      <c r="D1445">
        <v>1</v>
      </c>
      <c r="E1445" t="s">
        <v>34</v>
      </c>
      <c r="F1445" t="s">
        <v>35</v>
      </c>
      <c r="G1445" t="str">
        <f>"2025-12-18 21:15:33.063"</f>
        <v>2025-12-18 21:15:33.063</v>
      </c>
      <c r="H1445" t="s">
        <v>36</v>
      </c>
      <c r="I1445">
        <v>0</v>
      </c>
      <c r="J1445" t="s">
        <v>27</v>
      </c>
    </row>
    <row r="1446" spans="1:10" x14ac:dyDescent="0.25">
      <c r="A1446" s="1">
        <v>806</v>
      </c>
      <c r="B1446" t="s">
        <v>23</v>
      </c>
      <c r="C1446">
        <v>700</v>
      </c>
      <c r="D1446">
        <v>0</v>
      </c>
      <c r="E1446" t="s">
        <v>37</v>
      </c>
      <c r="F1446" t="s">
        <v>37</v>
      </c>
      <c r="G1446" t="str">
        <f>"2025-12-18 21:14:13.222"</f>
        <v>2025-12-18 21:14:13.222</v>
      </c>
      <c r="H1446" t="s">
        <v>26</v>
      </c>
      <c r="I1446">
        <v>0</v>
      </c>
      <c r="J1446" t="s">
        <v>43</v>
      </c>
    </row>
    <row r="1447" spans="1:10" x14ac:dyDescent="0.25">
      <c r="A1447" s="1">
        <v>807</v>
      </c>
      <c r="B1447" t="s">
        <v>19</v>
      </c>
      <c r="C1447">
        <v>630</v>
      </c>
      <c r="D1447">
        <v>5</v>
      </c>
      <c r="E1447" t="s">
        <v>20</v>
      </c>
      <c r="F1447" t="s">
        <v>83</v>
      </c>
      <c r="G1447" t="str">
        <f>"2025-12-18 02:43:54.190"</f>
        <v>2025-12-18 02:43:54.190</v>
      </c>
      <c r="H1447" t="s">
        <v>22</v>
      </c>
    </row>
    <row r="1448" spans="1:10" x14ac:dyDescent="0.25">
      <c r="A1448" s="1">
        <v>808</v>
      </c>
      <c r="B1448" t="s">
        <v>23</v>
      </c>
      <c r="C1448">
        <v>706</v>
      </c>
      <c r="D1448">
        <v>4</v>
      </c>
      <c r="E1448" t="s">
        <v>24</v>
      </c>
      <c r="F1448" t="s">
        <v>25</v>
      </c>
      <c r="G1448" t="str">
        <f>"2025-12-18 02:43:24.010"</f>
        <v>2025-12-18 02:43:24.010</v>
      </c>
      <c r="H1448" t="s">
        <v>26</v>
      </c>
      <c r="I1448">
        <v>0</v>
      </c>
      <c r="J1448" t="s">
        <v>27</v>
      </c>
    </row>
    <row r="1449" spans="1:10" x14ac:dyDescent="0.25">
      <c r="A1449" s="1">
        <v>809</v>
      </c>
      <c r="B1449" t="s">
        <v>28</v>
      </c>
      <c r="C1449">
        <v>630</v>
      </c>
      <c r="D1449">
        <v>5</v>
      </c>
      <c r="E1449" t="s">
        <v>20</v>
      </c>
      <c r="F1449" t="s">
        <v>83</v>
      </c>
      <c r="G1449" t="str">
        <f>"2025-12-18 02:27:56.291"</f>
        <v>2025-12-18 02:27:56.291</v>
      </c>
      <c r="H1449" t="s">
        <v>22</v>
      </c>
      <c r="I1449">
        <v>0</v>
      </c>
      <c r="J1449" t="s">
        <v>27</v>
      </c>
    </row>
    <row r="1450" spans="1:10" x14ac:dyDescent="0.25">
      <c r="A1450" s="1">
        <v>810</v>
      </c>
      <c r="B1450" t="s">
        <v>23</v>
      </c>
      <c r="C1450">
        <v>706</v>
      </c>
      <c r="D1450">
        <v>4</v>
      </c>
      <c r="E1450" t="s">
        <v>24</v>
      </c>
      <c r="F1450" t="s">
        <v>25</v>
      </c>
      <c r="G1450" t="str">
        <f>"2025-12-17 17:30:04.280"</f>
        <v>2025-12-17 17:30:04.280</v>
      </c>
      <c r="H1450" t="s">
        <v>26</v>
      </c>
      <c r="I1450">
        <v>19.600000000000001</v>
      </c>
      <c r="J1450" t="s">
        <v>42</v>
      </c>
    </row>
    <row r="1451" spans="1:10" x14ac:dyDescent="0.25">
      <c r="A1451" s="1">
        <v>811</v>
      </c>
      <c r="B1451" t="s">
        <v>23</v>
      </c>
      <c r="C1451">
        <v>706</v>
      </c>
      <c r="D1451">
        <v>4</v>
      </c>
      <c r="E1451" t="s">
        <v>24</v>
      </c>
      <c r="F1451" t="s">
        <v>25</v>
      </c>
      <c r="G1451" t="str">
        <f>"2025-12-17 12:46:29.730"</f>
        <v>2025-12-17 12:46:29.730</v>
      </c>
      <c r="H1451" t="s">
        <v>26</v>
      </c>
      <c r="I1451">
        <v>-0.12</v>
      </c>
      <c r="J1451" t="s">
        <v>42</v>
      </c>
    </row>
    <row r="1452" spans="1:10" x14ac:dyDescent="0.25">
      <c r="A1452" s="1">
        <v>812</v>
      </c>
      <c r="B1452" t="s">
        <v>23</v>
      </c>
      <c r="C1452">
        <v>706</v>
      </c>
      <c r="D1452">
        <v>4</v>
      </c>
      <c r="E1452" t="s">
        <v>24</v>
      </c>
      <c r="F1452" t="s">
        <v>25</v>
      </c>
      <c r="G1452" t="str">
        <f>"2025-12-17 12:46:09.190"</f>
        <v>2025-12-17 12:46:09.190</v>
      </c>
      <c r="H1452" t="s">
        <v>26</v>
      </c>
      <c r="I1452">
        <v>5.61</v>
      </c>
      <c r="J1452" t="s">
        <v>42</v>
      </c>
    </row>
    <row r="1453" spans="1:10" x14ac:dyDescent="0.25">
      <c r="A1453" s="1">
        <v>813</v>
      </c>
      <c r="B1453" t="s">
        <v>23</v>
      </c>
      <c r="C1453">
        <v>706</v>
      </c>
      <c r="D1453">
        <v>4</v>
      </c>
      <c r="E1453" t="s">
        <v>24</v>
      </c>
      <c r="F1453" t="s">
        <v>25</v>
      </c>
      <c r="G1453" t="str">
        <f>"2025-12-17 12:45:11.440"</f>
        <v>2025-12-17 12:45:11.440</v>
      </c>
      <c r="H1453" t="s">
        <v>26</v>
      </c>
      <c r="I1453">
        <v>19.21</v>
      </c>
      <c r="J1453" t="s">
        <v>42</v>
      </c>
    </row>
    <row r="1454" spans="1:10" x14ac:dyDescent="0.25">
      <c r="A1454" s="1">
        <v>814</v>
      </c>
      <c r="B1454" t="s">
        <v>23</v>
      </c>
      <c r="C1454">
        <v>706</v>
      </c>
      <c r="D1454">
        <v>4</v>
      </c>
      <c r="E1454" t="s">
        <v>24</v>
      </c>
      <c r="F1454" t="s">
        <v>25</v>
      </c>
      <c r="G1454" t="str">
        <f>"2025-12-17 12:38:50.660"</f>
        <v>2025-12-17 12:38:50.660</v>
      </c>
      <c r="H1454" t="s">
        <v>26</v>
      </c>
      <c r="I1454">
        <v>6.45</v>
      </c>
      <c r="J1454" t="s">
        <v>42</v>
      </c>
    </row>
    <row r="1455" spans="1:10" x14ac:dyDescent="0.25">
      <c r="A1455" s="1">
        <v>815</v>
      </c>
      <c r="B1455" t="s">
        <v>23</v>
      </c>
      <c r="C1455">
        <v>706</v>
      </c>
      <c r="D1455">
        <v>4</v>
      </c>
      <c r="E1455" t="s">
        <v>24</v>
      </c>
      <c r="F1455" t="s">
        <v>25</v>
      </c>
      <c r="G1455" t="str">
        <f>"2025-12-17 12:37:02.770"</f>
        <v>2025-12-17 12:37:02.770</v>
      </c>
      <c r="H1455" t="s">
        <v>26</v>
      </c>
      <c r="I1455">
        <v>17.23</v>
      </c>
      <c r="J1455" t="s">
        <v>42</v>
      </c>
    </row>
    <row r="1456" spans="1:10" x14ac:dyDescent="0.25">
      <c r="A1456" s="1">
        <v>816</v>
      </c>
      <c r="B1456" t="s">
        <v>23</v>
      </c>
      <c r="C1456">
        <v>700</v>
      </c>
      <c r="D1456">
        <v>0</v>
      </c>
      <c r="E1456" t="s">
        <v>37</v>
      </c>
      <c r="F1456" t="s">
        <v>37</v>
      </c>
      <c r="G1456" t="str">
        <f>"2025-12-16 16:16:12.220"</f>
        <v>2025-12-16 16:16:12.220</v>
      </c>
      <c r="H1456" t="s">
        <v>26</v>
      </c>
      <c r="I1456">
        <v>0</v>
      </c>
      <c r="J1456" t="s">
        <v>43</v>
      </c>
    </row>
    <row r="1457" spans="1:10" x14ac:dyDescent="0.25">
      <c r="A1457" s="1">
        <v>817</v>
      </c>
      <c r="B1457" t="s">
        <v>23</v>
      </c>
      <c r="C1457">
        <v>700</v>
      </c>
      <c r="D1457">
        <v>0</v>
      </c>
      <c r="E1457" t="s">
        <v>37</v>
      </c>
      <c r="F1457" t="s">
        <v>37</v>
      </c>
      <c r="G1457" t="str">
        <f>"2025-12-14 13:09:38.238"</f>
        <v>2025-12-14 13:09:38.238</v>
      </c>
      <c r="H1457" t="s">
        <v>26</v>
      </c>
      <c r="I1457">
        <v>0</v>
      </c>
      <c r="J1457" t="s">
        <v>43</v>
      </c>
    </row>
    <row r="1458" spans="1:10" x14ac:dyDescent="0.25">
      <c r="A1458" s="1">
        <v>818</v>
      </c>
      <c r="B1458" t="s">
        <v>23</v>
      </c>
      <c r="C1458">
        <v>700</v>
      </c>
      <c r="D1458">
        <v>0</v>
      </c>
      <c r="E1458" t="s">
        <v>37</v>
      </c>
      <c r="F1458" t="s">
        <v>37</v>
      </c>
      <c r="G1458" t="str">
        <f>"2025-12-13 12:50:54.208"</f>
        <v>2025-12-13 12:50:54.208</v>
      </c>
      <c r="H1458" t="s">
        <v>26</v>
      </c>
    </row>
    <row r="1459" spans="1:10" x14ac:dyDescent="0.25">
      <c r="A1459" s="1">
        <v>819</v>
      </c>
      <c r="B1459" t="s">
        <v>23</v>
      </c>
      <c r="C1459">
        <v>700</v>
      </c>
      <c r="D1459">
        <v>0</v>
      </c>
      <c r="E1459" t="s">
        <v>37</v>
      </c>
      <c r="F1459" t="s">
        <v>37</v>
      </c>
      <c r="G1459" t="str">
        <f>"2025-12-12 13:12:28.190"</f>
        <v>2025-12-12 13:12:28.190</v>
      </c>
      <c r="H1459" t="s">
        <v>26</v>
      </c>
      <c r="I1459">
        <v>0</v>
      </c>
      <c r="J1459" t="s">
        <v>43</v>
      </c>
    </row>
    <row r="1460" spans="1:10" x14ac:dyDescent="0.25">
      <c r="A1460" s="1">
        <v>820</v>
      </c>
      <c r="B1460" t="s">
        <v>23</v>
      </c>
      <c r="C1460">
        <v>706</v>
      </c>
      <c r="D1460">
        <v>2</v>
      </c>
      <c r="E1460" t="s">
        <v>24</v>
      </c>
      <c r="F1460" t="s">
        <v>39</v>
      </c>
      <c r="G1460" t="str">
        <f>"2025-12-12 12:55:44.280"</f>
        <v>2025-12-12 12:55:44.280</v>
      </c>
      <c r="H1460" t="s">
        <v>26</v>
      </c>
      <c r="I1460">
        <v>0</v>
      </c>
      <c r="J1460" t="s">
        <v>27</v>
      </c>
    </row>
    <row r="1461" spans="1:10" x14ac:dyDescent="0.25">
      <c r="A1461" s="1">
        <v>821</v>
      </c>
      <c r="B1461" t="s">
        <v>23</v>
      </c>
      <c r="C1461">
        <v>700</v>
      </c>
      <c r="D1461">
        <v>0</v>
      </c>
      <c r="E1461" t="s">
        <v>37</v>
      </c>
      <c r="F1461" t="s">
        <v>37</v>
      </c>
      <c r="G1461" t="str">
        <f>"2025-12-12 12:53:00.190"</f>
        <v>2025-12-12 12:53:00.190</v>
      </c>
      <c r="H1461" t="s">
        <v>26</v>
      </c>
      <c r="I1461">
        <v>0</v>
      </c>
      <c r="J1461" t="s">
        <v>43</v>
      </c>
    </row>
    <row r="1462" spans="1:10" x14ac:dyDescent="0.25">
      <c r="A1462" s="1">
        <v>822</v>
      </c>
      <c r="B1462" t="s">
        <v>23</v>
      </c>
      <c r="C1462">
        <v>700</v>
      </c>
      <c r="D1462">
        <v>0</v>
      </c>
      <c r="E1462" t="s">
        <v>37</v>
      </c>
      <c r="F1462" t="s">
        <v>37</v>
      </c>
      <c r="G1462" t="str">
        <f>"2025-12-12 12:38:54.181"</f>
        <v>2025-12-12 12:38:54.181</v>
      </c>
      <c r="H1462" t="s">
        <v>26</v>
      </c>
    </row>
    <row r="1463" spans="1:10" x14ac:dyDescent="0.25">
      <c r="A1463" s="1">
        <v>823</v>
      </c>
      <c r="B1463" t="s">
        <v>23</v>
      </c>
      <c r="C1463">
        <v>700</v>
      </c>
      <c r="D1463">
        <v>0</v>
      </c>
      <c r="E1463" t="s">
        <v>37</v>
      </c>
      <c r="F1463" t="s">
        <v>37</v>
      </c>
      <c r="G1463" t="str">
        <f>"2025-12-12 09:14:16.192"</f>
        <v>2025-12-12 09:14:16.192</v>
      </c>
      <c r="H1463" t="s">
        <v>26</v>
      </c>
      <c r="I1463">
        <v>0</v>
      </c>
      <c r="J1463" t="s">
        <v>43</v>
      </c>
    </row>
    <row r="1464" spans="1:10" x14ac:dyDescent="0.25">
      <c r="A1464" s="1">
        <v>824</v>
      </c>
      <c r="B1464" t="s">
        <v>23</v>
      </c>
      <c r="C1464">
        <v>706</v>
      </c>
      <c r="D1464">
        <v>4</v>
      </c>
      <c r="E1464" t="s">
        <v>24</v>
      </c>
      <c r="F1464" t="s">
        <v>25</v>
      </c>
      <c r="G1464" t="str">
        <f>"2025-12-11 23:56:22.648"</f>
        <v>2025-12-11 23:56:22.648</v>
      </c>
      <c r="H1464" t="s">
        <v>26</v>
      </c>
      <c r="I1464">
        <v>0</v>
      </c>
      <c r="J1464" t="s">
        <v>27</v>
      </c>
    </row>
    <row r="1465" spans="1:10" x14ac:dyDescent="0.25">
      <c r="A1465" s="1">
        <v>825</v>
      </c>
      <c r="B1465" t="s">
        <v>23</v>
      </c>
      <c r="C1465">
        <v>700</v>
      </c>
      <c r="D1465">
        <v>0</v>
      </c>
      <c r="E1465" t="s">
        <v>37</v>
      </c>
      <c r="F1465" t="s">
        <v>37</v>
      </c>
      <c r="G1465" t="str">
        <f>"2025-12-10 17:56:10.138"</f>
        <v>2025-12-10 17:56:10.138</v>
      </c>
      <c r="H1465" t="s">
        <v>26</v>
      </c>
      <c r="I1465">
        <v>0</v>
      </c>
      <c r="J1465" t="s">
        <v>43</v>
      </c>
    </row>
    <row r="1466" spans="1:10" x14ac:dyDescent="0.25">
      <c r="A1466" s="1">
        <v>826</v>
      </c>
      <c r="B1466" t="s">
        <v>23</v>
      </c>
      <c r="C1466">
        <v>700</v>
      </c>
      <c r="D1466">
        <v>0</v>
      </c>
      <c r="E1466" t="s">
        <v>37</v>
      </c>
      <c r="F1466" t="s">
        <v>37</v>
      </c>
      <c r="G1466" t="str">
        <f>"2025-12-10 17:00:50.153"</f>
        <v>2025-12-10 17:00:50.153</v>
      </c>
      <c r="H1466" t="s">
        <v>26</v>
      </c>
    </row>
    <row r="1467" spans="1:10" x14ac:dyDescent="0.25">
      <c r="A1467" s="1">
        <v>827</v>
      </c>
      <c r="B1467" t="s">
        <v>23</v>
      </c>
      <c r="C1467">
        <v>700</v>
      </c>
      <c r="D1467">
        <v>0</v>
      </c>
      <c r="E1467" t="s">
        <v>37</v>
      </c>
      <c r="F1467" t="s">
        <v>37</v>
      </c>
      <c r="G1467" t="str">
        <f>"2025-12-10 09:58:53.076"</f>
        <v>2025-12-10 09:58:53.076</v>
      </c>
      <c r="H1467" t="s">
        <v>26</v>
      </c>
    </row>
    <row r="1468" spans="1:10" x14ac:dyDescent="0.25">
      <c r="A1468" s="1">
        <v>828</v>
      </c>
      <c r="B1468" t="s">
        <v>23</v>
      </c>
      <c r="C1468">
        <v>700</v>
      </c>
      <c r="D1468">
        <v>0</v>
      </c>
      <c r="E1468" t="s">
        <v>37</v>
      </c>
      <c r="F1468" t="s">
        <v>37</v>
      </c>
      <c r="G1468" t="str">
        <f>"2025-12-09 15:32:55.105"</f>
        <v>2025-12-09 15:32:55.105</v>
      </c>
      <c r="H1468" t="s">
        <v>26</v>
      </c>
      <c r="I1468">
        <v>0</v>
      </c>
      <c r="J1468" t="s">
        <v>43</v>
      </c>
    </row>
    <row r="1469" spans="1:10" x14ac:dyDescent="0.25">
      <c r="A1469" s="1">
        <v>829</v>
      </c>
      <c r="B1469" t="s">
        <v>23</v>
      </c>
      <c r="C1469">
        <v>700</v>
      </c>
      <c r="D1469">
        <v>0</v>
      </c>
      <c r="E1469" t="s">
        <v>37</v>
      </c>
      <c r="F1469" t="s">
        <v>37</v>
      </c>
      <c r="G1469" t="str">
        <f>"2025-12-08 09:35:11.074"</f>
        <v>2025-12-08 09:35:11.074</v>
      </c>
      <c r="H1469" t="s">
        <v>26</v>
      </c>
    </row>
    <row r="1470" spans="1:10" x14ac:dyDescent="0.25">
      <c r="A1470" s="1">
        <v>830</v>
      </c>
      <c r="B1470" t="s">
        <v>23</v>
      </c>
      <c r="C1470">
        <v>706</v>
      </c>
      <c r="D1470">
        <v>2</v>
      </c>
      <c r="E1470" t="s">
        <v>24</v>
      </c>
      <c r="F1470" t="s">
        <v>39</v>
      </c>
      <c r="G1470" t="str">
        <f>"2025-12-08 09:31:40.749"</f>
        <v>2025-12-08 09:31:40.749</v>
      </c>
      <c r="H1470" t="s">
        <v>26</v>
      </c>
      <c r="I1470">
        <v>0</v>
      </c>
      <c r="J1470" t="s">
        <v>27</v>
      </c>
    </row>
    <row r="1471" spans="1:10" x14ac:dyDescent="0.25">
      <c r="A1471" s="1">
        <v>831</v>
      </c>
      <c r="B1471" t="s">
        <v>23</v>
      </c>
      <c r="C1471">
        <v>700</v>
      </c>
      <c r="D1471">
        <v>0</v>
      </c>
      <c r="E1471" t="s">
        <v>37</v>
      </c>
      <c r="F1471" t="s">
        <v>37</v>
      </c>
      <c r="G1471" t="str">
        <f>"2025-12-08 09:27:30.079"</f>
        <v>2025-12-08 09:27:30.079</v>
      </c>
      <c r="H1471" t="s">
        <v>26</v>
      </c>
    </row>
    <row r="1472" spans="1:10" x14ac:dyDescent="0.25">
      <c r="A1472" s="1">
        <v>832</v>
      </c>
      <c r="B1472" t="s">
        <v>23</v>
      </c>
      <c r="C1472">
        <v>700</v>
      </c>
      <c r="D1472">
        <v>0</v>
      </c>
      <c r="E1472" t="s">
        <v>37</v>
      </c>
      <c r="F1472" t="s">
        <v>37</v>
      </c>
      <c r="G1472" t="str">
        <f>"2025-12-08 09:11:48.076"</f>
        <v>2025-12-08 09:11:48.076</v>
      </c>
      <c r="H1472" t="s">
        <v>26</v>
      </c>
    </row>
    <row r="1473" spans="1:10" x14ac:dyDescent="0.25">
      <c r="A1473" s="1">
        <v>833</v>
      </c>
      <c r="B1473" t="s">
        <v>23</v>
      </c>
      <c r="C1473">
        <v>700</v>
      </c>
      <c r="D1473">
        <v>0</v>
      </c>
      <c r="E1473" t="s">
        <v>37</v>
      </c>
      <c r="F1473" t="s">
        <v>37</v>
      </c>
      <c r="G1473" t="str">
        <f>"2025-12-08 08:52:33.069"</f>
        <v>2025-12-08 08:52:33.069</v>
      </c>
      <c r="H1473" t="s">
        <v>26</v>
      </c>
    </row>
    <row r="1474" spans="1:10" x14ac:dyDescent="0.25">
      <c r="A1474" s="1">
        <v>834</v>
      </c>
      <c r="B1474" t="s">
        <v>23</v>
      </c>
      <c r="C1474">
        <v>700</v>
      </c>
      <c r="D1474">
        <v>0</v>
      </c>
      <c r="E1474" t="s">
        <v>37</v>
      </c>
      <c r="F1474" t="s">
        <v>37</v>
      </c>
      <c r="G1474" t="str">
        <f>"2025-12-08 08:43:23.076"</f>
        <v>2025-12-08 08:43:23.076</v>
      </c>
      <c r="H1474" t="s">
        <v>26</v>
      </c>
    </row>
    <row r="1475" spans="1:10" x14ac:dyDescent="0.25">
      <c r="A1475" s="1">
        <v>835</v>
      </c>
      <c r="B1475" t="s">
        <v>23</v>
      </c>
      <c r="C1475">
        <v>700</v>
      </c>
      <c r="D1475">
        <v>0</v>
      </c>
      <c r="E1475" t="s">
        <v>37</v>
      </c>
      <c r="F1475" t="s">
        <v>37</v>
      </c>
      <c r="G1475" t="str">
        <f>"2025-12-07 17:58:52.076"</f>
        <v>2025-12-07 17:58:52.076</v>
      </c>
      <c r="H1475" t="s">
        <v>26</v>
      </c>
    </row>
    <row r="1476" spans="1:10" x14ac:dyDescent="0.25">
      <c r="A1476" s="1">
        <v>836</v>
      </c>
      <c r="B1476" t="s">
        <v>23</v>
      </c>
      <c r="C1476">
        <v>700</v>
      </c>
      <c r="D1476">
        <v>0</v>
      </c>
      <c r="E1476" t="s">
        <v>37</v>
      </c>
      <c r="F1476" t="s">
        <v>37</v>
      </c>
      <c r="G1476" t="str">
        <f>"2025-12-07 17:50:24.086"</f>
        <v>2025-12-07 17:50:24.086</v>
      </c>
      <c r="H1476" t="s">
        <v>26</v>
      </c>
      <c r="I1476">
        <v>0</v>
      </c>
      <c r="J1476" t="s">
        <v>43</v>
      </c>
    </row>
    <row r="1477" spans="1:10" x14ac:dyDescent="0.25">
      <c r="A1477" s="1">
        <v>837</v>
      </c>
      <c r="B1477" t="s">
        <v>23</v>
      </c>
      <c r="C1477">
        <v>700</v>
      </c>
      <c r="D1477">
        <v>0</v>
      </c>
      <c r="E1477" t="s">
        <v>37</v>
      </c>
      <c r="F1477" t="s">
        <v>37</v>
      </c>
      <c r="G1477" t="str">
        <f>"2025-12-07 17:22:46.071"</f>
        <v>2025-12-07 17:22:46.071</v>
      </c>
      <c r="H1477" t="s">
        <v>26</v>
      </c>
      <c r="I1477">
        <v>0</v>
      </c>
      <c r="J1477" t="s">
        <v>43</v>
      </c>
    </row>
    <row r="1478" spans="1:10" x14ac:dyDescent="0.25">
      <c r="A1478" s="1">
        <v>838</v>
      </c>
      <c r="B1478" t="s">
        <v>23</v>
      </c>
      <c r="C1478">
        <v>700</v>
      </c>
      <c r="D1478">
        <v>0</v>
      </c>
      <c r="E1478" t="s">
        <v>37</v>
      </c>
      <c r="F1478" t="s">
        <v>37</v>
      </c>
      <c r="G1478" t="str">
        <f>"2025-12-07 15:31:05.081"</f>
        <v>2025-12-07 15:31:05.081</v>
      </c>
      <c r="H1478" t="s">
        <v>26</v>
      </c>
      <c r="I1478">
        <v>0</v>
      </c>
      <c r="J1478" t="s">
        <v>43</v>
      </c>
    </row>
    <row r="1479" spans="1:10" x14ac:dyDescent="0.25">
      <c r="A1479" s="1">
        <v>839</v>
      </c>
      <c r="B1479" t="s">
        <v>23</v>
      </c>
      <c r="C1479">
        <v>700</v>
      </c>
      <c r="D1479">
        <v>0</v>
      </c>
      <c r="E1479" t="s">
        <v>37</v>
      </c>
      <c r="F1479" t="s">
        <v>37</v>
      </c>
      <c r="G1479" t="str">
        <f>"2025-12-07 15:13:51.078"</f>
        <v>2025-12-07 15:13:51.078</v>
      </c>
      <c r="H1479" t="s">
        <v>26</v>
      </c>
    </row>
    <row r="1480" spans="1:10" x14ac:dyDescent="0.25">
      <c r="A1480" s="1">
        <v>840</v>
      </c>
      <c r="B1480" t="s">
        <v>23</v>
      </c>
      <c r="C1480">
        <v>700</v>
      </c>
      <c r="D1480">
        <v>0</v>
      </c>
      <c r="E1480" t="s">
        <v>37</v>
      </c>
      <c r="F1480" t="s">
        <v>37</v>
      </c>
      <c r="G1480" t="str">
        <f>"2025-12-07 14:34:36.075"</f>
        <v>2025-12-07 14:34:36.075</v>
      </c>
      <c r="H1480" t="s">
        <v>26</v>
      </c>
    </row>
    <row r="1481" spans="1:10" x14ac:dyDescent="0.25">
      <c r="A1481" s="1">
        <v>841</v>
      </c>
      <c r="B1481" t="s">
        <v>23</v>
      </c>
      <c r="C1481">
        <v>706</v>
      </c>
      <c r="D1481">
        <v>4</v>
      </c>
      <c r="E1481" t="s">
        <v>24</v>
      </c>
      <c r="F1481" t="s">
        <v>25</v>
      </c>
      <c r="G1481" t="str">
        <f>"2025-12-07 14:11:06.955"</f>
        <v>2025-12-07 14:11:06.955</v>
      </c>
      <c r="H1481" t="s">
        <v>26</v>
      </c>
      <c r="I1481">
        <v>0</v>
      </c>
      <c r="J1481" t="s">
        <v>27</v>
      </c>
    </row>
    <row r="1482" spans="1:10" x14ac:dyDescent="0.25">
      <c r="A1482" s="1">
        <v>842</v>
      </c>
      <c r="B1482" t="s">
        <v>23</v>
      </c>
      <c r="C1482">
        <v>700</v>
      </c>
      <c r="D1482">
        <v>0</v>
      </c>
      <c r="E1482" t="s">
        <v>37</v>
      </c>
      <c r="F1482" t="s">
        <v>37</v>
      </c>
      <c r="G1482" t="str">
        <f>"2025-12-07 14:10:36.095"</f>
        <v>2025-12-07 14:10:36.095</v>
      </c>
      <c r="H1482" t="s">
        <v>26</v>
      </c>
    </row>
    <row r="1483" spans="1:10" x14ac:dyDescent="0.25">
      <c r="A1483" s="1">
        <v>843</v>
      </c>
      <c r="B1483" t="s">
        <v>23</v>
      </c>
      <c r="C1483">
        <v>700</v>
      </c>
      <c r="D1483">
        <v>0</v>
      </c>
      <c r="E1483" t="s">
        <v>37</v>
      </c>
      <c r="F1483" t="s">
        <v>37</v>
      </c>
      <c r="G1483" t="str">
        <f>"2025-12-07 12:31:51.071"</f>
        <v>2025-12-07 12:31:51.071</v>
      </c>
      <c r="H1483" t="s">
        <v>26</v>
      </c>
    </row>
    <row r="1484" spans="1:10" x14ac:dyDescent="0.25">
      <c r="A1484" s="1">
        <v>844</v>
      </c>
      <c r="B1484" t="s">
        <v>23</v>
      </c>
      <c r="C1484">
        <v>700</v>
      </c>
      <c r="D1484">
        <v>0</v>
      </c>
      <c r="E1484" t="s">
        <v>37</v>
      </c>
      <c r="F1484" t="s">
        <v>37</v>
      </c>
      <c r="G1484" t="str">
        <f>"2025-12-07 12:17:59.078"</f>
        <v>2025-12-07 12:17:59.078</v>
      </c>
      <c r="H1484" t="s">
        <v>26</v>
      </c>
      <c r="I1484">
        <v>0</v>
      </c>
      <c r="J1484" t="s">
        <v>43</v>
      </c>
    </row>
    <row r="1485" spans="1:10" x14ac:dyDescent="0.25">
      <c r="A1485" s="1">
        <v>845</v>
      </c>
      <c r="B1485" t="s">
        <v>23</v>
      </c>
      <c r="C1485">
        <v>700</v>
      </c>
      <c r="D1485">
        <v>0</v>
      </c>
      <c r="E1485" t="s">
        <v>37</v>
      </c>
      <c r="F1485" t="s">
        <v>37</v>
      </c>
      <c r="G1485" t="str">
        <f>"2025-12-07 12:10:43.069"</f>
        <v>2025-12-07 12:10:43.069</v>
      </c>
      <c r="H1485" t="s">
        <v>26</v>
      </c>
    </row>
    <row r="1486" spans="1:10" x14ac:dyDescent="0.25">
      <c r="A1486" s="1">
        <v>846</v>
      </c>
      <c r="B1486" t="s">
        <v>23</v>
      </c>
      <c r="C1486">
        <v>706</v>
      </c>
      <c r="D1486">
        <v>2</v>
      </c>
      <c r="E1486" t="s">
        <v>24</v>
      </c>
      <c r="F1486" t="s">
        <v>39</v>
      </c>
      <c r="G1486" t="str">
        <f>"2025-12-07 12:00:12.944"</f>
        <v>2025-12-07 12:00:12.944</v>
      </c>
      <c r="H1486" t="s">
        <v>26</v>
      </c>
      <c r="I1486">
        <v>0</v>
      </c>
      <c r="J1486" t="s">
        <v>27</v>
      </c>
    </row>
    <row r="1487" spans="1:10" x14ac:dyDescent="0.25">
      <c r="A1487" s="1">
        <v>847</v>
      </c>
      <c r="B1487" t="s">
        <v>23</v>
      </c>
      <c r="C1487">
        <v>700</v>
      </c>
      <c r="D1487">
        <v>0</v>
      </c>
      <c r="E1487" t="s">
        <v>37</v>
      </c>
      <c r="F1487" t="s">
        <v>37</v>
      </c>
      <c r="G1487" t="str">
        <f>"2025-12-07 11:59:36.064"</f>
        <v>2025-12-07 11:59:36.064</v>
      </c>
      <c r="H1487" t="s">
        <v>26</v>
      </c>
      <c r="I1487">
        <v>0</v>
      </c>
      <c r="J1487" t="s">
        <v>43</v>
      </c>
    </row>
    <row r="1488" spans="1:10" x14ac:dyDescent="0.25">
      <c r="A1488" s="1">
        <v>848</v>
      </c>
      <c r="B1488" t="s">
        <v>23</v>
      </c>
      <c r="C1488">
        <v>700</v>
      </c>
      <c r="D1488">
        <v>0</v>
      </c>
      <c r="E1488" t="s">
        <v>37</v>
      </c>
      <c r="F1488" t="s">
        <v>37</v>
      </c>
      <c r="G1488" t="str">
        <f>"2025-12-07 11:47:29.076"</f>
        <v>2025-12-07 11:47:29.076</v>
      </c>
      <c r="H1488" t="s">
        <v>26</v>
      </c>
      <c r="I1488">
        <v>0</v>
      </c>
      <c r="J1488" t="s">
        <v>43</v>
      </c>
    </row>
    <row r="1489" spans="1:10" x14ac:dyDescent="0.25">
      <c r="A1489" s="1">
        <v>849</v>
      </c>
      <c r="B1489" t="s">
        <v>23</v>
      </c>
      <c r="C1489">
        <v>700</v>
      </c>
      <c r="D1489">
        <v>0</v>
      </c>
      <c r="E1489" t="s">
        <v>37</v>
      </c>
      <c r="F1489" t="s">
        <v>37</v>
      </c>
      <c r="G1489" t="str">
        <f>"2025-12-07 11:12:59.078"</f>
        <v>2025-12-07 11:12:59.078</v>
      </c>
      <c r="H1489" t="s">
        <v>26</v>
      </c>
      <c r="I1489">
        <v>0</v>
      </c>
      <c r="J1489" t="s">
        <v>43</v>
      </c>
    </row>
    <row r="1490" spans="1:10" x14ac:dyDescent="0.25">
      <c r="A1490" s="1">
        <v>850</v>
      </c>
      <c r="B1490" t="s">
        <v>23</v>
      </c>
      <c r="C1490">
        <v>700</v>
      </c>
      <c r="D1490">
        <v>0</v>
      </c>
      <c r="E1490" t="s">
        <v>37</v>
      </c>
      <c r="F1490" t="s">
        <v>37</v>
      </c>
      <c r="G1490" t="str">
        <f>"2025-12-07 11:04:12.074"</f>
        <v>2025-12-07 11:04:12.074</v>
      </c>
      <c r="H1490" t="s">
        <v>26</v>
      </c>
      <c r="I1490">
        <v>0</v>
      </c>
      <c r="J1490" t="s">
        <v>43</v>
      </c>
    </row>
    <row r="1491" spans="1:10" x14ac:dyDescent="0.25">
      <c r="A1491" s="1">
        <v>851</v>
      </c>
      <c r="B1491" t="s">
        <v>23</v>
      </c>
      <c r="C1491">
        <v>706</v>
      </c>
      <c r="D1491">
        <v>4</v>
      </c>
      <c r="E1491" t="s">
        <v>24</v>
      </c>
      <c r="F1491" t="s">
        <v>25</v>
      </c>
      <c r="G1491" t="str">
        <f>"2025-12-07 10:36:57.057"</f>
        <v>2025-12-07 10:36:57.057</v>
      </c>
      <c r="H1491" t="s">
        <v>26</v>
      </c>
      <c r="I1491">
        <v>0</v>
      </c>
      <c r="J1491" t="s">
        <v>27</v>
      </c>
    </row>
    <row r="1492" spans="1:10" x14ac:dyDescent="0.25">
      <c r="A1492" s="1">
        <v>852</v>
      </c>
      <c r="B1492" t="s">
        <v>23</v>
      </c>
      <c r="C1492">
        <v>700</v>
      </c>
      <c r="D1492">
        <v>0</v>
      </c>
      <c r="E1492" t="s">
        <v>37</v>
      </c>
      <c r="F1492" t="s">
        <v>37</v>
      </c>
      <c r="G1492" t="str">
        <f>"2025-12-07 10:31:36.077"</f>
        <v>2025-12-07 10:31:36.077</v>
      </c>
      <c r="H1492" t="s">
        <v>26</v>
      </c>
      <c r="I1492">
        <v>0</v>
      </c>
      <c r="J1492" t="s">
        <v>43</v>
      </c>
    </row>
    <row r="1493" spans="1:10" x14ac:dyDescent="0.25">
      <c r="A1493" s="1">
        <v>853</v>
      </c>
      <c r="B1493" t="s">
        <v>23</v>
      </c>
      <c r="C1493">
        <v>700</v>
      </c>
      <c r="D1493">
        <v>0</v>
      </c>
      <c r="E1493" t="s">
        <v>37</v>
      </c>
      <c r="F1493" t="s">
        <v>37</v>
      </c>
      <c r="G1493" t="str">
        <f>"2025-12-07 10:17:20.069"</f>
        <v>2025-12-07 10:17:20.069</v>
      </c>
      <c r="H1493" t="s">
        <v>26</v>
      </c>
      <c r="I1493">
        <v>0</v>
      </c>
      <c r="J1493" t="s">
        <v>43</v>
      </c>
    </row>
    <row r="1494" spans="1:10" x14ac:dyDescent="0.25">
      <c r="A1494" s="1">
        <v>854</v>
      </c>
      <c r="B1494" t="s">
        <v>23</v>
      </c>
      <c r="C1494">
        <v>700</v>
      </c>
      <c r="D1494">
        <v>0</v>
      </c>
      <c r="E1494" t="s">
        <v>37</v>
      </c>
      <c r="F1494" t="s">
        <v>37</v>
      </c>
      <c r="G1494" t="str">
        <f>"2025-12-07 09:58:06.076"</f>
        <v>2025-12-07 09:58:06.076</v>
      </c>
      <c r="H1494" t="s">
        <v>26</v>
      </c>
      <c r="I1494">
        <v>0</v>
      </c>
      <c r="J1494" t="s">
        <v>43</v>
      </c>
    </row>
    <row r="1495" spans="1:10" x14ac:dyDescent="0.25">
      <c r="A1495" s="1">
        <v>855</v>
      </c>
      <c r="B1495" t="s">
        <v>23</v>
      </c>
      <c r="C1495">
        <v>700</v>
      </c>
      <c r="D1495">
        <v>0</v>
      </c>
      <c r="E1495" t="s">
        <v>37</v>
      </c>
      <c r="F1495" t="s">
        <v>37</v>
      </c>
      <c r="G1495" t="str">
        <f>"2025-12-07 09:47:58.066"</f>
        <v>2025-12-07 09:47:58.066</v>
      </c>
      <c r="H1495" t="s">
        <v>26</v>
      </c>
    </row>
    <row r="1496" spans="1:10" x14ac:dyDescent="0.25">
      <c r="A1496" s="1">
        <v>856</v>
      </c>
      <c r="B1496" t="s">
        <v>23</v>
      </c>
      <c r="C1496">
        <v>700</v>
      </c>
      <c r="D1496">
        <v>0</v>
      </c>
      <c r="E1496" t="s">
        <v>37</v>
      </c>
      <c r="F1496" t="s">
        <v>37</v>
      </c>
      <c r="G1496" t="str">
        <f>"2025-12-07 09:42:27.067"</f>
        <v>2025-12-07 09:42:27.067</v>
      </c>
      <c r="H1496" t="s">
        <v>26</v>
      </c>
    </row>
    <row r="1497" spans="1:10" x14ac:dyDescent="0.25">
      <c r="A1497" s="1">
        <v>857</v>
      </c>
      <c r="B1497" t="s">
        <v>23</v>
      </c>
      <c r="C1497">
        <v>700</v>
      </c>
      <c r="D1497">
        <v>0</v>
      </c>
      <c r="E1497" t="s">
        <v>37</v>
      </c>
      <c r="F1497" t="s">
        <v>37</v>
      </c>
      <c r="G1497" t="str">
        <f>"2025-12-07 09:13:45.071"</f>
        <v>2025-12-07 09:13:45.071</v>
      </c>
      <c r="H1497" t="s">
        <v>26</v>
      </c>
      <c r="I1497">
        <v>0</v>
      </c>
      <c r="J1497" t="s">
        <v>43</v>
      </c>
    </row>
    <row r="1498" spans="1:10" x14ac:dyDescent="0.25">
      <c r="A1498" s="1">
        <v>858</v>
      </c>
      <c r="B1498" t="s">
        <v>23</v>
      </c>
      <c r="C1498">
        <v>700</v>
      </c>
      <c r="D1498">
        <v>0</v>
      </c>
      <c r="E1498" t="s">
        <v>37</v>
      </c>
      <c r="F1498" t="s">
        <v>37</v>
      </c>
      <c r="G1498" t="str">
        <f>"2025-12-07 09:04:09.079"</f>
        <v>2025-12-07 09:04:09.079</v>
      </c>
      <c r="H1498" t="s">
        <v>26</v>
      </c>
      <c r="I1498">
        <v>0</v>
      </c>
      <c r="J1498" t="s">
        <v>43</v>
      </c>
    </row>
    <row r="1499" spans="1:10" x14ac:dyDescent="0.25">
      <c r="A1499" s="1">
        <v>859</v>
      </c>
      <c r="B1499" t="s">
        <v>23</v>
      </c>
      <c r="C1499">
        <v>706</v>
      </c>
      <c r="D1499">
        <v>4</v>
      </c>
      <c r="E1499" t="s">
        <v>24</v>
      </c>
      <c r="F1499" t="s">
        <v>25</v>
      </c>
      <c r="G1499" t="str">
        <f>"2025-12-07 08:53:29.729"</f>
        <v>2025-12-07 08:53:29.729</v>
      </c>
      <c r="H1499" t="s">
        <v>26</v>
      </c>
      <c r="I1499">
        <v>0</v>
      </c>
      <c r="J1499" t="s">
        <v>27</v>
      </c>
    </row>
    <row r="1500" spans="1:10" x14ac:dyDescent="0.25">
      <c r="A1500" s="1">
        <v>860</v>
      </c>
      <c r="B1500" t="s">
        <v>19</v>
      </c>
      <c r="C1500">
        <v>98</v>
      </c>
      <c r="D1500">
        <v>1</v>
      </c>
      <c r="E1500" t="s">
        <v>89</v>
      </c>
      <c r="F1500" t="s">
        <v>90</v>
      </c>
      <c r="G1500" t="str">
        <f>"2025-12-07 08:51:21.769"</f>
        <v>2025-12-07 08:51:21.769</v>
      </c>
      <c r="H1500" t="s">
        <v>26</v>
      </c>
    </row>
    <row r="1501" spans="1:10" x14ac:dyDescent="0.25">
      <c r="A1501" s="1">
        <v>861</v>
      </c>
      <c r="B1501" t="s">
        <v>38</v>
      </c>
      <c r="C1501">
        <v>98</v>
      </c>
      <c r="D1501">
        <v>1</v>
      </c>
      <c r="E1501" t="s">
        <v>89</v>
      </c>
      <c r="F1501" t="s">
        <v>90</v>
      </c>
      <c r="G1501" t="str">
        <f>"2025-12-07 08:51:20.569"</f>
        <v>2025-12-07 08:51:20.569</v>
      </c>
      <c r="H1501" t="s">
        <v>26</v>
      </c>
      <c r="I1501">
        <v>0</v>
      </c>
      <c r="J1501" t="s">
        <v>27</v>
      </c>
    </row>
    <row r="1502" spans="1:10" x14ac:dyDescent="0.25">
      <c r="A1502" s="1">
        <v>862</v>
      </c>
      <c r="B1502" t="s">
        <v>19</v>
      </c>
      <c r="C1502">
        <v>98</v>
      </c>
      <c r="D1502">
        <v>1</v>
      </c>
      <c r="E1502" t="s">
        <v>89</v>
      </c>
      <c r="F1502" t="s">
        <v>90</v>
      </c>
      <c r="G1502" t="str">
        <f>"2025-12-07 08:51:20.169"</f>
        <v>2025-12-07 08:51:20.169</v>
      </c>
      <c r="H1502" t="s">
        <v>26</v>
      </c>
    </row>
    <row r="1503" spans="1:10" x14ac:dyDescent="0.25">
      <c r="A1503" s="1">
        <v>863</v>
      </c>
      <c r="B1503" t="s">
        <v>38</v>
      </c>
      <c r="C1503">
        <v>98</v>
      </c>
      <c r="D1503">
        <v>1</v>
      </c>
      <c r="E1503" t="s">
        <v>89</v>
      </c>
      <c r="F1503" t="s">
        <v>90</v>
      </c>
      <c r="G1503" t="str">
        <f>"2025-12-07 08:51:19.170"</f>
        <v>2025-12-07 08:51:19.170</v>
      </c>
      <c r="H1503" t="s">
        <v>26</v>
      </c>
      <c r="I1503">
        <v>0</v>
      </c>
      <c r="J1503" t="s">
        <v>27</v>
      </c>
    </row>
    <row r="1504" spans="1:10" x14ac:dyDescent="0.25">
      <c r="A1504" s="1">
        <v>864</v>
      </c>
      <c r="B1504" t="s">
        <v>19</v>
      </c>
      <c r="C1504">
        <v>98</v>
      </c>
      <c r="D1504">
        <v>1</v>
      </c>
      <c r="E1504" t="s">
        <v>89</v>
      </c>
      <c r="F1504" t="s">
        <v>90</v>
      </c>
      <c r="G1504" t="str">
        <f>"2025-12-07 08:51:18.769"</f>
        <v>2025-12-07 08:51:18.769</v>
      </c>
      <c r="H1504" t="s">
        <v>26</v>
      </c>
    </row>
    <row r="1505" spans="1:10" x14ac:dyDescent="0.25">
      <c r="A1505" s="1">
        <v>865</v>
      </c>
      <c r="B1505" t="s">
        <v>38</v>
      </c>
      <c r="C1505">
        <v>98</v>
      </c>
      <c r="D1505">
        <v>1</v>
      </c>
      <c r="E1505" t="s">
        <v>89</v>
      </c>
      <c r="F1505" t="s">
        <v>90</v>
      </c>
      <c r="G1505" t="str">
        <f>"2025-12-07 08:51:17.770"</f>
        <v>2025-12-07 08:51:17.770</v>
      </c>
      <c r="H1505" t="s">
        <v>26</v>
      </c>
      <c r="I1505">
        <v>0</v>
      </c>
      <c r="J1505" t="s">
        <v>27</v>
      </c>
    </row>
    <row r="1506" spans="1:10" x14ac:dyDescent="0.25">
      <c r="A1506" s="1">
        <v>866</v>
      </c>
      <c r="B1506" t="s">
        <v>19</v>
      </c>
      <c r="C1506">
        <v>98</v>
      </c>
      <c r="D1506">
        <v>1</v>
      </c>
      <c r="E1506" t="s">
        <v>89</v>
      </c>
      <c r="F1506" t="s">
        <v>90</v>
      </c>
      <c r="G1506" t="str">
        <f>"2025-12-07 08:51:16.969"</f>
        <v>2025-12-07 08:51:16.969</v>
      </c>
      <c r="H1506" t="s">
        <v>26</v>
      </c>
    </row>
    <row r="1507" spans="1:10" x14ac:dyDescent="0.25">
      <c r="A1507" s="1">
        <v>867</v>
      </c>
      <c r="B1507" t="s">
        <v>38</v>
      </c>
      <c r="C1507">
        <v>98</v>
      </c>
      <c r="D1507">
        <v>1</v>
      </c>
      <c r="E1507" t="s">
        <v>89</v>
      </c>
      <c r="F1507" t="s">
        <v>90</v>
      </c>
      <c r="G1507" t="str">
        <f>"2025-12-07 08:51:15.970"</f>
        <v>2025-12-07 08:51:15.970</v>
      </c>
      <c r="H1507" t="s">
        <v>26</v>
      </c>
      <c r="I1507">
        <v>0</v>
      </c>
      <c r="J1507" t="s">
        <v>27</v>
      </c>
    </row>
    <row r="1508" spans="1:10" x14ac:dyDescent="0.25">
      <c r="A1508" s="1">
        <v>868</v>
      </c>
      <c r="B1508" t="s">
        <v>19</v>
      </c>
      <c r="C1508">
        <v>98</v>
      </c>
      <c r="D1508">
        <v>1</v>
      </c>
      <c r="E1508" t="s">
        <v>89</v>
      </c>
      <c r="F1508" t="s">
        <v>90</v>
      </c>
      <c r="G1508" t="str">
        <f>"2025-12-07 08:51:14.569"</f>
        <v>2025-12-07 08:51:14.569</v>
      </c>
      <c r="H1508" t="s">
        <v>26</v>
      </c>
    </row>
    <row r="1509" spans="1:10" x14ac:dyDescent="0.25">
      <c r="A1509" s="1">
        <v>869</v>
      </c>
      <c r="B1509" t="s">
        <v>38</v>
      </c>
      <c r="C1509">
        <v>98</v>
      </c>
      <c r="D1509">
        <v>1</v>
      </c>
      <c r="E1509" t="s">
        <v>89</v>
      </c>
      <c r="F1509" t="s">
        <v>90</v>
      </c>
      <c r="G1509" t="str">
        <f>"2025-12-07 08:51:13.370"</f>
        <v>2025-12-07 08:51:13.370</v>
      </c>
      <c r="H1509" t="s">
        <v>26</v>
      </c>
      <c r="I1509">
        <v>0</v>
      </c>
      <c r="J1509" t="s">
        <v>27</v>
      </c>
    </row>
    <row r="1510" spans="1:10" x14ac:dyDescent="0.25">
      <c r="A1510" s="1">
        <v>870</v>
      </c>
      <c r="B1510" t="s">
        <v>19</v>
      </c>
      <c r="C1510">
        <v>98</v>
      </c>
      <c r="D1510">
        <v>1</v>
      </c>
      <c r="E1510" t="s">
        <v>89</v>
      </c>
      <c r="F1510" t="s">
        <v>90</v>
      </c>
      <c r="G1510" t="str">
        <f>"2025-12-07 08:51:12.769"</f>
        <v>2025-12-07 08:51:12.769</v>
      </c>
      <c r="H1510" t="s">
        <v>26</v>
      </c>
    </row>
    <row r="1511" spans="1:10" x14ac:dyDescent="0.25">
      <c r="A1511" s="1">
        <v>871</v>
      </c>
      <c r="B1511" t="s">
        <v>38</v>
      </c>
      <c r="C1511">
        <v>98</v>
      </c>
      <c r="D1511">
        <v>1</v>
      </c>
      <c r="E1511" t="s">
        <v>89</v>
      </c>
      <c r="F1511" t="s">
        <v>90</v>
      </c>
      <c r="G1511" t="str">
        <f>"2025-12-07 08:51:11.769"</f>
        <v>2025-12-07 08:51:11.769</v>
      </c>
      <c r="H1511" t="s">
        <v>26</v>
      </c>
      <c r="I1511">
        <v>0</v>
      </c>
      <c r="J1511" t="s">
        <v>27</v>
      </c>
    </row>
    <row r="1512" spans="1:10" x14ac:dyDescent="0.25">
      <c r="A1512" s="1">
        <v>872</v>
      </c>
      <c r="B1512" t="s">
        <v>19</v>
      </c>
      <c r="C1512">
        <v>98</v>
      </c>
      <c r="D1512">
        <v>1</v>
      </c>
      <c r="E1512" t="s">
        <v>89</v>
      </c>
      <c r="F1512" t="s">
        <v>90</v>
      </c>
      <c r="G1512" t="str">
        <f>"2025-12-07 08:51:11.370"</f>
        <v>2025-12-07 08:51:11.370</v>
      </c>
      <c r="H1512" t="s">
        <v>26</v>
      </c>
    </row>
    <row r="1513" spans="1:10" x14ac:dyDescent="0.25">
      <c r="A1513" s="1">
        <v>873</v>
      </c>
      <c r="B1513" t="s">
        <v>38</v>
      </c>
      <c r="C1513">
        <v>98</v>
      </c>
      <c r="D1513">
        <v>1</v>
      </c>
      <c r="E1513" t="s">
        <v>89</v>
      </c>
      <c r="F1513" t="s">
        <v>90</v>
      </c>
      <c r="G1513" t="str">
        <f>"2025-12-07 08:51:10.370"</f>
        <v>2025-12-07 08:51:10.370</v>
      </c>
      <c r="H1513" t="s">
        <v>26</v>
      </c>
      <c r="I1513">
        <v>0</v>
      </c>
      <c r="J1513" t="s">
        <v>27</v>
      </c>
    </row>
    <row r="1514" spans="1:10" x14ac:dyDescent="0.25">
      <c r="A1514" s="1">
        <v>874</v>
      </c>
      <c r="B1514" t="s">
        <v>23</v>
      </c>
      <c r="C1514">
        <v>700</v>
      </c>
      <c r="D1514">
        <v>0</v>
      </c>
      <c r="E1514" t="s">
        <v>37</v>
      </c>
      <c r="F1514" t="s">
        <v>37</v>
      </c>
      <c r="G1514" t="str">
        <f>"2025-12-07 08:41:08.059"</f>
        <v>2025-12-07 08:41:08.059</v>
      </c>
      <c r="H1514" t="s">
        <v>26</v>
      </c>
    </row>
    <row r="1515" spans="1:10" x14ac:dyDescent="0.25">
      <c r="A1515" s="1">
        <v>875</v>
      </c>
      <c r="B1515" t="s">
        <v>23</v>
      </c>
      <c r="C1515">
        <v>700</v>
      </c>
      <c r="D1515">
        <v>0</v>
      </c>
      <c r="E1515" t="s">
        <v>37</v>
      </c>
      <c r="F1515" t="s">
        <v>37</v>
      </c>
      <c r="G1515" t="str">
        <f>"2025-12-06 15:04:17.050"</f>
        <v>2025-12-06 15:04:17.050</v>
      </c>
      <c r="H1515" t="s">
        <v>26</v>
      </c>
    </row>
    <row r="1516" spans="1:10" x14ac:dyDescent="0.25">
      <c r="A1516" s="1">
        <v>876</v>
      </c>
      <c r="B1516" t="s">
        <v>23</v>
      </c>
      <c r="C1516">
        <v>700</v>
      </c>
      <c r="D1516">
        <v>0</v>
      </c>
      <c r="E1516" t="s">
        <v>37</v>
      </c>
      <c r="F1516" t="s">
        <v>37</v>
      </c>
      <c r="G1516" t="str">
        <f>"2025-12-06 14:22:13.062"</f>
        <v>2025-12-06 14:22:13.062</v>
      </c>
      <c r="H1516" t="s">
        <v>26</v>
      </c>
    </row>
    <row r="1517" spans="1:10" x14ac:dyDescent="0.25">
      <c r="A1517" s="1">
        <v>877</v>
      </c>
      <c r="B1517" t="s">
        <v>23</v>
      </c>
      <c r="C1517">
        <v>700</v>
      </c>
      <c r="D1517">
        <v>0</v>
      </c>
      <c r="E1517" t="s">
        <v>37</v>
      </c>
      <c r="F1517" t="s">
        <v>37</v>
      </c>
      <c r="G1517" t="str">
        <f>"2025-12-06 11:40:23.075"</f>
        <v>2025-12-06 11:40:23.075</v>
      </c>
      <c r="H1517" t="s">
        <v>26</v>
      </c>
      <c r="I1517">
        <v>0</v>
      </c>
      <c r="J1517" t="s">
        <v>43</v>
      </c>
    </row>
    <row r="1518" spans="1:10" x14ac:dyDescent="0.25">
      <c r="A1518" s="1">
        <v>878</v>
      </c>
      <c r="B1518" t="s">
        <v>23</v>
      </c>
      <c r="C1518">
        <v>700</v>
      </c>
      <c r="D1518">
        <v>0</v>
      </c>
      <c r="E1518" t="s">
        <v>37</v>
      </c>
      <c r="F1518" t="s">
        <v>37</v>
      </c>
      <c r="G1518" t="str">
        <f>"2025-12-06 09:10:55.053"</f>
        <v>2025-12-06 09:10:55.053</v>
      </c>
      <c r="H1518" t="s">
        <v>26</v>
      </c>
    </row>
    <row r="1519" spans="1:10" x14ac:dyDescent="0.25">
      <c r="A1519" s="1">
        <v>879</v>
      </c>
      <c r="B1519" t="s">
        <v>23</v>
      </c>
      <c r="C1519">
        <v>706</v>
      </c>
      <c r="D1519">
        <v>3</v>
      </c>
      <c r="E1519" t="s">
        <v>24</v>
      </c>
      <c r="F1519" t="s">
        <v>68</v>
      </c>
      <c r="G1519" t="str">
        <f>"2025-12-05 15:24:16.241"</f>
        <v>2025-12-05 15:24:16.241</v>
      </c>
      <c r="H1519" t="s">
        <v>26</v>
      </c>
      <c r="I1519">
        <v>0</v>
      </c>
      <c r="J1519" t="s">
        <v>27</v>
      </c>
    </row>
    <row r="1520" spans="1:10" x14ac:dyDescent="0.25">
      <c r="A1520" s="1">
        <v>880</v>
      </c>
      <c r="B1520" t="s">
        <v>23</v>
      </c>
      <c r="C1520">
        <v>700</v>
      </c>
      <c r="D1520">
        <v>0</v>
      </c>
      <c r="E1520" t="s">
        <v>37</v>
      </c>
      <c r="F1520" t="s">
        <v>37</v>
      </c>
      <c r="G1520" t="str">
        <f>"2025-12-05 15:21:21.051"</f>
        <v>2025-12-05 15:21:21.051</v>
      </c>
      <c r="H1520" t="s">
        <v>26</v>
      </c>
      <c r="I1520">
        <v>0</v>
      </c>
      <c r="J1520" t="s">
        <v>43</v>
      </c>
    </row>
    <row r="1521" spans="1:10" x14ac:dyDescent="0.25">
      <c r="A1521" s="1">
        <v>881</v>
      </c>
      <c r="B1521" t="s">
        <v>23</v>
      </c>
      <c r="C1521">
        <v>700</v>
      </c>
      <c r="D1521">
        <v>0</v>
      </c>
      <c r="E1521" t="s">
        <v>37</v>
      </c>
      <c r="F1521" t="s">
        <v>37</v>
      </c>
      <c r="G1521" t="str">
        <f>"2025-12-05 12:13:16.038"</f>
        <v>2025-12-05 12:13:16.038</v>
      </c>
      <c r="H1521" t="s">
        <v>26</v>
      </c>
    </row>
    <row r="1522" spans="1:10" x14ac:dyDescent="0.25">
      <c r="A1522" s="1">
        <v>882</v>
      </c>
      <c r="B1522" t="s">
        <v>23</v>
      </c>
      <c r="C1522">
        <v>700</v>
      </c>
      <c r="D1522">
        <v>0</v>
      </c>
      <c r="E1522" t="s">
        <v>37</v>
      </c>
      <c r="F1522" t="s">
        <v>37</v>
      </c>
      <c r="G1522" t="str">
        <f>"2025-12-05 12:00:02.039"</f>
        <v>2025-12-05 12:00:02.039</v>
      </c>
      <c r="H1522" t="s">
        <v>26</v>
      </c>
    </row>
    <row r="1523" spans="1:10" x14ac:dyDescent="0.25">
      <c r="A1523" s="1">
        <v>883</v>
      </c>
      <c r="B1523" t="s">
        <v>23</v>
      </c>
      <c r="C1523">
        <v>700</v>
      </c>
      <c r="D1523">
        <v>0</v>
      </c>
      <c r="E1523" t="s">
        <v>37</v>
      </c>
      <c r="F1523" t="s">
        <v>37</v>
      </c>
      <c r="G1523" t="str">
        <f>"2025-12-05 11:29:08.041"</f>
        <v>2025-12-05 11:29:08.041</v>
      </c>
      <c r="H1523" t="s">
        <v>26</v>
      </c>
      <c r="I1523">
        <v>0</v>
      </c>
      <c r="J1523" t="s">
        <v>43</v>
      </c>
    </row>
    <row r="1524" spans="1:10" x14ac:dyDescent="0.25">
      <c r="A1524" s="1">
        <v>884</v>
      </c>
      <c r="B1524" t="s">
        <v>23</v>
      </c>
      <c r="C1524">
        <v>700</v>
      </c>
      <c r="D1524">
        <v>0</v>
      </c>
      <c r="E1524" t="s">
        <v>37</v>
      </c>
      <c r="F1524" t="s">
        <v>37</v>
      </c>
      <c r="G1524" t="str">
        <f>"2025-12-04 16:39:46.041"</f>
        <v>2025-12-04 16:39:46.041</v>
      </c>
      <c r="H1524" t="s">
        <v>26</v>
      </c>
    </row>
    <row r="1525" spans="1:10" x14ac:dyDescent="0.25">
      <c r="A1525" s="1">
        <v>885</v>
      </c>
      <c r="B1525" t="s">
        <v>23</v>
      </c>
      <c r="C1525">
        <v>700</v>
      </c>
      <c r="D1525">
        <v>0</v>
      </c>
      <c r="E1525" t="s">
        <v>37</v>
      </c>
      <c r="F1525" t="s">
        <v>37</v>
      </c>
      <c r="G1525" t="str">
        <f>"2025-12-04 16:18:26.044"</f>
        <v>2025-12-04 16:18:26.044</v>
      </c>
      <c r="H1525" t="s">
        <v>26</v>
      </c>
      <c r="I1525">
        <v>0</v>
      </c>
      <c r="J1525" t="s">
        <v>43</v>
      </c>
    </row>
    <row r="1526" spans="1:10" x14ac:dyDescent="0.25">
      <c r="A1526" s="1">
        <v>886</v>
      </c>
      <c r="B1526" t="s">
        <v>23</v>
      </c>
      <c r="C1526">
        <v>700</v>
      </c>
      <c r="D1526">
        <v>0</v>
      </c>
      <c r="E1526" t="s">
        <v>37</v>
      </c>
      <c r="F1526" t="s">
        <v>37</v>
      </c>
      <c r="G1526" t="str">
        <f>"2025-12-04 15:46:03.044"</f>
        <v>2025-12-04 15:46:03.044</v>
      </c>
      <c r="H1526" t="s">
        <v>26</v>
      </c>
      <c r="I1526">
        <v>0</v>
      </c>
      <c r="J1526" t="s">
        <v>43</v>
      </c>
    </row>
    <row r="1527" spans="1:10" x14ac:dyDescent="0.25">
      <c r="A1527" s="1">
        <v>887</v>
      </c>
      <c r="B1527" t="s">
        <v>23</v>
      </c>
      <c r="C1527">
        <v>700</v>
      </c>
      <c r="D1527">
        <v>0</v>
      </c>
      <c r="E1527" t="s">
        <v>37</v>
      </c>
      <c r="F1527" t="s">
        <v>37</v>
      </c>
      <c r="G1527" t="str">
        <f>"2025-12-04 15:31:53.031"</f>
        <v>2025-12-04 15:31:53.031</v>
      </c>
      <c r="H1527" t="s">
        <v>26</v>
      </c>
    </row>
    <row r="1528" spans="1:10" x14ac:dyDescent="0.25">
      <c r="A1528" s="1">
        <v>888</v>
      </c>
      <c r="B1528" t="s">
        <v>19</v>
      </c>
      <c r="C1528">
        <v>619</v>
      </c>
      <c r="D1528">
        <v>1</v>
      </c>
      <c r="E1528" t="s">
        <v>79</v>
      </c>
      <c r="F1528" t="s">
        <v>41</v>
      </c>
      <c r="G1528" t="str">
        <f>"2025-12-04 15:18:42.811"</f>
        <v>2025-12-04 15:18:42.811</v>
      </c>
      <c r="H1528" t="s">
        <v>80</v>
      </c>
    </row>
    <row r="1529" spans="1:10" x14ac:dyDescent="0.25">
      <c r="A1529" s="1">
        <v>889</v>
      </c>
      <c r="B1529" t="s">
        <v>38</v>
      </c>
      <c r="C1529">
        <v>619</v>
      </c>
      <c r="D1529">
        <v>1</v>
      </c>
      <c r="E1529" t="s">
        <v>79</v>
      </c>
      <c r="F1529" t="s">
        <v>41</v>
      </c>
      <c r="G1529" t="str">
        <f>"2025-12-04 15:18:22.611"</f>
        <v>2025-12-04 15:18:22.611</v>
      </c>
      <c r="H1529" t="s">
        <v>80</v>
      </c>
      <c r="I1529">
        <v>0</v>
      </c>
      <c r="J1529" t="s">
        <v>27</v>
      </c>
    </row>
    <row r="1530" spans="1:10" x14ac:dyDescent="0.25">
      <c r="A1530" s="1">
        <v>890</v>
      </c>
      <c r="B1530" t="s">
        <v>23</v>
      </c>
      <c r="C1530">
        <v>700</v>
      </c>
      <c r="D1530">
        <v>0</v>
      </c>
      <c r="E1530" t="s">
        <v>37</v>
      </c>
      <c r="F1530" t="s">
        <v>37</v>
      </c>
      <c r="G1530" t="str">
        <f>"2025-12-04 15:18:15.041"</f>
        <v>2025-12-04 15:18:15.041</v>
      </c>
      <c r="H1530" t="s">
        <v>26</v>
      </c>
      <c r="I1530">
        <v>0</v>
      </c>
      <c r="J1530" t="s">
        <v>43</v>
      </c>
    </row>
    <row r="1531" spans="1:10" x14ac:dyDescent="0.25">
      <c r="A1531" s="1">
        <v>891</v>
      </c>
      <c r="B1531" t="s">
        <v>19</v>
      </c>
      <c r="C1531">
        <v>619</v>
      </c>
      <c r="D1531">
        <v>1</v>
      </c>
      <c r="E1531" t="s">
        <v>79</v>
      </c>
      <c r="F1531" t="s">
        <v>41</v>
      </c>
      <c r="G1531" t="str">
        <f>"2025-12-04 15:09:49.554"</f>
        <v>2025-12-04 15:09:49.554</v>
      </c>
      <c r="H1531" t="s">
        <v>80</v>
      </c>
    </row>
    <row r="1532" spans="1:10" x14ac:dyDescent="0.25">
      <c r="A1532" s="1">
        <v>894</v>
      </c>
      <c r="B1532" t="s">
        <v>38</v>
      </c>
      <c r="C1532">
        <v>619</v>
      </c>
      <c r="D1532">
        <v>1</v>
      </c>
      <c r="E1532" t="s">
        <v>79</v>
      </c>
      <c r="F1532" t="s">
        <v>41</v>
      </c>
      <c r="G1532" t="str">
        <f>"2025-12-04 15:08:37.127"</f>
        <v>2025-12-04 15:08:37.127</v>
      </c>
      <c r="H1532" t="s">
        <v>80</v>
      </c>
      <c r="I1532">
        <v>0</v>
      </c>
      <c r="J1532" t="s">
        <v>27</v>
      </c>
    </row>
    <row r="1533" spans="1:10" x14ac:dyDescent="0.25">
      <c r="A1533" s="1">
        <v>895</v>
      </c>
      <c r="B1533" t="s">
        <v>23</v>
      </c>
      <c r="C1533">
        <v>782</v>
      </c>
      <c r="D1533">
        <v>7</v>
      </c>
      <c r="E1533" t="s">
        <v>32</v>
      </c>
      <c r="F1533" t="s">
        <v>33</v>
      </c>
      <c r="G1533" t="str">
        <f>"2025-12-04 15:08:37.125"</f>
        <v>2025-12-04 15:08:37.125</v>
      </c>
      <c r="H1533" t="s">
        <v>26</v>
      </c>
      <c r="I1533">
        <v>0</v>
      </c>
      <c r="J1533" t="s">
        <v>27</v>
      </c>
    </row>
    <row r="1534" spans="1:10" x14ac:dyDescent="0.25">
      <c r="A1534" s="1">
        <v>898</v>
      </c>
      <c r="B1534" t="s">
        <v>19</v>
      </c>
      <c r="C1534">
        <v>619</v>
      </c>
      <c r="D1534">
        <v>1</v>
      </c>
      <c r="E1534" t="s">
        <v>79</v>
      </c>
      <c r="F1534" t="s">
        <v>41</v>
      </c>
      <c r="G1534" t="str">
        <f>"2025-12-04 15:08:37.117"</f>
        <v>2025-12-04 15:08:37.117</v>
      </c>
      <c r="H1534" t="s">
        <v>80</v>
      </c>
    </row>
    <row r="1535" spans="1:10" x14ac:dyDescent="0.25">
      <c r="A1535" s="1">
        <v>899</v>
      </c>
      <c r="B1535" t="s">
        <v>19</v>
      </c>
      <c r="C1535">
        <v>48</v>
      </c>
      <c r="D1535">
        <v>1</v>
      </c>
      <c r="E1535" t="s">
        <v>98</v>
      </c>
      <c r="F1535" t="s">
        <v>99</v>
      </c>
      <c r="G1535" t="str">
        <f>"2025-12-04 15:08:37.111"</f>
        <v>2025-12-04 15:08:37.111</v>
      </c>
      <c r="H1535" t="s">
        <v>78</v>
      </c>
    </row>
    <row r="1536" spans="1:10" x14ac:dyDescent="0.25">
      <c r="A1536" s="1">
        <v>900</v>
      </c>
      <c r="B1536" t="s">
        <v>23</v>
      </c>
      <c r="C1536">
        <v>782</v>
      </c>
      <c r="D1536">
        <v>7</v>
      </c>
      <c r="E1536" t="s">
        <v>32</v>
      </c>
      <c r="F1536" t="s">
        <v>33</v>
      </c>
      <c r="G1536" t="str">
        <f>"2025-12-04 15:08:37.106"</f>
        <v>2025-12-04 15:08:37.106</v>
      </c>
      <c r="H1536" t="s">
        <v>26</v>
      </c>
      <c r="I1536">
        <v>0</v>
      </c>
      <c r="J1536" t="s">
        <v>27</v>
      </c>
    </row>
    <row r="1537" spans="1:10" x14ac:dyDescent="0.25">
      <c r="A1537" s="1">
        <v>901</v>
      </c>
      <c r="B1537" t="s">
        <v>38</v>
      </c>
      <c r="C1537">
        <v>619</v>
      </c>
      <c r="D1537">
        <v>1</v>
      </c>
      <c r="E1537" t="s">
        <v>79</v>
      </c>
      <c r="F1537" t="s">
        <v>41</v>
      </c>
      <c r="G1537" t="str">
        <f>"2025-12-04 15:08:00.606"</f>
        <v>2025-12-04 15:08:00.606</v>
      </c>
      <c r="H1537" t="s">
        <v>80</v>
      </c>
      <c r="I1537">
        <v>0</v>
      </c>
      <c r="J1537" t="s">
        <v>27</v>
      </c>
    </row>
    <row r="1538" spans="1:10" x14ac:dyDescent="0.25">
      <c r="A1538" s="1">
        <v>902</v>
      </c>
      <c r="B1538" t="s">
        <v>23</v>
      </c>
      <c r="C1538">
        <v>700</v>
      </c>
      <c r="D1538">
        <v>0</v>
      </c>
      <c r="E1538" t="s">
        <v>37</v>
      </c>
      <c r="F1538" t="s">
        <v>37</v>
      </c>
      <c r="G1538" t="str">
        <f>"2025-12-04 15:07:54.027"</f>
        <v>2025-12-04 15:07:54.027</v>
      </c>
      <c r="H1538" t="s">
        <v>26</v>
      </c>
    </row>
    <row r="1539" spans="1:10" x14ac:dyDescent="0.25">
      <c r="A1539" s="1">
        <v>903</v>
      </c>
      <c r="B1539" t="s">
        <v>19</v>
      </c>
      <c r="C1539">
        <v>619</v>
      </c>
      <c r="D1539">
        <v>1</v>
      </c>
      <c r="E1539" t="s">
        <v>79</v>
      </c>
      <c r="F1539" t="s">
        <v>41</v>
      </c>
      <c r="G1539" t="str">
        <f>"2025-12-04 15:04:44.485"</f>
        <v>2025-12-04 15:04:44.485</v>
      </c>
      <c r="H1539" t="s">
        <v>80</v>
      </c>
    </row>
    <row r="1540" spans="1:10" x14ac:dyDescent="0.25">
      <c r="A1540" s="1">
        <v>904</v>
      </c>
      <c r="B1540" t="s">
        <v>38</v>
      </c>
      <c r="C1540">
        <v>48</v>
      </c>
      <c r="D1540">
        <v>1</v>
      </c>
      <c r="E1540" t="s">
        <v>98</v>
      </c>
      <c r="F1540" t="s">
        <v>99</v>
      </c>
      <c r="G1540" t="str">
        <f>"2025-12-04 15:04:06.762"</f>
        <v>2025-12-04 15:04:06.762</v>
      </c>
      <c r="H1540" t="s">
        <v>78</v>
      </c>
      <c r="I1540">
        <v>0</v>
      </c>
      <c r="J1540" t="s">
        <v>27</v>
      </c>
    </row>
    <row r="1541" spans="1:10" x14ac:dyDescent="0.25">
      <c r="A1541" s="1">
        <v>905</v>
      </c>
      <c r="B1541" t="s">
        <v>48</v>
      </c>
      <c r="C1541">
        <v>48</v>
      </c>
      <c r="D1541">
        <v>1</v>
      </c>
      <c r="E1541" t="s">
        <v>98</v>
      </c>
      <c r="F1541" t="s">
        <v>99</v>
      </c>
      <c r="G1541" t="str">
        <f>"2025-12-04 15:03:59.052"</f>
        <v>2025-12-04 15:03:59.052</v>
      </c>
      <c r="H1541" t="s">
        <v>78</v>
      </c>
    </row>
    <row r="1542" spans="1:10" x14ac:dyDescent="0.25">
      <c r="A1542" s="1">
        <v>906</v>
      </c>
      <c r="B1542" t="s">
        <v>28</v>
      </c>
      <c r="C1542">
        <v>48</v>
      </c>
      <c r="D1542">
        <v>1</v>
      </c>
      <c r="E1542" t="s">
        <v>98</v>
      </c>
      <c r="F1542" t="s">
        <v>99</v>
      </c>
      <c r="G1542" t="str">
        <f>"2025-12-04 15:03:53.963"</f>
        <v>2025-12-04 15:03:53.963</v>
      </c>
      <c r="H1542" t="s">
        <v>78</v>
      </c>
      <c r="I1542">
        <v>0</v>
      </c>
      <c r="J1542" t="s">
        <v>27</v>
      </c>
    </row>
    <row r="1543" spans="1:10" x14ac:dyDescent="0.25">
      <c r="A1543" s="1">
        <v>907</v>
      </c>
      <c r="B1543" t="s">
        <v>48</v>
      </c>
      <c r="C1543">
        <v>48</v>
      </c>
      <c r="D1543">
        <v>1</v>
      </c>
      <c r="E1543" t="s">
        <v>98</v>
      </c>
      <c r="F1543" t="s">
        <v>99</v>
      </c>
      <c r="G1543" t="str">
        <f>"2025-12-04 15:03:46.253"</f>
        <v>2025-12-04 15:03:46.253</v>
      </c>
      <c r="H1543" t="s">
        <v>78</v>
      </c>
    </row>
    <row r="1544" spans="1:10" x14ac:dyDescent="0.25">
      <c r="A1544" s="1">
        <v>908</v>
      </c>
      <c r="B1544" t="s">
        <v>28</v>
      </c>
      <c r="C1544">
        <v>48</v>
      </c>
      <c r="D1544">
        <v>1</v>
      </c>
      <c r="E1544" t="s">
        <v>98</v>
      </c>
      <c r="F1544" t="s">
        <v>99</v>
      </c>
      <c r="G1544" t="str">
        <f>"2025-12-04 15:03:41.243"</f>
        <v>2025-12-04 15:03:41.243</v>
      </c>
      <c r="H1544" t="s">
        <v>78</v>
      </c>
      <c r="I1544">
        <v>0</v>
      </c>
      <c r="J1544" t="s">
        <v>27</v>
      </c>
    </row>
    <row r="1545" spans="1:10" x14ac:dyDescent="0.25">
      <c r="A1545" s="1">
        <v>909</v>
      </c>
      <c r="B1545" t="s">
        <v>38</v>
      </c>
      <c r="C1545">
        <v>619</v>
      </c>
      <c r="D1545">
        <v>1</v>
      </c>
      <c r="E1545" t="s">
        <v>79</v>
      </c>
      <c r="F1545" t="s">
        <v>41</v>
      </c>
      <c r="G1545" t="str">
        <f>"2025-12-04 15:03:36.033"</f>
        <v>2025-12-04 15:03:36.033</v>
      </c>
      <c r="H1545" t="s">
        <v>80</v>
      </c>
      <c r="I1545">
        <v>0</v>
      </c>
      <c r="J1545" t="s">
        <v>27</v>
      </c>
    </row>
    <row r="1546" spans="1:10" x14ac:dyDescent="0.25">
      <c r="A1546" s="1">
        <v>910</v>
      </c>
      <c r="B1546" t="s">
        <v>23</v>
      </c>
      <c r="C1546">
        <v>706</v>
      </c>
      <c r="D1546">
        <v>2</v>
      </c>
      <c r="E1546" t="s">
        <v>24</v>
      </c>
      <c r="F1546" t="s">
        <v>39</v>
      </c>
      <c r="G1546" t="str">
        <f>"2025-12-04 15:03:29.655"</f>
        <v>2025-12-04 15:03:29.655</v>
      </c>
      <c r="H1546" t="s">
        <v>26</v>
      </c>
      <c r="I1546">
        <v>0</v>
      </c>
      <c r="J1546" t="s">
        <v>27</v>
      </c>
    </row>
    <row r="1547" spans="1:10" x14ac:dyDescent="0.25">
      <c r="A1547" s="1">
        <v>911</v>
      </c>
      <c r="B1547" t="s">
        <v>23</v>
      </c>
      <c r="C1547">
        <v>706</v>
      </c>
      <c r="D1547">
        <v>4</v>
      </c>
      <c r="E1547" t="s">
        <v>24</v>
      </c>
      <c r="F1547" t="s">
        <v>25</v>
      </c>
      <c r="G1547" t="str">
        <f>"2025-12-04 15:02:54.385"</f>
        <v>2025-12-04 15:02:54.385</v>
      </c>
      <c r="H1547" t="s">
        <v>26</v>
      </c>
      <c r="I1547">
        <v>0</v>
      </c>
      <c r="J1547" t="s">
        <v>27</v>
      </c>
    </row>
    <row r="1548" spans="1:10" x14ac:dyDescent="0.25">
      <c r="A1548" s="1">
        <v>912</v>
      </c>
      <c r="B1548" t="s">
        <v>23</v>
      </c>
      <c r="C1548">
        <v>706</v>
      </c>
      <c r="D1548">
        <v>3</v>
      </c>
      <c r="E1548" t="s">
        <v>24</v>
      </c>
      <c r="F1548" t="s">
        <v>68</v>
      </c>
      <c r="G1548" t="str">
        <f>"2025-12-04 15:01:19.855"</f>
        <v>2025-12-04 15:01:19.855</v>
      </c>
      <c r="H1548" t="s">
        <v>26</v>
      </c>
      <c r="I1548">
        <v>0</v>
      </c>
      <c r="J1548" t="s">
        <v>27</v>
      </c>
    </row>
    <row r="1549" spans="1:10" x14ac:dyDescent="0.25">
      <c r="A1549" s="1">
        <v>913</v>
      </c>
      <c r="B1549" t="s">
        <v>23</v>
      </c>
      <c r="C1549">
        <v>706</v>
      </c>
      <c r="D1549">
        <v>3</v>
      </c>
      <c r="E1549" t="s">
        <v>24</v>
      </c>
      <c r="F1549" t="s">
        <v>68</v>
      </c>
      <c r="G1549" t="str">
        <f>"2025-12-04 15:00:17.655"</f>
        <v>2025-12-04 15:00:17.655</v>
      </c>
      <c r="H1549" t="s">
        <v>26</v>
      </c>
      <c r="I1549">
        <v>0</v>
      </c>
      <c r="J1549" t="s">
        <v>27</v>
      </c>
    </row>
    <row r="1550" spans="1:10" x14ac:dyDescent="0.25">
      <c r="A1550" s="1">
        <v>914</v>
      </c>
      <c r="B1550" t="s">
        <v>23</v>
      </c>
      <c r="C1550">
        <v>706</v>
      </c>
      <c r="D1550">
        <v>3</v>
      </c>
      <c r="E1550" t="s">
        <v>24</v>
      </c>
      <c r="F1550" t="s">
        <v>68</v>
      </c>
      <c r="G1550" t="str">
        <f>"2025-12-04 14:59:20.065"</f>
        <v>2025-12-04 14:59:20.065</v>
      </c>
      <c r="H1550" t="s">
        <v>26</v>
      </c>
      <c r="I1550">
        <v>0</v>
      </c>
      <c r="J1550" t="s">
        <v>27</v>
      </c>
    </row>
    <row r="1551" spans="1:10" x14ac:dyDescent="0.25">
      <c r="A1551" s="1">
        <v>917</v>
      </c>
      <c r="B1551" t="s">
        <v>23</v>
      </c>
      <c r="C1551">
        <v>782</v>
      </c>
      <c r="D1551">
        <v>7</v>
      </c>
      <c r="E1551" t="s">
        <v>32</v>
      </c>
      <c r="F1551" t="s">
        <v>33</v>
      </c>
      <c r="G1551" t="str">
        <f>"2025-12-04 14:47:56.491"</f>
        <v>2025-12-04 14:47:56.491</v>
      </c>
      <c r="H1551" t="s">
        <v>26</v>
      </c>
      <c r="I1551">
        <v>0</v>
      </c>
      <c r="J1551" t="s">
        <v>27</v>
      </c>
    </row>
    <row r="1552" spans="1:10" x14ac:dyDescent="0.25">
      <c r="A1552" s="1">
        <v>920</v>
      </c>
      <c r="B1552" t="s">
        <v>19</v>
      </c>
      <c r="C1552">
        <v>12</v>
      </c>
      <c r="D1552">
        <v>2</v>
      </c>
      <c r="E1552" t="s">
        <v>100</v>
      </c>
      <c r="F1552" t="s">
        <v>101</v>
      </c>
      <c r="G1552" t="str">
        <f>"2025-12-04 14:47:56.488"</f>
        <v>2025-12-04 14:47:56.488</v>
      </c>
      <c r="H1552" t="s">
        <v>26</v>
      </c>
    </row>
    <row r="1553" spans="1:10" x14ac:dyDescent="0.25">
      <c r="A1553" s="1">
        <v>921</v>
      </c>
      <c r="B1553" t="s">
        <v>19</v>
      </c>
      <c r="C1553">
        <v>12</v>
      </c>
      <c r="D1553">
        <v>1</v>
      </c>
      <c r="E1553" t="s">
        <v>100</v>
      </c>
      <c r="F1553" t="s">
        <v>102</v>
      </c>
      <c r="G1553" t="str">
        <f>"2025-12-04 14:47:56.486"</f>
        <v>2025-12-04 14:47:56.486</v>
      </c>
      <c r="H1553" t="s">
        <v>26</v>
      </c>
    </row>
    <row r="1554" spans="1:10" x14ac:dyDescent="0.25">
      <c r="A1554" s="1">
        <v>922</v>
      </c>
      <c r="B1554" t="s">
        <v>23</v>
      </c>
      <c r="C1554">
        <v>782</v>
      </c>
      <c r="D1554">
        <v>7</v>
      </c>
      <c r="E1554" t="s">
        <v>32</v>
      </c>
      <c r="F1554" t="s">
        <v>33</v>
      </c>
      <c r="G1554" t="str">
        <f>"2025-12-04 14:47:56.485"</f>
        <v>2025-12-04 14:47:56.485</v>
      </c>
      <c r="H1554" t="s">
        <v>26</v>
      </c>
      <c r="I1554">
        <v>0</v>
      </c>
      <c r="J1554" t="s">
        <v>27</v>
      </c>
    </row>
    <row r="1555" spans="1:10" x14ac:dyDescent="0.25">
      <c r="A1555" s="1">
        <v>923</v>
      </c>
      <c r="B1555" t="s">
        <v>19</v>
      </c>
      <c r="C1555">
        <v>4</v>
      </c>
      <c r="D1555">
        <v>1</v>
      </c>
      <c r="E1555" t="s">
        <v>73</v>
      </c>
      <c r="F1555" t="s">
        <v>74</v>
      </c>
      <c r="G1555" t="str">
        <f>"2025-12-04 14:47:37.784"</f>
        <v>2025-12-04 14:47:37.784</v>
      </c>
      <c r="H1555" t="s">
        <v>75</v>
      </c>
    </row>
    <row r="1556" spans="1:10" x14ac:dyDescent="0.25">
      <c r="A1556" s="1">
        <v>924</v>
      </c>
      <c r="B1556" t="s">
        <v>23</v>
      </c>
      <c r="C1556">
        <v>700</v>
      </c>
      <c r="D1556">
        <v>0</v>
      </c>
      <c r="E1556" t="s">
        <v>37</v>
      </c>
      <c r="F1556" t="s">
        <v>37</v>
      </c>
      <c r="G1556" t="str">
        <f>"2025-12-04 14:47:30.015"</f>
        <v>2025-12-04 14:47:30.015</v>
      </c>
      <c r="H1556" t="s">
        <v>26</v>
      </c>
      <c r="I1556">
        <v>0</v>
      </c>
      <c r="J1556" t="s">
        <v>43</v>
      </c>
    </row>
    <row r="1557" spans="1:10" x14ac:dyDescent="0.25">
      <c r="A1557" s="1">
        <v>925</v>
      </c>
      <c r="B1557" t="s">
        <v>23</v>
      </c>
      <c r="C1557">
        <v>700</v>
      </c>
      <c r="D1557">
        <v>0</v>
      </c>
      <c r="E1557" t="s">
        <v>37</v>
      </c>
      <c r="F1557" t="s">
        <v>37</v>
      </c>
      <c r="G1557" t="str">
        <f>"2025-12-04 14:36:53.024"</f>
        <v>2025-12-04 14:36:53.024</v>
      </c>
      <c r="H1557" t="s">
        <v>26</v>
      </c>
      <c r="I1557">
        <v>0</v>
      </c>
      <c r="J1557" t="s">
        <v>43</v>
      </c>
    </row>
    <row r="1558" spans="1:10" x14ac:dyDescent="0.25">
      <c r="A1558" s="1">
        <v>926</v>
      </c>
      <c r="B1558" t="s">
        <v>23</v>
      </c>
      <c r="C1558">
        <v>719</v>
      </c>
      <c r="D1558">
        <v>5</v>
      </c>
      <c r="E1558" t="s">
        <v>103</v>
      </c>
      <c r="F1558" t="s">
        <v>104</v>
      </c>
      <c r="G1558" t="str">
        <f>"2025-12-04 14:33:30.063"</f>
        <v>2025-12-04 14:33:30.063</v>
      </c>
      <c r="H1558" t="s">
        <v>26</v>
      </c>
      <c r="I1558">
        <v>0</v>
      </c>
      <c r="J1558" t="s">
        <v>27</v>
      </c>
    </row>
    <row r="1559" spans="1:10" x14ac:dyDescent="0.25">
      <c r="A1559" s="1">
        <v>927</v>
      </c>
      <c r="B1559" t="s">
        <v>19</v>
      </c>
      <c r="C1559">
        <v>650</v>
      </c>
      <c r="D1559">
        <v>4</v>
      </c>
      <c r="E1559" t="s">
        <v>105</v>
      </c>
      <c r="F1559" t="s">
        <v>106</v>
      </c>
      <c r="G1559" t="str">
        <f>"2037-05-19 09:24:48.546"</f>
        <v>2037-05-19 09:24:48.546</v>
      </c>
      <c r="H1559" t="s">
        <v>26</v>
      </c>
    </row>
    <row r="1560" spans="1:10" x14ac:dyDescent="0.25">
      <c r="A1560" s="1">
        <v>928</v>
      </c>
      <c r="B1560" t="s">
        <v>19</v>
      </c>
      <c r="C1560">
        <v>98</v>
      </c>
      <c r="D1560">
        <v>1</v>
      </c>
      <c r="E1560" t="s">
        <v>89</v>
      </c>
      <c r="F1560" t="s">
        <v>90</v>
      </c>
      <c r="G1560" t="str">
        <f>"2037-05-19 09:23:11.357"</f>
        <v>2037-05-19 09:23:11.357</v>
      </c>
      <c r="H1560" t="s">
        <v>26</v>
      </c>
    </row>
    <row r="1561" spans="1:10" x14ac:dyDescent="0.25">
      <c r="A1561" s="1">
        <v>929</v>
      </c>
      <c r="B1561" t="s">
        <v>38</v>
      </c>
      <c r="C1561">
        <v>98</v>
      </c>
      <c r="D1561">
        <v>1</v>
      </c>
      <c r="E1561" t="s">
        <v>89</v>
      </c>
      <c r="F1561" t="s">
        <v>90</v>
      </c>
      <c r="G1561" t="str">
        <f>"2037-05-19 09:23:10.258"</f>
        <v>2037-05-19 09:23:10.258</v>
      </c>
      <c r="H1561" t="s">
        <v>26</v>
      </c>
      <c r="I1561">
        <v>0</v>
      </c>
      <c r="J1561" t="s">
        <v>27</v>
      </c>
    </row>
    <row r="1562" spans="1:10" x14ac:dyDescent="0.25">
      <c r="A1562" s="1">
        <v>930</v>
      </c>
      <c r="B1562" t="s">
        <v>23</v>
      </c>
      <c r="C1562">
        <v>700</v>
      </c>
      <c r="D1562">
        <v>0</v>
      </c>
      <c r="E1562" t="s">
        <v>37</v>
      </c>
      <c r="F1562" t="s">
        <v>37</v>
      </c>
      <c r="G1562" t="str">
        <f>"2037-05-19 09:21:06.007"</f>
        <v>2037-05-19 09:21:06.007</v>
      </c>
      <c r="H1562" t="s">
        <v>26</v>
      </c>
    </row>
    <row r="1563" spans="1:10" x14ac:dyDescent="0.25">
      <c r="A1563" s="1">
        <v>933</v>
      </c>
      <c r="B1563" t="s">
        <v>23</v>
      </c>
      <c r="C1563">
        <v>753</v>
      </c>
      <c r="D1563">
        <v>1</v>
      </c>
      <c r="E1563" t="s">
        <v>107</v>
      </c>
      <c r="F1563" t="s">
        <v>108</v>
      </c>
      <c r="G1563" t="str">
        <f>"2037-05-19 09:14:13.496"</f>
        <v>2037-05-19 09:14:13.496</v>
      </c>
      <c r="H1563" t="s">
        <v>26</v>
      </c>
      <c r="I1563">
        <v>0</v>
      </c>
      <c r="J1563" t="s">
        <v>27</v>
      </c>
    </row>
    <row r="1564" spans="1:10" x14ac:dyDescent="0.25">
      <c r="A1564" s="1">
        <v>934</v>
      </c>
      <c r="B1564" t="s">
        <v>28</v>
      </c>
      <c r="C1564">
        <v>641</v>
      </c>
      <c r="D1564">
        <v>1</v>
      </c>
      <c r="E1564" t="s">
        <v>109</v>
      </c>
      <c r="F1564" t="s">
        <v>101</v>
      </c>
      <c r="G1564" t="str">
        <f>"2037-05-19 09:14:07.805"</f>
        <v>2037-05-19 09:14:07.805</v>
      </c>
      <c r="H1564" t="s">
        <v>26</v>
      </c>
      <c r="I1564">
        <v>0</v>
      </c>
      <c r="J1564" t="s">
        <v>27</v>
      </c>
    </row>
    <row r="1565" spans="1:10" x14ac:dyDescent="0.25">
      <c r="A1565" s="1">
        <v>935</v>
      </c>
      <c r="B1565" t="s">
        <v>28</v>
      </c>
      <c r="C1565">
        <v>640</v>
      </c>
      <c r="D1565">
        <v>1</v>
      </c>
      <c r="E1565" t="s">
        <v>110</v>
      </c>
      <c r="F1565" t="s">
        <v>102</v>
      </c>
      <c r="G1565" t="str">
        <f>"2037-05-19 09:14:07.796"</f>
        <v>2037-05-19 09:14:07.796</v>
      </c>
      <c r="H1565" t="s">
        <v>80</v>
      </c>
      <c r="I1565">
        <v>0</v>
      </c>
      <c r="J1565" t="s">
        <v>27</v>
      </c>
    </row>
    <row r="1566" spans="1:10" x14ac:dyDescent="0.25">
      <c r="A1566" s="1">
        <v>936</v>
      </c>
      <c r="B1566" t="s">
        <v>38</v>
      </c>
      <c r="C1566">
        <v>4</v>
      </c>
      <c r="D1566">
        <v>1</v>
      </c>
      <c r="E1566" t="s">
        <v>73</v>
      </c>
      <c r="F1566" t="s">
        <v>74</v>
      </c>
      <c r="G1566" t="str">
        <f>"2037-05-19 09:14:02.495"</f>
        <v>2037-05-19 09:14:02.495</v>
      </c>
      <c r="H1566" t="s">
        <v>75</v>
      </c>
      <c r="I1566">
        <v>0</v>
      </c>
      <c r="J1566" t="s">
        <v>27</v>
      </c>
    </row>
    <row r="1567" spans="1:10" x14ac:dyDescent="0.25">
      <c r="A1567" s="1">
        <v>937</v>
      </c>
      <c r="B1567" t="s">
        <v>38</v>
      </c>
      <c r="C1567">
        <v>12</v>
      </c>
      <c r="D1567">
        <v>1</v>
      </c>
      <c r="E1567" t="s">
        <v>100</v>
      </c>
      <c r="F1567" t="s">
        <v>102</v>
      </c>
      <c r="G1567" t="str">
        <f>"2037-05-19 09:14:01.657"</f>
        <v>2037-05-19 09:14:01.657</v>
      </c>
      <c r="H1567" t="s">
        <v>26</v>
      </c>
      <c r="I1567">
        <v>0</v>
      </c>
      <c r="J1567" t="s">
        <v>27</v>
      </c>
    </row>
    <row r="1568" spans="1:10" x14ac:dyDescent="0.25">
      <c r="A1568" s="1">
        <v>938</v>
      </c>
      <c r="B1568" t="s">
        <v>38</v>
      </c>
      <c r="C1568">
        <v>12</v>
      </c>
      <c r="D1568">
        <v>2</v>
      </c>
      <c r="E1568" t="s">
        <v>100</v>
      </c>
      <c r="F1568" t="s">
        <v>101</v>
      </c>
      <c r="G1568" t="str">
        <f>"2037-05-19 09:14:01.564"</f>
        <v>2037-05-19 09:14:01.564</v>
      </c>
      <c r="H1568" t="s">
        <v>26</v>
      </c>
      <c r="I1568">
        <v>0</v>
      </c>
      <c r="J1568" t="s">
        <v>27</v>
      </c>
    </row>
    <row r="1569" spans="1:10" x14ac:dyDescent="0.25">
      <c r="A1569" s="1">
        <v>939</v>
      </c>
      <c r="B1569" t="s">
        <v>38</v>
      </c>
      <c r="C1569">
        <v>650</v>
      </c>
      <c r="D1569">
        <v>4</v>
      </c>
      <c r="E1569" t="s">
        <v>105</v>
      </c>
      <c r="F1569" t="s">
        <v>106</v>
      </c>
      <c r="G1569" t="str">
        <f>"2037-05-19 09:14:00.265"</f>
        <v>2037-05-19 09:14:00.265</v>
      </c>
      <c r="H1569" t="s">
        <v>26</v>
      </c>
      <c r="I1569">
        <v>0</v>
      </c>
      <c r="J1569" t="s">
        <v>43</v>
      </c>
    </row>
    <row r="1570" spans="1:10" x14ac:dyDescent="0.25">
      <c r="A1570" s="1">
        <v>940</v>
      </c>
      <c r="B1570" t="s">
        <v>23</v>
      </c>
      <c r="C1570">
        <v>700</v>
      </c>
      <c r="D1570">
        <v>0</v>
      </c>
      <c r="E1570" t="s">
        <v>37</v>
      </c>
      <c r="F1570" t="s">
        <v>37</v>
      </c>
      <c r="G1570" t="str">
        <f>"2037-05-19 09:13:57.606"</f>
        <v>2037-05-19 09:13:57.606</v>
      </c>
      <c r="H1570" t="s">
        <v>26</v>
      </c>
    </row>
  </sheetData>
  <autoFilter ref="A9:J1570" xr:uid="{28480442-6C56-4132-944F-7C28FFDFB39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B46A1-3365-4CA4-ADB6-050A64FA5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events_ru_86_20260716-220936 57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2026-07-16T22:58:11Z</dcterms:modified>
</cp:coreProperties>
</file>